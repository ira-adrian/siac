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4A1AA598-D048-430E-B80E-281227EC94E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GRAMACION TRIMESTRAL" sheetId="1" r:id="rId1"/>
    <sheet name=" NotaPedido" sheetId="2" r:id="rId2"/>
    <sheet name="Autor Gastar" sheetId="3" r:id="rId3"/>
  </sheets>
  <definedNames>
    <definedName name="_xlnm._FilterDatabase" localSheetId="0" hidden="1">'PROGRAMACION TRIMESTRAL'!$A$9:$I$9</definedName>
    <definedName name="_xlnm.Print_Area" localSheetId="1">' NotaPedido'!$A$1:$K$16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A15" i="2"/>
  <c r="A14" i="2"/>
  <c r="A13" i="2"/>
  <c r="A12" i="2"/>
  <c r="J12" i="2" l="1"/>
  <c r="J13" i="2"/>
  <c r="J14" i="2"/>
  <c r="J15" i="2"/>
  <c r="K12" i="2"/>
  <c r="K13" i="2"/>
  <c r="K14" i="2"/>
  <c r="K15" i="2"/>
  <c r="Q19" i="3"/>
  <c r="D7" i="2"/>
  <c r="J16" i="2" l="1"/>
  <c r="C12" i="2"/>
  <c r="C13" i="2"/>
  <c r="C14" i="2"/>
  <c r="C15" i="2"/>
  <c r="B12" i="2"/>
  <c r="B13" i="2"/>
  <c r="B14" i="2"/>
  <c r="B15" i="2"/>
  <c r="I13" i="1" l="1"/>
  <c r="I12" i="1"/>
  <c r="I10" i="1"/>
  <c r="I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<sst xmlns="http://schemas.openxmlformats.org/spreadsheetml/2006/main" count="98" uniqueCount="81">
  <si>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</si>
  <si>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</si>
  <si>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</si>
  <si>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</si>
  <si>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</si>
  <si>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</si>
  <si>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</si>
  <si>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</si>
  <si>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</si>
  <si>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</si>
  <si>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</si>
  <si>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</si>
  <si>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</si>
  <si>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</si>
  <si>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</si>
  <si>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</si>
  <si>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</si>
  <si>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</si>
  <si>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</si>
  <si>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</si>
  <si>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</si>
  <si>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</si>
  <si>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</si>
  <si>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</si>
  <si>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</si>
  <si>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</si>
  <si>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</si>
  <si>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</si>
  <si>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</si>
  <si>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</si>
  <si>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</si>
  <si>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</si>
  <si>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</si>
  <si>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</si>
  <si>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</si>
  <si>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</si>
  <si>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</si>
  <si>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</si>
  <si>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</si>
  <si>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</si>
  <si>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</si>
  <si>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</si>
  <si>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</si>
  <si>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</si>
  <si>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</si>
  <si>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</si>
  <si>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</si>
  <si>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</si>
  <si>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</si>
  <si>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</si>
  <si>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</si>
  <si>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</si>
  <si>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</si>
  <si>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</si>
  <si>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</si>
  <si>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RUBRO</t>
  </si>
  <si>
    <t>1.1</t>
  </si>
  <si>
    <t xml:space="preserve">Plazo de Entrega : </t>
  </si>
  <si>
    <t>Lugares de entrega:</t>
  </si>
  <si>
    <t xml:space="preserve">Hora de entrega: </t>
  </si>
  <si>
    <t>40-Ministerio de Salud</t>
  </si>
  <si>
    <t xml:space="preserve">169-Direccion Asistencial </t>
  </si>
  <si>
    <t>8 a 10 Hs</t>
  </si>
  <si>
    <t>UNIDAD</t>
  </si>
  <si>
    <t>30 dias .</t>
  </si>
  <si>
    <t>PROD.MEDICO/FARMACEUTICO/LAB</t>
  </si>
  <si>
    <t>Adquisicion de Formulas lacteas para el servicio de Nutricion</t>
  </si>
  <si>
    <t>2.5.2</t>
  </si>
  <si>
    <t>Productos farmaceuticos y medicinales</t>
  </si>
  <si>
    <t>Para la Adquisición de Formulas lacteas para ser destinados al Servicio de Nutricion de la Maternidad Provincial 25 de Mayo del Ministerio de Salud.</t>
  </si>
  <si>
    <t>Formula Lactea en polvo con proteina parcialmente hidrolizada. Sin lactosa. Presentacion en lata por 400 gramos</t>
  </si>
  <si>
    <t>Formula Lactea en polvo con proteina totalmente hidrolizada. Sin lactosa. Presentacion en lata por 400 gramos</t>
  </si>
  <si>
    <t>Formula Lactea liquida para RN prematuro o bajo peso. Con ARA y DHA. Presentacion botella x 70 ml</t>
  </si>
  <si>
    <t>SI</t>
  </si>
  <si>
    <r>
      <rPr>
        <b/>
        <sz val="10"/>
        <rFont val="Times New Roman"/>
        <family val="1"/>
      </rPr>
      <t>SECTOR DE NUTRICION</t>
    </r>
    <r>
      <rPr>
        <sz val="10"/>
        <rFont val="Times New Roman"/>
        <family val="1"/>
      </rPr>
      <t xml:space="preserve">-MATERNIDAD PROVINCIAL 25 DE MAYO , HERNADO DE PEDRAZA 1650- </t>
    </r>
  </si>
  <si>
    <t>Formula Lactea liquida de inicio para niños de 0 a 6 meses. Con ARA y DHA sin agregado de azucar. Presentacion tetrapáck de 200 ml</t>
  </si>
  <si>
    <t>136/2021</t>
  </si>
  <si>
    <t>20 dias corridos desde la firma del instrumento contractual</t>
  </si>
  <si>
    <t>Especificidades Item N° 1 al 4:</t>
  </si>
  <si>
    <t>Costo total estimado: QUINIENTOS OCHENTA Y SIETE MIL SETECIENTOS SESENTA CON 00/100</t>
  </si>
  <si>
    <t>TOTAL DE PESOS:  QUINIENTOS OCHENTA Y SIETE MIL SETECIENTOS SESENTA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</si>
</sst>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26" fillId="0" borderId="0" xfId="0" applyFont="1" applyAlignment="1">
      <alignment horizontal="center" wrapText="1"/>
    </xf>
    <xf numFmtId="0" fontId="16" fillId="0" borderId="39" xfId="0" applyFont="1" applyBorder="1" applyAlignment="1">
      <alignment horizontal="left" indent="3"/>
    </xf>
    <xf numFmtId="0" fontId="23" fillId="0" borderId="31" xfId="0" applyFont="1" applyBorder="1" applyAlignment="1">
      <alignment horizontal="left" indent="3"/>
    </xf>
    <xf numFmtId="0" fontId="23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19" fillId="3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2" xfId="0" applyBorder="1"/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28" fillId="0" borderId="37" xfId="0" applyFont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28" fillId="0" borderId="38" xfId="0" applyFont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  <xf numFmtId="167" fontId="25" fillId="0" borderId="31" xfId="0" applyNumberFormat="1" applyFont="1" applyFill="1" applyBorder="1" applyAlignment="1">
      <alignment horizontal="center" vertical="center"/>
    </xf>
    <xf numFmtId="167" fontId="25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7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4" zoomScaleNormal="100" workbookViewId="0">
      <selection activeCell="C19" sqref="C19"/>
    </sheetView>
  </sheetViews>
  <sheetFormatPr baseColWidth="10" defaultColWidth="11" defaultRowHeight="12.75" x14ac:dyDescent="0.2"/>
  <cols>
    <col min="1" max="1" width="4.5703125" style="17" customWidth="1"/>
    <col min="2" max="2" width="14.5703125" style="34" customWidth="1"/>
    <col min="3" max="3" width="35.140625" style="33" customWidth="1"/>
    <col min="4" max="4" width="8.42578125" style="17" customWidth="1"/>
    <col min="5" max="5" width="81.5703125" style="35" customWidth="1"/>
    <col min="6" max="6" width="11" style="17"/>
    <col min="7" max="7" width="12.7109375" style="17" customWidth="1"/>
    <col min="8" max="8" width="13.85546875" style="18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4" customFormat="1" x14ac:dyDescent="0.2">
      <c r="C1" s="39"/>
      <c r="E1" s="35"/>
      <c r="H1" s="40"/>
    </row>
    <row r="2" spans="1:9" s="34" customFormat="1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9" s="34" customFormat="1" x14ac:dyDescent="0.2">
      <c r="C3" s="39"/>
      <c r="E3" s="35"/>
      <c r="H3" s="40"/>
    </row>
    <row r="4" spans="1:9" s="34" customFormat="1" ht="18" customHeight="1" x14ac:dyDescent="0.25">
      <c r="A4" s="103" t="s">
        <v>1</v>
      </c>
      <c r="B4" s="103"/>
      <c r="C4" s="104" t="s">
        <v>60</v>
      </c>
      <c r="D4" s="104"/>
      <c r="E4" s="104"/>
      <c r="F4" s="37"/>
      <c r="G4" s="41"/>
      <c r="H4" s="42"/>
    </row>
    <row r="5" spans="1:9" s="34" customFormat="1" ht="18" customHeight="1" x14ac:dyDescent="0.25">
      <c r="A5" s="103" t="s">
        <v>2</v>
      </c>
      <c r="B5" s="103"/>
      <c r="C5" s="104" t="s">
        <v>53</v>
      </c>
      <c r="D5" s="104"/>
      <c r="E5" s="104"/>
      <c r="F5" s="37"/>
      <c r="G5" s="41"/>
      <c r="H5" s="42"/>
    </row>
    <row r="6" spans="1:9" s="34" customFormat="1" ht="16.5" customHeight="1" x14ac:dyDescent="0.2">
      <c r="A6" s="103" t="s">
        <v>3</v>
      </c>
      <c r="B6" s="103"/>
      <c r="C6" s="43">
        <v>2021</v>
      </c>
      <c r="D6" s="44"/>
      <c r="E6" s="36"/>
      <c r="F6" s="37"/>
      <c r="G6" s="41"/>
      <c r="H6" s="42"/>
    </row>
    <row r="7" spans="1:9" s="34" customFormat="1" ht="16.5" customHeight="1" x14ac:dyDescent="0.2">
      <c r="A7" s="103" t="s">
        <v>4</v>
      </c>
      <c r="B7" s="103"/>
      <c r="C7" s="43">
        <v>4</v>
      </c>
      <c r="D7" s="44"/>
      <c r="E7" s="36"/>
      <c r="F7" s="37"/>
      <c r="G7" s="41"/>
      <c r="H7" s="42"/>
    </row>
    <row r="8" spans="1:9" s="34" customFormat="1" ht="13.5" thickBot="1" x14ac:dyDescent="0.25">
      <c r="B8" s="37"/>
      <c r="C8" s="45"/>
      <c r="D8" s="37"/>
      <c r="E8" s="38"/>
      <c r="F8" s="37"/>
      <c r="G8" s="41"/>
      <c r="H8" s="42"/>
    </row>
    <row r="9" spans="1:9" ht="38.25" x14ac:dyDescent="0.2">
      <c r="A9" s="46" t="s">
        <v>5</v>
      </c>
      <c r="B9" s="47" t="s">
        <v>6</v>
      </c>
      <c r="C9" s="48" t="s">
        <v>55</v>
      </c>
      <c r="D9" s="49" t="s">
        <v>7</v>
      </c>
      <c r="E9" s="47" t="s">
        <v>8</v>
      </c>
      <c r="F9" s="48" t="s">
        <v>9</v>
      </c>
      <c r="G9" s="50" t="s">
        <v>10</v>
      </c>
      <c r="H9" s="51" t="s">
        <v>11</v>
      </c>
      <c r="I9" s="52" t="s">
        <v>12</v>
      </c>
    </row>
    <row r="10" spans="1:9" s="29" customFormat="1" ht="66" customHeight="1" x14ac:dyDescent="0.2">
      <c r="A10" s="30">
        <v>1</v>
      </c>
      <c r="B10" s="32"/>
      <c r="C10" s="32" t="s">
        <v>65</v>
      </c>
      <c r="D10" s="31" t="s">
        <v>67</v>
      </c>
      <c r="E10" s="53" t="s">
        <v>70</v>
      </c>
      <c r="F10" s="73" t="s">
        <v>63</v>
      </c>
      <c r="G10" s="73">
        <v>10</v>
      </c>
      <c r="H10" s="74">
        <v>1822</v>
      </c>
      <c r="I10" s="19">
        <f t="shared" ref="I10:I13" si="0">H10*G10</f>
        <v>18220</v>
      </c>
    </row>
    <row r="11" spans="1:9" s="29" customFormat="1" ht="58.5" customHeight="1" x14ac:dyDescent="0.2">
      <c r="A11" s="30">
        <v>2</v>
      </c>
      <c r="B11" s="32"/>
      <c r="C11" s="32" t="s">
        <v>65</v>
      </c>
      <c r="D11" s="31" t="s">
        <v>67</v>
      </c>
      <c r="E11" s="53" t="s">
        <v>71</v>
      </c>
      <c r="F11" s="73" t="s">
        <v>63</v>
      </c>
      <c r="G11" s="73">
        <v>4</v>
      </c>
      <c r="H11" s="74">
        <v>1820</v>
      </c>
      <c r="I11" s="19">
        <f t="shared" si="0"/>
        <v>7280</v>
      </c>
    </row>
    <row r="12" spans="1:9" s="29" customFormat="1" ht="58.5" customHeight="1" x14ac:dyDescent="0.2">
      <c r="A12" s="30">
        <v>3</v>
      </c>
      <c r="B12" s="32"/>
      <c r="C12" s="32" t="s">
        <v>65</v>
      </c>
      <c r="D12" s="31" t="s">
        <v>67</v>
      </c>
      <c r="E12" s="53" t="s">
        <v>75</v>
      </c>
      <c r="F12" s="73" t="s">
        <v>63</v>
      </c>
      <c r="G12" s="73">
        <v>2700</v>
      </c>
      <c r="H12" s="74">
        <v>34.200000000000003</v>
      </c>
      <c r="I12" s="19">
        <f t="shared" si="0"/>
        <v>92340.000000000015</v>
      </c>
    </row>
    <row r="13" spans="1:9" s="29" customFormat="1" ht="58.5" customHeight="1" x14ac:dyDescent="0.2">
      <c r="A13" s="30">
        <v>4</v>
      </c>
      <c r="B13" s="32"/>
      <c r="C13" s="90" t="s">
        <v>65</v>
      </c>
      <c r="D13" s="31" t="s">
        <v>67</v>
      </c>
      <c r="E13" s="53" t="s">
        <v>72</v>
      </c>
      <c r="F13" s="73" t="s">
        <v>63</v>
      </c>
      <c r="G13" s="73">
        <v>2640</v>
      </c>
      <c r="H13" s="74">
        <v>178</v>
      </c>
      <c r="I13" s="19">
        <f t="shared" si="0"/>
        <v>469920</v>
      </c>
    </row>
    <row r="14" spans="1:9" s="29" customFormat="1" ht="21.75" customHeight="1" thickBot="1" x14ac:dyDescent="0.25">
      <c r="A14" s="75"/>
      <c r="B14" s="76"/>
      <c r="C14" s="76"/>
      <c r="D14" s="77"/>
      <c r="E14" s="93"/>
      <c r="F14" s="45"/>
      <c r="G14" s="45"/>
      <c r="H14" s="78"/>
      <c r="I14" s="79"/>
    </row>
    <row r="15" spans="1:9" s="29" customFormat="1" ht="21.75" customHeight="1" x14ac:dyDescent="0.2">
      <c r="A15" s="75"/>
      <c r="B15" s="76"/>
      <c r="C15" s="99" t="s">
        <v>78</v>
      </c>
      <c r="D15" s="100"/>
      <c r="E15" s="100"/>
      <c r="F15" s="101"/>
      <c r="G15" s="45"/>
      <c r="H15" s="78"/>
      <c r="I15" s="79"/>
    </row>
    <row r="16" spans="1:9" s="29" customFormat="1" ht="21.75" customHeight="1" x14ac:dyDescent="0.25">
      <c r="A16" s="75"/>
      <c r="B16" s="76"/>
      <c r="C16" s="81"/>
      <c r="D16" s="82"/>
      <c r="E16" s="89"/>
      <c r="F16" s="91"/>
      <c r="G16" s="45"/>
      <c r="H16" s="78"/>
      <c r="I16" s="79"/>
    </row>
    <row r="17" spans="1:10" s="29" customFormat="1" ht="21.75" customHeight="1" x14ac:dyDescent="0.2">
      <c r="A17" s="75"/>
      <c r="B17" s="76"/>
      <c r="C17" s="81" t="s">
        <v>57</v>
      </c>
      <c r="D17" s="17"/>
      <c r="E17" s="94" t="s">
        <v>77</v>
      </c>
      <c r="F17" s="80"/>
      <c r="G17" s="45"/>
      <c r="H17" s="78"/>
      <c r="I17" s="79"/>
    </row>
    <row r="18" spans="1:10" s="29" customFormat="1" ht="21.75" customHeight="1" x14ac:dyDescent="0.2">
      <c r="A18" s="75"/>
      <c r="B18" s="76"/>
      <c r="C18" s="83"/>
      <c r="D18" s="97"/>
      <c r="E18" s="97"/>
      <c r="F18" s="97"/>
      <c r="G18" s="45"/>
      <c r="H18" s="78"/>
      <c r="I18" s="79"/>
    </row>
    <row r="19" spans="1:10" s="29" customFormat="1" ht="21.75" customHeight="1" x14ac:dyDescent="0.2">
      <c r="A19" s="75"/>
      <c r="B19" s="76"/>
      <c r="C19" s="81" t="s">
        <v>58</v>
      </c>
      <c r="D19" s="97" t="s">
        <v>74</v>
      </c>
      <c r="E19" s="97"/>
      <c r="F19" s="97"/>
      <c r="G19" s="45"/>
      <c r="H19" s="78"/>
      <c r="I19" s="79"/>
    </row>
    <row r="20" spans="1:10" s="29" customFormat="1" ht="21.75" customHeight="1" x14ac:dyDescent="0.2">
      <c r="A20" s="75"/>
      <c r="B20" s="76"/>
      <c r="C20" s="81"/>
      <c r="D20" s="88"/>
      <c r="E20" s="88"/>
      <c r="F20" s="92"/>
      <c r="G20" s="45"/>
      <c r="H20" s="78"/>
      <c r="I20" s="79"/>
    </row>
    <row r="21" spans="1:10" s="29" customFormat="1" ht="21.75" customHeight="1" x14ac:dyDescent="0.2">
      <c r="A21" s="75"/>
      <c r="B21" s="76"/>
      <c r="C21" s="81" t="s">
        <v>59</v>
      </c>
      <c r="D21" s="88"/>
      <c r="E21" s="88" t="s">
        <v>62</v>
      </c>
      <c r="F21" s="92"/>
      <c r="G21" s="45"/>
      <c r="H21" s="78"/>
      <c r="I21" s="79"/>
    </row>
    <row r="22" spans="1:10" s="29" customFormat="1" ht="21.75" customHeight="1" x14ac:dyDescent="0.2">
      <c r="A22" s="75"/>
      <c r="B22" s="76"/>
      <c r="C22" s="81"/>
      <c r="D22" s="88"/>
      <c r="E22" s="88"/>
      <c r="F22" s="92"/>
      <c r="G22" s="45"/>
      <c r="H22" s="78"/>
      <c r="I22" s="79"/>
    </row>
    <row r="23" spans="1:10" s="29" customFormat="1" ht="21.75" customHeight="1" x14ac:dyDescent="0.2">
      <c r="A23" s="75"/>
      <c r="B23" s="76"/>
      <c r="C23" s="81" t="s">
        <v>13</v>
      </c>
      <c r="D23" s="17"/>
      <c r="E23" s="17"/>
      <c r="F23" s="80"/>
      <c r="G23" s="45"/>
      <c r="H23" s="78"/>
      <c r="I23" s="79"/>
    </row>
    <row r="24" spans="1:10" s="29" customFormat="1" ht="21.75" customHeight="1" x14ac:dyDescent="0.2">
      <c r="A24" s="75"/>
      <c r="B24" s="76"/>
      <c r="C24" s="83"/>
      <c r="D24" s="98"/>
      <c r="E24" s="98"/>
      <c r="F24" s="98"/>
      <c r="G24" s="45"/>
      <c r="H24" s="78"/>
      <c r="I24" s="79"/>
    </row>
    <row r="25" spans="1:10" s="29" customFormat="1" ht="21.75" customHeight="1" x14ac:dyDescent="0.2">
      <c r="A25" s="75"/>
      <c r="B25" s="76"/>
      <c r="C25" s="81" t="s">
        <v>14</v>
      </c>
      <c r="D25" s="89"/>
      <c r="E25" s="89"/>
      <c r="F25" s="91"/>
      <c r="G25" s="45"/>
      <c r="H25" s="78"/>
      <c r="I25" s="79"/>
    </row>
    <row r="26" spans="1:10" s="29" customFormat="1" ht="21.75" customHeight="1" x14ac:dyDescent="0.2">
      <c r="A26" s="75"/>
      <c r="B26" s="76"/>
      <c r="C26" s="83"/>
      <c r="D26" s="98" t="s">
        <v>64</v>
      </c>
      <c r="E26" s="98"/>
      <c r="F26" s="98"/>
      <c r="G26" s="45"/>
      <c r="H26" s="78"/>
      <c r="I26" s="79"/>
    </row>
    <row r="27" spans="1:10" s="29" customFormat="1" ht="21.75" customHeight="1" x14ac:dyDescent="0.2">
      <c r="A27" s="75"/>
      <c r="B27" s="76"/>
      <c r="C27" s="81" t="s">
        <v>15</v>
      </c>
      <c r="D27" s="17"/>
      <c r="E27" s="17"/>
      <c r="F27" s="80"/>
      <c r="G27" s="45"/>
      <c r="H27" s="78"/>
      <c r="I27" s="79"/>
    </row>
    <row r="28" spans="1:10" s="29" customFormat="1" ht="21.75" customHeight="1" thickBot="1" x14ac:dyDescent="0.25">
      <c r="A28" s="75"/>
      <c r="B28" s="76"/>
      <c r="C28" s="84"/>
      <c r="D28" s="96"/>
      <c r="E28" s="96"/>
      <c r="F28" s="96"/>
      <c r="G28" s="45"/>
      <c r="H28" s="78"/>
      <c r="I28" s="79"/>
    </row>
    <row r="29" spans="1:10" s="29" customFormat="1" ht="21.75" customHeight="1" x14ac:dyDescent="0.2">
      <c r="A29" s="75"/>
      <c r="B29" s="76"/>
      <c r="C29" s="76"/>
      <c r="D29" s="77"/>
      <c r="E29" s="93"/>
      <c r="F29" s="45"/>
      <c r="G29" s="45"/>
      <c r="H29" s="78"/>
      <c r="I29" s="79"/>
    </row>
    <row r="30" spans="1:10" s="34" customFormat="1" ht="14.25" customHeight="1" x14ac:dyDescent="0.2">
      <c r="A30" s="75"/>
      <c r="B30" s="76"/>
      <c r="C30" s="85"/>
      <c r="D30" s="86"/>
      <c r="E30" s="86"/>
      <c r="F30" s="86"/>
      <c r="G30" s="87"/>
      <c r="H30" s="78"/>
      <c r="I30" s="79"/>
      <c r="J30" s="60"/>
    </row>
  </sheetData>
  <sortState xmlns:xlrd2="http://schemas.microsoft.com/office/spreadsheetml/2017/richdata2" ref="C11:I14">
    <sortCondition ref="C10"/>
  </sortState>
  <mergeCells count="13">
    <mergeCell ref="C15:F15"/>
    <mergeCell ref="B2:H2"/>
    <mergeCell ref="A4:B4"/>
    <mergeCell ref="C4:E4"/>
    <mergeCell ref="A5:B5"/>
    <mergeCell ref="C5:E5"/>
    <mergeCell ref="A6:B6"/>
    <mergeCell ref="A7:B7"/>
    <mergeCell ref="D28:F28"/>
    <mergeCell ref="D18:F18"/>
    <mergeCell ref="D19:F19"/>
    <mergeCell ref="D24:F24"/>
    <mergeCell ref="D26:F26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90" zoomScaleNormal="90" workbookViewId="0">
      <selection activeCell="A16" sqref="A16:I16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4" width="5.855468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11" t="s">
        <v>16</v>
      </c>
      <c r="B1" s="111"/>
      <c r="C1" s="111"/>
      <c r="D1" s="111"/>
      <c r="E1" s="111"/>
      <c r="F1" s="111"/>
      <c r="G1" s="111"/>
      <c r="H1" s="111"/>
      <c r="I1" s="111"/>
      <c r="J1" s="21" t="s">
        <v>17</v>
      </c>
      <c r="K1" s="95" t="s">
        <v>76</v>
      </c>
    </row>
    <row r="2" spans="1:1024" ht="12" customHeight="1" thickBot="1" x14ac:dyDescent="0.25">
      <c r="A2" s="23"/>
      <c r="B2" s="23"/>
      <c r="C2" s="25"/>
      <c r="D2" s="26"/>
      <c r="E2" s="26"/>
      <c r="F2" s="26"/>
      <c r="G2" s="26"/>
      <c r="H2" s="24"/>
      <c r="I2" s="24"/>
      <c r="J2" s="24"/>
      <c r="K2" s="24"/>
    </row>
    <row r="3" spans="1:1024" ht="22.5" customHeight="1" thickBot="1" x14ac:dyDescent="0.25">
      <c r="A3" s="112" t="s">
        <v>50</v>
      </c>
      <c r="B3" s="112"/>
      <c r="C3" s="112"/>
      <c r="D3" s="113" t="str">
        <f>'PROGRAMACION TRIMESTRAL'!C4</f>
        <v>40-Ministerio de Salud</v>
      </c>
      <c r="E3" s="113"/>
      <c r="F3" s="113"/>
      <c r="G3" s="113"/>
      <c r="H3" s="113"/>
      <c r="I3" s="113"/>
      <c r="J3" s="113"/>
      <c r="K3" s="113"/>
    </row>
    <row r="4" spans="1:1024" ht="16.5" customHeight="1" thickBot="1" x14ac:dyDescent="0.25">
      <c r="A4" s="114" t="s">
        <v>51</v>
      </c>
      <c r="B4" s="114"/>
      <c r="C4" s="114"/>
      <c r="D4" s="113" t="str">
        <f>'PROGRAMACION TRIMESTRAL'!C5</f>
        <v>28- Maternidad Provincial 25 de Mayo</v>
      </c>
      <c r="E4" s="113"/>
      <c r="F4" s="113"/>
      <c r="G4" s="113"/>
      <c r="H4" s="113"/>
      <c r="I4" s="113"/>
      <c r="J4" s="113"/>
      <c r="K4" s="113"/>
    </row>
    <row r="5" spans="1:1024" ht="17.25" customHeight="1" thickBot="1" x14ac:dyDescent="0.25">
      <c r="A5" s="114" t="s">
        <v>29</v>
      </c>
      <c r="B5" s="114"/>
      <c r="C5" s="114"/>
      <c r="D5" s="113" t="s">
        <v>61</v>
      </c>
      <c r="E5" s="113"/>
      <c r="F5" s="113"/>
      <c r="G5" s="113"/>
      <c r="H5" s="113"/>
      <c r="I5" s="113"/>
      <c r="J5" s="113"/>
      <c r="K5" s="113"/>
    </row>
    <row r="6" spans="1:1024" ht="20.25" customHeight="1" thickBot="1" x14ac:dyDescent="0.25">
      <c r="A6" s="112" t="s">
        <v>52</v>
      </c>
      <c r="B6" s="112"/>
      <c r="C6" s="112"/>
      <c r="D6" s="113" t="s">
        <v>54</v>
      </c>
      <c r="E6" s="113"/>
      <c r="F6" s="113"/>
      <c r="G6" s="113"/>
      <c r="H6" s="113"/>
      <c r="I6" s="113"/>
      <c r="J6" s="113"/>
      <c r="K6" s="113"/>
    </row>
    <row r="7" spans="1:1024" ht="18.75" customHeight="1" x14ac:dyDescent="0.2">
      <c r="A7" s="114" t="s">
        <v>18</v>
      </c>
      <c r="B7" s="114"/>
      <c r="C7" s="114"/>
      <c r="D7" s="113" t="str">
        <f>'PROGRAMACION TRIMESTRAL'!C7 &amp; "° Trimestre - Año " &amp; 'PROGRAMACION TRIMESTRAL'!C6</f>
        <v>4° Trimestre - Año 2021</v>
      </c>
      <c r="E7" s="113"/>
      <c r="F7" s="113"/>
      <c r="G7" s="113"/>
      <c r="H7" s="113"/>
      <c r="I7" s="113"/>
      <c r="J7" s="113"/>
      <c r="K7" s="113"/>
    </row>
    <row r="8" spans="1:1024" ht="16.5" customHeight="1" thickBot="1" x14ac:dyDescent="0.25">
      <c r="A8" s="115" t="s">
        <v>19</v>
      </c>
      <c r="B8" s="115"/>
      <c r="C8" s="115"/>
      <c r="D8" s="116" t="s">
        <v>66</v>
      </c>
      <c r="E8" s="116"/>
      <c r="F8" s="116"/>
      <c r="G8" s="116"/>
      <c r="H8" s="116"/>
      <c r="I8" s="116"/>
      <c r="J8" s="116"/>
      <c r="K8" s="116"/>
    </row>
    <row r="9" spans="1:1024" s="105" customFormat="1" ht="18" customHeight="1" thickBot="1" x14ac:dyDescent="0.25"/>
    <row r="10" spans="1:1024" ht="50.1" customHeight="1" thickBot="1" x14ac:dyDescent="0.25">
      <c r="A10" s="117" t="s">
        <v>20</v>
      </c>
      <c r="B10" s="119" t="s">
        <v>21</v>
      </c>
      <c r="C10" s="119" t="s">
        <v>22</v>
      </c>
      <c r="D10" s="119"/>
      <c r="E10" s="119"/>
      <c r="F10" s="119"/>
      <c r="G10" s="119"/>
      <c r="H10" s="119" t="s">
        <v>23</v>
      </c>
      <c r="I10" s="119" t="s">
        <v>24</v>
      </c>
      <c r="J10" s="119" t="s">
        <v>25</v>
      </c>
      <c r="K10" s="122" t="s">
        <v>26</v>
      </c>
    </row>
    <row r="11" spans="1:1024" ht="50.1" customHeight="1" thickBot="1" x14ac:dyDescent="0.25">
      <c r="A11" s="118"/>
      <c r="B11" s="120"/>
      <c r="C11" s="120"/>
      <c r="D11" s="120"/>
      <c r="E11" s="120"/>
      <c r="F11" s="120"/>
      <c r="G11" s="120"/>
      <c r="H11" s="120"/>
      <c r="I11" s="120"/>
      <c r="J11" s="120"/>
      <c r="K11" s="123"/>
    </row>
    <row r="12" spans="1:1024" s="28" customFormat="1" ht="50.1" customHeight="1" thickBot="1" x14ac:dyDescent="0.25">
      <c r="A12" s="57">
        <f>'PROGRAMACION TRIMESTRAL'!A10</f>
        <v>1</v>
      </c>
      <c r="B12" s="55">
        <f>'PROGRAMACION TRIMESTRAL'!B10</f>
        <v>0</v>
      </c>
      <c r="C12" s="121" t="str">
        <f>'PROGRAMACION TRIMESTRAL'!E10</f>
        <v>Formula Lactea en polvo con proteina parcialmente hidrolizada. Sin lactosa. Presentacion en lata por 400 gramos</v>
      </c>
      <c r="D12" s="121"/>
      <c r="E12" s="121"/>
      <c r="F12" s="121"/>
      <c r="G12" s="121"/>
      <c r="H12" s="54" t="s">
        <v>73</v>
      </c>
      <c r="I12" s="58" t="str">
        <f>'PROGRAMACION TRIMESTRAL'!F10</f>
        <v>UNIDAD</v>
      </c>
      <c r="J12" s="56">
        <f>'PROGRAMACION TRIMESTRAL'!H10</f>
        <v>1822</v>
      </c>
      <c r="K12" s="59">
        <f>'PROGRAMACION TRIMESTRAL'!G10</f>
        <v>10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s="28" customFormat="1" ht="50.1" customHeight="1" thickBot="1" x14ac:dyDescent="0.25">
      <c r="A13" s="57">
        <f>'PROGRAMACION TRIMESTRAL'!A11</f>
        <v>2</v>
      </c>
      <c r="B13" s="55">
        <f>'PROGRAMACION TRIMESTRAL'!B11</f>
        <v>0</v>
      </c>
      <c r="C13" s="121" t="str">
        <f>'PROGRAMACION TRIMESTRAL'!E11</f>
        <v>Formula Lactea en polvo con proteina totalmente hidrolizada. Sin lactosa. Presentacion en lata por 400 gramos</v>
      </c>
      <c r="D13" s="121"/>
      <c r="E13" s="121"/>
      <c r="F13" s="121"/>
      <c r="G13" s="121"/>
      <c r="H13" s="54" t="s">
        <v>73</v>
      </c>
      <c r="I13" s="58" t="str">
        <f>'PROGRAMACION TRIMESTRAL'!F11</f>
        <v>UNIDAD</v>
      </c>
      <c r="J13" s="56">
        <f>'PROGRAMACION TRIMESTRAL'!H11</f>
        <v>1820</v>
      </c>
      <c r="K13" s="59">
        <f>'PROGRAMACION TRIMESTRAL'!G11</f>
        <v>4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pans="1:1024" s="28" customFormat="1" ht="50.1" customHeight="1" thickBot="1" x14ac:dyDescent="0.25">
      <c r="A14" s="57">
        <f>'PROGRAMACION TRIMESTRAL'!A12</f>
        <v>3</v>
      </c>
      <c r="B14" s="55">
        <f>'PROGRAMACION TRIMESTRAL'!B12</f>
        <v>0</v>
      </c>
      <c r="C14" s="121" t="str">
        <f>'PROGRAMACION TRIMESTRAL'!E12</f>
        <v>Formula Lactea liquida de inicio para niños de 0 a 6 meses. Con ARA y DHA sin agregado de azucar. Presentacion tetrapáck de 200 ml</v>
      </c>
      <c r="D14" s="121"/>
      <c r="E14" s="121"/>
      <c r="F14" s="121"/>
      <c r="G14" s="121"/>
      <c r="H14" s="54" t="s">
        <v>73</v>
      </c>
      <c r="I14" s="58" t="str">
        <f>'PROGRAMACION TRIMESTRAL'!F12</f>
        <v>UNIDAD</v>
      </c>
      <c r="J14" s="56">
        <f>'PROGRAMACION TRIMESTRAL'!H12</f>
        <v>34.200000000000003</v>
      </c>
      <c r="K14" s="59">
        <f>'PROGRAMACION TRIMESTRAL'!G12</f>
        <v>2700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</row>
    <row r="15" spans="1:1024" s="28" customFormat="1" ht="50.1" customHeight="1" x14ac:dyDescent="0.2">
      <c r="A15" s="57">
        <f>'PROGRAMACION TRIMESTRAL'!A13</f>
        <v>4</v>
      </c>
      <c r="B15" s="55">
        <f>'PROGRAMACION TRIMESTRAL'!B13</f>
        <v>0</v>
      </c>
      <c r="C15" s="121" t="str">
        <f>'PROGRAMACION TRIMESTRAL'!E13</f>
        <v>Formula Lactea liquida para RN prematuro o bajo peso. Con ARA y DHA. Presentacion botella x 70 ml</v>
      </c>
      <c r="D15" s="121"/>
      <c r="E15" s="121"/>
      <c r="F15" s="121"/>
      <c r="G15" s="121"/>
      <c r="H15" s="54" t="s">
        <v>73</v>
      </c>
      <c r="I15" s="58" t="str">
        <f>'PROGRAMACION TRIMESTRAL'!F13</f>
        <v>UNIDAD</v>
      </c>
      <c r="J15" s="56">
        <f>'PROGRAMACION TRIMESTRAL'!H13</f>
        <v>178</v>
      </c>
      <c r="K15" s="59">
        <f>'PROGRAMACION TRIMESTRAL'!G13</f>
        <v>2640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</row>
    <row r="16" spans="1:1024" ht="50.1" customHeight="1" thickBot="1" x14ac:dyDescent="0.25">
      <c r="A16" s="108" t="s">
        <v>79</v>
      </c>
      <c r="B16" s="109"/>
      <c r="C16" s="109"/>
      <c r="D16" s="109"/>
      <c r="E16" s="109"/>
      <c r="F16" s="109"/>
      <c r="G16" s="109"/>
      <c r="H16" s="109"/>
      <c r="I16" s="110"/>
      <c r="J16" s="106">
        <f>SUMPRODUCT(J12:J15*K12:K15)</f>
        <v>587760</v>
      </c>
      <c r="K16" s="107"/>
    </row>
  </sheetData>
  <mergeCells count="27">
    <mergeCell ref="C14:G14"/>
    <mergeCell ref="C15:G15"/>
    <mergeCell ref="J10:J11"/>
    <mergeCell ref="K10:K11"/>
    <mergeCell ref="C12:G12"/>
    <mergeCell ref="C13:G13"/>
    <mergeCell ref="A10:A11"/>
    <mergeCell ref="B10:B11"/>
    <mergeCell ref="C10:G11"/>
    <mergeCell ref="H10:H11"/>
    <mergeCell ref="I10:I11"/>
    <mergeCell ref="A9:XFD9"/>
    <mergeCell ref="J16:K16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'PROGRAMACION TRIMESTRAL'!C6</f>
        <v>2021</v>
      </c>
      <c r="E1" s="125"/>
      <c r="F1" s="3"/>
      <c r="G1" s="3"/>
      <c r="H1" s="4"/>
      <c r="I1" s="4"/>
      <c r="J1" s="4"/>
      <c r="K1" s="4"/>
      <c r="L1" s="4"/>
      <c r="M1" s="4"/>
      <c r="N1" s="4"/>
      <c r="P1" s="126" t="s">
        <v>27</v>
      </c>
      <c r="Q1" s="12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6"/>
      <c r="Q2" s="126"/>
    </row>
    <row r="4" spans="1:17" s="5" customFormat="1" ht="18" customHeight="1" thickBot="1" x14ac:dyDescent="0.25">
      <c r="A4" s="127" t="s">
        <v>28</v>
      </c>
      <c r="B4" s="127"/>
      <c r="C4" s="127"/>
      <c r="D4" s="127"/>
      <c r="E4" s="127"/>
      <c r="F4" s="127"/>
      <c r="G4" s="128" t="str">
        <f>' NotaPedido'!D3</f>
        <v>40-Ministerio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5" customFormat="1" ht="18" customHeight="1" thickBot="1" x14ac:dyDescent="0.25">
      <c r="A5" s="129" t="s">
        <v>51</v>
      </c>
      <c r="B5" s="130"/>
      <c r="C5" s="130"/>
      <c r="D5" s="130"/>
      <c r="E5" s="130"/>
      <c r="F5" s="131"/>
      <c r="G5" s="128" t="str">
        <f>' NotaPedido'!D4</f>
        <v>28- Maternidad Provincial 25 de Mayo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5" customFormat="1" ht="18" customHeight="1" thickBot="1" x14ac:dyDescent="0.25">
      <c r="A6" s="129" t="s">
        <v>29</v>
      </c>
      <c r="B6" s="130"/>
      <c r="C6" s="130"/>
      <c r="D6" s="130"/>
      <c r="E6" s="130"/>
      <c r="F6" s="131"/>
      <c r="G6" s="128" t="str">
        <f>' NotaPedido'!D5</f>
        <v xml:space="preserve">169-Direccion Asistencial 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5" customFormat="1" ht="18" customHeight="1" thickBot="1" x14ac:dyDescent="0.25">
      <c r="A7" s="129" t="s">
        <v>52</v>
      </c>
      <c r="B7" s="130"/>
      <c r="C7" s="130"/>
      <c r="D7" s="130"/>
      <c r="E7" s="130"/>
      <c r="F7" s="131"/>
      <c r="G7" s="128" t="str">
        <f>' NotaPedido'!D6</f>
        <v xml:space="preserve">Servicio de Nutricion 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32" t="s">
        <v>30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31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136/2021,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5" t="s">
        <v>32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34</v>
      </c>
      <c r="P13" s="137"/>
      <c r="Q13" s="138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7"/>
      <c r="P14" s="137"/>
      <c r="Q14" s="138"/>
    </row>
    <row r="15" spans="1:17" ht="24" customHeight="1" x14ac:dyDescent="0.2">
      <c r="A15" s="64">
        <v>42</v>
      </c>
      <c r="B15" s="65"/>
      <c r="C15" s="65"/>
      <c r="D15" s="65">
        <v>2</v>
      </c>
      <c r="E15" s="65"/>
      <c r="F15" s="65">
        <v>4901</v>
      </c>
      <c r="G15" s="65">
        <v>3</v>
      </c>
      <c r="H15" s="65">
        <v>1</v>
      </c>
      <c r="I15" s="65">
        <v>2</v>
      </c>
      <c r="J15" s="65">
        <v>5</v>
      </c>
      <c r="K15" s="65">
        <v>2</v>
      </c>
      <c r="L15" s="65"/>
      <c r="M15" s="65">
        <v>1</v>
      </c>
      <c r="N15" s="65" t="s">
        <v>56</v>
      </c>
      <c r="O15" s="139" t="s">
        <v>68</v>
      </c>
      <c r="P15" s="140"/>
      <c r="Q15" s="66">
        <v>587760</v>
      </c>
    </row>
    <row r="16" spans="1:17" ht="17.25" customHeight="1" x14ac:dyDescent="0.2">
      <c r="A16" s="68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146"/>
      <c r="P16" s="146"/>
      <c r="Q16" s="67"/>
    </row>
    <row r="17" spans="1:18" ht="17.25" customHeight="1" x14ac:dyDescent="0.2">
      <c r="A17" s="69"/>
      <c r="B17" s="62"/>
      <c r="C17" s="62"/>
      <c r="D17" s="62"/>
      <c r="E17" s="62"/>
      <c r="F17" s="63"/>
      <c r="G17" s="62"/>
      <c r="H17" s="62"/>
      <c r="I17" s="62"/>
      <c r="J17" s="62"/>
      <c r="K17" s="62"/>
      <c r="L17" s="62"/>
      <c r="M17" s="62"/>
      <c r="N17" s="62"/>
      <c r="O17" s="147"/>
      <c r="P17" s="147"/>
      <c r="Q17" s="67"/>
      <c r="R17" s="1"/>
    </row>
    <row r="18" spans="1:18" ht="17.25" customHeight="1" thickBot="1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148"/>
      <c r="P18" s="148"/>
      <c r="Q18" s="72"/>
    </row>
    <row r="19" spans="1:18" ht="25.5" customHeight="1" thickBot="1" x14ac:dyDescent="0.25">
      <c r="A19" s="149" t="s">
        <v>80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6">
        <f>SUM(Q15:Q18)</f>
        <v>587760</v>
      </c>
    </row>
    <row r="20" spans="1:18" ht="18" customHeight="1" thickBot="1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</row>
    <row r="21" spans="1:18" ht="17.25" customHeight="1" thickBot="1" x14ac:dyDescent="0.25">
      <c r="A21" s="141" t="s">
        <v>49</v>
      </c>
      <c r="B21" s="142"/>
      <c r="C21" s="142"/>
      <c r="D21" s="142"/>
      <c r="E21" s="142"/>
      <c r="F21" s="143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</row>
    <row r="22" spans="1:18" ht="18" customHeight="1" thickBot="1" x14ac:dyDescent="0.25">
      <c r="A22" s="145" t="s">
        <v>69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8" ht="15" customHeight="1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PROGRAMACION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SILVINA ATENCIO</cp:lastModifiedBy>
  <cp:revision>2</cp:revision>
  <cp:lastPrinted>2021-03-23T13:26:33Z</cp:lastPrinted>
  <dcterms:created xsi:type="dcterms:W3CDTF">2020-07-17T23:44:49Z</dcterms:created>
  <dcterms:modified xsi:type="dcterms:W3CDTF">2021-11-17T12:15:02Z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