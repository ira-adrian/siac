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NAIR\3 TRIMESTRE 2022\MCIT\TELESCOPIO\corregido\"/>
    </mc:Choice>
  </mc:AlternateContent>
  <xr:revisionPtr revIDLastSave="0" documentId="8_{5A8BA005-988D-4F9D-A54C-4226BC08B24A}" xr6:coauthVersionLast="47" xr6:coauthVersionMax="47" xr10:uidLastSave="{00000000-0000-0000-0000-000000000000}"/>
  <bookViews>
    <workbookView xWindow="-120" yWindow="-120" windowWidth="29040" windowHeight="15840" tabRatio="500" xr2:uid="{00000000-000D-0000-FFFF-FFFF00000000}"/>
  </bookViews>
  <sheets>
    <sheet name="Necesidades Trimestrales " sheetId="4" r:id="rId1"/>
  </sheets>
  <definedNames>
    <definedName name="_xlnm.Print_Area" localSheetId="0">'Necesidades Trimestrales '!$A$1:$I$14</definedName>
  </definedNames>
  <calcPr calcId="181029"/>
</workbook>
</file>

<file path=xl/calcChain.xml><?xml version="1.0" encoding="utf-8"?>
<calcChain xmlns="http://schemas.openxmlformats.org/spreadsheetml/2006/main">
  <c r="I10" i="4" l="1"/>
  <c r="D10" i="4"/>
  <c r="I11" i="4" l="1"/>
  <c r="L10" i="4" l="1"/>
</calcChain>
</file>

<file path=xl/sharedStrings.xml><?xml version="1.0" encoding="utf-8"?>
<sst xmlns="http://schemas.openxmlformats.org/spreadsheetml/2006/main" count="66" uniqueCount="40">
  <si>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</si>
  <si>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</si>
  <si>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</si>
  <si>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</si>
  <si>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</si>
  <si>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</si>
  <si>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</si>
  <si>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</si>
  <si>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</si>
  <si>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</si>
  <si>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</si>
  <si>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</si>
  <si>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</si>
  <si>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</si>
  <si>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</si>
  <si>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</si>
  <si>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</si>
  <si>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</si>
  <si>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</si>
  <si>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</si>
  <si>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</si>
  <si>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70 - MINISTERIO DE CIENCIA E INNOVACION TECNOLOGICA</t>
  </si>
  <si>
    <t>20 - MINISTERIO DE CIENCIA E INNOVACION TECNOLOGICA</t>
  </si>
  <si>
    <r>
      <t xml:space="preserve">Mantenimiento: </t>
    </r>
    <r>
      <rPr>
        <sz val="10"/>
        <rFont val="Times New Roman"/>
        <family val="1"/>
      </rPr>
      <t>treinta (30) dias corridos</t>
    </r>
  </si>
  <si>
    <r>
      <t>Mantenimiento:</t>
    </r>
    <r>
      <rPr>
        <sz val="10"/>
        <rFont val="Times New Roman"/>
        <family val="1"/>
      </rPr>
      <t xml:space="preserve"> treinta (30) dias corridos</t>
    </r>
  </si>
  <si>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</si>
  <si>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</si>
  <si>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Especificidades Item N° 3:</t>
  </si>
  <si>
    <t>Especificidades Item N° 4:</t>
  </si>
  <si>
    <t>Especificidades Item N° 5:</t>
  </si>
  <si>
    <t>Garantía del fabricante minima de un (1) año.</t>
  </si>
  <si>
    <t>Escáner, Alimentador de hojas múltiples * Medidas 330 mm x 246 mm x 162 mm * Velocidades de producción: Hasta 30 ppm / 60 ipm a 200 dpi y 300 dpi * Volumen diario recomendado: Hasta 3,000 páginas al día * Tamaño máximo del documento: 216 x 356 mm; documentos largos hasta 3 metros * Alimentador: Hasta 75 hojas; compatible con documentos pequeños * Conectividad: USB 2.0 de alta velocidad * Resolución óptica: 600 dpi * Panel de control: Pantalla gráfica LCD en color.</t>
  </si>
  <si>
    <t>EQUIPOS</t>
  </si>
  <si>
    <t>Smart Tv 50". Resolucion FHD 1920x1080. Entradas HDMI y puertos USB disponibles. Sintonizador digital incorporado con funcion PVR y Timeshift para grabar tus programas favoritos. Wi-fi. Netflix, Youtube y Vewd (ex Opera store).</t>
  </si>
  <si>
    <t>Marcos táctiles de 50" pulgadas convierten una pantalla plana en una pantalla interactiva.</t>
  </si>
  <si>
    <t>Marcos táctiles de 65" pulgadas convierten una pantalla plana en una pantalla interactiva.</t>
  </si>
  <si>
    <t>Costo total estimado: EQUIPOS</t>
  </si>
  <si>
    <t>4.3.9- 8112.5</t>
  </si>
  <si>
    <t>TELESCOPIOS; TIPO: COMPUTARIZADO SCHMIDTCASSEGRAIN, ABERTURA: 280 MM (11") MÍNIMO, LONGITUD FOCAL: 2800 MM MÍNIMO, RELACION FOCAL: F/10 MÍNIMO, CONTROL: MANUAL</t>
  </si>
  <si>
    <t>Diseño Óptico: tipo Schmidt-Cassegrain. Diámetro: 280mm como mínimo. Distancia Focal: 2800mm como mínimo. Relación Focal f/10 aproximadamente. Tratamiento: Starbright XLT. Enfoque: Desplazamiento del espejo primario. Montura Altacimutal de horquilla computarizada. Velocidad de los motores: 9 velocidades: 4°/seg, 2°/seg, 1°/seg, 64x, 32x, 16x, 8x, 4x, 2x. Modo de alineación SkyAlign, Auto 2-Star Align, 1-Star Align, 2-Star Align, Solar System Align. Velocidad de seguimiento mínimo: Sideral, Solar, Lunar, Off. Modo de seguimiento: Alt-Az, EQ Norte, EQ Sur. Unidad de control: Nexstar+ reprogramable vía Internet. Puertos de comunicación: RS-232 en a unidad de control, 2 puertos AUX, como mínimo. Base de datos 40.000 objetos como mínimo. Módulos electrónicos integrados: Receptor GPS, brújula electrónica, PEC. Es necesario solicitar folletos, manuales, imágenes y toda otra documentación que estime necesaria, a fin de poder evaluar  las futuras ofertas que se reciban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</si>
</sst>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2C0A]\ #,##0.00"/>
    <numFmt numFmtId="165" formatCode="&quot;$&quot;\ #,##0.00"/>
    <numFmt numFmtId="166" formatCode="_-[$$-2C0A]\ * #,##0.00_-;\-[$$-2C0A]\ * #,##0.00_-;_-[$$-2C0A]\ * &quot;-&quot;??_-;_-@"/>
  </numFmts>
  <fonts count="14"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u/>
      <sz val="10"/>
      <name val="Times New Roman"/>
      <family val="1"/>
    </font>
    <font>
      <sz val="10"/>
      <color theme="0"/>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9"/>
      <color rgb="FF333333"/>
      <name val="Arial"/>
      <family val="2"/>
    </font>
    <font>
      <b/>
      <sz val="11"/>
      <name val="Times New Roman"/>
      <family val="1"/>
    </font>
  </fonts>
  <fills count="7">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rgb="FFC0C0C0"/>
        <bgColor rgb="FFC0C0C0"/>
      </patternFill>
    </fill>
    <fill>
      <patternFill patternType="solid">
        <fgColor rgb="FFCCFFFF"/>
        <bgColor rgb="FFCCFFFF"/>
      </patternFill>
    </fill>
    <fill>
      <patternFill patternType="solid">
        <fgColor theme="0"/>
        <bgColor rgb="FFCCFFFF"/>
      </patternFill>
    </fill>
  </fills>
  <borders count="16">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3">
    <xf numFmtId="0" fontId="0" fillId="0" borderId="0"/>
    <xf numFmtId="0" fontId="1" fillId="0" borderId="1" applyProtection="0"/>
    <xf numFmtId="0" fontId="2" fillId="2" borderId="0" applyBorder="0" applyProtection="0"/>
  </cellStyleXfs>
  <cellXfs count="59">
    <xf numFmtId="0" fontId="0" fillId="0" borderId="0" xfId="0"/>
    <xf numFmtId="0" fontId="4" fillId="0" borderId="0" xfId="0" applyFont="1"/>
    <xf numFmtId="0" fontId="6"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0" xfId="0" applyFont="1" applyBorder="1"/>
    <xf numFmtId="0" fontId="4" fillId="0" borderId="6" xfId="0" applyFont="1" applyBorder="1"/>
    <xf numFmtId="0" fontId="6" fillId="0" borderId="5" xfId="0" applyFont="1" applyBorder="1" applyAlignment="1">
      <alignment horizontal="left" indent="3"/>
    </xf>
    <xf numFmtId="0" fontId="4" fillId="0" borderId="5" xfId="0" applyFont="1" applyBorder="1" applyAlignment="1">
      <alignment horizontal="left" indent="3"/>
    </xf>
    <xf numFmtId="0" fontId="4" fillId="0" borderId="0" xfId="0" applyFont="1" applyBorder="1" applyAlignment="1">
      <alignment horizontal="center" wrapText="1"/>
    </xf>
    <xf numFmtId="0" fontId="4" fillId="0" borderId="6" xfId="0" applyFont="1" applyBorder="1" applyAlignment="1">
      <alignment horizontal="center" wrapText="1"/>
    </xf>
    <xf numFmtId="0" fontId="4" fillId="0" borderId="7" xfId="0" applyFont="1" applyBorder="1" applyAlignment="1">
      <alignment horizontal="left" indent="3"/>
    </xf>
    <xf numFmtId="0" fontId="4" fillId="0" borderId="8" xfId="0" applyFont="1" applyBorder="1"/>
    <xf numFmtId="0" fontId="4" fillId="0" borderId="9" xfId="0" applyFont="1" applyBorder="1"/>
    <xf numFmtId="164" fontId="7" fillId="0" borderId="0" xfId="0" applyNumberFormat="1" applyFont="1"/>
    <xf numFmtId="0" fontId="4" fillId="0" borderId="0" xfId="0" applyFont="1" applyAlignment="1">
      <alignment horizontal="center" vertical="center"/>
    </xf>
    <xf numFmtId="0" fontId="4" fillId="0" borderId="0" xfId="0" applyFont="1" applyAlignment="1">
      <alignment horizontal="center"/>
    </xf>
    <xf numFmtId="0" fontId="8" fillId="0" borderId="0" xfId="0" applyFont="1" applyAlignment="1">
      <alignment horizontal="left" vertical="top"/>
    </xf>
    <xf numFmtId="165" fontId="4" fillId="0" borderId="0" xfId="0" applyNumberFormat="1" applyFont="1" applyAlignment="1">
      <alignment horizontal="center"/>
    </xf>
    <xf numFmtId="0" fontId="10" fillId="0" borderId="0" xfId="0" applyFont="1" applyAlignment="1">
      <alignment horizontal="left" wrapText="1"/>
    </xf>
    <xf numFmtId="0" fontId="10" fillId="0" borderId="0" xfId="0" applyFont="1" applyAlignment="1">
      <alignment horizontal="center" wrapText="1"/>
    </xf>
    <xf numFmtId="165" fontId="10" fillId="0" borderId="0" xfId="0" applyNumberFormat="1" applyFont="1" applyAlignment="1">
      <alignment horizontal="center" wrapText="1"/>
    </xf>
    <xf numFmtId="0" fontId="11" fillId="0" borderId="0" xfId="0" applyFont="1"/>
    <xf numFmtId="0" fontId="9" fillId="4" borderId="0" xfId="0" applyFont="1" applyFill="1" applyBorder="1" applyAlignment="1">
      <alignment horizontal="left" wrapText="1"/>
    </xf>
    <xf numFmtId="0" fontId="9" fillId="4" borderId="0" xfId="0" applyFont="1" applyFill="1" applyBorder="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left" vertical="top" wrapText="1"/>
    </xf>
    <xf numFmtId="0" fontId="9" fillId="5" borderId="10" xfId="0" applyFont="1" applyFill="1" applyBorder="1" applyAlignment="1">
      <alignment horizontal="center" vertical="center" wrapText="1"/>
    </xf>
    <xf numFmtId="0" fontId="12" fillId="5" borderId="10" xfId="0" applyFont="1" applyFill="1" applyBorder="1" applyAlignment="1">
      <alignment horizontal="center" vertical="center" wrapText="1"/>
    </xf>
    <xf numFmtId="165" fontId="9" fillId="5" borderId="10" xfId="0" applyNumberFormat="1" applyFont="1" applyFill="1" applyBorder="1" applyAlignment="1">
      <alignment horizontal="center" vertical="center" wrapText="1"/>
    </xf>
    <xf numFmtId="0" fontId="4" fillId="0" borderId="0" xfId="0" applyFont="1" applyAlignment="1">
      <alignment vertical="center"/>
    </xf>
    <xf numFmtId="164" fontId="4" fillId="0" borderId="0" xfId="0" applyNumberFormat="1" applyFont="1" applyAlignment="1">
      <alignment horizontal="center" vertical="center"/>
    </xf>
    <xf numFmtId="0" fontId="11" fillId="0" borderId="0" xfId="0" applyFont="1" applyAlignment="1">
      <alignment horizontal="left" vertical="top"/>
    </xf>
    <xf numFmtId="165" fontId="11" fillId="0" borderId="0" xfId="0" applyNumberFormat="1" applyFont="1" applyAlignment="1">
      <alignment horizontal="center"/>
    </xf>
    <xf numFmtId="166" fontId="11" fillId="0" borderId="0" xfId="0" applyNumberFormat="1" applyFont="1"/>
    <xf numFmtId="0" fontId="8" fillId="0" borderId="11" xfId="0" applyFont="1" applyBorder="1" applyAlignment="1">
      <alignment horizontal="center" vertical="center"/>
    </xf>
    <xf numFmtId="166" fontId="8" fillId="0" borderId="11" xfId="0" applyNumberFormat="1" applyFont="1" applyBorder="1" applyAlignment="1">
      <alignment vertical="center"/>
    </xf>
    <xf numFmtId="166" fontId="13" fillId="5" borderId="12" xfId="0" applyNumberFormat="1" applyFont="1" applyFill="1" applyBorder="1" applyAlignment="1">
      <alignment vertical="center"/>
    </xf>
    <xf numFmtId="0" fontId="11" fillId="0" borderId="0" xfId="0" applyFont="1" applyAlignment="1">
      <alignment horizontal="left"/>
    </xf>
    <xf numFmtId="0" fontId="11" fillId="0" borderId="0" xfId="0" applyFont="1" applyAlignment="1">
      <alignment vertical="center"/>
    </xf>
    <xf numFmtId="0" fontId="8" fillId="3" borderId="11"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11" xfId="0" applyFont="1" applyFill="1" applyBorder="1" applyAlignment="1">
      <alignment horizontal="left" vertical="center" wrapText="1"/>
    </xf>
    <xf numFmtId="0" fontId="3" fillId="0" borderId="0" xfId="0" applyFont="1" applyBorder="1"/>
    <xf numFmtId="166" fontId="13" fillId="6" borderId="0" xfId="0" applyNumberFormat="1" applyFont="1" applyFill="1" applyBorder="1" applyAlignment="1">
      <alignment vertical="center"/>
    </xf>
    <xf numFmtId="0" fontId="13" fillId="6" borderId="0" xfId="0" applyFont="1" applyFill="1" applyBorder="1" applyAlignment="1">
      <alignment horizontal="center" vertical="center" wrapText="1"/>
    </xf>
    <xf numFmtId="0" fontId="4" fillId="3" borderId="0" xfId="0" applyFont="1" applyFill="1" applyBorder="1" applyAlignment="1">
      <alignment horizontal="left" wrapText="1"/>
    </xf>
    <xf numFmtId="0" fontId="4" fillId="3" borderId="6" xfId="0" applyFont="1" applyFill="1" applyBorder="1" applyAlignment="1">
      <alignment horizontal="left" wrapText="1"/>
    </xf>
    <xf numFmtId="0" fontId="4" fillId="3" borderId="0" xfId="0" applyFont="1" applyFill="1" applyBorder="1" applyAlignment="1">
      <alignment horizontal="left" vertical="center" wrapText="1"/>
    </xf>
    <xf numFmtId="0" fontId="4" fillId="3" borderId="6" xfId="0" applyFont="1" applyFill="1" applyBorder="1" applyAlignment="1">
      <alignment horizontal="left" vertical="center" wrapText="1"/>
    </xf>
    <xf numFmtId="0" fontId="9" fillId="0" borderId="0" xfId="0" applyFont="1" applyAlignment="1">
      <alignment horizontal="left" vertical="center" wrapText="1"/>
    </xf>
    <xf numFmtId="0" fontId="0" fillId="0" borderId="0" xfId="0" applyFont="1" applyAlignment="1"/>
    <xf numFmtId="0" fontId="5" fillId="0" borderId="0" xfId="0" applyFont="1" applyAlignment="1">
      <alignment horizontal="center"/>
    </xf>
    <xf numFmtId="0" fontId="9" fillId="4" borderId="0" xfId="0" applyFont="1" applyFill="1" applyBorder="1" applyAlignment="1">
      <alignment horizontal="left" wrapText="1"/>
    </xf>
    <xf numFmtId="0" fontId="3" fillId="0" borderId="0" xfId="0" applyFont="1" applyBorder="1"/>
    <xf numFmtId="0" fontId="13" fillId="5" borderId="13" xfId="0" applyFont="1" applyFill="1" applyBorder="1" applyAlignment="1">
      <alignment horizontal="center" vertical="center" wrapText="1"/>
    </xf>
    <xf numFmtId="0" fontId="3" fillId="0" borderId="14" xfId="0" applyFont="1" applyBorder="1"/>
    <xf numFmtId="0" fontId="3" fillId="0" borderId="15" xfId="0" applyFont="1" applyBorder="1"/>
  </cellXfs>
  <cellStyles count="3">
    <cellStyle name="Encabezado 1" xfId="1" xr:uid="{00000000-0005-0000-0000-000000000000}"/>
    <cellStyle name="Neutral 1" xfId="2" xr:uid="{00000000-0005-0000-0000-000001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396"/>
  <sheetViews>
    <sheetView tabSelected="1" zoomScaleNormal="100" workbookViewId="0">
      <selection activeCell="I18" sqref="I18"/>
    </sheetView>
  </sheetViews>
  <sheetFormatPr baseColWidth="10" defaultColWidth="11" defaultRowHeight="12.75" x14ac:dyDescent="0.2"/>
  <cols>
    <col min="1" max="1" width="4.5703125" style="1" customWidth="1"/>
    <col min="2" max="2" width="15.7109375" style="1" customWidth="1"/>
    <col min="3" max="3" width="33" style="1" customWidth="1"/>
    <col min="4" max="4" width="7.140625" style="1" customWidth="1"/>
    <col min="5" max="5" width="69.5703125" style="1" customWidth="1"/>
    <col min="6" max="6" width="11" style="1"/>
    <col min="7" max="7" width="12.42578125" style="1" customWidth="1"/>
    <col min="8" max="8" width="14.42578125" style="1" customWidth="1"/>
    <col min="9" max="9" width="18.140625" style="1" customWidth="1"/>
    <col min="10" max="10" width="0" style="1" hidden="1" customWidth="1"/>
    <col min="11" max="11" width="11" style="1"/>
    <col min="12" max="12" width="14.140625" style="1" customWidth="1"/>
    <col min="13" max="16384" width="11" style="1"/>
  </cols>
  <sheetData>
    <row r="2" spans="1:12" ht="27" x14ac:dyDescent="0.35">
      <c r="B2" s="53" t="s">
        <v>0</v>
      </c>
      <c r="C2" s="52"/>
      <c r="D2" s="52"/>
      <c r="E2" s="52"/>
      <c r="F2" s="52"/>
      <c r="G2" s="52"/>
      <c r="H2" s="52"/>
    </row>
    <row r="3" spans="1:12" ht="8.25" customHeight="1" x14ac:dyDescent="0.2">
      <c r="B3" s="16"/>
      <c r="C3" s="17"/>
      <c r="E3" s="18"/>
      <c r="H3" s="19"/>
    </row>
    <row r="4" spans="1:12" ht="27.75" customHeight="1" x14ac:dyDescent="0.25">
      <c r="A4" s="51" t="s">
        <v>1</v>
      </c>
      <c r="B4" s="52"/>
      <c r="C4" s="54" t="s">
        <v>21</v>
      </c>
      <c r="D4" s="55"/>
      <c r="E4" s="55"/>
      <c r="F4" s="20"/>
      <c r="G4" s="21"/>
      <c r="H4" s="22"/>
      <c r="I4" s="23"/>
    </row>
    <row r="5" spans="1:12" ht="18" customHeight="1" x14ac:dyDescent="0.25">
      <c r="A5" s="51" t="s">
        <v>2</v>
      </c>
      <c r="B5" s="52"/>
      <c r="C5" s="54" t="s">
        <v>22</v>
      </c>
      <c r="D5" s="55"/>
      <c r="E5" s="55"/>
      <c r="F5" s="20"/>
      <c r="G5" s="21"/>
      <c r="H5" s="22"/>
      <c r="I5" s="23"/>
    </row>
    <row r="6" spans="1:12" ht="16.5" customHeight="1" x14ac:dyDescent="0.25">
      <c r="A6" s="51" t="s">
        <v>3</v>
      </c>
      <c r="B6" s="52"/>
      <c r="C6" s="24">
        <v>2022</v>
      </c>
      <c r="D6" s="24"/>
      <c r="E6" s="25"/>
      <c r="F6" s="20"/>
      <c r="G6" s="21"/>
      <c r="H6" s="22"/>
      <c r="I6" s="23"/>
    </row>
    <row r="7" spans="1:12" ht="16.5" customHeight="1" x14ac:dyDescent="0.25">
      <c r="A7" s="51" t="s">
        <v>4</v>
      </c>
      <c r="B7" s="52"/>
      <c r="C7" s="24">
        <v>3</v>
      </c>
      <c r="D7" s="24"/>
      <c r="E7" s="25"/>
      <c r="F7" s="20"/>
      <c r="G7" s="21"/>
      <c r="H7" s="22"/>
      <c r="I7" s="23"/>
    </row>
    <row r="8" spans="1:12" ht="15" thickBot="1" x14ac:dyDescent="0.25">
      <c r="A8" s="23"/>
      <c r="B8" s="26"/>
      <c r="C8" s="21"/>
      <c r="D8" s="20"/>
      <c r="E8" s="27"/>
      <c r="F8" s="20"/>
      <c r="G8" s="21"/>
      <c r="H8" s="22"/>
      <c r="I8" s="23"/>
    </row>
    <row r="9" spans="1:12" ht="45.75" thickTop="1" x14ac:dyDescent="0.2">
      <c r="A9" s="28" t="s">
        <v>5</v>
      </c>
      <c r="B9" s="28" t="s">
        <v>6</v>
      </c>
      <c r="C9" s="28" t="s">
        <v>7</v>
      </c>
      <c r="D9" s="28" t="s">
        <v>8</v>
      </c>
      <c r="E9" s="28" t="s">
        <v>9</v>
      </c>
      <c r="F9" s="29" t="s">
        <v>10</v>
      </c>
      <c r="G9" s="28" t="s">
        <v>11</v>
      </c>
      <c r="H9" s="30" t="s">
        <v>12</v>
      </c>
      <c r="I9" s="28" t="s">
        <v>13</v>
      </c>
    </row>
    <row r="10" spans="1:12" ht="138.75" customHeight="1" x14ac:dyDescent="0.2">
      <c r="A10" s="41">
        <v>1</v>
      </c>
      <c r="B10" s="41" t="s">
        <v>37</v>
      </c>
      <c r="C10" s="42" t="s">
        <v>32</v>
      </c>
      <c r="D10" s="42" t="str">
        <f t="shared" ref="D10" si="0">LEFT(B10,5)</f>
        <v>4.3.9</v>
      </c>
      <c r="E10" s="43" t="s">
        <v>38</v>
      </c>
      <c r="F10" s="36" t="s">
        <v>14</v>
      </c>
      <c r="G10" s="36">
        <v>1</v>
      </c>
      <c r="H10" s="37">
        <v>4788381.5</v>
      </c>
      <c r="I10" s="37">
        <f t="shared" ref="I10" si="1">G10*H10</f>
        <v>4788381.5</v>
      </c>
      <c r="J10" s="31"/>
      <c r="L10" s="15" t="e">
        <f>#REF!+#REF!+#REF!+#REF!+#REF!</f>
        <v>#REF!</v>
      </c>
    </row>
    <row r="11" spans="1:12" ht="27" customHeight="1" x14ac:dyDescent="0.2">
      <c r="A11" s="56" t="s">
        <v>36</v>
      </c>
      <c r="B11" s="57"/>
      <c r="C11" s="57"/>
      <c r="D11" s="57"/>
      <c r="E11" s="57"/>
      <c r="F11" s="57"/>
      <c r="G11" s="57"/>
      <c r="H11" s="58"/>
      <c r="I11" s="38">
        <f>SUM(I10:I10)</f>
        <v>4788381.5</v>
      </c>
    </row>
    <row r="12" spans="1:12" ht="27" customHeight="1" x14ac:dyDescent="0.2">
      <c r="A12" s="46"/>
      <c r="B12" s="44"/>
      <c r="C12" s="44"/>
      <c r="D12" s="44"/>
      <c r="E12" s="44"/>
      <c r="F12" s="44"/>
      <c r="G12" s="44"/>
      <c r="H12" s="44"/>
      <c r="I12" s="45"/>
    </row>
    <row r="13" spans="1:12" ht="27" customHeight="1" x14ac:dyDescent="0.2">
      <c r="A13" s="46"/>
      <c r="B13" s="44"/>
      <c r="C13" s="44"/>
      <c r="D13" s="44"/>
      <c r="E13" s="44"/>
      <c r="F13" s="44"/>
      <c r="G13" s="44"/>
      <c r="H13" s="44"/>
      <c r="I13" s="45"/>
    </row>
    <row r="14" spans="1:12" ht="15" thickBot="1" x14ac:dyDescent="0.25">
      <c r="A14" s="40"/>
      <c r="B14" s="40"/>
      <c r="C14" s="39"/>
      <c r="D14" s="23"/>
      <c r="E14" s="33"/>
      <c r="F14" s="23"/>
      <c r="G14" s="23"/>
      <c r="H14" s="34"/>
      <c r="I14" s="35"/>
    </row>
    <row r="15" spans="1:12" x14ac:dyDescent="0.2">
      <c r="B15" s="2" t="s">
        <v>15</v>
      </c>
      <c r="C15" s="3"/>
      <c r="D15" s="3"/>
      <c r="E15" s="4"/>
    </row>
    <row r="16" spans="1:12" ht="8.25" customHeight="1" x14ac:dyDescent="0.2">
      <c r="B16" s="5"/>
      <c r="C16" s="6"/>
      <c r="D16" s="6"/>
      <c r="E16" s="7"/>
    </row>
    <row r="17" spans="2:10" ht="14.25" customHeight="1" x14ac:dyDescent="0.2">
      <c r="B17" s="8" t="s">
        <v>16</v>
      </c>
      <c r="C17" s="6"/>
      <c r="D17" s="6"/>
      <c r="E17" s="7"/>
    </row>
    <row r="18" spans="2:10" ht="129.75" customHeight="1" x14ac:dyDescent="0.2">
      <c r="B18" s="8"/>
      <c r="C18" s="49" t="s">
        <v>39</v>
      </c>
      <c r="D18" s="49"/>
      <c r="E18" s="50"/>
    </row>
    <row r="19" spans="2:10" x14ac:dyDescent="0.2">
      <c r="B19" s="8" t="s">
        <v>17</v>
      </c>
      <c r="C19" s="6"/>
      <c r="D19" s="6"/>
      <c r="E19" s="7"/>
    </row>
    <row r="20" spans="2:10" x14ac:dyDescent="0.2">
      <c r="B20" s="9"/>
      <c r="C20" s="49" t="s">
        <v>26</v>
      </c>
      <c r="D20" s="49"/>
      <c r="E20" s="50"/>
    </row>
    <row r="21" spans="2:10" ht="61.5" customHeight="1" x14ac:dyDescent="0.2">
      <c r="B21" s="9"/>
      <c r="C21" s="49"/>
      <c r="D21" s="49"/>
      <c r="E21" s="50"/>
    </row>
    <row r="22" spans="2:10" x14ac:dyDescent="0.2">
      <c r="B22" s="8" t="s">
        <v>18</v>
      </c>
      <c r="C22" s="6"/>
      <c r="D22" s="6"/>
      <c r="E22" s="7"/>
    </row>
    <row r="23" spans="2:10" x14ac:dyDescent="0.2">
      <c r="B23" s="9"/>
      <c r="C23" s="47"/>
      <c r="D23" s="47"/>
      <c r="E23" s="48"/>
    </row>
    <row r="24" spans="2:10" x14ac:dyDescent="0.2">
      <c r="B24" s="8" t="s">
        <v>23</v>
      </c>
      <c r="C24" s="10"/>
      <c r="D24" s="10"/>
      <c r="E24" s="11"/>
    </row>
    <row r="25" spans="2:10" x14ac:dyDescent="0.2">
      <c r="B25" s="9"/>
      <c r="C25" s="47"/>
      <c r="D25" s="47"/>
      <c r="E25" s="48"/>
    </row>
    <row r="26" spans="2:10" x14ac:dyDescent="0.2">
      <c r="B26" s="8" t="s">
        <v>19</v>
      </c>
      <c r="C26" s="6"/>
      <c r="D26" s="6"/>
      <c r="E26" s="7"/>
    </row>
    <row r="27" spans="2:10" x14ac:dyDescent="0.2">
      <c r="B27" s="8"/>
      <c r="C27" s="47" t="s">
        <v>30</v>
      </c>
      <c r="D27" s="47"/>
      <c r="E27" s="48"/>
    </row>
    <row r="28" spans="2:10" ht="12" customHeight="1" thickBot="1" x14ac:dyDescent="0.25">
      <c r="B28" s="12"/>
      <c r="C28" s="13"/>
      <c r="D28" s="13"/>
      <c r="E28" s="14"/>
      <c r="J28" s="32"/>
    </row>
    <row r="29" spans="2:10" ht="13.5" customHeight="1" x14ac:dyDescent="0.2"/>
    <row r="30" spans="2:10" ht="13.5" customHeight="1" x14ac:dyDescent="0.2"/>
    <row r="31" spans="2:10" ht="13.5" customHeight="1" x14ac:dyDescent="0.2"/>
    <row r="32" spans="2:10"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spans="2:5" ht="13.5" customHeight="1" x14ac:dyDescent="0.2"/>
    <row r="82" spans="2:5" ht="13.5" customHeight="1" x14ac:dyDescent="0.2"/>
    <row r="83" spans="2:5" ht="13.5" customHeight="1" x14ac:dyDescent="0.2"/>
    <row r="84" spans="2:5" ht="13.5" customHeight="1" x14ac:dyDescent="0.2"/>
    <row r="85" spans="2:5" ht="13.5" customHeight="1" x14ac:dyDescent="0.2"/>
    <row r="86" spans="2:5" ht="13.5" customHeight="1" x14ac:dyDescent="0.2"/>
    <row r="87" spans="2:5" ht="13.5" customHeight="1" x14ac:dyDescent="0.2"/>
    <row r="88" spans="2:5" ht="13.5" customHeight="1" x14ac:dyDescent="0.2"/>
    <row r="89" spans="2:5" ht="13.5" customHeight="1" x14ac:dyDescent="0.2"/>
    <row r="90" spans="2:5" ht="13.5" customHeight="1" x14ac:dyDescent="0.2"/>
    <row r="91" spans="2:5" ht="13.5" customHeight="1" x14ac:dyDescent="0.2"/>
    <row r="92" spans="2:5" ht="13.5" customHeight="1" thickBot="1" x14ac:dyDescent="0.25"/>
    <row r="93" spans="2:5" ht="19.5" customHeight="1" x14ac:dyDescent="0.2">
      <c r="B93" s="2" t="s">
        <v>20</v>
      </c>
      <c r="C93" s="3"/>
      <c r="D93" s="3"/>
      <c r="E93" s="4"/>
    </row>
    <row r="94" spans="2:5" ht="9.75" customHeight="1" x14ac:dyDescent="0.2">
      <c r="B94" s="5"/>
      <c r="C94" s="6"/>
      <c r="D94" s="6"/>
      <c r="E94" s="7"/>
    </row>
    <row r="95" spans="2:5" ht="12.75" customHeight="1" x14ac:dyDescent="0.2">
      <c r="B95" s="8" t="s">
        <v>16</v>
      </c>
      <c r="C95" s="6"/>
      <c r="D95" s="6"/>
      <c r="E95" s="7"/>
    </row>
    <row r="96" spans="2:5" ht="69" customHeight="1" x14ac:dyDescent="0.2">
      <c r="B96" s="8"/>
      <c r="C96" s="49" t="s">
        <v>31</v>
      </c>
      <c r="D96" s="49"/>
      <c r="E96" s="50"/>
    </row>
    <row r="97" spans="2:5" x14ac:dyDescent="0.2">
      <c r="B97" s="8" t="s">
        <v>17</v>
      </c>
      <c r="C97" s="6"/>
      <c r="D97" s="6"/>
      <c r="E97" s="7"/>
    </row>
    <row r="98" spans="2:5" ht="17.25" customHeight="1" x14ac:dyDescent="0.2">
      <c r="B98" s="9"/>
      <c r="C98" s="49" t="s">
        <v>25</v>
      </c>
      <c r="D98" s="49"/>
      <c r="E98" s="50"/>
    </row>
    <row r="99" spans="2:5" ht="56.25" customHeight="1" x14ac:dyDescent="0.2">
      <c r="B99" s="9"/>
      <c r="C99" s="49"/>
      <c r="D99" s="49"/>
      <c r="E99" s="50"/>
    </row>
    <row r="100" spans="2:5" ht="13.5" customHeight="1" x14ac:dyDescent="0.2">
      <c r="B100" s="8" t="s">
        <v>18</v>
      </c>
      <c r="C100" s="6"/>
      <c r="D100" s="6"/>
      <c r="E100" s="7"/>
    </row>
    <row r="101" spans="2:5" ht="7.5" customHeight="1" x14ac:dyDescent="0.2">
      <c r="B101" s="9"/>
      <c r="C101" s="47"/>
      <c r="D101" s="47"/>
      <c r="E101" s="48"/>
    </row>
    <row r="102" spans="2:5" ht="14.25" customHeight="1" x14ac:dyDescent="0.2">
      <c r="B102" s="8" t="s">
        <v>24</v>
      </c>
      <c r="C102" s="10"/>
      <c r="D102" s="10"/>
      <c r="E102" s="11"/>
    </row>
    <row r="103" spans="2:5" ht="7.5" customHeight="1" x14ac:dyDescent="0.2">
      <c r="B103" s="9"/>
      <c r="C103" s="47"/>
      <c r="D103" s="47"/>
      <c r="E103" s="48"/>
    </row>
    <row r="104" spans="2:5" ht="13.5" customHeight="1" x14ac:dyDescent="0.2">
      <c r="B104" s="8" t="s">
        <v>19</v>
      </c>
      <c r="C104" s="6"/>
      <c r="D104" s="6"/>
      <c r="E104" s="7"/>
    </row>
    <row r="105" spans="2:5" x14ac:dyDescent="0.2">
      <c r="B105" s="8"/>
      <c r="C105" s="47" t="s">
        <v>30</v>
      </c>
      <c r="D105" s="47"/>
      <c r="E105" s="48"/>
    </row>
    <row r="106" spans="2:5" ht="12" customHeight="1" thickBot="1" x14ac:dyDescent="0.25">
      <c r="B106" s="12"/>
      <c r="C106" s="13"/>
      <c r="D106" s="13"/>
      <c r="E106" s="14"/>
    </row>
    <row r="107" spans="2:5" ht="25.5" customHeight="1" x14ac:dyDescent="0.2"/>
    <row r="108" spans="2:5" ht="13.5" thickBot="1" x14ac:dyDescent="0.25"/>
    <row r="109" spans="2:5" ht="12.75" customHeight="1" x14ac:dyDescent="0.2">
      <c r="B109" s="2" t="s">
        <v>27</v>
      </c>
      <c r="C109" s="3"/>
      <c r="D109" s="3"/>
      <c r="E109" s="4"/>
    </row>
    <row r="110" spans="2:5" ht="12" customHeight="1" x14ac:dyDescent="0.2">
      <c r="B110" s="5"/>
      <c r="C110" s="6"/>
      <c r="D110" s="6"/>
      <c r="E110" s="7"/>
    </row>
    <row r="111" spans="2:5" ht="12.75" customHeight="1" x14ac:dyDescent="0.2">
      <c r="B111" s="8" t="s">
        <v>16</v>
      </c>
      <c r="C111" s="6"/>
      <c r="D111" s="6"/>
      <c r="E111" s="7"/>
    </row>
    <row r="112" spans="2:5" ht="51.75" customHeight="1" x14ac:dyDescent="0.2">
      <c r="B112" s="8"/>
      <c r="C112" s="49" t="s">
        <v>33</v>
      </c>
      <c r="D112" s="49"/>
      <c r="E112" s="50"/>
    </row>
    <row r="113" spans="2:5" ht="12.75" customHeight="1" x14ac:dyDescent="0.2">
      <c r="B113" s="8" t="s">
        <v>17</v>
      </c>
      <c r="C113" s="6"/>
      <c r="D113" s="6"/>
      <c r="E113" s="7"/>
    </row>
    <row r="114" spans="2:5" x14ac:dyDescent="0.2">
      <c r="B114" s="9"/>
      <c r="C114" s="49" t="s">
        <v>26</v>
      </c>
      <c r="D114" s="49"/>
      <c r="E114" s="50"/>
    </row>
    <row r="115" spans="2:5" ht="62.25" customHeight="1" x14ac:dyDescent="0.2">
      <c r="B115" s="9"/>
      <c r="C115" s="49"/>
      <c r="D115" s="49"/>
      <c r="E115" s="50"/>
    </row>
    <row r="116" spans="2:5" x14ac:dyDescent="0.2">
      <c r="B116" s="8" t="s">
        <v>18</v>
      </c>
      <c r="C116" s="6"/>
      <c r="D116" s="6"/>
      <c r="E116" s="7"/>
    </row>
    <row r="117" spans="2:5" ht="13.5" customHeight="1" x14ac:dyDescent="0.2">
      <c r="B117" s="9"/>
      <c r="C117" s="47"/>
      <c r="D117" s="47"/>
      <c r="E117" s="48"/>
    </row>
    <row r="118" spans="2:5" x14ac:dyDescent="0.2">
      <c r="B118" s="8" t="s">
        <v>23</v>
      </c>
      <c r="C118" s="10"/>
      <c r="D118" s="10"/>
      <c r="E118" s="11"/>
    </row>
    <row r="119" spans="2:5" ht="10.5" customHeight="1" x14ac:dyDescent="0.2">
      <c r="B119" s="9"/>
      <c r="C119" s="47"/>
      <c r="D119" s="47"/>
      <c r="E119" s="48"/>
    </row>
    <row r="120" spans="2:5" x14ac:dyDescent="0.2">
      <c r="B120" s="8" t="s">
        <v>19</v>
      </c>
      <c r="C120" s="6"/>
      <c r="D120" s="6"/>
      <c r="E120" s="7"/>
    </row>
    <row r="121" spans="2:5" ht="12" customHeight="1" x14ac:dyDescent="0.2">
      <c r="B121" s="8"/>
      <c r="C121" s="47" t="s">
        <v>30</v>
      </c>
      <c r="D121" s="47"/>
      <c r="E121" s="48"/>
    </row>
    <row r="122" spans="2:5" ht="13.5" customHeight="1" thickBot="1" x14ac:dyDescent="0.25">
      <c r="B122" s="12"/>
      <c r="C122" s="13"/>
      <c r="D122" s="13"/>
      <c r="E122" s="14"/>
    </row>
    <row r="123" spans="2:5" ht="17.25" customHeight="1" x14ac:dyDescent="0.2"/>
    <row r="124" spans="2:5" ht="13.5" thickBot="1" x14ac:dyDescent="0.25"/>
    <row r="125" spans="2:5" ht="15" customHeight="1" x14ac:dyDescent="0.2">
      <c r="B125" s="2" t="s">
        <v>28</v>
      </c>
      <c r="C125" s="3"/>
      <c r="D125" s="3"/>
      <c r="E125" s="4"/>
    </row>
    <row r="126" spans="2:5" ht="11.25" customHeight="1" x14ac:dyDescent="0.2">
      <c r="B126" s="5"/>
      <c r="C126" s="6"/>
      <c r="D126" s="6"/>
      <c r="E126" s="7"/>
    </row>
    <row r="127" spans="2:5" x14ac:dyDescent="0.2">
      <c r="B127" s="8" t="s">
        <v>16</v>
      </c>
      <c r="C127" s="6"/>
      <c r="D127" s="6"/>
      <c r="E127" s="7"/>
    </row>
    <row r="128" spans="2:5" ht="36" customHeight="1" x14ac:dyDescent="0.2">
      <c r="B128" s="8"/>
      <c r="C128" s="49" t="s">
        <v>34</v>
      </c>
      <c r="D128" s="49"/>
      <c r="E128" s="50"/>
    </row>
    <row r="129" spans="2:5" x14ac:dyDescent="0.2">
      <c r="B129" s="8" t="s">
        <v>17</v>
      </c>
      <c r="C129" s="6"/>
      <c r="D129" s="6"/>
      <c r="E129" s="7"/>
    </row>
    <row r="130" spans="2:5" x14ac:dyDescent="0.2">
      <c r="B130" s="9"/>
      <c r="C130" s="49" t="s">
        <v>26</v>
      </c>
      <c r="D130" s="49"/>
      <c r="E130" s="50"/>
    </row>
    <row r="131" spans="2:5" ht="69" customHeight="1" x14ac:dyDescent="0.2">
      <c r="B131" s="9"/>
      <c r="C131" s="49"/>
      <c r="D131" s="49"/>
      <c r="E131" s="50"/>
    </row>
    <row r="132" spans="2:5" ht="12.75" customHeight="1" x14ac:dyDescent="0.2">
      <c r="B132" s="8" t="s">
        <v>18</v>
      </c>
      <c r="C132" s="6"/>
      <c r="D132" s="6"/>
      <c r="E132" s="7"/>
    </row>
    <row r="133" spans="2:5" ht="7.5" customHeight="1" x14ac:dyDescent="0.2">
      <c r="B133" s="9"/>
      <c r="C133" s="47"/>
      <c r="D133" s="47"/>
      <c r="E133" s="48"/>
    </row>
    <row r="134" spans="2:5" ht="20.25" customHeight="1" x14ac:dyDescent="0.2">
      <c r="B134" s="8" t="s">
        <v>23</v>
      </c>
      <c r="C134" s="10"/>
      <c r="D134" s="10"/>
      <c r="E134" s="11"/>
    </row>
    <row r="135" spans="2:5" ht="8.25" customHeight="1" x14ac:dyDescent="0.2">
      <c r="B135" s="9"/>
      <c r="C135" s="47"/>
      <c r="D135" s="47"/>
      <c r="E135" s="48"/>
    </row>
    <row r="136" spans="2:5" ht="15" customHeight="1" x14ac:dyDescent="0.2">
      <c r="B136" s="8" t="s">
        <v>19</v>
      </c>
      <c r="C136" s="6"/>
      <c r="D136" s="6"/>
      <c r="E136" s="7"/>
    </row>
    <row r="137" spans="2:5" ht="16.5" customHeight="1" x14ac:dyDescent="0.2">
      <c r="B137" s="8"/>
      <c r="C137" s="47" t="s">
        <v>30</v>
      </c>
      <c r="D137" s="47"/>
      <c r="E137" s="48"/>
    </row>
    <row r="138" spans="2:5" ht="11.25" customHeight="1" thickBot="1" x14ac:dyDescent="0.25">
      <c r="B138" s="12"/>
      <c r="C138" s="13"/>
      <c r="D138" s="13"/>
      <c r="E138" s="14"/>
    </row>
    <row r="139" spans="2:5" ht="13.5" thickBot="1" x14ac:dyDescent="0.25"/>
    <row r="140" spans="2:5" x14ac:dyDescent="0.2">
      <c r="B140" s="2" t="s">
        <v>29</v>
      </c>
      <c r="C140" s="3"/>
      <c r="D140" s="3"/>
      <c r="E140" s="4"/>
    </row>
    <row r="141" spans="2:5" ht="12.75" customHeight="1" x14ac:dyDescent="0.2">
      <c r="B141" s="5"/>
      <c r="C141" s="6"/>
      <c r="D141" s="6"/>
      <c r="E141" s="7"/>
    </row>
    <row r="142" spans="2:5" x14ac:dyDescent="0.2">
      <c r="B142" s="8" t="s">
        <v>16</v>
      </c>
      <c r="C142" s="6"/>
      <c r="D142" s="6"/>
      <c r="E142" s="7"/>
    </row>
    <row r="143" spans="2:5" ht="39.75" customHeight="1" x14ac:dyDescent="0.2">
      <c r="B143" s="8"/>
      <c r="C143" s="49" t="s">
        <v>35</v>
      </c>
      <c r="D143" s="49"/>
      <c r="E143" s="50"/>
    </row>
    <row r="144" spans="2:5" x14ac:dyDescent="0.2">
      <c r="B144" s="8" t="s">
        <v>17</v>
      </c>
      <c r="C144" s="6"/>
      <c r="D144" s="6"/>
      <c r="E144" s="7"/>
    </row>
    <row r="145" spans="2:5" x14ac:dyDescent="0.2">
      <c r="B145" s="9"/>
      <c r="C145" s="49" t="s">
        <v>26</v>
      </c>
      <c r="D145" s="49"/>
      <c r="E145" s="50"/>
    </row>
    <row r="146" spans="2:5" ht="64.5" customHeight="1" x14ac:dyDescent="0.2">
      <c r="B146" s="9"/>
      <c r="C146" s="49"/>
      <c r="D146" s="49"/>
      <c r="E146" s="50"/>
    </row>
    <row r="147" spans="2:5" ht="12.75" customHeight="1" x14ac:dyDescent="0.2">
      <c r="B147" s="8" t="s">
        <v>18</v>
      </c>
      <c r="C147" s="6"/>
      <c r="D147" s="6"/>
      <c r="E147" s="7"/>
    </row>
    <row r="148" spans="2:5" ht="6" customHeight="1" x14ac:dyDescent="0.2">
      <c r="B148" s="9"/>
      <c r="C148" s="47"/>
      <c r="D148" s="47"/>
      <c r="E148" s="48"/>
    </row>
    <row r="149" spans="2:5" ht="20.25" customHeight="1" x14ac:dyDescent="0.2">
      <c r="B149" s="8" t="s">
        <v>23</v>
      </c>
      <c r="C149" s="10"/>
      <c r="D149" s="10"/>
      <c r="E149" s="11"/>
    </row>
    <row r="150" spans="2:5" ht="8.25" customHeight="1" x14ac:dyDescent="0.2">
      <c r="B150" s="9"/>
      <c r="C150" s="47"/>
      <c r="D150" s="47"/>
      <c r="E150" s="48"/>
    </row>
    <row r="151" spans="2:5" ht="12.75" customHeight="1" x14ac:dyDescent="0.2">
      <c r="B151" s="8" t="s">
        <v>19</v>
      </c>
      <c r="C151" s="6"/>
      <c r="D151" s="6"/>
      <c r="E151" s="7"/>
    </row>
    <row r="152" spans="2:5" ht="14.25" customHeight="1" x14ac:dyDescent="0.2">
      <c r="B152" s="8"/>
      <c r="C152" s="47" t="s">
        <v>30</v>
      </c>
      <c r="D152" s="47"/>
      <c r="E152" s="48"/>
    </row>
    <row r="153" spans="2:5" ht="13.5" thickBot="1" x14ac:dyDescent="0.25">
      <c r="B153" s="12"/>
      <c r="C153" s="13"/>
      <c r="D153" s="13"/>
      <c r="E153" s="14"/>
    </row>
    <row r="156" spans="2:5" ht="12.75" customHeight="1" x14ac:dyDescent="0.2"/>
    <row r="157" spans="2:5" ht="14.25" customHeight="1" x14ac:dyDescent="0.2"/>
    <row r="158" spans="2:5" ht="12.75" customHeight="1" x14ac:dyDescent="0.2"/>
    <row r="160" spans="2:5" ht="12.75" customHeight="1" x14ac:dyDescent="0.2"/>
    <row r="162" ht="12.75" customHeight="1" x14ac:dyDescent="0.2"/>
    <row r="164" ht="51.75" customHeight="1" x14ac:dyDescent="0.2"/>
    <row r="166" ht="12.75" customHeight="1" x14ac:dyDescent="0.2"/>
    <row r="167" ht="74.25" customHeight="1" x14ac:dyDescent="0.2"/>
    <row r="171" ht="12.75" customHeight="1" x14ac:dyDescent="0.2"/>
    <row r="173" ht="12.75" customHeight="1" x14ac:dyDescent="0.2"/>
    <row r="175" ht="12.75" customHeight="1" x14ac:dyDescent="0.2"/>
    <row r="177" ht="12.75" customHeight="1" x14ac:dyDescent="0.2"/>
    <row r="179" ht="41.25" customHeight="1" x14ac:dyDescent="0.2"/>
    <row r="181" ht="12.75" customHeight="1" x14ac:dyDescent="0.2"/>
    <row r="182" ht="72.75" customHeight="1" x14ac:dyDescent="0.2"/>
    <row r="184" ht="14.25" customHeight="1" x14ac:dyDescent="0.2"/>
    <row r="186" ht="12.75" customHeight="1" x14ac:dyDescent="0.2"/>
    <row r="188" ht="12.75" customHeight="1" x14ac:dyDescent="0.2"/>
    <row r="190" ht="12.75" customHeight="1" x14ac:dyDescent="0.2"/>
    <row r="191" ht="14.25" customHeight="1" x14ac:dyDescent="0.2"/>
    <row r="192" ht="12.75" customHeight="1" x14ac:dyDescent="0.2"/>
    <row r="194" ht="77.25" customHeight="1" x14ac:dyDescent="0.2"/>
    <row r="196" ht="12.75" customHeight="1" x14ac:dyDescent="0.2"/>
    <row r="197" ht="75.75" customHeight="1" x14ac:dyDescent="0.2"/>
    <row r="201" ht="12.75" customHeight="1" x14ac:dyDescent="0.2"/>
    <row r="203" ht="12.75" customHeight="1" x14ac:dyDescent="0.2"/>
    <row r="205" ht="12.75" customHeight="1" x14ac:dyDescent="0.2"/>
    <row r="207" ht="12.75" customHeight="1" x14ac:dyDescent="0.2"/>
    <row r="209" ht="102" customHeight="1" x14ac:dyDescent="0.2"/>
    <row r="211" ht="79.5" customHeight="1" x14ac:dyDescent="0.2"/>
    <row r="212" ht="12.75" customHeight="1" x14ac:dyDescent="0.2"/>
    <row r="213" ht="12.75" customHeight="1" x14ac:dyDescent="0.2"/>
    <row r="214" ht="22.5" customHeight="1" x14ac:dyDescent="0.2"/>
    <row r="216" ht="12.75" customHeight="1" x14ac:dyDescent="0.2"/>
    <row r="218" ht="12.75" customHeight="1" x14ac:dyDescent="0.2"/>
    <row r="220" ht="12.75" customHeight="1" x14ac:dyDescent="0.2"/>
    <row r="223" ht="12.75" customHeight="1" x14ac:dyDescent="0.2"/>
    <row r="224" ht="107.25" customHeight="1" x14ac:dyDescent="0.2"/>
    <row r="225" ht="12.75" customHeight="1" x14ac:dyDescent="0.2"/>
    <row r="226" ht="56.25" customHeight="1" x14ac:dyDescent="0.2"/>
    <row r="227" ht="12.75" customHeight="1" x14ac:dyDescent="0.2"/>
    <row r="228" ht="12.75" customHeight="1" x14ac:dyDescent="0.2"/>
    <row r="229" ht="22.5" customHeight="1" x14ac:dyDescent="0.2"/>
    <row r="232" ht="12.75" customHeight="1" x14ac:dyDescent="0.2"/>
    <row r="233" ht="12.75" customHeight="1" x14ac:dyDescent="0.2"/>
    <row r="235" ht="12.75" customHeight="1" x14ac:dyDescent="0.2"/>
    <row r="239" ht="132" customHeight="1" x14ac:dyDescent="0.2"/>
    <row r="241" ht="54" customHeight="1" x14ac:dyDescent="0.2"/>
    <row r="242" ht="12.75" customHeight="1" x14ac:dyDescent="0.2"/>
    <row r="243" ht="12.75" customHeight="1" x14ac:dyDescent="0.2"/>
    <row r="244" ht="16.5" customHeight="1" x14ac:dyDescent="0.2"/>
    <row r="250" ht="12.75" customHeight="1" x14ac:dyDescent="0.2"/>
    <row r="252" ht="12.75" customHeight="1" x14ac:dyDescent="0.2"/>
    <row r="254" ht="155.25" customHeight="1" x14ac:dyDescent="0.2"/>
    <row r="256" ht="54" customHeight="1" x14ac:dyDescent="0.2"/>
    <row r="258" ht="12.75" customHeight="1" x14ac:dyDescent="0.2"/>
    <row r="259" ht="19.5" customHeight="1" x14ac:dyDescent="0.2"/>
    <row r="265" ht="12.75" customHeight="1" x14ac:dyDescent="0.2"/>
    <row r="267" ht="12.75" customHeight="1" x14ac:dyDescent="0.2"/>
    <row r="271" ht="166.5" customHeight="1" x14ac:dyDescent="0.2"/>
    <row r="273" ht="12.75" customHeight="1" x14ac:dyDescent="0.2"/>
    <row r="274" ht="65.25" customHeight="1" x14ac:dyDescent="0.2"/>
    <row r="280" ht="12.75" customHeight="1" x14ac:dyDescent="0.2"/>
    <row r="282" ht="12.75" customHeight="1" x14ac:dyDescent="0.2"/>
    <row r="286" ht="120" customHeight="1" x14ac:dyDescent="0.2"/>
    <row r="288" ht="12.75" customHeight="1" x14ac:dyDescent="0.2"/>
    <row r="289" ht="71.25" customHeight="1" x14ac:dyDescent="0.2"/>
    <row r="295" ht="12.75" customHeight="1" x14ac:dyDescent="0.2"/>
    <row r="297" ht="12.75" customHeight="1" x14ac:dyDescent="0.2"/>
    <row r="301" ht="40.5" customHeight="1" x14ac:dyDescent="0.2"/>
    <row r="303" ht="12.75" customHeight="1" x14ac:dyDescent="0.2"/>
    <row r="304" ht="66" customHeight="1" x14ac:dyDescent="0.2"/>
    <row r="310" ht="12.75" customHeight="1" x14ac:dyDescent="0.2"/>
    <row r="312" ht="12.75" customHeight="1" x14ac:dyDescent="0.2"/>
    <row r="316" ht="87" customHeight="1" x14ac:dyDescent="0.2"/>
    <row r="318" ht="12.75" customHeight="1" x14ac:dyDescent="0.2"/>
    <row r="319" ht="72.75" customHeight="1" x14ac:dyDescent="0.2"/>
    <row r="325" ht="12.75" customHeight="1" x14ac:dyDescent="0.2"/>
    <row r="326" ht="12.75" customHeight="1" x14ac:dyDescent="0.2"/>
    <row r="328" ht="12.75" customHeight="1" x14ac:dyDescent="0.2"/>
    <row r="331" ht="80.25" customHeight="1" x14ac:dyDescent="0.2"/>
    <row r="332" ht="19.5" customHeight="1" x14ac:dyDescent="0.2"/>
    <row r="334" ht="60" customHeight="1" x14ac:dyDescent="0.2"/>
    <row r="335" ht="15.75" customHeight="1" x14ac:dyDescent="0.2"/>
    <row r="342" ht="12.75" customHeight="1" x14ac:dyDescent="0.2"/>
    <row r="344" ht="12.75" customHeight="1" x14ac:dyDescent="0.2"/>
    <row r="347" ht="87.75" customHeight="1" x14ac:dyDescent="0.2"/>
    <row r="350" ht="61.5" customHeight="1" x14ac:dyDescent="0.2"/>
    <row r="351" ht="12.75" customHeight="1" x14ac:dyDescent="0.2"/>
    <row r="357" ht="12.75" customHeight="1" x14ac:dyDescent="0.2"/>
    <row r="359" ht="12.75" customHeight="1" x14ac:dyDescent="0.2"/>
    <row r="363" ht="65.25" customHeight="1" x14ac:dyDescent="0.2"/>
    <row r="366" ht="71.25" customHeight="1" x14ac:dyDescent="0.2"/>
    <row r="372" ht="12.75" customHeight="1" x14ac:dyDescent="0.2"/>
    <row r="374" ht="12.75" customHeight="1" x14ac:dyDescent="0.2"/>
    <row r="378" ht="52.5" customHeight="1" x14ac:dyDescent="0.2"/>
    <row r="381" ht="69.75" customHeight="1" x14ac:dyDescent="0.2"/>
    <row r="393" ht="34.5" customHeight="1" x14ac:dyDescent="0.2"/>
    <row r="396" ht="72.75" customHeight="1" x14ac:dyDescent="0.2"/>
  </sheetData>
  <mergeCells count="33">
    <mergeCell ref="C98:E99"/>
    <mergeCell ref="C101:E101"/>
    <mergeCell ref="C103:E103"/>
    <mergeCell ref="C105:E105"/>
    <mergeCell ref="C112:E112"/>
    <mergeCell ref="C20:E21"/>
    <mergeCell ref="C23:E23"/>
    <mergeCell ref="C25:E25"/>
    <mergeCell ref="C27:E27"/>
    <mergeCell ref="C96:E96"/>
    <mergeCell ref="C18:E18"/>
    <mergeCell ref="A7:B7"/>
    <mergeCell ref="B2:H2"/>
    <mergeCell ref="A4:B4"/>
    <mergeCell ref="C4:E4"/>
    <mergeCell ref="A5:B5"/>
    <mergeCell ref="C5:E5"/>
    <mergeCell ref="A6:B6"/>
    <mergeCell ref="A11:H11"/>
    <mergeCell ref="C143:E143"/>
    <mergeCell ref="C145:E146"/>
    <mergeCell ref="C152:E152"/>
    <mergeCell ref="C148:E148"/>
    <mergeCell ref="C150:E150"/>
    <mergeCell ref="C135:E135"/>
    <mergeCell ref="C128:E128"/>
    <mergeCell ref="C130:E131"/>
    <mergeCell ref="C137:E137"/>
    <mergeCell ref="C114:E115"/>
    <mergeCell ref="C117:E117"/>
    <mergeCell ref="C119:E119"/>
    <mergeCell ref="C121:E121"/>
    <mergeCell ref="C133:E133"/>
  </mergeCells>
  <pageMargins left="0.70866141732283472" right="0.70866141732283472" top="0.74803149606299213" bottom="0.74803149606299213" header="0.51181102362204722" footer="0.51181102362204722"/>
  <pageSetup paperSize="5" scale="61" firstPageNumber="0" fitToHeight="0" orientation="portrait"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Necesidades Trimestrales </vt:lpstr>
      <vt:lpstr>'Necesidades Trimestrales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2021-12-01T13:34:57Z</cp:lastPrinted>
  <dcterms:created xsi:type="dcterms:W3CDTF">2020-07-17T23:44:49Z</dcterms:created>
  <dcterms:modified xsi:type="dcterms:W3CDTF">2022-07-29T13:22:00Z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