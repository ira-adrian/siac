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DRIVE 2\Secretaria\TAREAS\Ministerio de Desarrollo Social y Deportes\AÑO 2022\Adq.Alim.Perecederos y No Perecederos\Alimento No Perecederos\NOTA 2\"/>
    </mc:Choice>
  </mc:AlternateContent>
  <xr:revisionPtr revIDLastSave="0" documentId="8_{95025F81-DF7B-4D83-94E7-E156C7421729}" xr6:coauthVersionLast="47" xr6:coauthVersionMax="47" xr10:uidLastSave="{00000000-0000-0000-0000-000000000000}"/>
  <bookViews>
    <workbookView xWindow="-120" yWindow="-120" windowWidth="20730" windowHeight="11160" xr2:uid="{AE321240-8715-453A-8DCF-E3B8AD42BE17}"/>
  </bookViews>
  <sheets>
    <sheet name="Necesidades Trimetrales AP" sheetId="1" r:id="rId1"/>
  </sheets>
  <definedNames>
    <definedName name="_xlnm.Print_Area" localSheetId="0">'Necesidades Trimetrales AP'!$A$8:$I$95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18" i="1" l="1"/>
  <c r="I94" i="1"/>
  <c r="I93" i="1"/>
  <c r="I92" i="1"/>
  <c r="I91" i="1"/>
  <c r="I90" i="1"/>
  <c r="I89" i="1"/>
  <c r="I88" i="1"/>
  <c r="I87" i="1"/>
  <c r="I86" i="1"/>
  <c r="H85" i="1"/>
  <c r="I85" i="1" s="1"/>
  <c r="H84" i="1"/>
  <c r="I84" i="1" s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H24" i="1"/>
  <c r="I24" i="1" s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95" i="1" s="1"/>
</calcChain>
</file>

<file path=xl/sharedStrings.xml><?xml version="1.0" encoding="utf-8"?>
<sst xmlns="http://schemas.openxmlformats.org/spreadsheetml/2006/main" count="3208" uniqueCount="400">
  <si>
    <t>Pedido de Necesidades Trimestrales</t>
  </si>
  <si>
    <t>JURISDICCION:</t>
  </si>
  <si>
    <t>45- Ministerio de Desarrollo Social.-</t>
  </si>
  <si>
    <t xml:space="preserve">SAF N°: </t>
  </si>
  <si>
    <t>25- Direccion Provincial de Gestion Administracion y RRHH</t>
  </si>
  <si>
    <t>EJERCICIO:</t>
  </si>
  <si>
    <t>TRIMESTRE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</si>
  <si>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</si>
  <si>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</si>
  <si>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</si>
  <si>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</si>
  <si>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</si>
  <si>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</si>
  <si>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</si>
  <si>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>CANTIDAD</t>
  </si>
  <si>
    <t xml:space="preserve">IMPORTE TOTAL ESTIMADO </t>
  </si>
  <si>
    <t>2.1.1-439.67</t>
  </si>
  <si>
    <t>ALIMENTO</t>
  </si>
  <si>
    <t>2.1.1</t>
  </si>
  <si>
    <t>ACEITES COMESTIBLES; TIPO: GIRASOL, PRESENTACION: ENVASE X 900 CM3, MATERIAL ENVASE: PLASTICO 1 (PET), ELEM. TRANSPORTE: SIN, MATERIAL ELEM. TRANSPORTE : SIN, LIBRE DE GLUTEN: NO</t>
  </si>
  <si>
    <t>UNIDAD</t>
  </si>
  <si>
    <t>2.1.1-704.50</t>
  </si>
  <si>
    <t>ALIMENTOS</t>
  </si>
  <si>
    <t>ALFAJORES; RELLENO: DULCE DE LECHE, COBERTURA: CHOCOLATE, PESO: 35 GR, PRESENTACION: UNIDAD</t>
  </si>
  <si>
    <t>2.1.1-435.60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</si>
  <si>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</si>
  <si>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2.1.1-708.43</t>
  </si>
  <si>
    <t>CONSERVAS PESCADO Y FRUTOS MAR; TIPO: ATUN, ESTADO: AL NATURAL, PESO: 170 GR, ENVASE: LATA, ELEM. TRANSPORTE: SIN, MATERIAL ELEM. TRANSPORTE: SIN</t>
  </si>
  <si>
    <t>LATA</t>
  </si>
  <si>
    <t>2.1.1-2124.8</t>
  </si>
  <si>
    <t>AVENAS; TIPO: INSTANTANEA, ESTADO: EXTRAFINA, PRESENTACION: ENVASE X 400 GR, PESO: SIN VALOR</t>
  </si>
  <si>
    <t>2.1.1-481.38</t>
  </si>
  <si>
    <t>AZUCARES; TIPO: "A" COMUN, ESTADO: MOLIDA, PESO: 1 Kg, MATERIAL ENVASE: PLASTICO, CERTIFICADO FORESTAL (GFS): SIN, ELEM. TRANSPORTE: SIN, MATERIAL ELEM. TRANSPORTE: SIN</t>
  </si>
  <si>
    <t>2.1.1-6547.67</t>
  </si>
  <si>
    <t>LEGUMBRES; VARIEDAD: ARVEJA, ESTADO: NATURAL, PRESENTACION: LATA, PESO: 380 GR</t>
  </si>
  <si>
    <t>2.1.1-5917.7</t>
  </si>
  <si>
    <t>CEREALES; TIPO: BARRA, PRESENTACION: ENVASE X 23 GR</t>
  </si>
  <si>
    <t>2.1.1-489.87</t>
  </si>
  <si>
    <t>ESPECIAS; TIPO: BICARBONATO, PRESENTACION: SOBRES X 50 GR</t>
  </si>
  <si>
    <t>SOBRE</t>
  </si>
  <si>
    <t>2.1.1-708.19</t>
  </si>
  <si>
    <t>CONSERVAS PESCADO Y FRUTOS MAR; ESPECIE: CABALLA, ESTADO: EN ACEITE, PESO: 380 GR, ENVASE: LATA, TIPO: CABALLA</t>
  </si>
  <si>
    <t>2.1.1-2431.19</t>
  </si>
  <si>
    <t>CALDOS; GUSTO: CARNE, TIPO: CONCENTRADO, PRESENTACION: ENVASE X 12 UN</t>
  </si>
  <si>
    <t>2.1.1-2431.20</t>
  </si>
  <si>
    <t>CALDOS; GUSTO: GALLINA, TIPO: CONCENTRADO, PRESENTACION: ENVASE X 12 CUBOS</t>
  </si>
  <si>
    <t>2.1.1-2431.13</t>
  </si>
  <si>
    <t>CALDOS; GUSTO: VERDURA, TIPO: DESHIDRATADO, PRESENTACION: ENVASE X 12 UN</t>
  </si>
  <si>
    <t>2.1.1-6546.52</t>
  </si>
  <si>
    <t>VERDURAS Y HORTALIZAS; ESTADO: CONSERVA, VARIEDAD: CHOCLO, PRESENTACION: LATA, PESO: 380 GR</t>
  </si>
  <si>
    <t>2.1.1-597.43</t>
  </si>
  <si>
    <t>CONSERVAS DE FRUTAS; VARIEDAD: COCTEL, ENVASE: LATA, PESO: 820 GR, ELEM. TRANSPORTE: SIN, MATERIAL ELEM. TRANSPORTE: SIN, LIBRE DE GLUTEN: SI</t>
  </si>
  <si>
    <t>2.1.1-709.18</t>
  </si>
  <si>
    <t>CAFE; TIPO: FUERTE, ESTADO: INSTANTANEO, ENVASE: FRASCO, CONTENIDO: 100 GR, PROCESO: TORRADO C/AZUCAR, PRESENTACION: ENVASE X 100 GR</t>
  </si>
  <si>
    <t>FRASCO</t>
  </si>
  <si>
    <t>2.1.1-709.35</t>
  </si>
  <si>
    <t>CAFE; ENVASE: SAQUITO EN CAJA X 25, CONTENIDO: 7 GR, ESTADO: MOLIDO, PROCESO: TORRADO, TIPO: FUERTE, PRESENTACION: 25 X ENVASE X 7 GR</t>
  </si>
  <si>
    <t>CAJA</t>
  </si>
  <si>
    <t>2.1.1-3438.1</t>
  </si>
  <si>
    <t>CEREALES EN COPOS; VARIEDAD: AZUCARADO, TIPO: COPOS, PRESENTACION: CAJA X 460 GR</t>
  </si>
  <si>
    <t>2.1.1-732.37</t>
  </si>
  <si>
    <t>CARAMELOS; TIPO: DURO, SABOR: SURTIDO, RELLENO: SURTIDO, ENVASE: PAQUETE, PESO: 937 GR</t>
  </si>
  <si>
    <t>2.1.1-489.101</t>
  </si>
  <si>
    <t>ESPECIAS; TIPO: COMINO, PRESENTACION: PAQUETE X 50 GR</t>
  </si>
  <si>
    <t>PAQUETE</t>
  </si>
  <si>
    <t>2.1.1-489.138</t>
  </si>
  <si>
    <t>ESPECIAS; TIPO: ADOBO PARA PIZZA, PRESENTACION: PAQUETE X 50 GR</t>
  </si>
  <si>
    <t>2.1.1-2113.21</t>
  </si>
  <si>
    <t>DULCES; TIPO: BATATA A LA VAINILLA, PRESENTACION: LATA, PESO: 5 Kg</t>
  </si>
  <si>
    <t>2.1.1-2113.2</t>
  </si>
  <si>
    <t>DULCES; TIPO: DE MEMBRILLO, PRESENTACION: LATA, PESO: 5 Kg</t>
  </si>
  <si>
    <t>2.1.1-455.4</t>
  </si>
  <si>
    <t>DULCE DE LECHE; CAPACIDAD: 500 GR, TIPO: SIN VALOR, ENVASE: PLASTICO, PRESENTACION: ENVASE PLASTICO X 500 GR</t>
  </si>
  <si>
    <t>2.1.1-6539.166</t>
  </si>
  <si>
    <t>FRUTAS; VARIEDAD: DURAZNO, ESTADO: CONSERVA, PRESENTACION: ENVASE X 820 GR, ELEM. TRANSPORTE: SIN, MATERIAL ELEM. TRANSPORTE: SIN</t>
  </si>
  <si>
    <t>2.1.1-595.2</t>
  </si>
  <si>
    <t>EDULCORANTES; PRESENTACION: LIQUIDO, ENVASE: BOTELLA PLASTICA, CONTENIDO: 500 CM3</t>
  </si>
  <si>
    <t>BOTELLA</t>
  </si>
  <si>
    <t>2.1.1-2868.71</t>
  </si>
  <si>
    <t>FIDEOS SECOS; VARIEDAD: GUISERO, RELLENO: SIN, PRESENTACION: ENVASE X 500 GR, MATERIAL ENVASE: PLASTICO 1 (PET), ELEM. TRANSPORTE: SIN, MATERIAL ELEM. TRANSPORTE: SIN, CERTIFICADO FORESTAL (GFS): SIN, LIBRE DE GLUTEN: NO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</si>
  <si>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</si>
  <si>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</si>
  <si>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2.1.1-2868.54</t>
  </si>
  <si>
    <t>FIDEOS SECOS; VARIEDAD: SOPERO, RELLENO: SIN, PRESENTACION: ENVASE X 500 GR, MATERIAL ENVASE: PLASTICO 1 (PET), ELEM. TRANSPORTE: SIN, MATERIAL ELEM. TRANSPORTE: SIN, CERTIFICADO FORESTAL (GFS): SIN, LIBRE DE GLUTEN: NO</t>
  </si>
  <si>
    <t>2.1.1-788.206</t>
  </si>
  <si>
    <t>GALLETITAS; VARIEDAD: SURTIDAS DULCES, RELLENO: SIN, PRESENTACION: ENVASE X 400 GR, ELEM. TRANSPORTE: CAJA, MATERIAL ELEM. TRANSPORTE: CARTON, LIBRE DE GLUTEN: NO</t>
  </si>
  <si>
    <t>2.1.1-788.260</t>
  </si>
  <si>
    <t>GALLETITAS; VARIEDAD: DULCE, RELLENO: SIN, PRESENTACION: ENVASE X 100 GR, ELEM. TRANSPORTE: SIN, MATERIAL ELEM. TRANSPORTE: SIN, LIBRE DE GLUTEN: NO</t>
  </si>
  <si>
    <t>2.1.1-788.231</t>
  </si>
  <si>
    <t>GALLETITAS; VARIEDAD: CRACKERS C/SAL, RELLENO: SIN, PRESENTACION: 220 GR, ELEM. TRANSPORTE: CAJA, MATERIAL ELEM. TRANSPORTE: CARTON, LIBRE DE GLUTEN: NO</t>
  </si>
  <si>
    <t>2.1.1-788.249</t>
  </si>
  <si>
    <t>GALLETITAS; VARIEDAD: SALVADO SIN SAL, RELLENO: SIN, PRESENTACION: ENVASE X 200 GR, ELEM. TRANSPORTE: CAJA, MATERIAL ELEM. TRANSPORTE: CARTON, LIBRE DE GLUTEN: A DEFINIR</t>
  </si>
  <si>
    <t>2.1.1-788.264</t>
  </si>
  <si>
    <t>GALLETITAS; VARIEDAD: VAINILLA, RELLENO: SIN, PRESENTACION: ENVASE X 150 GR, ELEM. TRANSPORTE: SIN, MATERIAL ELEM. TRANSPORTE: SIN, LIBRE DE GLUTEN: NO</t>
  </si>
  <si>
    <t>2.1.1-2175.1</t>
  </si>
  <si>
    <t>GRASAS COMESTIBLES; TIPO: VACUNA, PRESENTACION: BOLSA X 1 Kg, ESTADO: NORMAL, FORMA DE PRESENTACION: NORMAL</t>
  </si>
  <si>
    <t>2.1.1-482.70</t>
  </si>
  <si>
    <t>HARINAS; TIPO: 000, PRESENTACION: ENVASE X 1 Kg, MATERIAL ENVASE: PAPEL, CERTICADO FORESTAL (GFS): SI, ELEM. TRANSPORTE: SIN, MATERIAL ELEM. TRANSPORTE: SIN, LIBRE DE GLUTEN: NO</t>
  </si>
  <si>
    <t>2.1.1-482.81</t>
  </si>
  <si>
    <t>HARINAS; TIPO: LEUDANTE, PRESENTACION: ENVASE X 1 Kg, MATERIAL ENVASE: PAPEL, CERTICADO FORESTAL (GFS): SIN, ELEM. TRANSPORTE: SIN, MATERIAL ELEM. TRANSPORTE: SIN, LIBRE DE GLUTEN: NO</t>
  </si>
  <si>
    <t>2.1.1-3390.76</t>
  </si>
  <si>
    <t>JUGOS; TIPO: EN POLVO, SABOR: NARANJA, PRESENTACION: 12 X ENVASE X 25 GR, MATERIAL ENVASE: CARTON, CERTIFICADO FORESTAL (GFS): CON, LIBRE DE GLUTEN: NO</t>
  </si>
  <si>
    <t>2.1.1-3390.110</t>
  </si>
  <si>
    <t>JUGOS; TIPO: LIQUIDO, SABOR: NARANJA, PRESENTACION: ENVASE X 1 L, MATERIAL ENVASE: CARTON, CERTIFICADO FORESTAL (GFS): SIN, LIBRE DE GLUTEN: SI</t>
  </si>
  <si>
    <t>2.1.1-438.90</t>
  </si>
  <si>
    <t>ADEREZOS; TIPO: KETCHUP, PRESENTACION: ENVASE X 250 GR, LIBRE DE GLUTEN: NO</t>
  </si>
  <si>
    <t>2.1.1-6547.80</t>
  </si>
  <si>
    <t>LEGUMBRES; VARIEDAD: LENTEJA, ESTADO: SECO, PRESENTACION: SIN VALOR, PESO: ENVASE X 400 GR</t>
  </si>
  <si>
    <t>2.1.1-705.92</t>
  </si>
  <si>
    <t>LECHE; ESTADO: POLVO, TIPO: DESLACTOSADA, PROCESO: PASTEURIZADA, AGREGADO: SIN, PRESENTACION: ENVASE X 400 GR, MATERIAL ENVASE: METAL, ELEM. TRANSPORTE: SIN, MATERIAL ELEM. TRANSPORTE: SIN, CERTIFICADO FORESTAL (GFS): SIN, LIBRE DE GLUTEN: NO</t>
  </si>
  <si>
    <t>2.1.1-705.129</t>
  </si>
  <si>
    <t>LECHE; ESTADO: LIQUIDO, TIPO: DESCREMADA, PROCESO: LARGA VIDA, AGREGADO: VITAMINAS A Y D, PRESENTACION: ENVASE X 1 L, MATERIAL ENVASE: TETRAFILM, ELEM. TRANSPORTE: SIN, MATERIAL ELEM. TRANSPORTE: SIN, CERTIFICADO FORESTAL (GFS): SIN, LIBRE DE GLUTEN: SI</t>
  </si>
  <si>
    <t>2.1.1-705.93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</si>
  <si>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</si>
  <si>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2.1.1-438.89</t>
  </si>
  <si>
    <t>ADEREZOS; TIPO: MAYONESA, PRESENTACION: ENVASE X 250 GR, LIBRE DE GLUTEN: NO</t>
  </si>
  <si>
    <t>2.1.1-2125.83</t>
  </si>
  <si>
    <t>MERMELADAS; SABOR: DAMASCO, TIPO: NATURAL, PRESENTACION: ENVASE X 430 GR, MATERIAL ENVASE: PLASTICO, ELEM. TRANSPORTE: SIN, MATERIAL ELEM. TRANSPORTE: SIN, LIBRE DE GLUTEN: SI</t>
  </si>
  <si>
    <t>2.1.1-2125.59</t>
  </si>
  <si>
    <t>MERMELADAS; SABOR: FRUTILLA, TIPO: DIETETICA, PRESENTACION: ENVASE X 454 GR, MATERIAL ENVASE: VIDRIO, ELEM. TRANSPORTE: SIN, MATERIAL ELEM. TRANSPORTE: SIN, LIBRE DE GLUTEN: SI</t>
  </si>
  <si>
    <t>2.1.1-438.73</t>
  </si>
  <si>
    <t>ADEREZOS; TIPO: MOSTAZA, PRESENTACION: ENVASE X 250 GR</t>
  </si>
  <si>
    <t>2.1.1-489.92</t>
  </si>
  <si>
    <t>ESPECIAS; TIPO: OREGANO, PRESENTACION: SOBRE X 25 GR</t>
  </si>
  <si>
    <t>2.1.1-489.179</t>
  </si>
  <si>
    <t>ESPECIAS; TIPO: PIMENTON DULCE, PRESENTACION: ENVASE X 25 GR, LIBRE DE GLUTEN: SI</t>
  </si>
  <si>
    <t>2.1.1-612.3</t>
  </si>
  <si>
    <t>POLVO P/HORNEAR; ENVASE: SOBRE, PESO: 50 GR</t>
  </si>
  <si>
    <t>2.1.1-510.26</t>
  </si>
  <si>
    <t>GELATINAS; SABOR: FRUTILLA, ENVASE: CAJA DE CARTON, TIPO: SIN VALOR, PESO: 85 GR</t>
  </si>
  <si>
    <t>2.1.1-489.126</t>
  </si>
  <si>
    <t>ESPECIAS; TIPO: PROVENZAL, PRESENTACION: PAQUETE X 25 GR</t>
  </si>
  <si>
    <t>2.1.1-509.10</t>
  </si>
  <si>
    <t>PURE; TIPO: DE TOMATE, ENVASE: CAJA DE CARTON, PESO: 530 GR</t>
  </si>
  <si>
    <t>2.1.1-513.50</t>
  </si>
  <si>
    <t>FLANES; ESTADO PREPARACION: EN POLVO, TIPO: COMUN, SABOR: VAINILLA, PRESENTACION: ENVASE X 1 Kg, LIBRE DE GLUTEN: NO</t>
  </si>
  <si>
    <t>2.1.1-731.19</t>
  </si>
  <si>
    <t>CONSERVAS DE CARNE; TIPO: PICADILLO, VARIEDAD: CARNE, ENVASE: LATA, PESO: 90 GR</t>
  </si>
  <si>
    <t>2.1.1-517.77</t>
  </si>
  <si>
    <t>POSTRES; ESTADO PREPARACION: CON COCCION, TIPO: COMUN, ENVASE: CAJA DE CARTON, PESO: 120 GR, SABOR: FRUTILLA</t>
  </si>
  <si>
    <t>2.1.1-489.171</t>
  </si>
  <si>
    <t>ESPECIAS; TIPO: PIMIENTA BLANCA, PRESENTACION: ENVASE X 25 GR, LIBRE DE GLUTEN: SI</t>
  </si>
  <si>
    <t>2.1.1-6539.156</t>
  </si>
  <si>
    <t>FRUTAS; VARIEDAD: PERA, ESTADO: CONSERVA, PRESENTACION: ENVASE X 820 GR</t>
  </si>
  <si>
    <t>2.1.1-3540.1</t>
  </si>
  <si>
    <t>ALIMENTO P/NIÑO; COMPONENTE: TRIGO-CEBADA-AVENA-HIERRO-VITA, PRESENTACION: ENVASE X 500 GR, COMPONENTES: TRIGO-CEBADA-AVENA-HIERRO-VITA</t>
  </si>
  <si>
    <t>2.1.1-514.2</t>
  </si>
  <si>
    <t>SAL DE MESA; CONSISTENCIA: FINA, PESO: 500 GR, TIPO: SIN VALOR, ENVASE: PAQUETE</t>
  </si>
  <si>
    <t>2.1.1-514.31</t>
  </si>
  <si>
    <t>SAL DE MESA; CONSISTENCIA: GRUESA, ENVASE: PAQUETE, PESO: 1 Kg, TIPO: COMUN, LIBRE DE GLUTEN: NO</t>
  </si>
  <si>
    <t>2.1.1-2126.13</t>
  </si>
  <si>
    <t>SEMOLAS; TIPO: VITINA, PRESENTACION: BOLSA, PESO: 500 GR, MATERIAL ENVASE: PLASTICO 1 (PET), CERTICADO FORESTAL (GFS): SIN, LIBRE DE GLUTEN: NO</t>
  </si>
  <si>
    <t>2.1.1-511.5</t>
  </si>
  <si>
    <t>TE; PRESENTACION: EN SAQUITOS ENSOBRADOS, PESO: SIN VALOR, TIPO: SIN VALOR, SAQUITOS 2G P/CAJA: 50</t>
  </si>
  <si>
    <t>2.1.1-511.2</t>
  </si>
  <si>
    <t>TE; PRESENTACION: EN SAQUITOS, TIPO: BOLDO, SAQUITOS 2G P/CAJA: 25, PESO: SIN VALOR</t>
  </si>
  <si>
    <t>2.1.1-706.6</t>
  </si>
  <si>
    <t>MATE COCIDO; ENVASE: CAJA CARTON, PRESENTACION: ENSOBRADO, SAQUITOS P/CAJA: 100 UN, PESO X SAQ.: 3 GR</t>
  </si>
  <si>
    <t>2.1.1-511.35</t>
  </si>
  <si>
    <t>TE; PRESENTACION: EN SAQUITOS, SAQUITOS 2G P/CAJA: 25, PESO: 2 GR, TIPO: VERDE, LIBRE DE GLUTEN: SIN VALOR</t>
  </si>
  <si>
    <t>2.1.1-3380.17</t>
  </si>
  <si>
    <t>TURRONES; VARIEDAD: MANÍ, TIPO: BLANDO, PRESENTACION: 25 GR, MATERIAL ENVASE: PLASTICO 4 (LDPE), CERTIFICADO FORESTAL (GFS): SIN VALOR</t>
  </si>
  <si>
    <t>2.1.1-519.24</t>
  </si>
  <si>
    <t>VINAGRES; TIPO: ALCOHOL, PRESENTACION: BOTELLA X 1  L, MATERIAL ENVASE: PLASTICO</t>
  </si>
  <si>
    <t>2.1.1-454.25</t>
  </si>
  <si>
    <t>YERBAS; PALO: CON, PESO: 1 Kg, MATERIAL ENVASE : PAPEL, CERTIFICADO FORESTAL (GFS): CON, ELEM. TRANSPORTE: SIN, MATERIAL ELEM. TRANSPORTE: SIN, LIBRE DE GLUTEN: SI</t>
  </si>
  <si>
    <t>2.1.1-4503.43</t>
  </si>
  <si>
    <t>SALSAS; TIPO: NAPOLITANA, PRESENTACION: ENVASE X 340 GR, MATERIAL ENVASE: TETRA FILM, CERTIFICADO FORESTAL (GFS): SIN, LIBRE DE GLUTEN: NO</t>
  </si>
  <si>
    <t>2.1.1-731.1</t>
  </si>
  <si>
    <t>CONSERVAS DE CARNE; PESO: 326 GR, ENVASE: LATA, TIPO: VIANDADA, VARIEDAD: SIN VALOR</t>
  </si>
  <si>
    <t>2.1.1-6558.5</t>
  </si>
  <si>
    <t>JARDINERA; PRESENTACION: LATA, PESO: 380 GR</t>
  </si>
  <si>
    <t>2.1.1-6607.2</t>
  </si>
  <si>
    <t>ALMIDON DE MAIZ; PRESENTACION: CAJA/BOLSA X 500 GR</t>
  </si>
  <si>
    <t>2.1.1-5917.8</t>
  </si>
  <si>
    <t>CEREALES; TIPO: TRIGO BURGOL, PRESENTACION: ENVASE X 1 Kg</t>
  </si>
  <si>
    <t>2.1.1-705.108</t>
  </si>
  <si>
    <t>LECHE; ESTADO: LIQUIDO, TIPO: ENTERA, PROCESO: LARGA VIDA, AGREGADO: VITAMINAS A Y D, PRESENTACION: ENVASE X 1 L, MATERIAL ENVASE: TETRAFILM, ELEM. TRANSPORTE: SIN, MATERIAL ELEM. TRANSPORTE: SIN, CERTIFICADO FORESTAL (GFS): SIN, LIBRE DE GLUTEN: SI</t>
  </si>
  <si>
    <t>2.1.1-705.119</t>
  </si>
  <si>
    <t>LECHE; ESTADO: LIQUIDO, TIPO: DE INICIO, PROCESO: PASTEURIZADA, AGREGADO: VITAMINAS Y MINERALES, PRESENTACION: ENVASE X 200 CM3, MATERIAL ENVASE: TETRAFILM, ELEM. TRANSPORTE: SIN, MATERIAL ELEM. TRANSPORTE: SIN, CERTIFICADO FORESTAL (GFS): SI, LIBRE DE GLUTEN: SIN VALOR</t>
  </si>
  <si>
    <t>2.1.1-705.120</t>
  </si>
  <si>
    <t>LECHE; ESTADO: LIQUIDO, TIPO: DE CONTINUACION, PROCESO: PASTEURIZADA, AGREGADO: VITAMINAS Y MINERALES, PRESENTACION: ENVASE X 200 CM3, MATERIAL ENVASE: TETRAFILM, ELEM. TRANSPORTE: SIN, MATERIAL ELEM. TRANSPORTE: SIN, CERTIFICADO FORESTAL (GFS): SI, LIBRE DE GLUTEN: SIN VALOR</t>
  </si>
  <si>
    <t>2.1.1-705.88</t>
  </si>
  <si>
    <t>LECHE; ESTADO: POLVO, TIPO: MATERNIZADA, PROCESO: ESTERILIZADA, AGREGADO: VITAMINAS Y MINERALES, PRESENTACION: ENVASE X 400 GR, MATERIAL ENVASE: METAL, ELEM. TRANSPORTE: SIN, MATERIAL ELEM. TRANSPORTE: SIN, CERTIFICADO FORESTAL (GFS): SIN, LIBRE DE GLUTEN: SI</t>
  </si>
  <si>
    <t>2.1.1-2868.63</t>
  </si>
  <si>
    <t>FIDEOS SECOS; VARIEDAD: CAPELETTI, RELLENO: VERDURA, PRESENTACION: ENVASE X 500 GR, MATERIAL ENVASE: PLASTICO 1 (PET), ELEM. TRANSPORTE: CAJA, MATERIAL ELEM. TRANSPORTE: SIN, CERTIFICADO FORESTAL (GFS): SIN, LIBRE DE GLUTEN: NO</t>
  </si>
  <si>
    <t>2.1.1-489.108</t>
  </si>
  <si>
    <t>ESPECIAS; TIPO: CONDIMENTO P/ARROZ, PRESENTACION: SOBRE X 25 GR</t>
  </si>
  <si>
    <t>2.1.1-2116.9</t>
  </si>
  <si>
    <t>LEVADURAS; TIPO: SECA INSTANTANEA, PRESENTACION: ENVASE X 500 GR, PESO: SIN VALOR</t>
  </si>
  <si>
    <t>2.1.1-6546.241</t>
  </si>
  <si>
    <t>VERDURAS Y HORTALIZAS; VARIEDAD: TOMATE, ESTADO: TRITURADO, PRESENTACION: BOTELLA, PESO: 980 GR</t>
  </si>
  <si>
    <t>2.1.1-6539.129</t>
  </si>
  <si>
    <t>FRUTAS; VARIEDAD: ANANA, ESTADO: EN ALMIBAR, PRESENTACION: ENVASE X 836 GR, PESO: 836 GR</t>
  </si>
  <si>
    <t>2.1.1-482.63</t>
  </si>
  <si>
    <t>HARINAS; TIPO: MAIZ, PRESENTACION: ENVASE X 750 GR, MATERIAL ENVASE: PAPEL, CERTICADO FORESTAL (GFS): SIN, ELEM. TRANSPORTE: SIN, MATERIAL ELEM. TRANSPORTE: SIN</t>
  </si>
  <si>
    <t>2.1.1-2615.15</t>
  </si>
  <si>
    <t>CACAO; TIPO: INSTANTANEO, PRESENTACION: ENVASE X 800 GR, FORMA DE PRESENTACION: POLVO, MATERIAL ENVASE: CARTON, CERTICADO FORESTAL (GFS): CON, LIBRE DE GLUTEN: SI</t>
  </si>
  <si>
    <t>Especificidades Item N° 1:</t>
  </si>
  <si>
    <t>Descripción técnica</t>
  </si>
  <si>
    <t>Plazos y lugares de entrega</t>
  </si>
  <si>
    <t>MENSUAL</t>
  </si>
  <si>
    <t>INSTITUCION</t>
  </si>
  <si>
    <t>DOMICILIO DE ENTREGA</t>
  </si>
  <si>
    <t>CDI CASA CUNA</t>
  </si>
  <si>
    <t>CASEROS N° 1050</t>
  </si>
  <si>
    <t>CENTRO DE CONTENCION HUAINA HUASI</t>
  </si>
  <si>
    <t>PASAJE HERNANDO DE PEDRAZA S/N°</t>
  </si>
  <si>
    <t>CENTRO DE CONTENCION SIPAS HUASI</t>
  </si>
  <si>
    <t>PASAJE LOS AGUEROS S/N° - VILLA PARQUE CHACABUCO</t>
  </si>
  <si>
    <t>RESIDENCIA DE ADULTOS MAYORES</t>
  </si>
  <si>
    <t>AVENIDA BELGRANO N° 750</t>
  </si>
  <si>
    <t>DIR. DEL NIÑO EN CONFLICTO CON LA LEY PENAL</t>
  </si>
  <si>
    <t>AVENIDA ALEM Nº 908</t>
  </si>
  <si>
    <t>CENTRO JUVENIL SANTA ROSA</t>
  </si>
  <si>
    <t>MANUEL DE ZALAZAR S/N° SANTA ROSA, VALLE VIEJO.</t>
  </si>
  <si>
    <t>SECRETARIA DE LA FAMILIA</t>
  </si>
  <si>
    <t>AVENIDA REPUBLICA DE VENEZUELA S/Nº - CENTRO ADMINISTRATIVO DEL PODER EJECUTIVO (C.A.P.E.) PABELLON 24</t>
  </si>
  <si>
    <t>HOGAR DE ANCIANOS DE BELEN</t>
  </si>
  <si>
    <t>11 DE SEPTIEMBRE S/N - BELEN</t>
  </si>
  <si>
    <t>HOGAR DE ANCIANOS DE TINOGASTA</t>
  </si>
  <si>
    <t>PRESIDENTE PERON ESQUINA RUCHELLY - TINOGASTA</t>
  </si>
  <si>
    <t>*SE REALIZA LA ENTREGA DE 77 UNIDADES POR MES ( DISTRIBUIDOS SEGÚN DETALLE PARA CADA INSTITUCION) LO QUE PRESENTA UNA SUMA DE 231 UNIDADES TRIMESTRALES</t>
  </si>
  <si>
    <t>Calidad Minima esperada</t>
  </si>
  <si>
    <t>ALTA</t>
  </si>
  <si>
    <t>Mantenimiento</t>
  </si>
  <si>
    <t>60 DIAS</t>
  </si>
  <si>
    <t>Garantia</t>
  </si>
  <si>
    <t>S/E</t>
  </si>
  <si>
    <t>Especificidades Item N° 2:</t>
  </si>
  <si>
    <t>*SE REALIZA LA ENTREGA DE 142 UNIDADES POR MES (DISTRIBUIDOS SEGÚN DETALLE PARA CADA INSTITUCION) LO QUE PRESENTA UNA SUMA DE 426 UNIDADES TRIMESTRALES</t>
  </si>
  <si>
    <t>Especificidades Item N° 3:</t>
  </si>
  <si>
    <t>*SE REALIZA LA ENTREGA DE 95 UNIDADES POR MES ( DISTRIBUIDOS SEGÚN DETALLE PARA CADA INSTITUCION) LO QUE PRESENTA UNA SUMA DE 285 UNIDADES TRIMESTRALES</t>
  </si>
  <si>
    <t>Especificidades Item N° 4:</t>
  </si>
  <si>
    <t>*SE REALIZA LA ENTREGA DE 151 LATAS POR MES (DISTRIBUIDOS SEGÚN DETALLE PARA CADA INSTITUCION) LO QUE PRESENTA UNA SUMA DE 453 LATAS TRIMESTRALES</t>
  </si>
  <si>
    <t>Especificidades Item N° 5:</t>
  </si>
  <si>
    <t>*SE REALIZA LA ENTREGA DE 20 UNIDADES POR MES ( DISTRIBUIDOS SEGÚN DETALLE PARA CADA INSTITUCION) LO QUE PRESENTA UNA SUMA DE 60 UNIDADES TRIMESTRALES</t>
  </si>
  <si>
    <t>Especificidades Item N° 6:</t>
  </si>
  <si>
    <t>*SE REALIZA LA ENTREGA DE 163 UNIDADES POR MES ( DISTRIBUIDOS SEGÚN DETALLE PARA CADA INSTITUCION) LO QUE PRESENTA UNA SUMA DE 489 UNIDADES TRIMESTRALES</t>
  </si>
  <si>
    <t>Especificidades Item N° 7:</t>
  </si>
  <si>
    <t>*SE REALIZA LA ENTREGA DE 35 LATAS POR MES ( DISTRIBUIDOS SEGÚN DETALLE PARA CADA INSTITUCION) LO QUE PRESENTA UNA SUMA DE 105 LATAS TRIMESTRALES</t>
  </si>
  <si>
    <t>Especificidades Item N° 8:</t>
  </si>
  <si>
    <t>CEREALES EN BARRA DE VAINILLA - ENVASE X 23 GR</t>
  </si>
  <si>
    <t>*SE REALIZA LA ENTREGA DE 16 UNIDADES POR MES ( DISTRIBUIDOS SEGÚN DETALLE PARA CADA INSTITUCION) LO QUE PRESENTA UNA SUMA DE 48 UNIDADES TRIMESTRALES</t>
  </si>
  <si>
    <t>Especificidades Item N° 9:</t>
  </si>
  <si>
    <t>*SE REALIZA LA ENTREGA DE 35 SOBRES POR MES ( DISTRIBUIDOS SEGÚN DETALLE PARA CADA INSTITUCION) LO QUE PRESENTA UNA SUMA DE 105 SOBRES TRIMESTRALES</t>
  </si>
  <si>
    <t>Especificidades Item N° 10:</t>
  </si>
  <si>
    <t>*SE REALIZA LA ENTREGA DE 90 LATAS POR MES ( DISTRIBUIDOS SEGÚN DETALLE PARA CADA INSTITUCION) LO QUE PRESENTA UNA SUMA DE 270 LATAS TRIMESTRALES</t>
  </si>
  <si>
    <t>Especificidades Item N° 11:</t>
  </si>
  <si>
    <t>*SE REALIZA LA ENTREGA DE 36 UNIDADES POR MES ( DISTRIBUIDOS SEGÚN DETALLE PARA CADA INSTITUCION) LO QUE PRESENTA UNA SUMA DE 108 UNIDADES TRIMESTRALES</t>
  </si>
  <si>
    <t>Especificidades Item N° 12:</t>
  </si>
  <si>
    <t>Especificidades Item N° 13:</t>
  </si>
  <si>
    <t>Especificidades Item N° 14:</t>
  </si>
  <si>
    <t xml:space="preserve"> CHOCLO EN GRANO AMARILLO, PRESENTACION EN LATA, PESO: 380 GR</t>
  </si>
  <si>
    <t>*SE REALIZA LA ENTREGA DE 84 LATAS POR MES (DISTRIBUIDOS SEGÚN DETALLE PARA CADA INSTITUCION) LO QUE PRESENTA UNA SUMA DE 252 LATAS TRIMESTRALES</t>
  </si>
  <si>
    <t>Especificidades Item N° 15:</t>
  </si>
  <si>
    <t>*SE REALIZA LA ENTREGA DE 60 LATAS POR MES ( DISTRIBUIDOS SEGÚN DETALLE PARA CADA INSTITUCION) LO QUE PRESENTA UNA SUMA DE 180 LATAS TRIMESTRALES</t>
  </si>
  <si>
    <t>Especificidades Item N° 16:</t>
  </si>
  <si>
    <t>*SE REALIZA LA ENTREGA DE 7 FRASCOS POR MES ( DISTRIBUIDOS SEGÚN DETALLE PARA CADA INSTITUCION) LO QUE PRESENTA UNA SUMA DE 21 FRASCOS TRIMESTRALES</t>
  </si>
  <si>
    <t>Especificidades Item N° 17:</t>
  </si>
  <si>
    <t>*SE REALIZA LA ENTREGA DE 6 CAJAS POR MES ( DISTRIBUIDOS SEGÚN DETALLE PARA CADA INSTITUCION) LO QUE PRESENTA UNA SUMA DE 18 CAJAS TRIMESTRALES</t>
  </si>
  <si>
    <t>Especificidades Item N° 18:</t>
  </si>
  <si>
    <t>*SE REALIZA LA ENTREGA DE 45 CAJAS POR MES (DISTRIBUIDOS SEGÚN DETALLE PARA CADA INSTITUCION) LO QUE PRESENTA UNA SUMA DE 135 CAJAS TRIMESTRALES</t>
  </si>
  <si>
    <t>Especificidades Item N° 19:</t>
  </si>
  <si>
    <t>*SE REALIZA LA ENTREGA DE 6 UNIDADES POR MES ( DISTRIBUIDOS SEGÚN DETALLE PARA CADA INSTITUCION) LO QUE PRESENTA UNA SUMA DE 18 UNIDADES TRIMESTRALES</t>
  </si>
  <si>
    <t>Especificidades Item N° 20:</t>
  </si>
  <si>
    <t>*SE REALIZA LA ENTREGA DE 48 PAQUETES POR MES ( DISTRIBUIDOS SEGÚN DETALLE PARA CADA INSTITUCION) LO QUE PRESENTA UNA SUMA DE 144 PAQUETES TRIMESTRALES</t>
  </si>
  <si>
    <t>Especificidades Item N° 21:</t>
  </si>
  <si>
    <t>*SE REALIZA LA ENTREGA DE 15 PAQUETES POR MES (DISTRIBUIDOS SEGÚN DETALLE PARA CADA INSTITUCION) LO QUE PRESENTA UNA SUMA DE 45 PAQUETES TRIMESTRALES</t>
  </si>
  <si>
    <t>Especificidades Item N° 22:</t>
  </si>
  <si>
    <t>*SE REALIZA LA ENTREGA DE 15 LATAS POR MES (DISTRIBUIDOS SEGÚN DETALLE PARA CADA INSTITUCION) LO QUE PRESENTA UNA SUMA DE 45 LATAS TRIMESTRALES</t>
  </si>
  <si>
    <t>Especificidades Item N° 23:</t>
  </si>
  <si>
    <t>*SE REALIZA LA ENTREGA DE 12 LATAS POR MES (DISTRIBUIDOS SEGÚN DETALLE PARA CADA INSTITUCION) LO QUE PRESENTA UNA SUMA DE 36 LATAS TRIMESTRALES</t>
  </si>
  <si>
    <t>Especificidades Item N° 24:</t>
  </si>
  <si>
    <t>DULCE DE LECHE, ENVASE PLASTICO DE 500 GR - TIPO CLASICO</t>
  </si>
  <si>
    <t>*SE REALIZA LA ENTREGA DE 49 UNIDADES POR MES ( DISTRIBUIDOS SEGÚN DETALLE PARA CADA INSTITUCION) LO QUE PRESENTA UNA SUMA DE 147 UNIDADES TRIMESTRALES</t>
  </si>
  <si>
    <t>Especificidades Item N° 25:</t>
  </si>
  <si>
    <t>*SE REALIZA LA ENTREGA DE 82 UNIDADES POR MES ( DISTRIBUIDOS SEGÚN DETALLE PARA CADA INSTITUCION) LO QUE PRESENTA UNA SUMA DE 246 UNIDADES TRIMESTRALES</t>
  </si>
  <si>
    <t>Especificidades Item N° 26:</t>
  </si>
  <si>
    <t>*SE REALIZA LA ENTREGA DE 23 BOTELLAS POR MES ( DISTRIBUIDOS SEGÚN DETALLE PARA CADA INSTITUCION) LO QUE PRESENTA UNA SUMA DE 69 BOTELLAS TRIMESTRALES</t>
  </si>
  <si>
    <t>Especificidades Item N° 27:</t>
  </si>
  <si>
    <t>*SE REALIZA LA ENTREGA DE 57 UNIDADES POR MES ( DISTRIBUIDOS SEGÚN DETALLE PARA CADA INSTITUCION) LO QUE PRESENTA UNA SUMA DE 171 UNIDADES TRIMESTRALES</t>
  </si>
  <si>
    <t>Especificidades Item N° 28:</t>
  </si>
  <si>
    <t>*SE REALIZA LA ENTREGA DE 70 UNIDADES POR MES ( DISTRIBUIDOS SEGÚN DETALLE PARA CADA INSTITUCION) LO QUE PRESENTA UNA SUMA DE 210 UNIDADES TRIMESTRALES</t>
  </si>
  <si>
    <t>Especificidades Item N° 29:</t>
  </si>
  <si>
    <t>Especificidades Item N° 30:</t>
  </si>
  <si>
    <t>*SE REALIZA LA ENTREGA DE 84 UNIDADES POR MES ( DISTRIBUIDOS SEGÚN DETALLE PARA CADA INSTITUCION) LO QUE PRESENTA UNA SUMA DE 252 UNIDADES TRIMESTRALES</t>
  </si>
  <si>
    <t>Especificidades Item N° 31:</t>
  </si>
  <si>
    <t>*SE REALIZA LA ENTREGA DE 74 UNIDADES POR MES ( DISTRIBUIDOS SEGÚN DETALLE PARA CADA INSTITUCION) LO QUE PRESENTA UNA SUMA DE 222 UNIDADES TRIMESTRALES</t>
  </si>
  <si>
    <t>Especificidades Item N° 32:</t>
  </si>
  <si>
    <t>*SE REALIZA LA ENTREGA DE 121 UNIDADES POR MES ( DISTRIBUIDOS SEGÚN DETALLE PARA CADA INSTITUCION) LO QUE PRESENTA UNA SUMA DE  UNIDADES 363 TRIMESTRALES</t>
  </si>
  <si>
    <t>Especificidades Item N° 33:</t>
  </si>
  <si>
    <t>GALLETITAS; SALVADO SIN SAL, LIBRE DE GLUTEN: SI</t>
  </si>
  <si>
    <t>*SE REALIZA LA ENTREGA DE 25 UNIDADES POR MES ( DISTRIBUIDOS SEGÚN DETALLE PARA CADA INSTITUCION) LO QUE PRESENTA UNA SUMA DE 75 UNIDADES TRIMESTRALES</t>
  </si>
  <si>
    <t>Especificidades Item N° 34:</t>
  </si>
  <si>
    <t>*SE REALIZA LA ENTREGA DE 98 UNIDADES POR MES ( DISTRIBUIDOS SEGÚN DETALLE PARA CADA INSTITUCION) LO QUE PRESENTA UNA SUMA DE 294 UNIDADES TRIMESTRALES</t>
  </si>
  <si>
    <t>Especificidades Item N° 35:</t>
  </si>
  <si>
    <t>*SE REALIZA LA ENTREGA DE 27 UNIDADES POR MES ( DISTRIBUIDOS SEGÚN DETALLE PARA CADA INSTITUCION) LO QUE PRESENTA UNA SUMA DE 81 UNIDADES TRIMESTRALES</t>
  </si>
  <si>
    <t>Especificidades Item N° 36:</t>
  </si>
  <si>
    <t>*SE REALIZA LA ENTREGA DE 88 UNIDADES POR MES ( DISTRIBUIDOS SEGÚN DETALLE PARA CADA INSTITUCION) LO QUE PRESENTA UNA SUMA DE 264 UNIDADES TRIMESTRALES</t>
  </si>
  <si>
    <t>Especificidades Item N° 37:</t>
  </si>
  <si>
    <t>*SE REALIZA LA ENTREGA DE 83 UNIDADES POR MES ( DISTRIBUIDOS SEGÚN DETALLE PARA CADA INSTITUCION) LO QUE PRESENTA UNA SUMA DE 249 UNIDADES TRIMESTRALES</t>
  </si>
  <si>
    <t>Especificidades Item N° 38:</t>
  </si>
  <si>
    <t>*SE REALIZA LA ENTREGA DE 418 UNIDADES POR MES ( DISTRIBUIDOS SEGÚN DETALLE PARA CADA INSTITUCION) LO QUE PRESENTA UNA SUMA DE 1254 UNIDADES TRIMESTRALES</t>
  </si>
  <si>
    <t>Especificidades Item N° 39:</t>
  </si>
  <si>
    <t>*SE REALIZA LA ENTREGA DE 121 UNIDADES POR MES ( DISTRIBUIDOS SEGÚN DETALLE PARA CADA INSTITUCION) LO QUE PRESENTA UNA SUMA DE 363 UNIDADES TRIMESTRALES</t>
  </si>
  <si>
    <t>Especificidades Item N° 40:</t>
  </si>
  <si>
    <t>*SE REALIZA LA ENTREGA DE 4 UNIDADES POR MES ( DISTRIBUIDOS SEGÚN DETALLE PARA CADA INSTITUCION) LO QUE PRESENTA UNA SUMA DE 12 UNIDADES TRIMESTRALES</t>
  </si>
  <si>
    <t>Especificidades Item N° 41:</t>
  </si>
  <si>
    <t>Especificidades Item N° 42:</t>
  </si>
  <si>
    <t>*SE REALIZA LA ENTREGA DE 15 UNIDADES POR MES ( DISTRIBUIDOS SEGÚN DETALLE PARA CADA INSTITUCION) LO QUE PRESENTA UNA SUMA DE 45 UNIDADES TRIMESTRALES</t>
  </si>
  <si>
    <t>Especificidades Item N° 43:</t>
  </si>
  <si>
    <t>*SE REALIZA LA ENTREGA DE 46 UNIDADES POR MES ( DISTRIBUIDOS SEGÚN DETALLE PARA CADA INSTITUCION) LO QUE PRESENTA UNA SUMA DE 138 UNIDADES TRIMESTRALES</t>
  </si>
  <si>
    <t>Especificidades Item N° 44:</t>
  </si>
  <si>
    <t>*SE REALIZA LA ENTREGA DE 18 UNIDADES POR MES ( DISTRIBUIDOS SEGÚN DETALLE PARA CADA INSTITUCION) LO QUE PRESENTA UNA SUMA DE 54 UNIDADES TRIMESTRALES</t>
  </si>
  <si>
    <t>Especificidades Item N° 45:</t>
  </si>
  <si>
    <t>*SE REALIZA LA ENTREGA DE 56 UNIDADES POR MES ( DISTRIBUIDOS SEGÚN DETALLE PARA CADA INSTITUCION) LO QUE PRESENTA UNA SUMA DE 168 UNIDADES TRIMESTRALES</t>
  </si>
  <si>
    <t>Especificidades Item N° 46:</t>
  </si>
  <si>
    <t>*SE REALIZA LA ENTREGA DE 61 UNIDADES POR MES ( DISTRIBUIDOS SEGÚN DETALLE PARA CADA INSTITUCION) LO QUE PRESENTA UNA SUMA DE 183 UNIDADES TRIMESTRALES</t>
  </si>
  <si>
    <t>Especificidades Item N° 47:</t>
  </si>
  <si>
    <t>Especificidades Item N° 48:</t>
  </si>
  <si>
    <t>*SE REALIZA LA ENTREGA DE 10 UNIDADES POR MES ( DISTRIBUIDOS SEGÚN DETALLE PARA CADA INSTITUCION) LO QUE PRESENTA UNA SUMA DE 30 UNIDADES TRIMESTRALES</t>
  </si>
  <si>
    <t>Especificidades Item N° 49:</t>
  </si>
  <si>
    <t>*SE REALIZA LA ENTREGA DE 83 SOBRES POR MES (DISTRIBUIDOS SEGÚN DETALLE PARA CADA INSTITUCION) LO QUE PRESENTA UNA SUMA DE 249 SOBRES TRIMESTRALES</t>
  </si>
  <si>
    <t>Especificidades Item N° 50:</t>
  </si>
  <si>
    <t>*SE REALIZA LA ENTREGA DE 130 UNIDADES POR MES ( DISTRIBUIDOS SEGÚN DETALLE PARA CADA INSTITUCION) LO QUE PRESENTA UNA SUMA DE 390 UNIDADES TRIMESTRALES</t>
  </si>
  <si>
    <t>Especificidades Item N° 51:</t>
  </si>
  <si>
    <t>*SE REALIZA LA ENTREGA DE 18 SOBRES POR MES ( DISTRIBUIDOS SEGÚN DETALLE PARA CADA INSTITUCION) LO QUE PRESENTA UNA SUMA DE 54 SOBRES TRIMESTRALES</t>
  </si>
  <si>
    <t>Especificidades Item N° 52:</t>
  </si>
  <si>
    <t>*SE REALIZA LA ENTREGA DE 64 CAJAS POR MES ( DISTRIBUIDOS SEGÚN DETALLE PARA CADA INSTITUCION) LO QUE PRESENTA UNA SUMA DE 192 CAJAS TRIMESTRALES</t>
  </si>
  <si>
    <t>Especificidades Item N° 53:</t>
  </si>
  <si>
    <t>*SE REALIZA LA ENTREGA DE 95 PAQUETES POR MES ( DISTRIBUIDOS SEGÚN DETALLE PARA CADA INSTITUCION) LO QUE PRESENTA UNA SUMA DE 285 PAQUETES TRIMESTRALES</t>
  </si>
  <si>
    <t>Especificidades Item N° 54:</t>
  </si>
  <si>
    <t>*SE REALIZA LA ENTREGA DE 111 CAJAS POR MES ( DISTRIBUIDOS SEGÚN DETALLE PARA CADA INSTITUCION) LO QUE PRESENTA UNA SUMA DE 333 CAJAS TRIMESTRALES</t>
  </si>
  <si>
    <t>Especificidades Item N° 55:</t>
  </si>
  <si>
    <t>*SE REALIZA LA ENTREGA DE 39 UNIDADES POR MES ( DISTRIBUIDOS SEGÚN DETALLE PARA CADA INSTITUCION) LO QUE PRESENTA UNA SUMA DE 117 UNIDADES TRIMESTRALES</t>
  </si>
  <si>
    <t>Especificidades Item N° 56:</t>
  </si>
  <si>
    <t>*SE REALIZA LA ENTREGA DE 126 LATAS POR MES ( DISTRIBUIDOS SEGÚN DETALLE PARA CADA INSTITUCION) LO QUE PRESENTA UNA SUMA DE 378 LATAS TRIMESTRALES</t>
  </si>
  <si>
    <t>Especificidades Item N° 57:</t>
  </si>
  <si>
    <t>*SE REALIZA LA ENTREGA DE 55 CAJAS POR MES ( DISTRIBUIDOS SEGÚN DETALLE PARA CADA INSTITUCION) LO QUE PRESENTA UNA SUMA DE 165 CAJAS TRIMESTRALES</t>
  </si>
  <si>
    <t>Especificidades Item N° 58:</t>
  </si>
  <si>
    <t>Especificidades Item N° 59:</t>
  </si>
  <si>
    <t>*SE REALIZA LA ENTREGA DE 44 UNIDADES POR MES ( DISTRIBUIDOS SEGÚN DETALLE PARA CADA INSTITUCION) LO QUE PRESENTA UNA SUMA DE 132 UNIDADES TRIMESTRALES</t>
  </si>
  <si>
    <t>Especificidades Item N° 60:</t>
  </si>
  <si>
    <t>*SE REALIZA LA ENTREGA DE 14 UNIDADES POR MES ( DISTRIBUIDOS SEGÚN DETALLE PARA CADA INSTITUCION) LO QUE PRESENTA UNA SUMA DE 42 UNIDADES TRIMESTRALES</t>
  </si>
  <si>
    <t>Especificidades Item N° 61:</t>
  </si>
  <si>
    <t>SAL FINA DE MESA - TIPO CORREDIZA</t>
  </si>
  <si>
    <t>*SE REALIZA LA ENTREGA DE 26 PAQUETES POR MES (DISTRIBUIDOS SEGÚN DETALLE PARA CADA INSTITUCION) LO QUE PRESENTA UNA SUMA DE 78 PAQUETES TRIMESTRALES</t>
  </si>
  <si>
    <t>Especificidades Item N° 62:</t>
  </si>
  <si>
    <t>*SE REALIZA LA ENTREGA DE 24 PAQUETES POR MES ( DISTRIBUIDOS SEGÚN DETALLE PARA CADA INSTITUCION) LO QUE PRESENTA UNA SUMA DE 72 PAQUETES TRIMESTRALES</t>
  </si>
  <si>
    <t>Especificidades Item N° 63:</t>
  </si>
  <si>
    <t>*SE REALIZA LA ENTREGA DE 22 UNIDADES POR MES ( DISTRIBUIDOS SEGÚN DETALLE PARA CADA INSTITUCION) LO QUE PRESENTA UNA SUMA DE 66 UNIDADES TRIMESTRALES</t>
  </si>
  <si>
    <t>Especificidades Item N° 64:</t>
  </si>
  <si>
    <t>TE EN SAQUITOS ENSOBRADOS, TIPO CLASICO - SAQUITOS 2G P/CAJA: 50</t>
  </si>
  <si>
    <t>*SE REALIZA LA ENTREGA DE 18 CAJAS POR MES ( DISTRIBUIDOS SEGÚN DETALLE PARA CADA INSTITUCION) LO QUE PRESENTA UNA SUMA DE 54 CAJAS TRIMESTRALES</t>
  </si>
  <si>
    <t>Especificidades Item N° 65:</t>
  </si>
  <si>
    <t>Especificidades Item N° 66:</t>
  </si>
  <si>
    <t>*SE REALIZA LA ENTREGA DE 1 CAJA POR MES ( DISTRIBUIDOS SEGÚN DETALLE PARA CADA INSTITUCION) LO QUE PRESENTA UNA SUMA DE 3 CAJAS TRIMESTRALES</t>
  </si>
  <si>
    <t>Especificidades Item N° 67:</t>
  </si>
  <si>
    <t>TE VERDE EN SAQUITOS, SAQUITOS 2G P/CAJA: 25, LIBRE DE GLUTEN: SI</t>
  </si>
  <si>
    <t>*SE REALIZA LA ENTREGA DE 2 CAJAS POR MES ( DISTRIBUIDOS SEGÚN DETALLE PARA CADA INSTITUCION) LO QUE PRESENTA UNA SUMA DE 6 CAJAS TRIMESTRALES</t>
  </si>
  <si>
    <t>Especificidades Item N° 68:</t>
  </si>
  <si>
    <t>*SE REALIZA LA ENTREGA DE 200 UNIDADES POR MES ( DISTRIBUIDOS SEGÚN DETALLE PARA CADA INSTITUCION) LO QUE PRESENTA UNA SUMA DE 600 UNIDADES TRIMESTRALES</t>
  </si>
  <si>
    <t>Especificidades Item N° 69:</t>
  </si>
  <si>
    <t>*SE REALIZA LA ENTREGA DE 10 BOTELLAS POR MES ( DISTRIBUIDOS SEGÚN DETALLE PARA CADA INSTITUCION) LO QUE PRESENTA UNA SUMA DE 30 BOTELLAS TRIMESTRALES</t>
  </si>
  <si>
    <t>Especificidades Item N° 70:</t>
  </si>
  <si>
    <t xml:space="preserve">YERBA MATE ELABORADA CON PALO DE 1 Kg, </t>
  </si>
  <si>
    <t>*SE REALIZA LA ENTREGA DE 64 UNIDADES POR MES ( DISTRIBUIDOS SEGÚN DETALLE PARA CADA INSTITUCION) LO QUE PRESENTA UNA SUMA DE 192 UNIDADES TRIMESTRALES</t>
  </si>
  <si>
    <t>Especificidades Item N° 71:</t>
  </si>
  <si>
    <t>*SE REALIZA LA ENTREGA DE 5 UNIDADES POR MES ( DISTRIBUIDOS SEGÚN DETALLE PARA CADA INSTITUCION) LO QUE PRESENTA UNA SUMA DE 15 UNIDADES TRIMESTRALES</t>
  </si>
  <si>
    <t>Especificidades Item N° 72:</t>
  </si>
  <si>
    <t xml:space="preserve"> VIANDADA DE CARNE CLASICA EN ENVASE DE LATA DE 326 GR</t>
  </si>
  <si>
    <t>*SE REALIZA LA ENTREGA DE 20 LATAS POR MES ( DISTRIBUIDOS SEGÚN DETALLE PARA CADA INSTITUCION) LO QUE PRESENTA UNA SUMA DE 60 LATAS TRIMESTRALES</t>
  </si>
  <si>
    <t>Especificidades Item N° 73:</t>
  </si>
  <si>
    <t>*SE REALIZA LA ENTREGA DE 30 UNIDADES POR MES ( DISTRIBUIDOS SEGÚN DETALLE PARA CADA INSTITUCION) LO QUE PRESENTA UNA SUMA DE 90 UNIDADES TRIMESTRALES</t>
  </si>
  <si>
    <t>Especificidades Item N° 74:</t>
  </si>
  <si>
    <t>Especificidades Item N° 75:</t>
  </si>
  <si>
    <t>Especificidades Item N° 76:</t>
  </si>
  <si>
    <t>SEMANAL</t>
  </si>
  <si>
    <t>*SE REALIZA LA ENTREGA DE 133 UNIDADES POR SEMANA ( DISTRIBUIDOS SEGÚN DETALLE PARA CADA INSTITUCION)  LO QUE HACE UNA SUMA DE 532 UNIDADES MENSUALES QUE REPRESENTA UN TOTAL DE 1596 UNIDADES TRIMESTRALES</t>
  </si>
  <si>
    <t>Especificidades Item N° 77:</t>
  </si>
  <si>
    <t>LECHE LIQUIDA, PASTEURIZADA, AGREGADO: VITAMINAS Y MINERALES, EN ENVASE X 200 CM3, LIBRE DE GLUTEN: SI</t>
  </si>
  <si>
    <t>*SE REALIZA LA ENTREGA DE 30 UNIDADES POR SEMANA ( DISTRIBUIDOS SEGÚN DETALLE PARA CADA INSTITUCION)   LO QUE HACE UNA SUMA DE 120 UNIDADES MENSUALES QUE REPRESENTA UN TOTAL DE 360 UNIDADES TRIMESTRALES</t>
  </si>
  <si>
    <t>Especificidades Item N° 78:</t>
  </si>
  <si>
    <t>*SE REALIZA LA ENTREGA DE 35 UNIDADES POR SEMANA ( DISTRIBUIDOS SEGÚN DETALLE PARA CADA INSTITUCION)   LO QUE HACE UNA SUMA DE 140 UNIDADES MENSUALES QUE REPRESENTA UN TOTAL DE 420 UNIDADES TRIMESTRALES</t>
  </si>
  <si>
    <t>Especificidades Item N° 79:</t>
  </si>
  <si>
    <t>*SE REALIZA LA ENTREGA DE 2 UNIDADES POR SEMANA ( DISTRIBUIDOS SEGÚN DETALLE PARA CADA INSTITUCION)   LO QUE HACE UNA SUMA DE 8 UNIDADES MENSUALES QUE REPRESENTA UN TOTAL DE 24 UNIDADES TRIMESTRALES</t>
  </si>
  <si>
    <t>Especificidades Item N° 80:</t>
  </si>
  <si>
    <t>*SE REALIZA LA ENTREGA DE 5 UNIDADES POR SEMANA ( DISTRIBUIDOS SEGÚN DETALLE PARA CADA INSTITUCION)   LO QUE HACE UNA SUMA DE 20 UNIDADES MENSUALES QUE REPRESENTA UN TOTAL DE 60 UNIDADES TRIMESTRALES</t>
  </si>
  <si>
    <t>Especificidades Item N° 81:</t>
  </si>
  <si>
    <t>*SE REALIZA LA ENTREGA DE 20 SOBRES POR MES ( DISTRIBUIDOS SEGÚN DETALLE PARA CADA INSTITUCION) LO QUE PRESENTA UNA SUMA DE 60 SOBRES TRIMESTRALES</t>
  </si>
  <si>
    <t>Especificidades Item N° 82:</t>
  </si>
  <si>
    <t>*SE REALIZA LA ENTREGA DE 1 UNIDAD POR SEMANA ( DISTRIBUIDOS SEGÚN DETALLE PARA CADA INSTITUCION)   LO QUE HACE UNA SUMA DE 4 UNIDADES MENSUALES QUE REPRESENTA UN TOTAL DE 12 UNIDADES TRIMESTRALES</t>
  </si>
  <si>
    <t>Especificidades Item N° 83:</t>
  </si>
  <si>
    <t>*SE REALIZA LA ENTREGA DE 6 BOTELLAS POR MES ( DISTRIBUIDOS SEGÚN DETALLE PARA CADA INSTITUCION) LO QUE PRESENTA UNA SUMA DE 18 BOTELLAS TRIMESTRALES</t>
  </si>
  <si>
    <t>Especificidades Item N° 84:</t>
  </si>
  <si>
    <t>*SE REALIZA LA ENTREGA DE 12 UNIDADES POR MES ( DISTRIBUIDOS SEGÚN DETALLE PARA CADA INSTITUCION) LO QUE PRESENTA UNA SUMA DE 36 UNIDADES TRIMESTRALES</t>
  </si>
  <si>
    <t>Especificidades Item N° 85:</t>
  </si>
  <si>
    <t>Especificidades Item N° 86:</t>
  </si>
  <si>
    <t>*SE REALIZA LA ENTREGA DE 1 UNIDADES POR SEMANA ( DISTRIBUIDOS SEGÚN DETALLE PARA CADA INSTITUCION)  LO QUE HACE UNA SUMA DE 4 UNIDADES MENSUALES QUE REPRESENTA UN TOTAL DE 12 UNIDADES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</si>
</sst>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&quot; €&quot;_-;\-* #,##0.00&quot; €&quot;_-;_-* \-??&quot; €&quot;_-;_-@_-"/>
    <numFmt numFmtId="165" formatCode="[$$-2C0A]\ #,##0.00;[$$-2C0A]&quot; -&quot;#,##0.00"/>
  </numFmts>
  <fonts count="15" x14ac:knownFonts="1"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0"/>
      <name val="Arial"/>
      <family val="2"/>
    </font>
    <font>
      <sz val="10"/>
      <name val="Times New Roman"/>
      <family val="1"/>
      <charset val="1"/>
    </font>
    <font>
      <b/>
      <sz val="10"/>
      <name val="Arial"/>
      <family val="2"/>
    </font>
    <font>
      <u/>
      <sz val="10"/>
      <name val="Times New Roman"/>
      <family val="1"/>
    </font>
    <font>
      <sz val="10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4" fontId="10" fillId="0" borderId="0" applyBorder="0" applyProtection="0"/>
  </cellStyleXfs>
  <cellXfs count="8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 inden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left" wrapText="1" inden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0" fillId="0" borderId="4" xfId="0" applyBorder="1"/>
    <xf numFmtId="0" fontId="0" fillId="2" borderId="4" xfId="0" applyFill="1" applyBorder="1"/>
    <xf numFmtId="0" fontId="9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10" fillId="0" borderId="4" xfId="0" applyFont="1" applyBorder="1" applyAlignment="1">
      <alignment horizontal="center"/>
    </xf>
    <xf numFmtId="0" fontId="10" fillId="0" borderId="4" xfId="1" applyNumberFormat="1" applyBorder="1"/>
    <xf numFmtId="3" fontId="10" fillId="0" borderId="4" xfId="0" applyNumberFormat="1" applyFont="1" applyBorder="1" applyAlignment="1">
      <alignment horizontal="right" vertical="center"/>
    </xf>
    <xf numFmtId="165" fontId="8" fillId="0" borderId="4" xfId="1" applyNumberFormat="1" applyFont="1" applyBorder="1" applyAlignment="1" applyProtection="1">
      <alignment horizontal="right" vertical="center" wrapText="1"/>
    </xf>
    <xf numFmtId="0" fontId="0" fillId="0" borderId="3" xfId="0" applyBorder="1"/>
    <xf numFmtId="0" fontId="9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10" fillId="0" borderId="3" xfId="0" applyFont="1" applyBorder="1" applyAlignment="1">
      <alignment horizontal="center"/>
    </xf>
    <xf numFmtId="0" fontId="10" fillId="0" borderId="3" xfId="1" applyNumberFormat="1" applyBorder="1"/>
    <xf numFmtId="3" fontId="10" fillId="0" borderId="3" xfId="0" applyNumberFormat="1" applyFont="1" applyBorder="1" applyAlignment="1">
      <alignment horizontal="right" vertical="center"/>
    </xf>
    <xf numFmtId="165" fontId="8" fillId="0" borderId="3" xfId="1" applyNumberFormat="1" applyFont="1" applyBorder="1" applyAlignment="1" applyProtection="1">
      <alignment horizontal="right" vertical="center" wrapText="1"/>
    </xf>
    <xf numFmtId="0" fontId="10" fillId="0" borderId="3" xfId="0" applyFont="1" applyBorder="1"/>
    <xf numFmtId="0" fontId="1" fillId="0" borderId="0" xfId="0" applyFont="1" applyAlignment="1">
      <alignment wrapText="1"/>
    </xf>
    <xf numFmtId="0" fontId="10" fillId="0" borderId="3" xfId="0" applyFont="1" applyBorder="1" applyAlignment="1">
      <alignment horizontal="center" wrapText="1"/>
    </xf>
    <xf numFmtId="3" fontId="10" fillId="0" borderId="3" xfId="0" applyNumberFormat="1" applyFont="1" applyBorder="1" applyAlignment="1">
      <alignment horizontal="right"/>
    </xf>
    <xf numFmtId="0" fontId="10" fillId="0" borderId="3" xfId="1" applyNumberFormat="1" applyBorder="1" applyProtection="1"/>
    <xf numFmtId="0" fontId="11" fillId="2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3" fontId="12" fillId="0" borderId="0" xfId="0" applyNumberFormat="1" applyFont="1" applyAlignment="1">
      <alignment horizontal="right"/>
    </xf>
    <xf numFmtId="165" fontId="3" fillId="0" borderId="5" xfId="0" applyNumberFormat="1" applyFont="1" applyBorder="1"/>
    <xf numFmtId="0" fontId="13" fillId="0" borderId="6" xfId="0" applyFont="1" applyBorder="1"/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3" fillId="0" borderId="9" xfId="0" applyFont="1" applyBorder="1" applyAlignment="1">
      <alignment horizontal="left" indent="3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4" fillId="0" borderId="0" xfId="0" applyFont="1"/>
    <xf numFmtId="0" fontId="1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indent="3"/>
    </xf>
    <xf numFmtId="0" fontId="1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17" xfId="0" applyFont="1" applyBorder="1" applyAlignment="1">
      <alignment horizontal="left" indent="3"/>
    </xf>
    <xf numFmtId="0" fontId="1" fillId="0" borderId="18" xfId="0" applyFont="1" applyBorder="1"/>
    <xf numFmtId="0" fontId="1" fillId="0" borderId="18" xfId="0" applyFont="1" applyBorder="1" applyAlignment="1">
      <alignment horizontal="center"/>
    </xf>
    <xf numFmtId="0" fontId="1" fillId="0" borderId="19" xfId="0" applyFont="1" applyBorder="1"/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3" borderId="10" xfId="0" applyFont="1" applyFill="1" applyBorder="1" applyAlignment="1">
      <alignment horizontal="center" wrapText="1"/>
    </xf>
    <xf numFmtId="0" fontId="3" fillId="0" borderId="10" xfId="0" applyFont="1" applyBorder="1"/>
    <xf numFmtId="0" fontId="1" fillId="0" borderId="0" xfId="0" applyFont="1" applyAlignment="1">
      <alignment horizontal="center" wrapText="1"/>
    </xf>
    <xf numFmtId="0" fontId="3" fillId="0" borderId="3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A29B-9C09-41B3-8CE9-EF13ADF1DDFD}">
  <dimension ref="A1:J2250"/>
  <sheetViews>
    <sheetView tabSelected="1" topLeftCell="D22" zoomScale="70" zoomScaleNormal="70" workbookViewId="0">
      <selection activeCell="I96" sqref="I96"/>
    </sheetView>
  </sheetViews>
  <sheetFormatPr baseColWidth="10" defaultColWidth="11" defaultRowHeight="12.75" x14ac:dyDescent="0.2"/>
  <cols>
    <col min="1" max="1" width="3.42578125" style="1" bestFit="1" customWidth="1"/>
    <col min="2" max="2" width="29.140625" style="1" customWidth="1"/>
    <col min="3" max="3" width="21.7109375" style="1" customWidth="1"/>
    <col min="4" max="4" width="11.7109375" style="3" customWidth="1"/>
    <col min="5" max="5" width="163.5703125" style="1" customWidth="1"/>
    <col min="6" max="6" width="14.140625" style="1" customWidth="1"/>
    <col min="7" max="7" width="12.28515625" style="4" customWidth="1"/>
    <col min="8" max="8" width="13.42578125" style="1" customWidth="1"/>
    <col min="9" max="9" width="17.7109375" style="1" bestFit="1" customWidth="1"/>
    <col min="10" max="16384" width="11" style="1"/>
  </cols>
  <sheetData>
    <row r="1" spans="1:9" ht="27" x14ac:dyDescent="0.35">
      <c r="B1" s="2" t="s">
        <v>0</v>
      </c>
      <c r="C1" s="2"/>
      <c r="D1" s="2"/>
      <c r="E1" s="2"/>
      <c r="F1" s="2"/>
      <c r="G1" s="2"/>
      <c r="H1" s="2"/>
    </row>
    <row r="2" spans="1:9" ht="6" customHeight="1" x14ac:dyDescent="0.2"/>
    <row r="3" spans="1:9" ht="16.5" customHeight="1" x14ac:dyDescent="0.25">
      <c r="A3" s="5" t="s">
        <v>1</v>
      </c>
      <c r="B3" s="5"/>
      <c r="C3" s="6" t="s">
        <v>2</v>
      </c>
      <c r="D3" s="6"/>
      <c r="E3" s="6"/>
      <c r="F3" s="7"/>
      <c r="G3" s="8"/>
      <c r="H3" s="9"/>
    </row>
    <row r="4" spans="1:9" ht="17.25" customHeight="1" x14ac:dyDescent="0.25">
      <c r="A4" s="5" t="s">
        <v>3</v>
      </c>
      <c r="B4" s="5"/>
      <c r="C4" s="6" t="s">
        <v>4</v>
      </c>
      <c r="D4" s="6"/>
      <c r="E4" s="6"/>
      <c r="F4" s="7"/>
      <c r="G4" s="8"/>
      <c r="H4" s="9"/>
    </row>
    <row r="5" spans="1:9" ht="15" customHeight="1" x14ac:dyDescent="0.25">
      <c r="A5" s="5" t="s">
        <v>5</v>
      </c>
      <c r="B5" s="5"/>
      <c r="C5" s="10">
        <v>2022</v>
      </c>
      <c r="D5" s="11"/>
      <c r="E5" s="12"/>
      <c r="F5" s="7"/>
      <c r="G5" s="8"/>
      <c r="H5" s="9"/>
    </row>
    <row r="6" spans="1:9" ht="16.5" customHeight="1" x14ac:dyDescent="0.25">
      <c r="A6" s="5" t="s">
        <v>6</v>
      </c>
      <c r="B6" s="5"/>
      <c r="C6" s="10">
        <v>3</v>
      </c>
      <c r="D6" s="11"/>
      <c r="E6" s="12"/>
      <c r="F6" s="7"/>
      <c r="G6" s="8"/>
      <c r="H6" s="9"/>
    </row>
    <row r="7" spans="1:9" ht="7.5" customHeight="1" thickBot="1" x14ac:dyDescent="0.25">
      <c r="B7" s="13"/>
      <c r="C7" s="14"/>
      <c r="D7" s="14"/>
      <c r="E7" s="13"/>
      <c r="F7" s="7"/>
      <c r="G7" s="8"/>
      <c r="H7" s="9"/>
    </row>
    <row r="8" spans="1:9" ht="39" thickBot="1" x14ac:dyDescent="0.25">
      <c r="A8" s="15" t="s">
        <v>7</v>
      </c>
      <c r="B8" s="16" t="s">
        <v>8</v>
      </c>
      <c r="C8" s="16" t="s">
        <v>9</v>
      </c>
      <c r="D8" s="16" t="s">
        <v>10</v>
      </c>
      <c r="E8" s="16" t="s">
        <v>11</v>
      </c>
      <c r="F8" s="17" t="s">
        <v>12</v>
      </c>
      <c r="G8" s="17" t="s">
        <v>13</v>
      </c>
      <c r="H8" s="17" t="s">
        <v>14</v>
      </c>
      <c r="I8" s="16" t="s">
        <v>15</v>
      </c>
    </row>
    <row r="9" spans="1:9" ht="30" customHeight="1" x14ac:dyDescent="0.2">
      <c r="A9" s="18">
        <v>1</v>
      </c>
      <c r="B9" s="19" t="s">
        <v>16</v>
      </c>
      <c r="C9" s="20" t="s">
        <v>17</v>
      </c>
      <c r="D9" s="21" t="s">
        <v>18</v>
      </c>
      <c r="E9" s="22" t="s">
        <v>19</v>
      </c>
      <c r="F9" s="23" t="s">
        <v>20</v>
      </c>
      <c r="G9" s="24">
        <v>265</v>
      </c>
      <c r="H9" s="25">
        <v>231</v>
      </c>
      <c r="I9" s="26">
        <f t="shared" ref="I9:I72" si="0">H9*G9</f>
        <v>61215</v>
      </c>
    </row>
    <row r="10" spans="1:9" ht="30" customHeight="1" x14ac:dyDescent="0.2">
      <c r="A10" s="18">
        <v>2</v>
      </c>
      <c r="B10" s="27" t="s">
        <v>21</v>
      </c>
      <c r="C10" s="27" t="s">
        <v>22</v>
      </c>
      <c r="D10" s="28" t="s">
        <v>18</v>
      </c>
      <c r="E10" s="29" t="s">
        <v>23</v>
      </c>
      <c r="F10" s="30" t="s">
        <v>20</v>
      </c>
      <c r="G10" s="31">
        <v>44</v>
      </c>
      <c r="H10" s="32">
        <v>426</v>
      </c>
      <c r="I10" s="33">
        <f t="shared" si="0"/>
        <v>18744</v>
      </c>
    </row>
    <row r="11" spans="1:9" ht="30" customHeight="1" x14ac:dyDescent="0.2">
      <c r="A11" s="18">
        <v>3</v>
      </c>
      <c r="B11" s="27" t="s">
        <v>24</v>
      </c>
      <c r="C11" s="27" t="s">
        <v>22</v>
      </c>
      <c r="D11" s="28" t="s">
        <v>18</v>
      </c>
      <c r="E11" s="29" t="s">
        <v>25</v>
      </c>
      <c r="F11" s="30" t="s">
        <v>20</v>
      </c>
      <c r="G11" s="31">
        <v>153</v>
      </c>
      <c r="H11" s="32">
        <v>285</v>
      </c>
      <c r="I11" s="33">
        <f t="shared" si="0"/>
        <v>43605</v>
      </c>
    </row>
    <row r="12" spans="1:9" ht="30" customHeight="1" x14ac:dyDescent="0.2">
      <c r="A12" s="18">
        <v>4</v>
      </c>
      <c r="B12" s="27" t="s">
        <v>26</v>
      </c>
      <c r="C12" s="34" t="s">
        <v>22</v>
      </c>
      <c r="D12" s="28" t="s">
        <v>18</v>
      </c>
      <c r="E12" s="29" t="s">
        <v>27</v>
      </c>
      <c r="F12" s="30" t="s">
        <v>28</v>
      </c>
      <c r="G12" s="31">
        <v>185</v>
      </c>
      <c r="H12" s="32">
        <v>453</v>
      </c>
      <c r="I12" s="33">
        <f t="shared" si="0"/>
        <v>83805</v>
      </c>
    </row>
    <row r="13" spans="1:9" ht="30" customHeight="1" x14ac:dyDescent="0.2">
      <c r="A13" s="18">
        <v>5</v>
      </c>
      <c r="B13" s="27" t="s">
        <v>29</v>
      </c>
      <c r="C13" s="27" t="s">
        <v>22</v>
      </c>
      <c r="D13" s="28" t="s">
        <v>18</v>
      </c>
      <c r="E13" s="29" t="s">
        <v>30</v>
      </c>
      <c r="F13" s="30" t="s">
        <v>20</v>
      </c>
      <c r="G13" s="31">
        <v>235</v>
      </c>
      <c r="H13" s="32">
        <v>60</v>
      </c>
      <c r="I13" s="33">
        <f t="shared" si="0"/>
        <v>14100</v>
      </c>
    </row>
    <row r="14" spans="1:9" ht="30" customHeight="1" x14ac:dyDescent="0.2">
      <c r="A14" s="18">
        <v>6</v>
      </c>
      <c r="B14" s="27" t="s">
        <v>31</v>
      </c>
      <c r="C14" s="27" t="s">
        <v>22</v>
      </c>
      <c r="D14" s="28" t="s">
        <v>18</v>
      </c>
      <c r="E14" s="29" t="s">
        <v>32</v>
      </c>
      <c r="F14" s="30" t="s">
        <v>20</v>
      </c>
      <c r="G14" s="31">
        <v>130</v>
      </c>
      <c r="H14" s="32">
        <v>489</v>
      </c>
      <c r="I14" s="33">
        <f t="shared" si="0"/>
        <v>63570</v>
      </c>
    </row>
    <row r="15" spans="1:9" ht="30" customHeight="1" x14ac:dyDescent="0.2">
      <c r="A15" s="18">
        <v>7</v>
      </c>
      <c r="B15" s="27" t="s">
        <v>33</v>
      </c>
      <c r="C15" s="27" t="s">
        <v>22</v>
      </c>
      <c r="D15" s="28" t="s">
        <v>18</v>
      </c>
      <c r="E15" s="29" t="s">
        <v>34</v>
      </c>
      <c r="F15" s="30" t="s">
        <v>28</v>
      </c>
      <c r="G15" s="31">
        <v>66</v>
      </c>
      <c r="H15" s="32">
        <v>105</v>
      </c>
      <c r="I15" s="33">
        <f t="shared" si="0"/>
        <v>6930</v>
      </c>
    </row>
    <row r="16" spans="1:9" ht="30" customHeight="1" x14ac:dyDescent="0.2">
      <c r="A16" s="18">
        <v>8</v>
      </c>
      <c r="B16" s="27" t="s">
        <v>35</v>
      </c>
      <c r="C16" s="27" t="s">
        <v>22</v>
      </c>
      <c r="D16" s="28" t="s">
        <v>18</v>
      </c>
      <c r="E16" s="29" t="s">
        <v>36</v>
      </c>
      <c r="F16" s="30" t="s">
        <v>20</v>
      </c>
      <c r="G16" s="31">
        <v>156</v>
      </c>
      <c r="H16" s="32">
        <v>48</v>
      </c>
      <c r="I16" s="33">
        <f t="shared" si="0"/>
        <v>7488</v>
      </c>
    </row>
    <row r="17" spans="1:10" ht="30" customHeight="1" x14ac:dyDescent="0.2">
      <c r="A17" s="18">
        <v>9</v>
      </c>
      <c r="B17" s="27" t="s">
        <v>37</v>
      </c>
      <c r="C17" s="27" t="s">
        <v>22</v>
      </c>
      <c r="D17" s="28" t="s">
        <v>18</v>
      </c>
      <c r="E17" s="29" t="s">
        <v>38</v>
      </c>
      <c r="F17" s="30" t="s">
        <v>39</v>
      </c>
      <c r="G17" s="31">
        <v>35</v>
      </c>
      <c r="H17" s="32">
        <v>105</v>
      </c>
      <c r="I17" s="33">
        <f t="shared" si="0"/>
        <v>3675</v>
      </c>
    </row>
    <row r="18" spans="1:10" ht="30" customHeight="1" x14ac:dyDescent="0.2">
      <c r="A18" s="18">
        <v>10</v>
      </c>
      <c r="B18" s="27" t="s">
        <v>40</v>
      </c>
      <c r="C18" s="27" t="s">
        <v>22</v>
      </c>
      <c r="D18" s="28" t="s">
        <v>18</v>
      </c>
      <c r="E18" s="29" t="s">
        <v>41</v>
      </c>
      <c r="F18" s="30" t="s">
        <v>28</v>
      </c>
      <c r="G18" s="31">
        <v>552</v>
      </c>
      <c r="H18" s="32">
        <v>270</v>
      </c>
      <c r="I18" s="33">
        <f t="shared" si="0"/>
        <v>149040</v>
      </c>
    </row>
    <row r="19" spans="1:10" ht="30" customHeight="1" x14ac:dyDescent="0.2">
      <c r="A19" s="18">
        <v>11</v>
      </c>
      <c r="B19" s="27" t="s">
        <v>42</v>
      </c>
      <c r="C19" s="27" t="s">
        <v>22</v>
      </c>
      <c r="D19" s="28" t="s">
        <v>18</v>
      </c>
      <c r="E19" s="29" t="s">
        <v>43</v>
      </c>
      <c r="F19" s="30" t="s">
        <v>20</v>
      </c>
      <c r="G19" s="31">
        <v>184</v>
      </c>
      <c r="H19" s="32">
        <v>108</v>
      </c>
      <c r="I19" s="33">
        <f t="shared" si="0"/>
        <v>19872</v>
      </c>
    </row>
    <row r="20" spans="1:10" ht="30" customHeight="1" x14ac:dyDescent="0.2">
      <c r="A20" s="18">
        <v>12</v>
      </c>
      <c r="B20" s="27" t="s">
        <v>44</v>
      </c>
      <c r="C20" s="27" t="s">
        <v>22</v>
      </c>
      <c r="D20" s="28" t="s">
        <v>18</v>
      </c>
      <c r="E20" s="29" t="s">
        <v>45</v>
      </c>
      <c r="F20" s="30" t="s">
        <v>20</v>
      </c>
      <c r="G20" s="31">
        <v>184</v>
      </c>
      <c r="H20" s="32">
        <v>108</v>
      </c>
      <c r="I20" s="33">
        <f t="shared" si="0"/>
        <v>19872</v>
      </c>
    </row>
    <row r="21" spans="1:10" ht="30" customHeight="1" x14ac:dyDescent="0.2">
      <c r="A21" s="18">
        <v>13</v>
      </c>
      <c r="B21" s="27" t="s">
        <v>46</v>
      </c>
      <c r="C21" s="27" t="s">
        <v>22</v>
      </c>
      <c r="D21" s="28" t="s">
        <v>18</v>
      </c>
      <c r="E21" s="29" t="s">
        <v>47</v>
      </c>
      <c r="F21" s="30" t="s">
        <v>20</v>
      </c>
      <c r="G21" s="31">
        <v>184</v>
      </c>
      <c r="H21" s="32">
        <v>108</v>
      </c>
      <c r="I21" s="33">
        <f t="shared" si="0"/>
        <v>19872</v>
      </c>
    </row>
    <row r="22" spans="1:10" ht="30" customHeight="1" x14ac:dyDescent="0.2">
      <c r="A22" s="18">
        <v>14</v>
      </c>
      <c r="B22" s="27" t="s">
        <v>48</v>
      </c>
      <c r="C22" s="27" t="s">
        <v>22</v>
      </c>
      <c r="D22" s="28" t="s">
        <v>18</v>
      </c>
      <c r="E22" s="29" t="s">
        <v>49</v>
      </c>
      <c r="F22" s="30" t="s">
        <v>28</v>
      </c>
      <c r="G22" s="31">
        <v>175</v>
      </c>
      <c r="H22" s="32">
        <v>252</v>
      </c>
      <c r="I22" s="33">
        <f t="shared" si="0"/>
        <v>44100</v>
      </c>
    </row>
    <row r="23" spans="1:10" ht="30" customHeight="1" x14ac:dyDescent="0.2">
      <c r="A23" s="18">
        <v>15</v>
      </c>
      <c r="B23" s="27" t="s">
        <v>50</v>
      </c>
      <c r="C23" s="27" t="s">
        <v>22</v>
      </c>
      <c r="D23" s="28" t="s">
        <v>18</v>
      </c>
      <c r="E23" s="29" t="s">
        <v>51</v>
      </c>
      <c r="F23" s="30" t="s">
        <v>28</v>
      </c>
      <c r="G23" s="31">
        <v>526</v>
      </c>
      <c r="H23" s="32">
        <v>180</v>
      </c>
      <c r="I23" s="33">
        <f t="shared" si="0"/>
        <v>94680</v>
      </c>
    </row>
    <row r="24" spans="1:10" ht="30" customHeight="1" x14ac:dyDescent="0.2">
      <c r="A24" s="18">
        <v>16</v>
      </c>
      <c r="B24" s="27" t="s">
        <v>52</v>
      </c>
      <c r="C24" s="27" t="s">
        <v>22</v>
      </c>
      <c r="D24" s="28" t="s">
        <v>18</v>
      </c>
      <c r="E24" s="29" t="s">
        <v>53</v>
      </c>
      <c r="F24" s="30" t="s">
        <v>54</v>
      </c>
      <c r="G24" s="31">
        <v>466</v>
      </c>
      <c r="H24" s="32">
        <f>15+6</f>
        <v>21</v>
      </c>
      <c r="I24" s="33">
        <f t="shared" si="0"/>
        <v>9786</v>
      </c>
    </row>
    <row r="25" spans="1:10" ht="30" customHeight="1" x14ac:dyDescent="0.2">
      <c r="A25" s="18">
        <v>17</v>
      </c>
      <c r="B25" s="27" t="s">
        <v>55</v>
      </c>
      <c r="C25" s="27" t="s">
        <v>22</v>
      </c>
      <c r="D25" s="28" t="s">
        <v>18</v>
      </c>
      <c r="E25" s="29" t="s">
        <v>56</v>
      </c>
      <c r="F25" s="30" t="s">
        <v>57</v>
      </c>
      <c r="G25" s="31">
        <v>672</v>
      </c>
      <c r="H25" s="32">
        <v>18</v>
      </c>
      <c r="I25" s="33">
        <f t="shared" si="0"/>
        <v>12096</v>
      </c>
    </row>
    <row r="26" spans="1:10" ht="30" customHeight="1" x14ac:dyDescent="0.2">
      <c r="A26" s="18">
        <v>18</v>
      </c>
      <c r="B26" s="27" t="s">
        <v>58</v>
      </c>
      <c r="C26" s="27" t="s">
        <v>22</v>
      </c>
      <c r="D26" s="28" t="s">
        <v>18</v>
      </c>
      <c r="E26" s="29" t="s">
        <v>59</v>
      </c>
      <c r="F26" s="30" t="s">
        <v>57</v>
      </c>
      <c r="G26" s="31">
        <v>320</v>
      </c>
      <c r="H26" s="32">
        <v>135</v>
      </c>
      <c r="I26" s="33">
        <f t="shared" si="0"/>
        <v>43200</v>
      </c>
    </row>
    <row r="27" spans="1:10" ht="30" customHeight="1" x14ac:dyDescent="0.2">
      <c r="A27" s="18">
        <v>19</v>
      </c>
      <c r="B27" s="27" t="s">
        <v>60</v>
      </c>
      <c r="C27" s="27" t="s">
        <v>22</v>
      </c>
      <c r="D27" s="28" t="s">
        <v>18</v>
      </c>
      <c r="E27" s="29" t="s">
        <v>61</v>
      </c>
      <c r="F27" s="30" t="s">
        <v>20</v>
      </c>
      <c r="G27" s="31">
        <v>828</v>
      </c>
      <c r="H27" s="32">
        <v>18</v>
      </c>
      <c r="I27" s="33">
        <f t="shared" si="0"/>
        <v>14904</v>
      </c>
    </row>
    <row r="28" spans="1:10" ht="30" customHeight="1" x14ac:dyDescent="0.2">
      <c r="A28" s="18">
        <v>20</v>
      </c>
      <c r="B28" s="27" t="s">
        <v>62</v>
      </c>
      <c r="C28" s="27" t="s">
        <v>22</v>
      </c>
      <c r="D28" s="28" t="s">
        <v>18</v>
      </c>
      <c r="E28" s="29" t="s">
        <v>63</v>
      </c>
      <c r="F28" s="30" t="s">
        <v>64</v>
      </c>
      <c r="G28" s="31">
        <v>257</v>
      </c>
      <c r="H28" s="32">
        <v>144</v>
      </c>
      <c r="I28" s="33">
        <f t="shared" si="0"/>
        <v>37008</v>
      </c>
      <c r="J28" s="35"/>
    </row>
    <row r="29" spans="1:10" ht="30" customHeight="1" x14ac:dyDescent="0.2">
      <c r="A29" s="18">
        <v>21</v>
      </c>
      <c r="B29" s="27" t="s">
        <v>65</v>
      </c>
      <c r="C29" s="27" t="s">
        <v>22</v>
      </c>
      <c r="D29" s="28" t="s">
        <v>18</v>
      </c>
      <c r="E29" s="29" t="s">
        <v>66</v>
      </c>
      <c r="F29" s="30" t="s">
        <v>64</v>
      </c>
      <c r="G29" s="31">
        <v>257</v>
      </c>
      <c r="H29" s="32">
        <v>45</v>
      </c>
      <c r="I29" s="33">
        <f t="shared" si="0"/>
        <v>11565</v>
      </c>
    </row>
    <row r="30" spans="1:10" ht="30" customHeight="1" x14ac:dyDescent="0.2">
      <c r="A30" s="18">
        <v>22</v>
      </c>
      <c r="B30" s="27" t="s">
        <v>67</v>
      </c>
      <c r="C30" s="27" t="s">
        <v>22</v>
      </c>
      <c r="D30" s="28" t="s">
        <v>18</v>
      </c>
      <c r="E30" s="29" t="s">
        <v>68</v>
      </c>
      <c r="F30" s="30" t="s">
        <v>28</v>
      </c>
      <c r="G30" s="31">
        <v>1950</v>
      </c>
      <c r="H30" s="32">
        <v>45</v>
      </c>
      <c r="I30" s="33">
        <f t="shared" si="0"/>
        <v>87750</v>
      </c>
    </row>
    <row r="31" spans="1:10" ht="30" customHeight="1" x14ac:dyDescent="0.2">
      <c r="A31" s="18">
        <v>23</v>
      </c>
      <c r="B31" s="27" t="s">
        <v>69</v>
      </c>
      <c r="C31" s="27" t="s">
        <v>22</v>
      </c>
      <c r="D31" s="28" t="s">
        <v>18</v>
      </c>
      <c r="E31" s="29" t="s">
        <v>70</v>
      </c>
      <c r="F31" s="30" t="s">
        <v>28</v>
      </c>
      <c r="G31" s="31">
        <v>1550</v>
      </c>
      <c r="H31" s="32">
        <v>36</v>
      </c>
      <c r="I31" s="33">
        <f t="shared" si="0"/>
        <v>55800</v>
      </c>
    </row>
    <row r="32" spans="1:10" ht="30" customHeight="1" x14ac:dyDescent="0.2">
      <c r="A32" s="18">
        <v>24</v>
      </c>
      <c r="B32" s="27" t="s">
        <v>71</v>
      </c>
      <c r="C32" s="27" t="s">
        <v>22</v>
      </c>
      <c r="D32" s="28" t="s">
        <v>18</v>
      </c>
      <c r="E32" s="29" t="s">
        <v>72</v>
      </c>
      <c r="F32" s="36" t="s">
        <v>20</v>
      </c>
      <c r="G32" s="31">
        <v>179</v>
      </c>
      <c r="H32" s="32">
        <v>147</v>
      </c>
      <c r="I32" s="33">
        <f t="shared" si="0"/>
        <v>26313</v>
      </c>
    </row>
    <row r="33" spans="1:9" ht="30" customHeight="1" x14ac:dyDescent="0.2">
      <c r="A33" s="18">
        <v>25</v>
      </c>
      <c r="B33" s="27" t="s">
        <v>73</v>
      </c>
      <c r="C33" s="27" t="s">
        <v>22</v>
      </c>
      <c r="D33" s="28" t="s">
        <v>18</v>
      </c>
      <c r="E33" s="29" t="s">
        <v>74</v>
      </c>
      <c r="F33" s="30" t="s">
        <v>20</v>
      </c>
      <c r="G33" s="31">
        <v>438</v>
      </c>
      <c r="H33" s="32">
        <v>246</v>
      </c>
      <c r="I33" s="33">
        <f t="shared" si="0"/>
        <v>107748</v>
      </c>
    </row>
    <row r="34" spans="1:9" ht="30" customHeight="1" x14ac:dyDescent="0.2">
      <c r="A34" s="18">
        <v>26</v>
      </c>
      <c r="B34" s="27" t="s">
        <v>75</v>
      </c>
      <c r="C34" s="27" t="s">
        <v>22</v>
      </c>
      <c r="D34" s="28" t="s">
        <v>18</v>
      </c>
      <c r="E34" s="29" t="s">
        <v>76</v>
      </c>
      <c r="F34" s="30" t="s">
        <v>77</v>
      </c>
      <c r="G34" s="31">
        <v>327</v>
      </c>
      <c r="H34" s="32">
        <v>69</v>
      </c>
      <c r="I34" s="33">
        <f t="shared" si="0"/>
        <v>22563</v>
      </c>
    </row>
    <row r="35" spans="1:9" ht="30" customHeight="1" x14ac:dyDescent="0.2">
      <c r="A35" s="18">
        <v>27</v>
      </c>
      <c r="B35" s="27" t="s">
        <v>78</v>
      </c>
      <c r="C35" s="27" t="s">
        <v>22</v>
      </c>
      <c r="D35" s="28" t="s">
        <v>18</v>
      </c>
      <c r="E35" s="29" t="s">
        <v>79</v>
      </c>
      <c r="F35" s="30" t="s">
        <v>20</v>
      </c>
      <c r="G35" s="31">
        <v>110</v>
      </c>
      <c r="H35" s="32">
        <v>171</v>
      </c>
      <c r="I35" s="33">
        <f t="shared" si="0"/>
        <v>18810</v>
      </c>
    </row>
    <row r="36" spans="1:9" ht="30" customHeight="1" x14ac:dyDescent="0.2">
      <c r="A36" s="18">
        <v>28</v>
      </c>
      <c r="B36" s="27" t="s">
        <v>80</v>
      </c>
      <c r="C36" s="27" t="s">
        <v>22</v>
      </c>
      <c r="D36" s="28" t="s">
        <v>18</v>
      </c>
      <c r="E36" s="29" t="s">
        <v>81</v>
      </c>
      <c r="F36" s="30" t="s">
        <v>20</v>
      </c>
      <c r="G36" s="31">
        <v>110</v>
      </c>
      <c r="H36" s="32">
        <v>210</v>
      </c>
      <c r="I36" s="33">
        <f t="shared" si="0"/>
        <v>23100</v>
      </c>
    </row>
    <row r="37" spans="1:9" ht="30" customHeight="1" x14ac:dyDescent="0.2">
      <c r="A37" s="18">
        <v>29</v>
      </c>
      <c r="B37" s="27" t="s">
        <v>82</v>
      </c>
      <c r="C37" s="34" t="s">
        <v>22</v>
      </c>
      <c r="D37" s="28" t="s">
        <v>18</v>
      </c>
      <c r="E37" s="29" t="s">
        <v>83</v>
      </c>
      <c r="F37" s="30" t="s">
        <v>20</v>
      </c>
      <c r="G37" s="31">
        <v>110</v>
      </c>
      <c r="H37" s="32">
        <v>108</v>
      </c>
      <c r="I37" s="33">
        <f t="shared" si="0"/>
        <v>11880</v>
      </c>
    </row>
    <row r="38" spans="1:9" ht="30" customHeight="1" x14ac:dyDescent="0.2">
      <c r="A38" s="18">
        <v>30</v>
      </c>
      <c r="B38" s="27" t="s">
        <v>84</v>
      </c>
      <c r="C38" s="27" t="s">
        <v>22</v>
      </c>
      <c r="D38" s="28" t="s">
        <v>18</v>
      </c>
      <c r="E38" s="29" t="s">
        <v>85</v>
      </c>
      <c r="F38" s="30" t="s">
        <v>20</v>
      </c>
      <c r="G38" s="31">
        <v>292</v>
      </c>
      <c r="H38" s="32">
        <v>252</v>
      </c>
      <c r="I38" s="33">
        <f t="shared" si="0"/>
        <v>73584</v>
      </c>
    </row>
    <row r="39" spans="1:9" ht="30" customHeight="1" x14ac:dyDescent="0.2">
      <c r="A39" s="18">
        <v>31</v>
      </c>
      <c r="B39" s="27" t="s">
        <v>86</v>
      </c>
      <c r="C39" s="27" t="s">
        <v>22</v>
      </c>
      <c r="D39" s="28" t="s">
        <v>18</v>
      </c>
      <c r="E39" s="29" t="s">
        <v>87</v>
      </c>
      <c r="F39" s="30" t="s">
        <v>20</v>
      </c>
      <c r="G39" s="31">
        <v>124</v>
      </c>
      <c r="H39" s="37">
        <v>222</v>
      </c>
      <c r="I39" s="33">
        <f t="shared" si="0"/>
        <v>27528</v>
      </c>
    </row>
    <row r="40" spans="1:9" ht="30" customHeight="1" x14ac:dyDescent="0.2">
      <c r="A40" s="18">
        <v>32</v>
      </c>
      <c r="B40" s="27" t="s">
        <v>88</v>
      </c>
      <c r="C40" s="27" t="s">
        <v>22</v>
      </c>
      <c r="D40" s="28" t="s">
        <v>18</v>
      </c>
      <c r="E40" s="29" t="s">
        <v>89</v>
      </c>
      <c r="F40" s="30" t="s">
        <v>20</v>
      </c>
      <c r="G40" s="31">
        <v>156</v>
      </c>
      <c r="H40" s="37">
        <v>363</v>
      </c>
      <c r="I40" s="33">
        <f t="shared" si="0"/>
        <v>56628</v>
      </c>
    </row>
    <row r="41" spans="1:9" ht="30" customHeight="1" x14ac:dyDescent="0.2">
      <c r="A41" s="18">
        <v>33</v>
      </c>
      <c r="B41" s="27" t="s">
        <v>90</v>
      </c>
      <c r="C41" s="27" t="s">
        <v>22</v>
      </c>
      <c r="D41" s="28" t="s">
        <v>18</v>
      </c>
      <c r="E41" s="29" t="s">
        <v>91</v>
      </c>
      <c r="F41" s="30" t="s">
        <v>20</v>
      </c>
      <c r="G41" s="31">
        <v>191</v>
      </c>
      <c r="H41" s="37">
        <v>75</v>
      </c>
      <c r="I41" s="33">
        <f t="shared" si="0"/>
        <v>14325</v>
      </c>
    </row>
    <row r="42" spans="1:9" ht="30" customHeight="1" x14ac:dyDescent="0.2">
      <c r="A42" s="18">
        <v>34</v>
      </c>
      <c r="B42" s="27" t="s">
        <v>92</v>
      </c>
      <c r="C42" s="27" t="s">
        <v>22</v>
      </c>
      <c r="D42" s="28" t="s">
        <v>18</v>
      </c>
      <c r="E42" s="29" t="s">
        <v>93</v>
      </c>
      <c r="F42" s="30" t="s">
        <v>20</v>
      </c>
      <c r="G42" s="31">
        <v>165</v>
      </c>
      <c r="H42" s="37">
        <v>294</v>
      </c>
      <c r="I42" s="33">
        <f t="shared" si="0"/>
        <v>48510</v>
      </c>
    </row>
    <row r="43" spans="1:9" ht="30" customHeight="1" x14ac:dyDescent="0.2">
      <c r="A43" s="18">
        <v>35</v>
      </c>
      <c r="B43" s="27" t="s">
        <v>94</v>
      </c>
      <c r="C43" s="27" t="s">
        <v>22</v>
      </c>
      <c r="D43" s="28" t="s">
        <v>18</v>
      </c>
      <c r="E43" s="29" t="s">
        <v>95</v>
      </c>
      <c r="F43" s="30" t="s">
        <v>20</v>
      </c>
      <c r="G43" s="31">
        <v>700</v>
      </c>
      <c r="H43" s="37">
        <v>81</v>
      </c>
      <c r="I43" s="33">
        <f t="shared" si="0"/>
        <v>56700</v>
      </c>
    </row>
    <row r="44" spans="1:9" ht="30" customHeight="1" x14ac:dyDescent="0.2">
      <c r="A44" s="18">
        <v>36</v>
      </c>
      <c r="B44" s="27" t="s">
        <v>96</v>
      </c>
      <c r="C44" s="27" t="s">
        <v>22</v>
      </c>
      <c r="D44" s="28" t="s">
        <v>18</v>
      </c>
      <c r="E44" s="29" t="s">
        <v>97</v>
      </c>
      <c r="F44" s="30" t="s">
        <v>20</v>
      </c>
      <c r="G44" s="31">
        <v>160</v>
      </c>
      <c r="H44" s="37">
        <v>264</v>
      </c>
      <c r="I44" s="33">
        <f t="shared" si="0"/>
        <v>42240</v>
      </c>
    </row>
    <row r="45" spans="1:9" ht="30" customHeight="1" x14ac:dyDescent="0.2">
      <c r="A45" s="18">
        <v>37</v>
      </c>
      <c r="B45" s="27" t="s">
        <v>98</v>
      </c>
      <c r="C45" s="27" t="s">
        <v>22</v>
      </c>
      <c r="D45" s="28" t="s">
        <v>18</v>
      </c>
      <c r="E45" s="29" t="s">
        <v>99</v>
      </c>
      <c r="F45" s="30" t="s">
        <v>20</v>
      </c>
      <c r="G45" s="31">
        <v>215</v>
      </c>
      <c r="H45" s="37">
        <v>249</v>
      </c>
      <c r="I45" s="33">
        <f t="shared" si="0"/>
        <v>53535</v>
      </c>
    </row>
    <row r="46" spans="1:9" ht="30" customHeight="1" x14ac:dyDescent="0.2">
      <c r="A46" s="18">
        <v>38</v>
      </c>
      <c r="B46" s="27" t="s">
        <v>100</v>
      </c>
      <c r="C46" s="27" t="s">
        <v>22</v>
      </c>
      <c r="D46" s="28" t="s">
        <v>18</v>
      </c>
      <c r="E46" s="29" t="s">
        <v>101</v>
      </c>
      <c r="F46" s="30" t="s">
        <v>20</v>
      </c>
      <c r="G46" s="31">
        <v>49</v>
      </c>
      <c r="H46" s="37">
        <v>1254</v>
      </c>
      <c r="I46" s="33">
        <f t="shared" si="0"/>
        <v>61446</v>
      </c>
    </row>
    <row r="47" spans="1:9" ht="30" customHeight="1" x14ac:dyDescent="0.2">
      <c r="A47" s="18">
        <v>39</v>
      </c>
      <c r="B47" s="27" t="s">
        <v>102</v>
      </c>
      <c r="C47" s="27" t="s">
        <v>22</v>
      </c>
      <c r="D47" s="28" t="s">
        <v>18</v>
      </c>
      <c r="E47" s="29" t="s">
        <v>103</v>
      </c>
      <c r="F47" s="30" t="s">
        <v>20</v>
      </c>
      <c r="G47" s="31">
        <v>230</v>
      </c>
      <c r="H47" s="37">
        <v>363</v>
      </c>
      <c r="I47" s="33">
        <f t="shared" si="0"/>
        <v>83490</v>
      </c>
    </row>
    <row r="48" spans="1:9" ht="30" customHeight="1" x14ac:dyDescent="0.2">
      <c r="A48" s="18">
        <v>40</v>
      </c>
      <c r="B48" s="27" t="s">
        <v>104</v>
      </c>
      <c r="C48" s="27" t="s">
        <v>22</v>
      </c>
      <c r="D48" s="28" t="s">
        <v>18</v>
      </c>
      <c r="E48" s="29" t="s">
        <v>105</v>
      </c>
      <c r="F48" s="30" t="s">
        <v>20</v>
      </c>
      <c r="G48" s="31">
        <v>210</v>
      </c>
      <c r="H48" s="37">
        <v>12</v>
      </c>
      <c r="I48" s="33">
        <f t="shared" si="0"/>
        <v>2520</v>
      </c>
    </row>
    <row r="49" spans="1:9" ht="30" customHeight="1" x14ac:dyDescent="0.2">
      <c r="A49" s="18">
        <v>41</v>
      </c>
      <c r="B49" s="27" t="s">
        <v>106</v>
      </c>
      <c r="C49" s="27" t="s">
        <v>22</v>
      </c>
      <c r="D49" s="28" t="s">
        <v>18</v>
      </c>
      <c r="E49" s="29" t="s">
        <v>107</v>
      </c>
      <c r="F49" s="30" t="s">
        <v>20</v>
      </c>
      <c r="G49" s="31">
        <v>169</v>
      </c>
      <c r="H49" s="37">
        <v>60</v>
      </c>
      <c r="I49" s="33">
        <f t="shared" si="0"/>
        <v>10140</v>
      </c>
    </row>
    <row r="50" spans="1:9" ht="30" customHeight="1" x14ac:dyDescent="0.2">
      <c r="A50" s="18">
        <v>42</v>
      </c>
      <c r="B50" s="27" t="s">
        <v>108</v>
      </c>
      <c r="C50" s="27" t="s">
        <v>22</v>
      </c>
      <c r="D50" s="28" t="s">
        <v>18</v>
      </c>
      <c r="E50" s="29" t="s">
        <v>109</v>
      </c>
      <c r="F50" s="30" t="s">
        <v>20</v>
      </c>
      <c r="G50" s="31">
        <v>495</v>
      </c>
      <c r="H50" s="37">
        <v>45</v>
      </c>
      <c r="I50" s="33">
        <f t="shared" si="0"/>
        <v>22275</v>
      </c>
    </row>
    <row r="51" spans="1:9" ht="30" customHeight="1" x14ac:dyDescent="0.2">
      <c r="A51" s="18">
        <v>43</v>
      </c>
      <c r="B51" s="27" t="s">
        <v>110</v>
      </c>
      <c r="C51" s="27" t="s">
        <v>22</v>
      </c>
      <c r="D51" s="28" t="s">
        <v>18</v>
      </c>
      <c r="E51" s="29" t="s">
        <v>111</v>
      </c>
      <c r="F51" s="30" t="s">
        <v>20</v>
      </c>
      <c r="G51" s="31">
        <v>210</v>
      </c>
      <c r="H51" s="37">
        <v>138</v>
      </c>
      <c r="I51" s="33">
        <f t="shared" si="0"/>
        <v>28980</v>
      </c>
    </row>
    <row r="52" spans="1:9" ht="30" customHeight="1" x14ac:dyDescent="0.2">
      <c r="A52" s="18">
        <v>44</v>
      </c>
      <c r="B52" s="27" t="s">
        <v>112</v>
      </c>
      <c r="C52" s="27" t="s">
        <v>22</v>
      </c>
      <c r="D52" s="28" t="s">
        <v>18</v>
      </c>
      <c r="E52" s="29" t="s">
        <v>113</v>
      </c>
      <c r="F52" s="30" t="s">
        <v>20</v>
      </c>
      <c r="G52" s="31">
        <v>1050</v>
      </c>
      <c r="H52" s="37">
        <v>54</v>
      </c>
      <c r="I52" s="33">
        <f t="shared" si="0"/>
        <v>56700</v>
      </c>
    </row>
    <row r="53" spans="1:9" ht="30" customHeight="1" x14ac:dyDescent="0.2">
      <c r="A53" s="18">
        <v>45</v>
      </c>
      <c r="B53" s="27" t="s">
        <v>114</v>
      </c>
      <c r="C53" s="27" t="s">
        <v>22</v>
      </c>
      <c r="D53" s="28" t="s">
        <v>18</v>
      </c>
      <c r="E53" s="29" t="s">
        <v>115</v>
      </c>
      <c r="F53" s="30" t="s">
        <v>20</v>
      </c>
      <c r="G53" s="31">
        <v>153</v>
      </c>
      <c r="H53" s="37">
        <v>168</v>
      </c>
      <c r="I53" s="33">
        <f t="shared" si="0"/>
        <v>25704</v>
      </c>
    </row>
    <row r="54" spans="1:9" ht="30" customHeight="1" x14ac:dyDescent="0.2">
      <c r="A54" s="18">
        <v>46</v>
      </c>
      <c r="B54" s="27" t="s">
        <v>116</v>
      </c>
      <c r="C54" s="27" t="s">
        <v>22</v>
      </c>
      <c r="D54" s="28" t="s">
        <v>18</v>
      </c>
      <c r="E54" s="29" t="s">
        <v>117</v>
      </c>
      <c r="F54" s="36" t="s">
        <v>20</v>
      </c>
      <c r="G54" s="31">
        <v>148</v>
      </c>
      <c r="H54" s="37">
        <v>183</v>
      </c>
      <c r="I54" s="33">
        <f t="shared" si="0"/>
        <v>27084</v>
      </c>
    </row>
    <row r="55" spans="1:9" ht="30" customHeight="1" x14ac:dyDescent="0.2">
      <c r="A55" s="18">
        <v>47</v>
      </c>
      <c r="B55" s="27" t="s">
        <v>118</v>
      </c>
      <c r="C55" s="27" t="s">
        <v>22</v>
      </c>
      <c r="D55" s="28" t="s">
        <v>18</v>
      </c>
      <c r="E55" s="29" t="s">
        <v>119</v>
      </c>
      <c r="F55" s="30" t="s">
        <v>20</v>
      </c>
      <c r="G55" s="31">
        <v>270</v>
      </c>
      <c r="H55" s="37">
        <v>45</v>
      </c>
      <c r="I55" s="33">
        <f t="shared" si="0"/>
        <v>12150</v>
      </c>
    </row>
    <row r="56" spans="1:9" ht="30" customHeight="1" x14ac:dyDescent="0.2">
      <c r="A56" s="18">
        <v>48</v>
      </c>
      <c r="B56" s="27" t="s">
        <v>120</v>
      </c>
      <c r="C56" s="27" t="s">
        <v>22</v>
      </c>
      <c r="D56" s="28" t="s">
        <v>18</v>
      </c>
      <c r="E56" s="29" t="s">
        <v>121</v>
      </c>
      <c r="F56" s="30" t="s">
        <v>20</v>
      </c>
      <c r="G56" s="31">
        <v>112</v>
      </c>
      <c r="H56" s="37">
        <v>30</v>
      </c>
      <c r="I56" s="33">
        <f t="shared" si="0"/>
        <v>3360</v>
      </c>
    </row>
    <row r="57" spans="1:9" ht="30" customHeight="1" x14ac:dyDescent="0.2">
      <c r="A57" s="18">
        <v>49</v>
      </c>
      <c r="B57" s="27" t="s">
        <v>122</v>
      </c>
      <c r="C57" s="27" t="s">
        <v>22</v>
      </c>
      <c r="D57" s="28" t="s">
        <v>18</v>
      </c>
      <c r="E57" s="29" t="s">
        <v>123</v>
      </c>
      <c r="F57" s="30" t="s">
        <v>39</v>
      </c>
      <c r="G57" s="31">
        <v>129</v>
      </c>
      <c r="H57" s="37">
        <v>249</v>
      </c>
      <c r="I57" s="33">
        <f t="shared" si="0"/>
        <v>32121</v>
      </c>
    </row>
    <row r="58" spans="1:9" ht="30" customHeight="1" x14ac:dyDescent="0.2">
      <c r="A58" s="18">
        <v>50</v>
      </c>
      <c r="B58" s="27" t="s">
        <v>124</v>
      </c>
      <c r="C58" s="27" t="s">
        <v>22</v>
      </c>
      <c r="D58" s="28" t="s">
        <v>18</v>
      </c>
      <c r="E58" s="29" t="s">
        <v>125</v>
      </c>
      <c r="F58" s="30" t="s">
        <v>20</v>
      </c>
      <c r="G58" s="31">
        <v>89</v>
      </c>
      <c r="H58" s="37">
        <v>390</v>
      </c>
      <c r="I58" s="33">
        <f t="shared" si="0"/>
        <v>34710</v>
      </c>
    </row>
    <row r="59" spans="1:9" ht="30" customHeight="1" x14ac:dyDescent="0.2">
      <c r="A59" s="18">
        <v>51</v>
      </c>
      <c r="B59" s="27" t="s">
        <v>126</v>
      </c>
      <c r="C59" s="27" t="s">
        <v>22</v>
      </c>
      <c r="D59" s="28" t="s">
        <v>18</v>
      </c>
      <c r="E59" s="29" t="s">
        <v>127</v>
      </c>
      <c r="F59" s="30" t="s">
        <v>39</v>
      </c>
      <c r="G59" s="31">
        <v>120</v>
      </c>
      <c r="H59" s="37">
        <v>54</v>
      </c>
      <c r="I59" s="33">
        <f t="shared" si="0"/>
        <v>6480</v>
      </c>
    </row>
    <row r="60" spans="1:9" ht="30" customHeight="1" x14ac:dyDescent="0.2">
      <c r="A60" s="18">
        <v>52</v>
      </c>
      <c r="B60" s="27" t="s">
        <v>128</v>
      </c>
      <c r="C60" s="27" t="s">
        <v>22</v>
      </c>
      <c r="D60" s="28" t="s">
        <v>18</v>
      </c>
      <c r="E60" s="29" t="s">
        <v>129</v>
      </c>
      <c r="F60" s="30" t="s">
        <v>57</v>
      </c>
      <c r="G60" s="31">
        <v>86</v>
      </c>
      <c r="H60" s="37">
        <v>192</v>
      </c>
      <c r="I60" s="33">
        <f t="shared" si="0"/>
        <v>16512</v>
      </c>
    </row>
    <row r="61" spans="1:9" ht="30" customHeight="1" x14ac:dyDescent="0.2">
      <c r="A61" s="18">
        <v>53</v>
      </c>
      <c r="B61" s="27" t="s">
        <v>130</v>
      </c>
      <c r="C61" s="27" t="s">
        <v>22</v>
      </c>
      <c r="D61" s="28" t="s">
        <v>18</v>
      </c>
      <c r="E61" s="29" t="s">
        <v>131</v>
      </c>
      <c r="F61" s="30" t="s">
        <v>64</v>
      </c>
      <c r="G61" s="31">
        <v>100</v>
      </c>
      <c r="H61" s="37">
        <v>285</v>
      </c>
      <c r="I61" s="33">
        <f t="shared" si="0"/>
        <v>28500</v>
      </c>
    </row>
    <row r="62" spans="1:9" ht="30" customHeight="1" x14ac:dyDescent="0.2">
      <c r="A62" s="18">
        <v>54</v>
      </c>
      <c r="B62" s="27" t="s">
        <v>132</v>
      </c>
      <c r="C62" s="27" t="s">
        <v>22</v>
      </c>
      <c r="D62" s="28" t="s">
        <v>18</v>
      </c>
      <c r="E62" s="29" t="s">
        <v>133</v>
      </c>
      <c r="F62" s="30" t="s">
        <v>57</v>
      </c>
      <c r="G62" s="31">
        <v>99</v>
      </c>
      <c r="H62" s="37">
        <v>333</v>
      </c>
      <c r="I62" s="33">
        <f t="shared" si="0"/>
        <v>32967</v>
      </c>
    </row>
    <row r="63" spans="1:9" ht="30" customHeight="1" x14ac:dyDescent="0.2">
      <c r="A63" s="18">
        <v>55</v>
      </c>
      <c r="B63" s="27" t="s">
        <v>134</v>
      </c>
      <c r="C63" s="27" t="s">
        <v>22</v>
      </c>
      <c r="D63" s="28" t="s">
        <v>18</v>
      </c>
      <c r="E63" s="29" t="s">
        <v>135</v>
      </c>
      <c r="F63" s="30" t="s">
        <v>20</v>
      </c>
      <c r="G63" s="31">
        <v>668</v>
      </c>
      <c r="H63" s="37">
        <v>117</v>
      </c>
      <c r="I63" s="33">
        <f t="shared" si="0"/>
        <v>78156</v>
      </c>
    </row>
    <row r="64" spans="1:9" ht="30" customHeight="1" x14ac:dyDescent="0.2">
      <c r="A64" s="18">
        <v>56</v>
      </c>
      <c r="B64" s="27" t="s">
        <v>136</v>
      </c>
      <c r="C64" s="27" t="s">
        <v>22</v>
      </c>
      <c r="D64" s="28" t="s">
        <v>18</v>
      </c>
      <c r="E64" s="29" t="s">
        <v>137</v>
      </c>
      <c r="F64" s="30" t="s">
        <v>28</v>
      </c>
      <c r="G64" s="31">
        <v>115</v>
      </c>
      <c r="H64" s="37">
        <v>378</v>
      </c>
      <c r="I64" s="33">
        <f t="shared" si="0"/>
        <v>43470</v>
      </c>
    </row>
    <row r="65" spans="1:9" ht="30" customHeight="1" x14ac:dyDescent="0.2">
      <c r="A65" s="18">
        <v>57</v>
      </c>
      <c r="B65" s="27" t="s">
        <v>138</v>
      </c>
      <c r="C65" s="27" t="s">
        <v>22</v>
      </c>
      <c r="D65" s="28" t="s">
        <v>18</v>
      </c>
      <c r="E65" s="29" t="s">
        <v>139</v>
      </c>
      <c r="F65" s="30" t="s">
        <v>57</v>
      </c>
      <c r="G65" s="31">
        <v>89</v>
      </c>
      <c r="H65" s="37">
        <v>165</v>
      </c>
      <c r="I65" s="33">
        <f t="shared" si="0"/>
        <v>14685</v>
      </c>
    </row>
    <row r="66" spans="1:9" ht="30" customHeight="1" x14ac:dyDescent="0.2">
      <c r="A66" s="18">
        <v>58</v>
      </c>
      <c r="B66" s="27" t="s">
        <v>140</v>
      </c>
      <c r="C66" s="27" t="s">
        <v>22</v>
      </c>
      <c r="D66" s="28" t="s">
        <v>18</v>
      </c>
      <c r="E66" s="29" t="s">
        <v>141</v>
      </c>
      <c r="F66" s="30" t="s">
        <v>20</v>
      </c>
      <c r="G66" s="31">
        <v>144</v>
      </c>
      <c r="H66" s="37">
        <v>168</v>
      </c>
      <c r="I66" s="33">
        <f t="shared" si="0"/>
        <v>24192</v>
      </c>
    </row>
    <row r="67" spans="1:9" ht="30" customHeight="1" x14ac:dyDescent="0.2">
      <c r="A67" s="18">
        <v>59</v>
      </c>
      <c r="B67" s="27" t="s">
        <v>142</v>
      </c>
      <c r="C67" s="27" t="s">
        <v>22</v>
      </c>
      <c r="D67" s="28" t="s">
        <v>18</v>
      </c>
      <c r="E67" s="29" t="s">
        <v>143</v>
      </c>
      <c r="F67" s="30" t="s">
        <v>20</v>
      </c>
      <c r="G67" s="31">
        <v>420</v>
      </c>
      <c r="H67" s="37">
        <v>132</v>
      </c>
      <c r="I67" s="33">
        <f t="shared" si="0"/>
        <v>55440</v>
      </c>
    </row>
    <row r="68" spans="1:9" ht="30" customHeight="1" x14ac:dyDescent="0.2">
      <c r="A68" s="18">
        <v>60</v>
      </c>
      <c r="B68" s="27" t="s">
        <v>144</v>
      </c>
      <c r="C68" s="27" t="s">
        <v>22</v>
      </c>
      <c r="D68" s="28" t="s">
        <v>18</v>
      </c>
      <c r="E68" s="29" t="s">
        <v>145</v>
      </c>
      <c r="F68" s="30" t="s">
        <v>20</v>
      </c>
      <c r="G68" s="31">
        <v>638</v>
      </c>
      <c r="H68" s="37">
        <v>42</v>
      </c>
      <c r="I68" s="33">
        <f t="shared" si="0"/>
        <v>26796</v>
      </c>
    </row>
    <row r="69" spans="1:9" ht="30" customHeight="1" x14ac:dyDescent="0.2">
      <c r="A69" s="18">
        <v>61</v>
      </c>
      <c r="B69" s="27" t="s">
        <v>146</v>
      </c>
      <c r="C69" s="27" t="s">
        <v>22</v>
      </c>
      <c r="D69" s="28" t="s">
        <v>18</v>
      </c>
      <c r="E69" s="29" t="s">
        <v>147</v>
      </c>
      <c r="F69" s="30" t="s">
        <v>64</v>
      </c>
      <c r="G69" s="31">
        <v>63</v>
      </c>
      <c r="H69" s="37">
        <v>78</v>
      </c>
      <c r="I69" s="33">
        <f t="shared" si="0"/>
        <v>4914</v>
      </c>
    </row>
    <row r="70" spans="1:9" ht="30" customHeight="1" x14ac:dyDescent="0.2">
      <c r="A70" s="18">
        <v>62</v>
      </c>
      <c r="B70" s="27" t="s">
        <v>148</v>
      </c>
      <c r="C70" s="27" t="s">
        <v>22</v>
      </c>
      <c r="D70" s="28" t="s">
        <v>18</v>
      </c>
      <c r="E70" s="29" t="s">
        <v>149</v>
      </c>
      <c r="F70" s="30" t="s">
        <v>64</v>
      </c>
      <c r="G70" s="31">
        <v>75</v>
      </c>
      <c r="H70" s="37">
        <v>72</v>
      </c>
      <c r="I70" s="33">
        <f t="shared" si="0"/>
        <v>5400</v>
      </c>
    </row>
    <row r="71" spans="1:9" ht="30" customHeight="1" x14ac:dyDescent="0.2">
      <c r="A71" s="18">
        <v>63</v>
      </c>
      <c r="B71" s="27" t="s">
        <v>150</v>
      </c>
      <c r="C71" s="27" t="s">
        <v>22</v>
      </c>
      <c r="D71" s="28" t="s">
        <v>18</v>
      </c>
      <c r="E71" s="29" t="s">
        <v>151</v>
      </c>
      <c r="F71" s="30" t="s">
        <v>20</v>
      </c>
      <c r="G71" s="31">
        <v>211</v>
      </c>
      <c r="H71" s="37">
        <v>66</v>
      </c>
      <c r="I71" s="33">
        <f t="shared" si="0"/>
        <v>13926</v>
      </c>
    </row>
    <row r="72" spans="1:9" ht="30" customHeight="1" x14ac:dyDescent="0.2">
      <c r="A72" s="18">
        <v>64</v>
      </c>
      <c r="B72" s="27" t="s">
        <v>152</v>
      </c>
      <c r="C72" s="27" t="s">
        <v>22</v>
      </c>
      <c r="D72" s="28" t="s">
        <v>18</v>
      </c>
      <c r="E72" s="29" t="s">
        <v>153</v>
      </c>
      <c r="F72" s="30" t="s">
        <v>57</v>
      </c>
      <c r="G72" s="31">
        <v>188</v>
      </c>
      <c r="H72" s="37">
        <v>54</v>
      </c>
      <c r="I72" s="33">
        <f t="shared" si="0"/>
        <v>10152</v>
      </c>
    </row>
    <row r="73" spans="1:9" ht="30" customHeight="1" x14ac:dyDescent="0.2">
      <c r="A73" s="18">
        <v>65</v>
      </c>
      <c r="B73" s="27" t="s">
        <v>154</v>
      </c>
      <c r="C73" s="27" t="s">
        <v>22</v>
      </c>
      <c r="D73" s="28" t="s">
        <v>18</v>
      </c>
      <c r="E73" s="29" t="s">
        <v>155</v>
      </c>
      <c r="F73" s="30" t="s">
        <v>57</v>
      </c>
      <c r="G73" s="31">
        <v>209</v>
      </c>
      <c r="H73" s="37">
        <v>18</v>
      </c>
      <c r="I73" s="33">
        <f t="shared" ref="I73:I94" si="1">H73*G73</f>
        <v>3762</v>
      </c>
    </row>
    <row r="74" spans="1:9" ht="30" customHeight="1" x14ac:dyDescent="0.2">
      <c r="A74" s="18">
        <v>66</v>
      </c>
      <c r="B74" s="27" t="s">
        <v>156</v>
      </c>
      <c r="C74" s="27" t="s">
        <v>22</v>
      </c>
      <c r="D74" s="28" t="s">
        <v>18</v>
      </c>
      <c r="E74" s="29" t="s">
        <v>157</v>
      </c>
      <c r="F74" s="30" t="s">
        <v>57</v>
      </c>
      <c r="G74" s="31">
        <v>486</v>
      </c>
      <c r="H74" s="37">
        <v>3</v>
      </c>
      <c r="I74" s="33">
        <f t="shared" si="1"/>
        <v>1458</v>
      </c>
    </row>
    <row r="75" spans="1:9" ht="30" customHeight="1" x14ac:dyDescent="0.2">
      <c r="A75" s="18">
        <v>67</v>
      </c>
      <c r="B75" s="27" t="s">
        <v>158</v>
      </c>
      <c r="C75" s="27" t="s">
        <v>22</v>
      </c>
      <c r="D75" s="28" t="s">
        <v>18</v>
      </c>
      <c r="E75" s="29" t="s">
        <v>159</v>
      </c>
      <c r="F75" s="30" t="s">
        <v>57</v>
      </c>
      <c r="G75" s="31">
        <v>95</v>
      </c>
      <c r="H75" s="37">
        <v>6</v>
      </c>
      <c r="I75" s="33">
        <f t="shared" si="1"/>
        <v>570</v>
      </c>
    </row>
    <row r="76" spans="1:9" ht="30" customHeight="1" x14ac:dyDescent="0.2">
      <c r="A76" s="18">
        <v>68</v>
      </c>
      <c r="B76" s="27" t="s">
        <v>160</v>
      </c>
      <c r="C76" s="27" t="s">
        <v>22</v>
      </c>
      <c r="D76" s="28" t="s">
        <v>18</v>
      </c>
      <c r="E76" s="29" t="s">
        <v>161</v>
      </c>
      <c r="F76" s="30" t="s">
        <v>20</v>
      </c>
      <c r="G76" s="31">
        <v>45</v>
      </c>
      <c r="H76" s="37">
        <v>600</v>
      </c>
      <c r="I76" s="33">
        <f t="shared" si="1"/>
        <v>27000</v>
      </c>
    </row>
    <row r="77" spans="1:9" ht="30" customHeight="1" x14ac:dyDescent="0.2">
      <c r="A77" s="18">
        <v>69</v>
      </c>
      <c r="B77" s="27" t="s">
        <v>162</v>
      </c>
      <c r="C77" s="27" t="s">
        <v>22</v>
      </c>
      <c r="D77" s="28" t="s">
        <v>18</v>
      </c>
      <c r="E77" s="29" t="s">
        <v>163</v>
      </c>
      <c r="F77" s="30" t="s">
        <v>77</v>
      </c>
      <c r="G77" s="31">
        <v>107</v>
      </c>
      <c r="H77" s="37">
        <v>30</v>
      </c>
      <c r="I77" s="33">
        <f t="shared" si="1"/>
        <v>3210</v>
      </c>
    </row>
    <row r="78" spans="1:9" ht="30" customHeight="1" x14ac:dyDescent="0.2">
      <c r="A78" s="18">
        <v>70</v>
      </c>
      <c r="B78" s="27" t="s">
        <v>164</v>
      </c>
      <c r="C78" s="27" t="s">
        <v>22</v>
      </c>
      <c r="D78" s="28" t="s">
        <v>18</v>
      </c>
      <c r="E78" s="29" t="s">
        <v>165</v>
      </c>
      <c r="F78" s="30" t="s">
        <v>20</v>
      </c>
      <c r="G78" s="31">
        <v>587</v>
      </c>
      <c r="H78" s="37">
        <v>192</v>
      </c>
      <c r="I78" s="33">
        <f t="shared" si="1"/>
        <v>112704</v>
      </c>
    </row>
    <row r="79" spans="1:9" ht="30" customHeight="1" x14ac:dyDescent="0.2">
      <c r="A79" s="18">
        <v>71</v>
      </c>
      <c r="B79" s="27" t="s">
        <v>166</v>
      </c>
      <c r="C79" s="27" t="s">
        <v>22</v>
      </c>
      <c r="D79" s="28" t="s">
        <v>18</v>
      </c>
      <c r="E79" s="29" t="s">
        <v>167</v>
      </c>
      <c r="F79" s="30" t="s">
        <v>20</v>
      </c>
      <c r="G79" s="31">
        <v>135</v>
      </c>
      <c r="H79" s="37">
        <v>15</v>
      </c>
      <c r="I79" s="33">
        <f t="shared" si="1"/>
        <v>2025</v>
      </c>
    </row>
    <row r="80" spans="1:9" ht="30" customHeight="1" x14ac:dyDescent="0.2">
      <c r="A80" s="18">
        <v>72</v>
      </c>
      <c r="B80" s="27" t="s">
        <v>168</v>
      </c>
      <c r="C80" s="27" t="s">
        <v>22</v>
      </c>
      <c r="D80" s="28" t="s">
        <v>18</v>
      </c>
      <c r="E80" s="29" t="s">
        <v>169</v>
      </c>
      <c r="F80" s="30" t="s">
        <v>28</v>
      </c>
      <c r="G80" s="31">
        <v>528</v>
      </c>
      <c r="H80" s="37">
        <v>60</v>
      </c>
      <c r="I80" s="33">
        <f t="shared" si="1"/>
        <v>31680</v>
      </c>
    </row>
    <row r="81" spans="1:9" ht="30" customHeight="1" x14ac:dyDescent="0.2">
      <c r="A81" s="18">
        <v>73</v>
      </c>
      <c r="B81" s="27" t="s">
        <v>170</v>
      </c>
      <c r="C81" s="27" t="s">
        <v>22</v>
      </c>
      <c r="D81" s="28" t="s">
        <v>18</v>
      </c>
      <c r="E81" s="29" t="s">
        <v>171</v>
      </c>
      <c r="F81" s="30" t="s">
        <v>28</v>
      </c>
      <c r="G81" s="31">
        <v>163</v>
      </c>
      <c r="H81" s="37">
        <v>90</v>
      </c>
      <c r="I81" s="33">
        <f t="shared" si="1"/>
        <v>14670</v>
      </c>
    </row>
    <row r="82" spans="1:9" ht="30" customHeight="1" x14ac:dyDescent="0.2">
      <c r="A82" s="18">
        <v>74</v>
      </c>
      <c r="B82" s="27" t="s">
        <v>172</v>
      </c>
      <c r="C82" s="27" t="s">
        <v>22</v>
      </c>
      <c r="D82" s="28" t="s">
        <v>18</v>
      </c>
      <c r="E82" s="29" t="s">
        <v>173</v>
      </c>
      <c r="F82" s="30" t="s">
        <v>20</v>
      </c>
      <c r="G82" s="31">
        <v>232</v>
      </c>
      <c r="H82" s="37">
        <v>12</v>
      </c>
      <c r="I82" s="33">
        <f t="shared" si="1"/>
        <v>2784</v>
      </c>
    </row>
    <row r="83" spans="1:9" ht="30" customHeight="1" x14ac:dyDescent="0.2">
      <c r="A83" s="18">
        <v>75</v>
      </c>
      <c r="B83" s="27" t="s">
        <v>174</v>
      </c>
      <c r="C83" s="27" t="s">
        <v>22</v>
      </c>
      <c r="D83" s="28" t="s">
        <v>18</v>
      </c>
      <c r="E83" s="29" t="s">
        <v>175</v>
      </c>
      <c r="F83" s="30" t="s">
        <v>20</v>
      </c>
      <c r="G83" s="31">
        <v>353</v>
      </c>
      <c r="H83" s="37">
        <v>45</v>
      </c>
      <c r="I83" s="33">
        <f t="shared" si="1"/>
        <v>15885</v>
      </c>
    </row>
    <row r="84" spans="1:9" ht="30" customHeight="1" x14ac:dyDescent="0.2">
      <c r="A84" s="18">
        <v>76</v>
      </c>
      <c r="B84" s="27" t="s">
        <v>176</v>
      </c>
      <c r="C84" s="27" t="s">
        <v>22</v>
      </c>
      <c r="D84" s="28" t="s">
        <v>18</v>
      </c>
      <c r="E84" s="29" t="s">
        <v>177</v>
      </c>
      <c r="F84" s="30" t="s">
        <v>20</v>
      </c>
      <c r="G84" s="38">
        <v>210</v>
      </c>
      <c r="H84" s="32">
        <f>1416+180</f>
        <v>1596</v>
      </c>
      <c r="I84" s="33">
        <f t="shared" si="1"/>
        <v>335160</v>
      </c>
    </row>
    <row r="85" spans="1:9" ht="30" customHeight="1" x14ac:dyDescent="0.2">
      <c r="A85" s="18">
        <v>77</v>
      </c>
      <c r="B85" s="27" t="s">
        <v>178</v>
      </c>
      <c r="C85" s="27" t="s">
        <v>22</v>
      </c>
      <c r="D85" s="28" t="s">
        <v>18</v>
      </c>
      <c r="E85" s="29" t="s">
        <v>179</v>
      </c>
      <c r="F85" s="30" t="s">
        <v>20</v>
      </c>
      <c r="G85" s="38">
        <v>180</v>
      </c>
      <c r="H85" s="37">
        <f>360</f>
        <v>360</v>
      </c>
      <c r="I85" s="33">
        <f t="shared" si="1"/>
        <v>64800</v>
      </c>
    </row>
    <row r="86" spans="1:9" ht="30" customHeight="1" x14ac:dyDescent="0.2">
      <c r="A86" s="18">
        <v>78</v>
      </c>
      <c r="B86" s="27" t="s">
        <v>180</v>
      </c>
      <c r="C86" s="27" t="s">
        <v>22</v>
      </c>
      <c r="D86" s="28" t="s">
        <v>18</v>
      </c>
      <c r="E86" s="29" t="s">
        <v>181</v>
      </c>
      <c r="F86" s="30" t="s">
        <v>20</v>
      </c>
      <c r="G86" s="38">
        <v>159</v>
      </c>
      <c r="H86" s="37">
        <v>420</v>
      </c>
      <c r="I86" s="33">
        <f t="shared" si="1"/>
        <v>66780</v>
      </c>
    </row>
    <row r="87" spans="1:9" customFormat="1" ht="30" customHeight="1" x14ac:dyDescent="0.2">
      <c r="A87" s="18">
        <v>79</v>
      </c>
      <c r="B87" s="27" t="s">
        <v>182</v>
      </c>
      <c r="C87" s="27" t="s">
        <v>22</v>
      </c>
      <c r="D87" s="28" t="s">
        <v>18</v>
      </c>
      <c r="E87" s="29" t="s">
        <v>183</v>
      </c>
      <c r="F87" s="30" t="s">
        <v>20</v>
      </c>
      <c r="G87" s="38">
        <v>1480</v>
      </c>
      <c r="H87" s="37">
        <v>24</v>
      </c>
      <c r="I87" s="33">
        <f t="shared" si="1"/>
        <v>35520</v>
      </c>
    </row>
    <row r="88" spans="1:9" ht="30" customHeight="1" x14ac:dyDescent="0.2">
      <c r="A88" s="18">
        <v>80</v>
      </c>
      <c r="B88" s="27" t="s">
        <v>184</v>
      </c>
      <c r="C88" s="27" t="s">
        <v>22</v>
      </c>
      <c r="D88" s="28" t="s">
        <v>18</v>
      </c>
      <c r="E88" s="29" t="s">
        <v>185</v>
      </c>
      <c r="F88" s="30" t="s">
        <v>20</v>
      </c>
      <c r="G88" s="38">
        <v>215</v>
      </c>
      <c r="H88" s="37">
        <v>60</v>
      </c>
      <c r="I88" s="33">
        <f t="shared" si="1"/>
        <v>12900</v>
      </c>
    </row>
    <row r="89" spans="1:9" ht="30" customHeight="1" x14ac:dyDescent="0.2">
      <c r="A89" s="18">
        <v>81</v>
      </c>
      <c r="B89" s="27" t="s">
        <v>186</v>
      </c>
      <c r="C89" s="27" t="s">
        <v>22</v>
      </c>
      <c r="D89" s="28" t="s">
        <v>18</v>
      </c>
      <c r="E89" s="29" t="s">
        <v>187</v>
      </c>
      <c r="F89" s="30" t="s">
        <v>39</v>
      </c>
      <c r="G89" s="38">
        <v>100</v>
      </c>
      <c r="H89" s="37">
        <v>60</v>
      </c>
      <c r="I89" s="33">
        <f t="shared" si="1"/>
        <v>6000</v>
      </c>
    </row>
    <row r="90" spans="1:9" ht="30" customHeight="1" x14ac:dyDescent="0.2">
      <c r="A90" s="18">
        <v>82</v>
      </c>
      <c r="B90" s="27" t="s">
        <v>188</v>
      </c>
      <c r="C90" s="27" t="s">
        <v>22</v>
      </c>
      <c r="D90" s="28" t="s">
        <v>18</v>
      </c>
      <c r="E90" s="29" t="s">
        <v>189</v>
      </c>
      <c r="F90" s="30" t="s">
        <v>20</v>
      </c>
      <c r="G90" s="38">
        <v>390</v>
      </c>
      <c r="H90" s="37">
        <v>12</v>
      </c>
      <c r="I90" s="33">
        <f t="shared" si="1"/>
        <v>4680</v>
      </c>
    </row>
    <row r="91" spans="1:9" ht="30" customHeight="1" x14ac:dyDescent="0.2">
      <c r="A91" s="18">
        <v>83</v>
      </c>
      <c r="B91" s="27" t="s">
        <v>190</v>
      </c>
      <c r="C91" s="27" t="s">
        <v>22</v>
      </c>
      <c r="D91" s="28" t="s">
        <v>18</v>
      </c>
      <c r="E91" s="29" t="s">
        <v>191</v>
      </c>
      <c r="F91" s="30" t="s">
        <v>77</v>
      </c>
      <c r="G91" s="38">
        <v>314</v>
      </c>
      <c r="H91" s="37">
        <v>18</v>
      </c>
      <c r="I91" s="33">
        <f t="shared" si="1"/>
        <v>5652</v>
      </c>
    </row>
    <row r="92" spans="1:9" ht="30" customHeight="1" x14ac:dyDescent="0.2">
      <c r="A92" s="18">
        <v>84</v>
      </c>
      <c r="B92" s="27" t="s">
        <v>192</v>
      </c>
      <c r="C92" s="27" t="s">
        <v>22</v>
      </c>
      <c r="D92" s="28" t="s">
        <v>18</v>
      </c>
      <c r="E92" s="29" t="s">
        <v>193</v>
      </c>
      <c r="F92" s="39" t="s">
        <v>20</v>
      </c>
      <c r="G92" s="38">
        <v>489</v>
      </c>
      <c r="H92" s="37">
        <v>36</v>
      </c>
      <c r="I92" s="33">
        <f t="shared" si="1"/>
        <v>17604</v>
      </c>
    </row>
    <row r="93" spans="1:9" ht="30" customHeight="1" x14ac:dyDescent="0.2">
      <c r="A93" s="18">
        <v>85</v>
      </c>
      <c r="B93" s="27" t="s">
        <v>194</v>
      </c>
      <c r="C93" s="27" t="s">
        <v>22</v>
      </c>
      <c r="D93" s="28" t="s">
        <v>18</v>
      </c>
      <c r="E93" s="29" t="s">
        <v>195</v>
      </c>
      <c r="F93" s="30" t="s">
        <v>20</v>
      </c>
      <c r="G93" s="38">
        <v>95</v>
      </c>
      <c r="H93" s="37">
        <v>30</v>
      </c>
      <c r="I93" s="33">
        <f t="shared" si="1"/>
        <v>2850</v>
      </c>
    </row>
    <row r="94" spans="1:9" ht="30" customHeight="1" x14ac:dyDescent="0.2">
      <c r="A94" s="18">
        <v>86</v>
      </c>
      <c r="B94" s="27" t="s">
        <v>196</v>
      </c>
      <c r="C94" s="27" t="s">
        <v>22</v>
      </c>
      <c r="D94" s="28" t="s">
        <v>18</v>
      </c>
      <c r="E94" s="29" t="s">
        <v>197</v>
      </c>
      <c r="F94" s="30" t="s">
        <v>20</v>
      </c>
      <c r="G94" s="38">
        <v>605</v>
      </c>
      <c r="H94" s="37">
        <v>12</v>
      </c>
      <c r="I94" s="33">
        <f t="shared" si="1"/>
        <v>7260</v>
      </c>
    </row>
    <row r="95" spans="1:9" ht="13.5" thickBot="1" x14ac:dyDescent="0.25">
      <c r="A95" s="40"/>
      <c r="B95"/>
      <c r="C95"/>
      <c r="D95" s="41"/>
      <c r="E95"/>
      <c r="F95" s="42"/>
      <c r="H95" s="43"/>
      <c r="I95" s="44">
        <f>SUM(I9:I94)</f>
        <v>3043365</v>
      </c>
    </row>
    <row r="96" spans="1:9" ht="13.5" thickBot="1" x14ac:dyDescent="0.25">
      <c r="H96" s="43"/>
    </row>
    <row r="97" spans="2:9" x14ac:dyDescent="0.2">
      <c r="B97" s="45" t="s">
        <v>198</v>
      </c>
      <c r="C97" s="46"/>
      <c r="D97" s="47"/>
      <c r="E97" s="48"/>
    </row>
    <row r="98" spans="2:9" x14ac:dyDescent="0.2">
      <c r="B98" s="49"/>
      <c r="E98" s="50"/>
    </row>
    <row r="99" spans="2:9" x14ac:dyDescent="0.2">
      <c r="B99" s="51" t="s">
        <v>199</v>
      </c>
      <c r="E99" s="50"/>
    </row>
    <row r="100" spans="2:9" ht="25.5" customHeight="1" x14ac:dyDescent="0.2">
      <c r="B100" s="51"/>
      <c r="C100" s="52"/>
      <c r="D100" s="52"/>
      <c r="E100" s="52"/>
    </row>
    <row r="101" spans="2:9" ht="13.5" thickBot="1" x14ac:dyDescent="0.25">
      <c r="B101" s="51" t="s">
        <v>200</v>
      </c>
      <c r="E101" s="50"/>
    </row>
    <row r="102" spans="2:9" ht="13.5" thickBot="1" x14ac:dyDescent="0.25">
      <c r="B102" s="53" t="s">
        <v>201</v>
      </c>
      <c r="C102" s="54"/>
      <c r="D102" s="54"/>
      <c r="E102" s="55"/>
    </row>
    <row r="103" spans="2:9" ht="13.5" thickBot="1" x14ac:dyDescent="0.25">
      <c r="B103" s="53" t="s">
        <v>202</v>
      </c>
      <c r="C103" s="55"/>
      <c r="D103" s="56" t="s">
        <v>14</v>
      </c>
      <c r="E103" s="56" t="s">
        <v>203</v>
      </c>
      <c r="I103" s="57"/>
    </row>
    <row r="104" spans="2:9" x14ac:dyDescent="0.2">
      <c r="B104" s="58" t="s">
        <v>204</v>
      </c>
      <c r="C104" s="58"/>
      <c r="D104" s="59">
        <v>12</v>
      </c>
      <c r="E104" s="60" t="s">
        <v>205</v>
      </c>
      <c r="I104" s="57"/>
    </row>
    <row r="105" spans="2:9" x14ac:dyDescent="0.2">
      <c r="B105" s="61" t="s">
        <v>206</v>
      </c>
      <c r="C105" s="61"/>
      <c r="D105" s="62">
        <v>12</v>
      </c>
      <c r="E105" s="63" t="s">
        <v>207</v>
      </c>
      <c r="I105" s="57"/>
    </row>
    <row r="106" spans="2:9" x14ac:dyDescent="0.2">
      <c r="B106" s="61" t="s">
        <v>208</v>
      </c>
      <c r="C106" s="61"/>
      <c r="D106" s="62">
        <v>10</v>
      </c>
      <c r="E106" s="63" t="s">
        <v>209</v>
      </c>
      <c r="I106" s="57"/>
    </row>
    <row r="107" spans="2:9" x14ac:dyDescent="0.2">
      <c r="B107" s="61" t="s">
        <v>210</v>
      </c>
      <c r="C107" s="61"/>
      <c r="D107" s="62">
        <v>10</v>
      </c>
      <c r="E107" s="63" t="s">
        <v>211</v>
      </c>
      <c r="I107" s="57"/>
    </row>
    <row r="108" spans="2:9" x14ac:dyDescent="0.2">
      <c r="B108" s="61" t="s">
        <v>212</v>
      </c>
      <c r="C108" s="61"/>
      <c r="D108" s="62">
        <v>10</v>
      </c>
      <c r="E108" s="63" t="s">
        <v>213</v>
      </c>
      <c r="I108" s="57"/>
    </row>
    <row r="109" spans="2:9" x14ac:dyDescent="0.2">
      <c r="B109" s="64" t="s">
        <v>214</v>
      </c>
      <c r="C109" s="65"/>
      <c r="D109" s="62">
        <v>0</v>
      </c>
      <c r="E109" s="63" t="s">
        <v>215</v>
      </c>
      <c r="I109" s="57"/>
    </row>
    <row r="110" spans="2:9" x14ac:dyDescent="0.2">
      <c r="B110" s="64" t="s">
        <v>216</v>
      </c>
      <c r="C110" s="65"/>
      <c r="D110" s="62">
        <v>0</v>
      </c>
      <c r="E110" s="63" t="s">
        <v>217</v>
      </c>
      <c r="I110" s="57"/>
    </row>
    <row r="111" spans="2:9" x14ac:dyDescent="0.2">
      <c r="B111" s="64" t="s">
        <v>218</v>
      </c>
      <c r="C111" s="65"/>
      <c r="D111" s="62">
        <v>10</v>
      </c>
      <c r="E111" s="63" t="s">
        <v>219</v>
      </c>
      <c r="I111" s="57"/>
    </row>
    <row r="112" spans="2:9" ht="13.5" thickBot="1" x14ac:dyDescent="0.25">
      <c r="B112" s="64" t="s">
        <v>220</v>
      </c>
      <c r="C112" s="65"/>
      <c r="D112" s="62">
        <v>13</v>
      </c>
      <c r="E112" s="63" t="s">
        <v>221</v>
      </c>
      <c r="I112" s="57"/>
    </row>
    <row r="113" spans="2:9" ht="25.5" customHeight="1" thickBot="1" x14ac:dyDescent="0.25">
      <c r="B113" s="66" t="s">
        <v>222</v>
      </c>
      <c r="C113" s="67"/>
      <c r="D113" s="67"/>
      <c r="E113" s="68"/>
      <c r="I113" s="57"/>
    </row>
    <row r="114" spans="2:9" x14ac:dyDescent="0.2">
      <c r="B114" s="51" t="s">
        <v>223</v>
      </c>
      <c r="E114" s="50"/>
      <c r="I114" s="57"/>
    </row>
    <row r="115" spans="2:9" x14ac:dyDescent="0.2">
      <c r="B115" s="69"/>
      <c r="C115" s="52" t="s">
        <v>224</v>
      </c>
      <c r="D115" s="52"/>
      <c r="E115" s="52"/>
      <c r="I115" s="57"/>
    </row>
    <row r="116" spans="2:9" x14ac:dyDescent="0.2">
      <c r="B116" s="51" t="s">
        <v>225</v>
      </c>
      <c r="C116" s="9"/>
      <c r="D116" s="9"/>
      <c r="E116" s="70"/>
      <c r="I116" s="57"/>
    </row>
    <row r="117" spans="2:9" x14ac:dyDescent="0.2">
      <c r="B117" s="69"/>
      <c r="C117" s="52" t="s">
        <v>226</v>
      </c>
      <c r="D117" s="52"/>
      <c r="E117" s="52"/>
      <c r="I117" s="57"/>
    </row>
    <row r="118" spans="2:9" x14ac:dyDescent="0.2">
      <c r="B118" s="51" t="s">
        <v>227</v>
      </c>
      <c r="E118" s="50"/>
      <c r="I118" s="57"/>
    </row>
    <row r="119" spans="2:9" x14ac:dyDescent="0.2">
      <c r="B119" s="51"/>
      <c r="C119" s="71" t="s">
        <v>228</v>
      </c>
      <c r="D119" s="71"/>
      <c r="E119" s="71"/>
      <c r="I119" s="57"/>
    </row>
    <row r="120" spans="2:9" ht="13.5" thickBot="1" x14ac:dyDescent="0.25">
      <c r="B120" s="72"/>
      <c r="C120" s="73"/>
      <c r="D120" s="74"/>
      <c r="E120" s="75"/>
      <c r="I120" s="57"/>
    </row>
    <row r="121" spans="2:9" ht="13.5" thickBot="1" x14ac:dyDescent="0.25">
      <c r="I121" s="57"/>
    </row>
    <row r="122" spans="2:9" x14ac:dyDescent="0.2">
      <c r="B122" s="45" t="s">
        <v>229</v>
      </c>
      <c r="C122" s="46"/>
      <c r="D122" s="47"/>
      <c r="E122" s="48"/>
      <c r="I122" s="57"/>
    </row>
    <row r="123" spans="2:9" x14ac:dyDescent="0.2">
      <c r="B123" s="49"/>
      <c r="E123" s="50"/>
      <c r="I123" s="57"/>
    </row>
    <row r="124" spans="2:9" x14ac:dyDescent="0.2">
      <c r="B124" s="51" t="s">
        <v>199</v>
      </c>
      <c r="E124" s="50"/>
      <c r="I124" s="57"/>
    </row>
    <row r="125" spans="2:9" x14ac:dyDescent="0.2">
      <c r="B125" s="51"/>
      <c r="C125" s="52"/>
      <c r="D125" s="52"/>
      <c r="E125" s="52"/>
      <c r="I125" s="57"/>
    </row>
    <row r="126" spans="2:9" ht="12.75" customHeight="1" thickBot="1" x14ac:dyDescent="0.25">
      <c r="B126" s="51" t="s">
        <v>200</v>
      </c>
      <c r="E126" s="50"/>
      <c r="I126" s="57"/>
    </row>
    <row r="127" spans="2:9" ht="13.5" thickBot="1" x14ac:dyDescent="0.25">
      <c r="B127" s="53" t="s">
        <v>201</v>
      </c>
      <c r="C127" s="54"/>
      <c r="D127" s="54"/>
      <c r="E127" s="55"/>
      <c r="I127" s="57"/>
    </row>
    <row r="128" spans="2:9" ht="13.5" thickBot="1" x14ac:dyDescent="0.25">
      <c r="B128" s="53" t="s">
        <v>202</v>
      </c>
      <c r="C128" s="55"/>
      <c r="D128" s="56" t="s">
        <v>14</v>
      </c>
      <c r="E128" s="56" t="s">
        <v>203</v>
      </c>
      <c r="I128" s="57"/>
    </row>
    <row r="129" spans="2:9" x14ac:dyDescent="0.2">
      <c r="B129" s="58" t="s">
        <v>204</v>
      </c>
      <c r="C129" s="58"/>
      <c r="D129" s="59">
        <v>50</v>
      </c>
      <c r="E129" s="60" t="s">
        <v>205</v>
      </c>
      <c r="I129" s="57"/>
    </row>
    <row r="130" spans="2:9" x14ac:dyDescent="0.2">
      <c r="B130" s="61" t="s">
        <v>206</v>
      </c>
      <c r="C130" s="61"/>
      <c r="D130" s="62">
        <v>50</v>
      </c>
      <c r="E130" s="63" t="s">
        <v>207</v>
      </c>
      <c r="I130" s="57"/>
    </row>
    <row r="131" spans="2:9" x14ac:dyDescent="0.2">
      <c r="B131" s="61" t="s">
        <v>208</v>
      </c>
      <c r="C131" s="61"/>
      <c r="D131" s="62">
        <v>42</v>
      </c>
      <c r="E131" s="63" t="s">
        <v>209</v>
      </c>
      <c r="I131" s="57"/>
    </row>
    <row r="132" spans="2:9" x14ac:dyDescent="0.2">
      <c r="B132" s="61" t="s">
        <v>210</v>
      </c>
      <c r="C132" s="61"/>
      <c r="D132" s="62">
        <v>0</v>
      </c>
      <c r="E132" s="63" t="s">
        <v>211</v>
      </c>
      <c r="I132" s="57"/>
    </row>
    <row r="133" spans="2:9" x14ac:dyDescent="0.2">
      <c r="B133" s="61" t="s">
        <v>212</v>
      </c>
      <c r="C133" s="61"/>
      <c r="D133" s="62">
        <v>0</v>
      </c>
      <c r="E133" s="63" t="s">
        <v>213</v>
      </c>
      <c r="I133" s="57"/>
    </row>
    <row r="134" spans="2:9" x14ac:dyDescent="0.2">
      <c r="B134" s="64" t="s">
        <v>214</v>
      </c>
      <c r="C134" s="65"/>
      <c r="D134" s="62">
        <v>0</v>
      </c>
      <c r="E134" s="63" t="s">
        <v>215</v>
      </c>
      <c r="I134" s="57"/>
    </row>
    <row r="135" spans="2:9" x14ac:dyDescent="0.2">
      <c r="B135" s="64" t="s">
        <v>216</v>
      </c>
      <c r="C135" s="65"/>
      <c r="D135" s="62">
        <v>0</v>
      </c>
      <c r="E135" s="63" t="s">
        <v>217</v>
      </c>
      <c r="I135" s="57"/>
    </row>
    <row r="136" spans="2:9" x14ac:dyDescent="0.2">
      <c r="B136" s="64" t="s">
        <v>218</v>
      </c>
      <c r="C136" s="65"/>
      <c r="D136" s="62">
        <v>0</v>
      </c>
      <c r="E136" s="63" t="s">
        <v>219</v>
      </c>
      <c r="I136" s="57"/>
    </row>
    <row r="137" spans="2:9" ht="13.5" thickBot="1" x14ac:dyDescent="0.25">
      <c r="B137" s="64" t="s">
        <v>220</v>
      </c>
      <c r="C137" s="65"/>
      <c r="D137" s="62">
        <v>0</v>
      </c>
      <c r="E137" s="63" t="s">
        <v>221</v>
      </c>
      <c r="I137" s="57"/>
    </row>
    <row r="138" spans="2:9" ht="25.5" customHeight="1" thickBot="1" x14ac:dyDescent="0.25">
      <c r="B138" s="66" t="s">
        <v>230</v>
      </c>
      <c r="C138" s="67"/>
      <c r="D138" s="67"/>
      <c r="E138" s="68"/>
      <c r="I138" s="57"/>
    </row>
    <row r="139" spans="2:9" x14ac:dyDescent="0.2">
      <c r="B139" s="51" t="s">
        <v>223</v>
      </c>
      <c r="E139" s="50"/>
      <c r="I139" s="57"/>
    </row>
    <row r="140" spans="2:9" x14ac:dyDescent="0.2">
      <c r="B140" s="69"/>
      <c r="C140" s="52" t="s">
        <v>224</v>
      </c>
      <c r="D140" s="52"/>
      <c r="E140" s="52"/>
      <c r="I140" s="57"/>
    </row>
    <row r="141" spans="2:9" x14ac:dyDescent="0.2">
      <c r="B141" s="51" t="s">
        <v>225</v>
      </c>
      <c r="C141" s="9"/>
      <c r="D141" s="9"/>
      <c r="E141" s="70"/>
      <c r="I141" s="57"/>
    </row>
    <row r="142" spans="2:9" x14ac:dyDescent="0.2">
      <c r="B142" s="69"/>
      <c r="C142" s="52" t="s">
        <v>226</v>
      </c>
      <c r="D142" s="52"/>
      <c r="E142" s="52"/>
      <c r="I142" s="57"/>
    </row>
    <row r="143" spans="2:9" x14ac:dyDescent="0.2">
      <c r="B143" s="51" t="s">
        <v>227</v>
      </c>
      <c r="E143" s="50"/>
      <c r="I143" s="57"/>
    </row>
    <row r="144" spans="2:9" x14ac:dyDescent="0.2">
      <c r="B144" s="51"/>
      <c r="C144" s="71" t="s">
        <v>228</v>
      </c>
      <c r="D144" s="71"/>
      <c r="E144" s="71"/>
      <c r="I144" s="57"/>
    </row>
    <row r="145" spans="2:9" ht="13.5" thickBot="1" x14ac:dyDescent="0.25">
      <c r="B145" s="72"/>
      <c r="C145" s="73"/>
      <c r="D145" s="74"/>
      <c r="E145" s="75"/>
      <c r="I145" s="57"/>
    </row>
    <row r="146" spans="2:9" ht="13.5" thickBot="1" x14ac:dyDescent="0.25">
      <c r="I146" s="57"/>
    </row>
    <row r="147" spans="2:9" x14ac:dyDescent="0.2">
      <c r="B147" s="45" t="s">
        <v>231</v>
      </c>
      <c r="C147" s="46"/>
      <c r="D147" s="47"/>
      <c r="E147" s="48"/>
      <c r="I147" s="57"/>
    </row>
    <row r="148" spans="2:9" x14ac:dyDescent="0.2">
      <c r="B148" s="49"/>
      <c r="E148" s="50"/>
      <c r="I148" s="57"/>
    </row>
    <row r="149" spans="2:9" x14ac:dyDescent="0.2">
      <c r="B149" s="51" t="s">
        <v>199</v>
      </c>
      <c r="E149" s="50"/>
      <c r="I149" s="57"/>
    </row>
    <row r="150" spans="2:9" x14ac:dyDescent="0.2">
      <c r="B150" s="51"/>
      <c r="C150" s="76"/>
      <c r="D150" s="76"/>
      <c r="E150" s="77"/>
      <c r="I150" s="57"/>
    </row>
    <row r="151" spans="2:9" ht="13.5" thickBot="1" x14ac:dyDescent="0.25">
      <c r="B151" s="51" t="s">
        <v>200</v>
      </c>
      <c r="E151" s="50"/>
      <c r="I151" s="57"/>
    </row>
    <row r="152" spans="2:9" ht="13.5" thickBot="1" x14ac:dyDescent="0.25">
      <c r="B152" s="53" t="s">
        <v>201</v>
      </c>
      <c r="C152" s="54"/>
      <c r="D152" s="54"/>
      <c r="E152" s="55"/>
      <c r="I152" s="57"/>
    </row>
    <row r="153" spans="2:9" ht="13.5" thickBot="1" x14ac:dyDescent="0.25">
      <c r="B153" s="53" t="s">
        <v>202</v>
      </c>
      <c r="C153" s="55"/>
      <c r="D153" s="56" t="s">
        <v>14</v>
      </c>
      <c r="E153" s="56" t="s">
        <v>203</v>
      </c>
      <c r="I153" s="57"/>
    </row>
    <row r="154" spans="2:9" x14ac:dyDescent="0.2">
      <c r="B154" s="78" t="s">
        <v>204</v>
      </c>
      <c r="C154" s="79"/>
      <c r="D154" s="59">
        <v>15</v>
      </c>
      <c r="E154" s="60" t="s">
        <v>205</v>
      </c>
      <c r="I154" s="57"/>
    </row>
    <row r="155" spans="2:9" x14ac:dyDescent="0.2">
      <c r="B155" s="64" t="s">
        <v>206</v>
      </c>
      <c r="C155" s="65"/>
      <c r="D155" s="62">
        <v>15</v>
      </c>
      <c r="E155" s="63" t="s">
        <v>207</v>
      </c>
      <c r="I155" s="57"/>
    </row>
    <row r="156" spans="2:9" x14ac:dyDescent="0.2">
      <c r="B156" s="64" t="s">
        <v>208</v>
      </c>
      <c r="C156" s="65"/>
      <c r="D156" s="62">
        <v>15</v>
      </c>
      <c r="E156" s="63" t="s">
        <v>209</v>
      </c>
      <c r="I156" s="57"/>
    </row>
    <row r="157" spans="2:9" x14ac:dyDescent="0.2">
      <c r="B157" s="64" t="s">
        <v>210</v>
      </c>
      <c r="C157" s="65"/>
      <c r="D157" s="62">
        <v>30</v>
      </c>
      <c r="E157" s="63" t="s">
        <v>211</v>
      </c>
      <c r="I157" s="57"/>
    </row>
    <row r="158" spans="2:9" x14ac:dyDescent="0.2">
      <c r="B158" s="64" t="s">
        <v>212</v>
      </c>
      <c r="C158" s="65"/>
      <c r="D158" s="62">
        <v>0</v>
      </c>
      <c r="E158" s="63" t="s">
        <v>213</v>
      </c>
      <c r="I158" s="57"/>
    </row>
    <row r="159" spans="2:9" x14ac:dyDescent="0.2">
      <c r="B159" s="64" t="s">
        <v>214</v>
      </c>
      <c r="C159" s="65"/>
      <c r="D159" s="62">
        <v>10</v>
      </c>
      <c r="E159" s="63" t="s">
        <v>215</v>
      </c>
      <c r="I159" s="57"/>
    </row>
    <row r="160" spans="2:9" x14ac:dyDescent="0.2">
      <c r="B160" s="64" t="s">
        <v>216</v>
      </c>
      <c r="C160" s="65"/>
      <c r="D160" s="62">
        <v>0</v>
      </c>
      <c r="E160" s="63" t="s">
        <v>217</v>
      </c>
      <c r="I160" s="57"/>
    </row>
    <row r="161" spans="2:9" x14ac:dyDescent="0.2">
      <c r="B161" s="80" t="s">
        <v>218</v>
      </c>
      <c r="C161" s="81"/>
      <c r="D161" s="62">
        <v>10</v>
      </c>
      <c r="E161" s="63" t="s">
        <v>219</v>
      </c>
      <c r="I161" s="57"/>
    </row>
    <row r="162" spans="2:9" ht="13.5" thickBot="1" x14ac:dyDescent="0.25">
      <c r="B162" s="64" t="s">
        <v>220</v>
      </c>
      <c r="C162" s="65"/>
      <c r="D162" s="62">
        <v>0</v>
      </c>
      <c r="E162" s="63" t="s">
        <v>221</v>
      </c>
      <c r="I162" s="57"/>
    </row>
    <row r="163" spans="2:9" ht="26.25" customHeight="1" thickBot="1" x14ac:dyDescent="0.25">
      <c r="B163" s="66" t="s">
        <v>232</v>
      </c>
      <c r="C163" s="67"/>
      <c r="D163" s="67"/>
      <c r="E163" s="68"/>
      <c r="I163" s="57"/>
    </row>
    <row r="164" spans="2:9" x14ac:dyDescent="0.2">
      <c r="B164" s="51" t="s">
        <v>223</v>
      </c>
      <c r="E164" s="50"/>
      <c r="I164" s="57"/>
    </row>
    <row r="165" spans="2:9" x14ac:dyDescent="0.2">
      <c r="B165" s="69"/>
      <c r="C165" s="52" t="s">
        <v>224</v>
      </c>
      <c r="D165" s="52"/>
      <c r="E165" s="52"/>
      <c r="I165" s="57"/>
    </row>
    <row r="166" spans="2:9" x14ac:dyDescent="0.2">
      <c r="B166" s="51" t="s">
        <v>225</v>
      </c>
      <c r="C166" s="9"/>
      <c r="D166" s="9"/>
      <c r="E166" s="70"/>
      <c r="I166" s="57"/>
    </row>
    <row r="167" spans="2:9" x14ac:dyDescent="0.2">
      <c r="B167" s="69"/>
      <c r="C167" s="52" t="s">
        <v>226</v>
      </c>
      <c r="D167" s="52"/>
      <c r="E167" s="52"/>
      <c r="I167" s="57"/>
    </row>
    <row r="168" spans="2:9" x14ac:dyDescent="0.2">
      <c r="B168" s="51" t="s">
        <v>227</v>
      </c>
      <c r="E168" s="50"/>
      <c r="I168" s="57"/>
    </row>
    <row r="169" spans="2:9" x14ac:dyDescent="0.2">
      <c r="B169" s="51"/>
      <c r="C169" s="71" t="s">
        <v>228</v>
      </c>
      <c r="D169" s="71"/>
      <c r="E169" s="71"/>
      <c r="I169" s="57"/>
    </row>
    <row r="170" spans="2:9" ht="13.5" thickBot="1" x14ac:dyDescent="0.25">
      <c r="B170" s="72"/>
      <c r="C170" s="73"/>
      <c r="D170" s="74"/>
      <c r="E170" s="75"/>
      <c r="I170" s="57"/>
    </row>
    <row r="171" spans="2:9" ht="13.5" thickBot="1" x14ac:dyDescent="0.25">
      <c r="I171" s="57"/>
    </row>
    <row r="172" spans="2:9" x14ac:dyDescent="0.2">
      <c r="B172" s="45" t="s">
        <v>233</v>
      </c>
      <c r="C172" s="46"/>
      <c r="D172" s="47"/>
      <c r="E172" s="48"/>
      <c r="I172" s="57"/>
    </row>
    <row r="173" spans="2:9" x14ac:dyDescent="0.2">
      <c r="B173" s="49"/>
      <c r="E173" s="50"/>
      <c r="I173" s="57"/>
    </row>
    <row r="174" spans="2:9" x14ac:dyDescent="0.2">
      <c r="B174" s="51" t="s">
        <v>199</v>
      </c>
      <c r="E174" s="50"/>
      <c r="I174" s="57"/>
    </row>
    <row r="175" spans="2:9" x14ac:dyDescent="0.2">
      <c r="B175" s="51"/>
      <c r="C175" s="76"/>
      <c r="D175" s="76"/>
      <c r="E175" s="77"/>
      <c r="I175" s="57"/>
    </row>
    <row r="176" spans="2:9" ht="13.5" thickBot="1" x14ac:dyDescent="0.25">
      <c r="B176" s="51" t="s">
        <v>200</v>
      </c>
      <c r="E176" s="50"/>
      <c r="I176" s="57"/>
    </row>
    <row r="177" spans="2:9" ht="13.5" thickBot="1" x14ac:dyDescent="0.25">
      <c r="B177" s="53" t="s">
        <v>201</v>
      </c>
      <c r="C177" s="54"/>
      <c r="D177" s="54"/>
      <c r="E177" s="55"/>
      <c r="I177" s="57"/>
    </row>
    <row r="178" spans="2:9" ht="13.5" thickBot="1" x14ac:dyDescent="0.25">
      <c r="B178" s="53" t="s">
        <v>202</v>
      </c>
      <c r="C178" s="55"/>
      <c r="D178" s="56" t="s">
        <v>14</v>
      </c>
      <c r="E178" s="56" t="s">
        <v>203</v>
      </c>
      <c r="I178" s="57"/>
    </row>
    <row r="179" spans="2:9" x14ac:dyDescent="0.2">
      <c r="B179" s="78" t="s">
        <v>204</v>
      </c>
      <c r="C179" s="79"/>
      <c r="D179" s="59">
        <v>10</v>
      </c>
      <c r="E179" s="60" t="s">
        <v>205</v>
      </c>
      <c r="I179" s="57"/>
    </row>
    <row r="180" spans="2:9" x14ac:dyDescent="0.2">
      <c r="B180" s="64" t="s">
        <v>206</v>
      </c>
      <c r="C180" s="65"/>
      <c r="D180" s="62">
        <v>30</v>
      </c>
      <c r="E180" s="63" t="s">
        <v>207</v>
      </c>
      <c r="I180" s="57"/>
    </row>
    <row r="181" spans="2:9" x14ac:dyDescent="0.2">
      <c r="B181" s="64" t="s">
        <v>208</v>
      </c>
      <c r="C181" s="65"/>
      <c r="D181" s="62">
        <v>15</v>
      </c>
      <c r="E181" s="63" t="s">
        <v>209</v>
      </c>
      <c r="I181" s="57"/>
    </row>
    <row r="182" spans="2:9" x14ac:dyDescent="0.2">
      <c r="B182" s="64" t="s">
        <v>210</v>
      </c>
      <c r="C182" s="65"/>
      <c r="D182" s="62">
        <v>24</v>
      </c>
      <c r="E182" s="63" t="s">
        <v>211</v>
      </c>
      <c r="I182" s="57"/>
    </row>
    <row r="183" spans="2:9" x14ac:dyDescent="0.2">
      <c r="B183" s="64" t="s">
        <v>212</v>
      </c>
      <c r="C183" s="65"/>
      <c r="D183" s="62">
        <v>30</v>
      </c>
      <c r="E183" s="63" t="s">
        <v>213</v>
      </c>
      <c r="I183" s="57"/>
    </row>
    <row r="184" spans="2:9" x14ac:dyDescent="0.2">
      <c r="B184" s="64" t="s">
        <v>214</v>
      </c>
      <c r="C184" s="65"/>
      <c r="D184" s="62">
        <v>0</v>
      </c>
      <c r="E184" s="63" t="s">
        <v>215</v>
      </c>
      <c r="I184" s="57"/>
    </row>
    <row r="185" spans="2:9" x14ac:dyDescent="0.2">
      <c r="B185" s="64" t="s">
        <v>216</v>
      </c>
      <c r="C185" s="65"/>
      <c r="D185" s="62">
        <v>0</v>
      </c>
      <c r="E185" s="63" t="s">
        <v>217</v>
      </c>
      <c r="I185" s="57"/>
    </row>
    <row r="186" spans="2:9" x14ac:dyDescent="0.2">
      <c r="B186" s="80" t="s">
        <v>218</v>
      </c>
      <c r="C186" s="81"/>
      <c r="D186" s="62">
        <v>30</v>
      </c>
      <c r="E186" s="63" t="s">
        <v>219</v>
      </c>
      <c r="I186" s="57"/>
    </row>
    <row r="187" spans="2:9" ht="13.5" thickBot="1" x14ac:dyDescent="0.25">
      <c r="B187" s="64" t="s">
        <v>220</v>
      </c>
      <c r="C187" s="65"/>
      <c r="D187" s="62">
        <v>12</v>
      </c>
      <c r="E187" s="63" t="s">
        <v>221</v>
      </c>
      <c r="I187" s="57"/>
    </row>
    <row r="188" spans="2:9" ht="26.25" customHeight="1" thickBot="1" x14ac:dyDescent="0.25">
      <c r="B188" s="66" t="s">
        <v>234</v>
      </c>
      <c r="C188" s="67"/>
      <c r="D188" s="67"/>
      <c r="E188" s="68"/>
      <c r="I188" s="57"/>
    </row>
    <row r="189" spans="2:9" x14ac:dyDescent="0.2">
      <c r="B189" s="51" t="s">
        <v>223</v>
      </c>
      <c r="E189" s="50"/>
      <c r="I189" s="57"/>
    </row>
    <row r="190" spans="2:9" x14ac:dyDescent="0.2">
      <c r="B190" s="69"/>
      <c r="C190" s="52" t="s">
        <v>224</v>
      </c>
      <c r="D190" s="52"/>
      <c r="E190" s="52"/>
      <c r="I190" s="57"/>
    </row>
    <row r="191" spans="2:9" x14ac:dyDescent="0.2">
      <c r="B191" s="51" t="s">
        <v>225</v>
      </c>
      <c r="C191" s="9"/>
      <c r="D191" s="9"/>
      <c r="E191" s="70"/>
      <c r="I191" s="57"/>
    </row>
    <row r="192" spans="2:9" x14ac:dyDescent="0.2">
      <c r="B192" s="69"/>
      <c r="C192" s="52" t="s">
        <v>226</v>
      </c>
      <c r="D192" s="52"/>
      <c r="E192" s="52"/>
      <c r="I192" s="57"/>
    </row>
    <row r="193" spans="2:9" x14ac:dyDescent="0.2">
      <c r="B193" s="51" t="s">
        <v>227</v>
      </c>
      <c r="E193" s="50"/>
      <c r="I193" s="57"/>
    </row>
    <row r="194" spans="2:9" x14ac:dyDescent="0.2">
      <c r="B194" s="51"/>
      <c r="C194" s="71" t="s">
        <v>228</v>
      </c>
      <c r="D194" s="71"/>
      <c r="E194" s="71"/>
      <c r="I194" s="57"/>
    </row>
    <row r="195" spans="2:9" ht="13.5" thickBot="1" x14ac:dyDescent="0.25">
      <c r="B195" s="72"/>
      <c r="C195" s="73"/>
      <c r="D195" s="74"/>
      <c r="E195" s="75"/>
      <c r="I195" s="57"/>
    </row>
    <row r="196" spans="2:9" ht="13.5" thickBot="1" x14ac:dyDescent="0.25">
      <c r="I196" s="57"/>
    </row>
    <row r="197" spans="2:9" x14ac:dyDescent="0.2">
      <c r="B197" s="45" t="s">
        <v>235</v>
      </c>
      <c r="C197" s="46"/>
      <c r="D197" s="47"/>
      <c r="E197" s="48"/>
      <c r="I197" s="57"/>
    </row>
    <row r="198" spans="2:9" x14ac:dyDescent="0.2">
      <c r="B198" s="49"/>
      <c r="E198" s="50"/>
      <c r="I198" s="57"/>
    </row>
    <row r="199" spans="2:9" x14ac:dyDescent="0.2">
      <c r="B199" s="51" t="s">
        <v>199</v>
      </c>
      <c r="E199" s="50"/>
      <c r="I199" s="57"/>
    </row>
    <row r="200" spans="2:9" x14ac:dyDescent="0.2">
      <c r="B200" s="51"/>
      <c r="C200" s="52"/>
      <c r="D200" s="52"/>
      <c r="E200" s="52"/>
      <c r="I200" s="57"/>
    </row>
    <row r="201" spans="2:9" ht="13.5" thickBot="1" x14ac:dyDescent="0.25">
      <c r="B201" s="51" t="s">
        <v>200</v>
      </c>
      <c r="E201" s="50"/>
      <c r="I201" s="57"/>
    </row>
    <row r="202" spans="2:9" ht="13.5" thickBot="1" x14ac:dyDescent="0.25">
      <c r="B202" s="53" t="s">
        <v>201</v>
      </c>
      <c r="C202" s="54"/>
      <c r="D202" s="54"/>
      <c r="E202" s="55"/>
      <c r="I202" s="57"/>
    </row>
    <row r="203" spans="2:9" ht="13.5" thickBot="1" x14ac:dyDescent="0.25">
      <c r="B203" s="53" t="s">
        <v>202</v>
      </c>
      <c r="C203" s="55"/>
      <c r="D203" s="56" t="s">
        <v>14</v>
      </c>
      <c r="E203" s="56" t="s">
        <v>203</v>
      </c>
      <c r="I203" s="57"/>
    </row>
    <row r="204" spans="2:9" x14ac:dyDescent="0.2">
      <c r="B204" s="78" t="s">
        <v>204</v>
      </c>
      <c r="C204" s="79"/>
      <c r="D204" s="59">
        <v>4</v>
      </c>
      <c r="E204" s="60" t="s">
        <v>205</v>
      </c>
      <c r="I204" s="57"/>
    </row>
    <row r="205" spans="2:9" x14ac:dyDescent="0.2">
      <c r="B205" s="64" t="s">
        <v>206</v>
      </c>
      <c r="C205" s="65"/>
      <c r="D205" s="62">
        <v>0</v>
      </c>
      <c r="E205" s="63" t="s">
        <v>207</v>
      </c>
      <c r="I205" s="57"/>
    </row>
    <row r="206" spans="2:9" x14ac:dyDescent="0.2">
      <c r="B206" s="64" t="s">
        <v>208</v>
      </c>
      <c r="C206" s="65"/>
      <c r="D206" s="62">
        <v>0</v>
      </c>
      <c r="E206" s="63" t="s">
        <v>209</v>
      </c>
      <c r="I206" s="57"/>
    </row>
    <row r="207" spans="2:9" x14ac:dyDescent="0.2">
      <c r="B207" s="64" t="s">
        <v>210</v>
      </c>
      <c r="C207" s="65"/>
      <c r="D207" s="62">
        <v>10</v>
      </c>
      <c r="E207" s="63" t="s">
        <v>211</v>
      </c>
      <c r="I207" s="57"/>
    </row>
    <row r="208" spans="2:9" x14ac:dyDescent="0.2">
      <c r="B208" s="64" t="s">
        <v>212</v>
      </c>
      <c r="C208" s="65"/>
      <c r="D208" s="62">
        <v>0</v>
      </c>
      <c r="E208" s="63" t="s">
        <v>213</v>
      </c>
      <c r="I208" s="57"/>
    </row>
    <row r="209" spans="2:9" x14ac:dyDescent="0.2">
      <c r="B209" s="64" t="s">
        <v>214</v>
      </c>
      <c r="C209" s="65"/>
      <c r="D209" s="62">
        <v>0</v>
      </c>
      <c r="E209" s="63" t="s">
        <v>215</v>
      </c>
      <c r="I209" s="57"/>
    </row>
    <row r="210" spans="2:9" x14ac:dyDescent="0.2">
      <c r="B210" s="64" t="s">
        <v>216</v>
      </c>
      <c r="C210" s="65"/>
      <c r="D210" s="62">
        <v>0</v>
      </c>
      <c r="E210" s="63" t="s">
        <v>217</v>
      </c>
      <c r="I210" s="57"/>
    </row>
    <row r="211" spans="2:9" x14ac:dyDescent="0.2">
      <c r="B211" s="64" t="s">
        <v>218</v>
      </c>
      <c r="C211" s="65"/>
      <c r="D211" s="62">
        <v>0</v>
      </c>
      <c r="E211" s="63" t="s">
        <v>219</v>
      </c>
      <c r="I211" s="57"/>
    </row>
    <row r="212" spans="2:9" ht="13.5" thickBot="1" x14ac:dyDescent="0.25">
      <c r="B212" s="64" t="s">
        <v>220</v>
      </c>
      <c r="C212" s="65"/>
      <c r="D212" s="62">
        <v>6</v>
      </c>
      <c r="E212" s="63" t="s">
        <v>221</v>
      </c>
      <c r="I212" s="57"/>
    </row>
    <row r="213" spans="2:9" ht="26.25" customHeight="1" thickBot="1" x14ac:dyDescent="0.25">
      <c r="B213" s="66" t="s">
        <v>236</v>
      </c>
      <c r="C213" s="67"/>
      <c r="D213" s="67"/>
      <c r="E213" s="68"/>
      <c r="I213" s="57"/>
    </row>
    <row r="214" spans="2:9" x14ac:dyDescent="0.2">
      <c r="B214" s="51" t="s">
        <v>223</v>
      </c>
      <c r="E214" s="50"/>
      <c r="I214" s="57"/>
    </row>
    <row r="215" spans="2:9" x14ac:dyDescent="0.2">
      <c r="B215" s="69"/>
      <c r="C215" s="52" t="s">
        <v>224</v>
      </c>
      <c r="D215" s="52"/>
      <c r="E215" s="52"/>
      <c r="I215" s="57"/>
    </row>
    <row r="216" spans="2:9" x14ac:dyDescent="0.2">
      <c r="B216" s="51" t="s">
        <v>225</v>
      </c>
      <c r="C216" s="9"/>
      <c r="D216" s="9"/>
      <c r="E216" s="70"/>
      <c r="I216" s="57"/>
    </row>
    <row r="217" spans="2:9" x14ac:dyDescent="0.2">
      <c r="B217" s="69"/>
      <c r="C217" s="52" t="s">
        <v>226</v>
      </c>
      <c r="D217" s="52"/>
      <c r="E217" s="52"/>
      <c r="I217" s="57"/>
    </row>
    <row r="218" spans="2:9" x14ac:dyDescent="0.2">
      <c r="B218" s="51" t="s">
        <v>227</v>
      </c>
      <c r="E218" s="50"/>
      <c r="I218" s="57"/>
    </row>
    <row r="219" spans="2:9" x14ac:dyDescent="0.2">
      <c r="B219" s="51"/>
      <c r="C219" s="71" t="s">
        <v>228</v>
      </c>
      <c r="D219" s="71"/>
      <c r="E219" s="71"/>
      <c r="I219" s="57"/>
    </row>
    <row r="220" spans="2:9" ht="13.5" thickBot="1" x14ac:dyDescent="0.25">
      <c r="B220" s="72"/>
      <c r="C220" s="73"/>
      <c r="D220" s="74"/>
      <c r="E220" s="75"/>
      <c r="I220" s="57"/>
    </row>
    <row r="221" spans="2:9" ht="13.5" thickBot="1" x14ac:dyDescent="0.25">
      <c r="I221" s="57"/>
    </row>
    <row r="222" spans="2:9" x14ac:dyDescent="0.2">
      <c r="B222" s="45" t="s">
        <v>237</v>
      </c>
      <c r="C222" s="46"/>
      <c r="D222" s="47"/>
      <c r="E222" s="48"/>
      <c r="I222" s="57"/>
    </row>
    <row r="223" spans="2:9" x14ac:dyDescent="0.2">
      <c r="B223" s="49"/>
      <c r="E223" s="50"/>
      <c r="I223" s="57"/>
    </row>
    <row r="224" spans="2:9" x14ac:dyDescent="0.2">
      <c r="B224" s="51" t="s">
        <v>199</v>
      </c>
      <c r="E224" s="50"/>
      <c r="I224" s="57"/>
    </row>
    <row r="225" spans="2:9" x14ac:dyDescent="0.2">
      <c r="B225" s="51"/>
      <c r="C225" s="52"/>
      <c r="D225" s="52"/>
      <c r="E225" s="52"/>
      <c r="I225" s="57"/>
    </row>
    <row r="226" spans="2:9" ht="13.5" thickBot="1" x14ac:dyDescent="0.25">
      <c r="B226" s="51" t="s">
        <v>200</v>
      </c>
      <c r="E226" s="50"/>
      <c r="I226" s="57"/>
    </row>
    <row r="227" spans="2:9" ht="13.5" thickBot="1" x14ac:dyDescent="0.25">
      <c r="B227" s="53" t="s">
        <v>201</v>
      </c>
      <c r="C227" s="54"/>
      <c r="D227" s="54"/>
      <c r="E227" s="55"/>
      <c r="I227" s="57"/>
    </row>
    <row r="228" spans="2:9" ht="13.5" thickBot="1" x14ac:dyDescent="0.25">
      <c r="B228" s="53" t="s">
        <v>202</v>
      </c>
      <c r="C228" s="55"/>
      <c r="D228" s="56" t="s">
        <v>14</v>
      </c>
      <c r="E228" s="56" t="s">
        <v>203</v>
      </c>
      <c r="I228" s="57"/>
    </row>
    <row r="229" spans="2:9" x14ac:dyDescent="0.2">
      <c r="B229" s="58" t="s">
        <v>204</v>
      </c>
      <c r="C229" s="58"/>
      <c r="D229" s="59">
        <v>20</v>
      </c>
      <c r="E229" s="60" t="s">
        <v>205</v>
      </c>
      <c r="I229" s="57"/>
    </row>
    <row r="230" spans="2:9" x14ac:dyDescent="0.2">
      <c r="B230" s="61" t="s">
        <v>206</v>
      </c>
      <c r="C230" s="61"/>
      <c r="D230" s="62">
        <v>30</v>
      </c>
      <c r="E230" s="63" t="s">
        <v>207</v>
      </c>
      <c r="I230" s="57"/>
    </row>
    <row r="231" spans="2:9" x14ac:dyDescent="0.2">
      <c r="B231" s="61" t="s">
        <v>208</v>
      </c>
      <c r="C231" s="61"/>
      <c r="D231" s="62">
        <v>30</v>
      </c>
      <c r="E231" s="63" t="s">
        <v>209</v>
      </c>
      <c r="I231" s="57"/>
    </row>
    <row r="232" spans="2:9" x14ac:dyDescent="0.2">
      <c r="B232" s="58" t="s">
        <v>210</v>
      </c>
      <c r="C232" s="58"/>
      <c r="D232" s="62">
        <v>0</v>
      </c>
      <c r="E232" s="63" t="s">
        <v>211</v>
      </c>
      <c r="I232" s="57"/>
    </row>
    <row r="233" spans="2:9" x14ac:dyDescent="0.2">
      <c r="B233" s="64" t="s">
        <v>212</v>
      </c>
      <c r="C233" s="65"/>
      <c r="D233" s="62">
        <v>7</v>
      </c>
      <c r="E233" s="63" t="s">
        <v>213</v>
      </c>
      <c r="I233" s="57"/>
    </row>
    <row r="234" spans="2:9" x14ac:dyDescent="0.2">
      <c r="B234" s="64" t="s">
        <v>214</v>
      </c>
      <c r="C234" s="65"/>
      <c r="D234" s="62">
        <v>10</v>
      </c>
      <c r="E234" s="63" t="s">
        <v>215</v>
      </c>
      <c r="I234" s="57"/>
    </row>
    <row r="235" spans="2:9" x14ac:dyDescent="0.2">
      <c r="B235" s="64" t="s">
        <v>216</v>
      </c>
      <c r="C235" s="65"/>
      <c r="D235" s="62">
        <v>6</v>
      </c>
      <c r="E235" s="63" t="s">
        <v>217</v>
      </c>
      <c r="I235" s="57"/>
    </row>
    <row r="236" spans="2:9" x14ac:dyDescent="0.2">
      <c r="B236" s="80" t="s">
        <v>218</v>
      </c>
      <c r="C236" s="81"/>
      <c r="D236" s="62">
        <v>30</v>
      </c>
      <c r="E236" s="63" t="s">
        <v>219</v>
      </c>
      <c r="I236" s="57"/>
    </row>
    <row r="237" spans="2:9" ht="13.5" thickBot="1" x14ac:dyDescent="0.25">
      <c r="B237" s="64" t="s">
        <v>220</v>
      </c>
      <c r="C237" s="65"/>
      <c r="D237" s="62">
        <v>30</v>
      </c>
      <c r="E237" s="63" t="s">
        <v>221</v>
      </c>
      <c r="I237" s="57"/>
    </row>
    <row r="238" spans="2:9" ht="26.25" customHeight="1" thickBot="1" x14ac:dyDescent="0.25">
      <c r="B238" s="66" t="s">
        <v>238</v>
      </c>
      <c r="C238" s="67"/>
      <c r="D238" s="67"/>
      <c r="E238" s="68"/>
      <c r="I238" s="57"/>
    </row>
    <row r="239" spans="2:9" x14ac:dyDescent="0.2">
      <c r="B239" s="51" t="s">
        <v>223</v>
      </c>
      <c r="E239" s="50"/>
      <c r="I239" s="57"/>
    </row>
    <row r="240" spans="2:9" x14ac:dyDescent="0.2">
      <c r="B240" s="69"/>
      <c r="C240" s="52" t="s">
        <v>224</v>
      </c>
      <c r="D240" s="52"/>
      <c r="E240" s="52"/>
      <c r="I240" s="57"/>
    </row>
    <row r="241" spans="2:9" x14ac:dyDescent="0.2">
      <c r="B241" s="51" t="s">
        <v>225</v>
      </c>
      <c r="C241" s="9"/>
      <c r="D241" s="9"/>
      <c r="E241" s="70"/>
      <c r="I241" s="57"/>
    </row>
    <row r="242" spans="2:9" x14ac:dyDescent="0.2">
      <c r="B242" s="69"/>
      <c r="C242" s="52" t="s">
        <v>226</v>
      </c>
      <c r="D242" s="52"/>
      <c r="E242" s="52"/>
      <c r="I242" s="57"/>
    </row>
    <row r="243" spans="2:9" x14ac:dyDescent="0.2">
      <c r="B243" s="51" t="s">
        <v>227</v>
      </c>
      <c r="E243" s="50"/>
      <c r="I243" s="57"/>
    </row>
    <row r="244" spans="2:9" x14ac:dyDescent="0.2">
      <c r="B244" s="51"/>
      <c r="C244" s="71" t="s">
        <v>228</v>
      </c>
      <c r="D244" s="71"/>
      <c r="E244" s="71"/>
      <c r="I244" s="57"/>
    </row>
    <row r="245" spans="2:9" ht="13.5" thickBot="1" x14ac:dyDescent="0.25">
      <c r="B245" s="72"/>
      <c r="C245" s="73"/>
      <c r="D245" s="74"/>
      <c r="E245" s="75"/>
      <c r="I245" s="57"/>
    </row>
    <row r="246" spans="2:9" ht="13.5" thickBot="1" x14ac:dyDescent="0.25">
      <c r="I246" s="57"/>
    </row>
    <row r="247" spans="2:9" x14ac:dyDescent="0.2">
      <c r="B247" s="45" t="s">
        <v>239</v>
      </c>
      <c r="C247" s="46"/>
      <c r="D247" s="47"/>
      <c r="E247" s="48"/>
      <c r="I247" s="57"/>
    </row>
    <row r="248" spans="2:9" x14ac:dyDescent="0.2">
      <c r="B248" s="49"/>
      <c r="E248" s="50"/>
      <c r="I248" s="57"/>
    </row>
    <row r="249" spans="2:9" x14ac:dyDescent="0.2">
      <c r="B249" s="51" t="s">
        <v>199</v>
      </c>
      <c r="E249" s="50"/>
      <c r="I249" s="57"/>
    </row>
    <row r="250" spans="2:9" x14ac:dyDescent="0.2">
      <c r="B250" s="51"/>
      <c r="C250" s="52"/>
      <c r="D250" s="52"/>
      <c r="E250" s="52"/>
      <c r="I250" s="57"/>
    </row>
    <row r="251" spans="2:9" ht="13.5" thickBot="1" x14ac:dyDescent="0.25">
      <c r="B251" s="51" t="s">
        <v>200</v>
      </c>
      <c r="E251" s="50"/>
      <c r="I251" s="57"/>
    </row>
    <row r="252" spans="2:9" ht="13.5" thickBot="1" x14ac:dyDescent="0.25">
      <c r="B252" s="53" t="s">
        <v>201</v>
      </c>
      <c r="C252" s="54"/>
      <c r="D252" s="54"/>
      <c r="E252" s="55"/>
      <c r="I252" s="57"/>
    </row>
    <row r="253" spans="2:9" ht="13.5" thickBot="1" x14ac:dyDescent="0.25">
      <c r="B253" s="53" t="s">
        <v>202</v>
      </c>
      <c r="C253" s="55"/>
      <c r="D253" s="56" t="s">
        <v>14</v>
      </c>
      <c r="E253" s="56" t="s">
        <v>203</v>
      </c>
      <c r="I253" s="57"/>
    </row>
    <row r="254" spans="2:9" x14ac:dyDescent="0.2">
      <c r="B254" s="58" t="s">
        <v>204</v>
      </c>
      <c r="C254" s="58"/>
      <c r="D254" s="59">
        <v>0</v>
      </c>
      <c r="E254" s="60" t="s">
        <v>205</v>
      </c>
      <c r="I254" s="57"/>
    </row>
    <row r="255" spans="2:9" x14ac:dyDescent="0.2">
      <c r="B255" s="61" t="s">
        <v>206</v>
      </c>
      <c r="C255" s="61"/>
      <c r="D255" s="62">
        <v>10</v>
      </c>
      <c r="E255" s="63" t="s">
        <v>207</v>
      </c>
      <c r="I255" s="57"/>
    </row>
    <row r="256" spans="2:9" x14ac:dyDescent="0.2">
      <c r="B256" s="61" t="s">
        <v>208</v>
      </c>
      <c r="C256" s="61"/>
      <c r="D256" s="62">
        <v>0</v>
      </c>
      <c r="E256" s="63" t="s">
        <v>209</v>
      </c>
      <c r="I256" s="57"/>
    </row>
    <row r="257" spans="2:9" x14ac:dyDescent="0.2">
      <c r="B257" s="58" t="s">
        <v>210</v>
      </c>
      <c r="C257" s="58"/>
      <c r="D257" s="62">
        <v>10</v>
      </c>
      <c r="E257" s="63" t="s">
        <v>211</v>
      </c>
      <c r="I257" s="57"/>
    </row>
    <row r="258" spans="2:9" x14ac:dyDescent="0.2">
      <c r="B258" s="64" t="s">
        <v>212</v>
      </c>
      <c r="C258" s="65"/>
      <c r="D258" s="62">
        <v>5</v>
      </c>
      <c r="E258" s="63" t="s">
        <v>213</v>
      </c>
      <c r="I258" s="57"/>
    </row>
    <row r="259" spans="2:9" x14ac:dyDescent="0.2">
      <c r="B259" s="64" t="s">
        <v>214</v>
      </c>
      <c r="C259" s="65"/>
      <c r="D259" s="62">
        <v>0</v>
      </c>
      <c r="E259" s="63" t="s">
        <v>215</v>
      </c>
      <c r="I259" s="57"/>
    </row>
    <row r="260" spans="2:9" x14ac:dyDescent="0.2">
      <c r="B260" s="64" t="s">
        <v>216</v>
      </c>
      <c r="C260" s="65"/>
      <c r="D260" s="62">
        <v>0</v>
      </c>
      <c r="E260" s="63" t="s">
        <v>217</v>
      </c>
      <c r="I260" s="57"/>
    </row>
    <row r="261" spans="2:9" x14ac:dyDescent="0.2">
      <c r="B261" s="80" t="s">
        <v>218</v>
      </c>
      <c r="C261" s="81"/>
      <c r="D261" s="62">
        <v>0</v>
      </c>
      <c r="E261" s="63" t="s">
        <v>219</v>
      </c>
      <c r="I261" s="57"/>
    </row>
    <row r="262" spans="2:9" ht="13.5" thickBot="1" x14ac:dyDescent="0.25">
      <c r="B262" s="64" t="s">
        <v>220</v>
      </c>
      <c r="C262" s="65"/>
      <c r="D262" s="62">
        <v>10</v>
      </c>
      <c r="E262" s="63" t="s">
        <v>221</v>
      </c>
      <c r="I262" s="57"/>
    </row>
    <row r="263" spans="2:9" ht="26.25" customHeight="1" thickBot="1" x14ac:dyDescent="0.25">
      <c r="B263" s="66" t="s">
        <v>240</v>
      </c>
      <c r="C263" s="67"/>
      <c r="D263" s="67"/>
      <c r="E263" s="68"/>
      <c r="I263" s="57"/>
    </row>
    <row r="264" spans="2:9" x14ac:dyDescent="0.2">
      <c r="B264" s="51" t="s">
        <v>223</v>
      </c>
      <c r="E264" s="50"/>
      <c r="I264" s="57"/>
    </row>
    <row r="265" spans="2:9" x14ac:dyDescent="0.2">
      <c r="B265" s="69"/>
      <c r="C265" s="52" t="s">
        <v>224</v>
      </c>
      <c r="D265" s="52"/>
      <c r="E265" s="52"/>
      <c r="I265" s="57"/>
    </row>
    <row r="266" spans="2:9" x14ac:dyDescent="0.2">
      <c r="B266" s="51" t="s">
        <v>225</v>
      </c>
      <c r="C266" s="9"/>
      <c r="D266" s="9"/>
      <c r="E266" s="70"/>
      <c r="I266" s="57"/>
    </row>
    <row r="267" spans="2:9" x14ac:dyDescent="0.2">
      <c r="B267" s="69"/>
      <c r="C267" s="52" t="s">
        <v>226</v>
      </c>
      <c r="D267" s="52"/>
      <c r="E267" s="52"/>
      <c r="I267" s="57"/>
    </row>
    <row r="268" spans="2:9" x14ac:dyDescent="0.2">
      <c r="B268" s="51" t="s">
        <v>227</v>
      </c>
      <c r="E268" s="50"/>
      <c r="I268" s="57"/>
    </row>
    <row r="269" spans="2:9" x14ac:dyDescent="0.2">
      <c r="B269" s="51"/>
      <c r="C269" s="71" t="s">
        <v>228</v>
      </c>
      <c r="D269" s="71"/>
      <c r="E269" s="71"/>
      <c r="I269" s="57"/>
    </row>
    <row r="270" spans="2:9" ht="13.5" thickBot="1" x14ac:dyDescent="0.25">
      <c r="B270" s="72"/>
      <c r="C270" s="73"/>
      <c r="D270" s="74"/>
      <c r="E270" s="75"/>
      <c r="I270" s="57"/>
    </row>
    <row r="271" spans="2:9" ht="13.5" thickBot="1" x14ac:dyDescent="0.25">
      <c r="I271" s="57"/>
    </row>
    <row r="272" spans="2:9" x14ac:dyDescent="0.2">
      <c r="B272" s="45" t="s">
        <v>241</v>
      </c>
      <c r="C272" s="46"/>
      <c r="D272" s="47"/>
      <c r="E272" s="48"/>
      <c r="I272" s="57"/>
    </row>
    <row r="273" spans="2:9" x14ac:dyDescent="0.2">
      <c r="B273" s="49"/>
      <c r="E273" s="50"/>
      <c r="I273" s="57"/>
    </row>
    <row r="274" spans="2:9" x14ac:dyDescent="0.2">
      <c r="B274" s="51" t="s">
        <v>199</v>
      </c>
      <c r="E274" s="50"/>
      <c r="I274" s="57"/>
    </row>
    <row r="275" spans="2:9" x14ac:dyDescent="0.2">
      <c r="B275" s="51"/>
      <c r="C275" s="82" t="s">
        <v>242</v>
      </c>
      <c r="D275" s="82"/>
      <c r="E275" s="83"/>
      <c r="I275" s="57"/>
    </row>
    <row r="276" spans="2:9" ht="13.5" thickBot="1" x14ac:dyDescent="0.25">
      <c r="B276" s="51" t="s">
        <v>200</v>
      </c>
      <c r="E276" s="50"/>
      <c r="I276" s="57"/>
    </row>
    <row r="277" spans="2:9" ht="13.5" thickBot="1" x14ac:dyDescent="0.25">
      <c r="B277" s="53" t="s">
        <v>201</v>
      </c>
      <c r="C277" s="54"/>
      <c r="D277" s="54"/>
      <c r="E277" s="55"/>
      <c r="I277" s="57"/>
    </row>
    <row r="278" spans="2:9" ht="13.5" thickBot="1" x14ac:dyDescent="0.25">
      <c r="B278" s="53" t="s">
        <v>202</v>
      </c>
      <c r="C278" s="55"/>
      <c r="D278" s="56" t="s">
        <v>14</v>
      </c>
      <c r="E278" s="56" t="s">
        <v>203</v>
      </c>
      <c r="I278" s="57"/>
    </row>
    <row r="279" spans="2:9" x14ac:dyDescent="0.2">
      <c r="B279" s="58" t="s">
        <v>204</v>
      </c>
      <c r="C279" s="58"/>
      <c r="D279" s="59">
        <v>0</v>
      </c>
      <c r="E279" s="60" t="s">
        <v>205</v>
      </c>
      <c r="I279" s="57"/>
    </row>
    <row r="280" spans="2:9" x14ac:dyDescent="0.2">
      <c r="B280" s="61" t="s">
        <v>206</v>
      </c>
      <c r="C280" s="61"/>
      <c r="D280" s="62">
        <v>0</v>
      </c>
      <c r="E280" s="63" t="s">
        <v>207</v>
      </c>
      <c r="I280" s="57"/>
    </row>
    <row r="281" spans="2:9" x14ac:dyDescent="0.2">
      <c r="B281" s="61" t="s">
        <v>208</v>
      </c>
      <c r="C281" s="61"/>
      <c r="D281" s="62">
        <v>4</v>
      </c>
      <c r="E281" s="63" t="s">
        <v>209</v>
      </c>
      <c r="I281" s="57"/>
    </row>
    <row r="282" spans="2:9" x14ac:dyDescent="0.2">
      <c r="B282" s="58" t="s">
        <v>210</v>
      </c>
      <c r="C282" s="58"/>
      <c r="D282" s="62">
        <v>12</v>
      </c>
      <c r="E282" s="63" t="s">
        <v>211</v>
      </c>
      <c r="I282" s="57"/>
    </row>
    <row r="283" spans="2:9" x14ac:dyDescent="0.2">
      <c r="B283" s="64" t="s">
        <v>212</v>
      </c>
      <c r="C283" s="65"/>
      <c r="D283" s="62">
        <v>0</v>
      </c>
      <c r="E283" s="63" t="s">
        <v>213</v>
      </c>
      <c r="I283" s="57"/>
    </row>
    <row r="284" spans="2:9" x14ac:dyDescent="0.2">
      <c r="B284" s="64" t="s">
        <v>214</v>
      </c>
      <c r="C284" s="65"/>
      <c r="D284" s="62">
        <v>0</v>
      </c>
      <c r="E284" s="63" t="s">
        <v>215</v>
      </c>
      <c r="I284" s="57"/>
    </row>
    <row r="285" spans="2:9" x14ac:dyDescent="0.2">
      <c r="B285" s="64" t="s">
        <v>216</v>
      </c>
      <c r="C285" s="65"/>
      <c r="D285" s="62">
        <v>0</v>
      </c>
      <c r="E285" s="63" t="s">
        <v>217</v>
      </c>
      <c r="I285" s="57"/>
    </row>
    <row r="286" spans="2:9" x14ac:dyDescent="0.2">
      <c r="B286" s="80" t="s">
        <v>218</v>
      </c>
      <c r="C286" s="81"/>
      <c r="D286" s="62">
        <v>0</v>
      </c>
      <c r="E286" s="63" t="s">
        <v>219</v>
      </c>
      <c r="I286" s="57"/>
    </row>
    <row r="287" spans="2:9" ht="13.5" thickBot="1" x14ac:dyDescent="0.25">
      <c r="B287" s="64" t="s">
        <v>220</v>
      </c>
      <c r="C287" s="65"/>
      <c r="D287" s="62">
        <v>0</v>
      </c>
      <c r="E287" s="63" t="s">
        <v>221</v>
      </c>
      <c r="I287" s="57"/>
    </row>
    <row r="288" spans="2:9" ht="26.25" customHeight="1" thickBot="1" x14ac:dyDescent="0.25">
      <c r="B288" s="66" t="s">
        <v>243</v>
      </c>
      <c r="C288" s="67"/>
      <c r="D288" s="67"/>
      <c r="E288" s="68"/>
      <c r="I288" s="57"/>
    </row>
    <row r="289" spans="2:9" x14ac:dyDescent="0.2">
      <c r="B289" s="51" t="s">
        <v>223</v>
      </c>
      <c r="E289" s="50"/>
      <c r="I289" s="57"/>
    </row>
    <row r="290" spans="2:9" x14ac:dyDescent="0.2">
      <c r="B290" s="69"/>
      <c r="C290" s="52" t="s">
        <v>224</v>
      </c>
      <c r="D290" s="52"/>
      <c r="E290" s="52"/>
      <c r="I290" s="57"/>
    </row>
    <row r="291" spans="2:9" x14ac:dyDescent="0.2">
      <c r="B291" s="51" t="s">
        <v>225</v>
      </c>
      <c r="C291" s="9"/>
      <c r="D291" s="9"/>
      <c r="E291" s="70"/>
      <c r="I291" s="57"/>
    </row>
    <row r="292" spans="2:9" x14ac:dyDescent="0.2">
      <c r="B292" s="69"/>
      <c r="C292" s="52" t="s">
        <v>226</v>
      </c>
      <c r="D292" s="52"/>
      <c r="E292" s="52"/>
      <c r="I292" s="57"/>
    </row>
    <row r="293" spans="2:9" x14ac:dyDescent="0.2">
      <c r="B293" s="51" t="s">
        <v>227</v>
      </c>
      <c r="E293" s="50"/>
      <c r="I293" s="57"/>
    </row>
    <row r="294" spans="2:9" x14ac:dyDescent="0.2">
      <c r="B294" s="51"/>
      <c r="C294" s="71" t="s">
        <v>228</v>
      </c>
      <c r="D294" s="71"/>
      <c r="E294" s="71"/>
      <c r="I294" s="57"/>
    </row>
    <row r="295" spans="2:9" ht="13.5" thickBot="1" x14ac:dyDescent="0.25">
      <c r="B295" s="72"/>
      <c r="C295" s="73"/>
      <c r="D295" s="74"/>
      <c r="E295" s="75"/>
      <c r="I295" s="57"/>
    </row>
    <row r="296" spans="2:9" ht="13.5" thickBot="1" x14ac:dyDescent="0.25">
      <c r="I296" s="57"/>
    </row>
    <row r="297" spans="2:9" x14ac:dyDescent="0.2">
      <c r="B297" s="45" t="s">
        <v>244</v>
      </c>
      <c r="C297" s="46"/>
      <c r="D297" s="47"/>
      <c r="E297" s="48"/>
      <c r="I297" s="57"/>
    </row>
    <row r="298" spans="2:9" x14ac:dyDescent="0.2">
      <c r="B298" s="49"/>
      <c r="E298" s="50"/>
      <c r="I298" s="57"/>
    </row>
    <row r="299" spans="2:9" x14ac:dyDescent="0.2">
      <c r="B299" s="51" t="s">
        <v>199</v>
      </c>
      <c r="E299" s="50"/>
      <c r="I299" s="57"/>
    </row>
    <row r="300" spans="2:9" x14ac:dyDescent="0.2">
      <c r="B300" s="51"/>
      <c r="C300" s="52"/>
      <c r="D300" s="52"/>
      <c r="E300" s="52"/>
      <c r="I300" s="57"/>
    </row>
    <row r="301" spans="2:9" ht="13.5" thickBot="1" x14ac:dyDescent="0.25">
      <c r="B301" s="51" t="s">
        <v>200</v>
      </c>
      <c r="E301" s="50"/>
      <c r="I301" s="57"/>
    </row>
    <row r="302" spans="2:9" ht="13.5" thickBot="1" x14ac:dyDescent="0.25">
      <c r="B302" s="53" t="s">
        <v>201</v>
      </c>
      <c r="C302" s="54"/>
      <c r="D302" s="54"/>
      <c r="E302" s="55"/>
      <c r="I302" s="57"/>
    </row>
    <row r="303" spans="2:9" ht="13.5" thickBot="1" x14ac:dyDescent="0.25">
      <c r="B303" s="53" t="s">
        <v>202</v>
      </c>
      <c r="C303" s="55"/>
      <c r="D303" s="56" t="s">
        <v>14</v>
      </c>
      <c r="E303" s="56" t="s">
        <v>203</v>
      </c>
      <c r="I303" s="57"/>
    </row>
    <row r="304" spans="2:9" x14ac:dyDescent="0.2">
      <c r="B304" s="58" t="s">
        <v>204</v>
      </c>
      <c r="C304" s="58"/>
      <c r="D304" s="59">
        <v>15</v>
      </c>
      <c r="E304" s="60" t="s">
        <v>205</v>
      </c>
      <c r="I304" s="57"/>
    </row>
    <row r="305" spans="2:9" x14ac:dyDescent="0.2">
      <c r="B305" s="61" t="s">
        <v>206</v>
      </c>
      <c r="C305" s="61"/>
      <c r="D305" s="62">
        <v>20</v>
      </c>
      <c r="E305" s="63" t="s">
        <v>207</v>
      </c>
      <c r="I305" s="57"/>
    </row>
    <row r="306" spans="2:9" x14ac:dyDescent="0.2">
      <c r="B306" s="61" t="s">
        <v>208</v>
      </c>
      <c r="C306" s="61"/>
      <c r="D306" s="62">
        <v>0</v>
      </c>
      <c r="E306" s="63" t="s">
        <v>209</v>
      </c>
      <c r="I306" s="57"/>
    </row>
    <row r="307" spans="2:9" x14ac:dyDescent="0.2">
      <c r="B307" s="58" t="s">
        <v>210</v>
      </c>
      <c r="C307" s="58"/>
      <c r="D307" s="62">
        <v>0</v>
      </c>
      <c r="E307" s="63" t="s">
        <v>211</v>
      </c>
      <c r="I307" s="57"/>
    </row>
    <row r="308" spans="2:9" x14ac:dyDescent="0.2">
      <c r="B308" s="64" t="s">
        <v>212</v>
      </c>
      <c r="C308" s="65"/>
      <c r="D308" s="62">
        <v>0</v>
      </c>
      <c r="E308" s="63" t="s">
        <v>213</v>
      </c>
      <c r="I308" s="57"/>
    </row>
    <row r="309" spans="2:9" x14ac:dyDescent="0.2">
      <c r="B309" s="64" t="s">
        <v>214</v>
      </c>
      <c r="C309" s="65"/>
      <c r="D309" s="62">
        <v>0</v>
      </c>
      <c r="E309" s="63" t="s">
        <v>215</v>
      </c>
      <c r="I309" s="57"/>
    </row>
    <row r="310" spans="2:9" x14ac:dyDescent="0.2">
      <c r="B310" s="64" t="s">
        <v>216</v>
      </c>
      <c r="C310" s="65"/>
      <c r="D310" s="62">
        <v>0</v>
      </c>
      <c r="E310" s="63" t="s">
        <v>217</v>
      </c>
      <c r="I310" s="57"/>
    </row>
    <row r="311" spans="2:9" x14ac:dyDescent="0.2">
      <c r="B311" s="80" t="s">
        <v>218</v>
      </c>
      <c r="C311" s="81"/>
      <c r="D311" s="62">
        <v>0</v>
      </c>
      <c r="E311" s="63" t="s">
        <v>219</v>
      </c>
      <c r="I311" s="57"/>
    </row>
    <row r="312" spans="2:9" ht="13.5" thickBot="1" x14ac:dyDescent="0.25">
      <c r="B312" s="64" t="s">
        <v>220</v>
      </c>
      <c r="C312" s="65"/>
      <c r="D312" s="62">
        <v>0</v>
      </c>
      <c r="E312" s="63" t="s">
        <v>221</v>
      </c>
      <c r="I312" s="57"/>
    </row>
    <row r="313" spans="2:9" ht="26.25" customHeight="1" thickBot="1" x14ac:dyDescent="0.25">
      <c r="B313" s="66" t="s">
        <v>245</v>
      </c>
      <c r="C313" s="67"/>
      <c r="D313" s="67"/>
      <c r="E313" s="68"/>
      <c r="I313" s="57"/>
    </row>
    <row r="314" spans="2:9" x14ac:dyDescent="0.2">
      <c r="B314" s="51" t="s">
        <v>223</v>
      </c>
      <c r="E314" s="50"/>
      <c r="I314" s="57"/>
    </row>
    <row r="315" spans="2:9" x14ac:dyDescent="0.2">
      <c r="B315" s="69"/>
      <c r="C315" s="52" t="s">
        <v>224</v>
      </c>
      <c r="D315" s="52"/>
      <c r="E315" s="52"/>
      <c r="I315" s="57"/>
    </row>
    <row r="316" spans="2:9" x14ac:dyDescent="0.2">
      <c r="B316" s="51" t="s">
        <v>225</v>
      </c>
      <c r="C316" s="9"/>
      <c r="D316" s="9"/>
      <c r="E316" s="70"/>
      <c r="I316" s="57"/>
    </row>
    <row r="317" spans="2:9" x14ac:dyDescent="0.2">
      <c r="B317" s="69"/>
      <c r="C317" s="52" t="s">
        <v>226</v>
      </c>
      <c r="D317" s="52"/>
      <c r="E317" s="52"/>
      <c r="I317" s="57"/>
    </row>
    <row r="318" spans="2:9" x14ac:dyDescent="0.2">
      <c r="B318" s="51" t="s">
        <v>227</v>
      </c>
      <c r="E318" s="50"/>
      <c r="I318" s="57"/>
    </row>
    <row r="319" spans="2:9" x14ac:dyDescent="0.2">
      <c r="B319" s="51"/>
      <c r="C319" s="71" t="s">
        <v>228</v>
      </c>
      <c r="D319" s="71"/>
      <c r="E319" s="71"/>
      <c r="I319" s="57"/>
    </row>
    <row r="320" spans="2:9" ht="13.5" thickBot="1" x14ac:dyDescent="0.25">
      <c r="B320" s="72"/>
      <c r="C320" s="73"/>
      <c r="D320" s="74"/>
      <c r="E320" s="75"/>
      <c r="I320" s="57"/>
    </row>
    <row r="321" spans="2:9" ht="13.5" thickBot="1" x14ac:dyDescent="0.25">
      <c r="I321" s="57"/>
    </row>
    <row r="322" spans="2:9" x14ac:dyDescent="0.2">
      <c r="B322" s="45" t="s">
        <v>246</v>
      </c>
      <c r="C322" s="46"/>
      <c r="D322" s="47"/>
      <c r="E322" s="48"/>
      <c r="I322" s="57"/>
    </row>
    <row r="323" spans="2:9" x14ac:dyDescent="0.2">
      <c r="B323" s="49"/>
      <c r="E323" s="50"/>
      <c r="I323" s="57"/>
    </row>
    <row r="324" spans="2:9" x14ac:dyDescent="0.2">
      <c r="B324" s="51" t="s">
        <v>199</v>
      </c>
      <c r="E324" s="50"/>
      <c r="I324" s="57"/>
    </row>
    <row r="325" spans="2:9" x14ac:dyDescent="0.2">
      <c r="B325" s="51"/>
      <c r="C325" s="52"/>
      <c r="D325" s="52"/>
      <c r="E325" s="52"/>
      <c r="I325" s="57"/>
    </row>
    <row r="326" spans="2:9" ht="13.5" thickBot="1" x14ac:dyDescent="0.25">
      <c r="B326" s="51" t="s">
        <v>200</v>
      </c>
      <c r="E326" s="50"/>
      <c r="I326" s="57"/>
    </row>
    <row r="327" spans="2:9" ht="13.5" thickBot="1" x14ac:dyDescent="0.25">
      <c r="B327" s="53" t="s">
        <v>201</v>
      </c>
      <c r="C327" s="54"/>
      <c r="D327" s="54"/>
      <c r="E327" s="55"/>
      <c r="I327" s="57"/>
    </row>
    <row r="328" spans="2:9" ht="13.5" thickBot="1" x14ac:dyDescent="0.25">
      <c r="B328" s="53" t="s">
        <v>202</v>
      </c>
      <c r="C328" s="55"/>
      <c r="D328" s="56" t="s">
        <v>14</v>
      </c>
      <c r="E328" s="56" t="s">
        <v>203</v>
      </c>
      <c r="I328" s="57"/>
    </row>
    <row r="329" spans="2:9" x14ac:dyDescent="0.2">
      <c r="B329" s="58" t="s">
        <v>204</v>
      </c>
      <c r="C329" s="58"/>
      <c r="D329" s="59">
        <v>15</v>
      </c>
      <c r="E329" s="60" t="s">
        <v>205</v>
      </c>
      <c r="I329" s="57"/>
    </row>
    <row r="330" spans="2:9" x14ac:dyDescent="0.2">
      <c r="B330" s="61" t="s">
        <v>206</v>
      </c>
      <c r="C330" s="61"/>
      <c r="D330" s="62">
        <v>0</v>
      </c>
      <c r="E330" s="63" t="s">
        <v>207</v>
      </c>
      <c r="I330" s="57"/>
    </row>
    <row r="331" spans="2:9" x14ac:dyDescent="0.2">
      <c r="B331" s="61" t="s">
        <v>208</v>
      </c>
      <c r="C331" s="61"/>
      <c r="D331" s="62">
        <v>20</v>
      </c>
      <c r="E331" s="63" t="s">
        <v>209</v>
      </c>
      <c r="I331" s="57"/>
    </row>
    <row r="332" spans="2:9" x14ac:dyDescent="0.2">
      <c r="B332" s="58" t="s">
        <v>210</v>
      </c>
      <c r="C332" s="58"/>
      <c r="D332" s="62">
        <v>0</v>
      </c>
      <c r="E332" s="63" t="s">
        <v>211</v>
      </c>
      <c r="I332" s="57"/>
    </row>
    <row r="333" spans="2:9" x14ac:dyDescent="0.2">
      <c r="B333" s="64" t="s">
        <v>212</v>
      </c>
      <c r="C333" s="65"/>
      <c r="D333" s="62">
        <v>0</v>
      </c>
      <c r="E333" s="63" t="s">
        <v>213</v>
      </c>
      <c r="I333" s="57"/>
    </row>
    <row r="334" spans="2:9" x14ac:dyDescent="0.2">
      <c r="B334" s="64" t="s">
        <v>214</v>
      </c>
      <c r="C334" s="65"/>
      <c r="D334" s="62">
        <v>30</v>
      </c>
      <c r="E334" s="63" t="s">
        <v>215</v>
      </c>
      <c r="I334" s="57"/>
    </row>
    <row r="335" spans="2:9" x14ac:dyDescent="0.2">
      <c r="B335" s="64" t="s">
        <v>216</v>
      </c>
      <c r="C335" s="65"/>
      <c r="D335" s="62">
        <v>0</v>
      </c>
      <c r="E335" s="63" t="s">
        <v>217</v>
      </c>
      <c r="I335" s="57"/>
    </row>
    <row r="336" spans="2:9" x14ac:dyDescent="0.2">
      <c r="B336" s="80" t="s">
        <v>218</v>
      </c>
      <c r="C336" s="81"/>
      <c r="D336" s="62">
        <v>25</v>
      </c>
      <c r="E336" s="63" t="s">
        <v>219</v>
      </c>
      <c r="I336" s="57"/>
    </row>
    <row r="337" spans="2:9" ht="13.5" thickBot="1" x14ac:dyDescent="0.25">
      <c r="B337" s="64" t="s">
        <v>220</v>
      </c>
      <c r="C337" s="65"/>
      <c r="D337" s="62">
        <v>0</v>
      </c>
      <c r="E337" s="63" t="s">
        <v>221</v>
      </c>
      <c r="I337" s="57"/>
    </row>
    <row r="338" spans="2:9" ht="26.25" customHeight="1" thickBot="1" x14ac:dyDescent="0.25">
      <c r="B338" s="66" t="s">
        <v>247</v>
      </c>
      <c r="C338" s="67"/>
      <c r="D338" s="67"/>
      <c r="E338" s="68"/>
      <c r="I338" s="57"/>
    </row>
    <row r="339" spans="2:9" x14ac:dyDescent="0.2">
      <c r="B339" s="51" t="s">
        <v>223</v>
      </c>
      <c r="E339" s="50"/>
      <c r="I339" s="57"/>
    </row>
    <row r="340" spans="2:9" x14ac:dyDescent="0.2">
      <c r="B340" s="69"/>
      <c r="C340" s="52" t="s">
        <v>224</v>
      </c>
      <c r="D340" s="52"/>
      <c r="E340" s="52"/>
      <c r="I340" s="57"/>
    </row>
    <row r="341" spans="2:9" x14ac:dyDescent="0.2">
      <c r="B341" s="51" t="s">
        <v>225</v>
      </c>
      <c r="C341" s="9"/>
      <c r="D341" s="9"/>
      <c r="E341" s="70"/>
      <c r="I341" s="57"/>
    </row>
    <row r="342" spans="2:9" x14ac:dyDescent="0.2">
      <c r="B342" s="69"/>
      <c r="C342" s="52" t="s">
        <v>226</v>
      </c>
      <c r="D342" s="52"/>
      <c r="E342" s="52"/>
      <c r="I342" s="57"/>
    </row>
    <row r="343" spans="2:9" x14ac:dyDescent="0.2">
      <c r="B343" s="51" t="s">
        <v>227</v>
      </c>
      <c r="E343" s="50"/>
      <c r="I343" s="57"/>
    </row>
    <row r="344" spans="2:9" x14ac:dyDescent="0.2">
      <c r="B344" s="51"/>
      <c r="C344" s="71" t="s">
        <v>228</v>
      </c>
      <c r="D344" s="71"/>
      <c r="E344" s="71"/>
      <c r="I344" s="57"/>
    </row>
    <row r="345" spans="2:9" ht="13.5" thickBot="1" x14ac:dyDescent="0.25">
      <c r="B345" s="72"/>
      <c r="C345" s="73"/>
      <c r="D345" s="74"/>
      <c r="E345" s="75"/>
      <c r="I345" s="57"/>
    </row>
    <row r="346" spans="2:9" ht="13.5" thickBot="1" x14ac:dyDescent="0.25">
      <c r="I346" s="57"/>
    </row>
    <row r="347" spans="2:9" x14ac:dyDescent="0.2">
      <c r="B347" s="45" t="s">
        <v>248</v>
      </c>
      <c r="C347" s="46"/>
      <c r="D347" s="47"/>
      <c r="E347" s="48"/>
      <c r="I347" s="57"/>
    </row>
    <row r="348" spans="2:9" x14ac:dyDescent="0.2">
      <c r="B348" s="49"/>
      <c r="E348" s="50"/>
      <c r="I348" s="57"/>
    </row>
    <row r="349" spans="2:9" x14ac:dyDescent="0.2">
      <c r="B349" s="51" t="s">
        <v>199</v>
      </c>
      <c r="E349" s="50"/>
      <c r="I349" s="57"/>
    </row>
    <row r="350" spans="2:9" x14ac:dyDescent="0.2">
      <c r="B350" s="51"/>
      <c r="C350" s="52"/>
      <c r="D350" s="52"/>
      <c r="E350" s="52"/>
      <c r="I350" s="57"/>
    </row>
    <row r="351" spans="2:9" ht="13.5" thickBot="1" x14ac:dyDescent="0.25">
      <c r="B351" s="51" t="s">
        <v>200</v>
      </c>
      <c r="E351" s="50"/>
      <c r="I351" s="57"/>
    </row>
    <row r="352" spans="2:9" ht="13.5" thickBot="1" x14ac:dyDescent="0.25">
      <c r="B352" s="53" t="s">
        <v>201</v>
      </c>
      <c r="C352" s="54"/>
      <c r="D352" s="54"/>
      <c r="E352" s="55"/>
      <c r="I352" s="57"/>
    </row>
    <row r="353" spans="2:9" ht="13.5" thickBot="1" x14ac:dyDescent="0.25">
      <c r="B353" s="53" t="s">
        <v>202</v>
      </c>
      <c r="C353" s="55"/>
      <c r="D353" s="56" t="s">
        <v>14</v>
      </c>
      <c r="E353" s="56" t="s">
        <v>203</v>
      </c>
      <c r="I353" s="57"/>
    </row>
    <row r="354" spans="2:9" x14ac:dyDescent="0.2">
      <c r="B354" s="58" t="s">
        <v>204</v>
      </c>
      <c r="C354" s="58"/>
      <c r="D354" s="59">
        <v>2</v>
      </c>
      <c r="E354" s="60" t="s">
        <v>205</v>
      </c>
      <c r="I354" s="57"/>
    </row>
    <row r="355" spans="2:9" x14ac:dyDescent="0.2">
      <c r="B355" s="61" t="s">
        <v>206</v>
      </c>
      <c r="C355" s="61"/>
      <c r="D355" s="62">
        <v>3</v>
      </c>
      <c r="E355" s="63" t="s">
        <v>207</v>
      </c>
      <c r="I355" s="57"/>
    </row>
    <row r="356" spans="2:9" x14ac:dyDescent="0.2">
      <c r="B356" s="61" t="s">
        <v>208</v>
      </c>
      <c r="C356" s="61"/>
      <c r="D356" s="62">
        <v>0</v>
      </c>
      <c r="E356" s="63" t="s">
        <v>209</v>
      </c>
      <c r="I356" s="57"/>
    </row>
    <row r="357" spans="2:9" x14ac:dyDescent="0.2">
      <c r="B357" s="58" t="s">
        <v>210</v>
      </c>
      <c r="C357" s="58"/>
      <c r="D357" s="62">
        <v>10</v>
      </c>
      <c r="E357" s="63" t="s">
        <v>211</v>
      </c>
      <c r="I357" s="57"/>
    </row>
    <row r="358" spans="2:9" x14ac:dyDescent="0.2">
      <c r="B358" s="64" t="s">
        <v>212</v>
      </c>
      <c r="C358" s="65"/>
      <c r="D358" s="62">
        <v>0</v>
      </c>
      <c r="E358" s="63" t="s">
        <v>213</v>
      </c>
      <c r="I358" s="57"/>
    </row>
    <row r="359" spans="2:9" x14ac:dyDescent="0.2">
      <c r="B359" s="64" t="s">
        <v>214</v>
      </c>
      <c r="C359" s="65"/>
      <c r="D359" s="62">
        <v>1</v>
      </c>
      <c r="E359" s="63" t="s">
        <v>215</v>
      </c>
      <c r="I359" s="57"/>
    </row>
    <row r="360" spans="2:9" x14ac:dyDescent="0.2">
      <c r="B360" s="64" t="s">
        <v>216</v>
      </c>
      <c r="C360" s="65"/>
      <c r="D360" s="62">
        <v>0</v>
      </c>
      <c r="E360" s="63" t="s">
        <v>217</v>
      </c>
      <c r="I360" s="57"/>
    </row>
    <row r="361" spans="2:9" x14ac:dyDescent="0.2">
      <c r="B361" s="80" t="s">
        <v>218</v>
      </c>
      <c r="C361" s="81"/>
      <c r="D361" s="62">
        <v>10</v>
      </c>
      <c r="E361" s="63" t="s">
        <v>219</v>
      </c>
      <c r="I361" s="57"/>
    </row>
    <row r="362" spans="2:9" ht="13.5" thickBot="1" x14ac:dyDescent="0.25">
      <c r="B362" s="64" t="s">
        <v>220</v>
      </c>
      <c r="C362" s="65"/>
      <c r="D362" s="62">
        <v>10</v>
      </c>
      <c r="E362" s="63" t="s">
        <v>221</v>
      </c>
      <c r="I362" s="57"/>
    </row>
    <row r="363" spans="2:9" ht="26.25" customHeight="1" thickBot="1" x14ac:dyDescent="0.25">
      <c r="B363" s="66" t="s">
        <v>249</v>
      </c>
      <c r="C363" s="67"/>
      <c r="D363" s="67"/>
      <c r="E363" s="68"/>
      <c r="I363" s="57"/>
    </row>
    <row r="364" spans="2:9" x14ac:dyDescent="0.2">
      <c r="B364" s="51" t="s">
        <v>223</v>
      </c>
      <c r="E364" s="50"/>
      <c r="I364" s="57"/>
    </row>
    <row r="365" spans="2:9" x14ac:dyDescent="0.2">
      <c r="B365" s="69"/>
      <c r="C365" s="52" t="s">
        <v>224</v>
      </c>
      <c r="D365" s="52"/>
      <c r="E365" s="52"/>
      <c r="I365" s="57"/>
    </row>
    <row r="366" spans="2:9" x14ac:dyDescent="0.2">
      <c r="B366" s="51" t="s">
        <v>225</v>
      </c>
      <c r="C366" s="9"/>
      <c r="D366" s="9"/>
      <c r="E366" s="70"/>
      <c r="I366" s="57"/>
    </row>
    <row r="367" spans="2:9" x14ac:dyDescent="0.2">
      <c r="B367" s="69"/>
      <c r="C367" s="52" t="s">
        <v>226</v>
      </c>
      <c r="D367" s="52"/>
      <c r="E367" s="52"/>
      <c r="I367" s="57"/>
    </row>
    <row r="368" spans="2:9" x14ac:dyDescent="0.2">
      <c r="B368" s="51" t="s">
        <v>227</v>
      </c>
      <c r="E368" s="50"/>
      <c r="I368" s="57"/>
    </row>
    <row r="369" spans="2:9" x14ac:dyDescent="0.2">
      <c r="B369" s="51"/>
      <c r="C369" s="71" t="s">
        <v>228</v>
      </c>
      <c r="D369" s="71"/>
      <c r="E369" s="71"/>
      <c r="I369" s="57"/>
    </row>
    <row r="370" spans="2:9" ht="13.5" thickBot="1" x14ac:dyDescent="0.25">
      <c r="B370" s="72"/>
      <c r="C370" s="73"/>
      <c r="D370" s="74"/>
      <c r="E370" s="75"/>
      <c r="I370" s="57"/>
    </row>
    <row r="371" spans="2:9" ht="13.5" thickBot="1" x14ac:dyDescent="0.25">
      <c r="I371" s="57"/>
    </row>
    <row r="372" spans="2:9" x14ac:dyDescent="0.2">
      <c r="B372" s="45" t="s">
        <v>250</v>
      </c>
      <c r="C372" s="46"/>
      <c r="D372" s="47"/>
      <c r="E372" s="48"/>
      <c r="I372" s="57"/>
    </row>
    <row r="373" spans="2:9" x14ac:dyDescent="0.2">
      <c r="B373" s="49"/>
      <c r="C373" s="84"/>
      <c r="D373" s="84"/>
      <c r="E373" s="71"/>
      <c r="I373" s="57"/>
    </row>
    <row r="374" spans="2:9" x14ac:dyDescent="0.2">
      <c r="B374" s="51" t="s">
        <v>199</v>
      </c>
      <c r="E374" s="50"/>
      <c r="I374" s="57"/>
    </row>
    <row r="375" spans="2:9" x14ac:dyDescent="0.2">
      <c r="B375" s="51"/>
      <c r="C375" s="52"/>
      <c r="D375" s="52"/>
      <c r="E375" s="52"/>
      <c r="I375" s="57"/>
    </row>
    <row r="376" spans="2:9" ht="13.5" thickBot="1" x14ac:dyDescent="0.25">
      <c r="B376" s="51" t="s">
        <v>200</v>
      </c>
      <c r="E376" s="50"/>
      <c r="I376" s="57"/>
    </row>
    <row r="377" spans="2:9" ht="13.5" thickBot="1" x14ac:dyDescent="0.25">
      <c r="B377" s="53" t="s">
        <v>201</v>
      </c>
      <c r="C377" s="54"/>
      <c r="D377" s="54"/>
      <c r="E377" s="55"/>
      <c r="I377" s="57"/>
    </row>
    <row r="378" spans="2:9" ht="13.5" thickBot="1" x14ac:dyDescent="0.25">
      <c r="B378" s="53" t="s">
        <v>202</v>
      </c>
      <c r="C378" s="55"/>
      <c r="D378" s="56" t="s">
        <v>14</v>
      </c>
      <c r="E378" s="56" t="s">
        <v>203</v>
      </c>
      <c r="I378" s="57"/>
    </row>
    <row r="379" spans="2:9" x14ac:dyDescent="0.2">
      <c r="B379" s="58" t="s">
        <v>204</v>
      </c>
      <c r="C379" s="58"/>
      <c r="D379" s="59">
        <v>2</v>
      </c>
      <c r="E379" s="60" t="s">
        <v>205</v>
      </c>
      <c r="I379" s="57"/>
    </row>
    <row r="380" spans="2:9" x14ac:dyDescent="0.2">
      <c r="B380" s="61" t="s">
        <v>206</v>
      </c>
      <c r="C380" s="61"/>
      <c r="D380" s="62">
        <v>3</v>
      </c>
      <c r="E380" s="63" t="s">
        <v>207</v>
      </c>
      <c r="I380" s="57"/>
    </row>
    <row r="381" spans="2:9" x14ac:dyDescent="0.2">
      <c r="B381" s="61" t="s">
        <v>208</v>
      </c>
      <c r="C381" s="61"/>
      <c r="D381" s="62">
        <v>0</v>
      </c>
      <c r="E381" s="63" t="s">
        <v>209</v>
      </c>
      <c r="I381" s="57"/>
    </row>
    <row r="382" spans="2:9" x14ac:dyDescent="0.2">
      <c r="B382" s="58" t="s">
        <v>210</v>
      </c>
      <c r="C382" s="58"/>
      <c r="D382" s="62">
        <v>10</v>
      </c>
      <c r="E382" s="63" t="s">
        <v>211</v>
      </c>
      <c r="I382" s="57"/>
    </row>
    <row r="383" spans="2:9" x14ac:dyDescent="0.2">
      <c r="B383" s="64" t="s">
        <v>212</v>
      </c>
      <c r="C383" s="65"/>
      <c r="D383" s="62">
        <v>0</v>
      </c>
      <c r="E383" s="63" t="s">
        <v>213</v>
      </c>
      <c r="I383" s="57"/>
    </row>
    <row r="384" spans="2:9" x14ac:dyDescent="0.2">
      <c r="B384" s="64" t="s">
        <v>214</v>
      </c>
      <c r="C384" s="65"/>
      <c r="D384" s="62">
        <v>1</v>
      </c>
      <c r="E384" s="63" t="s">
        <v>215</v>
      </c>
      <c r="I384" s="57"/>
    </row>
    <row r="385" spans="2:9" x14ac:dyDescent="0.2">
      <c r="B385" s="64" t="s">
        <v>216</v>
      </c>
      <c r="C385" s="65"/>
      <c r="D385" s="62">
        <v>0</v>
      </c>
      <c r="E385" s="63" t="s">
        <v>217</v>
      </c>
      <c r="I385" s="57"/>
    </row>
    <row r="386" spans="2:9" x14ac:dyDescent="0.2">
      <c r="B386" s="80" t="s">
        <v>218</v>
      </c>
      <c r="C386" s="81"/>
      <c r="D386" s="62">
        <v>10</v>
      </c>
      <c r="E386" s="63" t="s">
        <v>219</v>
      </c>
      <c r="I386" s="57"/>
    </row>
    <row r="387" spans="2:9" ht="13.5" thickBot="1" x14ac:dyDescent="0.25">
      <c r="B387" s="64" t="s">
        <v>220</v>
      </c>
      <c r="C387" s="65"/>
      <c r="D387" s="62">
        <v>10</v>
      </c>
      <c r="E387" s="63" t="s">
        <v>221</v>
      </c>
      <c r="I387" s="57"/>
    </row>
    <row r="388" spans="2:9" ht="26.25" customHeight="1" thickBot="1" x14ac:dyDescent="0.25">
      <c r="B388" s="66" t="s">
        <v>249</v>
      </c>
      <c r="C388" s="67"/>
      <c r="D388" s="67"/>
      <c r="E388" s="68"/>
      <c r="I388" s="57"/>
    </row>
    <row r="389" spans="2:9" ht="13.5" customHeight="1" x14ac:dyDescent="0.2">
      <c r="B389" s="51" t="s">
        <v>223</v>
      </c>
      <c r="E389" s="50"/>
      <c r="I389" s="57"/>
    </row>
    <row r="390" spans="2:9" x14ac:dyDescent="0.2">
      <c r="B390" s="69"/>
      <c r="C390" s="52" t="s">
        <v>224</v>
      </c>
      <c r="D390" s="52"/>
      <c r="E390" s="52"/>
      <c r="I390" s="57"/>
    </row>
    <row r="391" spans="2:9" x14ac:dyDescent="0.2">
      <c r="B391" s="51" t="s">
        <v>225</v>
      </c>
      <c r="C391" s="9"/>
      <c r="D391" s="9"/>
      <c r="E391" s="70"/>
      <c r="I391" s="57"/>
    </row>
    <row r="392" spans="2:9" x14ac:dyDescent="0.2">
      <c r="B392" s="69"/>
      <c r="C392" s="52" t="s">
        <v>226</v>
      </c>
      <c r="D392" s="52"/>
      <c r="E392" s="52"/>
      <c r="I392" s="57"/>
    </row>
    <row r="393" spans="2:9" x14ac:dyDescent="0.2">
      <c r="B393" s="51" t="s">
        <v>227</v>
      </c>
      <c r="E393" s="50"/>
      <c r="I393" s="57"/>
    </row>
    <row r="394" spans="2:9" x14ac:dyDescent="0.2">
      <c r="B394" s="51"/>
      <c r="C394" s="71" t="s">
        <v>228</v>
      </c>
      <c r="D394" s="71"/>
      <c r="E394" s="71"/>
      <c r="I394" s="57"/>
    </row>
    <row r="395" spans="2:9" ht="13.5" thickBot="1" x14ac:dyDescent="0.25">
      <c r="B395" s="72"/>
      <c r="C395" s="73"/>
      <c r="D395" s="74"/>
      <c r="E395" s="75"/>
      <c r="I395" s="57"/>
    </row>
    <row r="396" spans="2:9" ht="13.5" thickBot="1" x14ac:dyDescent="0.25">
      <c r="I396" s="57"/>
    </row>
    <row r="397" spans="2:9" x14ac:dyDescent="0.2">
      <c r="B397" s="45" t="s">
        <v>251</v>
      </c>
      <c r="C397" s="46"/>
      <c r="D397" s="47"/>
      <c r="E397" s="48"/>
      <c r="I397" s="57"/>
    </row>
    <row r="398" spans="2:9" x14ac:dyDescent="0.2">
      <c r="B398" s="49"/>
      <c r="E398" s="50"/>
      <c r="I398" s="57"/>
    </row>
    <row r="399" spans="2:9" x14ac:dyDescent="0.2">
      <c r="B399" s="51" t="s">
        <v>199</v>
      </c>
      <c r="E399" s="50"/>
      <c r="I399" s="57"/>
    </row>
    <row r="400" spans="2:9" x14ac:dyDescent="0.2">
      <c r="B400" s="51"/>
      <c r="C400" s="52"/>
      <c r="D400" s="52"/>
      <c r="E400" s="52"/>
      <c r="I400" s="57"/>
    </row>
    <row r="401" spans="2:9" ht="13.5" thickBot="1" x14ac:dyDescent="0.25">
      <c r="B401" s="51" t="s">
        <v>200</v>
      </c>
      <c r="E401" s="50"/>
      <c r="I401" s="57"/>
    </row>
    <row r="402" spans="2:9" ht="13.5" thickBot="1" x14ac:dyDescent="0.25">
      <c r="B402" s="53" t="s">
        <v>201</v>
      </c>
      <c r="C402" s="54"/>
      <c r="D402" s="54"/>
      <c r="E402" s="55"/>
      <c r="I402" s="57"/>
    </row>
    <row r="403" spans="2:9" ht="13.5" thickBot="1" x14ac:dyDescent="0.25">
      <c r="B403" s="53" t="s">
        <v>202</v>
      </c>
      <c r="C403" s="55"/>
      <c r="D403" s="56" t="s">
        <v>14</v>
      </c>
      <c r="E403" s="56" t="s">
        <v>203</v>
      </c>
      <c r="I403" s="57"/>
    </row>
    <row r="404" spans="2:9" x14ac:dyDescent="0.2">
      <c r="B404" s="58" t="s">
        <v>204</v>
      </c>
      <c r="C404" s="58"/>
      <c r="D404" s="59">
        <v>2</v>
      </c>
      <c r="E404" s="60" t="s">
        <v>205</v>
      </c>
      <c r="I404" s="57"/>
    </row>
    <row r="405" spans="2:9" x14ac:dyDescent="0.2">
      <c r="B405" s="61" t="s">
        <v>206</v>
      </c>
      <c r="C405" s="61"/>
      <c r="D405" s="62">
        <v>3</v>
      </c>
      <c r="E405" s="63" t="s">
        <v>207</v>
      </c>
      <c r="I405" s="57"/>
    </row>
    <row r="406" spans="2:9" x14ac:dyDescent="0.2">
      <c r="B406" s="61" t="s">
        <v>208</v>
      </c>
      <c r="C406" s="61"/>
      <c r="D406" s="62">
        <v>0</v>
      </c>
      <c r="E406" s="63" t="s">
        <v>209</v>
      </c>
      <c r="I406" s="57"/>
    </row>
    <row r="407" spans="2:9" x14ac:dyDescent="0.2">
      <c r="B407" s="58" t="s">
        <v>210</v>
      </c>
      <c r="C407" s="58"/>
      <c r="D407" s="62">
        <v>10</v>
      </c>
      <c r="E407" s="63" t="s">
        <v>211</v>
      </c>
      <c r="I407" s="57"/>
    </row>
    <row r="408" spans="2:9" x14ac:dyDescent="0.2">
      <c r="B408" s="64" t="s">
        <v>212</v>
      </c>
      <c r="C408" s="65"/>
      <c r="D408" s="62">
        <v>0</v>
      </c>
      <c r="E408" s="63" t="s">
        <v>213</v>
      </c>
      <c r="I408" s="57"/>
    </row>
    <row r="409" spans="2:9" x14ac:dyDescent="0.2">
      <c r="B409" s="64" t="s">
        <v>214</v>
      </c>
      <c r="C409" s="65"/>
      <c r="D409" s="62">
        <v>1</v>
      </c>
      <c r="E409" s="63" t="s">
        <v>215</v>
      </c>
      <c r="I409" s="57"/>
    </row>
    <row r="410" spans="2:9" x14ac:dyDescent="0.2">
      <c r="B410" s="64" t="s">
        <v>216</v>
      </c>
      <c r="C410" s="65"/>
      <c r="D410" s="62">
        <v>0</v>
      </c>
      <c r="E410" s="63" t="s">
        <v>217</v>
      </c>
      <c r="I410" s="57"/>
    </row>
    <row r="411" spans="2:9" x14ac:dyDescent="0.2">
      <c r="B411" s="80" t="s">
        <v>218</v>
      </c>
      <c r="C411" s="81"/>
      <c r="D411" s="62">
        <v>10</v>
      </c>
      <c r="E411" s="63" t="s">
        <v>219</v>
      </c>
      <c r="I411" s="57"/>
    </row>
    <row r="412" spans="2:9" ht="13.5" thickBot="1" x14ac:dyDescent="0.25">
      <c r="B412" s="64" t="s">
        <v>220</v>
      </c>
      <c r="C412" s="65"/>
      <c r="D412" s="62">
        <v>10</v>
      </c>
      <c r="E412" s="63" t="s">
        <v>221</v>
      </c>
      <c r="I412" s="57"/>
    </row>
    <row r="413" spans="2:9" ht="26.25" customHeight="1" thickBot="1" x14ac:dyDescent="0.25">
      <c r="B413" s="66" t="s">
        <v>249</v>
      </c>
      <c r="C413" s="67"/>
      <c r="D413" s="67"/>
      <c r="E413" s="68"/>
      <c r="I413" s="57"/>
    </row>
    <row r="414" spans="2:9" x14ac:dyDescent="0.2">
      <c r="B414" s="51" t="s">
        <v>223</v>
      </c>
      <c r="E414" s="50"/>
      <c r="I414" s="57"/>
    </row>
    <row r="415" spans="2:9" x14ac:dyDescent="0.2">
      <c r="B415" s="69"/>
      <c r="C415" s="52" t="s">
        <v>224</v>
      </c>
      <c r="D415" s="52"/>
      <c r="E415" s="52"/>
      <c r="I415" s="57"/>
    </row>
    <row r="416" spans="2:9" x14ac:dyDescent="0.2">
      <c r="B416" s="51" t="s">
        <v>225</v>
      </c>
      <c r="C416" s="9"/>
      <c r="D416" s="9"/>
      <c r="E416" s="70"/>
      <c r="I416" s="57"/>
    </row>
    <row r="417" spans="2:9" x14ac:dyDescent="0.2">
      <c r="B417" s="69"/>
      <c r="C417" s="52" t="s">
        <v>226</v>
      </c>
      <c r="D417" s="52"/>
      <c r="E417" s="52"/>
      <c r="I417" s="57"/>
    </row>
    <row r="418" spans="2:9" x14ac:dyDescent="0.2">
      <c r="B418" s="51" t="s">
        <v>227</v>
      </c>
      <c r="E418" s="50"/>
      <c r="I418" s="57"/>
    </row>
    <row r="419" spans="2:9" x14ac:dyDescent="0.2">
      <c r="B419" s="51"/>
      <c r="C419" s="71" t="s">
        <v>228</v>
      </c>
      <c r="D419" s="71"/>
      <c r="E419" s="71"/>
      <c r="I419" s="57"/>
    </row>
    <row r="420" spans="2:9" ht="13.5" thickBot="1" x14ac:dyDescent="0.25">
      <c r="B420" s="72"/>
      <c r="C420" s="73"/>
      <c r="D420" s="74"/>
      <c r="E420" s="75"/>
      <c r="I420" s="57"/>
    </row>
    <row r="421" spans="2:9" ht="13.5" thickBot="1" x14ac:dyDescent="0.25">
      <c r="I421" s="57"/>
    </row>
    <row r="422" spans="2:9" x14ac:dyDescent="0.2">
      <c r="B422" s="45" t="s">
        <v>252</v>
      </c>
      <c r="C422" s="46"/>
      <c r="D422" s="47"/>
      <c r="E422" s="48"/>
      <c r="I422" s="57"/>
    </row>
    <row r="423" spans="2:9" x14ac:dyDescent="0.2">
      <c r="B423" s="49"/>
      <c r="E423" s="50"/>
      <c r="I423" s="57"/>
    </row>
    <row r="424" spans="2:9" x14ac:dyDescent="0.2">
      <c r="B424" s="51" t="s">
        <v>199</v>
      </c>
      <c r="E424" s="50"/>
      <c r="I424" s="57"/>
    </row>
    <row r="425" spans="2:9" x14ac:dyDescent="0.2">
      <c r="B425" s="51"/>
      <c r="C425" s="85" t="s">
        <v>253</v>
      </c>
      <c r="D425" s="85"/>
      <c r="E425" s="85"/>
      <c r="I425" s="57"/>
    </row>
    <row r="426" spans="2:9" ht="13.5" thickBot="1" x14ac:dyDescent="0.25">
      <c r="B426" s="51" t="s">
        <v>200</v>
      </c>
      <c r="E426" s="50"/>
      <c r="I426" s="57"/>
    </row>
    <row r="427" spans="2:9" ht="13.5" thickBot="1" x14ac:dyDescent="0.25">
      <c r="B427" s="53" t="s">
        <v>201</v>
      </c>
      <c r="C427" s="54"/>
      <c r="D427" s="54"/>
      <c r="E427" s="55"/>
      <c r="I427" s="57"/>
    </row>
    <row r="428" spans="2:9" ht="13.5" thickBot="1" x14ac:dyDescent="0.25">
      <c r="B428" s="53" t="s">
        <v>202</v>
      </c>
      <c r="C428" s="55"/>
      <c r="D428" s="56" t="s">
        <v>14</v>
      </c>
      <c r="E428" s="56" t="s">
        <v>203</v>
      </c>
      <c r="I428" s="57"/>
    </row>
    <row r="429" spans="2:9" x14ac:dyDescent="0.2">
      <c r="B429" s="58" t="s">
        <v>204</v>
      </c>
      <c r="C429" s="58"/>
      <c r="D429" s="59">
        <v>24</v>
      </c>
      <c r="E429" s="60" t="s">
        <v>205</v>
      </c>
      <c r="I429" s="57"/>
    </row>
    <row r="430" spans="2:9" x14ac:dyDescent="0.2">
      <c r="B430" s="61" t="s">
        <v>206</v>
      </c>
      <c r="C430" s="61"/>
      <c r="D430" s="62">
        <v>36</v>
      </c>
      <c r="E430" s="63" t="s">
        <v>207</v>
      </c>
      <c r="I430" s="57"/>
    </row>
    <row r="431" spans="2:9" x14ac:dyDescent="0.2">
      <c r="B431" s="61" t="s">
        <v>208</v>
      </c>
      <c r="C431" s="61"/>
      <c r="D431" s="62">
        <v>24</v>
      </c>
      <c r="E431" s="63" t="s">
        <v>209</v>
      </c>
      <c r="I431" s="57"/>
    </row>
    <row r="432" spans="2:9" x14ac:dyDescent="0.2">
      <c r="B432" s="58" t="s">
        <v>210</v>
      </c>
      <c r="C432" s="58"/>
      <c r="D432" s="62">
        <v>0</v>
      </c>
      <c r="E432" s="63" t="s">
        <v>211</v>
      </c>
      <c r="I432" s="57"/>
    </row>
    <row r="433" spans="2:9" x14ac:dyDescent="0.2">
      <c r="B433" s="64" t="s">
        <v>212</v>
      </c>
      <c r="C433" s="65"/>
      <c r="D433" s="62">
        <v>0</v>
      </c>
      <c r="E433" s="63" t="s">
        <v>213</v>
      </c>
      <c r="I433" s="57"/>
    </row>
    <row r="434" spans="2:9" x14ac:dyDescent="0.2">
      <c r="B434" s="64" t="s">
        <v>214</v>
      </c>
      <c r="C434" s="65"/>
      <c r="D434" s="62">
        <v>0</v>
      </c>
      <c r="E434" s="63" t="s">
        <v>215</v>
      </c>
      <c r="I434" s="57"/>
    </row>
    <row r="435" spans="2:9" x14ac:dyDescent="0.2">
      <c r="B435" s="64" t="s">
        <v>216</v>
      </c>
      <c r="C435" s="65"/>
      <c r="D435" s="62">
        <v>0</v>
      </c>
      <c r="E435" s="63" t="s">
        <v>217</v>
      </c>
      <c r="I435" s="57"/>
    </row>
    <row r="436" spans="2:9" x14ac:dyDescent="0.2">
      <c r="B436" s="80" t="s">
        <v>218</v>
      </c>
      <c r="C436" s="81"/>
      <c r="D436" s="62">
        <v>0</v>
      </c>
      <c r="E436" s="63" t="s">
        <v>219</v>
      </c>
      <c r="I436" s="57"/>
    </row>
    <row r="437" spans="2:9" ht="13.5" thickBot="1" x14ac:dyDescent="0.25">
      <c r="B437" s="64" t="s">
        <v>220</v>
      </c>
      <c r="C437" s="65"/>
      <c r="D437" s="62">
        <v>0</v>
      </c>
      <c r="E437" s="63" t="s">
        <v>221</v>
      </c>
      <c r="I437" s="57"/>
    </row>
    <row r="438" spans="2:9" ht="25.5" customHeight="1" thickBot="1" x14ac:dyDescent="0.25">
      <c r="B438" s="66" t="s">
        <v>254</v>
      </c>
      <c r="C438" s="67"/>
      <c r="D438" s="67"/>
      <c r="E438" s="68"/>
      <c r="I438" s="57"/>
    </row>
    <row r="439" spans="2:9" x14ac:dyDescent="0.2">
      <c r="B439" s="51" t="s">
        <v>223</v>
      </c>
      <c r="E439" s="50"/>
      <c r="I439" s="57"/>
    </row>
    <row r="440" spans="2:9" x14ac:dyDescent="0.2">
      <c r="B440" s="69"/>
      <c r="C440" s="52" t="s">
        <v>224</v>
      </c>
      <c r="D440" s="52"/>
      <c r="E440" s="52"/>
      <c r="I440" s="57"/>
    </row>
    <row r="441" spans="2:9" x14ac:dyDescent="0.2">
      <c r="B441" s="51" t="s">
        <v>225</v>
      </c>
      <c r="C441" s="9"/>
      <c r="D441" s="9"/>
      <c r="E441" s="70"/>
      <c r="I441" s="57"/>
    </row>
    <row r="442" spans="2:9" x14ac:dyDescent="0.2">
      <c r="B442" s="69"/>
      <c r="C442" s="52" t="s">
        <v>226</v>
      </c>
      <c r="D442" s="52"/>
      <c r="E442" s="52"/>
      <c r="I442" s="57"/>
    </row>
    <row r="443" spans="2:9" x14ac:dyDescent="0.2">
      <c r="B443" s="51" t="s">
        <v>227</v>
      </c>
      <c r="E443" s="50"/>
      <c r="I443" s="57"/>
    </row>
    <row r="444" spans="2:9" x14ac:dyDescent="0.2">
      <c r="B444" s="51"/>
      <c r="C444" s="71" t="s">
        <v>228</v>
      </c>
      <c r="D444" s="71"/>
      <c r="E444" s="71"/>
      <c r="I444" s="57"/>
    </row>
    <row r="445" spans="2:9" ht="13.5" thickBot="1" x14ac:dyDescent="0.25">
      <c r="B445" s="72"/>
      <c r="C445" s="73"/>
      <c r="D445" s="74"/>
      <c r="E445" s="75"/>
      <c r="I445" s="57"/>
    </row>
    <row r="446" spans="2:9" ht="13.5" thickBot="1" x14ac:dyDescent="0.25">
      <c r="I446" s="57"/>
    </row>
    <row r="447" spans="2:9" x14ac:dyDescent="0.2">
      <c r="B447" s="45" t="s">
        <v>255</v>
      </c>
      <c r="C447" s="46"/>
      <c r="D447" s="47"/>
      <c r="E447" s="48"/>
      <c r="I447" s="57"/>
    </row>
    <row r="448" spans="2:9" x14ac:dyDescent="0.2">
      <c r="B448" s="49"/>
      <c r="E448" s="50"/>
      <c r="I448" s="57"/>
    </row>
    <row r="449" spans="2:9" x14ac:dyDescent="0.2">
      <c r="B449" s="51" t="s">
        <v>199</v>
      </c>
      <c r="E449" s="86"/>
      <c r="I449" s="57"/>
    </row>
    <row r="450" spans="2:9" x14ac:dyDescent="0.2">
      <c r="B450" s="51"/>
      <c r="C450" s="52"/>
      <c r="D450" s="52"/>
      <c r="E450" s="52"/>
      <c r="I450" s="57"/>
    </row>
    <row r="451" spans="2:9" ht="13.5" thickBot="1" x14ac:dyDescent="0.25">
      <c r="B451" s="51" t="s">
        <v>200</v>
      </c>
      <c r="E451" s="50"/>
      <c r="I451" s="57"/>
    </row>
    <row r="452" spans="2:9" ht="13.5" thickBot="1" x14ac:dyDescent="0.25">
      <c r="B452" s="53" t="s">
        <v>201</v>
      </c>
      <c r="C452" s="54"/>
      <c r="D452" s="54"/>
      <c r="E452" s="55"/>
      <c r="I452" s="57"/>
    </row>
    <row r="453" spans="2:9" ht="12.75" customHeight="1" thickBot="1" x14ac:dyDescent="0.25">
      <c r="B453" s="53" t="s">
        <v>202</v>
      </c>
      <c r="C453" s="55"/>
      <c r="D453" s="56" t="s">
        <v>14</v>
      </c>
      <c r="E453" s="56" t="s">
        <v>203</v>
      </c>
      <c r="I453" s="57"/>
    </row>
    <row r="454" spans="2:9" x14ac:dyDescent="0.2">
      <c r="B454" s="58" t="s">
        <v>204</v>
      </c>
      <c r="C454" s="58"/>
      <c r="D454" s="59">
        <v>10</v>
      </c>
      <c r="E454" s="60" t="s">
        <v>205</v>
      </c>
      <c r="I454" s="57"/>
    </row>
    <row r="455" spans="2:9" x14ac:dyDescent="0.2">
      <c r="B455" s="61" t="s">
        <v>206</v>
      </c>
      <c r="C455" s="61"/>
      <c r="D455" s="62">
        <v>25</v>
      </c>
      <c r="E455" s="63" t="s">
        <v>207</v>
      </c>
      <c r="I455" s="57"/>
    </row>
    <row r="456" spans="2:9" x14ac:dyDescent="0.2">
      <c r="B456" s="61" t="s">
        <v>208</v>
      </c>
      <c r="C456" s="61"/>
      <c r="D456" s="62">
        <v>15</v>
      </c>
      <c r="E456" s="63" t="s">
        <v>209</v>
      </c>
      <c r="I456" s="57"/>
    </row>
    <row r="457" spans="2:9" x14ac:dyDescent="0.2">
      <c r="B457" s="58" t="s">
        <v>210</v>
      </c>
      <c r="C457" s="58"/>
      <c r="D457" s="62">
        <v>10</v>
      </c>
      <c r="E457" s="63" t="s">
        <v>211</v>
      </c>
      <c r="I457" s="57"/>
    </row>
    <row r="458" spans="2:9" x14ac:dyDescent="0.2">
      <c r="B458" s="64" t="s">
        <v>212</v>
      </c>
      <c r="C458" s="65"/>
      <c r="D458" s="62">
        <v>0</v>
      </c>
      <c r="E458" s="63" t="s">
        <v>213</v>
      </c>
      <c r="I458" s="57"/>
    </row>
    <row r="459" spans="2:9" x14ac:dyDescent="0.2">
      <c r="B459" s="64" t="s">
        <v>214</v>
      </c>
      <c r="C459" s="65"/>
      <c r="D459" s="62">
        <v>0</v>
      </c>
      <c r="E459" s="63" t="s">
        <v>215</v>
      </c>
      <c r="I459" s="57"/>
    </row>
    <row r="460" spans="2:9" x14ac:dyDescent="0.2">
      <c r="B460" s="64" t="s">
        <v>216</v>
      </c>
      <c r="C460" s="65"/>
      <c r="D460" s="62">
        <v>0</v>
      </c>
      <c r="E460" s="63" t="s">
        <v>217</v>
      </c>
      <c r="I460" s="57"/>
    </row>
    <row r="461" spans="2:9" x14ac:dyDescent="0.2">
      <c r="B461" s="80" t="s">
        <v>218</v>
      </c>
      <c r="C461" s="81"/>
      <c r="D461" s="62">
        <v>0</v>
      </c>
      <c r="E461" s="63" t="s">
        <v>219</v>
      </c>
      <c r="I461" s="57"/>
    </row>
    <row r="462" spans="2:9" ht="13.5" thickBot="1" x14ac:dyDescent="0.25">
      <c r="B462" s="64" t="s">
        <v>220</v>
      </c>
      <c r="C462" s="65"/>
      <c r="D462" s="62">
        <v>0</v>
      </c>
      <c r="E462" s="63" t="s">
        <v>221</v>
      </c>
      <c r="I462" s="57"/>
    </row>
    <row r="463" spans="2:9" ht="26.25" customHeight="1" thickBot="1" x14ac:dyDescent="0.25">
      <c r="B463" s="66" t="s">
        <v>256</v>
      </c>
      <c r="C463" s="67"/>
      <c r="D463" s="67"/>
      <c r="E463" s="68"/>
      <c r="I463" s="57"/>
    </row>
    <row r="464" spans="2:9" x14ac:dyDescent="0.2">
      <c r="B464" s="51" t="s">
        <v>223</v>
      </c>
      <c r="E464" s="50"/>
      <c r="I464" s="57"/>
    </row>
    <row r="465" spans="2:9" x14ac:dyDescent="0.2">
      <c r="B465" s="69"/>
      <c r="C465" s="52" t="s">
        <v>224</v>
      </c>
      <c r="D465" s="52"/>
      <c r="E465" s="52"/>
      <c r="I465" s="57"/>
    </row>
    <row r="466" spans="2:9" x14ac:dyDescent="0.2">
      <c r="B466" s="51" t="s">
        <v>225</v>
      </c>
      <c r="C466" s="9"/>
      <c r="D466" s="9"/>
      <c r="E466" s="70"/>
      <c r="I466" s="57"/>
    </row>
    <row r="467" spans="2:9" x14ac:dyDescent="0.2">
      <c r="B467" s="69"/>
      <c r="C467" s="52" t="s">
        <v>226</v>
      </c>
      <c r="D467" s="52"/>
      <c r="E467" s="52"/>
      <c r="I467" s="57"/>
    </row>
    <row r="468" spans="2:9" x14ac:dyDescent="0.2">
      <c r="B468" s="51" t="s">
        <v>227</v>
      </c>
      <c r="E468" s="50"/>
      <c r="I468" s="57"/>
    </row>
    <row r="469" spans="2:9" x14ac:dyDescent="0.2">
      <c r="B469" s="51"/>
      <c r="C469" s="71" t="s">
        <v>228</v>
      </c>
      <c r="D469" s="71"/>
      <c r="E469" s="71"/>
      <c r="I469" s="57"/>
    </row>
    <row r="470" spans="2:9" ht="13.5" thickBot="1" x14ac:dyDescent="0.25">
      <c r="B470" s="72"/>
      <c r="C470" s="73"/>
      <c r="D470" s="74"/>
      <c r="E470" s="75"/>
      <c r="I470" s="57"/>
    </row>
    <row r="471" spans="2:9" ht="13.5" thickBot="1" x14ac:dyDescent="0.25">
      <c r="I471" s="57"/>
    </row>
    <row r="472" spans="2:9" x14ac:dyDescent="0.2">
      <c r="B472" s="45" t="s">
        <v>257</v>
      </c>
      <c r="C472" s="46"/>
      <c r="D472" s="47"/>
      <c r="E472" s="48"/>
      <c r="I472" s="57"/>
    </row>
    <row r="473" spans="2:9" x14ac:dyDescent="0.2">
      <c r="B473" s="49"/>
      <c r="E473" s="50"/>
      <c r="I473" s="57"/>
    </row>
    <row r="474" spans="2:9" x14ac:dyDescent="0.2">
      <c r="B474" s="51" t="s">
        <v>199</v>
      </c>
      <c r="E474" s="50"/>
      <c r="I474" s="57"/>
    </row>
    <row r="475" spans="2:9" x14ac:dyDescent="0.2">
      <c r="B475" s="51"/>
      <c r="C475" s="52"/>
      <c r="D475" s="52"/>
      <c r="E475" s="52"/>
      <c r="I475" s="57"/>
    </row>
    <row r="476" spans="2:9" ht="13.5" thickBot="1" x14ac:dyDescent="0.25">
      <c r="B476" s="51" t="s">
        <v>200</v>
      </c>
      <c r="E476" s="50"/>
      <c r="I476" s="57"/>
    </row>
    <row r="477" spans="2:9" ht="13.5" thickBot="1" x14ac:dyDescent="0.25">
      <c r="B477" s="53" t="s">
        <v>201</v>
      </c>
      <c r="C477" s="54"/>
      <c r="D477" s="54"/>
      <c r="E477" s="55"/>
      <c r="I477" s="57"/>
    </row>
    <row r="478" spans="2:9" ht="13.5" thickBot="1" x14ac:dyDescent="0.25">
      <c r="B478" s="53" t="s">
        <v>202</v>
      </c>
      <c r="C478" s="55"/>
      <c r="D478" s="56" t="s">
        <v>14</v>
      </c>
      <c r="E478" s="56" t="s">
        <v>203</v>
      </c>
      <c r="I478" s="57"/>
    </row>
    <row r="479" spans="2:9" x14ac:dyDescent="0.2">
      <c r="B479" s="58" t="s">
        <v>204</v>
      </c>
      <c r="C479" s="58"/>
      <c r="D479" s="59">
        <v>0</v>
      </c>
      <c r="E479" s="60" t="s">
        <v>205</v>
      </c>
      <c r="I479" s="57"/>
    </row>
    <row r="480" spans="2:9" x14ac:dyDescent="0.2">
      <c r="B480" s="61" t="s">
        <v>206</v>
      </c>
      <c r="C480" s="61"/>
      <c r="D480" s="62">
        <v>0</v>
      </c>
      <c r="E480" s="63" t="s">
        <v>207</v>
      </c>
      <c r="I480" s="57"/>
    </row>
    <row r="481" spans="2:9" x14ac:dyDescent="0.2">
      <c r="B481" s="61" t="s">
        <v>208</v>
      </c>
      <c r="C481" s="61"/>
      <c r="D481" s="62">
        <v>0</v>
      </c>
      <c r="E481" s="63" t="s">
        <v>209</v>
      </c>
      <c r="I481" s="57"/>
    </row>
    <row r="482" spans="2:9" x14ac:dyDescent="0.2">
      <c r="B482" s="58" t="s">
        <v>210</v>
      </c>
      <c r="C482" s="58"/>
      <c r="D482" s="62">
        <v>0</v>
      </c>
      <c r="E482" s="63" t="s">
        <v>211</v>
      </c>
      <c r="I482" s="57"/>
    </row>
    <row r="483" spans="2:9" x14ac:dyDescent="0.2">
      <c r="B483" s="64" t="s">
        <v>212</v>
      </c>
      <c r="C483" s="65"/>
      <c r="D483" s="62">
        <v>5</v>
      </c>
      <c r="E483" s="63" t="s">
        <v>213</v>
      </c>
      <c r="I483" s="57"/>
    </row>
    <row r="484" spans="2:9" x14ac:dyDescent="0.2">
      <c r="B484" s="64" t="s">
        <v>214</v>
      </c>
      <c r="C484" s="65"/>
      <c r="D484" s="62">
        <v>0</v>
      </c>
      <c r="E484" s="63" t="s">
        <v>215</v>
      </c>
      <c r="I484" s="57"/>
    </row>
    <row r="485" spans="2:9" x14ac:dyDescent="0.2">
      <c r="B485" s="64" t="s">
        <v>216</v>
      </c>
      <c r="C485" s="65"/>
      <c r="D485" s="62">
        <v>2</v>
      </c>
      <c r="E485" s="63" t="s">
        <v>217</v>
      </c>
      <c r="I485" s="57"/>
    </row>
    <row r="486" spans="2:9" x14ac:dyDescent="0.2">
      <c r="B486" s="80" t="s">
        <v>218</v>
      </c>
      <c r="C486" s="81"/>
      <c r="D486" s="62">
        <v>0</v>
      </c>
      <c r="E486" s="63" t="s">
        <v>219</v>
      </c>
      <c r="I486" s="57"/>
    </row>
    <row r="487" spans="2:9" ht="13.5" thickBot="1" x14ac:dyDescent="0.25">
      <c r="B487" s="64" t="s">
        <v>220</v>
      </c>
      <c r="C487" s="65"/>
      <c r="D487" s="62">
        <v>0</v>
      </c>
      <c r="E487" s="63" t="s">
        <v>221</v>
      </c>
      <c r="I487" s="57"/>
    </row>
    <row r="488" spans="2:9" ht="26.25" customHeight="1" thickBot="1" x14ac:dyDescent="0.25">
      <c r="B488" s="66" t="s">
        <v>258</v>
      </c>
      <c r="C488" s="67"/>
      <c r="D488" s="67"/>
      <c r="E488" s="68"/>
      <c r="I488" s="57"/>
    </row>
    <row r="489" spans="2:9" x14ac:dyDescent="0.2">
      <c r="B489" s="51" t="s">
        <v>223</v>
      </c>
      <c r="E489" s="50"/>
      <c r="I489" s="57"/>
    </row>
    <row r="490" spans="2:9" x14ac:dyDescent="0.2">
      <c r="B490" s="69"/>
      <c r="C490" s="52" t="s">
        <v>224</v>
      </c>
      <c r="D490" s="52"/>
      <c r="E490" s="52"/>
      <c r="I490" s="57"/>
    </row>
    <row r="491" spans="2:9" x14ac:dyDescent="0.2">
      <c r="B491" s="51" t="s">
        <v>225</v>
      </c>
      <c r="C491" s="9"/>
      <c r="D491" s="9"/>
      <c r="E491" s="70"/>
      <c r="I491" s="57"/>
    </row>
    <row r="492" spans="2:9" x14ac:dyDescent="0.2">
      <c r="B492" s="69"/>
      <c r="C492" s="52" t="s">
        <v>226</v>
      </c>
      <c r="D492" s="52"/>
      <c r="E492" s="52"/>
      <c r="I492" s="57"/>
    </row>
    <row r="493" spans="2:9" x14ac:dyDescent="0.2">
      <c r="B493" s="51" t="s">
        <v>227</v>
      </c>
      <c r="E493" s="50"/>
      <c r="I493" s="57"/>
    </row>
    <row r="494" spans="2:9" x14ac:dyDescent="0.2">
      <c r="B494" s="51"/>
      <c r="C494" s="71" t="s">
        <v>228</v>
      </c>
      <c r="D494" s="71"/>
      <c r="E494" s="71"/>
      <c r="I494" s="57"/>
    </row>
    <row r="495" spans="2:9" ht="13.5" thickBot="1" x14ac:dyDescent="0.25">
      <c r="B495" s="72"/>
      <c r="C495" s="73"/>
      <c r="D495" s="74"/>
      <c r="E495" s="75"/>
      <c r="I495" s="57"/>
    </row>
    <row r="496" spans="2:9" ht="13.5" thickBot="1" x14ac:dyDescent="0.25">
      <c r="I496" s="57"/>
    </row>
    <row r="497" spans="2:9" x14ac:dyDescent="0.2">
      <c r="B497" s="45" t="s">
        <v>259</v>
      </c>
      <c r="C497" s="46"/>
      <c r="D497" s="47"/>
      <c r="E497" s="48"/>
      <c r="I497" s="57"/>
    </row>
    <row r="498" spans="2:9" x14ac:dyDescent="0.2">
      <c r="B498" s="49"/>
      <c r="E498" s="50"/>
      <c r="I498" s="57"/>
    </row>
    <row r="499" spans="2:9" x14ac:dyDescent="0.2">
      <c r="B499" s="51" t="s">
        <v>199</v>
      </c>
      <c r="E499" s="50"/>
      <c r="I499" s="57"/>
    </row>
    <row r="500" spans="2:9" x14ac:dyDescent="0.2">
      <c r="B500" s="51"/>
      <c r="C500" s="52"/>
      <c r="D500" s="52"/>
      <c r="E500" s="52"/>
      <c r="I500" s="57"/>
    </row>
    <row r="501" spans="2:9" ht="13.5" thickBot="1" x14ac:dyDescent="0.25">
      <c r="B501" s="51" t="s">
        <v>200</v>
      </c>
      <c r="E501" s="50"/>
      <c r="I501" s="57"/>
    </row>
    <row r="502" spans="2:9" ht="13.5" thickBot="1" x14ac:dyDescent="0.25">
      <c r="B502" s="53" t="s">
        <v>201</v>
      </c>
      <c r="C502" s="54"/>
      <c r="D502" s="54"/>
      <c r="E502" s="55"/>
      <c r="I502" s="57"/>
    </row>
    <row r="503" spans="2:9" ht="13.5" thickBot="1" x14ac:dyDescent="0.25">
      <c r="B503" s="53" t="s">
        <v>202</v>
      </c>
      <c r="C503" s="55"/>
      <c r="D503" s="56" t="s">
        <v>14</v>
      </c>
      <c r="E503" s="56" t="s">
        <v>203</v>
      </c>
      <c r="I503" s="57"/>
    </row>
    <row r="504" spans="2:9" x14ac:dyDescent="0.2">
      <c r="B504" s="58" t="s">
        <v>204</v>
      </c>
      <c r="C504" s="58"/>
      <c r="D504" s="59">
        <v>0</v>
      </c>
      <c r="E504" s="60" t="s">
        <v>205</v>
      </c>
      <c r="I504" s="57"/>
    </row>
    <row r="505" spans="2:9" x14ac:dyDescent="0.2">
      <c r="B505" s="61" t="s">
        <v>206</v>
      </c>
      <c r="C505" s="61"/>
      <c r="D505" s="62">
        <v>0</v>
      </c>
      <c r="E505" s="63" t="s">
        <v>207</v>
      </c>
      <c r="I505" s="57"/>
    </row>
    <row r="506" spans="2:9" x14ac:dyDescent="0.2">
      <c r="B506" s="61" t="s">
        <v>208</v>
      </c>
      <c r="C506" s="61"/>
      <c r="D506" s="62">
        <v>0</v>
      </c>
      <c r="E506" s="63" t="s">
        <v>209</v>
      </c>
      <c r="I506" s="57"/>
    </row>
    <row r="507" spans="2:9" x14ac:dyDescent="0.2">
      <c r="B507" s="58" t="s">
        <v>210</v>
      </c>
      <c r="C507" s="58"/>
      <c r="D507" s="62">
        <v>0</v>
      </c>
      <c r="E507" s="63" t="s">
        <v>211</v>
      </c>
      <c r="I507" s="57"/>
    </row>
    <row r="508" spans="2:9" x14ac:dyDescent="0.2">
      <c r="B508" s="64" t="s">
        <v>212</v>
      </c>
      <c r="C508" s="65"/>
      <c r="D508" s="62">
        <v>4</v>
      </c>
      <c r="E508" s="63" t="s">
        <v>213</v>
      </c>
      <c r="I508" s="57"/>
    </row>
    <row r="509" spans="2:9" x14ac:dyDescent="0.2">
      <c r="B509" s="64" t="s">
        <v>214</v>
      </c>
      <c r="C509" s="65"/>
      <c r="D509" s="62">
        <v>0</v>
      </c>
      <c r="E509" s="63" t="s">
        <v>215</v>
      </c>
      <c r="I509" s="57"/>
    </row>
    <row r="510" spans="2:9" x14ac:dyDescent="0.2">
      <c r="B510" s="64" t="s">
        <v>216</v>
      </c>
      <c r="C510" s="65"/>
      <c r="D510" s="62">
        <v>2</v>
      </c>
      <c r="E510" s="63" t="s">
        <v>217</v>
      </c>
      <c r="I510" s="57"/>
    </row>
    <row r="511" spans="2:9" x14ac:dyDescent="0.2">
      <c r="B511" s="80" t="s">
        <v>218</v>
      </c>
      <c r="C511" s="81"/>
      <c r="D511" s="62">
        <v>0</v>
      </c>
      <c r="E511" s="63" t="s">
        <v>219</v>
      </c>
      <c r="I511" s="57"/>
    </row>
    <row r="512" spans="2:9" ht="13.5" thickBot="1" x14ac:dyDescent="0.25">
      <c r="B512" s="64" t="s">
        <v>220</v>
      </c>
      <c r="C512" s="65"/>
      <c r="D512" s="62">
        <v>0</v>
      </c>
      <c r="E512" s="63" t="s">
        <v>221</v>
      </c>
      <c r="I512" s="57"/>
    </row>
    <row r="513" spans="2:9" ht="26.25" customHeight="1" thickBot="1" x14ac:dyDescent="0.25">
      <c r="B513" s="66" t="s">
        <v>260</v>
      </c>
      <c r="C513" s="67"/>
      <c r="D513" s="67"/>
      <c r="E513" s="68"/>
      <c r="I513" s="57"/>
    </row>
    <row r="514" spans="2:9" x14ac:dyDescent="0.2">
      <c r="B514" s="51" t="s">
        <v>223</v>
      </c>
      <c r="E514" s="50"/>
      <c r="I514" s="57"/>
    </row>
    <row r="515" spans="2:9" x14ac:dyDescent="0.2">
      <c r="B515" s="69"/>
      <c r="C515" s="52" t="s">
        <v>224</v>
      </c>
      <c r="D515" s="52"/>
      <c r="E515" s="52"/>
      <c r="I515" s="57"/>
    </row>
    <row r="516" spans="2:9" x14ac:dyDescent="0.2">
      <c r="B516" s="51" t="s">
        <v>225</v>
      </c>
      <c r="C516" s="9"/>
      <c r="D516" s="9"/>
      <c r="E516" s="70"/>
      <c r="I516" s="57"/>
    </row>
    <row r="517" spans="2:9" x14ac:dyDescent="0.2">
      <c r="B517" s="69"/>
      <c r="C517" s="52" t="s">
        <v>226</v>
      </c>
      <c r="D517" s="52"/>
      <c r="E517" s="52"/>
      <c r="I517" s="57"/>
    </row>
    <row r="518" spans="2:9" x14ac:dyDescent="0.2">
      <c r="B518" s="51" t="s">
        <v>227</v>
      </c>
      <c r="E518" s="50"/>
      <c r="I518" s="57"/>
    </row>
    <row r="519" spans="2:9" x14ac:dyDescent="0.2">
      <c r="B519" s="51"/>
      <c r="C519" s="71" t="s">
        <v>228</v>
      </c>
      <c r="D519" s="71"/>
      <c r="E519" s="71"/>
      <c r="I519" s="57"/>
    </row>
    <row r="520" spans="2:9" ht="13.5" thickBot="1" x14ac:dyDescent="0.25">
      <c r="B520" s="72"/>
      <c r="C520" s="73"/>
      <c r="D520" s="74"/>
      <c r="E520" s="75"/>
      <c r="I520" s="57"/>
    </row>
    <row r="521" spans="2:9" x14ac:dyDescent="0.2">
      <c r="I521" s="57"/>
    </row>
    <row r="522" spans="2:9" ht="13.5" thickBot="1" x14ac:dyDescent="0.25">
      <c r="I522" s="57"/>
    </row>
    <row r="523" spans="2:9" x14ac:dyDescent="0.2">
      <c r="B523" s="45" t="s">
        <v>261</v>
      </c>
      <c r="C523" s="46"/>
      <c r="D523" s="47"/>
      <c r="E523" s="48"/>
      <c r="I523" s="57"/>
    </row>
    <row r="524" spans="2:9" x14ac:dyDescent="0.2">
      <c r="B524" s="49"/>
      <c r="E524" s="50"/>
      <c r="I524" s="57"/>
    </row>
    <row r="525" spans="2:9" x14ac:dyDescent="0.2">
      <c r="B525" s="51" t="s">
        <v>199</v>
      </c>
      <c r="E525" s="50"/>
      <c r="I525" s="57"/>
    </row>
    <row r="526" spans="2:9" x14ac:dyDescent="0.2">
      <c r="B526" s="51"/>
      <c r="C526" s="52"/>
      <c r="D526" s="52"/>
      <c r="E526" s="52"/>
      <c r="I526" s="57"/>
    </row>
    <row r="527" spans="2:9" ht="13.5" thickBot="1" x14ac:dyDescent="0.25">
      <c r="B527" s="51" t="s">
        <v>200</v>
      </c>
      <c r="E527" s="50"/>
      <c r="I527" s="57"/>
    </row>
    <row r="528" spans="2:9" ht="13.5" thickBot="1" x14ac:dyDescent="0.25">
      <c r="B528" s="53" t="s">
        <v>201</v>
      </c>
      <c r="C528" s="54"/>
      <c r="D528" s="54"/>
      <c r="E528" s="55"/>
      <c r="I528" s="57"/>
    </row>
    <row r="529" spans="2:9" ht="13.5" thickBot="1" x14ac:dyDescent="0.25">
      <c r="B529" s="53" t="s">
        <v>202</v>
      </c>
      <c r="C529" s="55"/>
      <c r="D529" s="56" t="s">
        <v>14</v>
      </c>
      <c r="E529" s="56" t="s">
        <v>203</v>
      </c>
      <c r="I529" s="57"/>
    </row>
    <row r="530" spans="2:9" x14ac:dyDescent="0.2">
      <c r="B530" s="58" t="s">
        <v>204</v>
      </c>
      <c r="C530" s="58"/>
      <c r="D530" s="59">
        <v>10</v>
      </c>
      <c r="E530" s="60" t="s">
        <v>205</v>
      </c>
      <c r="I530" s="57"/>
    </row>
    <row r="531" spans="2:9" x14ac:dyDescent="0.2">
      <c r="B531" s="61" t="s">
        <v>206</v>
      </c>
      <c r="C531" s="61"/>
      <c r="D531" s="62">
        <v>15</v>
      </c>
      <c r="E531" s="63" t="s">
        <v>207</v>
      </c>
      <c r="I531" s="57"/>
    </row>
    <row r="532" spans="2:9" x14ac:dyDescent="0.2">
      <c r="B532" s="61" t="s">
        <v>208</v>
      </c>
      <c r="C532" s="61"/>
      <c r="D532" s="62">
        <v>20</v>
      </c>
      <c r="E532" s="63" t="s">
        <v>209</v>
      </c>
      <c r="I532" s="57"/>
    </row>
    <row r="533" spans="2:9" x14ac:dyDescent="0.2">
      <c r="B533" s="58" t="s">
        <v>210</v>
      </c>
      <c r="C533" s="58"/>
      <c r="D533" s="62">
        <v>0</v>
      </c>
      <c r="E533" s="63" t="s">
        <v>211</v>
      </c>
      <c r="I533" s="57"/>
    </row>
    <row r="534" spans="2:9" x14ac:dyDescent="0.2">
      <c r="B534" s="64" t="s">
        <v>212</v>
      </c>
      <c r="C534" s="65"/>
      <c r="D534" s="62">
        <v>0</v>
      </c>
      <c r="E534" s="63" t="s">
        <v>213</v>
      </c>
      <c r="I534" s="57"/>
    </row>
    <row r="535" spans="2:9" x14ac:dyDescent="0.2">
      <c r="B535" s="64" t="s">
        <v>214</v>
      </c>
      <c r="C535" s="65"/>
      <c r="D535" s="62">
        <v>0</v>
      </c>
      <c r="E535" s="63" t="s">
        <v>215</v>
      </c>
      <c r="I535" s="57"/>
    </row>
    <row r="536" spans="2:9" x14ac:dyDescent="0.2">
      <c r="B536" s="64" t="s">
        <v>216</v>
      </c>
      <c r="C536" s="65"/>
      <c r="D536" s="62">
        <v>0</v>
      </c>
      <c r="E536" s="63" t="s">
        <v>217</v>
      </c>
      <c r="I536" s="57"/>
    </row>
    <row r="537" spans="2:9" x14ac:dyDescent="0.2">
      <c r="B537" s="80" t="s">
        <v>218</v>
      </c>
      <c r="C537" s="81"/>
      <c r="D537" s="62">
        <v>0</v>
      </c>
      <c r="E537" s="63" t="s">
        <v>219</v>
      </c>
      <c r="I537" s="57"/>
    </row>
    <row r="538" spans="2:9" ht="13.5" thickBot="1" x14ac:dyDescent="0.25">
      <c r="B538" s="64" t="s">
        <v>220</v>
      </c>
      <c r="C538" s="65"/>
      <c r="D538" s="62">
        <v>0</v>
      </c>
      <c r="E538" s="63" t="s">
        <v>221</v>
      </c>
      <c r="I538" s="57"/>
    </row>
    <row r="539" spans="2:9" ht="25.5" customHeight="1" thickBot="1" x14ac:dyDescent="0.25">
      <c r="B539" s="66" t="s">
        <v>262</v>
      </c>
      <c r="C539" s="67"/>
      <c r="D539" s="67"/>
      <c r="E539" s="68"/>
      <c r="I539" s="57"/>
    </row>
    <row r="540" spans="2:9" x14ac:dyDescent="0.2">
      <c r="B540" s="51" t="s">
        <v>223</v>
      </c>
      <c r="E540" s="50"/>
      <c r="I540" s="57"/>
    </row>
    <row r="541" spans="2:9" x14ac:dyDescent="0.2">
      <c r="B541" s="69"/>
      <c r="C541" s="52" t="s">
        <v>224</v>
      </c>
      <c r="D541" s="52"/>
      <c r="E541" s="52"/>
      <c r="I541" s="57"/>
    </row>
    <row r="542" spans="2:9" x14ac:dyDescent="0.2">
      <c r="B542" s="51" t="s">
        <v>225</v>
      </c>
      <c r="C542" s="9"/>
      <c r="D542" s="9"/>
      <c r="E542" s="70"/>
      <c r="I542" s="57"/>
    </row>
    <row r="543" spans="2:9" x14ac:dyDescent="0.2">
      <c r="B543" s="69"/>
      <c r="C543" s="52" t="s">
        <v>226</v>
      </c>
      <c r="D543" s="52"/>
      <c r="E543" s="52"/>
      <c r="I543" s="57"/>
    </row>
    <row r="544" spans="2:9" x14ac:dyDescent="0.2">
      <c r="B544" s="51" t="s">
        <v>227</v>
      </c>
      <c r="E544" s="50"/>
      <c r="I544" s="57"/>
    </row>
    <row r="545" spans="2:9" x14ac:dyDescent="0.2">
      <c r="B545" s="51"/>
      <c r="C545" s="71" t="s">
        <v>228</v>
      </c>
      <c r="D545" s="71"/>
      <c r="E545" s="71"/>
      <c r="I545" s="57"/>
    </row>
    <row r="546" spans="2:9" ht="13.5" thickBot="1" x14ac:dyDescent="0.25">
      <c r="B546" s="72"/>
      <c r="C546" s="73"/>
      <c r="D546" s="74"/>
      <c r="E546" s="75"/>
      <c r="I546" s="57"/>
    </row>
    <row r="547" spans="2:9" ht="13.5" thickBot="1" x14ac:dyDescent="0.25">
      <c r="I547" s="57"/>
    </row>
    <row r="548" spans="2:9" x14ac:dyDescent="0.2">
      <c r="B548" s="45" t="s">
        <v>263</v>
      </c>
      <c r="C548" s="46"/>
      <c r="D548" s="47"/>
      <c r="E548" s="48"/>
      <c r="I548" s="57"/>
    </row>
    <row r="549" spans="2:9" x14ac:dyDescent="0.2">
      <c r="B549" s="49"/>
      <c r="C549" s="84"/>
      <c r="D549" s="84"/>
      <c r="E549" s="71"/>
      <c r="I549" s="57"/>
    </row>
    <row r="550" spans="2:9" x14ac:dyDescent="0.2">
      <c r="B550" s="51" t="s">
        <v>199</v>
      </c>
      <c r="E550" s="50"/>
      <c r="I550" s="57"/>
    </row>
    <row r="551" spans="2:9" x14ac:dyDescent="0.2">
      <c r="B551" s="51"/>
      <c r="C551" s="52"/>
      <c r="D551" s="52"/>
      <c r="E551" s="52"/>
      <c r="I551" s="57"/>
    </row>
    <row r="552" spans="2:9" ht="13.5" thickBot="1" x14ac:dyDescent="0.25">
      <c r="B552" s="51" t="s">
        <v>200</v>
      </c>
      <c r="E552" s="50"/>
      <c r="I552" s="57"/>
    </row>
    <row r="553" spans="2:9" ht="13.5" thickBot="1" x14ac:dyDescent="0.25">
      <c r="B553" s="53" t="s">
        <v>201</v>
      </c>
      <c r="C553" s="54"/>
      <c r="D553" s="54"/>
      <c r="E553" s="55"/>
      <c r="I553" s="57"/>
    </row>
    <row r="554" spans="2:9" ht="13.5" thickBot="1" x14ac:dyDescent="0.25">
      <c r="B554" s="53" t="s">
        <v>202</v>
      </c>
      <c r="C554" s="55"/>
      <c r="D554" s="56" t="s">
        <v>14</v>
      </c>
      <c r="E554" s="56" t="s">
        <v>203</v>
      </c>
      <c r="I554" s="57"/>
    </row>
    <row r="555" spans="2:9" x14ac:dyDescent="0.2">
      <c r="B555" s="58" t="s">
        <v>204</v>
      </c>
      <c r="C555" s="58"/>
      <c r="D555" s="59">
        <v>0</v>
      </c>
      <c r="E555" s="60" t="s">
        <v>205</v>
      </c>
      <c r="I555" s="57"/>
    </row>
    <row r="556" spans="2:9" x14ac:dyDescent="0.2">
      <c r="B556" s="61" t="s">
        <v>206</v>
      </c>
      <c r="C556" s="61"/>
      <c r="D556" s="62">
        <v>3</v>
      </c>
      <c r="E556" s="63" t="s">
        <v>207</v>
      </c>
      <c r="I556" s="57"/>
    </row>
    <row r="557" spans="2:9" x14ac:dyDescent="0.2">
      <c r="B557" s="61" t="s">
        <v>208</v>
      </c>
      <c r="C557" s="61"/>
      <c r="D557" s="62">
        <v>3</v>
      </c>
      <c r="E557" s="63" t="s">
        <v>209</v>
      </c>
    </row>
    <row r="558" spans="2:9" x14ac:dyDescent="0.2">
      <c r="B558" s="58" t="s">
        <v>210</v>
      </c>
      <c r="C558" s="58"/>
      <c r="D558" s="62">
        <v>0</v>
      </c>
      <c r="E558" s="63" t="s">
        <v>211</v>
      </c>
    </row>
    <row r="559" spans="2:9" x14ac:dyDescent="0.2">
      <c r="B559" s="64" t="s">
        <v>212</v>
      </c>
      <c r="C559" s="65"/>
      <c r="D559" s="62">
        <v>0</v>
      </c>
      <c r="E559" s="63" t="s">
        <v>213</v>
      </c>
    </row>
    <row r="560" spans="2:9" x14ac:dyDescent="0.2">
      <c r="B560" s="64" t="s">
        <v>214</v>
      </c>
      <c r="C560" s="65"/>
      <c r="D560" s="62">
        <v>0</v>
      </c>
      <c r="E560" s="63" t="s">
        <v>215</v>
      </c>
    </row>
    <row r="561" spans="2:9" x14ac:dyDescent="0.2">
      <c r="B561" s="64" t="s">
        <v>216</v>
      </c>
      <c r="C561" s="65"/>
      <c r="D561" s="62">
        <v>0</v>
      </c>
      <c r="E561" s="63" t="s">
        <v>217</v>
      </c>
      <c r="I561" s="57"/>
    </row>
    <row r="562" spans="2:9" x14ac:dyDescent="0.2">
      <c r="B562" s="80" t="s">
        <v>218</v>
      </c>
      <c r="C562" s="81"/>
      <c r="D562" s="62">
        <v>0</v>
      </c>
      <c r="E562" s="63" t="s">
        <v>219</v>
      </c>
      <c r="I562" s="57"/>
    </row>
    <row r="563" spans="2:9" ht="13.5" thickBot="1" x14ac:dyDescent="0.25">
      <c r="B563" s="64" t="s">
        <v>220</v>
      </c>
      <c r="C563" s="65"/>
      <c r="D563" s="62">
        <v>0</v>
      </c>
      <c r="E563" s="63" t="s">
        <v>221</v>
      </c>
      <c r="I563" s="57"/>
    </row>
    <row r="564" spans="2:9" ht="24" customHeight="1" thickBot="1" x14ac:dyDescent="0.25">
      <c r="B564" s="66" t="s">
        <v>264</v>
      </c>
      <c r="C564" s="67"/>
      <c r="D564" s="67"/>
      <c r="E564" s="68"/>
      <c r="I564" s="57"/>
    </row>
    <row r="565" spans="2:9" x14ac:dyDescent="0.2">
      <c r="B565" s="51" t="s">
        <v>223</v>
      </c>
      <c r="E565" s="50"/>
      <c r="I565" s="57"/>
    </row>
    <row r="566" spans="2:9" x14ac:dyDescent="0.2">
      <c r="B566" s="69"/>
      <c r="C566" s="52" t="s">
        <v>224</v>
      </c>
      <c r="D566" s="52"/>
      <c r="E566" s="52"/>
      <c r="I566" s="57"/>
    </row>
    <row r="567" spans="2:9" x14ac:dyDescent="0.2">
      <c r="B567" s="51" t="s">
        <v>225</v>
      </c>
      <c r="C567" s="9"/>
      <c r="D567" s="9"/>
      <c r="E567" s="70"/>
      <c r="I567" s="57"/>
    </row>
    <row r="568" spans="2:9" x14ac:dyDescent="0.2">
      <c r="B568" s="69"/>
      <c r="C568" s="52" t="s">
        <v>226</v>
      </c>
      <c r="D568" s="52"/>
      <c r="E568" s="52"/>
      <c r="I568" s="57"/>
    </row>
    <row r="569" spans="2:9" x14ac:dyDescent="0.2">
      <c r="B569" s="51" t="s">
        <v>227</v>
      </c>
      <c r="E569" s="50"/>
      <c r="I569" s="57"/>
    </row>
    <row r="570" spans="2:9" x14ac:dyDescent="0.2">
      <c r="B570" s="51"/>
      <c r="C570" s="71" t="s">
        <v>228</v>
      </c>
      <c r="D570" s="71"/>
      <c r="E570" s="71"/>
      <c r="I570" s="57"/>
    </row>
    <row r="571" spans="2:9" ht="13.5" thickBot="1" x14ac:dyDescent="0.25">
      <c r="B571" s="72"/>
      <c r="C571" s="73"/>
      <c r="D571" s="74"/>
      <c r="E571" s="75"/>
      <c r="I571" s="57"/>
    </row>
    <row r="572" spans="2:9" ht="13.5" thickBot="1" x14ac:dyDescent="0.25">
      <c r="I572" s="57"/>
    </row>
    <row r="573" spans="2:9" x14ac:dyDescent="0.2">
      <c r="B573" s="45" t="s">
        <v>265</v>
      </c>
      <c r="C573" s="46"/>
      <c r="D573" s="47"/>
      <c r="E573" s="48"/>
      <c r="I573" s="57"/>
    </row>
    <row r="574" spans="2:9" x14ac:dyDescent="0.2">
      <c r="B574" s="49"/>
      <c r="E574" s="50"/>
      <c r="I574" s="57"/>
    </row>
    <row r="575" spans="2:9" x14ac:dyDescent="0.2">
      <c r="B575" s="51" t="s">
        <v>199</v>
      </c>
      <c r="E575" s="50"/>
      <c r="I575" s="57"/>
    </row>
    <row r="576" spans="2:9" x14ac:dyDescent="0.2">
      <c r="B576" s="51"/>
      <c r="C576" s="52"/>
      <c r="D576" s="52"/>
      <c r="E576" s="52"/>
      <c r="I576" s="57"/>
    </row>
    <row r="577" spans="2:9" ht="13.5" thickBot="1" x14ac:dyDescent="0.25">
      <c r="B577" s="51" t="s">
        <v>200</v>
      </c>
      <c r="E577" s="50"/>
      <c r="I577" s="57"/>
    </row>
    <row r="578" spans="2:9" ht="13.5" thickBot="1" x14ac:dyDescent="0.25">
      <c r="B578" s="53" t="s">
        <v>201</v>
      </c>
      <c r="C578" s="54"/>
      <c r="D578" s="54"/>
      <c r="E578" s="55"/>
      <c r="I578" s="57"/>
    </row>
    <row r="579" spans="2:9" ht="13.5" thickBot="1" x14ac:dyDescent="0.25">
      <c r="B579" s="53" t="s">
        <v>202</v>
      </c>
      <c r="C579" s="55"/>
      <c r="D579" s="56" t="s">
        <v>14</v>
      </c>
      <c r="E579" s="56" t="s">
        <v>203</v>
      </c>
      <c r="I579" s="57"/>
    </row>
    <row r="580" spans="2:9" x14ac:dyDescent="0.2">
      <c r="B580" s="58" t="s">
        <v>204</v>
      </c>
      <c r="C580" s="58"/>
      <c r="D580" s="59">
        <v>5</v>
      </c>
      <c r="E580" s="60" t="s">
        <v>205</v>
      </c>
      <c r="I580" s="57"/>
    </row>
    <row r="581" spans="2:9" x14ac:dyDescent="0.2">
      <c r="B581" s="61" t="s">
        <v>206</v>
      </c>
      <c r="C581" s="61"/>
      <c r="D581" s="62">
        <v>10</v>
      </c>
      <c r="E581" s="63" t="s">
        <v>207</v>
      </c>
      <c r="I581" s="57"/>
    </row>
    <row r="582" spans="2:9" x14ac:dyDescent="0.2">
      <c r="B582" s="61" t="s">
        <v>208</v>
      </c>
      <c r="C582" s="61"/>
      <c r="D582" s="62">
        <v>0</v>
      </c>
      <c r="E582" s="63" t="s">
        <v>209</v>
      </c>
      <c r="I582" s="57"/>
    </row>
    <row r="583" spans="2:9" x14ac:dyDescent="0.2">
      <c r="B583" s="58" t="s">
        <v>210</v>
      </c>
      <c r="C583" s="58"/>
      <c r="D583" s="62">
        <v>1</v>
      </c>
      <c r="E583" s="63" t="s">
        <v>211</v>
      </c>
      <c r="I583" s="57"/>
    </row>
    <row r="584" spans="2:9" x14ac:dyDescent="0.2">
      <c r="B584" s="64" t="s">
        <v>212</v>
      </c>
      <c r="C584" s="65"/>
      <c r="D584" s="62">
        <v>0</v>
      </c>
      <c r="E584" s="63" t="s">
        <v>213</v>
      </c>
      <c r="I584" s="57"/>
    </row>
    <row r="585" spans="2:9" x14ac:dyDescent="0.2">
      <c r="B585" s="64" t="s">
        <v>214</v>
      </c>
      <c r="C585" s="65"/>
      <c r="D585" s="62">
        <v>2</v>
      </c>
      <c r="E585" s="63" t="s">
        <v>215</v>
      </c>
      <c r="I585" s="57"/>
    </row>
    <row r="586" spans="2:9" x14ac:dyDescent="0.2">
      <c r="B586" s="64" t="s">
        <v>216</v>
      </c>
      <c r="C586" s="65"/>
      <c r="D586" s="62">
        <v>0</v>
      </c>
      <c r="E586" s="63" t="s">
        <v>217</v>
      </c>
      <c r="I586" s="57"/>
    </row>
    <row r="587" spans="2:9" x14ac:dyDescent="0.2">
      <c r="B587" s="80" t="s">
        <v>218</v>
      </c>
      <c r="C587" s="81"/>
      <c r="D587" s="62">
        <v>10</v>
      </c>
      <c r="E587" s="63" t="s">
        <v>219</v>
      </c>
      <c r="I587" s="57"/>
    </row>
    <row r="588" spans="2:9" ht="13.5" thickBot="1" x14ac:dyDescent="0.25">
      <c r="B588" s="64" t="s">
        <v>220</v>
      </c>
      <c r="C588" s="65"/>
      <c r="D588" s="62">
        <v>20</v>
      </c>
      <c r="E588" s="63" t="s">
        <v>221</v>
      </c>
      <c r="I588" s="57"/>
    </row>
    <row r="589" spans="2:9" ht="24.75" customHeight="1" thickBot="1" x14ac:dyDescent="0.25">
      <c r="B589" s="66" t="s">
        <v>266</v>
      </c>
      <c r="C589" s="67"/>
      <c r="D589" s="67"/>
      <c r="E589" s="68"/>
      <c r="I589" s="57"/>
    </row>
    <row r="590" spans="2:9" x14ac:dyDescent="0.2">
      <c r="B590" s="51" t="s">
        <v>223</v>
      </c>
      <c r="E590" s="50"/>
      <c r="I590" s="57"/>
    </row>
    <row r="591" spans="2:9" x14ac:dyDescent="0.2">
      <c r="B591" s="69"/>
      <c r="C591" s="52" t="s">
        <v>224</v>
      </c>
      <c r="D591" s="52"/>
      <c r="E591" s="52"/>
      <c r="I591" s="57"/>
    </row>
    <row r="592" spans="2:9" x14ac:dyDescent="0.2">
      <c r="B592" s="51" t="s">
        <v>225</v>
      </c>
      <c r="C592" s="9"/>
      <c r="D592" s="9"/>
      <c r="E592" s="70"/>
      <c r="I592" s="57"/>
    </row>
    <row r="593" spans="2:9" x14ac:dyDescent="0.2">
      <c r="B593" s="69"/>
      <c r="C593" s="52" t="s">
        <v>226</v>
      </c>
      <c r="D593" s="52"/>
      <c r="E593" s="52"/>
      <c r="I593" s="57"/>
    </row>
    <row r="594" spans="2:9" x14ac:dyDescent="0.2">
      <c r="B594" s="51" t="s">
        <v>227</v>
      </c>
      <c r="E594" s="50"/>
      <c r="I594" s="57"/>
    </row>
    <row r="595" spans="2:9" x14ac:dyDescent="0.2">
      <c r="B595" s="51"/>
      <c r="C595" s="71" t="s">
        <v>228</v>
      </c>
      <c r="D595" s="71"/>
      <c r="E595" s="71"/>
      <c r="I595" s="57"/>
    </row>
    <row r="596" spans="2:9" ht="13.5" thickBot="1" x14ac:dyDescent="0.25">
      <c r="B596" s="72"/>
      <c r="C596" s="73"/>
      <c r="D596" s="74"/>
      <c r="E596" s="75"/>
      <c r="I596" s="57"/>
    </row>
    <row r="597" spans="2:9" ht="13.5" thickBot="1" x14ac:dyDescent="0.25">
      <c r="I597" s="57"/>
    </row>
    <row r="598" spans="2:9" x14ac:dyDescent="0.2">
      <c r="B598" s="45" t="s">
        <v>267</v>
      </c>
      <c r="C598" s="46"/>
      <c r="D598" s="47"/>
      <c r="E598" s="48"/>
      <c r="I598" s="57"/>
    </row>
    <row r="599" spans="2:9" x14ac:dyDescent="0.2">
      <c r="B599" s="49"/>
      <c r="E599" s="50"/>
      <c r="I599" s="57"/>
    </row>
    <row r="600" spans="2:9" x14ac:dyDescent="0.2">
      <c r="B600" s="51" t="s">
        <v>199</v>
      </c>
      <c r="E600" s="50"/>
      <c r="I600" s="57"/>
    </row>
    <row r="601" spans="2:9" x14ac:dyDescent="0.2">
      <c r="B601" s="51"/>
      <c r="C601" s="52"/>
      <c r="D601" s="52"/>
      <c r="E601" s="52"/>
      <c r="I601" s="57"/>
    </row>
    <row r="602" spans="2:9" ht="13.5" thickBot="1" x14ac:dyDescent="0.25">
      <c r="B602" s="51" t="s">
        <v>200</v>
      </c>
      <c r="E602" s="50"/>
      <c r="I602" s="57"/>
    </row>
    <row r="603" spans="2:9" ht="13.5" thickBot="1" x14ac:dyDescent="0.25">
      <c r="B603" s="53" t="s">
        <v>201</v>
      </c>
      <c r="C603" s="54"/>
      <c r="D603" s="54"/>
      <c r="E603" s="55"/>
      <c r="I603" s="57"/>
    </row>
    <row r="604" spans="2:9" ht="13.5" thickBot="1" x14ac:dyDescent="0.25">
      <c r="B604" s="53" t="s">
        <v>202</v>
      </c>
      <c r="C604" s="55"/>
      <c r="D604" s="56" t="s">
        <v>14</v>
      </c>
      <c r="E604" s="56" t="s">
        <v>203</v>
      </c>
      <c r="I604" s="57"/>
    </row>
    <row r="605" spans="2:9" x14ac:dyDescent="0.2">
      <c r="B605" s="58" t="s">
        <v>204</v>
      </c>
      <c r="C605" s="58"/>
      <c r="D605" s="59">
        <v>0</v>
      </c>
      <c r="E605" s="60" t="s">
        <v>205</v>
      </c>
      <c r="I605" s="57"/>
    </row>
    <row r="606" spans="2:9" x14ac:dyDescent="0.2">
      <c r="B606" s="61" t="s">
        <v>206</v>
      </c>
      <c r="C606" s="61"/>
      <c r="D606" s="62">
        <v>10</v>
      </c>
      <c r="E606" s="63" t="s">
        <v>207</v>
      </c>
      <c r="I606" s="57"/>
    </row>
    <row r="607" spans="2:9" x14ac:dyDescent="0.2">
      <c r="B607" s="61" t="s">
        <v>208</v>
      </c>
      <c r="C607" s="61"/>
      <c r="D607" s="62">
        <v>0</v>
      </c>
      <c r="E607" s="63" t="s">
        <v>209</v>
      </c>
      <c r="I607" s="57"/>
    </row>
    <row r="608" spans="2:9" x14ac:dyDescent="0.2">
      <c r="B608" s="58" t="s">
        <v>210</v>
      </c>
      <c r="C608" s="58"/>
      <c r="D608" s="62">
        <v>0</v>
      </c>
      <c r="E608" s="63" t="s">
        <v>211</v>
      </c>
      <c r="I608" s="57"/>
    </row>
    <row r="609" spans="2:9" x14ac:dyDescent="0.2">
      <c r="B609" s="64" t="s">
        <v>212</v>
      </c>
      <c r="C609" s="65"/>
      <c r="D609" s="62">
        <v>0</v>
      </c>
      <c r="E609" s="63" t="s">
        <v>213</v>
      </c>
      <c r="I609" s="57"/>
    </row>
    <row r="610" spans="2:9" x14ac:dyDescent="0.2">
      <c r="B610" s="64" t="s">
        <v>214</v>
      </c>
      <c r="C610" s="65"/>
      <c r="D610" s="62">
        <v>5</v>
      </c>
      <c r="E610" s="63" t="s">
        <v>215</v>
      </c>
      <c r="I610" s="57"/>
    </row>
    <row r="611" spans="2:9" x14ac:dyDescent="0.2">
      <c r="B611" s="64" t="s">
        <v>216</v>
      </c>
      <c r="C611" s="65"/>
      <c r="D611" s="62">
        <v>0</v>
      </c>
      <c r="E611" s="63" t="s">
        <v>217</v>
      </c>
      <c r="I611" s="57"/>
    </row>
    <row r="612" spans="2:9" x14ac:dyDescent="0.2">
      <c r="B612" s="80" t="s">
        <v>218</v>
      </c>
      <c r="C612" s="81"/>
      <c r="D612" s="62">
        <v>0</v>
      </c>
      <c r="E612" s="63" t="s">
        <v>219</v>
      </c>
      <c r="I612" s="57"/>
    </row>
    <row r="613" spans="2:9" ht="13.5" thickBot="1" x14ac:dyDescent="0.25">
      <c r="B613" s="64" t="s">
        <v>220</v>
      </c>
      <c r="C613" s="65"/>
      <c r="D613" s="62">
        <v>0</v>
      </c>
      <c r="E613" s="63" t="s">
        <v>221</v>
      </c>
      <c r="I613" s="57"/>
    </row>
    <row r="614" spans="2:9" ht="25.5" customHeight="1" thickBot="1" x14ac:dyDescent="0.25">
      <c r="B614" s="66" t="s">
        <v>268</v>
      </c>
      <c r="C614" s="67"/>
      <c r="D614" s="67"/>
      <c r="E614" s="68"/>
      <c r="I614" s="57"/>
    </row>
    <row r="615" spans="2:9" x14ac:dyDescent="0.2">
      <c r="B615" s="51" t="s">
        <v>223</v>
      </c>
      <c r="E615" s="50"/>
      <c r="I615" s="57"/>
    </row>
    <row r="616" spans="2:9" x14ac:dyDescent="0.2">
      <c r="B616" s="69"/>
      <c r="C616" s="52" t="s">
        <v>224</v>
      </c>
      <c r="D616" s="52"/>
      <c r="E616" s="52"/>
      <c r="I616" s="57"/>
    </row>
    <row r="617" spans="2:9" x14ac:dyDescent="0.2">
      <c r="B617" s="51" t="s">
        <v>225</v>
      </c>
      <c r="C617" s="9"/>
      <c r="D617" s="9"/>
      <c r="E617" s="70"/>
      <c r="I617" s="57"/>
    </row>
    <row r="618" spans="2:9" x14ac:dyDescent="0.2">
      <c r="B618" s="69"/>
      <c r="C618" s="52" t="s">
        <v>226</v>
      </c>
      <c r="D618" s="52"/>
      <c r="E618" s="52"/>
      <c r="I618" s="57"/>
    </row>
    <row r="619" spans="2:9" x14ac:dyDescent="0.2">
      <c r="B619" s="51" t="s">
        <v>227</v>
      </c>
      <c r="E619" s="50"/>
      <c r="I619" s="57"/>
    </row>
    <row r="620" spans="2:9" x14ac:dyDescent="0.2">
      <c r="B620" s="51"/>
      <c r="C620" s="71" t="s">
        <v>228</v>
      </c>
      <c r="D620" s="71"/>
      <c r="E620" s="71"/>
      <c r="I620" s="57"/>
    </row>
    <row r="621" spans="2:9" ht="13.5" thickBot="1" x14ac:dyDescent="0.25">
      <c r="B621" s="72"/>
      <c r="C621" s="73"/>
      <c r="D621" s="74"/>
      <c r="E621" s="75"/>
      <c r="I621" s="57"/>
    </row>
    <row r="622" spans="2:9" ht="13.5" thickBot="1" x14ac:dyDescent="0.25">
      <c r="I622" s="57"/>
    </row>
    <row r="623" spans="2:9" x14ac:dyDescent="0.2">
      <c r="B623" s="45" t="s">
        <v>269</v>
      </c>
      <c r="C623" s="46"/>
      <c r="D623" s="47"/>
      <c r="E623" s="48"/>
      <c r="I623" s="57"/>
    </row>
    <row r="624" spans="2:9" x14ac:dyDescent="0.2">
      <c r="B624" s="49"/>
      <c r="E624" s="50"/>
      <c r="I624" s="57"/>
    </row>
    <row r="625" spans="2:9" x14ac:dyDescent="0.2">
      <c r="B625" s="51" t="s">
        <v>199</v>
      </c>
      <c r="E625" s="50"/>
      <c r="I625" s="57"/>
    </row>
    <row r="626" spans="2:9" x14ac:dyDescent="0.2">
      <c r="B626" s="51"/>
      <c r="C626" s="52"/>
      <c r="D626" s="52"/>
      <c r="E626" s="52"/>
      <c r="I626" s="57"/>
    </row>
    <row r="627" spans="2:9" ht="13.5" thickBot="1" x14ac:dyDescent="0.25">
      <c r="B627" s="51" t="s">
        <v>200</v>
      </c>
      <c r="E627" s="50"/>
      <c r="I627" s="57"/>
    </row>
    <row r="628" spans="2:9" ht="13.5" thickBot="1" x14ac:dyDescent="0.25">
      <c r="B628" s="53" t="s">
        <v>201</v>
      </c>
      <c r="C628" s="54"/>
      <c r="D628" s="54"/>
      <c r="E628" s="55"/>
      <c r="I628" s="57"/>
    </row>
    <row r="629" spans="2:9" ht="13.5" thickBot="1" x14ac:dyDescent="0.25">
      <c r="B629" s="53" t="s">
        <v>202</v>
      </c>
      <c r="C629" s="55"/>
      <c r="D629" s="56" t="s">
        <v>14</v>
      </c>
      <c r="E629" s="56" t="s">
        <v>203</v>
      </c>
      <c r="I629" s="57"/>
    </row>
    <row r="630" spans="2:9" x14ac:dyDescent="0.2">
      <c r="B630" s="58" t="s">
        <v>204</v>
      </c>
      <c r="C630" s="58"/>
      <c r="D630" s="59">
        <v>2</v>
      </c>
      <c r="E630" s="60" t="s">
        <v>205</v>
      </c>
      <c r="I630" s="57"/>
    </row>
    <row r="631" spans="2:9" x14ac:dyDescent="0.2">
      <c r="B631" s="61" t="s">
        <v>206</v>
      </c>
      <c r="C631" s="61"/>
      <c r="D631" s="62">
        <v>2</v>
      </c>
      <c r="E631" s="63" t="s">
        <v>207</v>
      </c>
      <c r="I631" s="57"/>
    </row>
    <row r="632" spans="2:9" x14ac:dyDescent="0.2">
      <c r="B632" s="61" t="s">
        <v>208</v>
      </c>
      <c r="C632" s="61"/>
      <c r="D632" s="62">
        <v>0</v>
      </c>
      <c r="E632" s="63" t="s">
        <v>209</v>
      </c>
      <c r="I632" s="57"/>
    </row>
    <row r="633" spans="2:9" x14ac:dyDescent="0.2">
      <c r="B633" s="58" t="s">
        <v>210</v>
      </c>
      <c r="C633" s="58"/>
      <c r="D633" s="62">
        <v>3</v>
      </c>
      <c r="E633" s="63" t="s">
        <v>211</v>
      </c>
      <c r="I633" s="57"/>
    </row>
    <row r="634" spans="2:9" x14ac:dyDescent="0.2">
      <c r="B634" s="64" t="s">
        <v>212</v>
      </c>
      <c r="C634" s="65"/>
      <c r="D634" s="62">
        <v>2</v>
      </c>
      <c r="E634" s="63" t="s">
        <v>213</v>
      </c>
      <c r="I634" s="57"/>
    </row>
    <row r="635" spans="2:9" x14ac:dyDescent="0.2">
      <c r="B635" s="64" t="s">
        <v>214</v>
      </c>
      <c r="C635" s="65"/>
      <c r="D635" s="62">
        <v>2</v>
      </c>
      <c r="E635" s="63" t="s">
        <v>215</v>
      </c>
      <c r="I635" s="57"/>
    </row>
    <row r="636" spans="2:9" x14ac:dyDescent="0.2">
      <c r="B636" s="64" t="s">
        <v>216</v>
      </c>
      <c r="C636" s="65"/>
      <c r="D636" s="62">
        <v>0</v>
      </c>
      <c r="E636" s="63" t="s">
        <v>217</v>
      </c>
      <c r="I636" s="57"/>
    </row>
    <row r="637" spans="2:9" x14ac:dyDescent="0.2">
      <c r="B637" s="80" t="s">
        <v>218</v>
      </c>
      <c r="C637" s="81"/>
      <c r="D637" s="62">
        <v>2</v>
      </c>
      <c r="E637" s="63" t="s">
        <v>219</v>
      </c>
      <c r="I637" s="57"/>
    </row>
    <row r="638" spans="2:9" ht="13.5" thickBot="1" x14ac:dyDescent="0.25">
      <c r="B638" s="64" t="s">
        <v>220</v>
      </c>
      <c r="C638" s="65"/>
      <c r="D638" s="62">
        <v>2</v>
      </c>
      <c r="E638" s="63" t="s">
        <v>221</v>
      </c>
      <c r="I638" s="57"/>
    </row>
    <row r="639" spans="2:9" ht="25.5" customHeight="1" thickBot="1" x14ac:dyDescent="0.25">
      <c r="B639" s="66" t="s">
        <v>270</v>
      </c>
      <c r="C639" s="67"/>
      <c r="D639" s="67"/>
      <c r="E639" s="68"/>
      <c r="I639" s="57"/>
    </row>
    <row r="640" spans="2:9" x14ac:dyDescent="0.2">
      <c r="B640" s="51" t="s">
        <v>223</v>
      </c>
      <c r="E640" s="50"/>
      <c r="I640" s="57"/>
    </row>
    <row r="641" spans="2:9" x14ac:dyDescent="0.2">
      <c r="B641" s="69"/>
      <c r="C641" s="52" t="s">
        <v>224</v>
      </c>
      <c r="D641" s="52"/>
      <c r="E641" s="52"/>
      <c r="I641" s="57"/>
    </row>
    <row r="642" spans="2:9" x14ac:dyDescent="0.2">
      <c r="B642" s="51" t="s">
        <v>225</v>
      </c>
      <c r="C642" s="9"/>
      <c r="D642" s="9"/>
      <c r="E642" s="70"/>
      <c r="I642" s="57"/>
    </row>
    <row r="643" spans="2:9" x14ac:dyDescent="0.2">
      <c r="B643" s="69"/>
      <c r="C643" s="52" t="s">
        <v>226</v>
      </c>
      <c r="D643" s="52"/>
      <c r="E643" s="52"/>
      <c r="I643" s="57"/>
    </row>
    <row r="644" spans="2:9" x14ac:dyDescent="0.2">
      <c r="B644" s="51" t="s">
        <v>227</v>
      </c>
      <c r="E644" s="50"/>
      <c r="I644" s="57"/>
    </row>
    <row r="645" spans="2:9" x14ac:dyDescent="0.2">
      <c r="B645" s="51"/>
      <c r="C645" s="71" t="s">
        <v>228</v>
      </c>
      <c r="D645" s="71"/>
      <c r="E645" s="71"/>
      <c r="I645" s="57"/>
    </row>
    <row r="646" spans="2:9" ht="13.5" thickBot="1" x14ac:dyDescent="0.25">
      <c r="B646" s="72"/>
      <c r="C646" s="73"/>
      <c r="D646" s="74"/>
      <c r="E646" s="75"/>
      <c r="I646" s="57"/>
    </row>
    <row r="647" spans="2:9" ht="13.5" thickBot="1" x14ac:dyDescent="0.25">
      <c r="I647" s="57"/>
    </row>
    <row r="648" spans="2:9" x14ac:dyDescent="0.2">
      <c r="B648" s="45" t="s">
        <v>271</v>
      </c>
      <c r="C648" s="46"/>
      <c r="D648" s="47"/>
      <c r="E648" s="48"/>
      <c r="I648" s="57"/>
    </row>
    <row r="649" spans="2:9" x14ac:dyDescent="0.2">
      <c r="B649" s="49"/>
      <c r="E649" s="50"/>
      <c r="I649" s="57"/>
    </row>
    <row r="650" spans="2:9" x14ac:dyDescent="0.2">
      <c r="B650" s="51" t="s">
        <v>199</v>
      </c>
      <c r="E650" s="50"/>
      <c r="I650" s="57"/>
    </row>
    <row r="651" spans="2:9" x14ac:dyDescent="0.2">
      <c r="B651" s="51"/>
      <c r="C651" s="52"/>
      <c r="D651" s="52"/>
      <c r="E651" s="52"/>
      <c r="I651" s="57"/>
    </row>
    <row r="652" spans="2:9" ht="13.5" thickBot="1" x14ac:dyDescent="0.25">
      <c r="B652" s="51" t="s">
        <v>200</v>
      </c>
      <c r="E652" s="50"/>
      <c r="I652" s="57"/>
    </row>
    <row r="653" spans="2:9" ht="13.5" thickBot="1" x14ac:dyDescent="0.25">
      <c r="B653" s="53" t="s">
        <v>201</v>
      </c>
      <c r="C653" s="54"/>
      <c r="D653" s="54"/>
      <c r="E653" s="55"/>
      <c r="I653" s="57"/>
    </row>
    <row r="654" spans="2:9" ht="13.5" thickBot="1" x14ac:dyDescent="0.25">
      <c r="B654" s="53" t="s">
        <v>202</v>
      </c>
      <c r="C654" s="55"/>
      <c r="D654" s="56" t="s">
        <v>14</v>
      </c>
      <c r="E654" s="56" t="s">
        <v>203</v>
      </c>
      <c r="I654" s="57"/>
    </row>
    <row r="655" spans="2:9" x14ac:dyDescent="0.2">
      <c r="B655" s="58" t="s">
        <v>204</v>
      </c>
      <c r="C655" s="58"/>
      <c r="D655" s="59">
        <v>0</v>
      </c>
      <c r="E655" s="60" t="s">
        <v>205</v>
      </c>
      <c r="I655" s="57"/>
    </row>
    <row r="656" spans="2:9" x14ac:dyDescent="0.2">
      <c r="B656" s="61" t="s">
        <v>206</v>
      </c>
      <c r="C656" s="61"/>
      <c r="D656" s="62">
        <v>2</v>
      </c>
      <c r="E656" s="63" t="s">
        <v>207</v>
      </c>
      <c r="I656" s="57"/>
    </row>
    <row r="657" spans="2:9" x14ac:dyDescent="0.2">
      <c r="B657" s="61" t="s">
        <v>208</v>
      </c>
      <c r="C657" s="61"/>
      <c r="D657" s="62">
        <v>0</v>
      </c>
      <c r="E657" s="63" t="s">
        <v>209</v>
      </c>
      <c r="I657" s="57"/>
    </row>
    <row r="658" spans="2:9" x14ac:dyDescent="0.2">
      <c r="B658" s="58" t="s">
        <v>210</v>
      </c>
      <c r="C658" s="58"/>
      <c r="D658" s="62">
        <v>4</v>
      </c>
      <c r="E658" s="63" t="s">
        <v>211</v>
      </c>
      <c r="I658" s="57"/>
    </row>
    <row r="659" spans="2:9" x14ac:dyDescent="0.2">
      <c r="B659" s="64" t="s">
        <v>212</v>
      </c>
      <c r="C659" s="65"/>
      <c r="D659" s="62">
        <v>0</v>
      </c>
      <c r="E659" s="63" t="s">
        <v>213</v>
      </c>
      <c r="I659" s="57"/>
    </row>
    <row r="660" spans="2:9" x14ac:dyDescent="0.2">
      <c r="B660" s="64" t="s">
        <v>214</v>
      </c>
      <c r="C660" s="65"/>
      <c r="D660" s="62">
        <v>0</v>
      </c>
      <c r="E660" s="63" t="s">
        <v>215</v>
      </c>
      <c r="I660" s="57"/>
    </row>
    <row r="661" spans="2:9" x14ac:dyDescent="0.2">
      <c r="B661" s="64" t="s">
        <v>216</v>
      </c>
      <c r="C661" s="65"/>
      <c r="D661" s="62">
        <v>0</v>
      </c>
      <c r="E661" s="63" t="s">
        <v>217</v>
      </c>
      <c r="I661" s="57"/>
    </row>
    <row r="662" spans="2:9" x14ac:dyDescent="0.2">
      <c r="B662" s="80" t="s">
        <v>218</v>
      </c>
      <c r="C662" s="81"/>
      <c r="D662" s="62">
        <v>2</v>
      </c>
      <c r="E662" s="63" t="s">
        <v>219</v>
      </c>
      <c r="I662" s="57"/>
    </row>
    <row r="663" spans="2:9" ht="13.5" thickBot="1" x14ac:dyDescent="0.25">
      <c r="B663" s="64" t="s">
        <v>220</v>
      </c>
      <c r="C663" s="65"/>
      <c r="D663" s="62">
        <v>4</v>
      </c>
      <c r="E663" s="63" t="s">
        <v>221</v>
      </c>
      <c r="I663" s="57"/>
    </row>
    <row r="664" spans="2:9" ht="25.5" customHeight="1" thickBot="1" x14ac:dyDescent="0.25">
      <c r="B664" s="66" t="s">
        <v>272</v>
      </c>
      <c r="C664" s="67"/>
      <c r="D664" s="67"/>
      <c r="E664" s="68"/>
      <c r="I664" s="57"/>
    </row>
    <row r="665" spans="2:9" x14ac:dyDescent="0.2">
      <c r="B665" s="51" t="s">
        <v>223</v>
      </c>
      <c r="E665" s="50"/>
      <c r="I665" s="57"/>
    </row>
    <row r="666" spans="2:9" x14ac:dyDescent="0.2">
      <c r="B666" s="69"/>
      <c r="C666" s="52" t="s">
        <v>224</v>
      </c>
      <c r="D666" s="52"/>
      <c r="E666" s="52"/>
      <c r="I666" s="57"/>
    </row>
    <row r="667" spans="2:9" x14ac:dyDescent="0.2">
      <c r="B667" s="51" t="s">
        <v>225</v>
      </c>
      <c r="C667" s="9"/>
      <c r="D667" s="9"/>
      <c r="E667" s="70"/>
      <c r="I667" s="57"/>
    </row>
    <row r="668" spans="2:9" x14ac:dyDescent="0.2">
      <c r="B668" s="69"/>
      <c r="C668" s="52" t="s">
        <v>226</v>
      </c>
      <c r="D668" s="52"/>
      <c r="E668" s="52"/>
      <c r="I668" s="57"/>
    </row>
    <row r="669" spans="2:9" x14ac:dyDescent="0.2">
      <c r="B669" s="51" t="s">
        <v>227</v>
      </c>
      <c r="E669" s="50"/>
      <c r="I669" s="57"/>
    </row>
    <row r="670" spans="2:9" x14ac:dyDescent="0.2">
      <c r="B670" s="51"/>
      <c r="C670" s="71" t="s">
        <v>228</v>
      </c>
      <c r="D670" s="71"/>
      <c r="E670" s="71"/>
      <c r="I670" s="57"/>
    </row>
    <row r="671" spans="2:9" ht="13.5" thickBot="1" x14ac:dyDescent="0.25">
      <c r="B671" s="72"/>
      <c r="C671" s="73"/>
      <c r="D671" s="74"/>
      <c r="E671" s="75"/>
      <c r="I671" s="57"/>
    </row>
    <row r="672" spans="2:9" ht="13.5" thickBot="1" x14ac:dyDescent="0.25">
      <c r="I672" s="57"/>
    </row>
    <row r="673" spans="2:9" x14ac:dyDescent="0.2">
      <c r="B673" s="45" t="s">
        <v>273</v>
      </c>
      <c r="C673" s="46"/>
      <c r="D673" s="47"/>
      <c r="E673" s="48"/>
      <c r="I673" s="57"/>
    </row>
    <row r="674" spans="2:9" x14ac:dyDescent="0.2">
      <c r="B674" s="49"/>
      <c r="E674" s="50"/>
      <c r="I674" s="57"/>
    </row>
    <row r="675" spans="2:9" x14ac:dyDescent="0.2">
      <c r="B675" s="51" t="s">
        <v>199</v>
      </c>
      <c r="E675" s="50"/>
      <c r="I675" s="57"/>
    </row>
    <row r="676" spans="2:9" x14ac:dyDescent="0.2">
      <c r="B676" s="51"/>
      <c r="C676" s="82" t="s">
        <v>274</v>
      </c>
      <c r="D676" s="82"/>
      <c r="E676" s="83"/>
      <c r="I676" s="57"/>
    </row>
    <row r="677" spans="2:9" ht="13.5" thickBot="1" x14ac:dyDescent="0.25">
      <c r="B677" s="51" t="s">
        <v>200</v>
      </c>
      <c r="E677" s="50"/>
      <c r="I677" s="57"/>
    </row>
    <row r="678" spans="2:9" ht="13.5" thickBot="1" x14ac:dyDescent="0.25">
      <c r="B678" s="53" t="s">
        <v>201</v>
      </c>
      <c r="C678" s="54"/>
      <c r="D678" s="54"/>
      <c r="E678" s="55"/>
      <c r="I678" s="57"/>
    </row>
    <row r="679" spans="2:9" ht="13.5" thickBot="1" x14ac:dyDescent="0.25">
      <c r="B679" s="53" t="s">
        <v>202</v>
      </c>
      <c r="C679" s="55"/>
      <c r="D679" s="56" t="s">
        <v>14</v>
      </c>
      <c r="E679" s="56" t="s">
        <v>203</v>
      </c>
      <c r="I679" s="57"/>
    </row>
    <row r="680" spans="2:9" x14ac:dyDescent="0.2">
      <c r="B680" s="58" t="s">
        <v>204</v>
      </c>
      <c r="C680" s="58"/>
      <c r="D680" s="59">
        <v>12</v>
      </c>
      <c r="E680" s="60" t="s">
        <v>205</v>
      </c>
      <c r="I680" s="57"/>
    </row>
    <row r="681" spans="2:9" x14ac:dyDescent="0.2">
      <c r="B681" s="61" t="s">
        <v>206</v>
      </c>
      <c r="C681" s="61"/>
      <c r="D681" s="62">
        <v>10</v>
      </c>
      <c r="E681" s="63" t="s">
        <v>207</v>
      </c>
      <c r="I681" s="57"/>
    </row>
    <row r="682" spans="2:9" x14ac:dyDescent="0.2">
      <c r="B682" s="61" t="s">
        <v>208</v>
      </c>
      <c r="C682" s="61"/>
      <c r="D682" s="62">
        <v>20</v>
      </c>
      <c r="E682" s="63" t="s">
        <v>209</v>
      </c>
      <c r="I682" s="57"/>
    </row>
    <row r="683" spans="2:9" x14ac:dyDescent="0.2">
      <c r="B683" s="58" t="s">
        <v>210</v>
      </c>
      <c r="C683" s="58"/>
      <c r="D683" s="62">
        <v>0</v>
      </c>
      <c r="E683" s="63" t="s">
        <v>211</v>
      </c>
      <c r="I683" s="57"/>
    </row>
    <row r="684" spans="2:9" x14ac:dyDescent="0.2">
      <c r="B684" s="64" t="s">
        <v>212</v>
      </c>
      <c r="C684" s="65"/>
      <c r="D684" s="62">
        <v>5</v>
      </c>
      <c r="E684" s="63" t="s">
        <v>213</v>
      </c>
      <c r="I684" s="57"/>
    </row>
    <row r="685" spans="2:9" x14ac:dyDescent="0.2">
      <c r="B685" s="64" t="s">
        <v>214</v>
      </c>
      <c r="C685" s="65"/>
      <c r="D685" s="62">
        <v>2</v>
      </c>
      <c r="E685" s="63" t="s">
        <v>215</v>
      </c>
      <c r="I685" s="57"/>
    </row>
    <row r="686" spans="2:9" x14ac:dyDescent="0.2">
      <c r="B686" s="64" t="s">
        <v>216</v>
      </c>
      <c r="C686" s="65"/>
      <c r="D686" s="62">
        <v>0</v>
      </c>
      <c r="E686" s="63" t="s">
        <v>217</v>
      </c>
      <c r="I686" s="57"/>
    </row>
    <row r="687" spans="2:9" x14ac:dyDescent="0.2">
      <c r="B687" s="80" t="s">
        <v>218</v>
      </c>
      <c r="C687" s="81"/>
      <c r="D687" s="62">
        <v>0</v>
      </c>
      <c r="E687" s="63" t="s">
        <v>219</v>
      </c>
      <c r="I687" s="57"/>
    </row>
    <row r="688" spans="2:9" ht="13.5" thickBot="1" x14ac:dyDescent="0.25">
      <c r="B688" s="64" t="s">
        <v>220</v>
      </c>
      <c r="C688" s="65"/>
      <c r="D688" s="62">
        <v>0</v>
      </c>
      <c r="E688" s="63" t="s">
        <v>221</v>
      </c>
      <c r="I688" s="57"/>
    </row>
    <row r="689" spans="2:9" ht="25.5" customHeight="1" thickBot="1" x14ac:dyDescent="0.25">
      <c r="B689" s="66" t="s">
        <v>275</v>
      </c>
      <c r="C689" s="67"/>
      <c r="D689" s="67"/>
      <c r="E689" s="68"/>
      <c r="I689" s="57"/>
    </row>
    <row r="690" spans="2:9" x14ac:dyDescent="0.2">
      <c r="B690" s="51" t="s">
        <v>223</v>
      </c>
      <c r="E690" s="50"/>
      <c r="I690" s="57"/>
    </row>
    <row r="691" spans="2:9" x14ac:dyDescent="0.2">
      <c r="B691" s="69"/>
      <c r="C691" s="52" t="s">
        <v>224</v>
      </c>
      <c r="D691" s="52"/>
      <c r="E691" s="52"/>
      <c r="I691" s="57"/>
    </row>
    <row r="692" spans="2:9" x14ac:dyDescent="0.2">
      <c r="B692" s="51" t="s">
        <v>225</v>
      </c>
      <c r="C692" s="9"/>
      <c r="D692" s="9"/>
      <c r="E692" s="70"/>
      <c r="I692" s="57"/>
    </row>
    <row r="693" spans="2:9" x14ac:dyDescent="0.2">
      <c r="B693" s="69"/>
      <c r="C693" s="52" t="s">
        <v>226</v>
      </c>
      <c r="D693" s="52"/>
      <c r="E693" s="52"/>
      <c r="I693" s="57"/>
    </row>
    <row r="694" spans="2:9" x14ac:dyDescent="0.2">
      <c r="B694" s="51" t="s">
        <v>227</v>
      </c>
      <c r="E694" s="50"/>
      <c r="I694" s="57"/>
    </row>
    <row r="695" spans="2:9" x14ac:dyDescent="0.2">
      <c r="B695" s="51"/>
      <c r="C695" s="71" t="s">
        <v>228</v>
      </c>
      <c r="D695" s="71"/>
      <c r="E695" s="71"/>
      <c r="I695" s="57"/>
    </row>
    <row r="696" spans="2:9" ht="13.5" thickBot="1" x14ac:dyDescent="0.25">
      <c r="B696" s="72"/>
      <c r="C696" s="73"/>
      <c r="D696" s="74"/>
      <c r="E696" s="75"/>
      <c r="I696" s="57"/>
    </row>
    <row r="697" spans="2:9" ht="13.5" thickBot="1" x14ac:dyDescent="0.25">
      <c r="I697" s="57"/>
    </row>
    <row r="698" spans="2:9" x14ac:dyDescent="0.2">
      <c r="B698" s="45" t="s">
        <v>276</v>
      </c>
      <c r="C698" s="46"/>
      <c r="D698" s="47"/>
      <c r="E698" s="48"/>
      <c r="I698" s="57"/>
    </row>
    <row r="699" spans="2:9" x14ac:dyDescent="0.2">
      <c r="B699" s="49"/>
      <c r="E699" s="50"/>
      <c r="I699" s="57"/>
    </row>
    <row r="700" spans="2:9" x14ac:dyDescent="0.2">
      <c r="B700" s="51" t="s">
        <v>199</v>
      </c>
      <c r="E700" s="50"/>
      <c r="I700" s="57"/>
    </row>
    <row r="701" spans="2:9" x14ac:dyDescent="0.2">
      <c r="B701" s="51"/>
      <c r="C701" s="52"/>
      <c r="D701" s="52"/>
      <c r="E701" s="52"/>
      <c r="I701" s="57"/>
    </row>
    <row r="702" spans="2:9" ht="13.5" thickBot="1" x14ac:dyDescent="0.25">
      <c r="B702" s="51" t="s">
        <v>200</v>
      </c>
      <c r="E702" s="50"/>
      <c r="I702" s="57"/>
    </row>
    <row r="703" spans="2:9" ht="13.5" thickBot="1" x14ac:dyDescent="0.25">
      <c r="B703" s="53" t="s">
        <v>201</v>
      </c>
      <c r="C703" s="54"/>
      <c r="D703" s="54"/>
      <c r="E703" s="55"/>
      <c r="I703" s="57"/>
    </row>
    <row r="704" spans="2:9" ht="13.5" thickBot="1" x14ac:dyDescent="0.25">
      <c r="B704" s="53" t="s">
        <v>202</v>
      </c>
      <c r="C704" s="55"/>
      <c r="D704" s="56" t="s">
        <v>14</v>
      </c>
      <c r="E704" s="56" t="s">
        <v>203</v>
      </c>
      <c r="I704" s="57"/>
    </row>
    <row r="705" spans="2:9" x14ac:dyDescent="0.2">
      <c r="B705" s="58" t="s">
        <v>204</v>
      </c>
      <c r="C705" s="58"/>
      <c r="D705" s="59">
        <v>15</v>
      </c>
      <c r="E705" s="60" t="s">
        <v>205</v>
      </c>
      <c r="I705" s="57"/>
    </row>
    <row r="706" spans="2:9" x14ac:dyDescent="0.2">
      <c r="B706" s="61" t="s">
        <v>206</v>
      </c>
      <c r="C706" s="61"/>
      <c r="D706" s="62">
        <v>25</v>
      </c>
      <c r="E706" s="63" t="s">
        <v>207</v>
      </c>
      <c r="I706" s="57"/>
    </row>
    <row r="707" spans="2:9" x14ac:dyDescent="0.2">
      <c r="B707" s="61" t="s">
        <v>208</v>
      </c>
      <c r="C707" s="61"/>
      <c r="D707" s="62">
        <v>15</v>
      </c>
      <c r="E707" s="63" t="s">
        <v>209</v>
      </c>
      <c r="I707" s="57"/>
    </row>
    <row r="708" spans="2:9" x14ac:dyDescent="0.2">
      <c r="B708" s="58" t="s">
        <v>210</v>
      </c>
      <c r="C708" s="58"/>
      <c r="D708" s="62">
        <v>15</v>
      </c>
      <c r="E708" s="63" t="s">
        <v>211</v>
      </c>
      <c r="I708" s="57"/>
    </row>
    <row r="709" spans="2:9" x14ac:dyDescent="0.2">
      <c r="B709" s="64" t="s">
        <v>212</v>
      </c>
      <c r="C709" s="65"/>
      <c r="D709" s="62">
        <v>0</v>
      </c>
      <c r="E709" s="63" t="s">
        <v>213</v>
      </c>
      <c r="I709" s="57"/>
    </row>
    <row r="710" spans="2:9" x14ac:dyDescent="0.2">
      <c r="B710" s="64" t="s">
        <v>214</v>
      </c>
      <c r="C710" s="65"/>
      <c r="D710" s="62">
        <v>0</v>
      </c>
      <c r="E710" s="63" t="s">
        <v>215</v>
      </c>
      <c r="I710" s="57"/>
    </row>
    <row r="711" spans="2:9" x14ac:dyDescent="0.2">
      <c r="B711" s="64" t="s">
        <v>216</v>
      </c>
      <c r="C711" s="65"/>
      <c r="D711" s="62">
        <v>0</v>
      </c>
      <c r="E711" s="63" t="s">
        <v>217</v>
      </c>
      <c r="I711" s="57"/>
    </row>
    <row r="712" spans="2:9" x14ac:dyDescent="0.2">
      <c r="B712" s="80" t="s">
        <v>218</v>
      </c>
      <c r="C712" s="81"/>
      <c r="D712" s="62">
        <v>12</v>
      </c>
      <c r="E712" s="63" t="s">
        <v>219</v>
      </c>
      <c r="I712" s="57"/>
    </row>
    <row r="713" spans="2:9" ht="13.5" thickBot="1" x14ac:dyDescent="0.25">
      <c r="B713" s="64" t="s">
        <v>220</v>
      </c>
      <c r="C713" s="65"/>
      <c r="D713" s="62">
        <v>0</v>
      </c>
      <c r="E713" s="63" t="s">
        <v>221</v>
      </c>
      <c r="I713" s="57"/>
    </row>
    <row r="714" spans="2:9" ht="25.5" customHeight="1" thickBot="1" x14ac:dyDescent="0.25">
      <c r="B714" s="66" t="s">
        <v>277</v>
      </c>
      <c r="C714" s="67"/>
      <c r="D714" s="67"/>
      <c r="E714" s="68"/>
      <c r="I714" s="57"/>
    </row>
    <row r="715" spans="2:9" x14ac:dyDescent="0.2">
      <c r="B715" s="51" t="s">
        <v>223</v>
      </c>
      <c r="E715" s="50"/>
      <c r="I715" s="57"/>
    </row>
    <row r="716" spans="2:9" x14ac:dyDescent="0.2">
      <c r="B716" s="69"/>
      <c r="C716" s="52" t="s">
        <v>224</v>
      </c>
      <c r="D716" s="52"/>
      <c r="E716" s="52"/>
      <c r="I716" s="57"/>
    </row>
    <row r="717" spans="2:9" x14ac:dyDescent="0.2">
      <c r="B717" s="51" t="s">
        <v>225</v>
      </c>
      <c r="C717" s="9"/>
      <c r="D717" s="9"/>
      <c r="E717" s="70"/>
      <c r="I717" s="57"/>
    </row>
    <row r="718" spans="2:9" x14ac:dyDescent="0.2">
      <c r="B718" s="69"/>
      <c r="C718" s="52" t="s">
        <v>226</v>
      </c>
      <c r="D718" s="52"/>
      <c r="E718" s="52"/>
      <c r="I718" s="57"/>
    </row>
    <row r="719" spans="2:9" x14ac:dyDescent="0.2">
      <c r="B719" s="51" t="s">
        <v>227</v>
      </c>
      <c r="E719" s="50"/>
      <c r="I719" s="57"/>
    </row>
    <row r="720" spans="2:9" x14ac:dyDescent="0.2">
      <c r="B720" s="51"/>
      <c r="C720" s="71" t="s">
        <v>228</v>
      </c>
      <c r="D720" s="71"/>
      <c r="E720" s="71"/>
      <c r="I720" s="57"/>
    </row>
    <row r="721" spans="2:9" ht="13.5" thickBot="1" x14ac:dyDescent="0.25">
      <c r="B721" s="72"/>
      <c r="C721" s="73"/>
      <c r="D721" s="74"/>
      <c r="E721" s="75"/>
      <c r="I721" s="57"/>
    </row>
    <row r="722" spans="2:9" ht="13.5" thickBot="1" x14ac:dyDescent="0.25">
      <c r="I722" s="57"/>
    </row>
    <row r="723" spans="2:9" x14ac:dyDescent="0.2">
      <c r="B723" s="45" t="s">
        <v>278</v>
      </c>
      <c r="C723" s="46"/>
      <c r="D723" s="47"/>
      <c r="E723" s="48"/>
      <c r="I723" s="57"/>
    </row>
    <row r="724" spans="2:9" x14ac:dyDescent="0.2">
      <c r="B724" s="49"/>
      <c r="C724" s="84"/>
      <c r="D724" s="84"/>
      <c r="E724" s="71"/>
      <c r="I724" s="57"/>
    </row>
    <row r="725" spans="2:9" x14ac:dyDescent="0.2">
      <c r="B725" s="51" t="s">
        <v>199</v>
      </c>
      <c r="E725" s="50"/>
      <c r="I725" s="57"/>
    </row>
    <row r="726" spans="2:9" x14ac:dyDescent="0.2">
      <c r="B726" s="51"/>
      <c r="C726" s="52"/>
      <c r="D726" s="52"/>
      <c r="E726" s="52"/>
      <c r="I726" s="57"/>
    </row>
    <row r="727" spans="2:9" ht="13.5" thickBot="1" x14ac:dyDescent="0.25">
      <c r="B727" s="51" t="s">
        <v>200</v>
      </c>
      <c r="E727" s="50"/>
      <c r="I727" s="57"/>
    </row>
    <row r="728" spans="2:9" ht="13.5" thickBot="1" x14ac:dyDescent="0.25">
      <c r="B728" s="53" t="s">
        <v>201</v>
      </c>
      <c r="C728" s="54"/>
      <c r="D728" s="54"/>
      <c r="E728" s="55"/>
      <c r="I728" s="57"/>
    </row>
    <row r="729" spans="2:9" ht="13.5" thickBot="1" x14ac:dyDescent="0.25">
      <c r="B729" s="53" t="s">
        <v>202</v>
      </c>
      <c r="C729" s="55"/>
      <c r="D729" s="56" t="s">
        <v>14</v>
      </c>
      <c r="E729" s="56" t="s">
        <v>203</v>
      </c>
      <c r="I729" s="57"/>
    </row>
    <row r="730" spans="2:9" x14ac:dyDescent="0.2">
      <c r="B730" s="58" t="s">
        <v>204</v>
      </c>
      <c r="C730" s="58"/>
      <c r="D730" s="59">
        <v>0</v>
      </c>
      <c r="E730" s="60" t="s">
        <v>205</v>
      </c>
      <c r="I730" s="57"/>
    </row>
    <row r="731" spans="2:9" x14ac:dyDescent="0.2">
      <c r="B731" s="61" t="s">
        <v>206</v>
      </c>
      <c r="C731" s="61"/>
      <c r="D731" s="62">
        <v>4</v>
      </c>
      <c r="E731" s="63" t="s">
        <v>207</v>
      </c>
      <c r="I731" s="57"/>
    </row>
    <row r="732" spans="2:9" x14ac:dyDescent="0.2">
      <c r="B732" s="61" t="s">
        <v>208</v>
      </c>
      <c r="C732" s="61"/>
      <c r="D732" s="62">
        <v>0</v>
      </c>
      <c r="E732" s="63" t="s">
        <v>209</v>
      </c>
      <c r="I732" s="57"/>
    </row>
    <row r="733" spans="2:9" x14ac:dyDescent="0.2">
      <c r="B733" s="58" t="s">
        <v>210</v>
      </c>
      <c r="C733" s="58"/>
      <c r="D733" s="62">
        <v>15</v>
      </c>
      <c r="E733" s="63" t="s">
        <v>211</v>
      </c>
      <c r="I733" s="57"/>
    </row>
    <row r="734" spans="2:9" x14ac:dyDescent="0.2">
      <c r="B734" s="64" t="s">
        <v>212</v>
      </c>
      <c r="C734" s="65"/>
      <c r="D734" s="62">
        <v>0</v>
      </c>
      <c r="E734" s="63" t="s">
        <v>213</v>
      </c>
      <c r="I734" s="57"/>
    </row>
    <row r="735" spans="2:9" x14ac:dyDescent="0.2">
      <c r="B735" s="64" t="s">
        <v>214</v>
      </c>
      <c r="C735" s="65"/>
      <c r="D735" s="62">
        <v>2</v>
      </c>
      <c r="E735" s="63" t="s">
        <v>215</v>
      </c>
      <c r="I735" s="57"/>
    </row>
    <row r="736" spans="2:9" x14ac:dyDescent="0.2">
      <c r="B736" s="64" t="s">
        <v>216</v>
      </c>
      <c r="C736" s="65"/>
      <c r="D736" s="62">
        <v>2</v>
      </c>
      <c r="E736" s="63" t="s">
        <v>217</v>
      </c>
      <c r="I736" s="57"/>
    </row>
    <row r="737" spans="2:9" x14ac:dyDescent="0.2">
      <c r="B737" s="80" t="s">
        <v>218</v>
      </c>
      <c r="C737" s="81"/>
      <c r="D737" s="62">
        <v>0</v>
      </c>
      <c r="E737" s="63" t="s">
        <v>219</v>
      </c>
      <c r="I737" s="57"/>
    </row>
    <row r="738" spans="2:9" ht="13.5" thickBot="1" x14ac:dyDescent="0.25">
      <c r="B738" s="64" t="s">
        <v>220</v>
      </c>
      <c r="C738" s="65"/>
      <c r="D738" s="62">
        <v>0</v>
      </c>
      <c r="E738" s="63" t="s">
        <v>221</v>
      </c>
      <c r="I738" s="57"/>
    </row>
    <row r="739" spans="2:9" ht="27" customHeight="1" thickBot="1" x14ac:dyDescent="0.25">
      <c r="B739" s="66" t="s">
        <v>279</v>
      </c>
      <c r="C739" s="67"/>
      <c r="D739" s="67"/>
      <c r="E739" s="68"/>
      <c r="I739" s="57"/>
    </row>
    <row r="740" spans="2:9" x14ac:dyDescent="0.2">
      <c r="B740" s="51" t="s">
        <v>223</v>
      </c>
      <c r="E740" s="50"/>
      <c r="I740" s="57"/>
    </row>
    <row r="741" spans="2:9" x14ac:dyDescent="0.2">
      <c r="B741" s="69"/>
      <c r="C741" s="52" t="s">
        <v>224</v>
      </c>
      <c r="D741" s="52"/>
      <c r="E741" s="52"/>
      <c r="I741" s="57"/>
    </row>
    <row r="742" spans="2:9" x14ac:dyDescent="0.2">
      <c r="B742" s="51" t="s">
        <v>225</v>
      </c>
      <c r="C742" s="9"/>
      <c r="D742" s="9"/>
      <c r="E742" s="70"/>
      <c r="I742" s="57"/>
    </row>
    <row r="743" spans="2:9" x14ac:dyDescent="0.2">
      <c r="B743" s="69"/>
      <c r="C743" s="52" t="s">
        <v>226</v>
      </c>
      <c r="D743" s="52"/>
      <c r="E743" s="52"/>
      <c r="I743" s="57"/>
    </row>
    <row r="744" spans="2:9" x14ac:dyDescent="0.2">
      <c r="B744" s="51" t="s">
        <v>227</v>
      </c>
      <c r="E744" s="50"/>
      <c r="I744" s="57"/>
    </row>
    <row r="745" spans="2:9" x14ac:dyDescent="0.2">
      <c r="B745" s="51"/>
      <c r="C745" s="71" t="s">
        <v>228</v>
      </c>
      <c r="D745" s="71"/>
      <c r="E745" s="71"/>
      <c r="I745" s="57"/>
    </row>
    <row r="746" spans="2:9" ht="13.5" thickBot="1" x14ac:dyDescent="0.25">
      <c r="B746" s="72"/>
      <c r="C746" s="73"/>
      <c r="D746" s="74"/>
      <c r="E746" s="75"/>
      <c r="I746" s="57"/>
    </row>
    <row r="747" spans="2:9" ht="13.5" thickBot="1" x14ac:dyDescent="0.25">
      <c r="I747" s="57"/>
    </row>
    <row r="748" spans="2:9" x14ac:dyDescent="0.2">
      <c r="B748" s="45" t="s">
        <v>280</v>
      </c>
      <c r="C748" s="46"/>
      <c r="D748" s="47"/>
      <c r="E748" s="48"/>
      <c r="I748" s="57"/>
    </row>
    <row r="749" spans="2:9" x14ac:dyDescent="0.2">
      <c r="B749" s="49"/>
      <c r="C749" s="87"/>
      <c r="D749" s="87"/>
      <c r="E749" s="52"/>
      <c r="I749" s="57"/>
    </row>
    <row r="750" spans="2:9" x14ac:dyDescent="0.2">
      <c r="B750" s="51" t="s">
        <v>199</v>
      </c>
      <c r="E750" s="50"/>
      <c r="I750" s="57"/>
    </row>
    <row r="751" spans="2:9" x14ac:dyDescent="0.2">
      <c r="B751" s="51"/>
      <c r="C751" s="87"/>
      <c r="D751" s="87"/>
      <c r="E751" s="52"/>
      <c r="I751" s="57"/>
    </row>
    <row r="752" spans="2:9" ht="13.5" thickBot="1" x14ac:dyDescent="0.25">
      <c r="B752" s="51" t="s">
        <v>200</v>
      </c>
      <c r="E752" s="50"/>
      <c r="I752" s="57"/>
    </row>
    <row r="753" spans="2:9" ht="13.5" thickBot="1" x14ac:dyDescent="0.25">
      <c r="B753" s="53" t="s">
        <v>201</v>
      </c>
      <c r="C753" s="54"/>
      <c r="D753" s="54"/>
      <c r="E753" s="55"/>
      <c r="I753" s="57"/>
    </row>
    <row r="754" spans="2:9" ht="13.5" thickBot="1" x14ac:dyDescent="0.25">
      <c r="B754" s="53" t="s">
        <v>202</v>
      </c>
      <c r="C754" s="55"/>
      <c r="D754" s="56" t="s">
        <v>14</v>
      </c>
      <c r="E754" s="56" t="s">
        <v>203</v>
      </c>
      <c r="I754" s="57"/>
    </row>
    <row r="755" spans="2:9" x14ac:dyDescent="0.2">
      <c r="B755" s="58" t="s">
        <v>204</v>
      </c>
      <c r="C755" s="58"/>
      <c r="D755" s="59">
        <v>15</v>
      </c>
      <c r="E755" s="60" t="s">
        <v>205</v>
      </c>
      <c r="I755" s="57"/>
    </row>
    <row r="756" spans="2:9" x14ac:dyDescent="0.2">
      <c r="B756" s="61" t="s">
        <v>206</v>
      </c>
      <c r="C756" s="61"/>
      <c r="D756" s="62">
        <v>15</v>
      </c>
      <c r="E756" s="63" t="s">
        <v>207</v>
      </c>
      <c r="I756" s="57"/>
    </row>
    <row r="757" spans="2:9" x14ac:dyDescent="0.2">
      <c r="B757" s="61" t="s">
        <v>208</v>
      </c>
      <c r="C757" s="61"/>
      <c r="D757" s="62">
        <v>18</v>
      </c>
      <c r="E757" s="63" t="s">
        <v>209</v>
      </c>
      <c r="I757" s="57"/>
    </row>
    <row r="758" spans="2:9" x14ac:dyDescent="0.2">
      <c r="B758" s="58" t="s">
        <v>210</v>
      </c>
      <c r="C758" s="58"/>
      <c r="D758" s="62">
        <v>0</v>
      </c>
      <c r="E758" s="63" t="s">
        <v>211</v>
      </c>
      <c r="I758" s="57"/>
    </row>
    <row r="759" spans="2:9" x14ac:dyDescent="0.2">
      <c r="B759" s="64" t="s">
        <v>212</v>
      </c>
      <c r="C759" s="65"/>
      <c r="D759" s="62">
        <v>0</v>
      </c>
      <c r="E759" s="63" t="s">
        <v>213</v>
      </c>
      <c r="I759" s="57"/>
    </row>
    <row r="760" spans="2:9" x14ac:dyDescent="0.2">
      <c r="B760" s="64" t="s">
        <v>214</v>
      </c>
      <c r="C760" s="65"/>
      <c r="D760" s="62">
        <v>9</v>
      </c>
      <c r="E760" s="63" t="s">
        <v>215</v>
      </c>
      <c r="I760" s="57"/>
    </row>
    <row r="761" spans="2:9" x14ac:dyDescent="0.2">
      <c r="B761" s="64" t="s">
        <v>216</v>
      </c>
      <c r="C761" s="65"/>
      <c r="D761" s="62">
        <v>0</v>
      </c>
      <c r="E761" s="63" t="s">
        <v>217</v>
      </c>
      <c r="I761" s="57"/>
    </row>
    <row r="762" spans="2:9" x14ac:dyDescent="0.2">
      <c r="B762" s="80" t="s">
        <v>218</v>
      </c>
      <c r="C762" s="81"/>
      <c r="D762" s="62">
        <v>0</v>
      </c>
      <c r="E762" s="63" t="s">
        <v>219</v>
      </c>
      <c r="I762" s="57"/>
    </row>
    <row r="763" spans="2:9" ht="13.5" thickBot="1" x14ac:dyDescent="0.25">
      <c r="B763" s="64" t="s">
        <v>220</v>
      </c>
      <c r="C763" s="65"/>
      <c r="D763" s="62">
        <v>0</v>
      </c>
      <c r="E763" s="63" t="s">
        <v>221</v>
      </c>
      <c r="I763" s="57"/>
    </row>
    <row r="764" spans="2:9" ht="24.75" customHeight="1" thickBot="1" x14ac:dyDescent="0.25">
      <c r="B764" s="66" t="s">
        <v>281</v>
      </c>
      <c r="C764" s="67"/>
      <c r="D764" s="67"/>
      <c r="E764" s="68"/>
      <c r="I764" s="57"/>
    </row>
    <row r="765" spans="2:9" x14ac:dyDescent="0.2">
      <c r="B765" s="51" t="s">
        <v>223</v>
      </c>
      <c r="E765" s="50"/>
      <c r="I765" s="57"/>
    </row>
    <row r="766" spans="2:9" x14ac:dyDescent="0.2">
      <c r="B766" s="69"/>
      <c r="C766" s="52" t="s">
        <v>224</v>
      </c>
      <c r="D766" s="52"/>
      <c r="E766" s="52"/>
      <c r="I766" s="57"/>
    </row>
    <row r="767" spans="2:9" x14ac:dyDescent="0.2">
      <c r="B767" s="51" t="s">
        <v>225</v>
      </c>
      <c r="C767" s="9"/>
      <c r="D767" s="9"/>
      <c r="E767" s="70"/>
      <c r="I767" s="57"/>
    </row>
    <row r="768" spans="2:9" x14ac:dyDescent="0.2">
      <c r="B768" s="69"/>
      <c r="C768" s="52" t="s">
        <v>226</v>
      </c>
      <c r="D768" s="52"/>
      <c r="E768" s="52"/>
      <c r="I768" s="57"/>
    </row>
    <row r="769" spans="2:9" x14ac:dyDescent="0.2">
      <c r="B769" s="51" t="s">
        <v>227</v>
      </c>
      <c r="E769" s="50"/>
      <c r="I769" s="57"/>
    </row>
    <row r="770" spans="2:9" x14ac:dyDescent="0.2">
      <c r="B770" s="51"/>
      <c r="C770" s="71" t="s">
        <v>228</v>
      </c>
      <c r="D770" s="71"/>
      <c r="E770" s="71"/>
      <c r="I770" s="57"/>
    </row>
    <row r="771" spans="2:9" ht="13.5" thickBot="1" x14ac:dyDescent="0.25">
      <c r="B771" s="72"/>
      <c r="C771" s="73"/>
      <c r="D771" s="74"/>
      <c r="E771" s="75"/>
      <c r="I771" s="57"/>
    </row>
    <row r="772" spans="2:9" ht="13.5" thickBot="1" x14ac:dyDescent="0.25">
      <c r="I772" s="57"/>
    </row>
    <row r="773" spans="2:9" x14ac:dyDescent="0.2">
      <c r="B773" s="45" t="s">
        <v>282</v>
      </c>
      <c r="C773" s="46"/>
      <c r="D773" s="47"/>
      <c r="E773" s="48"/>
      <c r="I773" s="57"/>
    </row>
    <row r="774" spans="2:9" x14ac:dyDescent="0.2">
      <c r="B774" s="49"/>
      <c r="C774" s="87"/>
      <c r="D774" s="87"/>
      <c r="E774" s="52"/>
      <c r="I774" s="57"/>
    </row>
    <row r="775" spans="2:9" x14ac:dyDescent="0.2">
      <c r="B775" s="51" t="s">
        <v>199</v>
      </c>
      <c r="E775" s="50"/>
      <c r="I775" s="57"/>
    </row>
    <row r="776" spans="2:9" x14ac:dyDescent="0.2">
      <c r="B776" s="51"/>
      <c r="C776" s="52"/>
      <c r="D776" s="52"/>
      <c r="E776" s="52"/>
      <c r="I776" s="57"/>
    </row>
    <row r="777" spans="2:9" ht="13.5" thickBot="1" x14ac:dyDescent="0.25">
      <c r="B777" s="51" t="s">
        <v>200</v>
      </c>
      <c r="E777" s="50"/>
      <c r="I777" s="57"/>
    </row>
    <row r="778" spans="2:9" ht="13.5" thickBot="1" x14ac:dyDescent="0.25">
      <c r="B778" s="53" t="s">
        <v>201</v>
      </c>
      <c r="C778" s="54"/>
      <c r="D778" s="54"/>
      <c r="E778" s="55"/>
      <c r="I778" s="57"/>
    </row>
    <row r="779" spans="2:9" ht="13.5" thickBot="1" x14ac:dyDescent="0.25">
      <c r="B779" s="53" t="s">
        <v>202</v>
      </c>
      <c r="C779" s="55"/>
      <c r="D779" s="56" t="s">
        <v>14</v>
      </c>
      <c r="E779" s="56" t="s">
        <v>203</v>
      </c>
      <c r="I779" s="57"/>
    </row>
    <row r="780" spans="2:9" x14ac:dyDescent="0.2">
      <c r="B780" s="58" t="s">
        <v>204</v>
      </c>
      <c r="C780" s="58"/>
      <c r="D780" s="59">
        <v>15</v>
      </c>
      <c r="E780" s="60" t="s">
        <v>205</v>
      </c>
      <c r="I780" s="57"/>
    </row>
    <row r="781" spans="2:9" x14ac:dyDescent="0.2">
      <c r="B781" s="61" t="s">
        <v>206</v>
      </c>
      <c r="C781" s="61"/>
      <c r="D781" s="62">
        <v>0</v>
      </c>
      <c r="E781" s="63" t="s">
        <v>207</v>
      </c>
      <c r="I781" s="57"/>
    </row>
    <row r="782" spans="2:9" x14ac:dyDescent="0.2">
      <c r="B782" s="61" t="s">
        <v>208</v>
      </c>
      <c r="C782" s="61"/>
      <c r="D782" s="62">
        <v>17</v>
      </c>
      <c r="E782" s="63" t="s">
        <v>209</v>
      </c>
      <c r="I782" s="57"/>
    </row>
    <row r="783" spans="2:9" x14ac:dyDescent="0.2">
      <c r="B783" s="58" t="s">
        <v>210</v>
      </c>
      <c r="C783" s="58"/>
      <c r="D783" s="62">
        <v>20</v>
      </c>
      <c r="E783" s="63" t="s">
        <v>211</v>
      </c>
      <c r="I783" s="57"/>
    </row>
    <row r="784" spans="2:9" x14ac:dyDescent="0.2">
      <c r="B784" s="64" t="s">
        <v>212</v>
      </c>
      <c r="C784" s="65"/>
      <c r="D784" s="62">
        <v>0</v>
      </c>
      <c r="E784" s="63" t="s">
        <v>213</v>
      </c>
      <c r="I784" s="57"/>
    </row>
    <row r="785" spans="2:9" x14ac:dyDescent="0.2">
      <c r="B785" s="64" t="s">
        <v>214</v>
      </c>
      <c r="C785" s="65"/>
      <c r="D785" s="62">
        <v>8</v>
      </c>
      <c r="E785" s="63" t="s">
        <v>215</v>
      </c>
      <c r="I785" s="57"/>
    </row>
    <row r="786" spans="2:9" x14ac:dyDescent="0.2">
      <c r="B786" s="64" t="s">
        <v>216</v>
      </c>
      <c r="C786" s="65"/>
      <c r="D786" s="62">
        <v>0</v>
      </c>
      <c r="E786" s="63" t="s">
        <v>217</v>
      </c>
      <c r="I786" s="57"/>
    </row>
    <row r="787" spans="2:9" x14ac:dyDescent="0.2">
      <c r="B787" s="80" t="s">
        <v>218</v>
      </c>
      <c r="C787" s="81"/>
      <c r="D787" s="62">
        <v>10</v>
      </c>
      <c r="E787" s="63" t="s">
        <v>219</v>
      </c>
      <c r="I787" s="57"/>
    </row>
    <row r="788" spans="2:9" ht="13.5" thickBot="1" x14ac:dyDescent="0.25">
      <c r="B788" s="64" t="s">
        <v>220</v>
      </c>
      <c r="C788" s="65"/>
      <c r="D788" s="62">
        <v>0</v>
      </c>
      <c r="E788" s="63" t="s">
        <v>221</v>
      </c>
      <c r="I788" s="57"/>
    </row>
    <row r="789" spans="2:9" ht="25.5" customHeight="1" thickBot="1" x14ac:dyDescent="0.25">
      <c r="B789" s="66" t="s">
        <v>283</v>
      </c>
      <c r="C789" s="67"/>
      <c r="D789" s="67"/>
      <c r="E789" s="68"/>
      <c r="I789" s="57"/>
    </row>
    <row r="790" spans="2:9" x14ac:dyDescent="0.2">
      <c r="B790" s="51" t="s">
        <v>223</v>
      </c>
      <c r="E790" s="50"/>
      <c r="I790" s="57"/>
    </row>
    <row r="791" spans="2:9" x14ac:dyDescent="0.2">
      <c r="B791" s="69"/>
      <c r="C791" s="52" t="s">
        <v>224</v>
      </c>
      <c r="D791" s="52"/>
      <c r="E791" s="52"/>
      <c r="I791" s="57"/>
    </row>
    <row r="792" spans="2:9" x14ac:dyDescent="0.2">
      <c r="B792" s="51" t="s">
        <v>225</v>
      </c>
      <c r="C792" s="9"/>
      <c r="D792" s="9"/>
      <c r="E792" s="70"/>
      <c r="I792" s="57"/>
    </row>
    <row r="793" spans="2:9" x14ac:dyDescent="0.2">
      <c r="B793" s="69"/>
      <c r="C793" s="52" t="s">
        <v>226</v>
      </c>
      <c r="D793" s="52"/>
      <c r="E793" s="52"/>
      <c r="I793" s="57"/>
    </row>
    <row r="794" spans="2:9" x14ac:dyDescent="0.2">
      <c r="B794" s="51" t="s">
        <v>227</v>
      </c>
      <c r="E794" s="50"/>
      <c r="I794" s="57"/>
    </row>
    <row r="795" spans="2:9" x14ac:dyDescent="0.2">
      <c r="B795" s="51"/>
      <c r="C795" s="71" t="s">
        <v>228</v>
      </c>
      <c r="D795" s="71"/>
      <c r="E795" s="71"/>
      <c r="I795" s="57"/>
    </row>
    <row r="796" spans="2:9" ht="13.5" thickBot="1" x14ac:dyDescent="0.25">
      <c r="B796" s="72"/>
      <c r="C796" s="73"/>
      <c r="D796" s="74"/>
      <c r="E796" s="75"/>
      <c r="I796" s="57"/>
    </row>
    <row r="797" spans="2:9" ht="13.5" thickBot="1" x14ac:dyDescent="0.25">
      <c r="I797" s="57"/>
    </row>
    <row r="798" spans="2:9" x14ac:dyDescent="0.2">
      <c r="B798" s="45" t="s">
        <v>284</v>
      </c>
      <c r="C798" s="46"/>
      <c r="D798" s="47"/>
      <c r="E798" s="48"/>
      <c r="I798" s="57"/>
    </row>
    <row r="799" spans="2:9" x14ac:dyDescent="0.2">
      <c r="B799" s="49"/>
      <c r="C799" s="87"/>
      <c r="D799" s="87"/>
      <c r="E799" s="52"/>
      <c r="I799" s="57"/>
    </row>
    <row r="800" spans="2:9" x14ac:dyDescent="0.2">
      <c r="B800" s="51" t="s">
        <v>199</v>
      </c>
      <c r="E800" s="50"/>
      <c r="I800" s="57"/>
    </row>
    <row r="801" spans="2:9" x14ac:dyDescent="0.2">
      <c r="B801" s="51"/>
      <c r="C801" s="52"/>
      <c r="D801" s="52"/>
      <c r="E801" s="52"/>
      <c r="I801" s="57"/>
    </row>
    <row r="802" spans="2:9" ht="13.5" thickBot="1" x14ac:dyDescent="0.25">
      <c r="B802" s="51" t="s">
        <v>200</v>
      </c>
      <c r="E802" s="50"/>
      <c r="I802" s="57"/>
    </row>
    <row r="803" spans="2:9" ht="13.5" thickBot="1" x14ac:dyDescent="0.25">
      <c r="B803" s="53" t="s">
        <v>201</v>
      </c>
      <c r="C803" s="54"/>
      <c r="D803" s="54"/>
      <c r="E803" s="55"/>
      <c r="I803" s="57"/>
    </row>
    <row r="804" spans="2:9" ht="13.5" thickBot="1" x14ac:dyDescent="0.25">
      <c r="B804" s="53" t="s">
        <v>202</v>
      </c>
      <c r="C804" s="55"/>
      <c r="D804" s="56" t="s">
        <v>14</v>
      </c>
      <c r="E804" s="56" t="s">
        <v>203</v>
      </c>
      <c r="I804" s="57"/>
    </row>
    <row r="805" spans="2:9" x14ac:dyDescent="0.2">
      <c r="B805" s="58" t="s">
        <v>204</v>
      </c>
      <c r="C805" s="58"/>
      <c r="D805" s="59">
        <v>0</v>
      </c>
      <c r="E805" s="60" t="s">
        <v>205</v>
      </c>
      <c r="I805" s="57"/>
    </row>
    <row r="806" spans="2:9" x14ac:dyDescent="0.2">
      <c r="B806" s="61" t="s">
        <v>206</v>
      </c>
      <c r="C806" s="61"/>
      <c r="D806" s="62">
        <v>0</v>
      </c>
      <c r="E806" s="63" t="s">
        <v>207</v>
      </c>
      <c r="I806" s="57"/>
    </row>
    <row r="807" spans="2:9" x14ac:dyDescent="0.2">
      <c r="B807" s="61" t="s">
        <v>208</v>
      </c>
      <c r="C807" s="61"/>
      <c r="D807" s="62">
        <v>0</v>
      </c>
      <c r="E807" s="63" t="s">
        <v>209</v>
      </c>
      <c r="I807" s="57"/>
    </row>
    <row r="808" spans="2:9" x14ac:dyDescent="0.2">
      <c r="B808" s="58" t="s">
        <v>210</v>
      </c>
      <c r="C808" s="58"/>
      <c r="D808" s="62">
        <v>20</v>
      </c>
      <c r="E808" s="63" t="s">
        <v>211</v>
      </c>
      <c r="I808" s="57"/>
    </row>
    <row r="809" spans="2:9" x14ac:dyDescent="0.2">
      <c r="B809" s="64" t="s">
        <v>212</v>
      </c>
      <c r="C809" s="65"/>
      <c r="D809" s="62">
        <v>0</v>
      </c>
      <c r="E809" s="63" t="s">
        <v>213</v>
      </c>
      <c r="I809" s="57"/>
    </row>
    <row r="810" spans="2:9" x14ac:dyDescent="0.2">
      <c r="B810" s="64" t="s">
        <v>214</v>
      </c>
      <c r="C810" s="65"/>
      <c r="D810" s="62">
        <v>6</v>
      </c>
      <c r="E810" s="63" t="s">
        <v>215</v>
      </c>
      <c r="I810" s="57"/>
    </row>
    <row r="811" spans="2:9" x14ac:dyDescent="0.2">
      <c r="B811" s="64" t="s">
        <v>216</v>
      </c>
      <c r="C811" s="65"/>
      <c r="D811" s="62">
        <v>0</v>
      </c>
      <c r="E811" s="63" t="s">
        <v>217</v>
      </c>
      <c r="I811" s="57"/>
    </row>
    <row r="812" spans="2:9" x14ac:dyDescent="0.2">
      <c r="B812" s="80" t="s">
        <v>218</v>
      </c>
      <c r="C812" s="81"/>
      <c r="D812" s="62">
        <v>10</v>
      </c>
      <c r="E812" s="63" t="s">
        <v>219</v>
      </c>
      <c r="I812" s="57"/>
    </row>
    <row r="813" spans="2:9" ht="13.5" thickBot="1" x14ac:dyDescent="0.25">
      <c r="B813" s="64" t="s">
        <v>220</v>
      </c>
      <c r="C813" s="65"/>
      <c r="D813" s="62">
        <v>0</v>
      </c>
      <c r="E813" s="63" t="s">
        <v>221</v>
      </c>
      <c r="I813" s="57"/>
    </row>
    <row r="814" spans="2:9" ht="24.75" customHeight="1" thickBot="1" x14ac:dyDescent="0.25">
      <c r="B814" s="66" t="s">
        <v>249</v>
      </c>
      <c r="C814" s="67"/>
      <c r="D814" s="67"/>
      <c r="E814" s="68"/>
      <c r="I814" s="57"/>
    </row>
    <row r="815" spans="2:9" x14ac:dyDescent="0.2">
      <c r="B815" s="51" t="s">
        <v>223</v>
      </c>
      <c r="E815" s="50"/>
      <c r="I815" s="57"/>
    </row>
    <row r="816" spans="2:9" x14ac:dyDescent="0.2">
      <c r="B816" s="69"/>
      <c r="C816" s="52" t="s">
        <v>224</v>
      </c>
      <c r="D816" s="52"/>
      <c r="E816" s="52"/>
      <c r="I816" s="57"/>
    </row>
    <row r="817" spans="2:9" x14ac:dyDescent="0.2">
      <c r="B817" s="51" t="s">
        <v>225</v>
      </c>
      <c r="C817" s="9"/>
      <c r="D817" s="9"/>
      <c r="E817" s="70"/>
      <c r="I817" s="57"/>
    </row>
    <row r="818" spans="2:9" x14ac:dyDescent="0.2">
      <c r="B818" s="69"/>
      <c r="C818" s="52">
        <f>SUM(F104)</f>
        <v>0</v>
      </c>
      <c r="D818" s="52"/>
      <c r="E818" s="52"/>
      <c r="I818" s="57"/>
    </row>
    <row r="819" spans="2:9" x14ac:dyDescent="0.2">
      <c r="B819" s="51" t="s">
        <v>227</v>
      </c>
      <c r="E819" s="50"/>
      <c r="I819" s="57"/>
    </row>
    <row r="820" spans="2:9" x14ac:dyDescent="0.2">
      <c r="B820" s="51"/>
      <c r="C820" s="71" t="s">
        <v>228</v>
      </c>
      <c r="D820" s="71"/>
      <c r="E820" s="71"/>
      <c r="I820" s="57"/>
    </row>
    <row r="821" spans="2:9" ht="13.5" thickBot="1" x14ac:dyDescent="0.25">
      <c r="B821" s="72"/>
      <c r="C821" s="73"/>
      <c r="D821" s="74"/>
      <c r="E821" s="75"/>
      <c r="I821" s="57"/>
    </row>
    <row r="822" spans="2:9" ht="13.5" thickBot="1" x14ac:dyDescent="0.25"/>
    <row r="823" spans="2:9" x14ac:dyDescent="0.2">
      <c r="B823" s="45" t="s">
        <v>285</v>
      </c>
      <c r="C823" s="46"/>
      <c r="D823" s="47"/>
      <c r="E823" s="48"/>
    </row>
    <row r="824" spans="2:9" ht="5.25" customHeight="1" x14ac:dyDescent="0.2">
      <c r="B824" s="49"/>
      <c r="E824" s="50"/>
    </row>
    <row r="825" spans="2:9" x14ac:dyDescent="0.2">
      <c r="B825" s="51" t="s">
        <v>199</v>
      </c>
      <c r="E825" s="50"/>
    </row>
    <row r="826" spans="2:9" ht="25.5" customHeight="1" x14ac:dyDescent="0.2">
      <c r="B826" s="51"/>
      <c r="C826" s="52"/>
      <c r="D826" s="52"/>
      <c r="E826" s="52"/>
    </row>
    <row r="827" spans="2:9" ht="13.5" thickBot="1" x14ac:dyDescent="0.25">
      <c r="B827" s="51" t="s">
        <v>200</v>
      </c>
      <c r="E827" s="50"/>
    </row>
    <row r="828" spans="2:9" ht="13.5" thickBot="1" x14ac:dyDescent="0.25">
      <c r="B828" s="53" t="s">
        <v>201</v>
      </c>
      <c r="C828" s="54"/>
      <c r="D828" s="54"/>
      <c r="E828" s="55"/>
    </row>
    <row r="829" spans="2:9" ht="13.5" thickBot="1" x14ac:dyDescent="0.25">
      <c r="B829" s="53" t="s">
        <v>202</v>
      </c>
      <c r="C829" s="55"/>
      <c r="D829" s="56" t="s">
        <v>14</v>
      </c>
      <c r="E829" s="56" t="s">
        <v>203</v>
      </c>
      <c r="I829" s="57"/>
    </row>
    <row r="830" spans="2:9" x14ac:dyDescent="0.2">
      <c r="B830" s="58" t="s">
        <v>204</v>
      </c>
      <c r="C830" s="58"/>
      <c r="D830" s="59">
        <v>18</v>
      </c>
      <c r="E830" s="60" t="s">
        <v>205</v>
      </c>
      <c r="I830" s="57"/>
    </row>
    <row r="831" spans="2:9" x14ac:dyDescent="0.2">
      <c r="B831" s="61" t="s">
        <v>206</v>
      </c>
      <c r="C831" s="61"/>
      <c r="D831" s="62">
        <v>22</v>
      </c>
      <c r="E831" s="63" t="s">
        <v>207</v>
      </c>
      <c r="I831" s="57"/>
    </row>
    <row r="832" spans="2:9" x14ac:dyDescent="0.2">
      <c r="B832" s="61" t="s">
        <v>208</v>
      </c>
      <c r="C832" s="61"/>
      <c r="D832" s="62">
        <v>18</v>
      </c>
      <c r="E832" s="63" t="s">
        <v>209</v>
      </c>
      <c r="I832" s="57"/>
    </row>
    <row r="833" spans="2:9" x14ac:dyDescent="0.2">
      <c r="B833" s="58" t="s">
        <v>210</v>
      </c>
      <c r="C833" s="58"/>
      <c r="D833" s="62">
        <v>0</v>
      </c>
      <c r="E833" s="63" t="s">
        <v>211</v>
      </c>
      <c r="I833" s="57"/>
    </row>
    <row r="834" spans="2:9" x14ac:dyDescent="0.2">
      <c r="B834" s="64" t="s">
        <v>212</v>
      </c>
      <c r="C834" s="65"/>
      <c r="D834" s="62">
        <v>18</v>
      </c>
      <c r="E834" s="63" t="s">
        <v>213</v>
      </c>
      <c r="I834" s="57"/>
    </row>
    <row r="835" spans="2:9" x14ac:dyDescent="0.2">
      <c r="B835" s="64" t="s">
        <v>214</v>
      </c>
      <c r="C835" s="65"/>
      <c r="D835" s="62">
        <v>8</v>
      </c>
      <c r="E835" s="63" t="s">
        <v>215</v>
      </c>
      <c r="I835" s="57"/>
    </row>
    <row r="836" spans="2:9" x14ac:dyDescent="0.2">
      <c r="B836" s="64" t="s">
        <v>216</v>
      </c>
      <c r="C836" s="65"/>
      <c r="D836" s="62">
        <v>0</v>
      </c>
      <c r="E836" s="63" t="s">
        <v>217</v>
      </c>
      <c r="I836" s="57"/>
    </row>
    <row r="837" spans="2:9" x14ac:dyDescent="0.2">
      <c r="B837" s="80" t="s">
        <v>218</v>
      </c>
      <c r="C837" s="81"/>
      <c r="D837" s="62">
        <v>0</v>
      </c>
      <c r="E837" s="63" t="s">
        <v>219</v>
      </c>
      <c r="I837" s="57"/>
    </row>
    <row r="838" spans="2:9" ht="13.5" thickBot="1" x14ac:dyDescent="0.25">
      <c r="B838" s="64" t="s">
        <v>220</v>
      </c>
      <c r="C838" s="65"/>
      <c r="D838" s="62">
        <v>0</v>
      </c>
      <c r="E838" s="63" t="s">
        <v>221</v>
      </c>
      <c r="I838" s="57"/>
    </row>
    <row r="839" spans="2:9" ht="25.5" customHeight="1" thickBot="1" x14ac:dyDescent="0.25">
      <c r="B839" s="66" t="s">
        <v>286</v>
      </c>
      <c r="C839" s="67"/>
      <c r="D839" s="67"/>
      <c r="E839" s="68"/>
      <c r="I839" s="57"/>
    </row>
    <row r="840" spans="2:9" x14ac:dyDescent="0.2">
      <c r="B840" s="51" t="s">
        <v>223</v>
      </c>
      <c r="E840" s="50"/>
      <c r="I840" s="57"/>
    </row>
    <row r="841" spans="2:9" x14ac:dyDescent="0.2">
      <c r="B841" s="69"/>
      <c r="C841" s="52" t="s">
        <v>224</v>
      </c>
      <c r="D841" s="52"/>
      <c r="E841" s="52"/>
      <c r="I841" s="57"/>
    </row>
    <row r="842" spans="2:9" x14ac:dyDescent="0.2">
      <c r="B842" s="51" t="s">
        <v>225</v>
      </c>
      <c r="C842" s="9"/>
      <c r="D842" s="9"/>
      <c r="E842" s="70"/>
      <c r="I842" s="57"/>
    </row>
    <row r="843" spans="2:9" x14ac:dyDescent="0.2">
      <c r="B843" s="69"/>
      <c r="C843" s="52" t="s">
        <v>226</v>
      </c>
      <c r="D843" s="52"/>
      <c r="E843" s="52"/>
      <c r="I843" s="57"/>
    </row>
    <row r="844" spans="2:9" x14ac:dyDescent="0.2">
      <c r="B844" s="51" t="s">
        <v>227</v>
      </c>
      <c r="E844" s="50"/>
      <c r="I844" s="57"/>
    </row>
    <row r="845" spans="2:9" x14ac:dyDescent="0.2">
      <c r="B845" s="51"/>
      <c r="C845" s="71" t="s">
        <v>228</v>
      </c>
      <c r="D845" s="71"/>
      <c r="E845" s="71"/>
      <c r="I845" s="57"/>
    </row>
    <row r="846" spans="2:9" ht="13.5" thickBot="1" x14ac:dyDescent="0.25">
      <c r="B846" s="72"/>
      <c r="C846" s="73"/>
      <c r="D846" s="74"/>
      <c r="E846" s="75"/>
      <c r="I846" s="57"/>
    </row>
    <row r="847" spans="2:9" ht="13.5" thickBot="1" x14ac:dyDescent="0.25"/>
    <row r="848" spans="2:9" x14ac:dyDescent="0.2">
      <c r="B848" s="45" t="s">
        <v>287</v>
      </c>
      <c r="C848" s="46"/>
      <c r="D848" s="47"/>
      <c r="E848" s="48"/>
    </row>
    <row r="849" spans="2:9" x14ac:dyDescent="0.2">
      <c r="B849" s="49"/>
      <c r="E849" s="50"/>
    </row>
    <row r="850" spans="2:9" x14ac:dyDescent="0.2">
      <c r="B850" s="51" t="s">
        <v>199</v>
      </c>
      <c r="E850" s="50"/>
    </row>
    <row r="851" spans="2:9" x14ac:dyDescent="0.2">
      <c r="B851" s="51"/>
      <c r="C851" s="52"/>
      <c r="D851" s="52"/>
      <c r="E851" s="52"/>
    </row>
    <row r="852" spans="2:9" ht="13.5" thickBot="1" x14ac:dyDescent="0.25">
      <c r="B852" s="51" t="s">
        <v>200</v>
      </c>
      <c r="E852" s="50"/>
    </row>
    <row r="853" spans="2:9" ht="13.5" thickBot="1" x14ac:dyDescent="0.25">
      <c r="B853" s="53" t="s">
        <v>201</v>
      </c>
      <c r="C853" s="54"/>
      <c r="D853" s="54"/>
      <c r="E853" s="55"/>
    </row>
    <row r="854" spans="2:9" ht="13.5" thickBot="1" x14ac:dyDescent="0.25">
      <c r="B854" s="53" t="s">
        <v>202</v>
      </c>
      <c r="C854" s="55"/>
      <c r="D854" s="56" t="s">
        <v>14</v>
      </c>
      <c r="E854" s="56" t="s">
        <v>203</v>
      </c>
    </row>
    <row r="855" spans="2:9" x14ac:dyDescent="0.2">
      <c r="B855" s="58" t="s">
        <v>204</v>
      </c>
      <c r="C855" s="58"/>
      <c r="D855" s="59">
        <v>20</v>
      </c>
      <c r="E855" s="60" t="s">
        <v>205</v>
      </c>
    </row>
    <row r="856" spans="2:9" x14ac:dyDescent="0.2">
      <c r="B856" s="61" t="s">
        <v>206</v>
      </c>
      <c r="C856" s="61"/>
      <c r="D856" s="62">
        <v>34</v>
      </c>
      <c r="E856" s="63" t="s">
        <v>207</v>
      </c>
    </row>
    <row r="857" spans="2:9" x14ac:dyDescent="0.2">
      <c r="B857" s="61" t="s">
        <v>208</v>
      </c>
      <c r="C857" s="61"/>
      <c r="D857" s="62">
        <v>20</v>
      </c>
      <c r="E857" s="63" t="s">
        <v>209</v>
      </c>
    </row>
    <row r="858" spans="2:9" x14ac:dyDescent="0.2">
      <c r="B858" s="58" t="s">
        <v>210</v>
      </c>
      <c r="C858" s="58"/>
      <c r="D858" s="62">
        <v>0</v>
      </c>
      <c r="E858" s="63" t="s">
        <v>211</v>
      </c>
    </row>
    <row r="859" spans="2:9" x14ac:dyDescent="0.2">
      <c r="B859" s="64" t="s">
        <v>212</v>
      </c>
      <c r="C859" s="65"/>
      <c r="D859" s="62">
        <v>0</v>
      </c>
      <c r="E859" s="63" t="s">
        <v>213</v>
      </c>
    </row>
    <row r="860" spans="2:9" x14ac:dyDescent="0.2">
      <c r="B860" s="64" t="s">
        <v>214</v>
      </c>
      <c r="C860" s="65"/>
      <c r="D860" s="62">
        <v>0</v>
      </c>
      <c r="E860" s="63" t="s">
        <v>215</v>
      </c>
    </row>
    <row r="861" spans="2:9" x14ac:dyDescent="0.2">
      <c r="B861" s="64" t="s">
        <v>216</v>
      </c>
      <c r="C861" s="65"/>
      <c r="D861" s="62">
        <v>0</v>
      </c>
      <c r="E861" s="63" t="s">
        <v>217</v>
      </c>
      <c r="I861" s="57"/>
    </row>
    <row r="862" spans="2:9" x14ac:dyDescent="0.2">
      <c r="B862" s="80" t="s">
        <v>218</v>
      </c>
      <c r="C862" s="81"/>
      <c r="D862" s="62">
        <v>0</v>
      </c>
      <c r="E862" s="63" t="s">
        <v>219</v>
      </c>
      <c r="I862" s="57"/>
    </row>
    <row r="863" spans="2:9" ht="13.5" thickBot="1" x14ac:dyDescent="0.25">
      <c r="B863" s="64" t="s">
        <v>220</v>
      </c>
      <c r="C863" s="65"/>
      <c r="D863" s="62">
        <v>0</v>
      </c>
      <c r="E863" s="63" t="s">
        <v>221</v>
      </c>
      <c r="I863" s="57"/>
    </row>
    <row r="864" spans="2:9" ht="27" customHeight="1" thickBot="1" x14ac:dyDescent="0.25">
      <c r="B864" s="66" t="s">
        <v>288</v>
      </c>
      <c r="C864" s="67"/>
      <c r="D864" s="67"/>
      <c r="E864" s="68"/>
    </row>
    <row r="865" spans="2:5" x14ac:dyDescent="0.2">
      <c r="B865" s="51" t="s">
        <v>223</v>
      </c>
      <c r="E865" s="50"/>
    </row>
    <row r="866" spans="2:5" x14ac:dyDescent="0.2">
      <c r="B866" s="69"/>
      <c r="C866" s="52" t="s">
        <v>224</v>
      </c>
      <c r="D866" s="52"/>
      <c r="E866" s="52"/>
    </row>
    <row r="867" spans="2:5" x14ac:dyDescent="0.2">
      <c r="B867" s="51" t="s">
        <v>225</v>
      </c>
      <c r="C867" s="9"/>
      <c r="D867" s="9"/>
      <c r="E867" s="70"/>
    </row>
    <row r="868" spans="2:5" x14ac:dyDescent="0.2">
      <c r="B868" s="69"/>
      <c r="C868" s="52" t="s">
        <v>226</v>
      </c>
      <c r="D868" s="52"/>
      <c r="E868" s="52"/>
    </row>
    <row r="869" spans="2:5" x14ac:dyDescent="0.2">
      <c r="B869" s="51" t="s">
        <v>227</v>
      </c>
      <c r="E869" s="50"/>
    </row>
    <row r="870" spans="2:5" x14ac:dyDescent="0.2">
      <c r="B870" s="51"/>
      <c r="C870" s="71" t="s">
        <v>228</v>
      </c>
      <c r="D870" s="71"/>
      <c r="E870" s="71"/>
    </row>
    <row r="871" spans="2:5" ht="13.5" thickBot="1" x14ac:dyDescent="0.25">
      <c r="B871" s="72"/>
      <c r="C871" s="73"/>
      <c r="D871" s="74"/>
      <c r="E871" s="75"/>
    </row>
    <row r="872" spans="2:5" ht="13.5" thickBot="1" x14ac:dyDescent="0.25"/>
    <row r="873" spans="2:5" x14ac:dyDescent="0.2">
      <c r="B873" s="45" t="s">
        <v>289</v>
      </c>
      <c r="C873" s="46"/>
      <c r="D873" s="47"/>
      <c r="E873" s="48"/>
    </row>
    <row r="874" spans="2:5" x14ac:dyDescent="0.2">
      <c r="B874" s="49"/>
      <c r="E874" s="50"/>
    </row>
    <row r="875" spans="2:5" x14ac:dyDescent="0.2">
      <c r="B875" s="51" t="s">
        <v>199</v>
      </c>
      <c r="E875" s="50"/>
    </row>
    <row r="876" spans="2:5" x14ac:dyDescent="0.2">
      <c r="B876" s="51"/>
      <c r="C876" s="52"/>
      <c r="D876" s="52"/>
      <c r="E876" s="52"/>
    </row>
    <row r="877" spans="2:5" ht="13.5" thickBot="1" x14ac:dyDescent="0.25">
      <c r="B877" s="51" t="s">
        <v>200</v>
      </c>
      <c r="E877" s="50"/>
    </row>
    <row r="878" spans="2:5" ht="13.5" thickBot="1" x14ac:dyDescent="0.25">
      <c r="B878" s="53" t="s">
        <v>201</v>
      </c>
      <c r="C878" s="54"/>
      <c r="D878" s="54"/>
      <c r="E878" s="55"/>
    </row>
    <row r="879" spans="2:5" ht="13.5" thickBot="1" x14ac:dyDescent="0.25">
      <c r="B879" s="53" t="s">
        <v>202</v>
      </c>
      <c r="C879" s="55"/>
      <c r="D879" s="56" t="s">
        <v>14</v>
      </c>
      <c r="E879" s="56" t="s">
        <v>203</v>
      </c>
    </row>
    <row r="880" spans="2:5" x14ac:dyDescent="0.2">
      <c r="B880" s="58" t="s">
        <v>204</v>
      </c>
      <c r="C880" s="58"/>
      <c r="D880" s="59">
        <v>10</v>
      </c>
      <c r="E880" s="60" t="s">
        <v>205</v>
      </c>
    </row>
    <row r="881" spans="2:9" x14ac:dyDescent="0.2">
      <c r="B881" s="61" t="s">
        <v>206</v>
      </c>
      <c r="C881" s="61"/>
      <c r="D881" s="62">
        <v>30</v>
      </c>
      <c r="E881" s="63" t="s">
        <v>207</v>
      </c>
    </row>
    <row r="882" spans="2:9" x14ac:dyDescent="0.2">
      <c r="B882" s="61" t="s">
        <v>208</v>
      </c>
      <c r="C882" s="61"/>
      <c r="D882" s="62">
        <v>30</v>
      </c>
      <c r="E882" s="63" t="s">
        <v>209</v>
      </c>
    </row>
    <row r="883" spans="2:9" x14ac:dyDescent="0.2">
      <c r="B883" s="58" t="s">
        <v>210</v>
      </c>
      <c r="C883" s="58"/>
      <c r="D883" s="62">
        <v>0</v>
      </c>
      <c r="E883" s="63" t="s">
        <v>211</v>
      </c>
    </row>
    <row r="884" spans="2:9" x14ac:dyDescent="0.2">
      <c r="B884" s="64" t="s">
        <v>212</v>
      </c>
      <c r="C884" s="65"/>
      <c r="D884" s="62">
        <v>4</v>
      </c>
      <c r="E884" s="63" t="s">
        <v>213</v>
      </c>
    </row>
    <row r="885" spans="2:9" x14ac:dyDescent="0.2">
      <c r="B885" s="64" t="s">
        <v>214</v>
      </c>
      <c r="C885" s="65"/>
      <c r="D885" s="62">
        <v>3</v>
      </c>
      <c r="E885" s="63" t="s">
        <v>215</v>
      </c>
    </row>
    <row r="886" spans="2:9" x14ac:dyDescent="0.2">
      <c r="B886" s="64" t="s">
        <v>216</v>
      </c>
      <c r="C886" s="65"/>
      <c r="D886" s="62">
        <v>0</v>
      </c>
      <c r="E886" s="63" t="s">
        <v>217</v>
      </c>
      <c r="I886" s="57"/>
    </row>
    <row r="887" spans="2:9" x14ac:dyDescent="0.2">
      <c r="B887" s="80" t="s">
        <v>218</v>
      </c>
      <c r="C887" s="81"/>
      <c r="D887" s="62">
        <v>24</v>
      </c>
      <c r="E887" s="63" t="s">
        <v>219</v>
      </c>
      <c r="I887" s="57"/>
    </row>
    <row r="888" spans="2:9" ht="13.5" thickBot="1" x14ac:dyDescent="0.25">
      <c r="B888" s="64" t="s">
        <v>220</v>
      </c>
      <c r="C888" s="65"/>
      <c r="D888" s="62">
        <v>20</v>
      </c>
      <c r="E888" s="63" t="s">
        <v>221</v>
      </c>
      <c r="I888" s="57"/>
    </row>
    <row r="889" spans="2:9" ht="27" customHeight="1" thickBot="1" x14ac:dyDescent="0.25">
      <c r="B889" s="66" t="s">
        <v>290</v>
      </c>
      <c r="C889" s="67"/>
      <c r="D889" s="67"/>
      <c r="E889" s="68"/>
    </row>
    <row r="890" spans="2:9" x14ac:dyDescent="0.2">
      <c r="B890" s="51" t="s">
        <v>223</v>
      </c>
      <c r="E890" s="50"/>
    </row>
    <row r="891" spans="2:9" x14ac:dyDescent="0.2">
      <c r="B891" s="69"/>
      <c r="C891" s="52" t="s">
        <v>224</v>
      </c>
      <c r="D891" s="52"/>
      <c r="E891" s="52"/>
    </row>
    <row r="892" spans="2:9" x14ac:dyDescent="0.2">
      <c r="B892" s="51" t="s">
        <v>225</v>
      </c>
      <c r="C892" s="9"/>
      <c r="D892" s="9"/>
      <c r="E892" s="70"/>
    </row>
    <row r="893" spans="2:9" x14ac:dyDescent="0.2">
      <c r="B893" s="69"/>
      <c r="C893" s="52" t="s">
        <v>226</v>
      </c>
      <c r="D893" s="52"/>
      <c r="E893" s="52"/>
    </row>
    <row r="894" spans="2:9" x14ac:dyDescent="0.2">
      <c r="B894" s="51" t="s">
        <v>227</v>
      </c>
      <c r="E894" s="50"/>
    </row>
    <row r="895" spans="2:9" x14ac:dyDescent="0.2">
      <c r="B895" s="51"/>
      <c r="C895" s="71" t="s">
        <v>228</v>
      </c>
      <c r="D895" s="71"/>
      <c r="E895" s="71"/>
    </row>
    <row r="896" spans="2:9" ht="13.5" thickBot="1" x14ac:dyDescent="0.25">
      <c r="B896" s="72"/>
      <c r="C896" s="73"/>
      <c r="D896" s="74"/>
      <c r="E896" s="75"/>
    </row>
    <row r="897" spans="2:9" ht="13.5" thickBot="1" x14ac:dyDescent="0.25"/>
    <row r="898" spans="2:9" x14ac:dyDescent="0.2">
      <c r="B898" s="45" t="s">
        <v>291</v>
      </c>
      <c r="C898" s="46"/>
      <c r="D898" s="47"/>
      <c r="E898" s="48"/>
    </row>
    <row r="899" spans="2:9" x14ac:dyDescent="0.2">
      <c r="B899" s="49"/>
      <c r="E899" s="50"/>
    </row>
    <row r="900" spans="2:9" x14ac:dyDescent="0.2">
      <c r="B900" s="51" t="s">
        <v>199</v>
      </c>
      <c r="E900" s="50"/>
    </row>
    <row r="901" spans="2:9" x14ac:dyDescent="0.2">
      <c r="B901" s="51"/>
      <c r="C901" s="85" t="s">
        <v>292</v>
      </c>
      <c r="D901" s="85"/>
      <c r="E901" s="85"/>
    </row>
    <row r="902" spans="2:9" ht="13.5" thickBot="1" x14ac:dyDescent="0.25">
      <c r="B902" s="51" t="s">
        <v>200</v>
      </c>
      <c r="E902" s="50"/>
    </row>
    <row r="903" spans="2:9" ht="13.5" thickBot="1" x14ac:dyDescent="0.25">
      <c r="B903" s="53" t="s">
        <v>201</v>
      </c>
      <c r="C903" s="54"/>
      <c r="D903" s="54"/>
      <c r="E903" s="55"/>
    </row>
    <row r="904" spans="2:9" ht="13.5" thickBot="1" x14ac:dyDescent="0.25">
      <c r="B904" s="53" t="s">
        <v>202</v>
      </c>
      <c r="C904" s="55"/>
      <c r="D904" s="56" t="s">
        <v>14</v>
      </c>
      <c r="E904" s="56" t="s">
        <v>203</v>
      </c>
    </row>
    <row r="905" spans="2:9" x14ac:dyDescent="0.2">
      <c r="B905" s="58" t="s">
        <v>204</v>
      </c>
      <c r="C905" s="58"/>
      <c r="D905" s="59">
        <v>0</v>
      </c>
      <c r="E905" s="60" t="s">
        <v>205</v>
      </c>
    </row>
    <row r="906" spans="2:9" x14ac:dyDescent="0.2">
      <c r="B906" s="61" t="s">
        <v>206</v>
      </c>
      <c r="C906" s="61"/>
      <c r="D906" s="62">
        <v>25</v>
      </c>
      <c r="E906" s="63" t="s">
        <v>207</v>
      </c>
    </row>
    <row r="907" spans="2:9" x14ac:dyDescent="0.2">
      <c r="B907" s="61" t="s">
        <v>208</v>
      </c>
      <c r="C907" s="61"/>
      <c r="D907" s="62">
        <v>0</v>
      </c>
      <c r="E907" s="63" t="s">
        <v>209</v>
      </c>
    </row>
    <row r="908" spans="2:9" x14ac:dyDescent="0.2">
      <c r="B908" s="58" t="s">
        <v>210</v>
      </c>
      <c r="C908" s="58"/>
      <c r="D908" s="62">
        <v>0</v>
      </c>
      <c r="E908" s="63" t="s">
        <v>211</v>
      </c>
    </row>
    <row r="909" spans="2:9" x14ac:dyDescent="0.2">
      <c r="B909" s="64" t="s">
        <v>212</v>
      </c>
      <c r="C909" s="65"/>
      <c r="D909" s="62">
        <v>0</v>
      </c>
      <c r="E909" s="63" t="s">
        <v>213</v>
      </c>
    </row>
    <row r="910" spans="2:9" x14ac:dyDescent="0.2">
      <c r="B910" s="64" t="s">
        <v>214</v>
      </c>
      <c r="C910" s="65"/>
      <c r="D910" s="62">
        <v>0</v>
      </c>
      <c r="E910" s="63" t="s">
        <v>215</v>
      </c>
    </row>
    <row r="911" spans="2:9" x14ac:dyDescent="0.2">
      <c r="B911" s="64" t="s">
        <v>216</v>
      </c>
      <c r="C911" s="65"/>
      <c r="D911" s="62">
        <v>0</v>
      </c>
      <c r="E911" s="63" t="s">
        <v>217</v>
      </c>
      <c r="I911" s="57"/>
    </row>
    <row r="912" spans="2:9" x14ac:dyDescent="0.2">
      <c r="B912" s="80" t="s">
        <v>218</v>
      </c>
      <c r="C912" s="81"/>
      <c r="D912" s="62">
        <v>0</v>
      </c>
      <c r="E912" s="63" t="s">
        <v>219</v>
      </c>
      <c r="I912" s="57"/>
    </row>
    <row r="913" spans="2:9" ht="13.5" thickBot="1" x14ac:dyDescent="0.25">
      <c r="B913" s="64" t="s">
        <v>220</v>
      </c>
      <c r="C913" s="65"/>
      <c r="D913" s="62">
        <v>0</v>
      </c>
      <c r="E913" s="63" t="s">
        <v>221</v>
      </c>
      <c r="I913" s="57"/>
    </row>
    <row r="914" spans="2:9" ht="27" customHeight="1" thickBot="1" x14ac:dyDescent="0.25">
      <c r="B914" s="66" t="s">
        <v>293</v>
      </c>
      <c r="C914" s="67"/>
      <c r="D914" s="67"/>
      <c r="E914" s="68"/>
    </row>
    <row r="915" spans="2:9" x14ac:dyDescent="0.2">
      <c r="B915" s="51" t="s">
        <v>223</v>
      </c>
      <c r="E915" s="50"/>
    </row>
    <row r="916" spans="2:9" x14ac:dyDescent="0.2">
      <c r="B916" s="69"/>
      <c r="C916" s="52" t="s">
        <v>224</v>
      </c>
      <c r="D916" s="52"/>
      <c r="E916" s="52"/>
    </row>
    <row r="917" spans="2:9" x14ac:dyDescent="0.2">
      <c r="B917" s="51" t="s">
        <v>225</v>
      </c>
      <c r="C917" s="9"/>
      <c r="D917" s="9"/>
      <c r="E917" s="70"/>
    </row>
    <row r="918" spans="2:9" x14ac:dyDescent="0.2">
      <c r="B918" s="69"/>
      <c r="C918" s="52" t="s">
        <v>226</v>
      </c>
      <c r="D918" s="52"/>
      <c r="E918" s="52"/>
    </row>
    <row r="919" spans="2:9" x14ac:dyDescent="0.2">
      <c r="B919" s="51" t="s">
        <v>227</v>
      </c>
      <c r="E919" s="50"/>
    </row>
    <row r="920" spans="2:9" x14ac:dyDescent="0.2">
      <c r="B920" s="51"/>
      <c r="C920" s="71" t="s">
        <v>228</v>
      </c>
      <c r="D920" s="71"/>
      <c r="E920" s="71"/>
    </row>
    <row r="921" spans="2:9" ht="13.5" thickBot="1" x14ac:dyDescent="0.25">
      <c r="B921" s="72"/>
      <c r="C921" s="73"/>
      <c r="D921" s="74"/>
      <c r="E921" s="75"/>
    </row>
    <row r="922" spans="2:9" ht="13.5" thickBot="1" x14ac:dyDescent="0.25"/>
    <row r="923" spans="2:9" x14ac:dyDescent="0.2">
      <c r="B923" s="45" t="s">
        <v>294</v>
      </c>
      <c r="C923" s="46"/>
      <c r="D923" s="47"/>
      <c r="E923" s="48"/>
    </row>
    <row r="924" spans="2:9" x14ac:dyDescent="0.2">
      <c r="B924" s="49"/>
      <c r="E924" s="50"/>
    </row>
    <row r="925" spans="2:9" x14ac:dyDescent="0.2">
      <c r="B925" s="51" t="s">
        <v>199</v>
      </c>
      <c r="E925" s="50"/>
    </row>
    <row r="926" spans="2:9" x14ac:dyDescent="0.2">
      <c r="B926" s="51"/>
      <c r="C926" s="52"/>
      <c r="D926" s="52"/>
      <c r="E926" s="52"/>
    </row>
    <row r="927" spans="2:9" ht="13.5" thickBot="1" x14ac:dyDescent="0.25">
      <c r="B927" s="51" t="s">
        <v>200</v>
      </c>
      <c r="E927" s="50"/>
    </row>
    <row r="928" spans="2:9" ht="13.5" thickBot="1" x14ac:dyDescent="0.25">
      <c r="B928" s="53" t="s">
        <v>201</v>
      </c>
      <c r="C928" s="54"/>
      <c r="D928" s="54"/>
      <c r="E928" s="55"/>
    </row>
    <row r="929" spans="2:9" ht="13.5" thickBot="1" x14ac:dyDescent="0.25">
      <c r="B929" s="53" t="s">
        <v>202</v>
      </c>
      <c r="C929" s="55"/>
      <c r="D929" s="56" t="s">
        <v>14</v>
      </c>
      <c r="E929" s="56" t="s">
        <v>203</v>
      </c>
    </row>
    <row r="930" spans="2:9" x14ac:dyDescent="0.2">
      <c r="B930" s="58" t="s">
        <v>204</v>
      </c>
      <c r="C930" s="58"/>
      <c r="D930" s="59">
        <v>20</v>
      </c>
      <c r="E930" s="60" t="s">
        <v>205</v>
      </c>
    </row>
    <row r="931" spans="2:9" x14ac:dyDescent="0.2">
      <c r="B931" s="61" t="s">
        <v>206</v>
      </c>
      <c r="C931" s="61"/>
      <c r="D931" s="62">
        <v>0</v>
      </c>
      <c r="E931" s="63" t="s">
        <v>207</v>
      </c>
    </row>
    <row r="932" spans="2:9" x14ac:dyDescent="0.2">
      <c r="B932" s="61" t="s">
        <v>208</v>
      </c>
      <c r="C932" s="61"/>
      <c r="D932" s="62">
        <v>48</v>
      </c>
      <c r="E932" s="63" t="s">
        <v>209</v>
      </c>
    </row>
    <row r="933" spans="2:9" x14ac:dyDescent="0.2">
      <c r="B933" s="58" t="s">
        <v>210</v>
      </c>
      <c r="C933" s="58"/>
      <c r="D933" s="62">
        <v>0</v>
      </c>
      <c r="E933" s="63" t="s">
        <v>211</v>
      </c>
    </row>
    <row r="934" spans="2:9" x14ac:dyDescent="0.2">
      <c r="B934" s="64" t="s">
        <v>212</v>
      </c>
      <c r="C934" s="65"/>
      <c r="D934" s="62">
        <v>0</v>
      </c>
      <c r="E934" s="63" t="s">
        <v>213</v>
      </c>
    </row>
    <row r="935" spans="2:9" x14ac:dyDescent="0.2">
      <c r="B935" s="64" t="s">
        <v>214</v>
      </c>
      <c r="C935" s="65"/>
      <c r="D935" s="62">
        <v>0</v>
      </c>
      <c r="E935" s="63" t="s">
        <v>215</v>
      </c>
    </row>
    <row r="936" spans="2:9" x14ac:dyDescent="0.2">
      <c r="B936" s="64" t="s">
        <v>216</v>
      </c>
      <c r="C936" s="65"/>
      <c r="D936" s="62">
        <v>0</v>
      </c>
      <c r="E936" s="63" t="s">
        <v>217</v>
      </c>
      <c r="I936" s="57"/>
    </row>
    <row r="937" spans="2:9" x14ac:dyDescent="0.2">
      <c r="B937" s="80" t="s">
        <v>218</v>
      </c>
      <c r="C937" s="81"/>
      <c r="D937" s="62">
        <v>30</v>
      </c>
      <c r="E937" s="63" t="s">
        <v>219</v>
      </c>
      <c r="I937" s="57"/>
    </row>
    <row r="938" spans="2:9" ht="13.5" thickBot="1" x14ac:dyDescent="0.25">
      <c r="B938" s="64" t="s">
        <v>220</v>
      </c>
      <c r="C938" s="65"/>
      <c r="D938" s="62">
        <v>0</v>
      </c>
      <c r="E938" s="63" t="s">
        <v>221</v>
      </c>
      <c r="I938" s="57"/>
    </row>
    <row r="939" spans="2:9" ht="27" customHeight="1" thickBot="1" x14ac:dyDescent="0.25">
      <c r="B939" s="66" t="s">
        <v>295</v>
      </c>
      <c r="C939" s="67"/>
      <c r="D939" s="67"/>
      <c r="E939" s="68"/>
    </row>
    <row r="940" spans="2:9" x14ac:dyDescent="0.2">
      <c r="B940" s="51" t="s">
        <v>223</v>
      </c>
      <c r="E940" s="50"/>
    </row>
    <row r="941" spans="2:9" x14ac:dyDescent="0.2">
      <c r="B941" s="69"/>
      <c r="C941" s="52" t="s">
        <v>224</v>
      </c>
      <c r="D941" s="52"/>
      <c r="E941" s="52"/>
    </row>
    <row r="942" spans="2:9" x14ac:dyDescent="0.2">
      <c r="B942" s="51" t="s">
        <v>225</v>
      </c>
      <c r="C942" s="9"/>
      <c r="D942" s="9"/>
      <c r="E942" s="70"/>
    </row>
    <row r="943" spans="2:9" x14ac:dyDescent="0.2">
      <c r="B943" s="69"/>
      <c r="C943" s="52" t="s">
        <v>226</v>
      </c>
      <c r="D943" s="52"/>
      <c r="E943" s="52"/>
    </row>
    <row r="944" spans="2:9" x14ac:dyDescent="0.2">
      <c r="B944" s="51" t="s">
        <v>227</v>
      </c>
      <c r="E944" s="50"/>
    </row>
    <row r="945" spans="2:5" x14ac:dyDescent="0.2">
      <c r="B945" s="51"/>
      <c r="C945" s="71" t="s">
        <v>228</v>
      </c>
      <c r="D945" s="71"/>
      <c r="E945" s="71"/>
    </row>
    <row r="946" spans="2:5" ht="13.5" thickBot="1" x14ac:dyDescent="0.25">
      <c r="B946" s="72"/>
      <c r="C946" s="73"/>
      <c r="D946" s="74"/>
      <c r="E946" s="75"/>
    </row>
    <row r="947" spans="2:5" ht="13.5" thickBot="1" x14ac:dyDescent="0.25"/>
    <row r="948" spans="2:5" x14ac:dyDescent="0.2">
      <c r="B948" s="45" t="s">
        <v>296</v>
      </c>
      <c r="C948" s="46"/>
      <c r="D948" s="47"/>
      <c r="E948" s="48"/>
    </row>
    <row r="949" spans="2:5" x14ac:dyDescent="0.2">
      <c r="B949" s="49"/>
      <c r="E949" s="50"/>
    </row>
    <row r="950" spans="2:5" x14ac:dyDescent="0.2">
      <c r="B950" s="51" t="s">
        <v>199</v>
      </c>
      <c r="E950" s="50"/>
    </row>
    <row r="951" spans="2:5" x14ac:dyDescent="0.2">
      <c r="B951" s="51"/>
      <c r="C951" s="52"/>
      <c r="D951" s="52"/>
      <c r="E951" s="52"/>
    </row>
    <row r="952" spans="2:5" ht="13.5" thickBot="1" x14ac:dyDescent="0.25">
      <c r="B952" s="51" t="s">
        <v>200</v>
      </c>
      <c r="E952" s="50"/>
    </row>
    <row r="953" spans="2:5" ht="13.5" thickBot="1" x14ac:dyDescent="0.25">
      <c r="B953" s="53" t="s">
        <v>201</v>
      </c>
      <c r="C953" s="54"/>
      <c r="D953" s="54"/>
      <c r="E953" s="55"/>
    </row>
    <row r="954" spans="2:5" ht="13.5" thickBot="1" x14ac:dyDescent="0.25">
      <c r="B954" s="53" t="s">
        <v>202</v>
      </c>
      <c r="C954" s="55"/>
      <c r="D954" s="56" t="s">
        <v>14</v>
      </c>
      <c r="E954" s="56" t="s">
        <v>203</v>
      </c>
    </row>
    <row r="955" spans="2:5" x14ac:dyDescent="0.2">
      <c r="B955" s="58" t="s">
        <v>204</v>
      </c>
      <c r="C955" s="58"/>
      <c r="D955" s="59">
        <v>9</v>
      </c>
      <c r="E955" s="60" t="s">
        <v>205</v>
      </c>
    </row>
    <row r="956" spans="2:5" x14ac:dyDescent="0.2">
      <c r="B956" s="61" t="s">
        <v>206</v>
      </c>
      <c r="C956" s="61"/>
      <c r="D956" s="88">
        <v>0</v>
      </c>
      <c r="E956" s="63" t="s">
        <v>207</v>
      </c>
    </row>
    <row r="957" spans="2:5" x14ac:dyDescent="0.2">
      <c r="B957" s="61" t="s">
        <v>208</v>
      </c>
      <c r="C957" s="61"/>
      <c r="D957" s="62">
        <v>4</v>
      </c>
      <c r="E957" s="63" t="s">
        <v>209</v>
      </c>
    </row>
    <row r="958" spans="2:5" x14ac:dyDescent="0.2">
      <c r="B958" s="58" t="s">
        <v>210</v>
      </c>
      <c r="C958" s="58"/>
      <c r="D958" s="62">
        <v>8</v>
      </c>
      <c r="E958" s="63" t="s">
        <v>211</v>
      </c>
    </row>
    <row r="959" spans="2:5" x14ac:dyDescent="0.2">
      <c r="B959" s="64" t="s">
        <v>212</v>
      </c>
      <c r="C959" s="65"/>
      <c r="D959" s="62">
        <v>0</v>
      </c>
      <c r="E959" s="63" t="s">
        <v>213</v>
      </c>
    </row>
    <row r="960" spans="2:5" x14ac:dyDescent="0.2">
      <c r="B960" s="64" t="s">
        <v>214</v>
      </c>
      <c r="C960" s="65"/>
      <c r="D960" s="62">
        <v>6</v>
      </c>
      <c r="E960" s="63" t="s">
        <v>215</v>
      </c>
    </row>
    <row r="961" spans="2:9" x14ac:dyDescent="0.2">
      <c r="B961" s="64" t="s">
        <v>216</v>
      </c>
      <c r="C961" s="65"/>
      <c r="D961" s="62">
        <v>0</v>
      </c>
      <c r="E961" s="63" t="s">
        <v>217</v>
      </c>
      <c r="I961" s="57"/>
    </row>
    <row r="962" spans="2:9" x14ac:dyDescent="0.2">
      <c r="B962" s="80" t="s">
        <v>218</v>
      </c>
      <c r="C962" s="81"/>
      <c r="D962" s="62">
        <v>0</v>
      </c>
      <c r="E962" s="63" t="s">
        <v>219</v>
      </c>
      <c r="I962" s="57"/>
    </row>
    <row r="963" spans="2:9" ht="13.5" thickBot="1" x14ac:dyDescent="0.25">
      <c r="B963" s="64" t="s">
        <v>220</v>
      </c>
      <c r="C963" s="65"/>
      <c r="D963" s="62">
        <v>0</v>
      </c>
      <c r="E963" s="63" t="s">
        <v>221</v>
      </c>
      <c r="I963" s="57"/>
    </row>
    <row r="964" spans="2:9" ht="27.75" customHeight="1" thickBot="1" x14ac:dyDescent="0.25">
      <c r="B964" s="66" t="s">
        <v>297</v>
      </c>
      <c r="C964" s="67"/>
      <c r="D964" s="67"/>
      <c r="E964" s="68"/>
    </row>
    <row r="965" spans="2:9" x14ac:dyDescent="0.2">
      <c r="B965" s="51" t="s">
        <v>223</v>
      </c>
      <c r="E965" s="50"/>
    </row>
    <row r="966" spans="2:9" x14ac:dyDescent="0.2">
      <c r="B966" s="69"/>
      <c r="C966" s="52" t="s">
        <v>224</v>
      </c>
      <c r="D966" s="52"/>
      <c r="E966" s="52"/>
    </row>
    <row r="967" spans="2:9" x14ac:dyDescent="0.2">
      <c r="B967" s="51" t="s">
        <v>225</v>
      </c>
      <c r="C967" s="9"/>
      <c r="D967" s="9"/>
      <c r="E967" s="70"/>
    </row>
    <row r="968" spans="2:9" x14ac:dyDescent="0.2">
      <c r="B968" s="69"/>
      <c r="C968" s="52" t="s">
        <v>226</v>
      </c>
      <c r="D968" s="52"/>
      <c r="E968" s="52"/>
    </row>
    <row r="969" spans="2:9" x14ac:dyDescent="0.2">
      <c r="B969" s="51" t="s">
        <v>227</v>
      </c>
      <c r="E969" s="50"/>
    </row>
    <row r="970" spans="2:9" x14ac:dyDescent="0.2">
      <c r="B970" s="51"/>
      <c r="C970" s="71" t="s">
        <v>228</v>
      </c>
      <c r="D970" s="71"/>
      <c r="E970" s="71"/>
    </row>
    <row r="971" spans="2:9" ht="13.5" thickBot="1" x14ac:dyDescent="0.25">
      <c r="B971" s="72"/>
      <c r="C971" s="73"/>
      <c r="D971" s="74"/>
      <c r="E971" s="75"/>
    </row>
    <row r="972" spans="2:9" ht="13.5" thickBot="1" x14ac:dyDescent="0.25"/>
    <row r="973" spans="2:9" x14ac:dyDescent="0.2">
      <c r="B973" s="45" t="s">
        <v>298</v>
      </c>
      <c r="C973" s="46"/>
      <c r="D973" s="47"/>
      <c r="E973" s="48"/>
    </row>
    <row r="974" spans="2:9" x14ac:dyDescent="0.2">
      <c r="B974" s="49"/>
      <c r="E974" s="50"/>
    </row>
    <row r="975" spans="2:9" x14ac:dyDescent="0.2">
      <c r="B975" s="51" t="s">
        <v>199</v>
      </c>
      <c r="E975" s="50"/>
    </row>
    <row r="976" spans="2:9" x14ac:dyDescent="0.2">
      <c r="B976" s="51"/>
      <c r="C976" s="52"/>
      <c r="D976" s="52"/>
      <c r="E976" s="52"/>
    </row>
    <row r="977" spans="2:9" ht="13.5" thickBot="1" x14ac:dyDescent="0.25">
      <c r="B977" s="51" t="s">
        <v>200</v>
      </c>
      <c r="E977" s="50"/>
    </row>
    <row r="978" spans="2:9" ht="13.5" thickBot="1" x14ac:dyDescent="0.25">
      <c r="B978" s="53" t="s">
        <v>201</v>
      </c>
      <c r="C978" s="54"/>
      <c r="D978" s="54"/>
      <c r="E978" s="55"/>
    </row>
    <row r="979" spans="2:9" ht="13.5" thickBot="1" x14ac:dyDescent="0.25">
      <c r="B979" s="53" t="s">
        <v>202</v>
      </c>
      <c r="C979" s="55"/>
      <c r="D979" s="56" t="s">
        <v>14</v>
      </c>
      <c r="E979" s="56" t="s">
        <v>203</v>
      </c>
    </row>
    <row r="980" spans="2:9" x14ac:dyDescent="0.2">
      <c r="B980" s="58" t="s">
        <v>204</v>
      </c>
      <c r="C980" s="58"/>
      <c r="D980" s="59">
        <v>15</v>
      </c>
      <c r="E980" s="60" t="s">
        <v>205</v>
      </c>
    </row>
    <row r="981" spans="2:9" x14ac:dyDescent="0.2">
      <c r="B981" s="61" t="s">
        <v>206</v>
      </c>
      <c r="C981" s="61"/>
      <c r="D981" s="62">
        <v>30</v>
      </c>
      <c r="E981" s="63" t="s">
        <v>207</v>
      </c>
    </row>
    <row r="982" spans="2:9" x14ac:dyDescent="0.2">
      <c r="B982" s="61" t="s">
        <v>208</v>
      </c>
      <c r="C982" s="61"/>
      <c r="D982" s="62">
        <v>15</v>
      </c>
      <c r="E982" s="63" t="s">
        <v>209</v>
      </c>
    </row>
    <row r="983" spans="2:9" x14ac:dyDescent="0.2">
      <c r="B983" s="58" t="s">
        <v>210</v>
      </c>
      <c r="C983" s="58"/>
      <c r="D983" s="62">
        <v>0</v>
      </c>
      <c r="E983" s="63" t="s">
        <v>211</v>
      </c>
    </row>
    <row r="984" spans="2:9" x14ac:dyDescent="0.2">
      <c r="B984" s="64" t="s">
        <v>212</v>
      </c>
      <c r="C984" s="65"/>
      <c r="D984" s="62">
        <v>0</v>
      </c>
      <c r="E984" s="63" t="s">
        <v>213</v>
      </c>
    </row>
    <row r="985" spans="2:9" x14ac:dyDescent="0.2">
      <c r="B985" s="64" t="s">
        <v>214</v>
      </c>
      <c r="C985" s="65"/>
      <c r="D985" s="62">
        <v>10</v>
      </c>
      <c r="E985" s="63" t="s">
        <v>215</v>
      </c>
    </row>
    <row r="986" spans="2:9" x14ac:dyDescent="0.2">
      <c r="B986" s="64" t="s">
        <v>216</v>
      </c>
      <c r="C986" s="65"/>
      <c r="D986" s="62">
        <v>0</v>
      </c>
      <c r="E986" s="63" t="s">
        <v>217</v>
      </c>
      <c r="I986" s="57"/>
    </row>
    <row r="987" spans="2:9" x14ac:dyDescent="0.2">
      <c r="B987" s="80" t="s">
        <v>218</v>
      </c>
      <c r="C987" s="81"/>
      <c r="D987" s="62">
        <v>10</v>
      </c>
      <c r="E987" s="63" t="s">
        <v>219</v>
      </c>
      <c r="I987" s="57"/>
    </row>
    <row r="988" spans="2:9" ht="13.5" thickBot="1" x14ac:dyDescent="0.25">
      <c r="B988" s="64" t="s">
        <v>220</v>
      </c>
      <c r="C988" s="65"/>
      <c r="D988" s="62">
        <v>8</v>
      </c>
      <c r="E988" s="63" t="s">
        <v>221</v>
      </c>
      <c r="I988" s="57"/>
    </row>
    <row r="989" spans="2:9" ht="13.5" customHeight="1" thickBot="1" x14ac:dyDescent="0.25">
      <c r="B989" s="66" t="s">
        <v>299</v>
      </c>
      <c r="C989" s="67"/>
      <c r="D989" s="67"/>
      <c r="E989" s="68"/>
    </row>
    <row r="990" spans="2:9" x14ac:dyDescent="0.2">
      <c r="B990" s="51" t="s">
        <v>223</v>
      </c>
      <c r="E990" s="50"/>
    </row>
    <row r="991" spans="2:9" x14ac:dyDescent="0.2">
      <c r="B991" s="69"/>
      <c r="C991" s="52" t="s">
        <v>224</v>
      </c>
      <c r="D991" s="52"/>
      <c r="E991" s="52"/>
    </row>
    <row r="992" spans="2:9" x14ac:dyDescent="0.2">
      <c r="B992" s="51" t="s">
        <v>225</v>
      </c>
      <c r="C992" s="9"/>
      <c r="D992" s="9"/>
      <c r="E992" s="70"/>
    </row>
    <row r="993" spans="2:5" x14ac:dyDescent="0.2">
      <c r="B993" s="69"/>
      <c r="C993" s="52" t="s">
        <v>226</v>
      </c>
      <c r="D993" s="52"/>
      <c r="E993" s="52"/>
    </row>
    <row r="994" spans="2:5" x14ac:dyDescent="0.2">
      <c r="B994" s="51" t="s">
        <v>227</v>
      </c>
      <c r="E994" s="50"/>
    </row>
    <row r="995" spans="2:5" x14ac:dyDescent="0.2">
      <c r="B995" s="51"/>
      <c r="C995" s="71" t="s">
        <v>228</v>
      </c>
      <c r="D995" s="71"/>
      <c r="E995" s="71"/>
    </row>
    <row r="996" spans="2:5" ht="13.5" thickBot="1" x14ac:dyDescent="0.25">
      <c r="B996" s="72"/>
      <c r="C996" s="73"/>
      <c r="D996" s="74"/>
      <c r="E996" s="75"/>
    </row>
    <row r="997" spans="2:5" ht="13.5" thickBot="1" x14ac:dyDescent="0.25"/>
    <row r="998" spans="2:5" x14ac:dyDescent="0.2">
      <c r="B998" s="45" t="s">
        <v>300</v>
      </c>
      <c r="C998" s="46"/>
      <c r="D998" s="47"/>
      <c r="E998" s="48"/>
    </row>
    <row r="999" spans="2:5" x14ac:dyDescent="0.2">
      <c r="B999" s="49"/>
      <c r="E999" s="50"/>
    </row>
    <row r="1000" spans="2:5" x14ac:dyDescent="0.2">
      <c r="B1000" s="51" t="s">
        <v>199</v>
      </c>
      <c r="E1000" s="50"/>
    </row>
    <row r="1001" spans="2:5" x14ac:dyDescent="0.2">
      <c r="B1001" s="51"/>
      <c r="C1001" s="87"/>
      <c r="D1001" s="87"/>
      <c r="E1001" s="52"/>
    </row>
    <row r="1002" spans="2:5" ht="13.5" thickBot="1" x14ac:dyDescent="0.25">
      <c r="B1002" s="51" t="s">
        <v>200</v>
      </c>
      <c r="E1002" s="50"/>
    </row>
    <row r="1003" spans="2:5" ht="13.5" thickBot="1" x14ac:dyDescent="0.25">
      <c r="B1003" s="53" t="s">
        <v>201</v>
      </c>
      <c r="C1003" s="54"/>
      <c r="D1003" s="54"/>
      <c r="E1003" s="55"/>
    </row>
    <row r="1004" spans="2:5" ht="13.5" thickBot="1" x14ac:dyDescent="0.25">
      <c r="B1004" s="53" t="s">
        <v>202</v>
      </c>
      <c r="C1004" s="55"/>
      <c r="D1004" s="56" t="s">
        <v>14</v>
      </c>
      <c r="E1004" s="56" t="s">
        <v>203</v>
      </c>
    </row>
    <row r="1005" spans="2:5" x14ac:dyDescent="0.2">
      <c r="B1005" s="58" t="s">
        <v>204</v>
      </c>
      <c r="C1005" s="58"/>
      <c r="D1005" s="59">
        <v>15</v>
      </c>
      <c r="E1005" s="60" t="s">
        <v>205</v>
      </c>
    </row>
    <row r="1006" spans="2:5" x14ac:dyDescent="0.2">
      <c r="B1006" s="61" t="s">
        <v>206</v>
      </c>
      <c r="C1006" s="61"/>
      <c r="D1006" s="62">
        <v>40</v>
      </c>
      <c r="E1006" s="63" t="s">
        <v>207</v>
      </c>
    </row>
    <row r="1007" spans="2:5" x14ac:dyDescent="0.2">
      <c r="B1007" s="61" t="s">
        <v>208</v>
      </c>
      <c r="C1007" s="61"/>
      <c r="D1007" s="62">
        <v>10</v>
      </c>
      <c r="E1007" s="63" t="s">
        <v>209</v>
      </c>
    </row>
    <row r="1008" spans="2:5" x14ac:dyDescent="0.2">
      <c r="B1008" s="58" t="s">
        <v>210</v>
      </c>
      <c r="C1008" s="58"/>
      <c r="D1008" s="62">
        <v>0</v>
      </c>
      <c r="E1008" s="63" t="s">
        <v>211</v>
      </c>
    </row>
    <row r="1009" spans="2:9" x14ac:dyDescent="0.2">
      <c r="B1009" s="64" t="s">
        <v>212</v>
      </c>
      <c r="C1009" s="65"/>
      <c r="D1009" s="62">
        <v>0</v>
      </c>
      <c r="E1009" s="63" t="s">
        <v>213</v>
      </c>
    </row>
    <row r="1010" spans="2:9" x14ac:dyDescent="0.2">
      <c r="B1010" s="64" t="s">
        <v>214</v>
      </c>
      <c r="C1010" s="65"/>
      <c r="D1010" s="62">
        <v>5</v>
      </c>
      <c r="E1010" s="63" t="s">
        <v>215</v>
      </c>
    </row>
    <row r="1011" spans="2:9" x14ac:dyDescent="0.2">
      <c r="B1011" s="64" t="s">
        <v>216</v>
      </c>
      <c r="C1011" s="65"/>
      <c r="D1011" s="62">
        <v>0</v>
      </c>
      <c r="E1011" s="63" t="s">
        <v>217</v>
      </c>
      <c r="I1011" s="57"/>
    </row>
    <row r="1012" spans="2:9" x14ac:dyDescent="0.2">
      <c r="B1012" s="80" t="s">
        <v>218</v>
      </c>
      <c r="C1012" s="81"/>
      <c r="D1012" s="62">
        <v>5</v>
      </c>
      <c r="E1012" s="63" t="s">
        <v>219</v>
      </c>
      <c r="I1012" s="57"/>
    </row>
    <row r="1013" spans="2:9" ht="13.5" thickBot="1" x14ac:dyDescent="0.25">
      <c r="B1013" s="64" t="s">
        <v>220</v>
      </c>
      <c r="C1013" s="65"/>
      <c r="D1013" s="62">
        <v>8</v>
      </c>
      <c r="E1013" s="63" t="s">
        <v>221</v>
      </c>
      <c r="I1013" s="57"/>
    </row>
    <row r="1014" spans="2:9" ht="13.5" customHeight="1" thickBot="1" x14ac:dyDescent="0.25">
      <c r="B1014" s="66" t="s">
        <v>301</v>
      </c>
      <c r="C1014" s="67"/>
      <c r="D1014" s="67"/>
      <c r="E1014" s="68"/>
    </row>
    <row r="1015" spans="2:9" x14ac:dyDescent="0.2">
      <c r="B1015" s="51" t="s">
        <v>223</v>
      </c>
      <c r="E1015" s="50"/>
    </row>
    <row r="1016" spans="2:9" x14ac:dyDescent="0.2">
      <c r="B1016" s="69"/>
      <c r="C1016" s="52" t="s">
        <v>224</v>
      </c>
      <c r="D1016" s="52"/>
      <c r="E1016" s="52"/>
    </row>
    <row r="1017" spans="2:9" x14ac:dyDescent="0.2">
      <c r="B1017" s="51" t="s">
        <v>225</v>
      </c>
      <c r="C1017" s="9"/>
      <c r="D1017" s="9"/>
      <c r="E1017" s="70"/>
    </row>
    <row r="1018" spans="2:9" x14ac:dyDescent="0.2">
      <c r="B1018" s="69"/>
      <c r="C1018" s="52" t="s">
        <v>226</v>
      </c>
      <c r="D1018" s="52"/>
      <c r="E1018" s="52"/>
    </row>
    <row r="1019" spans="2:9" x14ac:dyDescent="0.2">
      <c r="B1019" s="51" t="s">
        <v>227</v>
      </c>
      <c r="E1019" s="50"/>
    </row>
    <row r="1020" spans="2:9" x14ac:dyDescent="0.2">
      <c r="B1020" s="51"/>
      <c r="C1020" s="71" t="s">
        <v>228</v>
      </c>
      <c r="D1020" s="71"/>
      <c r="E1020" s="71"/>
    </row>
    <row r="1021" spans="2:9" ht="13.5" thickBot="1" x14ac:dyDescent="0.25">
      <c r="B1021" s="72"/>
      <c r="C1021" s="73"/>
      <c r="D1021" s="74"/>
      <c r="E1021" s="75"/>
    </row>
    <row r="1022" spans="2:9" ht="13.5" thickBot="1" x14ac:dyDescent="0.25"/>
    <row r="1023" spans="2:9" x14ac:dyDescent="0.2">
      <c r="B1023" s="45" t="s">
        <v>302</v>
      </c>
      <c r="C1023" s="46"/>
      <c r="D1023" s="47"/>
      <c r="E1023" s="48"/>
    </row>
    <row r="1024" spans="2:9" x14ac:dyDescent="0.2">
      <c r="B1024" s="49"/>
      <c r="E1024" s="50"/>
    </row>
    <row r="1025" spans="2:9" x14ac:dyDescent="0.2">
      <c r="B1025" s="51" t="s">
        <v>199</v>
      </c>
      <c r="E1025" s="50"/>
    </row>
    <row r="1026" spans="2:9" x14ac:dyDescent="0.2">
      <c r="B1026" s="51"/>
      <c r="C1026" s="52"/>
      <c r="D1026" s="52"/>
      <c r="E1026" s="52"/>
    </row>
    <row r="1027" spans="2:9" ht="13.5" thickBot="1" x14ac:dyDescent="0.25">
      <c r="B1027" s="51" t="s">
        <v>200</v>
      </c>
      <c r="E1027" s="50"/>
    </row>
    <row r="1028" spans="2:9" ht="13.5" thickBot="1" x14ac:dyDescent="0.25">
      <c r="B1028" s="53" t="s">
        <v>201</v>
      </c>
      <c r="C1028" s="54"/>
      <c r="D1028" s="54"/>
      <c r="E1028" s="55"/>
    </row>
    <row r="1029" spans="2:9" ht="13.5" thickBot="1" x14ac:dyDescent="0.25">
      <c r="B1029" s="53" t="s">
        <v>202</v>
      </c>
      <c r="C1029" s="55"/>
      <c r="D1029" s="56" t="s">
        <v>14</v>
      </c>
      <c r="E1029" s="56" t="s">
        <v>203</v>
      </c>
    </row>
    <row r="1030" spans="2:9" x14ac:dyDescent="0.2">
      <c r="B1030" s="58" t="s">
        <v>204</v>
      </c>
      <c r="C1030" s="58"/>
      <c r="D1030" s="59">
        <v>50</v>
      </c>
      <c r="E1030" s="60" t="s">
        <v>205</v>
      </c>
    </row>
    <row r="1031" spans="2:9" x14ac:dyDescent="0.2">
      <c r="B1031" s="61" t="s">
        <v>206</v>
      </c>
      <c r="C1031" s="61"/>
      <c r="D1031" s="62">
        <v>150</v>
      </c>
      <c r="E1031" s="63" t="s">
        <v>207</v>
      </c>
    </row>
    <row r="1032" spans="2:9" x14ac:dyDescent="0.2">
      <c r="B1032" s="61" t="s">
        <v>208</v>
      </c>
      <c r="C1032" s="61"/>
      <c r="D1032" s="62">
        <v>170</v>
      </c>
      <c r="E1032" s="63" t="s">
        <v>209</v>
      </c>
    </row>
    <row r="1033" spans="2:9" x14ac:dyDescent="0.2">
      <c r="B1033" s="58" t="s">
        <v>210</v>
      </c>
      <c r="C1033" s="58"/>
      <c r="D1033" s="62">
        <v>0</v>
      </c>
      <c r="E1033" s="63" t="s">
        <v>211</v>
      </c>
    </row>
    <row r="1034" spans="2:9" x14ac:dyDescent="0.2">
      <c r="B1034" s="64" t="s">
        <v>212</v>
      </c>
      <c r="C1034" s="65"/>
      <c r="D1034" s="62">
        <v>0</v>
      </c>
      <c r="E1034" s="63" t="s">
        <v>213</v>
      </c>
    </row>
    <row r="1035" spans="2:9" ht="13.5" customHeight="1" x14ac:dyDescent="0.2">
      <c r="B1035" s="64" t="s">
        <v>214</v>
      </c>
      <c r="C1035" s="65"/>
      <c r="D1035" s="62">
        <v>0</v>
      </c>
      <c r="E1035" s="63" t="s">
        <v>215</v>
      </c>
    </row>
    <row r="1036" spans="2:9" x14ac:dyDescent="0.2">
      <c r="B1036" s="64" t="s">
        <v>216</v>
      </c>
      <c r="C1036" s="65"/>
      <c r="D1036" s="62">
        <v>0</v>
      </c>
      <c r="E1036" s="63" t="s">
        <v>217</v>
      </c>
      <c r="I1036" s="57"/>
    </row>
    <row r="1037" spans="2:9" x14ac:dyDescent="0.2">
      <c r="B1037" s="80" t="s">
        <v>218</v>
      </c>
      <c r="C1037" s="81"/>
      <c r="D1037" s="62">
        <v>0</v>
      </c>
      <c r="E1037" s="63" t="s">
        <v>219</v>
      </c>
      <c r="I1037" s="57"/>
    </row>
    <row r="1038" spans="2:9" ht="13.5" thickBot="1" x14ac:dyDescent="0.25">
      <c r="B1038" s="64" t="s">
        <v>220</v>
      </c>
      <c r="C1038" s="65"/>
      <c r="D1038" s="62">
        <v>48</v>
      </c>
      <c r="E1038" s="63" t="s">
        <v>221</v>
      </c>
      <c r="I1038" s="57"/>
    </row>
    <row r="1039" spans="2:9" ht="13.5" customHeight="1" thickBot="1" x14ac:dyDescent="0.25">
      <c r="B1039" s="66" t="s">
        <v>303</v>
      </c>
      <c r="C1039" s="67"/>
      <c r="D1039" s="67"/>
      <c r="E1039" s="68"/>
    </row>
    <row r="1040" spans="2:9" x14ac:dyDescent="0.2">
      <c r="B1040" s="51" t="s">
        <v>223</v>
      </c>
      <c r="E1040" s="50"/>
    </row>
    <row r="1041" spans="2:5" x14ac:dyDescent="0.2">
      <c r="B1041" s="69"/>
      <c r="C1041" s="52" t="s">
        <v>224</v>
      </c>
      <c r="D1041" s="52"/>
      <c r="E1041" s="52"/>
    </row>
    <row r="1042" spans="2:5" x14ac:dyDescent="0.2">
      <c r="B1042" s="51" t="s">
        <v>225</v>
      </c>
      <c r="C1042" s="9"/>
      <c r="D1042" s="9"/>
      <c r="E1042" s="70"/>
    </row>
    <row r="1043" spans="2:5" x14ac:dyDescent="0.2">
      <c r="B1043" s="69"/>
      <c r="C1043" s="52" t="s">
        <v>226</v>
      </c>
      <c r="D1043" s="52"/>
      <c r="E1043" s="52"/>
    </row>
    <row r="1044" spans="2:5" x14ac:dyDescent="0.2">
      <c r="B1044" s="51" t="s">
        <v>227</v>
      </c>
      <c r="E1044" s="50"/>
    </row>
    <row r="1045" spans="2:5" x14ac:dyDescent="0.2">
      <c r="B1045" s="51"/>
      <c r="C1045" s="71" t="s">
        <v>228</v>
      </c>
      <c r="D1045" s="71"/>
      <c r="E1045" s="71"/>
    </row>
    <row r="1046" spans="2:5" ht="13.5" thickBot="1" x14ac:dyDescent="0.25">
      <c r="B1046" s="72"/>
      <c r="C1046" s="73"/>
      <c r="D1046" s="74"/>
      <c r="E1046" s="75"/>
    </row>
    <row r="1047" spans="2:5" ht="13.5" thickBot="1" x14ac:dyDescent="0.25"/>
    <row r="1048" spans="2:5" x14ac:dyDescent="0.2">
      <c r="B1048" s="45" t="s">
        <v>304</v>
      </c>
      <c r="C1048" s="46"/>
      <c r="D1048" s="47"/>
      <c r="E1048" s="48"/>
    </row>
    <row r="1049" spans="2:5" x14ac:dyDescent="0.2">
      <c r="B1049" s="49"/>
      <c r="E1049" s="50"/>
    </row>
    <row r="1050" spans="2:5" x14ac:dyDescent="0.2">
      <c r="B1050" s="51" t="s">
        <v>199</v>
      </c>
      <c r="E1050" s="50"/>
    </row>
    <row r="1051" spans="2:5" x14ac:dyDescent="0.2">
      <c r="B1051" s="51"/>
      <c r="C1051" s="52"/>
      <c r="D1051" s="52"/>
      <c r="E1051" s="52"/>
    </row>
    <row r="1052" spans="2:5" ht="13.5" thickBot="1" x14ac:dyDescent="0.25">
      <c r="B1052" s="51" t="s">
        <v>200</v>
      </c>
      <c r="E1052" s="50"/>
    </row>
    <row r="1053" spans="2:5" ht="13.5" thickBot="1" x14ac:dyDescent="0.25">
      <c r="B1053" s="53" t="s">
        <v>201</v>
      </c>
      <c r="C1053" s="54"/>
      <c r="D1053" s="54"/>
      <c r="E1053" s="55"/>
    </row>
    <row r="1054" spans="2:5" ht="13.5" thickBot="1" x14ac:dyDescent="0.25">
      <c r="B1054" s="53" t="s">
        <v>202</v>
      </c>
      <c r="C1054" s="55"/>
      <c r="D1054" s="56" t="s">
        <v>14</v>
      </c>
      <c r="E1054" s="56" t="s">
        <v>203</v>
      </c>
    </row>
    <row r="1055" spans="2:5" x14ac:dyDescent="0.2">
      <c r="B1055" s="58" t="s">
        <v>204</v>
      </c>
      <c r="C1055" s="58"/>
      <c r="D1055" s="59">
        <v>0</v>
      </c>
      <c r="E1055" s="60" t="s">
        <v>205</v>
      </c>
    </row>
    <row r="1056" spans="2:5" x14ac:dyDescent="0.2">
      <c r="B1056" s="61" t="s">
        <v>206</v>
      </c>
      <c r="C1056" s="61"/>
      <c r="D1056" s="62">
        <v>67</v>
      </c>
      <c r="E1056" s="63" t="s">
        <v>207</v>
      </c>
    </row>
    <row r="1057" spans="2:9" x14ac:dyDescent="0.2">
      <c r="B1057" s="61" t="s">
        <v>208</v>
      </c>
      <c r="C1057" s="61"/>
      <c r="D1057" s="62">
        <v>54</v>
      </c>
      <c r="E1057" s="63" t="s">
        <v>209</v>
      </c>
    </row>
    <row r="1058" spans="2:9" x14ac:dyDescent="0.2">
      <c r="B1058" s="58" t="s">
        <v>210</v>
      </c>
      <c r="C1058" s="58"/>
      <c r="D1058" s="62">
        <v>0</v>
      </c>
      <c r="E1058" s="63" t="s">
        <v>211</v>
      </c>
    </row>
    <row r="1059" spans="2:9" x14ac:dyDescent="0.2">
      <c r="B1059" s="64" t="s">
        <v>212</v>
      </c>
      <c r="C1059" s="65"/>
      <c r="D1059" s="62">
        <v>0</v>
      </c>
      <c r="E1059" s="63" t="s">
        <v>213</v>
      </c>
    </row>
    <row r="1060" spans="2:9" x14ac:dyDescent="0.2">
      <c r="B1060" s="64" t="s">
        <v>214</v>
      </c>
      <c r="C1060" s="65"/>
      <c r="D1060" s="62">
        <v>0</v>
      </c>
      <c r="E1060" s="63" t="s">
        <v>215</v>
      </c>
    </row>
    <row r="1061" spans="2:9" x14ac:dyDescent="0.2">
      <c r="B1061" s="64" t="s">
        <v>216</v>
      </c>
      <c r="C1061" s="65"/>
      <c r="D1061" s="62">
        <v>0</v>
      </c>
      <c r="E1061" s="63" t="s">
        <v>217</v>
      </c>
      <c r="I1061" s="57"/>
    </row>
    <row r="1062" spans="2:9" x14ac:dyDescent="0.2">
      <c r="B1062" s="80" t="s">
        <v>218</v>
      </c>
      <c r="C1062" s="81"/>
      <c r="D1062" s="62">
        <v>0</v>
      </c>
      <c r="E1062" s="63" t="s">
        <v>219</v>
      </c>
      <c r="I1062" s="57"/>
    </row>
    <row r="1063" spans="2:9" ht="13.5" thickBot="1" x14ac:dyDescent="0.25">
      <c r="B1063" s="64" t="s">
        <v>220</v>
      </c>
      <c r="C1063" s="65"/>
      <c r="D1063" s="62">
        <v>0</v>
      </c>
      <c r="E1063" s="63" t="s">
        <v>221</v>
      </c>
      <c r="I1063" s="57"/>
    </row>
    <row r="1064" spans="2:9" ht="13.5" customHeight="1" thickBot="1" x14ac:dyDescent="0.25">
      <c r="B1064" s="66" t="s">
        <v>305</v>
      </c>
      <c r="C1064" s="67"/>
      <c r="D1064" s="67"/>
      <c r="E1064" s="68"/>
    </row>
    <row r="1065" spans="2:9" x14ac:dyDescent="0.2">
      <c r="B1065" s="51" t="s">
        <v>223</v>
      </c>
      <c r="E1065" s="50"/>
    </row>
    <row r="1066" spans="2:9" x14ac:dyDescent="0.2">
      <c r="B1066" s="69"/>
      <c r="C1066" s="52" t="s">
        <v>224</v>
      </c>
      <c r="D1066" s="52"/>
      <c r="E1066" s="52"/>
    </row>
    <row r="1067" spans="2:9" x14ac:dyDescent="0.2">
      <c r="B1067" s="51" t="s">
        <v>225</v>
      </c>
      <c r="C1067" s="9"/>
      <c r="D1067" s="9"/>
      <c r="E1067" s="70"/>
    </row>
    <row r="1068" spans="2:9" x14ac:dyDescent="0.2">
      <c r="B1068" s="69"/>
      <c r="C1068" s="52" t="s">
        <v>226</v>
      </c>
      <c r="D1068" s="52"/>
      <c r="E1068" s="52"/>
    </row>
    <row r="1069" spans="2:9" x14ac:dyDescent="0.2">
      <c r="B1069" s="51" t="s">
        <v>227</v>
      </c>
      <c r="E1069" s="50"/>
    </row>
    <row r="1070" spans="2:9" x14ac:dyDescent="0.2">
      <c r="B1070" s="51"/>
      <c r="C1070" s="71" t="s">
        <v>228</v>
      </c>
      <c r="D1070" s="71"/>
      <c r="E1070" s="71"/>
    </row>
    <row r="1071" spans="2:9" ht="13.5" thickBot="1" x14ac:dyDescent="0.25">
      <c r="B1071" s="72"/>
      <c r="C1071" s="73"/>
      <c r="D1071" s="74"/>
      <c r="E1071" s="75"/>
    </row>
    <row r="1072" spans="2:9" ht="13.5" thickBot="1" x14ac:dyDescent="0.25"/>
    <row r="1073" spans="2:9" x14ac:dyDescent="0.2">
      <c r="B1073" s="45" t="s">
        <v>306</v>
      </c>
      <c r="C1073" s="46"/>
      <c r="D1073" s="47"/>
      <c r="E1073" s="48"/>
    </row>
    <row r="1074" spans="2:9" x14ac:dyDescent="0.2">
      <c r="B1074" s="49"/>
      <c r="E1074" s="50"/>
    </row>
    <row r="1075" spans="2:9" x14ac:dyDescent="0.2">
      <c r="B1075" s="51" t="s">
        <v>199</v>
      </c>
      <c r="E1075" s="50"/>
    </row>
    <row r="1076" spans="2:9" x14ac:dyDescent="0.2">
      <c r="B1076" s="51"/>
      <c r="C1076" s="52"/>
      <c r="D1076" s="52"/>
      <c r="E1076" s="52"/>
    </row>
    <row r="1077" spans="2:9" ht="13.5" thickBot="1" x14ac:dyDescent="0.25">
      <c r="B1077" s="51" t="s">
        <v>200</v>
      </c>
      <c r="E1077" s="50"/>
    </row>
    <row r="1078" spans="2:9" ht="13.5" thickBot="1" x14ac:dyDescent="0.25">
      <c r="B1078" s="53" t="s">
        <v>201</v>
      </c>
      <c r="C1078" s="54"/>
      <c r="D1078" s="54"/>
      <c r="E1078" s="55"/>
    </row>
    <row r="1079" spans="2:9" ht="13.5" thickBot="1" x14ac:dyDescent="0.25">
      <c r="B1079" s="53" t="s">
        <v>202</v>
      </c>
      <c r="C1079" s="55"/>
      <c r="D1079" s="56" t="s">
        <v>14</v>
      </c>
      <c r="E1079" s="56" t="s">
        <v>203</v>
      </c>
    </row>
    <row r="1080" spans="2:9" x14ac:dyDescent="0.2">
      <c r="B1080" s="58" t="s">
        <v>204</v>
      </c>
      <c r="C1080" s="58"/>
      <c r="D1080" s="59">
        <v>0</v>
      </c>
      <c r="E1080" s="60" t="s">
        <v>205</v>
      </c>
    </row>
    <row r="1081" spans="2:9" x14ac:dyDescent="0.2">
      <c r="B1081" s="61" t="s">
        <v>206</v>
      </c>
      <c r="C1081" s="61"/>
      <c r="D1081" s="62">
        <v>0</v>
      </c>
      <c r="E1081" s="63" t="s">
        <v>207</v>
      </c>
    </row>
    <row r="1082" spans="2:9" x14ac:dyDescent="0.2">
      <c r="B1082" s="61" t="s">
        <v>208</v>
      </c>
      <c r="C1082" s="61"/>
      <c r="D1082" s="62">
        <v>0</v>
      </c>
      <c r="E1082" s="63" t="s">
        <v>209</v>
      </c>
    </row>
    <row r="1083" spans="2:9" x14ac:dyDescent="0.2">
      <c r="B1083" s="58" t="s">
        <v>210</v>
      </c>
      <c r="C1083" s="58"/>
      <c r="D1083" s="62">
        <v>0</v>
      </c>
      <c r="E1083" s="63" t="s">
        <v>211</v>
      </c>
    </row>
    <row r="1084" spans="2:9" x14ac:dyDescent="0.2">
      <c r="B1084" s="64" t="s">
        <v>212</v>
      </c>
      <c r="C1084" s="65"/>
      <c r="D1084" s="62">
        <v>0</v>
      </c>
      <c r="E1084" s="63" t="s">
        <v>213</v>
      </c>
    </row>
    <row r="1085" spans="2:9" x14ac:dyDescent="0.2">
      <c r="B1085" s="64" t="s">
        <v>214</v>
      </c>
      <c r="C1085" s="65"/>
      <c r="D1085" s="62">
        <v>4</v>
      </c>
      <c r="E1085" s="63" t="s">
        <v>215</v>
      </c>
    </row>
    <row r="1086" spans="2:9" x14ac:dyDescent="0.2">
      <c r="B1086" s="64" t="s">
        <v>216</v>
      </c>
      <c r="C1086" s="65"/>
      <c r="D1086" s="62">
        <v>0</v>
      </c>
      <c r="E1086" s="63" t="s">
        <v>217</v>
      </c>
      <c r="I1086" s="57"/>
    </row>
    <row r="1087" spans="2:9" x14ac:dyDescent="0.2">
      <c r="B1087" s="80" t="s">
        <v>218</v>
      </c>
      <c r="C1087" s="81"/>
      <c r="D1087" s="62">
        <v>0</v>
      </c>
      <c r="E1087" s="63" t="s">
        <v>219</v>
      </c>
      <c r="I1087" s="57"/>
    </row>
    <row r="1088" spans="2:9" ht="13.5" thickBot="1" x14ac:dyDescent="0.25">
      <c r="B1088" s="64" t="s">
        <v>220</v>
      </c>
      <c r="C1088" s="65"/>
      <c r="D1088" s="62">
        <v>0</v>
      </c>
      <c r="E1088" s="63" t="s">
        <v>221</v>
      </c>
      <c r="I1088" s="57"/>
    </row>
    <row r="1089" spans="2:5" ht="13.5" customHeight="1" thickBot="1" x14ac:dyDescent="0.25">
      <c r="B1089" s="66" t="s">
        <v>307</v>
      </c>
      <c r="C1089" s="67"/>
      <c r="D1089" s="67"/>
      <c r="E1089" s="68"/>
    </row>
    <row r="1090" spans="2:5" x14ac:dyDescent="0.2">
      <c r="B1090" s="51" t="s">
        <v>223</v>
      </c>
      <c r="E1090" s="50"/>
    </row>
    <row r="1091" spans="2:5" x14ac:dyDescent="0.2">
      <c r="B1091" s="69"/>
      <c r="C1091" s="52" t="s">
        <v>224</v>
      </c>
      <c r="D1091" s="52"/>
      <c r="E1091" s="52"/>
    </row>
    <row r="1092" spans="2:5" x14ac:dyDescent="0.2">
      <c r="B1092" s="51" t="s">
        <v>225</v>
      </c>
      <c r="C1092" s="9"/>
      <c r="D1092" s="9"/>
      <c r="E1092" s="70"/>
    </row>
    <row r="1093" spans="2:5" x14ac:dyDescent="0.2">
      <c r="B1093" s="69"/>
      <c r="C1093" s="52" t="s">
        <v>226</v>
      </c>
      <c r="D1093" s="52"/>
      <c r="E1093" s="52"/>
    </row>
    <row r="1094" spans="2:5" x14ac:dyDescent="0.2">
      <c r="B1094" s="51" t="s">
        <v>227</v>
      </c>
      <c r="E1094" s="50"/>
    </row>
    <row r="1095" spans="2:5" x14ac:dyDescent="0.2">
      <c r="B1095" s="51"/>
      <c r="C1095" s="71" t="s">
        <v>228</v>
      </c>
      <c r="D1095" s="71"/>
      <c r="E1095" s="71"/>
    </row>
    <row r="1096" spans="2:5" ht="13.5" thickBot="1" x14ac:dyDescent="0.25">
      <c r="B1096" s="72"/>
      <c r="C1096" s="73"/>
      <c r="D1096" s="74"/>
      <c r="E1096" s="75"/>
    </row>
    <row r="1097" spans="2:5" ht="13.5" thickBot="1" x14ac:dyDescent="0.25"/>
    <row r="1098" spans="2:5" x14ac:dyDescent="0.2">
      <c r="B1098" s="45" t="s">
        <v>308</v>
      </c>
      <c r="C1098" s="46"/>
      <c r="D1098" s="47"/>
      <c r="E1098" s="48"/>
    </row>
    <row r="1099" spans="2:5" x14ac:dyDescent="0.2">
      <c r="B1099" s="49"/>
      <c r="E1099" s="50"/>
    </row>
    <row r="1100" spans="2:5" x14ac:dyDescent="0.2">
      <c r="B1100" s="51" t="s">
        <v>199</v>
      </c>
      <c r="E1100" s="50"/>
    </row>
    <row r="1101" spans="2:5" x14ac:dyDescent="0.2">
      <c r="B1101" s="51"/>
      <c r="C1101" s="52"/>
      <c r="D1101" s="52"/>
      <c r="E1101" s="52"/>
    </row>
    <row r="1102" spans="2:5" ht="13.5" thickBot="1" x14ac:dyDescent="0.25">
      <c r="B1102" s="51" t="s">
        <v>200</v>
      </c>
      <c r="E1102" s="50"/>
    </row>
    <row r="1103" spans="2:5" ht="13.5" thickBot="1" x14ac:dyDescent="0.25">
      <c r="B1103" s="53" t="s">
        <v>201</v>
      </c>
      <c r="C1103" s="54"/>
      <c r="D1103" s="54"/>
      <c r="E1103" s="55"/>
    </row>
    <row r="1104" spans="2:5" ht="13.5" thickBot="1" x14ac:dyDescent="0.25">
      <c r="B1104" s="53" t="s">
        <v>202</v>
      </c>
      <c r="C1104" s="55"/>
      <c r="D1104" s="56" t="s">
        <v>14</v>
      </c>
      <c r="E1104" s="56" t="s">
        <v>203</v>
      </c>
    </row>
    <row r="1105" spans="2:9" x14ac:dyDescent="0.2">
      <c r="B1105" s="58" t="s">
        <v>204</v>
      </c>
      <c r="C1105" s="58"/>
      <c r="D1105" s="59">
        <v>20</v>
      </c>
      <c r="E1105" s="60" t="s">
        <v>205</v>
      </c>
    </row>
    <row r="1106" spans="2:9" x14ac:dyDescent="0.2">
      <c r="B1106" s="61" t="s">
        <v>206</v>
      </c>
      <c r="C1106" s="61"/>
      <c r="D1106" s="62">
        <v>0</v>
      </c>
      <c r="E1106" s="63" t="s">
        <v>207</v>
      </c>
    </row>
    <row r="1107" spans="2:9" x14ac:dyDescent="0.2">
      <c r="B1107" s="61" t="s">
        <v>208</v>
      </c>
      <c r="C1107" s="61"/>
      <c r="D1107" s="62">
        <v>0</v>
      </c>
      <c r="E1107" s="63" t="s">
        <v>209</v>
      </c>
    </row>
    <row r="1108" spans="2:9" x14ac:dyDescent="0.2">
      <c r="B1108" s="58" t="s">
        <v>210</v>
      </c>
      <c r="C1108" s="58"/>
      <c r="D1108" s="62">
        <v>0</v>
      </c>
      <c r="E1108" s="63" t="s">
        <v>211</v>
      </c>
    </row>
    <row r="1109" spans="2:9" x14ac:dyDescent="0.2">
      <c r="B1109" s="64" t="s">
        <v>212</v>
      </c>
      <c r="C1109" s="65"/>
      <c r="D1109" s="62">
        <v>0</v>
      </c>
      <c r="E1109" s="63" t="s">
        <v>213</v>
      </c>
    </row>
    <row r="1110" spans="2:9" x14ac:dyDescent="0.2">
      <c r="B1110" s="64" t="s">
        <v>214</v>
      </c>
      <c r="C1110" s="65"/>
      <c r="D1110" s="62">
        <v>0</v>
      </c>
      <c r="E1110" s="63" t="s">
        <v>215</v>
      </c>
    </row>
    <row r="1111" spans="2:9" x14ac:dyDescent="0.2">
      <c r="B1111" s="64" t="s">
        <v>216</v>
      </c>
      <c r="C1111" s="65"/>
      <c r="D1111" s="62">
        <v>0</v>
      </c>
      <c r="E1111" s="63" t="s">
        <v>217</v>
      </c>
      <c r="I1111" s="57"/>
    </row>
    <row r="1112" spans="2:9" x14ac:dyDescent="0.2">
      <c r="B1112" s="80" t="s">
        <v>218</v>
      </c>
      <c r="C1112" s="81"/>
      <c r="D1112" s="62">
        <v>0</v>
      </c>
      <c r="E1112" s="63" t="s">
        <v>219</v>
      </c>
      <c r="I1112" s="57"/>
    </row>
    <row r="1113" spans="2:9" ht="13.5" thickBot="1" x14ac:dyDescent="0.25">
      <c r="B1113" s="64" t="s">
        <v>220</v>
      </c>
      <c r="C1113" s="65"/>
      <c r="D1113" s="62">
        <v>0</v>
      </c>
      <c r="E1113" s="63" t="s">
        <v>221</v>
      </c>
      <c r="I1113" s="57"/>
    </row>
    <row r="1114" spans="2:9" ht="13.5" customHeight="1" thickBot="1" x14ac:dyDescent="0.25">
      <c r="B1114" s="66" t="s">
        <v>236</v>
      </c>
      <c r="C1114" s="67"/>
      <c r="D1114" s="67"/>
      <c r="E1114" s="68"/>
    </row>
    <row r="1115" spans="2:9" x14ac:dyDescent="0.2">
      <c r="B1115" s="51" t="s">
        <v>223</v>
      </c>
      <c r="E1115" s="50"/>
    </row>
    <row r="1116" spans="2:9" x14ac:dyDescent="0.2">
      <c r="B1116" s="69"/>
      <c r="C1116" s="52" t="s">
        <v>224</v>
      </c>
      <c r="D1116" s="52"/>
      <c r="E1116" s="52"/>
    </row>
    <row r="1117" spans="2:9" x14ac:dyDescent="0.2">
      <c r="B1117" s="51" t="s">
        <v>225</v>
      </c>
      <c r="C1117" s="9"/>
      <c r="D1117" s="9"/>
      <c r="E1117" s="70"/>
    </row>
    <row r="1118" spans="2:9" x14ac:dyDescent="0.2">
      <c r="B1118" s="69"/>
      <c r="C1118" s="52" t="s">
        <v>226</v>
      </c>
      <c r="D1118" s="52"/>
      <c r="E1118" s="52"/>
    </row>
    <row r="1119" spans="2:9" x14ac:dyDescent="0.2">
      <c r="B1119" s="51" t="s">
        <v>227</v>
      </c>
      <c r="E1119" s="50"/>
    </row>
    <row r="1120" spans="2:9" x14ac:dyDescent="0.2">
      <c r="B1120" s="51"/>
      <c r="C1120" s="71" t="s">
        <v>228</v>
      </c>
      <c r="D1120" s="71"/>
      <c r="E1120" s="71"/>
    </row>
    <row r="1121" spans="2:9" ht="13.5" thickBot="1" x14ac:dyDescent="0.25">
      <c r="B1121" s="72"/>
      <c r="C1121" s="73"/>
      <c r="D1121" s="74"/>
      <c r="E1121" s="75"/>
    </row>
    <row r="1122" spans="2:9" ht="13.5" thickBot="1" x14ac:dyDescent="0.25"/>
    <row r="1123" spans="2:9" x14ac:dyDescent="0.2">
      <c r="B1123" s="45" t="s">
        <v>309</v>
      </c>
      <c r="C1123" s="46"/>
      <c r="D1123" s="47"/>
      <c r="E1123" s="48"/>
    </row>
    <row r="1124" spans="2:9" x14ac:dyDescent="0.2">
      <c r="B1124" s="49"/>
      <c r="E1124" s="50"/>
    </row>
    <row r="1125" spans="2:9" x14ac:dyDescent="0.2">
      <c r="B1125" s="51" t="s">
        <v>199</v>
      </c>
      <c r="E1125" s="50"/>
    </row>
    <row r="1126" spans="2:9" x14ac:dyDescent="0.2">
      <c r="B1126" s="51"/>
      <c r="C1126" s="52"/>
      <c r="D1126" s="52"/>
      <c r="E1126" s="52"/>
    </row>
    <row r="1127" spans="2:9" ht="13.5" thickBot="1" x14ac:dyDescent="0.25">
      <c r="B1127" s="51" t="s">
        <v>200</v>
      </c>
      <c r="E1127" s="50"/>
    </row>
    <row r="1128" spans="2:9" ht="13.5" thickBot="1" x14ac:dyDescent="0.25">
      <c r="B1128" s="53" t="s">
        <v>201</v>
      </c>
      <c r="C1128" s="54"/>
      <c r="D1128" s="54"/>
      <c r="E1128" s="55"/>
    </row>
    <row r="1129" spans="2:9" ht="13.5" thickBot="1" x14ac:dyDescent="0.25">
      <c r="B1129" s="53" t="s">
        <v>202</v>
      </c>
      <c r="C1129" s="55"/>
      <c r="D1129" s="56" t="s">
        <v>14</v>
      </c>
      <c r="E1129" s="56" t="s">
        <v>203</v>
      </c>
    </row>
    <row r="1130" spans="2:9" x14ac:dyDescent="0.2">
      <c r="B1130" s="58" t="s">
        <v>204</v>
      </c>
      <c r="C1130" s="58"/>
      <c r="D1130" s="59">
        <v>0</v>
      </c>
      <c r="E1130" s="60" t="s">
        <v>205</v>
      </c>
    </row>
    <row r="1131" spans="2:9" x14ac:dyDescent="0.2">
      <c r="B1131" s="61" t="s">
        <v>206</v>
      </c>
      <c r="C1131" s="61"/>
      <c r="D1131" s="62">
        <v>15</v>
      </c>
      <c r="E1131" s="63" t="s">
        <v>207</v>
      </c>
    </row>
    <row r="1132" spans="2:9" x14ac:dyDescent="0.2">
      <c r="B1132" s="61" t="s">
        <v>208</v>
      </c>
      <c r="C1132" s="61"/>
      <c r="D1132" s="62">
        <v>0</v>
      </c>
      <c r="E1132" s="63" t="s">
        <v>209</v>
      </c>
    </row>
    <row r="1133" spans="2:9" x14ac:dyDescent="0.2">
      <c r="B1133" s="58" t="s">
        <v>210</v>
      </c>
      <c r="C1133" s="58"/>
      <c r="D1133" s="62">
        <v>0</v>
      </c>
      <c r="E1133" s="63" t="s">
        <v>211</v>
      </c>
    </row>
    <row r="1134" spans="2:9" x14ac:dyDescent="0.2">
      <c r="B1134" s="64" t="s">
        <v>212</v>
      </c>
      <c r="C1134" s="65"/>
      <c r="D1134" s="62">
        <v>0</v>
      </c>
      <c r="E1134" s="63" t="s">
        <v>213</v>
      </c>
    </row>
    <row r="1135" spans="2:9" x14ac:dyDescent="0.2">
      <c r="B1135" s="64" t="s">
        <v>214</v>
      </c>
      <c r="C1135" s="65"/>
      <c r="D1135" s="62">
        <v>0</v>
      </c>
      <c r="E1135" s="63" t="s">
        <v>215</v>
      </c>
    </row>
    <row r="1136" spans="2:9" x14ac:dyDescent="0.2">
      <c r="B1136" s="64" t="s">
        <v>216</v>
      </c>
      <c r="C1136" s="65"/>
      <c r="D1136" s="62">
        <v>0</v>
      </c>
      <c r="E1136" s="63" t="s">
        <v>217</v>
      </c>
      <c r="I1136" s="57"/>
    </row>
    <row r="1137" spans="2:9" x14ac:dyDescent="0.2">
      <c r="B1137" s="80" t="s">
        <v>218</v>
      </c>
      <c r="C1137" s="81"/>
      <c r="D1137" s="62">
        <v>0</v>
      </c>
      <c r="E1137" s="63" t="s">
        <v>219</v>
      </c>
      <c r="I1137" s="57"/>
    </row>
    <row r="1138" spans="2:9" ht="13.5" thickBot="1" x14ac:dyDescent="0.25">
      <c r="B1138" s="64" t="s">
        <v>220</v>
      </c>
      <c r="C1138" s="65"/>
      <c r="D1138" s="62">
        <v>0</v>
      </c>
      <c r="E1138" s="63" t="s">
        <v>221</v>
      </c>
      <c r="I1138" s="57"/>
    </row>
    <row r="1139" spans="2:9" ht="13.5" customHeight="1" thickBot="1" x14ac:dyDescent="0.25">
      <c r="B1139" s="66" t="s">
        <v>310</v>
      </c>
      <c r="C1139" s="67"/>
      <c r="D1139" s="67"/>
      <c r="E1139" s="68"/>
    </row>
    <row r="1140" spans="2:9" x14ac:dyDescent="0.2">
      <c r="B1140" s="51" t="s">
        <v>223</v>
      </c>
      <c r="E1140" s="50"/>
    </row>
    <row r="1141" spans="2:9" x14ac:dyDescent="0.2">
      <c r="B1141" s="69"/>
      <c r="C1141" s="52" t="s">
        <v>224</v>
      </c>
      <c r="D1141" s="52"/>
      <c r="E1141" s="52"/>
    </row>
    <row r="1142" spans="2:9" x14ac:dyDescent="0.2">
      <c r="B1142" s="51" t="s">
        <v>225</v>
      </c>
      <c r="C1142" s="9"/>
      <c r="D1142" s="9"/>
      <c r="E1142" s="70"/>
    </row>
    <row r="1143" spans="2:9" x14ac:dyDescent="0.2">
      <c r="B1143" s="69"/>
      <c r="C1143" s="52" t="s">
        <v>226</v>
      </c>
      <c r="D1143" s="52"/>
      <c r="E1143" s="52"/>
    </row>
    <row r="1144" spans="2:9" x14ac:dyDescent="0.2">
      <c r="B1144" s="51" t="s">
        <v>227</v>
      </c>
      <c r="E1144" s="50"/>
    </row>
    <row r="1145" spans="2:9" x14ac:dyDescent="0.2">
      <c r="B1145" s="51"/>
      <c r="C1145" s="71" t="s">
        <v>228</v>
      </c>
      <c r="D1145" s="71"/>
      <c r="E1145" s="71"/>
    </row>
    <row r="1146" spans="2:9" ht="13.5" thickBot="1" x14ac:dyDescent="0.25">
      <c r="B1146" s="72"/>
      <c r="C1146" s="73"/>
      <c r="D1146" s="74"/>
      <c r="E1146" s="75"/>
    </row>
    <row r="1147" spans="2:9" ht="13.5" thickBot="1" x14ac:dyDescent="0.25"/>
    <row r="1148" spans="2:9" x14ac:dyDescent="0.2">
      <c r="B1148" s="45" t="s">
        <v>311</v>
      </c>
      <c r="C1148" s="46"/>
      <c r="D1148" s="47"/>
      <c r="E1148" s="48"/>
    </row>
    <row r="1149" spans="2:9" x14ac:dyDescent="0.2">
      <c r="B1149" s="49"/>
      <c r="E1149" s="50"/>
    </row>
    <row r="1150" spans="2:9" x14ac:dyDescent="0.2">
      <c r="B1150" s="51" t="s">
        <v>199</v>
      </c>
      <c r="E1150" s="50"/>
    </row>
    <row r="1151" spans="2:9" x14ac:dyDescent="0.2">
      <c r="B1151" s="51"/>
      <c r="C1151" s="52"/>
      <c r="D1151" s="52"/>
      <c r="E1151" s="52"/>
    </row>
    <row r="1152" spans="2:9" ht="13.5" thickBot="1" x14ac:dyDescent="0.25">
      <c r="B1152" s="51" t="s">
        <v>200</v>
      </c>
      <c r="E1152" s="50"/>
    </row>
    <row r="1153" spans="2:9" ht="13.5" thickBot="1" x14ac:dyDescent="0.25">
      <c r="B1153" s="53" t="s">
        <v>201</v>
      </c>
      <c r="C1153" s="54"/>
      <c r="D1153" s="54"/>
      <c r="E1153" s="55"/>
    </row>
    <row r="1154" spans="2:9" ht="13.5" thickBot="1" x14ac:dyDescent="0.25">
      <c r="B1154" s="53" t="s">
        <v>202</v>
      </c>
      <c r="C1154" s="55"/>
      <c r="D1154" s="56" t="s">
        <v>14</v>
      </c>
      <c r="E1154" s="56" t="s">
        <v>203</v>
      </c>
    </row>
    <row r="1155" spans="2:9" x14ac:dyDescent="0.2">
      <c r="B1155" s="58" t="s">
        <v>204</v>
      </c>
      <c r="C1155" s="58"/>
      <c r="D1155" s="59">
        <v>0</v>
      </c>
      <c r="E1155" s="60" t="s">
        <v>205</v>
      </c>
    </row>
    <row r="1156" spans="2:9" x14ac:dyDescent="0.2">
      <c r="B1156" s="61" t="s">
        <v>206</v>
      </c>
      <c r="C1156" s="61"/>
      <c r="D1156" s="62">
        <v>46</v>
      </c>
      <c r="E1156" s="63" t="s">
        <v>207</v>
      </c>
    </row>
    <row r="1157" spans="2:9" x14ac:dyDescent="0.2">
      <c r="B1157" s="61" t="s">
        <v>208</v>
      </c>
      <c r="C1157" s="61"/>
      <c r="D1157" s="62">
        <v>0</v>
      </c>
      <c r="E1157" s="63" t="s">
        <v>209</v>
      </c>
    </row>
    <row r="1158" spans="2:9" x14ac:dyDescent="0.2">
      <c r="B1158" s="58" t="s">
        <v>210</v>
      </c>
      <c r="C1158" s="58"/>
      <c r="D1158" s="62">
        <v>0</v>
      </c>
      <c r="E1158" s="63" t="s">
        <v>211</v>
      </c>
    </row>
    <row r="1159" spans="2:9" x14ac:dyDescent="0.2">
      <c r="B1159" s="64" t="s">
        <v>212</v>
      </c>
      <c r="C1159" s="65"/>
      <c r="D1159" s="62">
        <v>0</v>
      </c>
      <c r="E1159" s="63" t="s">
        <v>213</v>
      </c>
    </row>
    <row r="1160" spans="2:9" x14ac:dyDescent="0.2">
      <c r="B1160" s="64" t="s">
        <v>214</v>
      </c>
      <c r="C1160" s="65"/>
      <c r="D1160" s="62">
        <v>0</v>
      </c>
      <c r="E1160" s="63" t="s">
        <v>215</v>
      </c>
    </row>
    <row r="1161" spans="2:9" x14ac:dyDescent="0.2">
      <c r="B1161" s="64" t="s">
        <v>216</v>
      </c>
      <c r="C1161" s="65"/>
      <c r="D1161" s="62">
        <v>0</v>
      </c>
      <c r="E1161" s="63" t="s">
        <v>217</v>
      </c>
      <c r="I1161" s="57"/>
    </row>
    <row r="1162" spans="2:9" x14ac:dyDescent="0.2">
      <c r="B1162" s="80" t="s">
        <v>218</v>
      </c>
      <c r="C1162" s="81"/>
      <c r="D1162" s="62">
        <v>0</v>
      </c>
      <c r="E1162" s="63" t="s">
        <v>219</v>
      </c>
      <c r="I1162" s="57"/>
    </row>
    <row r="1163" spans="2:9" ht="13.5" thickBot="1" x14ac:dyDescent="0.25">
      <c r="B1163" s="64" t="s">
        <v>220</v>
      </c>
      <c r="C1163" s="65"/>
      <c r="D1163" s="62">
        <v>0</v>
      </c>
      <c r="E1163" s="63" t="s">
        <v>221</v>
      </c>
      <c r="I1163" s="57"/>
    </row>
    <row r="1164" spans="2:9" ht="13.5" customHeight="1" thickBot="1" x14ac:dyDescent="0.25">
      <c r="B1164" s="66" t="s">
        <v>312</v>
      </c>
      <c r="C1164" s="67"/>
      <c r="D1164" s="67"/>
      <c r="E1164" s="68"/>
    </row>
    <row r="1165" spans="2:9" x14ac:dyDescent="0.2">
      <c r="B1165" s="51" t="s">
        <v>223</v>
      </c>
      <c r="E1165" s="50"/>
    </row>
    <row r="1166" spans="2:9" x14ac:dyDescent="0.2">
      <c r="B1166" s="69"/>
      <c r="C1166" s="52" t="s">
        <v>224</v>
      </c>
      <c r="D1166" s="52"/>
      <c r="E1166" s="52"/>
    </row>
    <row r="1167" spans="2:9" x14ac:dyDescent="0.2">
      <c r="B1167" s="51" t="s">
        <v>225</v>
      </c>
      <c r="C1167" s="9"/>
      <c r="D1167" s="9"/>
      <c r="E1167" s="70"/>
    </row>
    <row r="1168" spans="2:9" x14ac:dyDescent="0.2">
      <c r="B1168" s="69"/>
      <c r="C1168" s="52" t="s">
        <v>226</v>
      </c>
      <c r="D1168" s="52"/>
      <c r="E1168" s="52"/>
    </row>
    <row r="1169" spans="2:5" x14ac:dyDescent="0.2">
      <c r="B1169" s="51" t="s">
        <v>227</v>
      </c>
      <c r="E1169" s="50"/>
    </row>
    <row r="1170" spans="2:5" x14ac:dyDescent="0.2">
      <c r="B1170" s="51"/>
      <c r="C1170" s="71" t="s">
        <v>228</v>
      </c>
      <c r="D1170" s="71"/>
      <c r="E1170" s="71"/>
    </row>
    <row r="1171" spans="2:5" ht="13.5" thickBot="1" x14ac:dyDescent="0.25">
      <c r="B1171" s="72"/>
      <c r="C1171" s="73"/>
      <c r="D1171" s="74"/>
      <c r="E1171" s="75"/>
    </row>
    <row r="1172" spans="2:5" ht="13.5" thickBot="1" x14ac:dyDescent="0.25"/>
    <row r="1173" spans="2:5" x14ac:dyDescent="0.2">
      <c r="B1173" s="45" t="s">
        <v>313</v>
      </c>
      <c r="C1173" s="46"/>
      <c r="D1173" s="47"/>
      <c r="E1173" s="48"/>
    </row>
    <row r="1174" spans="2:5" x14ac:dyDescent="0.2">
      <c r="B1174" s="49"/>
      <c r="E1174" s="50"/>
    </row>
    <row r="1175" spans="2:5" x14ac:dyDescent="0.2">
      <c r="B1175" s="51" t="s">
        <v>199</v>
      </c>
      <c r="E1175" s="50"/>
    </row>
    <row r="1176" spans="2:5" x14ac:dyDescent="0.2">
      <c r="B1176" s="51"/>
      <c r="C1176" s="52"/>
      <c r="D1176" s="52"/>
      <c r="E1176" s="52"/>
    </row>
    <row r="1177" spans="2:5" ht="13.5" thickBot="1" x14ac:dyDescent="0.25">
      <c r="B1177" s="51" t="s">
        <v>200</v>
      </c>
      <c r="E1177" s="50"/>
    </row>
    <row r="1178" spans="2:5" ht="13.5" thickBot="1" x14ac:dyDescent="0.25">
      <c r="B1178" s="53" t="s">
        <v>201</v>
      </c>
      <c r="C1178" s="54"/>
      <c r="D1178" s="54"/>
      <c r="E1178" s="55"/>
    </row>
    <row r="1179" spans="2:5" ht="13.5" thickBot="1" x14ac:dyDescent="0.25">
      <c r="B1179" s="53" t="s">
        <v>202</v>
      </c>
      <c r="C1179" s="55"/>
      <c r="D1179" s="56" t="s">
        <v>14</v>
      </c>
      <c r="E1179" s="56" t="s">
        <v>203</v>
      </c>
    </row>
    <row r="1180" spans="2:5" x14ac:dyDescent="0.2">
      <c r="B1180" s="58" t="s">
        <v>204</v>
      </c>
      <c r="C1180" s="58"/>
      <c r="D1180" s="59">
        <v>0</v>
      </c>
      <c r="E1180" s="60" t="s">
        <v>205</v>
      </c>
    </row>
    <row r="1181" spans="2:5" x14ac:dyDescent="0.2">
      <c r="B1181" s="61" t="s">
        <v>206</v>
      </c>
      <c r="C1181" s="61"/>
      <c r="D1181" s="62">
        <v>0</v>
      </c>
      <c r="E1181" s="63" t="s">
        <v>207</v>
      </c>
    </row>
    <row r="1182" spans="2:5" x14ac:dyDescent="0.2">
      <c r="B1182" s="61" t="s">
        <v>208</v>
      </c>
      <c r="C1182" s="61"/>
      <c r="D1182" s="62">
        <v>0</v>
      </c>
      <c r="E1182" s="63" t="s">
        <v>209</v>
      </c>
    </row>
    <row r="1183" spans="2:5" x14ac:dyDescent="0.2">
      <c r="B1183" s="58" t="s">
        <v>210</v>
      </c>
      <c r="C1183" s="58"/>
      <c r="D1183" s="62">
        <v>18</v>
      </c>
      <c r="E1183" s="63" t="s">
        <v>211</v>
      </c>
    </row>
    <row r="1184" spans="2:5" x14ac:dyDescent="0.2">
      <c r="B1184" s="64" t="s">
        <v>212</v>
      </c>
      <c r="C1184" s="65"/>
      <c r="D1184" s="62">
        <v>0</v>
      </c>
      <c r="E1184" s="63" t="s">
        <v>213</v>
      </c>
    </row>
    <row r="1185" spans="2:9" x14ac:dyDescent="0.2">
      <c r="B1185" s="64" t="s">
        <v>214</v>
      </c>
      <c r="C1185" s="65"/>
      <c r="D1185" s="62">
        <v>0</v>
      </c>
      <c r="E1185" s="63" t="s">
        <v>215</v>
      </c>
    </row>
    <row r="1186" spans="2:9" x14ac:dyDescent="0.2">
      <c r="B1186" s="64" t="s">
        <v>216</v>
      </c>
      <c r="C1186" s="65"/>
      <c r="D1186" s="62">
        <v>0</v>
      </c>
      <c r="E1186" s="63" t="s">
        <v>217</v>
      </c>
      <c r="I1186" s="57"/>
    </row>
    <row r="1187" spans="2:9" x14ac:dyDescent="0.2">
      <c r="B1187" s="80" t="s">
        <v>218</v>
      </c>
      <c r="C1187" s="81"/>
      <c r="D1187" s="62">
        <v>0</v>
      </c>
      <c r="E1187" s="63" t="s">
        <v>219</v>
      </c>
      <c r="I1187" s="57"/>
    </row>
    <row r="1188" spans="2:9" ht="13.5" thickBot="1" x14ac:dyDescent="0.25">
      <c r="B1188" s="64" t="s">
        <v>220</v>
      </c>
      <c r="C1188" s="65"/>
      <c r="D1188" s="62">
        <v>0</v>
      </c>
      <c r="E1188" s="63" t="s">
        <v>221</v>
      </c>
      <c r="I1188" s="57"/>
    </row>
    <row r="1189" spans="2:9" ht="13.5" customHeight="1" thickBot="1" x14ac:dyDescent="0.25">
      <c r="B1189" s="66" t="s">
        <v>314</v>
      </c>
      <c r="C1189" s="67"/>
      <c r="D1189" s="67"/>
      <c r="E1189" s="68"/>
    </row>
    <row r="1190" spans="2:9" x14ac:dyDescent="0.2">
      <c r="B1190" s="51" t="s">
        <v>223</v>
      </c>
      <c r="E1190" s="50"/>
    </row>
    <row r="1191" spans="2:9" x14ac:dyDescent="0.2">
      <c r="B1191" s="69"/>
      <c r="C1191" s="52" t="s">
        <v>224</v>
      </c>
      <c r="D1191" s="52"/>
      <c r="E1191" s="52"/>
    </row>
    <row r="1192" spans="2:9" x14ac:dyDescent="0.2">
      <c r="B1192" s="51" t="s">
        <v>225</v>
      </c>
      <c r="C1192" s="9"/>
      <c r="D1192" s="9"/>
      <c r="E1192" s="70"/>
    </row>
    <row r="1193" spans="2:9" x14ac:dyDescent="0.2">
      <c r="B1193" s="69"/>
      <c r="C1193" s="52" t="s">
        <v>226</v>
      </c>
      <c r="D1193" s="52"/>
      <c r="E1193" s="52"/>
    </row>
    <row r="1194" spans="2:9" x14ac:dyDescent="0.2">
      <c r="B1194" s="51" t="s">
        <v>227</v>
      </c>
      <c r="E1194" s="50"/>
    </row>
    <row r="1195" spans="2:9" x14ac:dyDescent="0.2">
      <c r="B1195" s="51"/>
      <c r="C1195" s="71" t="s">
        <v>228</v>
      </c>
      <c r="D1195" s="71"/>
      <c r="E1195" s="71"/>
    </row>
    <row r="1196" spans="2:9" ht="13.5" thickBot="1" x14ac:dyDescent="0.25">
      <c r="B1196" s="72"/>
      <c r="C1196" s="73"/>
      <c r="D1196" s="74"/>
      <c r="E1196" s="75"/>
    </row>
    <row r="1197" spans="2:9" ht="13.5" thickBot="1" x14ac:dyDescent="0.25"/>
    <row r="1198" spans="2:9" x14ac:dyDescent="0.2">
      <c r="B1198" s="45" t="s">
        <v>315</v>
      </c>
      <c r="C1198" s="46"/>
      <c r="D1198" s="47"/>
      <c r="E1198" s="48"/>
    </row>
    <row r="1199" spans="2:9" x14ac:dyDescent="0.2">
      <c r="B1199" s="49"/>
      <c r="E1199" s="50"/>
    </row>
    <row r="1200" spans="2:9" x14ac:dyDescent="0.2">
      <c r="B1200" s="51" t="s">
        <v>199</v>
      </c>
      <c r="E1200" s="50"/>
    </row>
    <row r="1201" spans="2:9" x14ac:dyDescent="0.2">
      <c r="B1201" s="51"/>
      <c r="C1201" s="52"/>
      <c r="D1201" s="52"/>
      <c r="E1201" s="52"/>
    </row>
    <row r="1202" spans="2:9" ht="13.5" thickBot="1" x14ac:dyDescent="0.25">
      <c r="B1202" s="51" t="s">
        <v>200</v>
      </c>
      <c r="E1202" s="50"/>
    </row>
    <row r="1203" spans="2:9" ht="13.5" thickBot="1" x14ac:dyDescent="0.25">
      <c r="B1203" s="53" t="s">
        <v>201</v>
      </c>
      <c r="C1203" s="54"/>
      <c r="D1203" s="54"/>
      <c r="E1203" s="55"/>
    </row>
    <row r="1204" spans="2:9" ht="13.5" thickBot="1" x14ac:dyDescent="0.25">
      <c r="B1204" s="53" t="s">
        <v>202</v>
      </c>
      <c r="C1204" s="55"/>
      <c r="D1204" s="56" t="s">
        <v>14</v>
      </c>
      <c r="E1204" s="56" t="s">
        <v>203</v>
      </c>
    </row>
    <row r="1205" spans="2:9" x14ac:dyDescent="0.2">
      <c r="B1205" s="58" t="s">
        <v>204</v>
      </c>
      <c r="C1205" s="58"/>
      <c r="D1205" s="59">
        <v>12</v>
      </c>
      <c r="E1205" s="60" t="s">
        <v>205</v>
      </c>
    </row>
    <row r="1206" spans="2:9" x14ac:dyDescent="0.2">
      <c r="B1206" s="61" t="s">
        <v>206</v>
      </c>
      <c r="C1206" s="61"/>
      <c r="D1206" s="62">
        <v>15</v>
      </c>
      <c r="E1206" s="63" t="s">
        <v>207</v>
      </c>
    </row>
    <row r="1207" spans="2:9" x14ac:dyDescent="0.2">
      <c r="B1207" s="61" t="s">
        <v>208</v>
      </c>
      <c r="C1207" s="61"/>
      <c r="D1207" s="62">
        <v>15</v>
      </c>
      <c r="E1207" s="63" t="s">
        <v>209</v>
      </c>
    </row>
    <row r="1208" spans="2:9" x14ac:dyDescent="0.2">
      <c r="B1208" s="58" t="s">
        <v>210</v>
      </c>
      <c r="C1208" s="58"/>
      <c r="D1208" s="62">
        <v>0</v>
      </c>
      <c r="E1208" s="63" t="s">
        <v>211</v>
      </c>
    </row>
    <row r="1209" spans="2:9" x14ac:dyDescent="0.2">
      <c r="B1209" s="64" t="s">
        <v>212</v>
      </c>
      <c r="C1209" s="65"/>
      <c r="D1209" s="62">
        <v>0</v>
      </c>
      <c r="E1209" s="63" t="s">
        <v>213</v>
      </c>
    </row>
    <row r="1210" spans="2:9" x14ac:dyDescent="0.2">
      <c r="B1210" s="64" t="s">
        <v>214</v>
      </c>
      <c r="C1210" s="65"/>
      <c r="D1210" s="62">
        <v>6</v>
      </c>
      <c r="E1210" s="63" t="s">
        <v>215</v>
      </c>
    </row>
    <row r="1211" spans="2:9" x14ac:dyDescent="0.2">
      <c r="B1211" s="64" t="s">
        <v>216</v>
      </c>
      <c r="C1211" s="65"/>
      <c r="D1211" s="62">
        <v>0</v>
      </c>
      <c r="E1211" s="63" t="s">
        <v>217</v>
      </c>
      <c r="I1211" s="57"/>
    </row>
    <row r="1212" spans="2:9" x14ac:dyDescent="0.2">
      <c r="B1212" s="80" t="s">
        <v>218</v>
      </c>
      <c r="C1212" s="81"/>
      <c r="D1212" s="62">
        <v>0</v>
      </c>
      <c r="E1212" s="63" t="s">
        <v>219</v>
      </c>
      <c r="I1212" s="57"/>
    </row>
    <row r="1213" spans="2:9" ht="13.5" thickBot="1" x14ac:dyDescent="0.25">
      <c r="B1213" s="64" t="s">
        <v>220</v>
      </c>
      <c r="C1213" s="65"/>
      <c r="D1213" s="62">
        <v>8</v>
      </c>
      <c r="E1213" s="63" t="s">
        <v>221</v>
      </c>
      <c r="I1213" s="57"/>
    </row>
    <row r="1214" spans="2:9" ht="13.5" customHeight="1" thickBot="1" x14ac:dyDescent="0.25">
      <c r="B1214" s="66" t="s">
        <v>316</v>
      </c>
      <c r="C1214" s="67"/>
      <c r="D1214" s="67"/>
      <c r="E1214" s="68"/>
    </row>
    <row r="1215" spans="2:9" x14ac:dyDescent="0.2">
      <c r="B1215" s="51" t="s">
        <v>223</v>
      </c>
      <c r="E1215" s="50"/>
    </row>
    <row r="1216" spans="2:9" x14ac:dyDescent="0.2">
      <c r="B1216" s="69"/>
      <c r="C1216" s="52" t="s">
        <v>224</v>
      </c>
      <c r="D1216" s="52"/>
      <c r="E1216" s="52"/>
    </row>
    <row r="1217" spans="2:5" x14ac:dyDescent="0.2">
      <c r="B1217" s="51" t="s">
        <v>225</v>
      </c>
      <c r="C1217" s="9"/>
      <c r="D1217" s="9"/>
      <c r="E1217" s="70"/>
    </row>
    <row r="1218" spans="2:5" x14ac:dyDescent="0.2">
      <c r="B1218" s="69"/>
      <c r="C1218" s="52" t="s">
        <v>226</v>
      </c>
      <c r="D1218" s="52"/>
      <c r="E1218" s="52"/>
    </row>
    <row r="1219" spans="2:5" x14ac:dyDescent="0.2">
      <c r="B1219" s="51" t="s">
        <v>227</v>
      </c>
      <c r="E1219" s="50"/>
    </row>
    <row r="1220" spans="2:5" x14ac:dyDescent="0.2">
      <c r="B1220" s="51"/>
      <c r="C1220" s="71" t="s">
        <v>228</v>
      </c>
      <c r="D1220" s="71"/>
      <c r="E1220" s="71"/>
    </row>
    <row r="1221" spans="2:5" ht="13.5" thickBot="1" x14ac:dyDescent="0.25">
      <c r="B1221" s="72"/>
      <c r="C1221" s="73"/>
      <c r="D1221" s="74"/>
      <c r="E1221" s="75"/>
    </row>
    <row r="1222" spans="2:5" ht="13.5" thickBot="1" x14ac:dyDescent="0.25"/>
    <row r="1223" spans="2:5" x14ac:dyDescent="0.2">
      <c r="B1223" s="45" t="s">
        <v>317</v>
      </c>
      <c r="C1223" s="46"/>
      <c r="D1223" s="47"/>
      <c r="E1223" s="48"/>
    </row>
    <row r="1224" spans="2:5" x14ac:dyDescent="0.2">
      <c r="B1224" s="49"/>
      <c r="E1224" s="50"/>
    </row>
    <row r="1225" spans="2:5" x14ac:dyDescent="0.2">
      <c r="B1225" s="51" t="s">
        <v>199</v>
      </c>
      <c r="E1225" s="50"/>
    </row>
    <row r="1226" spans="2:5" x14ac:dyDescent="0.2">
      <c r="B1226" s="51"/>
      <c r="C1226" s="52"/>
      <c r="D1226" s="52"/>
      <c r="E1226" s="52"/>
    </row>
    <row r="1227" spans="2:5" ht="13.5" thickBot="1" x14ac:dyDescent="0.25">
      <c r="B1227" s="51" t="s">
        <v>200</v>
      </c>
      <c r="E1227" s="50"/>
    </row>
    <row r="1228" spans="2:5" ht="13.5" thickBot="1" x14ac:dyDescent="0.25">
      <c r="B1228" s="53" t="s">
        <v>201</v>
      </c>
      <c r="C1228" s="54"/>
      <c r="D1228" s="54"/>
      <c r="E1228" s="55"/>
    </row>
    <row r="1229" spans="2:5" ht="13.5" thickBot="1" x14ac:dyDescent="0.25">
      <c r="B1229" s="53" t="s">
        <v>202</v>
      </c>
      <c r="C1229" s="55"/>
      <c r="D1229" s="56" t="s">
        <v>14</v>
      </c>
      <c r="E1229" s="56" t="s">
        <v>203</v>
      </c>
    </row>
    <row r="1230" spans="2:5" x14ac:dyDescent="0.2">
      <c r="B1230" s="58" t="s">
        <v>204</v>
      </c>
      <c r="C1230" s="58"/>
      <c r="D1230" s="59">
        <v>20</v>
      </c>
      <c r="E1230" s="60" t="s">
        <v>205</v>
      </c>
    </row>
    <row r="1231" spans="2:5" x14ac:dyDescent="0.2">
      <c r="B1231" s="61" t="s">
        <v>206</v>
      </c>
      <c r="C1231" s="61"/>
      <c r="D1231" s="62">
        <v>10</v>
      </c>
      <c r="E1231" s="63" t="s">
        <v>207</v>
      </c>
    </row>
    <row r="1232" spans="2:5" x14ac:dyDescent="0.2">
      <c r="B1232" s="61" t="s">
        <v>208</v>
      </c>
      <c r="C1232" s="61"/>
      <c r="D1232" s="62">
        <v>15</v>
      </c>
      <c r="E1232" s="63" t="s">
        <v>209</v>
      </c>
    </row>
    <row r="1233" spans="2:9" x14ac:dyDescent="0.2">
      <c r="B1233" s="58" t="s">
        <v>210</v>
      </c>
      <c r="C1233" s="58"/>
      <c r="D1233" s="62">
        <v>0</v>
      </c>
      <c r="E1233" s="63" t="s">
        <v>211</v>
      </c>
    </row>
    <row r="1234" spans="2:9" x14ac:dyDescent="0.2">
      <c r="B1234" s="64" t="s">
        <v>212</v>
      </c>
      <c r="C1234" s="65"/>
      <c r="D1234" s="62">
        <v>10</v>
      </c>
      <c r="E1234" s="63" t="s">
        <v>213</v>
      </c>
    </row>
    <row r="1235" spans="2:9" x14ac:dyDescent="0.2">
      <c r="B1235" s="64" t="s">
        <v>214</v>
      </c>
      <c r="C1235" s="65"/>
      <c r="D1235" s="62">
        <v>0</v>
      </c>
      <c r="E1235" s="63" t="s">
        <v>215</v>
      </c>
    </row>
    <row r="1236" spans="2:9" x14ac:dyDescent="0.2">
      <c r="B1236" s="64" t="s">
        <v>216</v>
      </c>
      <c r="C1236" s="65"/>
      <c r="D1236" s="62">
        <v>0</v>
      </c>
      <c r="E1236" s="63" t="s">
        <v>217</v>
      </c>
      <c r="I1236" s="57"/>
    </row>
    <row r="1237" spans="2:9" x14ac:dyDescent="0.2">
      <c r="B1237" s="80" t="s">
        <v>218</v>
      </c>
      <c r="C1237" s="81"/>
      <c r="D1237" s="62">
        <v>0</v>
      </c>
      <c r="E1237" s="63" t="s">
        <v>219</v>
      </c>
      <c r="I1237" s="57"/>
    </row>
    <row r="1238" spans="2:9" ht="13.5" thickBot="1" x14ac:dyDescent="0.25">
      <c r="B1238" s="64" t="s">
        <v>220</v>
      </c>
      <c r="C1238" s="65"/>
      <c r="D1238" s="62">
        <v>6</v>
      </c>
      <c r="E1238" s="63" t="s">
        <v>221</v>
      </c>
      <c r="I1238" s="57"/>
    </row>
    <row r="1239" spans="2:9" ht="13.5" customHeight="1" thickBot="1" x14ac:dyDescent="0.25">
      <c r="B1239" s="66" t="s">
        <v>318</v>
      </c>
      <c r="C1239" s="67"/>
      <c r="D1239" s="67"/>
      <c r="E1239" s="68"/>
    </row>
    <row r="1240" spans="2:9" x14ac:dyDescent="0.2">
      <c r="B1240" s="51" t="s">
        <v>223</v>
      </c>
      <c r="E1240" s="50"/>
    </row>
    <row r="1241" spans="2:9" x14ac:dyDescent="0.2">
      <c r="B1241" s="69"/>
      <c r="C1241" s="52" t="s">
        <v>224</v>
      </c>
      <c r="D1241" s="52"/>
      <c r="E1241" s="52"/>
    </row>
    <row r="1242" spans="2:9" x14ac:dyDescent="0.2">
      <c r="B1242" s="51" t="s">
        <v>225</v>
      </c>
      <c r="C1242" s="9"/>
      <c r="D1242" s="9"/>
      <c r="E1242" s="70"/>
    </row>
    <row r="1243" spans="2:9" x14ac:dyDescent="0.2">
      <c r="B1243" s="69"/>
      <c r="C1243" s="52" t="s">
        <v>226</v>
      </c>
      <c r="D1243" s="52"/>
      <c r="E1243" s="52"/>
    </row>
    <row r="1244" spans="2:9" x14ac:dyDescent="0.2">
      <c r="B1244" s="51" t="s">
        <v>227</v>
      </c>
      <c r="E1244" s="50"/>
    </row>
    <row r="1245" spans="2:9" x14ac:dyDescent="0.2">
      <c r="B1245" s="51"/>
      <c r="C1245" s="71" t="s">
        <v>228</v>
      </c>
      <c r="D1245" s="71"/>
      <c r="E1245" s="71"/>
    </row>
    <row r="1246" spans="2:9" ht="13.5" thickBot="1" x14ac:dyDescent="0.25">
      <c r="B1246" s="72"/>
      <c r="C1246" s="73"/>
      <c r="D1246" s="74"/>
      <c r="E1246" s="75"/>
    </row>
    <row r="1247" spans="2:9" ht="13.5" thickBot="1" x14ac:dyDescent="0.25"/>
    <row r="1248" spans="2:9" x14ac:dyDescent="0.2">
      <c r="B1248" s="45" t="s">
        <v>319</v>
      </c>
      <c r="C1248" s="46"/>
      <c r="D1248" s="47"/>
      <c r="E1248" s="48"/>
    </row>
    <row r="1249" spans="2:9" x14ac:dyDescent="0.2">
      <c r="B1249" s="49"/>
      <c r="E1249" s="50"/>
    </row>
    <row r="1250" spans="2:9" x14ac:dyDescent="0.2">
      <c r="B1250" s="51" t="s">
        <v>199</v>
      </c>
      <c r="E1250" s="50"/>
    </row>
    <row r="1251" spans="2:9" x14ac:dyDescent="0.2">
      <c r="B1251" s="51"/>
      <c r="C1251" s="52"/>
      <c r="D1251" s="52"/>
      <c r="E1251" s="52"/>
    </row>
    <row r="1252" spans="2:9" ht="13.5" thickBot="1" x14ac:dyDescent="0.25">
      <c r="B1252" s="51" t="s">
        <v>200</v>
      </c>
      <c r="E1252" s="50"/>
    </row>
    <row r="1253" spans="2:9" ht="13.5" thickBot="1" x14ac:dyDescent="0.25">
      <c r="B1253" s="53" t="s">
        <v>201</v>
      </c>
      <c r="C1253" s="54"/>
      <c r="D1253" s="54"/>
      <c r="E1253" s="55"/>
    </row>
    <row r="1254" spans="2:9" ht="13.5" thickBot="1" x14ac:dyDescent="0.25">
      <c r="B1254" s="53" t="s">
        <v>202</v>
      </c>
      <c r="C1254" s="55"/>
      <c r="D1254" s="56" t="s">
        <v>14</v>
      </c>
      <c r="E1254" s="56" t="s">
        <v>203</v>
      </c>
    </row>
    <row r="1255" spans="2:9" x14ac:dyDescent="0.2">
      <c r="B1255" s="58" t="s">
        <v>204</v>
      </c>
      <c r="C1255" s="58"/>
      <c r="D1255" s="59">
        <v>0</v>
      </c>
      <c r="E1255" s="60" t="s">
        <v>205</v>
      </c>
    </row>
    <row r="1256" spans="2:9" x14ac:dyDescent="0.2">
      <c r="B1256" s="61" t="s">
        <v>206</v>
      </c>
      <c r="C1256" s="61"/>
      <c r="D1256" s="62">
        <v>15</v>
      </c>
      <c r="E1256" s="63" t="s">
        <v>207</v>
      </c>
    </row>
    <row r="1257" spans="2:9" x14ac:dyDescent="0.2">
      <c r="B1257" s="61" t="s">
        <v>208</v>
      </c>
      <c r="C1257" s="61"/>
      <c r="D1257" s="62">
        <v>0</v>
      </c>
      <c r="E1257" s="63" t="s">
        <v>209</v>
      </c>
    </row>
    <row r="1258" spans="2:9" x14ac:dyDescent="0.2">
      <c r="B1258" s="58" t="s">
        <v>210</v>
      </c>
      <c r="C1258" s="58"/>
      <c r="D1258" s="62">
        <v>0</v>
      </c>
      <c r="E1258" s="63" t="s">
        <v>211</v>
      </c>
    </row>
    <row r="1259" spans="2:9" x14ac:dyDescent="0.2">
      <c r="B1259" s="64" t="s">
        <v>212</v>
      </c>
      <c r="C1259" s="65"/>
      <c r="D1259" s="62">
        <v>0</v>
      </c>
      <c r="E1259" s="63" t="s">
        <v>213</v>
      </c>
    </row>
    <row r="1260" spans="2:9" x14ac:dyDescent="0.2">
      <c r="B1260" s="64" t="s">
        <v>214</v>
      </c>
      <c r="C1260" s="65"/>
      <c r="D1260" s="62">
        <v>0</v>
      </c>
      <c r="E1260" s="63" t="s">
        <v>215</v>
      </c>
    </row>
    <row r="1261" spans="2:9" x14ac:dyDescent="0.2">
      <c r="B1261" s="64" t="s">
        <v>216</v>
      </c>
      <c r="C1261" s="65"/>
      <c r="D1261" s="62">
        <v>0</v>
      </c>
      <c r="E1261" s="63" t="s">
        <v>217</v>
      </c>
      <c r="I1261" s="57"/>
    </row>
    <row r="1262" spans="2:9" x14ac:dyDescent="0.2">
      <c r="B1262" s="80" t="s">
        <v>218</v>
      </c>
      <c r="C1262" s="81"/>
      <c r="D1262" s="62">
        <v>0</v>
      </c>
      <c r="E1262" s="63" t="s">
        <v>219</v>
      </c>
      <c r="I1262" s="57"/>
    </row>
    <row r="1263" spans="2:9" ht="13.5" thickBot="1" x14ac:dyDescent="0.25">
      <c r="B1263" s="64" t="s">
        <v>220</v>
      </c>
      <c r="C1263" s="65"/>
      <c r="D1263" s="62">
        <v>0</v>
      </c>
      <c r="E1263" s="63" t="s">
        <v>221</v>
      </c>
      <c r="I1263" s="57"/>
    </row>
    <row r="1264" spans="2:9" ht="13.5" customHeight="1" thickBot="1" x14ac:dyDescent="0.25">
      <c r="B1264" s="66" t="s">
        <v>310</v>
      </c>
      <c r="C1264" s="67"/>
      <c r="D1264" s="67"/>
      <c r="E1264" s="68"/>
    </row>
    <row r="1265" spans="2:5" x14ac:dyDescent="0.2">
      <c r="B1265" s="51" t="s">
        <v>223</v>
      </c>
      <c r="E1265" s="50"/>
    </row>
    <row r="1266" spans="2:5" x14ac:dyDescent="0.2">
      <c r="B1266" s="69"/>
      <c r="C1266" s="52" t="s">
        <v>224</v>
      </c>
      <c r="D1266" s="52"/>
      <c r="E1266" s="52"/>
    </row>
    <row r="1267" spans="2:5" x14ac:dyDescent="0.2">
      <c r="B1267" s="51" t="s">
        <v>225</v>
      </c>
      <c r="C1267" s="9"/>
      <c r="D1267" s="9"/>
      <c r="E1267" s="70"/>
    </row>
    <row r="1268" spans="2:5" x14ac:dyDescent="0.2">
      <c r="B1268" s="69"/>
      <c r="C1268" s="52" t="s">
        <v>226</v>
      </c>
      <c r="D1268" s="52"/>
      <c r="E1268" s="52"/>
    </row>
    <row r="1269" spans="2:5" x14ac:dyDescent="0.2">
      <c r="B1269" s="51" t="s">
        <v>227</v>
      </c>
      <c r="E1269" s="50"/>
    </row>
    <row r="1270" spans="2:5" x14ac:dyDescent="0.2">
      <c r="B1270" s="51"/>
      <c r="C1270" s="71" t="s">
        <v>228</v>
      </c>
      <c r="D1270" s="71"/>
      <c r="E1270" s="71"/>
    </row>
    <row r="1271" spans="2:5" ht="13.5" thickBot="1" x14ac:dyDescent="0.25">
      <c r="B1271" s="72"/>
      <c r="C1271" s="73"/>
      <c r="D1271" s="74"/>
      <c r="E1271" s="75"/>
    </row>
    <row r="1272" spans="2:5" ht="13.5" thickBot="1" x14ac:dyDescent="0.25"/>
    <row r="1273" spans="2:5" x14ac:dyDescent="0.2">
      <c r="B1273" s="45" t="s">
        <v>320</v>
      </c>
      <c r="C1273" s="46"/>
      <c r="D1273" s="47"/>
      <c r="E1273" s="48"/>
    </row>
    <row r="1274" spans="2:5" x14ac:dyDescent="0.2">
      <c r="B1274" s="49"/>
      <c r="E1274" s="50"/>
    </row>
    <row r="1275" spans="2:5" x14ac:dyDescent="0.2">
      <c r="B1275" s="51" t="s">
        <v>199</v>
      </c>
      <c r="E1275" s="50"/>
    </row>
    <row r="1276" spans="2:5" x14ac:dyDescent="0.2">
      <c r="B1276" s="51"/>
      <c r="C1276" s="52"/>
      <c r="D1276" s="52"/>
      <c r="E1276" s="52"/>
    </row>
    <row r="1277" spans="2:5" ht="13.5" thickBot="1" x14ac:dyDescent="0.25">
      <c r="B1277" s="51" t="s">
        <v>200</v>
      </c>
      <c r="E1277" s="50"/>
    </row>
    <row r="1278" spans="2:5" ht="13.5" thickBot="1" x14ac:dyDescent="0.25">
      <c r="B1278" s="53" t="s">
        <v>201</v>
      </c>
      <c r="C1278" s="54"/>
      <c r="D1278" s="54"/>
      <c r="E1278" s="55"/>
    </row>
    <row r="1279" spans="2:5" ht="13.5" thickBot="1" x14ac:dyDescent="0.25">
      <c r="B1279" s="53" t="s">
        <v>202</v>
      </c>
      <c r="C1279" s="55"/>
      <c r="D1279" s="56" t="s">
        <v>14</v>
      </c>
      <c r="E1279" s="56" t="s">
        <v>203</v>
      </c>
    </row>
    <row r="1280" spans="2:5" x14ac:dyDescent="0.2">
      <c r="B1280" s="58" t="s">
        <v>204</v>
      </c>
      <c r="C1280" s="58"/>
      <c r="D1280" s="59">
        <v>6</v>
      </c>
      <c r="E1280" s="60" t="s">
        <v>205</v>
      </c>
    </row>
    <row r="1281" spans="2:9" x14ac:dyDescent="0.2">
      <c r="B1281" s="61" t="s">
        <v>206</v>
      </c>
      <c r="C1281" s="61"/>
      <c r="D1281" s="62">
        <v>0</v>
      </c>
      <c r="E1281" s="63" t="s">
        <v>207</v>
      </c>
    </row>
    <row r="1282" spans="2:9" x14ac:dyDescent="0.2">
      <c r="B1282" s="61" t="s">
        <v>208</v>
      </c>
      <c r="C1282" s="61"/>
      <c r="D1282" s="62">
        <v>0</v>
      </c>
      <c r="E1282" s="63" t="s">
        <v>209</v>
      </c>
    </row>
    <row r="1283" spans="2:9" x14ac:dyDescent="0.2">
      <c r="B1283" s="58" t="s">
        <v>210</v>
      </c>
      <c r="C1283" s="58"/>
      <c r="D1283" s="62">
        <v>0</v>
      </c>
      <c r="E1283" s="63" t="s">
        <v>211</v>
      </c>
    </row>
    <row r="1284" spans="2:9" x14ac:dyDescent="0.2">
      <c r="B1284" s="64" t="s">
        <v>212</v>
      </c>
      <c r="C1284" s="65"/>
      <c r="D1284" s="62">
        <v>0</v>
      </c>
      <c r="E1284" s="63" t="s">
        <v>213</v>
      </c>
    </row>
    <row r="1285" spans="2:9" x14ac:dyDescent="0.2">
      <c r="B1285" s="64" t="s">
        <v>214</v>
      </c>
      <c r="C1285" s="65"/>
      <c r="D1285" s="62">
        <v>4</v>
      </c>
      <c r="E1285" s="63" t="s">
        <v>215</v>
      </c>
    </row>
    <row r="1286" spans="2:9" x14ac:dyDescent="0.2">
      <c r="B1286" s="64" t="s">
        <v>216</v>
      </c>
      <c r="C1286" s="65"/>
      <c r="D1286" s="62">
        <v>0</v>
      </c>
      <c r="E1286" s="63" t="s">
        <v>217</v>
      </c>
      <c r="I1286" s="57"/>
    </row>
    <row r="1287" spans="2:9" x14ac:dyDescent="0.2">
      <c r="B1287" s="80" t="s">
        <v>218</v>
      </c>
      <c r="C1287" s="81"/>
      <c r="D1287" s="62">
        <v>0</v>
      </c>
      <c r="E1287" s="63" t="s">
        <v>219</v>
      </c>
      <c r="I1287" s="57"/>
    </row>
    <row r="1288" spans="2:9" ht="13.5" thickBot="1" x14ac:dyDescent="0.25">
      <c r="B1288" s="64" t="s">
        <v>220</v>
      </c>
      <c r="C1288" s="65"/>
      <c r="D1288" s="62">
        <v>0</v>
      </c>
      <c r="E1288" s="63" t="s">
        <v>221</v>
      </c>
      <c r="I1288" s="57"/>
    </row>
    <row r="1289" spans="2:9" ht="13.5" customHeight="1" thickBot="1" x14ac:dyDescent="0.25">
      <c r="B1289" s="66" t="s">
        <v>321</v>
      </c>
      <c r="C1289" s="67"/>
      <c r="D1289" s="67"/>
      <c r="E1289" s="68"/>
    </row>
    <row r="1290" spans="2:9" x14ac:dyDescent="0.2">
      <c r="B1290" s="51" t="s">
        <v>223</v>
      </c>
      <c r="E1290" s="50"/>
    </row>
    <row r="1291" spans="2:9" x14ac:dyDescent="0.2">
      <c r="B1291" s="69"/>
      <c r="C1291" s="52" t="s">
        <v>224</v>
      </c>
      <c r="D1291" s="52"/>
      <c r="E1291" s="52"/>
    </row>
    <row r="1292" spans="2:9" x14ac:dyDescent="0.2">
      <c r="B1292" s="51" t="s">
        <v>225</v>
      </c>
      <c r="C1292" s="9"/>
      <c r="D1292" s="9"/>
      <c r="E1292" s="70"/>
    </row>
    <row r="1293" spans="2:9" x14ac:dyDescent="0.2">
      <c r="B1293" s="69"/>
      <c r="C1293" s="52" t="s">
        <v>226</v>
      </c>
      <c r="D1293" s="52"/>
      <c r="E1293" s="52"/>
    </row>
    <row r="1294" spans="2:9" x14ac:dyDescent="0.2">
      <c r="B1294" s="51" t="s">
        <v>227</v>
      </c>
      <c r="E1294" s="50"/>
    </row>
    <row r="1295" spans="2:9" x14ac:dyDescent="0.2">
      <c r="B1295" s="51"/>
      <c r="C1295" s="71" t="s">
        <v>228</v>
      </c>
      <c r="D1295" s="71"/>
      <c r="E1295" s="71"/>
    </row>
    <row r="1296" spans="2:9" ht="13.5" thickBot="1" x14ac:dyDescent="0.25">
      <c r="B1296" s="72"/>
      <c r="C1296" s="73"/>
      <c r="D1296" s="74"/>
      <c r="E1296" s="75"/>
    </row>
    <row r="1297" spans="2:9" ht="13.5" thickBot="1" x14ac:dyDescent="0.25"/>
    <row r="1298" spans="2:9" x14ac:dyDescent="0.2">
      <c r="B1298" s="45" t="s">
        <v>322</v>
      </c>
      <c r="C1298" s="46"/>
      <c r="D1298" s="47"/>
      <c r="E1298" s="48"/>
    </row>
    <row r="1299" spans="2:9" x14ac:dyDescent="0.2">
      <c r="B1299" s="49"/>
      <c r="E1299" s="50"/>
    </row>
    <row r="1300" spans="2:9" x14ac:dyDescent="0.2">
      <c r="B1300" s="51" t="s">
        <v>199</v>
      </c>
      <c r="E1300" s="50"/>
    </row>
    <row r="1301" spans="2:9" x14ac:dyDescent="0.2">
      <c r="B1301" s="51"/>
      <c r="C1301" s="52"/>
      <c r="D1301" s="52"/>
      <c r="E1301" s="52"/>
    </row>
    <row r="1302" spans="2:9" ht="13.5" thickBot="1" x14ac:dyDescent="0.25">
      <c r="B1302" s="51" t="s">
        <v>200</v>
      </c>
      <c r="E1302" s="50"/>
    </row>
    <row r="1303" spans="2:9" ht="13.5" thickBot="1" x14ac:dyDescent="0.25">
      <c r="B1303" s="53" t="s">
        <v>201</v>
      </c>
      <c r="C1303" s="54"/>
      <c r="D1303" s="54"/>
      <c r="E1303" s="55"/>
    </row>
    <row r="1304" spans="2:9" ht="13.5" thickBot="1" x14ac:dyDescent="0.25">
      <c r="B1304" s="53" t="s">
        <v>202</v>
      </c>
      <c r="C1304" s="55"/>
      <c r="D1304" s="56" t="s">
        <v>14</v>
      </c>
      <c r="E1304" s="56" t="s">
        <v>203</v>
      </c>
    </row>
    <row r="1305" spans="2:9" x14ac:dyDescent="0.2">
      <c r="B1305" s="58" t="s">
        <v>204</v>
      </c>
      <c r="C1305" s="58"/>
      <c r="D1305" s="59">
        <v>20</v>
      </c>
      <c r="E1305" s="60" t="s">
        <v>205</v>
      </c>
    </row>
    <row r="1306" spans="2:9" x14ac:dyDescent="0.2">
      <c r="B1306" s="61" t="s">
        <v>206</v>
      </c>
      <c r="C1306" s="61"/>
      <c r="D1306" s="62">
        <v>20</v>
      </c>
      <c r="E1306" s="63" t="s">
        <v>207</v>
      </c>
    </row>
    <row r="1307" spans="2:9" x14ac:dyDescent="0.2">
      <c r="B1307" s="61" t="s">
        <v>208</v>
      </c>
      <c r="C1307" s="61"/>
      <c r="D1307" s="62">
        <v>10</v>
      </c>
      <c r="E1307" s="63" t="s">
        <v>209</v>
      </c>
    </row>
    <row r="1308" spans="2:9" x14ac:dyDescent="0.2">
      <c r="B1308" s="58" t="s">
        <v>210</v>
      </c>
      <c r="C1308" s="58"/>
      <c r="D1308" s="62">
        <v>10</v>
      </c>
      <c r="E1308" s="63" t="s">
        <v>211</v>
      </c>
    </row>
    <row r="1309" spans="2:9" x14ac:dyDescent="0.2">
      <c r="B1309" s="64" t="s">
        <v>212</v>
      </c>
      <c r="C1309" s="65"/>
      <c r="D1309" s="62">
        <v>0</v>
      </c>
      <c r="E1309" s="63" t="s">
        <v>213</v>
      </c>
    </row>
    <row r="1310" spans="2:9" x14ac:dyDescent="0.2">
      <c r="B1310" s="64" t="s">
        <v>214</v>
      </c>
      <c r="C1310" s="65"/>
      <c r="D1310" s="62">
        <v>8</v>
      </c>
      <c r="E1310" s="63" t="s">
        <v>215</v>
      </c>
    </row>
    <row r="1311" spans="2:9" x14ac:dyDescent="0.2">
      <c r="B1311" s="64" t="s">
        <v>216</v>
      </c>
      <c r="C1311" s="65"/>
      <c r="D1311" s="62">
        <v>0</v>
      </c>
      <c r="E1311" s="63" t="s">
        <v>217</v>
      </c>
      <c r="I1311" s="57"/>
    </row>
    <row r="1312" spans="2:9" x14ac:dyDescent="0.2">
      <c r="B1312" s="80" t="s">
        <v>218</v>
      </c>
      <c r="C1312" s="81"/>
      <c r="D1312" s="62">
        <v>5</v>
      </c>
      <c r="E1312" s="63" t="s">
        <v>219</v>
      </c>
      <c r="I1312" s="57"/>
    </row>
    <row r="1313" spans="2:9" ht="13.5" thickBot="1" x14ac:dyDescent="0.25">
      <c r="B1313" s="64" t="s">
        <v>220</v>
      </c>
      <c r="C1313" s="65"/>
      <c r="D1313" s="62">
        <v>10</v>
      </c>
      <c r="E1313" s="63" t="s">
        <v>221</v>
      </c>
      <c r="I1313" s="57"/>
    </row>
    <row r="1314" spans="2:9" ht="13.5" customHeight="1" thickBot="1" x14ac:dyDescent="0.25">
      <c r="B1314" s="66" t="s">
        <v>323</v>
      </c>
      <c r="C1314" s="67"/>
      <c r="D1314" s="67"/>
      <c r="E1314" s="68"/>
    </row>
    <row r="1315" spans="2:9" x14ac:dyDescent="0.2">
      <c r="B1315" s="51" t="s">
        <v>223</v>
      </c>
      <c r="E1315" s="50"/>
    </row>
    <row r="1316" spans="2:9" x14ac:dyDescent="0.2">
      <c r="B1316" s="69"/>
      <c r="C1316" s="52" t="s">
        <v>224</v>
      </c>
      <c r="D1316" s="52"/>
      <c r="E1316" s="52"/>
    </row>
    <row r="1317" spans="2:9" x14ac:dyDescent="0.2">
      <c r="B1317" s="51" t="s">
        <v>225</v>
      </c>
      <c r="C1317" s="9"/>
      <c r="D1317" s="9"/>
      <c r="E1317" s="70"/>
    </row>
    <row r="1318" spans="2:9" x14ac:dyDescent="0.2">
      <c r="B1318" s="69"/>
      <c r="C1318" s="52" t="s">
        <v>226</v>
      </c>
      <c r="D1318" s="52"/>
      <c r="E1318" s="52"/>
    </row>
    <row r="1319" spans="2:9" x14ac:dyDescent="0.2">
      <c r="B1319" s="51" t="s">
        <v>227</v>
      </c>
      <c r="E1319" s="50"/>
    </row>
    <row r="1320" spans="2:9" x14ac:dyDescent="0.2">
      <c r="B1320" s="51"/>
      <c r="C1320" s="71" t="s">
        <v>228</v>
      </c>
      <c r="D1320" s="71"/>
      <c r="E1320" s="71"/>
    </row>
    <row r="1321" spans="2:9" ht="13.5" thickBot="1" x14ac:dyDescent="0.25">
      <c r="B1321" s="72"/>
      <c r="C1321" s="73"/>
      <c r="D1321" s="74"/>
      <c r="E1321" s="75"/>
    </row>
    <row r="1322" spans="2:9" x14ac:dyDescent="0.2">
      <c r="B1322" s="45" t="s">
        <v>324</v>
      </c>
      <c r="C1322" s="46"/>
      <c r="D1322" s="47"/>
      <c r="E1322" s="48"/>
    </row>
    <row r="1323" spans="2:9" x14ac:dyDescent="0.2">
      <c r="B1323" s="49"/>
      <c r="E1323" s="50"/>
    </row>
    <row r="1324" spans="2:9" x14ac:dyDescent="0.2">
      <c r="B1324" s="51" t="s">
        <v>199</v>
      </c>
      <c r="E1324" s="50"/>
    </row>
    <row r="1325" spans="2:9" x14ac:dyDescent="0.2">
      <c r="B1325" s="51"/>
      <c r="C1325" s="52"/>
      <c r="D1325" s="52"/>
      <c r="E1325" s="52"/>
    </row>
    <row r="1326" spans="2:9" ht="13.5" thickBot="1" x14ac:dyDescent="0.25">
      <c r="B1326" s="51" t="s">
        <v>200</v>
      </c>
      <c r="E1326" s="50"/>
    </row>
    <row r="1327" spans="2:9" ht="13.5" thickBot="1" x14ac:dyDescent="0.25">
      <c r="B1327" s="53" t="s">
        <v>201</v>
      </c>
      <c r="C1327" s="54"/>
      <c r="D1327" s="54"/>
      <c r="E1327" s="55"/>
    </row>
    <row r="1328" spans="2:9" ht="13.5" thickBot="1" x14ac:dyDescent="0.25">
      <c r="B1328" s="53" t="s">
        <v>202</v>
      </c>
      <c r="C1328" s="55"/>
      <c r="D1328" s="56" t="s">
        <v>14</v>
      </c>
      <c r="E1328" s="56" t="s">
        <v>203</v>
      </c>
    </row>
    <row r="1329" spans="2:9" x14ac:dyDescent="0.2">
      <c r="B1329" s="58" t="s">
        <v>204</v>
      </c>
      <c r="C1329" s="58"/>
      <c r="D1329" s="59">
        <v>25</v>
      </c>
      <c r="E1329" s="60" t="s">
        <v>205</v>
      </c>
    </row>
    <row r="1330" spans="2:9" x14ac:dyDescent="0.2">
      <c r="B1330" s="61" t="s">
        <v>206</v>
      </c>
      <c r="C1330" s="61"/>
      <c r="D1330" s="62">
        <v>0</v>
      </c>
      <c r="E1330" s="63" t="s">
        <v>207</v>
      </c>
    </row>
    <row r="1331" spans="2:9" x14ac:dyDescent="0.2">
      <c r="B1331" s="61" t="s">
        <v>208</v>
      </c>
      <c r="C1331" s="61"/>
      <c r="D1331" s="62">
        <v>35</v>
      </c>
      <c r="E1331" s="63" t="s">
        <v>209</v>
      </c>
    </row>
    <row r="1332" spans="2:9" x14ac:dyDescent="0.2">
      <c r="B1332" s="58" t="s">
        <v>210</v>
      </c>
      <c r="C1332" s="58"/>
      <c r="D1332" s="62">
        <v>25</v>
      </c>
      <c r="E1332" s="63" t="s">
        <v>211</v>
      </c>
    </row>
    <row r="1333" spans="2:9" x14ac:dyDescent="0.2">
      <c r="B1333" s="64" t="s">
        <v>212</v>
      </c>
      <c r="C1333" s="65"/>
      <c r="D1333" s="62">
        <v>0</v>
      </c>
      <c r="E1333" s="63" t="s">
        <v>213</v>
      </c>
    </row>
    <row r="1334" spans="2:9" x14ac:dyDescent="0.2">
      <c r="B1334" s="64" t="s">
        <v>214</v>
      </c>
      <c r="C1334" s="65"/>
      <c r="D1334" s="62">
        <v>15</v>
      </c>
      <c r="E1334" s="63" t="s">
        <v>215</v>
      </c>
    </row>
    <row r="1335" spans="2:9" x14ac:dyDescent="0.2">
      <c r="B1335" s="64" t="s">
        <v>216</v>
      </c>
      <c r="C1335" s="65"/>
      <c r="D1335" s="62">
        <v>0</v>
      </c>
      <c r="E1335" s="63" t="s">
        <v>217</v>
      </c>
      <c r="I1335" s="57"/>
    </row>
    <row r="1336" spans="2:9" x14ac:dyDescent="0.2">
      <c r="B1336" s="80" t="s">
        <v>218</v>
      </c>
      <c r="C1336" s="81"/>
      <c r="D1336" s="62">
        <v>10</v>
      </c>
      <c r="E1336" s="63" t="s">
        <v>219</v>
      </c>
      <c r="I1336" s="57"/>
    </row>
    <row r="1337" spans="2:9" ht="13.5" thickBot="1" x14ac:dyDescent="0.25">
      <c r="B1337" s="64" t="s">
        <v>220</v>
      </c>
      <c r="C1337" s="65"/>
      <c r="D1337" s="62">
        <v>20</v>
      </c>
      <c r="E1337" s="63" t="s">
        <v>221</v>
      </c>
      <c r="I1337" s="57"/>
    </row>
    <row r="1338" spans="2:9" ht="13.5" customHeight="1" thickBot="1" x14ac:dyDescent="0.25">
      <c r="B1338" s="66" t="s">
        <v>325</v>
      </c>
      <c r="C1338" s="67"/>
      <c r="D1338" s="67"/>
      <c r="E1338" s="68"/>
    </row>
    <row r="1339" spans="2:9" x14ac:dyDescent="0.2">
      <c r="B1339" s="51" t="s">
        <v>223</v>
      </c>
      <c r="E1339" s="50"/>
    </row>
    <row r="1340" spans="2:9" x14ac:dyDescent="0.2">
      <c r="B1340" s="69"/>
      <c r="C1340" s="52" t="s">
        <v>224</v>
      </c>
      <c r="D1340" s="52"/>
      <c r="E1340" s="52"/>
    </row>
    <row r="1341" spans="2:9" x14ac:dyDescent="0.2">
      <c r="B1341" s="51" t="s">
        <v>225</v>
      </c>
      <c r="C1341" s="9"/>
      <c r="D1341" s="9"/>
      <c r="E1341" s="70"/>
    </row>
    <row r="1342" spans="2:9" x14ac:dyDescent="0.2">
      <c r="B1342" s="69"/>
      <c r="C1342" s="52" t="s">
        <v>226</v>
      </c>
      <c r="D1342" s="52"/>
      <c r="E1342" s="52"/>
    </row>
    <row r="1343" spans="2:9" x14ac:dyDescent="0.2">
      <c r="B1343" s="51" t="s">
        <v>227</v>
      </c>
      <c r="E1343" s="50"/>
    </row>
    <row r="1344" spans="2:9" x14ac:dyDescent="0.2">
      <c r="B1344" s="51"/>
      <c r="C1344" s="71" t="s">
        <v>228</v>
      </c>
      <c r="D1344" s="71"/>
      <c r="E1344" s="71"/>
    </row>
    <row r="1345" spans="2:9" ht="13.5" thickBot="1" x14ac:dyDescent="0.25">
      <c r="B1345" s="72"/>
      <c r="C1345" s="73"/>
      <c r="D1345" s="74"/>
      <c r="E1345" s="75"/>
    </row>
    <row r="1346" spans="2:9" ht="13.5" thickBot="1" x14ac:dyDescent="0.25"/>
    <row r="1347" spans="2:9" x14ac:dyDescent="0.2">
      <c r="B1347" s="45" t="s">
        <v>326</v>
      </c>
      <c r="C1347" s="46"/>
      <c r="D1347" s="47"/>
      <c r="E1347" s="48"/>
    </row>
    <row r="1348" spans="2:9" x14ac:dyDescent="0.2">
      <c r="B1348" s="49"/>
      <c r="E1348" s="50"/>
    </row>
    <row r="1349" spans="2:9" x14ac:dyDescent="0.2">
      <c r="B1349" s="51" t="s">
        <v>199</v>
      </c>
      <c r="E1349" s="50"/>
    </row>
    <row r="1350" spans="2:9" x14ac:dyDescent="0.2">
      <c r="B1350" s="51"/>
      <c r="C1350" s="52"/>
      <c r="D1350" s="52"/>
      <c r="E1350" s="52"/>
    </row>
    <row r="1351" spans="2:9" ht="13.5" thickBot="1" x14ac:dyDescent="0.25">
      <c r="B1351" s="51" t="s">
        <v>200</v>
      </c>
      <c r="E1351" s="50"/>
    </row>
    <row r="1352" spans="2:9" ht="13.5" thickBot="1" x14ac:dyDescent="0.25">
      <c r="B1352" s="53" t="s">
        <v>201</v>
      </c>
      <c r="C1352" s="54"/>
      <c r="D1352" s="54"/>
      <c r="E1352" s="55"/>
    </row>
    <row r="1353" spans="2:9" ht="13.5" thickBot="1" x14ac:dyDescent="0.25">
      <c r="B1353" s="53" t="s">
        <v>202</v>
      </c>
      <c r="C1353" s="55"/>
      <c r="D1353" s="56" t="s">
        <v>14</v>
      </c>
      <c r="E1353" s="56" t="s">
        <v>203</v>
      </c>
    </row>
    <row r="1354" spans="2:9" x14ac:dyDescent="0.2">
      <c r="B1354" s="58" t="s">
        <v>204</v>
      </c>
      <c r="C1354" s="58"/>
      <c r="D1354" s="59">
        <v>10</v>
      </c>
      <c r="E1354" s="60" t="s">
        <v>205</v>
      </c>
    </row>
    <row r="1355" spans="2:9" x14ac:dyDescent="0.2">
      <c r="B1355" s="61" t="s">
        <v>206</v>
      </c>
      <c r="C1355" s="61"/>
      <c r="D1355" s="62">
        <v>0</v>
      </c>
      <c r="E1355" s="63" t="s">
        <v>207</v>
      </c>
    </row>
    <row r="1356" spans="2:9" x14ac:dyDescent="0.2">
      <c r="B1356" s="61" t="s">
        <v>208</v>
      </c>
      <c r="C1356" s="61"/>
      <c r="D1356" s="62">
        <v>8</v>
      </c>
      <c r="E1356" s="63" t="s">
        <v>209</v>
      </c>
    </row>
    <row r="1357" spans="2:9" x14ac:dyDescent="0.2">
      <c r="B1357" s="58" t="s">
        <v>210</v>
      </c>
      <c r="C1357" s="58"/>
      <c r="D1357" s="62">
        <v>0</v>
      </c>
      <c r="E1357" s="63" t="s">
        <v>211</v>
      </c>
    </row>
    <row r="1358" spans="2:9" x14ac:dyDescent="0.2">
      <c r="B1358" s="64" t="s">
        <v>212</v>
      </c>
      <c r="C1358" s="65"/>
      <c r="D1358" s="62">
        <v>0</v>
      </c>
      <c r="E1358" s="63" t="s">
        <v>213</v>
      </c>
    </row>
    <row r="1359" spans="2:9" x14ac:dyDescent="0.2">
      <c r="B1359" s="64" t="s">
        <v>214</v>
      </c>
      <c r="C1359" s="65"/>
      <c r="D1359" s="62">
        <v>0</v>
      </c>
      <c r="E1359" s="63" t="s">
        <v>215</v>
      </c>
    </row>
    <row r="1360" spans="2:9" x14ac:dyDescent="0.2">
      <c r="B1360" s="64" t="s">
        <v>216</v>
      </c>
      <c r="C1360" s="65"/>
      <c r="D1360" s="62">
        <v>0</v>
      </c>
      <c r="E1360" s="63" t="s">
        <v>217</v>
      </c>
      <c r="I1360" s="57"/>
    </row>
    <row r="1361" spans="2:9" x14ac:dyDescent="0.2">
      <c r="B1361" s="80" t="s">
        <v>218</v>
      </c>
      <c r="C1361" s="81"/>
      <c r="D1361" s="62">
        <v>0</v>
      </c>
      <c r="E1361" s="63" t="s">
        <v>219</v>
      </c>
      <c r="I1361" s="57"/>
    </row>
    <row r="1362" spans="2:9" ht="13.5" thickBot="1" x14ac:dyDescent="0.25">
      <c r="B1362" s="64" t="s">
        <v>220</v>
      </c>
      <c r="C1362" s="65"/>
      <c r="D1362" s="62">
        <v>0</v>
      </c>
      <c r="E1362" s="63" t="s">
        <v>221</v>
      </c>
      <c r="I1362" s="57"/>
    </row>
    <row r="1363" spans="2:9" ht="13.5" customHeight="1" thickBot="1" x14ac:dyDescent="0.25">
      <c r="B1363" s="66" t="s">
        <v>327</v>
      </c>
      <c r="C1363" s="67"/>
      <c r="D1363" s="67"/>
      <c r="E1363" s="68"/>
    </row>
    <row r="1364" spans="2:9" x14ac:dyDescent="0.2">
      <c r="B1364" s="51" t="s">
        <v>223</v>
      </c>
      <c r="E1364" s="50"/>
    </row>
    <row r="1365" spans="2:9" x14ac:dyDescent="0.2">
      <c r="B1365" s="69"/>
      <c r="C1365" s="52" t="s">
        <v>224</v>
      </c>
      <c r="D1365" s="52"/>
      <c r="E1365" s="52"/>
    </row>
    <row r="1366" spans="2:9" x14ac:dyDescent="0.2">
      <c r="B1366" s="51" t="s">
        <v>225</v>
      </c>
      <c r="C1366" s="9"/>
      <c r="D1366" s="9"/>
      <c r="E1366" s="70"/>
    </row>
    <row r="1367" spans="2:9" x14ac:dyDescent="0.2">
      <c r="B1367" s="69"/>
      <c r="C1367" s="52" t="s">
        <v>226</v>
      </c>
      <c r="D1367" s="52"/>
      <c r="E1367" s="52"/>
    </row>
    <row r="1368" spans="2:9" x14ac:dyDescent="0.2">
      <c r="B1368" s="51" t="s">
        <v>227</v>
      </c>
      <c r="E1368" s="50"/>
    </row>
    <row r="1369" spans="2:9" x14ac:dyDescent="0.2">
      <c r="B1369" s="51"/>
      <c r="C1369" s="71" t="s">
        <v>228</v>
      </c>
      <c r="D1369" s="71"/>
      <c r="E1369" s="71"/>
    </row>
    <row r="1370" spans="2:9" ht="13.5" thickBot="1" x14ac:dyDescent="0.25">
      <c r="B1370" s="72"/>
      <c r="C1370" s="73"/>
      <c r="D1370" s="74"/>
      <c r="E1370" s="75"/>
    </row>
    <row r="1371" spans="2:9" ht="13.5" thickBot="1" x14ac:dyDescent="0.25"/>
    <row r="1372" spans="2:9" x14ac:dyDescent="0.2">
      <c r="B1372" s="45" t="s">
        <v>328</v>
      </c>
      <c r="C1372" s="46"/>
      <c r="D1372" s="47"/>
      <c r="E1372" s="48"/>
    </row>
    <row r="1373" spans="2:9" x14ac:dyDescent="0.2">
      <c r="B1373" s="49"/>
      <c r="E1373" s="50"/>
    </row>
    <row r="1374" spans="2:9" x14ac:dyDescent="0.2">
      <c r="B1374" s="51" t="s">
        <v>199</v>
      </c>
      <c r="E1374" s="50"/>
    </row>
    <row r="1375" spans="2:9" x14ac:dyDescent="0.2">
      <c r="B1375" s="51"/>
      <c r="C1375" s="52"/>
      <c r="D1375" s="52"/>
      <c r="E1375" s="52"/>
    </row>
    <row r="1376" spans="2:9" ht="13.5" thickBot="1" x14ac:dyDescent="0.25">
      <c r="B1376" s="51" t="s">
        <v>200</v>
      </c>
      <c r="E1376" s="50"/>
    </row>
    <row r="1377" spans="2:9" ht="13.5" thickBot="1" x14ac:dyDescent="0.25">
      <c r="B1377" s="53" t="s">
        <v>201</v>
      </c>
      <c r="C1377" s="54"/>
      <c r="D1377" s="54"/>
      <c r="E1377" s="55"/>
    </row>
    <row r="1378" spans="2:9" ht="13.5" thickBot="1" x14ac:dyDescent="0.25">
      <c r="B1378" s="53" t="s">
        <v>202</v>
      </c>
      <c r="C1378" s="55"/>
      <c r="D1378" s="56" t="s">
        <v>14</v>
      </c>
      <c r="E1378" s="56" t="s">
        <v>203</v>
      </c>
    </row>
    <row r="1379" spans="2:9" x14ac:dyDescent="0.2">
      <c r="B1379" s="58" t="s">
        <v>204</v>
      </c>
      <c r="C1379" s="58"/>
      <c r="D1379" s="59">
        <v>10</v>
      </c>
      <c r="E1379" s="60" t="s">
        <v>205</v>
      </c>
    </row>
    <row r="1380" spans="2:9" x14ac:dyDescent="0.2">
      <c r="B1380" s="61" t="s">
        <v>206</v>
      </c>
      <c r="C1380" s="61"/>
      <c r="D1380" s="62">
        <v>12</v>
      </c>
      <c r="E1380" s="63" t="s">
        <v>207</v>
      </c>
    </row>
    <row r="1381" spans="2:9" x14ac:dyDescent="0.2">
      <c r="B1381" s="61" t="s">
        <v>208</v>
      </c>
      <c r="C1381" s="61"/>
      <c r="D1381" s="62">
        <v>20</v>
      </c>
      <c r="E1381" s="63" t="s">
        <v>209</v>
      </c>
    </row>
    <row r="1382" spans="2:9" x14ac:dyDescent="0.2">
      <c r="B1382" s="58" t="s">
        <v>210</v>
      </c>
      <c r="C1382" s="58"/>
      <c r="D1382" s="62">
        <v>0</v>
      </c>
      <c r="E1382" s="63" t="s">
        <v>211</v>
      </c>
    </row>
    <row r="1383" spans="2:9" x14ac:dyDescent="0.2">
      <c r="B1383" s="64" t="s">
        <v>212</v>
      </c>
      <c r="C1383" s="65"/>
      <c r="D1383" s="62">
        <v>5</v>
      </c>
      <c r="E1383" s="63" t="s">
        <v>213</v>
      </c>
    </row>
    <row r="1384" spans="2:9" x14ac:dyDescent="0.2">
      <c r="B1384" s="64" t="s">
        <v>214</v>
      </c>
      <c r="C1384" s="65"/>
      <c r="D1384" s="62">
        <v>5</v>
      </c>
      <c r="E1384" s="63" t="s">
        <v>215</v>
      </c>
    </row>
    <row r="1385" spans="2:9" x14ac:dyDescent="0.2">
      <c r="B1385" s="64" t="s">
        <v>216</v>
      </c>
      <c r="C1385" s="65"/>
      <c r="D1385" s="62">
        <v>0</v>
      </c>
      <c r="E1385" s="63" t="s">
        <v>217</v>
      </c>
      <c r="I1385" s="57"/>
    </row>
    <row r="1386" spans="2:9" x14ac:dyDescent="0.2">
      <c r="B1386" s="80" t="s">
        <v>218</v>
      </c>
      <c r="C1386" s="81"/>
      <c r="D1386" s="62">
        <v>0</v>
      </c>
      <c r="E1386" s="63" t="s">
        <v>219</v>
      </c>
      <c r="I1386" s="57"/>
    </row>
    <row r="1387" spans="2:9" ht="13.5" thickBot="1" x14ac:dyDescent="0.25">
      <c r="B1387" s="64" t="s">
        <v>220</v>
      </c>
      <c r="C1387" s="65"/>
      <c r="D1387" s="62">
        <v>12</v>
      </c>
      <c r="E1387" s="63" t="s">
        <v>221</v>
      </c>
      <c r="I1387" s="57"/>
    </row>
    <row r="1388" spans="2:9" ht="13.5" customHeight="1" thickBot="1" x14ac:dyDescent="0.25">
      <c r="B1388" s="66" t="s">
        <v>329</v>
      </c>
      <c r="C1388" s="67"/>
      <c r="D1388" s="67"/>
      <c r="E1388" s="68"/>
    </row>
    <row r="1389" spans="2:9" x14ac:dyDescent="0.2">
      <c r="B1389" s="51" t="s">
        <v>223</v>
      </c>
      <c r="E1389" s="50"/>
    </row>
    <row r="1390" spans="2:9" x14ac:dyDescent="0.2">
      <c r="B1390" s="69"/>
      <c r="C1390" s="52" t="s">
        <v>224</v>
      </c>
      <c r="D1390" s="52"/>
      <c r="E1390" s="52"/>
    </row>
    <row r="1391" spans="2:9" x14ac:dyDescent="0.2">
      <c r="B1391" s="51" t="s">
        <v>225</v>
      </c>
      <c r="C1391" s="9"/>
      <c r="D1391" s="9"/>
      <c r="E1391" s="70"/>
    </row>
    <row r="1392" spans="2:9" x14ac:dyDescent="0.2">
      <c r="B1392" s="69"/>
      <c r="C1392" s="52" t="s">
        <v>226</v>
      </c>
      <c r="D1392" s="52"/>
      <c r="E1392" s="52"/>
    </row>
    <row r="1393" spans="2:5" x14ac:dyDescent="0.2">
      <c r="B1393" s="51" t="s">
        <v>227</v>
      </c>
      <c r="E1393" s="50"/>
    </row>
    <row r="1394" spans="2:5" x14ac:dyDescent="0.2">
      <c r="B1394" s="51"/>
      <c r="C1394" s="71" t="s">
        <v>228</v>
      </c>
      <c r="D1394" s="71"/>
      <c r="E1394" s="71"/>
    </row>
    <row r="1395" spans="2:5" ht="13.5" thickBot="1" x14ac:dyDescent="0.25">
      <c r="B1395" s="72"/>
      <c r="C1395" s="73"/>
      <c r="D1395" s="74"/>
      <c r="E1395" s="75"/>
    </row>
    <row r="1396" spans="2:5" ht="13.5" thickBot="1" x14ac:dyDescent="0.25"/>
    <row r="1397" spans="2:5" x14ac:dyDescent="0.2">
      <c r="B1397" s="45" t="s">
        <v>330</v>
      </c>
      <c r="C1397" s="46"/>
      <c r="D1397" s="47"/>
      <c r="E1397" s="48"/>
    </row>
    <row r="1398" spans="2:5" x14ac:dyDescent="0.2">
      <c r="B1398" s="49"/>
      <c r="E1398" s="50"/>
    </row>
    <row r="1399" spans="2:5" x14ac:dyDescent="0.2">
      <c r="B1399" s="51" t="s">
        <v>199</v>
      </c>
      <c r="E1399" s="50"/>
    </row>
    <row r="1400" spans="2:5" x14ac:dyDescent="0.2">
      <c r="B1400" s="51"/>
      <c r="C1400" s="52"/>
      <c r="D1400" s="52"/>
      <c r="E1400" s="52"/>
    </row>
    <row r="1401" spans="2:5" ht="13.5" thickBot="1" x14ac:dyDescent="0.25">
      <c r="B1401" s="51" t="s">
        <v>200</v>
      </c>
      <c r="E1401" s="50"/>
    </row>
    <row r="1402" spans="2:5" ht="13.5" thickBot="1" x14ac:dyDescent="0.25">
      <c r="B1402" s="53" t="s">
        <v>201</v>
      </c>
      <c r="C1402" s="54"/>
      <c r="D1402" s="54"/>
      <c r="E1402" s="55"/>
    </row>
    <row r="1403" spans="2:5" ht="13.5" thickBot="1" x14ac:dyDescent="0.25">
      <c r="B1403" s="53" t="s">
        <v>202</v>
      </c>
      <c r="C1403" s="55"/>
      <c r="D1403" s="56" t="s">
        <v>14</v>
      </c>
      <c r="E1403" s="56" t="s">
        <v>203</v>
      </c>
    </row>
    <row r="1404" spans="2:5" x14ac:dyDescent="0.2">
      <c r="B1404" s="58" t="s">
        <v>204</v>
      </c>
      <c r="C1404" s="58"/>
      <c r="D1404" s="59">
        <v>20</v>
      </c>
      <c r="E1404" s="60" t="s">
        <v>205</v>
      </c>
    </row>
    <row r="1405" spans="2:5" x14ac:dyDescent="0.2">
      <c r="B1405" s="61" t="s">
        <v>206</v>
      </c>
      <c r="C1405" s="61"/>
      <c r="D1405" s="62">
        <v>20</v>
      </c>
      <c r="E1405" s="63" t="s">
        <v>207</v>
      </c>
    </row>
    <row r="1406" spans="2:5" x14ac:dyDescent="0.2">
      <c r="B1406" s="61" t="s">
        <v>208</v>
      </c>
      <c r="C1406" s="61"/>
      <c r="D1406" s="62">
        <v>0</v>
      </c>
      <c r="E1406" s="63" t="s">
        <v>209</v>
      </c>
    </row>
    <row r="1407" spans="2:5" x14ac:dyDescent="0.2">
      <c r="B1407" s="58" t="s">
        <v>210</v>
      </c>
      <c r="C1407" s="58"/>
      <c r="D1407" s="62">
        <v>15</v>
      </c>
      <c r="E1407" s="63" t="s">
        <v>211</v>
      </c>
    </row>
    <row r="1408" spans="2:5" x14ac:dyDescent="0.2">
      <c r="B1408" s="64" t="s">
        <v>212</v>
      </c>
      <c r="C1408" s="65"/>
      <c r="D1408" s="62">
        <v>0</v>
      </c>
      <c r="E1408" s="63" t="s">
        <v>213</v>
      </c>
    </row>
    <row r="1409" spans="2:9" x14ac:dyDescent="0.2">
      <c r="B1409" s="64" t="s">
        <v>214</v>
      </c>
      <c r="C1409" s="65"/>
      <c r="D1409" s="62">
        <v>10</v>
      </c>
      <c r="E1409" s="63" t="s">
        <v>215</v>
      </c>
    </row>
    <row r="1410" spans="2:9" x14ac:dyDescent="0.2">
      <c r="B1410" s="64" t="s">
        <v>216</v>
      </c>
      <c r="C1410" s="65"/>
      <c r="D1410" s="62">
        <v>0</v>
      </c>
      <c r="E1410" s="63" t="s">
        <v>217</v>
      </c>
      <c r="I1410" s="57"/>
    </row>
    <row r="1411" spans="2:9" x14ac:dyDescent="0.2">
      <c r="B1411" s="80" t="s">
        <v>218</v>
      </c>
      <c r="C1411" s="81"/>
      <c r="D1411" s="62">
        <v>10</v>
      </c>
      <c r="E1411" s="63" t="s">
        <v>219</v>
      </c>
      <c r="I1411" s="57"/>
    </row>
    <row r="1412" spans="2:9" ht="13.5" thickBot="1" x14ac:dyDescent="0.25">
      <c r="B1412" s="64" t="s">
        <v>220</v>
      </c>
      <c r="C1412" s="65"/>
      <c r="D1412" s="62">
        <v>20</v>
      </c>
      <c r="E1412" s="63" t="s">
        <v>221</v>
      </c>
      <c r="I1412" s="57"/>
    </row>
    <row r="1413" spans="2:9" ht="13.5" customHeight="1" thickBot="1" x14ac:dyDescent="0.25">
      <c r="B1413" s="66" t="s">
        <v>331</v>
      </c>
      <c r="C1413" s="67"/>
      <c r="D1413" s="67"/>
      <c r="E1413" s="68"/>
    </row>
    <row r="1414" spans="2:9" x14ac:dyDescent="0.2">
      <c r="B1414" s="51" t="s">
        <v>223</v>
      </c>
      <c r="E1414" s="50"/>
    </row>
    <row r="1415" spans="2:9" x14ac:dyDescent="0.2">
      <c r="B1415" s="69"/>
      <c r="C1415" s="52" t="s">
        <v>224</v>
      </c>
      <c r="D1415" s="52"/>
      <c r="E1415" s="52"/>
    </row>
    <row r="1416" spans="2:9" x14ac:dyDescent="0.2">
      <c r="B1416" s="51" t="s">
        <v>225</v>
      </c>
      <c r="C1416" s="9"/>
      <c r="D1416" s="9"/>
      <c r="E1416" s="70"/>
    </row>
    <row r="1417" spans="2:9" x14ac:dyDescent="0.2">
      <c r="B1417" s="69"/>
      <c r="C1417" s="52" t="s">
        <v>226</v>
      </c>
      <c r="D1417" s="52"/>
      <c r="E1417" s="52"/>
    </row>
    <row r="1418" spans="2:9" x14ac:dyDescent="0.2">
      <c r="B1418" s="51" t="s">
        <v>227</v>
      </c>
      <c r="E1418" s="50"/>
    </row>
    <row r="1419" spans="2:9" x14ac:dyDescent="0.2">
      <c r="B1419" s="51"/>
      <c r="C1419" s="71" t="s">
        <v>228</v>
      </c>
      <c r="D1419" s="71"/>
      <c r="E1419" s="71"/>
    </row>
    <row r="1420" spans="2:9" ht="13.5" thickBot="1" x14ac:dyDescent="0.25">
      <c r="B1420" s="72"/>
      <c r="C1420" s="73"/>
      <c r="D1420" s="74"/>
      <c r="E1420" s="75"/>
    </row>
    <row r="1421" spans="2:9" ht="13.5" thickBot="1" x14ac:dyDescent="0.25"/>
    <row r="1422" spans="2:9" x14ac:dyDescent="0.2">
      <c r="B1422" s="45" t="s">
        <v>332</v>
      </c>
      <c r="C1422" s="46"/>
      <c r="D1422" s="47"/>
      <c r="E1422" s="48"/>
    </row>
    <row r="1423" spans="2:9" x14ac:dyDescent="0.2">
      <c r="B1423" s="49"/>
      <c r="E1423" s="50"/>
    </row>
    <row r="1424" spans="2:9" x14ac:dyDescent="0.2">
      <c r="B1424" s="51" t="s">
        <v>199</v>
      </c>
      <c r="E1424" s="50"/>
    </row>
    <row r="1425" spans="2:9" x14ac:dyDescent="0.2">
      <c r="B1425" s="51"/>
      <c r="C1425" s="52"/>
      <c r="D1425" s="52"/>
      <c r="E1425" s="52"/>
    </row>
    <row r="1426" spans="2:9" ht="13.5" thickBot="1" x14ac:dyDescent="0.25">
      <c r="B1426" s="51" t="s">
        <v>200</v>
      </c>
      <c r="E1426" s="50"/>
    </row>
    <row r="1427" spans="2:9" ht="13.5" thickBot="1" x14ac:dyDescent="0.25">
      <c r="B1427" s="53" t="s">
        <v>201</v>
      </c>
      <c r="C1427" s="54"/>
      <c r="D1427" s="54"/>
      <c r="E1427" s="55"/>
    </row>
    <row r="1428" spans="2:9" ht="13.5" thickBot="1" x14ac:dyDescent="0.25">
      <c r="B1428" s="53" t="s">
        <v>202</v>
      </c>
      <c r="C1428" s="55"/>
      <c r="D1428" s="56" t="s">
        <v>14</v>
      </c>
      <c r="E1428" s="56" t="s">
        <v>203</v>
      </c>
    </row>
    <row r="1429" spans="2:9" x14ac:dyDescent="0.2">
      <c r="B1429" s="58" t="s">
        <v>204</v>
      </c>
      <c r="C1429" s="58"/>
      <c r="D1429" s="59">
        <v>12</v>
      </c>
      <c r="E1429" s="60" t="s">
        <v>205</v>
      </c>
    </row>
    <row r="1430" spans="2:9" x14ac:dyDescent="0.2">
      <c r="B1430" s="61" t="s">
        <v>206</v>
      </c>
      <c r="C1430" s="61"/>
      <c r="D1430" s="62">
        <v>40</v>
      </c>
      <c r="E1430" s="63" t="s">
        <v>207</v>
      </c>
    </row>
    <row r="1431" spans="2:9" x14ac:dyDescent="0.2">
      <c r="B1431" s="61" t="s">
        <v>208</v>
      </c>
      <c r="C1431" s="61"/>
      <c r="D1431" s="62">
        <v>12</v>
      </c>
      <c r="E1431" s="63" t="s">
        <v>209</v>
      </c>
    </row>
    <row r="1432" spans="2:9" x14ac:dyDescent="0.2">
      <c r="B1432" s="58" t="s">
        <v>210</v>
      </c>
      <c r="C1432" s="58"/>
      <c r="D1432" s="62">
        <v>24</v>
      </c>
      <c r="E1432" s="63" t="s">
        <v>211</v>
      </c>
    </row>
    <row r="1433" spans="2:9" x14ac:dyDescent="0.2">
      <c r="B1433" s="64" t="s">
        <v>212</v>
      </c>
      <c r="C1433" s="65"/>
      <c r="D1433" s="62">
        <v>0</v>
      </c>
      <c r="E1433" s="63" t="s">
        <v>213</v>
      </c>
    </row>
    <row r="1434" spans="2:9" x14ac:dyDescent="0.2">
      <c r="B1434" s="64" t="s">
        <v>214</v>
      </c>
      <c r="C1434" s="65"/>
      <c r="D1434" s="62">
        <v>8</v>
      </c>
      <c r="E1434" s="63" t="s">
        <v>215</v>
      </c>
    </row>
    <row r="1435" spans="2:9" x14ac:dyDescent="0.2">
      <c r="B1435" s="64" t="s">
        <v>216</v>
      </c>
      <c r="C1435" s="65"/>
      <c r="D1435" s="62">
        <v>0</v>
      </c>
      <c r="E1435" s="63" t="s">
        <v>217</v>
      </c>
      <c r="I1435" s="57"/>
    </row>
    <row r="1436" spans="2:9" x14ac:dyDescent="0.2">
      <c r="B1436" s="80" t="s">
        <v>218</v>
      </c>
      <c r="C1436" s="81"/>
      <c r="D1436" s="62">
        <v>15</v>
      </c>
      <c r="E1436" s="63" t="s">
        <v>219</v>
      </c>
      <c r="I1436" s="57"/>
    </row>
    <row r="1437" spans="2:9" ht="13.5" thickBot="1" x14ac:dyDescent="0.25">
      <c r="B1437" s="64" t="s">
        <v>220</v>
      </c>
      <c r="C1437" s="65"/>
      <c r="D1437" s="62">
        <v>0</v>
      </c>
      <c r="E1437" s="63" t="s">
        <v>221</v>
      </c>
      <c r="I1437" s="57"/>
    </row>
    <row r="1438" spans="2:9" ht="13.5" customHeight="1" thickBot="1" x14ac:dyDescent="0.25">
      <c r="B1438" s="66" t="s">
        <v>333</v>
      </c>
      <c r="C1438" s="67"/>
      <c r="D1438" s="67"/>
      <c r="E1438" s="68"/>
    </row>
    <row r="1439" spans="2:9" x14ac:dyDescent="0.2">
      <c r="B1439" s="51" t="s">
        <v>223</v>
      </c>
      <c r="E1439" s="50"/>
    </row>
    <row r="1440" spans="2:9" x14ac:dyDescent="0.2">
      <c r="B1440" s="69"/>
      <c r="C1440" s="52" t="s">
        <v>224</v>
      </c>
      <c r="D1440" s="52"/>
      <c r="E1440" s="52"/>
    </row>
    <row r="1441" spans="2:5" x14ac:dyDescent="0.2">
      <c r="B1441" s="51" t="s">
        <v>225</v>
      </c>
      <c r="C1441" s="9"/>
      <c r="D1441" s="9"/>
      <c r="E1441" s="70"/>
    </row>
    <row r="1442" spans="2:5" x14ac:dyDescent="0.2">
      <c r="B1442" s="69"/>
      <c r="C1442" s="52" t="s">
        <v>226</v>
      </c>
      <c r="D1442" s="52"/>
      <c r="E1442" s="52"/>
    </row>
    <row r="1443" spans="2:5" x14ac:dyDescent="0.2">
      <c r="B1443" s="51" t="s">
        <v>227</v>
      </c>
      <c r="E1443" s="50"/>
    </row>
    <row r="1444" spans="2:5" x14ac:dyDescent="0.2">
      <c r="B1444" s="51"/>
      <c r="C1444" s="71" t="s">
        <v>228</v>
      </c>
      <c r="D1444" s="71"/>
      <c r="E1444" s="71"/>
    </row>
    <row r="1445" spans="2:5" ht="13.5" thickBot="1" x14ac:dyDescent="0.25">
      <c r="B1445" s="72"/>
      <c r="C1445" s="73"/>
      <c r="D1445" s="74"/>
      <c r="E1445" s="75"/>
    </row>
    <row r="1446" spans="2:5" ht="13.5" thickBot="1" x14ac:dyDescent="0.25"/>
    <row r="1447" spans="2:5" x14ac:dyDescent="0.2">
      <c r="B1447" s="45" t="s">
        <v>334</v>
      </c>
      <c r="C1447" s="46"/>
      <c r="D1447" s="47"/>
      <c r="E1447" s="48"/>
    </row>
    <row r="1448" spans="2:5" x14ac:dyDescent="0.2">
      <c r="B1448" s="49"/>
      <c r="E1448" s="50"/>
    </row>
    <row r="1449" spans="2:5" x14ac:dyDescent="0.2">
      <c r="B1449" s="51" t="s">
        <v>199</v>
      </c>
      <c r="E1449" s="50"/>
    </row>
    <row r="1450" spans="2:5" x14ac:dyDescent="0.2">
      <c r="B1450" s="51"/>
      <c r="C1450" s="52"/>
      <c r="D1450" s="52"/>
      <c r="E1450" s="52"/>
    </row>
    <row r="1451" spans="2:5" ht="13.5" thickBot="1" x14ac:dyDescent="0.25">
      <c r="B1451" s="51" t="s">
        <v>200</v>
      </c>
      <c r="E1451" s="50"/>
    </row>
    <row r="1452" spans="2:5" ht="13.5" thickBot="1" x14ac:dyDescent="0.25">
      <c r="B1452" s="53" t="s">
        <v>201</v>
      </c>
      <c r="C1452" s="54"/>
      <c r="D1452" s="54"/>
      <c r="E1452" s="55"/>
    </row>
    <row r="1453" spans="2:5" ht="13.5" thickBot="1" x14ac:dyDescent="0.25">
      <c r="B1453" s="53" t="s">
        <v>202</v>
      </c>
      <c r="C1453" s="55"/>
      <c r="D1453" s="56" t="s">
        <v>14</v>
      </c>
      <c r="E1453" s="56" t="s">
        <v>203</v>
      </c>
    </row>
    <row r="1454" spans="2:5" x14ac:dyDescent="0.2">
      <c r="B1454" s="58" t="s">
        <v>204</v>
      </c>
      <c r="C1454" s="58"/>
      <c r="D1454" s="59">
        <v>5</v>
      </c>
      <c r="E1454" s="60" t="s">
        <v>205</v>
      </c>
    </row>
    <row r="1455" spans="2:5" x14ac:dyDescent="0.2">
      <c r="B1455" s="61" t="s">
        <v>206</v>
      </c>
      <c r="C1455" s="61"/>
      <c r="D1455" s="62">
        <v>6</v>
      </c>
      <c r="E1455" s="63" t="s">
        <v>207</v>
      </c>
    </row>
    <row r="1456" spans="2:5" x14ac:dyDescent="0.2">
      <c r="B1456" s="61" t="s">
        <v>208</v>
      </c>
      <c r="C1456" s="61"/>
      <c r="D1456" s="62">
        <v>13</v>
      </c>
      <c r="E1456" s="63" t="s">
        <v>209</v>
      </c>
    </row>
    <row r="1457" spans="2:9" x14ac:dyDescent="0.2">
      <c r="B1457" s="58" t="s">
        <v>210</v>
      </c>
      <c r="C1457" s="58"/>
      <c r="D1457" s="62">
        <v>10</v>
      </c>
      <c r="E1457" s="63" t="s">
        <v>211</v>
      </c>
    </row>
    <row r="1458" spans="2:9" x14ac:dyDescent="0.2">
      <c r="B1458" s="64" t="s">
        <v>212</v>
      </c>
      <c r="C1458" s="65"/>
      <c r="D1458" s="62">
        <v>0</v>
      </c>
      <c r="E1458" s="63" t="s">
        <v>213</v>
      </c>
    </row>
    <row r="1459" spans="2:9" x14ac:dyDescent="0.2">
      <c r="B1459" s="64" t="s">
        <v>214</v>
      </c>
      <c r="C1459" s="65"/>
      <c r="D1459" s="62">
        <v>1</v>
      </c>
      <c r="E1459" s="63" t="s">
        <v>215</v>
      </c>
    </row>
    <row r="1460" spans="2:9" x14ac:dyDescent="0.2">
      <c r="B1460" s="64" t="s">
        <v>216</v>
      </c>
      <c r="C1460" s="65"/>
      <c r="D1460" s="62">
        <v>0</v>
      </c>
      <c r="E1460" s="63" t="s">
        <v>217</v>
      </c>
      <c r="I1460" s="57"/>
    </row>
    <row r="1461" spans="2:9" x14ac:dyDescent="0.2">
      <c r="B1461" s="80" t="s">
        <v>218</v>
      </c>
      <c r="C1461" s="81"/>
      <c r="D1461" s="62">
        <v>2</v>
      </c>
      <c r="E1461" s="63" t="s">
        <v>219</v>
      </c>
      <c r="I1461" s="57"/>
    </row>
    <row r="1462" spans="2:9" ht="13.5" thickBot="1" x14ac:dyDescent="0.25">
      <c r="B1462" s="64" t="s">
        <v>220</v>
      </c>
      <c r="C1462" s="65"/>
      <c r="D1462" s="62">
        <v>2</v>
      </c>
      <c r="E1462" s="63" t="s">
        <v>221</v>
      </c>
      <c r="I1462" s="57"/>
    </row>
    <row r="1463" spans="2:9" ht="13.5" customHeight="1" thickBot="1" x14ac:dyDescent="0.25">
      <c r="B1463" s="66" t="s">
        <v>335</v>
      </c>
      <c r="C1463" s="67"/>
      <c r="D1463" s="67"/>
      <c r="E1463" s="68"/>
    </row>
    <row r="1464" spans="2:9" x14ac:dyDescent="0.2">
      <c r="B1464" s="51" t="s">
        <v>223</v>
      </c>
      <c r="E1464" s="50"/>
    </row>
    <row r="1465" spans="2:9" x14ac:dyDescent="0.2">
      <c r="B1465" s="69"/>
      <c r="C1465" s="52" t="s">
        <v>224</v>
      </c>
      <c r="D1465" s="52"/>
      <c r="E1465" s="52"/>
    </row>
    <row r="1466" spans="2:9" x14ac:dyDescent="0.2">
      <c r="B1466" s="51" t="s">
        <v>225</v>
      </c>
      <c r="C1466" s="9"/>
      <c r="D1466" s="9"/>
      <c r="E1466" s="70"/>
    </row>
    <row r="1467" spans="2:9" x14ac:dyDescent="0.2">
      <c r="B1467" s="69"/>
      <c r="C1467" s="52" t="s">
        <v>226</v>
      </c>
      <c r="D1467" s="52"/>
      <c r="E1467" s="52"/>
    </row>
    <row r="1468" spans="2:9" x14ac:dyDescent="0.2">
      <c r="B1468" s="51" t="s">
        <v>227</v>
      </c>
      <c r="E1468" s="50"/>
    </row>
    <row r="1469" spans="2:9" x14ac:dyDescent="0.2">
      <c r="B1469" s="51"/>
      <c r="C1469" s="71" t="s">
        <v>228</v>
      </c>
      <c r="D1469" s="71"/>
      <c r="E1469" s="71"/>
    </row>
    <row r="1470" spans="2:9" ht="13.5" thickBot="1" x14ac:dyDescent="0.25">
      <c r="B1470" s="72"/>
      <c r="C1470" s="73"/>
      <c r="D1470" s="74"/>
      <c r="E1470" s="75"/>
    </row>
    <row r="1471" spans="2:9" ht="13.5" thickBot="1" x14ac:dyDescent="0.25"/>
    <row r="1472" spans="2:9" x14ac:dyDescent="0.2">
      <c r="B1472" s="45" t="s">
        <v>336</v>
      </c>
      <c r="C1472" s="46"/>
      <c r="D1472" s="47"/>
      <c r="E1472" s="48"/>
    </row>
    <row r="1473" spans="2:9" x14ac:dyDescent="0.2">
      <c r="B1473" s="49"/>
      <c r="E1473" s="50"/>
    </row>
    <row r="1474" spans="2:9" x14ac:dyDescent="0.2">
      <c r="B1474" s="51" t="s">
        <v>199</v>
      </c>
      <c r="E1474" s="50"/>
    </row>
    <row r="1475" spans="2:9" x14ac:dyDescent="0.2">
      <c r="B1475" s="51"/>
      <c r="C1475" s="52"/>
      <c r="D1475" s="52"/>
      <c r="E1475" s="52"/>
    </row>
    <row r="1476" spans="2:9" ht="13.5" thickBot="1" x14ac:dyDescent="0.25">
      <c r="B1476" s="51" t="s">
        <v>200</v>
      </c>
      <c r="E1476" s="50"/>
    </row>
    <row r="1477" spans="2:9" ht="13.5" thickBot="1" x14ac:dyDescent="0.25">
      <c r="B1477" s="53" t="s">
        <v>201</v>
      </c>
      <c r="C1477" s="54"/>
      <c r="D1477" s="54"/>
      <c r="E1477" s="55"/>
    </row>
    <row r="1478" spans="2:9" ht="13.5" thickBot="1" x14ac:dyDescent="0.25">
      <c r="B1478" s="53" t="s">
        <v>202</v>
      </c>
      <c r="C1478" s="55"/>
      <c r="D1478" s="56" t="s">
        <v>14</v>
      </c>
      <c r="E1478" s="56" t="s">
        <v>203</v>
      </c>
    </row>
    <row r="1479" spans="2:9" x14ac:dyDescent="0.2">
      <c r="B1479" s="58" t="s">
        <v>204</v>
      </c>
      <c r="C1479" s="58"/>
      <c r="D1479" s="59">
        <v>0</v>
      </c>
      <c r="E1479" s="60" t="s">
        <v>205</v>
      </c>
    </row>
    <row r="1480" spans="2:9" x14ac:dyDescent="0.2">
      <c r="B1480" s="61" t="s">
        <v>206</v>
      </c>
      <c r="C1480" s="61"/>
      <c r="D1480" s="62">
        <v>20</v>
      </c>
      <c r="E1480" s="63" t="s">
        <v>207</v>
      </c>
    </row>
    <row r="1481" spans="2:9" x14ac:dyDescent="0.2">
      <c r="B1481" s="61" t="s">
        <v>208</v>
      </c>
      <c r="C1481" s="61"/>
      <c r="D1481" s="62">
        <v>24</v>
      </c>
      <c r="E1481" s="63" t="s">
        <v>209</v>
      </c>
    </row>
    <row r="1482" spans="2:9" x14ac:dyDescent="0.2">
      <c r="B1482" s="58" t="s">
        <v>210</v>
      </c>
      <c r="C1482" s="58"/>
      <c r="D1482" s="62">
        <v>0</v>
      </c>
      <c r="E1482" s="63" t="s">
        <v>211</v>
      </c>
    </row>
    <row r="1483" spans="2:9" x14ac:dyDescent="0.2">
      <c r="B1483" s="64" t="s">
        <v>212</v>
      </c>
      <c r="C1483" s="65"/>
      <c r="D1483" s="62">
        <v>50</v>
      </c>
      <c r="E1483" s="63" t="s">
        <v>213</v>
      </c>
    </row>
    <row r="1484" spans="2:9" x14ac:dyDescent="0.2">
      <c r="B1484" s="64" t="s">
        <v>214</v>
      </c>
      <c r="C1484" s="65"/>
      <c r="D1484" s="62">
        <v>12</v>
      </c>
      <c r="E1484" s="63" t="s">
        <v>215</v>
      </c>
    </row>
    <row r="1485" spans="2:9" x14ac:dyDescent="0.2">
      <c r="B1485" s="64" t="s">
        <v>216</v>
      </c>
      <c r="C1485" s="65"/>
      <c r="D1485" s="62">
        <v>0</v>
      </c>
      <c r="E1485" s="63" t="s">
        <v>217</v>
      </c>
      <c r="I1485" s="57"/>
    </row>
    <row r="1486" spans="2:9" x14ac:dyDescent="0.2">
      <c r="B1486" s="80" t="s">
        <v>218</v>
      </c>
      <c r="C1486" s="81"/>
      <c r="D1486" s="62">
        <v>20</v>
      </c>
      <c r="E1486" s="63" t="s">
        <v>219</v>
      </c>
      <c r="I1486" s="57"/>
    </row>
    <row r="1487" spans="2:9" ht="13.5" thickBot="1" x14ac:dyDescent="0.25">
      <c r="B1487" s="64" t="s">
        <v>220</v>
      </c>
      <c r="C1487" s="65"/>
      <c r="D1487" s="62">
        <v>0</v>
      </c>
      <c r="E1487" s="63" t="s">
        <v>221</v>
      </c>
      <c r="I1487" s="57"/>
    </row>
    <row r="1488" spans="2:9" ht="13.5" customHeight="1" thickBot="1" x14ac:dyDescent="0.25">
      <c r="B1488" s="66" t="s">
        <v>337</v>
      </c>
      <c r="C1488" s="67"/>
      <c r="D1488" s="67"/>
      <c r="E1488" s="68"/>
    </row>
    <row r="1489" spans="2:5" x14ac:dyDescent="0.2">
      <c r="B1489" s="51" t="s">
        <v>223</v>
      </c>
      <c r="E1489" s="50"/>
    </row>
    <row r="1490" spans="2:5" x14ac:dyDescent="0.2">
      <c r="B1490" s="69"/>
      <c r="C1490" s="52" t="s">
        <v>224</v>
      </c>
      <c r="D1490" s="52"/>
      <c r="E1490" s="52"/>
    </row>
    <row r="1491" spans="2:5" x14ac:dyDescent="0.2">
      <c r="B1491" s="51" t="s">
        <v>225</v>
      </c>
      <c r="C1491" s="9"/>
      <c r="D1491" s="9"/>
      <c r="E1491" s="70"/>
    </row>
    <row r="1492" spans="2:5" x14ac:dyDescent="0.2">
      <c r="B1492" s="69"/>
      <c r="C1492" s="52" t="s">
        <v>226</v>
      </c>
      <c r="D1492" s="52"/>
      <c r="E1492" s="52"/>
    </row>
    <row r="1493" spans="2:5" x14ac:dyDescent="0.2">
      <c r="B1493" s="51" t="s">
        <v>227</v>
      </c>
      <c r="E1493" s="50"/>
    </row>
    <row r="1494" spans="2:5" x14ac:dyDescent="0.2">
      <c r="B1494" s="51"/>
      <c r="C1494" s="71" t="s">
        <v>228</v>
      </c>
      <c r="D1494" s="71"/>
      <c r="E1494" s="71"/>
    </row>
    <row r="1495" spans="2:5" ht="13.5" thickBot="1" x14ac:dyDescent="0.25">
      <c r="B1495" s="72"/>
      <c r="C1495" s="73"/>
      <c r="D1495" s="74"/>
      <c r="E1495" s="75"/>
    </row>
    <row r="1496" spans="2:5" ht="13.5" thickBot="1" x14ac:dyDescent="0.25"/>
    <row r="1497" spans="2:5" x14ac:dyDescent="0.2">
      <c r="B1497" s="45" t="s">
        <v>338</v>
      </c>
      <c r="C1497" s="46"/>
      <c r="D1497" s="47"/>
      <c r="E1497" s="48"/>
    </row>
    <row r="1498" spans="2:5" x14ac:dyDescent="0.2">
      <c r="B1498" s="49"/>
      <c r="E1498" s="50"/>
    </row>
    <row r="1499" spans="2:5" x14ac:dyDescent="0.2">
      <c r="B1499" s="51" t="s">
        <v>199</v>
      </c>
      <c r="E1499" s="50"/>
    </row>
    <row r="1500" spans="2:5" x14ac:dyDescent="0.2">
      <c r="B1500" s="51"/>
      <c r="C1500" s="52"/>
      <c r="D1500" s="52"/>
      <c r="E1500" s="52"/>
    </row>
    <row r="1501" spans="2:5" ht="13.5" thickBot="1" x14ac:dyDescent="0.25">
      <c r="B1501" s="51" t="s">
        <v>200</v>
      </c>
      <c r="E1501" s="50"/>
    </row>
    <row r="1502" spans="2:5" ht="13.5" thickBot="1" x14ac:dyDescent="0.25">
      <c r="B1502" s="53" t="s">
        <v>201</v>
      </c>
      <c r="C1502" s="54"/>
      <c r="D1502" s="54"/>
      <c r="E1502" s="55"/>
    </row>
    <row r="1503" spans="2:5" ht="13.5" thickBot="1" x14ac:dyDescent="0.25">
      <c r="B1503" s="53" t="s">
        <v>202</v>
      </c>
      <c r="C1503" s="55"/>
      <c r="D1503" s="56" t="s">
        <v>14</v>
      </c>
      <c r="E1503" s="56" t="s">
        <v>203</v>
      </c>
    </row>
    <row r="1504" spans="2:5" x14ac:dyDescent="0.2">
      <c r="B1504" s="58" t="s">
        <v>204</v>
      </c>
      <c r="C1504" s="58"/>
      <c r="D1504" s="59">
        <v>10</v>
      </c>
      <c r="E1504" s="60" t="s">
        <v>205</v>
      </c>
    </row>
    <row r="1505" spans="2:9" x14ac:dyDescent="0.2">
      <c r="B1505" s="61" t="s">
        <v>206</v>
      </c>
      <c r="C1505" s="61"/>
      <c r="D1505" s="62">
        <v>20</v>
      </c>
      <c r="E1505" s="63" t="s">
        <v>207</v>
      </c>
    </row>
    <row r="1506" spans="2:9" x14ac:dyDescent="0.2">
      <c r="B1506" s="61" t="s">
        <v>208</v>
      </c>
      <c r="C1506" s="61"/>
      <c r="D1506" s="62">
        <v>0</v>
      </c>
      <c r="E1506" s="63" t="s">
        <v>209</v>
      </c>
    </row>
    <row r="1507" spans="2:9" x14ac:dyDescent="0.2">
      <c r="B1507" s="58" t="s">
        <v>210</v>
      </c>
      <c r="C1507" s="58"/>
      <c r="D1507" s="62">
        <v>10</v>
      </c>
      <c r="E1507" s="63" t="s">
        <v>211</v>
      </c>
    </row>
    <row r="1508" spans="2:9" x14ac:dyDescent="0.2">
      <c r="B1508" s="64" t="s">
        <v>212</v>
      </c>
      <c r="C1508" s="65"/>
      <c r="D1508" s="62">
        <v>0</v>
      </c>
      <c r="E1508" s="63" t="s">
        <v>213</v>
      </c>
    </row>
    <row r="1509" spans="2:9" x14ac:dyDescent="0.2">
      <c r="B1509" s="64" t="s">
        <v>214</v>
      </c>
      <c r="C1509" s="65"/>
      <c r="D1509" s="62">
        <v>0</v>
      </c>
      <c r="E1509" s="63" t="s">
        <v>215</v>
      </c>
    </row>
    <row r="1510" spans="2:9" x14ac:dyDescent="0.2">
      <c r="B1510" s="64" t="s">
        <v>216</v>
      </c>
      <c r="C1510" s="65"/>
      <c r="D1510" s="62">
        <v>0</v>
      </c>
      <c r="E1510" s="63" t="s">
        <v>217</v>
      </c>
      <c r="I1510" s="57"/>
    </row>
    <row r="1511" spans="2:9" x14ac:dyDescent="0.2">
      <c r="B1511" s="80" t="s">
        <v>218</v>
      </c>
      <c r="C1511" s="81"/>
      <c r="D1511" s="62">
        <v>0</v>
      </c>
      <c r="E1511" s="63" t="s">
        <v>219</v>
      </c>
      <c r="I1511" s="57"/>
    </row>
    <row r="1512" spans="2:9" ht="13.5" thickBot="1" x14ac:dyDescent="0.25">
      <c r="B1512" s="64" t="s">
        <v>220</v>
      </c>
      <c r="C1512" s="65"/>
      <c r="D1512" s="62">
        <v>15</v>
      </c>
      <c r="E1512" s="63" t="s">
        <v>221</v>
      </c>
      <c r="I1512" s="57"/>
    </row>
    <row r="1513" spans="2:9" ht="13.5" customHeight="1" thickBot="1" x14ac:dyDescent="0.25">
      <c r="B1513" s="66" t="s">
        <v>339</v>
      </c>
      <c r="C1513" s="67"/>
      <c r="D1513" s="67"/>
      <c r="E1513" s="68"/>
    </row>
    <row r="1514" spans="2:9" x14ac:dyDescent="0.2">
      <c r="B1514" s="51" t="s">
        <v>223</v>
      </c>
      <c r="E1514" s="50"/>
    </row>
    <row r="1515" spans="2:9" x14ac:dyDescent="0.2">
      <c r="B1515" s="69"/>
      <c r="C1515" s="52" t="s">
        <v>224</v>
      </c>
      <c r="D1515" s="52"/>
      <c r="E1515" s="52"/>
    </row>
    <row r="1516" spans="2:9" x14ac:dyDescent="0.2">
      <c r="B1516" s="51" t="s">
        <v>225</v>
      </c>
      <c r="C1516" s="9"/>
      <c r="D1516" s="9"/>
      <c r="E1516" s="70"/>
    </row>
    <row r="1517" spans="2:9" x14ac:dyDescent="0.2">
      <c r="B1517" s="69"/>
      <c r="C1517" s="52" t="s">
        <v>226</v>
      </c>
      <c r="D1517" s="52"/>
      <c r="E1517" s="52"/>
    </row>
    <row r="1518" spans="2:9" x14ac:dyDescent="0.2">
      <c r="B1518" s="51" t="s">
        <v>227</v>
      </c>
      <c r="E1518" s="50"/>
    </row>
    <row r="1519" spans="2:9" x14ac:dyDescent="0.2">
      <c r="B1519" s="51"/>
      <c r="C1519" s="71" t="s">
        <v>228</v>
      </c>
      <c r="D1519" s="71"/>
      <c r="E1519" s="71"/>
    </row>
    <row r="1520" spans="2:9" ht="13.5" thickBot="1" x14ac:dyDescent="0.25">
      <c r="B1520" s="72"/>
      <c r="C1520" s="73"/>
      <c r="D1520" s="74"/>
      <c r="E1520" s="75"/>
    </row>
    <row r="1521" spans="2:9" ht="13.5" thickBot="1" x14ac:dyDescent="0.25"/>
    <row r="1522" spans="2:9" x14ac:dyDescent="0.2">
      <c r="B1522" s="45" t="s">
        <v>340</v>
      </c>
      <c r="C1522" s="46"/>
      <c r="D1522" s="47"/>
      <c r="E1522" s="48"/>
    </row>
    <row r="1523" spans="2:9" x14ac:dyDescent="0.2">
      <c r="B1523" s="49"/>
      <c r="E1523" s="50"/>
    </row>
    <row r="1524" spans="2:9" x14ac:dyDescent="0.2">
      <c r="B1524" s="51" t="s">
        <v>199</v>
      </c>
      <c r="E1524" s="50"/>
    </row>
    <row r="1525" spans="2:9" x14ac:dyDescent="0.2">
      <c r="B1525" s="51"/>
      <c r="C1525" s="52"/>
      <c r="D1525" s="52"/>
      <c r="E1525" s="52"/>
    </row>
    <row r="1526" spans="2:9" ht="13.5" thickBot="1" x14ac:dyDescent="0.25">
      <c r="B1526" s="51" t="s">
        <v>200</v>
      </c>
      <c r="E1526" s="50"/>
    </row>
    <row r="1527" spans="2:9" ht="13.5" thickBot="1" x14ac:dyDescent="0.25">
      <c r="B1527" s="53" t="s">
        <v>201</v>
      </c>
      <c r="C1527" s="54"/>
      <c r="D1527" s="54"/>
      <c r="E1527" s="55"/>
    </row>
    <row r="1528" spans="2:9" ht="13.5" thickBot="1" x14ac:dyDescent="0.25">
      <c r="B1528" s="53" t="s">
        <v>202</v>
      </c>
      <c r="C1528" s="55"/>
      <c r="D1528" s="56" t="s">
        <v>14</v>
      </c>
      <c r="E1528" s="56" t="s">
        <v>203</v>
      </c>
    </row>
    <row r="1529" spans="2:9" x14ac:dyDescent="0.2">
      <c r="B1529" s="58" t="s">
        <v>204</v>
      </c>
      <c r="C1529" s="58"/>
      <c r="D1529" s="59">
        <v>0</v>
      </c>
      <c r="E1529" s="60" t="s">
        <v>205</v>
      </c>
    </row>
    <row r="1530" spans="2:9" x14ac:dyDescent="0.2">
      <c r="B1530" s="61" t="s">
        <v>206</v>
      </c>
      <c r="C1530" s="61"/>
      <c r="D1530" s="62">
        <v>20</v>
      </c>
      <c r="E1530" s="63" t="s">
        <v>207</v>
      </c>
    </row>
    <row r="1531" spans="2:9" x14ac:dyDescent="0.2">
      <c r="B1531" s="61" t="s">
        <v>208</v>
      </c>
      <c r="C1531" s="61"/>
      <c r="D1531" s="62">
        <v>0</v>
      </c>
      <c r="E1531" s="63" t="s">
        <v>209</v>
      </c>
    </row>
    <row r="1532" spans="2:9" x14ac:dyDescent="0.2">
      <c r="B1532" s="58" t="s">
        <v>210</v>
      </c>
      <c r="C1532" s="58"/>
      <c r="D1532" s="62">
        <v>0</v>
      </c>
      <c r="E1532" s="63" t="s">
        <v>211</v>
      </c>
    </row>
    <row r="1533" spans="2:9" x14ac:dyDescent="0.2">
      <c r="B1533" s="64" t="s">
        <v>212</v>
      </c>
      <c r="C1533" s="65"/>
      <c r="D1533" s="62">
        <v>0</v>
      </c>
      <c r="E1533" s="63" t="s">
        <v>213</v>
      </c>
    </row>
    <row r="1534" spans="2:9" x14ac:dyDescent="0.2">
      <c r="B1534" s="64" t="s">
        <v>214</v>
      </c>
      <c r="C1534" s="65"/>
      <c r="D1534" s="62">
        <v>6</v>
      </c>
      <c r="E1534" s="63" t="s">
        <v>215</v>
      </c>
    </row>
    <row r="1535" spans="2:9" x14ac:dyDescent="0.2">
      <c r="B1535" s="64" t="s">
        <v>216</v>
      </c>
      <c r="C1535" s="65"/>
      <c r="D1535" s="62">
        <v>0</v>
      </c>
      <c r="E1535" s="63" t="s">
        <v>217</v>
      </c>
      <c r="I1535" s="57"/>
    </row>
    <row r="1536" spans="2:9" x14ac:dyDescent="0.2">
      <c r="B1536" s="80" t="s">
        <v>218</v>
      </c>
      <c r="C1536" s="81"/>
      <c r="D1536" s="62">
        <v>10</v>
      </c>
      <c r="E1536" s="63" t="s">
        <v>219</v>
      </c>
      <c r="I1536" s="57"/>
    </row>
    <row r="1537" spans="2:9" ht="13.5" thickBot="1" x14ac:dyDescent="0.25">
      <c r="B1537" s="64" t="s">
        <v>220</v>
      </c>
      <c r="C1537" s="65"/>
      <c r="D1537" s="62">
        <v>20</v>
      </c>
      <c r="E1537" s="63" t="s">
        <v>221</v>
      </c>
      <c r="I1537" s="57"/>
    </row>
    <row r="1538" spans="2:9" ht="13.5" customHeight="1" thickBot="1" x14ac:dyDescent="0.25">
      <c r="B1538" s="66" t="s">
        <v>316</v>
      </c>
      <c r="C1538" s="67"/>
      <c r="D1538" s="67"/>
      <c r="E1538" s="68"/>
    </row>
    <row r="1539" spans="2:9" x14ac:dyDescent="0.2">
      <c r="B1539" s="51" t="s">
        <v>223</v>
      </c>
      <c r="E1539" s="50"/>
    </row>
    <row r="1540" spans="2:9" x14ac:dyDescent="0.2">
      <c r="B1540" s="69"/>
      <c r="C1540" s="52" t="s">
        <v>224</v>
      </c>
      <c r="D1540" s="52"/>
      <c r="E1540" s="52"/>
    </row>
    <row r="1541" spans="2:9" x14ac:dyDescent="0.2">
      <c r="B1541" s="51" t="s">
        <v>225</v>
      </c>
      <c r="C1541" s="9"/>
      <c r="D1541" s="9"/>
      <c r="E1541" s="70"/>
    </row>
    <row r="1542" spans="2:9" x14ac:dyDescent="0.2">
      <c r="B1542" s="69"/>
      <c r="C1542" s="52" t="s">
        <v>226</v>
      </c>
      <c r="D1542" s="52"/>
      <c r="E1542" s="52"/>
    </row>
    <row r="1543" spans="2:9" x14ac:dyDescent="0.2">
      <c r="B1543" s="51" t="s">
        <v>227</v>
      </c>
      <c r="E1543" s="50"/>
    </row>
    <row r="1544" spans="2:9" x14ac:dyDescent="0.2">
      <c r="B1544" s="51"/>
      <c r="C1544" s="71" t="s">
        <v>228</v>
      </c>
      <c r="D1544" s="71"/>
      <c r="E1544" s="71"/>
    </row>
    <row r="1545" spans="2:9" ht="13.5" thickBot="1" x14ac:dyDescent="0.25">
      <c r="B1545" s="72"/>
      <c r="C1545" s="73"/>
      <c r="D1545" s="74"/>
      <c r="E1545" s="75"/>
    </row>
    <row r="1546" spans="2:9" ht="13.5" thickBot="1" x14ac:dyDescent="0.25"/>
    <row r="1547" spans="2:9" x14ac:dyDescent="0.2">
      <c r="B1547" s="45" t="s">
        <v>341</v>
      </c>
      <c r="C1547" s="46"/>
      <c r="D1547" s="47"/>
      <c r="E1547" s="48"/>
    </row>
    <row r="1548" spans="2:9" x14ac:dyDescent="0.2">
      <c r="B1548" s="49"/>
      <c r="E1548" s="50"/>
    </row>
    <row r="1549" spans="2:9" x14ac:dyDescent="0.2">
      <c r="B1549" s="51" t="s">
        <v>199</v>
      </c>
      <c r="E1549" s="50"/>
    </row>
    <row r="1550" spans="2:9" x14ac:dyDescent="0.2">
      <c r="B1550" s="51"/>
      <c r="C1550" s="52"/>
      <c r="D1550" s="52"/>
      <c r="E1550" s="52"/>
    </row>
    <row r="1551" spans="2:9" ht="13.5" thickBot="1" x14ac:dyDescent="0.25">
      <c r="B1551" s="51" t="s">
        <v>200</v>
      </c>
      <c r="E1551" s="50"/>
    </row>
    <row r="1552" spans="2:9" ht="13.5" thickBot="1" x14ac:dyDescent="0.25">
      <c r="B1552" s="53" t="s">
        <v>201</v>
      </c>
      <c r="C1552" s="54"/>
      <c r="D1552" s="54"/>
      <c r="E1552" s="55"/>
    </row>
    <row r="1553" spans="2:9" ht="13.5" thickBot="1" x14ac:dyDescent="0.25">
      <c r="B1553" s="53" t="s">
        <v>202</v>
      </c>
      <c r="C1553" s="55"/>
      <c r="D1553" s="56" t="s">
        <v>14</v>
      </c>
      <c r="E1553" s="56" t="s">
        <v>203</v>
      </c>
    </row>
    <row r="1554" spans="2:9" x14ac:dyDescent="0.2">
      <c r="B1554" s="58" t="s">
        <v>204</v>
      </c>
      <c r="C1554" s="58"/>
      <c r="D1554" s="59">
        <v>0</v>
      </c>
      <c r="E1554" s="60" t="s">
        <v>205</v>
      </c>
    </row>
    <row r="1555" spans="2:9" x14ac:dyDescent="0.2">
      <c r="B1555" s="61" t="s">
        <v>206</v>
      </c>
      <c r="C1555" s="61"/>
      <c r="D1555" s="62">
        <v>20</v>
      </c>
      <c r="E1555" s="63" t="s">
        <v>207</v>
      </c>
    </row>
    <row r="1556" spans="2:9" x14ac:dyDescent="0.2">
      <c r="B1556" s="61" t="s">
        <v>208</v>
      </c>
      <c r="C1556" s="61"/>
      <c r="D1556" s="62">
        <v>0</v>
      </c>
      <c r="E1556" s="63" t="s">
        <v>209</v>
      </c>
    </row>
    <row r="1557" spans="2:9" x14ac:dyDescent="0.2">
      <c r="B1557" s="58" t="s">
        <v>210</v>
      </c>
      <c r="C1557" s="58"/>
      <c r="D1557" s="62">
        <v>24</v>
      </c>
      <c r="E1557" s="63" t="s">
        <v>211</v>
      </c>
    </row>
    <row r="1558" spans="2:9" x14ac:dyDescent="0.2">
      <c r="B1558" s="64" t="s">
        <v>212</v>
      </c>
      <c r="C1558" s="65"/>
      <c r="D1558" s="62">
        <v>0</v>
      </c>
      <c r="E1558" s="63" t="s">
        <v>213</v>
      </c>
    </row>
    <row r="1559" spans="2:9" x14ac:dyDescent="0.2">
      <c r="B1559" s="64" t="s">
        <v>214</v>
      </c>
      <c r="C1559" s="65"/>
      <c r="D1559" s="62">
        <v>0</v>
      </c>
      <c r="E1559" s="63" t="s">
        <v>215</v>
      </c>
    </row>
    <row r="1560" spans="2:9" x14ac:dyDescent="0.2">
      <c r="B1560" s="64" t="s">
        <v>216</v>
      </c>
      <c r="C1560" s="65"/>
      <c r="D1560" s="62">
        <v>0</v>
      </c>
      <c r="E1560" s="63" t="s">
        <v>217</v>
      </c>
      <c r="I1560" s="57"/>
    </row>
    <row r="1561" spans="2:9" x14ac:dyDescent="0.2">
      <c r="B1561" s="80" t="s">
        <v>218</v>
      </c>
      <c r="C1561" s="81"/>
      <c r="D1561" s="62">
        <v>0</v>
      </c>
      <c r="E1561" s="63" t="s">
        <v>219</v>
      </c>
      <c r="I1561" s="57"/>
    </row>
    <row r="1562" spans="2:9" ht="13.5" thickBot="1" x14ac:dyDescent="0.25">
      <c r="B1562" s="64" t="s">
        <v>220</v>
      </c>
      <c r="C1562" s="65"/>
      <c r="D1562" s="62">
        <v>0</v>
      </c>
      <c r="E1562" s="63" t="s">
        <v>221</v>
      </c>
      <c r="I1562" s="57"/>
    </row>
    <row r="1563" spans="2:9" ht="13.5" customHeight="1" thickBot="1" x14ac:dyDescent="0.25">
      <c r="B1563" s="66" t="s">
        <v>342</v>
      </c>
      <c r="C1563" s="67"/>
      <c r="D1563" s="67"/>
      <c r="E1563" s="68"/>
    </row>
    <row r="1564" spans="2:9" x14ac:dyDescent="0.2">
      <c r="B1564" s="51" t="s">
        <v>223</v>
      </c>
      <c r="E1564" s="50"/>
    </row>
    <row r="1565" spans="2:9" x14ac:dyDescent="0.2">
      <c r="B1565" s="69"/>
      <c r="C1565" s="52" t="s">
        <v>224</v>
      </c>
      <c r="D1565" s="52"/>
      <c r="E1565" s="52"/>
    </row>
    <row r="1566" spans="2:9" x14ac:dyDescent="0.2">
      <c r="B1566" s="51" t="s">
        <v>225</v>
      </c>
      <c r="C1566" s="9"/>
      <c r="D1566" s="9"/>
      <c r="E1566" s="70"/>
    </row>
    <row r="1567" spans="2:9" x14ac:dyDescent="0.2">
      <c r="B1567" s="69"/>
      <c r="C1567" s="52" t="s">
        <v>226</v>
      </c>
      <c r="D1567" s="52"/>
      <c r="E1567" s="52"/>
    </row>
    <row r="1568" spans="2:9" x14ac:dyDescent="0.2">
      <c r="B1568" s="51" t="s">
        <v>227</v>
      </c>
      <c r="E1568" s="50"/>
    </row>
    <row r="1569" spans="2:5" x14ac:dyDescent="0.2">
      <c r="B1569" s="51"/>
      <c r="C1569" s="71" t="s">
        <v>228</v>
      </c>
      <c r="D1569" s="71"/>
      <c r="E1569" s="71"/>
    </row>
    <row r="1570" spans="2:5" ht="13.5" thickBot="1" x14ac:dyDescent="0.25">
      <c r="B1570" s="72"/>
      <c r="C1570" s="73"/>
      <c r="D1570" s="74"/>
      <c r="E1570" s="75"/>
    </row>
    <row r="1571" spans="2:5" ht="13.5" thickBot="1" x14ac:dyDescent="0.25"/>
    <row r="1572" spans="2:5" x14ac:dyDescent="0.2">
      <c r="B1572" s="45" t="s">
        <v>343</v>
      </c>
      <c r="C1572" s="46"/>
      <c r="D1572" s="47"/>
      <c r="E1572" s="48"/>
    </row>
    <row r="1573" spans="2:5" x14ac:dyDescent="0.2">
      <c r="B1573" s="49"/>
      <c r="E1573" s="50"/>
    </row>
    <row r="1574" spans="2:5" x14ac:dyDescent="0.2">
      <c r="B1574" s="51" t="s">
        <v>199</v>
      </c>
      <c r="E1574" s="50"/>
    </row>
    <row r="1575" spans="2:5" x14ac:dyDescent="0.2">
      <c r="B1575" s="51"/>
      <c r="C1575" s="52"/>
      <c r="D1575" s="52"/>
      <c r="E1575" s="52"/>
    </row>
    <row r="1576" spans="2:5" ht="13.5" thickBot="1" x14ac:dyDescent="0.25">
      <c r="B1576" s="51" t="s">
        <v>200</v>
      </c>
      <c r="E1576" s="50"/>
    </row>
    <row r="1577" spans="2:5" ht="13.5" thickBot="1" x14ac:dyDescent="0.25">
      <c r="B1577" s="53" t="s">
        <v>201</v>
      </c>
      <c r="C1577" s="54"/>
      <c r="D1577" s="54"/>
      <c r="E1577" s="55"/>
    </row>
    <row r="1578" spans="2:5" ht="13.5" thickBot="1" x14ac:dyDescent="0.25">
      <c r="B1578" s="53" t="s">
        <v>202</v>
      </c>
      <c r="C1578" s="55"/>
      <c r="D1578" s="56" t="s">
        <v>14</v>
      </c>
      <c r="E1578" s="56" t="s">
        <v>203</v>
      </c>
    </row>
    <row r="1579" spans="2:5" x14ac:dyDescent="0.2">
      <c r="B1579" s="58" t="s">
        <v>204</v>
      </c>
      <c r="C1579" s="58"/>
      <c r="D1579" s="59">
        <v>0</v>
      </c>
      <c r="E1579" s="60" t="s">
        <v>205</v>
      </c>
    </row>
    <row r="1580" spans="2:5" x14ac:dyDescent="0.2">
      <c r="B1580" s="61" t="s">
        <v>206</v>
      </c>
      <c r="C1580" s="61"/>
      <c r="D1580" s="62">
        <v>0</v>
      </c>
      <c r="E1580" s="63" t="s">
        <v>207</v>
      </c>
    </row>
    <row r="1581" spans="2:5" x14ac:dyDescent="0.2">
      <c r="B1581" s="61" t="s">
        <v>208</v>
      </c>
      <c r="C1581" s="61"/>
      <c r="D1581" s="62">
        <v>0</v>
      </c>
      <c r="E1581" s="63" t="s">
        <v>209</v>
      </c>
    </row>
    <row r="1582" spans="2:5" x14ac:dyDescent="0.2">
      <c r="B1582" s="58" t="s">
        <v>210</v>
      </c>
      <c r="C1582" s="58"/>
      <c r="D1582" s="62">
        <v>14</v>
      </c>
      <c r="E1582" s="63" t="s">
        <v>211</v>
      </c>
    </row>
    <row r="1583" spans="2:5" x14ac:dyDescent="0.2">
      <c r="B1583" s="64" t="s">
        <v>212</v>
      </c>
      <c r="C1583" s="65"/>
      <c r="D1583" s="62">
        <v>0</v>
      </c>
      <c r="E1583" s="63" t="s">
        <v>213</v>
      </c>
    </row>
    <row r="1584" spans="2:5" x14ac:dyDescent="0.2">
      <c r="B1584" s="64" t="s">
        <v>214</v>
      </c>
      <c r="C1584" s="65"/>
      <c r="D1584" s="62">
        <v>0</v>
      </c>
      <c r="E1584" s="63" t="s">
        <v>215</v>
      </c>
    </row>
    <row r="1585" spans="2:9" x14ac:dyDescent="0.2">
      <c r="B1585" s="64" t="s">
        <v>216</v>
      </c>
      <c r="C1585" s="65"/>
      <c r="D1585" s="62">
        <v>0</v>
      </c>
      <c r="E1585" s="63" t="s">
        <v>217</v>
      </c>
      <c r="I1585" s="57"/>
    </row>
    <row r="1586" spans="2:9" x14ac:dyDescent="0.2">
      <c r="B1586" s="80" t="s">
        <v>218</v>
      </c>
      <c r="C1586" s="81"/>
      <c r="D1586" s="62">
        <v>0</v>
      </c>
      <c r="E1586" s="63" t="s">
        <v>219</v>
      </c>
      <c r="I1586" s="57"/>
    </row>
    <row r="1587" spans="2:9" ht="13.5" thickBot="1" x14ac:dyDescent="0.25">
      <c r="B1587" s="64" t="s">
        <v>220</v>
      </c>
      <c r="C1587" s="65"/>
      <c r="D1587" s="62">
        <v>0</v>
      </c>
      <c r="E1587" s="63" t="s">
        <v>221</v>
      </c>
      <c r="I1587" s="57"/>
    </row>
    <row r="1588" spans="2:9" ht="13.5" customHeight="1" thickBot="1" x14ac:dyDescent="0.25">
      <c r="B1588" s="66" t="s">
        <v>344</v>
      </c>
      <c r="C1588" s="67"/>
      <c r="D1588" s="67"/>
      <c r="E1588" s="68"/>
    </row>
    <row r="1589" spans="2:9" x14ac:dyDescent="0.2">
      <c r="B1589" s="51" t="s">
        <v>223</v>
      </c>
      <c r="E1589" s="50"/>
    </row>
    <row r="1590" spans="2:9" x14ac:dyDescent="0.2">
      <c r="B1590" s="69"/>
      <c r="C1590" s="52" t="s">
        <v>224</v>
      </c>
      <c r="D1590" s="52"/>
      <c r="E1590" s="52"/>
    </row>
    <row r="1591" spans="2:9" x14ac:dyDescent="0.2">
      <c r="B1591" s="51" t="s">
        <v>225</v>
      </c>
      <c r="C1591" s="9"/>
      <c r="D1591" s="9"/>
      <c r="E1591" s="70"/>
    </row>
    <row r="1592" spans="2:9" x14ac:dyDescent="0.2">
      <c r="B1592" s="69"/>
      <c r="C1592" s="52" t="s">
        <v>226</v>
      </c>
      <c r="D1592" s="52"/>
      <c r="E1592" s="52"/>
    </row>
    <row r="1593" spans="2:9" x14ac:dyDescent="0.2">
      <c r="B1593" s="51" t="s">
        <v>227</v>
      </c>
      <c r="E1593" s="50"/>
    </row>
    <row r="1594" spans="2:9" x14ac:dyDescent="0.2">
      <c r="B1594" s="51"/>
      <c r="C1594" s="71" t="s">
        <v>228</v>
      </c>
      <c r="D1594" s="71"/>
      <c r="E1594" s="71"/>
    </row>
    <row r="1595" spans="2:9" ht="13.5" thickBot="1" x14ac:dyDescent="0.25">
      <c r="B1595" s="72"/>
      <c r="C1595" s="73"/>
      <c r="D1595" s="74"/>
      <c r="E1595" s="75"/>
    </row>
    <row r="1596" spans="2:9" ht="13.5" thickBot="1" x14ac:dyDescent="0.25"/>
    <row r="1597" spans="2:9" x14ac:dyDescent="0.2">
      <c r="B1597" s="45" t="s">
        <v>345</v>
      </c>
      <c r="C1597" s="46"/>
      <c r="D1597" s="47"/>
      <c r="E1597" s="48"/>
    </row>
    <row r="1598" spans="2:9" x14ac:dyDescent="0.2">
      <c r="B1598" s="49"/>
      <c r="E1598" s="50"/>
    </row>
    <row r="1599" spans="2:9" x14ac:dyDescent="0.2">
      <c r="B1599" s="51" t="s">
        <v>199</v>
      </c>
      <c r="E1599" s="50"/>
    </row>
    <row r="1600" spans="2:9" x14ac:dyDescent="0.2">
      <c r="B1600" s="51"/>
      <c r="C1600" s="85" t="s">
        <v>346</v>
      </c>
      <c r="D1600" s="85"/>
      <c r="E1600" s="85"/>
    </row>
    <row r="1601" spans="2:9" ht="13.5" thickBot="1" x14ac:dyDescent="0.25">
      <c r="B1601" s="51" t="s">
        <v>200</v>
      </c>
      <c r="E1601" s="50"/>
    </row>
    <row r="1602" spans="2:9" ht="13.5" thickBot="1" x14ac:dyDescent="0.25">
      <c r="B1602" s="53" t="s">
        <v>201</v>
      </c>
      <c r="C1602" s="54"/>
      <c r="D1602" s="54"/>
      <c r="E1602" s="55"/>
    </row>
    <row r="1603" spans="2:9" ht="13.5" thickBot="1" x14ac:dyDescent="0.25">
      <c r="B1603" s="53" t="s">
        <v>202</v>
      </c>
      <c r="C1603" s="55"/>
      <c r="D1603" s="56" t="s">
        <v>14</v>
      </c>
      <c r="E1603" s="56" t="s">
        <v>203</v>
      </c>
    </row>
    <row r="1604" spans="2:9" x14ac:dyDescent="0.2">
      <c r="B1604" s="58" t="s">
        <v>204</v>
      </c>
      <c r="C1604" s="58"/>
      <c r="D1604" s="59">
        <v>10</v>
      </c>
      <c r="E1604" s="60" t="s">
        <v>205</v>
      </c>
    </row>
    <row r="1605" spans="2:9" x14ac:dyDescent="0.2">
      <c r="B1605" s="61" t="s">
        <v>206</v>
      </c>
      <c r="C1605" s="61"/>
      <c r="D1605" s="62">
        <v>0</v>
      </c>
      <c r="E1605" s="63" t="s">
        <v>207</v>
      </c>
    </row>
    <row r="1606" spans="2:9" x14ac:dyDescent="0.2">
      <c r="B1606" s="61" t="s">
        <v>208</v>
      </c>
      <c r="C1606" s="61"/>
      <c r="D1606" s="62">
        <v>0</v>
      </c>
      <c r="E1606" s="63" t="s">
        <v>209</v>
      </c>
    </row>
    <row r="1607" spans="2:9" x14ac:dyDescent="0.2">
      <c r="B1607" s="58" t="s">
        <v>210</v>
      </c>
      <c r="C1607" s="58"/>
      <c r="D1607" s="62">
        <v>0</v>
      </c>
      <c r="E1607" s="63" t="s">
        <v>211</v>
      </c>
    </row>
    <row r="1608" spans="2:9" x14ac:dyDescent="0.2">
      <c r="B1608" s="64" t="s">
        <v>212</v>
      </c>
      <c r="C1608" s="65"/>
      <c r="D1608" s="62">
        <v>0</v>
      </c>
      <c r="E1608" s="63" t="s">
        <v>213</v>
      </c>
    </row>
    <row r="1609" spans="2:9" x14ac:dyDescent="0.2">
      <c r="B1609" s="64" t="s">
        <v>214</v>
      </c>
      <c r="C1609" s="65"/>
      <c r="D1609" s="62">
        <v>4</v>
      </c>
      <c r="E1609" s="63" t="s">
        <v>215</v>
      </c>
    </row>
    <row r="1610" spans="2:9" x14ac:dyDescent="0.2">
      <c r="B1610" s="64" t="s">
        <v>216</v>
      </c>
      <c r="C1610" s="65"/>
      <c r="D1610" s="62">
        <v>0</v>
      </c>
      <c r="E1610" s="63" t="s">
        <v>217</v>
      </c>
      <c r="I1610" s="57"/>
    </row>
    <row r="1611" spans="2:9" x14ac:dyDescent="0.2">
      <c r="B1611" s="80" t="s">
        <v>218</v>
      </c>
      <c r="C1611" s="81"/>
      <c r="D1611" s="62">
        <v>12</v>
      </c>
      <c r="E1611" s="63" t="s">
        <v>219</v>
      </c>
      <c r="I1611" s="57"/>
    </row>
    <row r="1612" spans="2:9" ht="13.5" thickBot="1" x14ac:dyDescent="0.25">
      <c r="B1612" s="64" t="s">
        <v>220</v>
      </c>
      <c r="C1612" s="65"/>
      <c r="D1612" s="62">
        <v>0</v>
      </c>
      <c r="E1612" s="63" t="s">
        <v>221</v>
      </c>
      <c r="I1612" s="57"/>
    </row>
    <row r="1613" spans="2:9" ht="13.5" customHeight="1" thickBot="1" x14ac:dyDescent="0.25">
      <c r="B1613" s="66" t="s">
        <v>347</v>
      </c>
      <c r="C1613" s="67"/>
      <c r="D1613" s="67"/>
      <c r="E1613" s="68"/>
    </row>
    <row r="1614" spans="2:9" x14ac:dyDescent="0.2">
      <c r="B1614" s="51" t="s">
        <v>223</v>
      </c>
      <c r="E1614" s="50"/>
    </row>
    <row r="1615" spans="2:9" x14ac:dyDescent="0.2">
      <c r="B1615" s="69"/>
      <c r="C1615" s="52" t="s">
        <v>224</v>
      </c>
      <c r="D1615" s="52"/>
      <c r="E1615" s="52"/>
    </row>
    <row r="1616" spans="2:9" x14ac:dyDescent="0.2">
      <c r="B1616" s="51" t="s">
        <v>225</v>
      </c>
      <c r="C1616" s="9"/>
      <c r="D1616" s="9"/>
      <c r="E1616" s="70"/>
    </row>
    <row r="1617" spans="2:5" x14ac:dyDescent="0.2">
      <c r="B1617" s="69"/>
      <c r="C1617" s="52" t="s">
        <v>226</v>
      </c>
      <c r="D1617" s="52"/>
      <c r="E1617" s="52"/>
    </row>
    <row r="1618" spans="2:5" x14ac:dyDescent="0.2">
      <c r="B1618" s="51" t="s">
        <v>227</v>
      </c>
      <c r="E1618" s="50"/>
    </row>
    <row r="1619" spans="2:5" x14ac:dyDescent="0.2">
      <c r="B1619" s="51"/>
      <c r="C1619" s="71" t="s">
        <v>228</v>
      </c>
      <c r="D1619" s="71"/>
      <c r="E1619" s="71"/>
    </row>
    <row r="1620" spans="2:5" ht="13.5" thickBot="1" x14ac:dyDescent="0.25">
      <c r="B1620" s="72"/>
      <c r="C1620" s="73"/>
      <c r="D1620" s="74"/>
      <c r="E1620" s="75"/>
    </row>
    <row r="1621" spans="2:5" ht="13.5" thickBot="1" x14ac:dyDescent="0.25"/>
    <row r="1622" spans="2:5" x14ac:dyDescent="0.2">
      <c r="B1622" s="45" t="s">
        <v>348</v>
      </c>
      <c r="C1622" s="46"/>
      <c r="D1622" s="47"/>
      <c r="E1622" s="48"/>
    </row>
    <row r="1623" spans="2:5" x14ac:dyDescent="0.2">
      <c r="B1623" s="49"/>
      <c r="E1623" s="50"/>
    </row>
    <row r="1624" spans="2:5" x14ac:dyDescent="0.2">
      <c r="B1624" s="51" t="s">
        <v>199</v>
      </c>
      <c r="E1624" s="50"/>
    </row>
    <row r="1625" spans="2:5" x14ac:dyDescent="0.2">
      <c r="B1625" s="51"/>
      <c r="C1625" s="52"/>
      <c r="D1625" s="52"/>
      <c r="E1625" s="52"/>
    </row>
    <row r="1626" spans="2:5" ht="13.5" thickBot="1" x14ac:dyDescent="0.25">
      <c r="B1626" s="51" t="s">
        <v>200</v>
      </c>
      <c r="E1626" s="50"/>
    </row>
    <row r="1627" spans="2:5" ht="13.5" thickBot="1" x14ac:dyDescent="0.25">
      <c r="B1627" s="53" t="s">
        <v>201</v>
      </c>
      <c r="C1627" s="54"/>
      <c r="D1627" s="54"/>
      <c r="E1627" s="55"/>
    </row>
    <row r="1628" spans="2:5" ht="13.5" thickBot="1" x14ac:dyDescent="0.25">
      <c r="B1628" s="53" t="s">
        <v>202</v>
      </c>
      <c r="C1628" s="55"/>
      <c r="D1628" s="56" t="s">
        <v>14</v>
      </c>
      <c r="E1628" s="56" t="s">
        <v>203</v>
      </c>
    </row>
    <row r="1629" spans="2:5" x14ac:dyDescent="0.2">
      <c r="B1629" s="58" t="s">
        <v>204</v>
      </c>
      <c r="C1629" s="58"/>
      <c r="D1629" s="59">
        <v>10</v>
      </c>
      <c r="E1629" s="60" t="s">
        <v>205</v>
      </c>
    </row>
    <row r="1630" spans="2:5" x14ac:dyDescent="0.2">
      <c r="B1630" s="61" t="s">
        <v>206</v>
      </c>
      <c r="C1630" s="61"/>
      <c r="D1630" s="62">
        <v>0</v>
      </c>
      <c r="E1630" s="63" t="s">
        <v>207</v>
      </c>
    </row>
    <row r="1631" spans="2:5" x14ac:dyDescent="0.2">
      <c r="B1631" s="61" t="s">
        <v>208</v>
      </c>
      <c r="C1631" s="61"/>
      <c r="D1631" s="62">
        <v>0</v>
      </c>
      <c r="E1631" s="63" t="s">
        <v>209</v>
      </c>
    </row>
    <row r="1632" spans="2:5" x14ac:dyDescent="0.2">
      <c r="B1632" s="58" t="s">
        <v>210</v>
      </c>
      <c r="C1632" s="58"/>
      <c r="D1632" s="62">
        <v>0</v>
      </c>
      <c r="E1632" s="63" t="s">
        <v>211</v>
      </c>
    </row>
    <row r="1633" spans="2:9" x14ac:dyDescent="0.2">
      <c r="B1633" s="64" t="s">
        <v>212</v>
      </c>
      <c r="C1633" s="65"/>
      <c r="D1633" s="62">
        <v>0</v>
      </c>
      <c r="E1633" s="63" t="s">
        <v>213</v>
      </c>
    </row>
    <row r="1634" spans="2:9" x14ac:dyDescent="0.2">
      <c r="B1634" s="64" t="s">
        <v>214</v>
      </c>
      <c r="C1634" s="65"/>
      <c r="D1634" s="62">
        <v>4</v>
      </c>
      <c r="E1634" s="63" t="s">
        <v>215</v>
      </c>
    </row>
    <row r="1635" spans="2:9" x14ac:dyDescent="0.2">
      <c r="B1635" s="64" t="s">
        <v>216</v>
      </c>
      <c r="C1635" s="65"/>
      <c r="D1635" s="62">
        <v>0</v>
      </c>
      <c r="E1635" s="63" t="s">
        <v>217</v>
      </c>
      <c r="I1635" s="57"/>
    </row>
    <row r="1636" spans="2:9" x14ac:dyDescent="0.2">
      <c r="B1636" s="80" t="s">
        <v>218</v>
      </c>
      <c r="C1636" s="81"/>
      <c r="D1636" s="62">
        <v>10</v>
      </c>
      <c r="E1636" s="63" t="s">
        <v>219</v>
      </c>
      <c r="I1636" s="57"/>
    </row>
    <row r="1637" spans="2:9" ht="13.5" thickBot="1" x14ac:dyDescent="0.25">
      <c r="B1637" s="64" t="s">
        <v>220</v>
      </c>
      <c r="C1637" s="65"/>
      <c r="D1637" s="62">
        <v>0</v>
      </c>
      <c r="E1637" s="63" t="s">
        <v>221</v>
      </c>
      <c r="I1637" s="57"/>
    </row>
    <row r="1638" spans="2:9" ht="13.5" customHeight="1" thickBot="1" x14ac:dyDescent="0.25">
      <c r="B1638" s="66" t="s">
        <v>349</v>
      </c>
      <c r="C1638" s="67"/>
      <c r="D1638" s="67"/>
      <c r="E1638" s="68"/>
    </row>
    <row r="1639" spans="2:9" x14ac:dyDescent="0.2">
      <c r="B1639" s="51" t="s">
        <v>223</v>
      </c>
      <c r="E1639" s="50"/>
    </row>
    <row r="1640" spans="2:9" x14ac:dyDescent="0.2">
      <c r="B1640" s="69"/>
      <c r="C1640" s="52" t="s">
        <v>224</v>
      </c>
      <c r="D1640" s="52"/>
      <c r="E1640" s="52"/>
    </row>
    <row r="1641" spans="2:9" x14ac:dyDescent="0.2">
      <c r="B1641" s="51" t="s">
        <v>225</v>
      </c>
      <c r="C1641" s="9"/>
      <c r="D1641" s="9"/>
      <c r="E1641" s="70"/>
    </row>
    <row r="1642" spans="2:9" x14ac:dyDescent="0.2">
      <c r="B1642" s="69"/>
      <c r="C1642" s="52" t="s">
        <v>226</v>
      </c>
      <c r="D1642" s="52"/>
      <c r="E1642" s="52"/>
    </row>
    <row r="1643" spans="2:9" x14ac:dyDescent="0.2">
      <c r="B1643" s="51" t="s">
        <v>227</v>
      </c>
      <c r="E1643" s="50"/>
    </row>
    <row r="1644" spans="2:9" x14ac:dyDescent="0.2">
      <c r="B1644" s="51"/>
      <c r="C1644" s="71" t="s">
        <v>228</v>
      </c>
      <c r="D1644" s="71"/>
      <c r="E1644" s="71"/>
    </row>
    <row r="1645" spans="2:9" ht="13.5" thickBot="1" x14ac:dyDescent="0.25">
      <c r="B1645" s="72"/>
      <c r="C1645" s="73"/>
      <c r="D1645" s="74"/>
      <c r="E1645" s="75"/>
    </row>
    <row r="1646" spans="2:9" ht="13.5" thickBot="1" x14ac:dyDescent="0.25"/>
    <row r="1647" spans="2:9" x14ac:dyDescent="0.2">
      <c r="B1647" s="45" t="s">
        <v>350</v>
      </c>
      <c r="C1647" s="46"/>
      <c r="D1647" s="47"/>
      <c r="E1647" s="48"/>
    </row>
    <row r="1648" spans="2:9" x14ac:dyDescent="0.2">
      <c r="B1648" s="49"/>
      <c r="E1648" s="50"/>
    </row>
    <row r="1649" spans="2:9" x14ac:dyDescent="0.2">
      <c r="B1649" s="51" t="s">
        <v>199</v>
      </c>
      <c r="E1649" s="50"/>
    </row>
    <row r="1650" spans="2:9" x14ac:dyDescent="0.2">
      <c r="B1650" s="51"/>
      <c r="C1650" s="52"/>
      <c r="D1650" s="52"/>
      <c r="E1650" s="52"/>
    </row>
    <row r="1651" spans="2:9" ht="13.5" thickBot="1" x14ac:dyDescent="0.25">
      <c r="B1651" s="51" t="s">
        <v>200</v>
      </c>
      <c r="E1651" s="50"/>
    </row>
    <row r="1652" spans="2:9" ht="13.5" thickBot="1" x14ac:dyDescent="0.25">
      <c r="B1652" s="53" t="s">
        <v>201</v>
      </c>
      <c r="C1652" s="54"/>
      <c r="D1652" s="54"/>
      <c r="E1652" s="55"/>
    </row>
    <row r="1653" spans="2:9" ht="13.5" thickBot="1" x14ac:dyDescent="0.25">
      <c r="B1653" s="53" t="s">
        <v>202</v>
      </c>
      <c r="C1653" s="55"/>
      <c r="D1653" s="56" t="s">
        <v>14</v>
      </c>
      <c r="E1653" s="56" t="s">
        <v>203</v>
      </c>
    </row>
    <row r="1654" spans="2:9" x14ac:dyDescent="0.2">
      <c r="B1654" s="58" t="s">
        <v>204</v>
      </c>
      <c r="C1654" s="58"/>
      <c r="D1654" s="59">
        <v>10</v>
      </c>
      <c r="E1654" s="60" t="s">
        <v>205</v>
      </c>
    </row>
    <row r="1655" spans="2:9" x14ac:dyDescent="0.2">
      <c r="B1655" s="61" t="s">
        <v>206</v>
      </c>
      <c r="C1655" s="61"/>
      <c r="D1655" s="62">
        <v>0</v>
      </c>
      <c r="E1655" s="63" t="s">
        <v>207</v>
      </c>
    </row>
    <row r="1656" spans="2:9" x14ac:dyDescent="0.2">
      <c r="B1656" s="61" t="s">
        <v>208</v>
      </c>
      <c r="C1656" s="61"/>
      <c r="D1656" s="62">
        <v>0</v>
      </c>
      <c r="E1656" s="63" t="s">
        <v>209</v>
      </c>
    </row>
    <row r="1657" spans="2:9" x14ac:dyDescent="0.2">
      <c r="B1657" s="58" t="s">
        <v>210</v>
      </c>
      <c r="C1657" s="58"/>
      <c r="D1657" s="62">
        <v>0</v>
      </c>
      <c r="E1657" s="63" t="s">
        <v>211</v>
      </c>
    </row>
    <row r="1658" spans="2:9" x14ac:dyDescent="0.2">
      <c r="B1658" s="64" t="s">
        <v>212</v>
      </c>
      <c r="C1658" s="65"/>
      <c r="D1658" s="62">
        <v>0</v>
      </c>
      <c r="E1658" s="63" t="s">
        <v>213</v>
      </c>
    </row>
    <row r="1659" spans="2:9" x14ac:dyDescent="0.2">
      <c r="B1659" s="64" t="s">
        <v>214</v>
      </c>
      <c r="C1659" s="65"/>
      <c r="D1659" s="62">
        <v>0</v>
      </c>
      <c r="E1659" s="63" t="s">
        <v>215</v>
      </c>
    </row>
    <row r="1660" spans="2:9" x14ac:dyDescent="0.2">
      <c r="B1660" s="64" t="s">
        <v>216</v>
      </c>
      <c r="C1660" s="65"/>
      <c r="D1660" s="62">
        <v>0</v>
      </c>
      <c r="E1660" s="63" t="s">
        <v>217</v>
      </c>
      <c r="I1660" s="57"/>
    </row>
    <row r="1661" spans="2:9" x14ac:dyDescent="0.2">
      <c r="B1661" s="80" t="s">
        <v>218</v>
      </c>
      <c r="C1661" s="81"/>
      <c r="D1661" s="62">
        <v>0</v>
      </c>
      <c r="E1661" s="63" t="s">
        <v>219</v>
      </c>
      <c r="I1661" s="57"/>
    </row>
    <row r="1662" spans="2:9" ht="13.5" thickBot="1" x14ac:dyDescent="0.25">
      <c r="B1662" s="64" t="s">
        <v>220</v>
      </c>
      <c r="C1662" s="65"/>
      <c r="D1662" s="62">
        <v>12</v>
      </c>
      <c r="E1662" s="63" t="s">
        <v>221</v>
      </c>
      <c r="I1662" s="57"/>
    </row>
    <row r="1663" spans="2:9" ht="13.5" customHeight="1" thickBot="1" x14ac:dyDescent="0.25">
      <c r="B1663" s="66" t="s">
        <v>351</v>
      </c>
      <c r="C1663" s="67"/>
      <c r="D1663" s="67"/>
      <c r="E1663" s="68"/>
    </row>
    <row r="1664" spans="2:9" x14ac:dyDescent="0.2">
      <c r="B1664" s="51" t="s">
        <v>223</v>
      </c>
      <c r="E1664" s="50"/>
    </row>
    <row r="1665" spans="2:5" x14ac:dyDescent="0.2">
      <c r="B1665" s="69"/>
      <c r="C1665" s="52" t="s">
        <v>224</v>
      </c>
      <c r="D1665" s="52"/>
      <c r="E1665" s="52"/>
    </row>
    <row r="1666" spans="2:5" x14ac:dyDescent="0.2">
      <c r="B1666" s="51" t="s">
        <v>225</v>
      </c>
      <c r="C1666" s="9"/>
      <c r="D1666" s="9"/>
      <c r="E1666" s="70"/>
    </row>
    <row r="1667" spans="2:5" x14ac:dyDescent="0.2">
      <c r="B1667" s="69"/>
      <c r="C1667" s="52" t="s">
        <v>226</v>
      </c>
      <c r="D1667" s="52"/>
      <c r="E1667" s="52"/>
    </row>
    <row r="1668" spans="2:5" x14ac:dyDescent="0.2">
      <c r="B1668" s="51" t="s">
        <v>227</v>
      </c>
      <c r="E1668" s="50"/>
    </row>
    <row r="1669" spans="2:5" x14ac:dyDescent="0.2">
      <c r="B1669" s="51"/>
      <c r="C1669" s="71" t="s">
        <v>228</v>
      </c>
      <c r="D1669" s="71"/>
      <c r="E1669" s="71"/>
    </row>
    <row r="1670" spans="2:5" ht="13.5" thickBot="1" x14ac:dyDescent="0.25">
      <c r="B1670" s="72"/>
      <c r="C1670" s="73"/>
      <c r="D1670" s="74"/>
      <c r="E1670" s="75"/>
    </row>
    <row r="1671" spans="2:5" ht="13.5" thickBot="1" x14ac:dyDescent="0.25"/>
    <row r="1672" spans="2:5" x14ac:dyDescent="0.2">
      <c r="B1672" s="45" t="s">
        <v>352</v>
      </c>
      <c r="C1672" s="46"/>
      <c r="D1672" s="47"/>
      <c r="E1672" s="48"/>
    </row>
    <row r="1673" spans="2:5" x14ac:dyDescent="0.2">
      <c r="B1673" s="49"/>
      <c r="E1673" s="50"/>
    </row>
    <row r="1674" spans="2:5" x14ac:dyDescent="0.2">
      <c r="B1674" s="51" t="s">
        <v>199</v>
      </c>
      <c r="E1674" s="50"/>
    </row>
    <row r="1675" spans="2:5" x14ac:dyDescent="0.2">
      <c r="B1675" s="51"/>
      <c r="C1675" s="85" t="s">
        <v>353</v>
      </c>
      <c r="D1675" s="85"/>
      <c r="E1675" s="85"/>
    </row>
    <row r="1676" spans="2:5" ht="13.5" thickBot="1" x14ac:dyDescent="0.25">
      <c r="B1676" s="51" t="s">
        <v>200</v>
      </c>
      <c r="E1676" s="50"/>
    </row>
    <row r="1677" spans="2:5" ht="13.5" thickBot="1" x14ac:dyDescent="0.25">
      <c r="B1677" s="53" t="s">
        <v>201</v>
      </c>
      <c r="C1677" s="54"/>
      <c r="D1677" s="54"/>
      <c r="E1677" s="55"/>
    </row>
    <row r="1678" spans="2:5" ht="13.5" thickBot="1" x14ac:dyDescent="0.25">
      <c r="B1678" s="53" t="s">
        <v>202</v>
      </c>
      <c r="C1678" s="55"/>
      <c r="D1678" s="56" t="s">
        <v>14</v>
      </c>
      <c r="E1678" s="56" t="s">
        <v>203</v>
      </c>
    </row>
    <row r="1679" spans="2:5" x14ac:dyDescent="0.2">
      <c r="B1679" s="58" t="s">
        <v>204</v>
      </c>
      <c r="C1679" s="58"/>
      <c r="D1679" s="59">
        <v>1</v>
      </c>
      <c r="E1679" s="60" t="s">
        <v>205</v>
      </c>
    </row>
    <row r="1680" spans="2:5" x14ac:dyDescent="0.2">
      <c r="B1680" s="61" t="s">
        <v>206</v>
      </c>
      <c r="C1680" s="61"/>
      <c r="D1680" s="62">
        <v>4</v>
      </c>
      <c r="E1680" s="63" t="s">
        <v>207</v>
      </c>
    </row>
    <row r="1681" spans="2:9" x14ac:dyDescent="0.2">
      <c r="B1681" s="61" t="s">
        <v>208</v>
      </c>
      <c r="C1681" s="61"/>
      <c r="D1681" s="62">
        <v>0</v>
      </c>
      <c r="E1681" s="63" t="s">
        <v>209</v>
      </c>
    </row>
    <row r="1682" spans="2:9" x14ac:dyDescent="0.2">
      <c r="B1682" s="58" t="s">
        <v>210</v>
      </c>
      <c r="C1682" s="58"/>
      <c r="D1682" s="62">
        <v>5</v>
      </c>
      <c r="E1682" s="63" t="s">
        <v>211</v>
      </c>
    </row>
    <row r="1683" spans="2:9" x14ac:dyDescent="0.2">
      <c r="B1683" s="64" t="s">
        <v>212</v>
      </c>
      <c r="C1683" s="65"/>
      <c r="D1683" s="62">
        <v>2</v>
      </c>
      <c r="E1683" s="63" t="s">
        <v>213</v>
      </c>
    </row>
    <row r="1684" spans="2:9" x14ac:dyDescent="0.2">
      <c r="B1684" s="64" t="s">
        <v>214</v>
      </c>
      <c r="C1684" s="65"/>
      <c r="D1684" s="62">
        <v>0</v>
      </c>
      <c r="E1684" s="63" t="s">
        <v>215</v>
      </c>
    </row>
    <row r="1685" spans="2:9" x14ac:dyDescent="0.2">
      <c r="B1685" s="64" t="s">
        <v>216</v>
      </c>
      <c r="C1685" s="65"/>
      <c r="D1685" s="62">
        <v>2</v>
      </c>
      <c r="E1685" s="63" t="s">
        <v>217</v>
      </c>
    </row>
    <row r="1686" spans="2:9" x14ac:dyDescent="0.2">
      <c r="B1686" s="80" t="s">
        <v>218</v>
      </c>
      <c r="C1686" s="81"/>
      <c r="D1686" s="62">
        <v>0</v>
      </c>
      <c r="E1686" s="63" t="s">
        <v>219</v>
      </c>
      <c r="I1686" s="57"/>
    </row>
    <row r="1687" spans="2:9" ht="13.5" thickBot="1" x14ac:dyDescent="0.25">
      <c r="B1687" s="64" t="s">
        <v>220</v>
      </c>
      <c r="C1687" s="65"/>
      <c r="D1687" s="62">
        <v>4</v>
      </c>
      <c r="E1687" s="63" t="s">
        <v>221</v>
      </c>
      <c r="I1687" s="57"/>
    </row>
    <row r="1688" spans="2:9" ht="13.5" customHeight="1" thickBot="1" x14ac:dyDescent="0.25">
      <c r="B1688" s="66" t="s">
        <v>354</v>
      </c>
      <c r="C1688" s="67"/>
      <c r="D1688" s="67"/>
      <c r="E1688" s="68"/>
    </row>
    <row r="1689" spans="2:9" x14ac:dyDescent="0.2">
      <c r="B1689" s="51" t="s">
        <v>223</v>
      </c>
      <c r="E1689" s="50"/>
    </row>
    <row r="1690" spans="2:9" x14ac:dyDescent="0.2">
      <c r="B1690" s="69"/>
      <c r="C1690" s="52" t="s">
        <v>224</v>
      </c>
      <c r="D1690" s="52"/>
      <c r="E1690" s="52"/>
    </row>
    <row r="1691" spans="2:9" x14ac:dyDescent="0.2">
      <c r="B1691" s="51" t="s">
        <v>225</v>
      </c>
      <c r="C1691" s="9"/>
      <c r="D1691" s="9"/>
      <c r="E1691" s="70"/>
    </row>
    <row r="1692" spans="2:9" x14ac:dyDescent="0.2">
      <c r="B1692" s="69"/>
      <c r="C1692" s="52" t="s">
        <v>226</v>
      </c>
      <c r="D1692" s="52"/>
      <c r="E1692" s="52"/>
    </row>
    <row r="1693" spans="2:9" x14ac:dyDescent="0.2">
      <c r="B1693" s="51" t="s">
        <v>227</v>
      </c>
      <c r="E1693" s="50"/>
    </row>
    <row r="1694" spans="2:9" x14ac:dyDescent="0.2">
      <c r="B1694" s="51"/>
      <c r="C1694" s="71" t="s">
        <v>228</v>
      </c>
      <c r="D1694" s="71"/>
      <c r="E1694" s="71"/>
    </row>
    <row r="1695" spans="2:9" ht="13.5" thickBot="1" x14ac:dyDescent="0.25">
      <c r="B1695" s="72"/>
      <c r="C1695" s="73"/>
      <c r="D1695" s="74"/>
      <c r="E1695" s="75"/>
    </row>
    <row r="1696" spans="2:9" ht="13.5" thickBot="1" x14ac:dyDescent="0.25"/>
    <row r="1697" spans="2:9" x14ac:dyDescent="0.2">
      <c r="B1697" s="45" t="s">
        <v>355</v>
      </c>
      <c r="C1697" s="46"/>
      <c r="D1697" s="47"/>
      <c r="E1697" s="48"/>
    </row>
    <row r="1698" spans="2:9" x14ac:dyDescent="0.2">
      <c r="B1698" s="49"/>
      <c r="E1698" s="50"/>
    </row>
    <row r="1699" spans="2:9" x14ac:dyDescent="0.2">
      <c r="B1699" s="51" t="s">
        <v>199</v>
      </c>
      <c r="E1699" s="50"/>
    </row>
    <row r="1700" spans="2:9" x14ac:dyDescent="0.2">
      <c r="B1700" s="51"/>
      <c r="C1700" s="52"/>
      <c r="D1700" s="52"/>
      <c r="E1700" s="52"/>
    </row>
    <row r="1701" spans="2:9" ht="13.5" thickBot="1" x14ac:dyDescent="0.25">
      <c r="B1701" s="51" t="s">
        <v>200</v>
      </c>
      <c r="E1701" s="50"/>
    </row>
    <row r="1702" spans="2:9" ht="13.5" thickBot="1" x14ac:dyDescent="0.25">
      <c r="B1702" s="53" t="s">
        <v>201</v>
      </c>
      <c r="C1702" s="54"/>
      <c r="D1702" s="54"/>
      <c r="E1702" s="55"/>
    </row>
    <row r="1703" spans="2:9" ht="13.5" thickBot="1" x14ac:dyDescent="0.25">
      <c r="B1703" s="53" t="s">
        <v>202</v>
      </c>
      <c r="C1703" s="55"/>
      <c r="D1703" s="56" t="s">
        <v>14</v>
      </c>
      <c r="E1703" s="56" t="s">
        <v>203</v>
      </c>
    </row>
    <row r="1704" spans="2:9" x14ac:dyDescent="0.2">
      <c r="B1704" s="58" t="s">
        <v>204</v>
      </c>
      <c r="C1704" s="58"/>
      <c r="D1704" s="59">
        <v>0</v>
      </c>
      <c r="E1704" s="60" t="s">
        <v>205</v>
      </c>
    </row>
    <row r="1705" spans="2:9" x14ac:dyDescent="0.2">
      <c r="B1705" s="61" t="s">
        <v>206</v>
      </c>
      <c r="C1705" s="61"/>
      <c r="D1705" s="62">
        <v>4</v>
      </c>
      <c r="E1705" s="63" t="s">
        <v>207</v>
      </c>
    </row>
    <row r="1706" spans="2:9" x14ac:dyDescent="0.2">
      <c r="B1706" s="61" t="s">
        <v>208</v>
      </c>
      <c r="C1706" s="61"/>
      <c r="D1706" s="62">
        <v>0</v>
      </c>
      <c r="E1706" s="63" t="s">
        <v>209</v>
      </c>
    </row>
    <row r="1707" spans="2:9" x14ac:dyDescent="0.2">
      <c r="B1707" s="58" t="s">
        <v>210</v>
      </c>
      <c r="C1707" s="58"/>
      <c r="D1707" s="62">
        <v>0</v>
      </c>
      <c r="E1707" s="63" t="s">
        <v>211</v>
      </c>
    </row>
    <row r="1708" spans="2:9" x14ac:dyDescent="0.2">
      <c r="B1708" s="64" t="s">
        <v>212</v>
      </c>
      <c r="C1708" s="65"/>
      <c r="D1708" s="62">
        <v>0</v>
      </c>
      <c r="E1708" s="63" t="s">
        <v>213</v>
      </c>
    </row>
    <row r="1709" spans="2:9" x14ac:dyDescent="0.2">
      <c r="B1709" s="64" t="s">
        <v>214</v>
      </c>
      <c r="C1709" s="65"/>
      <c r="D1709" s="62">
        <v>0</v>
      </c>
      <c r="E1709" s="63" t="s">
        <v>215</v>
      </c>
    </row>
    <row r="1710" spans="2:9" x14ac:dyDescent="0.2">
      <c r="B1710" s="64" t="s">
        <v>216</v>
      </c>
      <c r="C1710" s="65"/>
      <c r="D1710" s="62">
        <v>2</v>
      </c>
      <c r="E1710" s="63" t="s">
        <v>217</v>
      </c>
    </row>
    <row r="1711" spans="2:9" x14ac:dyDescent="0.2">
      <c r="B1711" s="80" t="s">
        <v>218</v>
      </c>
      <c r="C1711" s="81"/>
      <c r="D1711" s="62">
        <v>0</v>
      </c>
      <c r="E1711" s="63" t="s">
        <v>219</v>
      </c>
      <c r="I1711" s="57"/>
    </row>
    <row r="1712" spans="2:9" ht="13.5" thickBot="1" x14ac:dyDescent="0.25">
      <c r="B1712" s="64" t="s">
        <v>220</v>
      </c>
      <c r="C1712" s="65"/>
      <c r="D1712" s="62">
        <v>0</v>
      </c>
      <c r="E1712" s="63" t="s">
        <v>221</v>
      </c>
      <c r="I1712" s="57"/>
    </row>
    <row r="1713" spans="2:5" ht="13.5" customHeight="1" thickBot="1" x14ac:dyDescent="0.25">
      <c r="B1713" s="66" t="s">
        <v>260</v>
      </c>
      <c r="C1713" s="67"/>
      <c r="D1713" s="67"/>
      <c r="E1713" s="68"/>
    </row>
    <row r="1714" spans="2:5" x14ac:dyDescent="0.2">
      <c r="B1714" s="51" t="s">
        <v>223</v>
      </c>
      <c r="E1714" s="50"/>
    </row>
    <row r="1715" spans="2:5" x14ac:dyDescent="0.2">
      <c r="B1715" s="69"/>
      <c r="C1715" s="52" t="s">
        <v>224</v>
      </c>
      <c r="D1715" s="52"/>
      <c r="E1715" s="52"/>
    </row>
    <row r="1716" spans="2:5" x14ac:dyDescent="0.2">
      <c r="B1716" s="51" t="s">
        <v>225</v>
      </c>
      <c r="C1716" s="9"/>
      <c r="D1716" s="9"/>
      <c r="E1716" s="70"/>
    </row>
    <row r="1717" spans="2:5" x14ac:dyDescent="0.2">
      <c r="B1717" s="69"/>
      <c r="C1717" s="52" t="s">
        <v>226</v>
      </c>
      <c r="D1717" s="52"/>
      <c r="E1717" s="52"/>
    </row>
    <row r="1718" spans="2:5" x14ac:dyDescent="0.2">
      <c r="B1718" s="51" t="s">
        <v>227</v>
      </c>
      <c r="E1718" s="50"/>
    </row>
    <row r="1719" spans="2:5" x14ac:dyDescent="0.2">
      <c r="B1719" s="51"/>
      <c r="C1719" s="71" t="s">
        <v>228</v>
      </c>
      <c r="D1719" s="71"/>
      <c r="E1719" s="71"/>
    </row>
    <row r="1720" spans="2:5" ht="13.5" thickBot="1" x14ac:dyDescent="0.25">
      <c r="B1720" s="72"/>
      <c r="C1720" s="73"/>
      <c r="D1720" s="74"/>
      <c r="E1720" s="75"/>
    </row>
    <row r="1721" spans="2:5" ht="13.5" thickBot="1" x14ac:dyDescent="0.25"/>
    <row r="1722" spans="2:5" x14ac:dyDescent="0.2">
      <c r="B1722" s="45" t="s">
        <v>356</v>
      </c>
      <c r="C1722" s="46"/>
      <c r="D1722" s="47"/>
      <c r="E1722" s="48"/>
    </row>
    <row r="1723" spans="2:5" x14ac:dyDescent="0.2">
      <c r="B1723" s="49"/>
      <c r="E1723" s="50"/>
    </row>
    <row r="1724" spans="2:5" x14ac:dyDescent="0.2">
      <c r="B1724" s="51" t="s">
        <v>199</v>
      </c>
      <c r="E1724" s="50"/>
    </row>
    <row r="1725" spans="2:5" x14ac:dyDescent="0.2">
      <c r="B1725" s="51"/>
      <c r="C1725" s="52"/>
      <c r="D1725" s="52"/>
      <c r="E1725" s="52"/>
    </row>
    <row r="1726" spans="2:5" ht="13.5" thickBot="1" x14ac:dyDescent="0.25">
      <c r="B1726" s="51" t="s">
        <v>200</v>
      </c>
      <c r="E1726" s="50"/>
    </row>
    <row r="1727" spans="2:5" ht="13.5" thickBot="1" x14ac:dyDescent="0.25">
      <c r="B1727" s="53" t="s">
        <v>201</v>
      </c>
      <c r="C1727" s="54"/>
      <c r="D1727" s="54"/>
      <c r="E1727" s="55"/>
    </row>
    <row r="1728" spans="2:5" ht="13.5" thickBot="1" x14ac:dyDescent="0.25">
      <c r="B1728" s="53" t="s">
        <v>202</v>
      </c>
      <c r="C1728" s="55"/>
      <c r="D1728" s="56" t="s">
        <v>14</v>
      </c>
      <c r="E1728" s="56" t="s">
        <v>203</v>
      </c>
    </row>
    <row r="1729" spans="2:9" x14ac:dyDescent="0.2">
      <c r="B1729" s="58" t="s">
        <v>204</v>
      </c>
      <c r="C1729" s="58"/>
      <c r="D1729" s="59">
        <v>0</v>
      </c>
      <c r="E1729" s="60" t="s">
        <v>205</v>
      </c>
    </row>
    <row r="1730" spans="2:9" x14ac:dyDescent="0.2">
      <c r="B1730" s="61" t="s">
        <v>206</v>
      </c>
      <c r="C1730" s="61"/>
      <c r="D1730" s="62">
        <v>0</v>
      </c>
      <c r="E1730" s="63" t="s">
        <v>207</v>
      </c>
    </row>
    <row r="1731" spans="2:9" x14ac:dyDescent="0.2">
      <c r="B1731" s="61" t="s">
        <v>208</v>
      </c>
      <c r="C1731" s="61"/>
      <c r="D1731" s="62">
        <v>0</v>
      </c>
      <c r="E1731" s="63" t="s">
        <v>209</v>
      </c>
    </row>
    <row r="1732" spans="2:9" x14ac:dyDescent="0.2">
      <c r="B1732" s="58" t="s">
        <v>210</v>
      </c>
      <c r="C1732" s="58"/>
      <c r="D1732" s="62">
        <v>0</v>
      </c>
      <c r="E1732" s="63" t="s">
        <v>211</v>
      </c>
    </row>
    <row r="1733" spans="2:9" x14ac:dyDescent="0.2">
      <c r="B1733" s="64" t="s">
        <v>212</v>
      </c>
      <c r="C1733" s="65"/>
      <c r="D1733" s="62">
        <v>0</v>
      </c>
      <c r="E1733" s="63" t="s">
        <v>213</v>
      </c>
    </row>
    <row r="1734" spans="2:9" x14ac:dyDescent="0.2">
      <c r="B1734" s="64" t="s">
        <v>214</v>
      </c>
      <c r="C1734" s="65"/>
      <c r="D1734" s="62">
        <v>0</v>
      </c>
      <c r="E1734" s="63" t="s">
        <v>215</v>
      </c>
    </row>
    <row r="1735" spans="2:9" x14ac:dyDescent="0.2">
      <c r="B1735" s="64" t="s">
        <v>216</v>
      </c>
      <c r="C1735" s="65"/>
      <c r="D1735" s="62">
        <v>1</v>
      </c>
      <c r="E1735" s="63" t="s">
        <v>217</v>
      </c>
    </row>
    <row r="1736" spans="2:9" x14ac:dyDescent="0.2">
      <c r="B1736" s="80" t="s">
        <v>218</v>
      </c>
      <c r="C1736" s="81"/>
      <c r="D1736" s="62">
        <v>0</v>
      </c>
      <c r="E1736" s="63" t="s">
        <v>219</v>
      </c>
      <c r="I1736" s="57"/>
    </row>
    <row r="1737" spans="2:9" ht="13.5" thickBot="1" x14ac:dyDescent="0.25">
      <c r="B1737" s="64" t="s">
        <v>220</v>
      </c>
      <c r="C1737" s="65"/>
      <c r="D1737" s="62">
        <v>0</v>
      </c>
      <c r="E1737" s="63" t="s">
        <v>221</v>
      </c>
      <c r="I1737" s="57"/>
    </row>
    <row r="1738" spans="2:9" ht="13.5" customHeight="1" thickBot="1" x14ac:dyDescent="0.25">
      <c r="B1738" s="66" t="s">
        <v>357</v>
      </c>
      <c r="C1738" s="67"/>
      <c r="D1738" s="67"/>
      <c r="E1738" s="68"/>
    </row>
    <row r="1739" spans="2:9" x14ac:dyDescent="0.2">
      <c r="B1739" s="51" t="s">
        <v>223</v>
      </c>
      <c r="E1739" s="50"/>
    </row>
    <row r="1740" spans="2:9" x14ac:dyDescent="0.2">
      <c r="B1740" s="69"/>
      <c r="C1740" s="52" t="s">
        <v>224</v>
      </c>
      <c r="D1740" s="52"/>
      <c r="E1740" s="52"/>
    </row>
    <row r="1741" spans="2:9" x14ac:dyDescent="0.2">
      <c r="B1741" s="51" t="s">
        <v>225</v>
      </c>
      <c r="C1741" s="9"/>
      <c r="D1741" s="9"/>
      <c r="E1741" s="70"/>
    </row>
    <row r="1742" spans="2:9" x14ac:dyDescent="0.2">
      <c r="B1742" s="69"/>
      <c r="C1742" s="52" t="s">
        <v>226</v>
      </c>
      <c r="D1742" s="52"/>
      <c r="E1742" s="52"/>
    </row>
    <row r="1743" spans="2:9" x14ac:dyDescent="0.2">
      <c r="B1743" s="51" t="s">
        <v>227</v>
      </c>
      <c r="E1743" s="50"/>
    </row>
    <row r="1744" spans="2:9" x14ac:dyDescent="0.2">
      <c r="B1744" s="51"/>
      <c r="C1744" s="71" t="s">
        <v>228</v>
      </c>
      <c r="D1744" s="71"/>
      <c r="E1744" s="71"/>
    </row>
    <row r="1745" spans="2:5" ht="13.5" thickBot="1" x14ac:dyDescent="0.25">
      <c r="B1745" s="72"/>
      <c r="C1745" s="73"/>
      <c r="D1745" s="74"/>
      <c r="E1745" s="75"/>
    </row>
    <row r="1746" spans="2:5" ht="13.5" thickBot="1" x14ac:dyDescent="0.25"/>
    <row r="1747" spans="2:5" x14ac:dyDescent="0.2">
      <c r="B1747" s="45" t="s">
        <v>358</v>
      </c>
      <c r="C1747" s="46"/>
      <c r="D1747" s="47"/>
      <c r="E1747" s="48"/>
    </row>
    <row r="1748" spans="2:5" x14ac:dyDescent="0.2">
      <c r="B1748" s="49"/>
      <c r="E1748" s="50"/>
    </row>
    <row r="1749" spans="2:5" x14ac:dyDescent="0.2">
      <c r="B1749" s="51" t="s">
        <v>199</v>
      </c>
      <c r="E1749" s="50"/>
    </row>
    <row r="1750" spans="2:5" x14ac:dyDescent="0.2">
      <c r="B1750" s="51"/>
      <c r="C1750" s="85" t="s">
        <v>359</v>
      </c>
      <c r="D1750" s="85"/>
      <c r="E1750" s="85"/>
    </row>
    <row r="1751" spans="2:5" ht="13.5" thickBot="1" x14ac:dyDescent="0.25">
      <c r="B1751" s="51" t="s">
        <v>200</v>
      </c>
      <c r="E1751" s="50"/>
    </row>
    <row r="1752" spans="2:5" ht="13.5" thickBot="1" x14ac:dyDescent="0.25">
      <c r="B1752" s="53" t="s">
        <v>201</v>
      </c>
      <c r="C1752" s="54"/>
      <c r="D1752" s="54"/>
      <c r="E1752" s="55"/>
    </row>
    <row r="1753" spans="2:5" ht="13.5" thickBot="1" x14ac:dyDescent="0.25">
      <c r="B1753" s="53" t="s">
        <v>202</v>
      </c>
      <c r="C1753" s="55"/>
      <c r="D1753" s="56" t="s">
        <v>14</v>
      </c>
      <c r="E1753" s="56" t="s">
        <v>203</v>
      </c>
    </row>
    <row r="1754" spans="2:5" x14ac:dyDescent="0.2">
      <c r="B1754" s="58" t="s">
        <v>204</v>
      </c>
      <c r="C1754" s="58"/>
      <c r="D1754" s="59">
        <v>0</v>
      </c>
      <c r="E1754" s="60" t="s">
        <v>205</v>
      </c>
    </row>
    <row r="1755" spans="2:5" x14ac:dyDescent="0.2">
      <c r="B1755" s="61" t="s">
        <v>206</v>
      </c>
      <c r="C1755" s="61"/>
      <c r="D1755" s="62">
        <v>0</v>
      </c>
      <c r="E1755" s="63" t="s">
        <v>207</v>
      </c>
    </row>
    <row r="1756" spans="2:5" x14ac:dyDescent="0.2">
      <c r="B1756" s="61" t="s">
        <v>208</v>
      </c>
      <c r="C1756" s="61"/>
      <c r="D1756" s="62">
        <v>0</v>
      </c>
      <c r="E1756" s="63" t="s">
        <v>209</v>
      </c>
    </row>
    <row r="1757" spans="2:5" x14ac:dyDescent="0.2">
      <c r="B1757" s="58" t="s">
        <v>210</v>
      </c>
      <c r="C1757" s="58"/>
      <c r="D1757" s="62">
        <v>0</v>
      </c>
      <c r="E1757" s="63" t="s">
        <v>211</v>
      </c>
    </row>
    <row r="1758" spans="2:5" x14ac:dyDescent="0.2">
      <c r="B1758" s="64" t="s">
        <v>212</v>
      </c>
      <c r="C1758" s="65"/>
      <c r="D1758" s="62">
        <v>0</v>
      </c>
      <c r="E1758" s="63" t="s">
        <v>213</v>
      </c>
    </row>
    <row r="1759" spans="2:5" x14ac:dyDescent="0.2">
      <c r="B1759" s="64" t="s">
        <v>214</v>
      </c>
      <c r="C1759" s="65"/>
      <c r="D1759" s="62">
        <v>0</v>
      </c>
      <c r="E1759" s="63" t="s">
        <v>215</v>
      </c>
    </row>
    <row r="1760" spans="2:5" x14ac:dyDescent="0.2">
      <c r="B1760" s="64" t="s">
        <v>216</v>
      </c>
      <c r="C1760" s="65"/>
      <c r="D1760" s="62">
        <v>2</v>
      </c>
      <c r="E1760" s="63" t="s">
        <v>217</v>
      </c>
    </row>
    <row r="1761" spans="2:9" x14ac:dyDescent="0.2">
      <c r="B1761" s="80" t="s">
        <v>218</v>
      </c>
      <c r="C1761" s="81"/>
      <c r="D1761" s="62">
        <v>0</v>
      </c>
      <c r="E1761" s="63" t="s">
        <v>219</v>
      </c>
      <c r="I1761" s="57"/>
    </row>
    <row r="1762" spans="2:9" ht="13.5" thickBot="1" x14ac:dyDescent="0.25">
      <c r="B1762" s="64" t="s">
        <v>220</v>
      </c>
      <c r="C1762" s="65"/>
      <c r="D1762" s="62">
        <v>0</v>
      </c>
      <c r="E1762" s="63" t="s">
        <v>221</v>
      </c>
      <c r="I1762" s="57"/>
    </row>
    <row r="1763" spans="2:9" ht="13.5" customHeight="1" thickBot="1" x14ac:dyDescent="0.25">
      <c r="B1763" s="66" t="s">
        <v>360</v>
      </c>
      <c r="C1763" s="67"/>
      <c r="D1763" s="67"/>
      <c r="E1763" s="68"/>
    </row>
    <row r="1764" spans="2:9" x14ac:dyDescent="0.2">
      <c r="B1764" s="51" t="s">
        <v>223</v>
      </c>
      <c r="E1764" s="50"/>
    </row>
    <row r="1765" spans="2:9" x14ac:dyDescent="0.2">
      <c r="B1765" s="69"/>
      <c r="C1765" s="52" t="s">
        <v>224</v>
      </c>
      <c r="D1765" s="52"/>
      <c r="E1765" s="52"/>
    </row>
    <row r="1766" spans="2:9" x14ac:dyDescent="0.2">
      <c r="B1766" s="51" t="s">
        <v>225</v>
      </c>
      <c r="C1766" s="9"/>
      <c r="D1766" s="9"/>
      <c r="E1766" s="70"/>
    </row>
    <row r="1767" spans="2:9" x14ac:dyDescent="0.2">
      <c r="B1767" s="69"/>
      <c r="C1767" s="52" t="s">
        <v>226</v>
      </c>
      <c r="D1767" s="52"/>
      <c r="E1767" s="52"/>
    </row>
    <row r="1768" spans="2:9" x14ac:dyDescent="0.2">
      <c r="B1768" s="51" t="s">
        <v>227</v>
      </c>
      <c r="E1768" s="50"/>
    </row>
    <row r="1769" spans="2:9" x14ac:dyDescent="0.2">
      <c r="B1769" s="51"/>
      <c r="C1769" s="71" t="s">
        <v>228</v>
      </c>
      <c r="D1769" s="71"/>
      <c r="E1769" s="71"/>
    </row>
    <row r="1770" spans="2:9" ht="13.5" thickBot="1" x14ac:dyDescent="0.25">
      <c r="B1770" s="72"/>
      <c r="C1770" s="73"/>
      <c r="D1770" s="74"/>
      <c r="E1770" s="75"/>
    </row>
    <row r="1771" spans="2:9" ht="13.5" thickBot="1" x14ac:dyDescent="0.25"/>
    <row r="1772" spans="2:9" x14ac:dyDescent="0.2">
      <c r="B1772" s="45" t="s">
        <v>361</v>
      </c>
      <c r="C1772" s="46"/>
      <c r="D1772" s="47"/>
      <c r="E1772" s="48"/>
    </row>
    <row r="1773" spans="2:9" x14ac:dyDescent="0.2">
      <c r="B1773" s="49"/>
      <c r="E1773" s="50"/>
    </row>
    <row r="1774" spans="2:9" x14ac:dyDescent="0.2">
      <c r="B1774" s="51" t="s">
        <v>199</v>
      </c>
      <c r="E1774" s="50"/>
    </row>
    <row r="1775" spans="2:9" x14ac:dyDescent="0.2">
      <c r="B1775" s="51"/>
      <c r="C1775" s="52"/>
      <c r="D1775" s="52"/>
      <c r="E1775" s="52"/>
    </row>
    <row r="1776" spans="2:9" ht="13.5" thickBot="1" x14ac:dyDescent="0.25">
      <c r="B1776" s="51" t="s">
        <v>200</v>
      </c>
      <c r="E1776" s="50"/>
    </row>
    <row r="1777" spans="2:9" ht="13.5" thickBot="1" x14ac:dyDescent="0.25">
      <c r="B1777" s="53" t="s">
        <v>201</v>
      </c>
      <c r="C1777" s="54"/>
      <c r="D1777" s="54"/>
      <c r="E1777" s="55"/>
    </row>
    <row r="1778" spans="2:9" ht="13.5" thickBot="1" x14ac:dyDescent="0.25">
      <c r="B1778" s="53" t="s">
        <v>202</v>
      </c>
      <c r="C1778" s="55"/>
      <c r="D1778" s="56" t="s">
        <v>14</v>
      </c>
      <c r="E1778" s="56" t="s">
        <v>203</v>
      </c>
    </row>
    <row r="1779" spans="2:9" x14ac:dyDescent="0.2">
      <c r="B1779" s="58" t="s">
        <v>204</v>
      </c>
      <c r="C1779" s="58"/>
      <c r="D1779" s="59">
        <v>50</v>
      </c>
      <c r="E1779" s="60" t="s">
        <v>205</v>
      </c>
    </row>
    <row r="1780" spans="2:9" x14ac:dyDescent="0.2">
      <c r="B1780" s="61" t="s">
        <v>206</v>
      </c>
      <c r="C1780" s="61"/>
      <c r="D1780" s="62">
        <v>100</v>
      </c>
      <c r="E1780" s="63" t="s">
        <v>207</v>
      </c>
    </row>
    <row r="1781" spans="2:9" x14ac:dyDescent="0.2">
      <c r="B1781" s="61" t="s">
        <v>208</v>
      </c>
      <c r="C1781" s="61"/>
      <c r="D1781" s="62">
        <v>50</v>
      </c>
      <c r="E1781" s="63" t="s">
        <v>209</v>
      </c>
    </row>
    <row r="1782" spans="2:9" x14ac:dyDescent="0.2">
      <c r="B1782" s="58" t="s">
        <v>210</v>
      </c>
      <c r="C1782" s="58"/>
      <c r="D1782" s="62">
        <v>0</v>
      </c>
      <c r="E1782" s="63" t="s">
        <v>211</v>
      </c>
    </row>
    <row r="1783" spans="2:9" x14ac:dyDescent="0.2">
      <c r="B1783" s="64" t="s">
        <v>212</v>
      </c>
      <c r="C1783" s="65"/>
      <c r="D1783" s="62">
        <v>0</v>
      </c>
      <c r="E1783" s="63" t="s">
        <v>213</v>
      </c>
    </row>
    <row r="1784" spans="2:9" x14ac:dyDescent="0.2">
      <c r="B1784" s="64" t="s">
        <v>214</v>
      </c>
      <c r="C1784" s="65"/>
      <c r="D1784" s="62">
        <v>0</v>
      </c>
      <c r="E1784" s="63" t="s">
        <v>215</v>
      </c>
    </row>
    <row r="1785" spans="2:9" x14ac:dyDescent="0.2">
      <c r="B1785" s="64" t="s">
        <v>216</v>
      </c>
      <c r="C1785" s="65"/>
      <c r="D1785" s="62">
        <v>0</v>
      </c>
      <c r="E1785" s="63" t="s">
        <v>217</v>
      </c>
    </row>
    <row r="1786" spans="2:9" x14ac:dyDescent="0.2">
      <c r="B1786" s="80" t="s">
        <v>218</v>
      </c>
      <c r="C1786" s="81"/>
      <c r="D1786" s="62">
        <v>0</v>
      </c>
      <c r="E1786" s="63" t="s">
        <v>219</v>
      </c>
      <c r="I1786" s="57"/>
    </row>
    <row r="1787" spans="2:9" ht="13.5" thickBot="1" x14ac:dyDescent="0.25">
      <c r="B1787" s="64" t="s">
        <v>220</v>
      </c>
      <c r="C1787" s="65"/>
      <c r="D1787" s="62">
        <v>0</v>
      </c>
      <c r="E1787" s="63" t="s">
        <v>221</v>
      </c>
      <c r="I1787" s="57"/>
    </row>
    <row r="1788" spans="2:9" ht="13.5" customHeight="1" thickBot="1" x14ac:dyDescent="0.25">
      <c r="B1788" s="66" t="s">
        <v>362</v>
      </c>
      <c r="C1788" s="67"/>
      <c r="D1788" s="67"/>
      <c r="E1788" s="68"/>
    </row>
    <row r="1789" spans="2:9" x14ac:dyDescent="0.2">
      <c r="B1789" s="51" t="s">
        <v>223</v>
      </c>
      <c r="E1789" s="50"/>
    </row>
    <row r="1790" spans="2:9" x14ac:dyDescent="0.2">
      <c r="B1790" s="69"/>
      <c r="C1790" s="52" t="s">
        <v>224</v>
      </c>
      <c r="D1790" s="52"/>
      <c r="E1790" s="52"/>
    </row>
    <row r="1791" spans="2:9" x14ac:dyDescent="0.2">
      <c r="B1791" s="51" t="s">
        <v>225</v>
      </c>
      <c r="C1791" s="9"/>
      <c r="D1791" s="9"/>
      <c r="E1791" s="70"/>
    </row>
    <row r="1792" spans="2:9" x14ac:dyDescent="0.2">
      <c r="B1792" s="69"/>
      <c r="C1792" s="52" t="s">
        <v>226</v>
      </c>
      <c r="D1792" s="52"/>
      <c r="E1792" s="52"/>
    </row>
    <row r="1793" spans="2:5" x14ac:dyDescent="0.2">
      <c r="B1793" s="51" t="s">
        <v>227</v>
      </c>
      <c r="E1793" s="50"/>
    </row>
    <row r="1794" spans="2:5" x14ac:dyDescent="0.2">
      <c r="B1794" s="51"/>
      <c r="C1794" s="71" t="s">
        <v>228</v>
      </c>
      <c r="D1794" s="71"/>
      <c r="E1794" s="71"/>
    </row>
    <row r="1795" spans="2:5" ht="13.5" thickBot="1" x14ac:dyDescent="0.25">
      <c r="B1795" s="72"/>
      <c r="C1795" s="73"/>
      <c r="D1795" s="74"/>
      <c r="E1795" s="75"/>
    </row>
    <row r="1796" spans="2:5" ht="13.5" thickBot="1" x14ac:dyDescent="0.25"/>
    <row r="1797" spans="2:5" x14ac:dyDescent="0.2">
      <c r="B1797" s="45" t="s">
        <v>363</v>
      </c>
      <c r="C1797" s="46"/>
      <c r="D1797" s="47"/>
      <c r="E1797" s="48"/>
    </row>
    <row r="1798" spans="2:5" x14ac:dyDescent="0.2">
      <c r="B1798" s="49"/>
      <c r="E1798" s="50"/>
    </row>
    <row r="1799" spans="2:5" x14ac:dyDescent="0.2">
      <c r="B1799" s="51" t="s">
        <v>199</v>
      </c>
      <c r="E1799" s="50"/>
    </row>
    <row r="1800" spans="2:5" x14ac:dyDescent="0.2">
      <c r="B1800" s="51"/>
      <c r="C1800" s="52"/>
      <c r="D1800" s="52"/>
      <c r="E1800" s="52"/>
    </row>
    <row r="1801" spans="2:5" ht="13.5" thickBot="1" x14ac:dyDescent="0.25">
      <c r="B1801" s="51" t="s">
        <v>200</v>
      </c>
      <c r="E1801" s="50"/>
    </row>
    <row r="1802" spans="2:5" ht="13.5" thickBot="1" x14ac:dyDescent="0.25">
      <c r="B1802" s="53" t="s">
        <v>201</v>
      </c>
      <c r="C1802" s="54"/>
      <c r="D1802" s="54"/>
      <c r="E1802" s="55"/>
    </row>
    <row r="1803" spans="2:5" ht="13.5" thickBot="1" x14ac:dyDescent="0.25">
      <c r="B1803" s="53" t="s">
        <v>202</v>
      </c>
      <c r="C1803" s="55"/>
      <c r="D1803" s="56" t="s">
        <v>14</v>
      </c>
      <c r="E1803" s="56" t="s">
        <v>203</v>
      </c>
    </row>
    <row r="1804" spans="2:5" x14ac:dyDescent="0.2">
      <c r="B1804" s="58" t="s">
        <v>204</v>
      </c>
      <c r="C1804" s="58"/>
      <c r="D1804" s="59">
        <v>10</v>
      </c>
      <c r="E1804" s="60" t="s">
        <v>205</v>
      </c>
    </row>
    <row r="1805" spans="2:5" x14ac:dyDescent="0.2">
      <c r="B1805" s="61" t="s">
        <v>206</v>
      </c>
      <c r="C1805" s="61"/>
      <c r="D1805" s="62">
        <v>0</v>
      </c>
      <c r="E1805" s="63" t="s">
        <v>207</v>
      </c>
    </row>
    <row r="1806" spans="2:5" x14ac:dyDescent="0.2">
      <c r="B1806" s="61" t="s">
        <v>208</v>
      </c>
      <c r="C1806" s="61"/>
      <c r="D1806" s="62">
        <v>0</v>
      </c>
      <c r="E1806" s="63" t="s">
        <v>209</v>
      </c>
    </row>
    <row r="1807" spans="2:5" x14ac:dyDescent="0.2">
      <c r="B1807" s="58" t="s">
        <v>210</v>
      </c>
      <c r="C1807" s="58"/>
      <c r="D1807" s="62">
        <v>0</v>
      </c>
      <c r="E1807" s="63" t="s">
        <v>211</v>
      </c>
    </row>
    <row r="1808" spans="2:5" x14ac:dyDescent="0.2">
      <c r="B1808" s="64" t="s">
        <v>212</v>
      </c>
      <c r="C1808" s="65"/>
      <c r="D1808" s="62">
        <v>0</v>
      </c>
      <c r="E1808" s="63" t="s">
        <v>213</v>
      </c>
    </row>
    <row r="1809" spans="2:9" x14ac:dyDescent="0.2">
      <c r="B1809" s="64" t="s">
        <v>214</v>
      </c>
      <c r="C1809" s="65"/>
      <c r="D1809" s="62">
        <v>0</v>
      </c>
      <c r="E1809" s="63" t="s">
        <v>215</v>
      </c>
    </row>
    <row r="1810" spans="2:9" x14ac:dyDescent="0.2">
      <c r="B1810" s="64" t="s">
        <v>216</v>
      </c>
      <c r="C1810" s="65"/>
      <c r="D1810" s="62">
        <v>0</v>
      </c>
      <c r="E1810" s="63" t="s">
        <v>217</v>
      </c>
    </row>
    <row r="1811" spans="2:9" x14ac:dyDescent="0.2">
      <c r="B1811" s="80" t="s">
        <v>218</v>
      </c>
      <c r="C1811" s="81"/>
      <c r="D1811" s="62">
        <v>0</v>
      </c>
      <c r="E1811" s="63" t="s">
        <v>219</v>
      </c>
      <c r="I1811" s="57"/>
    </row>
    <row r="1812" spans="2:9" ht="13.5" thickBot="1" x14ac:dyDescent="0.25">
      <c r="B1812" s="64" t="s">
        <v>220</v>
      </c>
      <c r="C1812" s="65"/>
      <c r="D1812" s="62">
        <v>0</v>
      </c>
      <c r="E1812" s="63" t="s">
        <v>221</v>
      </c>
      <c r="I1812" s="57"/>
    </row>
    <row r="1813" spans="2:9" ht="13.5" customHeight="1" thickBot="1" x14ac:dyDescent="0.25">
      <c r="B1813" s="66" t="s">
        <v>364</v>
      </c>
      <c r="C1813" s="67"/>
      <c r="D1813" s="67"/>
      <c r="E1813" s="68"/>
    </row>
    <row r="1814" spans="2:9" x14ac:dyDescent="0.2">
      <c r="B1814" s="51" t="s">
        <v>223</v>
      </c>
      <c r="E1814" s="50"/>
    </row>
    <row r="1815" spans="2:9" x14ac:dyDescent="0.2">
      <c r="B1815" s="69"/>
      <c r="C1815" s="52" t="s">
        <v>224</v>
      </c>
      <c r="D1815" s="52"/>
      <c r="E1815" s="52"/>
    </row>
    <row r="1816" spans="2:9" x14ac:dyDescent="0.2">
      <c r="B1816" s="51" t="s">
        <v>225</v>
      </c>
      <c r="C1816" s="9"/>
      <c r="D1816" s="9"/>
      <c r="E1816" s="70"/>
    </row>
    <row r="1817" spans="2:9" x14ac:dyDescent="0.2">
      <c r="B1817" s="69"/>
      <c r="C1817" s="52" t="s">
        <v>226</v>
      </c>
      <c r="D1817" s="52"/>
      <c r="E1817" s="52"/>
    </row>
    <row r="1818" spans="2:9" x14ac:dyDescent="0.2">
      <c r="B1818" s="51" t="s">
        <v>227</v>
      </c>
      <c r="E1818" s="50"/>
    </row>
    <row r="1819" spans="2:9" x14ac:dyDescent="0.2">
      <c r="B1819" s="51"/>
      <c r="C1819" s="71" t="s">
        <v>228</v>
      </c>
      <c r="D1819" s="71"/>
      <c r="E1819" s="71"/>
    </row>
    <row r="1820" spans="2:9" ht="13.5" thickBot="1" x14ac:dyDescent="0.25">
      <c r="B1820" s="72"/>
      <c r="C1820" s="73"/>
      <c r="D1820" s="74"/>
      <c r="E1820" s="75"/>
    </row>
    <row r="1821" spans="2:9" ht="13.5" thickBot="1" x14ac:dyDescent="0.25"/>
    <row r="1822" spans="2:9" x14ac:dyDescent="0.2">
      <c r="B1822" s="45" t="s">
        <v>365</v>
      </c>
      <c r="C1822" s="46"/>
      <c r="D1822" s="47"/>
      <c r="E1822" s="48"/>
    </row>
    <row r="1823" spans="2:9" x14ac:dyDescent="0.2">
      <c r="B1823" s="49"/>
      <c r="E1823" s="50"/>
    </row>
    <row r="1824" spans="2:9" x14ac:dyDescent="0.2">
      <c r="B1824" s="51" t="s">
        <v>199</v>
      </c>
      <c r="E1824" s="50"/>
    </row>
    <row r="1825" spans="2:9" x14ac:dyDescent="0.2">
      <c r="B1825" s="51"/>
      <c r="C1825" s="85" t="s">
        <v>366</v>
      </c>
      <c r="D1825" s="85"/>
      <c r="E1825" s="85"/>
    </row>
    <row r="1826" spans="2:9" ht="13.5" thickBot="1" x14ac:dyDescent="0.25">
      <c r="B1826" s="51" t="s">
        <v>200</v>
      </c>
      <c r="E1826" s="50"/>
    </row>
    <row r="1827" spans="2:9" ht="13.5" thickBot="1" x14ac:dyDescent="0.25">
      <c r="B1827" s="53" t="s">
        <v>201</v>
      </c>
      <c r="C1827" s="54"/>
      <c r="D1827" s="54"/>
      <c r="E1827" s="55"/>
    </row>
    <row r="1828" spans="2:9" ht="13.5" thickBot="1" x14ac:dyDescent="0.25">
      <c r="B1828" s="53" t="s">
        <v>202</v>
      </c>
      <c r="C1828" s="55"/>
      <c r="D1828" s="56" t="s">
        <v>14</v>
      </c>
      <c r="E1828" s="56" t="s">
        <v>203</v>
      </c>
    </row>
    <row r="1829" spans="2:9" x14ac:dyDescent="0.2">
      <c r="B1829" s="58" t="s">
        <v>204</v>
      </c>
      <c r="C1829" s="58"/>
      <c r="D1829" s="59">
        <v>16</v>
      </c>
      <c r="E1829" s="60" t="s">
        <v>205</v>
      </c>
    </row>
    <row r="1830" spans="2:9" x14ac:dyDescent="0.2">
      <c r="B1830" s="61" t="s">
        <v>206</v>
      </c>
      <c r="C1830" s="61"/>
      <c r="D1830" s="62">
        <v>15</v>
      </c>
      <c r="E1830" s="63" t="s">
        <v>207</v>
      </c>
    </row>
    <row r="1831" spans="2:9" x14ac:dyDescent="0.2">
      <c r="B1831" s="61" t="s">
        <v>208</v>
      </c>
      <c r="C1831" s="61"/>
      <c r="D1831" s="62">
        <v>15</v>
      </c>
      <c r="E1831" s="63" t="s">
        <v>209</v>
      </c>
    </row>
    <row r="1832" spans="2:9" x14ac:dyDescent="0.2">
      <c r="B1832" s="58" t="s">
        <v>210</v>
      </c>
      <c r="C1832" s="58"/>
      <c r="D1832" s="62">
        <v>0</v>
      </c>
      <c r="E1832" s="63" t="s">
        <v>211</v>
      </c>
    </row>
    <row r="1833" spans="2:9" x14ac:dyDescent="0.2">
      <c r="B1833" s="64" t="s">
        <v>212</v>
      </c>
      <c r="C1833" s="65"/>
      <c r="D1833" s="62">
        <v>10</v>
      </c>
      <c r="E1833" s="63" t="s">
        <v>213</v>
      </c>
    </row>
    <row r="1834" spans="2:9" x14ac:dyDescent="0.2">
      <c r="B1834" s="64" t="s">
        <v>214</v>
      </c>
      <c r="C1834" s="65"/>
      <c r="D1834" s="62">
        <v>4</v>
      </c>
      <c r="E1834" s="63" t="s">
        <v>215</v>
      </c>
    </row>
    <row r="1835" spans="2:9" x14ac:dyDescent="0.2">
      <c r="B1835" s="64" t="s">
        <v>216</v>
      </c>
      <c r="C1835" s="65"/>
      <c r="D1835" s="62">
        <v>4</v>
      </c>
      <c r="E1835" s="63" t="s">
        <v>217</v>
      </c>
    </row>
    <row r="1836" spans="2:9" x14ac:dyDescent="0.2">
      <c r="B1836" s="80" t="s">
        <v>218</v>
      </c>
      <c r="C1836" s="81"/>
      <c r="D1836" s="62">
        <v>0</v>
      </c>
      <c r="E1836" s="63" t="s">
        <v>219</v>
      </c>
      <c r="I1836" s="57"/>
    </row>
    <row r="1837" spans="2:9" ht="13.5" thickBot="1" x14ac:dyDescent="0.25">
      <c r="B1837" s="64" t="s">
        <v>220</v>
      </c>
      <c r="C1837" s="65"/>
      <c r="D1837" s="62">
        <v>0</v>
      </c>
      <c r="E1837" s="63" t="s">
        <v>221</v>
      </c>
      <c r="I1837" s="57"/>
    </row>
    <row r="1838" spans="2:9" ht="13.5" customHeight="1" thickBot="1" x14ac:dyDescent="0.25">
      <c r="B1838" s="66" t="s">
        <v>367</v>
      </c>
      <c r="C1838" s="67"/>
      <c r="D1838" s="67"/>
      <c r="E1838" s="68"/>
    </row>
    <row r="1839" spans="2:9" x14ac:dyDescent="0.2">
      <c r="B1839" s="51" t="s">
        <v>223</v>
      </c>
      <c r="E1839" s="50"/>
    </row>
    <row r="1840" spans="2:9" x14ac:dyDescent="0.2">
      <c r="B1840" s="69"/>
      <c r="C1840" s="52" t="s">
        <v>224</v>
      </c>
      <c r="D1840" s="52"/>
      <c r="E1840" s="52"/>
    </row>
    <row r="1841" spans="2:5" x14ac:dyDescent="0.2">
      <c r="B1841" s="51" t="s">
        <v>225</v>
      </c>
      <c r="C1841" s="9"/>
      <c r="D1841" s="9"/>
      <c r="E1841" s="70"/>
    </row>
    <row r="1842" spans="2:5" x14ac:dyDescent="0.2">
      <c r="B1842" s="69"/>
      <c r="C1842" s="52" t="s">
        <v>226</v>
      </c>
      <c r="D1842" s="52"/>
      <c r="E1842" s="52"/>
    </row>
    <row r="1843" spans="2:5" x14ac:dyDescent="0.2">
      <c r="B1843" s="51" t="s">
        <v>227</v>
      </c>
      <c r="E1843" s="50"/>
    </row>
    <row r="1844" spans="2:5" x14ac:dyDescent="0.2">
      <c r="B1844" s="51"/>
      <c r="C1844" s="71" t="s">
        <v>228</v>
      </c>
      <c r="D1844" s="71"/>
      <c r="E1844" s="71"/>
    </row>
    <row r="1845" spans="2:5" ht="13.5" thickBot="1" x14ac:dyDescent="0.25">
      <c r="B1845" s="72"/>
      <c r="C1845" s="73"/>
      <c r="D1845" s="74"/>
      <c r="E1845" s="75"/>
    </row>
    <row r="1846" spans="2:5" ht="13.5" thickBot="1" x14ac:dyDescent="0.25"/>
    <row r="1847" spans="2:5" x14ac:dyDescent="0.2">
      <c r="B1847" s="45" t="s">
        <v>368</v>
      </c>
      <c r="C1847" s="46"/>
      <c r="D1847" s="47"/>
      <c r="E1847" s="48"/>
    </row>
    <row r="1848" spans="2:5" x14ac:dyDescent="0.2">
      <c r="B1848" s="49"/>
      <c r="E1848" s="50"/>
    </row>
    <row r="1849" spans="2:5" x14ac:dyDescent="0.2">
      <c r="B1849" s="51" t="s">
        <v>199</v>
      </c>
      <c r="E1849" s="50"/>
    </row>
    <row r="1850" spans="2:5" x14ac:dyDescent="0.2">
      <c r="B1850" s="51"/>
      <c r="C1850" s="52"/>
      <c r="D1850" s="52"/>
      <c r="E1850" s="52"/>
    </row>
    <row r="1851" spans="2:5" ht="13.5" thickBot="1" x14ac:dyDescent="0.25">
      <c r="B1851" s="51" t="s">
        <v>200</v>
      </c>
      <c r="E1851" s="50"/>
    </row>
    <row r="1852" spans="2:5" ht="13.5" thickBot="1" x14ac:dyDescent="0.25">
      <c r="B1852" s="53" t="s">
        <v>201</v>
      </c>
      <c r="C1852" s="54"/>
      <c r="D1852" s="54"/>
      <c r="E1852" s="55"/>
    </row>
    <row r="1853" spans="2:5" ht="13.5" thickBot="1" x14ac:dyDescent="0.25">
      <c r="B1853" s="53" t="s">
        <v>202</v>
      </c>
      <c r="C1853" s="55"/>
      <c r="D1853" s="56" t="s">
        <v>14</v>
      </c>
      <c r="E1853" s="56" t="s">
        <v>203</v>
      </c>
    </row>
    <row r="1854" spans="2:5" x14ac:dyDescent="0.2">
      <c r="B1854" s="58" t="s">
        <v>204</v>
      </c>
      <c r="C1854" s="58"/>
      <c r="D1854" s="59">
        <v>0</v>
      </c>
      <c r="E1854" s="60" t="s">
        <v>205</v>
      </c>
    </row>
    <row r="1855" spans="2:5" x14ac:dyDescent="0.2">
      <c r="B1855" s="61" t="s">
        <v>206</v>
      </c>
      <c r="C1855" s="61"/>
      <c r="D1855" s="62">
        <v>0</v>
      </c>
      <c r="E1855" s="63" t="s">
        <v>207</v>
      </c>
    </row>
    <row r="1856" spans="2:5" x14ac:dyDescent="0.2">
      <c r="B1856" s="61" t="s">
        <v>208</v>
      </c>
      <c r="C1856" s="61"/>
      <c r="D1856" s="62">
        <v>0</v>
      </c>
      <c r="E1856" s="63" t="s">
        <v>209</v>
      </c>
    </row>
    <row r="1857" spans="2:9" x14ac:dyDescent="0.2">
      <c r="B1857" s="58" t="s">
        <v>210</v>
      </c>
      <c r="C1857" s="58"/>
      <c r="D1857" s="62">
        <v>0</v>
      </c>
      <c r="E1857" s="63" t="s">
        <v>211</v>
      </c>
    </row>
    <row r="1858" spans="2:9" x14ac:dyDescent="0.2">
      <c r="B1858" s="64" t="s">
        <v>212</v>
      </c>
      <c r="C1858" s="65"/>
      <c r="D1858" s="62">
        <v>0</v>
      </c>
      <c r="E1858" s="63" t="s">
        <v>213</v>
      </c>
    </row>
    <row r="1859" spans="2:9" x14ac:dyDescent="0.2">
      <c r="B1859" s="64" t="s">
        <v>214</v>
      </c>
      <c r="C1859" s="65"/>
      <c r="D1859" s="62">
        <v>5</v>
      </c>
      <c r="E1859" s="63" t="s">
        <v>215</v>
      </c>
    </row>
    <row r="1860" spans="2:9" x14ac:dyDescent="0.2">
      <c r="B1860" s="64" t="s">
        <v>216</v>
      </c>
      <c r="C1860" s="65"/>
      <c r="D1860" s="62">
        <v>0</v>
      </c>
      <c r="E1860" s="63" t="s">
        <v>217</v>
      </c>
    </row>
    <row r="1861" spans="2:9" x14ac:dyDescent="0.2">
      <c r="B1861" s="80" t="s">
        <v>218</v>
      </c>
      <c r="C1861" s="81"/>
      <c r="D1861" s="62">
        <v>0</v>
      </c>
      <c r="E1861" s="63" t="s">
        <v>219</v>
      </c>
      <c r="I1861" s="57"/>
    </row>
    <row r="1862" spans="2:9" ht="13.5" thickBot="1" x14ac:dyDescent="0.25">
      <c r="B1862" s="64" t="s">
        <v>220</v>
      </c>
      <c r="C1862" s="65"/>
      <c r="D1862" s="62">
        <v>0</v>
      </c>
      <c r="E1862" s="63" t="s">
        <v>221</v>
      </c>
      <c r="I1862" s="57"/>
    </row>
    <row r="1863" spans="2:9" ht="13.5" customHeight="1" thickBot="1" x14ac:dyDescent="0.25">
      <c r="B1863" s="66" t="s">
        <v>369</v>
      </c>
      <c r="C1863" s="67"/>
      <c r="D1863" s="67"/>
      <c r="E1863" s="68"/>
    </row>
    <row r="1864" spans="2:9" x14ac:dyDescent="0.2">
      <c r="B1864" s="51" t="s">
        <v>223</v>
      </c>
      <c r="E1864" s="50"/>
    </row>
    <row r="1865" spans="2:9" x14ac:dyDescent="0.2">
      <c r="B1865" s="69"/>
      <c r="C1865" s="52" t="s">
        <v>224</v>
      </c>
      <c r="D1865" s="52"/>
      <c r="E1865" s="52"/>
    </row>
    <row r="1866" spans="2:9" x14ac:dyDescent="0.2">
      <c r="B1866" s="51" t="s">
        <v>225</v>
      </c>
      <c r="C1866" s="9"/>
      <c r="D1866" s="9"/>
      <c r="E1866" s="70"/>
    </row>
    <row r="1867" spans="2:9" x14ac:dyDescent="0.2">
      <c r="B1867" s="69"/>
      <c r="C1867" s="52" t="s">
        <v>226</v>
      </c>
      <c r="D1867" s="52"/>
      <c r="E1867" s="52"/>
    </row>
    <row r="1868" spans="2:9" x14ac:dyDescent="0.2">
      <c r="B1868" s="51" t="s">
        <v>227</v>
      </c>
      <c r="E1868" s="50"/>
    </row>
    <row r="1869" spans="2:9" x14ac:dyDescent="0.2">
      <c r="B1869" s="51"/>
      <c r="C1869" s="71" t="s">
        <v>228</v>
      </c>
      <c r="D1869" s="71"/>
      <c r="E1869" s="71"/>
    </row>
    <row r="1870" spans="2:9" ht="13.5" thickBot="1" x14ac:dyDescent="0.25">
      <c r="B1870" s="72"/>
      <c r="C1870" s="73"/>
      <c r="D1870" s="74"/>
      <c r="E1870" s="75"/>
    </row>
    <row r="1871" spans="2:9" ht="13.5" thickBot="1" x14ac:dyDescent="0.25"/>
    <row r="1872" spans="2:9" x14ac:dyDescent="0.2">
      <c r="B1872" s="45" t="s">
        <v>370</v>
      </c>
      <c r="C1872" s="46"/>
      <c r="D1872" s="47"/>
      <c r="E1872" s="48"/>
    </row>
    <row r="1873" spans="2:9" x14ac:dyDescent="0.2">
      <c r="B1873" s="49"/>
      <c r="E1873" s="50"/>
    </row>
    <row r="1874" spans="2:9" x14ac:dyDescent="0.2">
      <c r="B1874" s="51" t="s">
        <v>199</v>
      </c>
      <c r="E1874" s="50"/>
    </row>
    <row r="1875" spans="2:9" x14ac:dyDescent="0.2">
      <c r="B1875" s="51"/>
      <c r="C1875" s="85" t="s">
        <v>371</v>
      </c>
      <c r="D1875" s="85"/>
      <c r="E1875" s="85"/>
    </row>
    <row r="1876" spans="2:9" ht="13.5" thickBot="1" x14ac:dyDescent="0.25">
      <c r="B1876" s="51" t="s">
        <v>200</v>
      </c>
      <c r="E1876" s="50"/>
    </row>
    <row r="1877" spans="2:9" ht="13.5" thickBot="1" x14ac:dyDescent="0.25">
      <c r="B1877" s="53" t="s">
        <v>201</v>
      </c>
      <c r="C1877" s="54"/>
      <c r="D1877" s="54"/>
      <c r="E1877" s="55"/>
    </row>
    <row r="1878" spans="2:9" ht="13.5" thickBot="1" x14ac:dyDescent="0.25">
      <c r="B1878" s="53" t="s">
        <v>202</v>
      </c>
      <c r="C1878" s="55"/>
      <c r="D1878" s="56" t="s">
        <v>14</v>
      </c>
      <c r="E1878" s="56" t="s">
        <v>203</v>
      </c>
    </row>
    <row r="1879" spans="2:9" x14ac:dyDescent="0.2">
      <c r="B1879" s="58" t="s">
        <v>204</v>
      </c>
      <c r="C1879" s="58"/>
      <c r="D1879" s="59">
        <v>0</v>
      </c>
      <c r="E1879" s="60" t="s">
        <v>205</v>
      </c>
    </row>
    <row r="1880" spans="2:9" x14ac:dyDescent="0.2">
      <c r="B1880" s="61" t="s">
        <v>206</v>
      </c>
      <c r="C1880" s="61"/>
      <c r="D1880" s="62">
        <v>0</v>
      </c>
      <c r="E1880" s="63" t="s">
        <v>207</v>
      </c>
    </row>
    <row r="1881" spans="2:9" x14ac:dyDescent="0.2">
      <c r="B1881" s="61" t="s">
        <v>208</v>
      </c>
      <c r="C1881" s="61"/>
      <c r="D1881" s="62">
        <v>0</v>
      </c>
      <c r="E1881" s="63" t="s">
        <v>209</v>
      </c>
    </row>
    <row r="1882" spans="2:9" x14ac:dyDescent="0.2">
      <c r="B1882" s="58" t="s">
        <v>210</v>
      </c>
      <c r="C1882" s="58"/>
      <c r="D1882" s="62">
        <v>0</v>
      </c>
      <c r="E1882" s="63" t="s">
        <v>211</v>
      </c>
    </row>
    <row r="1883" spans="2:9" x14ac:dyDescent="0.2">
      <c r="B1883" s="64" t="s">
        <v>212</v>
      </c>
      <c r="C1883" s="65"/>
      <c r="D1883" s="62">
        <v>20</v>
      </c>
      <c r="E1883" s="63" t="s">
        <v>213</v>
      </c>
    </row>
    <row r="1884" spans="2:9" x14ac:dyDescent="0.2">
      <c r="B1884" s="64" t="s">
        <v>214</v>
      </c>
      <c r="C1884" s="65"/>
      <c r="D1884" s="62">
        <v>0</v>
      </c>
      <c r="E1884" s="63" t="s">
        <v>215</v>
      </c>
    </row>
    <row r="1885" spans="2:9" x14ac:dyDescent="0.2">
      <c r="B1885" s="64" t="s">
        <v>216</v>
      </c>
      <c r="C1885" s="65"/>
      <c r="D1885" s="62">
        <v>0</v>
      </c>
      <c r="E1885" s="63" t="s">
        <v>217</v>
      </c>
    </row>
    <row r="1886" spans="2:9" x14ac:dyDescent="0.2">
      <c r="B1886" s="80" t="s">
        <v>218</v>
      </c>
      <c r="C1886" s="81"/>
      <c r="D1886" s="62">
        <v>0</v>
      </c>
      <c r="E1886" s="63" t="s">
        <v>219</v>
      </c>
      <c r="I1886" s="57"/>
    </row>
    <row r="1887" spans="2:9" ht="13.5" thickBot="1" x14ac:dyDescent="0.25">
      <c r="B1887" s="64" t="s">
        <v>220</v>
      </c>
      <c r="C1887" s="65"/>
      <c r="D1887" s="62">
        <v>0</v>
      </c>
      <c r="E1887" s="63" t="s">
        <v>221</v>
      </c>
      <c r="I1887" s="57"/>
    </row>
    <row r="1888" spans="2:9" ht="13.5" customHeight="1" thickBot="1" x14ac:dyDescent="0.25">
      <c r="B1888" s="66" t="s">
        <v>372</v>
      </c>
      <c r="C1888" s="67"/>
      <c r="D1888" s="67"/>
      <c r="E1888" s="68"/>
    </row>
    <row r="1889" spans="2:5" x14ac:dyDescent="0.2">
      <c r="B1889" s="51" t="s">
        <v>223</v>
      </c>
      <c r="E1889" s="50"/>
    </row>
    <row r="1890" spans="2:5" x14ac:dyDescent="0.2">
      <c r="B1890" s="69"/>
      <c r="C1890" s="52" t="s">
        <v>224</v>
      </c>
      <c r="D1890" s="52"/>
      <c r="E1890" s="52"/>
    </row>
    <row r="1891" spans="2:5" x14ac:dyDescent="0.2">
      <c r="B1891" s="51" t="s">
        <v>225</v>
      </c>
      <c r="C1891" s="9"/>
      <c r="D1891" s="9"/>
      <c r="E1891" s="70"/>
    </row>
    <row r="1892" spans="2:5" x14ac:dyDescent="0.2">
      <c r="B1892" s="69"/>
      <c r="C1892" s="52" t="s">
        <v>226</v>
      </c>
      <c r="D1892" s="52"/>
      <c r="E1892" s="52"/>
    </row>
    <row r="1893" spans="2:5" x14ac:dyDescent="0.2">
      <c r="B1893" s="51" t="s">
        <v>227</v>
      </c>
      <c r="E1893" s="50"/>
    </row>
    <row r="1894" spans="2:5" x14ac:dyDescent="0.2">
      <c r="B1894" s="51"/>
      <c r="C1894" s="71" t="s">
        <v>228</v>
      </c>
      <c r="D1894" s="71"/>
      <c r="E1894" s="71"/>
    </row>
    <row r="1895" spans="2:5" ht="13.5" thickBot="1" x14ac:dyDescent="0.25">
      <c r="B1895" s="72"/>
      <c r="C1895" s="73"/>
      <c r="D1895" s="74"/>
      <c r="E1895" s="75"/>
    </row>
    <row r="1896" spans="2:5" ht="13.5" thickBot="1" x14ac:dyDescent="0.25"/>
    <row r="1897" spans="2:5" x14ac:dyDescent="0.2">
      <c r="B1897" s="45" t="s">
        <v>373</v>
      </c>
      <c r="C1897" s="46"/>
      <c r="D1897" s="47"/>
      <c r="E1897" s="48"/>
    </row>
    <row r="1898" spans="2:5" x14ac:dyDescent="0.2">
      <c r="B1898" s="49"/>
      <c r="E1898" s="50"/>
    </row>
    <row r="1899" spans="2:5" x14ac:dyDescent="0.2">
      <c r="B1899" s="51" t="s">
        <v>199</v>
      </c>
      <c r="E1899" s="50"/>
    </row>
    <row r="1900" spans="2:5" x14ac:dyDescent="0.2">
      <c r="B1900" s="51"/>
      <c r="C1900" s="52"/>
      <c r="D1900" s="52"/>
      <c r="E1900" s="52"/>
    </row>
    <row r="1901" spans="2:5" ht="13.5" thickBot="1" x14ac:dyDescent="0.25">
      <c r="B1901" s="51" t="s">
        <v>200</v>
      </c>
      <c r="E1901" s="50"/>
    </row>
    <row r="1902" spans="2:5" ht="13.5" thickBot="1" x14ac:dyDescent="0.25">
      <c r="B1902" s="53" t="s">
        <v>201</v>
      </c>
      <c r="C1902" s="54"/>
      <c r="D1902" s="54"/>
      <c r="E1902" s="55"/>
    </row>
    <row r="1903" spans="2:5" ht="13.5" thickBot="1" x14ac:dyDescent="0.25">
      <c r="B1903" s="53" t="s">
        <v>202</v>
      </c>
      <c r="C1903" s="55"/>
      <c r="D1903" s="56" t="s">
        <v>14</v>
      </c>
      <c r="E1903" s="56" t="s">
        <v>203</v>
      </c>
    </row>
    <row r="1904" spans="2:5" x14ac:dyDescent="0.2">
      <c r="B1904" s="58" t="s">
        <v>204</v>
      </c>
      <c r="C1904" s="58"/>
      <c r="D1904" s="59">
        <v>0</v>
      </c>
      <c r="E1904" s="60" t="s">
        <v>205</v>
      </c>
    </row>
    <row r="1905" spans="2:9" x14ac:dyDescent="0.2">
      <c r="B1905" s="61" t="s">
        <v>206</v>
      </c>
      <c r="C1905" s="61"/>
      <c r="D1905" s="62">
        <v>0</v>
      </c>
      <c r="E1905" s="63" t="s">
        <v>207</v>
      </c>
    </row>
    <row r="1906" spans="2:9" x14ac:dyDescent="0.2">
      <c r="B1906" s="61" t="s">
        <v>208</v>
      </c>
      <c r="C1906" s="61"/>
      <c r="D1906" s="62">
        <v>0</v>
      </c>
      <c r="E1906" s="63" t="s">
        <v>209</v>
      </c>
    </row>
    <row r="1907" spans="2:9" x14ac:dyDescent="0.2">
      <c r="B1907" s="58" t="s">
        <v>210</v>
      </c>
      <c r="C1907" s="58"/>
      <c r="D1907" s="62">
        <v>0</v>
      </c>
      <c r="E1907" s="63" t="s">
        <v>211</v>
      </c>
    </row>
    <row r="1908" spans="2:9" x14ac:dyDescent="0.2">
      <c r="B1908" s="64" t="s">
        <v>212</v>
      </c>
      <c r="C1908" s="65"/>
      <c r="D1908" s="62">
        <v>30</v>
      </c>
      <c r="E1908" s="63" t="s">
        <v>213</v>
      </c>
    </row>
    <row r="1909" spans="2:9" x14ac:dyDescent="0.2">
      <c r="B1909" s="64" t="s">
        <v>214</v>
      </c>
      <c r="C1909" s="65"/>
      <c r="D1909" s="62">
        <v>0</v>
      </c>
      <c r="E1909" s="63" t="s">
        <v>215</v>
      </c>
    </row>
    <row r="1910" spans="2:9" x14ac:dyDescent="0.2">
      <c r="B1910" s="64" t="s">
        <v>216</v>
      </c>
      <c r="C1910" s="65"/>
      <c r="D1910" s="62">
        <v>0</v>
      </c>
      <c r="E1910" s="63" t="s">
        <v>217</v>
      </c>
    </row>
    <row r="1911" spans="2:9" x14ac:dyDescent="0.2">
      <c r="B1911" s="80" t="s">
        <v>218</v>
      </c>
      <c r="C1911" s="81"/>
      <c r="D1911" s="62">
        <v>0</v>
      </c>
      <c r="E1911" s="63" t="s">
        <v>219</v>
      </c>
      <c r="I1911" s="57"/>
    </row>
    <row r="1912" spans="2:9" ht="13.5" thickBot="1" x14ac:dyDescent="0.25">
      <c r="B1912" s="64" t="s">
        <v>220</v>
      </c>
      <c r="C1912" s="65"/>
      <c r="D1912" s="62">
        <v>0</v>
      </c>
      <c r="E1912" s="63" t="s">
        <v>221</v>
      </c>
      <c r="I1912" s="57"/>
    </row>
    <row r="1913" spans="2:9" ht="13.5" customHeight="1" thickBot="1" x14ac:dyDescent="0.25">
      <c r="B1913" s="66" t="s">
        <v>374</v>
      </c>
      <c r="C1913" s="67"/>
      <c r="D1913" s="67"/>
      <c r="E1913" s="68"/>
    </row>
    <row r="1914" spans="2:9" x14ac:dyDescent="0.2">
      <c r="B1914" s="51" t="s">
        <v>223</v>
      </c>
      <c r="E1914" s="50"/>
    </row>
    <row r="1915" spans="2:9" x14ac:dyDescent="0.2">
      <c r="B1915" s="69"/>
      <c r="C1915" s="87" t="s">
        <v>224</v>
      </c>
      <c r="D1915" s="87"/>
      <c r="E1915" s="52"/>
    </row>
    <row r="1916" spans="2:9" x14ac:dyDescent="0.2">
      <c r="B1916" s="51" t="s">
        <v>225</v>
      </c>
      <c r="C1916" s="9"/>
      <c r="D1916" s="9"/>
      <c r="E1916" s="70"/>
    </row>
    <row r="1917" spans="2:9" x14ac:dyDescent="0.2">
      <c r="B1917" s="69"/>
      <c r="C1917" s="87" t="s">
        <v>226</v>
      </c>
      <c r="D1917" s="87"/>
      <c r="E1917" s="52"/>
    </row>
    <row r="1918" spans="2:9" x14ac:dyDescent="0.2">
      <c r="B1918" s="51" t="s">
        <v>227</v>
      </c>
      <c r="E1918" s="50"/>
    </row>
    <row r="1919" spans="2:9" x14ac:dyDescent="0.2">
      <c r="B1919" s="51"/>
      <c r="C1919" s="84" t="s">
        <v>228</v>
      </c>
      <c r="D1919" s="84"/>
      <c r="E1919" s="71"/>
    </row>
    <row r="1920" spans="2:9" ht="13.5" thickBot="1" x14ac:dyDescent="0.25">
      <c r="B1920" s="72"/>
      <c r="C1920" s="73"/>
      <c r="D1920" s="74"/>
      <c r="E1920" s="75"/>
    </row>
    <row r="1921" spans="2:9" ht="13.5" thickBot="1" x14ac:dyDescent="0.25"/>
    <row r="1922" spans="2:9" x14ac:dyDescent="0.2">
      <c r="B1922" s="45" t="s">
        <v>375</v>
      </c>
      <c r="C1922" s="46"/>
      <c r="D1922" s="47"/>
      <c r="E1922" s="48"/>
    </row>
    <row r="1923" spans="2:9" x14ac:dyDescent="0.2">
      <c r="B1923" s="49"/>
      <c r="E1923" s="50"/>
    </row>
    <row r="1924" spans="2:9" x14ac:dyDescent="0.2">
      <c r="B1924" s="51" t="s">
        <v>199</v>
      </c>
      <c r="E1924" s="50"/>
    </row>
    <row r="1925" spans="2:9" x14ac:dyDescent="0.2">
      <c r="B1925" s="51"/>
      <c r="C1925" s="52"/>
      <c r="D1925" s="52"/>
      <c r="E1925" s="52"/>
    </row>
    <row r="1926" spans="2:9" ht="13.5" thickBot="1" x14ac:dyDescent="0.25">
      <c r="B1926" s="51" t="s">
        <v>200</v>
      </c>
      <c r="E1926" s="50"/>
    </row>
    <row r="1927" spans="2:9" ht="13.5" thickBot="1" x14ac:dyDescent="0.25">
      <c r="B1927" s="53" t="s">
        <v>201</v>
      </c>
      <c r="C1927" s="54"/>
      <c r="D1927" s="54"/>
      <c r="E1927" s="55"/>
    </row>
    <row r="1928" spans="2:9" ht="13.5" thickBot="1" x14ac:dyDescent="0.25">
      <c r="B1928" s="53" t="s">
        <v>202</v>
      </c>
      <c r="C1928" s="55"/>
      <c r="D1928" s="56" t="s">
        <v>14</v>
      </c>
      <c r="E1928" s="56" t="s">
        <v>203</v>
      </c>
    </row>
    <row r="1929" spans="2:9" x14ac:dyDescent="0.2">
      <c r="B1929" s="58" t="s">
        <v>204</v>
      </c>
      <c r="C1929" s="58"/>
      <c r="D1929" s="59">
        <v>0</v>
      </c>
      <c r="E1929" s="60" t="s">
        <v>205</v>
      </c>
    </row>
    <row r="1930" spans="2:9" x14ac:dyDescent="0.2">
      <c r="B1930" s="61" t="s">
        <v>206</v>
      </c>
      <c r="C1930" s="61"/>
      <c r="D1930" s="62">
        <v>0</v>
      </c>
      <c r="E1930" s="63" t="s">
        <v>207</v>
      </c>
    </row>
    <row r="1931" spans="2:9" x14ac:dyDescent="0.2">
      <c r="B1931" s="61" t="s">
        <v>208</v>
      </c>
      <c r="C1931" s="61"/>
      <c r="D1931" s="62">
        <v>2</v>
      </c>
      <c r="E1931" s="63" t="s">
        <v>209</v>
      </c>
    </row>
    <row r="1932" spans="2:9" x14ac:dyDescent="0.2">
      <c r="B1932" s="58" t="s">
        <v>210</v>
      </c>
      <c r="C1932" s="58"/>
      <c r="D1932" s="62">
        <v>2</v>
      </c>
      <c r="E1932" s="63" t="s">
        <v>211</v>
      </c>
    </row>
    <row r="1933" spans="2:9" x14ac:dyDescent="0.2">
      <c r="B1933" s="64" t="s">
        <v>212</v>
      </c>
      <c r="C1933" s="65"/>
      <c r="D1933" s="62">
        <v>0</v>
      </c>
      <c r="E1933" s="63" t="s">
        <v>213</v>
      </c>
    </row>
    <row r="1934" spans="2:9" x14ac:dyDescent="0.2">
      <c r="B1934" s="64" t="s">
        <v>214</v>
      </c>
      <c r="C1934" s="65"/>
      <c r="D1934" s="62">
        <v>0</v>
      </c>
      <c r="E1934" s="63" t="s">
        <v>215</v>
      </c>
    </row>
    <row r="1935" spans="2:9" x14ac:dyDescent="0.2">
      <c r="B1935" s="64" t="s">
        <v>216</v>
      </c>
      <c r="C1935" s="65"/>
      <c r="D1935" s="62">
        <v>0</v>
      </c>
      <c r="E1935" s="63" t="s">
        <v>217</v>
      </c>
    </row>
    <row r="1936" spans="2:9" x14ac:dyDescent="0.2">
      <c r="B1936" s="80" t="s">
        <v>218</v>
      </c>
      <c r="C1936" s="81"/>
      <c r="D1936" s="62">
        <v>0</v>
      </c>
      <c r="E1936" s="63" t="s">
        <v>219</v>
      </c>
      <c r="I1936" s="57"/>
    </row>
    <row r="1937" spans="2:9" ht="13.5" thickBot="1" x14ac:dyDescent="0.25">
      <c r="B1937" s="64" t="s">
        <v>220</v>
      </c>
      <c r="C1937" s="65"/>
      <c r="D1937" s="62">
        <v>0</v>
      </c>
      <c r="E1937" s="63" t="s">
        <v>221</v>
      </c>
      <c r="I1937" s="57"/>
    </row>
    <row r="1938" spans="2:9" ht="13.5" customHeight="1" thickBot="1" x14ac:dyDescent="0.25">
      <c r="B1938" s="66" t="s">
        <v>307</v>
      </c>
      <c r="C1938" s="67"/>
      <c r="D1938" s="67"/>
      <c r="E1938" s="68"/>
    </row>
    <row r="1939" spans="2:9" x14ac:dyDescent="0.2">
      <c r="B1939" s="51" t="s">
        <v>223</v>
      </c>
      <c r="E1939" s="50"/>
    </row>
    <row r="1940" spans="2:9" x14ac:dyDescent="0.2">
      <c r="B1940" s="69"/>
      <c r="C1940" s="52" t="s">
        <v>224</v>
      </c>
      <c r="D1940" s="52"/>
      <c r="E1940" s="52"/>
    </row>
    <row r="1941" spans="2:9" x14ac:dyDescent="0.2">
      <c r="B1941" s="51" t="s">
        <v>225</v>
      </c>
      <c r="C1941" s="9"/>
      <c r="D1941" s="9"/>
      <c r="E1941" s="70"/>
    </row>
    <row r="1942" spans="2:9" x14ac:dyDescent="0.2">
      <c r="B1942" s="69"/>
      <c r="C1942" s="52" t="s">
        <v>226</v>
      </c>
      <c r="D1942" s="52"/>
      <c r="E1942" s="52"/>
    </row>
    <row r="1943" spans="2:9" x14ac:dyDescent="0.2">
      <c r="B1943" s="51" t="s">
        <v>227</v>
      </c>
      <c r="E1943" s="50"/>
    </row>
    <row r="1944" spans="2:9" x14ac:dyDescent="0.2">
      <c r="B1944" s="51"/>
      <c r="C1944" s="71" t="s">
        <v>228</v>
      </c>
      <c r="D1944" s="71"/>
      <c r="E1944" s="71"/>
    </row>
    <row r="1945" spans="2:9" ht="13.5" thickBot="1" x14ac:dyDescent="0.25">
      <c r="B1945" s="72"/>
      <c r="C1945" s="73"/>
      <c r="D1945" s="74"/>
      <c r="E1945" s="75"/>
    </row>
    <row r="1946" spans="2:9" ht="13.5" thickBot="1" x14ac:dyDescent="0.25"/>
    <row r="1947" spans="2:9" x14ac:dyDescent="0.2">
      <c r="B1947" s="45" t="s">
        <v>376</v>
      </c>
      <c r="C1947" s="46"/>
      <c r="D1947" s="47"/>
      <c r="E1947" s="48"/>
    </row>
    <row r="1948" spans="2:9" x14ac:dyDescent="0.2">
      <c r="B1948" s="49"/>
      <c r="E1948" s="50"/>
    </row>
    <row r="1949" spans="2:9" x14ac:dyDescent="0.2">
      <c r="B1949" s="51" t="s">
        <v>199</v>
      </c>
      <c r="E1949" s="50"/>
    </row>
    <row r="1950" spans="2:9" x14ac:dyDescent="0.2">
      <c r="B1950" s="51"/>
      <c r="C1950" s="52"/>
      <c r="D1950" s="52"/>
      <c r="E1950" s="52"/>
    </row>
    <row r="1951" spans="2:9" ht="13.5" thickBot="1" x14ac:dyDescent="0.25">
      <c r="B1951" s="51" t="s">
        <v>200</v>
      </c>
      <c r="E1951" s="50"/>
    </row>
    <row r="1952" spans="2:9" ht="13.5" thickBot="1" x14ac:dyDescent="0.25">
      <c r="B1952" s="53" t="s">
        <v>201</v>
      </c>
      <c r="C1952" s="54"/>
      <c r="D1952" s="54"/>
      <c r="E1952" s="55"/>
    </row>
    <row r="1953" spans="2:9" ht="13.5" thickBot="1" x14ac:dyDescent="0.25">
      <c r="B1953" s="53" t="s">
        <v>202</v>
      </c>
      <c r="C1953" s="55"/>
      <c r="D1953" s="56" t="s">
        <v>14</v>
      </c>
      <c r="E1953" s="56" t="s">
        <v>203</v>
      </c>
    </row>
    <row r="1954" spans="2:9" x14ac:dyDescent="0.2">
      <c r="B1954" s="58" t="s">
        <v>204</v>
      </c>
      <c r="C1954" s="58"/>
      <c r="D1954" s="59">
        <v>7</v>
      </c>
      <c r="E1954" s="60" t="s">
        <v>205</v>
      </c>
    </row>
    <row r="1955" spans="2:9" x14ac:dyDescent="0.2">
      <c r="B1955" s="61" t="s">
        <v>206</v>
      </c>
      <c r="C1955" s="61"/>
      <c r="D1955" s="62">
        <v>0</v>
      </c>
      <c r="E1955" s="63" t="s">
        <v>207</v>
      </c>
    </row>
    <row r="1956" spans="2:9" x14ac:dyDescent="0.2">
      <c r="B1956" s="61" t="s">
        <v>208</v>
      </c>
      <c r="C1956" s="61"/>
      <c r="D1956" s="62">
        <v>0</v>
      </c>
      <c r="E1956" s="63" t="s">
        <v>209</v>
      </c>
    </row>
    <row r="1957" spans="2:9" x14ac:dyDescent="0.2">
      <c r="B1957" s="58" t="s">
        <v>210</v>
      </c>
      <c r="C1957" s="58"/>
      <c r="D1957" s="62">
        <v>0</v>
      </c>
      <c r="E1957" s="63" t="s">
        <v>211</v>
      </c>
    </row>
    <row r="1958" spans="2:9" x14ac:dyDescent="0.2">
      <c r="B1958" s="64" t="s">
        <v>212</v>
      </c>
      <c r="C1958" s="65"/>
      <c r="D1958" s="62">
        <v>0</v>
      </c>
      <c r="E1958" s="63" t="s">
        <v>213</v>
      </c>
    </row>
    <row r="1959" spans="2:9" x14ac:dyDescent="0.2">
      <c r="B1959" s="64" t="s">
        <v>214</v>
      </c>
      <c r="C1959" s="65"/>
      <c r="D1959" s="62">
        <v>0</v>
      </c>
      <c r="E1959" s="63" t="s">
        <v>215</v>
      </c>
    </row>
    <row r="1960" spans="2:9" x14ac:dyDescent="0.2">
      <c r="B1960" s="64" t="s">
        <v>216</v>
      </c>
      <c r="C1960" s="65"/>
      <c r="D1960" s="62">
        <v>0</v>
      </c>
      <c r="E1960" s="63" t="s">
        <v>217</v>
      </c>
    </row>
    <row r="1961" spans="2:9" x14ac:dyDescent="0.2">
      <c r="B1961" s="80" t="s">
        <v>218</v>
      </c>
      <c r="C1961" s="81"/>
      <c r="D1961" s="62">
        <v>0</v>
      </c>
      <c r="E1961" s="63" t="s">
        <v>219</v>
      </c>
      <c r="I1961" s="57"/>
    </row>
    <row r="1962" spans="2:9" ht="13.5" thickBot="1" x14ac:dyDescent="0.25">
      <c r="B1962" s="64" t="s">
        <v>220</v>
      </c>
      <c r="C1962" s="65"/>
      <c r="D1962" s="62">
        <v>8</v>
      </c>
      <c r="E1962" s="63" t="s">
        <v>221</v>
      </c>
      <c r="I1962" s="57"/>
    </row>
    <row r="1963" spans="2:9" ht="13.5" customHeight="1" thickBot="1" x14ac:dyDescent="0.25">
      <c r="B1963" s="66" t="s">
        <v>310</v>
      </c>
      <c r="C1963" s="67"/>
      <c r="D1963" s="67"/>
      <c r="E1963" s="68"/>
    </row>
    <row r="1964" spans="2:9" x14ac:dyDescent="0.2">
      <c r="B1964" s="51" t="s">
        <v>223</v>
      </c>
      <c r="E1964" s="50"/>
    </row>
    <row r="1965" spans="2:9" x14ac:dyDescent="0.2">
      <c r="B1965" s="69"/>
      <c r="C1965" s="52" t="s">
        <v>224</v>
      </c>
      <c r="D1965" s="52"/>
      <c r="E1965" s="52"/>
    </row>
    <row r="1966" spans="2:9" x14ac:dyDescent="0.2">
      <c r="B1966" s="51" t="s">
        <v>225</v>
      </c>
      <c r="C1966" s="9"/>
      <c r="D1966" s="9"/>
      <c r="E1966" s="70"/>
    </row>
    <row r="1967" spans="2:9" x14ac:dyDescent="0.2">
      <c r="B1967" s="69"/>
      <c r="C1967" s="52" t="s">
        <v>226</v>
      </c>
      <c r="D1967" s="52"/>
      <c r="E1967" s="52"/>
    </row>
    <row r="1968" spans="2:9" x14ac:dyDescent="0.2">
      <c r="B1968" s="51" t="s">
        <v>227</v>
      </c>
      <c r="E1968" s="50"/>
    </row>
    <row r="1969" spans="2:9" x14ac:dyDescent="0.2">
      <c r="B1969" s="51"/>
      <c r="C1969" s="71" t="s">
        <v>228</v>
      </c>
      <c r="D1969" s="71"/>
      <c r="E1969" s="71"/>
    </row>
    <row r="1970" spans="2:9" ht="13.5" thickBot="1" x14ac:dyDescent="0.25">
      <c r="B1970" s="72"/>
      <c r="C1970" s="73"/>
      <c r="D1970" s="74"/>
      <c r="E1970" s="75"/>
    </row>
    <row r="1971" spans="2:9" ht="13.5" thickBot="1" x14ac:dyDescent="0.25"/>
    <row r="1972" spans="2:9" x14ac:dyDescent="0.2">
      <c r="B1972" s="45" t="s">
        <v>377</v>
      </c>
      <c r="C1972" s="46"/>
      <c r="D1972" s="47"/>
      <c r="E1972" s="48"/>
      <c r="I1972" s="57"/>
    </row>
    <row r="1973" spans="2:9" x14ac:dyDescent="0.2">
      <c r="B1973" s="49"/>
      <c r="E1973" s="50"/>
      <c r="I1973" s="57"/>
    </row>
    <row r="1974" spans="2:9" x14ac:dyDescent="0.2">
      <c r="B1974" s="51" t="s">
        <v>199</v>
      </c>
      <c r="E1974" s="50"/>
      <c r="I1974" s="57"/>
    </row>
    <row r="1975" spans="2:9" x14ac:dyDescent="0.2">
      <c r="B1975" s="51"/>
      <c r="C1975" s="52"/>
      <c r="D1975" s="52"/>
      <c r="E1975" s="52"/>
      <c r="I1975" s="57"/>
    </row>
    <row r="1976" spans="2:9" ht="13.5" thickBot="1" x14ac:dyDescent="0.25">
      <c r="B1976" s="51" t="s">
        <v>200</v>
      </c>
      <c r="E1976" s="50"/>
      <c r="I1976" s="57"/>
    </row>
    <row r="1977" spans="2:9" ht="13.5" thickBot="1" x14ac:dyDescent="0.25">
      <c r="B1977" s="53" t="s">
        <v>378</v>
      </c>
      <c r="C1977" s="54"/>
      <c r="D1977" s="54"/>
      <c r="E1977" s="55"/>
      <c r="I1977" s="57"/>
    </row>
    <row r="1978" spans="2:9" ht="13.5" thickBot="1" x14ac:dyDescent="0.25">
      <c r="B1978" s="53" t="s">
        <v>202</v>
      </c>
      <c r="C1978" s="55"/>
      <c r="D1978" s="56" t="s">
        <v>14</v>
      </c>
      <c r="E1978" s="56" t="s">
        <v>203</v>
      </c>
      <c r="I1978" s="57"/>
    </row>
    <row r="1979" spans="2:9" x14ac:dyDescent="0.2">
      <c r="B1979" s="58" t="s">
        <v>204</v>
      </c>
      <c r="C1979" s="58"/>
      <c r="D1979" s="59">
        <v>14</v>
      </c>
      <c r="E1979" s="60" t="s">
        <v>205</v>
      </c>
      <c r="I1979" s="57"/>
    </row>
    <row r="1980" spans="2:9" x14ac:dyDescent="0.2">
      <c r="B1980" s="61" t="s">
        <v>206</v>
      </c>
      <c r="C1980" s="61"/>
      <c r="D1980" s="62">
        <v>8</v>
      </c>
      <c r="E1980" s="63" t="s">
        <v>207</v>
      </c>
      <c r="I1980" s="57"/>
    </row>
    <row r="1981" spans="2:9" x14ac:dyDescent="0.2">
      <c r="B1981" s="61" t="s">
        <v>208</v>
      </c>
      <c r="C1981" s="61"/>
      <c r="D1981" s="62">
        <v>12</v>
      </c>
      <c r="E1981" s="63" t="s">
        <v>209</v>
      </c>
      <c r="I1981" s="57"/>
    </row>
    <row r="1982" spans="2:9" x14ac:dyDescent="0.2">
      <c r="B1982" s="61" t="s">
        <v>210</v>
      </c>
      <c r="C1982" s="61"/>
      <c r="D1982" s="62">
        <v>80</v>
      </c>
      <c r="E1982" s="63" t="s">
        <v>211</v>
      </c>
      <c r="I1982" s="57"/>
    </row>
    <row r="1983" spans="2:9" x14ac:dyDescent="0.2">
      <c r="B1983" s="61" t="s">
        <v>212</v>
      </c>
      <c r="C1983" s="61"/>
      <c r="D1983" s="62">
        <v>0</v>
      </c>
      <c r="E1983" s="63" t="s">
        <v>213</v>
      </c>
      <c r="I1983" s="57"/>
    </row>
    <row r="1984" spans="2:9" x14ac:dyDescent="0.2">
      <c r="B1984" s="64" t="s">
        <v>214</v>
      </c>
      <c r="C1984" s="65"/>
      <c r="D1984" s="62">
        <v>4</v>
      </c>
      <c r="E1984" s="63" t="s">
        <v>215</v>
      </c>
      <c r="I1984" s="57"/>
    </row>
    <row r="1985" spans="2:9" x14ac:dyDescent="0.2">
      <c r="B1985" s="64" t="s">
        <v>216</v>
      </c>
      <c r="C1985" s="65"/>
      <c r="D1985" s="62">
        <v>0</v>
      </c>
      <c r="E1985" s="63" t="s">
        <v>217</v>
      </c>
    </row>
    <row r="1986" spans="2:9" x14ac:dyDescent="0.2">
      <c r="B1986" s="80" t="s">
        <v>218</v>
      </c>
      <c r="C1986" s="81"/>
      <c r="D1986" s="62">
        <v>0</v>
      </c>
      <c r="E1986" s="63" t="s">
        <v>219</v>
      </c>
      <c r="I1986" s="57"/>
    </row>
    <row r="1987" spans="2:9" ht="13.5" thickBot="1" x14ac:dyDescent="0.25">
      <c r="B1987" s="64" t="s">
        <v>220</v>
      </c>
      <c r="C1987" s="65"/>
      <c r="D1987" s="62">
        <v>15</v>
      </c>
      <c r="E1987" s="63" t="s">
        <v>221</v>
      </c>
      <c r="I1987" s="57"/>
    </row>
    <row r="1988" spans="2:9" ht="25.5" customHeight="1" thickBot="1" x14ac:dyDescent="0.25">
      <c r="B1988" s="66" t="s">
        <v>379</v>
      </c>
      <c r="C1988" s="67"/>
      <c r="D1988" s="67"/>
      <c r="E1988" s="68"/>
      <c r="I1988" s="57"/>
    </row>
    <row r="1989" spans="2:9" x14ac:dyDescent="0.2">
      <c r="B1989" s="51" t="s">
        <v>223</v>
      </c>
      <c r="E1989" s="50"/>
      <c r="I1989" s="57"/>
    </row>
    <row r="1990" spans="2:9" x14ac:dyDescent="0.2">
      <c r="B1990" s="69"/>
      <c r="C1990" s="52" t="s">
        <v>224</v>
      </c>
      <c r="D1990" s="52"/>
      <c r="E1990" s="52"/>
      <c r="I1990" s="57"/>
    </row>
    <row r="1991" spans="2:9" x14ac:dyDescent="0.2">
      <c r="B1991" s="51" t="s">
        <v>225</v>
      </c>
      <c r="C1991" s="9"/>
      <c r="D1991" s="9"/>
      <c r="E1991" s="70"/>
      <c r="I1991" s="57"/>
    </row>
    <row r="1992" spans="2:9" x14ac:dyDescent="0.2">
      <c r="B1992" s="69"/>
      <c r="C1992" s="52" t="s">
        <v>226</v>
      </c>
      <c r="D1992" s="52"/>
      <c r="E1992" s="52"/>
      <c r="I1992" s="57"/>
    </row>
    <row r="1993" spans="2:9" x14ac:dyDescent="0.2">
      <c r="B1993" s="51" t="s">
        <v>227</v>
      </c>
      <c r="E1993" s="50"/>
      <c r="I1993" s="57"/>
    </row>
    <row r="1994" spans="2:9" x14ac:dyDescent="0.2">
      <c r="B1994" s="51"/>
      <c r="C1994" s="71" t="s">
        <v>228</v>
      </c>
      <c r="D1994" s="71"/>
      <c r="E1994" s="71"/>
      <c r="I1994" s="57"/>
    </row>
    <row r="1995" spans="2:9" ht="13.5" thickBot="1" x14ac:dyDescent="0.25">
      <c r="B1995" s="72"/>
      <c r="C1995" s="73"/>
      <c r="D1995" s="74"/>
      <c r="E1995" s="75"/>
      <c r="I1995" s="57"/>
    </row>
    <row r="1996" spans="2:9" x14ac:dyDescent="0.2">
      <c r="I1996" s="57"/>
    </row>
    <row r="1997" spans="2:9" x14ac:dyDescent="0.2">
      <c r="I1997" s="57"/>
    </row>
    <row r="1998" spans="2:9" ht="13.5" thickBot="1" x14ac:dyDescent="0.25"/>
    <row r="1999" spans="2:9" x14ac:dyDescent="0.2">
      <c r="B1999" s="45" t="s">
        <v>380</v>
      </c>
      <c r="C1999" s="46"/>
      <c r="D1999" s="47"/>
      <c r="E1999" s="48"/>
    </row>
    <row r="2000" spans="2:9" x14ac:dyDescent="0.2">
      <c r="B2000" s="49"/>
      <c r="E2000" s="50"/>
    </row>
    <row r="2001" spans="2:9" x14ac:dyDescent="0.2">
      <c r="B2001" s="51" t="s">
        <v>199</v>
      </c>
      <c r="E2001" s="50"/>
    </row>
    <row r="2002" spans="2:9" x14ac:dyDescent="0.2">
      <c r="B2002" s="51"/>
      <c r="C2002" s="85" t="s">
        <v>381</v>
      </c>
      <c r="D2002" s="85"/>
      <c r="E2002" s="85"/>
    </row>
    <row r="2003" spans="2:9" ht="13.5" thickBot="1" x14ac:dyDescent="0.25">
      <c r="B2003" s="51" t="s">
        <v>200</v>
      </c>
      <c r="E2003" s="50"/>
    </row>
    <row r="2004" spans="2:9" ht="13.5" thickBot="1" x14ac:dyDescent="0.25">
      <c r="B2004" s="53" t="s">
        <v>378</v>
      </c>
      <c r="C2004" s="54"/>
      <c r="D2004" s="54"/>
      <c r="E2004" s="55"/>
    </row>
    <row r="2005" spans="2:9" ht="13.5" thickBot="1" x14ac:dyDescent="0.25">
      <c r="B2005" s="53" t="s">
        <v>202</v>
      </c>
      <c r="C2005" s="55"/>
      <c r="D2005" s="56" t="s">
        <v>14</v>
      </c>
      <c r="E2005" s="56" t="s">
        <v>203</v>
      </c>
    </row>
    <row r="2006" spans="2:9" x14ac:dyDescent="0.2">
      <c r="B2006" s="58" t="s">
        <v>204</v>
      </c>
      <c r="C2006" s="58"/>
      <c r="D2006" s="59">
        <v>30</v>
      </c>
      <c r="E2006" s="60" t="s">
        <v>205</v>
      </c>
    </row>
    <row r="2007" spans="2:9" x14ac:dyDescent="0.2">
      <c r="B2007" s="61" t="s">
        <v>206</v>
      </c>
      <c r="C2007" s="61"/>
      <c r="D2007" s="62">
        <v>0</v>
      </c>
      <c r="E2007" s="63" t="s">
        <v>207</v>
      </c>
    </row>
    <row r="2008" spans="2:9" x14ac:dyDescent="0.2">
      <c r="B2008" s="61" t="s">
        <v>208</v>
      </c>
      <c r="C2008" s="61"/>
      <c r="D2008" s="62">
        <v>0</v>
      </c>
      <c r="E2008" s="63" t="s">
        <v>209</v>
      </c>
    </row>
    <row r="2009" spans="2:9" x14ac:dyDescent="0.2">
      <c r="B2009" s="61" t="s">
        <v>210</v>
      </c>
      <c r="C2009" s="61"/>
      <c r="D2009" s="62">
        <v>0</v>
      </c>
      <c r="E2009" s="63" t="s">
        <v>211</v>
      </c>
    </row>
    <row r="2010" spans="2:9" x14ac:dyDescent="0.2">
      <c r="B2010" s="61" t="s">
        <v>212</v>
      </c>
      <c r="C2010" s="61"/>
      <c r="D2010" s="62">
        <v>0</v>
      </c>
      <c r="E2010" s="63" t="s">
        <v>213</v>
      </c>
    </row>
    <row r="2011" spans="2:9" x14ac:dyDescent="0.2">
      <c r="B2011" s="64" t="s">
        <v>214</v>
      </c>
      <c r="C2011" s="65"/>
      <c r="D2011" s="62">
        <v>0</v>
      </c>
      <c r="E2011" s="63" t="s">
        <v>215</v>
      </c>
    </row>
    <row r="2012" spans="2:9" x14ac:dyDescent="0.2">
      <c r="B2012" s="64" t="s">
        <v>216</v>
      </c>
      <c r="C2012" s="65"/>
      <c r="D2012" s="62">
        <v>0</v>
      </c>
      <c r="E2012" s="63" t="s">
        <v>217</v>
      </c>
    </row>
    <row r="2013" spans="2:9" x14ac:dyDescent="0.2">
      <c r="B2013" s="80" t="s">
        <v>218</v>
      </c>
      <c r="C2013" s="81"/>
      <c r="D2013" s="62">
        <v>0</v>
      </c>
      <c r="E2013" s="63" t="s">
        <v>219</v>
      </c>
      <c r="I2013" s="57"/>
    </row>
    <row r="2014" spans="2:9" ht="13.5" thickBot="1" x14ac:dyDescent="0.25">
      <c r="B2014" s="64" t="s">
        <v>220</v>
      </c>
      <c r="C2014" s="65"/>
      <c r="D2014" s="62">
        <v>0</v>
      </c>
      <c r="E2014" s="63" t="s">
        <v>221</v>
      </c>
      <c r="I2014" s="57"/>
    </row>
    <row r="2015" spans="2:9" ht="13.5" customHeight="1" thickBot="1" x14ac:dyDescent="0.25">
      <c r="B2015" s="66" t="s">
        <v>382</v>
      </c>
      <c r="C2015" s="67"/>
      <c r="D2015" s="67"/>
      <c r="E2015" s="68"/>
    </row>
    <row r="2016" spans="2:9" x14ac:dyDescent="0.2">
      <c r="B2016" s="51" t="s">
        <v>223</v>
      </c>
      <c r="E2016" s="50"/>
    </row>
    <row r="2017" spans="2:5" x14ac:dyDescent="0.2">
      <c r="B2017" s="69"/>
      <c r="C2017" s="52" t="s">
        <v>224</v>
      </c>
      <c r="D2017" s="52"/>
      <c r="E2017" s="52"/>
    </row>
    <row r="2018" spans="2:5" x14ac:dyDescent="0.2">
      <c r="B2018" s="51" t="s">
        <v>225</v>
      </c>
      <c r="C2018" s="9"/>
      <c r="D2018" s="9"/>
      <c r="E2018" s="70"/>
    </row>
    <row r="2019" spans="2:5" x14ac:dyDescent="0.2">
      <c r="B2019" s="69"/>
      <c r="C2019" s="52" t="s">
        <v>226</v>
      </c>
      <c r="D2019" s="52"/>
      <c r="E2019" s="52"/>
    </row>
    <row r="2020" spans="2:5" x14ac:dyDescent="0.2">
      <c r="B2020" s="51" t="s">
        <v>227</v>
      </c>
      <c r="E2020" s="50"/>
    </row>
    <row r="2021" spans="2:5" x14ac:dyDescent="0.2">
      <c r="B2021" s="51"/>
      <c r="C2021" s="71" t="s">
        <v>228</v>
      </c>
      <c r="D2021" s="71"/>
      <c r="E2021" s="71"/>
    </row>
    <row r="2022" spans="2:5" ht="13.5" thickBot="1" x14ac:dyDescent="0.25">
      <c r="B2022" s="72"/>
      <c r="C2022" s="73"/>
      <c r="D2022" s="74"/>
      <c r="E2022" s="75"/>
    </row>
    <row r="2023" spans="2:5" ht="13.5" thickBot="1" x14ac:dyDescent="0.25"/>
    <row r="2024" spans="2:5" x14ac:dyDescent="0.2">
      <c r="B2024" s="45" t="s">
        <v>383</v>
      </c>
      <c r="C2024" s="46"/>
      <c r="D2024" s="47"/>
      <c r="E2024" s="48"/>
    </row>
    <row r="2025" spans="2:5" x14ac:dyDescent="0.2">
      <c r="B2025" s="49"/>
      <c r="E2025" s="50"/>
    </row>
    <row r="2026" spans="2:5" x14ac:dyDescent="0.2">
      <c r="B2026" s="51" t="s">
        <v>199</v>
      </c>
      <c r="E2026" s="50"/>
    </row>
    <row r="2027" spans="2:5" x14ac:dyDescent="0.2">
      <c r="B2027" s="51"/>
      <c r="C2027" s="85" t="s">
        <v>381</v>
      </c>
      <c r="D2027" s="85"/>
      <c r="E2027" s="85"/>
    </row>
    <row r="2028" spans="2:5" ht="13.5" thickBot="1" x14ac:dyDescent="0.25">
      <c r="B2028" s="51" t="s">
        <v>200</v>
      </c>
      <c r="E2028" s="50"/>
    </row>
    <row r="2029" spans="2:5" ht="13.5" thickBot="1" x14ac:dyDescent="0.25">
      <c r="B2029" s="53" t="s">
        <v>378</v>
      </c>
      <c r="C2029" s="54"/>
      <c r="D2029" s="54"/>
      <c r="E2029" s="55"/>
    </row>
    <row r="2030" spans="2:5" ht="13.5" thickBot="1" x14ac:dyDescent="0.25">
      <c r="B2030" s="53" t="s">
        <v>202</v>
      </c>
      <c r="C2030" s="55"/>
      <c r="D2030" s="56" t="s">
        <v>14</v>
      </c>
      <c r="E2030" s="56" t="s">
        <v>203</v>
      </c>
    </row>
    <row r="2031" spans="2:5" x14ac:dyDescent="0.2">
      <c r="B2031" s="58" t="s">
        <v>204</v>
      </c>
      <c r="C2031" s="58"/>
      <c r="D2031" s="59">
        <v>35</v>
      </c>
      <c r="E2031" s="60" t="s">
        <v>205</v>
      </c>
    </row>
    <row r="2032" spans="2:5" x14ac:dyDescent="0.2">
      <c r="B2032" s="61" t="s">
        <v>206</v>
      </c>
      <c r="C2032" s="61"/>
      <c r="D2032" s="62">
        <v>0</v>
      </c>
      <c r="E2032" s="63" t="s">
        <v>207</v>
      </c>
    </row>
    <row r="2033" spans="2:9" x14ac:dyDescent="0.2">
      <c r="B2033" s="61" t="s">
        <v>208</v>
      </c>
      <c r="C2033" s="61"/>
      <c r="D2033" s="62">
        <v>0</v>
      </c>
      <c r="E2033" s="63" t="s">
        <v>209</v>
      </c>
    </row>
    <row r="2034" spans="2:9" x14ac:dyDescent="0.2">
      <c r="B2034" s="61" t="s">
        <v>210</v>
      </c>
      <c r="C2034" s="61"/>
      <c r="D2034" s="62">
        <v>0</v>
      </c>
      <c r="E2034" s="63" t="s">
        <v>211</v>
      </c>
    </row>
    <row r="2035" spans="2:9" x14ac:dyDescent="0.2">
      <c r="B2035" s="61" t="s">
        <v>212</v>
      </c>
      <c r="C2035" s="61"/>
      <c r="D2035" s="62">
        <v>0</v>
      </c>
      <c r="E2035" s="63" t="s">
        <v>213</v>
      </c>
    </row>
    <row r="2036" spans="2:9" x14ac:dyDescent="0.2">
      <c r="B2036" s="64" t="s">
        <v>214</v>
      </c>
      <c r="C2036" s="65"/>
      <c r="D2036" s="62">
        <v>0</v>
      </c>
      <c r="E2036" s="63" t="s">
        <v>215</v>
      </c>
    </row>
    <row r="2037" spans="2:9" x14ac:dyDescent="0.2">
      <c r="B2037" s="64" t="s">
        <v>216</v>
      </c>
      <c r="C2037" s="65"/>
      <c r="D2037" s="62">
        <v>0</v>
      </c>
      <c r="E2037" s="63" t="s">
        <v>217</v>
      </c>
    </row>
    <row r="2038" spans="2:9" x14ac:dyDescent="0.2">
      <c r="B2038" s="80" t="s">
        <v>218</v>
      </c>
      <c r="C2038" s="81"/>
      <c r="D2038" s="62">
        <v>0</v>
      </c>
      <c r="E2038" s="63" t="s">
        <v>219</v>
      </c>
      <c r="I2038" s="57"/>
    </row>
    <row r="2039" spans="2:9" ht="13.5" thickBot="1" x14ac:dyDescent="0.25">
      <c r="B2039" s="64" t="s">
        <v>220</v>
      </c>
      <c r="C2039" s="65"/>
      <c r="D2039" s="62">
        <v>0</v>
      </c>
      <c r="E2039" s="63" t="s">
        <v>221</v>
      </c>
      <c r="I2039" s="57"/>
    </row>
    <row r="2040" spans="2:9" ht="13.5" customHeight="1" thickBot="1" x14ac:dyDescent="0.25">
      <c r="B2040" s="66" t="s">
        <v>384</v>
      </c>
      <c r="C2040" s="67"/>
      <c r="D2040" s="67"/>
      <c r="E2040" s="68"/>
    </row>
    <row r="2041" spans="2:9" x14ac:dyDescent="0.2">
      <c r="B2041" s="51" t="s">
        <v>223</v>
      </c>
      <c r="E2041" s="50"/>
    </row>
    <row r="2042" spans="2:9" x14ac:dyDescent="0.2">
      <c r="B2042" s="69"/>
      <c r="C2042" s="52" t="s">
        <v>224</v>
      </c>
      <c r="D2042" s="52"/>
      <c r="E2042" s="52"/>
    </row>
    <row r="2043" spans="2:9" x14ac:dyDescent="0.2">
      <c r="B2043" s="51" t="s">
        <v>225</v>
      </c>
      <c r="C2043" s="9"/>
      <c r="D2043" s="9"/>
      <c r="E2043" s="70"/>
    </row>
    <row r="2044" spans="2:9" x14ac:dyDescent="0.2">
      <c r="B2044" s="69"/>
      <c r="C2044" s="52" t="s">
        <v>226</v>
      </c>
      <c r="D2044" s="52"/>
      <c r="E2044" s="52"/>
    </row>
    <row r="2045" spans="2:9" x14ac:dyDescent="0.2">
      <c r="B2045" s="51" t="s">
        <v>227</v>
      </c>
      <c r="E2045" s="50"/>
    </row>
    <row r="2046" spans="2:9" x14ac:dyDescent="0.2">
      <c r="B2046" s="51"/>
      <c r="C2046" s="71" t="s">
        <v>228</v>
      </c>
      <c r="D2046" s="71"/>
      <c r="E2046" s="71"/>
    </row>
    <row r="2047" spans="2:9" ht="13.5" thickBot="1" x14ac:dyDescent="0.25">
      <c r="B2047" s="72"/>
      <c r="C2047" s="73"/>
      <c r="D2047" s="74"/>
      <c r="E2047" s="75"/>
    </row>
    <row r="2048" spans="2:9" ht="13.5" thickBot="1" x14ac:dyDescent="0.25"/>
    <row r="2049" spans="2:9" x14ac:dyDescent="0.2">
      <c r="B2049" s="45" t="s">
        <v>385</v>
      </c>
      <c r="C2049" s="46"/>
      <c r="D2049" s="47"/>
      <c r="E2049" s="48"/>
    </row>
    <row r="2050" spans="2:9" x14ac:dyDescent="0.2">
      <c r="B2050" s="49"/>
      <c r="E2050" s="50"/>
    </row>
    <row r="2051" spans="2:9" x14ac:dyDescent="0.2">
      <c r="B2051" s="51" t="s">
        <v>199</v>
      </c>
      <c r="E2051" s="50"/>
    </row>
    <row r="2052" spans="2:9" x14ac:dyDescent="0.2">
      <c r="B2052" s="51"/>
      <c r="C2052" s="52"/>
      <c r="D2052" s="52"/>
      <c r="E2052" s="52"/>
    </row>
    <row r="2053" spans="2:9" ht="13.5" thickBot="1" x14ac:dyDescent="0.25">
      <c r="B2053" s="51" t="s">
        <v>200</v>
      </c>
      <c r="E2053" s="50"/>
    </row>
    <row r="2054" spans="2:9" ht="13.5" thickBot="1" x14ac:dyDescent="0.25">
      <c r="B2054" s="53" t="s">
        <v>378</v>
      </c>
      <c r="C2054" s="54"/>
      <c r="D2054" s="54"/>
      <c r="E2054" s="55"/>
    </row>
    <row r="2055" spans="2:9" ht="13.5" thickBot="1" x14ac:dyDescent="0.25">
      <c r="B2055" s="53" t="s">
        <v>202</v>
      </c>
      <c r="C2055" s="55"/>
      <c r="D2055" s="56" t="s">
        <v>14</v>
      </c>
      <c r="E2055" s="56" t="s">
        <v>203</v>
      </c>
    </row>
    <row r="2056" spans="2:9" x14ac:dyDescent="0.2">
      <c r="B2056" s="58" t="s">
        <v>204</v>
      </c>
      <c r="C2056" s="58"/>
      <c r="D2056" s="59">
        <v>2</v>
      </c>
      <c r="E2056" s="60" t="s">
        <v>205</v>
      </c>
    </row>
    <row r="2057" spans="2:9" x14ac:dyDescent="0.2">
      <c r="B2057" s="61" t="s">
        <v>206</v>
      </c>
      <c r="C2057" s="61"/>
      <c r="D2057" s="62">
        <v>0</v>
      </c>
      <c r="E2057" s="63" t="s">
        <v>207</v>
      </c>
    </row>
    <row r="2058" spans="2:9" x14ac:dyDescent="0.2">
      <c r="B2058" s="61" t="s">
        <v>208</v>
      </c>
      <c r="C2058" s="61"/>
      <c r="D2058" s="62">
        <v>0</v>
      </c>
      <c r="E2058" s="63" t="s">
        <v>209</v>
      </c>
    </row>
    <row r="2059" spans="2:9" x14ac:dyDescent="0.2">
      <c r="B2059" s="61" t="s">
        <v>210</v>
      </c>
      <c r="C2059" s="61"/>
      <c r="D2059" s="62">
        <v>0</v>
      </c>
      <c r="E2059" s="63" t="s">
        <v>211</v>
      </c>
    </row>
    <row r="2060" spans="2:9" x14ac:dyDescent="0.2">
      <c r="B2060" s="61" t="s">
        <v>212</v>
      </c>
      <c r="C2060" s="61"/>
      <c r="D2060" s="62">
        <v>0</v>
      </c>
      <c r="E2060" s="63" t="s">
        <v>213</v>
      </c>
    </row>
    <row r="2061" spans="2:9" x14ac:dyDescent="0.2">
      <c r="B2061" s="64" t="s">
        <v>214</v>
      </c>
      <c r="C2061" s="65"/>
      <c r="D2061" s="62">
        <v>0</v>
      </c>
      <c r="E2061" s="63" t="s">
        <v>215</v>
      </c>
    </row>
    <row r="2062" spans="2:9" x14ac:dyDescent="0.2">
      <c r="B2062" s="64" t="s">
        <v>216</v>
      </c>
      <c r="C2062" s="65"/>
      <c r="D2062" s="62">
        <v>0</v>
      </c>
      <c r="E2062" s="63" t="s">
        <v>217</v>
      </c>
    </row>
    <row r="2063" spans="2:9" x14ac:dyDescent="0.2">
      <c r="B2063" s="80" t="s">
        <v>218</v>
      </c>
      <c r="C2063" s="81"/>
      <c r="D2063" s="62">
        <v>0</v>
      </c>
      <c r="E2063" s="63" t="s">
        <v>219</v>
      </c>
      <c r="I2063" s="57"/>
    </row>
    <row r="2064" spans="2:9" ht="13.5" thickBot="1" x14ac:dyDescent="0.25">
      <c r="B2064" s="64" t="s">
        <v>220</v>
      </c>
      <c r="C2064" s="65"/>
      <c r="D2064" s="62">
        <v>0</v>
      </c>
      <c r="E2064" s="63" t="s">
        <v>221</v>
      </c>
      <c r="I2064" s="57"/>
    </row>
    <row r="2065" spans="2:5" ht="31.5" customHeight="1" thickBot="1" x14ac:dyDescent="0.25">
      <c r="B2065" s="66" t="s">
        <v>386</v>
      </c>
      <c r="C2065" s="67"/>
      <c r="D2065" s="67"/>
      <c r="E2065" s="68"/>
    </row>
    <row r="2066" spans="2:5" x14ac:dyDescent="0.2">
      <c r="B2066" s="51" t="s">
        <v>223</v>
      </c>
      <c r="E2066" s="50"/>
    </row>
    <row r="2067" spans="2:5" x14ac:dyDescent="0.2">
      <c r="B2067" s="69"/>
      <c r="C2067" s="52" t="s">
        <v>224</v>
      </c>
      <c r="D2067" s="52"/>
      <c r="E2067" s="52"/>
    </row>
    <row r="2068" spans="2:5" x14ac:dyDescent="0.2">
      <c r="B2068" s="51" t="s">
        <v>225</v>
      </c>
      <c r="C2068" s="9"/>
      <c r="D2068" s="9"/>
      <c r="E2068" s="70"/>
    </row>
    <row r="2069" spans="2:5" x14ac:dyDescent="0.2">
      <c r="B2069" s="69"/>
      <c r="C2069" s="52" t="s">
        <v>226</v>
      </c>
      <c r="D2069" s="52"/>
      <c r="E2069" s="52"/>
    </row>
    <row r="2070" spans="2:5" x14ac:dyDescent="0.2">
      <c r="B2070" s="51" t="s">
        <v>227</v>
      </c>
      <c r="E2070" s="50"/>
    </row>
    <row r="2071" spans="2:5" x14ac:dyDescent="0.2">
      <c r="B2071" s="51"/>
      <c r="C2071" s="71" t="s">
        <v>228</v>
      </c>
      <c r="D2071" s="71"/>
      <c r="E2071" s="71"/>
    </row>
    <row r="2072" spans="2:5" ht="13.5" thickBot="1" x14ac:dyDescent="0.25">
      <c r="B2072" s="72"/>
      <c r="C2072" s="73"/>
      <c r="D2072" s="74"/>
      <c r="E2072" s="75"/>
    </row>
    <row r="2074" spans="2:5" ht="13.5" thickBot="1" x14ac:dyDescent="0.25"/>
    <row r="2075" spans="2:5" x14ac:dyDescent="0.2">
      <c r="B2075" s="45" t="s">
        <v>387</v>
      </c>
      <c r="C2075" s="46"/>
      <c r="D2075" s="47"/>
      <c r="E2075" s="48"/>
    </row>
    <row r="2076" spans="2:5" x14ac:dyDescent="0.2">
      <c r="B2076" s="49"/>
      <c r="E2076" s="50"/>
    </row>
    <row r="2077" spans="2:5" x14ac:dyDescent="0.2">
      <c r="B2077" s="51" t="s">
        <v>199</v>
      </c>
      <c r="E2077" s="50"/>
    </row>
    <row r="2078" spans="2:5" x14ac:dyDescent="0.2">
      <c r="B2078" s="51"/>
      <c r="C2078" s="52"/>
      <c r="D2078" s="52"/>
      <c r="E2078" s="52"/>
    </row>
    <row r="2079" spans="2:5" ht="13.5" thickBot="1" x14ac:dyDescent="0.25">
      <c r="B2079" s="51" t="s">
        <v>200</v>
      </c>
      <c r="E2079" s="50"/>
    </row>
    <row r="2080" spans="2:5" ht="13.5" thickBot="1" x14ac:dyDescent="0.25">
      <c r="B2080" s="53" t="s">
        <v>378</v>
      </c>
      <c r="C2080" s="54"/>
      <c r="D2080" s="54"/>
      <c r="E2080" s="55"/>
    </row>
    <row r="2081" spans="2:5" ht="13.5" thickBot="1" x14ac:dyDescent="0.25">
      <c r="B2081" s="53" t="s">
        <v>202</v>
      </c>
      <c r="C2081" s="55"/>
      <c r="D2081" s="56" t="s">
        <v>14</v>
      </c>
      <c r="E2081" s="56" t="s">
        <v>203</v>
      </c>
    </row>
    <row r="2082" spans="2:5" x14ac:dyDescent="0.2">
      <c r="B2082" s="58" t="s">
        <v>204</v>
      </c>
      <c r="C2082" s="58"/>
      <c r="D2082" s="59">
        <v>0</v>
      </c>
      <c r="E2082" s="60" t="s">
        <v>205</v>
      </c>
    </row>
    <row r="2083" spans="2:5" x14ac:dyDescent="0.2">
      <c r="B2083" s="61" t="s">
        <v>206</v>
      </c>
      <c r="C2083" s="61"/>
      <c r="D2083" s="62">
        <v>0</v>
      </c>
      <c r="E2083" s="63" t="s">
        <v>207</v>
      </c>
    </row>
    <row r="2084" spans="2:5" x14ac:dyDescent="0.2">
      <c r="B2084" s="61" t="s">
        <v>208</v>
      </c>
      <c r="C2084" s="61"/>
      <c r="D2084" s="62">
        <v>0</v>
      </c>
      <c r="E2084" s="63" t="s">
        <v>209</v>
      </c>
    </row>
    <row r="2085" spans="2:5" x14ac:dyDescent="0.2">
      <c r="B2085" s="61" t="s">
        <v>210</v>
      </c>
      <c r="C2085" s="61"/>
      <c r="D2085" s="62">
        <v>0</v>
      </c>
      <c r="E2085" s="63" t="s">
        <v>211</v>
      </c>
    </row>
    <row r="2086" spans="2:5" x14ac:dyDescent="0.2">
      <c r="B2086" s="61" t="s">
        <v>212</v>
      </c>
      <c r="C2086" s="61"/>
      <c r="D2086" s="62">
        <v>0</v>
      </c>
      <c r="E2086" s="63" t="s">
        <v>213</v>
      </c>
    </row>
    <row r="2087" spans="2:5" x14ac:dyDescent="0.2">
      <c r="B2087" s="64" t="s">
        <v>214</v>
      </c>
      <c r="C2087" s="65"/>
      <c r="D2087" s="62">
        <v>0</v>
      </c>
      <c r="E2087" s="63" t="s">
        <v>215</v>
      </c>
    </row>
    <row r="2088" spans="2:5" x14ac:dyDescent="0.2">
      <c r="B2088" s="64" t="s">
        <v>216</v>
      </c>
      <c r="C2088" s="65"/>
      <c r="D2088" s="62">
        <v>0</v>
      </c>
      <c r="E2088" s="63" t="s">
        <v>217</v>
      </c>
    </row>
    <row r="2089" spans="2:5" x14ac:dyDescent="0.2">
      <c r="B2089" s="80" t="s">
        <v>218</v>
      </c>
      <c r="C2089" s="81"/>
      <c r="D2089" s="62">
        <v>0</v>
      </c>
      <c r="E2089" s="63" t="s">
        <v>219</v>
      </c>
    </row>
    <row r="2090" spans="2:5" ht="13.5" thickBot="1" x14ac:dyDescent="0.25">
      <c r="B2090" s="64" t="s">
        <v>220</v>
      </c>
      <c r="C2090" s="65"/>
      <c r="D2090" s="62">
        <v>5</v>
      </c>
      <c r="E2090" s="63" t="s">
        <v>221</v>
      </c>
    </row>
    <row r="2091" spans="2:5" ht="27.75" customHeight="1" thickBot="1" x14ac:dyDescent="0.25">
      <c r="B2091" s="66" t="s">
        <v>388</v>
      </c>
      <c r="C2091" s="67"/>
      <c r="D2091" s="67"/>
      <c r="E2091" s="68"/>
    </row>
    <row r="2092" spans="2:5" x14ac:dyDescent="0.2">
      <c r="B2092" s="51" t="s">
        <v>223</v>
      </c>
      <c r="E2092" s="50"/>
    </row>
    <row r="2093" spans="2:5" x14ac:dyDescent="0.2">
      <c r="B2093" s="69"/>
      <c r="C2093" s="52" t="s">
        <v>224</v>
      </c>
      <c r="D2093" s="52"/>
      <c r="E2093" s="52"/>
    </row>
    <row r="2094" spans="2:5" x14ac:dyDescent="0.2">
      <c r="B2094" s="51" t="s">
        <v>225</v>
      </c>
      <c r="C2094" s="9"/>
      <c r="D2094" s="9"/>
      <c r="E2094" s="70"/>
    </row>
    <row r="2095" spans="2:5" x14ac:dyDescent="0.2">
      <c r="B2095" s="69"/>
      <c r="C2095" s="52" t="s">
        <v>226</v>
      </c>
      <c r="D2095" s="52"/>
      <c r="E2095" s="52"/>
    </row>
    <row r="2096" spans="2:5" x14ac:dyDescent="0.2">
      <c r="B2096" s="51" t="s">
        <v>227</v>
      </c>
      <c r="E2096" s="50"/>
    </row>
    <row r="2097" spans="2:5" x14ac:dyDescent="0.2">
      <c r="B2097" s="51"/>
      <c r="C2097" s="71" t="s">
        <v>228</v>
      </c>
      <c r="D2097" s="71"/>
      <c r="E2097" s="71"/>
    </row>
    <row r="2098" spans="2:5" ht="13.5" thickBot="1" x14ac:dyDescent="0.25">
      <c r="B2098" s="72"/>
      <c r="C2098" s="73"/>
      <c r="D2098" s="74"/>
      <c r="E2098" s="75"/>
    </row>
    <row r="2099" spans="2:5" ht="13.5" thickBot="1" x14ac:dyDescent="0.25"/>
    <row r="2100" spans="2:5" x14ac:dyDescent="0.2">
      <c r="B2100" s="45" t="s">
        <v>389</v>
      </c>
      <c r="C2100" s="46"/>
      <c r="D2100" s="47"/>
      <c r="E2100" s="48"/>
    </row>
    <row r="2101" spans="2:5" x14ac:dyDescent="0.2">
      <c r="B2101" s="49"/>
      <c r="E2101" s="50"/>
    </row>
    <row r="2102" spans="2:5" x14ac:dyDescent="0.2">
      <c r="B2102" s="51" t="s">
        <v>199</v>
      </c>
      <c r="E2102" s="50"/>
    </row>
    <row r="2103" spans="2:5" x14ac:dyDescent="0.2">
      <c r="B2103" s="51"/>
      <c r="C2103" s="52"/>
      <c r="D2103" s="52"/>
      <c r="E2103" s="52"/>
    </row>
    <row r="2104" spans="2:5" ht="13.5" thickBot="1" x14ac:dyDescent="0.25">
      <c r="B2104" s="51" t="s">
        <v>200</v>
      </c>
      <c r="E2104" s="50"/>
    </row>
    <row r="2105" spans="2:5" ht="13.5" thickBot="1" x14ac:dyDescent="0.25">
      <c r="B2105" s="53" t="s">
        <v>201</v>
      </c>
      <c r="C2105" s="54"/>
      <c r="D2105" s="54"/>
      <c r="E2105" s="55"/>
    </row>
    <row r="2106" spans="2:5" ht="13.5" thickBot="1" x14ac:dyDescent="0.25">
      <c r="B2106" s="53" t="s">
        <v>202</v>
      </c>
      <c r="C2106" s="55"/>
      <c r="D2106" s="56" t="s">
        <v>14</v>
      </c>
      <c r="E2106" s="56" t="s">
        <v>203</v>
      </c>
    </row>
    <row r="2107" spans="2:5" x14ac:dyDescent="0.2">
      <c r="B2107" s="58" t="s">
        <v>204</v>
      </c>
      <c r="C2107" s="58"/>
      <c r="D2107" s="59">
        <v>0</v>
      </c>
      <c r="E2107" s="60" t="s">
        <v>205</v>
      </c>
    </row>
    <row r="2108" spans="2:5" x14ac:dyDescent="0.2">
      <c r="B2108" s="61" t="s">
        <v>206</v>
      </c>
      <c r="C2108" s="61"/>
      <c r="D2108" s="62">
        <v>0</v>
      </c>
      <c r="E2108" s="63" t="s">
        <v>207</v>
      </c>
    </row>
    <row r="2109" spans="2:5" x14ac:dyDescent="0.2">
      <c r="B2109" s="61" t="s">
        <v>208</v>
      </c>
      <c r="C2109" s="61"/>
      <c r="D2109" s="62">
        <v>0</v>
      </c>
      <c r="E2109" s="63" t="s">
        <v>209</v>
      </c>
    </row>
    <row r="2110" spans="2:5" x14ac:dyDescent="0.2">
      <c r="B2110" s="61" t="s">
        <v>210</v>
      </c>
      <c r="C2110" s="61"/>
      <c r="D2110" s="62">
        <v>0</v>
      </c>
      <c r="E2110" s="63" t="s">
        <v>211</v>
      </c>
    </row>
    <row r="2111" spans="2:5" x14ac:dyDescent="0.2">
      <c r="B2111" s="61" t="s">
        <v>212</v>
      </c>
      <c r="C2111" s="61"/>
      <c r="D2111" s="62">
        <v>0</v>
      </c>
      <c r="E2111" s="63" t="s">
        <v>213</v>
      </c>
    </row>
    <row r="2112" spans="2:5" x14ac:dyDescent="0.2">
      <c r="B2112" s="64" t="s">
        <v>214</v>
      </c>
      <c r="C2112" s="65"/>
      <c r="D2112" s="62">
        <v>0</v>
      </c>
      <c r="E2112" s="63" t="s">
        <v>215</v>
      </c>
    </row>
    <row r="2113" spans="2:5" x14ac:dyDescent="0.2">
      <c r="B2113" s="64" t="s">
        <v>216</v>
      </c>
      <c r="C2113" s="65"/>
      <c r="D2113" s="62">
        <v>0</v>
      </c>
      <c r="E2113" s="63" t="s">
        <v>217</v>
      </c>
    </row>
    <row r="2114" spans="2:5" x14ac:dyDescent="0.2">
      <c r="B2114" s="80" t="s">
        <v>218</v>
      </c>
      <c r="C2114" s="81"/>
      <c r="D2114" s="62">
        <v>0</v>
      </c>
      <c r="E2114" s="63" t="s">
        <v>219</v>
      </c>
    </row>
    <row r="2115" spans="2:5" ht="13.5" thickBot="1" x14ac:dyDescent="0.25">
      <c r="B2115" s="64" t="s">
        <v>220</v>
      </c>
      <c r="C2115" s="65"/>
      <c r="D2115" s="62">
        <v>20</v>
      </c>
      <c r="E2115" s="63" t="s">
        <v>221</v>
      </c>
    </row>
    <row r="2116" spans="2:5" ht="13.5" customHeight="1" thickBot="1" x14ac:dyDescent="0.25">
      <c r="B2116" s="66" t="s">
        <v>390</v>
      </c>
      <c r="C2116" s="67"/>
      <c r="D2116" s="67"/>
      <c r="E2116" s="68"/>
    </row>
    <row r="2117" spans="2:5" x14ac:dyDescent="0.2">
      <c r="B2117" s="51" t="s">
        <v>223</v>
      </c>
      <c r="E2117" s="50"/>
    </row>
    <row r="2118" spans="2:5" x14ac:dyDescent="0.2">
      <c r="B2118" s="69"/>
      <c r="C2118" s="52" t="s">
        <v>224</v>
      </c>
      <c r="D2118" s="52"/>
      <c r="E2118" s="52"/>
    </row>
    <row r="2119" spans="2:5" x14ac:dyDescent="0.2">
      <c r="B2119" s="51" t="s">
        <v>225</v>
      </c>
      <c r="C2119" s="9"/>
      <c r="D2119" s="9"/>
      <c r="E2119" s="70"/>
    </row>
    <row r="2120" spans="2:5" x14ac:dyDescent="0.2">
      <c r="B2120" s="69"/>
      <c r="C2120" s="52" t="s">
        <v>226</v>
      </c>
      <c r="D2120" s="52"/>
      <c r="E2120" s="52"/>
    </row>
    <row r="2121" spans="2:5" x14ac:dyDescent="0.2">
      <c r="B2121" s="51" t="s">
        <v>227</v>
      </c>
      <c r="E2121" s="50"/>
    </row>
    <row r="2122" spans="2:5" x14ac:dyDescent="0.2">
      <c r="B2122" s="51"/>
      <c r="C2122" s="71" t="s">
        <v>228</v>
      </c>
      <c r="D2122" s="71"/>
      <c r="E2122" s="71"/>
    </row>
    <row r="2123" spans="2:5" ht="13.5" thickBot="1" x14ac:dyDescent="0.25">
      <c r="B2123" s="72"/>
      <c r="C2123" s="73"/>
      <c r="D2123" s="74"/>
      <c r="E2123" s="75"/>
    </row>
    <row r="2124" spans="2:5" ht="13.5" thickBot="1" x14ac:dyDescent="0.25"/>
    <row r="2125" spans="2:5" x14ac:dyDescent="0.2">
      <c r="B2125" s="45" t="s">
        <v>391</v>
      </c>
      <c r="C2125" s="46"/>
      <c r="D2125" s="47"/>
      <c r="E2125" s="48"/>
    </row>
    <row r="2126" spans="2:5" x14ac:dyDescent="0.2">
      <c r="B2126" s="49"/>
      <c r="E2126" s="50"/>
    </row>
    <row r="2127" spans="2:5" x14ac:dyDescent="0.2">
      <c r="B2127" s="51" t="s">
        <v>199</v>
      </c>
      <c r="E2127" s="50"/>
    </row>
    <row r="2128" spans="2:5" x14ac:dyDescent="0.2">
      <c r="B2128" s="51"/>
      <c r="C2128" s="52"/>
      <c r="D2128" s="52"/>
      <c r="E2128" s="52"/>
    </row>
    <row r="2129" spans="2:5" ht="13.5" thickBot="1" x14ac:dyDescent="0.25">
      <c r="B2129" s="51" t="s">
        <v>200</v>
      </c>
      <c r="E2129" s="50"/>
    </row>
    <row r="2130" spans="2:5" ht="13.5" thickBot="1" x14ac:dyDescent="0.25">
      <c r="B2130" s="53" t="s">
        <v>378</v>
      </c>
      <c r="C2130" s="54"/>
      <c r="D2130" s="54"/>
      <c r="E2130" s="55"/>
    </row>
    <row r="2131" spans="2:5" ht="13.5" thickBot="1" x14ac:dyDescent="0.25">
      <c r="B2131" s="53" t="s">
        <v>202</v>
      </c>
      <c r="C2131" s="55"/>
      <c r="D2131" s="56" t="s">
        <v>14</v>
      </c>
      <c r="E2131" s="56" t="s">
        <v>203</v>
      </c>
    </row>
    <row r="2132" spans="2:5" x14ac:dyDescent="0.2">
      <c r="B2132" s="58" t="s">
        <v>204</v>
      </c>
      <c r="C2132" s="58"/>
      <c r="D2132" s="59">
        <v>0</v>
      </c>
      <c r="E2132" s="60" t="s">
        <v>205</v>
      </c>
    </row>
    <row r="2133" spans="2:5" x14ac:dyDescent="0.2">
      <c r="B2133" s="61" t="s">
        <v>206</v>
      </c>
      <c r="C2133" s="61"/>
      <c r="D2133" s="62">
        <v>0</v>
      </c>
      <c r="E2133" s="63" t="s">
        <v>207</v>
      </c>
    </row>
    <row r="2134" spans="2:5" x14ac:dyDescent="0.2">
      <c r="B2134" s="61" t="s">
        <v>208</v>
      </c>
      <c r="C2134" s="61"/>
      <c r="D2134" s="62">
        <v>0</v>
      </c>
      <c r="E2134" s="63" t="s">
        <v>209</v>
      </c>
    </row>
    <row r="2135" spans="2:5" x14ac:dyDescent="0.2">
      <c r="B2135" s="61" t="s">
        <v>210</v>
      </c>
      <c r="C2135" s="61"/>
      <c r="D2135" s="62">
        <v>0</v>
      </c>
      <c r="E2135" s="63" t="s">
        <v>211</v>
      </c>
    </row>
    <row r="2136" spans="2:5" x14ac:dyDescent="0.2">
      <c r="B2136" s="61" t="s">
        <v>212</v>
      </c>
      <c r="C2136" s="61"/>
      <c r="D2136" s="62">
        <v>0</v>
      </c>
      <c r="E2136" s="63" t="s">
        <v>213</v>
      </c>
    </row>
    <row r="2137" spans="2:5" x14ac:dyDescent="0.2">
      <c r="B2137" s="64" t="s">
        <v>214</v>
      </c>
      <c r="C2137" s="65"/>
      <c r="D2137" s="62">
        <v>0</v>
      </c>
      <c r="E2137" s="63" t="s">
        <v>215</v>
      </c>
    </row>
    <row r="2138" spans="2:5" x14ac:dyDescent="0.2">
      <c r="B2138" s="64" t="s">
        <v>216</v>
      </c>
      <c r="C2138" s="65"/>
      <c r="D2138" s="62">
        <v>0</v>
      </c>
      <c r="E2138" s="63" t="s">
        <v>217</v>
      </c>
    </row>
    <row r="2139" spans="2:5" x14ac:dyDescent="0.2">
      <c r="B2139" s="80" t="s">
        <v>218</v>
      </c>
      <c r="C2139" s="81"/>
      <c r="D2139" s="62">
        <v>0</v>
      </c>
      <c r="E2139" s="63" t="s">
        <v>219</v>
      </c>
    </row>
    <row r="2140" spans="2:5" ht="13.5" thickBot="1" x14ac:dyDescent="0.25">
      <c r="B2140" s="64" t="s">
        <v>220</v>
      </c>
      <c r="C2140" s="65"/>
      <c r="D2140" s="62">
        <v>1</v>
      </c>
      <c r="E2140" s="63" t="s">
        <v>221</v>
      </c>
    </row>
    <row r="2141" spans="2:5" ht="26.25" customHeight="1" thickBot="1" x14ac:dyDescent="0.25">
      <c r="B2141" s="66" t="s">
        <v>392</v>
      </c>
      <c r="C2141" s="67"/>
      <c r="D2141" s="67"/>
      <c r="E2141" s="68"/>
    </row>
    <row r="2142" spans="2:5" x14ac:dyDescent="0.2">
      <c r="B2142" s="51" t="s">
        <v>223</v>
      </c>
      <c r="E2142" s="50"/>
    </row>
    <row r="2143" spans="2:5" x14ac:dyDescent="0.2">
      <c r="B2143" s="69"/>
      <c r="C2143" s="52" t="s">
        <v>224</v>
      </c>
      <c r="D2143" s="52"/>
      <c r="E2143" s="52"/>
    </row>
    <row r="2144" spans="2:5" x14ac:dyDescent="0.2">
      <c r="B2144" s="51" t="s">
        <v>225</v>
      </c>
      <c r="C2144" s="9"/>
      <c r="D2144" s="9"/>
      <c r="E2144" s="70"/>
    </row>
    <row r="2145" spans="2:5" x14ac:dyDescent="0.2">
      <c r="B2145" s="69"/>
      <c r="C2145" s="52" t="s">
        <v>226</v>
      </c>
      <c r="D2145" s="52"/>
      <c r="E2145" s="52"/>
    </row>
    <row r="2146" spans="2:5" x14ac:dyDescent="0.2">
      <c r="B2146" s="51" t="s">
        <v>227</v>
      </c>
      <c r="E2146" s="50"/>
    </row>
    <row r="2147" spans="2:5" x14ac:dyDescent="0.2">
      <c r="B2147" s="51"/>
      <c r="C2147" s="71" t="s">
        <v>228</v>
      </c>
      <c r="D2147" s="71"/>
      <c r="E2147" s="71"/>
    </row>
    <row r="2148" spans="2:5" ht="13.5" thickBot="1" x14ac:dyDescent="0.25">
      <c r="B2148" s="72"/>
      <c r="C2148" s="73"/>
      <c r="D2148" s="74"/>
      <c r="E2148" s="75"/>
    </row>
    <row r="2149" spans="2:5" ht="13.5" thickBot="1" x14ac:dyDescent="0.25"/>
    <row r="2150" spans="2:5" x14ac:dyDescent="0.2">
      <c r="B2150" s="45" t="s">
        <v>393</v>
      </c>
      <c r="C2150" s="46"/>
      <c r="D2150" s="47"/>
      <c r="E2150" s="48"/>
    </row>
    <row r="2151" spans="2:5" x14ac:dyDescent="0.2">
      <c r="B2151" s="49"/>
      <c r="E2151" s="50"/>
    </row>
    <row r="2152" spans="2:5" x14ac:dyDescent="0.2">
      <c r="B2152" s="51" t="s">
        <v>199</v>
      </c>
      <c r="E2152" s="50"/>
    </row>
    <row r="2153" spans="2:5" x14ac:dyDescent="0.2">
      <c r="B2153" s="51"/>
      <c r="C2153" s="52"/>
      <c r="D2153" s="52"/>
      <c r="E2153" s="52"/>
    </row>
    <row r="2154" spans="2:5" ht="13.5" thickBot="1" x14ac:dyDescent="0.25">
      <c r="B2154" s="51" t="s">
        <v>200</v>
      </c>
      <c r="E2154" s="50"/>
    </row>
    <row r="2155" spans="2:5" ht="13.5" thickBot="1" x14ac:dyDescent="0.25">
      <c r="B2155" s="53" t="s">
        <v>201</v>
      </c>
      <c r="C2155" s="54"/>
      <c r="D2155" s="54"/>
      <c r="E2155" s="55"/>
    </row>
    <row r="2156" spans="2:5" ht="13.5" thickBot="1" x14ac:dyDescent="0.25">
      <c r="B2156" s="53" t="s">
        <v>202</v>
      </c>
      <c r="C2156" s="55"/>
      <c r="D2156" s="56" t="s">
        <v>14</v>
      </c>
      <c r="E2156" s="56" t="s">
        <v>203</v>
      </c>
    </row>
    <row r="2157" spans="2:5" x14ac:dyDescent="0.2">
      <c r="B2157" s="58" t="s">
        <v>204</v>
      </c>
      <c r="C2157" s="58"/>
      <c r="D2157" s="59">
        <v>0</v>
      </c>
      <c r="E2157" s="60" t="s">
        <v>205</v>
      </c>
    </row>
    <row r="2158" spans="2:5" x14ac:dyDescent="0.2">
      <c r="B2158" s="61" t="s">
        <v>206</v>
      </c>
      <c r="C2158" s="61"/>
      <c r="D2158" s="62">
        <v>0</v>
      </c>
      <c r="E2158" s="63" t="s">
        <v>207</v>
      </c>
    </row>
    <row r="2159" spans="2:5" x14ac:dyDescent="0.2">
      <c r="B2159" s="61" t="s">
        <v>208</v>
      </c>
      <c r="C2159" s="61"/>
      <c r="D2159" s="62">
        <v>0</v>
      </c>
      <c r="E2159" s="63" t="s">
        <v>209</v>
      </c>
    </row>
    <row r="2160" spans="2:5" x14ac:dyDescent="0.2">
      <c r="B2160" s="61" t="s">
        <v>210</v>
      </c>
      <c r="C2160" s="61"/>
      <c r="D2160" s="62">
        <v>0</v>
      </c>
      <c r="E2160" s="63" t="s">
        <v>211</v>
      </c>
    </row>
    <row r="2161" spans="2:5" x14ac:dyDescent="0.2">
      <c r="B2161" s="61" t="s">
        <v>212</v>
      </c>
      <c r="C2161" s="61"/>
      <c r="D2161" s="62">
        <v>0</v>
      </c>
      <c r="E2161" s="63" t="s">
        <v>213</v>
      </c>
    </row>
    <row r="2162" spans="2:5" x14ac:dyDescent="0.2">
      <c r="B2162" s="64" t="s">
        <v>214</v>
      </c>
      <c r="C2162" s="65"/>
      <c r="D2162" s="62">
        <v>0</v>
      </c>
      <c r="E2162" s="63" t="s">
        <v>215</v>
      </c>
    </row>
    <row r="2163" spans="2:5" x14ac:dyDescent="0.2">
      <c r="B2163" s="64" t="s">
        <v>216</v>
      </c>
      <c r="C2163" s="65"/>
      <c r="D2163" s="62">
        <v>0</v>
      </c>
      <c r="E2163" s="63" t="s">
        <v>217</v>
      </c>
    </row>
    <row r="2164" spans="2:5" x14ac:dyDescent="0.2">
      <c r="B2164" s="80" t="s">
        <v>218</v>
      </c>
      <c r="C2164" s="81"/>
      <c r="D2164" s="62">
        <v>0</v>
      </c>
      <c r="E2164" s="63" t="s">
        <v>219</v>
      </c>
    </row>
    <row r="2165" spans="2:5" ht="13.5" thickBot="1" x14ac:dyDescent="0.25">
      <c r="B2165" s="64" t="s">
        <v>220</v>
      </c>
      <c r="C2165" s="65"/>
      <c r="D2165" s="62">
        <v>6</v>
      </c>
      <c r="E2165" s="63" t="s">
        <v>221</v>
      </c>
    </row>
    <row r="2166" spans="2:5" ht="13.5" customHeight="1" thickBot="1" x14ac:dyDescent="0.25">
      <c r="B2166" s="66" t="s">
        <v>394</v>
      </c>
      <c r="C2166" s="67"/>
      <c r="D2166" s="67"/>
      <c r="E2166" s="68"/>
    </row>
    <row r="2167" spans="2:5" x14ac:dyDescent="0.2">
      <c r="B2167" s="51" t="s">
        <v>223</v>
      </c>
      <c r="E2167" s="50"/>
    </row>
    <row r="2168" spans="2:5" x14ac:dyDescent="0.2">
      <c r="B2168" s="69"/>
      <c r="C2168" s="52" t="s">
        <v>224</v>
      </c>
      <c r="D2168" s="52"/>
      <c r="E2168" s="52"/>
    </row>
    <row r="2169" spans="2:5" x14ac:dyDescent="0.2">
      <c r="B2169" s="51" t="s">
        <v>225</v>
      </c>
      <c r="C2169" s="9"/>
      <c r="D2169" s="9"/>
      <c r="E2169" s="70"/>
    </row>
    <row r="2170" spans="2:5" x14ac:dyDescent="0.2">
      <c r="B2170" s="69"/>
      <c r="C2170" s="52" t="s">
        <v>226</v>
      </c>
      <c r="D2170" s="52"/>
      <c r="E2170" s="52"/>
    </row>
    <row r="2171" spans="2:5" x14ac:dyDescent="0.2">
      <c r="B2171" s="51" t="s">
        <v>227</v>
      </c>
      <c r="E2171" s="50"/>
    </row>
    <row r="2172" spans="2:5" x14ac:dyDescent="0.2">
      <c r="B2172" s="51"/>
      <c r="C2172" s="71" t="s">
        <v>228</v>
      </c>
      <c r="D2172" s="71"/>
      <c r="E2172" s="71"/>
    </row>
    <row r="2173" spans="2:5" ht="13.5" thickBot="1" x14ac:dyDescent="0.25">
      <c r="B2173" s="72"/>
      <c r="C2173" s="73"/>
      <c r="D2173" s="74"/>
      <c r="E2173" s="75"/>
    </row>
    <row r="2174" spans="2:5" ht="13.5" thickBot="1" x14ac:dyDescent="0.25"/>
    <row r="2175" spans="2:5" x14ac:dyDescent="0.2">
      <c r="B2175" s="45" t="s">
        <v>395</v>
      </c>
      <c r="C2175" s="46"/>
      <c r="D2175" s="47"/>
      <c r="E2175" s="48"/>
    </row>
    <row r="2176" spans="2:5" x14ac:dyDescent="0.2">
      <c r="B2176" s="49"/>
      <c r="E2176" s="50"/>
    </row>
    <row r="2177" spans="2:5" x14ac:dyDescent="0.2">
      <c r="B2177" s="51" t="s">
        <v>199</v>
      </c>
      <c r="E2177" s="50"/>
    </row>
    <row r="2178" spans="2:5" x14ac:dyDescent="0.2">
      <c r="B2178" s="51"/>
      <c r="C2178" s="52"/>
      <c r="D2178" s="52"/>
      <c r="E2178" s="52"/>
    </row>
    <row r="2179" spans="2:5" ht="13.5" thickBot="1" x14ac:dyDescent="0.25">
      <c r="B2179" s="51" t="s">
        <v>200</v>
      </c>
      <c r="E2179" s="50"/>
    </row>
    <row r="2180" spans="2:5" ht="13.5" thickBot="1" x14ac:dyDescent="0.25">
      <c r="B2180" s="53" t="s">
        <v>201</v>
      </c>
      <c r="C2180" s="54"/>
      <c r="D2180" s="54"/>
      <c r="E2180" s="55"/>
    </row>
    <row r="2181" spans="2:5" ht="13.5" thickBot="1" x14ac:dyDescent="0.25">
      <c r="B2181" s="53" t="s">
        <v>202</v>
      </c>
      <c r="C2181" s="55"/>
      <c r="D2181" s="56" t="s">
        <v>14</v>
      </c>
      <c r="E2181" s="56" t="s">
        <v>203</v>
      </c>
    </row>
    <row r="2182" spans="2:5" x14ac:dyDescent="0.2">
      <c r="B2182" s="58" t="s">
        <v>204</v>
      </c>
      <c r="C2182" s="58"/>
      <c r="D2182" s="59">
        <v>0</v>
      </c>
      <c r="E2182" s="60" t="s">
        <v>205</v>
      </c>
    </row>
    <row r="2183" spans="2:5" x14ac:dyDescent="0.2">
      <c r="B2183" s="61" t="s">
        <v>206</v>
      </c>
      <c r="C2183" s="61"/>
      <c r="D2183" s="62">
        <v>0</v>
      </c>
      <c r="E2183" s="63" t="s">
        <v>207</v>
      </c>
    </row>
    <row r="2184" spans="2:5" x14ac:dyDescent="0.2">
      <c r="B2184" s="61" t="s">
        <v>208</v>
      </c>
      <c r="C2184" s="61"/>
      <c r="D2184" s="62">
        <v>0</v>
      </c>
      <c r="E2184" s="63" t="s">
        <v>209</v>
      </c>
    </row>
    <row r="2185" spans="2:5" x14ac:dyDescent="0.2">
      <c r="B2185" s="61" t="s">
        <v>210</v>
      </c>
      <c r="C2185" s="61"/>
      <c r="D2185" s="62">
        <v>0</v>
      </c>
      <c r="E2185" s="63" t="s">
        <v>211</v>
      </c>
    </row>
    <row r="2186" spans="2:5" x14ac:dyDescent="0.2">
      <c r="B2186" s="61" t="s">
        <v>212</v>
      </c>
      <c r="C2186" s="61"/>
      <c r="D2186" s="62">
        <v>0</v>
      </c>
      <c r="E2186" s="63" t="s">
        <v>213</v>
      </c>
    </row>
    <row r="2187" spans="2:5" x14ac:dyDescent="0.2">
      <c r="B2187" s="64" t="s">
        <v>214</v>
      </c>
      <c r="C2187" s="65"/>
      <c r="D2187" s="62">
        <v>0</v>
      </c>
      <c r="E2187" s="63" t="s">
        <v>215</v>
      </c>
    </row>
    <row r="2188" spans="2:5" x14ac:dyDescent="0.2">
      <c r="B2188" s="64" t="s">
        <v>216</v>
      </c>
      <c r="C2188" s="65"/>
      <c r="D2188" s="62">
        <v>0</v>
      </c>
      <c r="E2188" s="63" t="s">
        <v>217</v>
      </c>
    </row>
    <row r="2189" spans="2:5" x14ac:dyDescent="0.2">
      <c r="B2189" s="80" t="s">
        <v>218</v>
      </c>
      <c r="C2189" s="81"/>
      <c r="D2189" s="62">
        <v>12</v>
      </c>
      <c r="E2189" s="63" t="s">
        <v>219</v>
      </c>
    </row>
    <row r="2190" spans="2:5" ht="13.5" thickBot="1" x14ac:dyDescent="0.25">
      <c r="B2190" s="64" t="s">
        <v>220</v>
      </c>
      <c r="C2190" s="65"/>
      <c r="D2190" s="62">
        <v>0</v>
      </c>
      <c r="E2190" s="63" t="s">
        <v>221</v>
      </c>
    </row>
    <row r="2191" spans="2:5" ht="13.5" customHeight="1" thickBot="1" x14ac:dyDescent="0.25">
      <c r="B2191" s="66" t="s">
        <v>396</v>
      </c>
      <c r="C2191" s="67"/>
      <c r="D2191" s="67"/>
      <c r="E2191" s="68"/>
    </row>
    <row r="2192" spans="2:5" x14ac:dyDescent="0.2">
      <c r="B2192" s="51" t="s">
        <v>223</v>
      </c>
      <c r="E2192" s="50"/>
    </row>
    <row r="2193" spans="2:5" x14ac:dyDescent="0.2">
      <c r="B2193" s="69"/>
      <c r="C2193" s="52" t="s">
        <v>224</v>
      </c>
      <c r="D2193" s="52"/>
      <c r="E2193" s="52"/>
    </row>
    <row r="2194" spans="2:5" x14ac:dyDescent="0.2">
      <c r="B2194" s="51" t="s">
        <v>225</v>
      </c>
      <c r="C2194" s="9"/>
      <c r="D2194" s="9"/>
      <c r="E2194" s="70"/>
    </row>
    <row r="2195" spans="2:5" x14ac:dyDescent="0.2">
      <c r="B2195" s="69"/>
      <c r="C2195" s="52" t="s">
        <v>226</v>
      </c>
      <c r="D2195" s="52"/>
      <c r="E2195" s="52"/>
    </row>
    <row r="2196" spans="2:5" x14ac:dyDescent="0.2">
      <c r="B2196" s="51" t="s">
        <v>227</v>
      </c>
      <c r="E2196" s="50"/>
    </row>
    <row r="2197" spans="2:5" x14ac:dyDescent="0.2">
      <c r="B2197" s="51"/>
      <c r="C2197" s="71" t="s">
        <v>228</v>
      </c>
      <c r="D2197" s="71"/>
      <c r="E2197" s="71"/>
    </row>
    <row r="2198" spans="2:5" ht="13.5" thickBot="1" x14ac:dyDescent="0.25">
      <c r="B2198" s="72"/>
      <c r="C2198" s="73"/>
      <c r="D2198" s="74"/>
      <c r="E2198" s="75"/>
    </row>
    <row r="2201" spans="2:5" ht="13.5" thickBot="1" x14ac:dyDescent="0.25"/>
    <row r="2202" spans="2:5" x14ac:dyDescent="0.2">
      <c r="B2202" s="45" t="s">
        <v>397</v>
      </c>
      <c r="C2202" s="46"/>
      <c r="D2202" s="47"/>
      <c r="E2202" s="48"/>
    </row>
    <row r="2203" spans="2:5" x14ac:dyDescent="0.2">
      <c r="B2203" s="49"/>
      <c r="E2203" s="50"/>
    </row>
    <row r="2204" spans="2:5" x14ac:dyDescent="0.2">
      <c r="B2204" s="51" t="s">
        <v>199</v>
      </c>
      <c r="E2204" s="50"/>
    </row>
    <row r="2205" spans="2:5" x14ac:dyDescent="0.2">
      <c r="B2205" s="51"/>
      <c r="C2205" s="52"/>
      <c r="D2205" s="52"/>
      <c r="E2205" s="52"/>
    </row>
    <row r="2206" spans="2:5" ht="13.5" thickBot="1" x14ac:dyDescent="0.25">
      <c r="B2206" s="51" t="s">
        <v>200</v>
      </c>
      <c r="E2206" s="50"/>
    </row>
    <row r="2207" spans="2:5" ht="13.5" thickBot="1" x14ac:dyDescent="0.25">
      <c r="B2207" s="53" t="s">
        <v>201</v>
      </c>
      <c r="C2207" s="54"/>
      <c r="D2207" s="54"/>
      <c r="E2207" s="55"/>
    </row>
    <row r="2208" spans="2:5" ht="13.5" thickBot="1" x14ac:dyDescent="0.25">
      <c r="B2208" s="53" t="s">
        <v>202</v>
      </c>
      <c r="C2208" s="55"/>
      <c r="D2208" s="56" t="s">
        <v>14</v>
      </c>
      <c r="E2208" s="56" t="s">
        <v>203</v>
      </c>
    </row>
    <row r="2209" spans="2:5" x14ac:dyDescent="0.2">
      <c r="B2209" s="58" t="s">
        <v>204</v>
      </c>
      <c r="C2209" s="58"/>
      <c r="D2209" s="59">
        <v>0</v>
      </c>
      <c r="E2209" s="60" t="s">
        <v>205</v>
      </c>
    </row>
    <row r="2210" spans="2:5" x14ac:dyDescent="0.2">
      <c r="B2210" s="61" t="s">
        <v>206</v>
      </c>
      <c r="C2210" s="61"/>
      <c r="D2210" s="62">
        <v>0</v>
      </c>
      <c r="E2210" s="63" t="s">
        <v>207</v>
      </c>
    </row>
    <row r="2211" spans="2:5" x14ac:dyDescent="0.2">
      <c r="B2211" s="61" t="s">
        <v>208</v>
      </c>
      <c r="C2211" s="61"/>
      <c r="D2211" s="62">
        <v>0</v>
      </c>
      <c r="E2211" s="63" t="s">
        <v>209</v>
      </c>
    </row>
    <row r="2212" spans="2:5" x14ac:dyDescent="0.2">
      <c r="B2212" s="61" t="s">
        <v>210</v>
      </c>
      <c r="C2212" s="61"/>
      <c r="D2212" s="62">
        <v>0</v>
      </c>
      <c r="E2212" s="63" t="s">
        <v>211</v>
      </c>
    </row>
    <row r="2213" spans="2:5" x14ac:dyDescent="0.2">
      <c r="B2213" s="61" t="s">
        <v>212</v>
      </c>
      <c r="C2213" s="61"/>
      <c r="D2213" s="62">
        <v>0</v>
      </c>
      <c r="E2213" s="63" t="s">
        <v>213</v>
      </c>
    </row>
    <row r="2214" spans="2:5" x14ac:dyDescent="0.2">
      <c r="B2214" s="64" t="s">
        <v>214</v>
      </c>
      <c r="C2214" s="65"/>
      <c r="D2214" s="62">
        <v>0</v>
      </c>
      <c r="E2214" s="63" t="s">
        <v>215</v>
      </c>
    </row>
    <row r="2215" spans="2:5" x14ac:dyDescent="0.2">
      <c r="B2215" s="64" t="s">
        <v>216</v>
      </c>
      <c r="C2215" s="65"/>
      <c r="D2215" s="62">
        <v>0</v>
      </c>
      <c r="E2215" s="63" t="s">
        <v>217</v>
      </c>
    </row>
    <row r="2216" spans="2:5" x14ac:dyDescent="0.2">
      <c r="B2216" s="80" t="s">
        <v>218</v>
      </c>
      <c r="C2216" s="81"/>
      <c r="D2216" s="62">
        <v>10</v>
      </c>
      <c r="E2216" s="63" t="s">
        <v>219</v>
      </c>
    </row>
    <row r="2217" spans="2:5" ht="13.5" thickBot="1" x14ac:dyDescent="0.25">
      <c r="B2217" s="64" t="s">
        <v>220</v>
      </c>
      <c r="C2217" s="65"/>
      <c r="D2217" s="62">
        <v>0</v>
      </c>
      <c r="E2217" s="63" t="s">
        <v>221</v>
      </c>
    </row>
    <row r="2218" spans="2:5" ht="13.5" customHeight="1" thickBot="1" x14ac:dyDescent="0.25">
      <c r="B2218" s="66" t="s">
        <v>321</v>
      </c>
      <c r="C2218" s="67"/>
      <c r="D2218" s="67"/>
      <c r="E2218" s="68"/>
    </row>
    <row r="2219" spans="2:5" x14ac:dyDescent="0.2">
      <c r="B2219" s="51" t="s">
        <v>223</v>
      </c>
      <c r="E2219" s="50"/>
    </row>
    <row r="2220" spans="2:5" x14ac:dyDescent="0.2">
      <c r="B2220" s="69"/>
      <c r="C2220" s="52" t="s">
        <v>224</v>
      </c>
      <c r="D2220" s="52"/>
      <c r="E2220" s="52"/>
    </row>
    <row r="2221" spans="2:5" x14ac:dyDescent="0.2">
      <c r="B2221" s="51" t="s">
        <v>225</v>
      </c>
      <c r="C2221" s="9"/>
      <c r="D2221" s="9"/>
      <c r="E2221" s="70"/>
    </row>
    <row r="2222" spans="2:5" x14ac:dyDescent="0.2">
      <c r="B2222" s="69"/>
      <c r="C2222" s="52" t="s">
        <v>226</v>
      </c>
      <c r="D2222" s="52"/>
      <c r="E2222" s="52"/>
    </row>
    <row r="2223" spans="2:5" x14ac:dyDescent="0.2">
      <c r="B2223" s="51" t="s">
        <v>227</v>
      </c>
      <c r="E2223" s="50"/>
    </row>
    <row r="2224" spans="2:5" x14ac:dyDescent="0.2">
      <c r="B2224" s="51"/>
      <c r="C2224" s="71" t="s">
        <v>228</v>
      </c>
      <c r="D2224" s="71"/>
      <c r="E2224" s="71"/>
    </row>
    <row r="2225" spans="2:5" ht="13.5" thickBot="1" x14ac:dyDescent="0.25">
      <c r="B2225" s="72"/>
      <c r="C2225" s="73"/>
      <c r="D2225" s="74"/>
      <c r="E2225" s="75"/>
    </row>
    <row r="2226" spans="2:5" ht="13.5" thickBot="1" x14ac:dyDescent="0.25"/>
    <row r="2227" spans="2:5" x14ac:dyDescent="0.2">
      <c r="B2227" s="45" t="s">
        <v>398</v>
      </c>
      <c r="C2227" s="46"/>
      <c r="D2227" s="47"/>
      <c r="E2227" s="48"/>
    </row>
    <row r="2228" spans="2:5" x14ac:dyDescent="0.2">
      <c r="B2228" s="49"/>
      <c r="E2228" s="50"/>
    </row>
    <row r="2229" spans="2:5" x14ac:dyDescent="0.2">
      <c r="B2229" s="51" t="s">
        <v>199</v>
      </c>
      <c r="E2229" s="50"/>
    </row>
    <row r="2230" spans="2:5" x14ac:dyDescent="0.2">
      <c r="B2230" s="51"/>
      <c r="C2230" s="52"/>
      <c r="D2230" s="52"/>
      <c r="E2230" s="52"/>
    </row>
    <row r="2231" spans="2:5" ht="13.5" thickBot="1" x14ac:dyDescent="0.25">
      <c r="B2231" s="51" t="s">
        <v>200</v>
      </c>
      <c r="E2231" s="50"/>
    </row>
    <row r="2232" spans="2:5" ht="13.5" thickBot="1" x14ac:dyDescent="0.25">
      <c r="B2232" s="53" t="s">
        <v>378</v>
      </c>
      <c r="C2232" s="54"/>
      <c r="D2232" s="54"/>
      <c r="E2232" s="55"/>
    </row>
    <row r="2233" spans="2:5" ht="13.5" thickBot="1" x14ac:dyDescent="0.25">
      <c r="B2233" s="53" t="s">
        <v>202</v>
      </c>
      <c r="C2233" s="55"/>
      <c r="D2233" s="56" t="s">
        <v>14</v>
      </c>
      <c r="E2233" s="56" t="s">
        <v>203</v>
      </c>
    </row>
    <row r="2234" spans="2:5" x14ac:dyDescent="0.2">
      <c r="B2234" s="58" t="s">
        <v>204</v>
      </c>
      <c r="C2234" s="58"/>
      <c r="D2234" s="59">
        <v>0</v>
      </c>
      <c r="E2234" s="60" t="s">
        <v>205</v>
      </c>
    </row>
    <row r="2235" spans="2:5" x14ac:dyDescent="0.2">
      <c r="B2235" s="61" t="s">
        <v>206</v>
      </c>
      <c r="C2235" s="61"/>
      <c r="D2235" s="62">
        <v>0</v>
      </c>
      <c r="E2235" s="63" t="s">
        <v>207</v>
      </c>
    </row>
    <row r="2236" spans="2:5" x14ac:dyDescent="0.2">
      <c r="B2236" s="61" t="s">
        <v>208</v>
      </c>
      <c r="C2236" s="61"/>
      <c r="D2236" s="62">
        <v>0</v>
      </c>
      <c r="E2236" s="63" t="s">
        <v>209</v>
      </c>
    </row>
    <row r="2237" spans="2:5" x14ac:dyDescent="0.2">
      <c r="B2237" s="61" t="s">
        <v>210</v>
      </c>
      <c r="C2237" s="61"/>
      <c r="D2237" s="62">
        <v>0</v>
      </c>
      <c r="E2237" s="63" t="s">
        <v>211</v>
      </c>
    </row>
    <row r="2238" spans="2:5" x14ac:dyDescent="0.2">
      <c r="B2238" s="61" t="s">
        <v>212</v>
      </c>
      <c r="C2238" s="61"/>
      <c r="D2238" s="62">
        <v>0</v>
      </c>
      <c r="E2238" s="63" t="s">
        <v>213</v>
      </c>
    </row>
    <row r="2239" spans="2:5" x14ac:dyDescent="0.2">
      <c r="B2239" s="64" t="s">
        <v>214</v>
      </c>
      <c r="C2239" s="65"/>
      <c r="D2239" s="62">
        <v>0</v>
      </c>
      <c r="E2239" s="63" t="s">
        <v>215</v>
      </c>
    </row>
    <row r="2240" spans="2:5" x14ac:dyDescent="0.2">
      <c r="B2240" s="64" t="s">
        <v>216</v>
      </c>
      <c r="C2240" s="65"/>
      <c r="D2240" s="62">
        <v>0</v>
      </c>
      <c r="E2240" s="63" t="s">
        <v>217</v>
      </c>
    </row>
    <row r="2241" spans="2:5" x14ac:dyDescent="0.2">
      <c r="B2241" s="80" t="s">
        <v>218</v>
      </c>
      <c r="C2241" s="81"/>
      <c r="D2241" s="62">
        <v>1</v>
      </c>
      <c r="E2241" s="63" t="s">
        <v>219</v>
      </c>
    </row>
    <row r="2242" spans="2:5" ht="13.5" thickBot="1" x14ac:dyDescent="0.25">
      <c r="B2242" s="64" t="s">
        <v>220</v>
      </c>
      <c r="C2242" s="65"/>
      <c r="D2242" s="62">
        <v>0</v>
      </c>
      <c r="E2242" s="63" t="s">
        <v>221</v>
      </c>
    </row>
    <row r="2243" spans="2:5" ht="27" customHeight="1" thickBot="1" x14ac:dyDescent="0.25">
      <c r="B2243" s="66" t="s">
        <v>399</v>
      </c>
      <c r="C2243" s="67"/>
      <c r="D2243" s="67"/>
      <c r="E2243" s="68"/>
    </row>
    <row r="2244" spans="2:5" x14ac:dyDescent="0.2">
      <c r="B2244" s="51" t="s">
        <v>223</v>
      </c>
      <c r="E2244" s="50"/>
    </row>
    <row r="2245" spans="2:5" x14ac:dyDescent="0.2">
      <c r="B2245" s="69"/>
      <c r="C2245" s="52" t="s">
        <v>224</v>
      </c>
      <c r="D2245" s="52"/>
      <c r="E2245" s="52"/>
    </row>
    <row r="2246" spans="2:5" x14ac:dyDescent="0.2">
      <c r="B2246" s="51" t="s">
        <v>225</v>
      </c>
      <c r="C2246" s="9"/>
      <c r="D2246" s="9"/>
      <c r="E2246" s="70"/>
    </row>
    <row r="2247" spans="2:5" x14ac:dyDescent="0.2">
      <c r="B2247" s="69"/>
      <c r="C2247" s="52" t="s">
        <v>226</v>
      </c>
      <c r="D2247" s="52"/>
      <c r="E2247" s="52"/>
    </row>
    <row r="2248" spans="2:5" x14ac:dyDescent="0.2">
      <c r="B2248" s="51" t="s">
        <v>227</v>
      </c>
      <c r="E2248" s="50"/>
    </row>
    <row r="2249" spans="2:5" x14ac:dyDescent="0.2">
      <c r="B2249" s="51"/>
      <c r="C2249" s="71" t="s">
        <v>228</v>
      </c>
      <c r="D2249" s="71"/>
      <c r="E2249" s="71"/>
    </row>
    <row r="2250" spans="2:5" ht="13.5" thickBot="1" x14ac:dyDescent="0.25">
      <c r="B2250" s="72"/>
      <c r="C2250" s="73"/>
      <c r="D2250" s="74"/>
      <c r="E2250" s="75"/>
    </row>
  </sheetData>
  <mergeCells count="1389">
    <mergeCell ref="C2245:E2245"/>
    <mergeCell ref="C2247:E2247"/>
    <mergeCell ref="C2249:E2249"/>
    <mergeCell ref="B2238:C2238"/>
    <mergeCell ref="B2239:C2239"/>
    <mergeCell ref="B2240:C2240"/>
    <mergeCell ref="B2241:C2241"/>
    <mergeCell ref="B2242:C2242"/>
    <mergeCell ref="B2243:E2243"/>
    <mergeCell ref="B2232:E2232"/>
    <mergeCell ref="B2233:C2233"/>
    <mergeCell ref="B2234:C2234"/>
    <mergeCell ref="B2235:C2235"/>
    <mergeCell ref="B2236:C2236"/>
    <mergeCell ref="B2237:C2237"/>
    <mergeCell ref="B2217:C2217"/>
    <mergeCell ref="B2218:E2218"/>
    <mergeCell ref="C2220:E2220"/>
    <mergeCell ref="C2222:E2222"/>
    <mergeCell ref="C2224:E2224"/>
    <mergeCell ref="C2230:E2230"/>
    <mergeCell ref="B2211:C2211"/>
    <mergeCell ref="B2212:C2212"/>
    <mergeCell ref="B2213:C2213"/>
    <mergeCell ref="B2214:C2214"/>
    <mergeCell ref="B2215:C2215"/>
    <mergeCell ref="B2216:C2216"/>
    <mergeCell ref="C2197:E2197"/>
    <mergeCell ref="C2205:E2205"/>
    <mergeCell ref="B2207:E2207"/>
    <mergeCell ref="B2208:C2208"/>
    <mergeCell ref="B2209:C2209"/>
    <mergeCell ref="B2210:C2210"/>
    <mergeCell ref="B2188:C2188"/>
    <mergeCell ref="B2189:C2189"/>
    <mergeCell ref="B2190:C2190"/>
    <mergeCell ref="B2191:E2191"/>
    <mergeCell ref="C2193:E2193"/>
    <mergeCell ref="C2195:E2195"/>
    <mergeCell ref="B2182:C2182"/>
    <mergeCell ref="B2183:C2183"/>
    <mergeCell ref="B2184:C2184"/>
    <mergeCell ref="B2185:C2185"/>
    <mergeCell ref="B2186:C2186"/>
    <mergeCell ref="B2187:C2187"/>
    <mergeCell ref="C2168:E2168"/>
    <mergeCell ref="C2170:E2170"/>
    <mergeCell ref="C2172:E2172"/>
    <mergeCell ref="C2178:E2178"/>
    <mergeCell ref="B2180:E2180"/>
    <mergeCell ref="B2181:C2181"/>
    <mergeCell ref="B2161:C2161"/>
    <mergeCell ref="B2162:C2162"/>
    <mergeCell ref="B2163:C2163"/>
    <mergeCell ref="B2164:C2164"/>
    <mergeCell ref="B2165:C2165"/>
    <mergeCell ref="B2166:E2166"/>
    <mergeCell ref="B2155:E2155"/>
    <mergeCell ref="B2156:C2156"/>
    <mergeCell ref="B2157:C2157"/>
    <mergeCell ref="B2158:C2158"/>
    <mergeCell ref="B2159:C2159"/>
    <mergeCell ref="B2160:C2160"/>
    <mergeCell ref="B2140:C2140"/>
    <mergeCell ref="B2141:E2141"/>
    <mergeCell ref="C2143:E2143"/>
    <mergeCell ref="C2145:E2145"/>
    <mergeCell ref="C2147:E2147"/>
    <mergeCell ref="C2153:E2153"/>
    <mergeCell ref="B2134:C2134"/>
    <mergeCell ref="B2135:C2135"/>
    <mergeCell ref="B2136:C2136"/>
    <mergeCell ref="B2137:C2137"/>
    <mergeCell ref="B2138:C2138"/>
    <mergeCell ref="B2139:C2139"/>
    <mergeCell ref="C2122:E2122"/>
    <mergeCell ref="C2128:E2128"/>
    <mergeCell ref="B2130:E2130"/>
    <mergeCell ref="B2131:C2131"/>
    <mergeCell ref="B2132:C2132"/>
    <mergeCell ref="B2133:C2133"/>
    <mergeCell ref="B2113:C2113"/>
    <mergeCell ref="B2114:C2114"/>
    <mergeCell ref="B2115:C2115"/>
    <mergeCell ref="B2116:E2116"/>
    <mergeCell ref="C2118:E2118"/>
    <mergeCell ref="C2120:E2120"/>
    <mergeCell ref="B2107:C2107"/>
    <mergeCell ref="B2108:C2108"/>
    <mergeCell ref="B2109:C2109"/>
    <mergeCell ref="B2110:C2110"/>
    <mergeCell ref="B2111:C2111"/>
    <mergeCell ref="B2112:C2112"/>
    <mergeCell ref="C2093:E2093"/>
    <mergeCell ref="C2095:E2095"/>
    <mergeCell ref="C2097:E2097"/>
    <mergeCell ref="C2103:E2103"/>
    <mergeCell ref="B2105:E2105"/>
    <mergeCell ref="B2106:C2106"/>
    <mergeCell ref="B2086:C2086"/>
    <mergeCell ref="B2087:C2087"/>
    <mergeCell ref="B2088:C2088"/>
    <mergeCell ref="B2089:C2089"/>
    <mergeCell ref="B2090:C2090"/>
    <mergeCell ref="B2091:E2091"/>
    <mergeCell ref="B2080:E2080"/>
    <mergeCell ref="B2081:C2081"/>
    <mergeCell ref="B2082:C2082"/>
    <mergeCell ref="B2083:C2083"/>
    <mergeCell ref="B2084:C2084"/>
    <mergeCell ref="B2085:C2085"/>
    <mergeCell ref="B2064:C2064"/>
    <mergeCell ref="B2065:E2065"/>
    <mergeCell ref="C2067:E2067"/>
    <mergeCell ref="C2069:E2069"/>
    <mergeCell ref="C2071:E2071"/>
    <mergeCell ref="C2078:E2078"/>
    <mergeCell ref="B2058:C2058"/>
    <mergeCell ref="B2059:C2059"/>
    <mergeCell ref="B2060:C2060"/>
    <mergeCell ref="B2061:C2061"/>
    <mergeCell ref="B2062:C2062"/>
    <mergeCell ref="B2063:C2063"/>
    <mergeCell ref="C2046:E2046"/>
    <mergeCell ref="C2052:E2052"/>
    <mergeCell ref="B2054:E2054"/>
    <mergeCell ref="B2055:C2055"/>
    <mergeCell ref="B2056:C2056"/>
    <mergeCell ref="B2057:C2057"/>
    <mergeCell ref="B2037:C2037"/>
    <mergeCell ref="B2038:C2038"/>
    <mergeCell ref="B2039:C2039"/>
    <mergeCell ref="B2040:E2040"/>
    <mergeCell ref="C2042:E2042"/>
    <mergeCell ref="C2044:E2044"/>
    <mergeCell ref="B2031:C2031"/>
    <mergeCell ref="B2032:C2032"/>
    <mergeCell ref="B2033:C2033"/>
    <mergeCell ref="B2034:C2034"/>
    <mergeCell ref="B2035:C2035"/>
    <mergeCell ref="B2036:C2036"/>
    <mergeCell ref="C2017:E2017"/>
    <mergeCell ref="C2019:E2019"/>
    <mergeCell ref="C2021:E2021"/>
    <mergeCell ref="C2027:E2027"/>
    <mergeCell ref="B2029:E2029"/>
    <mergeCell ref="B2030:C2030"/>
    <mergeCell ref="B2010:C2010"/>
    <mergeCell ref="B2011:C2011"/>
    <mergeCell ref="B2012:C2012"/>
    <mergeCell ref="B2013:C2013"/>
    <mergeCell ref="B2014:C2014"/>
    <mergeCell ref="B2015:E2015"/>
    <mergeCell ref="B2004:E2004"/>
    <mergeCell ref="B2005:C2005"/>
    <mergeCell ref="B2006:C2006"/>
    <mergeCell ref="B2007:C2007"/>
    <mergeCell ref="B2008:C2008"/>
    <mergeCell ref="B2009:C2009"/>
    <mergeCell ref="B1987:C1987"/>
    <mergeCell ref="B1988:E1988"/>
    <mergeCell ref="C1990:E1990"/>
    <mergeCell ref="C1992:E1992"/>
    <mergeCell ref="C1994:E1994"/>
    <mergeCell ref="C2002:E2002"/>
    <mergeCell ref="B1981:C1981"/>
    <mergeCell ref="B1982:C1982"/>
    <mergeCell ref="B1983:C1983"/>
    <mergeCell ref="B1984:C1984"/>
    <mergeCell ref="B1985:C1985"/>
    <mergeCell ref="B1986:C1986"/>
    <mergeCell ref="C1969:E1969"/>
    <mergeCell ref="C1975:E1975"/>
    <mergeCell ref="B1977:E1977"/>
    <mergeCell ref="B1978:C1978"/>
    <mergeCell ref="B1979:C1979"/>
    <mergeCell ref="B1980:C1980"/>
    <mergeCell ref="B1960:C1960"/>
    <mergeCell ref="B1961:C1961"/>
    <mergeCell ref="B1962:C1962"/>
    <mergeCell ref="B1963:E1963"/>
    <mergeCell ref="C1965:E1965"/>
    <mergeCell ref="C1967:E1967"/>
    <mergeCell ref="B1954:C1954"/>
    <mergeCell ref="B1955:C1955"/>
    <mergeCell ref="B1956:C1956"/>
    <mergeCell ref="B1957:C1957"/>
    <mergeCell ref="B1958:C1958"/>
    <mergeCell ref="B1959:C1959"/>
    <mergeCell ref="C1940:E1940"/>
    <mergeCell ref="C1942:E1942"/>
    <mergeCell ref="C1944:E1944"/>
    <mergeCell ref="C1950:E1950"/>
    <mergeCell ref="B1952:E1952"/>
    <mergeCell ref="B1953:C1953"/>
    <mergeCell ref="B1933:C1933"/>
    <mergeCell ref="B1934:C1934"/>
    <mergeCell ref="B1935:C1935"/>
    <mergeCell ref="B1936:C1936"/>
    <mergeCell ref="B1937:C1937"/>
    <mergeCell ref="B1938:E1938"/>
    <mergeCell ref="B1927:E1927"/>
    <mergeCell ref="B1928:C1928"/>
    <mergeCell ref="B1929:C1929"/>
    <mergeCell ref="B1930:C1930"/>
    <mergeCell ref="B1931:C1931"/>
    <mergeCell ref="B1932:C1932"/>
    <mergeCell ref="B1912:C1912"/>
    <mergeCell ref="B1913:E1913"/>
    <mergeCell ref="C1915:E1915"/>
    <mergeCell ref="C1917:E1917"/>
    <mergeCell ref="C1919:E1919"/>
    <mergeCell ref="C1925:E1925"/>
    <mergeCell ref="B1906:C1906"/>
    <mergeCell ref="B1907:C1907"/>
    <mergeCell ref="B1908:C1908"/>
    <mergeCell ref="B1909:C1909"/>
    <mergeCell ref="B1910:C1910"/>
    <mergeCell ref="B1911:C1911"/>
    <mergeCell ref="C1894:E1894"/>
    <mergeCell ref="C1900:E1900"/>
    <mergeCell ref="B1902:E1902"/>
    <mergeCell ref="B1903:C1903"/>
    <mergeCell ref="B1904:C1904"/>
    <mergeCell ref="B1905:C1905"/>
    <mergeCell ref="B1885:C1885"/>
    <mergeCell ref="B1886:C1886"/>
    <mergeCell ref="B1887:C1887"/>
    <mergeCell ref="B1888:E1888"/>
    <mergeCell ref="C1890:E1890"/>
    <mergeCell ref="C1892:E1892"/>
    <mergeCell ref="B1879:C1879"/>
    <mergeCell ref="B1880:C1880"/>
    <mergeCell ref="B1881:C1881"/>
    <mergeCell ref="B1882:C1882"/>
    <mergeCell ref="B1883:C1883"/>
    <mergeCell ref="B1884:C1884"/>
    <mergeCell ref="C1865:E1865"/>
    <mergeCell ref="C1867:E1867"/>
    <mergeCell ref="C1869:E1869"/>
    <mergeCell ref="C1875:E1875"/>
    <mergeCell ref="B1877:E1877"/>
    <mergeCell ref="B1878:C1878"/>
    <mergeCell ref="B1858:C1858"/>
    <mergeCell ref="B1859:C1859"/>
    <mergeCell ref="B1860:C1860"/>
    <mergeCell ref="B1861:C1861"/>
    <mergeCell ref="B1862:C1862"/>
    <mergeCell ref="B1863:E1863"/>
    <mergeCell ref="B1852:E1852"/>
    <mergeCell ref="B1853:C1853"/>
    <mergeCell ref="B1854:C1854"/>
    <mergeCell ref="B1855:C1855"/>
    <mergeCell ref="B1856:C1856"/>
    <mergeCell ref="B1857:C1857"/>
    <mergeCell ref="B1837:C1837"/>
    <mergeCell ref="B1838:E1838"/>
    <mergeCell ref="C1840:E1840"/>
    <mergeCell ref="C1842:E1842"/>
    <mergeCell ref="C1844:E1844"/>
    <mergeCell ref="C1850:E1850"/>
    <mergeCell ref="B1831:C1831"/>
    <mergeCell ref="B1832:C1832"/>
    <mergeCell ref="B1833:C1833"/>
    <mergeCell ref="B1834:C1834"/>
    <mergeCell ref="B1835:C1835"/>
    <mergeCell ref="B1836:C1836"/>
    <mergeCell ref="C1819:E1819"/>
    <mergeCell ref="C1825:E1825"/>
    <mergeCell ref="B1827:E1827"/>
    <mergeCell ref="B1828:C1828"/>
    <mergeCell ref="B1829:C1829"/>
    <mergeCell ref="B1830:C1830"/>
    <mergeCell ref="B1810:C1810"/>
    <mergeCell ref="B1811:C1811"/>
    <mergeCell ref="B1812:C1812"/>
    <mergeCell ref="B1813:E1813"/>
    <mergeCell ref="C1815:E1815"/>
    <mergeCell ref="C1817:E1817"/>
    <mergeCell ref="B1804:C1804"/>
    <mergeCell ref="B1805:C1805"/>
    <mergeCell ref="B1806:C1806"/>
    <mergeCell ref="B1807:C1807"/>
    <mergeCell ref="B1808:C1808"/>
    <mergeCell ref="B1809:C1809"/>
    <mergeCell ref="C1790:E1790"/>
    <mergeCell ref="C1792:E1792"/>
    <mergeCell ref="C1794:E1794"/>
    <mergeCell ref="C1800:E1800"/>
    <mergeCell ref="B1802:E1802"/>
    <mergeCell ref="B1803:C1803"/>
    <mergeCell ref="B1783:C1783"/>
    <mergeCell ref="B1784:C1784"/>
    <mergeCell ref="B1785:C1785"/>
    <mergeCell ref="B1786:C1786"/>
    <mergeCell ref="B1787:C1787"/>
    <mergeCell ref="B1788:E1788"/>
    <mergeCell ref="B1777:E1777"/>
    <mergeCell ref="B1778:C1778"/>
    <mergeCell ref="B1779:C1779"/>
    <mergeCell ref="B1780:C1780"/>
    <mergeCell ref="B1781:C1781"/>
    <mergeCell ref="B1782:C1782"/>
    <mergeCell ref="B1762:C1762"/>
    <mergeCell ref="B1763:E1763"/>
    <mergeCell ref="C1765:E1765"/>
    <mergeCell ref="C1767:E1767"/>
    <mergeCell ref="C1769:E1769"/>
    <mergeCell ref="C1775:E1775"/>
    <mergeCell ref="B1756:C1756"/>
    <mergeCell ref="B1757:C1757"/>
    <mergeCell ref="B1758:C1758"/>
    <mergeCell ref="B1759:C1759"/>
    <mergeCell ref="B1760:C1760"/>
    <mergeCell ref="B1761:C1761"/>
    <mergeCell ref="C1744:E1744"/>
    <mergeCell ref="C1750:E1750"/>
    <mergeCell ref="B1752:E1752"/>
    <mergeCell ref="B1753:C1753"/>
    <mergeCell ref="B1754:C1754"/>
    <mergeCell ref="B1755:C1755"/>
    <mergeCell ref="B1735:C1735"/>
    <mergeCell ref="B1736:C1736"/>
    <mergeCell ref="B1737:C1737"/>
    <mergeCell ref="B1738:E1738"/>
    <mergeCell ref="C1740:E1740"/>
    <mergeCell ref="C1742:E1742"/>
    <mergeCell ref="B1729:C1729"/>
    <mergeCell ref="B1730:C1730"/>
    <mergeCell ref="B1731:C1731"/>
    <mergeCell ref="B1732:C1732"/>
    <mergeCell ref="B1733:C1733"/>
    <mergeCell ref="B1734:C1734"/>
    <mergeCell ref="C1715:E1715"/>
    <mergeCell ref="C1717:E1717"/>
    <mergeCell ref="C1719:E1719"/>
    <mergeCell ref="C1725:E1725"/>
    <mergeCell ref="B1727:E1727"/>
    <mergeCell ref="B1728:C1728"/>
    <mergeCell ref="B1708:C1708"/>
    <mergeCell ref="B1709:C1709"/>
    <mergeCell ref="B1710:C1710"/>
    <mergeCell ref="B1711:C1711"/>
    <mergeCell ref="B1712:C1712"/>
    <mergeCell ref="B1713:E1713"/>
    <mergeCell ref="B1702:E1702"/>
    <mergeCell ref="B1703:C1703"/>
    <mergeCell ref="B1704:C1704"/>
    <mergeCell ref="B1705:C1705"/>
    <mergeCell ref="B1706:C1706"/>
    <mergeCell ref="B1707:C1707"/>
    <mergeCell ref="B1687:C1687"/>
    <mergeCell ref="B1688:E1688"/>
    <mergeCell ref="C1690:E1690"/>
    <mergeCell ref="C1692:E1692"/>
    <mergeCell ref="C1694:E1694"/>
    <mergeCell ref="C1700:E1700"/>
    <mergeCell ref="B1681:C1681"/>
    <mergeCell ref="B1682:C1682"/>
    <mergeCell ref="B1683:C1683"/>
    <mergeCell ref="B1684:C1684"/>
    <mergeCell ref="B1685:C1685"/>
    <mergeCell ref="B1686:C1686"/>
    <mergeCell ref="C1669:E1669"/>
    <mergeCell ref="C1675:E1675"/>
    <mergeCell ref="B1677:E1677"/>
    <mergeCell ref="B1678:C1678"/>
    <mergeCell ref="B1679:C1679"/>
    <mergeCell ref="B1680:C1680"/>
    <mergeCell ref="B1660:C1660"/>
    <mergeCell ref="B1661:C1661"/>
    <mergeCell ref="B1662:C1662"/>
    <mergeCell ref="B1663:E1663"/>
    <mergeCell ref="C1665:E1665"/>
    <mergeCell ref="C1667:E1667"/>
    <mergeCell ref="B1654:C1654"/>
    <mergeCell ref="B1655:C1655"/>
    <mergeCell ref="B1656:C1656"/>
    <mergeCell ref="B1657:C1657"/>
    <mergeCell ref="B1658:C1658"/>
    <mergeCell ref="B1659:C1659"/>
    <mergeCell ref="C1640:E1640"/>
    <mergeCell ref="C1642:E1642"/>
    <mergeCell ref="C1644:E1644"/>
    <mergeCell ref="C1650:E1650"/>
    <mergeCell ref="B1652:E1652"/>
    <mergeCell ref="B1653:C1653"/>
    <mergeCell ref="B1633:C1633"/>
    <mergeCell ref="B1634:C1634"/>
    <mergeCell ref="B1635:C1635"/>
    <mergeCell ref="B1636:C1636"/>
    <mergeCell ref="B1637:C1637"/>
    <mergeCell ref="B1638:E1638"/>
    <mergeCell ref="B1627:E1627"/>
    <mergeCell ref="B1628:C1628"/>
    <mergeCell ref="B1629:C1629"/>
    <mergeCell ref="B1630:C1630"/>
    <mergeCell ref="B1631:C1631"/>
    <mergeCell ref="B1632:C1632"/>
    <mergeCell ref="B1612:C1612"/>
    <mergeCell ref="B1613:E1613"/>
    <mergeCell ref="C1615:E1615"/>
    <mergeCell ref="C1617:E1617"/>
    <mergeCell ref="C1619:E1619"/>
    <mergeCell ref="C1625:E1625"/>
    <mergeCell ref="B1606:C1606"/>
    <mergeCell ref="B1607:C1607"/>
    <mergeCell ref="B1608:C1608"/>
    <mergeCell ref="B1609:C1609"/>
    <mergeCell ref="B1610:C1610"/>
    <mergeCell ref="B1611:C1611"/>
    <mergeCell ref="C1594:E1594"/>
    <mergeCell ref="C1600:E1600"/>
    <mergeCell ref="B1602:E1602"/>
    <mergeCell ref="B1603:C1603"/>
    <mergeCell ref="B1604:C1604"/>
    <mergeCell ref="B1605:C1605"/>
    <mergeCell ref="B1585:C1585"/>
    <mergeCell ref="B1586:C1586"/>
    <mergeCell ref="B1587:C1587"/>
    <mergeCell ref="B1588:E1588"/>
    <mergeCell ref="C1590:E1590"/>
    <mergeCell ref="C1592:E1592"/>
    <mergeCell ref="B1579:C1579"/>
    <mergeCell ref="B1580:C1580"/>
    <mergeCell ref="B1581:C1581"/>
    <mergeCell ref="B1582:C1582"/>
    <mergeCell ref="B1583:C1583"/>
    <mergeCell ref="B1584:C1584"/>
    <mergeCell ref="C1565:E1565"/>
    <mergeCell ref="C1567:E1567"/>
    <mergeCell ref="C1569:E1569"/>
    <mergeCell ref="C1575:E1575"/>
    <mergeCell ref="B1577:E1577"/>
    <mergeCell ref="B1578:C1578"/>
    <mergeCell ref="B1558:C1558"/>
    <mergeCell ref="B1559:C1559"/>
    <mergeCell ref="B1560:C1560"/>
    <mergeCell ref="B1561:C1561"/>
    <mergeCell ref="B1562:C1562"/>
    <mergeCell ref="B1563:E1563"/>
    <mergeCell ref="B1552:E1552"/>
    <mergeCell ref="B1553:C1553"/>
    <mergeCell ref="B1554:C1554"/>
    <mergeCell ref="B1555:C1555"/>
    <mergeCell ref="B1556:C1556"/>
    <mergeCell ref="B1557:C1557"/>
    <mergeCell ref="B1537:C1537"/>
    <mergeCell ref="B1538:E1538"/>
    <mergeCell ref="C1540:E1540"/>
    <mergeCell ref="C1542:E1542"/>
    <mergeCell ref="C1544:E1544"/>
    <mergeCell ref="C1550:E1550"/>
    <mergeCell ref="B1531:C1531"/>
    <mergeCell ref="B1532:C1532"/>
    <mergeCell ref="B1533:C1533"/>
    <mergeCell ref="B1534:C1534"/>
    <mergeCell ref="B1535:C1535"/>
    <mergeCell ref="B1536:C1536"/>
    <mergeCell ref="C1519:E1519"/>
    <mergeCell ref="C1525:E1525"/>
    <mergeCell ref="B1527:E1527"/>
    <mergeCell ref="B1528:C1528"/>
    <mergeCell ref="B1529:C1529"/>
    <mergeCell ref="B1530:C1530"/>
    <mergeCell ref="B1510:C1510"/>
    <mergeCell ref="B1511:C1511"/>
    <mergeCell ref="B1512:C1512"/>
    <mergeCell ref="B1513:E1513"/>
    <mergeCell ref="C1515:E1515"/>
    <mergeCell ref="C1517:E1517"/>
    <mergeCell ref="B1504:C1504"/>
    <mergeCell ref="B1505:C1505"/>
    <mergeCell ref="B1506:C1506"/>
    <mergeCell ref="B1507:C1507"/>
    <mergeCell ref="B1508:C1508"/>
    <mergeCell ref="B1509:C1509"/>
    <mergeCell ref="C1490:E1490"/>
    <mergeCell ref="C1492:E1492"/>
    <mergeCell ref="C1494:E1494"/>
    <mergeCell ref="C1500:E1500"/>
    <mergeCell ref="B1502:E1502"/>
    <mergeCell ref="B1503:C1503"/>
    <mergeCell ref="B1483:C1483"/>
    <mergeCell ref="B1484:C1484"/>
    <mergeCell ref="B1485:C1485"/>
    <mergeCell ref="B1486:C1486"/>
    <mergeCell ref="B1487:C1487"/>
    <mergeCell ref="B1488:E1488"/>
    <mergeCell ref="B1477:E1477"/>
    <mergeCell ref="B1478:C1478"/>
    <mergeCell ref="B1479:C1479"/>
    <mergeCell ref="B1480:C1480"/>
    <mergeCell ref="B1481:C1481"/>
    <mergeCell ref="B1482:C1482"/>
    <mergeCell ref="B1462:C1462"/>
    <mergeCell ref="B1463:E1463"/>
    <mergeCell ref="C1465:E1465"/>
    <mergeCell ref="C1467:E1467"/>
    <mergeCell ref="C1469:E1469"/>
    <mergeCell ref="C1475:E1475"/>
    <mergeCell ref="B1456:C1456"/>
    <mergeCell ref="B1457:C1457"/>
    <mergeCell ref="B1458:C1458"/>
    <mergeCell ref="B1459:C1459"/>
    <mergeCell ref="B1460:C1460"/>
    <mergeCell ref="B1461:C1461"/>
    <mergeCell ref="C1444:E1444"/>
    <mergeCell ref="C1450:E1450"/>
    <mergeCell ref="B1452:E1452"/>
    <mergeCell ref="B1453:C1453"/>
    <mergeCell ref="B1454:C1454"/>
    <mergeCell ref="B1455:C1455"/>
    <mergeCell ref="B1435:C1435"/>
    <mergeCell ref="B1436:C1436"/>
    <mergeCell ref="B1437:C1437"/>
    <mergeCell ref="B1438:E1438"/>
    <mergeCell ref="C1440:E1440"/>
    <mergeCell ref="C1442:E1442"/>
    <mergeCell ref="B1429:C1429"/>
    <mergeCell ref="B1430:C1430"/>
    <mergeCell ref="B1431:C1431"/>
    <mergeCell ref="B1432:C1432"/>
    <mergeCell ref="B1433:C1433"/>
    <mergeCell ref="B1434:C1434"/>
    <mergeCell ref="C1415:E1415"/>
    <mergeCell ref="C1417:E1417"/>
    <mergeCell ref="C1419:E1419"/>
    <mergeCell ref="C1425:E1425"/>
    <mergeCell ref="B1427:E1427"/>
    <mergeCell ref="B1428:C1428"/>
    <mergeCell ref="B1408:C1408"/>
    <mergeCell ref="B1409:C1409"/>
    <mergeCell ref="B1410:C1410"/>
    <mergeCell ref="B1411:C1411"/>
    <mergeCell ref="B1412:C1412"/>
    <mergeCell ref="B1413:E1413"/>
    <mergeCell ref="B1402:E1402"/>
    <mergeCell ref="B1403:C1403"/>
    <mergeCell ref="B1404:C1404"/>
    <mergeCell ref="B1405:C1405"/>
    <mergeCell ref="B1406:C1406"/>
    <mergeCell ref="B1407:C1407"/>
    <mergeCell ref="B1387:C1387"/>
    <mergeCell ref="B1388:E1388"/>
    <mergeCell ref="C1390:E1390"/>
    <mergeCell ref="C1392:E1392"/>
    <mergeCell ref="C1394:E1394"/>
    <mergeCell ref="C1400:E1400"/>
    <mergeCell ref="B1381:C1381"/>
    <mergeCell ref="B1382:C1382"/>
    <mergeCell ref="B1383:C1383"/>
    <mergeCell ref="B1384:C1384"/>
    <mergeCell ref="B1385:C1385"/>
    <mergeCell ref="B1386:C1386"/>
    <mergeCell ref="C1369:E1369"/>
    <mergeCell ref="C1375:E1375"/>
    <mergeCell ref="B1377:E1377"/>
    <mergeCell ref="B1378:C1378"/>
    <mergeCell ref="B1379:C1379"/>
    <mergeCell ref="B1380:C1380"/>
    <mergeCell ref="B1360:C1360"/>
    <mergeCell ref="B1361:C1361"/>
    <mergeCell ref="B1362:C1362"/>
    <mergeCell ref="B1363:E1363"/>
    <mergeCell ref="C1365:E1365"/>
    <mergeCell ref="C1367:E1367"/>
    <mergeCell ref="B1354:C1354"/>
    <mergeCell ref="B1355:C1355"/>
    <mergeCell ref="B1356:C1356"/>
    <mergeCell ref="B1357:C1357"/>
    <mergeCell ref="B1358:C1358"/>
    <mergeCell ref="B1359:C1359"/>
    <mergeCell ref="C1340:E1340"/>
    <mergeCell ref="C1342:E1342"/>
    <mergeCell ref="C1344:E1344"/>
    <mergeCell ref="C1350:E1350"/>
    <mergeCell ref="B1352:E1352"/>
    <mergeCell ref="B1353:C1353"/>
    <mergeCell ref="B1333:C1333"/>
    <mergeCell ref="B1334:C1334"/>
    <mergeCell ref="B1335:C1335"/>
    <mergeCell ref="B1336:C1336"/>
    <mergeCell ref="B1337:C1337"/>
    <mergeCell ref="B1338:E1338"/>
    <mergeCell ref="B1327:E1327"/>
    <mergeCell ref="B1328:C1328"/>
    <mergeCell ref="B1329:C1329"/>
    <mergeCell ref="B1330:C1330"/>
    <mergeCell ref="B1331:C1331"/>
    <mergeCell ref="B1332:C1332"/>
    <mergeCell ref="B1313:C1313"/>
    <mergeCell ref="B1314:E1314"/>
    <mergeCell ref="C1316:E1316"/>
    <mergeCell ref="C1318:E1318"/>
    <mergeCell ref="C1320:E1320"/>
    <mergeCell ref="C1325:E1325"/>
    <mergeCell ref="B1307:C1307"/>
    <mergeCell ref="B1308:C1308"/>
    <mergeCell ref="B1309:C1309"/>
    <mergeCell ref="B1310:C1310"/>
    <mergeCell ref="B1311:C1311"/>
    <mergeCell ref="B1312:C1312"/>
    <mergeCell ref="C1295:E1295"/>
    <mergeCell ref="C1301:E1301"/>
    <mergeCell ref="B1303:E1303"/>
    <mergeCell ref="B1304:C1304"/>
    <mergeCell ref="B1305:C1305"/>
    <mergeCell ref="B1306:C1306"/>
    <mergeCell ref="B1286:C1286"/>
    <mergeCell ref="B1287:C1287"/>
    <mergeCell ref="B1288:C1288"/>
    <mergeCell ref="B1289:E1289"/>
    <mergeCell ref="C1291:E1291"/>
    <mergeCell ref="C1293:E1293"/>
    <mergeCell ref="B1280:C1280"/>
    <mergeCell ref="B1281:C1281"/>
    <mergeCell ref="B1282:C1282"/>
    <mergeCell ref="B1283:C1283"/>
    <mergeCell ref="B1284:C1284"/>
    <mergeCell ref="B1285:C1285"/>
    <mergeCell ref="C1266:E1266"/>
    <mergeCell ref="C1268:E1268"/>
    <mergeCell ref="C1270:E1270"/>
    <mergeCell ref="C1276:E1276"/>
    <mergeCell ref="B1278:E1278"/>
    <mergeCell ref="B1279:C1279"/>
    <mergeCell ref="B1259:C1259"/>
    <mergeCell ref="B1260:C1260"/>
    <mergeCell ref="B1261:C1261"/>
    <mergeCell ref="B1262:C1262"/>
    <mergeCell ref="B1263:C1263"/>
    <mergeCell ref="B1264:E1264"/>
    <mergeCell ref="B1253:E1253"/>
    <mergeCell ref="B1254:C1254"/>
    <mergeCell ref="B1255:C1255"/>
    <mergeCell ref="B1256:C1256"/>
    <mergeCell ref="B1257:C1257"/>
    <mergeCell ref="B1258:C1258"/>
    <mergeCell ref="B1238:C1238"/>
    <mergeCell ref="B1239:E1239"/>
    <mergeCell ref="C1241:E1241"/>
    <mergeCell ref="C1243:E1243"/>
    <mergeCell ref="C1245:E1245"/>
    <mergeCell ref="C1251:E1251"/>
    <mergeCell ref="B1232:C1232"/>
    <mergeCell ref="B1233:C1233"/>
    <mergeCell ref="B1234:C1234"/>
    <mergeCell ref="B1235:C1235"/>
    <mergeCell ref="B1236:C1236"/>
    <mergeCell ref="B1237:C1237"/>
    <mergeCell ref="C1220:E1220"/>
    <mergeCell ref="C1226:E1226"/>
    <mergeCell ref="B1228:E1228"/>
    <mergeCell ref="B1229:C1229"/>
    <mergeCell ref="B1230:C1230"/>
    <mergeCell ref="B1231:C1231"/>
    <mergeCell ref="B1211:C1211"/>
    <mergeCell ref="B1212:C1212"/>
    <mergeCell ref="B1213:C1213"/>
    <mergeCell ref="B1214:E1214"/>
    <mergeCell ref="C1216:E1216"/>
    <mergeCell ref="C1218:E1218"/>
    <mergeCell ref="B1205:C1205"/>
    <mergeCell ref="B1206:C1206"/>
    <mergeCell ref="B1207:C1207"/>
    <mergeCell ref="B1208:C1208"/>
    <mergeCell ref="B1209:C1209"/>
    <mergeCell ref="B1210:C1210"/>
    <mergeCell ref="C1191:E1191"/>
    <mergeCell ref="C1193:E1193"/>
    <mergeCell ref="C1195:E1195"/>
    <mergeCell ref="C1201:E1201"/>
    <mergeCell ref="B1203:E1203"/>
    <mergeCell ref="B1204:C1204"/>
    <mergeCell ref="B1184:C1184"/>
    <mergeCell ref="B1185:C1185"/>
    <mergeCell ref="B1186:C1186"/>
    <mergeCell ref="B1187:C1187"/>
    <mergeCell ref="B1188:C1188"/>
    <mergeCell ref="B1189:E1189"/>
    <mergeCell ref="B1178:E1178"/>
    <mergeCell ref="B1179:C1179"/>
    <mergeCell ref="B1180:C1180"/>
    <mergeCell ref="B1181:C1181"/>
    <mergeCell ref="B1182:C1182"/>
    <mergeCell ref="B1183:C1183"/>
    <mergeCell ref="B1163:C1163"/>
    <mergeCell ref="B1164:E1164"/>
    <mergeCell ref="C1166:E1166"/>
    <mergeCell ref="C1168:E1168"/>
    <mergeCell ref="C1170:E1170"/>
    <mergeCell ref="C1176:E1176"/>
    <mergeCell ref="B1157:C1157"/>
    <mergeCell ref="B1158:C1158"/>
    <mergeCell ref="B1159:C1159"/>
    <mergeCell ref="B1160:C1160"/>
    <mergeCell ref="B1161:C1161"/>
    <mergeCell ref="B1162:C1162"/>
    <mergeCell ref="C1145:E1145"/>
    <mergeCell ref="C1151:E1151"/>
    <mergeCell ref="B1153:E1153"/>
    <mergeCell ref="B1154:C1154"/>
    <mergeCell ref="B1155:C1155"/>
    <mergeCell ref="B1156:C1156"/>
    <mergeCell ref="B1136:C1136"/>
    <mergeCell ref="B1137:C1137"/>
    <mergeCell ref="B1138:C1138"/>
    <mergeCell ref="B1139:E1139"/>
    <mergeCell ref="C1141:E1141"/>
    <mergeCell ref="C1143:E1143"/>
    <mergeCell ref="B1130:C1130"/>
    <mergeCell ref="B1131:C1131"/>
    <mergeCell ref="B1132:C1132"/>
    <mergeCell ref="B1133:C1133"/>
    <mergeCell ref="B1134:C1134"/>
    <mergeCell ref="B1135:C1135"/>
    <mergeCell ref="C1116:E1116"/>
    <mergeCell ref="C1118:E1118"/>
    <mergeCell ref="C1120:E1120"/>
    <mergeCell ref="C1126:E1126"/>
    <mergeCell ref="B1128:E1128"/>
    <mergeCell ref="B1129:C1129"/>
    <mergeCell ref="B1109:C1109"/>
    <mergeCell ref="B1110:C1110"/>
    <mergeCell ref="B1111:C1111"/>
    <mergeCell ref="B1112:C1112"/>
    <mergeCell ref="B1113:C1113"/>
    <mergeCell ref="B1114:E1114"/>
    <mergeCell ref="B1103:E1103"/>
    <mergeCell ref="B1104:C1104"/>
    <mergeCell ref="B1105:C1105"/>
    <mergeCell ref="B1106:C1106"/>
    <mergeCell ref="B1107:C1107"/>
    <mergeCell ref="B1108:C1108"/>
    <mergeCell ref="B1088:C1088"/>
    <mergeCell ref="B1089:E1089"/>
    <mergeCell ref="C1091:E1091"/>
    <mergeCell ref="C1093:E1093"/>
    <mergeCell ref="C1095:E1095"/>
    <mergeCell ref="C1101:E1101"/>
    <mergeCell ref="B1082:C1082"/>
    <mergeCell ref="B1083:C1083"/>
    <mergeCell ref="B1084:C1084"/>
    <mergeCell ref="B1085:C1085"/>
    <mergeCell ref="B1086:C1086"/>
    <mergeCell ref="B1087:C1087"/>
    <mergeCell ref="C1070:E1070"/>
    <mergeCell ref="C1076:E1076"/>
    <mergeCell ref="B1078:E1078"/>
    <mergeCell ref="B1079:C1079"/>
    <mergeCell ref="B1080:C1080"/>
    <mergeCell ref="B1081:C1081"/>
    <mergeCell ref="B1061:C1061"/>
    <mergeCell ref="B1062:C1062"/>
    <mergeCell ref="B1063:C1063"/>
    <mergeCell ref="B1064:E1064"/>
    <mergeCell ref="C1066:E1066"/>
    <mergeCell ref="C1068:E1068"/>
    <mergeCell ref="B1055:C1055"/>
    <mergeCell ref="B1056:C1056"/>
    <mergeCell ref="B1057:C1057"/>
    <mergeCell ref="B1058:C1058"/>
    <mergeCell ref="B1059:C1059"/>
    <mergeCell ref="B1060:C1060"/>
    <mergeCell ref="C1041:E1041"/>
    <mergeCell ref="C1043:E1043"/>
    <mergeCell ref="C1045:E1045"/>
    <mergeCell ref="C1051:E1051"/>
    <mergeCell ref="B1053:E1053"/>
    <mergeCell ref="B1054:C1054"/>
    <mergeCell ref="B1034:C1034"/>
    <mergeCell ref="B1035:C1035"/>
    <mergeCell ref="B1036:C1036"/>
    <mergeCell ref="B1037:C1037"/>
    <mergeCell ref="B1038:C1038"/>
    <mergeCell ref="B1039:E1039"/>
    <mergeCell ref="B1028:E1028"/>
    <mergeCell ref="B1029:C1029"/>
    <mergeCell ref="B1030:C1030"/>
    <mergeCell ref="B1031:C1031"/>
    <mergeCell ref="B1032:C1032"/>
    <mergeCell ref="B1033:C1033"/>
    <mergeCell ref="B1013:C1013"/>
    <mergeCell ref="B1014:E1014"/>
    <mergeCell ref="C1016:E1016"/>
    <mergeCell ref="C1018:E1018"/>
    <mergeCell ref="C1020:E1020"/>
    <mergeCell ref="C1026:E1026"/>
    <mergeCell ref="B1007:C1007"/>
    <mergeCell ref="B1008:C1008"/>
    <mergeCell ref="B1009:C1009"/>
    <mergeCell ref="B1010:C1010"/>
    <mergeCell ref="B1011:C1011"/>
    <mergeCell ref="B1012:C1012"/>
    <mergeCell ref="C995:E995"/>
    <mergeCell ref="C1001:E1001"/>
    <mergeCell ref="B1003:E1003"/>
    <mergeCell ref="B1004:C1004"/>
    <mergeCell ref="B1005:C1005"/>
    <mergeCell ref="B1006:C1006"/>
    <mergeCell ref="B986:C986"/>
    <mergeCell ref="B987:C987"/>
    <mergeCell ref="B988:C988"/>
    <mergeCell ref="B989:E989"/>
    <mergeCell ref="C991:E991"/>
    <mergeCell ref="C993:E993"/>
    <mergeCell ref="B980:C980"/>
    <mergeCell ref="B981:C981"/>
    <mergeCell ref="B982:C982"/>
    <mergeCell ref="B983:C983"/>
    <mergeCell ref="B984:C984"/>
    <mergeCell ref="B985:C985"/>
    <mergeCell ref="C966:E966"/>
    <mergeCell ref="C968:E968"/>
    <mergeCell ref="C970:E970"/>
    <mergeCell ref="C976:E976"/>
    <mergeCell ref="B978:E978"/>
    <mergeCell ref="B979:C979"/>
    <mergeCell ref="B959:C959"/>
    <mergeCell ref="B960:C960"/>
    <mergeCell ref="B961:C961"/>
    <mergeCell ref="B962:C962"/>
    <mergeCell ref="B963:C963"/>
    <mergeCell ref="B964:E964"/>
    <mergeCell ref="B953:E953"/>
    <mergeCell ref="B954:C954"/>
    <mergeCell ref="B955:C955"/>
    <mergeCell ref="B956:C956"/>
    <mergeCell ref="B957:C957"/>
    <mergeCell ref="B958:C958"/>
    <mergeCell ref="B938:C938"/>
    <mergeCell ref="B939:E939"/>
    <mergeCell ref="C941:E941"/>
    <mergeCell ref="C943:E943"/>
    <mergeCell ref="C945:E945"/>
    <mergeCell ref="C951:E951"/>
    <mergeCell ref="B932:C932"/>
    <mergeCell ref="B933:C933"/>
    <mergeCell ref="B934:C934"/>
    <mergeCell ref="B935:C935"/>
    <mergeCell ref="B936:C936"/>
    <mergeCell ref="B937:C937"/>
    <mergeCell ref="C920:E920"/>
    <mergeCell ref="C926:E926"/>
    <mergeCell ref="B928:E928"/>
    <mergeCell ref="B929:C929"/>
    <mergeCell ref="B930:C930"/>
    <mergeCell ref="B931:C931"/>
    <mergeCell ref="B911:C911"/>
    <mergeCell ref="B912:C912"/>
    <mergeCell ref="B913:C913"/>
    <mergeCell ref="B914:E914"/>
    <mergeCell ref="C916:E916"/>
    <mergeCell ref="C918:E918"/>
    <mergeCell ref="B905:C905"/>
    <mergeCell ref="B906:C906"/>
    <mergeCell ref="B907:C907"/>
    <mergeCell ref="B908:C908"/>
    <mergeCell ref="B909:C909"/>
    <mergeCell ref="B910:C910"/>
    <mergeCell ref="C891:E891"/>
    <mergeCell ref="C893:E893"/>
    <mergeCell ref="C895:E895"/>
    <mergeCell ref="C901:E901"/>
    <mergeCell ref="B903:E903"/>
    <mergeCell ref="B904:C904"/>
    <mergeCell ref="B884:C884"/>
    <mergeCell ref="B885:C885"/>
    <mergeCell ref="B886:C886"/>
    <mergeCell ref="B887:C887"/>
    <mergeCell ref="B888:C888"/>
    <mergeCell ref="B889:E889"/>
    <mergeCell ref="B878:E878"/>
    <mergeCell ref="B879:C879"/>
    <mergeCell ref="B880:C880"/>
    <mergeCell ref="B881:C881"/>
    <mergeCell ref="B882:C882"/>
    <mergeCell ref="B883:C883"/>
    <mergeCell ref="B863:C863"/>
    <mergeCell ref="B864:E864"/>
    <mergeCell ref="C866:E866"/>
    <mergeCell ref="C868:E868"/>
    <mergeCell ref="C870:E870"/>
    <mergeCell ref="C876:E876"/>
    <mergeCell ref="B857:C857"/>
    <mergeCell ref="B858:C858"/>
    <mergeCell ref="B859:C859"/>
    <mergeCell ref="B860:C860"/>
    <mergeCell ref="B861:C861"/>
    <mergeCell ref="B862:C862"/>
    <mergeCell ref="C845:E845"/>
    <mergeCell ref="C851:E851"/>
    <mergeCell ref="B853:E853"/>
    <mergeCell ref="B854:C854"/>
    <mergeCell ref="B855:C855"/>
    <mergeCell ref="B856:C856"/>
    <mergeCell ref="B836:C836"/>
    <mergeCell ref="B837:C837"/>
    <mergeCell ref="B838:C838"/>
    <mergeCell ref="B839:E839"/>
    <mergeCell ref="C841:E841"/>
    <mergeCell ref="C843:E843"/>
    <mergeCell ref="B830:C830"/>
    <mergeCell ref="B831:C831"/>
    <mergeCell ref="B832:C832"/>
    <mergeCell ref="B833:C833"/>
    <mergeCell ref="B834:C834"/>
    <mergeCell ref="B835:C835"/>
    <mergeCell ref="C816:E816"/>
    <mergeCell ref="C818:E818"/>
    <mergeCell ref="C820:E820"/>
    <mergeCell ref="C826:E826"/>
    <mergeCell ref="B828:E828"/>
    <mergeCell ref="B829:C829"/>
    <mergeCell ref="B809:C809"/>
    <mergeCell ref="B810:C810"/>
    <mergeCell ref="B811:C811"/>
    <mergeCell ref="B812:C812"/>
    <mergeCell ref="B813:C813"/>
    <mergeCell ref="B814:E814"/>
    <mergeCell ref="B803:E803"/>
    <mergeCell ref="B804:C804"/>
    <mergeCell ref="B805:C805"/>
    <mergeCell ref="B806:C806"/>
    <mergeCell ref="B807:C807"/>
    <mergeCell ref="B808:C808"/>
    <mergeCell ref="B789:E789"/>
    <mergeCell ref="C791:E791"/>
    <mergeCell ref="C793:E793"/>
    <mergeCell ref="C795:E795"/>
    <mergeCell ref="C799:E799"/>
    <mergeCell ref="C801:E801"/>
    <mergeCell ref="B783:C783"/>
    <mergeCell ref="B784:C784"/>
    <mergeCell ref="B785:C785"/>
    <mergeCell ref="B786:C786"/>
    <mergeCell ref="B787:C787"/>
    <mergeCell ref="B788:C788"/>
    <mergeCell ref="C776:E776"/>
    <mergeCell ref="B778:E778"/>
    <mergeCell ref="B779:C779"/>
    <mergeCell ref="B780:C780"/>
    <mergeCell ref="B781:C781"/>
    <mergeCell ref="B782:C782"/>
    <mergeCell ref="B763:C763"/>
    <mergeCell ref="B764:E764"/>
    <mergeCell ref="C766:E766"/>
    <mergeCell ref="C768:E768"/>
    <mergeCell ref="C770:E770"/>
    <mergeCell ref="C774:E774"/>
    <mergeCell ref="B757:C757"/>
    <mergeCell ref="B758:C758"/>
    <mergeCell ref="B759:C759"/>
    <mergeCell ref="B760:C760"/>
    <mergeCell ref="B761:C761"/>
    <mergeCell ref="B762:C762"/>
    <mergeCell ref="C749:E749"/>
    <mergeCell ref="C751:E751"/>
    <mergeCell ref="B753:E753"/>
    <mergeCell ref="B754:C754"/>
    <mergeCell ref="B755:C755"/>
    <mergeCell ref="B756:C756"/>
    <mergeCell ref="B737:C737"/>
    <mergeCell ref="B738:C738"/>
    <mergeCell ref="B739:E739"/>
    <mergeCell ref="C741:E741"/>
    <mergeCell ref="C743:E743"/>
    <mergeCell ref="C745:E745"/>
    <mergeCell ref="B731:C731"/>
    <mergeCell ref="B732:C732"/>
    <mergeCell ref="B733:C733"/>
    <mergeCell ref="B734:C734"/>
    <mergeCell ref="B735:C735"/>
    <mergeCell ref="B736:C736"/>
    <mergeCell ref="C720:E720"/>
    <mergeCell ref="C724:E724"/>
    <mergeCell ref="C726:E726"/>
    <mergeCell ref="B728:E728"/>
    <mergeCell ref="B729:C729"/>
    <mergeCell ref="B730:C730"/>
    <mergeCell ref="B711:C711"/>
    <mergeCell ref="B712:C712"/>
    <mergeCell ref="B713:C713"/>
    <mergeCell ref="B714:E714"/>
    <mergeCell ref="C716:E716"/>
    <mergeCell ref="C718:E718"/>
    <mergeCell ref="B705:C705"/>
    <mergeCell ref="B706:C706"/>
    <mergeCell ref="B707:C707"/>
    <mergeCell ref="B708:C708"/>
    <mergeCell ref="B709:C709"/>
    <mergeCell ref="B710:C710"/>
    <mergeCell ref="C691:E691"/>
    <mergeCell ref="C693:E693"/>
    <mergeCell ref="C695:E695"/>
    <mergeCell ref="C701:E701"/>
    <mergeCell ref="B703:E703"/>
    <mergeCell ref="B704:C704"/>
    <mergeCell ref="B684:C684"/>
    <mergeCell ref="B685:C685"/>
    <mergeCell ref="B686:C686"/>
    <mergeCell ref="B687:C687"/>
    <mergeCell ref="B688:C688"/>
    <mergeCell ref="B689:E689"/>
    <mergeCell ref="B678:E678"/>
    <mergeCell ref="B679:C679"/>
    <mergeCell ref="B680:C680"/>
    <mergeCell ref="B681:C681"/>
    <mergeCell ref="B682:C682"/>
    <mergeCell ref="B683:C683"/>
    <mergeCell ref="B663:C663"/>
    <mergeCell ref="B664:E664"/>
    <mergeCell ref="C666:E666"/>
    <mergeCell ref="C668:E668"/>
    <mergeCell ref="C670:E670"/>
    <mergeCell ref="C676:E676"/>
    <mergeCell ref="B657:C657"/>
    <mergeCell ref="B658:C658"/>
    <mergeCell ref="B659:C659"/>
    <mergeCell ref="B660:C660"/>
    <mergeCell ref="B661:C661"/>
    <mergeCell ref="B662:C662"/>
    <mergeCell ref="C645:E645"/>
    <mergeCell ref="C651:E651"/>
    <mergeCell ref="B653:E653"/>
    <mergeCell ref="B654:C654"/>
    <mergeCell ref="B655:C655"/>
    <mergeCell ref="B656:C656"/>
    <mergeCell ref="B636:C636"/>
    <mergeCell ref="B637:C637"/>
    <mergeCell ref="B638:C638"/>
    <mergeCell ref="B639:E639"/>
    <mergeCell ref="C641:E641"/>
    <mergeCell ref="C643:E643"/>
    <mergeCell ref="B630:C630"/>
    <mergeCell ref="B631:C631"/>
    <mergeCell ref="B632:C632"/>
    <mergeCell ref="B633:C633"/>
    <mergeCell ref="B634:C634"/>
    <mergeCell ref="B635:C635"/>
    <mergeCell ref="C616:E616"/>
    <mergeCell ref="C618:E618"/>
    <mergeCell ref="C620:E620"/>
    <mergeCell ref="C626:E626"/>
    <mergeCell ref="B628:E628"/>
    <mergeCell ref="B629:C629"/>
    <mergeCell ref="B609:C609"/>
    <mergeCell ref="B610:C610"/>
    <mergeCell ref="B611:C611"/>
    <mergeCell ref="B612:C612"/>
    <mergeCell ref="B613:C613"/>
    <mergeCell ref="B614:E614"/>
    <mergeCell ref="B603:E603"/>
    <mergeCell ref="B604:C604"/>
    <mergeCell ref="B605:C605"/>
    <mergeCell ref="B606:C606"/>
    <mergeCell ref="B607:C607"/>
    <mergeCell ref="B608:C608"/>
    <mergeCell ref="B588:C588"/>
    <mergeCell ref="B589:E589"/>
    <mergeCell ref="C591:E591"/>
    <mergeCell ref="C593:E593"/>
    <mergeCell ref="C595:E595"/>
    <mergeCell ref="C601:E601"/>
    <mergeCell ref="B582:C582"/>
    <mergeCell ref="B583:C583"/>
    <mergeCell ref="B584:C584"/>
    <mergeCell ref="B585:C585"/>
    <mergeCell ref="B586:C586"/>
    <mergeCell ref="B587:C587"/>
    <mergeCell ref="C570:E570"/>
    <mergeCell ref="C576:E576"/>
    <mergeCell ref="B578:E578"/>
    <mergeCell ref="B579:C579"/>
    <mergeCell ref="B580:C580"/>
    <mergeCell ref="B581:C581"/>
    <mergeCell ref="B561:C561"/>
    <mergeCell ref="B562:C562"/>
    <mergeCell ref="B563:C563"/>
    <mergeCell ref="B564:E564"/>
    <mergeCell ref="C566:E566"/>
    <mergeCell ref="C568:E568"/>
    <mergeCell ref="B555:C555"/>
    <mergeCell ref="B556:C556"/>
    <mergeCell ref="B557:C557"/>
    <mergeCell ref="B558:C558"/>
    <mergeCell ref="B559:C559"/>
    <mergeCell ref="B560:C560"/>
    <mergeCell ref="C543:E543"/>
    <mergeCell ref="C545:E545"/>
    <mergeCell ref="C549:E549"/>
    <mergeCell ref="C551:E551"/>
    <mergeCell ref="B553:E553"/>
    <mergeCell ref="B554:C554"/>
    <mergeCell ref="B535:C535"/>
    <mergeCell ref="B536:C536"/>
    <mergeCell ref="B537:C537"/>
    <mergeCell ref="B538:C538"/>
    <mergeCell ref="B539:E539"/>
    <mergeCell ref="C541:E541"/>
    <mergeCell ref="B529:C529"/>
    <mergeCell ref="B530:C530"/>
    <mergeCell ref="B531:C531"/>
    <mergeCell ref="B532:C532"/>
    <mergeCell ref="B533:C533"/>
    <mergeCell ref="B534:C534"/>
    <mergeCell ref="B513:E513"/>
    <mergeCell ref="C515:E515"/>
    <mergeCell ref="C517:E517"/>
    <mergeCell ref="C519:E519"/>
    <mergeCell ref="C526:E526"/>
    <mergeCell ref="B528:E528"/>
    <mergeCell ref="B507:C507"/>
    <mergeCell ref="B508:C508"/>
    <mergeCell ref="B509:C509"/>
    <mergeCell ref="B510:C510"/>
    <mergeCell ref="B511:C511"/>
    <mergeCell ref="B512:C512"/>
    <mergeCell ref="C500:E500"/>
    <mergeCell ref="B502:E502"/>
    <mergeCell ref="B503:C503"/>
    <mergeCell ref="B504:C504"/>
    <mergeCell ref="B505:C505"/>
    <mergeCell ref="B506:C506"/>
    <mergeCell ref="B486:C486"/>
    <mergeCell ref="B487:C487"/>
    <mergeCell ref="B488:E488"/>
    <mergeCell ref="C490:E490"/>
    <mergeCell ref="C492:E492"/>
    <mergeCell ref="C494:E494"/>
    <mergeCell ref="B480:C480"/>
    <mergeCell ref="B481:C481"/>
    <mergeCell ref="B482:C482"/>
    <mergeCell ref="B483:C483"/>
    <mergeCell ref="B484:C484"/>
    <mergeCell ref="B485:C485"/>
    <mergeCell ref="C467:E467"/>
    <mergeCell ref="C469:E469"/>
    <mergeCell ref="C475:E475"/>
    <mergeCell ref="B477:E477"/>
    <mergeCell ref="B478:C478"/>
    <mergeCell ref="B479:C479"/>
    <mergeCell ref="B459:C459"/>
    <mergeCell ref="B460:C460"/>
    <mergeCell ref="B461:C461"/>
    <mergeCell ref="B462:C462"/>
    <mergeCell ref="B463:E463"/>
    <mergeCell ref="C465:E465"/>
    <mergeCell ref="B453:C453"/>
    <mergeCell ref="B454:C454"/>
    <mergeCell ref="B455:C455"/>
    <mergeCell ref="B456:C456"/>
    <mergeCell ref="B457:C457"/>
    <mergeCell ref="B458:C458"/>
    <mergeCell ref="B438:E438"/>
    <mergeCell ref="C440:E440"/>
    <mergeCell ref="C442:E442"/>
    <mergeCell ref="C444:E444"/>
    <mergeCell ref="C450:E450"/>
    <mergeCell ref="B452:E452"/>
    <mergeCell ref="B432:C432"/>
    <mergeCell ref="B433:C433"/>
    <mergeCell ref="B434:C434"/>
    <mergeCell ref="B435:C435"/>
    <mergeCell ref="B436:C436"/>
    <mergeCell ref="B437:C437"/>
    <mergeCell ref="C425:E425"/>
    <mergeCell ref="B427:E427"/>
    <mergeCell ref="B428:C428"/>
    <mergeCell ref="B429:C429"/>
    <mergeCell ref="B430:C430"/>
    <mergeCell ref="B431:C431"/>
    <mergeCell ref="B411:C411"/>
    <mergeCell ref="B412:C412"/>
    <mergeCell ref="B413:E413"/>
    <mergeCell ref="C415:E415"/>
    <mergeCell ref="C417:E417"/>
    <mergeCell ref="C419:E419"/>
    <mergeCell ref="B405:C405"/>
    <mergeCell ref="B406:C406"/>
    <mergeCell ref="B407:C407"/>
    <mergeCell ref="B408:C408"/>
    <mergeCell ref="B409:C409"/>
    <mergeCell ref="B410:C410"/>
    <mergeCell ref="C392:E392"/>
    <mergeCell ref="C394:E394"/>
    <mergeCell ref="C400:E400"/>
    <mergeCell ref="B402:E402"/>
    <mergeCell ref="B403:C403"/>
    <mergeCell ref="B404:C404"/>
    <mergeCell ref="B384:C384"/>
    <mergeCell ref="B385:C385"/>
    <mergeCell ref="B386:C386"/>
    <mergeCell ref="B387:C387"/>
    <mergeCell ref="B388:E388"/>
    <mergeCell ref="C390:E390"/>
    <mergeCell ref="B378:C378"/>
    <mergeCell ref="B379:C379"/>
    <mergeCell ref="B380:C380"/>
    <mergeCell ref="B381:C381"/>
    <mergeCell ref="B382:C382"/>
    <mergeCell ref="B383:C383"/>
    <mergeCell ref="C365:E365"/>
    <mergeCell ref="C367:E367"/>
    <mergeCell ref="C369:E369"/>
    <mergeCell ref="C373:E373"/>
    <mergeCell ref="C375:E375"/>
    <mergeCell ref="B377:E377"/>
    <mergeCell ref="B358:C358"/>
    <mergeCell ref="B359:C359"/>
    <mergeCell ref="B360:C360"/>
    <mergeCell ref="B361:C361"/>
    <mergeCell ref="B362:C362"/>
    <mergeCell ref="B363:E363"/>
    <mergeCell ref="B352:E352"/>
    <mergeCell ref="B353:C353"/>
    <mergeCell ref="B354:C354"/>
    <mergeCell ref="B355:C355"/>
    <mergeCell ref="B356:C356"/>
    <mergeCell ref="B357:C357"/>
    <mergeCell ref="B337:C337"/>
    <mergeCell ref="B338:E338"/>
    <mergeCell ref="C340:E340"/>
    <mergeCell ref="C342:E342"/>
    <mergeCell ref="C344:E344"/>
    <mergeCell ref="C350:E350"/>
    <mergeCell ref="B331:C331"/>
    <mergeCell ref="B332:C332"/>
    <mergeCell ref="B333:C333"/>
    <mergeCell ref="B334:C334"/>
    <mergeCell ref="B335:C335"/>
    <mergeCell ref="B336:C336"/>
    <mergeCell ref="C319:E319"/>
    <mergeCell ref="C325:E325"/>
    <mergeCell ref="B327:E327"/>
    <mergeCell ref="B328:C328"/>
    <mergeCell ref="B329:C329"/>
    <mergeCell ref="B330:C330"/>
    <mergeCell ref="B310:C310"/>
    <mergeCell ref="B311:C311"/>
    <mergeCell ref="B312:C312"/>
    <mergeCell ref="B313:E313"/>
    <mergeCell ref="C315:E315"/>
    <mergeCell ref="C317:E317"/>
    <mergeCell ref="B304:C304"/>
    <mergeCell ref="B305:C305"/>
    <mergeCell ref="B306:C306"/>
    <mergeCell ref="B307:C307"/>
    <mergeCell ref="B308:C308"/>
    <mergeCell ref="B309:C309"/>
    <mergeCell ref="C290:E290"/>
    <mergeCell ref="C292:E292"/>
    <mergeCell ref="C294:E294"/>
    <mergeCell ref="C300:E300"/>
    <mergeCell ref="B302:E302"/>
    <mergeCell ref="B303:C303"/>
    <mergeCell ref="B283:C283"/>
    <mergeCell ref="B284:C284"/>
    <mergeCell ref="B285:C285"/>
    <mergeCell ref="B286:C286"/>
    <mergeCell ref="B287:C287"/>
    <mergeCell ref="B288:E288"/>
    <mergeCell ref="B277:E277"/>
    <mergeCell ref="B278:C278"/>
    <mergeCell ref="B279:C279"/>
    <mergeCell ref="B280:C280"/>
    <mergeCell ref="B281:C281"/>
    <mergeCell ref="B282:C282"/>
    <mergeCell ref="B262:C262"/>
    <mergeCell ref="B263:E263"/>
    <mergeCell ref="C265:E265"/>
    <mergeCell ref="C267:E267"/>
    <mergeCell ref="C269:E269"/>
    <mergeCell ref="C275:E275"/>
    <mergeCell ref="B256:C256"/>
    <mergeCell ref="B257:C257"/>
    <mergeCell ref="B258:C258"/>
    <mergeCell ref="B259:C259"/>
    <mergeCell ref="B260:C260"/>
    <mergeCell ref="B261:C261"/>
    <mergeCell ref="C244:E244"/>
    <mergeCell ref="C250:E250"/>
    <mergeCell ref="B252:E252"/>
    <mergeCell ref="B253:C253"/>
    <mergeCell ref="B254:C254"/>
    <mergeCell ref="B255:C255"/>
    <mergeCell ref="B235:C235"/>
    <mergeCell ref="B236:C236"/>
    <mergeCell ref="B237:C237"/>
    <mergeCell ref="B238:E238"/>
    <mergeCell ref="C240:E240"/>
    <mergeCell ref="C242:E242"/>
    <mergeCell ref="B229:C229"/>
    <mergeCell ref="B230:C230"/>
    <mergeCell ref="B231:C231"/>
    <mergeCell ref="B232:C232"/>
    <mergeCell ref="B233:C233"/>
    <mergeCell ref="B234:C234"/>
    <mergeCell ref="C215:E215"/>
    <mergeCell ref="C217:E217"/>
    <mergeCell ref="C219:E219"/>
    <mergeCell ref="C225:E225"/>
    <mergeCell ref="B227:E227"/>
    <mergeCell ref="B228:C228"/>
    <mergeCell ref="B208:C208"/>
    <mergeCell ref="B209:C209"/>
    <mergeCell ref="B210:C210"/>
    <mergeCell ref="B211:C211"/>
    <mergeCell ref="B212:C212"/>
    <mergeCell ref="B213:E213"/>
    <mergeCell ref="B202:E202"/>
    <mergeCell ref="B203:C203"/>
    <mergeCell ref="B204:C204"/>
    <mergeCell ref="B205:C205"/>
    <mergeCell ref="B206:C206"/>
    <mergeCell ref="B207:C207"/>
    <mergeCell ref="B187:C187"/>
    <mergeCell ref="B188:E188"/>
    <mergeCell ref="C190:E190"/>
    <mergeCell ref="C192:E192"/>
    <mergeCell ref="C194:E194"/>
    <mergeCell ref="C200:E200"/>
    <mergeCell ref="B181:C181"/>
    <mergeCell ref="B182:C182"/>
    <mergeCell ref="B183:C183"/>
    <mergeCell ref="B184:C184"/>
    <mergeCell ref="B185:C185"/>
    <mergeCell ref="B186:C186"/>
    <mergeCell ref="C169:E169"/>
    <mergeCell ref="C175:E175"/>
    <mergeCell ref="B177:E177"/>
    <mergeCell ref="B178:C178"/>
    <mergeCell ref="B179:C179"/>
    <mergeCell ref="B180:C180"/>
    <mergeCell ref="B160:C160"/>
    <mergeCell ref="B161:C161"/>
    <mergeCell ref="B162:C162"/>
    <mergeCell ref="B163:E163"/>
    <mergeCell ref="C165:E165"/>
    <mergeCell ref="C167:E167"/>
    <mergeCell ref="B154:C154"/>
    <mergeCell ref="B155:C155"/>
    <mergeCell ref="B156:C156"/>
    <mergeCell ref="B157:C157"/>
    <mergeCell ref="B158:C158"/>
    <mergeCell ref="B159:C159"/>
    <mergeCell ref="C140:E140"/>
    <mergeCell ref="C142:E142"/>
    <mergeCell ref="C144:E144"/>
    <mergeCell ref="C150:E150"/>
    <mergeCell ref="B152:E152"/>
    <mergeCell ref="B153:C153"/>
    <mergeCell ref="B133:C133"/>
    <mergeCell ref="B134:C134"/>
    <mergeCell ref="B135:C135"/>
    <mergeCell ref="B136:C136"/>
    <mergeCell ref="B137:C137"/>
    <mergeCell ref="B138:E138"/>
    <mergeCell ref="B127:E127"/>
    <mergeCell ref="B128:C128"/>
    <mergeCell ref="B129:C129"/>
    <mergeCell ref="B130:C130"/>
    <mergeCell ref="B131:C131"/>
    <mergeCell ref="B132:C132"/>
    <mergeCell ref="B112:C112"/>
    <mergeCell ref="B113:E113"/>
    <mergeCell ref="C115:E115"/>
    <mergeCell ref="C117:E117"/>
    <mergeCell ref="C119:E119"/>
    <mergeCell ref="C125:E125"/>
    <mergeCell ref="B106:C106"/>
    <mergeCell ref="B107:C107"/>
    <mergeCell ref="B108:C108"/>
    <mergeCell ref="B109:C109"/>
    <mergeCell ref="B110:C110"/>
    <mergeCell ref="B111:C111"/>
    <mergeCell ref="A6:B6"/>
    <mergeCell ref="C100:E100"/>
    <mergeCell ref="B102:E102"/>
    <mergeCell ref="B103:C103"/>
    <mergeCell ref="B104:C104"/>
    <mergeCell ref="B105:C105"/>
    <mergeCell ref="B1:H1"/>
    <mergeCell ref="A3:B3"/>
    <mergeCell ref="C3:E3"/>
    <mergeCell ref="A4:B4"/>
    <mergeCell ref="C4:E4"/>
    <mergeCell ref="A5:B5"/>
  </mergeCells>
  <pageMargins left="0" right="0" top="0" bottom="0" header="0" footer="0"/>
  <pageSetup paperSize="5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Necesidades Trimetrales AP</vt:lpstr>
      <vt:lpstr>'Necesidades Trimetrales AP'!Área_de_impresión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2022-08-10T12:30:55Z</dcterms:created>
  <dcterms:modified xsi:type="dcterms:W3CDTF">2022-08-10T12:31:48Z</dcterms:modified>
</cp:coreProperties>
</file>