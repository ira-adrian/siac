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Trimestrales'!$A$9:$I$9</definedName>
    <definedName name="_xlnm.Print_Area" localSheetId="2">'Autor Gastar'!$A$1:$Q$27</definedName>
    <definedName name="_xlnm.Print_Area" localSheetId="1">NotaPedido!$A$1:$K$72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72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<sst xmlns="http://schemas.openxmlformats.org/spreadsheetml/2006/main" count="405" uniqueCount="208">
  <si>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</si>
  <si>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</si>
  <si>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</si>
  <si>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</si>
  <si>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</si>
  <si>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</si>
  <si>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</si>
  <si>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</si>
  <si>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</si>
  <si>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</si>
  <si>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</si>
  <si>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</si>
  <si>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</si>
  <si>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</si>
  <si>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</si>
  <si>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</si>
  <si>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</si>
  <si>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</si>
  <si>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</si>
  <si>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</si>
  <si>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</si>
  <si>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</si>
  <si>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</si>
  <si>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</si>
  <si>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</si>
  <si>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</si>
  <si>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</si>
  <si>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</si>
  <si>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</si>
  <si>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</si>
  <si>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</si>
  <si>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</si>
  <si>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</si>
  <si>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</si>
  <si>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</si>
  <si>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</si>
  <si>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</si>
  <si>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</si>
  <si>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</si>
  <si>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</si>
  <si>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</si>
  <si>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</si>
  <si>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</si>
  <si>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</si>
  <si>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</si>
  <si>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</si>
  <si>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</si>
  <si>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</si>
  <si>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</si>
  <si>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</si>
  <si>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</si>
  <si>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</si>
  <si>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</si>
  <si>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</si>
  <si>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</si>
  <si>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</si>
  <si>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</si>
  <si>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</si>
  <si>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</si>
  <si>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</si>
  <si>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</si>
  <si>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</si>
  <si>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</si>
  <si>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>2.5.2-1821.235</t>
  </si>
  <si>
    <t>PROD. MEDICO/FARMACEUTICOS/LAB</t>
  </si>
  <si>
    <t>ANTIBIOTICOS P/PERSONAS; TIPO: MONODROGA, DROGA GENERICA: ACICLOVIR 500 MG, FORMA FARMACEUTICA: FRASCO AMPOLLA, PRESENTACION: 500 mGr</t>
  </si>
  <si>
    <t>AMPOLLA</t>
  </si>
  <si>
    <t>2.5.2-1724.16</t>
  </si>
  <si>
    <t>ANALGESICOS; TIPO: MONODROGA, DROGA GENERICA: ACIDO ACETILSALICILICO, PRESENTACION: 100 mGr, FORMA FARMACEUTICA: COMPRIMIDO</t>
  </si>
  <si>
    <t>COMPRIMIDO</t>
  </si>
  <si>
    <t>2.5.2-1821.1</t>
  </si>
  <si>
    <t>ANTIBIOTICOS P/PERSONAS; TIPO: MONODROGA, DROGA GENERICA: AMIKACINA, PRESENTACION: 500 mGr, FORMA FARMACEUTICA: AMPOLLA</t>
  </si>
  <si>
    <t>2.5.2-1821.440</t>
  </si>
  <si>
    <t>ANTIBIOTICOS P/PERSONAS; TIPO: ASOCIACION, DROGA GENERICA: AMOXICIL. 875 MG+CLAVUL.125 MG mGr, FORMA FARMACEUTICA: COMPRIMIDO, PRESENTACION: UNIDAD</t>
  </si>
  <si>
    <t>2.5.2-1821.9</t>
  </si>
  <si>
    <t>ANTIBIOTICOS P/PERSONAS; TIPO: MONODROGA, DROGA GENERICA: AMOXICILINA, PRESENTACION: 500 mGr, FORMA FARMACEUTICA: COMPRIMIDOS</t>
  </si>
  <si>
    <t>2.5.2-1821.8</t>
  </si>
  <si>
    <t>ANTIBIOTICOS P/PERSONAS; TIPO: MONODROGA, DROGA GENERICA: AMPICILINA, FORMA FARMACEUTICA: AMPOLLA, PRESENTACION: 1 GR</t>
  </si>
  <si>
    <t>2.5.2-1823.113</t>
  </si>
  <si>
    <t>ANTIMICOTICOS; DROGA GENERICA: ANFOTERICINA B LIPOSOMAL, FORMA FARMACEUTICA: AMPOLLA, PRESENTACION: 50 MGR, TIPO: MONODROGA</t>
  </si>
  <si>
    <t>2.5.2-1821.94</t>
  </si>
  <si>
    <t>ANTIBIOTICOS P/PERSONAS; TIPO: MONODROGA, DROGA GENERICA: AZITROMICINA, FORMA FARMACEUTICA: COMPRIMIDO, PRESENTACION: 500 mGr</t>
  </si>
  <si>
    <t>2.5.2-1726.523</t>
  </si>
  <si>
    <t>SOLUCIONES P/MEDICINA; TIPO: SULFATO DE BARIO, PRESENTACION: ENVASE SUSPENSION X 225 ML</t>
  </si>
  <si>
    <t>FRASCO</t>
  </si>
  <si>
    <t>2.5.2-1726.524</t>
  </si>
  <si>
    <t>SOLUCIONES P/MEDICINA; TIPO: SULFATO DE BARIO, PRESENTACION: ENVASE SUSPENSION PARA ENEMA X 500 ML</t>
  </si>
  <si>
    <t>2.5.2-1726.525</t>
  </si>
  <si>
    <t>SOLUCIONES P/MEDICINA; TIPO: SULFATO DE BARIO, PRESENTACION: ENVASE SUSPENSION ORAL X 300 ML</t>
  </si>
  <si>
    <t>2.5.2-1883.139</t>
  </si>
  <si>
    <t>ANESTESICOS LOCALES; TIPO: ASOCIACION, DROGA GENERICA: BUPIVACAINA 0,5 % C/EPINEFRINA, FORMA FARMACEUTICA: FRASCO AMPOLLA, PRESENTACION: ENVASE X 20 mL</t>
  </si>
  <si>
    <t>2.5.2-1883.24</t>
  </si>
  <si>
    <t>ANESTESICOS LOCALES; TIPO: MONODROGA, DROGA GENERICA: BUPIVACAINA 0,5 %, FORMA FARMACEUTICA: FRASCO, PRESENTACION: 20 mL</t>
  </si>
  <si>
    <t>2.5.2-1883.188</t>
  </si>
  <si>
    <t>ANESTESICOS LOCALES; TIPO: MONODROGA, DROGA GENERICA: BUPIVACAINA 0,5% HIPERBARICA, FORMA FARMACEUTICA: AMPOLLA, PRESENTACION: 4 ML CON AGUJA 27 G X 3 1/2 CON INTRODUCTOR</t>
  </si>
  <si>
    <t>2.5.2-1821.321</t>
  </si>
  <si>
    <t>ANTIBIOTICOS P/PERSONAS; TIPO: MONODROGA, DROGA GENERICA: CEFALEXINA 500 mGr, FORMA FARMACEUTICA: COMPRIMIDO, PRESENTACION: 1 UN</t>
  </si>
  <si>
    <t>2.5.2-1821.405</t>
  </si>
  <si>
    <t>ANTIBIOTICOS P/PERSONAS; TIPO: MONODROGA, DROGA GENERICA: CEFALOTINA SODICA, FORMA FARMACEUTICA: FRASCO AMPOLLA, PRESENTACION: 1 GR</t>
  </si>
  <si>
    <t>2.5.2-1821.384</t>
  </si>
  <si>
    <t>ANTIBIOTICOS P/PERSONAS; TIPO: MONODROGA, DROGA GENERICA: CEFTAZIDIMA, FORMA FARMACEUTICA: FRASCO AMPOLLA, PRESENTACION: ENVASE X 1 GR</t>
  </si>
  <si>
    <t>2.5.2-1821.214</t>
  </si>
  <si>
    <t>ANTIBIOTICOS P/PERSONAS; TIPO: MONODROGA, DROGA GENERICA: CEFTRIAXONA, FORMA FARMACEUTICA: FRASCO AMPOLLA, PRESENTACION: 1 GR</t>
  </si>
  <si>
    <t>2.5.2-1821.387</t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</si>
  <si>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</si>
  <si>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t>SACHET</t>
  </si>
  <si>
    <t>2.5.2-1821.46</t>
  </si>
  <si>
    <t>ANTIBIOTICOS P/PERSONAS; TIPO: MONODROGA, FORMA FARMACEUTICA: COMPRIMIDO, PRESENTACION: 500 mGr, DROGA GENERICA: CIPROFLOXACINA</t>
  </si>
  <si>
    <t>2.5.2-1821.37</t>
  </si>
  <si>
    <t>ANTIBIOTICOS P/PERSONAS; TIPO: MONODROGA, DROGA GENERICA: CLARITROMICINA, FORMA FARMACEUTICA: COMPRIMIDO, PRESENTACION: 500 mGr</t>
  </si>
  <si>
    <t>2.5.2-1821.43</t>
  </si>
  <si>
    <t>ANTIBIOTICOS P/PERSONAS; TIPO: MONODROGA, DROGA GENERICA: CLINDAMICINA, FORMA FARMACEUTICA: AMPOLLA, PRESENTACION: 600 mGr</t>
  </si>
  <si>
    <t>2.5.2-1726.526</t>
  </si>
  <si>
    <t>SOLUCIONES P/MEDICINA; TIPO: CONTRASTE RADIOLOGICO NO IONICO, PRESENTACION: ENVASE X 50 ML</t>
  </si>
  <si>
    <t>2.5.2-1821.526</t>
  </si>
  <si>
    <t>ANTIBIOTICOS P/PERSONAS; TIPO: MONODROGA, DROGA GENERICA: COTRIMOXAZOL, FORMA FARMACEUTICA: COMPRIMIDO, PRESENTACION: 160 MG/ 800 MG</t>
  </si>
  <si>
    <t>2.5.2-1724.140</t>
  </si>
  <si>
    <t>ANALGESICOS; TIPO: MONODROGA, DROGA GENERICA: DICLOFENAC X 75 MG, FORMA FARMACEUTICA: COMPRIMIDO, PRESENTACION: UNIDAD</t>
  </si>
  <si>
    <t>2.5.2-1724.117</t>
  </si>
  <si>
    <r>
      <t xml:space="preserve">ANALGESICOS;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</si>
  <si>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t>2.5.2-1724.208</t>
  </si>
  <si>
    <t>ANALGESICOS; TIPO: MONODROGA, DROGA GENERICA: DIPIRONA SODICA 1 GR, FORMA FARMACEUTICA: AMPOLLA, PRESENTACION: 2 mL</t>
  </si>
  <si>
    <t>2.5.2-1821.491</t>
  </si>
  <si>
    <t>ANTIBIOTICOS P/PERSONAS; TIPO: MONODROGA, DROGA GENERICA: FOSFOMICINA, FORMA FARMACEUTICA: AMPOLLA, PRESENTACION: ENVASE X 1 GR</t>
  </si>
  <si>
    <t>2.5.2-1821.4</t>
  </si>
  <si>
    <t>ANTIBIOTICOS P/PERSONAS; DROGA GENERICA: GENTAMICINA, FORMA FARMACEUTICA: AMPOLLA, PRESENTACION: 80 mGr, TIPO: MONODROGA</t>
  </si>
  <si>
    <t>2.5.2-1725.68</t>
  </si>
  <si>
    <t>ANTIINFLAMATORIOS NO ESTEROIDE; TIPO: MONODROGA, DROGA GENERICA: IBUPROFENO, FORMA FARMACEUTICA: COMPRIMIDO, PRESENTACION: 400 mGr</t>
  </si>
  <si>
    <t>2.5.2-1859.29</t>
  </si>
  <si>
    <t>INMUNOMODULADORES; TIPO: MONODROGA, DROGA GENERICA: INMUNOGLOBULINA G HUMANA, FORMA FARMACEUTICA: VIAL, PRESENTACION: 10 GR</t>
  </si>
  <si>
    <t>UNIDAD</t>
  </si>
  <si>
    <t>2.5.2-1823.84</t>
  </si>
  <si>
    <t>ANTIMICOTICOS; TIPO: MONODROGA, DROGA GENERICA: ITRACONAZOL, FORMA FARMACEUTICA: COMPRIMIDO, PRESENTACION: 100 mGr</t>
  </si>
  <si>
    <t>2.5.2-2455.20</t>
  </si>
  <si>
    <t>ANESTESICOS GENERALES; DROGA GENERICA: KETAMINA 50 MG/ML, FORMA FARMACEUTICA: FRASCO AMPOLLA, PRESENTACION: 10 mL, TIPO: MONODROGA</t>
  </si>
  <si>
    <t>2.5.2-1724.23</t>
  </si>
  <si>
    <t>ANALGESICOS; TIPO: MONODROGA, DROGA GENERICA: KETOROLAC, FORMA FARMACEUTICA: AMPOLLA, PRESENTACION: 30 mGr</t>
  </si>
  <si>
    <t>2.5.2-1883.186</t>
  </si>
  <si>
    <t>ANESTESICOS LOCALES; TIPO: MONODROGA, DROGA GENERICA: LIDOCAINA 2%S/EPINEFRINA, FORMA FARMACEUTICA: AMPOLLA, PRESENTACION: 5 mL</t>
  </si>
  <si>
    <t>2.5.2-1883.136</t>
  </si>
  <si>
    <t>ANESTESICOS LOCALES; TIPO: MONODROGA, DROGA GENERICA: LIDOCAINA 2% S/EPINEFRINA, FORMA FARMACEUTICA: FRASCO AMPOLLA, PRESENTACION: ENVASE X 20 mL</t>
  </si>
  <si>
    <t>2.5.2-1883.111</t>
  </si>
  <si>
    <t>ANESTESICOS LOCALES; TIPO: ASOCIACION, DROGA GENERICA: LIDOCAINA 2% C/EPINEFRINA, FORMA FARMACEUTICA: FRASCO AMPOLLA, PRESENTACION: 20 mL</t>
  </si>
  <si>
    <t>2.5.2-1883.28</t>
  </si>
  <si>
    <t>ANESTESICOS LOCALES; TIPO: MONODROGA, DROGA GENERICA: LIDOCAINA, FORMA FARMACEUTICA: AEROSOL, PRESENTACION: 100 mL</t>
  </si>
  <si>
    <t>2.5.2-1883.149</t>
  </si>
  <si>
    <t>ANESTESICOS LOCALES; TIPO: MONODROGA, DROGA GENERICA: LIDOCAINA, FORMA FARMACEUTICA: JALEA, PRESENTACION: ENVASE X 25 GR</t>
  </si>
  <si>
    <t>2.5.2-1883.19</t>
  </si>
  <si>
    <t>ANESTESICOS LOCALES; TIPO: MONODROGA, DROGA GENERICA: LIDOCAINA VISCOSA, FORMA FARMACEUTICA: ENVASE, PRESENTACION: 50 mL</t>
  </si>
  <si>
    <t>2.5.2-1821.329</t>
  </si>
  <si>
    <t>ANTIBIOTICOS P/PERSONAS; TIPO: MONODROGA, DROGA GENERICA: LINEZOLID, FORMA FARMACEUTICA: SOLUCION, PRESENTACION: ENVASE X 300 mL</t>
  </si>
  <si>
    <t>2.5.2-1821.463</t>
  </si>
  <si>
    <t>ANTIBIOTICOS P/PERSONAS; TIPO: MONODROGA, DROGA GENERICA: MEROPENEM 1000 mGr, FORMA FARMACEUTICA: AMPOLLA, PRESENTACION: UNIDAD</t>
  </si>
  <si>
    <t>2.5.2-1821.400</t>
  </si>
  <si>
    <t>ANTIBIOTICOS P/PERSONAS; TIPO: MONODROGA, DROGA GENERICA: METRONIDAZOL 500 mGr, FORMA FARMACEUTICA: SACHET X 100 mL, PRESENTACION: UNIDAD</t>
  </si>
  <si>
    <t>2.5.2-1724.98</t>
  </si>
  <si>
    <t>ANALGESICOS; TIPO: MONODROGA, DROGA GENERICA: MORFINA CLORIDRATO 1%, FORMA FARMACEUTICA: AMPOLLA, PRESENTACION: 1 mL</t>
  </si>
  <si>
    <t>2.5.2-1724.206</t>
  </si>
  <si>
    <t>ANALGESICOS; TIPO: MONODROGA, DROGA GENERICA: NALBUFINA 10 mGr, FORMA FARMACEUTICA: AMPOLLA, PRESENTACION: ENVASE X 1 mL</t>
  </si>
  <si>
    <t>2.5.2-1725.35</t>
  </si>
  <si>
    <t>ANTIINFLAMATORIOS NO ESTEROIDE; TIPO: MONODROGA, DROGA GENERICA: NAPROXENO, FORMA FARMACEUTICA: COMPRIMIDO, PRESENTACION: 500 mGr</t>
  </si>
  <si>
    <t>2.5.2-1724.243</t>
  </si>
  <si>
    <t>ANALGESICOS; TIPO: MONODROGA, DROGA GENERICA: PARACETAMOL 1 GR, FORMA FARMACEUTICA: COMPRIMIDO, PRESENTACION: UNIDAD</t>
  </si>
  <si>
    <t>2.5.2-1724.230</t>
  </si>
  <si>
    <t>ANALGESICOS ; PRESENTACION: 100 mL, FORMA FARMACEUTICA: AMPOLLA, DROGA GENERICA: PARACETAMOL 1000 mGr, TIPO: MONODROGA mGr</t>
  </si>
  <si>
    <t>2.5.2-1724.245</t>
  </si>
  <si>
    <t>ANALGÉSICOS ; TIPO: MONODROGA, DROGA GENÉRICA: PARACETAMOL 500 MGR, FORMA FARMACEÚTICA: COMPRIMIDO, PRESENTACIÓN: X UNIDAD</t>
  </si>
  <si>
    <t>2.5.2-1821.13</t>
  </si>
  <si>
    <t>ANTIBIOTICOS P/PERSONAS; TIPO: MONODROGA, DROGA GENERICA: PENICILINA G. SODICA, FORMA FARMACEUTICA: AMPOLLA, PRESENTACION: 3.000.000 UI</t>
  </si>
  <si>
    <t>2.5.2-3097.9</t>
  </si>
  <si>
    <t>PEDICULICIDAS; DROGA GENERICA: PERMETRINA, FORMA FARMACEUTICA: EMULSION, PRESENTACION: 100 mL</t>
  </si>
  <si>
    <t>2.5.2-3097.1</t>
  </si>
  <si>
    <t>PEDICULICIDAS; DROGA GENERICA: PERMETRINA 1%, FORMA FARMACEUTICA: SOLUCION, PRESENTACION: FRASCO X 100 mL</t>
  </si>
  <si>
    <t>2.5.2-3603.15</t>
  </si>
  <si>
    <t>EVACUANTES INTESTINALES; TIPO: MONODROGA, DROGA GENERICA: POLIETILENGLICOL, FORMA FARMACEUTICA: SOLUCION, PRESENTACION: ENVASE X 4 L</t>
  </si>
  <si>
    <t>2.5.2-1822.6</t>
  </si>
  <si>
    <t>ANTIMICOBACTERIAS; TIPO: MONODROGA, DROGA GENERICA: RIFAMPICINA, PRESENTACION: 300 mGr, FORMA FARMACEUTICA: CAPSULA</t>
  </si>
  <si>
    <t>CAPSULAS</t>
  </si>
  <si>
    <t>2.5.2-1821.219</t>
  </si>
  <si>
    <t>ANTIBIOTICOS P/PERSONAS; TIPO: MONODROGA, DROGA GENERICA: RIFAMPICINA, FORMA FARMACEUTICA: FRASCO AMPOLLA, PRESENTACION: 600 mGr</t>
  </si>
  <si>
    <t>2.5.2-2455.31</t>
  </si>
  <si>
    <t>ANESTESICOS GENERALES; DROGA GENERICA: SEVOFLUORANO, FORMA FARMACEUTICA: SOLUCION, PRESENTACION: ENVASE X 250 mL, TIPO: MONODROGA</t>
  </si>
  <si>
    <t>2.5.2-2199.2</t>
  </si>
  <si>
    <t>BLOQUEANTES NEUROMUSCULARES; DROGA GENERICA: SUCCINILCOLINA, FORMA FARMACEUTICA: AMPOLLA, PRESENTACION: 500 mGr, TIPO: MONODROGA</t>
  </si>
  <si>
    <t>2.5.2-1821.423</t>
  </si>
  <si>
    <t>ANTIBIOTICOS P/PERSONAS; TIPO: MONODROGA, DROGA GENERICA: TIGECICLINA 50 mGr, FORMA FARMACEUTICA: FRASCO AMPOLLA, PRESENTACION: UNIDAD</t>
  </si>
  <si>
    <t>2.5.2-1724.154</t>
  </si>
  <si>
    <t>ANALGESICOS; TIPO: MONODROGA, DROGA GENERICA: TRAMADOL 50 mGr, FORMA FARMACEUTICA: AMPOLLA, PRESENTACION: UNIDAD</t>
  </si>
  <si>
    <t>2.5.2-2199.13</t>
  </si>
  <si>
    <t>BLOQUEANTES NEUROMUSCULARES; DROGA GENERICA: BROMURO DE VECURONIO, FORMA FARMACEUTICA: AMPOLLA X 10 mGr, PRESENTACION: UNIDAD, TIPO: MONODROGA</t>
  </si>
  <si>
    <t>Especificidades Item N° 9:</t>
  </si>
  <si>
    <t>TIPO EZ-CAT</t>
  </si>
  <si>
    <t>Especificidades Item N° 10:</t>
  </si>
  <si>
    <t>Especificidades Item N° 23:</t>
  </si>
  <si>
    <t>TIPO GASTROPAQUE F</t>
  </si>
  <si>
    <t>Especificidades Item N° 11:</t>
  </si>
  <si>
    <t>Especificidades Item N° 13:</t>
  </si>
  <si>
    <t>BUPIVACAINA 0,5 % S/EPINEFRINA</t>
  </si>
  <si>
    <t>TIPO IOPROMIDA, IOBITRIDOL, IODIXANOL, IOHEXOL, IOVERSOL</t>
  </si>
  <si>
    <t>Adquisición de Antiinfecciosos - Analgesicos - Anestesicos</t>
  </si>
  <si>
    <t>SI</t>
  </si>
  <si>
    <t>TOTAL DE PESOS: DIECIOCHO MILLONES OCHOCIENTOS VEINTICUATRO MIL DOSCIENTOS SETENTA Y NUEVE CON 07/100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</si>
  <si>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</si>
  <si>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</si>
  <si>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AVDA. ILLIA Y MARIANO MORENO - DE LUNES A VIERNES DE 08:00 A 11:00 HORAS DEBIENDO CORRER LOS GASTOS DE FLETES, ACARREO, CARGA, DESCARGA Y SEGURO A CARGO DEL ADJUDICATARIO.</t>
  </si>
  <si>
    <t>Costo total estimado: PESOS DIECIOCHO MILLONES OCHOCIENTOS VEINTICUATRO MIL DOSCIENTOS SETENTA Y NUEVE CON 07/100.-----</t>
  </si>
  <si>
    <t>NOTA DE PEDIDO 123</t>
  </si>
  <si>
    <t>DOCFI-2022-01904518-CAT-DASIS#HSJB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</si>
</sst>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  <numFmt numFmtId="170" formatCode="_-&quot;$&quot;* #,##0.00_-;\-&quot;$&quot;* #,##0.00_-;_-&quot;$&quot;* &quot;-&quot;??_-;_-@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  <charset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166" fontId="0" fillId="0" borderId="29" xfId="3" applyNumberFormat="1" applyFont="1" applyBorder="1" applyAlignment="1" applyProtection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166" fontId="13" fillId="0" borderId="3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13" fillId="0" borderId="3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0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3" fontId="14" fillId="0" borderId="0" xfId="0" applyNumberFormat="1" applyFont="1" applyBorder="1" applyAlignment="1">
      <alignment horizontal="center" vertical="center"/>
    </xf>
    <xf numFmtId="169" fontId="14" fillId="0" borderId="0" xfId="0" applyNumberFormat="1" applyFont="1" applyBorder="1" applyAlignment="1">
      <alignment horizontal="right" vertical="center"/>
    </xf>
    <xf numFmtId="170" fontId="14" fillId="0" borderId="0" xfId="0" applyNumberFormat="1" applyFont="1" applyBorder="1" applyAlignment="1">
      <alignment horizontal="right"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 vertical="center" wrapText="1"/>
    </xf>
    <xf numFmtId="0" fontId="21" fillId="6" borderId="39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39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39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32" xfId="0" applyFont="1" applyFill="1" applyBorder="1" applyAlignment="1">
      <alignment horizontal="left" vertical="center" wrapText="1" indent="1"/>
    </xf>
    <xf numFmtId="0" fontId="0" fillId="0" borderId="37" xfId="0" applyFont="1" applyBorder="1" applyAlignment="1">
      <alignment horizontal="left" vertical="center"/>
    </xf>
    <xf numFmtId="0" fontId="0" fillId="0" borderId="28" xfId="0" applyFon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2" xfId="0" applyBorder="1"/>
    <xf numFmtId="0" fontId="25" fillId="0" borderId="37" xfId="0" applyFont="1" applyBorder="1" applyAlignment="1">
      <alignment horizontal="left" vertical="center"/>
    </xf>
    <xf numFmtId="0" fontId="25" fillId="0" borderId="28" xfId="0" applyFont="1" applyBorder="1" applyAlignment="1">
      <alignment horizontal="left" vertical="center"/>
    </xf>
    <xf numFmtId="0" fontId="14" fillId="0" borderId="37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8" fillId="0" borderId="14" xfId="0" applyFont="1" applyBorder="1" applyAlignment="1">
      <alignment horizontal="left" vertical="center" wrapText="1" indent="1"/>
    </xf>
    <xf numFmtId="0" fontId="29" fillId="0" borderId="32" xfId="0" applyFont="1" applyBorder="1" applyAlignment="1">
      <alignment horizontal="left" vertical="center" wrapText="1"/>
    </xf>
    <xf numFmtId="0" fontId="30" fillId="0" borderId="37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9"/>
  <sheetViews>
    <sheetView topLeftCell="A123" zoomScale="85" zoomScaleNormal="85" workbookViewId="0">
      <selection activeCell="C79" sqref="C79:E79"/>
    </sheetView>
  </sheetViews>
  <sheetFormatPr baseColWidth="10" defaultColWidth="11" defaultRowHeight="12.75" x14ac:dyDescent="0.2"/>
  <cols>
    <col min="1" max="1" width="4.5703125" style="21" customWidth="1"/>
    <col min="2" max="2" width="12.85546875" style="21" customWidth="1"/>
    <col min="3" max="3" width="32.42578125" style="21" customWidth="1"/>
    <col min="4" max="4" width="8.42578125" style="21" customWidth="1"/>
    <col min="5" max="5" width="79" style="21" customWidth="1"/>
    <col min="6" max="6" width="14.140625" style="21" customWidth="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2" spans="1:9" ht="27" x14ac:dyDescent="0.35">
      <c r="B2" s="80" t="s">
        <v>0</v>
      </c>
      <c r="C2" s="80"/>
      <c r="D2" s="80"/>
      <c r="E2" s="80"/>
      <c r="F2" s="80"/>
      <c r="G2" s="80"/>
      <c r="H2" s="80"/>
    </row>
    <row r="4" spans="1:9" ht="18" customHeight="1" x14ac:dyDescent="0.25">
      <c r="A4" s="68" t="s">
        <v>1</v>
      </c>
      <c r="B4" s="68"/>
      <c r="C4" s="81" t="s">
        <v>56</v>
      </c>
      <c r="D4" s="81"/>
      <c r="E4" s="81"/>
      <c r="F4" s="22"/>
      <c r="G4" s="23"/>
      <c r="H4" s="22"/>
    </row>
    <row r="5" spans="1:9" ht="18" customHeight="1" x14ac:dyDescent="0.25">
      <c r="A5" s="68" t="s">
        <v>2</v>
      </c>
      <c r="B5" s="68"/>
      <c r="C5" s="81" t="s">
        <v>57</v>
      </c>
      <c r="D5" s="81"/>
      <c r="E5" s="81"/>
      <c r="F5" s="22"/>
      <c r="G5" s="23"/>
      <c r="H5" s="22"/>
    </row>
    <row r="6" spans="1:9" ht="16.5" customHeight="1" x14ac:dyDescent="0.25">
      <c r="A6" s="68" t="s">
        <v>3</v>
      </c>
      <c r="B6" s="68"/>
      <c r="C6" s="45">
        <v>2022</v>
      </c>
      <c r="D6" s="46"/>
      <c r="E6" s="46"/>
      <c r="F6" s="22"/>
      <c r="G6" s="23"/>
      <c r="H6" s="22"/>
    </row>
    <row r="7" spans="1:9" ht="16.5" customHeight="1" x14ac:dyDescent="0.25">
      <c r="A7" s="68" t="s">
        <v>4</v>
      </c>
      <c r="B7" s="68"/>
      <c r="C7" s="45">
        <v>4</v>
      </c>
      <c r="D7" s="46"/>
      <c r="E7" s="46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37" t="s">
        <v>5</v>
      </c>
      <c r="B9" s="37" t="s">
        <v>6</v>
      </c>
      <c r="C9" s="37" t="s">
        <v>7</v>
      </c>
      <c r="D9" s="37" t="s">
        <v>8</v>
      </c>
      <c r="E9" s="37" t="s">
        <v>9</v>
      </c>
      <c r="F9" s="37" t="s">
        <v>10</v>
      </c>
      <c r="G9" s="37" t="s">
        <v>11</v>
      </c>
      <c r="H9" s="37" t="s">
        <v>12</v>
      </c>
      <c r="I9" s="37" t="s">
        <v>13</v>
      </c>
    </row>
    <row r="10" spans="1:9" ht="45" customHeight="1" thickBot="1" x14ac:dyDescent="0.25">
      <c r="A10" s="38">
        <v>1</v>
      </c>
      <c r="B10" s="42" t="s">
        <v>63</v>
      </c>
      <c r="C10" s="39" t="s">
        <v>64</v>
      </c>
      <c r="D10" s="40">
        <v>252</v>
      </c>
      <c r="E10" s="41" t="s">
        <v>65</v>
      </c>
      <c r="F10" s="42" t="s">
        <v>66</v>
      </c>
      <c r="G10" s="42">
        <v>100</v>
      </c>
      <c r="H10" s="43">
        <v>350</v>
      </c>
      <c r="I10" s="44">
        <f t="shared" ref="I10:I69" si="0">G10*H10</f>
        <v>35000</v>
      </c>
    </row>
    <row r="11" spans="1:9" ht="47.25" customHeight="1" thickBot="1" x14ac:dyDescent="0.25">
      <c r="A11" s="38">
        <v>2</v>
      </c>
      <c r="B11" s="42" t="s">
        <v>67</v>
      </c>
      <c r="C11" s="39" t="s">
        <v>64</v>
      </c>
      <c r="D11" s="40">
        <v>252</v>
      </c>
      <c r="E11" s="41" t="s">
        <v>68</v>
      </c>
      <c r="F11" s="42" t="s">
        <v>69</v>
      </c>
      <c r="G11" s="42">
        <v>3000</v>
      </c>
      <c r="H11" s="43">
        <v>1.88</v>
      </c>
      <c r="I11" s="44">
        <f t="shared" si="0"/>
        <v>5640</v>
      </c>
    </row>
    <row r="12" spans="1:9" ht="48" customHeight="1" thickBot="1" x14ac:dyDescent="0.25">
      <c r="A12" s="38">
        <v>3</v>
      </c>
      <c r="B12" s="42" t="s">
        <v>70</v>
      </c>
      <c r="C12" s="39" t="s">
        <v>64</v>
      </c>
      <c r="D12" s="40">
        <v>252</v>
      </c>
      <c r="E12" s="41" t="s">
        <v>71</v>
      </c>
      <c r="F12" s="42" t="s">
        <v>66</v>
      </c>
      <c r="G12" s="42">
        <v>600</v>
      </c>
      <c r="H12" s="43">
        <v>87.95</v>
      </c>
      <c r="I12" s="44">
        <f t="shared" si="0"/>
        <v>52770</v>
      </c>
    </row>
    <row r="13" spans="1:9" ht="61.5" customHeight="1" thickBot="1" x14ac:dyDescent="0.25">
      <c r="A13" s="38">
        <v>4</v>
      </c>
      <c r="B13" s="42" t="s">
        <v>72</v>
      </c>
      <c r="C13" s="39" t="s">
        <v>64</v>
      </c>
      <c r="D13" s="40">
        <v>252</v>
      </c>
      <c r="E13" s="41" t="s">
        <v>73</v>
      </c>
      <c r="F13" s="42" t="s">
        <v>69</v>
      </c>
      <c r="G13" s="42">
        <v>1200</v>
      </c>
      <c r="H13" s="43">
        <v>38</v>
      </c>
      <c r="I13" s="44">
        <f t="shared" si="0"/>
        <v>45600</v>
      </c>
    </row>
    <row r="14" spans="1:9" ht="53.25" customHeight="1" thickBot="1" x14ac:dyDescent="0.25">
      <c r="A14" s="38">
        <v>5</v>
      </c>
      <c r="B14" s="42" t="s">
        <v>74</v>
      </c>
      <c r="C14" s="39" t="s">
        <v>64</v>
      </c>
      <c r="D14" s="40">
        <v>252</v>
      </c>
      <c r="E14" s="41" t="s">
        <v>75</v>
      </c>
      <c r="F14" s="42" t="s">
        <v>69</v>
      </c>
      <c r="G14" s="42">
        <v>200</v>
      </c>
      <c r="H14" s="43">
        <v>15</v>
      </c>
      <c r="I14" s="44">
        <f t="shared" si="0"/>
        <v>3000</v>
      </c>
    </row>
    <row r="15" spans="1:9" ht="62.25" customHeight="1" thickBot="1" x14ac:dyDescent="0.25">
      <c r="A15" s="38">
        <v>6</v>
      </c>
      <c r="B15" s="42" t="s">
        <v>76</v>
      </c>
      <c r="C15" s="39" t="s">
        <v>64</v>
      </c>
      <c r="D15" s="40">
        <v>252</v>
      </c>
      <c r="E15" s="41" t="s">
        <v>77</v>
      </c>
      <c r="F15" s="42" t="s">
        <v>66</v>
      </c>
      <c r="G15" s="42">
        <v>100</v>
      </c>
      <c r="H15" s="43">
        <v>99</v>
      </c>
      <c r="I15" s="44">
        <f t="shared" si="0"/>
        <v>9900</v>
      </c>
    </row>
    <row r="16" spans="1:9" ht="53.25" customHeight="1" thickBot="1" x14ac:dyDescent="0.25">
      <c r="A16" s="38">
        <v>7</v>
      </c>
      <c r="B16" s="42" t="s">
        <v>78</v>
      </c>
      <c r="C16" s="39" t="s">
        <v>64</v>
      </c>
      <c r="D16" s="40">
        <v>252</v>
      </c>
      <c r="E16" s="41" t="s">
        <v>79</v>
      </c>
      <c r="F16" s="42" t="s">
        <v>66</v>
      </c>
      <c r="G16" s="42">
        <v>50</v>
      </c>
      <c r="H16" s="43">
        <v>29500</v>
      </c>
      <c r="I16" s="44">
        <f t="shared" si="0"/>
        <v>1475000</v>
      </c>
    </row>
    <row r="17" spans="1:9" ht="54.75" customHeight="1" thickBot="1" x14ac:dyDescent="0.25">
      <c r="A17" s="38">
        <v>8</v>
      </c>
      <c r="B17" s="42" t="s">
        <v>80</v>
      </c>
      <c r="C17" s="39" t="s">
        <v>64</v>
      </c>
      <c r="D17" s="40">
        <v>252</v>
      </c>
      <c r="E17" s="41" t="s">
        <v>81</v>
      </c>
      <c r="F17" s="42" t="s">
        <v>69</v>
      </c>
      <c r="G17" s="42">
        <v>150</v>
      </c>
      <c r="H17" s="43">
        <v>37.450000000000003</v>
      </c>
      <c r="I17" s="44">
        <f t="shared" si="0"/>
        <v>5617.5</v>
      </c>
    </row>
    <row r="18" spans="1:9" ht="56.25" customHeight="1" thickBot="1" x14ac:dyDescent="0.25">
      <c r="A18" s="38">
        <v>9</v>
      </c>
      <c r="B18" s="42" t="s">
        <v>82</v>
      </c>
      <c r="C18" s="39" t="s">
        <v>64</v>
      </c>
      <c r="D18" s="40">
        <v>252</v>
      </c>
      <c r="E18" s="41" t="s">
        <v>83</v>
      </c>
      <c r="F18" s="42" t="s">
        <v>84</v>
      </c>
      <c r="G18" s="42">
        <v>30</v>
      </c>
      <c r="H18" s="43">
        <v>9664.2800000000007</v>
      </c>
      <c r="I18" s="44">
        <f t="shared" si="0"/>
        <v>289928.40000000002</v>
      </c>
    </row>
    <row r="19" spans="1:9" ht="42" customHeight="1" thickBot="1" x14ac:dyDescent="0.25">
      <c r="A19" s="38">
        <v>10</v>
      </c>
      <c r="B19" s="42" t="s">
        <v>85</v>
      </c>
      <c r="C19" s="39" t="s">
        <v>64</v>
      </c>
      <c r="D19" s="40">
        <v>252</v>
      </c>
      <c r="E19" s="41" t="s">
        <v>86</v>
      </c>
      <c r="F19" s="42" t="s">
        <v>84</v>
      </c>
      <c r="G19" s="42">
        <v>3</v>
      </c>
      <c r="H19" s="43">
        <v>16740</v>
      </c>
      <c r="I19" s="44">
        <f t="shared" si="0"/>
        <v>50220</v>
      </c>
    </row>
    <row r="20" spans="1:9" ht="51" customHeight="1" thickBot="1" x14ac:dyDescent="0.25">
      <c r="A20" s="38">
        <v>11</v>
      </c>
      <c r="B20" s="42" t="s">
        <v>87</v>
      </c>
      <c r="C20" s="39" t="s">
        <v>64</v>
      </c>
      <c r="D20" s="40">
        <v>252</v>
      </c>
      <c r="E20" s="41" t="s">
        <v>88</v>
      </c>
      <c r="F20" s="42" t="s">
        <v>84</v>
      </c>
      <c r="G20" s="42">
        <v>3</v>
      </c>
      <c r="H20" s="43">
        <v>10347.39</v>
      </c>
      <c r="I20" s="44">
        <f t="shared" si="0"/>
        <v>31042.17</v>
      </c>
    </row>
    <row r="21" spans="1:9" ht="52.5" customHeight="1" thickBot="1" x14ac:dyDescent="0.25">
      <c r="A21" s="38">
        <v>12</v>
      </c>
      <c r="B21" s="42" t="s">
        <v>89</v>
      </c>
      <c r="C21" s="39" t="s">
        <v>64</v>
      </c>
      <c r="D21" s="40">
        <v>252</v>
      </c>
      <c r="E21" s="41" t="s">
        <v>90</v>
      </c>
      <c r="F21" s="42" t="s">
        <v>84</v>
      </c>
      <c r="G21" s="42">
        <v>50</v>
      </c>
      <c r="H21" s="43">
        <v>3100</v>
      </c>
      <c r="I21" s="44">
        <f t="shared" si="0"/>
        <v>155000</v>
      </c>
    </row>
    <row r="22" spans="1:9" ht="51.75" customHeight="1" thickBot="1" x14ac:dyDescent="0.25">
      <c r="A22" s="38">
        <v>13</v>
      </c>
      <c r="B22" s="42" t="s">
        <v>91</v>
      </c>
      <c r="C22" s="39" t="s">
        <v>64</v>
      </c>
      <c r="D22" s="40">
        <v>252</v>
      </c>
      <c r="E22" s="41" t="s">
        <v>92</v>
      </c>
      <c r="F22" s="42" t="s">
        <v>84</v>
      </c>
      <c r="G22" s="42">
        <v>30</v>
      </c>
      <c r="H22" s="43">
        <v>350</v>
      </c>
      <c r="I22" s="44">
        <f t="shared" si="0"/>
        <v>10500</v>
      </c>
    </row>
    <row r="23" spans="1:9" ht="51" customHeight="1" thickBot="1" x14ac:dyDescent="0.25">
      <c r="A23" s="38">
        <v>14</v>
      </c>
      <c r="B23" s="42" t="s">
        <v>93</v>
      </c>
      <c r="C23" s="39" t="s">
        <v>64</v>
      </c>
      <c r="D23" s="40">
        <v>252</v>
      </c>
      <c r="E23" s="41" t="s">
        <v>94</v>
      </c>
      <c r="F23" s="42" t="s">
        <v>66</v>
      </c>
      <c r="G23" s="42">
        <v>180</v>
      </c>
      <c r="H23" s="43">
        <v>1420</v>
      </c>
      <c r="I23" s="44">
        <f t="shared" si="0"/>
        <v>255600</v>
      </c>
    </row>
    <row r="24" spans="1:9" ht="50.25" customHeight="1" thickBot="1" x14ac:dyDescent="0.25">
      <c r="A24" s="38">
        <v>15</v>
      </c>
      <c r="B24" s="42" t="s">
        <v>95</v>
      </c>
      <c r="C24" s="39" t="s">
        <v>64</v>
      </c>
      <c r="D24" s="40">
        <v>252</v>
      </c>
      <c r="E24" s="41" t="s">
        <v>96</v>
      </c>
      <c r="F24" s="42" t="s">
        <v>69</v>
      </c>
      <c r="G24" s="42">
        <v>1800</v>
      </c>
      <c r="H24" s="43">
        <v>15.3</v>
      </c>
      <c r="I24" s="44">
        <f t="shared" si="0"/>
        <v>27540</v>
      </c>
    </row>
    <row r="25" spans="1:9" ht="50.25" customHeight="1" thickBot="1" x14ac:dyDescent="0.25">
      <c r="A25" s="38">
        <v>16</v>
      </c>
      <c r="B25" s="42" t="s">
        <v>97</v>
      </c>
      <c r="C25" s="39" t="s">
        <v>64</v>
      </c>
      <c r="D25" s="40">
        <v>252</v>
      </c>
      <c r="E25" s="41" t="s">
        <v>98</v>
      </c>
      <c r="F25" s="42" t="s">
        <v>66</v>
      </c>
      <c r="G25" s="42">
        <v>7200</v>
      </c>
      <c r="H25" s="43">
        <v>145</v>
      </c>
      <c r="I25" s="44">
        <f t="shared" si="0"/>
        <v>1044000</v>
      </c>
    </row>
    <row r="26" spans="1:9" ht="51" customHeight="1" thickBot="1" x14ac:dyDescent="0.25">
      <c r="A26" s="38">
        <v>17</v>
      </c>
      <c r="B26" s="42" t="s">
        <v>99</v>
      </c>
      <c r="C26" s="39" t="s">
        <v>64</v>
      </c>
      <c r="D26" s="40">
        <v>252</v>
      </c>
      <c r="E26" s="41" t="s">
        <v>100</v>
      </c>
      <c r="F26" s="42" t="s">
        <v>66</v>
      </c>
      <c r="G26" s="42">
        <v>1800</v>
      </c>
      <c r="H26" s="43">
        <v>144</v>
      </c>
      <c r="I26" s="44">
        <f t="shared" si="0"/>
        <v>259200</v>
      </c>
    </row>
    <row r="27" spans="1:9" ht="53.25" customHeight="1" thickBot="1" x14ac:dyDescent="0.25">
      <c r="A27" s="38">
        <v>18</v>
      </c>
      <c r="B27" s="42" t="s">
        <v>101</v>
      </c>
      <c r="C27" s="39" t="s">
        <v>64</v>
      </c>
      <c r="D27" s="40">
        <v>252</v>
      </c>
      <c r="E27" s="41" t="s">
        <v>102</v>
      </c>
      <c r="F27" s="42" t="s">
        <v>66</v>
      </c>
      <c r="G27" s="42">
        <v>2400</v>
      </c>
      <c r="H27" s="43">
        <v>105</v>
      </c>
      <c r="I27" s="44">
        <f t="shared" si="0"/>
        <v>252000</v>
      </c>
    </row>
    <row r="28" spans="1:9" ht="52.5" customHeight="1" thickBot="1" x14ac:dyDescent="0.25">
      <c r="A28" s="38">
        <v>19</v>
      </c>
      <c r="B28" s="42" t="s">
        <v>103</v>
      </c>
      <c r="C28" s="39" t="s">
        <v>64</v>
      </c>
      <c r="D28" s="40">
        <v>252</v>
      </c>
      <c r="E28" s="41" t="s">
        <v>104</v>
      </c>
      <c r="F28" s="42" t="s">
        <v>105</v>
      </c>
      <c r="G28" s="42">
        <v>7200</v>
      </c>
      <c r="H28" s="43">
        <v>135</v>
      </c>
      <c r="I28" s="44">
        <f t="shared" si="0"/>
        <v>972000</v>
      </c>
    </row>
    <row r="29" spans="1:9" ht="52.5" customHeight="1" thickBot="1" x14ac:dyDescent="0.25">
      <c r="A29" s="38">
        <v>20</v>
      </c>
      <c r="B29" s="42" t="s">
        <v>106</v>
      </c>
      <c r="C29" s="39" t="s">
        <v>64</v>
      </c>
      <c r="D29" s="40">
        <v>252</v>
      </c>
      <c r="E29" s="41" t="s">
        <v>107</v>
      </c>
      <c r="F29" s="42" t="s">
        <v>69</v>
      </c>
      <c r="G29" s="42">
        <v>900</v>
      </c>
      <c r="H29" s="43">
        <v>11.5</v>
      </c>
      <c r="I29" s="44">
        <f t="shared" si="0"/>
        <v>10350</v>
      </c>
    </row>
    <row r="30" spans="1:9" ht="55.5" customHeight="1" thickBot="1" x14ac:dyDescent="0.25">
      <c r="A30" s="38">
        <v>21</v>
      </c>
      <c r="B30" s="42" t="s">
        <v>108</v>
      </c>
      <c r="C30" s="39" t="s">
        <v>64</v>
      </c>
      <c r="D30" s="40">
        <v>252</v>
      </c>
      <c r="E30" s="41" t="s">
        <v>109</v>
      </c>
      <c r="F30" s="42" t="s">
        <v>69</v>
      </c>
      <c r="G30" s="42">
        <v>2000</v>
      </c>
      <c r="H30" s="43">
        <v>35</v>
      </c>
      <c r="I30" s="44">
        <f t="shared" si="0"/>
        <v>70000</v>
      </c>
    </row>
    <row r="31" spans="1:9" ht="56.25" customHeight="1" thickBot="1" x14ac:dyDescent="0.25">
      <c r="A31" s="38">
        <v>22</v>
      </c>
      <c r="B31" s="42" t="s">
        <v>110</v>
      </c>
      <c r="C31" s="39" t="s">
        <v>64</v>
      </c>
      <c r="D31" s="40">
        <v>252</v>
      </c>
      <c r="E31" s="41" t="s">
        <v>111</v>
      </c>
      <c r="F31" s="42" t="s">
        <v>66</v>
      </c>
      <c r="G31" s="42">
        <v>6000</v>
      </c>
      <c r="H31" s="43">
        <v>85</v>
      </c>
      <c r="I31" s="44">
        <f t="shared" si="0"/>
        <v>510000</v>
      </c>
    </row>
    <row r="32" spans="1:9" ht="48" customHeight="1" thickBot="1" x14ac:dyDescent="0.25">
      <c r="A32" s="38">
        <v>23</v>
      </c>
      <c r="B32" s="42" t="s">
        <v>112</v>
      </c>
      <c r="C32" s="39" t="s">
        <v>64</v>
      </c>
      <c r="D32" s="40">
        <v>252</v>
      </c>
      <c r="E32" s="41" t="s">
        <v>113</v>
      </c>
      <c r="F32" s="42" t="s">
        <v>84</v>
      </c>
      <c r="G32" s="42">
        <v>900</v>
      </c>
      <c r="H32" s="43">
        <v>1850</v>
      </c>
      <c r="I32" s="44">
        <f t="shared" si="0"/>
        <v>1665000</v>
      </c>
    </row>
    <row r="33" spans="1:9" ht="60.75" customHeight="1" thickBot="1" x14ac:dyDescent="0.25">
      <c r="A33" s="38">
        <v>24</v>
      </c>
      <c r="B33" s="42" t="s">
        <v>114</v>
      </c>
      <c r="C33" s="39" t="s">
        <v>64</v>
      </c>
      <c r="D33" s="40">
        <v>252</v>
      </c>
      <c r="E33" s="41" t="s">
        <v>115</v>
      </c>
      <c r="F33" s="42" t="s">
        <v>69</v>
      </c>
      <c r="G33" s="42">
        <v>600</v>
      </c>
      <c r="H33" s="43">
        <v>15.8</v>
      </c>
      <c r="I33" s="44">
        <f t="shared" si="0"/>
        <v>9480</v>
      </c>
    </row>
    <row r="34" spans="1:9" ht="55.5" customHeight="1" thickBot="1" x14ac:dyDescent="0.25">
      <c r="A34" s="38">
        <v>25</v>
      </c>
      <c r="B34" s="42" t="s">
        <v>116</v>
      </c>
      <c r="C34" s="39" t="s">
        <v>64</v>
      </c>
      <c r="D34" s="40">
        <v>252</v>
      </c>
      <c r="E34" s="41" t="s">
        <v>117</v>
      </c>
      <c r="F34" s="42" t="s">
        <v>69</v>
      </c>
      <c r="G34" s="42">
        <v>2000</v>
      </c>
      <c r="H34" s="43">
        <v>3.05</v>
      </c>
      <c r="I34" s="44">
        <f t="shared" si="0"/>
        <v>6100</v>
      </c>
    </row>
    <row r="35" spans="1:9" ht="56.25" customHeight="1" thickBot="1" x14ac:dyDescent="0.25">
      <c r="A35" s="38">
        <v>26</v>
      </c>
      <c r="B35" s="42" t="s">
        <v>118</v>
      </c>
      <c r="C35" s="39" t="s">
        <v>64</v>
      </c>
      <c r="D35" s="40">
        <v>252</v>
      </c>
      <c r="E35" s="41" t="s">
        <v>119</v>
      </c>
      <c r="F35" s="42" t="s">
        <v>66</v>
      </c>
      <c r="G35" s="42">
        <v>18000</v>
      </c>
      <c r="H35" s="43">
        <v>35.9</v>
      </c>
      <c r="I35" s="44">
        <f t="shared" si="0"/>
        <v>646200</v>
      </c>
    </row>
    <row r="36" spans="1:9" ht="57" customHeight="1" thickBot="1" x14ac:dyDescent="0.25">
      <c r="A36" s="38">
        <v>27</v>
      </c>
      <c r="B36" s="42" t="s">
        <v>120</v>
      </c>
      <c r="C36" s="39" t="s">
        <v>64</v>
      </c>
      <c r="D36" s="40">
        <v>252</v>
      </c>
      <c r="E36" s="41" t="s">
        <v>121</v>
      </c>
      <c r="F36" s="42" t="s">
        <v>66</v>
      </c>
      <c r="G36" s="42">
        <v>8000</v>
      </c>
      <c r="H36" s="43">
        <v>38.5</v>
      </c>
      <c r="I36" s="44">
        <f t="shared" si="0"/>
        <v>308000</v>
      </c>
    </row>
    <row r="37" spans="1:9" ht="54.75" customHeight="1" thickBot="1" x14ac:dyDescent="0.25">
      <c r="A37" s="38">
        <v>28</v>
      </c>
      <c r="B37" s="42" t="s">
        <v>122</v>
      </c>
      <c r="C37" s="39" t="s">
        <v>64</v>
      </c>
      <c r="D37" s="40">
        <v>252</v>
      </c>
      <c r="E37" s="41" t="s">
        <v>123</v>
      </c>
      <c r="F37" s="42" t="s">
        <v>66</v>
      </c>
      <c r="G37" s="42">
        <v>50</v>
      </c>
      <c r="H37" s="43">
        <v>580</v>
      </c>
      <c r="I37" s="44">
        <f t="shared" si="0"/>
        <v>29000</v>
      </c>
    </row>
    <row r="38" spans="1:9" ht="31.9" customHeight="1" thickBot="1" x14ac:dyDescent="0.25">
      <c r="A38" s="38">
        <v>29</v>
      </c>
      <c r="B38" s="42" t="s">
        <v>124</v>
      </c>
      <c r="C38" s="39" t="s">
        <v>64</v>
      </c>
      <c r="D38" s="40">
        <v>252</v>
      </c>
      <c r="E38" s="41" t="s">
        <v>125</v>
      </c>
      <c r="F38" s="42" t="s">
        <v>66</v>
      </c>
      <c r="G38" s="42">
        <v>1500</v>
      </c>
      <c r="H38" s="43">
        <v>42</v>
      </c>
      <c r="I38" s="44">
        <f t="shared" si="0"/>
        <v>63000</v>
      </c>
    </row>
    <row r="39" spans="1:9" ht="31.9" customHeight="1" thickBot="1" x14ac:dyDescent="0.25">
      <c r="A39" s="38">
        <v>30</v>
      </c>
      <c r="B39" s="42" t="s">
        <v>126</v>
      </c>
      <c r="C39" s="39" t="s">
        <v>64</v>
      </c>
      <c r="D39" s="40">
        <v>252</v>
      </c>
      <c r="E39" s="41" t="s">
        <v>127</v>
      </c>
      <c r="F39" s="42" t="s">
        <v>69</v>
      </c>
      <c r="G39" s="42">
        <v>300</v>
      </c>
      <c r="H39" s="43">
        <v>4.8</v>
      </c>
      <c r="I39" s="44">
        <f t="shared" si="0"/>
        <v>1440</v>
      </c>
    </row>
    <row r="40" spans="1:9" ht="31.9" customHeight="1" thickBot="1" x14ac:dyDescent="0.25">
      <c r="A40" s="38">
        <v>31</v>
      </c>
      <c r="B40" s="42" t="s">
        <v>128</v>
      </c>
      <c r="C40" s="39" t="s">
        <v>64</v>
      </c>
      <c r="D40" s="40">
        <v>252</v>
      </c>
      <c r="E40" s="41" t="s">
        <v>129</v>
      </c>
      <c r="F40" s="42" t="s">
        <v>130</v>
      </c>
      <c r="G40" s="42">
        <v>30</v>
      </c>
      <c r="H40" s="43">
        <v>125640</v>
      </c>
      <c r="I40" s="44">
        <f t="shared" si="0"/>
        <v>3769200</v>
      </c>
    </row>
    <row r="41" spans="1:9" ht="64.5" customHeight="1" thickBot="1" x14ac:dyDescent="0.25">
      <c r="A41" s="38">
        <v>32</v>
      </c>
      <c r="B41" s="42" t="s">
        <v>131</v>
      </c>
      <c r="C41" s="39" t="s">
        <v>64</v>
      </c>
      <c r="D41" s="40">
        <v>252</v>
      </c>
      <c r="E41" s="41" t="s">
        <v>132</v>
      </c>
      <c r="F41" s="42" t="s">
        <v>69</v>
      </c>
      <c r="G41" s="42">
        <v>50</v>
      </c>
      <c r="H41" s="43">
        <v>110</v>
      </c>
      <c r="I41" s="44">
        <f t="shared" si="0"/>
        <v>5500</v>
      </c>
    </row>
    <row r="42" spans="1:9" ht="51.75" customHeight="1" thickBot="1" x14ac:dyDescent="0.25">
      <c r="A42" s="38">
        <v>33</v>
      </c>
      <c r="B42" s="42" t="s">
        <v>133</v>
      </c>
      <c r="C42" s="39" t="s">
        <v>64</v>
      </c>
      <c r="D42" s="40">
        <v>252</v>
      </c>
      <c r="E42" s="41" t="s">
        <v>134</v>
      </c>
      <c r="F42" s="42" t="s">
        <v>66</v>
      </c>
      <c r="G42" s="42">
        <v>100</v>
      </c>
      <c r="H42" s="43">
        <v>2300</v>
      </c>
      <c r="I42" s="44">
        <f t="shared" si="0"/>
        <v>230000</v>
      </c>
    </row>
    <row r="43" spans="1:9" ht="43.5" customHeight="1" thickBot="1" x14ac:dyDescent="0.25">
      <c r="A43" s="38">
        <v>34</v>
      </c>
      <c r="B43" s="42" t="s">
        <v>135</v>
      </c>
      <c r="C43" s="39" t="s">
        <v>64</v>
      </c>
      <c r="D43" s="40">
        <v>252</v>
      </c>
      <c r="E43" s="41" t="s">
        <v>136</v>
      </c>
      <c r="F43" s="42" t="s">
        <v>66</v>
      </c>
      <c r="G43" s="42">
        <v>25000</v>
      </c>
      <c r="H43" s="43">
        <v>59</v>
      </c>
      <c r="I43" s="44">
        <f t="shared" si="0"/>
        <v>1475000</v>
      </c>
    </row>
    <row r="44" spans="1:9" ht="54.75" customHeight="1" thickBot="1" x14ac:dyDescent="0.25">
      <c r="A44" s="38">
        <v>35</v>
      </c>
      <c r="B44" s="42" t="s">
        <v>137</v>
      </c>
      <c r="C44" s="39" t="s">
        <v>64</v>
      </c>
      <c r="D44" s="40">
        <v>252</v>
      </c>
      <c r="E44" s="41" t="s">
        <v>138</v>
      </c>
      <c r="F44" s="42" t="s">
        <v>66</v>
      </c>
      <c r="G44" s="42">
        <v>5000</v>
      </c>
      <c r="H44" s="43">
        <v>33</v>
      </c>
      <c r="I44" s="44">
        <f t="shared" si="0"/>
        <v>165000</v>
      </c>
    </row>
    <row r="45" spans="1:9" ht="49.5" customHeight="1" thickBot="1" x14ac:dyDescent="0.25">
      <c r="A45" s="38">
        <v>36</v>
      </c>
      <c r="B45" s="42" t="s">
        <v>139</v>
      </c>
      <c r="C45" s="39" t="s">
        <v>64</v>
      </c>
      <c r="D45" s="40">
        <v>252</v>
      </c>
      <c r="E45" s="41" t="s">
        <v>140</v>
      </c>
      <c r="F45" s="42" t="s">
        <v>66</v>
      </c>
      <c r="G45" s="42">
        <v>50</v>
      </c>
      <c r="H45" s="43">
        <v>325</v>
      </c>
      <c r="I45" s="44">
        <f t="shared" si="0"/>
        <v>16250</v>
      </c>
    </row>
    <row r="46" spans="1:9" ht="56.25" customHeight="1" thickBot="1" x14ac:dyDescent="0.25">
      <c r="A46" s="38">
        <v>37</v>
      </c>
      <c r="B46" s="42" t="s">
        <v>141</v>
      </c>
      <c r="C46" s="39" t="s">
        <v>64</v>
      </c>
      <c r="D46" s="40">
        <v>252</v>
      </c>
      <c r="E46" s="41" t="s">
        <v>142</v>
      </c>
      <c r="F46" s="42" t="s">
        <v>66</v>
      </c>
      <c r="G46" s="42">
        <v>50</v>
      </c>
      <c r="H46" s="43">
        <v>493</v>
      </c>
      <c r="I46" s="44">
        <f t="shared" si="0"/>
        <v>24650</v>
      </c>
    </row>
    <row r="47" spans="1:9" ht="60" customHeight="1" thickBot="1" x14ac:dyDescent="0.25">
      <c r="A47" s="38">
        <v>38</v>
      </c>
      <c r="B47" s="42" t="s">
        <v>143</v>
      </c>
      <c r="C47" s="39" t="s">
        <v>64</v>
      </c>
      <c r="D47" s="40">
        <v>252</v>
      </c>
      <c r="E47" s="41" t="s">
        <v>144</v>
      </c>
      <c r="F47" s="42" t="s">
        <v>130</v>
      </c>
      <c r="G47" s="42">
        <v>20</v>
      </c>
      <c r="H47" s="43">
        <v>845</v>
      </c>
      <c r="I47" s="44">
        <f t="shared" si="0"/>
        <v>16900</v>
      </c>
    </row>
    <row r="48" spans="1:9" ht="57" customHeight="1" thickBot="1" x14ac:dyDescent="0.25">
      <c r="A48" s="38">
        <v>39</v>
      </c>
      <c r="B48" s="42" t="s">
        <v>145</v>
      </c>
      <c r="C48" s="39" t="s">
        <v>64</v>
      </c>
      <c r="D48" s="40">
        <v>252</v>
      </c>
      <c r="E48" s="41" t="s">
        <v>146</v>
      </c>
      <c r="F48" s="42" t="s">
        <v>130</v>
      </c>
      <c r="G48" s="42">
        <v>600</v>
      </c>
      <c r="H48" s="43">
        <v>112</v>
      </c>
      <c r="I48" s="44">
        <f t="shared" si="0"/>
        <v>67200</v>
      </c>
    </row>
    <row r="49" spans="1:9" ht="66.75" customHeight="1" thickBot="1" x14ac:dyDescent="0.25">
      <c r="A49" s="38">
        <v>40</v>
      </c>
      <c r="B49" s="42" t="s">
        <v>147</v>
      </c>
      <c r="C49" s="39" t="s">
        <v>64</v>
      </c>
      <c r="D49" s="40">
        <v>252</v>
      </c>
      <c r="E49" s="41" t="s">
        <v>148</v>
      </c>
      <c r="F49" s="42" t="s">
        <v>130</v>
      </c>
      <c r="G49" s="42">
        <v>50</v>
      </c>
      <c r="H49" s="43">
        <v>245</v>
      </c>
      <c r="I49" s="44">
        <f t="shared" si="0"/>
        <v>12250</v>
      </c>
    </row>
    <row r="50" spans="1:9" ht="57.75" customHeight="1" thickBot="1" x14ac:dyDescent="0.25">
      <c r="A50" s="38">
        <v>41</v>
      </c>
      <c r="B50" s="42" t="s">
        <v>149</v>
      </c>
      <c r="C50" s="39" t="s">
        <v>64</v>
      </c>
      <c r="D50" s="40">
        <v>252</v>
      </c>
      <c r="E50" s="41" t="s">
        <v>150</v>
      </c>
      <c r="F50" s="42" t="s">
        <v>84</v>
      </c>
      <c r="G50" s="42">
        <v>60</v>
      </c>
      <c r="H50" s="43">
        <v>1815</v>
      </c>
      <c r="I50" s="44">
        <f t="shared" si="0"/>
        <v>108900</v>
      </c>
    </row>
    <row r="51" spans="1:9" ht="55.5" customHeight="1" thickBot="1" x14ac:dyDescent="0.25">
      <c r="A51" s="38">
        <v>42</v>
      </c>
      <c r="B51" s="42" t="s">
        <v>151</v>
      </c>
      <c r="C51" s="39" t="s">
        <v>64</v>
      </c>
      <c r="D51" s="40">
        <v>252</v>
      </c>
      <c r="E51" s="41" t="s">
        <v>152</v>
      </c>
      <c r="F51" s="42" t="s">
        <v>66</v>
      </c>
      <c r="G51" s="42">
        <v>500</v>
      </c>
      <c r="H51" s="43">
        <v>590</v>
      </c>
      <c r="I51" s="44">
        <f t="shared" si="0"/>
        <v>295000</v>
      </c>
    </row>
    <row r="52" spans="1:9" ht="70.5" customHeight="1" thickBot="1" x14ac:dyDescent="0.25">
      <c r="A52" s="38">
        <v>43</v>
      </c>
      <c r="B52" s="42" t="s">
        <v>153</v>
      </c>
      <c r="C52" s="39" t="s">
        <v>64</v>
      </c>
      <c r="D52" s="40">
        <v>252</v>
      </c>
      <c r="E52" s="41" t="s">
        <v>154</v>
      </c>
      <c r="F52" s="42" t="s">
        <v>130</v>
      </c>
      <c r="G52" s="42">
        <v>7500</v>
      </c>
      <c r="H52" s="43">
        <v>138</v>
      </c>
      <c r="I52" s="44">
        <f t="shared" si="0"/>
        <v>1035000</v>
      </c>
    </row>
    <row r="53" spans="1:9" ht="60.75" customHeight="1" thickBot="1" x14ac:dyDescent="0.25">
      <c r="A53" s="38">
        <v>44</v>
      </c>
      <c r="B53" s="42" t="s">
        <v>155</v>
      </c>
      <c r="C53" s="39" t="s">
        <v>64</v>
      </c>
      <c r="D53" s="40">
        <v>252</v>
      </c>
      <c r="E53" s="41" t="s">
        <v>156</v>
      </c>
      <c r="F53" s="42" t="s">
        <v>66</v>
      </c>
      <c r="G53" s="42">
        <v>4200</v>
      </c>
      <c r="H53" s="43">
        <v>66</v>
      </c>
      <c r="I53" s="44">
        <f t="shared" si="0"/>
        <v>277200</v>
      </c>
    </row>
    <row r="54" spans="1:9" ht="58.5" customHeight="1" thickBot="1" x14ac:dyDescent="0.25">
      <c r="A54" s="38">
        <v>45</v>
      </c>
      <c r="B54" s="42" t="s">
        <v>157</v>
      </c>
      <c r="C54" s="39" t="s">
        <v>64</v>
      </c>
      <c r="D54" s="40">
        <v>252</v>
      </c>
      <c r="E54" s="41" t="s">
        <v>158</v>
      </c>
      <c r="F54" s="42" t="s">
        <v>66</v>
      </c>
      <c r="G54" s="42">
        <v>2000</v>
      </c>
      <c r="H54" s="43">
        <v>72</v>
      </c>
      <c r="I54" s="44">
        <f t="shared" si="0"/>
        <v>144000</v>
      </c>
    </row>
    <row r="55" spans="1:9" ht="51" customHeight="1" thickBot="1" x14ac:dyDescent="0.25">
      <c r="A55" s="38">
        <v>46</v>
      </c>
      <c r="B55" s="42" t="s">
        <v>159</v>
      </c>
      <c r="C55" s="39" t="s">
        <v>64</v>
      </c>
      <c r="D55" s="40">
        <v>252</v>
      </c>
      <c r="E55" s="41" t="s">
        <v>160</v>
      </c>
      <c r="F55" s="42" t="s">
        <v>69</v>
      </c>
      <c r="G55" s="42">
        <v>300</v>
      </c>
      <c r="H55" s="43">
        <v>16.8</v>
      </c>
      <c r="I55" s="44">
        <f t="shared" si="0"/>
        <v>5040</v>
      </c>
    </row>
    <row r="56" spans="1:9" ht="46.5" customHeight="1" thickBot="1" x14ac:dyDescent="0.25">
      <c r="A56" s="38">
        <v>47</v>
      </c>
      <c r="B56" s="42" t="s">
        <v>161</v>
      </c>
      <c r="C56" s="39" t="s">
        <v>64</v>
      </c>
      <c r="D56" s="40">
        <v>252</v>
      </c>
      <c r="E56" s="41" t="s">
        <v>162</v>
      </c>
      <c r="F56" s="42" t="s">
        <v>69</v>
      </c>
      <c r="G56" s="42">
        <v>15000</v>
      </c>
      <c r="H56" s="43">
        <v>9.8000000000000007</v>
      </c>
      <c r="I56" s="44">
        <f t="shared" si="0"/>
        <v>147000</v>
      </c>
    </row>
    <row r="57" spans="1:9" ht="50.25" customHeight="1" thickBot="1" x14ac:dyDescent="0.25">
      <c r="A57" s="38">
        <v>48</v>
      </c>
      <c r="B57" s="42" t="s">
        <v>163</v>
      </c>
      <c r="C57" s="39" t="s">
        <v>64</v>
      </c>
      <c r="D57" s="40">
        <v>252</v>
      </c>
      <c r="E57" s="41" t="s">
        <v>164</v>
      </c>
      <c r="F57" s="42" t="s">
        <v>66</v>
      </c>
      <c r="G57" s="42">
        <v>300</v>
      </c>
      <c r="H57" s="43">
        <v>980</v>
      </c>
      <c r="I57" s="44">
        <f t="shared" si="0"/>
        <v>294000</v>
      </c>
    </row>
    <row r="58" spans="1:9" ht="54.75" customHeight="1" thickBot="1" x14ac:dyDescent="0.25">
      <c r="A58" s="38">
        <v>49</v>
      </c>
      <c r="B58" s="42" t="s">
        <v>165</v>
      </c>
      <c r="C58" s="39" t="s">
        <v>64</v>
      </c>
      <c r="D58" s="40">
        <v>252</v>
      </c>
      <c r="E58" s="41" t="s">
        <v>166</v>
      </c>
      <c r="F58" s="42" t="s">
        <v>69</v>
      </c>
      <c r="G58" s="42">
        <v>5000</v>
      </c>
      <c r="H58" s="43">
        <v>5.3</v>
      </c>
      <c r="I58" s="44">
        <f t="shared" si="0"/>
        <v>26500</v>
      </c>
    </row>
    <row r="59" spans="1:9" ht="62.25" customHeight="1" thickBot="1" x14ac:dyDescent="0.25">
      <c r="A59" s="38">
        <v>50</v>
      </c>
      <c r="B59" s="42" t="s">
        <v>167</v>
      </c>
      <c r="C59" s="39" t="s">
        <v>64</v>
      </c>
      <c r="D59" s="40">
        <v>252</v>
      </c>
      <c r="E59" s="41" t="s">
        <v>168</v>
      </c>
      <c r="F59" s="42" t="s">
        <v>66</v>
      </c>
      <c r="G59" s="42">
        <v>1200</v>
      </c>
      <c r="H59" s="43">
        <v>145</v>
      </c>
      <c r="I59" s="44">
        <f t="shared" si="0"/>
        <v>174000</v>
      </c>
    </row>
    <row r="60" spans="1:9" ht="56.25" customHeight="1" thickBot="1" x14ac:dyDescent="0.25">
      <c r="A60" s="38">
        <v>51</v>
      </c>
      <c r="B60" s="42" t="s">
        <v>169</v>
      </c>
      <c r="C60" s="39" t="s">
        <v>64</v>
      </c>
      <c r="D60" s="40">
        <v>252</v>
      </c>
      <c r="E60" s="41" t="s">
        <v>170</v>
      </c>
      <c r="F60" s="42" t="s">
        <v>130</v>
      </c>
      <c r="G60" s="42">
        <v>15</v>
      </c>
      <c r="H60" s="43">
        <v>958</v>
      </c>
      <c r="I60" s="44">
        <f t="shared" si="0"/>
        <v>14370</v>
      </c>
    </row>
    <row r="61" spans="1:9" ht="43.5" customHeight="1" thickBot="1" x14ac:dyDescent="0.25">
      <c r="A61" s="38">
        <v>52</v>
      </c>
      <c r="B61" s="42" t="s">
        <v>171</v>
      </c>
      <c r="C61" s="39" t="s">
        <v>64</v>
      </c>
      <c r="D61" s="40">
        <v>252</v>
      </c>
      <c r="E61" s="41" t="s">
        <v>172</v>
      </c>
      <c r="F61" s="42" t="s">
        <v>130</v>
      </c>
      <c r="G61" s="42">
        <v>15</v>
      </c>
      <c r="H61" s="43">
        <v>345</v>
      </c>
      <c r="I61" s="44">
        <f t="shared" si="0"/>
        <v>5175</v>
      </c>
    </row>
    <row r="62" spans="1:9" ht="45.75" customHeight="1" thickBot="1" x14ac:dyDescent="0.25">
      <c r="A62" s="38">
        <v>53</v>
      </c>
      <c r="B62" s="42" t="s">
        <v>173</v>
      </c>
      <c r="C62" s="39" t="s">
        <v>64</v>
      </c>
      <c r="D62" s="40">
        <v>252</v>
      </c>
      <c r="E62" s="41" t="s">
        <v>174</v>
      </c>
      <c r="F62" s="42" t="s">
        <v>130</v>
      </c>
      <c r="G62" s="42">
        <v>4</v>
      </c>
      <c r="H62" s="43">
        <v>7934</v>
      </c>
      <c r="I62" s="44">
        <f t="shared" si="0"/>
        <v>31736</v>
      </c>
    </row>
    <row r="63" spans="1:9" ht="54.75" customHeight="1" thickBot="1" x14ac:dyDescent="0.25">
      <c r="A63" s="38">
        <v>54</v>
      </c>
      <c r="B63" s="42" t="s">
        <v>175</v>
      </c>
      <c r="C63" s="39" t="s">
        <v>64</v>
      </c>
      <c r="D63" s="40">
        <v>252</v>
      </c>
      <c r="E63" s="41" t="s">
        <v>176</v>
      </c>
      <c r="F63" s="42" t="s">
        <v>177</v>
      </c>
      <c r="G63" s="42">
        <v>40</v>
      </c>
      <c r="H63" s="43">
        <v>37</v>
      </c>
      <c r="I63" s="44">
        <f t="shared" si="0"/>
        <v>1480</v>
      </c>
    </row>
    <row r="64" spans="1:9" ht="61.5" customHeight="1" thickBot="1" x14ac:dyDescent="0.25">
      <c r="A64" s="38">
        <v>55</v>
      </c>
      <c r="B64" s="42" t="s">
        <v>178</v>
      </c>
      <c r="C64" s="39" t="s">
        <v>64</v>
      </c>
      <c r="D64" s="40">
        <v>252</v>
      </c>
      <c r="E64" s="41" t="s">
        <v>179</v>
      </c>
      <c r="F64" s="42" t="s">
        <v>66</v>
      </c>
      <c r="G64" s="42">
        <v>100</v>
      </c>
      <c r="H64" s="43">
        <v>1360</v>
      </c>
      <c r="I64" s="44">
        <f t="shared" si="0"/>
        <v>136000</v>
      </c>
    </row>
    <row r="65" spans="1:9" ht="60.75" customHeight="1" thickBot="1" x14ac:dyDescent="0.25">
      <c r="A65" s="38">
        <v>56</v>
      </c>
      <c r="B65" s="42" t="s">
        <v>180</v>
      </c>
      <c r="C65" s="39" t="s">
        <v>64</v>
      </c>
      <c r="D65" s="40">
        <v>252</v>
      </c>
      <c r="E65" s="41" t="s">
        <v>181</v>
      </c>
      <c r="F65" s="42" t="s">
        <v>84</v>
      </c>
      <c r="G65" s="42">
        <v>100</v>
      </c>
      <c r="H65" s="43">
        <v>15580</v>
      </c>
      <c r="I65" s="44">
        <f t="shared" si="0"/>
        <v>1558000</v>
      </c>
    </row>
    <row r="66" spans="1:9" ht="60" customHeight="1" thickBot="1" x14ac:dyDescent="0.25">
      <c r="A66" s="38">
        <v>57</v>
      </c>
      <c r="B66" s="42" t="s">
        <v>182</v>
      </c>
      <c r="C66" s="39" t="s">
        <v>64</v>
      </c>
      <c r="D66" s="40">
        <v>252</v>
      </c>
      <c r="E66" s="41" t="s">
        <v>183</v>
      </c>
      <c r="F66" s="42" t="s">
        <v>66</v>
      </c>
      <c r="G66" s="42">
        <v>300</v>
      </c>
      <c r="H66" s="43">
        <v>340</v>
      </c>
      <c r="I66" s="44">
        <f t="shared" si="0"/>
        <v>102000</v>
      </c>
    </row>
    <row r="67" spans="1:9" ht="67.5" customHeight="1" thickBot="1" x14ac:dyDescent="0.25">
      <c r="A67" s="38">
        <v>58</v>
      </c>
      <c r="B67" s="42" t="s">
        <v>184</v>
      </c>
      <c r="C67" s="39" t="s">
        <v>64</v>
      </c>
      <c r="D67" s="40">
        <v>252</v>
      </c>
      <c r="E67" s="41" t="s">
        <v>185</v>
      </c>
      <c r="F67" s="42" t="s">
        <v>66</v>
      </c>
      <c r="G67" s="42">
        <v>200</v>
      </c>
      <c r="H67" s="43">
        <v>1252</v>
      </c>
      <c r="I67" s="44">
        <f t="shared" si="0"/>
        <v>250400</v>
      </c>
    </row>
    <row r="68" spans="1:9" ht="42.75" customHeight="1" thickBot="1" x14ac:dyDescent="0.25">
      <c r="A68" s="38">
        <v>59</v>
      </c>
      <c r="B68" s="42" t="s">
        <v>186</v>
      </c>
      <c r="C68" s="39" t="s">
        <v>64</v>
      </c>
      <c r="D68" s="40">
        <v>252</v>
      </c>
      <c r="E68" s="41" t="s">
        <v>187</v>
      </c>
      <c r="F68" s="42" t="s">
        <v>66</v>
      </c>
      <c r="G68" s="42">
        <v>800</v>
      </c>
      <c r="H68" s="43">
        <v>65</v>
      </c>
      <c r="I68" s="44">
        <f t="shared" si="0"/>
        <v>52000</v>
      </c>
    </row>
    <row r="69" spans="1:9" ht="50.25" customHeight="1" thickBot="1" x14ac:dyDescent="0.25">
      <c r="A69" s="38">
        <v>60</v>
      </c>
      <c r="B69" s="42" t="s">
        <v>188</v>
      </c>
      <c r="C69" s="39" t="s">
        <v>64</v>
      </c>
      <c r="D69" s="40">
        <v>252</v>
      </c>
      <c r="E69" s="41" t="s">
        <v>189</v>
      </c>
      <c r="F69" s="42" t="s">
        <v>66</v>
      </c>
      <c r="G69" s="42">
        <v>100</v>
      </c>
      <c r="H69" s="43">
        <v>864</v>
      </c>
      <c r="I69" s="44">
        <f t="shared" si="0"/>
        <v>86400</v>
      </c>
    </row>
    <row r="70" spans="1:9" ht="13.5" thickBot="1" x14ac:dyDescent="0.25"/>
    <row r="71" spans="1:9" ht="62.25" customHeight="1" thickBot="1" x14ac:dyDescent="0.25">
      <c r="A71" s="60"/>
      <c r="B71" s="71" t="s">
        <v>202</v>
      </c>
      <c r="C71" s="72"/>
      <c r="D71" s="72"/>
      <c r="E71" s="73"/>
      <c r="F71" s="61"/>
      <c r="G71" s="62"/>
      <c r="H71" s="63"/>
      <c r="I71" s="64"/>
    </row>
    <row r="72" spans="1:9" ht="31.9" customHeight="1" thickBot="1" x14ac:dyDescent="0.25">
      <c r="A72" s="60"/>
      <c r="B72" s="74" t="s">
        <v>203</v>
      </c>
      <c r="C72" s="75"/>
      <c r="D72" s="75"/>
      <c r="E72" s="76"/>
      <c r="F72" s="61"/>
      <c r="G72" s="62"/>
      <c r="H72" s="63"/>
      <c r="I72" s="64"/>
    </row>
    <row r="73" spans="1:9" ht="42" customHeight="1" thickBot="1" x14ac:dyDescent="0.25">
      <c r="A73" s="60"/>
      <c r="B73" s="77" t="s">
        <v>204</v>
      </c>
      <c r="C73" s="78"/>
      <c r="D73" s="78"/>
      <c r="E73" s="79"/>
      <c r="F73" s="61"/>
      <c r="G73" s="62"/>
      <c r="H73" s="63"/>
      <c r="I73" s="64"/>
    </row>
    <row r="75" spans="1:9" ht="13.5" thickBot="1" x14ac:dyDescent="0.25"/>
    <row r="76" spans="1:9" x14ac:dyDescent="0.2">
      <c r="B76" s="24" t="s">
        <v>190</v>
      </c>
      <c r="C76" s="25"/>
      <c r="D76" s="25"/>
      <c r="E76" s="26"/>
    </row>
    <row r="77" spans="1:9" ht="5.25" customHeight="1" x14ac:dyDescent="0.2">
      <c r="B77" s="27"/>
      <c r="C77" s="28"/>
      <c r="D77" s="28"/>
      <c r="E77" s="29"/>
    </row>
    <row r="78" spans="1:9" x14ac:dyDescent="0.2">
      <c r="B78" s="30" t="s">
        <v>14</v>
      </c>
      <c r="C78" s="28"/>
      <c r="D78" s="28"/>
      <c r="E78" s="29"/>
    </row>
    <row r="79" spans="1:9" ht="41.25" customHeight="1" x14ac:dyDescent="0.2">
      <c r="B79" s="30"/>
      <c r="C79" s="65" t="s">
        <v>191</v>
      </c>
      <c r="D79" s="65"/>
      <c r="E79" s="65"/>
    </row>
    <row r="80" spans="1:9" x14ac:dyDescent="0.2">
      <c r="B80" s="30" t="s">
        <v>15</v>
      </c>
      <c r="C80" s="28"/>
      <c r="D80" s="28"/>
      <c r="E80" s="29"/>
    </row>
    <row r="81" spans="2:5" x14ac:dyDescent="0.2">
      <c r="B81" s="31"/>
      <c r="C81" s="69"/>
      <c r="D81" s="69"/>
      <c r="E81" s="69"/>
    </row>
    <row r="82" spans="2:5" x14ac:dyDescent="0.2">
      <c r="B82" s="31"/>
      <c r="C82" s="70"/>
      <c r="D82" s="70"/>
      <c r="E82" s="70"/>
    </row>
    <row r="83" spans="2:5" x14ac:dyDescent="0.2">
      <c r="B83" s="30" t="s">
        <v>16</v>
      </c>
      <c r="C83" s="28"/>
      <c r="D83" s="28"/>
      <c r="E83" s="29"/>
    </row>
    <row r="84" spans="2:5" ht="26.25" customHeight="1" x14ac:dyDescent="0.2">
      <c r="B84" s="31"/>
      <c r="C84" s="65"/>
      <c r="D84" s="65"/>
      <c r="E84" s="65"/>
    </row>
    <row r="85" spans="2:5" x14ac:dyDescent="0.2">
      <c r="B85" s="30" t="s">
        <v>17</v>
      </c>
      <c r="C85" s="32"/>
      <c r="D85" s="32"/>
      <c r="E85" s="33"/>
    </row>
    <row r="86" spans="2:5" ht="26.25" customHeight="1" x14ac:dyDescent="0.2">
      <c r="B86" s="31"/>
      <c r="C86" s="67"/>
      <c r="D86" s="67"/>
      <c r="E86" s="67"/>
    </row>
    <row r="87" spans="2:5" x14ac:dyDescent="0.2">
      <c r="B87" s="30" t="s">
        <v>18</v>
      </c>
      <c r="C87" s="28"/>
      <c r="D87" s="28"/>
      <c r="E87" s="29"/>
    </row>
    <row r="88" spans="2:5" ht="23.25" customHeight="1" x14ac:dyDescent="0.2">
      <c r="B88" s="30"/>
      <c r="C88" s="66"/>
      <c r="D88" s="66"/>
      <c r="E88" s="66"/>
    </row>
    <row r="89" spans="2:5" x14ac:dyDescent="0.2">
      <c r="B89" s="34"/>
      <c r="C89" s="35"/>
      <c r="D89" s="35"/>
      <c r="E89" s="36"/>
    </row>
    <row r="91" spans="2:5" x14ac:dyDescent="0.2">
      <c r="B91" s="24" t="s">
        <v>192</v>
      </c>
      <c r="C91" s="25"/>
      <c r="D91" s="25"/>
      <c r="E91" s="26"/>
    </row>
    <row r="92" spans="2:5" ht="7.5" customHeight="1" x14ac:dyDescent="0.2">
      <c r="B92" s="27"/>
      <c r="C92" s="28"/>
      <c r="D92" s="28"/>
      <c r="E92" s="29"/>
    </row>
    <row r="93" spans="2:5" x14ac:dyDescent="0.2">
      <c r="B93" s="30" t="s">
        <v>14</v>
      </c>
      <c r="C93" s="28"/>
      <c r="D93" s="28"/>
      <c r="E93" s="29"/>
    </row>
    <row r="94" spans="2:5" ht="39" customHeight="1" x14ac:dyDescent="0.2">
      <c r="B94" s="30"/>
      <c r="C94" s="65" t="s">
        <v>194</v>
      </c>
      <c r="D94" s="65"/>
      <c r="E94" s="65"/>
    </row>
    <row r="95" spans="2:5" x14ac:dyDescent="0.2">
      <c r="B95" s="30" t="s">
        <v>15</v>
      </c>
      <c r="C95" s="28"/>
      <c r="D95" s="28"/>
      <c r="E95" s="29"/>
    </row>
    <row r="96" spans="2:5" x14ac:dyDescent="0.2">
      <c r="B96" s="31"/>
      <c r="C96" s="66"/>
      <c r="D96" s="66"/>
      <c r="E96" s="66"/>
    </row>
    <row r="97" spans="2:5" x14ac:dyDescent="0.2">
      <c r="B97" s="31"/>
      <c r="C97" s="66"/>
      <c r="D97" s="66"/>
      <c r="E97" s="66"/>
    </row>
    <row r="98" spans="2:5" x14ac:dyDescent="0.2">
      <c r="B98" s="30" t="s">
        <v>16</v>
      </c>
      <c r="C98" s="28"/>
      <c r="D98" s="28"/>
      <c r="E98" s="29"/>
    </row>
    <row r="99" spans="2:5" x14ac:dyDescent="0.2">
      <c r="B99" s="31"/>
      <c r="C99" s="65"/>
      <c r="D99" s="65"/>
      <c r="E99" s="65"/>
    </row>
    <row r="100" spans="2:5" x14ac:dyDescent="0.2">
      <c r="B100" s="30" t="s">
        <v>17</v>
      </c>
      <c r="C100" s="32"/>
      <c r="D100" s="32"/>
      <c r="E100" s="33"/>
    </row>
    <row r="101" spans="2:5" x14ac:dyDescent="0.2">
      <c r="B101" s="31"/>
      <c r="C101" s="65"/>
      <c r="D101" s="65"/>
      <c r="E101" s="65"/>
    </row>
    <row r="102" spans="2:5" x14ac:dyDescent="0.2">
      <c r="B102" s="30" t="s">
        <v>18</v>
      </c>
      <c r="C102" s="28"/>
      <c r="D102" s="28"/>
      <c r="E102" s="29"/>
    </row>
    <row r="103" spans="2:5" x14ac:dyDescent="0.2">
      <c r="B103" s="30"/>
      <c r="C103" s="66"/>
      <c r="D103" s="66"/>
      <c r="E103" s="66"/>
    </row>
    <row r="104" spans="2:5" x14ac:dyDescent="0.2">
      <c r="B104" s="34"/>
      <c r="C104" s="35"/>
      <c r="D104" s="35"/>
      <c r="E104" s="36"/>
    </row>
    <row r="105" spans="2:5" ht="13.5" thickBot="1" x14ac:dyDescent="0.25"/>
    <row r="106" spans="2:5" x14ac:dyDescent="0.2">
      <c r="B106" s="24" t="s">
        <v>195</v>
      </c>
      <c r="C106" s="25"/>
      <c r="D106" s="25"/>
      <c r="E106" s="26"/>
    </row>
    <row r="107" spans="2:5" ht="7.5" customHeight="1" x14ac:dyDescent="0.2">
      <c r="B107" s="27"/>
      <c r="C107" s="28"/>
      <c r="D107" s="28"/>
      <c r="E107" s="29"/>
    </row>
    <row r="108" spans="2:5" x14ac:dyDescent="0.2">
      <c r="B108" s="30" t="s">
        <v>14</v>
      </c>
      <c r="C108" s="28"/>
      <c r="D108" s="28"/>
      <c r="E108" s="29"/>
    </row>
    <row r="109" spans="2:5" ht="39" customHeight="1" x14ac:dyDescent="0.2">
      <c r="B109" s="30"/>
      <c r="C109" s="65" t="s">
        <v>194</v>
      </c>
      <c r="D109" s="65"/>
      <c r="E109" s="65"/>
    </row>
    <row r="110" spans="2:5" x14ac:dyDescent="0.2">
      <c r="B110" s="30" t="s">
        <v>15</v>
      </c>
      <c r="C110" s="28"/>
      <c r="D110" s="28"/>
      <c r="E110" s="29"/>
    </row>
    <row r="111" spans="2:5" x14ac:dyDescent="0.2">
      <c r="B111" s="31"/>
      <c r="C111" s="66"/>
      <c r="D111" s="66"/>
      <c r="E111" s="66"/>
    </row>
    <row r="112" spans="2:5" x14ac:dyDescent="0.2">
      <c r="B112" s="31"/>
      <c r="C112" s="66"/>
      <c r="D112" s="66"/>
      <c r="E112" s="66"/>
    </row>
    <row r="113" spans="2:5" x14ac:dyDescent="0.2">
      <c r="B113" s="30" t="s">
        <v>16</v>
      </c>
      <c r="C113" s="28"/>
      <c r="D113" s="28"/>
      <c r="E113" s="29"/>
    </row>
    <row r="114" spans="2:5" x14ac:dyDescent="0.2">
      <c r="B114" s="31"/>
      <c r="C114" s="65"/>
      <c r="D114" s="65"/>
      <c r="E114" s="65"/>
    </row>
    <row r="115" spans="2:5" x14ac:dyDescent="0.2">
      <c r="B115" s="30" t="s">
        <v>17</v>
      </c>
      <c r="C115" s="32"/>
      <c r="D115" s="32"/>
      <c r="E115" s="33"/>
    </row>
    <row r="116" spans="2:5" x14ac:dyDescent="0.2">
      <c r="B116" s="31"/>
      <c r="C116" s="65"/>
      <c r="D116" s="65"/>
      <c r="E116" s="65"/>
    </row>
    <row r="117" spans="2:5" x14ac:dyDescent="0.2">
      <c r="B117" s="30" t="s">
        <v>18</v>
      </c>
      <c r="C117" s="28"/>
      <c r="D117" s="28"/>
      <c r="E117" s="29"/>
    </row>
    <row r="118" spans="2:5" x14ac:dyDescent="0.2">
      <c r="B118" s="30"/>
      <c r="C118" s="66"/>
      <c r="D118" s="66"/>
      <c r="E118" s="66"/>
    </row>
    <row r="119" spans="2:5" ht="13.5" thickBot="1" x14ac:dyDescent="0.25">
      <c r="B119" s="34"/>
      <c r="C119" s="35"/>
      <c r="D119" s="35"/>
      <c r="E119" s="36"/>
    </row>
    <row r="120" spans="2:5" ht="13.5" thickBot="1" x14ac:dyDescent="0.25"/>
    <row r="121" spans="2:5" x14ac:dyDescent="0.2">
      <c r="B121" s="24" t="s">
        <v>196</v>
      </c>
      <c r="C121" s="25"/>
      <c r="D121" s="25"/>
      <c r="E121" s="26"/>
    </row>
    <row r="122" spans="2:5" ht="7.5" customHeight="1" x14ac:dyDescent="0.2">
      <c r="B122" s="27"/>
      <c r="C122" s="28"/>
      <c r="D122" s="28"/>
      <c r="E122" s="29"/>
    </row>
    <row r="123" spans="2:5" x14ac:dyDescent="0.2">
      <c r="B123" s="30" t="s">
        <v>14</v>
      </c>
      <c r="C123" s="28"/>
      <c r="D123" s="28"/>
      <c r="E123" s="29"/>
    </row>
    <row r="124" spans="2:5" ht="39" customHeight="1" x14ac:dyDescent="0.2">
      <c r="B124" s="30"/>
      <c r="C124" s="65" t="s">
        <v>197</v>
      </c>
      <c r="D124" s="65"/>
      <c r="E124" s="65"/>
    </row>
    <row r="125" spans="2:5" x14ac:dyDescent="0.2">
      <c r="B125" s="30" t="s">
        <v>15</v>
      </c>
      <c r="C125" s="28"/>
      <c r="D125" s="28"/>
      <c r="E125" s="29"/>
    </row>
    <row r="126" spans="2:5" x14ac:dyDescent="0.2">
      <c r="B126" s="31"/>
      <c r="C126" s="66"/>
      <c r="D126" s="66"/>
      <c r="E126" s="66"/>
    </row>
    <row r="127" spans="2:5" x14ac:dyDescent="0.2">
      <c r="B127" s="31"/>
      <c r="C127" s="66"/>
      <c r="D127" s="66"/>
      <c r="E127" s="66"/>
    </row>
    <row r="128" spans="2:5" x14ac:dyDescent="0.2">
      <c r="B128" s="30" t="s">
        <v>16</v>
      </c>
      <c r="C128" s="28"/>
      <c r="D128" s="28"/>
      <c r="E128" s="29"/>
    </row>
    <row r="129" spans="2:5" x14ac:dyDescent="0.2">
      <c r="B129" s="31"/>
      <c r="C129" s="65"/>
      <c r="D129" s="65"/>
      <c r="E129" s="65"/>
    </row>
    <row r="130" spans="2:5" x14ac:dyDescent="0.2">
      <c r="B130" s="30" t="s">
        <v>17</v>
      </c>
      <c r="C130" s="32"/>
      <c r="D130" s="32"/>
      <c r="E130" s="33"/>
    </row>
    <row r="131" spans="2:5" x14ac:dyDescent="0.2">
      <c r="B131" s="31"/>
      <c r="C131" s="65"/>
      <c r="D131" s="65"/>
      <c r="E131" s="65"/>
    </row>
    <row r="132" spans="2:5" x14ac:dyDescent="0.2">
      <c r="B132" s="30" t="s">
        <v>18</v>
      </c>
      <c r="C132" s="28"/>
      <c r="D132" s="28"/>
      <c r="E132" s="29"/>
    </row>
    <row r="133" spans="2:5" x14ac:dyDescent="0.2">
      <c r="B133" s="30"/>
      <c r="C133" s="66"/>
      <c r="D133" s="66"/>
      <c r="E133" s="66"/>
    </row>
    <row r="134" spans="2:5" ht="13.5" thickBot="1" x14ac:dyDescent="0.25">
      <c r="B134" s="34"/>
      <c r="C134" s="35"/>
      <c r="D134" s="35"/>
      <c r="E134" s="36"/>
    </row>
    <row r="135" spans="2:5" ht="13.5" thickBot="1" x14ac:dyDescent="0.25"/>
    <row r="136" spans="2:5" x14ac:dyDescent="0.2">
      <c r="B136" s="24" t="s">
        <v>193</v>
      </c>
      <c r="C136" s="25"/>
      <c r="D136" s="25"/>
      <c r="E136" s="26"/>
    </row>
    <row r="137" spans="2:5" ht="7.5" customHeight="1" x14ac:dyDescent="0.2">
      <c r="B137" s="27"/>
      <c r="C137" s="28"/>
      <c r="D137" s="28"/>
      <c r="E137" s="29"/>
    </row>
    <row r="138" spans="2:5" x14ac:dyDescent="0.2">
      <c r="B138" s="30" t="s">
        <v>14</v>
      </c>
      <c r="C138" s="28"/>
      <c r="D138" s="28"/>
      <c r="E138" s="29"/>
    </row>
    <row r="139" spans="2:5" ht="39" customHeight="1" x14ac:dyDescent="0.2">
      <c r="B139" s="30"/>
      <c r="C139" s="65" t="s">
        <v>198</v>
      </c>
      <c r="D139" s="65"/>
      <c r="E139" s="65"/>
    </row>
    <row r="140" spans="2:5" x14ac:dyDescent="0.2">
      <c r="B140" s="30" t="s">
        <v>15</v>
      </c>
      <c r="C140" s="28"/>
      <c r="D140" s="28"/>
      <c r="E140" s="29"/>
    </row>
    <row r="141" spans="2:5" x14ac:dyDescent="0.2">
      <c r="B141" s="31"/>
      <c r="C141" s="66"/>
      <c r="D141" s="66"/>
      <c r="E141" s="66"/>
    </row>
    <row r="142" spans="2:5" x14ac:dyDescent="0.2">
      <c r="B142" s="31"/>
      <c r="C142" s="66"/>
      <c r="D142" s="66"/>
      <c r="E142" s="66"/>
    </row>
    <row r="143" spans="2:5" x14ac:dyDescent="0.2">
      <c r="B143" s="30" t="s">
        <v>16</v>
      </c>
      <c r="C143" s="28"/>
      <c r="D143" s="28"/>
      <c r="E143" s="29"/>
    </row>
    <row r="144" spans="2:5" x14ac:dyDescent="0.2">
      <c r="B144" s="31"/>
      <c r="C144" s="65"/>
      <c r="D144" s="65"/>
      <c r="E144" s="65"/>
    </row>
    <row r="145" spans="2:5" x14ac:dyDescent="0.2">
      <c r="B145" s="30" t="s">
        <v>17</v>
      </c>
      <c r="C145" s="32"/>
      <c r="D145" s="32"/>
      <c r="E145" s="33"/>
    </row>
    <row r="146" spans="2:5" x14ac:dyDescent="0.2">
      <c r="B146" s="31"/>
      <c r="C146" s="65"/>
      <c r="D146" s="65"/>
      <c r="E146" s="65"/>
    </row>
    <row r="147" spans="2:5" x14ac:dyDescent="0.2">
      <c r="B147" s="30" t="s">
        <v>18</v>
      </c>
      <c r="C147" s="28"/>
      <c r="D147" s="28"/>
      <c r="E147" s="29"/>
    </row>
    <row r="148" spans="2:5" x14ac:dyDescent="0.2">
      <c r="B148" s="30"/>
      <c r="C148" s="66"/>
      <c r="D148" s="66"/>
      <c r="E148" s="66"/>
    </row>
    <row r="149" spans="2:5" ht="13.5" thickBot="1" x14ac:dyDescent="0.25">
      <c r="B149" s="34"/>
      <c r="C149" s="35"/>
      <c r="D149" s="35"/>
      <c r="E149" s="36"/>
    </row>
  </sheetData>
  <mergeCells count="40">
    <mergeCell ref="B2:H2"/>
    <mergeCell ref="A4:B4"/>
    <mergeCell ref="C4:E4"/>
    <mergeCell ref="A5:B5"/>
    <mergeCell ref="C5:E5"/>
    <mergeCell ref="A6:B6"/>
    <mergeCell ref="A7:B7"/>
    <mergeCell ref="C79:E79"/>
    <mergeCell ref="C81:E81"/>
    <mergeCell ref="C82:E82"/>
    <mergeCell ref="B71:E71"/>
    <mergeCell ref="B72:E72"/>
    <mergeCell ref="B73:E73"/>
    <mergeCell ref="C97:E97"/>
    <mergeCell ref="C99:E99"/>
    <mergeCell ref="C101:E101"/>
    <mergeCell ref="C103:E103"/>
    <mergeCell ref="C84:E84"/>
    <mergeCell ref="C86:E86"/>
    <mergeCell ref="C88:E88"/>
    <mergeCell ref="C94:E94"/>
    <mergeCell ref="C96:E96"/>
    <mergeCell ref="C109:E109"/>
    <mergeCell ref="C111:E111"/>
    <mergeCell ref="C112:E112"/>
    <mergeCell ref="C114:E114"/>
    <mergeCell ref="C116:E116"/>
    <mergeCell ref="C118:E118"/>
    <mergeCell ref="C124:E124"/>
    <mergeCell ref="C126:E126"/>
    <mergeCell ref="C127:E127"/>
    <mergeCell ref="C129:E129"/>
    <mergeCell ref="C144:E144"/>
    <mergeCell ref="C146:E146"/>
    <mergeCell ref="C148:E148"/>
    <mergeCell ref="C131:E131"/>
    <mergeCell ref="C133:E133"/>
    <mergeCell ref="C139:E139"/>
    <mergeCell ref="C141:E141"/>
    <mergeCell ref="C142:E14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2"/>
  <sheetViews>
    <sheetView tabSelected="1" topLeftCell="A22" zoomScale="70" zoomScaleNormal="70" workbookViewId="0">
      <selection activeCell="K14" sqref="K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5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9" t="s">
        <v>206</v>
      </c>
      <c r="B1" s="89"/>
      <c r="C1" s="89"/>
      <c r="D1" s="89"/>
      <c r="E1" s="89"/>
      <c r="F1" s="89"/>
      <c r="G1" s="89"/>
      <c r="H1" s="89"/>
      <c r="I1" s="89"/>
      <c r="J1" s="3" t="s">
        <v>19</v>
      </c>
      <c r="K1" s="47" t="s">
        <v>207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0" t="s">
        <v>52</v>
      </c>
      <c r="B3" s="90"/>
      <c r="C3" s="90"/>
      <c r="D3" s="91" t="str">
        <f>'Necesidades Trimestrales'!C4</f>
        <v>40 - Ministerio de Salud</v>
      </c>
      <c r="E3" s="91"/>
      <c r="F3" s="91"/>
      <c r="G3" s="91"/>
      <c r="H3" s="91"/>
      <c r="I3" s="91"/>
      <c r="J3" s="91"/>
      <c r="K3" s="91"/>
    </row>
    <row r="4" spans="1:11" ht="18.75" customHeight="1" thickBot="1" x14ac:dyDescent="0.25">
      <c r="A4" s="92" t="s">
        <v>53</v>
      </c>
      <c r="B4" s="92"/>
      <c r="C4" s="92"/>
      <c r="D4" s="91" t="str">
        <f>'Necesidades Trimestrales'!C5</f>
        <v>23 - Hospital Interzonal San Juan Bautista</v>
      </c>
      <c r="E4" s="91"/>
      <c r="F4" s="91"/>
      <c r="G4" s="91"/>
      <c r="H4" s="91"/>
      <c r="I4" s="91"/>
      <c r="J4" s="91"/>
      <c r="K4" s="91"/>
    </row>
    <row r="5" spans="1:11" ht="18.75" customHeight="1" thickBot="1" x14ac:dyDescent="0.25">
      <c r="A5" s="92" t="s">
        <v>31</v>
      </c>
      <c r="B5" s="92"/>
      <c r="C5" s="92"/>
      <c r="D5" s="91" t="s">
        <v>58</v>
      </c>
      <c r="E5" s="91"/>
      <c r="F5" s="91"/>
      <c r="G5" s="91"/>
      <c r="H5" s="91"/>
      <c r="I5" s="91"/>
      <c r="J5" s="91"/>
      <c r="K5" s="91"/>
    </row>
    <row r="6" spans="1:11" ht="16.5" customHeight="1" thickBot="1" x14ac:dyDescent="0.25">
      <c r="A6" s="90" t="s">
        <v>54</v>
      </c>
      <c r="B6" s="90"/>
      <c r="C6" s="90"/>
      <c r="D6" s="91" t="s">
        <v>59</v>
      </c>
      <c r="E6" s="91"/>
      <c r="F6" s="91"/>
      <c r="G6" s="91"/>
      <c r="H6" s="91"/>
      <c r="I6" s="91"/>
      <c r="J6" s="91"/>
      <c r="K6" s="91"/>
    </row>
    <row r="7" spans="1:11" ht="16.5" customHeight="1" x14ac:dyDescent="0.2">
      <c r="A7" s="92" t="s">
        <v>20</v>
      </c>
      <c r="B7" s="92"/>
      <c r="C7" s="92"/>
      <c r="D7" s="91" t="str">
        <f>'Necesidades Trimestrales'!C7 &amp; "° Trimestre - Año " &amp; 'Necesidades Trimestrales'!C6</f>
        <v>4° Trimestre - Año 2022</v>
      </c>
      <c r="E7" s="91"/>
      <c r="F7" s="91"/>
      <c r="G7" s="91"/>
      <c r="H7" s="91"/>
      <c r="I7" s="91"/>
      <c r="J7" s="91"/>
      <c r="K7" s="91"/>
    </row>
    <row r="8" spans="1:11" ht="16.5" customHeight="1" x14ac:dyDescent="0.2">
      <c r="A8" s="84" t="s">
        <v>21</v>
      </c>
      <c r="B8" s="84"/>
      <c r="C8" s="84"/>
      <c r="D8" s="85" t="s">
        <v>199</v>
      </c>
      <c r="E8" s="85"/>
      <c r="F8" s="85"/>
      <c r="G8" s="85"/>
      <c r="H8" s="85"/>
      <c r="I8" s="85"/>
      <c r="J8" s="85"/>
      <c r="K8" s="8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86" t="s">
        <v>22</v>
      </c>
      <c r="B10" s="87" t="s">
        <v>23</v>
      </c>
      <c r="C10" s="87" t="s">
        <v>24</v>
      </c>
      <c r="D10" s="87"/>
      <c r="E10" s="87"/>
      <c r="F10" s="87"/>
      <c r="G10" s="87"/>
      <c r="H10" s="87" t="s">
        <v>25</v>
      </c>
      <c r="I10" s="87" t="s">
        <v>26</v>
      </c>
      <c r="J10" s="87" t="s">
        <v>27</v>
      </c>
      <c r="K10" s="88" t="s">
        <v>28</v>
      </c>
    </row>
    <row r="11" spans="1:11" ht="24" customHeight="1" thickBo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8"/>
    </row>
    <row r="12" spans="1:11" ht="27.75" customHeight="1" thickBot="1" x14ac:dyDescent="0.25">
      <c r="A12" s="8">
        <v>1</v>
      </c>
      <c r="B12" s="48" t="str">
        <f>'Necesidades Trimestrales'!B10</f>
        <v>2.5.2-1821.235</v>
      </c>
      <c r="C12" s="82" t="str">
        <f>'Necesidades Trimestrales'!E10</f>
        <v>ANTIBIOTICOS P/PERSONAS; TIPO: MONODROGA, DROGA GENERICA: ACICLOVIR 500 MG, FORMA FARMACEUTICA: FRASCO AMPOLLA, PRESENTACION: 500 mGr</v>
      </c>
      <c r="D12" s="82"/>
      <c r="E12" s="82"/>
      <c r="F12" s="82"/>
      <c r="G12" s="82"/>
      <c r="H12" s="49" t="s">
        <v>55</v>
      </c>
      <c r="I12" s="50" t="str">
        <f>'Necesidades Trimestrales'!F10</f>
        <v>AMPOLLA</v>
      </c>
      <c r="J12" s="51">
        <f>'Necesidades Trimestrales'!H10</f>
        <v>350</v>
      </c>
      <c r="K12" s="52">
        <f>'Necesidades Trimestrales'!G10</f>
        <v>100</v>
      </c>
    </row>
    <row r="13" spans="1:11" ht="47.25" customHeight="1" thickBot="1" x14ac:dyDescent="0.25">
      <c r="A13" s="8">
        <v>2</v>
      </c>
      <c r="B13" s="48" t="str">
        <f>'Necesidades Trimestrales'!B11</f>
        <v>2.5.2-1724.16</v>
      </c>
      <c r="C13" s="82" t="str">
        <f>'Necesidades Trimestrales'!E11</f>
        <v>ANALGESICOS; TIPO: MONODROGA, DROGA GENERICA: ACIDO ACETILSALICILICO, PRESENTACION: 100 mGr, FORMA FARMACEUTICA: COMPRIMIDO</v>
      </c>
      <c r="D13" s="82"/>
      <c r="E13" s="82"/>
      <c r="F13" s="82"/>
      <c r="G13" s="82"/>
      <c r="H13" s="49" t="s">
        <v>55</v>
      </c>
      <c r="I13" s="50" t="str">
        <f>'Necesidades Trimestrales'!F11</f>
        <v>COMPRIMIDO</v>
      </c>
      <c r="J13" s="51">
        <f>'Necesidades Trimestrales'!H11</f>
        <v>1.88</v>
      </c>
      <c r="K13" s="52">
        <f>'Necesidades Trimestrales'!G11</f>
        <v>3000</v>
      </c>
    </row>
    <row r="14" spans="1:11" ht="42.75" customHeight="1" thickBot="1" x14ac:dyDescent="0.25">
      <c r="A14" s="8">
        <v>3</v>
      </c>
      <c r="B14" s="48" t="str">
        <f>'Necesidades Trimestrales'!B12</f>
        <v>2.5.2-1821.1</v>
      </c>
      <c r="C14" s="82" t="str">
        <f>'Necesidades Trimestrales'!E12</f>
        <v>ANTIBIOTICOS P/PERSONAS; TIPO: MONODROGA, DROGA GENERICA: AMIKACINA, PRESENTACION: 500 mGr, FORMA FARMACEUTICA: AMPOLLA</v>
      </c>
      <c r="D14" s="82"/>
      <c r="E14" s="82"/>
      <c r="F14" s="82"/>
      <c r="G14" s="82"/>
      <c r="H14" s="49" t="s">
        <v>55</v>
      </c>
      <c r="I14" s="50" t="str">
        <f>'Necesidades Trimestrales'!F12</f>
        <v>AMPOLLA</v>
      </c>
      <c r="J14" s="51">
        <f>'Necesidades Trimestrales'!H12</f>
        <v>87.95</v>
      </c>
      <c r="K14" s="52">
        <f>'Necesidades Trimestrales'!G12</f>
        <v>600</v>
      </c>
    </row>
    <row r="15" spans="1:11" ht="49.5" customHeight="1" thickBot="1" x14ac:dyDescent="0.25">
      <c r="A15" s="8">
        <v>4</v>
      </c>
      <c r="B15" s="48" t="str">
        <f>'Necesidades Trimestrales'!B13</f>
        <v>2.5.2-1821.440</v>
      </c>
      <c r="C15" s="82" t="str">
        <f>'Necesidades Trimestrales'!E13</f>
        <v>ANTIBIOTICOS P/PERSONAS; TIPO: ASOCIACION, DROGA GENERICA: AMOXICIL. 875 MG+CLAVUL.125 MG mGr, FORMA FARMACEUTICA: COMPRIMIDO, PRESENTACION: UNIDAD</v>
      </c>
      <c r="D15" s="82"/>
      <c r="E15" s="82"/>
      <c r="F15" s="82"/>
      <c r="G15" s="82"/>
      <c r="H15" s="49" t="s">
        <v>55</v>
      </c>
      <c r="I15" s="50" t="str">
        <f>'Necesidades Trimestrales'!F13</f>
        <v>COMPRIMIDO</v>
      </c>
      <c r="J15" s="51">
        <f>'Necesidades Trimestrales'!H13</f>
        <v>38</v>
      </c>
      <c r="K15" s="52">
        <f>'Necesidades Trimestrales'!G13</f>
        <v>1200</v>
      </c>
    </row>
    <row r="16" spans="1:11" ht="47.25" customHeight="1" thickBot="1" x14ac:dyDescent="0.25">
      <c r="A16" s="8">
        <v>5</v>
      </c>
      <c r="B16" s="48" t="str">
        <f>'Necesidades Trimestrales'!B14</f>
        <v>2.5.2-1821.9</v>
      </c>
      <c r="C16" s="82" t="str">
        <f>'Necesidades Trimestrales'!E14</f>
        <v>ANTIBIOTICOS P/PERSONAS; TIPO: MONODROGA, DROGA GENERICA: AMOXICILINA, PRESENTACION: 500 mGr, FORMA FARMACEUTICA: COMPRIMIDOS</v>
      </c>
      <c r="D16" s="82"/>
      <c r="E16" s="82"/>
      <c r="F16" s="82"/>
      <c r="G16" s="82"/>
      <c r="H16" s="49" t="s">
        <v>55</v>
      </c>
      <c r="I16" s="50" t="str">
        <f>'Necesidades Trimestrales'!F14</f>
        <v>COMPRIMIDO</v>
      </c>
      <c r="J16" s="51">
        <f>'Necesidades Trimestrales'!H14</f>
        <v>15</v>
      </c>
      <c r="K16" s="52">
        <f>'Necesidades Trimestrales'!G14</f>
        <v>200</v>
      </c>
    </row>
    <row r="17" spans="1:11" ht="45.75" customHeight="1" thickBot="1" x14ac:dyDescent="0.25">
      <c r="A17" s="8">
        <v>6</v>
      </c>
      <c r="B17" s="48" t="str">
        <f>'Necesidades Trimestrales'!B15</f>
        <v>2.5.2-1821.8</v>
      </c>
      <c r="C17" s="82" t="str">
        <f>'Necesidades Trimestrales'!E15</f>
        <v>ANTIBIOTICOS P/PERSONAS; TIPO: MONODROGA, DROGA GENERICA: AMPICILINA, FORMA FARMACEUTICA: AMPOLLA, PRESENTACION: 1 GR</v>
      </c>
      <c r="D17" s="82"/>
      <c r="E17" s="82"/>
      <c r="F17" s="82"/>
      <c r="G17" s="82"/>
      <c r="H17" s="49" t="s">
        <v>55</v>
      </c>
      <c r="I17" s="50" t="str">
        <f>'Necesidades Trimestrales'!F15</f>
        <v>AMPOLLA</v>
      </c>
      <c r="J17" s="51">
        <f>'Necesidades Trimestrales'!H15</f>
        <v>99</v>
      </c>
      <c r="K17" s="52">
        <f>'Necesidades Trimestrales'!G15</f>
        <v>100</v>
      </c>
    </row>
    <row r="18" spans="1:11" ht="52.5" customHeight="1" thickBot="1" x14ac:dyDescent="0.25">
      <c r="A18" s="8">
        <v>7</v>
      </c>
      <c r="B18" s="48" t="str">
        <f>'Necesidades Trimestrales'!B16</f>
        <v>2.5.2-1823.113</v>
      </c>
      <c r="C18" s="82" t="str">
        <f>'Necesidades Trimestrales'!E16</f>
        <v>ANTIMICOTICOS; DROGA GENERICA: ANFOTERICINA B LIPOSOMAL, FORMA FARMACEUTICA: AMPOLLA, PRESENTACION: 50 MGR, TIPO: MONODROGA</v>
      </c>
      <c r="D18" s="82"/>
      <c r="E18" s="82"/>
      <c r="F18" s="82"/>
      <c r="G18" s="82"/>
      <c r="H18" s="49" t="s">
        <v>55</v>
      </c>
      <c r="I18" s="50" t="str">
        <f>'Necesidades Trimestrales'!F16</f>
        <v>AMPOLLA</v>
      </c>
      <c r="J18" s="51">
        <f>'Necesidades Trimestrales'!H16</f>
        <v>29500</v>
      </c>
      <c r="K18" s="52">
        <f>'Necesidades Trimestrales'!G16</f>
        <v>50</v>
      </c>
    </row>
    <row r="19" spans="1:11" ht="58.5" customHeight="1" thickBot="1" x14ac:dyDescent="0.25">
      <c r="A19" s="8">
        <v>8</v>
      </c>
      <c r="B19" s="48" t="str">
        <f>'Necesidades Trimestrales'!B17</f>
        <v>2.5.2-1821.94</v>
      </c>
      <c r="C19" s="82" t="str">
        <f>'Necesidades Trimestrales'!E17</f>
        <v>ANTIBIOTICOS P/PERSONAS; TIPO: MONODROGA, DROGA GENERICA: AZITROMICINA, FORMA FARMACEUTICA: COMPRIMIDO, PRESENTACION: 500 mGr</v>
      </c>
      <c r="D19" s="82"/>
      <c r="E19" s="82"/>
      <c r="F19" s="82"/>
      <c r="G19" s="82"/>
      <c r="H19" s="49" t="s">
        <v>55</v>
      </c>
      <c r="I19" s="50" t="str">
        <f>'Necesidades Trimestrales'!F17</f>
        <v>COMPRIMIDO</v>
      </c>
      <c r="J19" s="51">
        <f>'Necesidades Trimestrales'!H17</f>
        <v>37.450000000000003</v>
      </c>
      <c r="K19" s="52">
        <f>'Necesidades Trimestrales'!G17</f>
        <v>150</v>
      </c>
    </row>
    <row r="20" spans="1:11" ht="47.25" customHeight="1" thickBot="1" x14ac:dyDescent="0.25">
      <c r="A20" s="8">
        <v>9</v>
      </c>
      <c r="B20" s="48" t="str">
        <f>'Necesidades Trimestrales'!B18</f>
        <v>2.5.2-1726.523</v>
      </c>
      <c r="C20" s="82" t="str">
        <f>'Necesidades Trimestrales'!E18</f>
        <v>SOLUCIONES P/MEDICINA; TIPO: SULFATO DE BARIO, PRESENTACION: ENVASE SUSPENSION X 225 ML</v>
      </c>
      <c r="D20" s="82"/>
      <c r="E20" s="82"/>
      <c r="F20" s="82"/>
      <c r="G20" s="82"/>
      <c r="H20" s="49" t="s">
        <v>200</v>
      </c>
      <c r="I20" s="50" t="str">
        <f>'Necesidades Trimestrales'!F18</f>
        <v>FRASCO</v>
      </c>
      <c r="J20" s="51">
        <f>'Necesidades Trimestrales'!H18</f>
        <v>9664.2800000000007</v>
      </c>
      <c r="K20" s="52">
        <f>'Necesidades Trimestrales'!G18</f>
        <v>30</v>
      </c>
    </row>
    <row r="21" spans="1:11" ht="42" customHeight="1" thickBot="1" x14ac:dyDescent="0.25">
      <c r="A21" s="8">
        <v>10</v>
      </c>
      <c r="B21" s="48" t="str">
        <f>'Necesidades Trimestrales'!B19</f>
        <v>2.5.2-1726.524</v>
      </c>
      <c r="C21" s="82" t="str">
        <f>'Necesidades Trimestrales'!E19</f>
        <v>SOLUCIONES P/MEDICINA; TIPO: SULFATO DE BARIO, PRESENTACION: ENVASE SUSPENSION PARA ENEMA X 500 ML</v>
      </c>
      <c r="D21" s="82"/>
      <c r="E21" s="82"/>
      <c r="F21" s="82"/>
      <c r="G21" s="82"/>
      <c r="H21" s="49" t="s">
        <v>200</v>
      </c>
      <c r="I21" s="50" t="str">
        <f>'Necesidades Trimestrales'!F19</f>
        <v>FRASCO</v>
      </c>
      <c r="J21" s="51">
        <f>'Necesidades Trimestrales'!H19</f>
        <v>16740</v>
      </c>
      <c r="K21" s="52">
        <f>'Necesidades Trimestrales'!G19</f>
        <v>3</v>
      </c>
    </row>
    <row r="22" spans="1:11" ht="45" customHeight="1" thickBot="1" x14ac:dyDescent="0.25">
      <c r="A22" s="8">
        <v>11</v>
      </c>
      <c r="B22" s="48" t="str">
        <f>'Necesidades Trimestrales'!B20</f>
        <v>2.5.2-1726.525</v>
      </c>
      <c r="C22" s="82" t="str">
        <f>'Necesidades Trimestrales'!E20</f>
        <v>SOLUCIONES P/MEDICINA; TIPO: SULFATO DE BARIO, PRESENTACION: ENVASE SUSPENSION ORAL X 300 ML</v>
      </c>
      <c r="D22" s="82"/>
      <c r="E22" s="82"/>
      <c r="F22" s="82"/>
      <c r="G22" s="82"/>
      <c r="H22" s="49" t="s">
        <v>200</v>
      </c>
      <c r="I22" s="50" t="str">
        <f>'Necesidades Trimestrales'!F20</f>
        <v>FRASCO</v>
      </c>
      <c r="J22" s="51">
        <f>'Necesidades Trimestrales'!H20</f>
        <v>10347.39</v>
      </c>
      <c r="K22" s="52">
        <f>'Necesidades Trimestrales'!G20</f>
        <v>3</v>
      </c>
    </row>
    <row r="23" spans="1:11" ht="45.75" customHeight="1" thickBot="1" x14ac:dyDescent="0.25">
      <c r="A23" s="8">
        <v>12</v>
      </c>
      <c r="B23" s="48" t="str">
        <f>'Necesidades Trimestrales'!B21</f>
        <v>2.5.2-1883.139</v>
      </c>
      <c r="C23" s="82" t="str">
        <f>'Necesidades Trimestrales'!E21</f>
        <v>ANESTESICOS LOCALES; TIPO: ASOCIACION, DROGA GENERICA: BUPIVACAINA 0,5 % C/EPINEFRINA, FORMA FARMACEUTICA: FRASCO AMPOLLA, PRESENTACION: ENVASE X 20 mL</v>
      </c>
      <c r="D23" s="82"/>
      <c r="E23" s="82"/>
      <c r="F23" s="82"/>
      <c r="G23" s="82"/>
      <c r="H23" s="49" t="s">
        <v>55</v>
      </c>
      <c r="I23" s="50" t="str">
        <f>'Necesidades Trimestrales'!F21</f>
        <v>FRASCO</v>
      </c>
      <c r="J23" s="51">
        <f>'Necesidades Trimestrales'!H21</f>
        <v>3100</v>
      </c>
      <c r="K23" s="52">
        <f>'Necesidades Trimestrales'!G21</f>
        <v>50</v>
      </c>
    </row>
    <row r="24" spans="1:11" ht="36" customHeight="1" thickBot="1" x14ac:dyDescent="0.25">
      <c r="A24" s="8">
        <v>13</v>
      </c>
      <c r="B24" s="48" t="str">
        <f>'Necesidades Trimestrales'!B22</f>
        <v>2.5.2-1883.24</v>
      </c>
      <c r="C24" s="82" t="str">
        <f>'Necesidades Trimestrales'!E22</f>
        <v>ANESTESICOS LOCALES; TIPO: MONODROGA, DROGA GENERICA: BUPIVACAINA 0,5 %, FORMA FARMACEUTICA: FRASCO, PRESENTACION: 20 mL</v>
      </c>
      <c r="D24" s="82"/>
      <c r="E24" s="82"/>
      <c r="F24" s="82"/>
      <c r="G24" s="82"/>
      <c r="H24" s="49" t="s">
        <v>200</v>
      </c>
      <c r="I24" s="50" t="str">
        <f>'Necesidades Trimestrales'!F22</f>
        <v>FRASCO</v>
      </c>
      <c r="J24" s="51">
        <f>'Necesidades Trimestrales'!H22</f>
        <v>350</v>
      </c>
      <c r="K24" s="52">
        <f>'Necesidades Trimestrales'!G22</f>
        <v>30</v>
      </c>
    </row>
    <row r="25" spans="1:11" ht="42.75" customHeight="1" thickBot="1" x14ac:dyDescent="0.25">
      <c r="A25" s="8">
        <v>14</v>
      </c>
      <c r="B25" s="48" t="str">
        <f>'Necesidades Trimestrales'!B23</f>
        <v>2.5.2-1883.188</v>
      </c>
      <c r="C25" s="82" t="str">
        <f>'Necesidades Trimestrales'!E23</f>
        <v>ANESTESICOS LOCALES; TIPO: MONODROGA, DROGA GENERICA: BUPIVACAINA 0,5% HIPERBARICA, FORMA FARMACEUTICA: AMPOLLA, PRESENTACION: 4 ML CON AGUJA 27 G X 3 1/2 CON INTRODUCTOR</v>
      </c>
      <c r="D25" s="82"/>
      <c r="E25" s="82"/>
      <c r="F25" s="82"/>
      <c r="G25" s="82"/>
      <c r="H25" s="49" t="s">
        <v>55</v>
      </c>
      <c r="I25" s="50" t="str">
        <f>'Necesidades Trimestrales'!F23</f>
        <v>AMPOLLA</v>
      </c>
      <c r="J25" s="51">
        <f>'Necesidades Trimestrales'!H23</f>
        <v>1420</v>
      </c>
      <c r="K25" s="52">
        <f>'Necesidades Trimestrales'!G23</f>
        <v>180</v>
      </c>
    </row>
    <row r="26" spans="1:11" ht="39.75" customHeight="1" thickBot="1" x14ac:dyDescent="0.25">
      <c r="A26" s="8">
        <v>15</v>
      </c>
      <c r="B26" s="48" t="str">
        <f>'Necesidades Trimestrales'!B24</f>
        <v>2.5.2-1821.321</v>
      </c>
      <c r="C26" s="82" t="str">
        <f>'Necesidades Trimestrales'!E24</f>
        <v>ANTIBIOTICOS P/PERSONAS; TIPO: MONODROGA, DROGA GENERICA: CEFALEXINA 500 mGr, FORMA FARMACEUTICA: COMPRIMIDO, PRESENTACION: 1 UN</v>
      </c>
      <c r="D26" s="82"/>
      <c r="E26" s="82"/>
      <c r="F26" s="82"/>
      <c r="G26" s="82"/>
      <c r="H26" s="49" t="s">
        <v>55</v>
      </c>
      <c r="I26" s="50" t="str">
        <f>'Necesidades Trimestrales'!F24</f>
        <v>COMPRIMIDO</v>
      </c>
      <c r="J26" s="51">
        <f>'Necesidades Trimestrales'!H24</f>
        <v>15.3</v>
      </c>
      <c r="K26" s="52">
        <f>'Necesidades Trimestrales'!G24</f>
        <v>1800</v>
      </c>
    </row>
    <row r="27" spans="1:11" ht="45" customHeight="1" thickBot="1" x14ac:dyDescent="0.25">
      <c r="A27" s="8">
        <v>16</v>
      </c>
      <c r="B27" s="48" t="str">
        <f>'Necesidades Trimestrales'!B25</f>
        <v>2.5.2-1821.405</v>
      </c>
      <c r="C27" s="82" t="str">
        <f>'Necesidades Trimestrales'!E25</f>
        <v>ANTIBIOTICOS P/PERSONAS; TIPO: MONODROGA, DROGA GENERICA: CEFALOTINA SODICA, FORMA FARMACEUTICA: FRASCO AMPOLLA, PRESENTACION: 1 GR</v>
      </c>
      <c r="D27" s="82"/>
      <c r="E27" s="82"/>
      <c r="F27" s="82"/>
      <c r="G27" s="82"/>
      <c r="H27" s="49" t="s">
        <v>55</v>
      </c>
      <c r="I27" s="50" t="str">
        <f>'Necesidades Trimestrales'!F25</f>
        <v>AMPOLLA</v>
      </c>
      <c r="J27" s="51">
        <f>'Necesidades Trimestrales'!H25</f>
        <v>145</v>
      </c>
      <c r="K27" s="52">
        <f>'Necesidades Trimestrales'!G25</f>
        <v>7200</v>
      </c>
    </row>
    <row r="28" spans="1:11" ht="39.75" customHeight="1" thickBot="1" x14ac:dyDescent="0.25">
      <c r="A28" s="8">
        <v>17</v>
      </c>
      <c r="B28" s="48" t="str">
        <f>'Necesidades Trimestrales'!B26</f>
        <v>2.5.2-1821.384</v>
      </c>
      <c r="C28" s="82" t="str">
        <f>'Necesidades Trimestrales'!E26</f>
        <v>ANTIBIOTICOS P/PERSONAS; TIPO: MONODROGA, DROGA GENERICA: CEFTAZIDIMA, FORMA FARMACEUTICA: FRASCO AMPOLLA, PRESENTACION: ENVASE X 1 GR</v>
      </c>
      <c r="D28" s="82"/>
      <c r="E28" s="82"/>
      <c r="F28" s="82"/>
      <c r="G28" s="82"/>
      <c r="H28" s="49" t="s">
        <v>55</v>
      </c>
      <c r="I28" s="50" t="str">
        <f>'Necesidades Trimestrales'!F26</f>
        <v>AMPOLLA</v>
      </c>
      <c r="J28" s="51">
        <f>'Necesidades Trimestrales'!H26</f>
        <v>144</v>
      </c>
      <c r="K28" s="52">
        <f>'Necesidades Trimestrales'!G26</f>
        <v>1800</v>
      </c>
    </row>
    <row r="29" spans="1:11" ht="39.75" customHeight="1" thickBot="1" x14ac:dyDescent="0.25">
      <c r="A29" s="8">
        <v>18</v>
      </c>
      <c r="B29" s="48" t="str">
        <f>'Necesidades Trimestrales'!B27</f>
        <v>2.5.2-1821.214</v>
      </c>
      <c r="C29" s="82" t="str">
        <f>'Necesidades Trimestrales'!E27</f>
        <v>ANTIBIOTICOS P/PERSONAS; TIPO: MONODROGA, DROGA GENERICA: CEFTRIAXONA, FORMA FARMACEUTICA: FRASCO AMPOLLA, PRESENTACION: 1 GR</v>
      </c>
      <c r="D29" s="82"/>
      <c r="E29" s="82"/>
      <c r="F29" s="82"/>
      <c r="G29" s="82"/>
      <c r="H29" s="49" t="s">
        <v>55</v>
      </c>
      <c r="I29" s="50" t="str">
        <f>'Necesidades Trimestrales'!F27</f>
        <v>AMPOLLA</v>
      </c>
      <c r="J29" s="51">
        <f>'Necesidades Trimestrales'!H27</f>
        <v>105</v>
      </c>
      <c r="K29" s="52">
        <f>'Necesidades Trimestrales'!G27</f>
        <v>2400</v>
      </c>
    </row>
    <row r="30" spans="1:11" ht="34.5" customHeight="1" thickBot="1" x14ac:dyDescent="0.25">
      <c r="A30" s="8">
        <v>19</v>
      </c>
      <c r="B30" s="48" t="str">
        <f>'Necesidades Trimestrales'!B28</f>
        <v>2.5.2-1821.387</v>
      </c>
      <c r="C30" s="82" t="str">
        <f>'Necesidades Trimestrales'!E28</f>
        <v>ANTIBIOTICOS P/PERSONAS; TIPO: MONODROGA, DROGA GENERICA: CIPROFLOXACINA, FORMA FARMACEUTICA: SACHET, PRESENTACION: ENVASE X 200 mGr</v>
      </c>
      <c r="D30" s="82"/>
      <c r="E30" s="82"/>
      <c r="F30" s="82"/>
      <c r="G30" s="82"/>
      <c r="H30" s="49" t="s">
        <v>55</v>
      </c>
      <c r="I30" s="50" t="str">
        <f>'Necesidades Trimestrales'!F28</f>
        <v>SACHET</v>
      </c>
      <c r="J30" s="51">
        <f>'Necesidades Trimestrales'!H28</f>
        <v>135</v>
      </c>
      <c r="K30" s="52">
        <f>'Necesidades Trimestrales'!G28</f>
        <v>7200</v>
      </c>
    </row>
    <row r="31" spans="1:11" ht="43.5" customHeight="1" thickBot="1" x14ac:dyDescent="0.25">
      <c r="A31" s="8">
        <v>20</v>
      </c>
      <c r="B31" s="48" t="str">
        <f>'Necesidades Trimestrales'!B29</f>
        <v>2.5.2-1821.46</v>
      </c>
      <c r="C31" s="82" t="str">
        <f>'Necesidades Trimestrales'!E29</f>
        <v>ANTIBIOTICOS P/PERSONAS; TIPO: MONODROGA, FORMA FARMACEUTICA: COMPRIMIDO, PRESENTACION: 500 mGr, DROGA GENERICA: CIPROFLOXACINA</v>
      </c>
      <c r="D31" s="82"/>
      <c r="E31" s="82"/>
      <c r="F31" s="82"/>
      <c r="G31" s="82"/>
      <c r="H31" s="49" t="s">
        <v>55</v>
      </c>
      <c r="I31" s="50" t="str">
        <f>'Necesidades Trimestrales'!F29</f>
        <v>COMPRIMIDO</v>
      </c>
      <c r="J31" s="51">
        <f>'Necesidades Trimestrales'!H29</f>
        <v>11.5</v>
      </c>
      <c r="K31" s="52">
        <f>'Necesidades Trimestrales'!G29</f>
        <v>900</v>
      </c>
    </row>
    <row r="32" spans="1:11" ht="45.75" customHeight="1" thickBot="1" x14ac:dyDescent="0.25">
      <c r="A32" s="8">
        <v>21</v>
      </c>
      <c r="B32" s="48" t="str">
        <f>'Necesidades Trimestrales'!B30</f>
        <v>2.5.2-1821.37</v>
      </c>
      <c r="C32" s="82" t="str">
        <f>'Necesidades Trimestrales'!E30</f>
        <v>ANTIBIOTICOS P/PERSONAS; TIPO: MONODROGA, DROGA GENERICA: CLARITROMICINA, FORMA FARMACEUTICA: COMPRIMIDO, PRESENTACION: 500 mGr</v>
      </c>
      <c r="D32" s="82"/>
      <c r="E32" s="82"/>
      <c r="F32" s="82"/>
      <c r="G32" s="82"/>
      <c r="H32" s="49" t="s">
        <v>55</v>
      </c>
      <c r="I32" s="50" t="str">
        <f>'Necesidades Trimestrales'!F30</f>
        <v>COMPRIMIDO</v>
      </c>
      <c r="J32" s="51">
        <f>'Necesidades Trimestrales'!H30</f>
        <v>35</v>
      </c>
      <c r="K32" s="52">
        <f>'Necesidades Trimestrales'!G30</f>
        <v>2000</v>
      </c>
    </row>
    <row r="33" spans="1:11" ht="40.5" customHeight="1" thickBot="1" x14ac:dyDescent="0.25">
      <c r="A33" s="8">
        <v>22</v>
      </c>
      <c r="B33" s="48" t="str">
        <f>'Necesidades Trimestrales'!B31</f>
        <v>2.5.2-1821.43</v>
      </c>
      <c r="C33" s="82" t="str">
        <f>'Necesidades Trimestrales'!E31</f>
        <v>ANTIBIOTICOS P/PERSONAS; TIPO: MONODROGA, DROGA GENERICA: CLINDAMICINA, FORMA FARMACEUTICA: AMPOLLA, PRESENTACION: 600 mGr</v>
      </c>
      <c r="D33" s="82"/>
      <c r="E33" s="82"/>
      <c r="F33" s="82"/>
      <c r="G33" s="82"/>
      <c r="H33" s="49" t="s">
        <v>55</v>
      </c>
      <c r="I33" s="50" t="str">
        <f>'Necesidades Trimestrales'!F31</f>
        <v>AMPOLLA</v>
      </c>
      <c r="J33" s="51">
        <f>'Necesidades Trimestrales'!H31</f>
        <v>85</v>
      </c>
      <c r="K33" s="52">
        <f>'Necesidades Trimestrales'!G31</f>
        <v>6000</v>
      </c>
    </row>
    <row r="34" spans="1:11" ht="42" customHeight="1" thickBot="1" x14ac:dyDescent="0.25">
      <c r="A34" s="8">
        <v>23</v>
      </c>
      <c r="B34" s="48" t="str">
        <f>'Necesidades Trimestrales'!B32</f>
        <v>2.5.2-1726.526</v>
      </c>
      <c r="C34" s="82" t="str">
        <f>'Necesidades Trimestrales'!E32</f>
        <v>SOLUCIONES P/MEDICINA; TIPO: CONTRASTE RADIOLOGICO NO IONICO, PRESENTACION: ENVASE X 50 ML</v>
      </c>
      <c r="D34" s="82"/>
      <c r="E34" s="82"/>
      <c r="F34" s="82"/>
      <c r="G34" s="82"/>
      <c r="H34" s="49" t="s">
        <v>200</v>
      </c>
      <c r="I34" s="50" t="str">
        <f>'Necesidades Trimestrales'!F32</f>
        <v>FRASCO</v>
      </c>
      <c r="J34" s="51">
        <f>'Necesidades Trimestrales'!H32</f>
        <v>1850</v>
      </c>
      <c r="K34" s="52">
        <f>'Necesidades Trimestrales'!G32</f>
        <v>900</v>
      </c>
    </row>
    <row r="35" spans="1:11" ht="42" customHeight="1" thickBot="1" x14ac:dyDescent="0.25">
      <c r="A35" s="8">
        <v>24</v>
      </c>
      <c r="B35" s="48" t="str">
        <f>'Necesidades Trimestrales'!B33</f>
        <v>2.5.2-1821.526</v>
      </c>
      <c r="C35" s="82" t="str">
        <f>'Necesidades Trimestrales'!E33</f>
        <v>ANTIBIOTICOS P/PERSONAS; TIPO: MONODROGA, DROGA GENERICA: COTRIMOXAZOL, FORMA FARMACEUTICA: COMPRIMIDO, PRESENTACION: 160 MG/ 800 MG</v>
      </c>
      <c r="D35" s="82"/>
      <c r="E35" s="82"/>
      <c r="F35" s="82"/>
      <c r="G35" s="82"/>
      <c r="H35" s="49" t="s">
        <v>55</v>
      </c>
      <c r="I35" s="50" t="str">
        <f>'Necesidades Trimestrales'!F33</f>
        <v>COMPRIMIDO</v>
      </c>
      <c r="J35" s="51">
        <f>'Necesidades Trimestrales'!H33</f>
        <v>15.8</v>
      </c>
      <c r="K35" s="52">
        <f>'Necesidades Trimestrales'!G33</f>
        <v>600</v>
      </c>
    </row>
    <row r="36" spans="1:11" ht="43.5" customHeight="1" thickBot="1" x14ac:dyDescent="0.25">
      <c r="A36" s="8">
        <v>25</v>
      </c>
      <c r="B36" s="48" t="str">
        <f>'Necesidades Trimestrales'!B34</f>
        <v>2.5.2-1724.140</v>
      </c>
      <c r="C36" s="82" t="str">
        <f>'Necesidades Trimestrales'!E34</f>
        <v>ANALGESICOS; TIPO: MONODROGA, DROGA GENERICA: DICLOFENAC X 75 MG, FORMA FARMACEUTICA: COMPRIMIDO, PRESENTACION: UNIDAD</v>
      </c>
      <c r="D36" s="82"/>
      <c r="E36" s="82"/>
      <c r="F36" s="82"/>
      <c r="G36" s="82"/>
      <c r="H36" s="49" t="s">
        <v>55</v>
      </c>
      <c r="I36" s="50" t="str">
        <f>'Necesidades Trimestrales'!F34</f>
        <v>COMPRIMIDO</v>
      </c>
      <c r="J36" s="51">
        <f>'Necesidades Trimestrales'!H34</f>
        <v>3.05</v>
      </c>
      <c r="K36" s="52">
        <f>'Necesidades Trimestrales'!G34</f>
        <v>2000</v>
      </c>
    </row>
    <row r="37" spans="1:11" ht="43.5" customHeight="1" thickBot="1" x14ac:dyDescent="0.25">
      <c r="A37" s="8">
        <v>26</v>
      </c>
      <c r="B37" s="48" t="str">
        <f>'Necesidades Trimestrales'!B35</f>
        <v>2.5.2-1724.117</v>
      </c>
      <c r="C37" s="82" t="str">
        <f>'Necesidades Trimestrales'!E35</f>
        <v>ANALGESICOS; TIPO: ASOCIACION, DROGA GENERICA: DICLOFENAC SODICO, FORMA FARMACEUTICA: AMPOLLA, PRESENTACION: 3 Ml</v>
      </c>
      <c r="D37" s="82"/>
      <c r="E37" s="82"/>
      <c r="F37" s="82"/>
      <c r="G37" s="82"/>
      <c r="H37" s="49" t="s">
        <v>55</v>
      </c>
      <c r="I37" s="50" t="str">
        <f>'Necesidades Trimestrales'!F35</f>
        <v>AMPOLLA</v>
      </c>
      <c r="J37" s="51">
        <f>'Necesidades Trimestrales'!H35</f>
        <v>35.9</v>
      </c>
      <c r="K37" s="52">
        <f>'Necesidades Trimestrales'!G35</f>
        <v>18000</v>
      </c>
    </row>
    <row r="38" spans="1:11" ht="45" customHeight="1" thickBot="1" x14ac:dyDescent="0.25">
      <c r="A38" s="8">
        <v>27</v>
      </c>
      <c r="B38" s="48" t="str">
        <f>'Necesidades Trimestrales'!B36</f>
        <v>2.5.2-1724.208</v>
      </c>
      <c r="C38" s="82" t="str">
        <f>'Necesidades Trimestrales'!E36</f>
        <v>ANALGESICOS; TIPO: MONODROGA, DROGA GENERICA: DIPIRONA SODICA 1 GR, FORMA FARMACEUTICA: AMPOLLA, PRESENTACION: 2 mL</v>
      </c>
      <c r="D38" s="82"/>
      <c r="E38" s="82"/>
      <c r="F38" s="82"/>
      <c r="G38" s="82"/>
      <c r="H38" s="49" t="s">
        <v>55</v>
      </c>
      <c r="I38" s="50" t="str">
        <f>'Necesidades Trimestrales'!F36</f>
        <v>AMPOLLA</v>
      </c>
      <c r="J38" s="51">
        <f>'Necesidades Trimestrales'!H36</f>
        <v>38.5</v>
      </c>
      <c r="K38" s="52">
        <f>'Necesidades Trimestrales'!G36</f>
        <v>8000</v>
      </c>
    </row>
    <row r="39" spans="1:11" ht="45" customHeight="1" thickBot="1" x14ac:dyDescent="0.25">
      <c r="A39" s="8">
        <v>28</v>
      </c>
      <c r="B39" s="48" t="str">
        <f>'Necesidades Trimestrales'!B37</f>
        <v>2.5.2-1821.491</v>
      </c>
      <c r="C39" s="82" t="str">
        <f>'Necesidades Trimestrales'!E37</f>
        <v>ANTIBIOTICOS P/PERSONAS; TIPO: MONODROGA, DROGA GENERICA: FOSFOMICINA, FORMA FARMACEUTICA: AMPOLLA, PRESENTACION: ENVASE X 1 GR</v>
      </c>
      <c r="D39" s="82"/>
      <c r="E39" s="82"/>
      <c r="F39" s="82"/>
      <c r="G39" s="82"/>
      <c r="H39" s="49" t="s">
        <v>55</v>
      </c>
      <c r="I39" s="50" t="str">
        <f>'Necesidades Trimestrales'!F37</f>
        <v>AMPOLLA</v>
      </c>
      <c r="J39" s="51">
        <f>'Necesidades Trimestrales'!H37</f>
        <v>580</v>
      </c>
      <c r="K39" s="52">
        <f>'Necesidades Trimestrales'!G37</f>
        <v>50</v>
      </c>
    </row>
    <row r="40" spans="1:11" ht="42.75" customHeight="1" thickBot="1" x14ac:dyDescent="0.25">
      <c r="A40" s="8">
        <v>29</v>
      </c>
      <c r="B40" s="48" t="str">
        <f>'Necesidades Trimestrales'!B38</f>
        <v>2.5.2-1821.4</v>
      </c>
      <c r="C40" s="82" t="str">
        <f>'Necesidades Trimestrales'!E38</f>
        <v>ANTIBIOTICOS P/PERSONAS; DROGA GENERICA: GENTAMICINA, FORMA FARMACEUTICA: AMPOLLA, PRESENTACION: 80 mGr, TIPO: MONODROGA</v>
      </c>
      <c r="D40" s="82"/>
      <c r="E40" s="82"/>
      <c r="F40" s="82"/>
      <c r="G40" s="82"/>
      <c r="H40" s="49" t="s">
        <v>55</v>
      </c>
      <c r="I40" s="50" t="str">
        <f>'Necesidades Trimestrales'!F38</f>
        <v>AMPOLLA</v>
      </c>
      <c r="J40" s="51">
        <f>'Necesidades Trimestrales'!H38</f>
        <v>42</v>
      </c>
      <c r="K40" s="52">
        <f>'Necesidades Trimestrales'!G38</f>
        <v>1500</v>
      </c>
    </row>
    <row r="41" spans="1:11" ht="52.5" customHeight="1" thickBot="1" x14ac:dyDescent="0.25">
      <c r="A41" s="8">
        <v>30</v>
      </c>
      <c r="B41" s="48" t="str">
        <f>'Necesidades Trimestrales'!B39</f>
        <v>2.5.2-1725.68</v>
      </c>
      <c r="C41" s="82" t="str">
        <f>'Necesidades Trimestrales'!E39</f>
        <v>ANTIINFLAMATORIOS NO ESTEROIDE; TIPO: MONODROGA, DROGA GENERICA: IBUPROFENO, FORMA FARMACEUTICA: COMPRIMIDO, PRESENTACION: 400 mGr</v>
      </c>
      <c r="D41" s="82"/>
      <c r="E41" s="82"/>
      <c r="F41" s="82"/>
      <c r="G41" s="82"/>
      <c r="H41" s="49" t="s">
        <v>55</v>
      </c>
      <c r="I41" s="50" t="str">
        <f>'Necesidades Trimestrales'!F39</f>
        <v>COMPRIMIDO</v>
      </c>
      <c r="J41" s="51">
        <f>'Necesidades Trimestrales'!H39</f>
        <v>4.8</v>
      </c>
      <c r="K41" s="52">
        <f>'Necesidades Trimestrales'!G39</f>
        <v>300</v>
      </c>
    </row>
    <row r="42" spans="1:11" ht="40.5" customHeight="1" thickBot="1" x14ac:dyDescent="0.25">
      <c r="A42" s="8">
        <v>31</v>
      </c>
      <c r="B42" s="48" t="str">
        <f>'Necesidades Trimestrales'!B40</f>
        <v>2.5.2-1859.29</v>
      </c>
      <c r="C42" s="82" t="str">
        <f>'Necesidades Trimestrales'!E40</f>
        <v>INMUNOMODULADORES; TIPO: MONODROGA, DROGA GENERICA: INMUNOGLOBULINA G HUMANA, FORMA FARMACEUTICA: VIAL, PRESENTACION: 10 GR</v>
      </c>
      <c r="D42" s="82"/>
      <c r="E42" s="82"/>
      <c r="F42" s="82"/>
      <c r="G42" s="82"/>
      <c r="H42" s="49" t="s">
        <v>55</v>
      </c>
      <c r="I42" s="50" t="str">
        <f>'Necesidades Trimestrales'!F40</f>
        <v>UNIDAD</v>
      </c>
      <c r="J42" s="51">
        <f>'Necesidades Trimestrales'!H40</f>
        <v>125640</v>
      </c>
      <c r="K42" s="52">
        <f>'Necesidades Trimestrales'!G40</f>
        <v>30</v>
      </c>
    </row>
    <row r="43" spans="1:11" ht="43.5" customHeight="1" thickBot="1" x14ac:dyDescent="0.25">
      <c r="A43" s="8">
        <v>32</v>
      </c>
      <c r="B43" s="48" t="str">
        <f>'Necesidades Trimestrales'!B41</f>
        <v>2.5.2-1823.84</v>
      </c>
      <c r="C43" s="82" t="str">
        <f>'Necesidades Trimestrales'!E41</f>
        <v>ANTIMICOTICOS; TIPO: MONODROGA, DROGA GENERICA: ITRACONAZOL, FORMA FARMACEUTICA: COMPRIMIDO, PRESENTACION: 100 mGr</v>
      </c>
      <c r="D43" s="82"/>
      <c r="E43" s="82"/>
      <c r="F43" s="82"/>
      <c r="G43" s="82"/>
      <c r="H43" s="49" t="s">
        <v>55</v>
      </c>
      <c r="I43" s="50" t="str">
        <f>'Necesidades Trimestrales'!F41</f>
        <v>COMPRIMIDO</v>
      </c>
      <c r="J43" s="51">
        <f>'Necesidades Trimestrales'!H41</f>
        <v>110</v>
      </c>
      <c r="K43" s="52">
        <f>'Necesidades Trimestrales'!G41</f>
        <v>50</v>
      </c>
    </row>
    <row r="44" spans="1:11" ht="47.25" customHeight="1" thickBot="1" x14ac:dyDescent="0.25">
      <c r="A44" s="8">
        <v>33</v>
      </c>
      <c r="B44" s="48" t="str">
        <f>'Necesidades Trimestrales'!B42</f>
        <v>2.5.2-2455.20</v>
      </c>
      <c r="C44" s="82" t="str">
        <f>'Necesidades Trimestrales'!E42</f>
        <v>ANESTESICOS GENERALES; DROGA GENERICA: KETAMINA 50 MG/ML, FORMA FARMACEUTICA: FRASCO AMPOLLA, PRESENTACION: 10 mL, TIPO: MONODROGA</v>
      </c>
      <c r="D44" s="82"/>
      <c r="E44" s="82"/>
      <c r="F44" s="82"/>
      <c r="G44" s="82"/>
      <c r="H44" s="49" t="s">
        <v>55</v>
      </c>
      <c r="I44" s="50" t="str">
        <f>'Necesidades Trimestrales'!F42</f>
        <v>AMPOLLA</v>
      </c>
      <c r="J44" s="51">
        <f>'Necesidades Trimestrales'!H42</f>
        <v>2300</v>
      </c>
      <c r="K44" s="52">
        <f>'Necesidades Trimestrales'!G42</f>
        <v>100</v>
      </c>
    </row>
    <row r="45" spans="1:11" ht="40.5" customHeight="1" thickBot="1" x14ac:dyDescent="0.25">
      <c r="A45" s="8">
        <v>34</v>
      </c>
      <c r="B45" s="48" t="str">
        <f>'Necesidades Trimestrales'!B43</f>
        <v>2.5.2-1724.23</v>
      </c>
      <c r="C45" s="82" t="str">
        <f>'Necesidades Trimestrales'!E43</f>
        <v>ANALGESICOS; TIPO: MONODROGA, DROGA GENERICA: KETOROLAC, FORMA FARMACEUTICA: AMPOLLA, PRESENTACION: 30 mGr</v>
      </c>
      <c r="D45" s="82"/>
      <c r="E45" s="82"/>
      <c r="F45" s="82"/>
      <c r="G45" s="82"/>
      <c r="H45" s="49" t="s">
        <v>55</v>
      </c>
      <c r="I45" s="50" t="str">
        <f>'Necesidades Trimestrales'!F43</f>
        <v>AMPOLLA</v>
      </c>
      <c r="J45" s="51">
        <f>'Necesidades Trimestrales'!H43</f>
        <v>59</v>
      </c>
      <c r="K45" s="52">
        <f>'Necesidades Trimestrales'!G43</f>
        <v>25000</v>
      </c>
    </row>
    <row r="46" spans="1:11" ht="45" customHeight="1" thickBot="1" x14ac:dyDescent="0.25">
      <c r="A46" s="8">
        <v>35</v>
      </c>
      <c r="B46" s="48" t="str">
        <f>'Necesidades Trimestrales'!B44</f>
        <v>2.5.2-1883.186</v>
      </c>
      <c r="C46" s="82" t="str">
        <f>'Necesidades Trimestrales'!E44</f>
        <v>ANESTESICOS LOCALES; TIPO: MONODROGA, DROGA GENERICA: LIDOCAINA 2%S/EPINEFRINA, FORMA FARMACEUTICA: AMPOLLA, PRESENTACION: 5 mL</v>
      </c>
      <c r="D46" s="82"/>
      <c r="E46" s="82"/>
      <c r="F46" s="82"/>
      <c r="G46" s="82"/>
      <c r="H46" s="49" t="s">
        <v>55</v>
      </c>
      <c r="I46" s="50" t="str">
        <f>'Necesidades Trimestrales'!F44</f>
        <v>AMPOLLA</v>
      </c>
      <c r="J46" s="51">
        <f>'Necesidades Trimestrales'!H44</f>
        <v>33</v>
      </c>
      <c r="K46" s="52">
        <f>'Necesidades Trimestrales'!G44</f>
        <v>5000</v>
      </c>
    </row>
    <row r="47" spans="1:11" ht="42.75" customHeight="1" thickBot="1" x14ac:dyDescent="0.25">
      <c r="A47" s="8">
        <v>36</v>
      </c>
      <c r="B47" s="48" t="str">
        <f>'Necesidades Trimestrales'!B45</f>
        <v>2.5.2-1883.136</v>
      </c>
      <c r="C47" s="82" t="str">
        <f>'Necesidades Trimestrales'!E45</f>
        <v>ANESTESICOS LOCALES; TIPO: MONODROGA, DROGA GENERICA: LIDOCAINA 2% S/EPINEFRINA, FORMA FARMACEUTICA: FRASCO AMPOLLA, PRESENTACION: ENVASE X 20 mL</v>
      </c>
      <c r="D47" s="82"/>
      <c r="E47" s="82"/>
      <c r="F47" s="82"/>
      <c r="G47" s="82"/>
      <c r="H47" s="49" t="s">
        <v>55</v>
      </c>
      <c r="I47" s="50" t="str">
        <f>'Necesidades Trimestrales'!F45</f>
        <v>AMPOLLA</v>
      </c>
      <c r="J47" s="51">
        <f>'Necesidades Trimestrales'!H45</f>
        <v>325</v>
      </c>
      <c r="K47" s="52">
        <f>'Necesidades Trimestrales'!G45</f>
        <v>50</v>
      </c>
    </row>
    <row r="48" spans="1:11" ht="50.25" customHeight="1" thickBot="1" x14ac:dyDescent="0.25">
      <c r="A48" s="8">
        <v>37</v>
      </c>
      <c r="B48" s="48" t="str">
        <f>'Necesidades Trimestrales'!B46</f>
        <v>2.5.2-1883.111</v>
      </c>
      <c r="C48" s="82" t="str">
        <f>'Necesidades Trimestrales'!E46</f>
        <v>ANESTESICOS LOCALES; TIPO: ASOCIACION, DROGA GENERICA: LIDOCAINA 2% C/EPINEFRINA, FORMA FARMACEUTICA: FRASCO AMPOLLA, PRESENTACION: 20 mL</v>
      </c>
      <c r="D48" s="82"/>
      <c r="E48" s="82"/>
      <c r="F48" s="82"/>
      <c r="G48" s="82"/>
      <c r="H48" s="49" t="s">
        <v>55</v>
      </c>
      <c r="I48" s="50" t="str">
        <f>'Necesidades Trimestrales'!F46</f>
        <v>AMPOLLA</v>
      </c>
      <c r="J48" s="51">
        <f>'Necesidades Trimestrales'!H46</f>
        <v>493</v>
      </c>
      <c r="K48" s="52">
        <f>'Necesidades Trimestrales'!G46</f>
        <v>50</v>
      </c>
    </row>
    <row r="49" spans="1:11" ht="49.5" customHeight="1" thickBot="1" x14ac:dyDescent="0.25">
      <c r="A49" s="8">
        <v>38</v>
      </c>
      <c r="B49" s="48" t="str">
        <f>'Necesidades Trimestrales'!B47</f>
        <v>2.5.2-1883.28</v>
      </c>
      <c r="C49" s="82" t="str">
        <f>'Necesidades Trimestrales'!E47</f>
        <v>ANESTESICOS LOCALES; TIPO: MONODROGA, DROGA GENERICA: LIDOCAINA, FORMA FARMACEUTICA: AEROSOL, PRESENTACION: 100 mL</v>
      </c>
      <c r="D49" s="82"/>
      <c r="E49" s="82"/>
      <c r="F49" s="82"/>
      <c r="G49" s="82"/>
      <c r="H49" s="49" t="s">
        <v>55</v>
      </c>
      <c r="I49" s="50" t="str">
        <f>'Necesidades Trimestrales'!F47</f>
        <v>UNIDAD</v>
      </c>
      <c r="J49" s="51">
        <f>'Necesidades Trimestrales'!H47</f>
        <v>845</v>
      </c>
      <c r="K49" s="52">
        <f>'Necesidades Trimestrales'!G47</f>
        <v>20</v>
      </c>
    </row>
    <row r="50" spans="1:11" ht="43.5" customHeight="1" thickBot="1" x14ac:dyDescent="0.25">
      <c r="A50" s="8">
        <v>39</v>
      </c>
      <c r="B50" s="48" t="str">
        <f>'Necesidades Trimestrales'!B48</f>
        <v>2.5.2-1883.149</v>
      </c>
      <c r="C50" s="82" t="str">
        <f>'Necesidades Trimestrales'!E48</f>
        <v>ANESTESICOS LOCALES; TIPO: MONODROGA, DROGA GENERICA: LIDOCAINA, FORMA FARMACEUTICA: JALEA, PRESENTACION: ENVASE X 25 GR</v>
      </c>
      <c r="D50" s="82"/>
      <c r="E50" s="82"/>
      <c r="F50" s="82"/>
      <c r="G50" s="82"/>
      <c r="H50" s="49" t="s">
        <v>55</v>
      </c>
      <c r="I50" s="50" t="str">
        <f>'Necesidades Trimestrales'!F48</f>
        <v>UNIDAD</v>
      </c>
      <c r="J50" s="51">
        <f>'Necesidades Trimestrales'!H48</f>
        <v>112</v>
      </c>
      <c r="K50" s="52">
        <f>'Necesidades Trimestrales'!G48</f>
        <v>600</v>
      </c>
    </row>
    <row r="51" spans="1:11" ht="42" customHeight="1" thickBot="1" x14ac:dyDescent="0.25">
      <c r="A51" s="8">
        <v>40</v>
      </c>
      <c r="B51" s="48" t="str">
        <f>'Necesidades Trimestrales'!B49</f>
        <v>2.5.2-1883.19</v>
      </c>
      <c r="C51" s="82" t="str">
        <f>'Necesidades Trimestrales'!E49</f>
        <v>ANESTESICOS LOCALES; TIPO: MONODROGA, DROGA GENERICA: LIDOCAINA VISCOSA, FORMA FARMACEUTICA: ENVASE, PRESENTACION: 50 mL</v>
      </c>
      <c r="D51" s="82"/>
      <c r="E51" s="82"/>
      <c r="F51" s="82"/>
      <c r="G51" s="82"/>
      <c r="H51" s="49" t="s">
        <v>55</v>
      </c>
      <c r="I51" s="50" t="str">
        <f>'Necesidades Trimestrales'!F49</f>
        <v>UNIDAD</v>
      </c>
      <c r="J51" s="51">
        <f>'Necesidades Trimestrales'!H49</f>
        <v>245</v>
      </c>
      <c r="K51" s="52">
        <f>'Necesidades Trimestrales'!G49</f>
        <v>50</v>
      </c>
    </row>
    <row r="52" spans="1:11" ht="43.5" customHeight="1" thickBot="1" x14ac:dyDescent="0.25">
      <c r="A52" s="8">
        <v>41</v>
      </c>
      <c r="B52" s="48" t="str">
        <f>'Necesidades Trimestrales'!B50</f>
        <v>2.5.2-1821.329</v>
      </c>
      <c r="C52" s="82" t="str">
        <f>'Necesidades Trimestrales'!E50</f>
        <v>ANTIBIOTICOS P/PERSONAS; TIPO: MONODROGA, DROGA GENERICA: LINEZOLID, FORMA FARMACEUTICA: SOLUCION, PRESENTACION: ENVASE X 300 mL</v>
      </c>
      <c r="D52" s="82"/>
      <c r="E52" s="82"/>
      <c r="F52" s="82"/>
      <c r="G52" s="82"/>
      <c r="H52" s="49" t="s">
        <v>55</v>
      </c>
      <c r="I52" s="50" t="str">
        <f>'Necesidades Trimestrales'!F50</f>
        <v>FRASCO</v>
      </c>
      <c r="J52" s="51">
        <f>'Necesidades Trimestrales'!H50</f>
        <v>1815</v>
      </c>
      <c r="K52" s="52">
        <f>'Necesidades Trimestrales'!G50</f>
        <v>60</v>
      </c>
    </row>
    <row r="53" spans="1:11" ht="49.5" customHeight="1" thickBot="1" x14ac:dyDescent="0.25">
      <c r="A53" s="8">
        <v>42</v>
      </c>
      <c r="B53" s="48" t="str">
        <f>'Necesidades Trimestrales'!B51</f>
        <v>2.5.2-1821.463</v>
      </c>
      <c r="C53" s="82" t="str">
        <f>'Necesidades Trimestrales'!E51</f>
        <v>ANTIBIOTICOS P/PERSONAS; TIPO: MONODROGA, DROGA GENERICA: MEROPENEM 1000 mGr, FORMA FARMACEUTICA: AMPOLLA, PRESENTACION: UNIDAD</v>
      </c>
      <c r="D53" s="82"/>
      <c r="E53" s="82"/>
      <c r="F53" s="82"/>
      <c r="G53" s="82"/>
      <c r="H53" s="49" t="s">
        <v>55</v>
      </c>
      <c r="I53" s="50" t="str">
        <f>'Necesidades Trimestrales'!F51</f>
        <v>AMPOLLA</v>
      </c>
      <c r="J53" s="51">
        <f>'Necesidades Trimestrales'!H51</f>
        <v>590</v>
      </c>
      <c r="K53" s="52">
        <f>'Necesidades Trimestrales'!G51</f>
        <v>500</v>
      </c>
    </row>
    <row r="54" spans="1:11" ht="55.5" customHeight="1" thickBot="1" x14ac:dyDescent="0.25">
      <c r="A54" s="8">
        <v>43</v>
      </c>
      <c r="B54" s="48" t="str">
        <f>'Necesidades Trimestrales'!B52</f>
        <v>2.5.2-1821.400</v>
      </c>
      <c r="C54" s="82" t="str">
        <f>'Necesidades Trimestrales'!E52</f>
        <v>ANTIBIOTICOS P/PERSONAS; TIPO: MONODROGA, DROGA GENERICA: METRONIDAZOL 500 mGr, FORMA FARMACEUTICA: SACHET X 100 mL, PRESENTACION: UNIDAD</v>
      </c>
      <c r="D54" s="82"/>
      <c r="E54" s="82"/>
      <c r="F54" s="82"/>
      <c r="G54" s="82"/>
      <c r="H54" s="49" t="s">
        <v>55</v>
      </c>
      <c r="I54" s="50" t="str">
        <f>'Necesidades Trimestrales'!F52</f>
        <v>UNIDAD</v>
      </c>
      <c r="J54" s="51">
        <f>'Necesidades Trimestrales'!H52</f>
        <v>138</v>
      </c>
      <c r="K54" s="52">
        <f>'Necesidades Trimestrales'!G52</f>
        <v>7500</v>
      </c>
    </row>
    <row r="55" spans="1:11" ht="42" customHeight="1" thickBot="1" x14ac:dyDescent="0.25">
      <c r="A55" s="8">
        <v>44</v>
      </c>
      <c r="B55" s="48" t="str">
        <f>'Necesidades Trimestrales'!B53</f>
        <v>2.5.2-1724.98</v>
      </c>
      <c r="C55" s="82" t="str">
        <f>'Necesidades Trimestrales'!E53</f>
        <v>ANALGESICOS; TIPO: MONODROGA, DROGA GENERICA: MORFINA CLORIDRATO 1%, FORMA FARMACEUTICA: AMPOLLA, PRESENTACION: 1 mL</v>
      </c>
      <c r="D55" s="82"/>
      <c r="E55" s="82"/>
      <c r="F55" s="82"/>
      <c r="G55" s="82"/>
      <c r="H55" s="49" t="s">
        <v>55</v>
      </c>
      <c r="I55" s="50" t="str">
        <f>'Necesidades Trimestrales'!F53</f>
        <v>AMPOLLA</v>
      </c>
      <c r="J55" s="51">
        <f>'Necesidades Trimestrales'!H53</f>
        <v>66</v>
      </c>
      <c r="K55" s="52">
        <f>'Necesidades Trimestrales'!G53</f>
        <v>4200</v>
      </c>
    </row>
    <row r="56" spans="1:11" ht="43.5" customHeight="1" thickBot="1" x14ac:dyDescent="0.25">
      <c r="A56" s="8">
        <v>45</v>
      </c>
      <c r="B56" s="48" t="str">
        <f>'Necesidades Trimestrales'!B54</f>
        <v>2.5.2-1724.206</v>
      </c>
      <c r="C56" s="82" t="str">
        <f>'Necesidades Trimestrales'!E54</f>
        <v>ANALGESICOS; TIPO: MONODROGA, DROGA GENERICA: NALBUFINA 10 mGr, FORMA FARMACEUTICA: AMPOLLA, PRESENTACION: ENVASE X 1 mL</v>
      </c>
      <c r="D56" s="82"/>
      <c r="E56" s="82"/>
      <c r="F56" s="82"/>
      <c r="G56" s="82"/>
      <c r="H56" s="49" t="s">
        <v>55</v>
      </c>
      <c r="I56" s="50" t="str">
        <f>'Necesidades Trimestrales'!F54</f>
        <v>AMPOLLA</v>
      </c>
      <c r="J56" s="51">
        <f>'Necesidades Trimestrales'!H54</f>
        <v>72</v>
      </c>
      <c r="K56" s="52">
        <f>'Necesidades Trimestrales'!G54</f>
        <v>2000</v>
      </c>
    </row>
    <row r="57" spans="1:11" ht="45.75" customHeight="1" thickBot="1" x14ac:dyDescent="0.25">
      <c r="A57" s="8">
        <v>46</v>
      </c>
      <c r="B57" s="48" t="str">
        <f>'Necesidades Trimestrales'!B55</f>
        <v>2.5.2-1725.35</v>
      </c>
      <c r="C57" s="82" t="str">
        <f>'Necesidades Trimestrales'!E55</f>
        <v>ANTIINFLAMATORIOS NO ESTEROIDE; TIPO: MONODROGA, DROGA GENERICA: NAPROXENO, FORMA FARMACEUTICA: COMPRIMIDO, PRESENTACION: 500 mGr</v>
      </c>
      <c r="D57" s="82"/>
      <c r="E57" s="82"/>
      <c r="F57" s="82"/>
      <c r="G57" s="82"/>
      <c r="H57" s="49" t="s">
        <v>55</v>
      </c>
      <c r="I57" s="50" t="str">
        <f>'Necesidades Trimestrales'!F55</f>
        <v>COMPRIMIDO</v>
      </c>
      <c r="J57" s="51">
        <f>'Necesidades Trimestrales'!H55</f>
        <v>16.8</v>
      </c>
      <c r="K57" s="52">
        <f>'Necesidades Trimestrales'!G55</f>
        <v>300</v>
      </c>
    </row>
    <row r="58" spans="1:11" ht="40.5" customHeight="1" thickBot="1" x14ac:dyDescent="0.25">
      <c r="A58" s="8">
        <v>47</v>
      </c>
      <c r="B58" s="48" t="str">
        <f>'Necesidades Trimestrales'!B56</f>
        <v>2.5.2-1724.243</v>
      </c>
      <c r="C58" s="82" t="str">
        <f>'Necesidades Trimestrales'!E56</f>
        <v>ANALGESICOS; TIPO: MONODROGA, DROGA GENERICA: PARACETAMOL 1 GR, FORMA FARMACEUTICA: COMPRIMIDO, PRESENTACION: UNIDAD</v>
      </c>
      <c r="D58" s="82"/>
      <c r="E58" s="82"/>
      <c r="F58" s="82"/>
      <c r="G58" s="82"/>
      <c r="H58" s="49" t="s">
        <v>55</v>
      </c>
      <c r="I58" s="50" t="str">
        <f>'Necesidades Trimestrales'!F56</f>
        <v>COMPRIMIDO</v>
      </c>
      <c r="J58" s="51">
        <f>'Necesidades Trimestrales'!H56</f>
        <v>9.8000000000000007</v>
      </c>
      <c r="K58" s="52">
        <f>'Necesidades Trimestrales'!G56</f>
        <v>15000</v>
      </c>
    </row>
    <row r="59" spans="1:11" ht="47.25" customHeight="1" thickBot="1" x14ac:dyDescent="0.25">
      <c r="A59" s="8">
        <v>48</v>
      </c>
      <c r="B59" s="48" t="str">
        <f>'Necesidades Trimestrales'!B57</f>
        <v>2.5.2-1724.230</v>
      </c>
      <c r="C59" s="82" t="str">
        <f>'Necesidades Trimestrales'!E57</f>
        <v>ANALGESICOS ; PRESENTACION: 100 mL, FORMA FARMACEUTICA: AMPOLLA, DROGA GENERICA: PARACETAMOL 1000 mGr, TIPO: MONODROGA mGr</v>
      </c>
      <c r="D59" s="82"/>
      <c r="E59" s="82"/>
      <c r="F59" s="82"/>
      <c r="G59" s="82"/>
      <c r="H59" s="49" t="s">
        <v>55</v>
      </c>
      <c r="I59" s="50" t="str">
        <f>'Necesidades Trimestrales'!F57</f>
        <v>AMPOLLA</v>
      </c>
      <c r="J59" s="51">
        <f>'Necesidades Trimestrales'!H57</f>
        <v>980</v>
      </c>
      <c r="K59" s="52">
        <f>'Necesidades Trimestrales'!G57</f>
        <v>300</v>
      </c>
    </row>
    <row r="60" spans="1:11" ht="42" customHeight="1" thickBot="1" x14ac:dyDescent="0.25">
      <c r="A60" s="8">
        <v>49</v>
      </c>
      <c r="B60" s="48" t="str">
        <f>'Necesidades Trimestrales'!B58</f>
        <v>2.5.2-1724.245</v>
      </c>
      <c r="C60" s="82" t="str">
        <f>'Necesidades Trimestrales'!E58</f>
        <v>ANALGÉSICOS ; TIPO: MONODROGA, DROGA GENÉRICA: PARACETAMOL 500 MGR, FORMA FARMACEÚTICA: COMPRIMIDO, PRESENTACIÓN: X UNIDAD</v>
      </c>
      <c r="D60" s="82"/>
      <c r="E60" s="82"/>
      <c r="F60" s="82"/>
      <c r="G60" s="82"/>
      <c r="H60" s="49" t="s">
        <v>55</v>
      </c>
      <c r="I60" s="50" t="str">
        <f>'Necesidades Trimestrales'!F58</f>
        <v>COMPRIMIDO</v>
      </c>
      <c r="J60" s="51">
        <f>'Necesidades Trimestrales'!H58</f>
        <v>5.3</v>
      </c>
      <c r="K60" s="52">
        <f>'Necesidades Trimestrales'!G58</f>
        <v>5000</v>
      </c>
    </row>
    <row r="61" spans="1:11" ht="42" customHeight="1" thickBot="1" x14ac:dyDescent="0.25">
      <c r="A61" s="8">
        <v>50</v>
      </c>
      <c r="B61" s="48" t="str">
        <f>'Necesidades Trimestrales'!B59</f>
        <v>2.5.2-1821.13</v>
      </c>
      <c r="C61" s="82" t="str">
        <f>'Necesidades Trimestrales'!E59</f>
        <v>ANTIBIOTICOS P/PERSONAS; TIPO: MONODROGA, DROGA GENERICA: PENICILINA G. SODICA, FORMA FARMACEUTICA: AMPOLLA, PRESENTACION: 3.000.000 UI</v>
      </c>
      <c r="D61" s="82"/>
      <c r="E61" s="82"/>
      <c r="F61" s="82"/>
      <c r="G61" s="82"/>
      <c r="H61" s="49" t="s">
        <v>55</v>
      </c>
      <c r="I61" s="50" t="str">
        <f>'Necesidades Trimestrales'!F59</f>
        <v>AMPOLLA</v>
      </c>
      <c r="J61" s="51">
        <f>'Necesidades Trimestrales'!H59</f>
        <v>145</v>
      </c>
      <c r="K61" s="52">
        <f>'Necesidades Trimestrales'!G59</f>
        <v>1200</v>
      </c>
    </row>
    <row r="62" spans="1:11" ht="35.25" customHeight="1" thickBot="1" x14ac:dyDescent="0.25">
      <c r="A62" s="8">
        <v>51</v>
      </c>
      <c r="B62" s="48" t="str">
        <f>'Necesidades Trimestrales'!B60</f>
        <v>2.5.2-3097.9</v>
      </c>
      <c r="C62" s="82" t="str">
        <f>'Necesidades Trimestrales'!E60</f>
        <v>PEDICULICIDAS; DROGA GENERICA: PERMETRINA, FORMA FARMACEUTICA: EMULSION, PRESENTACION: 100 mL</v>
      </c>
      <c r="D62" s="82"/>
      <c r="E62" s="82"/>
      <c r="F62" s="82"/>
      <c r="G62" s="82"/>
      <c r="H62" s="49" t="s">
        <v>55</v>
      </c>
      <c r="I62" s="50" t="str">
        <f>'Necesidades Trimestrales'!F60</f>
        <v>UNIDAD</v>
      </c>
      <c r="J62" s="51">
        <f>'Necesidades Trimestrales'!H60</f>
        <v>958</v>
      </c>
      <c r="K62" s="52">
        <f>'Necesidades Trimestrales'!G60</f>
        <v>15</v>
      </c>
    </row>
    <row r="63" spans="1:11" ht="40.5" customHeight="1" thickBot="1" x14ac:dyDescent="0.25">
      <c r="A63" s="8">
        <v>52</v>
      </c>
      <c r="B63" s="48" t="str">
        <f>'Necesidades Trimestrales'!B61</f>
        <v>2.5.2-3097.1</v>
      </c>
      <c r="C63" s="82" t="str">
        <f>'Necesidades Trimestrales'!E61</f>
        <v>PEDICULICIDAS; DROGA GENERICA: PERMETRINA 1%, FORMA FARMACEUTICA: SOLUCION, PRESENTACION: FRASCO X 100 mL</v>
      </c>
      <c r="D63" s="82"/>
      <c r="E63" s="82"/>
      <c r="F63" s="82"/>
      <c r="G63" s="82"/>
      <c r="H63" s="49" t="s">
        <v>55</v>
      </c>
      <c r="I63" s="50" t="str">
        <f>'Necesidades Trimestrales'!F61</f>
        <v>UNIDAD</v>
      </c>
      <c r="J63" s="51">
        <f>'Necesidades Trimestrales'!H61</f>
        <v>345</v>
      </c>
      <c r="K63" s="52">
        <f>'Necesidades Trimestrales'!G61</f>
        <v>15</v>
      </c>
    </row>
    <row r="64" spans="1:11" ht="42.75" customHeight="1" thickBot="1" x14ac:dyDescent="0.25">
      <c r="A64" s="8">
        <v>53</v>
      </c>
      <c r="B64" s="48" t="str">
        <f>'Necesidades Trimestrales'!B62</f>
        <v>2.5.2-3603.15</v>
      </c>
      <c r="C64" s="82" t="str">
        <f>'Necesidades Trimestrales'!E62</f>
        <v>EVACUANTES INTESTINALES; TIPO: MONODROGA, DROGA GENERICA: POLIETILENGLICOL, FORMA FARMACEUTICA: SOLUCION, PRESENTACION: ENVASE X 4 L</v>
      </c>
      <c r="D64" s="82"/>
      <c r="E64" s="82"/>
      <c r="F64" s="82"/>
      <c r="G64" s="82"/>
      <c r="H64" s="49" t="s">
        <v>55</v>
      </c>
      <c r="I64" s="50" t="str">
        <f>'Necesidades Trimestrales'!F62</f>
        <v>UNIDAD</v>
      </c>
      <c r="J64" s="51">
        <f>'Necesidades Trimestrales'!H62</f>
        <v>7934</v>
      </c>
      <c r="K64" s="52">
        <f>'Necesidades Trimestrales'!G62</f>
        <v>4</v>
      </c>
    </row>
    <row r="65" spans="1:1024" ht="34.5" customHeight="1" thickBot="1" x14ac:dyDescent="0.25">
      <c r="A65" s="8">
        <v>54</v>
      </c>
      <c r="B65" s="48" t="str">
        <f>'Necesidades Trimestrales'!B63</f>
        <v>2.5.2-1822.6</v>
      </c>
      <c r="C65" s="82" t="str">
        <f>'Necesidades Trimestrales'!E63</f>
        <v>ANTIMICOBACTERIAS; TIPO: MONODROGA, DROGA GENERICA: RIFAMPICINA, PRESENTACION: 300 mGr, FORMA FARMACEUTICA: CAPSULA</v>
      </c>
      <c r="D65" s="82"/>
      <c r="E65" s="82"/>
      <c r="F65" s="82"/>
      <c r="G65" s="82"/>
      <c r="H65" s="49" t="s">
        <v>55</v>
      </c>
      <c r="I65" s="50" t="str">
        <f>'Necesidades Trimestrales'!F63</f>
        <v>CAPSULAS</v>
      </c>
      <c r="J65" s="51">
        <f>'Necesidades Trimestrales'!H63</f>
        <v>37</v>
      </c>
      <c r="K65" s="52">
        <f>'Necesidades Trimestrales'!G63</f>
        <v>40</v>
      </c>
    </row>
    <row r="66" spans="1:1024" ht="45" customHeight="1" thickBot="1" x14ac:dyDescent="0.25">
      <c r="A66" s="8">
        <v>55</v>
      </c>
      <c r="B66" s="48" t="str">
        <f>'Necesidades Trimestrales'!B64</f>
        <v>2.5.2-1821.219</v>
      </c>
      <c r="C66" s="82" t="str">
        <f>'Necesidades Trimestrales'!E64</f>
        <v>ANTIBIOTICOS P/PERSONAS; TIPO: MONODROGA, DROGA GENERICA: RIFAMPICINA, FORMA FARMACEUTICA: FRASCO AMPOLLA, PRESENTACION: 600 mGr</v>
      </c>
      <c r="D66" s="82"/>
      <c r="E66" s="82"/>
      <c r="F66" s="82"/>
      <c r="G66" s="82"/>
      <c r="H66" s="49" t="s">
        <v>55</v>
      </c>
      <c r="I66" s="50" t="str">
        <f>'Necesidades Trimestrales'!F64</f>
        <v>AMPOLLA</v>
      </c>
      <c r="J66" s="51">
        <f>'Necesidades Trimestrales'!H64</f>
        <v>1360</v>
      </c>
      <c r="K66" s="52">
        <f>'Necesidades Trimestrales'!G64</f>
        <v>100</v>
      </c>
    </row>
    <row r="67" spans="1:1024" ht="33" customHeight="1" thickBot="1" x14ac:dyDescent="0.25">
      <c r="A67" s="8">
        <v>56</v>
      </c>
      <c r="B67" s="48" t="str">
        <f>'Necesidades Trimestrales'!B65</f>
        <v>2.5.2-2455.31</v>
      </c>
      <c r="C67" s="82" t="str">
        <f>'Necesidades Trimestrales'!E65</f>
        <v>ANESTESICOS GENERALES; DROGA GENERICA: SEVOFLUORANO, FORMA FARMACEUTICA: SOLUCION, PRESENTACION: ENVASE X 250 mL, TIPO: MONODROGA</v>
      </c>
      <c r="D67" s="82"/>
      <c r="E67" s="82"/>
      <c r="F67" s="82"/>
      <c r="G67" s="82"/>
      <c r="H67" s="49" t="s">
        <v>55</v>
      </c>
      <c r="I67" s="50" t="str">
        <f>'Necesidades Trimestrales'!F65</f>
        <v>FRASCO</v>
      </c>
      <c r="J67" s="51">
        <f>'Necesidades Trimestrales'!H65</f>
        <v>15580</v>
      </c>
      <c r="K67" s="52">
        <f>'Necesidades Trimestrales'!G65</f>
        <v>100</v>
      </c>
    </row>
    <row r="68" spans="1:1024" ht="33" customHeight="1" thickBot="1" x14ac:dyDescent="0.25">
      <c r="A68" s="8">
        <v>57</v>
      </c>
      <c r="B68" s="48" t="str">
        <f>'Necesidades Trimestrales'!B66</f>
        <v>2.5.2-2199.2</v>
      </c>
      <c r="C68" s="82" t="str">
        <f>'Necesidades Trimestrales'!E66</f>
        <v>BLOQUEANTES NEUROMUSCULARES; DROGA GENERICA: SUCCINILCOLINA, FORMA FARMACEUTICA: AMPOLLA, PRESENTACION: 500 mGr, TIPO: MONODROGA</v>
      </c>
      <c r="D68" s="82"/>
      <c r="E68" s="82"/>
      <c r="F68" s="82"/>
      <c r="G68" s="82"/>
      <c r="H68" s="49" t="s">
        <v>55</v>
      </c>
      <c r="I68" s="50" t="str">
        <f>'Necesidades Trimestrales'!F66</f>
        <v>AMPOLLA</v>
      </c>
      <c r="J68" s="51">
        <f>'Necesidades Trimestrales'!H66</f>
        <v>340</v>
      </c>
      <c r="K68" s="52">
        <f>'Necesidades Trimestrales'!G66</f>
        <v>300</v>
      </c>
    </row>
    <row r="69" spans="1:1024" ht="37.5" customHeight="1" thickBot="1" x14ac:dyDescent="0.25">
      <c r="A69" s="8">
        <v>58</v>
      </c>
      <c r="B69" s="48" t="str">
        <f>'Necesidades Trimestrales'!B67</f>
        <v>2.5.2-1821.423</v>
      </c>
      <c r="C69" s="82" t="str">
        <f>'Necesidades Trimestrales'!E67</f>
        <v>ANTIBIOTICOS P/PERSONAS; TIPO: MONODROGA, DROGA GENERICA: TIGECICLINA 50 mGr, FORMA FARMACEUTICA: FRASCO AMPOLLA, PRESENTACION: UNIDAD</v>
      </c>
      <c r="D69" s="82"/>
      <c r="E69" s="82"/>
      <c r="F69" s="82"/>
      <c r="G69" s="82"/>
      <c r="H69" s="49" t="s">
        <v>55</v>
      </c>
      <c r="I69" s="50" t="str">
        <f>'Necesidades Trimestrales'!F67</f>
        <v>AMPOLLA</v>
      </c>
      <c r="J69" s="51">
        <f>'Necesidades Trimestrales'!H67</f>
        <v>1252</v>
      </c>
      <c r="K69" s="52">
        <f>'Necesidades Trimestrales'!G67</f>
        <v>200</v>
      </c>
    </row>
    <row r="70" spans="1:1024" ht="45" customHeight="1" thickBot="1" x14ac:dyDescent="0.25">
      <c r="A70" s="8">
        <v>59</v>
      </c>
      <c r="B70" s="48" t="str">
        <f>'Necesidades Trimestrales'!B68</f>
        <v>2.5.2-1724.154</v>
      </c>
      <c r="C70" s="82" t="str">
        <f>'Necesidades Trimestrales'!E68</f>
        <v>ANALGESICOS; TIPO: MONODROGA, DROGA GENERICA: TRAMADOL 50 mGr, FORMA FARMACEUTICA: AMPOLLA, PRESENTACION: UNIDAD</v>
      </c>
      <c r="D70" s="82"/>
      <c r="E70" s="82"/>
      <c r="F70" s="82"/>
      <c r="G70" s="82"/>
      <c r="H70" s="49" t="s">
        <v>55</v>
      </c>
      <c r="I70" s="50" t="str">
        <f>'Necesidades Trimestrales'!F68</f>
        <v>AMPOLLA</v>
      </c>
      <c r="J70" s="51">
        <f>'Necesidades Trimestrales'!H68</f>
        <v>65</v>
      </c>
      <c r="K70" s="52">
        <f>'Necesidades Trimestrales'!G68</f>
        <v>800</v>
      </c>
    </row>
    <row r="71" spans="1:1024" ht="43.5" customHeight="1" thickBot="1" x14ac:dyDescent="0.25">
      <c r="A71" s="8">
        <v>60</v>
      </c>
      <c r="B71" s="48" t="str">
        <f>'Necesidades Trimestrales'!B69</f>
        <v>2.5.2-2199.13</v>
      </c>
      <c r="C71" s="82" t="str">
        <f>'Necesidades Trimestrales'!E69</f>
        <v>BLOQUEANTES NEUROMUSCULARES; DROGA GENERICA: BROMURO DE VECURONIO, FORMA FARMACEUTICA: AMPOLLA X 10 mGr, PRESENTACION: UNIDAD, TIPO: MONODROGA</v>
      </c>
      <c r="D71" s="82"/>
      <c r="E71" s="82"/>
      <c r="F71" s="82"/>
      <c r="G71" s="82"/>
      <c r="H71" s="49" t="s">
        <v>55</v>
      </c>
      <c r="I71" s="50" t="str">
        <f>'Necesidades Trimestrales'!F69</f>
        <v>AMPOLLA</v>
      </c>
      <c r="J71" s="51">
        <f>'Necesidades Trimestrales'!H69</f>
        <v>864</v>
      </c>
      <c r="K71" s="52">
        <f>'Necesidades Trimestrales'!G69</f>
        <v>100</v>
      </c>
    </row>
    <row r="72" spans="1:1024" ht="39.75" customHeight="1" thickBot="1" x14ac:dyDescent="0.25">
      <c r="A72" s="123" t="s">
        <v>205</v>
      </c>
      <c r="B72" s="123"/>
      <c r="C72" s="123"/>
      <c r="D72" s="123"/>
      <c r="E72" s="123"/>
      <c r="F72" s="123"/>
      <c r="G72" s="123"/>
      <c r="H72" s="123"/>
      <c r="I72" s="123"/>
      <c r="J72" s="83">
        <f>SUMPRODUCT(J12:J71,K12:K71)</f>
        <v>18824279.07</v>
      </c>
      <c r="K72" s="83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</row>
  </sheetData>
  <mergeCells count="82">
    <mergeCell ref="A72:I72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5:G35"/>
    <mergeCell ref="C34:G34"/>
    <mergeCell ref="J72:K7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C31:G31"/>
    <mergeCell ref="C32:G32"/>
    <mergeCell ref="C33:G33"/>
    <mergeCell ref="C13:G13"/>
    <mergeCell ref="C14:G14"/>
    <mergeCell ref="C15:G15"/>
    <mergeCell ref="C16:G16"/>
    <mergeCell ref="C26:G26"/>
    <mergeCell ref="C27:G27"/>
    <mergeCell ref="C28:G28"/>
    <mergeCell ref="C29:G29"/>
    <mergeCell ref="C30:G30"/>
    <mergeCell ref="C21:G21"/>
    <mergeCell ref="C22:G22"/>
    <mergeCell ref="C23:G23"/>
    <mergeCell ref="C24:G24"/>
    <mergeCell ref="C25:G25"/>
    <mergeCell ref="C49:G49"/>
    <mergeCell ref="C50:G50"/>
    <mergeCell ref="C36:G36"/>
    <mergeCell ref="C37:G37"/>
    <mergeCell ref="C38:G38"/>
    <mergeCell ref="C44:G44"/>
    <mergeCell ref="C45:G45"/>
    <mergeCell ref="C46:G46"/>
    <mergeCell ref="C47:G47"/>
    <mergeCell ref="C48:G48"/>
    <mergeCell ref="C39:G39"/>
    <mergeCell ref="C40:G40"/>
    <mergeCell ref="C41:G41"/>
    <mergeCell ref="C42:G42"/>
    <mergeCell ref="C43:G43"/>
    <mergeCell ref="C69:G69"/>
    <mergeCell ref="C53:G53"/>
    <mergeCell ref="C54:G54"/>
    <mergeCell ref="C55:G55"/>
    <mergeCell ref="C56:G56"/>
    <mergeCell ref="C70:G70"/>
    <mergeCell ref="C51:G51"/>
    <mergeCell ref="C52:G52"/>
    <mergeCell ref="C71:G71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6" zoomScale="130" zoomScaleNormal="130" workbookViewId="0">
      <selection activeCell="S21" sqref="S2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2022</v>
      </c>
      <c r="E1" s="120"/>
      <c r="F1" s="10"/>
      <c r="G1" s="10"/>
      <c r="H1" s="11"/>
      <c r="I1" s="11"/>
      <c r="J1" s="11"/>
      <c r="K1" s="11"/>
      <c r="L1" s="11"/>
      <c r="M1" s="11"/>
      <c r="N1" s="11"/>
      <c r="P1" s="121" t="s">
        <v>29</v>
      </c>
      <c r="Q1" s="12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1"/>
      <c r="Q2" s="121"/>
    </row>
    <row r="4" spans="1:17" s="12" customFormat="1" ht="18" customHeight="1" thickBot="1" x14ac:dyDescent="0.25">
      <c r="A4" s="122" t="s">
        <v>30</v>
      </c>
      <c r="B4" s="122"/>
      <c r="C4" s="122"/>
      <c r="D4" s="122"/>
      <c r="E4" s="122"/>
      <c r="F4" s="122"/>
      <c r="G4" s="117" t="str">
        <f>NotaPedido!D3</f>
        <v>40 - Ministerio de Salud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12" customFormat="1" ht="18" customHeight="1" thickBot="1" x14ac:dyDescent="0.25">
      <c r="A5" s="114" t="s">
        <v>53</v>
      </c>
      <c r="B5" s="115"/>
      <c r="C5" s="115"/>
      <c r="D5" s="115"/>
      <c r="E5" s="115"/>
      <c r="F5" s="116"/>
      <c r="G5" s="117" t="str">
        <f>NotaPedido!D4</f>
        <v>23 - Hospital Interzonal San Juan Bautista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12" customFormat="1" ht="18" customHeight="1" thickBot="1" x14ac:dyDescent="0.25">
      <c r="A6" s="114" t="s">
        <v>31</v>
      </c>
      <c r="B6" s="115"/>
      <c r="C6" s="115"/>
      <c r="D6" s="115"/>
      <c r="E6" s="115"/>
      <c r="F6" s="116"/>
      <c r="G6" s="117" t="str">
        <f>NotaPedido!D5</f>
        <v>168 - Direccion Asistencial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12" customFormat="1" ht="18" customHeight="1" thickBot="1" x14ac:dyDescent="0.25">
      <c r="A7" s="114" t="s">
        <v>54</v>
      </c>
      <c r="B7" s="115"/>
      <c r="C7" s="115"/>
      <c r="D7" s="115"/>
      <c r="E7" s="115"/>
      <c r="F7" s="116"/>
      <c r="G7" s="117" t="str">
        <f>NotaPedido!D6</f>
        <v>Servicio de Farmacia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thickBot="1" x14ac:dyDescent="0.25">
      <c r="A8" s="118" t="s">
        <v>32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2">
      <c r="A9" s="108" t="s">
        <v>33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13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DOCFI-2022-01904518-CAT-DASIS#HSJB,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thickBot="1" x14ac:dyDescent="0.25">
      <c r="A12" s="110" t="s">
        <v>34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thickBot="1" x14ac:dyDescent="0.25">
      <c r="A13" s="110" t="s">
        <v>35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36</v>
      </c>
      <c r="P13" s="111"/>
      <c r="Q13" s="113" t="s">
        <v>37</v>
      </c>
    </row>
    <row r="14" spans="1:17" ht="15.75" customHeight="1" x14ac:dyDescent="0.2">
      <c r="A14" s="54" t="s">
        <v>38</v>
      </c>
      <c r="B14" s="54" t="s">
        <v>39</v>
      </c>
      <c r="C14" s="54" t="s">
        <v>40</v>
      </c>
      <c r="D14" s="54" t="s">
        <v>41</v>
      </c>
      <c r="E14" s="54" t="s">
        <v>42</v>
      </c>
      <c r="F14" s="54" t="s">
        <v>43</v>
      </c>
      <c r="G14" s="55" t="s">
        <v>44</v>
      </c>
      <c r="H14" s="54" t="s">
        <v>45</v>
      </c>
      <c r="I14" s="54" t="s">
        <v>46</v>
      </c>
      <c r="J14" s="54" t="s">
        <v>47</v>
      </c>
      <c r="K14" s="54" t="s">
        <v>47</v>
      </c>
      <c r="L14" s="54" t="s">
        <v>48</v>
      </c>
      <c r="M14" s="54" t="s">
        <v>49</v>
      </c>
      <c r="N14" s="54" t="s">
        <v>50</v>
      </c>
      <c r="O14" s="112"/>
      <c r="P14" s="111"/>
      <c r="Q14" s="113"/>
    </row>
    <row r="15" spans="1:17" ht="17.25" customHeight="1" x14ac:dyDescent="0.2">
      <c r="A15" s="56">
        <v>33</v>
      </c>
      <c r="B15" s="56"/>
      <c r="C15" s="56"/>
      <c r="D15" s="56">
        <v>2</v>
      </c>
      <c r="E15" s="56"/>
      <c r="F15" s="56">
        <v>4901</v>
      </c>
      <c r="G15" s="56">
        <v>3</v>
      </c>
      <c r="H15" s="57" t="s">
        <v>61</v>
      </c>
      <c r="I15" s="56">
        <v>2</v>
      </c>
      <c r="J15" s="56">
        <v>5</v>
      </c>
      <c r="K15" s="56">
        <v>2</v>
      </c>
      <c r="L15" s="56"/>
      <c r="M15" s="56">
        <v>1</v>
      </c>
      <c r="N15" s="57" t="s">
        <v>62</v>
      </c>
      <c r="O15" s="125" t="s">
        <v>60</v>
      </c>
      <c r="P15" s="126"/>
      <c r="Q15" s="18">
        <v>18824279.07</v>
      </c>
    </row>
    <row r="16" spans="1:17" ht="17.25" customHeight="1" x14ac:dyDescent="0.2">
      <c r="A16" s="56"/>
      <c r="B16" s="56"/>
      <c r="C16" s="56"/>
      <c r="D16" s="56"/>
      <c r="E16" s="56"/>
      <c r="F16" s="56"/>
      <c r="G16" s="56"/>
      <c r="H16" s="57"/>
      <c r="I16" s="56"/>
      <c r="J16" s="56"/>
      <c r="K16" s="56"/>
      <c r="L16" s="56"/>
      <c r="M16" s="56"/>
      <c r="N16" s="57"/>
      <c r="O16" s="105"/>
      <c r="P16" s="106"/>
      <c r="Q16" s="18"/>
    </row>
    <row r="17" spans="1:19" ht="17.25" customHeight="1" x14ac:dyDescent="0.2">
      <c r="A17" s="56"/>
      <c r="B17" s="56"/>
      <c r="C17" s="56"/>
      <c r="D17" s="56"/>
      <c r="E17" s="56"/>
      <c r="F17" s="56"/>
      <c r="G17" s="56"/>
      <c r="H17" s="57"/>
      <c r="I17" s="56"/>
      <c r="J17" s="56"/>
      <c r="K17" s="56"/>
      <c r="L17" s="56"/>
      <c r="M17" s="56"/>
      <c r="N17" s="57"/>
      <c r="O17" s="105"/>
      <c r="P17" s="106"/>
      <c r="Q17" s="18"/>
      <c r="S17" s="53"/>
    </row>
    <row r="18" spans="1:19" ht="17.25" customHeight="1" x14ac:dyDescent="0.2">
      <c r="A18" s="56"/>
      <c r="B18" s="56"/>
      <c r="C18" s="56"/>
      <c r="D18" s="56"/>
      <c r="E18" s="56"/>
      <c r="F18" s="56"/>
      <c r="G18" s="56"/>
      <c r="H18" s="57"/>
      <c r="I18" s="56"/>
      <c r="J18" s="56"/>
      <c r="K18" s="56"/>
      <c r="L18" s="56"/>
      <c r="M18" s="56"/>
      <c r="N18" s="57"/>
      <c r="O18" s="107"/>
      <c r="P18" s="99"/>
      <c r="Q18" s="18"/>
    </row>
    <row r="19" spans="1:19" ht="17.25" customHeight="1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99"/>
      <c r="Q19" s="18"/>
    </row>
    <row r="20" spans="1:19" ht="17.25" customHeight="1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98"/>
      <c r="P20" s="99"/>
      <c r="Q20" s="18"/>
    </row>
    <row r="21" spans="1:19" ht="17.25" customHeight="1" x14ac:dyDescent="0.2">
      <c r="A21" s="58"/>
      <c r="B21" s="58"/>
      <c r="C21" s="58"/>
      <c r="D21" s="58"/>
      <c r="E21" s="58"/>
      <c r="F21" s="59"/>
      <c r="G21" s="58"/>
      <c r="H21" s="58"/>
      <c r="I21" s="58"/>
      <c r="J21" s="58"/>
      <c r="K21" s="58"/>
      <c r="L21" s="58"/>
      <c r="M21" s="58"/>
      <c r="N21" s="58"/>
      <c r="O21" s="100"/>
      <c r="P21" s="101"/>
      <c r="Q21" s="18"/>
      <c r="R21" s="1"/>
    </row>
    <row r="22" spans="1:19" ht="17.25" customHeight="1" thickBot="1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102"/>
      <c r="P22" s="103"/>
      <c r="Q22" s="19"/>
    </row>
    <row r="23" spans="1:19" ht="30" customHeight="1" thickBot="1" x14ac:dyDescent="0.25">
      <c r="A23" s="124" t="s">
        <v>201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20">
        <f>SUM(Q15:Q22)</f>
        <v>18824279.07</v>
      </c>
    </row>
    <row r="24" spans="1:19" ht="18" customHeight="1" thickBot="1" x14ac:dyDescent="0.25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</row>
    <row r="25" spans="1:19" ht="17.25" customHeight="1" thickBot="1" x14ac:dyDescent="0.25">
      <c r="A25" s="93" t="s">
        <v>51</v>
      </c>
      <c r="B25" s="94"/>
      <c r="C25" s="94"/>
      <c r="D25" s="94"/>
      <c r="E25" s="94"/>
      <c r="F25" s="9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</row>
    <row r="26" spans="1:19" ht="18" customHeight="1" thickBot="1" x14ac:dyDescent="0.25">
      <c r="A26" s="97" t="str">
        <f>"Para la "&amp; NotaPedido!D8 &amp;" para ser destinados al " &amp; NotaPedido!D6 &amp;"  del HISJB del Ministerio de Salud."</f>
        <v>Para la Adquisición de Antiinfecciosos - Analgesicos - Anestesicos para ser destinados al Servicio de Farmacia  del HISJB del Ministerio de Salud.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</row>
    <row r="27" spans="1:19" ht="15" customHeight="1" x14ac:dyDescent="0.2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2022-10-12T12:15:27Z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