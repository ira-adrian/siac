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500"/>
  </bookViews>
  <sheets>
    <sheet name="Necesidades Trimestrales" sheetId="1" r:id="rId1"/>
    <sheet name="Nota de PyE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Trimestrales'!$A$9:$I$58</definedName>
    <definedName name="_xlnm.Print_Area" localSheetId="2">'Autor Gastar'!$A$1:$Q$23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I10" i="1"/>
  <c r="E11" i="1"/>
  <c r="H11" i="1"/>
  <c r="I11" i="1"/>
  <c r="E12" i="1"/>
  <c r="I12" i="1"/>
  <c r="E13" i="1"/>
  <c r="I13" i="1"/>
  <c r="E14" i="1"/>
  <c r="I14" i="1"/>
  <c r="E15" i="1"/>
  <c r="I15" i="1"/>
  <c r="E16" i="1"/>
  <c r="I16" i="1"/>
  <c r="E17" i="1"/>
  <c r="I17" i="1"/>
  <c r="E18" i="1"/>
  <c r="I18" i="1"/>
  <c r="E19" i="1"/>
  <c r="I19" i="1"/>
  <c r="I20" i="1"/>
  <c r="E21" i="1"/>
  <c r="I21" i="1"/>
  <c r="E22" i="1"/>
  <c r="I22" i="1"/>
  <c r="E23" i="1"/>
  <c r="I23" i="1"/>
  <c r="E24" i="1"/>
  <c r="I24" i="1"/>
  <c r="E25" i="1"/>
  <c r="I25" i="1"/>
  <c r="E26" i="1"/>
  <c r="I26" i="1"/>
  <c r="E27" i="1"/>
  <c r="I27" i="1"/>
  <c r="E28" i="1"/>
  <c r="I28" i="1"/>
  <c r="E29" i="1"/>
  <c r="I29" i="1"/>
  <c r="E30" i="1"/>
  <c r="I30" i="1"/>
  <c r="E31" i="1"/>
  <c r="I31" i="1"/>
  <c r="E32" i="1"/>
  <c r="I32" i="1"/>
  <c r="E33" i="1"/>
  <c r="I33" i="1"/>
  <c r="E34" i="1"/>
  <c r="I34" i="1"/>
  <c r="E35" i="1"/>
  <c r="I35" i="1"/>
  <c r="E36" i="1"/>
  <c r="I36" i="1"/>
  <c r="E37" i="1"/>
  <c r="I37" i="1"/>
  <c r="E38" i="1"/>
  <c r="I38" i="1"/>
  <c r="I39" i="1"/>
  <c r="E40" i="1"/>
  <c r="I40" i="1"/>
  <c r="E41" i="1"/>
  <c r="I41" i="1"/>
  <c r="E42" i="1"/>
  <c r="I42" i="1"/>
  <c r="E43" i="1"/>
  <c r="I43" i="1"/>
  <c r="E44" i="1"/>
  <c r="I44" i="1"/>
  <c r="E45" i="1"/>
  <c r="I45" i="1"/>
  <c r="E46" i="1"/>
  <c r="I46" i="1"/>
  <c r="E47" i="1"/>
  <c r="I47" i="1"/>
  <c r="E48" i="1"/>
  <c r="I48" i="1"/>
  <c r="E49" i="1"/>
  <c r="I49" i="1"/>
  <c r="E50" i="1"/>
  <c r="I50" i="1"/>
  <c r="I51" i="1"/>
  <c r="E52" i="1"/>
  <c r="I52" i="1"/>
  <c r="E53" i="1"/>
  <c r="I53" i="1"/>
  <c r="E54" i="1"/>
  <c r="I54" i="1"/>
  <c r="E55" i="1"/>
  <c r="I55" i="1"/>
  <c r="E56" i="1"/>
  <c r="I56" i="1"/>
  <c r="J59" i="2" l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12" i="2"/>
  <c r="J13" i="2"/>
  <c r="I57" i="1"/>
  <c r="Q19" i="3"/>
</calcChain>
</file>

<file path=xl/sharedStrings.xml><?xml version="1.0" encoding="utf-8"?>
<sst xmlns="http://schemas.openxmlformats.org/spreadsheetml/2006/main" count="561" uniqueCount="133">
  <si>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</si>
  <si>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</si>
  <si>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</si>
  <si>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</si>
  <si>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</si>
  <si>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</si>
  <si>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</si>
  <si>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</si>
  <si>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</si>
  <si>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</si>
  <si>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</si>
  <si>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</si>
  <si>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</si>
  <si>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</si>
  <si>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</si>
  <si>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</si>
  <si>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</si>
  <si>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</si>
  <si>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CAJA</t>
  </si>
  <si>
    <t>TOTAL DEL RUBRO</t>
  </si>
  <si>
    <t>40 - MINISTERIO DE SALUD</t>
  </si>
  <si>
    <t>AMPOLLA</t>
  </si>
  <si>
    <t>2.5.2</t>
  </si>
  <si>
    <t>SEGUNDO TRIMESTRE</t>
  </si>
  <si>
    <t>MEDICAMENTOS ONCOLOGICOS DE  BAJO Y ALTO COSTO</t>
  </si>
  <si>
    <t xml:space="preserve">MEDICAMENTO ONCOLOGICO GENERICO APROBADO POR A.N.M.A.T CON VENCIMIENTO MINIMO 12 MESES DESDE LA FECHA DE ENTREGA. </t>
  </si>
  <si>
    <t>Especificidades Item N° 1 al N° 47</t>
  </si>
  <si>
    <t>CUARENTA Y CINCO( 45) DIAS HABILES</t>
  </si>
  <si>
    <t>PACLITAXEL 100 MG AMPOLLA X 1 FRASCO-AMP.</t>
  </si>
  <si>
    <t>CITARABINA 100MG X 1FRASCP-AMP.</t>
  </si>
  <si>
    <t>PRODUCTOS  MEDICOS/FARMACEUTICOS/LAB.</t>
  </si>
  <si>
    <t>10 DIAS HABILES.</t>
  </si>
  <si>
    <t>NOTA DE PEDIDO</t>
  </si>
  <si>
    <t>N°</t>
  </si>
  <si>
    <t>.12/2021</t>
  </si>
  <si>
    <t xml:space="preserve">JURISDICCIÓN: </t>
  </si>
  <si>
    <t>040-MINISTERIO DE SALUD</t>
  </si>
  <si>
    <t>SAF:</t>
  </si>
  <si>
    <t>11-DIRECCION PROVINCIAL DE ADMINISTRACION -M.S.</t>
  </si>
  <si>
    <t>UNIDAD EJECUTORA:</t>
  </si>
  <si>
    <t>159-DIRECCION PROVINCIAL DEL CANCER</t>
  </si>
  <si>
    <t xml:space="preserve">DEPENDENCIA SOLICITANTE: </t>
  </si>
  <si>
    <t>PERIODO UTILIZACIÓN:</t>
  </si>
  <si>
    <t>2° TRIMESTRE- AÑO 2021</t>
  </si>
  <si>
    <t>OBJETO:</t>
  </si>
  <si>
    <t>Adquisicion de Medicamentos Oncologicos para el Banco de Drogas Oncologicas dependiente de esta Direccion.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</si>
  <si>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</si>
  <si>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</si>
  <si>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</si>
  <si>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</si>
  <si>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</si>
  <si>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</si>
  <si>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</si>
  <si>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</si>
  <si>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 xml:space="preserve">CICLOFOSFAMIDA, FORMA FARMACEUTICA: 1 AMPOLLA, PRESENTACION: 1 GR </t>
  </si>
  <si>
    <t xml:space="preserve"> TAMOXIFENO, FORMA FARMACEUTICA: COMPRIMIDO, PRESENTACION: 20 mGr 30 COMPRIMIDO  TIPO: MONODROGA</t>
  </si>
  <si>
    <t xml:space="preserve">DOXORRUBICINA, FORMA FARMACEUTICA: 1  AMPOLLA, PRESENTACION: 50 mGr  </t>
  </si>
  <si>
    <t>IMATINIB, FORMA FARMACEUTICA: COMPRIMIDO X 400 mGr, PRESENTACION: ENVASE X 30, TIPO: MONODROGA</t>
  </si>
  <si>
    <t xml:space="preserve">ETOPOSIDO, FORMA FARMACEUTICA: 1  AMPOLLA , PRESENTACION: 100 mGr </t>
  </si>
  <si>
    <t>MESNA 200 MG, FORMA FARMACEUTICA: 10 AMPOLLA, PRESENTACION: ENVASE X 2 mL</t>
  </si>
  <si>
    <t>CISPLATINO 50 MG X 1 FRASCO-AMP.</t>
  </si>
  <si>
    <t xml:space="preserve"> NILOTINIB, FORMA FARMACEUTICA: CAPSULA, PRESENTACION: 150 mGr X 120 </t>
  </si>
  <si>
    <t>VINCRISTINA 1 MG. 1 FRASCO-AMPOLLA</t>
  </si>
  <si>
    <t xml:space="preserve"> AC. ZOLEDRONICO, FORMA FARMACEUTICA:  1 AMPOLLA, PRESENTACION: 4 mGr</t>
  </si>
  <si>
    <t xml:space="preserve"> HIDROXIUREA,500 mGr  CAPSULA x 100 </t>
  </si>
  <si>
    <t xml:space="preserve"> TRASTUZUMAB 440 mGr, :  1 FRASCO AMPOLLA, PRESENTACION: ENVASE X 20 mL</t>
  </si>
  <si>
    <t xml:space="preserve"> PAZOPANIB X 400 mGr, x30 COMPRIMIDO</t>
  </si>
  <si>
    <t xml:space="preserve"> FOLINATO DE CALCIO, 50 mGr:   1 FRASCO-AMPOLLA </t>
  </si>
  <si>
    <t xml:space="preserve"> RITUXIMAB, FORMA FARMACEUTICA: 1 AMPOLLA, PRESENTACION: 100 mGr</t>
  </si>
  <si>
    <t xml:space="preserve"> RITUXIMAB, FORMA FARMACEUTICA:  1 AMPOLLA, PRESENTACION: 500 mGr</t>
  </si>
  <si>
    <t xml:space="preserve"> VINBLASTINA, FORMA FARMACEUTICA: 1 AMPOLLA, PRESENTACION: 10 mGr</t>
  </si>
  <si>
    <t xml:space="preserve"> BEVACIZUMAB 400 MG, FORMA FARMACEUTICA: VIAL X 16 mL, PRESENTACION: X 1 FRASCO AMPOLLA</t>
  </si>
  <si>
    <t xml:space="preserve"> FILGRASTIM, 300 MCG   FRASCO AMPOLLA, PRESENTACION: X 1</t>
  </si>
  <si>
    <t xml:space="preserve"> OXALIPLATINO, FORMA FARMACEUTICA: 1  AMPOLLA, PRESENTACION: 100 mGr X1 </t>
  </si>
  <si>
    <t>CARBOPLATINO POR 1  AMPOLLA, PRESENTACION: 150 mGr,</t>
  </si>
  <si>
    <t xml:space="preserve"> CITARABINA, PRESENTACION: 1 GR, FORMA FARMACEUTICA: 1  AMPOLLA</t>
  </si>
  <si>
    <t xml:space="preserve"> ACETATO DE LEUPROLIDE, FORMA FARMACEUTICA: 1 AMPOLLA, PRESENTACION: 7,5 mGr</t>
  </si>
  <si>
    <t xml:space="preserve"> CAPECITABINA, FORMA FARMACEUTICA: 120  COMPRIMIDO, PRESENTACION: 500 mGr </t>
  </si>
  <si>
    <t xml:space="preserve"> CARBOPLATINO,   1 AMPOLLA, PRESENTACION: 450 mGr, </t>
  </si>
  <si>
    <t xml:space="preserve"> DACARBAZINA, FORMA FARMACEUTICA: 1 AMPOLLA, PRESENTACION: 100 mGr</t>
  </si>
  <si>
    <t xml:space="preserve"> METOTREXATO X 10 MG, FORMA FARMACEUTICA:  10  POR COMPRIMIDO</t>
  </si>
  <si>
    <t xml:space="preserve"> METOTREXATO, FORMA FARMACEUTICA: 1  AMPOLLA, PRESENTACION: 500 mGr</t>
  </si>
  <si>
    <t xml:space="preserve"> PAMIDRONATO DIOSODICO, FORMA FARMACEUTICA:  1 AMPOLLA, PRESENTACION: 90 mGr</t>
  </si>
  <si>
    <t xml:space="preserve"> VINORELBINE, FORMA FARMACEUTICA: AMPOLLA, PRESENTACION: 50 mGr</t>
  </si>
  <si>
    <t xml:space="preserve"> PALBOCICLIB 125MG, X 21   CAPSULAS  </t>
  </si>
  <si>
    <t xml:space="preserve"> PEMBROLIZUMAB, 100 mg 1  AMPOLLA, PRESENTACION: UNIDAD</t>
  </si>
  <si>
    <t xml:space="preserve"> REGORAFENIB,40MG  x 28 COMPRIMIDO</t>
  </si>
  <si>
    <t xml:space="preserve"> BORTEZOMID, FORMA FARMACEUTICA: 1 AMPOLLA, PRESENTACION: ENVASE X 3,5 mGr X UNIDAD</t>
  </si>
  <si>
    <t>TEMOZOLOMIDA,X 100 mGr  CAPSULA, x 5 u</t>
  </si>
  <si>
    <t xml:space="preserve"> TEMOZOLAMIDA 20 mg x 5 CAPSULA, PRESENTACION: UNIDAD</t>
  </si>
  <si>
    <t xml:space="preserve"> FULVESTRANTX 250 mGr, x 2 ampolla </t>
  </si>
  <si>
    <t xml:space="preserve"> SUNITINIB, X 50 mGr capsulas x 28 u</t>
  </si>
  <si>
    <t>GEMCITABINA 1000 MG. 1 FRASCO-AMP.</t>
  </si>
  <si>
    <t xml:space="preserve"> DOXORRUBICINA LIPOSOMAL,  VIAL, AMPOLLA X 20 mGr</t>
  </si>
  <si>
    <t xml:space="preserve"> DASATINIB, 100mg x 30 comp </t>
  </si>
  <si>
    <t>GOSERELIN,3.6 mGr, AMPOLLA X 1</t>
  </si>
  <si>
    <t xml:space="preserve"> TIOGUANINA  40 mGr COMPRIMIDO X 25 u</t>
  </si>
  <si>
    <t>PERTUZUMAB 420 mg -frasco ampolla 14 ml (vial)</t>
  </si>
  <si>
    <t>IFOSFAMIDA 1 GR X 1 AMPOLLA</t>
  </si>
  <si>
    <t>Costo total estimado: OCHO MILLONES TRESCIENTOS CUATRO MIL CIENTO OCHENTA Y TRES CON 72/100 CENTAVOS</t>
  </si>
  <si>
    <t>AUTORIZACION PARA GASTAR</t>
  </si>
  <si>
    <t>JURISDICCIÓN:</t>
  </si>
  <si>
    <t>011-DIRECCION PROVINCIAL DE ADMINISTRACION -M.S.</t>
  </si>
  <si>
    <r>
      <t>AUTORIZACIÓN</t>
    </r>
    <r>
      <rPr>
        <b/>
        <sz val="9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</si>
  <si>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</si>
  <si>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bienes, que se detallan en la Nota de pedido y Entrega  N°12/2021,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</si>
  <si>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</si>
  <si>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</si>
  <si>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</si>
  <si>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</si>
  <si>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</si>
  <si>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</si>
  <si>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</si>
  <si>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</si>
  <si>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</si>
  <si>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</si>
  <si>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</si>
  <si>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</si>
  <si>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</si>
  <si>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</si>
  <si>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</si>
  <si>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</si>
  <si>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</si>
  <si>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</si>
  <si>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Productos, Farmaceuticos y Medicinales</t>
  </si>
  <si>
    <t>JUSTIFICACIÓN:</t>
  </si>
  <si>
    <t xml:space="preserve">Adquisicion de Medicamentos Oncologicos </t>
  </si>
  <si>
    <t>TOTAL DE PESOS: SON OCHO MILLONES TRESCIENTOS CUATRO MIL CIENTO  OCHENTA Y TRES CON 72/100 CENTAVOS</t>
  </si>
  <si>
    <t xml:space="preserve"> TAMOXIFENO, FORMA FARMACEUTICA: COMPRIMIDO, PRESENTACION: 20 mGr X 30 COMPRIMIDO  TIPO: MONODROGA</t>
  </si>
  <si>
    <t xml:space="preserve"> TEMOZOLAMIDA 20 mg x 5 CAPSULA</t>
  </si>
  <si>
    <t>Plazos de entrega</t>
  </si>
  <si>
    <t>Lugar  de entrega</t>
  </si>
  <si>
    <t>DIRECCION PROVINCIAL DE CANCER - CHACABUCO N°169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</si>
</sst>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.00&quot; €&quot;_-;\-* #,##0.00&quot; €&quot;_-;_-* \-??&quot; €&quot;_-;_-@_-"/>
    <numFmt numFmtId="165" formatCode="_ &quot;$&quot;\ * #,##0.00_ ;_ &quot;$&quot;\ * \-#,##0.00_ ;_ &quot;$&quot;\ * &quot;-&quot;??_ ;_ @_ "/>
    <numFmt numFmtId="166" formatCode="_-[$$-2C0A]\ * #,##0.00_-;\-[$$-2C0A]\ * #,##0.00_-;_-[$$-2C0A]\ * &quot;-&quot;??_-;_-@_-"/>
    <numFmt numFmtId="167" formatCode="[$$-2C0A]\ #,##0.00"/>
    <numFmt numFmtId="168" formatCode="_-&quot;$&quot;\ * #,##0.00_-;\-&quot;$&quot;\ * #,##0.00_-;_-&quot;$&quot;\ * &quot;-&quot;??_-;_-@_-"/>
    <numFmt numFmtId="169" formatCode="_(\$* #,##0.00_);_(\$* \(#,##0.00\);_(\$* \-??_);_(@_)"/>
    <numFmt numFmtId="170" formatCode="dd\-mm\-yy;@"/>
    <numFmt numFmtId="171" formatCode="[$$-2C0A]\ #,##0.00;[$$-2C0A]&quot; -&quot;#,##0.00"/>
    <numFmt numFmtId="172" formatCode="[$$-2C0A]#,##0.00"/>
  </numFmts>
  <fonts count="4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2"/>
      <name val="Cambria"/>
      <family val="1"/>
      <scheme val="maj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  <charset val="1"/>
    </font>
    <font>
      <u/>
      <sz val="11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sz val="12"/>
      <name val="Arial"/>
      <family val="2"/>
    </font>
    <font>
      <b/>
      <sz val="14"/>
      <name val="Times New Roman"/>
      <family val="1"/>
      <charset val="1"/>
    </font>
    <font>
      <sz val="10"/>
      <name val="Arial"/>
      <family val="2"/>
      <charset val="1"/>
    </font>
    <font>
      <sz val="9"/>
      <name val="Arial"/>
      <family val="2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u/>
      <sz val="9"/>
      <name val="Arial"/>
      <family val="2"/>
      <charset val="1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0">
    <xf numFmtId="0" fontId="0" fillId="0" borderId="0"/>
    <xf numFmtId="164" fontId="6" fillId="0" borderId="0" applyBorder="0" applyProtection="0"/>
    <xf numFmtId="0" fontId="2" fillId="0" borderId="1" applyProtection="0"/>
    <xf numFmtId="0" fontId="3" fillId="2" borderId="0" applyBorder="0" applyProtection="0"/>
    <xf numFmtId="0" fontId="15" fillId="0" borderId="0"/>
    <xf numFmtId="165" fontId="15" fillId="0" borderId="0" applyBorder="0" applyAlignment="0" applyProtection="0"/>
    <xf numFmtId="0" fontId="15" fillId="0" borderId="0"/>
    <xf numFmtId="0" fontId="15" fillId="0" borderId="0"/>
    <xf numFmtId="0" fontId="15" fillId="0" borderId="0"/>
    <xf numFmtId="0" fontId="1" fillId="0" borderId="0"/>
    <xf numFmtId="0" fontId="6" fillId="0" borderId="0"/>
    <xf numFmtId="164" fontId="6" fillId="0" borderId="0" applyBorder="0" applyProtection="0"/>
    <xf numFmtId="0" fontId="2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9" fontId="34" fillId="0" borderId="0" applyBorder="0" applyProtection="0"/>
  </cellStyleXfs>
  <cellXfs count="211">
    <xf numFmtId="0" fontId="0" fillId="0" borderId="0" xfId="0"/>
    <xf numFmtId="0" fontId="7" fillId="0" borderId="0" xfId="0" applyFont="1"/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7" fillId="0" borderId="0" xfId="0" applyFont="1" applyFill="1" applyAlignment="1">
      <alignment wrapText="1"/>
    </xf>
    <xf numFmtId="0" fontId="7" fillId="0" borderId="0" xfId="0" applyFont="1" applyAlignment="1">
      <alignment horizontal="center"/>
    </xf>
    <xf numFmtId="0" fontId="11" fillId="0" borderId="0" xfId="0" applyFont="1" applyFill="1" applyAlignment="1">
      <alignment horizontal="center" wrapText="1"/>
    </xf>
    <xf numFmtId="166" fontId="7" fillId="0" borderId="0" xfId="0" applyNumberFormat="1" applyFont="1" applyAlignment="1">
      <alignment horizontal="right" vertical="center"/>
    </xf>
    <xf numFmtId="166" fontId="6" fillId="0" borderId="0" xfId="1" applyNumberForma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4" fillId="0" borderId="0" xfId="0" applyFont="1" applyFill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5" fillId="0" borderId="2" xfId="4" applyFont="1" applyBorder="1" applyAlignment="1">
      <alignment horizontal="left" vertical="center"/>
    </xf>
    <xf numFmtId="0" fontId="5" fillId="0" borderId="2" xfId="4" applyFont="1" applyBorder="1" applyAlignment="1">
      <alignment horizontal="center" vertical="center"/>
    </xf>
    <xf numFmtId="0" fontId="16" fillId="0" borderId="2" xfId="0" applyFont="1" applyBorder="1"/>
    <xf numFmtId="0" fontId="22" fillId="0" borderId="11" xfId="0" applyFont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4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166" fontId="6" fillId="0" borderId="0" xfId="1" applyNumberFormat="1" applyBorder="1" applyAlignment="1">
      <alignment horizontal="right" vertical="center"/>
    </xf>
    <xf numFmtId="166" fontId="7" fillId="0" borderId="0" xfId="0" applyNumberFormat="1" applyFont="1" applyBorder="1" applyAlignment="1">
      <alignment horizontal="right" vertical="center"/>
    </xf>
    <xf numFmtId="0" fontId="24" fillId="0" borderId="15" xfId="0" applyFont="1" applyBorder="1" applyAlignment="1">
      <alignment vertical="center" wrapText="1"/>
    </xf>
    <xf numFmtId="0" fontId="4" fillId="0" borderId="2" xfId="4" applyFont="1" applyBorder="1" applyAlignment="1">
      <alignment horizontal="left" vertical="center" wrapText="1"/>
    </xf>
    <xf numFmtId="166" fontId="19" fillId="0" borderId="2" xfId="1" applyNumberFormat="1" applyFont="1" applyBorder="1" applyAlignment="1">
      <alignment horizontal="center" vertical="center"/>
    </xf>
    <xf numFmtId="0" fontId="16" fillId="0" borderId="17" xfId="0" applyFont="1" applyBorder="1"/>
    <xf numFmtId="0" fontId="25" fillId="0" borderId="2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4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6" fontId="6" fillId="0" borderId="2" xfId="1" applyNumberFormat="1" applyBorder="1" applyAlignment="1">
      <alignment horizontal="right" vertical="center"/>
    </xf>
    <xf numFmtId="166" fontId="7" fillId="0" borderId="2" xfId="0" applyNumberFormat="1" applyFont="1" applyBorder="1" applyAlignment="1">
      <alignment horizontal="right" vertical="center"/>
    </xf>
    <xf numFmtId="0" fontId="25" fillId="0" borderId="2" xfId="0" applyFont="1" applyBorder="1" applyAlignment="1">
      <alignment horizontal="left" wrapText="1"/>
    </xf>
    <xf numFmtId="0" fontId="7" fillId="0" borderId="2" xfId="0" applyFont="1" applyBorder="1"/>
    <xf numFmtId="0" fontId="16" fillId="0" borderId="2" xfId="0" applyFont="1" applyBorder="1" applyAlignment="1">
      <alignment horizontal="left" wrapText="1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4" fillId="4" borderId="2" xfId="0" applyFont="1" applyFill="1" applyBorder="1" applyAlignment="1">
      <alignment vertical="center" wrapText="1"/>
    </xf>
    <xf numFmtId="0" fontId="13" fillId="0" borderId="23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vertical="center" wrapText="1"/>
    </xf>
    <xf numFmtId="167" fontId="24" fillId="4" borderId="2" xfId="0" applyNumberFormat="1" applyFont="1" applyFill="1" applyBorder="1" applyAlignment="1">
      <alignment vertical="center" wrapText="1"/>
    </xf>
    <xf numFmtId="167" fontId="4" fillId="4" borderId="2" xfId="0" applyNumberFormat="1" applyFont="1" applyFill="1" applyBorder="1" applyAlignment="1">
      <alignment vertical="center" wrapText="1"/>
    </xf>
    <xf numFmtId="167" fontId="22" fillId="3" borderId="14" xfId="0" applyNumberFormat="1" applyFont="1" applyFill="1" applyBorder="1" applyAlignment="1">
      <alignment vertical="center" wrapText="1"/>
    </xf>
    <xf numFmtId="167" fontId="22" fillId="3" borderId="10" xfId="0" applyNumberFormat="1" applyFont="1" applyFill="1" applyBorder="1" applyAlignment="1">
      <alignment vertical="center" wrapText="1"/>
    </xf>
    <xf numFmtId="167" fontId="22" fillId="3" borderId="16" xfId="0" applyNumberFormat="1" applyFont="1" applyFill="1" applyBorder="1" applyAlignment="1">
      <alignment vertical="center" wrapText="1"/>
    </xf>
    <xf numFmtId="167" fontId="22" fillId="3" borderId="21" xfId="0" applyNumberFormat="1" applyFont="1" applyFill="1" applyBorder="1" applyAlignment="1">
      <alignment vertical="center" wrapText="1"/>
    </xf>
    <xf numFmtId="3" fontId="5" fillId="0" borderId="13" xfId="0" applyNumberFormat="1" applyFont="1" applyFill="1" applyBorder="1" applyAlignment="1">
      <alignment vertical="center" wrapText="1"/>
    </xf>
    <xf numFmtId="3" fontId="4" fillId="0" borderId="9" xfId="0" applyNumberFormat="1" applyFont="1" applyFill="1" applyBorder="1" applyAlignment="1">
      <alignment vertical="center" wrapText="1"/>
    </xf>
    <xf numFmtId="3" fontId="4" fillId="0" borderId="20" xfId="0" applyNumberFormat="1" applyFont="1" applyFill="1" applyBorder="1" applyAlignment="1">
      <alignment vertical="center" wrapText="1"/>
    </xf>
    <xf numFmtId="3" fontId="4" fillId="4" borderId="13" xfId="0" applyNumberFormat="1" applyFont="1" applyFill="1" applyBorder="1" applyAlignment="1">
      <alignment vertical="center" wrapText="1"/>
    </xf>
    <xf numFmtId="3" fontId="4" fillId="4" borderId="9" xfId="0" applyNumberFormat="1" applyFont="1" applyFill="1" applyBorder="1" applyAlignment="1">
      <alignment vertical="center" wrapText="1"/>
    </xf>
    <xf numFmtId="3" fontId="4" fillId="4" borderId="22" xfId="0" applyNumberFormat="1" applyFont="1" applyFill="1" applyBorder="1" applyAlignment="1">
      <alignment vertical="center" wrapText="1"/>
    </xf>
    <xf numFmtId="3" fontId="4" fillId="0" borderId="7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166" fontId="7" fillId="0" borderId="0" xfId="0" applyNumberFormat="1" applyFont="1"/>
    <xf numFmtId="17" fontId="7" fillId="0" borderId="0" xfId="0" applyNumberFormat="1" applyFont="1"/>
    <xf numFmtId="167" fontId="4" fillId="4" borderId="13" xfId="1" applyNumberFormat="1" applyFont="1" applyFill="1" applyBorder="1" applyAlignment="1" applyProtection="1">
      <alignment vertical="center" wrapText="1"/>
    </xf>
    <xf numFmtId="167" fontId="4" fillId="4" borderId="9" xfId="1" applyNumberFormat="1" applyFont="1" applyFill="1" applyBorder="1" applyAlignment="1" applyProtection="1">
      <alignment vertical="center" wrapText="1"/>
    </xf>
    <xf numFmtId="167" fontId="4" fillId="4" borderId="22" xfId="1" applyNumberFormat="1" applyFont="1" applyFill="1" applyBorder="1" applyAlignment="1" applyProtection="1">
      <alignment vertical="center" wrapText="1"/>
    </xf>
    <xf numFmtId="167" fontId="5" fillId="4" borderId="13" xfId="1" applyNumberFormat="1" applyFont="1" applyFill="1" applyBorder="1" applyAlignment="1" applyProtection="1">
      <alignment vertical="center" wrapText="1"/>
    </xf>
    <xf numFmtId="167" fontId="4" fillId="4" borderId="20" xfId="1" applyNumberFormat="1" applyFont="1" applyFill="1" applyBorder="1" applyAlignment="1" applyProtection="1">
      <alignment vertical="center" wrapText="1"/>
    </xf>
    <xf numFmtId="167" fontId="24" fillId="4" borderId="9" xfId="0" applyNumberFormat="1" applyFont="1" applyFill="1" applyBorder="1" applyAlignment="1">
      <alignment vertical="center" wrapText="1"/>
    </xf>
    <xf numFmtId="167" fontId="24" fillId="4" borderId="12" xfId="0" applyNumberFormat="1" applyFont="1" applyFill="1" applyBorder="1" applyAlignment="1">
      <alignment vertical="center" wrapText="1"/>
    </xf>
    <xf numFmtId="167" fontId="24" fillId="4" borderId="15" xfId="0" applyNumberFormat="1" applyFont="1" applyFill="1" applyBorder="1" applyAlignment="1">
      <alignment vertical="center" wrapText="1"/>
    </xf>
    <xf numFmtId="167" fontId="24" fillId="4" borderId="25" xfId="0" applyNumberFormat="1" applyFont="1" applyFill="1" applyBorder="1" applyAlignment="1">
      <alignment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right" vertical="center"/>
    </xf>
    <xf numFmtId="17" fontId="28" fillId="0" borderId="28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vertical="center"/>
    </xf>
    <xf numFmtId="0" fontId="27" fillId="0" borderId="30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31" xfId="0" applyFont="1" applyBorder="1" applyAlignment="1">
      <alignment vertical="center"/>
    </xf>
    <xf numFmtId="0" fontId="29" fillId="0" borderId="37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 wrapText="1" indent="1"/>
    </xf>
    <xf numFmtId="0" fontId="28" fillId="0" borderId="31" xfId="0" applyFont="1" applyBorder="1" applyAlignment="1">
      <alignment horizontal="left" vertical="center" wrapText="1" indent="1"/>
    </xf>
    <xf numFmtId="0" fontId="29" fillId="4" borderId="41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vertical="center"/>
    </xf>
    <xf numFmtId="0" fontId="32" fillId="4" borderId="0" xfId="0" applyFont="1" applyFill="1"/>
    <xf numFmtId="0" fontId="29" fillId="0" borderId="45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32" fillId="0" borderId="0" xfId="0" applyFont="1"/>
    <xf numFmtId="0" fontId="29" fillId="4" borderId="45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left" vertical="center"/>
    </xf>
    <xf numFmtId="0" fontId="5" fillId="0" borderId="45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0" fillId="4" borderId="0" xfId="0" applyFill="1"/>
    <xf numFmtId="0" fontId="34" fillId="0" borderId="0" xfId="0" applyFont="1" applyBorder="1" applyAlignment="1">
      <alignment vertical="center"/>
    </xf>
    <xf numFmtId="3" fontId="36" fillId="0" borderId="50" xfId="0" applyNumberFormat="1" applyFont="1" applyBorder="1" applyAlignment="1"/>
    <xf numFmtId="170" fontId="35" fillId="0" borderId="50" xfId="0" applyNumberFormat="1" applyFont="1" applyBorder="1" applyAlignment="1">
      <alignment horizontal="left"/>
    </xf>
    <xf numFmtId="0" fontId="35" fillId="0" borderId="50" xfId="0" applyFont="1" applyBorder="1"/>
    <xf numFmtId="170" fontId="35" fillId="0" borderId="0" xfId="0" applyNumberFormat="1" applyFont="1" applyBorder="1" applyAlignment="1">
      <alignment horizontal="left"/>
    </xf>
    <xf numFmtId="0" fontId="35" fillId="0" borderId="0" xfId="0" applyFont="1" applyBorder="1"/>
    <xf numFmtId="0" fontId="35" fillId="0" borderId="37" xfId="0" applyFont="1" applyBorder="1"/>
    <xf numFmtId="0" fontId="35" fillId="0" borderId="0" xfId="0" applyFont="1" applyBorder="1" applyAlignment="1">
      <alignment horizontal="left"/>
    </xf>
    <xf numFmtId="0" fontId="35" fillId="0" borderId="31" xfId="0" applyFont="1" applyBorder="1"/>
    <xf numFmtId="0" fontId="34" fillId="0" borderId="0" xfId="0" applyFont="1"/>
    <xf numFmtId="0" fontId="35" fillId="0" borderId="29" xfId="0" applyFont="1" applyBorder="1"/>
    <xf numFmtId="0" fontId="35" fillId="0" borderId="30" xfId="0" applyFont="1" applyBorder="1"/>
    <xf numFmtId="0" fontId="35" fillId="0" borderId="30" xfId="0" applyFont="1" applyBorder="1" applyAlignment="1">
      <alignment horizontal="left"/>
    </xf>
    <xf numFmtId="0" fontId="35" fillId="0" borderId="55" xfId="0" applyFont="1" applyBorder="1"/>
    <xf numFmtId="0" fontId="36" fillId="0" borderId="58" xfId="0" applyFont="1" applyBorder="1" applyAlignment="1">
      <alignment horizontal="center" vertical="center"/>
    </xf>
    <xf numFmtId="0" fontId="36" fillId="0" borderId="59" xfId="0" applyFont="1" applyBorder="1" applyAlignment="1">
      <alignment horizontal="center" vertical="center"/>
    </xf>
    <xf numFmtId="0" fontId="36" fillId="0" borderId="59" xfId="0" applyFont="1" applyBorder="1" applyAlignment="1">
      <alignment horizontal="left" vertical="center"/>
    </xf>
    <xf numFmtId="0" fontId="36" fillId="0" borderId="60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/>
    </xf>
    <xf numFmtId="0" fontId="35" fillId="0" borderId="64" xfId="0" applyFont="1" applyBorder="1" applyAlignment="1">
      <alignment horizontal="center" vertical="center"/>
    </xf>
    <xf numFmtId="171" fontId="35" fillId="0" borderId="65" xfId="19" applyNumberFormat="1" applyFont="1" applyBorder="1" applyAlignment="1" applyProtection="1">
      <alignment horizontal="center" vertical="center"/>
    </xf>
    <xf numFmtId="0" fontId="35" fillId="0" borderId="66" xfId="0" applyFont="1" applyBorder="1" applyAlignment="1">
      <alignment horizontal="center" vertical="center"/>
    </xf>
    <xf numFmtId="0" fontId="35" fillId="0" borderId="67" xfId="0" applyFont="1" applyBorder="1" applyAlignment="1">
      <alignment horizontal="center" vertical="center"/>
    </xf>
    <xf numFmtId="0" fontId="35" fillId="0" borderId="68" xfId="0" applyFont="1" applyBorder="1" applyAlignment="1">
      <alignment horizontal="center" vertical="center"/>
    </xf>
    <xf numFmtId="0" fontId="35" fillId="0" borderId="69" xfId="0" applyFont="1" applyBorder="1" applyAlignment="1">
      <alignment horizontal="center" vertical="center"/>
    </xf>
    <xf numFmtId="171" fontId="35" fillId="0" borderId="70" xfId="19" applyNumberFormat="1" applyFont="1" applyBorder="1" applyAlignment="1" applyProtection="1">
      <alignment horizontal="center" vertical="center"/>
    </xf>
    <xf numFmtId="0" fontId="35" fillId="0" borderId="71" xfId="0" applyFont="1" applyBorder="1" applyAlignment="1">
      <alignment horizontal="center" vertical="center"/>
    </xf>
    <xf numFmtId="0" fontId="35" fillId="0" borderId="72" xfId="0" applyFont="1" applyBorder="1" applyAlignment="1">
      <alignment horizontal="center" vertical="center"/>
    </xf>
    <xf numFmtId="0" fontId="35" fillId="0" borderId="73" xfId="0" applyFont="1" applyBorder="1" applyAlignment="1">
      <alignment horizontal="center" vertical="center"/>
    </xf>
    <xf numFmtId="171" fontId="35" fillId="0" borderId="74" xfId="19" applyNumberFormat="1" applyFont="1" applyBorder="1" applyAlignment="1" applyProtection="1">
      <alignment horizontal="center" vertical="center"/>
    </xf>
    <xf numFmtId="171" fontId="36" fillId="0" borderId="76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66" fontId="21" fillId="0" borderId="18" xfId="1" applyNumberFormat="1" applyFont="1" applyBorder="1" applyAlignment="1">
      <alignment horizontal="center" vertical="center" wrapText="1"/>
    </xf>
    <xf numFmtId="166" fontId="20" fillId="0" borderId="19" xfId="0" applyNumberFormat="1" applyFont="1" applyBorder="1" applyAlignment="1">
      <alignment horizontal="center" vertical="center" wrapText="1"/>
    </xf>
    <xf numFmtId="172" fontId="39" fillId="4" borderId="0" xfId="0" applyNumberFormat="1" applyFont="1" applyFill="1"/>
    <xf numFmtId="0" fontId="24" fillId="4" borderId="77" xfId="0" applyFont="1" applyFill="1" applyBorder="1" applyAlignment="1">
      <alignment horizontal="center" vertical="center" wrapText="1"/>
    </xf>
    <xf numFmtId="0" fontId="24" fillId="4" borderId="78" xfId="0" applyFont="1" applyFill="1" applyBorder="1" applyAlignment="1">
      <alignment horizontal="center" vertical="center" wrapText="1"/>
    </xf>
    <xf numFmtId="0" fontId="24" fillId="0" borderId="79" xfId="0" applyFont="1" applyBorder="1" applyAlignment="1">
      <alignment horizontal="center" vertical="center" wrapText="1"/>
    </xf>
    <xf numFmtId="0" fontId="24" fillId="0" borderId="78" xfId="0" applyFont="1" applyFill="1" applyBorder="1" applyAlignment="1">
      <alignment horizontal="center" vertical="center" wrapText="1"/>
    </xf>
    <xf numFmtId="0" fontId="24" fillId="4" borderId="44" xfId="0" applyFont="1" applyFill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77" xfId="0" applyFont="1" applyFill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4" fillId="0" borderId="31" xfId="0" applyFont="1" applyFill="1" applyBorder="1" applyAlignment="1">
      <alignment horizontal="center" vertical="center" wrapText="1"/>
    </xf>
    <xf numFmtId="0" fontId="24" fillId="0" borderId="81" xfId="0" applyFont="1" applyBorder="1" applyAlignment="1">
      <alignment horizontal="center" vertical="center" wrapText="1"/>
    </xf>
    <xf numFmtId="0" fontId="24" fillId="0" borderId="8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wrapText="1" indent="1"/>
    </xf>
    <xf numFmtId="0" fontId="14" fillId="0" borderId="0" xfId="0" applyFont="1" applyFill="1" applyBorder="1" applyAlignment="1">
      <alignment horizontal="center" wrapText="1"/>
    </xf>
    <xf numFmtId="0" fontId="21" fillId="0" borderId="2" xfId="4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wrapText="1"/>
    </xf>
    <xf numFmtId="0" fontId="16" fillId="0" borderId="2" xfId="0" applyFont="1" applyBorder="1" applyAlignment="1">
      <alignment vertical="center" wrapText="1"/>
    </xf>
    <xf numFmtId="0" fontId="29" fillId="0" borderId="34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 indent="1"/>
    </xf>
    <xf numFmtId="0" fontId="26" fillId="0" borderId="26" xfId="0" applyFont="1" applyBorder="1" applyAlignment="1">
      <alignment horizontal="center" vertical="center"/>
    </xf>
    <xf numFmtId="0" fontId="29" fillId="0" borderId="32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/>
    </xf>
    <xf numFmtId="0" fontId="28" fillId="0" borderId="36" xfId="0" applyFont="1" applyBorder="1" applyAlignment="1">
      <alignment horizontal="left" vertical="center" wrapText="1" indent="1"/>
    </xf>
    <xf numFmtId="0" fontId="31" fillId="0" borderId="42" xfId="0" applyFont="1" applyBorder="1" applyAlignment="1">
      <alignment vertical="center" wrapText="1"/>
    </xf>
    <xf numFmtId="0" fontId="31" fillId="0" borderId="43" xfId="0" applyFont="1" applyBorder="1" applyAlignment="1">
      <alignment vertical="center" wrapText="1"/>
    </xf>
    <xf numFmtId="0" fontId="31" fillId="0" borderId="44" xfId="0" applyFont="1" applyBorder="1" applyAlignment="1">
      <alignment vertical="center" wrapText="1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1" fillId="4" borderId="42" xfId="0" applyFont="1" applyFill="1" applyBorder="1" applyAlignment="1">
      <alignment vertical="center" wrapText="1"/>
    </xf>
    <xf numFmtId="0" fontId="31" fillId="4" borderId="43" xfId="0" applyFont="1" applyFill="1" applyBorder="1" applyAlignment="1">
      <alignment vertical="center" wrapText="1"/>
    </xf>
    <xf numFmtId="0" fontId="31" fillId="4" borderId="44" xfId="0" applyFont="1" applyFill="1" applyBorder="1" applyAlignment="1">
      <alignment vertical="center" wrapText="1"/>
    </xf>
    <xf numFmtId="0" fontId="33" fillId="0" borderId="46" xfId="0" applyFont="1" applyBorder="1" applyAlignment="1">
      <alignment horizontal="left" vertical="center" wrapText="1"/>
    </xf>
    <xf numFmtId="0" fontId="33" fillId="0" borderId="47" xfId="0" applyFont="1" applyBorder="1" applyAlignment="1">
      <alignment horizontal="left" vertical="center" wrapText="1"/>
    </xf>
    <xf numFmtId="0" fontId="33" fillId="0" borderId="48" xfId="0" applyFont="1" applyBorder="1" applyAlignment="1">
      <alignment horizontal="left" vertical="center" wrapText="1"/>
    </xf>
    <xf numFmtId="167" fontId="29" fillId="0" borderId="46" xfId="0" applyNumberFormat="1" applyFont="1" applyBorder="1" applyAlignment="1">
      <alignment horizontal="center" vertical="center"/>
    </xf>
    <xf numFmtId="167" fontId="29" fillId="0" borderId="48" xfId="0" applyNumberFormat="1" applyFont="1" applyBorder="1" applyAlignment="1">
      <alignment horizontal="center" vertical="center"/>
    </xf>
    <xf numFmtId="0" fontId="35" fillId="0" borderId="6" xfId="0" applyFont="1" applyBorder="1" applyAlignment="1">
      <alignment horizontal="center"/>
    </xf>
    <xf numFmtId="3" fontId="36" fillId="0" borderId="49" xfId="0" applyNumberFormat="1" applyFont="1" applyBorder="1" applyAlignment="1">
      <alignment horizontal="center"/>
    </xf>
    <xf numFmtId="0" fontId="36" fillId="0" borderId="28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left"/>
    </xf>
    <xf numFmtId="0" fontId="35" fillId="0" borderId="0" xfId="0" applyFont="1" applyBorder="1" applyAlignment="1">
      <alignment horizontal="left"/>
    </xf>
    <xf numFmtId="0" fontId="37" fillId="0" borderId="51" xfId="0" applyFont="1" applyBorder="1"/>
    <xf numFmtId="0" fontId="37" fillId="0" borderId="52" xfId="0" applyFont="1" applyBorder="1" applyAlignment="1">
      <alignment horizontal="left" indent="1"/>
    </xf>
    <xf numFmtId="0" fontId="24" fillId="0" borderId="51" xfId="0" applyFont="1" applyBorder="1" applyAlignment="1">
      <alignment horizontal="left" vertical="center" wrapText="1"/>
    </xf>
    <xf numFmtId="0" fontId="38" fillId="0" borderId="53" xfId="0" applyFont="1" applyBorder="1" applyAlignment="1">
      <alignment horizontal="left"/>
    </xf>
    <xf numFmtId="0" fontId="37" fillId="0" borderId="54" xfId="0" applyFont="1" applyBorder="1" applyAlignment="1">
      <alignment horizontal="left"/>
    </xf>
    <xf numFmtId="49" fontId="37" fillId="0" borderId="20" xfId="0" applyNumberFormat="1" applyFont="1" applyBorder="1" applyAlignment="1">
      <alignment horizontal="justify" vertical="center" wrapText="1"/>
    </xf>
    <xf numFmtId="0" fontId="36" fillId="0" borderId="54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6" fillId="0" borderId="56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/>
    </xf>
    <xf numFmtId="0" fontId="36" fillId="0" borderId="33" xfId="0" applyFont="1" applyBorder="1" applyAlignment="1">
      <alignment vertical="center" wrapText="1"/>
    </xf>
    <xf numFmtId="0" fontId="37" fillId="0" borderId="57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 indent="1"/>
    </xf>
    <xf numFmtId="0" fontId="35" fillId="0" borderId="63" xfId="0" applyFont="1" applyBorder="1" applyAlignment="1">
      <alignment horizontal="left" vertical="center" wrapText="1"/>
    </xf>
    <xf numFmtId="0" fontId="35" fillId="0" borderId="69" xfId="0" applyFont="1" applyBorder="1" applyAlignment="1">
      <alignment horizontal="left" vertical="center"/>
    </xf>
    <xf numFmtId="0" fontId="35" fillId="0" borderId="69" xfId="0" applyFont="1" applyBorder="1" applyAlignment="1">
      <alignment horizontal="center" vertical="center"/>
    </xf>
    <xf numFmtId="0" fontId="35" fillId="0" borderId="72" xfId="0" applyFont="1" applyBorder="1" applyAlignment="1">
      <alignment horizontal="left" vertical="center"/>
    </xf>
    <xf numFmtId="0" fontId="36" fillId="0" borderId="75" xfId="0" applyFont="1" applyBorder="1" applyAlignment="1">
      <alignment horizontal="left" vertical="center" wrapText="1"/>
    </xf>
    <xf numFmtId="0" fontId="35" fillId="0" borderId="54" xfId="0" applyFont="1" applyBorder="1"/>
  </cellXfs>
  <cellStyles count="20">
    <cellStyle name="Encabezado 1" xfId="2"/>
    <cellStyle name="Encabezado 1 2" xfId="12"/>
    <cellStyle name="Moneda" xfId="1" builtinId="4"/>
    <cellStyle name="Moneda 2" xfId="5"/>
    <cellStyle name="Moneda 2 2" xfId="14"/>
    <cellStyle name="Moneda 3" xfId="11"/>
    <cellStyle name="Moneda 4" xfId="18"/>
    <cellStyle name="Moneda_AUTORIZACION Y NOTA DE PEDIDO" xfId="19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4" xfId="8"/>
    <cellStyle name="Normal 4 2" xfId="17"/>
    <cellStyle name="Normal 5" xfId="9"/>
    <cellStyle name="Normal 6" xfId="1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67150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67150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67150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67150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TA%20DE%20PED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r Gastar"/>
      <sheetName val="Nota de PyE"/>
    </sheetNames>
    <sheetDataSet>
      <sheetData sheetId="0" refreshError="1"/>
      <sheetData sheetId="1" refreshError="1">
        <row r="13">
          <cell r="C13" t="str">
            <v xml:space="preserve">CICLOFOSFAMIDA, FORMA FARMACEUTICA: 1 AMPOLLA, PRESENTACION: 1 GR </v>
          </cell>
        </row>
        <row r="14">
          <cell r="C14" t="str">
            <v xml:space="preserve"> TAMOXIFENO, FORMA FARMACEUTICA: COMPRIMIDO, PRESENTACION: 20 mGr 30 COMPRIMIDO  TIPO: MONODROGA</v>
          </cell>
        </row>
        <row r="15">
          <cell r="C15" t="str">
            <v xml:space="preserve">DOXORRUBICINA, FORMA FARMACEUTICA: 1  AMPOLLA, PRESENTACION: 50 mGr  </v>
          </cell>
        </row>
        <row r="16">
          <cell r="C16" t="str">
            <v>IMATINIB, FORMA FARMACEUTICA: COMPRIMIDO X 400 mGr, PRESENTACION: ENVASE X 30, TIPO: MONODROGA</v>
          </cell>
        </row>
        <row r="17">
          <cell r="C17" t="str">
            <v xml:space="preserve">ETOPOSIDO, FORMA FARMACEUTICA: 1  AMPOLLA , PRESENTACION: 100 mGr </v>
          </cell>
        </row>
        <row r="18">
          <cell r="C18" t="str">
            <v>MESNA 200 MG, FORMA FARMACEUTICA: 10 AMPOLLA, PRESENTACION: ENVASE X 2 mL</v>
          </cell>
        </row>
        <row r="19">
          <cell r="C19" t="str">
            <v>CISPLATINO 50 MG X 1 FRASCO-AMP.</v>
          </cell>
        </row>
        <row r="20">
          <cell r="C20" t="str">
            <v xml:space="preserve"> NILOTINIB, FORMA FARMACEUTICA: CAPSULA, PRESENTACION: 150 mGr X 120 </v>
          </cell>
        </row>
        <row r="21">
          <cell r="C21" t="str">
            <v>VINCRISTINA 1 MG. 1 FRASCO-AMPOLLA</v>
          </cell>
        </row>
        <row r="22">
          <cell r="C22" t="str">
            <v xml:space="preserve"> AC. ZOLEDRONICO, FORMA FARMACEUTICA:  1 AMPOLLA, PRESENTACION: 4 mGr</v>
          </cell>
        </row>
        <row r="23">
          <cell r="C23" t="str">
            <v xml:space="preserve"> HIDROXIUREA,500 mGr  CAPSULA x 100 </v>
          </cell>
        </row>
        <row r="24">
          <cell r="C24" t="str">
            <v xml:space="preserve"> TRASTUZUMAB 440 mGr, :  1 FRASCO AMPOLLA, PRESENTACION: ENVASE X 20 mL</v>
          </cell>
        </row>
        <row r="25">
          <cell r="C25" t="str">
            <v xml:space="preserve"> PAZOPANIB X 400 mGr, x30 COMPRIMIDO</v>
          </cell>
        </row>
        <row r="26">
          <cell r="C26" t="str">
            <v xml:space="preserve"> FOLINATO DE CALCIO, 50 mGr:   1 FRASCO-AMPOLLA </v>
          </cell>
        </row>
        <row r="27">
          <cell r="C27" t="str">
            <v xml:space="preserve"> RITUXIMAB, FORMA FARMACEUTICA: 1 AMPOLLA, PRESENTACION: 100 mGr</v>
          </cell>
        </row>
        <row r="28">
          <cell r="C28" t="str">
            <v xml:space="preserve"> RITUXIMAB, FORMA FARMACEUTICA:  1 AMPOLLA, PRESENTACION: 500 mGr</v>
          </cell>
        </row>
        <row r="29">
          <cell r="C29" t="str">
            <v xml:space="preserve"> VINBLASTINA, FORMA FARMACEUTICA: 1 AMPOLLA, PRESENTACION: 10 mGr</v>
          </cell>
        </row>
        <row r="30">
          <cell r="C30" t="str">
            <v xml:space="preserve"> BEVACIZUMAB 400 MG, FORMA FARMACEUTICA: VIAL X 16 mL, PRESENTACION: X 1 FRASCO AMPOLLA</v>
          </cell>
        </row>
        <row r="31">
          <cell r="C31" t="str">
            <v xml:space="preserve"> FILGRASTIM, 300 MCG   FRASCO AMPOLLA, PRESENTACION: X 1</v>
          </cell>
        </row>
        <row r="32">
          <cell r="C32" t="str">
            <v xml:space="preserve"> OXALIPLATINO, FORMA FARMACEUTICA: 1  AMPOLLA, PRESENTACION: 100 mGr X1 </v>
          </cell>
        </row>
        <row r="33">
          <cell r="C33" t="str">
            <v>CARBOPLATINO POR 1  AMPOLLA, PRESENTACION: 150 mGr,</v>
          </cell>
        </row>
        <row r="34">
          <cell r="C34" t="str">
            <v xml:space="preserve"> CITARABINA, PRESENTACION: 1 GR, FORMA FARMACEUTICA: 1  AMPOLLA</v>
          </cell>
        </row>
        <row r="35">
          <cell r="C35" t="str">
            <v xml:space="preserve"> ACETATO DE LEUPROLIDE, FORMA FARMACEUTICA: 1 AMPOLLA, PRESENTACION: 7,5 mGr</v>
          </cell>
        </row>
        <row r="36">
          <cell r="C36" t="str">
            <v xml:space="preserve"> CAPECITABINA, FORMA FARMACEUTICA: 120  COMPRIMIDO, PRESENTACION: 500 mGr </v>
          </cell>
        </row>
        <row r="37">
          <cell r="C37" t="str">
            <v xml:space="preserve"> CARBOPLATINO,   1 AMPOLLA, PRESENTACION: 450 mGr, </v>
          </cell>
        </row>
        <row r="38">
          <cell r="C38" t="str">
            <v xml:space="preserve"> DACARBAZINA, FORMA FARMACEUTICA: 1 AMPOLLA, PRESENTACION: 100 mGr</v>
          </cell>
        </row>
        <row r="39">
          <cell r="C39" t="str">
            <v xml:space="preserve"> METOTREXATO X 10 MG, FORMA FARMACEUTICA:  10  POR COMPRIMIDO</v>
          </cell>
        </row>
        <row r="40">
          <cell r="C40" t="str">
            <v xml:space="preserve"> METOTREXATO, FORMA FARMACEUTICA: 1  AMPOLLA, PRESENTACION: 500 mGr</v>
          </cell>
        </row>
        <row r="41">
          <cell r="C41" t="str">
            <v xml:space="preserve"> PAMIDRONATO DIOSODICO, FORMA FARMACEUTICA:  1 AMPOLLA, PRESENTACION: 90 mGr</v>
          </cell>
        </row>
        <row r="42">
          <cell r="C42" t="str">
            <v xml:space="preserve"> VINORELBINE, FORMA FARMACEUTICA: AMPOLLA, PRESENTACION: 50 mGr</v>
          </cell>
        </row>
        <row r="44">
          <cell r="C44" t="str">
            <v xml:space="preserve"> PALBOCICLIB 125MG, X 21   CAPSULAS  </v>
          </cell>
        </row>
        <row r="45">
          <cell r="C45" t="str">
            <v xml:space="preserve"> PEMBROLIZUMAB, 100 mg 1  AMPOLLA, PRESENTACION: UNIDAD</v>
          </cell>
        </row>
        <row r="46">
          <cell r="C46" t="str">
            <v xml:space="preserve"> REGORAFENIB,40MG  x 28 COMPRIMIDO</v>
          </cell>
        </row>
        <row r="47">
          <cell r="C47" t="str">
            <v xml:space="preserve"> BORTEZOMID, FORMA FARMACEUTICA: 1 AMPOLLA, PRESENTACION: ENVASE X 3,5 mGr X UNIDAD</v>
          </cell>
        </row>
        <row r="48">
          <cell r="C48" t="str">
            <v>TEMOZOLOMIDA,X 100 mGr  CAPSULA, x 5 u</v>
          </cell>
        </row>
        <row r="50">
          <cell r="C50" t="str">
            <v xml:space="preserve"> FULVESTRANTX 250 mGr, x 2 ampolla </v>
          </cell>
        </row>
        <row r="51">
          <cell r="C51" t="str">
            <v xml:space="preserve"> SUNITINIB, X 50 mGr capsulas x 28 u</v>
          </cell>
        </row>
        <row r="52">
          <cell r="C52" t="str">
            <v>GEMCITABINA 1000 MG. 1 FRASCO-AMP.</v>
          </cell>
        </row>
        <row r="53">
          <cell r="C53" t="str">
            <v xml:space="preserve"> DOXORRUBICINA LIPOSOMAL,  VIAL, AMPOLLA X 20 mGr</v>
          </cell>
        </row>
        <row r="54">
          <cell r="C54" t="str">
            <v xml:space="preserve"> DASATINIB, 100mg x 30 comp </v>
          </cell>
        </row>
        <row r="55">
          <cell r="C55" t="str">
            <v>GOSERELIN,3.6 mGr, AMPOLLA X 1</v>
          </cell>
        </row>
        <row r="56">
          <cell r="C56" t="str">
            <v xml:space="preserve"> TIOGUANINA  40 mGr COMPRIMIDO X 25 u</v>
          </cell>
        </row>
        <row r="57">
          <cell r="C57" t="str">
            <v>PERTUZUMAB 420 mg -frasco ampolla 14 ml (vial)</v>
          </cell>
        </row>
        <row r="58">
          <cell r="C58" t="str">
            <v>IFOSFAMIDA 1 GR X 1 AMPOLLA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zoomScaleNormal="100" workbookViewId="0">
      <selection activeCell="E64" sqref="E64:I64"/>
    </sheetView>
  </sheetViews>
  <sheetFormatPr baseColWidth="10" defaultColWidth="11" defaultRowHeight="12.75" x14ac:dyDescent="0.2"/>
  <cols>
    <col min="1" max="1" width="8.42578125" style="1" customWidth="1"/>
    <col min="2" max="2" width="17.5703125" style="4" customWidth="1"/>
    <col min="3" max="3" width="32.42578125" style="15" customWidth="1"/>
    <col min="4" max="4" width="8.42578125" style="6" customWidth="1"/>
    <col min="5" max="5" width="81.28515625" style="15" customWidth="1"/>
    <col min="6" max="6" width="20.42578125" style="6" customWidth="1"/>
    <col min="7" max="7" width="13.42578125" style="10" customWidth="1"/>
    <col min="8" max="8" width="16.42578125" style="9" customWidth="1"/>
    <col min="9" max="9" width="23.5703125" style="8" customWidth="1"/>
    <col min="10" max="10" width="17.7109375" style="1" customWidth="1"/>
    <col min="11" max="16384" width="11" style="1"/>
  </cols>
  <sheetData>
    <row r="1" spans="1:9" ht="14.25" customHeight="1" x14ac:dyDescent="0.2">
      <c r="A1" s="1">
        <v>2021</v>
      </c>
    </row>
    <row r="2" spans="1:9" ht="48" customHeight="1" x14ac:dyDescent="0.35">
      <c r="B2" s="157" t="s">
        <v>0</v>
      </c>
      <c r="C2" s="157"/>
      <c r="D2" s="157"/>
      <c r="E2" s="157"/>
      <c r="F2" s="157"/>
      <c r="G2" s="158"/>
      <c r="H2" s="159"/>
    </row>
    <row r="3" spans="1:9" ht="28.5" customHeight="1" x14ac:dyDescent="0.2"/>
    <row r="4" spans="1:9" ht="19.5" customHeight="1" x14ac:dyDescent="0.25">
      <c r="A4" s="160" t="s">
        <v>1</v>
      </c>
      <c r="B4" s="160"/>
      <c r="C4" s="161" t="s">
        <v>20</v>
      </c>
      <c r="D4" s="162"/>
      <c r="E4" s="161"/>
      <c r="F4" s="2"/>
      <c r="G4" s="11"/>
    </row>
    <row r="5" spans="1:9" ht="21" customHeight="1" x14ac:dyDescent="0.25">
      <c r="A5" s="160" t="s">
        <v>2</v>
      </c>
      <c r="B5" s="160"/>
      <c r="C5" s="161">
        <v>11</v>
      </c>
      <c r="D5" s="162"/>
      <c r="E5" s="161"/>
      <c r="F5" s="2"/>
      <c r="G5" s="11"/>
    </row>
    <row r="6" spans="1:9" ht="21.75" customHeight="1" x14ac:dyDescent="0.2">
      <c r="A6" s="160" t="s">
        <v>3</v>
      </c>
      <c r="B6" s="160"/>
      <c r="C6" s="16">
        <v>2021</v>
      </c>
      <c r="D6" s="7"/>
      <c r="E6" s="13"/>
      <c r="F6" s="2"/>
      <c r="G6" s="11"/>
    </row>
    <row r="7" spans="1:9" ht="16.5" customHeight="1" x14ac:dyDescent="0.2">
      <c r="A7" s="160" t="s">
        <v>4</v>
      </c>
      <c r="B7" s="160"/>
      <c r="C7" s="16" t="s">
        <v>23</v>
      </c>
      <c r="D7" s="7"/>
      <c r="E7" s="13"/>
      <c r="F7" s="2"/>
      <c r="G7" s="11"/>
    </row>
    <row r="8" spans="1:9" ht="2.25" customHeight="1" thickBot="1" x14ac:dyDescent="0.25">
      <c r="B8" s="3"/>
      <c r="C8" s="14"/>
      <c r="D8" s="2"/>
      <c r="E8" s="14"/>
      <c r="F8" s="2"/>
      <c r="G8" s="11"/>
    </row>
    <row r="9" spans="1:9" ht="51" customHeight="1" thickBot="1" x14ac:dyDescent="0.25">
      <c r="A9" s="20" t="s">
        <v>5</v>
      </c>
      <c r="B9" s="18" t="s">
        <v>6</v>
      </c>
      <c r="C9" s="19" t="s">
        <v>7</v>
      </c>
      <c r="D9" s="19" t="s">
        <v>8</v>
      </c>
      <c r="E9" s="48" t="s">
        <v>9</v>
      </c>
      <c r="F9" s="47" t="s">
        <v>10</v>
      </c>
      <c r="G9" s="48" t="s">
        <v>11</v>
      </c>
      <c r="H9" s="141" t="s">
        <v>12</v>
      </c>
      <c r="I9" s="142" t="s">
        <v>13</v>
      </c>
    </row>
    <row r="10" spans="1:9" ht="50.25" customHeight="1" thickBot="1" x14ac:dyDescent="0.25">
      <c r="A10" s="24">
        <v>1</v>
      </c>
      <c r="B10" s="25"/>
      <c r="C10" s="81" t="s">
        <v>30</v>
      </c>
      <c r="D10" s="50" t="s">
        <v>22</v>
      </c>
      <c r="E10" s="51" t="str">
        <f>'[1]Nota de PyE'!$C$35</f>
        <v xml:space="preserve"> ACETATO DE LEUPROLIDE, FORMA FARMACEUTICA: 1 AMPOLLA, PRESENTACION: 7,5 mGr</v>
      </c>
      <c r="F10" s="144" t="s">
        <v>21</v>
      </c>
      <c r="G10" s="63">
        <v>7</v>
      </c>
      <c r="H10" s="72">
        <v>3914</v>
      </c>
      <c r="I10" s="56">
        <f t="shared" ref="I10:I16" si="0">+G10*H10</f>
        <v>27398</v>
      </c>
    </row>
    <row r="11" spans="1:9" ht="43.5" customHeight="1" thickBot="1" x14ac:dyDescent="0.25">
      <c r="A11" s="24">
        <v>2</v>
      </c>
      <c r="B11" s="23"/>
      <c r="C11" s="81" t="s">
        <v>30</v>
      </c>
      <c r="D11" s="50" t="s">
        <v>22</v>
      </c>
      <c r="E11" s="51" t="str">
        <f>'[1]Nota de PyE'!$C$22</f>
        <v xml:space="preserve"> AC. ZOLEDRONICO, FORMA FARMACEUTICA:  1 AMPOLLA, PRESENTACION: 4 mGr</v>
      </c>
      <c r="F11" s="145" t="s">
        <v>21</v>
      </c>
      <c r="G11" s="62">
        <v>10</v>
      </c>
      <c r="H11" s="71">
        <f>537-5.3</f>
        <v>531.70000000000005</v>
      </c>
      <c r="I11" s="55">
        <f t="shared" si="0"/>
        <v>5317</v>
      </c>
    </row>
    <row r="12" spans="1:9" ht="43.5" customHeight="1" thickBot="1" x14ac:dyDescent="0.25">
      <c r="A12" s="24">
        <v>3</v>
      </c>
      <c r="B12" s="23"/>
      <c r="C12" s="81" t="s">
        <v>30</v>
      </c>
      <c r="D12" s="50" t="s">
        <v>22</v>
      </c>
      <c r="E12" s="51" t="str">
        <f>'[1]Nota de PyE'!$C$30</f>
        <v xml:space="preserve"> BEVACIZUMAB 400 MG, FORMA FARMACEUTICA: VIAL X 16 mL, PRESENTACION: X 1 FRASCO AMPOLLA</v>
      </c>
      <c r="F12" s="144" t="s">
        <v>21</v>
      </c>
      <c r="G12" s="63">
        <v>8</v>
      </c>
      <c r="H12" s="72">
        <v>124599</v>
      </c>
      <c r="I12" s="56">
        <f t="shared" si="0"/>
        <v>996792</v>
      </c>
    </row>
    <row r="13" spans="1:9" ht="44.25" customHeight="1" thickBot="1" x14ac:dyDescent="0.25">
      <c r="A13" s="24">
        <v>4</v>
      </c>
      <c r="B13" s="25"/>
      <c r="C13" s="81" t="s">
        <v>30</v>
      </c>
      <c r="D13" s="50" t="s">
        <v>22</v>
      </c>
      <c r="E13" s="39" t="str">
        <f>'[1]Nota de PyE'!$C$47</f>
        <v xml:space="preserve"> BORTEZOMID, FORMA FARMACEUTICA: 1 AMPOLLA, PRESENTACION: ENVASE X 3,5 mGr X UNIDAD</v>
      </c>
      <c r="F13" s="146" t="s">
        <v>21</v>
      </c>
      <c r="G13" s="65">
        <v>2</v>
      </c>
      <c r="H13" s="76">
        <v>35000</v>
      </c>
      <c r="I13" s="56">
        <f t="shared" si="0"/>
        <v>70000</v>
      </c>
    </row>
    <row r="14" spans="1:9" ht="43.5" customHeight="1" thickBot="1" x14ac:dyDescent="0.25">
      <c r="A14" s="24">
        <v>5</v>
      </c>
      <c r="B14" s="25"/>
      <c r="C14" s="81" t="s">
        <v>30</v>
      </c>
      <c r="D14" s="50" t="s">
        <v>22</v>
      </c>
      <c r="E14" s="51" t="str">
        <f>'[1]Nota de PyE'!$C$36</f>
        <v xml:space="preserve"> CAPECITABINA, FORMA FARMACEUTICA: 120  COMPRIMIDO, PRESENTACION: 500 mGr </v>
      </c>
      <c r="F14" s="144" t="s">
        <v>18</v>
      </c>
      <c r="G14" s="63">
        <v>10</v>
      </c>
      <c r="H14" s="72">
        <v>8556</v>
      </c>
      <c r="I14" s="56">
        <f t="shared" si="0"/>
        <v>85560</v>
      </c>
    </row>
    <row r="15" spans="1:9" ht="43.5" customHeight="1" thickBot="1" x14ac:dyDescent="0.25">
      <c r="A15" s="24">
        <v>6</v>
      </c>
      <c r="B15" s="25"/>
      <c r="C15" s="81" t="s">
        <v>30</v>
      </c>
      <c r="D15" s="50" t="s">
        <v>22</v>
      </c>
      <c r="E15" s="51" t="str">
        <f>'[1]Nota de PyE'!$C$33</f>
        <v>CARBOPLATINO POR 1  AMPOLLA, PRESENTACION: 150 mGr,</v>
      </c>
      <c r="F15" s="144" t="s">
        <v>21</v>
      </c>
      <c r="G15" s="63">
        <v>20</v>
      </c>
      <c r="H15" s="72">
        <v>1085</v>
      </c>
      <c r="I15" s="56">
        <f t="shared" si="0"/>
        <v>21700</v>
      </c>
    </row>
    <row r="16" spans="1:9" ht="43.5" customHeight="1" thickBot="1" x14ac:dyDescent="0.25">
      <c r="A16" s="24">
        <v>7</v>
      </c>
      <c r="B16" s="25"/>
      <c r="C16" s="81" t="s">
        <v>30</v>
      </c>
      <c r="D16" s="50" t="s">
        <v>22</v>
      </c>
      <c r="E16" s="51" t="str">
        <f>'[1]Nota de PyE'!$C$37</f>
        <v xml:space="preserve"> CARBOPLATINO,   1 AMPOLLA, PRESENTACION: 450 mGr, </v>
      </c>
      <c r="F16" s="144" t="s">
        <v>21</v>
      </c>
      <c r="G16" s="63">
        <v>15</v>
      </c>
      <c r="H16" s="72">
        <v>23816.86</v>
      </c>
      <c r="I16" s="56">
        <f t="shared" si="0"/>
        <v>357252.9</v>
      </c>
    </row>
    <row r="17" spans="1:9" ht="43.5" customHeight="1" thickBot="1" x14ac:dyDescent="0.25">
      <c r="A17" s="24">
        <v>8</v>
      </c>
      <c r="B17" s="23"/>
      <c r="C17" s="81" t="s">
        <v>30</v>
      </c>
      <c r="D17" s="50" t="s">
        <v>22</v>
      </c>
      <c r="E17" s="155" t="str">
        <f>'[1]Nota de PyE'!$C$13</f>
        <v xml:space="preserve">CICLOFOSFAMIDA, FORMA FARMACEUTICA: 1 AMPOLLA, PRESENTACION: 1 GR </v>
      </c>
      <c r="F17" s="147" t="s">
        <v>21</v>
      </c>
      <c r="G17" s="59">
        <v>50</v>
      </c>
      <c r="H17" s="74">
        <v>1000</v>
      </c>
      <c r="I17" s="55">
        <f t="shared" ref="I17:I56" si="1">+G17*H17</f>
        <v>50000</v>
      </c>
    </row>
    <row r="18" spans="1:9" ht="43.5" customHeight="1" thickBot="1" x14ac:dyDescent="0.25">
      <c r="A18" s="24">
        <v>9</v>
      </c>
      <c r="B18" s="23"/>
      <c r="C18" s="81" t="s">
        <v>30</v>
      </c>
      <c r="D18" s="50" t="s">
        <v>22</v>
      </c>
      <c r="E18" s="49" t="str">
        <f>'[1]Nota de PyE'!$C$19</f>
        <v>CISPLATINO 50 MG X 1 FRASCO-AMP.</v>
      </c>
      <c r="F18" s="148" t="s">
        <v>21</v>
      </c>
      <c r="G18" s="49">
        <v>70</v>
      </c>
      <c r="H18" s="53">
        <v>1198</v>
      </c>
      <c r="I18" s="53">
        <f>+G18*H18</f>
        <v>83860</v>
      </c>
    </row>
    <row r="19" spans="1:9" ht="43.5" customHeight="1" thickBot="1" x14ac:dyDescent="0.25">
      <c r="A19" s="24">
        <v>10</v>
      </c>
      <c r="B19" s="25"/>
      <c r="C19" s="81" t="s">
        <v>30</v>
      </c>
      <c r="D19" s="50" t="s">
        <v>22</v>
      </c>
      <c r="E19" s="51" t="str">
        <f>'[1]Nota de PyE'!$C$34</f>
        <v xml:space="preserve"> CITARABINA, PRESENTACION: 1 GR, FORMA FARMACEUTICA: 1  AMPOLLA</v>
      </c>
      <c r="F19" s="144" t="s">
        <v>21</v>
      </c>
      <c r="G19" s="63">
        <v>20</v>
      </c>
      <c r="H19" s="72">
        <v>1050</v>
      </c>
      <c r="I19" s="56">
        <f>+G19*H19</f>
        <v>21000</v>
      </c>
    </row>
    <row r="20" spans="1:9" ht="43.5" customHeight="1" thickBot="1" x14ac:dyDescent="0.25">
      <c r="A20" s="24">
        <v>11</v>
      </c>
      <c r="B20" s="25"/>
      <c r="C20" s="81" t="s">
        <v>30</v>
      </c>
      <c r="D20" s="50" t="s">
        <v>22</v>
      </c>
      <c r="E20" s="49" t="s">
        <v>29</v>
      </c>
      <c r="F20" s="148" t="s">
        <v>21</v>
      </c>
      <c r="G20" s="49">
        <v>45</v>
      </c>
      <c r="H20" s="53">
        <v>1000</v>
      </c>
      <c r="I20" s="53">
        <f>+G20*H20</f>
        <v>45000</v>
      </c>
    </row>
    <row r="21" spans="1:9" ht="43.5" customHeight="1" thickBot="1" x14ac:dyDescent="0.25">
      <c r="A21" s="24">
        <v>12</v>
      </c>
      <c r="B21" s="25"/>
      <c r="C21" s="81" t="s">
        <v>30</v>
      </c>
      <c r="D21" s="50" t="s">
        <v>22</v>
      </c>
      <c r="E21" s="155" t="str">
        <f>'[1]Nota de PyE'!$C$38</f>
        <v xml:space="preserve"> DACARBAZINA, FORMA FARMACEUTICA: 1 AMPOLLA, PRESENTACION: 100 mGr</v>
      </c>
      <c r="F21" s="144" t="s">
        <v>21</v>
      </c>
      <c r="G21" s="63">
        <v>50</v>
      </c>
      <c r="H21" s="72">
        <v>675</v>
      </c>
      <c r="I21" s="56">
        <f>+G21*H21</f>
        <v>33750</v>
      </c>
    </row>
    <row r="22" spans="1:9" ht="36.75" customHeight="1" thickBot="1" x14ac:dyDescent="0.25">
      <c r="A22" s="24">
        <v>13</v>
      </c>
      <c r="B22" s="25"/>
      <c r="C22" s="81" t="s">
        <v>30</v>
      </c>
      <c r="D22" s="50" t="s">
        <v>22</v>
      </c>
      <c r="E22" s="39" t="str">
        <f>'[1]Nota de PyE'!$C$54</f>
        <v xml:space="preserve"> DASATINIB, 100mg x 30 comp </v>
      </c>
      <c r="F22" s="149" t="s">
        <v>18</v>
      </c>
      <c r="G22" s="66">
        <v>2</v>
      </c>
      <c r="H22" s="77">
        <v>20000</v>
      </c>
      <c r="I22" s="56">
        <f>+G22*H22</f>
        <v>40000</v>
      </c>
    </row>
    <row r="23" spans="1:9" ht="60" customHeight="1" thickBot="1" x14ac:dyDescent="0.25">
      <c r="A23" s="24">
        <v>14</v>
      </c>
      <c r="B23" s="23"/>
      <c r="C23" s="81" t="s">
        <v>30</v>
      </c>
      <c r="D23" s="50" t="s">
        <v>22</v>
      </c>
      <c r="E23" s="51" t="str">
        <f>'[1]Nota de PyE'!$C$15</f>
        <v xml:space="preserve">DOXORRUBICINA, FORMA FARMACEUTICA: 1  AMPOLLA, PRESENTACION: 50 mGr  </v>
      </c>
      <c r="F23" s="150" t="s">
        <v>21</v>
      </c>
      <c r="G23" s="60">
        <v>50</v>
      </c>
      <c r="H23" s="72">
        <v>1111</v>
      </c>
      <c r="I23" s="56">
        <f t="shared" si="1"/>
        <v>55550</v>
      </c>
    </row>
    <row r="24" spans="1:9" ht="44.25" customHeight="1" thickBot="1" x14ac:dyDescent="0.25">
      <c r="A24" s="24">
        <v>15</v>
      </c>
      <c r="B24" s="25"/>
      <c r="C24" s="81" t="s">
        <v>30</v>
      </c>
      <c r="D24" s="50" t="s">
        <v>22</v>
      </c>
      <c r="E24" s="39" t="str">
        <f>'[1]Nota de PyE'!$C$53</f>
        <v xml:space="preserve"> DOXORRUBICINA LIPOSOMAL,  VIAL, AMPOLLA X 20 mGr</v>
      </c>
      <c r="F24" s="151" t="s">
        <v>21</v>
      </c>
      <c r="G24" s="68">
        <v>5</v>
      </c>
      <c r="H24" s="79">
        <v>25000</v>
      </c>
      <c r="I24" s="55">
        <f t="shared" ref="I24" si="2">+G24*H24</f>
        <v>125000</v>
      </c>
    </row>
    <row r="25" spans="1:9" ht="43.5" customHeight="1" thickBot="1" x14ac:dyDescent="0.25">
      <c r="A25" s="24">
        <v>16</v>
      </c>
      <c r="B25" s="25"/>
      <c r="C25" s="81" t="s">
        <v>30</v>
      </c>
      <c r="D25" s="50" t="s">
        <v>22</v>
      </c>
      <c r="E25" s="51" t="str">
        <f>'[1]Nota de PyE'!$C$17</f>
        <v xml:space="preserve">ETOPOSIDO, FORMA FARMACEUTICA: 1  AMPOLLA , PRESENTACION: 100 mGr </v>
      </c>
      <c r="F25" s="150" t="s">
        <v>21</v>
      </c>
      <c r="G25" s="60">
        <v>70</v>
      </c>
      <c r="H25" s="72">
        <v>400</v>
      </c>
      <c r="I25" s="56">
        <f>+G25*H25</f>
        <v>28000</v>
      </c>
    </row>
    <row r="26" spans="1:9" ht="43.5" customHeight="1" thickBot="1" x14ac:dyDescent="0.25">
      <c r="A26" s="24">
        <v>17</v>
      </c>
      <c r="B26" s="23"/>
      <c r="C26" s="81" t="s">
        <v>30</v>
      </c>
      <c r="D26" s="50" t="s">
        <v>22</v>
      </c>
      <c r="E26" s="51" t="str">
        <f>'[1]Nota de PyE'!$C$31</f>
        <v xml:space="preserve"> FILGRASTIM, 300 MCG   FRASCO AMPOLLA, PRESENTACION: X 1</v>
      </c>
      <c r="F26" s="144" t="s">
        <v>21</v>
      </c>
      <c r="G26" s="63">
        <v>50</v>
      </c>
      <c r="H26" s="72">
        <v>699</v>
      </c>
      <c r="I26" s="56">
        <f>+G26*H26</f>
        <v>34950</v>
      </c>
    </row>
    <row r="27" spans="1:9" ht="43.5" customHeight="1" thickBot="1" x14ac:dyDescent="0.25">
      <c r="A27" s="24">
        <v>18</v>
      </c>
      <c r="B27" s="23"/>
      <c r="C27" s="81" t="s">
        <v>30</v>
      </c>
      <c r="D27" s="50" t="s">
        <v>22</v>
      </c>
      <c r="E27" s="51" t="str">
        <f>'[1]Nota de PyE'!$C$26</f>
        <v xml:space="preserve"> FOLINATO DE CALCIO, 50 mGr:   1 FRASCO-AMPOLLA </v>
      </c>
      <c r="F27" s="144" t="s">
        <v>21</v>
      </c>
      <c r="G27" s="63">
        <v>50</v>
      </c>
      <c r="H27" s="72">
        <v>426</v>
      </c>
      <c r="I27" s="56">
        <f>+G27*H27</f>
        <v>21300</v>
      </c>
    </row>
    <row r="28" spans="1:9" ht="37.5" customHeight="1" thickBot="1" x14ac:dyDescent="0.25">
      <c r="A28" s="24">
        <v>19</v>
      </c>
      <c r="B28" s="25"/>
      <c r="C28" s="81" t="s">
        <v>30</v>
      </c>
      <c r="D28" s="50" t="s">
        <v>22</v>
      </c>
      <c r="E28" s="39" t="str">
        <f>'[1]Nota de PyE'!$C$50</f>
        <v xml:space="preserve"> FULVESTRANTX 250 mGr, x 2 ampolla </v>
      </c>
      <c r="F28" s="149" t="s">
        <v>18</v>
      </c>
      <c r="G28" s="66">
        <v>4</v>
      </c>
      <c r="H28" s="77">
        <v>56000</v>
      </c>
      <c r="I28" s="56">
        <f>+G28*H28</f>
        <v>224000</v>
      </c>
    </row>
    <row r="29" spans="1:9" ht="38.25" customHeight="1" thickBot="1" x14ac:dyDescent="0.25">
      <c r="A29" s="24">
        <v>20</v>
      </c>
      <c r="B29" s="25"/>
      <c r="C29" s="81" t="s">
        <v>30</v>
      </c>
      <c r="D29" s="50" t="s">
        <v>22</v>
      </c>
      <c r="E29" s="52" t="str">
        <f>'[1]Nota de PyE'!$C$52</f>
        <v>GEMCITABINA 1000 MG. 1 FRASCO-AMP.</v>
      </c>
      <c r="F29" s="148" t="s">
        <v>21</v>
      </c>
      <c r="G29" s="52">
        <v>5</v>
      </c>
      <c r="H29" s="54">
        <v>20000</v>
      </c>
      <c r="I29" s="54">
        <f>+G29*H29</f>
        <v>100000</v>
      </c>
    </row>
    <row r="30" spans="1:9" ht="31.5" customHeight="1" thickBot="1" x14ac:dyDescent="0.25">
      <c r="A30" s="24">
        <v>21</v>
      </c>
      <c r="B30" s="25"/>
      <c r="C30" s="81" t="s">
        <v>30</v>
      </c>
      <c r="D30" s="50" t="s">
        <v>22</v>
      </c>
      <c r="E30" s="39" t="str">
        <f>'[1]Nota de PyE'!$C$55</f>
        <v>GOSERELIN,3.6 mGr, AMPOLLA X 1</v>
      </c>
      <c r="F30" s="149" t="s">
        <v>21</v>
      </c>
      <c r="G30" s="66">
        <v>2</v>
      </c>
      <c r="H30" s="77">
        <v>50000</v>
      </c>
      <c r="I30" s="56">
        <f t="shared" ref="I30" si="3">+G30*H30</f>
        <v>100000</v>
      </c>
    </row>
    <row r="31" spans="1:9" ht="43.5" customHeight="1" thickBot="1" x14ac:dyDescent="0.25">
      <c r="A31" s="24">
        <v>22</v>
      </c>
      <c r="B31" s="23"/>
      <c r="C31" s="81" t="s">
        <v>30</v>
      </c>
      <c r="D31" s="50" t="s">
        <v>22</v>
      </c>
      <c r="E31" s="51" t="str">
        <f>'[1]Nota de PyE'!$C$23</f>
        <v xml:space="preserve"> HIDROXIUREA,500 mGr  CAPSULA x 100 </v>
      </c>
      <c r="F31" s="144" t="s">
        <v>18</v>
      </c>
      <c r="G31" s="63">
        <v>15</v>
      </c>
      <c r="H31" s="72">
        <v>2958.34</v>
      </c>
      <c r="I31" s="56">
        <f>+G31*H31</f>
        <v>44375.100000000006</v>
      </c>
    </row>
    <row r="32" spans="1:9" ht="41.25" customHeight="1" thickBot="1" x14ac:dyDescent="0.25">
      <c r="A32" s="24">
        <v>23</v>
      </c>
      <c r="B32" s="25"/>
      <c r="C32" s="81" t="s">
        <v>30</v>
      </c>
      <c r="D32" s="50" t="s">
        <v>22</v>
      </c>
      <c r="E32" s="52" t="str">
        <f>'[1]Nota de PyE'!$C$58</f>
        <v>IFOSFAMIDA 1 GR X 1 AMPOLLA</v>
      </c>
      <c r="F32" s="148" t="s">
        <v>21</v>
      </c>
      <c r="G32" s="52">
        <v>10</v>
      </c>
      <c r="H32" s="54">
        <v>15000</v>
      </c>
      <c r="I32" s="54">
        <f t="shared" ref="I32" si="4">+G32*H32</f>
        <v>150000</v>
      </c>
    </row>
    <row r="33" spans="1:9" ht="43.5" customHeight="1" thickBot="1" x14ac:dyDescent="0.25">
      <c r="A33" s="24">
        <v>24</v>
      </c>
      <c r="B33" s="25"/>
      <c r="C33" s="81" t="s">
        <v>30</v>
      </c>
      <c r="D33" s="50" t="s">
        <v>22</v>
      </c>
      <c r="E33" s="51" t="str">
        <f>'[1]Nota de PyE'!$C$16</f>
        <v>IMATINIB, FORMA FARMACEUTICA: COMPRIMIDO X 400 mGr, PRESENTACION: ENVASE X 30, TIPO: MONODROGA</v>
      </c>
      <c r="F33" s="150" t="s">
        <v>18</v>
      </c>
      <c r="G33" s="60">
        <v>20</v>
      </c>
      <c r="H33" s="72">
        <v>5523</v>
      </c>
      <c r="I33" s="56">
        <f t="shared" si="1"/>
        <v>110460</v>
      </c>
    </row>
    <row r="34" spans="1:9" ht="43.5" customHeight="1" thickBot="1" x14ac:dyDescent="0.25">
      <c r="A34" s="24">
        <v>25</v>
      </c>
      <c r="B34" s="23"/>
      <c r="C34" s="81" t="s">
        <v>30</v>
      </c>
      <c r="D34" s="50" t="s">
        <v>22</v>
      </c>
      <c r="E34" s="155" t="str">
        <f>'[1]Nota de PyE'!$C$18</f>
        <v>MESNA 200 MG, FORMA FARMACEUTICA: 10 AMPOLLA, PRESENTACION: ENVASE X 2 mL</v>
      </c>
      <c r="F34" s="150" t="s">
        <v>18</v>
      </c>
      <c r="G34" s="60">
        <v>15</v>
      </c>
      <c r="H34" s="72">
        <v>3235</v>
      </c>
      <c r="I34" s="57">
        <f t="shared" si="1"/>
        <v>48525</v>
      </c>
    </row>
    <row r="35" spans="1:9" ht="43.5" customHeight="1" thickBot="1" x14ac:dyDescent="0.25">
      <c r="A35" s="24">
        <v>26</v>
      </c>
      <c r="B35" s="25"/>
      <c r="C35" s="81" t="s">
        <v>30</v>
      </c>
      <c r="D35" s="50" t="s">
        <v>22</v>
      </c>
      <c r="E35" s="51" t="str">
        <f>'[1]Nota de PyE'!$C$39</f>
        <v xml:space="preserve"> METOTREXATO X 10 MG, FORMA FARMACEUTICA:  10  POR COMPRIMIDO</v>
      </c>
      <c r="F35" s="144" t="s">
        <v>18</v>
      </c>
      <c r="G35" s="63">
        <v>50</v>
      </c>
      <c r="H35" s="72">
        <v>553</v>
      </c>
      <c r="I35" s="56">
        <f>+G35*H35</f>
        <v>27650</v>
      </c>
    </row>
    <row r="36" spans="1:9" ht="43.5" customHeight="1" thickBot="1" x14ac:dyDescent="0.25">
      <c r="A36" s="24">
        <v>27</v>
      </c>
      <c r="B36" s="25"/>
      <c r="C36" s="81" t="s">
        <v>30</v>
      </c>
      <c r="D36" s="50" t="s">
        <v>22</v>
      </c>
      <c r="E36" s="51" t="str">
        <f>'[1]Nota de PyE'!$C$40</f>
        <v xml:space="preserve"> METOTREXATO, FORMA FARMACEUTICA: 1  AMPOLLA, PRESENTACION: 500 mGr</v>
      </c>
      <c r="F36" s="144" t="s">
        <v>21</v>
      </c>
      <c r="G36" s="63">
        <v>20</v>
      </c>
      <c r="H36" s="72">
        <v>1418.29</v>
      </c>
      <c r="I36" s="56">
        <f>+G36*H36</f>
        <v>28365.8</v>
      </c>
    </row>
    <row r="37" spans="1:9" ht="43.5" customHeight="1" thickBot="1" x14ac:dyDescent="0.25">
      <c r="A37" s="24">
        <v>28</v>
      </c>
      <c r="B37" s="23"/>
      <c r="C37" s="81" t="s">
        <v>30</v>
      </c>
      <c r="D37" s="50" t="s">
        <v>22</v>
      </c>
      <c r="E37" s="155" t="str">
        <f>'[1]Nota de PyE'!$C$20</f>
        <v xml:space="preserve"> NILOTINIB, FORMA FARMACEUTICA: CAPSULA, PRESENTACION: 150 mGr X 120 </v>
      </c>
      <c r="F37" s="152" t="s">
        <v>18</v>
      </c>
      <c r="G37" s="61">
        <v>2</v>
      </c>
      <c r="H37" s="75">
        <v>218000</v>
      </c>
      <c r="I37" s="58">
        <f t="shared" si="1"/>
        <v>436000</v>
      </c>
    </row>
    <row r="38" spans="1:9" ht="43.5" customHeight="1" thickBot="1" x14ac:dyDescent="0.25">
      <c r="A38" s="24">
        <v>29</v>
      </c>
      <c r="B38" s="23"/>
      <c r="C38" s="81" t="s">
        <v>30</v>
      </c>
      <c r="D38" s="50" t="s">
        <v>22</v>
      </c>
      <c r="E38" s="51" t="str">
        <f>'[1]Nota de PyE'!$C$32</f>
        <v xml:space="preserve"> OXALIPLATINO, FORMA FARMACEUTICA: 1  AMPOLLA, PRESENTACION: 100 mGr X1 </v>
      </c>
      <c r="F38" s="144" t="s">
        <v>21</v>
      </c>
      <c r="G38" s="63">
        <v>50</v>
      </c>
      <c r="H38" s="72">
        <v>824</v>
      </c>
      <c r="I38" s="56">
        <f>+G38*H38</f>
        <v>41200</v>
      </c>
    </row>
    <row r="39" spans="1:9" ht="43.5" customHeight="1" thickBot="1" x14ac:dyDescent="0.25">
      <c r="A39" s="24">
        <v>30</v>
      </c>
      <c r="B39" s="23"/>
      <c r="C39" s="81" t="s">
        <v>30</v>
      </c>
      <c r="D39" s="50" t="s">
        <v>22</v>
      </c>
      <c r="E39" s="49" t="s">
        <v>28</v>
      </c>
      <c r="F39" s="148" t="s">
        <v>21</v>
      </c>
      <c r="G39" s="49">
        <v>50</v>
      </c>
      <c r="H39" s="53">
        <v>14000</v>
      </c>
      <c r="I39" s="53">
        <f>+H39*G39</f>
        <v>700000</v>
      </c>
    </row>
    <row r="40" spans="1:9" ht="43.5" customHeight="1" thickBot="1" x14ac:dyDescent="0.25">
      <c r="A40" s="24">
        <v>31</v>
      </c>
      <c r="B40" s="26"/>
      <c r="C40" s="81" t="s">
        <v>30</v>
      </c>
      <c r="D40" s="50" t="s">
        <v>22</v>
      </c>
      <c r="E40" s="155" t="str">
        <f>'[1]Nota de PyE'!$C$44</f>
        <v xml:space="preserve"> PALBOCICLIB 125MG, X 21   CAPSULAS  </v>
      </c>
      <c r="F40" s="145" t="s">
        <v>18</v>
      </c>
      <c r="G40" s="62">
        <v>2</v>
      </c>
      <c r="H40" s="71">
        <v>155000</v>
      </c>
      <c r="I40" s="55">
        <f t="shared" ref="I40:I54" si="5">+G40*H40</f>
        <v>310000</v>
      </c>
    </row>
    <row r="41" spans="1:9" ht="60" customHeight="1" thickBot="1" x14ac:dyDescent="0.25">
      <c r="A41" s="24">
        <v>32</v>
      </c>
      <c r="B41" s="25"/>
      <c r="C41" s="81" t="s">
        <v>30</v>
      </c>
      <c r="D41" s="50" t="s">
        <v>22</v>
      </c>
      <c r="E41" s="51" t="str">
        <f>'[1]Nota de PyE'!$C$41</f>
        <v xml:space="preserve"> PAMIDRONATO DIOSODICO, FORMA FARMACEUTICA:  1 AMPOLLA, PRESENTACION: 90 mGr</v>
      </c>
      <c r="F41" s="144" t="s">
        <v>21</v>
      </c>
      <c r="G41" s="63">
        <v>10</v>
      </c>
      <c r="H41" s="72">
        <v>799</v>
      </c>
      <c r="I41" s="56">
        <f t="shared" si="5"/>
        <v>7990</v>
      </c>
    </row>
    <row r="42" spans="1:9" ht="43.5" customHeight="1" thickBot="1" x14ac:dyDescent="0.25">
      <c r="A42" s="24">
        <v>33</v>
      </c>
      <c r="B42" s="23"/>
      <c r="C42" s="81" t="s">
        <v>30</v>
      </c>
      <c r="D42" s="50" t="s">
        <v>22</v>
      </c>
      <c r="E42" s="51" t="str">
        <f>'[1]Nota de PyE'!$C$25</f>
        <v xml:space="preserve"> PAZOPANIB X 400 mGr, x30 COMPRIMIDO</v>
      </c>
      <c r="F42" s="144" t="s">
        <v>18</v>
      </c>
      <c r="G42" s="63">
        <v>2</v>
      </c>
      <c r="H42" s="72">
        <v>8914</v>
      </c>
      <c r="I42" s="56">
        <f t="shared" si="5"/>
        <v>17828</v>
      </c>
    </row>
    <row r="43" spans="1:9" ht="43.5" customHeight="1" thickBot="1" x14ac:dyDescent="0.25">
      <c r="A43" s="24">
        <v>34</v>
      </c>
      <c r="B43" s="23"/>
      <c r="C43" s="81" t="s">
        <v>30</v>
      </c>
      <c r="D43" s="50" t="s">
        <v>22</v>
      </c>
      <c r="E43" s="155" t="str">
        <f>'[1]Nota de PyE'!$C$45</f>
        <v xml:space="preserve"> PEMBROLIZUMAB, 100 mg 1  AMPOLLA, PRESENTACION: UNIDAD</v>
      </c>
      <c r="F43" s="144" t="s">
        <v>21</v>
      </c>
      <c r="G43" s="63">
        <v>2</v>
      </c>
      <c r="H43" s="72">
        <v>240000</v>
      </c>
      <c r="I43" s="56">
        <f t="shared" si="5"/>
        <v>480000</v>
      </c>
    </row>
    <row r="44" spans="1:9" ht="30.75" customHeight="1" thickBot="1" x14ac:dyDescent="0.25">
      <c r="A44" s="24">
        <v>35</v>
      </c>
      <c r="B44" s="25"/>
      <c r="C44" s="81" t="s">
        <v>30</v>
      </c>
      <c r="D44" s="50" t="s">
        <v>22</v>
      </c>
      <c r="E44" s="39" t="str">
        <f>'[1]Nota de PyE'!$C$57</f>
        <v>PERTUZUMAB 420 mg -frasco ampolla 14 ml (vial)</v>
      </c>
      <c r="F44" s="153" t="s">
        <v>21</v>
      </c>
      <c r="G44" s="33">
        <v>2</v>
      </c>
      <c r="H44" s="78">
        <v>430000</v>
      </c>
      <c r="I44" s="57">
        <f t="shared" si="5"/>
        <v>860000</v>
      </c>
    </row>
    <row r="45" spans="1:9" ht="43.5" customHeight="1" thickBot="1" x14ac:dyDescent="0.25">
      <c r="A45" s="24">
        <v>36</v>
      </c>
      <c r="B45" s="36"/>
      <c r="C45" s="81" t="s">
        <v>30</v>
      </c>
      <c r="D45" s="50" t="s">
        <v>22</v>
      </c>
      <c r="E45" s="155" t="str">
        <f>'[1]Nota de PyE'!$C$46</f>
        <v xml:space="preserve"> REGORAFENIB,40MG  x 28 COMPRIMIDO</v>
      </c>
      <c r="F45" s="144" t="s">
        <v>18</v>
      </c>
      <c r="G45" s="63">
        <v>2</v>
      </c>
      <c r="H45" s="72">
        <v>512397.96</v>
      </c>
      <c r="I45" s="56">
        <f t="shared" si="5"/>
        <v>1024795.92</v>
      </c>
    </row>
    <row r="46" spans="1:9" ht="43.5" customHeight="1" thickBot="1" x14ac:dyDescent="0.25">
      <c r="A46" s="24">
        <v>37</v>
      </c>
      <c r="B46" s="23"/>
      <c r="C46" s="81" t="s">
        <v>30</v>
      </c>
      <c r="D46" s="50" t="s">
        <v>22</v>
      </c>
      <c r="E46" s="51" t="str">
        <f>'[1]Nota de PyE'!$C$27</f>
        <v xml:space="preserve"> RITUXIMAB, FORMA FARMACEUTICA: 1 AMPOLLA, PRESENTACION: 100 mGr</v>
      </c>
      <c r="F46" s="144" t="s">
        <v>21</v>
      </c>
      <c r="G46" s="63">
        <v>2</v>
      </c>
      <c r="H46" s="72">
        <v>47900</v>
      </c>
      <c r="I46" s="56">
        <f t="shared" si="5"/>
        <v>95800</v>
      </c>
    </row>
    <row r="47" spans="1:9" ht="43.5" customHeight="1" thickBot="1" x14ac:dyDescent="0.25">
      <c r="A47" s="24">
        <v>38</v>
      </c>
      <c r="B47" s="23"/>
      <c r="C47" s="81" t="s">
        <v>30</v>
      </c>
      <c r="D47" s="50" t="s">
        <v>22</v>
      </c>
      <c r="E47" s="51" t="str">
        <f>'[1]Nota de PyE'!$C$28</f>
        <v xml:space="preserve"> RITUXIMAB, FORMA FARMACEUTICA:  1 AMPOLLA, PRESENTACION: 500 mGr</v>
      </c>
      <c r="F47" s="144" t="s">
        <v>21</v>
      </c>
      <c r="G47" s="63">
        <v>2</v>
      </c>
      <c r="H47" s="72">
        <v>41223</v>
      </c>
      <c r="I47" s="56">
        <f t="shared" si="5"/>
        <v>82446</v>
      </c>
    </row>
    <row r="48" spans="1:9" ht="42.75" customHeight="1" thickBot="1" x14ac:dyDescent="0.25">
      <c r="A48" s="24">
        <v>39</v>
      </c>
      <c r="B48" s="25"/>
      <c r="C48" s="81" t="s">
        <v>30</v>
      </c>
      <c r="D48" s="50" t="s">
        <v>22</v>
      </c>
      <c r="E48" s="39" t="str">
        <f>'[1]Nota de PyE'!$C$51</f>
        <v xml:space="preserve"> SUNITINIB, X 50 mGr capsulas x 28 u</v>
      </c>
      <c r="F48" s="154" t="s">
        <v>18</v>
      </c>
      <c r="G48" s="67">
        <v>2</v>
      </c>
      <c r="H48" s="78">
        <v>300000</v>
      </c>
      <c r="I48" s="57">
        <f t="shared" si="5"/>
        <v>600000</v>
      </c>
    </row>
    <row r="49" spans="1:10" ht="43.5" customHeight="1" thickBot="1" x14ac:dyDescent="0.25">
      <c r="A49" s="24">
        <v>40</v>
      </c>
      <c r="B49" s="23"/>
      <c r="C49" s="81" t="s">
        <v>30</v>
      </c>
      <c r="D49" s="50" t="s">
        <v>22</v>
      </c>
      <c r="E49" s="51" t="str">
        <f>'[1]Nota de PyE'!$C$14</f>
        <v xml:space="preserve"> TAMOXIFENO, FORMA FARMACEUTICA: COMPRIMIDO, PRESENTACION: 20 mGr 30 COMPRIMIDO  TIPO: MONODROGA</v>
      </c>
      <c r="F49" s="150" t="s">
        <v>18</v>
      </c>
      <c r="G49" s="60">
        <v>33</v>
      </c>
      <c r="H49" s="72">
        <v>338</v>
      </c>
      <c r="I49" s="56">
        <f t="shared" si="5"/>
        <v>11154</v>
      </c>
    </row>
    <row r="50" spans="1:10" ht="33" customHeight="1" thickBot="1" x14ac:dyDescent="0.25">
      <c r="A50" s="24">
        <v>41</v>
      </c>
      <c r="B50" s="25"/>
      <c r="C50" s="81" t="s">
        <v>30</v>
      </c>
      <c r="D50" s="50" t="s">
        <v>22</v>
      </c>
      <c r="E50" s="39" t="str">
        <f>'[1]Nota de PyE'!$C$48</f>
        <v>TEMOZOLOMIDA,X 100 mGr  CAPSULA, x 5 u</v>
      </c>
      <c r="F50" s="149" t="s">
        <v>18</v>
      </c>
      <c r="G50" s="66">
        <v>5</v>
      </c>
      <c r="H50" s="77">
        <v>25000</v>
      </c>
      <c r="I50" s="56">
        <f t="shared" si="5"/>
        <v>125000</v>
      </c>
    </row>
    <row r="51" spans="1:10" ht="27.75" customHeight="1" thickBot="1" x14ac:dyDescent="0.25">
      <c r="A51" s="24">
        <v>42</v>
      </c>
      <c r="B51" s="25"/>
      <c r="C51" s="81" t="s">
        <v>30</v>
      </c>
      <c r="D51" s="50" t="s">
        <v>22</v>
      </c>
      <c r="E51" s="39" t="s">
        <v>129</v>
      </c>
      <c r="F51" s="149" t="s">
        <v>18</v>
      </c>
      <c r="G51" s="66">
        <v>8</v>
      </c>
      <c r="H51" s="77">
        <v>5500</v>
      </c>
      <c r="I51" s="56">
        <f t="shared" si="5"/>
        <v>44000</v>
      </c>
    </row>
    <row r="52" spans="1:10" s="5" customFormat="1" ht="35.25" customHeight="1" thickBot="1" x14ac:dyDescent="0.25">
      <c r="A52" s="24">
        <v>43</v>
      </c>
      <c r="B52" s="25"/>
      <c r="C52" s="81" t="s">
        <v>30</v>
      </c>
      <c r="D52" s="50" t="s">
        <v>22</v>
      </c>
      <c r="E52" s="39" t="str">
        <f>'[1]Nota de PyE'!$C$56</f>
        <v xml:space="preserve"> TIOGUANINA  40 mGr COMPRIMIDO X 25 u</v>
      </c>
      <c r="F52" s="153" t="s">
        <v>18</v>
      </c>
      <c r="G52" s="33">
        <v>2</v>
      </c>
      <c r="H52" s="78">
        <v>19800</v>
      </c>
      <c r="I52" s="57">
        <f t="shared" si="5"/>
        <v>39600</v>
      </c>
    </row>
    <row r="53" spans="1:10" ht="43.5" customHeight="1" thickBot="1" x14ac:dyDescent="0.25">
      <c r="A53" s="24">
        <v>44</v>
      </c>
      <c r="B53" s="23"/>
      <c r="C53" s="81" t="s">
        <v>30</v>
      </c>
      <c r="D53" s="50" t="s">
        <v>22</v>
      </c>
      <c r="E53" s="51" t="str">
        <f>'[1]Nota de PyE'!$C$24</f>
        <v xml:space="preserve"> TRASTUZUMAB 440 mGr, :  1 FRASCO AMPOLLA, PRESENTACION: ENVASE X 20 mL</v>
      </c>
      <c r="F53" s="144" t="s">
        <v>21</v>
      </c>
      <c r="G53" s="63">
        <v>2</v>
      </c>
      <c r="H53" s="72">
        <v>152992</v>
      </c>
      <c r="I53" s="56">
        <f t="shared" si="5"/>
        <v>305984</v>
      </c>
    </row>
    <row r="54" spans="1:10" ht="43.5" customHeight="1" thickBot="1" x14ac:dyDescent="0.25">
      <c r="A54" s="24">
        <v>45</v>
      </c>
      <c r="B54" s="23"/>
      <c r="C54" s="81" t="s">
        <v>30</v>
      </c>
      <c r="D54" s="50" t="s">
        <v>22</v>
      </c>
      <c r="E54" s="51" t="str">
        <f>'[1]Nota de PyE'!$C$29</f>
        <v xml:space="preserve"> VINBLASTINA, FORMA FARMACEUTICA: 1 AMPOLLA, PRESENTACION: 10 mGr</v>
      </c>
      <c r="F54" s="144" t="s">
        <v>21</v>
      </c>
      <c r="G54" s="63">
        <v>10</v>
      </c>
      <c r="H54" s="72">
        <v>2999</v>
      </c>
      <c r="I54" s="56">
        <f t="shared" si="5"/>
        <v>29990</v>
      </c>
    </row>
    <row r="55" spans="1:10" ht="43.5" customHeight="1" thickBot="1" x14ac:dyDescent="0.25">
      <c r="A55" s="24">
        <v>46</v>
      </c>
      <c r="B55" s="23"/>
      <c r="C55" s="81" t="s">
        <v>30</v>
      </c>
      <c r="D55" s="50" t="s">
        <v>22</v>
      </c>
      <c r="E55" s="49" t="str">
        <f>'[1]Nota de PyE'!$C$21</f>
        <v>VINCRISTINA 1 MG. 1 FRASCO-AMPOLLA</v>
      </c>
      <c r="F55" s="148" t="s">
        <v>21</v>
      </c>
      <c r="G55" s="49">
        <v>50</v>
      </c>
      <c r="H55" s="53">
        <v>2500</v>
      </c>
      <c r="I55" s="53">
        <f>+H55*G55</f>
        <v>125000</v>
      </c>
    </row>
    <row r="56" spans="1:10" ht="43.5" customHeight="1" x14ac:dyDescent="0.2">
      <c r="A56" s="24">
        <v>47</v>
      </c>
      <c r="B56" s="25"/>
      <c r="C56" s="81" t="s">
        <v>30</v>
      </c>
      <c r="D56" s="50" t="s">
        <v>22</v>
      </c>
      <c r="E56" s="51" t="str">
        <f>'[1]Nota de PyE'!$C$42</f>
        <v xml:space="preserve"> VINORELBINE, FORMA FARMACEUTICA: AMPOLLA, PRESENTACION: 50 mGr</v>
      </c>
      <c r="F56" s="80" t="s">
        <v>21</v>
      </c>
      <c r="G56" s="64">
        <v>5</v>
      </c>
      <c r="H56" s="73">
        <v>6318</v>
      </c>
      <c r="I56" s="57">
        <f t="shared" si="1"/>
        <v>31590</v>
      </c>
    </row>
    <row r="57" spans="1:10" ht="24.75" customHeight="1" x14ac:dyDescent="0.2">
      <c r="A57" s="12"/>
      <c r="B57" s="21"/>
      <c r="C57" s="34"/>
      <c r="D57" s="22"/>
      <c r="E57" s="163" t="s">
        <v>19</v>
      </c>
      <c r="F57" s="163"/>
      <c r="G57" s="163"/>
      <c r="H57" s="163"/>
      <c r="I57" s="35">
        <f>SUM(I10:I56)</f>
        <v>8304183.7199999997</v>
      </c>
      <c r="J57" s="69"/>
    </row>
    <row r="58" spans="1:10" ht="24.75" customHeight="1" x14ac:dyDescent="0.2">
      <c r="D58" s="28"/>
      <c r="E58" s="29"/>
      <c r="F58" s="29"/>
      <c r="G58" s="29"/>
      <c r="H58" s="29"/>
      <c r="I58" s="29"/>
    </row>
    <row r="59" spans="1:10" ht="62.25" customHeight="1" x14ac:dyDescent="0.2">
      <c r="C59" s="37" t="s">
        <v>26</v>
      </c>
      <c r="D59" s="38"/>
      <c r="E59" s="164" t="s">
        <v>24</v>
      </c>
      <c r="F59" s="164"/>
      <c r="G59" s="164"/>
      <c r="H59" s="39"/>
      <c r="I59" s="39"/>
    </row>
    <row r="60" spans="1:10" ht="28.5" customHeight="1" x14ac:dyDescent="0.2">
      <c r="C60" s="44" t="s">
        <v>14</v>
      </c>
      <c r="D60" s="38"/>
      <c r="E60" s="165" t="s">
        <v>25</v>
      </c>
      <c r="F60" s="165"/>
      <c r="G60" s="165"/>
      <c r="H60" s="42"/>
      <c r="I60" s="43"/>
      <c r="J60" s="70"/>
    </row>
    <row r="61" spans="1:10" ht="27.75" customHeight="1" x14ac:dyDescent="0.2">
      <c r="C61" s="44" t="s">
        <v>130</v>
      </c>
      <c r="D61" s="38"/>
      <c r="E61" s="166" t="s">
        <v>31</v>
      </c>
      <c r="F61" s="166"/>
      <c r="G61" s="166"/>
      <c r="H61" s="42"/>
      <c r="I61" s="43"/>
    </row>
    <row r="62" spans="1:10" ht="27.75" customHeight="1" x14ac:dyDescent="0.2">
      <c r="C62" s="44" t="s">
        <v>131</v>
      </c>
      <c r="D62" s="38"/>
      <c r="E62" s="166" t="s">
        <v>132</v>
      </c>
      <c r="F62" s="166"/>
      <c r="G62" s="166"/>
      <c r="H62" s="42"/>
      <c r="I62" s="43"/>
    </row>
    <row r="63" spans="1:10" x14ac:dyDescent="0.2">
      <c r="C63" s="45"/>
      <c r="D63" s="38"/>
      <c r="E63" s="156"/>
      <c r="F63" s="156"/>
      <c r="G63" s="156"/>
      <c r="H63" s="156"/>
      <c r="I63" s="156"/>
    </row>
    <row r="64" spans="1:10" ht="14.25" x14ac:dyDescent="0.2">
      <c r="C64" s="44" t="s">
        <v>15</v>
      </c>
      <c r="D64" s="38"/>
      <c r="E64" s="156"/>
      <c r="F64" s="156"/>
      <c r="G64" s="156"/>
      <c r="H64" s="156"/>
      <c r="I64" s="156"/>
    </row>
    <row r="65" spans="3:9" ht="14.25" x14ac:dyDescent="0.2">
      <c r="C65" s="44"/>
      <c r="D65" s="38"/>
      <c r="E65" s="40"/>
      <c r="F65" s="38"/>
      <c r="G65" s="41"/>
      <c r="H65" s="42"/>
      <c r="I65" s="43"/>
    </row>
    <row r="66" spans="3:9" ht="14.25" x14ac:dyDescent="0.2">
      <c r="C66" s="44" t="s">
        <v>16</v>
      </c>
      <c r="D66" s="38"/>
      <c r="E66" s="40" t="s">
        <v>27</v>
      </c>
      <c r="F66" s="38"/>
      <c r="G66" s="41"/>
      <c r="H66" s="42"/>
      <c r="I66" s="43"/>
    </row>
    <row r="67" spans="3:9" ht="14.25" x14ac:dyDescent="0.2">
      <c r="C67" s="46"/>
      <c r="D67" s="38"/>
      <c r="F67" s="38"/>
      <c r="G67" s="41"/>
      <c r="H67" s="42"/>
      <c r="I67" s="43"/>
    </row>
    <row r="68" spans="3:9" ht="14.25" x14ac:dyDescent="0.2">
      <c r="C68" s="44" t="s">
        <v>17</v>
      </c>
      <c r="D68" s="38"/>
      <c r="E68" s="40"/>
      <c r="F68" s="38"/>
      <c r="G68" s="41"/>
      <c r="H68" s="42"/>
      <c r="I68" s="43"/>
    </row>
    <row r="69" spans="3:9" ht="14.25" x14ac:dyDescent="0.2">
      <c r="C69" s="46"/>
      <c r="D69" s="38"/>
      <c r="E69" s="40"/>
      <c r="F69" s="38"/>
      <c r="G69" s="41"/>
      <c r="H69" s="42"/>
      <c r="I69" s="43"/>
    </row>
    <row r="70" spans="3:9" x14ac:dyDescent="0.2">
      <c r="D70" s="27"/>
      <c r="E70" s="17"/>
      <c r="F70" s="27"/>
      <c r="G70" s="30"/>
      <c r="H70" s="31"/>
      <c r="I70" s="32"/>
    </row>
  </sheetData>
  <sortState ref="A10:I57">
    <sortCondition ref="E82:E86"/>
  </sortState>
  <mergeCells count="14">
    <mergeCell ref="E63:I63"/>
    <mergeCell ref="E64:I64"/>
    <mergeCell ref="B2:H2"/>
    <mergeCell ref="A4:B4"/>
    <mergeCell ref="C4:E4"/>
    <mergeCell ref="A5:B5"/>
    <mergeCell ref="C5:E5"/>
    <mergeCell ref="E57:H57"/>
    <mergeCell ref="E59:G59"/>
    <mergeCell ref="E60:G60"/>
    <mergeCell ref="E61:G61"/>
    <mergeCell ref="A6:B6"/>
    <mergeCell ref="A7:B7"/>
    <mergeCell ref="E62:G62"/>
  </mergeCells>
  <phoneticPr fontId="17" type="noConversion"/>
  <pageMargins left="0.70866141732283472" right="0.70866141732283472" top="0.74803149606299213" bottom="0.74803149606299213" header="0.51181102362204722" footer="0.51181102362204722"/>
  <pageSetup paperSize="5" scale="6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2" workbookViewId="0">
      <selection activeCell="D6" sqref="D6:K6"/>
    </sheetView>
  </sheetViews>
  <sheetFormatPr baseColWidth="10" defaultColWidth="10.7109375" defaultRowHeight="12.75" x14ac:dyDescent="0.2"/>
  <cols>
    <col min="2" max="2" width="7.28515625" customWidth="1"/>
    <col min="7" max="7" width="26.140625" customWidth="1"/>
    <col min="9" max="9" width="13.42578125" customWidth="1"/>
    <col min="12" max="12" width="15.85546875" bestFit="1" customWidth="1"/>
  </cols>
  <sheetData>
    <row r="1" spans="1:12" ht="30.75" thickBot="1" x14ac:dyDescent="0.25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82" t="s">
        <v>33</v>
      </c>
      <c r="K1" s="83" t="s">
        <v>34</v>
      </c>
    </row>
    <row r="2" spans="1:12" ht="16.5" thickBot="1" x14ac:dyDescent="0.25">
      <c r="A2" s="84"/>
      <c r="B2" s="85"/>
      <c r="C2" s="85"/>
      <c r="D2" s="86"/>
      <c r="E2" s="86"/>
      <c r="F2" s="86"/>
      <c r="G2" s="86"/>
      <c r="H2" s="86"/>
      <c r="I2" s="86"/>
      <c r="J2" s="86"/>
      <c r="K2" s="87"/>
    </row>
    <row r="3" spans="1:12" ht="16.5" thickBot="1" x14ac:dyDescent="0.25">
      <c r="A3" s="170" t="s">
        <v>35</v>
      </c>
      <c r="B3" s="170"/>
      <c r="C3" s="170"/>
      <c r="D3" s="168" t="s">
        <v>36</v>
      </c>
      <c r="E3" s="168"/>
      <c r="F3" s="168"/>
      <c r="G3" s="168"/>
      <c r="H3" s="168"/>
      <c r="I3" s="168"/>
      <c r="J3" s="168"/>
      <c r="K3" s="168"/>
    </row>
    <row r="4" spans="1:12" ht="16.5" thickBot="1" x14ac:dyDescent="0.25">
      <c r="A4" s="167" t="s">
        <v>37</v>
      </c>
      <c r="B4" s="167"/>
      <c r="C4" s="167"/>
      <c r="D4" s="168" t="s">
        <v>38</v>
      </c>
      <c r="E4" s="168"/>
      <c r="F4" s="168"/>
      <c r="G4" s="168"/>
      <c r="H4" s="168"/>
      <c r="I4" s="168"/>
      <c r="J4" s="168"/>
      <c r="K4" s="168"/>
    </row>
    <row r="5" spans="1:12" ht="16.5" customHeight="1" thickBot="1" x14ac:dyDescent="0.25">
      <c r="A5" s="167" t="s">
        <v>39</v>
      </c>
      <c r="B5" s="167"/>
      <c r="C5" s="167"/>
      <c r="D5" s="168" t="s">
        <v>40</v>
      </c>
      <c r="E5" s="168"/>
      <c r="F5" s="168"/>
      <c r="G5" s="168"/>
      <c r="H5" s="168"/>
      <c r="I5" s="168"/>
      <c r="J5" s="168"/>
      <c r="K5" s="168"/>
    </row>
    <row r="6" spans="1:12" ht="16.5" thickBot="1" x14ac:dyDescent="0.25">
      <c r="A6" s="170" t="s">
        <v>41</v>
      </c>
      <c r="B6" s="170"/>
      <c r="C6" s="170"/>
      <c r="D6" s="168" t="s">
        <v>40</v>
      </c>
      <c r="E6" s="168"/>
      <c r="F6" s="168"/>
      <c r="G6" s="168"/>
      <c r="H6" s="168"/>
      <c r="I6" s="168"/>
      <c r="J6" s="168"/>
      <c r="K6" s="168"/>
    </row>
    <row r="7" spans="1:12" ht="16.5" thickBot="1" x14ac:dyDescent="0.25">
      <c r="A7" s="167" t="s">
        <v>42</v>
      </c>
      <c r="B7" s="167"/>
      <c r="C7" s="167"/>
      <c r="D7" s="168" t="s">
        <v>43</v>
      </c>
      <c r="E7" s="168"/>
      <c r="F7" s="168"/>
      <c r="G7" s="168"/>
      <c r="H7" s="168"/>
      <c r="I7" s="168"/>
      <c r="J7" s="168"/>
      <c r="K7" s="168"/>
    </row>
    <row r="8" spans="1:12" ht="48" customHeight="1" thickBot="1" x14ac:dyDescent="0.25">
      <c r="A8" s="171" t="s">
        <v>44</v>
      </c>
      <c r="B8" s="171"/>
      <c r="C8" s="171"/>
      <c r="D8" s="172" t="s">
        <v>45</v>
      </c>
      <c r="E8" s="172"/>
      <c r="F8" s="172"/>
      <c r="G8" s="172"/>
      <c r="H8" s="172"/>
      <c r="I8" s="172"/>
      <c r="J8" s="172"/>
      <c r="K8" s="172"/>
    </row>
    <row r="9" spans="1:12" ht="16.5" thickBot="1" x14ac:dyDescent="0.25">
      <c r="A9" s="88"/>
      <c r="B9" s="89"/>
      <c r="C9" s="89"/>
      <c r="D9" s="90"/>
      <c r="E9" s="90"/>
      <c r="F9" s="90"/>
      <c r="G9" s="90"/>
      <c r="H9" s="90"/>
      <c r="I9" s="90"/>
      <c r="J9" s="90"/>
      <c r="K9" s="91"/>
    </row>
    <row r="10" spans="1:12" ht="13.5" thickBot="1" x14ac:dyDescent="0.25">
      <c r="A10" s="176" t="s">
        <v>46</v>
      </c>
      <c r="B10" s="177" t="s">
        <v>47</v>
      </c>
      <c r="C10" s="177" t="s">
        <v>48</v>
      </c>
      <c r="D10" s="177"/>
      <c r="E10" s="177"/>
      <c r="F10" s="177"/>
      <c r="G10" s="177"/>
      <c r="H10" s="177" t="s">
        <v>49</v>
      </c>
      <c r="I10" s="177" t="s">
        <v>50</v>
      </c>
      <c r="J10" s="177" t="s">
        <v>51</v>
      </c>
      <c r="K10" s="178" t="s">
        <v>52</v>
      </c>
    </row>
    <row r="11" spans="1:12" ht="13.5" thickBot="1" x14ac:dyDescent="0.25">
      <c r="A11" s="176"/>
      <c r="B11" s="177"/>
      <c r="C11" s="177"/>
      <c r="D11" s="177"/>
      <c r="E11" s="177"/>
      <c r="F11" s="177"/>
      <c r="G11" s="177"/>
      <c r="H11" s="177"/>
      <c r="I11" s="177"/>
      <c r="J11" s="177"/>
      <c r="K11" s="178"/>
    </row>
    <row r="12" spans="1:12" s="95" customFormat="1" ht="33" customHeight="1" thickBot="1" x14ac:dyDescent="0.25">
      <c r="A12" s="92">
        <v>1</v>
      </c>
      <c r="B12" s="93"/>
      <c r="C12" s="179" t="s">
        <v>76</v>
      </c>
      <c r="D12" s="180" t="s">
        <v>76</v>
      </c>
      <c r="E12" s="180" t="s">
        <v>76</v>
      </c>
      <c r="F12" s="180" t="s">
        <v>76</v>
      </c>
      <c r="G12" s="181" t="s">
        <v>76</v>
      </c>
      <c r="H12" s="94" t="s">
        <v>53</v>
      </c>
      <c r="I12" s="144" t="s">
        <v>21</v>
      </c>
      <c r="J12" s="72">
        <v>3914</v>
      </c>
      <c r="K12" s="63">
        <v>7</v>
      </c>
      <c r="L12" s="143">
        <f>+K12*J12</f>
        <v>27398</v>
      </c>
    </row>
    <row r="13" spans="1:12" s="99" customFormat="1" ht="27.75" customHeight="1" thickBot="1" x14ac:dyDescent="0.25">
      <c r="A13" s="96">
        <v>2</v>
      </c>
      <c r="B13" s="97"/>
      <c r="C13" s="173" t="s">
        <v>63</v>
      </c>
      <c r="D13" s="174" t="s">
        <v>63</v>
      </c>
      <c r="E13" s="174" t="s">
        <v>63</v>
      </c>
      <c r="F13" s="174" t="s">
        <v>63</v>
      </c>
      <c r="G13" s="175" t="s">
        <v>63</v>
      </c>
      <c r="H13" s="98" t="s">
        <v>53</v>
      </c>
      <c r="I13" s="145" t="s">
        <v>21</v>
      </c>
      <c r="J13" s="71">
        <f>537-5.3</f>
        <v>531.70000000000005</v>
      </c>
      <c r="K13" s="62">
        <v>10</v>
      </c>
      <c r="L13" s="143">
        <f t="shared" ref="L13:L58" si="0">+K13*J13</f>
        <v>5317</v>
      </c>
    </row>
    <row r="14" spans="1:12" s="99" customFormat="1" ht="28.5" customHeight="1" thickBot="1" x14ac:dyDescent="0.25">
      <c r="A14" s="96">
        <v>3</v>
      </c>
      <c r="B14" s="97"/>
      <c r="C14" s="173" t="s">
        <v>71</v>
      </c>
      <c r="D14" s="174" t="s">
        <v>71</v>
      </c>
      <c r="E14" s="174" t="s">
        <v>71</v>
      </c>
      <c r="F14" s="174" t="s">
        <v>71</v>
      </c>
      <c r="G14" s="175" t="s">
        <v>71</v>
      </c>
      <c r="H14" s="98" t="s">
        <v>53</v>
      </c>
      <c r="I14" s="144" t="s">
        <v>21</v>
      </c>
      <c r="J14" s="72">
        <v>124599</v>
      </c>
      <c r="K14" s="63">
        <v>8</v>
      </c>
      <c r="L14" s="143">
        <f t="shared" si="0"/>
        <v>996792</v>
      </c>
    </row>
    <row r="15" spans="1:12" s="99" customFormat="1" ht="27.75" customHeight="1" thickBot="1" x14ac:dyDescent="0.25">
      <c r="A15" s="96">
        <v>4</v>
      </c>
      <c r="B15" s="97"/>
      <c r="C15" s="173" t="s">
        <v>87</v>
      </c>
      <c r="D15" s="174" t="s">
        <v>87</v>
      </c>
      <c r="E15" s="174" t="s">
        <v>87</v>
      </c>
      <c r="F15" s="174" t="s">
        <v>87</v>
      </c>
      <c r="G15" s="175" t="s">
        <v>87</v>
      </c>
      <c r="H15" s="98" t="s">
        <v>53</v>
      </c>
      <c r="I15" s="146" t="s">
        <v>21</v>
      </c>
      <c r="J15" s="76">
        <v>35000</v>
      </c>
      <c r="K15" s="65">
        <v>2</v>
      </c>
      <c r="L15" s="143">
        <f t="shared" si="0"/>
        <v>70000</v>
      </c>
    </row>
    <row r="16" spans="1:12" s="99" customFormat="1" ht="33" customHeight="1" thickBot="1" x14ac:dyDescent="0.25">
      <c r="A16" s="96">
        <v>5</v>
      </c>
      <c r="B16" s="97"/>
      <c r="C16" s="173" t="s">
        <v>77</v>
      </c>
      <c r="D16" s="174" t="s">
        <v>77</v>
      </c>
      <c r="E16" s="174" t="s">
        <v>77</v>
      </c>
      <c r="F16" s="174" t="s">
        <v>77</v>
      </c>
      <c r="G16" s="175" t="s">
        <v>77</v>
      </c>
      <c r="H16" s="98" t="s">
        <v>53</v>
      </c>
      <c r="I16" s="144" t="s">
        <v>18</v>
      </c>
      <c r="J16" s="72">
        <v>8556</v>
      </c>
      <c r="K16" s="63">
        <v>10</v>
      </c>
      <c r="L16" s="143">
        <f t="shared" si="0"/>
        <v>85560</v>
      </c>
    </row>
    <row r="17" spans="1:12" s="99" customFormat="1" ht="29.25" customHeight="1" thickBot="1" x14ac:dyDescent="0.25">
      <c r="A17" s="96">
        <v>6</v>
      </c>
      <c r="B17" s="97"/>
      <c r="C17" s="173" t="s">
        <v>74</v>
      </c>
      <c r="D17" s="174" t="s">
        <v>74</v>
      </c>
      <c r="E17" s="174" t="s">
        <v>74</v>
      </c>
      <c r="F17" s="174" t="s">
        <v>74</v>
      </c>
      <c r="G17" s="175" t="s">
        <v>74</v>
      </c>
      <c r="H17" s="98" t="s">
        <v>53</v>
      </c>
      <c r="I17" s="144" t="s">
        <v>21</v>
      </c>
      <c r="J17" s="72">
        <v>1085</v>
      </c>
      <c r="K17" s="63">
        <v>20</v>
      </c>
      <c r="L17" s="143">
        <f t="shared" si="0"/>
        <v>21700</v>
      </c>
    </row>
    <row r="18" spans="1:12" s="99" customFormat="1" ht="26.25" customHeight="1" thickBot="1" x14ac:dyDescent="0.25">
      <c r="A18" s="96">
        <v>7</v>
      </c>
      <c r="B18" s="97"/>
      <c r="C18" s="173" t="s">
        <v>78</v>
      </c>
      <c r="D18" s="174" t="s">
        <v>78</v>
      </c>
      <c r="E18" s="174" t="s">
        <v>78</v>
      </c>
      <c r="F18" s="174" t="s">
        <v>78</v>
      </c>
      <c r="G18" s="175" t="s">
        <v>78</v>
      </c>
      <c r="H18" s="98" t="s">
        <v>53</v>
      </c>
      <c r="I18" s="144" t="s">
        <v>21</v>
      </c>
      <c r="J18" s="72">
        <v>23816.86</v>
      </c>
      <c r="K18" s="63">
        <v>15</v>
      </c>
      <c r="L18" s="143">
        <f t="shared" si="0"/>
        <v>357252.9</v>
      </c>
    </row>
    <row r="19" spans="1:12" s="95" customFormat="1" ht="24" customHeight="1" thickBot="1" x14ac:dyDescent="0.25">
      <c r="A19" s="100">
        <v>8</v>
      </c>
      <c r="B19" s="101"/>
      <c r="C19" s="179" t="s">
        <v>54</v>
      </c>
      <c r="D19" s="180" t="s">
        <v>54</v>
      </c>
      <c r="E19" s="180" t="s">
        <v>54</v>
      </c>
      <c r="F19" s="180" t="s">
        <v>54</v>
      </c>
      <c r="G19" s="181" t="s">
        <v>54</v>
      </c>
      <c r="H19" s="94" t="s">
        <v>53</v>
      </c>
      <c r="I19" s="147" t="s">
        <v>21</v>
      </c>
      <c r="J19" s="74">
        <v>1000</v>
      </c>
      <c r="K19" s="59">
        <v>50</v>
      </c>
      <c r="L19" s="143">
        <f t="shared" si="0"/>
        <v>50000</v>
      </c>
    </row>
    <row r="20" spans="1:12" s="99" customFormat="1" ht="24.75" customHeight="1" thickBot="1" x14ac:dyDescent="0.25">
      <c r="A20" s="96">
        <v>9</v>
      </c>
      <c r="B20" s="97"/>
      <c r="C20" s="173" t="s">
        <v>60</v>
      </c>
      <c r="D20" s="174" t="s">
        <v>60</v>
      </c>
      <c r="E20" s="174" t="s">
        <v>60</v>
      </c>
      <c r="F20" s="174" t="s">
        <v>60</v>
      </c>
      <c r="G20" s="175" t="s">
        <v>60</v>
      </c>
      <c r="H20" s="98" t="s">
        <v>53</v>
      </c>
      <c r="I20" s="148" t="s">
        <v>21</v>
      </c>
      <c r="J20" s="53">
        <v>1198</v>
      </c>
      <c r="K20" s="49">
        <v>70</v>
      </c>
      <c r="L20" s="143">
        <f t="shared" si="0"/>
        <v>83860</v>
      </c>
    </row>
    <row r="21" spans="1:12" s="95" customFormat="1" ht="23.25" customHeight="1" thickBot="1" x14ac:dyDescent="0.25">
      <c r="A21" s="100">
        <v>10</v>
      </c>
      <c r="B21" s="101"/>
      <c r="C21" s="179" t="s">
        <v>75</v>
      </c>
      <c r="D21" s="180" t="s">
        <v>75</v>
      </c>
      <c r="E21" s="180" t="s">
        <v>75</v>
      </c>
      <c r="F21" s="180" t="s">
        <v>75</v>
      </c>
      <c r="G21" s="181" t="s">
        <v>75</v>
      </c>
      <c r="H21" s="94" t="s">
        <v>53</v>
      </c>
      <c r="I21" s="144" t="s">
        <v>21</v>
      </c>
      <c r="J21" s="72">
        <v>1050</v>
      </c>
      <c r="K21" s="63">
        <v>20</v>
      </c>
      <c r="L21" s="143">
        <f t="shared" si="0"/>
        <v>21000</v>
      </c>
    </row>
    <row r="22" spans="1:12" s="99" customFormat="1" ht="25.5" customHeight="1" thickBot="1" x14ac:dyDescent="0.25">
      <c r="A22" s="96">
        <v>11</v>
      </c>
      <c r="B22" s="97"/>
      <c r="C22" s="173" t="s">
        <v>29</v>
      </c>
      <c r="D22" s="174" t="s">
        <v>29</v>
      </c>
      <c r="E22" s="174" t="s">
        <v>29</v>
      </c>
      <c r="F22" s="174" t="s">
        <v>29</v>
      </c>
      <c r="G22" s="175" t="s">
        <v>29</v>
      </c>
      <c r="H22" s="98" t="s">
        <v>53</v>
      </c>
      <c r="I22" s="148" t="s">
        <v>21</v>
      </c>
      <c r="J22" s="53">
        <v>1000</v>
      </c>
      <c r="K22" s="49">
        <v>45</v>
      </c>
      <c r="L22" s="143">
        <f t="shared" si="0"/>
        <v>45000</v>
      </c>
    </row>
    <row r="23" spans="1:12" s="99" customFormat="1" ht="30.75" customHeight="1" thickBot="1" x14ac:dyDescent="0.25">
      <c r="A23" s="96">
        <v>12</v>
      </c>
      <c r="B23" s="97"/>
      <c r="C23" s="173" t="s">
        <v>79</v>
      </c>
      <c r="D23" s="174" t="s">
        <v>79</v>
      </c>
      <c r="E23" s="174" t="s">
        <v>79</v>
      </c>
      <c r="F23" s="174" t="s">
        <v>79</v>
      </c>
      <c r="G23" s="175" t="s">
        <v>79</v>
      </c>
      <c r="H23" s="98" t="s">
        <v>53</v>
      </c>
      <c r="I23" s="144" t="s">
        <v>21</v>
      </c>
      <c r="J23" s="72">
        <v>675</v>
      </c>
      <c r="K23" s="63">
        <v>50</v>
      </c>
      <c r="L23" s="143">
        <f t="shared" si="0"/>
        <v>33750</v>
      </c>
    </row>
    <row r="24" spans="1:12" s="99" customFormat="1" ht="24" customHeight="1" thickBot="1" x14ac:dyDescent="0.25">
      <c r="A24" s="96">
        <v>13</v>
      </c>
      <c r="B24" s="97"/>
      <c r="C24" s="173" t="s">
        <v>94</v>
      </c>
      <c r="D24" s="174" t="s">
        <v>94</v>
      </c>
      <c r="E24" s="174" t="s">
        <v>94</v>
      </c>
      <c r="F24" s="174" t="s">
        <v>94</v>
      </c>
      <c r="G24" s="175" t="s">
        <v>94</v>
      </c>
      <c r="H24" s="98" t="s">
        <v>53</v>
      </c>
      <c r="I24" s="149" t="s">
        <v>18</v>
      </c>
      <c r="J24" s="77">
        <v>20000</v>
      </c>
      <c r="K24" s="66">
        <v>2</v>
      </c>
      <c r="L24" s="143">
        <f t="shared" si="0"/>
        <v>40000</v>
      </c>
    </row>
    <row r="25" spans="1:12" s="99" customFormat="1" ht="30" customHeight="1" thickBot="1" x14ac:dyDescent="0.25">
      <c r="A25" s="96">
        <v>14</v>
      </c>
      <c r="B25" s="97"/>
      <c r="C25" s="173" t="s">
        <v>56</v>
      </c>
      <c r="D25" s="174" t="s">
        <v>56</v>
      </c>
      <c r="E25" s="174" t="s">
        <v>56</v>
      </c>
      <c r="F25" s="174" t="s">
        <v>56</v>
      </c>
      <c r="G25" s="175" t="s">
        <v>56</v>
      </c>
      <c r="H25" s="98" t="s">
        <v>53</v>
      </c>
      <c r="I25" s="150" t="s">
        <v>21</v>
      </c>
      <c r="J25" s="72">
        <v>1111</v>
      </c>
      <c r="K25" s="60">
        <v>50</v>
      </c>
      <c r="L25" s="143">
        <f t="shared" si="0"/>
        <v>55550</v>
      </c>
    </row>
    <row r="26" spans="1:12" s="99" customFormat="1" ht="22.5" customHeight="1" thickBot="1" x14ac:dyDescent="0.25">
      <c r="A26" s="96">
        <v>15</v>
      </c>
      <c r="B26" s="97"/>
      <c r="C26" s="173" t="s">
        <v>93</v>
      </c>
      <c r="D26" s="174" t="s">
        <v>93</v>
      </c>
      <c r="E26" s="174" t="s">
        <v>93</v>
      </c>
      <c r="F26" s="174" t="s">
        <v>93</v>
      </c>
      <c r="G26" s="175" t="s">
        <v>93</v>
      </c>
      <c r="H26" s="98" t="s">
        <v>53</v>
      </c>
      <c r="I26" s="151" t="s">
        <v>21</v>
      </c>
      <c r="J26" s="79">
        <v>25000</v>
      </c>
      <c r="K26" s="68">
        <v>5</v>
      </c>
      <c r="L26" s="143">
        <f t="shared" si="0"/>
        <v>125000</v>
      </c>
    </row>
    <row r="27" spans="1:12" s="99" customFormat="1" ht="30.75" customHeight="1" thickBot="1" x14ac:dyDescent="0.25">
      <c r="A27" s="96">
        <v>16</v>
      </c>
      <c r="B27" s="97"/>
      <c r="C27" s="173" t="s">
        <v>58</v>
      </c>
      <c r="D27" s="174" t="s">
        <v>58</v>
      </c>
      <c r="E27" s="174" t="s">
        <v>58</v>
      </c>
      <c r="F27" s="174" t="s">
        <v>58</v>
      </c>
      <c r="G27" s="175" t="s">
        <v>58</v>
      </c>
      <c r="H27" s="98" t="s">
        <v>53</v>
      </c>
      <c r="I27" s="150" t="s">
        <v>21</v>
      </c>
      <c r="J27" s="72">
        <v>400</v>
      </c>
      <c r="K27" s="60">
        <v>70</v>
      </c>
      <c r="L27" s="143">
        <f t="shared" si="0"/>
        <v>28000</v>
      </c>
    </row>
    <row r="28" spans="1:12" s="99" customFormat="1" ht="33.75" customHeight="1" thickBot="1" x14ac:dyDescent="0.25">
      <c r="A28" s="96">
        <v>17</v>
      </c>
      <c r="B28" s="97"/>
      <c r="C28" s="173" t="s">
        <v>72</v>
      </c>
      <c r="D28" s="174" t="s">
        <v>72</v>
      </c>
      <c r="E28" s="174" t="s">
        <v>72</v>
      </c>
      <c r="F28" s="174" t="s">
        <v>72</v>
      </c>
      <c r="G28" s="175" t="s">
        <v>72</v>
      </c>
      <c r="H28" s="98" t="s">
        <v>53</v>
      </c>
      <c r="I28" s="144" t="s">
        <v>21</v>
      </c>
      <c r="J28" s="72">
        <v>699</v>
      </c>
      <c r="K28" s="63">
        <v>50</v>
      </c>
      <c r="L28" s="143">
        <f t="shared" si="0"/>
        <v>34950</v>
      </c>
    </row>
    <row r="29" spans="1:12" s="99" customFormat="1" ht="28.5" customHeight="1" thickBot="1" x14ac:dyDescent="0.25">
      <c r="A29" s="96">
        <v>18</v>
      </c>
      <c r="B29" s="97"/>
      <c r="C29" s="173" t="s">
        <v>67</v>
      </c>
      <c r="D29" s="174" t="s">
        <v>67</v>
      </c>
      <c r="E29" s="174" t="s">
        <v>67</v>
      </c>
      <c r="F29" s="174" t="s">
        <v>67</v>
      </c>
      <c r="G29" s="175" t="s">
        <v>67</v>
      </c>
      <c r="H29" s="98" t="s">
        <v>53</v>
      </c>
      <c r="I29" s="144" t="s">
        <v>21</v>
      </c>
      <c r="J29" s="72">
        <v>426</v>
      </c>
      <c r="K29" s="63">
        <v>50</v>
      </c>
      <c r="L29" s="143">
        <f t="shared" si="0"/>
        <v>21300</v>
      </c>
    </row>
    <row r="30" spans="1:12" s="99" customFormat="1" ht="29.25" customHeight="1" thickBot="1" x14ac:dyDescent="0.25">
      <c r="A30" s="96">
        <v>19</v>
      </c>
      <c r="B30" s="97"/>
      <c r="C30" s="179" t="s">
        <v>90</v>
      </c>
      <c r="D30" s="180" t="s">
        <v>90</v>
      </c>
      <c r="E30" s="180" t="s">
        <v>90</v>
      </c>
      <c r="F30" s="180" t="s">
        <v>90</v>
      </c>
      <c r="G30" s="181" t="s">
        <v>90</v>
      </c>
      <c r="H30" s="98" t="s">
        <v>53</v>
      </c>
      <c r="I30" s="149" t="s">
        <v>18</v>
      </c>
      <c r="J30" s="77">
        <v>56000</v>
      </c>
      <c r="K30" s="66">
        <v>4</v>
      </c>
      <c r="L30" s="143">
        <f t="shared" si="0"/>
        <v>224000</v>
      </c>
    </row>
    <row r="31" spans="1:12" ht="27" customHeight="1" thickBot="1" x14ac:dyDescent="0.25">
      <c r="A31" s="102">
        <v>20</v>
      </c>
      <c r="B31" s="103"/>
      <c r="C31" s="173" t="s">
        <v>92</v>
      </c>
      <c r="D31" s="174" t="s">
        <v>92</v>
      </c>
      <c r="E31" s="174" t="s">
        <v>92</v>
      </c>
      <c r="F31" s="174" t="s">
        <v>92</v>
      </c>
      <c r="G31" s="175" t="s">
        <v>92</v>
      </c>
      <c r="H31" s="98" t="s">
        <v>53</v>
      </c>
      <c r="I31" s="148" t="s">
        <v>21</v>
      </c>
      <c r="J31" s="54">
        <v>20000</v>
      </c>
      <c r="K31" s="52">
        <v>5</v>
      </c>
      <c r="L31" s="143">
        <f t="shared" si="0"/>
        <v>100000</v>
      </c>
    </row>
    <row r="32" spans="1:12" ht="21.75" customHeight="1" thickBot="1" x14ac:dyDescent="0.25">
      <c r="A32" s="102">
        <v>21</v>
      </c>
      <c r="B32" s="103"/>
      <c r="C32" s="173" t="s">
        <v>95</v>
      </c>
      <c r="D32" s="174" t="s">
        <v>95</v>
      </c>
      <c r="E32" s="174" t="s">
        <v>95</v>
      </c>
      <c r="F32" s="174" t="s">
        <v>95</v>
      </c>
      <c r="G32" s="175" t="s">
        <v>95</v>
      </c>
      <c r="H32" s="98" t="s">
        <v>53</v>
      </c>
      <c r="I32" s="149" t="s">
        <v>21</v>
      </c>
      <c r="J32" s="77">
        <v>50000</v>
      </c>
      <c r="K32" s="66">
        <v>2</v>
      </c>
      <c r="L32" s="143">
        <f t="shared" si="0"/>
        <v>100000</v>
      </c>
    </row>
    <row r="33" spans="1:12" ht="36.75" customHeight="1" thickBot="1" x14ac:dyDescent="0.25">
      <c r="A33" s="102">
        <v>22</v>
      </c>
      <c r="B33" s="103"/>
      <c r="C33" s="173" t="s">
        <v>64</v>
      </c>
      <c r="D33" s="174" t="s">
        <v>64</v>
      </c>
      <c r="E33" s="174" t="s">
        <v>64</v>
      </c>
      <c r="F33" s="174" t="s">
        <v>64</v>
      </c>
      <c r="G33" s="175" t="s">
        <v>64</v>
      </c>
      <c r="H33" s="98" t="s">
        <v>53</v>
      </c>
      <c r="I33" s="144" t="s">
        <v>18</v>
      </c>
      <c r="J33" s="72">
        <v>2958.34</v>
      </c>
      <c r="K33" s="63">
        <v>15</v>
      </c>
      <c r="L33" s="143">
        <f t="shared" si="0"/>
        <v>44375.100000000006</v>
      </c>
    </row>
    <row r="34" spans="1:12" ht="21" customHeight="1" thickBot="1" x14ac:dyDescent="0.25">
      <c r="A34" s="102">
        <v>23</v>
      </c>
      <c r="B34" s="103"/>
      <c r="C34" s="173" t="s">
        <v>98</v>
      </c>
      <c r="D34" s="174" t="s">
        <v>98</v>
      </c>
      <c r="E34" s="174" t="s">
        <v>98</v>
      </c>
      <c r="F34" s="174" t="s">
        <v>98</v>
      </c>
      <c r="G34" s="175" t="s">
        <v>98</v>
      </c>
      <c r="H34" s="98" t="s">
        <v>53</v>
      </c>
      <c r="I34" s="148" t="s">
        <v>21</v>
      </c>
      <c r="J34" s="54">
        <v>15000</v>
      </c>
      <c r="K34" s="52">
        <v>10</v>
      </c>
      <c r="L34" s="143">
        <f t="shared" si="0"/>
        <v>150000</v>
      </c>
    </row>
    <row r="35" spans="1:12" ht="24.75" customHeight="1" thickBot="1" x14ac:dyDescent="0.25">
      <c r="A35" s="102">
        <v>24</v>
      </c>
      <c r="B35" s="103"/>
      <c r="C35" s="173" t="s">
        <v>57</v>
      </c>
      <c r="D35" s="174" t="s">
        <v>57</v>
      </c>
      <c r="E35" s="174" t="s">
        <v>57</v>
      </c>
      <c r="F35" s="174" t="s">
        <v>57</v>
      </c>
      <c r="G35" s="175" t="s">
        <v>57</v>
      </c>
      <c r="H35" s="98" t="s">
        <v>53</v>
      </c>
      <c r="I35" s="150" t="s">
        <v>18</v>
      </c>
      <c r="J35" s="72">
        <v>5523</v>
      </c>
      <c r="K35" s="60">
        <v>20</v>
      </c>
      <c r="L35" s="143">
        <f t="shared" si="0"/>
        <v>110460</v>
      </c>
    </row>
    <row r="36" spans="1:12" ht="24" customHeight="1" thickBot="1" x14ac:dyDescent="0.25">
      <c r="A36" s="102">
        <v>25</v>
      </c>
      <c r="B36" s="103"/>
      <c r="C36" s="173" t="s">
        <v>59</v>
      </c>
      <c r="D36" s="174" t="s">
        <v>59</v>
      </c>
      <c r="E36" s="174" t="s">
        <v>59</v>
      </c>
      <c r="F36" s="174" t="s">
        <v>59</v>
      </c>
      <c r="G36" s="175" t="s">
        <v>59</v>
      </c>
      <c r="H36" s="98" t="s">
        <v>53</v>
      </c>
      <c r="I36" s="150" t="s">
        <v>18</v>
      </c>
      <c r="J36" s="72">
        <v>3235</v>
      </c>
      <c r="K36" s="60">
        <v>15</v>
      </c>
      <c r="L36" s="143">
        <f t="shared" si="0"/>
        <v>48525</v>
      </c>
    </row>
    <row r="37" spans="1:12" ht="27" customHeight="1" thickBot="1" x14ac:dyDescent="0.25">
      <c r="A37" s="102">
        <v>26</v>
      </c>
      <c r="B37" s="103"/>
      <c r="C37" s="173" t="s">
        <v>80</v>
      </c>
      <c r="D37" s="174" t="s">
        <v>80</v>
      </c>
      <c r="E37" s="174" t="s">
        <v>80</v>
      </c>
      <c r="F37" s="174" t="s">
        <v>80</v>
      </c>
      <c r="G37" s="175" t="s">
        <v>80</v>
      </c>
      <c r="H37" s="98" t="s">
        <v>53</v>
      </c>
      <c r="I37" s="144" t="s">
        <v>18</v>
      </c>
      <c r="J37" s="72">
        <v>553</v>
      </c>
      <c r="K37" s="63">
        <v>50</v>
      </c>
      <c r="L37" s="143">
        <f t="shared" si="0"/>
        <v>27650</v>
      </c>
    </row>
    <row r="38" spans="1:12" ht="24" customHeight="1" thickBot="1" x14ac:dyDescent="0.25">
      <c r="A38" s="102">
        <v>27</v>
      </c>
      <c r="B38" s="103"/>
      <c r="C38" s="173" t="s">
        <v>81</v>
      </c>
      <c r="D38" s="174" t="s">
        <v>81</v>
      </c>
      <c r="E38" s="174" t="s">
        <v>81</v>
      </c>
      <c r="F38" s="174" t="s">
        <v>81</v>
      </c>
      <c r="G38" s="175" t="s">
        <v>81</v>
      </c>
      <c r="H38" s="98" t="s">
        <v>53</v>
      </c>
      <c r="I38" s="144" t="s">
        <v>21</v>
      </c>
      <c r="J38" s="72">
        <v>1418.29</v>
      </c>
      <c r="K38" s="63">
        <v>20</v>
      </c>
      <c r="L38" s="143">
        <f t="shared" si="0"/>
        <v>28365.8</v>
      </c>
    </row>
    <row r="39" spans="1:12" ht="24" customHeight="1" thickBot="1" x14ac:dyDescent="0.25">
      <c r="A39" s="102">
        <v>28</v>
      </c>
      <c r="B39" s="103"/>
      <c r="C39" s="173" t="s">
        <v>61</v>
      </c>
      <c r="D39" s="174" t="s">
        <v>61</v>
      </c>
      <c r="E39" s="174" t="s">
        <v>61</v>
      </c>
      <c r="F39" s="174" t="s">
        <v>61</v>
      </c>
      <c r="G39" s="175" t="s">
        <v>61</v>
      </c>
      <c r="H39" s="98" t="s">
        <v>53</v>
      </c>
      <c r="I39" s="152" t="s">
        <v>18</v>
      </c>
      <c r="J39" s="75">
        <v>218000</v>
      </c>
      <c r="K39" s="61">
        <v>2</v>
      </c>
      <c r="L39" s="143">
        <f t="shared" si="0"/>
        <v>436000</v>
      </c>
    </row>
    <row r="40" spans="1:12" ht="24" customHeight="1" thickBot="1" x14ac:dyDescent="0.25">
      <c r="A40" s="102">
        <v>29</v>
      </c>
      <c r="B40" s="103"/>
      <c r="C40" s="173" t="s">
        <v>73</v>
      </c>
      <c r="D40" s="174" t="s">
        <v>73</v>
      </c>
      <c r="E40" s="174" t="s">
        <v>73</v>
      </c>
      <c r="F40" s="174" t="s">
        <v>73</v>
      </c>
      <c r="G40" s="175" t="s">
        <v>73</v>
      </c>
      <c r="H40" s="98" t="s">
        <v>53</v>
      </c>
      <c r="I40" s="144" t="s">
        <v>21</v>
      </c>
      <c r="J40" s="72">
        <v>824</v>
      </c>
      <c r="K40" s="63">
        <v>50</v>
      </c>
      <c r="L40" s="143">
        <f t="shared" si="0"/>
        <v>41200</v>
      </c>
    </row>
    <row r="41" spans="1:12" ht="24.75" customHeight="1" thickBot="1" x14ac:dyDescent="0.25">
      <c r="A41" s="102">
        <v>30</v>
      </c>
      <c r="B41" s="103"/>
      <c r="C41" s="173" t="s">
        <v>28</v>
      </c>
      <c r="D41" s="174" t="s">
        <v>28</v>
      </c>
      <c r="E41" s="174" t="s">
        <v>28</v>
      </c>
      <c r="F41" s="174" t="s">
        <v>28</v>
      </c>
      <c r="G41" s="175" t="s">
        <v>28</v>
      </c>
      <c r="H41" s="98" t="s">
        <v>53</v>
      </c>
      <c r="I41" s="148" t="s">
        <v>21</v>
      </c>
      <c r="J41" s="53">
        <v>14000</v>
      </c>
      <c r="K41" s="49">
        <v>50</v>
      </c>
      <c r="L41" s="143">
        <f t="shared" si="0"/>
        <v>700000</v>
      </c>
    </row>
    <row r="42" spans="1:12" ht="31.5" customHeight="1" thickBot="1" x14ac:dyDescent="0.25">
      <c r="A42" s="102">
        <v>31</v>
      </c>
      <c r="B42" s="103"/>
      <c r="C42" s="173" t="s">
        <v>84</v>
      </c>
      <c r="D42" s="174" t="s">
        <v>84</v>
      </c>
      <c r="E42" s="174" t="s">
        <v>84</v>
      </c>
      <c r="F42" s="174" t="s">
        <v>84</v>
      </c>
      <c r="G42" s="175" t="s">
        <v>84</v>
      </c>
      <c r="H42" s="98" t="s">
        <v>53</v>
      </c>
      <c r="I42" s="145" t="s">
        <v>18</v>
      </c>
      <c r="J42" s="71">
        <v>155000</v>
      </c>
      <c r="K42" s="62">
        <v>2</v>
      </c>
      <c r="L42" s="143">
        <f t="shared" si="0"/>
        <v>310000</v>
      </c>
    </row>
    <row r="43" spans="1:12" s="106" customFormat="1" ht="20.25" customHeight="1" thickBot="1" x14ac:dyDescent="0.25">
      <c r="A43" s="104">
        <v>32</v>
      </c>
      <c r="B43" s="105"/>
      <c r="C43" s="179" t="s">
        <v>82</v>
      </c>
      <c r="D43" s="180" t="s">
        <v>82</v>
      </c>
      <c r="E43" s="180" t="s">
        <v>82</v>
      </c>
      <c r="F43" s="180" t="s">
        <v>82</v>
      </c>
      <c r="G43" s="181" t="s">
        <v>82</v>
      </c>
      <c r="H43" s="94" t="s">
        <v>53</v>
      </c>
      <c r="I43" s="144" t="s">
        <v>21</v>
      </c>
      <c r="J43" s="72">
        <v>799</v>
      </c>
      <c r="K43" s="63">
        <v>10</v>
      </c>
      <c r="L43" s="143">
        <f t="shared" si="0"/>
        <v>7990</v>
      </c>
    </row>
    <row r="44" spans="1:12" ht="26.25" customHeight="1" thickBot="1" x14ac:dyDescent="0.25">
      <c r="A44" s="102">
        <v>33</v>
      </c>
      <c r="B44" s="103"/>
      <c r="C44" s="173" t="s">
        <v>66</v>
      </c>
      <c r="D44" s="174" t="s">
        <v>66</v>
      </c>
      <c r="E44" s="174" t="s">
        <v>66</v>
      </c>
      <c r="F44" s="174" t="s">
        <v>66</v>
      </c>
      <c r="G44" s="175" t="s">
        <v>66</v>
      </c>
      <c r="H44" s="98" t="s">
        <v>53</v>
      </c>
      <c r="I44" s="144" t="s">
        <v>18</v>
      </c>
      <c r="J44" s="72">
        <v>8914</v>
      </c>
      <c r="K44" s="63">
        <v>2</v>
      </c>
      <c r="L44" s="143">
        <f t="shared" si="0"/>
        <v>17828</v>
      </c>
    </row>
    <row r="45" spans="1:12" ht="22.5" customHeight="1" thickBot="1" x14ac:dyDescent="0.25">
      <c r="A45" s="102">
        <v>34</v>
      </c>
      <c r="B45" s="103"/>
      <c r="C45" s="173" t="s">
        <v>85</v>
      </c>
      <c r="D45" s="174" t="s">
        <v>85</v>
      </c>
      <c r="E45" s="174" t="s">
        <v>85</v>
      </c>
      <c r="F45" s="174" t="s">
        <v>85</v>
      </c>
      <c r="G45" s="175" t="s">
        <v>85</v>
      </c>
      <c r="H45" s="98" t="s">
        <v>53</v>
      </c>
      <c r="I45" s="144" t="s">
        <v>21</v>
      </c>
      <c r="J45" s="72">
        <v>240000</v>
      </c>
      <c r="K45" s="63">
        <v>2</v>
      </c>
      <c r="L45" s="143">
        <f t="shared" si="0"/>
        <v>480000</v>
      </c>
    </row>
    <row r="46" spans="1:12" ht="21.75" customHeight="1" thickBot="1" x14ac:dyDescent="0.25">
      <c r="A46" s="102">
        <v>35</v>
      </c>
      <c r="B46" s="103"/>
      <c r="C46" s="173" t="s">
        <v>97</v>
      </c>
      <c r="D46" s="174" t="s">
        <v>97</v>
      </c>
      <c r="E46" s="174" t="s">
        <v>97</v>
      </c>
      <c r="F46" s="174" t="s">
        <v>97</v>
      </c>
      <c r="G46" s="175" t="s">
        <v>97</v>
      </c>
      <c r="H46" s="98" t="s">
        <v>53</v>
      </c>
      <c r="I46" s="153" t="s">
        <v>21</v>
      </c>
      <c r="J46" s="78">
        <v>430000</v>
      </c>
      <c r="K46" s="33">
        <v>2</v>
      </c>
      <c r="L46" s="143">
        <f t="shared" si="0"/>
        <v>860000</v>
      </c>
    </row>
    <row r="47" spans="1:12" ht="21.75" customHeight="1" thickBot="1" x14ac:dyDescent="0.25">
      <c r="A47" s="102">
        <v>36</v>
      </c>
      <c r="B47" s="103"/>
      <c r="C47" s="173" t="s">
        <v>86</v>
      </c>
      <c r="D47" s="174" t="s">
        <v>86</v>
      </c>
      <c r="E47" s="174" t="s">
        <v>86</v>
      </c>
      <c r="F47" s="174" t="s">
        <v>86</v>
      </c>
      <c r="G47" s="175" t="s">
        <v>86</v>
      </c>
      <c r="H47" s="98" t="s">
        <v>53</v>
      </c>
      <c r="I47" s="144" t="s">
        <v>18</v>
      </c>
      <c r="J47" s="72">
        <v>512397.96</v>
      </c>
      <c r="K47" s="63">
        <v>2</v>
      </c>
      <c r="L47" s="143">
        <f t="shared" si="0"/>
        <v>1024795.92</v>
      </c>
    </row>
    <row r="48" spans="1:12" ht="25.5" customHeight="1" thickBot="1" x14ac:dyDescent="0.25">
      <c r="A48" s="102">
        <v>37</v>
      </c>
      <c r="B48" s="103"/>
      <c r="C48" s="173" t="s">
        <v>68</v>
      </c>
      <c r="D48" s="174" t="s">
        <v>68</v>
      </c>
      <c r="E48" s="174" t="s">
        <v>68</v>
      </c>
      <c r="F48" s="174" t="s">
        <v>68</v>
      </c>
      <c r="G48" s="175" t="s">
        <v>68</v>
      </c>
      <c r="H48" s="98" t="s">
        <v>53</v>
      </c>
      <c r="I48" s="144" t="s">
        <v>21</v>
      </c>
      <c r="J48" s="72">
        <v>47900</v>
      </c>
      <c r="K48" s="63">
        <v>2</v>
      </c>
      <c r="L48" s="143">
        <f t="shared" si="0"/>
        <v>95800</v>
      </c>
    </row>
    <row r="49" spans="1:12" ht="26.25" customHeight="1" thickBot="1" x14ac:dyDescent="0.25">
      <c r="A49" s="102">
        <v>38</v>
      </c>
      <c r="B49" s="103"/>
      <c r="C49" s="173" t="s">
        <v>69</v>
      </c>
      <c r="D49" s="174" t="s">
        <v>69</v>
      </c>
      <c r="E49" s="174" t="s">
        <v>69</v>
      </c>
      <c r="F49" s="174" t="s">
        <v>69</v>
      </c>
      <c r="G49" s="175" t="s">
        <v>69</v>
      </c>
      <c r="H49" s="98" t="s">
        <v>53</v>
      </c>
      <c r="I49" s="144" t="s">
        <v>21</v>
      </c>
      <c r="J49" s="72">
        <v>41223</v>
      </c>
      <c r="K49" s="63">
        <v>2</v>
      </c>
      <c r="L49" s="143">
        <f t="shared" si="0"/>
        <v>82446</v>
      </c>
    </row>
    <row r="50" spans="1:12" ht="24" customHeight="1" thickBot="1" x14ac:dyDescent="0.25">
      <c r="A50" s="102">
        <v>39</v>
      </c>
      <c r="B50" s="103"/>
      <c r="C50" s="173" t="s">
        <v>91</v>
      </c>
      <c r="D50" s="174" t="s">
        <v>91</v>
      </c>
      <c r="E50" s="174" t="s">
        <v>91</v>
      </c>
      <c r="F50" s="174" t="s">
        <v>91</v>
      </c>
      <c r="G50" s="175" t="s">
        <v>91</v>
      </c>
      <c r="H50" s="98" t="s">
        <v>53</v>
      </c>
      <c r="I50" s="154" t="s">
        <v>18</v>
      </c>
      <c r="J50" s="78">
        <v>300000</v>
      </c>
      <c r="K50" s="67">
        <v>2</v>
      </c>
      <c r="L50" s="143">
        <f t="shared" si="0"/>
        <v>600000</v>
      </c>
    </row>
    <row r="51" spans="1:12" ht="21.75" customHeight="1" thickBot="1" x14ac:dyDescent="0.25">
      <c r="A51" s="102">
        <v>40</v>
      </c>
      <c r="B51" s="103"/>
      <c r="C51" s="173" t="s">
        <v>128</v>
      </c>
      <c r="D51" s="174" t="s">
        <v>55</v>
      </c>
      <c r="E51" s="174" t="s">
        <v>55</v>
      </c>
      <c r="F51" s="174" t="s">
        <v>55</v>
      </c>
      <c r="G51" s="175" t="s">
        <v>55</v>
      </c>
      <c r="H51" s="98" t="s">
        <v>53</v>
      </c>
      <c r="I51" s="150" t="s">
        <v>18</v>
      </c>
      <c r="J51" s="72">
        <v>338</v>
      </c>
      <c r="K51" s="60">
        <v>33</v>
      </c>
      <c r="L51" s="143">
        <f t="shared" si="0"/>
        <v>11154</v>
      </c>
    </row>
    <row r="52" spans="1:12" s="106" customFormat="1" ht="21.75" customHeight="1" thickBot="1" x14ac:dyDescent="0.25">
      <c r="A52" s="104">
        <v>41</v>
      </c>
      <c r="B52" s="105"/>
      <c r="C52" s="179" t="s">
        <v>88</v>
      </c>
      <c r="D52" s="180" t="s">
        <v>88</v>
      </c>
      <c r="E52" s="180" t="s">
        <v>88</v>
      </c>
      <c r="F52" s="180" t="s">
        <v>88</v>
      </c>
      <c r="G52" s="181" t="s">
        <v>88</v>
      </c>
      <c r="H52" s="94" t="s">
        <v>53</v>
      </c>
      <c r="I52" s="149" t="s">
        <v>18</v>
      </c>
      <c r="J52" s="77">
        <v>25000</v>
      </c>
      <c r="K52" s="66">
        <v>5</v>
      </c>
      <c r="L52" s="143">
        <f t="shared" si="0"/>
        <v>125000</v>
      </c>
    </row>
    <row r="53" spans="1:12" ht="21" customHeight="1" thickBot="1" x14ac:dyDescent="0.25">
      <c r="A53" s="102">
        <v>42</v>
      </c>
      <c r="B53" s="103"/>
      <c r="C53" s="173" t="s">
        <v>129</v>
      </c>
      <c r="D53" s="174" t="s">
        <v>89</v>
      </c>
      <c r="E53" s="174" t="s">
        <v>89</v>
      </c>
      <c r="F53" s="174" t="s">
        <v>89</v>
      </c>
      <c r="G53" s="175" t="s">
        <v>89</v>
      </c>
      <c r="H53" s="98" t="s">
        <v>53</v>
      </c>
      <c r="I53" s="149" t="s">
        <v>18</v>
      </c>
      <c r="J53" s="77">
        <v>5500</v>
      </c>
      <c r="K53" s="66">
        <v>8</v>
      </c>
      <c r="L53" s="143">
        <f t="shared" si="0"/>
        <v>44000</v>
      </c>
    </row>
    <row r="54" spans="1:12" ht="24.75" customHeight="1" thickBot="1" x14ac:dyDescent="0.25">
      <c r="A54" s="102">
        <v>43</v>
      </c>
      <c r="B54" s="103"/>
      <c r="C54" s="173" t="s">
        <v>96</v>
      </c>
      <c r="D54" s="174" t="s">
        <v>96</v>
      </c>
      <c r="E54" s="174" t="s">
        <v>96</v>
      </c>
      <c r="F54" s="174" t="s">
        <v>96</v>
      </c>
      <c r="G54" s="175" t="s">
        <v>96</v>
      </c>
      <c r="H54" s="98" t="s">
        <v>53</v>
      </c>
      <c r="I54" s="153" t="s">
        <v>18</v>
      </c>
      <c r="J54" s="78">
        <v>19800</v>
      </c>
      <c r="K54" s="33">
        <v>2</v>
      </c>
      <c r="L54" s="143">
        <f t="shared" si="0"/>
        <v>39600</v>
      </c>
    </row>
    <row r="55" spans="1:12" ht="26.25" customHeight="1" thickBot="1" x14ac:dyDescent="0.25">
      <c r="A55" s="102">
        <v>44</v>
      </c>
      <c r="B55" s="103"/>
      <c r="C55" s="173" t="s">
        <v>65</v>
      </c>
      <c r="D55" s="174" t="s">
        <v>65</v>
      </c>
      <c r="E55" s="174" t="s">
        <v>65</v>
      </c>
      <c r="F55" s="174" t="s">
        <v>65</v>
      </c>
      <c r="G55" s="175" t="s">
        <v>65</v>
      </c>
      <c r="H55" s="98" t="s">
        <v>53</v>
      </c>
      <c r="I55" s="144" t="s">
        <v>21</v>
      </c>
      <c r="J55" s="72">
        <v>152992</v>
      </c>
      <c r="K55" s="63">
        <v>2</v>
      </c>
      <c r="L55" s="143">
        <f t="shared" si="0"/>
        <v>305984</v>
      </c>
    </row>
    <row r="56" spans="1:12" ht="24" customHeight="1" thickBot="1" x14ac:dyDescent="0.25">
      <c r="A56" s="102">
        <v>45</v>
      </c>
      <c r="B56" s="103"/>
      <c r="C56" s="173" t="s">
        <v>70</v>
      </c>
      <c r="D56" s="174" t="s">
        <v>70</v>
      </c>
      <c r="E56" s="174" t="s">
        <v>70</v>
      </c>
      <c r="F56" s="174" t="s">
        <v>70</v>
      </c>
      <c r="G56" s="175" t="s">
        <v>70</v>
      </c>
      <c r="H56" s="98" t="s">
        <v>53</v>
      </c>
      <c r="I56" s="144" t="s">
        <v>21</v>
      </c>
      <c r="J56" s="72">
        <v>2999</v>
      </c>
      <c r="K56" s="63">
        <v>10</v>
      </c>
      <c r="L56" s="143">
        <f t="shared" si="0"/>
        <v>29990</v>
      </c>
    </row>
    <row r="57" spans="1:12" ht="25.5" customHeight="1" thickBot="1" x14ac:dyDescent="0.25">
      <c r="A57" s="102">
        <v>46</v>
      </c>
      <c r="B57" s="103"/>
      <c r="C57" s="173" t="s">
        <v>62</v>
      </c>
      <c r="D57" s="174" t="s">
        <v>62</v>
      </c>
      <c r="E57" s="174" t="s">
        <v>62</v>
      </c>
      <c r="F57" s="174" t="s">
        <v>62</v>
      </c>
      <c r="G57" s="175" t="s">
        <v>62</v>
      </c>
      <c r="H57" s="98" t="s">
        <v>53</v>
      </c>
      <c r="I57" s="148" t="s">
        <v>21</v>
      </c>
      <c r="J57" s="53">
        <v>2500</v>
      </c>
      <c r="K57" s="49">
        <v>50</v>
      </c>
      <c r="L57" s="143">
        <f t="shared" si="0"/>
        <v>125000</v>
      </c>
    </row>
    <row r="58" spans="1:12" s="106" customFormat="1" ht="36" customHeight="1" x14ac:dyDescent="0.2">
      <c r="A58" s="104">
        <v>47</v>
      </c>
      <c r="B58" s="105"/>
      <c r="C58" s="179" t="s">
        <v>83</v>
      </c>
      <c r="D58" s="180" t="s">
        <v>83</v>
      </c>
      <c r="E58" s="180" t="s">
        <v>83</v>
      </c>
      <c r="F58" s="180" t="s">
        <v>83</v>
      </c>
      <c r="G58" s="181" t="s">
        <v>83</v>
      </c>
      <c r="H58" s="94" t="s">
        <v>53</v>
      </c>
      <c r="I58" s="80" t="s">
        <v>21</v>
      </c>
      <c r="J58" s="73">
        <v>6318</v>
      </c>
      <c r="K58" s="64">
        <v>5</v>
      </c>
      <c r="L58" s="143">
        <f t="shared" si="0"/>
        <v>31590</v>
      </c>
    </row>
    <row r="59" spans="1:12" ht="43.5" customHeight="1" thickBot="1" x14ac:dyDescent="0.25">
      <c r="A59" s="182" t="s">
        <v>99</v>
      </c>
      <c r="B59" s="183"/>
      <c r="C59" s="183"/>
      <c r="D59" s="183"/>
      <c r="E59" s="183"/>
      <c r="F59" s="183"/>
      <c r="G59" s="183"/>
      <c r="H59" s="183"/>
      <c r="I59" s="184"/>
      <c r="J59" s="185">
        <f>SUM(L12:L58)</f>
        <v>8304183.7199999997</v>
      </c>
      <c r="K59" s="186"/>
    </row>
    <row r="60" spans="1:12" x14ac:dyDescent="0.2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</row>
  </sheetData>
  <mergeCells count="69">
    <mergeCell ref="A59:I59"/>
    <mergeCell ref="J59:K59"/>
    <mergeCell ref="C53:G53"/>
    <mergeCell ref="C54:G54"/>
    <mergeCell ref="C55:G55"/>
    <mergeCell ref="C56:G56"/>
    <mergeCell ref="C57:G57"/>
    <mergeCell ref="C58:G58"/>
    <mergeCell ref="C52:G52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40:G40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0866141732283472" right="0.70866141732283472" top="0.74803149606299213" bottom="0.74803149606299213" header="0.31496062992125984" footer="0.31496062992125984"/>
  <pageSetup paperSize="5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opLeftCell="A16"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2" width="4.42578125" customWidth="1"/>
    <col min="3" max="3" width="2.85546875" customWidth="1"/>
    <col min="4" max="4" width="3.5703125" customWidth="1"/>
    <col min="5" max="5" width="4.42578125" customWidth="1"/>
    <col min="6" max="6" width="4.85546875" customWidth="1"/>
    <col min="7" max="7" width="4.42578125" style="140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25">
      <c r="A1" s="187" t="s">
        <v>3</v>
      </c>
      <c r="B1" s="187"/>
      <c r="C1" s="187"/>
      <c r="D1" s="188">
        <v>2021</v>
      </c>
      <c r="E1" s="188"/>
      <c r="F1" s="108"/>
      <c r="G1" s="108"/>
      <c r="H1" s="109"/>
      <c r="I1" s="109"/>
      <c r="J1" s="109"/>
      <c r="K1" s="109"/>
      <c r="L1" s="109"/>
      <c r="M1" s="109"/>
      <c r="N1" s="109"/>
      <c r="O1" s="110"/>
      <c r="P1" s="189" t="s">
        <v>100</v>
      </c>
      <c r="Q1" s="189"/>
    </row>
    <row r="2" spans="1:17" ht="15.75" customHeight="1" thickBot="1" x14ac:dyDescent="0.25">
      <c r="A2" s="190"/>
      <c r="B2" s="191"/>
      <c r="C2" s="191"/>
      <c r="D2" s="191"/>
      <c r="E2" s="191"/>
      <c r="F2" s="191"/>
      <c r="G2" s="191"/>
      <c r="H2" s="111"/>
      <c r="I2" s="111"/>
      <c r="J2" s="111"/>
      <c r="K2" s="111"/>
      <c r="L2" s="111"/>
      <c r="M2" s="111"/>
      <c r="N2" s="111"/>
      <c r="O2" s="112"/>
      <c r="P2" s="189"/>
      <c r="Q2" s="189"/>
    </row>
    <row r="3" spans="1:17" ht="13.5" thickBot="1" x14ac:dyDescent="0.25">
      <c r="A3" s="113"/>
      <c r="B3" s="112"/>
      <c r="C3" s="112"/>
      <c r="D3" s="112"/>
      <c r="E3" s="112"/>
      <c r="F3" s="112"/>
      <c r="G3" s="114"/>
      <c r="H3" s="112"/>
      <c r="I3" s="112"/>
      <c r="J3" s="112"/>
      <c r="K3" s="112"/>
      <c r="L3" s="112"/>
      <c r="M3" s="112"/>
      <c r="N3" s="112"/>
      <c r="O3" s="112"/>
      <c r="P3" s="112"/>
      <c r="Q3" s="115"/>
    </row>
    <row r="4" spans="1:17" s="116" customFormat="1" ht="18" customHeight="1" thickBot="1" x14ac:dyDescent="0.25">
      <c r="A4" s="192" t="s">
        <v>101</v>
      </c>
      <c r="B4" s="192"/>
      <c r="C4" s="192"/>
      <c r="D4" s="192"/>
      <c r="E4" s="192"/>
      <c r="F4" s="192"/>
      <c r="G4" s="193" t="s">
        <v>36</v>
      </c>
      <c r="H4" s="193"/>
      <c r="I4" s="193"/>
      <c r="J4" s="193"/>
      <c r="K4" s="193"/>
      <c r="L4" s="193"/>
      <c r="M4" s="193"/>
      <c r="N4" s="193"/>
      <c r="O4" s="193"/>
      <c r="P4" s="193"/>
      <c r="Q4" s="193"/>
    </row>
    <row r="5" spans="1:17" s="116" customFormat="1" ht="18" customHeight="1" thickBot="1" x14ac:dyDescent="0.25">
      <c r="A5" s="194" t="s">
        <v>37</v>
      </c>
      <c r="B5" s="194"/>
      <c r="C5" s="194"/>
      <c r="D5" s="194"/>
      <c r="E5" s="194"/>
      <c r="F5" s="194"/>
      <c r="G5" s="193" t="s">
        <v>102</v>
      </c>
      <c r="H5" s="193"/>
      <c r="I5" s="193"/>
      <c r="J5" s="193"/>
      <c r="K5" s="193"/>
      <c r="L5" s="193"/>
      <c r="M5" s="193"/>
      <c r="N5" s="193"/>
      <c r="O5" s="193"/>
      <c r="P5" s="193"/>
      <c r="Q5" s="193"/>
    </row>
    <row r="6" spans="1:17" s="116" customFormat="1" ht="18" customHeight="1" thickBot="1" x14ac:dyDescent="0.25">
      <c r="A6" s="194" t="s">
        <v>39</v>
      </c>
      <c r="B6" s="194"/>
      <c r="C6" s="194"/>
      <c r="D6" s="194"/>
      <c r="E6" s="194"/>
      <c r="F6" s="194"/>
      <c r="G6" s="193" t="s">
        <v>40</v>
      </c>
      <c r="H6" s="193"/>
      <c r="I6" s="193"/>
      <c r="J6" s="193"/>
      <c r="K6" s="193"/>
      <c r="L6" s="193"/>
      <c r="M6" s="193"/>
      <c r="N6" s="193"/>
      <c r="O6" s="193"/>
      <c r="P6" s="193"/>
      <c r="Q6" s="193"/>
    </row>
    <row r="7" spans="1:17" s="116" customFormat="1" ht="25.15" customHeight="1" thickBot="1" x14ac:dyDescent="0.25">
      <c r="A7" s="194" t="s">
        <v>41</v>
      </c>
      <c r="B7" s="194"/>
      <c r="C7" s="194"/>
      <c r="D7" s="194"/>
      <c r="E7" s="194"/>
      <c r="F7" s="194"/>
      <c r="G7" s="193" t="s">
        <v>40</v>
      </c>
      <c r="H7" s="193"/>
      <c r="I7" s="193"/>
      <c r="J7" s="193"/>
      <c r="K7" s="193"/>
      <c r="L7" s="193"/>
      <c r="M7" s="193"/>
      <c r="N7" s="193"/>
      <c r="O7" s="193"/>
      <c r="P7" s="193"/>
      <c r="Q7" s="193"/>
    </row>
    <row r="8" spans="1:17" ht="18" customHeight="1" thickBot="1" x14ac:dyDescent="0.25">
      <c r="A8" s="195" t="s">
        <v>103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</row>
    <row r="9" spans="1:17" ht="18" customHeight="1" x14ac:dyDescent="0.2">
      <c r="A9" s="196" t="s">
        <v>104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</row>
    <row r="10" spans="1:17" ht="57.6" customHeight="1" x14ac:dyDescent="0.2">
      <c r="A10" s="197" t="s">
        <v>105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</row>
    <row r="11" spans="1:17" ht="9" customHeight="1" thickBot="1" x14ac:dyDescent="0.25">
      <c r="A11" s="117"/>
      <c r="B11" s="118"/>
      <c r="C11" s="118"/>
      <c r="D11" s="118"/>
      <c r="E11" s="118"/>
      <c r="F11" s="118"/>
      <c r="G11" s="119"/>
      <c r="H11" s="118"/>
      <c r="I11" s="118"/>
      <c r="J11" s="118"/>
      <c r="K11" s="118"/>
      <c r="L11" s="118"/>
      <c r="M11" s="118"/>
      <c r="N11" s="118"/>
      <c r="O11" s="118"/>
      <c r="P11" s="118"/>
      <c r="Q11" s="120"/>
    </row>
    <row r="12" spans="1:17" ht="15.75" customHeight="1" thickBot="1" x14ac:dyDescent="0.25">
      <c r="A12" s="198" t="s">
        <v>106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</row>
    <row r="13" spans="1:17" ht="15.75" customHeight="1" thickBot="1" x14ac:dyDescent="0.25">
      <c r="A13" s="199" t="s">
        <v>107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200" t="s">
        <v>108</v>
      </c>
      <c r="P13" s="200"/>
      <c r="Q13" s="201" t="s">
        <v>109</v>
      </c>
    </row>
    <row r="14" spans="1:17" ht="15.75" customHeight="1" thickBot="1" x14ac:dyDescent="0.25">
      <c r="A14" s="121" t="s">
        <v>110</v>
      </c>
      <c r="B14" s="122" t="s">
        <v>111</v>
      </c>
      <c r="C14" s="122" t="s">
        <v>112</v>
      </c>
      <c r="D14" s="122" t="s">
        <v>113</v>
      </c>
      <c r="E14" s="122" t="s">
        <v>114</v>
      </c>
      <c r="F14" s="122" t="s">
        <v>115</v>
      </c>
      <c r="G14" s="123" t="s">
        <v>116</v>
      </c>
      <c r="H14" s="122" t="s">
        <v>117</v>
      </c>
      <c r="I14" s="122" t="s">
        <v>118</v>
      </c>
      <c r="J14" s="122" t="s">
        <v>119</v>
      </c>
      <c r="K14" s="122" t="s">
        <v>119</v>
      </c>
      <c r="L14" s="122" t="s">
        <v>120</v>
      </c>
      <c r="M14" s="124" t="s">
        <v>121</v>
      </c>
      <c r="N14" s="125" t="s">
        <v>122</v>
      </c>
      <c r="O14" s="200"/>
      <c r="P14" s="200"/>
      <c r="Q14" s="201"/>
    </row>
    <row r="15" spans="1:17" ht="31.9" customHeight="1" x14ac:dyDescent="0.2">
      <c r="A15" s="126">
        <v>44</v>
      </c>
      <c r="B15" s="127"/>
      <c r="C15" s="127"/>
      <c r="D15" s="127">
        <v>1</v>
      </c>
      <c r="E15" s="127"/>
      <c r="F15" s="127">
        <v>4901</v>
      </c>
      <c r="G15" s="127">
        <v>3</v>
      </c>
      <c r="H15" s="127">
        <v>1</v>
      </c>
      <c r="I15" s="127">
        <v>2</v>
      </c>
      <c r="J15" s="127">
        <v>5</v>
      </c>
      <c r="K15" s="127">
        <v>2</v>
      </c>
      <c r="L15" s="127"/>
      <c r="M15" s="128">
        <v>1</v>
      </c>
      <c r="N15" s="127" t="s">
        <v>123</v>
      </c>
      <c r="O15" s="205" t="s">
        <v>124</v>
      </c>
      <c r="P15" s="205"/>
      <c r="Q15" s="129">
        <v>8304183.7199999997</v>
      </c>
    </row>
    <row r="16" spans="1:17" ht="17.25" customHeight="1" x14ac:dyDescent="0.2">
      <c r="A16" s="130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2"/>
      <c r="N16" s="133"/>
      <c r="O16" s="206"/>
      <c r="P16" s="206"/>
      <c r="Q16" s="134"/>
    </row>
    <row r="17" spans="1:17" ht="17.25" customHeight="1" x14ac:dyDescent="0.2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2"/>
      <c r="N17" s="133"/>
      <c r="O17" s="207"/>
      <c r="P17" s="207"/>
      <c r="Q17" s="134"/>
    </row>
    <row r="18" spans="1:17" ht="17.25" customHeight="1" thickBot="1" x14ac:dyDescent="0.25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7"/>
      <c r="N18" s="136"/>
      <c r="O18" s="208"/>
      <c r="P18" s="208"/>
      <c r="Q18" s="138"/>
    </row>
    <row r="19" spans="1:17" ht="29.25" customHeight="1" thickBot="1" x14ac:dyDescent="0.25">
      <c r="A19" s="209" t="s">
        <v>127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139">
        <f>SUM(Q15:Q18)</f>
        <v>8304183.7199999997</v>
      </c>
    </row>
    <row r="20" spans="1:17" ht="18" customHeight="1" thickBot="1" x14ac:dyDescent="0.25">
      <c r="A20" s="210"/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</row>
    <row r="21" spans="1:17" ht="66" customHeight="1" thickBot="1" x14ac:dyDescent="0.25">
      <c r="A21" s="202" t="s">
        <v>125</v>
      </c>
      <c r="B21" s="202"/>
      <c r="C21" s="202"/>
      <c r="D21" s="202"/>
      <c r="E21" s="202"/>
      <c r="F21" s="202"/>
      <c r="G21" s="203" t="s">
        <v>126</v>
      </c>
      <c r="H21" s="203"/>
      <c r="I21" s="203"/>
      <c r="J21" s="203"/>
      <c r="K21" s="203"/>
      <c r="L21" s="203"/>
      <c r="M21" s="203"/>
      <c r="N21" s="203"/>
      <c r="O21" s="203"/>
      <c r="P21" s="203"/>
      <c r="Q21" s="203"/>
    </row>
    <row r="22" spans="1:17" ht="18" customHeight="1" thickBot="1" x14ac:dyDescent="0.25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</row>
    <row r="23" spans="1:17" ht="47.45" customHeight="1" thickBot="1" x14ac:dyDescent="0.25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</row>
  </sheetData>
  <mergeCells count="28">
    <mergeCell ref="A21:F21"/>
    <mergeCell ref="G21:Q21"/>
    <mergeCell ref="A22:Q23"/>
    <mergeCell ref="O15:P15"/>
    <mergeCell ref="O16:P16"/>
    <mergeCell ref="O17:P17"/>
    <mergeCell ref="O18:P18"/>
    <mergeCell ref="A19:P19"/>
    <mergeCell ref="A20:Q20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2:G2"/>
    <mergeCell ref="A4:F4"/>
    <mergeCell ref="G4:Q4"/>
  </mergeCells>
  <printOptions horizontalCentered="1"/>
  <pageMargins left="0.25" right="0.25" top="0.75" bottom="0.75" header="0.51180555555555496" footer="0.51180555555555496"/>
  <pageSetup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PyE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2021-04-13T13:09:07Z</cp:lastPrinted>
  <dcterms:created xsi:type="dcterms:W3CDTF">2020-07-17T23:44:49Z</dcterms:created>
  <dcterms:modified xsi:type="dcterms:W3CDTF">2021-04-15T21:09:41Z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