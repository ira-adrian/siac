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0">'Necesidades Trimestrales'!$A$2:$I$16</definedName>
    <definedName name="_xlnm.Print_Area" localSheetId="1">NotaPedido!$A$1:$K$17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2" i="2" l="1"/>
  <c r="K13" i="2"/>
  <c r="K14" i="2"/>
  <c r="K15" i="2"/>
  <c r="K16" i="2"/>
  <c r="J12" i="2"/>
  <c r="J13" i="2"/>
  <c r="J14" i="2"/>
  <c r="J15" i="2"/>
  <c r="J16" i="2"/>
  <c r="I12" i="2"/>
  <c r="I13" i="2"/>
  <c r="I14" i="2"/>
  <c r="I15" i="2"/>
  <c r="I16" i="2"/>
  <c r="C12" i="2"/>
  <c r="C13" i="2"/>
  <c r="C14" i="2"/>
  <c r="C15" i="2"/>
  <c r="C16" i="2"/>
  <c r="B12" i="2"/>
  <c r="B13" i="2"/>
  <c r="B14" i="2"/>
  <c r="B15" i="2"/>
  <c r="B16" i="2"/>
  <c r="Q21" i="3" l="1"/>
  <c r="I10" i="1" l="1"/>
  <c r="I11" i="1"/>
  <c r="I12" i="1"/>
  <c r="I13" i="1"/>
  <c r="I14" i="1"/>
  <c r="A24" i="3" l="1"/>
  <c r="D10" i="1" l="1"/>
  <c r="D11" i="1"/>
  <c r="D12" i="1"/>
  <c r="D13" i="1"/>
  <c r="D14" i="1"/>
  <c r="A10" i="3"/>
  <c r="J17" i="2" l="1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<sst xmlns="http://schemas.openxmlformats.org/spreadsheetml/2006/main" count="149" uniqueCount="100">
  <si>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</si>
  <si>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</si>
  <si>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</si>
  <si>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</si>
  <si>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</si>
  <si>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</si>
  <si>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</si>
  <si>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</si>
  <si>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</si>
  <si>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</si>
  <si>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</si>
  <si>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</si>
  <si>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</si>
  <si>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</si>
  <si>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</si>
  <si>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</si>
  <si>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</si>
  <si>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</si>
  <si>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</si>
  <si>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</si>
  <si>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</si>
  <si>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</si>
  <si>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</si>
  <si>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</si>
  <si>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</si>
  <si>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</si>
  <si>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</si>
  <si>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</si>
  <si>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</si>
  <si>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</si>
  <si>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</si>
  <si>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</si>
  <si>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</si>
  <si>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</si>
  <si>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</si>
  <si>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</si>
  <si>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</si>
  <si>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</si>
  <si>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</si>
  <si>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</si>
  <si>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</si>
  <si>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</si>
  <si>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</si>
  <si>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</si>
  <si>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</si>
  <si>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</si>
  <si>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</si>
  <si>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</si>
  <si>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</si>
  <si>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</si>
  <si>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</si>
  <si>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</si>
  <si>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168 - Direccion Asistencial</t>
  </si>
  <si>
    <t>3.1</t>
  </si>
  <si>
    <t>1.1</t>
  </si>
  <si>
    <t>ALIMENTOS</t>
  </si>
  <si>
    <t>UNIDAD</t>
  </si>
  <si>
    <t>2.1.1-669.27</t>
  </si>
  <si>
    <t>PANES; TIPO: MIÑON, PRESENTACION: GRANEL</t>
  </si>
  <si>
    <t>KG</t>
  </si>
  <si>
    <t>2.1.1-669.51</t>
  </si>
  <si>
    <t>PANES; TIPO: FRANCES, PRESENTACION: UNIDAD</t>
  </si>
  <si>
    <t>2.1.1-669.1</t>
  </si>
  <si>
    <t>2.1.1-669.37</t>
  </si>
  <si>
    <t>PANES; TIPO: RALLADO, PRESENTACION: BOLSA X 5 Kg</t>
  </si>
  <si>
    <t>2.1.1-2430.1</t>
  </si>
  <si>
    <t>PREPIZZA; GUSTO: TOMATE, TAMAÑO: MEDIANO</t>
  </si>
  <si>
    <t>MANTENIMIENTO DE OFERTA: 45 DIAS HABILES</t>
  </si>
  <si>
    <t>Alimentos para Personas</t>
  </si>
  <si>
    <t>Descripción técnica</t>
  </si>
  <si>
    <t>Calidad Minima esperada</t>
  </si>
  <si>
    <t>Mantenimiento</t>
  </si>
  <si>
    <t>Garantia</t>
  </si>
  <si>
    <t>PLAZO DE ENTREGA: SEGÚN NECESIDAD DEL SERVICIO - LUGAR DE ENTREGA: SERVICIO DE NUTRICION - HOSPITAL INTERZONAL SAN JUAN BAUTISTA - AV. ILLIA ESQ. MARIANO MORENO</t>
  </si>
  <si>
    <t>Especificidades Item N° 01:</t>
  </si>
  <si>
    <t>Plazos, lugares y formas de entrega</t>
  </si>
  <si>
    <t>Las entregas se realizaran en el Servicio de Nutricion -Avda. Illia y Mariano Moreno- los días lunes, miercoles y viernes de 07:00 a 08:30 horas.</t>
  </si>
  <si>
    <t>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</si>
  <si>
    <t xml:space="preserve">45 días habiles </t>
  </si>
  <si>
    <t>Especificidades Item N° 02:</t>
  </si>
  <si>
    <t>Ver nota adjunta respecto de la calidad de los productos y otras caracteristicas.</t>
  </si>
  <si>
    <t>Especificidades Item N° 03:</t>
  </si>
  <si>
    <t>Especificidades Item N° 04:</t>
  </si>
  <si>
    <t>Especificidades Item N° 05:</t>
  </si>
  <si>
    <t xml:space="preserve">PAN TIPO MIÑON - PRIMERA CALIDAD - TRANSPORTADO EN VEHICULO AUTORIZADO Y EQUIPADO PARA TALES FINES </t>
  </si>
  <si>
    <t>Las entregas se realizaran en el Servicio de Nutricion -Avda. Illia y Mariano Moreno- todos los días incluidos sabados, domingos y feriados a las  07:00 - se solicita puntualidad-</t>
  </si>
  <si>
    <t xml:space="preserve">ROSETAS SIN SAL DE 60 GRS APROXIMADAMENTE CADA UNA - TRANSPORTADO EN VEHICULO AUTORIZADO Y EQUIPADO PARA TALES FINES </t>
  </si>
  <si>
    <t xml:space="preserve">PAN TIPO: SALVADO DE 60 GRAMOS  - PRIMERA CALIDAD - TRANSPORTADO EN VEHICULO AUTORIZADO Y EQUIPADO PARA TALES FINES </t>
  </si>
  <si>
    <t xml:space="preserve">PREPIZZAS DE PRIMERA CALIDAD - TRANSPORTADO EN VEHICULO AUTORIZADO Y EQUIPADO PARA TALES FINES </t>
  </si>
  <si>
    <t>Ver nota adjunta respecto de la calidad de los productos y otras caracteristicas - Vencimiento minimo del producto 10 días -.</t>
  </si>
  <si>
    <t xml:space="preserve">BOLSA </t>
  </si>
  <si>
    <t>PANES; PRESENTACION: GRANEL, TIPO: SALVADO</t>
  </si>
  <si>
    <t xml:space="preserve">PAN RALLADO,  BOLSA X 5 Kg APROXIMADAMANTE - TRANSPORTADO EN VEHICULO AUTORIZADO Y EQUIPADO PARA TALES FINES  </t>
  </si>
  <si>
    <t xml:space="preserve">SI </t>
  </si>
  <si>
    <t xml:space="preserve">Adquisición de Productos de Panaderia </t>
  </si>
  <si>
    <t>Servicio de Nutrición</t>
  </si>
  <si>
    <t>Costo total estimado: TRES MILLONES TRESCIENTOS NOVENTA Y OCHO MIL NOVECIENTOS CON 00/100.-</t>
  </si>
  <si>
    <t>NOTA DE PEDIDO N° 139</t>
  </si>
  <si>
    <t>TOTAL DE PESOS: TRES MILLONES TRESCIENTOS NOVENTA Y OCHO MIL NOVECIENTOS CON 00/100.---</t>
  </si>
  <si>
    <t>DOCFI-2022-02170488-CAT-DASIS#HSJB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</si>
</sst>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3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166" fontId="4" fillId="4" borderId="11" xfId="1" applyNumberFormat="1" applyFont="1" applyFill="1" applyBorder="1" applyAlignment="1" applyProtection="1">
      <alignment horizontal="center" vertical="center" wrapText="1"/>
    </xf>
    <xf numFmtId="0" fontId="26" fillId="0" borderId="43" xfId="5" applyFont="1" applyBorder="1"/>
    <xf numFmtId="0" fontId="15" fillId="0" borderId="44" xfId="5" applyFont="1" applyBorder="1"/>
    <xf numFmtId="0" fontId="15" fillId="0" borderId="45" xfId="5" applyFont="1" applyBorder="1"/>
    <xf numFmtId="0" fontId="15" fillId="0" borderId="46" xfId="5" applyFont="1" applyBorder="1"/>
    <xf numFmtId="0" fontId="15" fillId="0" borderId="0" xfId="5" applyFont="1" applyBorder="1"/>
    <xf numFmtId="0" fontId="15" fillId="0" borderId="47" xfId="5" applyFont="1" applyBorder="1"/>
    <xf numFmtId="0" fontId="26" fillId="0" borderId="46" xfId="5" applyFont="1" applyBorder="1" applyAlignment="1">
      <alignment horizontal="left" indent="3"/>
    </xf>
    <xf numFmtId="0" fontId="15" fillId="0" borderId="46" xfId="5" applyFont="1" applyBorder="1" applyAlignment="1">
      <alignment horizontal="left" indent="3"/>
    </xf>
    <xf numFmtId="0" fontId="15" fillId="0" borderId="0" xfId="5" applyFont="1" applyBorder="1" applyAlignment="1">
      <alignment horizontal="center" wrapText="1"/>
    </xf>
    <xf numFmtId="0" fontId="15" fillId="0" borderId="47" xfId="5" applyFont="1" applyBorder="1" applyAlignment="1">
      <alignment horizontal="center" wrapText="1"/>
    </xf>
    <xf numFmtId="0" fontId="26" fillId="0" borderId="48" xfId="5" applyFont="1" applyBorder="1" applyAlignment="1">
      <alignment horizontal="left" indent="3"/>
    </xf>
    <xf numFmtId="0" fontId="6" fillId="3" borderId="3" xfId="0" applyFont="1" applyFill="1" applyBorder="1" applyAlignment="1">
      <alignment horizontal="center" vertical="center"/>
    </xf>
    <xf numFmtId="0" fontId="15" fillId="4" borderId="0" xfId="0" applyFont="1" applyFill="1"/>
    <xf numFmtId="0" fontId="20" fillId="4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166" fontId="0" fillId="4" borderId="26" xfId="3" applyNumberFormat="1" applyFont="1" applyFill="1" applyBorder="1" applyAlignment="1" applyProtection="1">
      <alignment horizontal="center" vertical="center"/>
    </xf>
    <xf numFmtId="166" fontId="13" fillId="4" borderId="36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3" borderId="0" xfId="0" applyFont="1" applyFill="1" applyBorder="1" applyAlignment="1">
      <alignment horizontal="left" wrapText="1" indent="1"/>
    </xf>
    <xf numFmtId="0" fontId="15" fillId="5" borderId="0" xfId="5" applyFont="1" applyFill="1" applyBorder="1" applyAlignment="1">
      <alignment horizontal="center" vertical="center" wrapText="1"/>
    </xf>
    <xf numFmtId="0" fontId="15" fillId="5" borderId="47" xfId="5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15" fillId="5" borderId="49" xfId="5" applyFont="1" applyFill="1" applyBorder="1" applyAlignment="1">
      <alignment horizontal="center"/>
    </xf>
    <xf numFmtId="0" fontId="15" fillId="6" borderId="0" xfId="0" applyFont="1" applyFill="1" applyAlignment="1">
      <alignment horizontal="left" vertical="center" wrapText="1"/>
    </xf>
    <xf numFmtId="0" fontId="15" fillId="6" borderId="47" xfId="0" applyFont="1" applyFill="1" applyBorder="1" applyAlignment="1">
      <alignment horizontal="left" vertical="center" wrapText="1"/>
    </xf>
    <xf numFmtId="0" fontId="15" fillId="5" borderId="47" xfId="0" applyFont="1" applyFill="1" applyBorder="1" applyAlignment="1">
      <alignment horizontal="center" vertical="center" wrapText="1"/>
    </xf>
    <xf numFmtId="0" fontId="15" fillId="5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 indent="1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1" fillId="0" borderId="3" xfId="0" applyFont="1" applyBorder="1" applyAlignment="1">
      <alignment horizontal="left" indent="1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24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7" fillId="4" borderId="36" xfId="0" applyFont="1" applyFill="1" applyBorder="1" applyAlignment="1">
      <alignment horizontal="left" vertical="center" wrapText="1"/>
    </xf>
    <xf numFmtId="0" fontId="0" fillId="0" borderId="14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4"/>
  <sheetViews>
    <sheetView tabSelected="1" zoomScale="85" zoomScaleNormal="85" workbookViewId="0">
      <selection activeCell="G17" sqref="G17"/>
    </sheetView>
  </sheetViews>
  <sheetFormatPr baseColWidth="10" defaultColWidth="11" defaultRowHeight="12.75" x14ac:dyDescent="0.2"/>
  <cols>
    <col min="1" max="1" width="4.5703125" style="37" customWidth="1"/>
    <col min="2" max="2" width="12.85546875" style="37" customWidth="1"/>
    <col min="3" max="3" width="12.42578125" style="37" customWidth="1"/>
    <col min="4" max="4" width="8.42578125" style="37" customWidth="1"/>
    <col min="5" max="5" width="89.85546875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78" t="s">
        <v>0</v>
      </c>
      <c r="C2" s="78"/>
      <c r="D2" s="78"/>
      <c r="E2" s="78"/>
      <c r="F2" s="78"/>
      <c r="G2" s="78"/>
      <c r="H2" s="78"/>
    </row>
    <row r="4" spans="1:9" ht="18" customHeight="1" x14ac:dyDescent="0.25">
      <c r="A4" s="79" t="s">
        <v>1</v>
      </c>
      <c r="B4" s="79"/>
      <c r="C4" s="80" t="s">
        <v>50</v>
      </c>
      <c r="D4" s="80"/>
      <c r="E4" s="80"/>
      <c r="F4" s="38"/>
      <c r="G4" s="39"/>
      <c r="H4" s="38"/>
    </row>
    <row r="5" spans="1:9" ht="18" customHeight="1" x14ac:dyDescent="0.25">
      <c r="A5" s="79" t="s">
        <v>2</v>
      </c>
      <c r="B5" s="79"/>
      <c r="C5" s="80" t="s">
        <v>51</v>
      </c>
      <c r="D5" s="80"/>
      <c r="E5" s="80"/>
      <c r="F5" s="38"/>
      <c r="G5" s="39"/>
      <c r="H5" s="38"/>
    </row>
    <row r="6" spans="1:9" ht="16.5" customHeight="1" x14ac:dyDescent="0.25">
      <c r="A6" s="79" t="s">
        <v>3</v>
      </c>
      <c r="B6" s="79"/>
      <c r="C6" s="41">
        <v>2022</v>
      </c>
      <c r="D6" s="42"/>
      <c r="E6" s="42"/>
      <c r="F6" s="38"/>
      <c r="G6" s="39"/>
      <c r="H6" s="38"/>
    </row>
    <row r="7" spans="1:9" ht="16.5" customHeight="1" x14ac:dyDescent="0.25">
      <c r="A7" s="79" t="s">
        <v>4</v>
      </c>
      <c r="B7" s="79"/>
      <c r="C7" s="41">
        <v>4</v>
      </c>
      <c r="D7" s="42"/>
      <c r="E7" s="42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40" t="s">
        <v>5</v>
      </c>
      <c r="B9" s="40" t="s">
        <v>6</v>
      </c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</row>
    <row r="10" spans="1:9" s="68" customFormat="1" ht="37.5" customHeight="1" thickBot="1" x14ac:dyDescent="0.25">
      <c r="A10" s="69">
        <v>1</v>
      </c>
      <c r="B10" s="70" t="s">
        <v>57</v>
      </c>
      <c r="C10" s="71" t="s">
        <v>55</v>
      </c>
      <c r="D10" s="72" t="str">
        <f t="shared" ref="D10:D14" si="0">LEFT(B10,5)</f>
        <v>2.1.1</v>
      </c>
      <c r="E10" s="73" t="s">
        <v>58</v>
      </c>
      <c r="F10" s="70" t="s">
        <v>59</v>
      </c>
      <c r="G10" s="70">
        <v>3000</v>
      </c>
      <c r="H10" s="74">
        <v>373</v>
      </c>
      <c r="I10" s="75">
        <f t="shared" ref="I10:I14" si="1">+G10*H10</f>
        <v>1119000</v>
      </c>
    </row>
    <row r="11" spans="1:9" s="68" customFormat="1" ht="31.9" customHeight="1" thickBot="1" x14ac:dyDescent="0.25">
      <c r="A11" s="69">
        <v>2</v>
      </c>
      <c r="B11" s="70" t="s">
        <v>60</v>
      </c>
      <c r="C11" s="71" t="s">
        <v>55</v>
      </c>
      <c r="D11" s="72" t="str">
        <f t="shared" si="0"/>
        <v>2.1.1</v>
      </c>
      <c r="E11" s="73" t="s">
        <v>61</v>
      </c>
      <c r="F11" s="70" t="s">
        <v>56</v>
      </c>
      <c r="G11" s="70">
        <v>17000</v>
      </c>
      <c r="H11" s="74">
        <v>80</v>
      </c>
      <c r="I11" s="75">
        <f t="shared" si="1"/>
        <v>1360000</v>
      </c>
    </row>
    <row r="12" spans="1:9" s="68" customFormat="1" ht="31.9" customHeight="1" thickBot="1" x14ac:dyDescent="0.25">
      <c r="A12" s="69">
        <v>3</v>
      </c>
      <c r="B12" s="70" t="s">
        <v>62</v>
      </c>
      <c r="C12" s="71" t="s">
        <v>55</v>
      </c>
      <c r="D12" s="72" t="str">
        <f t="shared" si="0"/>
        <v>2.1.1</v>
      </c>
      <c r="E12" s="73" t="s">
        <v>91</v>
      </c>
      <c r="F12" s="70" t="s">
        <v>56</v>
      </c>
      <c r="G12" s="70">
        <v>9000</v>
      </c>
      <c r="H12" s="74">
        <v>90</v>
      </c>
      <c r="I12" s="75">
        <f t="shared" si="1"/>
        <v>810000</v>
      </c>
    </row>
    <row r="13" spans="1:9" s="68" customFormat="1" ht="31.9" customHeight="1" thickBot="1" x14ac:dyDescent="0.25">
      <c r="A13" s="69">
        <v>4</v>
      </c>
      <c r="B13" s="70" t="s">
        <v>63</v>
      </c>
      <c r="C13" s="71" t="s">
        <v>55</v>
      </c>
      <c r="D13" s="72" t="str">
        <f t="shared" si="0"/>
        <v>2.1.1</v>
      </c>
      <c r="E13" s="73" t="s">
        <v>64</v>
      </c>
      <c r="F13" s="70" t="s">
        <v>90</v>
      </c>
      <c r="G13" s="70">
        <v>50</v>
      </c>
      <c r="H13" s="74">
        <v>1358</v>
      </c>
      <c r="I13" s="75">
        <f t="shared" si="1"/>
        <v>67900</v>
      </c>
    </row>
    <row r="14" spans="1:9" s="68" customFormat="1" ht="31.9" customHeight="1" thickBot="1" x14ac:dyDescent="0.25">
      <c r="A14" s="69">
        <v>5</v>
      </c>
      <c r="B14" s="70" t="s">
        <v>65</v>
      </c>
      <c r="C14" s="71" t="s">
        <v>55</v>
      </c>
      <c r="D14" s="72" t="str">
        <f t="shared" si="0"/>
        <v>2.1.1</v>
      </c>
      <c r="E14" s="73" t="s">
        <v>66</v>
      </c>
      <c r="F14" s="70" t="s">
        <v>56</v>
      </c>
      <c r="G14" s="70">
        <v>300</v>
      </c>
      <c r="H14" s="74">
        <v>140</v>
      </c>
      <c r="I14" s="75">
        <f t="shared" si="1"/>
        <v>42000</v>
      </c>
    </row>
    <row r="15" spans="1:9" ht="13.5" thickBot="1" x14ac:dyDescent="0.25"/>
    <row r="16" spans="1:9" ht="38.25" customHeight="1" thickTop="1" thickBot="1" x14ac:dyDescent="0.25">
      <c r="B16" s="83" t="s">
        <v>73</v>
      </c>
      <c r="C16" s="84"/>
      <c r="D16" s="84"/>
      <c r="E16" s="85"/>
    </row>
    <row r="17" spans="2:5" ht="33.6" customHeight="1" thickTop="1" thickBot="1" x14ac:dyDescent="0.25">
      <c r="B17" s="83" t="s">
        <v>67</v>
      </c>
      <c r="C17" s="84"/>
      <c r="D17" s="84"/>
      <c r="E17" s="85"/>
    </row>
    <row r="18" spans="2:5" ht="13.5" thickTop="1" x14ac:dyDescent="0.2"/>
    <row r="20" spans="2:5" ht="13.5" thickBot="1" x14ac:dyDescent="0.25"/>
    <row r="21" spans="2:5" x14ac:dyDescent="0.2">
      <c r="B21" s="56" t="s">
        <v>74</v>
      </c>
      <c r="C21" s="57"/>
      <c r="D21" s="57"/>
      <c r="E21" s="58"/>
    </row>
    <row r="22" spans="2:5" ht="14.25" customHeight="1" x14ac:dyDescent="0.2">
      <c r="B22" s="59"/>
      <c r="C22" s="60"/>
      <c r="D22" s="60"/>
      <c r="E22" s="61"/>
    </row>
    <row r="23" spans="2:5" x14ac:dyDescent="0.2">
      <c r="B23" s="62" t="s">
        <v>69</v>
      </c>
      <c r="C23" s="60"/>
      <c r="D23" s="60"/>
      <c r="E23" s="61"/>
    </row>
    <row r="24" spans="2:5" ht="35.25" customHeight="1" x14ac:dyDescent="0.2">
      <c r="B24" s="62"/>
      <c r="C24" s="81" t="s">
        <v>84</v>
      </c>
      <c r="D24" s="81"/>
      <c r="E24" s="82"/>
    </row>
    <row r="25" spans="2:5" x14ac:dyDescent="0.2">
      <c r="B25" s="62" t="s">
        <v>75</v>
      </c>
      <c r="C25" s="60"/>
      <c r="D25" s="60"/>
      <c r="E25" s="61"/>
    </row>
    <row r="26" spans="2:5" ht="44.25" customHeight="1" x14ac:dyDescent="0.2">
      <c r="B26" s="63"/>
      <c r="C26" s="89" t="s">
        <v>85</v>
      </c>
      <c r="D26" s="89"/>
      <c r="E26" s="89"/>
    </row>
    <row r="27" spans="2:5" ht="91.5" customHeight="1" x14ac:dyDescent="0.2">
      <c r="B27" s="63"/>
      <c r="C27" s="87" t="s">
        <v>77</v>
      </c>
      <c r="D27" s="87"/>
      <c r="E27" s="88"/>
    </row>
    <row r="28" spans="2:5" x14ac:dyDescent="0.2">
      <c r="B28" s="62" t="s">
        <v>70</v>
      </c>
      <c r="C28" s="60"/>
      <c r="D28" s="60"/>
      <c r="E28" s="61"/>
    </row>
    <row r="29" spans="2:5" x14ac:dyDescent="0.2">
      <c r="B29" s="63"/>
      <c r="C29" s="89" t="s">
        <v>80</v>
      </c>
      <c r="D29" s="89"/>
      <c r="E29" s="89"/>
    </row>
    <row r="30" spans="2:5" x14ac:dyDescent="0.2">
      <c r="B30" s="62" t="s">
        <v>71</v>
      </c>
      <c r="C30" s="64"/>
      <c r="D30" s="64"/>
      <c r="E30" s="65"/>
    </row>
    <row r="31" spans="2:5" x14ac:dyDescent="0.2">
      <c r="B31" s="63"/>
      <c r="C31" s="89" t="s">
        <v>78</v>
      </c>
      <c r="D31" s="89"/>
      <c r="E31" s="89"/>
    </row>
    <row r="32" spans="2:5" x14ac:dyDescent="0.2">
      <c r="B32" s="62" t="s">
        <v>72</v>
      </c>
      <c r="C32" s="60"/>
      <c r="D32" s="60"/>
      <c r="E32" s="61"/>
    </row>
    <row r="33" spans="2:5" ht="13.5" thickBot="1" x14ac:dyDescent="0.25">
      <c r="B33" s="66"/>
      <c r="C33" s="86"/>
      <c r="D33" s="86"/>
      <c r="E33" s="86"/>
    </row>
    <row r="36" spans="2:5" ht="13.5" thickBot="1" x14ac:dyDescent="0.25"/>
    <row r="37" spans="2:5" ht="21" customHeight="1" x14ac:dyDescent="0.2">
      <c r="B37" s="56" t="s">
        <v>79</v>
      </c>
      <c r="C37" s="57"/>
      <c r="D37" s="57"/>
      <c r="E37" s="58"/>
    </row>
    <row r="38" spans="2:5" x14ac:dyDescent="0.2">
      <c r="B38" s="59"/>
      <c r="C38" s="60"/>
      <c r="D38" s="60"/>
      <c r="E38" s="61"/>
    </row>
    <row r="39" spans="2:5" x14ac:dyDescent="0.2">
      <c r="B39" s="62" t="s">
        <v>69</v>
      </c>
      <c r="C39" s="60"/>
      <c r="D39" s="60"/>
      <c r="E39" s="61"/>
    </row>
    <row r="40" spans="2:5" ht="33.75" customHeight="1" x14ac:dyDescent="0.2">
      <c r="B40" s="62"/>
      <c r="C40" s="81" t="s">
        <v>86</v>
      </c>
      <c r="D40" s="81"/>
      <c r="E40" s="82"/>
    </row>
    <row r="41" spans="2:5" x14ac:dyDescent="0.2">
      <c r="B41" s="62" t="s">
        <v>75</v>
      </c>
      <c r="C41" s="60"/>
      <c r="D41" s="60"/>
      <c r="E41" s="61"/>
    </row>
    <row r="42" spans="2:5" ht="36" customHeight="1" x14ac:dyDescent="0.2">
      <c r="B42" s="63"/>
      <c r="C42" s="89" t="s">
        <v>85</v>
      </c>
      <c r="D42" s="89"/>
      <c r="E42" s="89"/>
    </row>
    <row r="43" spans="2:5" ht="84" customHeight="1" x14ac:dyDescent="0.2">
      <c r="B43" s="63"/>
      <c r="C43" s="87" t="s">
        <v>77</v>
      </c>
      <c r="D43" s="87"/>
      <c r="E43" s="88"/>
    </row>
    <row r="44" spans="2:5" x14ac:dyDescent="0.2">
      <c r="B44" s="62" t="s">
        <v>70</v>
      </c>
      <c r="C44" s="60"/>
      <c r="D44" s="60"/>
      <c r="E44" s="61"/>
    </row>
    <row r="45" spans="2:5" x14ac:dyDescent="0.2">
      <c r="B45" s="63"/>
      <c r="C45" s="89" t="s">
        <v>80</v>
      </c>
      <c r="D45" s="89"/>
      <c r="E45" s="89"/>
    </row>
    <row r="46" spans="2:5" x14ac:dyDescent="0.2">
      <c r="B46" s="62" t="s">
        <v>71</v>
      </c>
      <c r="C46" s="64"/>
      <c r="D46" s="64"/>
      <c r="E46" s="65"/>
    </row>
    <row r="47" spans="2:5" x14ac:dyDescent="0.2">
      <c r="B47" s="63"/>
      <c r="C47" s="89" t="s">
        <v>78</v>
      </c>
      <c r="D47" s="89"/>
      <c r="E47" s="89"/>
    </row>
    <row r="48" spans="2:5" x14ac:dyDescent="0.2">
      <c r="B48" s="62" t="s">
        <v>72</v>
      </c>
      <c r="C48" s="60"/>
      <c r="D48" s="60"/>
      <c r="E48" s="61"/>
    </row>
    <row r="49" spans="2:5" ht="13.5" thickBot="1" x14ac:dyDescent="0.25">
      <c r="B49" s="66"/>
      <c r="C49" s="86"/>
      <c r="D49" s="86"/>
      <c r="E49" s="86"/>
    </row>
    <row r="51" spans="2:5" ht="13.5" thickBot="1" x14ac:dyDescent="0.25"/>
    <row r="52" spans="2:5" ht="19.5" customHeight="1" x14ac:dyDescent="0.2">
      <c r="B52" s="56" t="s">
        <v>81</v>
      </c>
      <c r="C52" s="57"/>
      <c r="D52" s="57"/>
      <c r="E52" s="58"/>
    </row>
    <row r="53" spans="2:5" x14ac:dyDescent="0.2">
      <c r="B53" s="59"/>
      <c r="C53" s="60"/>
      <c r="D53" s="60"/>
      <c r="E53" s="61"/>
    </row>
    <row r="54" spans="2:5" x14ac:dyDescent="0.2">
      <c r="B54" s="62" t="s">
        <v>69</v>
      </c>
      <c r="C54" s="60"/>
      <c r="D54" s="60"/>
      <c r="E54" s="61"/>
    </row>
    <row r="55" spans="2:5" ht="39" customHeight="1" x14ac:dyDescent="0.2">
      <c r="B55" s="62"/>
      <c r="C55" s="81" t="s">
        <v>87</v>
      </c>
      <c r="D55" s="81"/>
      <c r="E55" s="82"/>
    </row>
    <row r="56" spans="2:5" x14ac:dyDescent="0.2">
      <c r="B56" s="62" t="s">
        <v>75</v>
      </c>
      <c r="C56" s="60"/>
      <c r="D56" s="60"/>
      <c r="E56" s="61"/>
    </row>
    <row r="57" spans="2:5" ht="36" customHeight="1" x14ac:dyDescent="0.2">
      <c r="B57" s="63"/>
      <c r="C57" s="89" t="s">
        <v>85</v>
      </c>
      <c r="D57" s="89"/>
      <c r="E57" s="89"/>
    </row>
    <row r="58" spans="2:5" ht="92.25" customHeight="1" x14ac:dyDescent="0.2">
      <c r="B58" s="63"/>
      <c r="C58" s="87" t="s">
        <v>77</v>
      </c>
      <c r="D58" s="87"/>
      <c r="E58" s="88"/>
    </row>
    <row r="59" spans="2:5" x14ac:dyDescent="0.2">
      <c r="B59" s="62" t="s">
        <v>70</v>
      </c>
      <c r="C59" s="60"/>
      <c r="D59" s="60"/>
      <c r="E59" s="61"/>
    </row>
    <row r="60" spans="2:5" x14ac:dyDescent="0.2">
      <c r="B60" s="63"/>
      <c r="C60" s="89" t="s">
        <v>80</v>
      </c>
      <c r="D60" s="89"/>
      <c r="E60" s="89"/>
    </row>
    <row r="61" spans="2:5" x14ac:dyDescent="0.2">
      <c r="B61" s="62" t="s">
        <v>71</v>
      </c>
      <c r="C61" s="64"/>
      <c r="D61" s="64"/>
      <c r="E61" s="65"/>
    </row>
    <row r="62" spans="2:5" x14ac:dyDescent="0.2">
      <c r="B62" s="63"/>
      <c r="C62" s="89" t="s">
        <v>78</v>
      </c>
      <c r="D62" s="89"/>
      <c r="E62" s="89"/>
    </row>
    <row r="63" spans="2:5" x14ac:dyDescent="0.2">
      <c r="B63" s="62" t="s">
        <v>72</v>
      </c>
      <c r="C63" s="60"/>
      <c r="D63" s="60"/>
      <c r="E63" s="61"/>
    </row>
    <row r="64" spans="2:5" ht="13.5" thickBot="1" x14ac:dyDescent="0.25">
      <c r="B64" s="66"/>
      <c r="C64" s="86"/>
      <c r="D64" s="86"/>
      <c r="E64" s="86"/>
    </row>
    <row r="66" spans="2:5" ht="13.5" thickBot="1" x14ac:dyDescent="0.25"/>
    <row r="67" spans="2:5" ht="32.25" customHeight="1" x14ac:dyDescent="0.2">
      <c r="B67" s="56" t="s">
        <v>82</v>
      </c>
      <c r="C67" s="57"/>
      <c r="D67" s="57"/>
      <c r="E67" s="58"/>
    </row>
    <row r="68" spans="2:5" x14ac:dyDescent="0.2">
      <c r="B68" s="59"/>
      <c r="C68" s="60"/>
      <c r="D68" s="60"/>
      <c r="E68" s="61"/>
    </row>
    <row r="69" spans="2:5" x14ac:dyDescent="0.2">
      <c r="B69" s="62" t="s">
        <v>69</v>
      </c>
      <c r="C69" s="60"/>
      <c r="D69" s="60"/>
      <c r="E69" s="61"/>
    </row>
    <row r="70" spans="2:5" ht="42" customHeight="1" x14ac:dyDescent="0.2">
      <c r="B70" s="62"/>
      <c r="C70" s="81" t="s">
        <v>92</v>
      </c>
      <c r="D70" s="81"/>
      <c r="E70" s="82"/>
    </row>
    <row r="71" spans="2:5" x14ac:dyDescent="0.2">
      <c r="B71" s="62" t="s">
        <v>75</v>
      </c>
      <c r="C71" s="60"/>
      <c r="D71" s="60"/>
      <c r="E71" s="61"/>
    </row>
    <row r="72" spans="2:5" ht="29.25" customHeight="1" x14ac:dyDescent="0.2">
      <c r="B72" s="63"/>
      <c r="C72" s="89" t="s">
        <v>85</v>
      </c>
      <c r="D72" s="89"/>
      <c r="E72" s="89"/>
    </row>
    <row r="73" spans="2:5" ht="103.5" customHeight="1" x14ac:dyDescent="0.2">
      <c r="B73" s="63"/>
      <c r="C73" s="87" t="s">
        <v>77</v>
      </c>
      <c r="D73" s="87"/>
      <c r="E73" s="88"/>
    </row>
    <row r="74" spans="2:5" x14ac:dyDescent="0.2">
      <c r="B74" s="62" t="s">
        <v>70</v>
      </c>
      <c r="C74" s="60"/>
      <c r="D74" s="60"/>
      <c r="E74" s="61"/>
    </row>
    <row r="75" spans="2:5" ht="21.75" customHeight="1" x14ac:dyDescent="0.2">
      <c r="B75" s="63"/>
      <c r="C75" s="89" t="s">
        <v>80</v>
      </c>
      <c r="D75" s="89"/>
      <c r="E75" s="89"/>
    </row>
    <row r="76" spans="2:5" x14ac:dyDescent="0.2">
      <c r="B76" s="62" t="s">
        <v>71</v>
      </c>
      <c r="C76" s="64"/>
      <c r="D76" s="64"/>
      <c r="E76" s="65"/>
    </row>
    <row r="77" spans="2:5" x14ac:dyDescent="0.2">
      <c r="B77" s="63"/>
      <c r="C77" s="89" t="s">
        <v>78</v>
      </c>
      <c r="D77" s="89"/>
      <c r="E77" s="89"/>
    </row>
    <row r="78" spans="2:5" x14ac:dyDescent="0.2">
      <c r="B78" s="62" t="s">
        <v>72</v>
      </c>
      <c r="C78" s="60"/>
      <c r="D78" s="60"/>
      <c r="E78" s="61"/>
    </row>
    <row r="79" spans="2:5" ht="13.5" thickBot="1" x14ac:dyDescent="0.25">
      <c r="B79" s="66"/>
      <c r="C79" s="86"/>
      <c r="D79" s="86"/>
      <c r="E79" s="86"/>
    </row>
    <row r="81" spans="2:5" ht="13.5" thickBot="1" x14ac:dyDescent="0.25"/>
    <row r="82" spans="2:5" ht="37.5" customHeight="1" x14ac:dyDescent="0.2">
      <c r="B82" s="56" t="s">
        <v>83</v>
      </c>
      <c r="C82" s="57"/>
      <c r="D82" s="57"/>
      <c r="E82" s="58"/>
    </row>
    <row r="83" spans="2:5" x14ac:dyDescent="0.2">
      <c r="B83" s="59"/>
      <c r="C83" s="60"/>
      <c r="D83" s="60"/>
      <c r="E83" s="61"/>
    </row>
    <row r="84" spans="2:5" x14ac:dyDescent="0.2">
      <c r="B84" s="62" t="s">
        <v>69</v>
      </c>
      <c r="C84" s="60"/>
      <c r="D84" s="60"/>
      <c r="E84" s="61"/>
    </row>
    <row r="85" spans="2:5" ht="24.75" customHeight="1" x14ac:dyDescent="0.2">
      <c r="B85" s="62"/>
      <c r="C85" s="81" t="s">
        <v>88</v>
      </c>
      <c r="D85" s="81"/>
      <c r="E85" s="82"/>
    </row>
    <row r="86" spans="2:5" x14ac:dyDescent="0.2">
      <c r="B86" s="62" t="s">
        <v>75</v>
      </c>
      <c r="C86" s="60"/>
      <c r="D86" s="60"/>
      <c r="E86" s="61"/>
    </row>
    <row r="87" spans="2:5" ht="37.5" customHeight="1" x14ac:dyDescent="0.2">
      <c r="B87" s="63"/>
      <c r="C87" s="90" t="s">
        <v>76</v>
      </c>
      <c r="D87" s="90"/>
      <c r="E87" s="89"/>
    </row>
    <row r="88" spans="2:5" ht="91.5" customHeight="1" x14ac:dyDescent="0.2">
      <c r="B88" s="63"/>
      <c r="C88" s="87" t="s">
        <v>77</v>
      </c>
      <c r="D88" s="87"/>
      <c r="E88" s="88"/>
    </row>
    <row r="89" spans="2:5" x14ac:dyDescent="0.2">
      <c r="B89" s="62" t="s">
        <v>70</v>
      </c>
      <c r="C89" s="60"/>
      <c r="D89" s="60"/>
      <c r="E89" s="61"/>
    </row>
    <row r="90" spans="2:5" ht="23.25" customHeight="1" x14ac:dyDescent="0.2">
      <c r="B90" s="63"/>
      <c r="C90" s="89" t="s">
        <v>89</v>
      </c>
      <c r="D90" s="89"/>
      <c r="E90" s="89"/>
    </row>
    <row r="91" spans="2:5" x14ac:dyDescent="0.2">
      <c r="B91" s="62" t="s">
        <v>71</v>
      </c>
      <c r="C91" s="64"/>
      <c r="D91" s="64"/>
      <c r="E91" s="65"/>
    </row>
    <row r="92" spans="2:5" x14ac:dyDescent="0.2">
      <c r="B92" s="63"/>
      <c r="C92" s="89" t="s">
        <v>78</v>
      </c>
      <c r="D92" s="89"/>
      <c r="E92" s="89"/>
    </row>
    <row r="93" spans="2:5" x14ac:dyDescent="0.2">
      <c r="B93" s="62" t="s">
        <v>72</v>
      </c>
      <c r="C93" s="60"/>
      <c r="D93" s="60"/>
      <c r="E93" s="61"/>
    </row>
    <row r="94" spans="2:5" ht="13.5" thickBot="1" x14ac:dyDescent="0.25">
      <c r="B94" s="66"/>
      <c r="C94" s="86"/>
      <c r="D94" s="86"/>
      <c r="E94" s="86"/>
    </row>
  </sheetData>
  <mergeCells count="39">
    <mergeCell ref="C90:E90"/>
    <mergeCell ref="C92:E92"/>
    <mergeCell ref="C94:E94"/>
    <mergeCell ref="C73:E73"/>
    <mergeCell ref="C75:E75"/>
    <mergeCell ref="C77:E77"/>
    <mergeCell ref="C79:E79"/>
    <mergeCell ref="C88:E88"/>
    <mergeCell ref="C87:E87"/>
    <mergeCell ref="C85:E85"/>
    <mergeCell ref="C70:E70"/>
    <mergeCell ref="C72:E72"/>
    <mergeCell ref="C55:E55"/>
    <mergeCell ref="C57:E57"/>
    <mergeCell ref="C64:E64"/>
    <mergeCell ref="C49:E49"/>
    <mergeCell ref="C58:E58"/>
    <mergeCell ref="C60:E60"/>
    <mergeCell ref="C62:E62"/>
    <mergeCell ref="C26:E26"/>
    <mergeCell ref="C33:E33"/>
    <mergeCell ref="C27:E27"/>
    <mergeCell ref="C29:E29"/>
    <mergeCell ref="C31:E31"/>
    <mergeCell ref="C40:E40"/>
    <mergeCell ref="C42:E42"/>
    <mergeCell ref="C43:E43"/>
    <mergeCell ref="C45:E45"/>
    <mergeCell ref="C47:E47"/>
    <mergeCell ref="C24:E24"/>
    <mergeCell ref="B16:E16"/>
    <mergeCell ref="B17:E17"/>
    <mergeCell ref="A6:B6"/>
    <mergeCell ref="A7:B7"/>
    <mergeCell ref="B2:H2"/>
    <mergeCell ref="A4:B4"/>
    <mergeCell ref="C4:E4"/>
    <mergeCell ref="A5:B5"/>
    <mergeCell ref="C5:E5"/>
  </mergeCells>
  <pageMargins left="0.31496062992125984" right="0.11811023622047245" top="0.15748031496062992" bottom="0.15748031496062992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zoomScale="70" zoomScaleNormal="70" workbookViewId="0">
      <selection activeCell="O8" sqref="O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3.28515625" style="2" customWidth="1"/>
    <col min="10" max="10" width="11.5703125" style="2" customWidth="1"/>
    <col min="11" max="11" width="46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1" t="s">
        <v>97</v>
      </c>
      <c r="B1" s="91"/>
      <c r="C1" s="91"/>
      <c r="D1" s="91"/>
      <c r="E1" s="91"/>
      <c r="F1" s="91"/>
      <c r="G1" s="91"/>
      <c r="H1" s="91"/>
      <c r="I1" s="91"/>
      <c r="J1" s="3" t="s">
        <v>14</v>
      </c>
      <c r="K1" s="67" t="s">
        <v>99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2" t="s">
        <v>47</v>
      </c>
      <c r="B3" s="92"/>
      <c r="C3" s="92"/>
      <c r="D3" s="93" t="str">
        <f>'Necesidades Trimestrales'!C4</f>
        <v>40 - Ministerio de Salud</v>
      </c>
      <c r="E3" s="93"/>
      <c r="F3" s="93"/>
      <c r="G3" s="93"/>
      <c r="H3" s="93"/>
      <c r="I3" s="93"/>
      <c r="J3" s="93"/>
      <c r="K3" s="93"/>
    </row>
    <row r="4" spans="1:11" ht="18.75" customHeight="1" thickBot="1" x14ac:dyDescent="0.25">
      <c r="A4" s="94" t="s">
        <v>48</v>
      </c>
      <c r="B4" s="94"/>
      <c r="C4" s="94"/>
      <c r="D4" s="93" t="str">
        <f>'Necesidades Trimestrales'!C5</f>
        <v>23 - Hospital Interzonal San Juan Bautista</v>
      </c>
      <c r="E4" s="93"/>
      <c r="F4" s="93"/>
      <c r="G4" s="93"/>
      <c r="H4" s="93"/>
      <c r="I4" s="93"/>
      <c r="J4" s="93"/>
      <c r="K4" s="93"/>
    </row>
    <row r="5" spans="1:11" ht="18.75" customHeight="1" thickBot="1" x14ac:dyDescent="0.25">
      <c r="A5" s="94" t="s">
        <v>26</v>
      </c>
      <c r="B5" s="94"/>
      <c r="C5" s="94"/>
      <c r="D5" s="93" t="s">
        <v>52</v>
      </c>
      <c r="E5" s="93"/>
      <c r="F5" s="93"/>
      <c r="G5" s="93"/>
      <c r="H5" s="93"/>
      <c r="I5" s="93"/>
      <c r="J5" s="93"/>
      <c r="K5" s="93"/>
    </row>
    <row r="6" spans="1:11" ht="16.5" customHeight="1" thickBot="1" x14ac:dyDescent="0.25">
      <c r="A6" s="92" t="s">
        <v>49</v>
      </c>
      <c r="B6" s="92"/>
      <c r="C6" s="92"/>
      <c r="D6" s="93" t="s">
        <v>95</v>
      </c>
      <c r="E6" s="93"/>
      <c r="F6" s="93"/>
      <c r="G6" s="93"/>
      <c r="H6" s="93"/>
      <c r="I6" s="93"/>
      <c r="J6" s="93"/>
      <c r="K6" s="93"/>
    </row>
    <row r="7" spans="1:11" ht="16.5" customHeight="1" x14ac:dyDescent="0.2">
      <c r="A7" s="94" t="s">
        <v>15</v>
      </c>
      <c r="B7" s="94"/>
      <c r="C7" s="94"/>
      <c r="D7" s="93" t="str">
        <f>'Necesidades Trimestrales'!C7 &amp; "° Trimestre - Año " &amp; 'Necesidades Trimestrales'!C6</f>
        <v>4° Trimestre - Año 2022</v>
      </c>
      <c r="E7" s="93"/>
      <c r="F7" s="93"/>
      <c r="G7" s="93"/>
      <c r="H7" s="93"/>
      <c r="I7" s="93"/>
      <c r="J7" s="93"/>
      <c r="K7" s="93"/>
    </row>
    <row r="8" spans="1:11" ht="16.5" customHeight="1" x14ac:dyDescent="0.2">
      <c r="A8" s="96" t="s">
        <v>16</v>
      </c>
      <c r="B8" s="96"/>
      <c r="C8" s="96"/>
      <c r="D8" s="97" t="s">
        <v>94</v>
      </c>
      <c r="E8" s="97"/>
      <c r="F8" s="97"/>
      <c r="G8" s="97"/>
      <c r="H8" s="97"/>
      <c r="I8" s="97"/>
      <c r="J8" s="97"/>
      <c r="K8" s="9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8" t="s">
        <v>17</v>
      </c>
      <c r="B10" s="99" t="s">
        <v>18</v>
      </c>
      <c r="C10" s="99" t="s">
        <v>19</v>
      </c>
      <c r="D10" s="99"/>
      <c r="E10" s="99"/>
      <c r="F10" s="99"/>
      <c r="G10" s="99"/>
      <c r="H10" s="99" t="s">
        <v>20</v>
      </c>
      <c r="I10" s="99" t="s">
        <v>21</v>
      </c>
      <c r="J10" s="99" t="s">
        <v>22</v>
      </c>
      <c r="K10" s="100" t="s">
        <v>23</v>
      </c>
    </row>
    <row r="11" spans="1:11" ht="24" customHeight="1" thickBot="1" x14ac:dyDescent="0.25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1" ht="36" customHeight="1" thickBot="1" x14ac:dyDescent="0.25">
      <c r="A12" s="8">
        <v>1</v>
      </c>
      <c r="B12" s="43" t="str">
        <f>'Necesidades Trimestrales'!B10</f>
        <v>2.1.1-669.27</v>
      </c>
      <c r="C12" s="101" t="str">
        <f>'Necesidades Trimestrales'!E10</f>
        <v>PANES; TIPO: MIÑON, PRESENTACION: GRANEL</v>
      </c>
      <c r="D12" s="101"/>
      <c r="E12" s="101"/>
      <c r="F12" s="101"/>
      <c r="G12" s="101"/>
      <c r="H12" s="44" t="s">
        <v>93</v>
      </c>
      <c r="I12" s="45" t="str">
        <f>'Necesidades Trimestrales'!F10</f>
        <v>KG</v>
      </c>
      <c r="J12" s="55">
        <f>'Necesidades Trimestrales'!H10</f>
        <v>373</v>
      </c>
      <c r="K12" s="46">
        <f>'Necesidades Trimestrales'!G10</f>
        <v>3000</v>
      </c>
    </row>
    <row r="13" spans="1:11" ht="36" customHeight="1" thickBot="1" x14ac:dyDescent="0.25">
      <c r="A13" s="8">
        <v>2</v>
      </c>
      <c r="B13" s="43" t="str">
        <f>'Necesidades Trimestrales'!B11</f>
        <v>2.1.1-669.51</v>
      </c>
      <c r="C13" s="101" t="str">
        <f>'Necesidades Trimestrales'!E11</f>
        <v>PANES; TIPO: FRANCES, PRESENTACION: UNIDAD</v>
      </c>
      <c r="D13" s="101"/>
      <c r="E13" s="101"/>
      <c r="F13" s="101"/>
      <c r="G13" s="101"/>
      <c r="H13" s="44" t="s">
        <v>93</v>
      </c>
      <c r="I13" s="45" t="str">
        <f>'Necesidades Trimestrales'!F11</f>
        <v>UNIDAD</v>
      </c>
      <c r="J13" s="55">
        <f>'Necesidades Trimestrales'!H11</f>
        <v>80</v>
      </c>
      <c r="K13" s="46">
        <f>'Necesidades Trimestrales'!G11</f>
        <v>17000</v>
      </c>
    </row>
    <row r="14" spans="1:11" ht="36" customHeight="1" thickBot="1" x14ac:dyDescent="0.25">
      <c r="A14" s="8">
        <v>3</v>
      </c>
      <c r="B14" s="43" t="str">
        <f>'Necesidades Trimestrales'!B12</f>
        <v>2.1.1-669.1</v>
      </c>
      <c r="C14" s="101" t="str">
        <f>'Necesidades Trimestrales'!E12</f>
        <v>PANES; PRESENTACION: GRANEL, TIPO: SALVADO</v>
      </c>
      <c r="D14" s="101"/>
      <c r="E14" s="101"/>
      <c r="F14" s="101"/>
      <c r="G14" s="101"/>
      <c r="H14" s="44" t="s">
        <v>93</v>
      </c>
      <c r="I14" s="45" t="str">
        <f>'Necesidades Trimestrales'!F12</f>
        <v>UNIDAD</v>
      </c>
      <c r="J14" s="55">
        <f>'Necesidades Trimestrales'!H12</f>
        <v>90</v>
      </c>
      <c r="K14" s="46">
        <f>'Necesidades Trimestrales'!G12</f>
        <v>9000</v>
      </c>
    </row>
    <row r="15" spans="1:11" ht="36" customHeight="1" thickBot="1" x14ac:dyDescent="0.25">
      <c r="A15" s="8">
        <v>4</v>
      </c>
      <c r="B15" s="43" t="str">
        <f>'Necesidades Trimestrales'!B13</f>
        <v>2.1.1-669.37</v>
      </c>
      <c r="C15" s="101" t="str">
        <f>'Necesidades Trimestrales'!E13</f>
        <v>PANES; TIPO: RALLADO, PRESENTACION: BOLSA X 5 Kg</v>
      </c>
      <c r="D15" s="101"/>
      <c r="E15" s="101"/>
      <c r="F15" s="101"/>
      <c r="G15" s="101"/>
      <c r="H15" s="44" t="s">
        <v>93</v>
      </c>
      <c r="I15" s="45" t="str">
        <f>'Necesidades Trimestrales'!F13</f>
        <v xml:space="preserve">BOLSA </v>
      </c>
      <c r="J15" s="55">
        <f>'Necesidades Trimestrales'!H13</f>
        <v>1358</v>
      </c>
      <c r="K15" s="46">
        <f>'Necesidades Trimestrales'!G13</f>
        <v>50</v>
      </c>
    </row>
    <row r="16" spans="1:11" ht="36" customHeight="1" thickBot="1" x14ac:dyDescent="0.25">
      <c r="A16" s="8">
        <v>5</v>
      </c>
      <c r="B16" s="43" t="str">
        <f>'Necesidades Trimestrales'!B14</f>
        <v>2.1.1-2430.1</v>
      </c>
      <c r="C16" s="101" t="str">
        <f>'Necesidades Trimestrales'!E14</f>
        <v>PREPIZZA; GUSTO: TOMATE, TAMAÑO: MEDIANO</v>
      </c>
      <c r="D16" s="101"/>
      <c r="E16" s="101"/>
      <c r="F16" s="101"/>
      <c r="G16" s="101"/>
      <c r="H16" s="44" t="s">
        <v>93</v>
      </c>
      <c r="I16" s="45" t="str">
        <f>'Necesidades Trimestrales'!F14</f>
        <v>UNIDAD</v>
      </c>
      <c r="J16" s="55">
        <f>'Necesidades Trimestrales'!H14</f>
        <v>140</v>
      </c>
      <c r="K16" s="46">
        <f>'Necesidades Trimestrales'!G14</f>
        <v>300</v>
      </c>
    </row>
    <row r="17" spans="1:1024" ht="30" customHeight="1" thickBot="1" x14ac:dyDescent="0.25">
      <c r="A17" s="102" t="s">
        <v>96</v>
      </c>
      <c r="B17" s="102"/>
      <c r="C17" s="102"/>
      <c r="D17" s="102"/>
      <c r="E17" s="102"/>
      <c r="F17" s="102"/>
      <c r="G17" s="102"/>
      <c r="H17" s="102"/>
      <c r="I17" s="102"/>
      <c r="J17" s="95">
        <f>SUMPRODUCT(J12:J16,K12:K16)</f>
        <v>3398900</v>
      </c>
      <c r="K17" s="95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</sheetData>
  <mergeCells count="27">
    <mergeCell ref="J17:K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4:G14"/>
    <mergeCell ref="C15:G15"/>
    <mergeCell ref="C16:G16"/>
    <mergeCell ref="A17:I17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6" bottom="0.61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13" zoomScale="130" zoomScaleNormal="130" workbookViewId="0">
      <selection activeCell="A24" sqref="A24:Q2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3" t="s">
        <v>3</v>
      </c>
      <c r="B1" s="103"/>
      <c r="C1" s="103"/>
      <c r="D1" s="104">
        <f>'Necesidades Trimestrales'!C6</f>
        <v>2022</v>
      </c>
      <c r="E1" s="104"/>
      <c r="F1" s="10"/>
      <c r="G1" s="10"/>
      <c r="H1" s="11"/>
      <c r="I1" s="11"/>
      <c r="J1" s="11"/>
      <c r="K1" s="11"/>
      <c r="L1" s="11"/>
      <c r="M1" s="11"/>
      <c r="N1" s="11"/>
      <c r="P1" s="105" t="s">
        <v>24</v>
      </c>
      <c r="Q1" s="10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5"/>
      <c r="Q2" s="105"/>
    </row>
    <row r="4" spans="1:17" s="12" customFormat="1" ht="18" customHeight="1" thickBot="1" x14ac:dyDescent="0.25">
      <c r="A4" s="106" t="s">
        <v>25</v>
      </c>
      <c r="B4" s="106"/>
      <c r="C4" s="106"/>
      <c r="D4" s="106"/>
      <c r="E4" s="106"/>
      <c r="F4" s="106"/>
      <c r="G4" s="107" t="str">
        <f>NotaPedido!D3</f>
        <v>40 - Ministerio de Salud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1:17" s="12" customFormat="1" ht="18" customHeight="1" thickBot="1" x14ac:dyDescent="0.25">
      <c r="A5" s="108" t="s">
        <v>48</v>
      </c>
      <c r="B5" s="109"/>
      <c r="C5" s="109"/>
      <c r="D5" s="109"/>
      <c r="E5" s="109"/>
      <c r="F5" s="110"/>
      <c r="G5" s="107" t="str">
        <f>NotaPedido!D4</f>
        <v>23 - Hospital Interzonal San Juan Bautista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s="12" customFormat="1" ht="18" customHeight="1" thickBot="1" x14ac:dyDescent="0.25">
      <c r="A6" s="108" t="s">
        <v>26</v>
      </c>
      <c r="B6" s="109"/>
      <c r="C6" s="109"/>
      <c r="D6" s="109"/>
      <c r="E6" s="109"/>
      <c r="F6" s="110"/>
      <c r="G6" s="107" t="str">
        <f>NotaPedido!D5</f>
        <v>168 - Direccion Asistencial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 s="12" customFormat="1" ht="18" customHeight="1" thickBot="1" x14ac:dyDescent="0.25">
      <c r="A7" s="108" t="s">
        <v>49</v>
      </c>
      <c r="B7" s="109"/>
      <c r="C7" s="109"/>
      <c r="D7" s="109"/>
      <c r="E7" s="109"/>
      <c r="F7" s="110"/>
      <c r="G7" s="107" t="str">
        <f>NotaPedido!D6</f>
        <v>Servicio de Nutrición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</row>
    <row r="8" spans="1:17" ht="18" customHeight="1" thickBot="1" x14ac:dyDescent="0.25">
      <c r="A8" s="111" t="s">
        <v>27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</row>
    <row r="9" spans="1:17" ht="18" customHeight="1" x14ac:dyDescent="0.2">
      <c r="A9" s="112" t="s">
        <v>28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13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DOCFI-2022-02170488-CAT-DASIS#HSJB,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4" t="s">
        <v>29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x14ac:dyDescent="0.2">
      <c r="A13" s="115" t="s">
        <v>30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31</v>
      </c>
      <c r="P13" s="116"/>
      <c r="Q13" s="117" t="s">
        <v>32</v>
      </c>
    </row>
    <row r="14" spans="1:17" ht="15.75" customHeight="1" x14ac:dyDescent="0.2">
      <c r="A14" s="18" t="s">
        <v>33</v>
      </c>
      <c r="B14" s="19" t="s">
        <v>34</v>
      </c>
      <c r="C14" s="19" t="s">
        <v>35</v>
      </c>
      <c r="D14" s="19" t="s">
        <v>36</v>
      </c>
      <c r="E14" s="19" t="s">
        <v>37</v>
      </c>
      <c r="F14" s="19" t="s">
        <v>38</v>
      </c>
      <c r="G14" s="20" t="s">
        <v>39</v>
      </c>
      <c r="H14" s="19" t="s">
        <v>40</v>
      </c>
      <c r="I14" s="19" t="s">
        <v>41</v>
      </c>
      <c r="J14" s="19" t="s">
        <v>42</v>
      </c>
      <c r="K14" s="19" t="s">
        <v>42</v>
      </c>
      <c r="L14" s="19" t="s">
        <v>43</v>
      </c>
      <c r="M14" s="21" t="s">
        <v>44</v>
      </c>
      <c r="N14" s="22" t="s">
        <v>45</v>
      </c>
      <c r="O14" s="116"/>
      <c r="P14" s="116"/>
      <c r="Q14" s="117"/>
    </row>
    <row r="15" spans="1:17" ht="17.25" customHeight="1" x14ac:dyDescent="0.2">
      <c r="A15" s="49">
        <v>33</v>
      </c>
      <c r="B15" s="50"/>
      <c r="C15" s="50"/>
      <c r="D15" s="50">
        <v>2</v>
      </c>
      <c r="E15" s="50"/>
      <c r="F15" s="50">
        <v>4901</v>
      </c>
      <c r="G15" s="50">
        <v>3</v>
      </c>
      <c r="H15" s="51" t="s">
        <v>53</v>
      </c>
      <c r="I15" s="52">
        <v>2</v>
      </c>
      <c r="J15" s="52">
        <v>1</v>
      </c>
      <c r="K15" s="52">
        <v>1</v>
      </c>
      <c r="L15" s="50"/>
      <c r="M15" s="53">
        <v>1</v>
      </c>
      <c r="N15" s="51" t="s">
        <v>54</v>
      </c>
      <c r="O15" s="118" t="s">
        <v>68</v>
      </c>
      <c r="P15" s="118"/>
      <c r="Q15" s="76">
        <v>3398900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47"/>
      <c r="I16" s="24"/>
      <c r="J16" s="24"/>
      <c r="K16" s="24"/>
      <c r="L16" s="24"/>
      <c r="M16" s="25"/>
      <c r="N16" s="48"/>
      <c r="O16" s="119"/>
      <c r="P16" s="119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47"/>
      <c r="I17" s="24"/>
      <c r="J17" s="24"/>
      <c r="K17" s="24"/>
      <c r="L17" s="24"/>
      <c r="M17" s="25"/>
      <c r="N17" s="48"/>
      <c r="O17" s="119"/>
      <c r="P17" s="119"/>
      <c r="Q17" s="27"/>
      <c r="S17" s="54"/>
    </row>
    <row r="18" spans="1:19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25"/>
      <c r="P18" s="125"/>
      <c r="Q18" s="27"/>
    </row>
    <row r="19" spans="1:19" ht="17.25" customHeight="1" x14ac:dyDescent="0.2">
      <c r="A19" s="28"/>
      <c r="B19" s="29"/>
      <c r="C19" s="29"/>
      <c r="D19" s="29"/>
      <c r="E19" s="29"/>
      <c r="F19" s="30"/>
      <c r="G19" s="29"/>
      <c r="H19" s="29"/>
      <c r="I19" s="29"/>
      <c r="J19" s="29"/>
      <c r="K19" s="29"/>
      <c r="L19" s="29"/>
      <c r="M19" s="31"/>
      <c r="N19" s="32"/>
      <c r="O19" s="126"/>
      <c r="P19" s="126"/>
      <c r="Q19" s="27"/>
      <c r="R19" s="1"/>
    </row>
    <row r="20" spans="1:19" ht="17.25" customHeigh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5"/>
      <c r="N20" s="34"/>
      <c r="O20" s="127"/>
      <c r="P20" s="127"/>
      <c r="Q20" s="36"/>
    </row>
    <row r="21" spans="1:19" ht="31.9" customHeight="1" x14ac:dyDescent="0.2">
      <c r="A21" s="128" t="s">
        <v>98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77">
        <f>+Q15</f>
        <v>3398900</v>
      </c>
    </row>
    <row r="22" spans="1:19" ht="18" customHeight="1" thickBot="1" x14ac:dyDescent="0.25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</row>
    <row r="23" spans="1:19" ht="17.25" customHeight="1" thickBot="1" x14ac:dyDescent="0.25">
      <c r="A23" s="120" t="s">
        <v>46</v>
      </c>
      <c r="B23" s="121"/>
      <c r="C23" s="121"/>
      <c r="D23" s="121"/>
      <c r="E23" s="121"/>
      <c r="F23" s="122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</row>
    <row r="24" spans="1:19" ht="18" customHeight="1" thickBot="1" x14ac:dyDescent="0.25">
      <c r="A24" s="124" t="str">
        <f>"Para la "&amp; NotaPedido!D8 &amp;" para ser destinados al " &amp; NotaPedido!D6 &amp;" del HISJB del Ministerio de Salud."</f>
        <v>Para la Adquisición de Productos de Panaderia  para ser destinados al Servicio de Nutrición del HISJB del Ministerio de Salud.</v>
      </c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</row>
    <row r="25" spans="1:19" ht="15" customHeight="1" x14ac:dyDescent="0.2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2022-06-16T11:09:21Z</cp:lastPrinted>
  <dcterms:created xsi:type="dcterms:W3CDTF">2020-07-17T23:44:49Z</dcterms:created>
  <dcterms:modified xsi:type="dcterms:W3CDTF">2022-11-09T11:10:42Z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