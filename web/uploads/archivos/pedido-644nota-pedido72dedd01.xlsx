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119" i="2" l="1"/>
  <c r="I99" i="1" l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98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<sst xmlns="http://schemas.openxmlformats.org/spreadsheetml/2006/main" count="574" uniqueCount="193">
  <si>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</si>
  <si>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</si>
  <si>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</si>
  <si>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</si>
  <si>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</si>
  <si>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</si>
  <si>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</si>
  <si>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</si>
  <si>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</si>
  <si>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</si>
  <si>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</si>
  <si>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</si>
  <si>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</si>
  <si>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</si>
  <si>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</si>
  <si>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</si>
  <si>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</si>
  <si>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</si>
  <si>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</si>
  <si>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</si>
  <si>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</si>
  <si>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</si>
  <si>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</si>
  <si>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</si>
  <si>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</si>
  <si>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</si>
  <si>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</si>
  <si>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</si>
  <si>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</si>
  <si>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</si>
  <si>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</si>
  <si>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</si>
  <si>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</si>
  <si>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</si>
  <si>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</si>
  <si>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</si>
  <si>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</si>
  <si>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</si>
  <si>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</si>
  <si>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</si>
  <si>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</si>
  <si>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</si>
  <si>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</si>
  <si>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</si>
  <si>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</si>
  <si>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</si>
  <si>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</si>
  <si>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</si>
  <si>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</si>
  <si>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</si>
  <si>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</si>
  <si>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</si>
  <si>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</si>
  <si>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</si>
  <si>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</si>
  <si>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</si>
  <si>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</si>
  <si>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</si>
  <si>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</si>
  <si>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</si>
  <si>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</si>
  <si>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</si>
  <si>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</si>
  <si>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</si>
  <si>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</si>
  <si>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Adquisición de Medicamentos </t>
  </si>
  <si>
    <t xml:space="preserve">PRODUC. FARMAC. Y MEDICINALES </t>
  </si>
  <si>
    <t>ACIDO AMINOCAPROICO 2G AMPOLLA</t>
  </si>
  <si>
    <t>UNIDAD</t>
  </si>
  <si>
    <t>ACIDO FOLICO 5 MG COMPRIMIDOS</t>
  </si>
  <si>
    <t>ACIDO POLIACRILICO 0,2% GEL x 10 GRS</t>
  </si>
  <si>
    <t>ENVASE</t>
  </si>
  <si>
    <t>ADENOSINA 6 MG AMPOLLA</t>
  </si>
  <si>
    <t>ADRENALINA  1MG/ML AMPOLLA DE 1 ML</t>
  </si>
  <si>
    <t>AGUA DESTILADA DE IRRIGACION QUIRURGICA X 2000 ML SACHET</t>
  </si>
  <si>
    <t>AMIODARONA 150 MG AMPOLLA X 3ML</t>
  </si>
  <si>
    <t>AMLODIPINA 10 MG COMPRIMIDO</t>
  </si>
  <si>
    <t>ATORVASTATINA 10 MG COMPRIMIDO</t>
  </si>
  <si>
    <t>ATROPINA 1MG AMPOLLA</t>
  </si>
  <si>
    <t>AMPOLLA</t>
  </si>
  <si>
    <t>BICARBONATO 1 MOLAR SACHET X 100 ML</t>
  </si>
  <si>
    <t>BUTIL BROMURO DE HIOSCINA 20 MG INY</t>
  </si>
  <si>
    <t>BUTIL BROMURO DE HIOSCINA 20MG + DIPIRONA AMPOLLA</t>
  </si>
  <si>
    <t>CARBON ACTIVADO POLVO x 1kg</t>
  </si>
  <si>
    <t>CARBONATO CALCIO 500 MG COMPRIMIDO</t>
  </si>
  <si>
    <t>COMPRIMIDO</t>
  </si>
  <si>
    <t>CARVEDILOL 12,5 MG COMPRIMIDO</t>
  </si>
  <si>
    <t xml:space="preserve">CICLOPENTOLATO 1%X 5ML </t>
  </si>
  <si>
    <t>GOTERO</t>
  </si>
  <si>
    <t>CLONAZEPAM 0,5 MG COMPRIMIDOS</t>
  </si>
  <si>
    <t>CLONAZEPAM 2 MG COMPRIMIDOS</t>
  </si>
  <si>
    <t>CLOPIDOGREL 75 MG COMPRIMIDO</t>
  </si>
  <si>
    <t>CLORPROMAZINA 25MG  AMPOLLA IM</t>
  </si>
  <si>
    <t>CLORPROMAZINA 50MG  AMPOLLA EV</t>
  </si>
  <si>
    <t>CREMA DE BISMUTO X 90 ML</t>
  </si>
  <si>
    <t>FRASCO</t>
  </si>
  <si>
    <t>DIAZEPAM 10 MG COMPRIMIDO</t>
  </si>
  <si>
    <t>DIFENILHIDRAMINA 10MG AMPOLLAS</t>
  </si>
  <si>
    <t>DIGOXINA 0,25 MG AMPOLLA</t>
  </si>
  <si>
    <t>DIGOXINA 0,25 MG COMPRIDO</t>
  </si>
  <si>
    <t>ENALAPRIL 10 MG COMPRIMIDO</t>
  </si>
  <si>
    <t>ESPIRONOLACTONA 100 MG COMPRIMIDO</t>
  </si>
  <si>
    <t>ETILEFRINA  CLORHIDRATO  5% AMPOLLA X 1 ML</t>
  </si>
  <si>
    <t>FENITOINA 100 MG COMPRIMIDO</t>
  </si>
  <si>
    <t>FENOBARBITAL 100MG COMPRIMIDO</t>
  </si>
  <si>
    <t>FILGRASTIN 300 MCG AMPOLLA</t>
  </si>
  <si>
    <t>FLUORESCEINA SODICA O,25% COLIRIO</t>
  </si>
  <si>
    <t>FOSFATO  SODICO TIPO FOSFODON X 100 ML</t>
  </si>
  <si>
    <t>FUROSEMIDA 40 MG COMPRIMIDO</t>
  </si>
  <si>
    <t>GATIFLOXACINA 0,3 % COLIRIO x 5 ml</t>
  </si>
  <si>
    <t>GLIBENCLAMIDA 5 MG COMPRIMIDO</t>
  </si>
  <si>
    <t>HALOPERIDOL 10 MG COMPRIMIDO</t>
  </si>
  <si>
    <t>2.5.2</t>
  </si>
  <si>
    <t>HALOPERIDOL 2MG/ML GOTAS</t>
  </si>
  <si>
    <t>HALOPERIDOL 5 MG AMPOLLA</t>
  </si>
  <si>
    <t>HIERRO+ACIDO FOLICO+B12 AMPOLLAS TIPO YECTAFER COMPLEX X 5 AMPOLLAS</t>
  </si>
  <si>
    <t>CAJA</t>
  </si>
  <si>
    <t>INSULINA CORRIENTE HUMANA 100 UI FCO AMP 10 ML</t>
  </si>
  <si>
    <t>FRASCO AMPOLLA</t>
  </si>
  <si>
    <t>INSULINA NPH HUMANA 100 UI FCO AMP 10 ML</t>
  </si>
  <si>
    <t>LACTULOSA SUSPENSIÓN X 120 ML</t>
  </si>
  <si>
    <t>LAMOTRIGINA 100MG COMPRIMIDO</t>
  </si>
  <si>
    <t>LEVOMEPROMAZINA 25 MG AMPOLLA</t>
  </si>
  <si>
    <t>LIDOCAINA  2% SIN EPINEFRINA FCO X 5ML</t>
  </si>
  <si>
    <t>LOPERAMIDA 2 MG COMPRIMIDO</t>
  </si>
  <si>
    <t>LORAZEPAM 1 MG COMPRIMIDO</t>
  </si>
  <si>
    <t>LOSARTAN 50 MG COMPRIMIDO</t>
  </si>
  <si>
    <t>METOCLOPRAMIDA AMPOLLA 10 MG X 2 ML</t>
  </si>
  <si>
    <t>NEOSTIGMINA 0,5 MG  AMPOLLA X 1 ML</t>
  </si>
  <si>
    <t xml:space="preserve">NISTATINA 100000 UI/ML X 60 ML SUSPENSIÓN ORAL </t>
  </si>
  <si>
    <t>OLANZAPINA 10MG COMPRIMIDO</t>
  </si>
  <si>
    <t>OMEPRAZOL 20 MG CAPSULAS</t>
  </si>
  <si>
    <t>CAPSULA</t>
  </si>
  <si>
    <t>ONDASESTRON 8 MG AMPOLLA</t>
  </si>
  <si>
    <t>PAROXETINA 20MG COMPRIMIDO</t>
  </si>
  <si>
    <t>PICOSULFATO DE SODIO 75MG GOTAS x 15 ml</t>
  </si>
  <si>
    <t>PREGABALINA 75MG COMPRIMIDO</t>
  </si>
  <si>
    <t>PROPARACAINA CLORHIDRATO 0,5% COLIRIO</t>
  </si>
  <si>
    <t xml:space="preserve">PRODUCT. FARMAC. Y MEDICINALES </t>
  </si>
  <si>
    <t>PROPRANOLOL 40MG COMPRIMIDO</t>
  </si>
  <si>
    <t>QUETIAPINA 100MG COMPRIMIDO</t>
  </si>
  <si>
    <t>RANITIDINA 50 MG AMPOLLA</t>
  </si>
  <si>
    <t>RISPERIDONA 1MG COMPRIMIDO</t>
  </si>
  <si>
    <t>SOLUCION A CONCENTRADO ACIDO PARA HEMODIALISIS , FORMULA GLUCOSADOS Y NO GLUCOSADAS X 10 LITROS TIPO K-DIAL</t>
  </si>
  <si>
    <t>SOLUCION B CONCENTRADO BASICO, FORMULA DE BICARBONATO EN SOLUCION X 10 LITROS TIPO K-DIAL</t>
  </si>
  <si>
    <t>SOLUCION DEXTROSA 50%SACHET X 500ML</t>
  </si>
  <si>
    <t>SOLUCION DEXTROSA AL 10% SACHET DE 500 ML</t>
  </si>
  <si>
    <t>SOLUCION DEXTROSA AL 25% SACHET DE 500 ML</t>
  </si>
  <si>
    <t xml:space="preserve">SOLUCION DEXTROSA AL 5 % SACHET DE 500 ML SISTEMA CERRADO , DOBLE PUERTO DE INYECCION </t>
  </si>
  <si>
    <t>SOLUCION FISIOLOGICA 0,9 % SACHET X 500 ML SISTEMA CERRADO DOBLE PUERTO DE INYECCION</t>
  </si>
  <si>
    <t>SOLUCION GLUCOSADA AL 25 % AMPOLLAS X 10 ML</t>
  </si>
  <si>
    <t>SOLUCION MANITOL DE SACHET 500 ML</t>
  </si>
  <si>
    <t>SOLUCION RINGER LACTATO DE 500 ML</t>
  </si>
  <si>
    <t>SULFATO DE MAGNESIO 25%  AMPOLLAS X 5 ML</t>
  </si>
  <si>
    <t>SULFATO FERROSO 200 MG COMPRIMIDO</t>
  </si>
  <si>
    <t>VASELINA LIQUIDA X 1 LITRO</t>
  </si>
  <si>
    <t>VELANFAXINA 75MG COMPRIMIDO</t>
  </si>
  <si>
    <t>VITAMINA K 10 MG AMPOLLA</t>
  </si>
  <si>
    <t>088 - 2021</t>
  </si>
  <si>
    <t>ACIDO ACETIL SALICILICO 100 MG COMPRIMIDO</t>
  </si>
  <si>
    <t>ALBUMINA HUMANA 20% X 50 ML</t>
  </si>
  <si>
    <t>ALIMENTACION PARENTERAL  DE GRAN VOLUMEN TIPO OLI CLINOMEL/SMOFKABIVEN CENTRAL BOLSA X 1970 ML</t>
  </si>
  <si>
    <t>AMINIFILINA 200 MG AMPOLLA</t>
  </si>
  <si>
    <t>AMOXICILINA + CLAVULANICO 1 G COMPRIMIDO</t>
  </si>
  <si>
    <t xml:space="preserve">BETAMETASONA G 12 MG ( 6 MG ACETATO/6 MG FOSFATO ) AMPOLLA </t>
  </si>
  <si>
    <t>CLARITROMICINA 500 MG COMPRIMIDO</t>
  </si>
  <si>
    <t>CLONIDINA CLORHIDRATO 0,150 MG/ML AMPOLLA X 1 ML</t>
  </si>
  <si>
    <t>COLISTINA 100 MG FCO AMPOLLA</t>
  </si>
  <si>
    <t>COMPLEJO B AMPOLLAS TIPO BECOZYM NF</t>
  </si>
  <si>
    <t>DIAZEPAM 10 MG AMPOLLA</t>
  </si>
  <si>
    <t>DOBUTAMINA 250 mg/ml FRASCO AMPOLLA X 20 ML</t>
  </si>
  <si>
    <t>DOPAMINA 200 MG  AMPOLLA X 5 ML</t>
  </si>
  <si>
    <t>FENOBARBITAL 200MG AMPOLLAS</t>
  </si>
  <si>
    <t>FLUCONAZOL 100 MG COMPRIMIDOS</t>
  </si>
  <si>
    <t>FLUCONAZOL 200 MG SACHET 100 ML</t>
  </si>
  <si>
    <t>GELATINA AL 4% SACHET X 500 ML</t>
  </si>
  <si>
    <t>GENTAMICINA 80 MG AMPOLLA</t>
  </si>
  <si>
    <t>HEPARINA SODICA 5000 UI FCO AMPOLLA X 5 ML</t>
  </si>
  <si>
    <t>ISOPROTERONOL 1 MG AMPOLLA</t>
  </si>
  <si>
    <t>NITROPRUSIATO SODIO 50 MG VIAL</t>
  </si>
  <si>
    <t>NORADRENALINA 4 mg AMPOLLA x 4 ml</t>
  </si>
  <si>
    <t>OMEPRAZOL 40 MG FCO AMP ENDOVENOSO</t>
  </si>
  <si>
    <t>PARACETAMOL 1GR ML FRASCO AMPOLLA</t>
  </si>
  <si>
    <t>PARACETAMOL 500 MG COMPRIMIDO</t>
  </si>
  <si>
    <t>PIPERACILINA 4 GRS + TAZOBACTAM 500 MG FCO AMPOLLA</t>
  </si>
  <si>
    <t>PROPOFOL 1% FCO AMPOLLAS VIAL X 50 ML</t>
  </si>
  <si>
    <t>Especificidades Técnicas:</t>
  </si>
  <si>
    <t xml:space="preserve">15 dias habiles  - Servicio de Farmacia del HISJB Avda. Illia y mariano Moreno en el horario de 08:00 a 12:00 horas de Lunes a Viernes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</si>
  <si>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</si>
  <si>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</si>
  <si>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 xml:space="preserve">PLAZO DE ENTREGA: 15 DIAS HABILES EN EL SERVICIO DE FARMACIA - AVDA. ILLIA Y MARIANO MORENO DE LUNES A VIERNES EN EL HORARIO DE 08:00 A 12:00 HORAS </t>
  </si>
  <si>
    <t>Costo total estimado: veintitres millones setecientos veinte mil ciento setenta y nueve con 60/100.-------</t>
  </si>
  <si>
    <t>TOTAL DE PESOS: VEINTITRES MILLONES SETECIENTOS VEINTE MIL CIENTO SETENTA Y NUEVE CON 60/100.--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</si>
</sst>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name val="Arial"/>
    </font>
    <font>
      <sz val="2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B050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0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1" fillId="5" borderId="14" xfId="0" applyFont="1" applyFill="1" applyBorder="1" applyAlignment="1">
      <alignment horizontal="left" vertical="center" wrapText="1"/>
    </xf>
    <xf numFmtId="0" fontId="0" fillId="6" borderId="48" xfId="0" applyFont="1" applyFill="1" applyBorder="1" applyAlignment="1">
      <alignment horizontal="center" vertical="center" wrapText="1"/>
    </xf>
    <xf numFmtId="0" fontId="14" fillId="6" borderId="48" xfId="0" applyFont="1" applyFill="1" applyBorder="1" applyAlignment="1">
      <alignment horizontal="left" vertical="center"/>
    </xf>
    <xf numFmtId="0" fontId="14" fillId="6" borderId="48" xfId="0" applyFont="1" applyFill="1" applyBorder="1" applyAlignment="1">
      <alignment horizontal="center" vertical="center"/>
    </xf>
    <xf numFmtId="3" fontId="14" fillId="6" borderId="48" xfId="0" applyNumberFormat="1" applyFont="1" applyFill="1" applyBorder="1" applyAlignment="1">
      <alignment horizontal="center" vertical="center"/>
    </xf>
    <xf numFmtId="169" fontId="14" fillId="6" borderId="48" xfId="0" applyNumberFormat="1" applyFont="1" applyFill="1" applyBorder="1" applyAlignment="1">
      <alignment horizontal="right" vertical="center"/>
    </xf>
    <xf numFmtId="0" fontId="25" fillId="6" borderId="48" xfId="0" applyFont="1" applyFill="1" applyBorder="1" applyAlignment="1">
      <alignment horizontal="left" vertical="center" wrapText="1"/>
    </xf>
    <xf numFmtId="0" fontId="25" fillId="6" borderId="48" xfId="0" applyFont="1" applyFill="1" applyBorder="1" applyAlignment="1">
      <alignment horizontal="center" vertical="center"/>
    </xf>
    <xf numFmtId="3" fontId="25" fillId="6" borderId="48" xfId="0" applyNumberFormat="1" applyFont="1" applyFill="1" applyBorder="1" applyAlignment="1">
      <alignment horizontal="center" vertical="center"/>
    </xf>
    <xf numFmtId="169" fontId="25" fillId="6" borderId="48" xfId="0" applyNumberFormat="1" applyFont="1" applyFill="1" applyBorder="1" applyAlignment="1">
      <alignment horizontal="center"/>
    </xf>
    <xf numFmtId="0" fontId="0" fillId="6" borderId="48" xfId="0" applyFont="1" applyFill="1" applyBorder="1" applyAlignment="1">
      <alignment horizontal="left"/>
    </xf>
    <xf numFmtId="0" fontId="14" fillId="5" borderId="48" xfId="0" applyFont="1" applyFill="1" applyBorder="1" applyAlignment="1">
      <alignment vertical="center"/>
    </xf>
    <xf numFmtId="0" fontId="14" fillId="5" borderId="48" xfId="0" applyFont="1" applyFill="1" applyBorder="1" applyAlignment="1">
      <alignment horizontal="center" vertical="center" wrapText="1"/>
    </xf>
    <xf numFmtId="0" fontId="14" fillId="5" borderId="48" xfId="0" applyFont="1" applyFill="1" applyBorder="1" applyAlignment="1">
      <alignment horizontal="center" vertical="center"/>
    </xf>
    <xf numFmtId="169" fontId="14" fillId="5" borderId="48" xfId="0" applyNumberFormat="1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wrapText="1"/>
    </xf>
    <xf numFmtId="0" fontId="24" fillId="5" borderId="48" xfId="0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left" vertical="center"/>
    </xf>
    <xf numFmtId="0" fontId="14" fillId="6" borderId="14" xfId="0" applyFont="1" applyFill="1" applyBorder="1" applyAlignment="1">
      <alignment horizontal="center" vertical="center"/>
    </xf>
    <xf numFmtId="3" fontId="14" fillId="6" borderId="14" xfId="0" applyNumberFormat="1" applyFont="1" applyFill="1" applyBorder="1" applyAlignment="1">
      <alignment horizontal="center" vertical="center"/>
    </xf>
    <xf numFmtId="169" fontId="14" fillId="6" borderId="14" xfId="0" applyNumberFormat="1" applyFont="1" applyFill="1" applyBorder="1" applyAlignment="1">
      <alignment horizontal="right" vertical="center"/>
    </xf>
    <xf numFmtId="0" fontId="25" fillId="6" borderId="14" xfId="0" applyFont="1" applyFill="1" applyBorder="1" applyAlignment="1">
      <alignment horizontal="left" vertical="center" wrapText="1"/>
    </xf>
    <xf numFmtId="0" fontId="25" fillId="6" borderId="14" xfId="0" applyFont="1" applyFill="1" applyBorder="1" applyAlignment="1">
      <alignment horizontal="center" vertical="center"/>
    </xf>
    <xf numFmtId="3" fontId="25" fillId="6" borderId="14" xfId="0" applyNumberFormat="1" applyFont="1" applyFill="1" applyBorder="1" applyAlignment="1">
      <alignment horizontal="center" vertical="center"/>
    </xf>
    <xf numFmtId="169" fontId="25" fillId="6" borderId="14" xfId="0" applyNumberFormat="1" applyFont="1" applyFill="1" applyBorder="1" applyAlignment="1">
      <alignment horizontal="center"/>
    </xf>
    <xf numFmtId="0" fontId="14" fillId="6" borderId="14" xfId="0" applyFont="1" applyFill="1" applyBorder="1" applyAlignment="1">
      <alignment wrapText="1"/>
    </xf>
    <xf numFmtId="0" fontId="24" fillId="6" borderId="14" xfId="0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left"/>
    </xf>
    <xf numFmtId="0" fontId="21" fillId="5" borderId="14" xfId="0" applyFont="1" applyFill="1" applyBorder="1" applyAlignment="1">
      <alignment horizontal="center" vertical="center" wrapText="1"/>
    </xf>
    <xf numFmtId="169" fontId="25" fillId="6" borderId="48" xfId="0" applyNumberFormat="1" applyFont="1" applyFill="1" applyBorder="1" applyAlignment="1">
      <alignment horizontal="right" vertical="center"/>
    </xf>
    <xf numFmtId="0" fontId="24" fillId="6" borderId="48" xfId="0" applyFont="1" applyFill="1" applyBorder="1" applyAlignment="1">
      <alignment horizontal="center" vertical="center" wrapText="1"/>
    </xf>
    <xf numFmtId="0" fontId="25" fillId="6" borderId="48" xfId="0" applyFont="1" applyFill="1" applyBorder="1"/>
    <xf numFmtId="3" fontId="14" fillId="6" borderId="50" xfId="0" applyNumberFormat="1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left" vertical="center" wrapText="1"/>
    </xf>
    <xf numFmtId="3" fontId="25" fillId="6" borderId="50" xfId="0" applyNumberFormat="1" applyFont="1" applyFill="1" applyBorder="1" applyAlignment="1">
      <alignment horizontal="center" vertical="center"/>
    </xf>
    <xf numFmtId="0" fontId="14" fillId="6" borderId="49" xfId="0" applyFont="1" applyFill="1" applyBorder="1" applyAlignment="1">
      <alignment wrapText="1"/>
    </xf>
    <xf numFmtId="0" fontId="21" fillId="4" borderId="48" xfId="0" applyFont="1" applyFill="1" applyBorder="1" applyAlignment="1">
      <alignment horizontal="center" vertical="center" wrapText="1"/>
    </xf>
    <xf numFmtId="0" fontId="14" fillId="6" borderId="49" xfId="0" applyFont="1" applyFill="1" applyBorder="1" applyAlignment="1">
      <alignment horizontal="left" vertical="center"/>
    </xf>
    <xf numFmtId="169" fontId="14" fillId="6" borderId="51" xfId="0" applyNumberFormat="1" applyFont="1" applyFill="1" applyBorder="1" applyAlignment="1">
      <alignment horizontal="right" vertical="center"/>
    </xf>
    <xf numFmtId="169" fontId="25" fillId="6" borderId="51" xfId="0" applyNumberFormat="1" applyFont="1" applyFill="1" applyBorder="1" applyAlignment="1">
      <alignment horizontal="right" vertical="center"/>
    </xf>
    <xf numFmtId="0" fontId="0" fillId="7" borderId="48" xfId="0" applyFont="1" applyFill="1" applyBorder="1" applyAlignment="1">
      <alignment horizontal="center" vertical="center" wrapText="1"/>
    </xf>
    <xf numFmtId="0" fontId="14" fillId="7" borderId="48" xfId="0" applyFont="1" applyFill="1" applyBorder="1" applyAlignment="1">
      <alignment horizontal="left"/>
    </xf>
    <xf numFmtId="0" fontId="14" fillId="7" borderId="48" xfId="0" applyFont="1" applyFill="1" applyBorder="1" applyAlignment="1">
      <alignment horizontal="center" vertical="center"/>
    </xf>
    <xf numFmtId="3" fontId="14" fillId="7" borderId="48" xfId="0" applyNumberFormat="1" applyFont="1" applyFill="1" applyBorder="1" applyAlignment="1">
      <alignment horizontal="center" vertical="center"/>
    </xf>
    <xf numFmtId="169" fontId="14" fillId="7" borderId="48" xfId="0" applyNumberFormat="1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left" vertical="center"/>
    </xf>
    <xf numFmtId="0" fontId="0" fillId="8" borderId="48" xfId="0" applyFont="1" applyFill="1" applyBorder="1" applyAlignment="1">
      <alignment horizontal="center" vertical="center" wrapText="1"/>
    </xf>
    <xf numFmtId="0" fontId="14" fillId="7" borderId="48" xfId="0" applyFont="1" applyFill="1" applyBorder="1" applyAlignment="1">
      <alignment horizontal="left" vertical="center" wrapText="1"/>
    </xf>
    <xf numFmtId="0" fontId="0" fillId="7" borderId="48" xfId="0" applyFont="1" applyFill="1" applyBorder="1" applyAlignment="1">
      <alignment horizontal="left" vertical="center" wrapText="1"/>
    </xf>
    <xf numFmtId="0" fontId="14" fillId="7" borderId="48" xfId="0" applyFont="1" applyFill="1" applyBorder="1"/>
    <xf numFmtId="0" fontId="21" fillId="5" borderId="48" xfId="0" applyFont="1" applyFill="1" applyBorder="1" applyAlignment="1">
      <alignment horizontal="center" vertical="center" wrapText="1"/>
    </xf>
    <xf numFmtId="0" fontId="0" fillId="7" borderId="14" xfId="0" applyFont="1" applyFill="1" applyBorder="1" applyAlignment="1">
      <alignment horizontal="center" vertical="center" wrapText="1"/>
    </xf>
    <xf numFmtId="0" fontId="0" fillId="6" borderId="14" xfId="0" applyFont="1" applyFill="1" applyBorder="1" applyAlignment="1">
      <alignment horizontal="center" vertical="center" wrapText="1"/>
    </xf>
    <xf numFmtId="0" fontId="14" fillId="5" borderId="48" xfId="0" applyFont="1" applyFill="1" applyBorder="1" applyAlignment="1">
      <alignment vertical="center" wrapText="1"/>
    </xf>
    <xf numFmtId="0" fontId="14" fillId="6" borderId="48" xfId="0" applyFont="1" applyFill="1" applyBorder="1" applyAlignment="1">
      <alignment vertical="center"/>
    </xf>
    <xf numFmtId="0" fontId="0" fillId="6" borderId="49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vertical="center"/>
    </xf>
    <xf numFmtId="0" fontId="14" fillId="7" borderId="0" xfId="0" applyFont="1" applyFill="1" applyBorder="1" applyAlignment="1">
      <alignment horizontal="left"/>
    </xf>
    <xf numFmtId="0" fontId="14" fillId="7" borderId="14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7" borderId="14" xfId="0" applyFont="1" applyFill="1" applyBorder="1"/>
    <xf numFmtId="0" fontId="0" fillId="6" borderId="48" xfId="0" applyFont="1" applyFill="1" applyBorder="1"/>
    <xf numFmtId="0" fontId="24" fillId="6" borderId="49" xfId="0" applyFont="1" applyFill="1" applyBorder="1" applyAlignment="1">
      <alignment horizontal="left" vertical="center"/>
    </xf>
    <xf numFmtId="0" fontId="14" fillId="7" borderId="49" xfId="0" applyFont="1" applyFill="1" applyBorder="1" applyAlignment="1">
      <alignment horizontal="left" vertical="center"/>
    </xf>
    <xf numFmtId="0" fontId="0" fillId="5" borderId="48" xfId="0" applyFont="1" applyFill="1" applyBorder="1" applyAlignment="1">
      <alignment vertical="center"/>
    </xf>
    <xf numFmtId="0" fontId="14" fillId="7" borderId="49" xfId="0" applyFont="1" applyFill="1" applyBorder="1" applyAlignment="1">
      <alignment horizontal="left" vertical="center" wrapText="1"/>
    </xf>
    <xf numFmtId="0" fontId="25" fillId="6" borderId="49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horizontal="center" vertical="center"/>
    </xf>
    <xf numFmtId="3" fontId="14" fillId="7" borderId="14" xfId="0" applyNumberFormat="1" applyFont="1" applyFill="1" applyBorder="1" applyAlignment="1">
      <alignment horizontal="center" vertical="center"/>
    </xf>
    <xf numFmtId="0" fontId="24" fillId="6" borderId="50" xfId="0" applyFont="1" applyFill="1" applyBorder="1" applyAlignment="1">
      <alignment horizontal="center" vertical="center"/>
    </xf>
    <xf numFmtId="3" fontId="14" fillId="7" borderId="50" xfId="0" applyNumberFormat="1" applyFont="1" applyFill="1" applyBorder="1" applyAlignment="1">
      <alignment horizontal="center" vertical="center"/>
    </xf>
    <xf numFmtId="0" fontId="0" fillId="5" borderId="48" xfId="0" applyFont="1" applyFill="1" applyBorder="1" applyAlignment="1">
      <alignment horizontal="center" vertical="center"/>
    </xf>
    <xf numFmtId="169" fontId="14" fillId="7" borderId="14" xfId="0" applyNumberFormat="1" applyFont="1" applyFill="1" applyBorder="1" applyAlignment="1">
      <alignment horizontal="center" vertical="center"/>
    </xf>
    <xf numFmtId="169" fontId="14" fillId="7" borderId="51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 wrapText="1"/>
    </xf>
    <xf numFmtId="0" fontId="15" fillId="9" borderId="52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7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6"/>
  <sheetViews>
    <sheetView tabSelected="1" topLeftCell="A118" zoomScale="85" zoomScaleNormal="85" workbookViewId="0">
      <selection activeCell="G135" sqref="G13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67" t="s">
        <v>0</v>
      </c>
      <c r="C2" s="167"/>
      <c r="D2" s="167"/>
      <c r="E2" s="167"/>
      <c r="F2" s="167"/>
      <c r="G2" s="167"/>
      <c r="H2" s="167"/>
    </row>
    <row r="4" spans="1:9" ht="18" customHeight="1" x14ac:dyDescent="0.25">
      <c r="A4" s="155" t="s">
        <v>1</v>
      </c>
      <c r="B4" s="155"/>
      <c r="C4" s="168" t="s">
        <v>57</v>
      </c>
      <c r="D4" s="168"/>
      <c r="E4" s="168"/>
      <c r="F4" s="40"/>
      <c r="G4" s="41"/>
      <c r="H4" s="40"/>
    </row>
    <row r="5" spans="1:9" ht="18" customHeight="1" x14ac:dyDescent="0.25">
      <c r="A5" s="155" t="s">
        <v>2</v>
      </c>
      <c r="B5" s="155"/>
      <c r="C5" s="168" t="s">
        <v>58</v>
      </c>
      <c r="D5" s="168"/>
      <c r="E5" s="168"/>
      <c r="F5" s="40"/>
      <c r="G5" s="41"/>
      <c r="H5" s="40"/>
    </row>
    <row r="6" spans="1:9" ht="16.5" customHeight="1" x14ac:dyDescent="0.25">
      <c r="A6" s="155" t="s">
        <v>3</v>
      </c>
      <c r="B6" s="155"/>
      <c r="C6" s="60">
        <v>2021</v>
      </c>
      <c r="D6" s="61"/>
      <c r="E6" s="61"/>
      <c r="F6" s="40"/>
      <c r="G6" s="41"/>
      <c r="H6" s="40"/>
    </row>
    <row r="7" spans="1:9" ht="16.5" customHeight="1" x14ac:dyDescent="0.25">
      <c r="A7" s="155" t="s">
        <v>4</v>
      </c>
      <c r="B7" s="155"/>
      <c r="C7" s="60">
        <v>4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8"/>
      <c r="C10" s="57" t="s">
        <v>66</v>
      </c>
      <c r="D10" s="118" t="s">
        <v>112</v>
      </c>
      <c r="E10" s="119" t="s">
        <v>159</v>
      </c>
      <c r="F10" s="120" t="s">
        <v>85</v>
      </c>
      <c r="G10" s="121">
        <v>2000</v>
      </c>
      <c r="H10" s="122">
        <v>2.5</v>
      </c>
      <c r="I10" s="59">
        <f t="shared" ref="I10:I73" si="0">G10*H10</f>
        <v>5000</v>
      </c>
    </row>
    <row r="11" spans="1:9" ht="31.9" customHeight="1" thickBot="1" x14ac:dyDescent="0.25">
      <c r="A11" s="56">
        <v>2</v>
      </c>
      <c r="B11" s="58"/>
      <c r="C11" s="76" t="s">
        <v>66</v>
      </c>
      <c r="D11" s="77">
        <v>252</v>
      </c>
      <c r="E11" s="78" t="s">
        <v>67</v>
      </c>
      <c r="F11" s="79" t="s">
        <v>68</v>
      </c>
      <c r="G11" s="80">
        <v>900</v>
      </c>
      <c r="H11" s="81">
        <v>218</v>
      </c>
      <c r="I11" s="59">
        <f t="shared" si="0"/>
        <v>196200</v>
      </c>
    </row>
    <row r="12" spans="1:9" ht="31.9" customHeight="1" thickBot="1" x14ac:dyDescent="0.25">
      <c r="A12" s="56">
        <v>3</v>
      </c>
      <c r="B12" s="58"/>
      <c r="C12" s="76" t="s">
        <v>66</v>
      </c>
      <c r="D12" s="77">
        <v>252</v>
      </c>
      <c r="E12" s="78" t="s">
        <v>69</v>
      </c>
      <c r="F12" s="79" t="s">
        <v>68</v>
      </c>
      <c r="G12" s="80">
        <v>3000</v>
      </c>
      <c r="H12" s="81">
        <v>26</v>
      </c>
      <c r="I12" s="59">
        <f t="shared" si="0"/>
        <v>78000</v>
      </c>
    </row>
    <row r="13" spans="1:9" ht="31.9" customHeight="1" thickBot="1" x14ac:dyDescent="0.25">
      <c r="A13" s="56">
        <v>4</v>
      </c>
      <c r="B13" s="58"/>
      <c r="C13" s="76" t="s">
        <v>66</v>
      </c>
      <c r="D13" s="77">
        <v>252</v>
      </c>
      <c r="E13" s="82" t="s">
        <v>70</v>
      </c>
      <c r="F13" s="83" t="s">
        <v>71</v>
      </c>
      <c r="G13" s="84">
        <v>5</v>
      </c>
      <c r="H13" s="85">
        <v>950</v>
      </c>
      <c r="I13" s="59">
        <f t="shared" si="0"/>
        <v>4750</v>
      </c>
    </row>
    <row r="14" spans="1:9" ht="31.9" customHeight="1" thickBot="1" x14ac:dyDescent="0.25">
      <c r="A14" s="56">
        <v>5</v>
      </c>
      <c r="B14" s="58"/>
      <c r="C14" s="76" t="s">
        <v>66</v>
      </c>
      <c r="D14" s="77">
        <v>252</v>
      </c>
      <c r="E14" s="86" t="s">
        <v>72</v>
      </c>
      <c r="F14" s="79" t="s">
        <v>68</v>
      </c>
      <c r="G14" s="80">
        <v>200</v>
      </c>
      <c r="H14" s="81">
        <v>131</v>
      </c>
      <c r="I14" s="59">
        <f t="shared" si="0"/>
        <v>26200</v>
      </c>
    </row>
    <row r="15" spans="1:9" ht="31.9" customHeight="1" thickBot="1" x14ac:dyDescent="0.25">
      <c r="A15" s="56">
        <v>6</v>
      </c>
      <c r="B15" s="58"/>
      <c r="C15" s="76" t="s">
        <v>66</v>
      </c>
      <c r="D15" s="77">
        <v>252</v>
      </c>
      <c r="E15" s="78" t="s">
        <v>73</v>
      </c>
      <c r="F15" s="79" t="s">
        <v>68</v>
      </c>
      <c r="G15" s="80">
        <v>300</v>
      </c>
      <c r="H15" s="81">
        <v>32</v>
      </c>
      <c r="I15" s="59">
        <f t="shared" si="0"/>
        <v>9600</v>
      </c>
    </row>
    <row r="16" spans="1:9" ht="31.9" customHeight="1" thickBot="1" x14ac:dyDescent="0.25">
      <c r="A16" s="56">
        <v>7</v>
      </c>
      <c r="B16" s="58"/>
      <c r="C16" s="76" t="s">
        <v>66</v>
      </c>
      <c r="D16" s="77">
        <v>252</v>
      </c>
      <c r="E16" s="87" t="s">
        <v>74</v>
      </c>
      <c r="F16" s="88" t="s">
        <v>68</v>
      </c>
      <c r="G16" s="89">
        <v>400</v>
      </c>
      <c r="H16" s="90">
        <v>260</v>
      </c>
      <c r="I16" s="59">
        <f t="shared" si="0"/>
        <v>104000</v>
      </c>
    </row>
    <row r="17" spans="1:9" ht="31.9" customHeight="1" thickBot="1" x14ac:dyDescent="0.25">
      <c r="A17" s="56">
        <v>8</v>
      </c>
      <c r="B17" s="58"/>
      <c r="C17" s="57" t="s">
        <v>66</v>
      </c>
      <c r="D17" s="118" t="s">
        <v>112</v>
      </c>
      <c r="E17" s="123" t="s">
        <v>160</v>
      </c>
      <c r="F17" s="120" t="s">
        <v>95</v>
      </c>
      <c r="G17" s="121">
        <v>200</v>
      </c>
      <c r="H17" s="122">
        <v>2800</v>
      </c>
      <c r="I17" s="59">
        <f t="shared" si="0"/>
        <v>560000</v>
      </c>
    </row>
    <row r="18" spans="1:9" ht="31.9" customHeight="1" thickBot="1" x14ac:dyDescent="0.25">
      <c r="A18" s="56">
        <v>9</v>
      </c>
      <c r="B18" s="58"/>
      <c r="C18" s="57" t="s">
        <v>66</v>
      </c>
      <c r="D18" s="124" t="s">
        <v>112</v>
      </c>
      <c r="E18" s="125" t="s">
        <v>161</v>
      </c>
      <c r="F18" s="120" t="s">
        <v>71</v>
      </c>
      <c r="G18" s="121">
        <v>60</v>
      </c>
      <c r="H18" s="122">
        <v>6218</v>
      </c>
      <c r="I18" s="59">
        <f t="shared" si="0"/>
        <v>373080</v>
      </c>
    </row>
    <row r="19" spans="1:9" ht="31.9" customHeight="1" thickBot="1" x14ac:dyDescent="0.25">
      <c r="A19" s="56">
        <v>10</v>
      </c>
      <c r="B19" s="58"/>
      <c r="C19" s="57" t="s">
        <v>66</v>
      </c>
      <c r="D19" s="118" t="s">
        <v>112</v>
      </c>
      <c r="E19" s="123" t="s">
        <v>162</v>
      </c>
      <c r="F19" s="120" t="s">
        <v>85</v>
      </c>
      <c r="G19" s="121">
        <v>100</v>
      </c>
      <c r="H19" s="122">
        <v>68</v>
      </c>
      <c r="I19" s="59">
        <f t="shared" si="0"/>
        <v>6800</v>
      </c>
    </row>
    <row r="20" spans="1:9" ht="31.9" customHeight="1" thickBot="1" x14ac:dyDescent="0.25">
      <c r="A20" s="56">
        <v>11</v>
      </c>
      <c r="B20" s="58"/>
      <c r="C20" s="76" t="s">
        <v>66</v>
      </c>
      <c r="D20" s="77">
        <v>252</v>
      </c>
      <c r="E20" s="78" t="s">
        <v>75</v>
      </c>
      <c r="F20" s="79" t="s">
        <v>68</v>
      </c>
      <c r="G20" s="80">
        <v>300</v>
      </c>
      <c r="H20" s="81">
        <v>9.8000000000000007</v>
      </c>
      <c r="I20" s="59">
        <f t="shared" si="0"/>
        <v>2940</v>
      </c>
    </row>
    <row r="21" spans="1:9" ht="31.9" customHeight="1" thickBot="1" x14ac:dyDescent="0.25">
      <c r="A21" s="56">
        <v>12</v>
      </c>
      <c r="B21" s="58"/>
      <c r="C21" s="76" t="s">
        <v>66</v>
      </c>
      <c r="D21" s="77">
        <v>252</v>
      </c>
      <c r="E21" s="78" t="s">
        <v>76</v>
      </c>
      <c r="F21" s="79" t="s">
        <v>68</v>
      </c>
      <c r="G21" s="80">
        <v>3000</v>
      </c>
      <c r="H21" s="81">
        <v>4.9000000000000004</v>
      </c>
      <c r="I21" s="59">
        <f t="shared" si="0"/>
        <v>14700.000000000002</v>
      </c>
    </row>
    <row r="22" spans="1:9" ht="31.9" customHeight="1" thickBot="1" x14ac:dyDescent="0.25">
      <c r="A22" s="56">
        <v>13</v>
      </c>
      <c r="B22" s="58"/>
      <c r="C22" s="57" t="s">
        <v>66</v>
      </c>
      <c r="D22" s="118" t="s">
        <v>112</v>
      </c>
      <c r="E22" s="126" t="s">
        <v>163</v>
      </c>
      <c r="F22" s="120" t="s">
        <v>85</v>
      </c>
      <c r="G22" s="121">
        <v>200</v>
      </c>
      <c r="H22" s="122">
        <v>28</v>
      </c>
      <c r="I22" s="59">
        <f t="shared" si="0"/>
        <v>5600</v>
      </c>
    </row>
    <row r="23" spans="1:9" ht="31.9" customHeight="1" thickBot="1" x14ac:dyDescent="0.25">
      <c r="A23" s="56">
        <v>14</v>
      </c>
      <c r="B23" s="58"/>
      <c r="C23" s="76" t="s">
        <v>66</v>
      </c>
      <c r="D23" s="77">
        <v>252</v>
      </c>
      <c r="E23" s="78" t="s">
        <v>77</v>
      </c>
      <c r="F23" s="79" t="s">
        <v>68</v>
      </c>
      <c r="G23" s="80">
        <v>450</v>
      </c>
      <c r="H23" s="81">
        <v>4.8</v>
      </c>
      <c r="I23" s="59">
        <f t="shared" si="0"/>
        <v>2160</v>
      </c>
    </row>
    <row r="24" spans="1:9" ht="31.9" customHeight="1" thickBot="1" x14ac:dyDescent="0.25">
      <c r="A24" s="56">
        <v>15</v>
      </c>
      <c r="B24" s="58"/>
      <c r="C24" s="76" t="s">
        <v>66</v>
      </c>
      <c r="D24" s="77">
        <v>252</v>
      </c>
      <c r="E24" s="91" t="s">
        <v>78</v>
      </c>
      <c r="F24" s="92" t="s">
        <v>79</v>
      </c>
      <c r="G24" s="80">
        <v>1000</v>
      </c>
      <c r="H24" s="81">
        <v>32</v>
      </c>
      <c r="I24" s="59">
        <f t="shared" si="0"/>
        <v>32000</v>
      </c>
    </row>
    <row r="25" spans="1:9" ht="31.9" customHeight="1" thickBot="1" x14ac:dyDescent="0.25">
      <c r="A25" s="56">
        <v>16</v>
      </c>
      <c r="B25" s="58"/>
      <c r="C25" s="57" t="s">
        <v>66</v>
      </c>
      <c r="D25" s="118" t="s">
        <v>112</v>
      </c>
      <c r="E25" s="125" t="s">
        <v>164</v>
      </c>
      <c r="F25" s="120" t="s">
        <v>79</v>
      </c>
      <c r="G25" s="121">
        <v>100</v>
      </c>
      <c r="H25" s="122">
        <v>326</v>
      </c>
      <c r="I25" s="59">
        <f t="shared" si="0"/>
        <v>32600</v>
      </c>
    </row>
    <row r="26" spans="1:9" ht="31.9" customHeight="1" thickBot="1" x14ac:dyDescent="0.25">
      <c r="A26" s="56">
        <v>17</v>
      </c>
      <c r="B26" s="58"/>
      <c r="C26" s="76" t="s">
        <v>66</v>
      </c>
      <c r="D26" s="77">
        <v>252</v>
      </c>
      <c r="E26" s="87" t="s">
        <v>80</v>
      </c>
      <c r="F26" s="88" t="s">
        <v>68</v>
      </c>
      <c r="G26" s="89">
        <v>200</v>
      </c>
      <c r="H26" s="90">
        <v>256</v>
      </c>
      <c r="I26" s="59">
        <f t="shared" si="0"/>
        <v>51200</v>
      </c>
    </row>
    <row r="27" spans="1:9" ht="31.9" customHeight="1" thickBot="1" x14ac:dyDescent="0.25">
      <c r="A27" s="56">
        <v>18</v>
      </c>
      <c r="B27" s="58"/>
      <c r="C27" s="76" t="s">
        <v>66</v>
      </c>
      <c r="D27" s="77">
        <v>252</v>
      </c>
      <c r="E27" s="91" t="s">
        <v>81</v>
      </c>
      <c r="F27" s="92" t="s">
        <v>79</v>
      </c>
      <c r="G27" s="80">
        <v>10000</v>
      </c>
      <c r="H27" s="81">
        <v>38</v>
      </c>
      <c r="I27" s="59">
        <f t="shared" si="0"/>
        <v>380000</v>
      </c>
    </row>
    <row r="28" spans="1:9" ht="31.9" customHeight="1" thickBot="1" x14ac:dyDescent="0.25">
      <c r="A28" s="56">
        <v>19</v>
      </c>
      <c r="B28" s="58"/>
      <c r="C28" s="76" t="s">
        <v>66</v>
      </c>
      <c r="D28" s="77">
        <v>252</v>
      </c>
      <c r="E28" s="91" t="s">
        <v>82</v>
      </c>
      <c r="F28" s="93" t="s">
        <v>79</v>
      </c>
      <c r="G28" s="80">
        <v>5000</v>
      </c>
      <c r="H28" s="81">
        <v>65</v>
      </c>
      <c r="I28" s="59">
        <f t="shared" si="0"/>
        <v>325000</v>
      </c>
    </row>
    <row r="29" spans="1:9" ht="31.9" customHeight="1" thickBot="1" x14ac:dyDescent="0.25">
      <c r="A29" s="56">
        <v>20</v>
      </c>
      <c r="B29" s="58"/>
      <c r="C29" s="76" t="s">
        <v>66</v>
      </c>
      <c r="D29" s="77">
        <v>252</v>
      </c>
      <c r="E29" s="91" t="s">
        <v>83</v>
      </c>
      <c r="F29" s="93" t="s">
        <v>68</v>
      </c>
      <c r="G29" s="80">
        <v>2</v>
      </c>
      <c r="H29" s="81">
        <v>2700</v>
      </c>
      <c r="I29" s="59">
        <f t="shared" si="0"/>
        <v>5400</v>
      </c>
    </row>
    <row r="30" spans="1:9" ht="31.9" customHeight="1" thickBot="1" x14ac:dyDescent="0.25">
      <c r="A30" s="56">
        <v>21</v>
      </c>
      <c r="B30" s="58"/>
      <c r="C30" s="76" t="s">
        <v>66</v>
      </c>
      <c r="D30" s="77">
        <v>252</v>
      </c>
      <c r="E30" s="91" t="s">
        <v>84</v>
      </c>
      <c r="F30" s="92" t="s">
        <v>85</v>
      </c>
      <c r="G30" s="80">
        <v>7200</v>
      </c>
      <c r="H30" s="81">
        <v>3.8</v>
      </c>
      <c r="I30" s="59">
        <f t="shared" si="0"/>
        <v>27360</v>
      </c>
    </row>
    <row r="31" spans="1:9" ht="31.9" customHeight="1" thickBot="1" x14ac:dyDescent="0.25">
      <c r="A31" s="56">
        <v>22</v>
      </c>
      <c r="B31" s="58"/>
      <c r="C31" s="76" t="s">
        <v>66</v>
      </c>
      <c r="D31" s="77">
        <v>252</v>
      </c>
      <c r="E31" s="86" t="s">
        <v>86</v>
      </c>
      <c r="F31" s="79" t="s">
        <v>68</v>
      </c>
      <c r="G31" s="80">
        <v>1000</v>
      </c>
      <c r="H31" s="81">
        <v>7.1</v>
      </c>
      <c r="I31" s="59">
        <f t="shared" si="0"/>
        <v>7100</v>
      </c>
    </row>
    <row r="32" spans="1:9" ht="31.9" customHeight="1" thickBot="1" x14ac:dyDescent="0.25">
      <c r="A32" s="56">
        <v>23</v>
      </c>
      <c r="B32" s="58"/>
      <c r="C32" s="76" t="s">
        <v>66</v>
      </c>
      <c r="D32" s="77">
        <v>252</v>
      </c>
      <c r="E32" s="82" t="s">
        <v>87</v>
      </c>
      <c r="F32" s="83" t="s">
        <v>88</v>
      </c>
      <c r="G32" s="84">
        <v>10</v>
      </c>
      <c r="H32" s="85">
        <v>580</v>
      </c>
      <c r="I32" s="59">
        <f t="shared" si="0"/>
        <v>5800</v>
      </c>
    </row>
    <row r="33" spans="1:9" ht="31.9" customHeight="1" thickBot="1" x14ac:dyDescent="0.25">
      <c r="A33" s="56">
        <v>24</v>
      </c>
      <c r="B33" s="58"/>
      <c r="C33" s="57" t="s">
        <v>66</v>
      </c>
      <c r="D33" s="118" t="s">
        <v>112</v>
      </c>
      <c r="E33" s="123" t="s">
        <v>165</v>
      </c>
      <c r="F33" s="120" t="s">
        <v>85</v>
      </c>
      <c r="G33" s="121">
        <v>500</v>
      </c>
      <c r="H33" s="122">
        <v>30.9</v>
      </c>
      <c r="I33" s="59">
        <f t="shared" si="0"/>
        <v>15450</v>
      </c>
    </row>
    <row r="34" spans="1:9" ht="31.9" customHeight="1" thickBot="1" x14ac:dyDescent="0.25">
      <c r="A34" s="56">
        <v>25</v>
      </c>
      <c r="B34" s="58"/>
      <c r="C34" s="76" t="s">
        <v>66</v>
      </c>
      <c r="D34" s="77">
        <v>252</v>
      </c>
      <c r="E34" s="82" t="s">
        <v>89</v>
      </c>
      <c r="F34" s="83" t="s">
        <v>85</v>
      </c>
      <c r="G34" s="84">
        <v>5000</v>
      </c>
      <c r="H34" s="85">
        <v>2.9</v>
      </c>
      <c r="I34" s="59">
        <f t="shared" si="0"/>
        <v>14500</v>
      </c>
    </row>
    <row r="35" spans="1:9" ht="31.9" customHeight="1" thickBot="1" x14ac:dyDescent="0.25">
      <c r="A35" s="56">
        <v>26</v>
      </c>
      <c r="B35" s="58"/>
      <c r="C35" s="76" t="s">
        <v>66</v>
      </c>
      <c r="D35" s="77">
        <v>252</v>
      </c>
      <c r="E35" s="82" t="s">
        <v>90</v>
      </c>
      <c r="F35" s="83" t="s">
        <v>85</v>
      </c>
      <c r="G35" s="84">
        <v>1000</v>
      </c>
      <c r="H35" s="85">
        <v>3.5</v>
      </c>
      <c r="I35" s="59">
        <f t="shared" si="0"/>
        <v>3500</v>
      </c>
    </row>
    <row r="36" spans="1:9" ht="31.9" customHeight="1" thickBot="1" x14ac:dyDescent="0.25">
      <c r="A36" s="56">
        <v>27</v>
      </c>
      <c r="B36" s="58"/>
      <c r="C36" s="57" t="s">
        <v>66</v>
      </c>
      <c r="D36" s="129" t="s">
        <v>112</v>
      </c>
      <c r="E36" s="134" t="s">
        <v>166</v>
      </c>
      <c r="F36" s="145" t="s">
        <v>79</v>
      </c>
      <c r="G36" s="146">
        <v>500</v>
      </c>
      <c r="H36" s="150">
        <v>80</v>
      </c>
      <c r="I36" s="59">
        <f t="shared" si="0"/>
        <v>40000</v>
      </c>
    </row>
    <row r="37" spans="1:9" ht="31.9" customHeight="1" thickBot="1" x14ac:dyDescent="0.25">
      <c r="A37" s="56">
        <v>28</v>
      </c>
      <c r="B37" s="58"/>
      <c r="C37" s="76" t="s">
        <v>66</v>
      </c>
      <c r="D37" s="130">
        <v>252</v>
      </c>
      <c r="E37" s="105" t="s">
        <v>91</v>
      </c>
      <c r="F37" s="96" t="s">
        <v>68</v>
      </c>
      <c r="G37" s="97">
        <v>300</v>
      </c>
      <c r="H37" s="98">
        <v>8.1</v>
      </c>
      <c r="I37" s="59">
        <f t="shared" si="0"/>
        <v>2430</v>
      </c>
    </row>
    <row r="38" spans="1:9" ht="31.9" customHeight="1" thickBot="1" x14ac:dyDescent="0.25">
      <c r="A38" s="56">
        <v>29</v>
      </c>
      <c r="B38" s="58"/>
      <c r="C38" s="76" t="s">
        <v>66</v>
      </c>
      <c r="D38" s="130">
        <v>252</v>
      </c>
      <c r="E38" s="99" t="s">
        <v>92</v>
      </c>
      <c r="F38" s="100" t="s">
        <v>79</v>
      </c>
      <c r="G38" s="101">
        <v>400</v>
      </c>
      <c r="H38" s="102">
        <v>130</v>
      </c>
      <c r="I38" s="59">
        <f t="shared" si="0"/>
        <v>52000</v>
      </c>
    </row>
    <row r="39" spans="1:9" ht="31.9" customHeight="1" thickBot="1" x14ac:dyDescent="0.25">
      <c r="A39" s="56">
        <v>30</v>
      </c>
      <c r="B39" s="58"/>
      <c r="C39" s="76" t="s">
        <v>66</v>
      </c>
      <c r="D39" s="130">
        <v>252</v>
      </c>
      <c r="E39" s="99" t="s">
        <v>93</v>
      </c>
      <c r="F39" s="100" t="s">
        <v>79</v>
      </c>
      <c r="G39" s="101">
        <v>200</v>
      </c>
      <c r="H39" s="102">
        <v>150</v>
      </c>
      <c r="I39" s="59">
        <f t="shared" si="0"/>
        <v>30000</v>
      </c>
    </row>
    <row r="40" spans="1:9" ht="31.9" customHeight="1" thickBot="1" x14ac:dyDescent="0.25">
      <c r="A40" s="56">
        <v>31</v>
      </c>
      <c r="B40" s="58"/>
      <c r="C40" s="57" t="s">
        <v>66</v>
      </c>
      <c r="D40" s="129" t="s">
        <v>112</v>
      </c>
      <c r="E40" s="138" t="s">
        <v>167</v>
      </c>
      <c r="F40" s="145" t="s">
        <v>79</v>
      </c>
      <c r="G40" s="146">
        <v>200</v>
      </c>
      <c r="H40" s="150">
        <v>895</v>
      </c>
      <c r="I40" s="59">
        <f t="shared" si="0"/>
        <v>179000</v>
      </c>
    </row>
    <row r="41" spans="1:9" ht="31.9" customHeight="1" thickBot="1" x14ac:dyDescent="0.25">
      <c r="A41" s="56">
        <v>32</v>
      </c>
      <c r="B41" s="58"/>
      <c r="C41" s="57" t="s">
        <v>66</v>
      </c>
      <c r="D41" s="129" t="s">
        <v>112</v>
      </c>
      <c r="E41" s="137" t="s">
        <v>168</v>
      </c>
      <c r="F41" s="145" t="s">
        <v>79</v>
      </c>
      <c r="G41" s="146">
        <v>2500</v>
      </c>
      <c r="H41" s="150">
        <v>71</v>
      </c>
      <c r="I41" s="59">
        <f t="shared" si="0"/>
        <v>177500</v>
      </c>
    </row>
    <row r="42" spans="1:9" ht="31.9" customHeight="1" thickBot="1" x14ac:dyDescent="0.25">
      <c r="A42" s="56">
        <v>33</v>
      </c>
      <c r="B42" s="58"/>
      <c r="C42" s="76" t="s">
        <v>66</v>
      </c>
      <c r="D42" s="130">
        <v>252</v>
      </c>
      <c r="E42" s="103" t="s">
        <v>94</v>
      </c>
      <c r="F42" s="104" t="s">
        <v>95</v>
      </c>
      <c r="G42" s="97">
        <v>180</v>
      </c>
      <c r="H42" s="98">
        <v>250</v>
      </c>
      <c r="I42" s="59">
        <f t="shared" si="0"/>
        <v>45000</v>
      </c>
    </row>
    <row r="43" spans="1:9" ht="31.9" customHeight="1" thickBot="1" x14ac:dyDescent="0.25">
      <c r="A43" s="56">
        <v>34</v>
      </c>
      <c r="B43" s="58"/>
      <c r="C43" s="57" t="s">
        <v>66</v>
      </c>
      <c r="D43" s="129" t="s">
        <v>112</v>
      </c>
      <c r="E43" s="136" t="s">
        <v>169</v>
      </c>
      <c r="F43" s="145" t="s">
        <v>79</v>
      </c>
      <c r="G43" s="146">
        <v>1000</v>
      </c>
      <c r="H43" s="150">
        <v>68</v>
      </c>
      <c r="I43" s="59">
        <f t="shared" si="0"/>
        <v>68000</v>
      </c>
    </row>
    <row r="44" spans="1:9" ht="31.9" customHeight="1" thickBot="1" x14ac:dyDescent="0.25">
      <c r="A44" s="56">
        <v>35</v>
      </c>
      <c r="B44" s="58"/>
      <c r="C44" s="76" t="s">
        <v>66</v>
      </c>
      <c r="D44" s="130">
        <v>252</v>
      </c>
      <c r="E44" s="99" t="s">
        <v>96</v>
      </c>
      <c r="F44" s="100" t="s">
        <v>85</v>
      </c>
      <c r="G44" s="101">
        <v>100</v>
      </c>
      <c r="H44" s="102">
        <v>5.2</v>
      </c>
      <c r="I44" s="59">
        <f t="shared" si="0"/>
        <v>520</v>
      </c>
    </row>
    <row r="45" spans="1:9" ht="31.9" customHeight="1" thickBot="1" x14ac:dyDescent="0.25">
      <c r="A45" s="56">
        <v>36</v>
      </c>
      <c r="B45" s="58"/>
      <c r="C45" s="76" t="s">
        <v>66</v>
      </c>
      <c r="D45" s="130">
        <v>252</v>
      </c>
      <c r="E45" s="99" t="s">
        <v>97</v>
      </c>
      <c r="F45" s="100" t="s">
        <v>79</v>
      </c>
      <c r="G45" s="101">
        <v>2000</v>
      </c>
      <c r="H45" s="102">
        <v>42</v>
      </c>
      <c r="I45" s="59">
        <f t="shared" si="0"/>
        <v>84000</v>
      </c>
    </row>
    <row r="46" spans="1:9" ht="31.9" customHeight="1" thickBot="1" x14ac:dyDescent="0.25">
      <c r="A46" s="56">
        <v>37</v>
      </c>
      <c r="B46" s="58"/>
      <c r="C46" s="76" t="s">
        <v>66</v>
      </c>
      <c r="D46" s="130">
        <v>252</v>
      </c>
      <c r="E46" s="95" t="s">
        <v>98</v>
      </c>
      <c r="F46" s="96" t="s">
        <v>68</v>
      </c>
      <c r="G46" s="97">
        <v>300</v>
      </c>
      <c r="H46" s="98">
        <v>49</v>
      </c>
      <c r="I46" s="59">
        <f t="shared" si="0"/>
        <v>14700</v>
      </c>
    </row>
    <row r="47" spans="1:9" ht="31.9" customHeight="1" thickBot="1" x14ac:dyDescent="0.25">
      <c r="A47" s="56">
        <v>38</v>
      </c>
      <c r="B47" s="58"/>
      <c r="C47" s="76" t="s">
        <v>66</v>
      </c>
      <c r="D47" s="94">
        <v>252</v>
      </c>
      <c r="E47" s="95" t="s">
        <v>99</v>
      </c>
      <c r="F47" s="96" t="s">
        <v>68</v>
      </c>
      <c r="G47" s="97">
        <v>300</v>
      </c>
      <c r="H47" s="98">
        <v>18.899999999999999</v>
      </c>
      <c r="I47" s="59">
        <f t="shared" si="0"/>
        <v>5670</v>
      </c>
    </row>
    <row r="48" spans="1:9" ht="31.9" customHeight="1" thickBot="1" x14ac:dyDescent="0.25">
      <c r="A48" s="56">
        <v>39</v>
      </c>
      <c r="B48" s="58"/>
      <c r="C48" s="57" t="s">
        <v>66</v>
      </c>
      <c r="D48" s="129" t="s">
        <v>112</v>
      </c>
      <c r="E48" s="136" t="s">
        <v>170</v>
      </c>
      <c r="F48" s="145" t="s">
        <v>79</v>
      </c>
      <c r="G48" s="146">
        <v>200</v>
      </c>
      <c r="H48" s="150">
        <v>320</v>
      </c>
      <c r="I48" s="59">
        <f t="shared" si="0"/>
        <v>64000</v>
      </c>
    </row>
    <row r="49" spans="1:9" ht="31.9" customHeight="1" thickBot="1" x14ac:dyDescent="0.25">
      <c r="A49" s="56">
        <v>40</v>
      </c>
      <c r="B49" s="58"/>
      <c r="C49" s="57" t="s">
        <v>66</v>
      </c>
      <c r="D49" s="129" t="s">
        <v>112</v>
      </c>
      <c r="E49" s="125" t="s">
        <v>171</v>
      </c>
      <c r="F49" s="120" t="s">
        <v>79</v>
      </c>
      <c r="G49" s="121">
        <v>1000</v>
      </c>
      <c r="H49" s="122">
        <v>280</v>
      </c>
      <c r="I49" s="59">
        <f t="shared" si="0"/>
        <v>280000</v>
      </c>
    </row>
    <row r="50" spans="1:9" ht="31.9" customHeight="1" thickBot="1" x14ac:dyDescent="0.25">
      <c r="A50" s="56">
        <v>41</v>
      </c>
      <c r="B50" s="58"/>
      <c r="C50" s="76" t="s">
        <v>66</v>
      </c>
      <c r="D50" s="94">
        <v>252</v>
      </c>
      <c r="E50" s="132" t="s">
        <v>100</v>
      </c>
      <c r="F50" s="79" t="s">
        <v>68</v>
      </c>
      <c r="G50" s="80">
        <v>2500</v>
      </c>
      <c r="H50" s="81">
        <v>3.2</v>
      </c>
      <c r="I50" s="59">
        <f t="shared" si="0"/>
        <v>8000</v>
      </c>
    </row>
    <row r="51" spans="1:9" ht="31.9" customHeight="1" thickBot="1" x14ac:dyDescent="0.25">
      <c r="A51" s="56">
        <v>42</v>
      </c>
      <c r="B51" s="58"/>
      <c r="C51" s="76" t="s">
        <v>66</v>
      </c>
      <c r="D51" s="94">
        <v>252</v>
      </c>
      <c r="E51" s="132" t="s">
        <v>101</v>
      </c>
      <c r="F51" s="79" t="s">
        <v>68</v>
      </c>
      <c r="G51" s="80">
        <v>1000</v>
      </c>
      <c r="H51" s="81">
        <v>15.8</v>
      </c>
      <c r="I51" s="59">
        <f t="shared" si="0"/>
        <v>15800</v>
      </c>
    </row>
    <row r="52" spans="1:9" ht="31.9" customHeight="1" thickBot="1" x14ac:dyDescent="0.25">
      <c r="A52" s="56">
        <v>43</v>
      </c>
      <c r="B52" s="58"/>
      <c r="C52" s="76" t="s">
        <v>66</v>
      </c>
      <c r="D52" s="94">
        <v>252</v>
      </c>
      <c r="E52" s="78" t="s">
        <v>102</v>
      </c>
      <c r="F52" s="79" t="s">
        <v>68</v>
      </c>
      <c r="G52" s="80">
        <v>300</v>
      </c>
      <c r="H52" s="81">
        <v>48</v>
      </c>
      <c r="I52" s="59">
        <f t="shared" si="0"/>
        <v>14400</v>
      </c>
    </row>
    <row r="53" spans="1:9" ht="31.9" customHeight="1" thickBot="1" x14ac:dyDescent="0.25">
      <c r="A53" s="56">
        <v>44</v>
      </c>
      <c r="B53" s="58"/>
      <c r="C53" s="76" t="s">
        <v>66</v>
      </c>
      <c r="D53" s="94">
        <v>252</v>
      </c>
      <c r="E53" s="82" t="s">
        <v>103</v>
      </c>
      <c r="F53" s="83" t="s">
        <v>85</v>
      </c>
      <c r="G53" s="84">
        <v>2000</v>
      </c>
      <c r="H53" s="85">
        <v>6.9</v>
      </c>
      <c r="I53" s="59">
        <f t="shared" si="0"/>
        <v>13800</v>
      </c>
    </row>
    <row r="54" spans="1:9" ht="31.9" customHeight="1" thickBot="1" x14ac:dyDescent="0.25">
      <c r="A54" s="56">
        <v>45</v>
      </c>
      <c r="B54" s="58"/>
      <c r="C54" s="76" t="s">
        <v>66</v>
      </c>
      <c r="D54" s="94">
        <v>252</v>
      </c>
      <c r="E54" s="82" t="s">
        <v>104</v>
      </c>
      <c r="F54" s="83" t="s">
        <v>85</v>
      </c>
      <c r="G54" s="84">
        <v>200</v>
      </c>
      <c r="H54" s="107">
        <v>6.8</v>
      </c>
      <c r="I54" s="59">
        <f t="shared" si="0"/>
        <v>1360</v>
      </c>
    </row>
    <row r="55" spans="1:9" ht="31.9" customHeight="1" thickBot="1" x14ac:dyDescent="0.25">
      <c r="A55" s="56">
        <v>46</v>
      </c>
      <c r="B55" s="58"/>
      <c r="C55" s="57" t="s">
        <v>66</v>
      </c>
      <c r="D55" s="129" t="s">
        <v>112</v>
      </c>
      <c r="E55" s="125" t="s">
        <v>172</v>
      </c>
      <c r="F55" s="120" t="s">
        <v>79</v>
      </c>
      <c r="G55" s="121">
        <v>200</v>
      </c>
      <c r="H55" s="122">
        <v>280</v>
      </c>
      <c r="I55" s="59">
        <f t="shared" si="0"/>
        <v>56000</v>
      </c>
    </row>
    <row r="56" spans="1:9" ht="31.9" customHeight="1" thickBot="1" x14ac:dyDescent="0.25">
      <c r="A56" s="56">
        <v>47</v>
      </c>
      <c r="B56" s="58"/>
      <c r="C56" s="76" t="s">
        <v>66</v>
      </c>
      <c r="D56" s="94">
        <v>252</v>
      </c>
      <c r="E56" s="78" t="s">
        <v>105</v>
      </c>
      <c r="F56" s="79" t="s">
        <v>68</v>
      </c>
      <c r="G56" s="80">
        <v>90</v>
      </c>
      <c r="H56" s="81">
        <v>1500</v>
      </c>
      <c r="I56" s="59">
        <f t="shared" si="0"/>
        <v>135000</v>
      </c>
    </row>
    <row r="57" spans="1:9" ht="31.9" customHeight="1" thickBot="1" x14ac:dyDescent="0.25">
      <c r="A57" s="56">
        <v>48</v>
      </c>
      <c r="B57" s="58"/>
      <c r="C57" s="57" t="s">
        <v>66</v>
      </c>
      <c r="D57" s="129" t="s">
        <v>112</v>
      </c>
      <c r="E57" s="127" t="s">
        <v>173</v>
      </c>
      <c r="F57" s="120" t="s">
        <v>85</v>
      </c>
      <c r="G57" s="121">
        <v>300</v>
      </c>
      <c r="H57" s="122">
        <v>48</v>
      </c>
      <c r="I57" s="59">
        <f t="shared" si="0"/>
        <v>14400</v>
      </c>
    </row>
    <row r="58" spans="1:9" ht="31.9" customHeight="1" thickBot="1" x14ac:dyDescent="0.25">
      <c r="A58" s="56">
        <v>49</v>
      </c>
      <c r="B58" s="58"/>
      <c r="C58" s="57" t="s">
        <v>66</v>
      </c>
      <c r="D58" s="129" t="s">
        <v>112</v>
      </c>
      <c r="E58" s="127" t="s">
        <v>174</v>
      </c>
      <c r="F58" s="120" t="s">
        <v>71</v>
      </c>
      <c r="G58" s="121">
        <v>300</v>
      </c>
      <c r="H58" s="122">
        <v>645</v>
      </c>
      <c r="I58" s="59">
        <f t="shared" si="0"/>
        <v>193500</v>
      </c>
    </row>
    <row r="59" spans="1:9" ht="31.9" customHeight="1" thickBot="1" x14ac:dyDescent="0.25">
      <c r="A59" s="56">
        <v>50</v>
      </c>
      <c r="B59" s="58"/>
      <c r="C59" s="76" t="s">
        <v>66</v>
      </c>
      <c r="D59" s="94">
        <v>252</v>
      </c>
      <c r="E59" s="82" t="s">
        <v>106</v>
      </c>
      <c r="F59" s="83" t="s">
        <v>88</v>
      </c>
      <c r="G59" s="84">
        <v>3</v>
      </c>
      <c r="H59" s="107">
        <v>860</v>
      </c>
      <c r="I59" s="59">
        <f t="shared" si="0"/>
        <v>2580</v>
      </c>
    </row>
    <row r="60" spans="1:9" ht="31.9" customHeight="1" thickBot="1" x14ac:dyDescent="0.25">
      <c r="A60" s="56">
        <v>51</v>
      </c>
      <c r="B60" s="58"/>
      <c r="C60" s="76" t="s">
        <v>66</v>
      </c>
      <c r="D60" s="94">
        <v>252</v>
      </c>
      <c r="E60" s="91" t="s">
        <v>107</v>
      </c>
      <c r="F60" s="93" t="s">
        <v>95</v>
      </c>
      <c r="G60" s="80">
        <v>120</v>
      </c>
      <c r="H60" s="81">
        <v>1280</v>
      </c>
      <c r="I60" s="59">
        <f t="shared" si="0"/>
        <v>153600</v>
      </c>
    </row>
    <row r="61" spans="1:9" ht="31.9" customHeight="1" thickBot="1" x14ac:dyDescent="0.25">
      <c r="A61" s="56">
        <v>52</v>
      </c>
      <c r="B61" s="58"/>
      <c r="C61" s="76" t="s">
        <v>66</v>
      </c>
      <c r="D61" s="94">
        <v>252</v>
      </c>
      <c r="E61" s="86" t="s">
        <v>108</v>
      </c>
      <c r="F61" s="79" t="s">
        <v>68</v>
      </c>
      <c r="G61" s="80">
        <v>3000</v>
      </c>
      <c r="H61" s="81">
        <v>3.2</v>
      </c>
      <c r="I61" s="59">
        <f t="shared" si="0"/>
        <v>9600</v>
      </c>
    </row>
    <row r="62" spans="1:9" ht="31.9" customHeight="1" thickBot="1" x14ac:dyDescent="0.25">
      <c r="A62" s="56">
        <v>53</v>
      </c>
      <c r="B62" s="58"/>
      <c r="C62" s="76" t="s">
        <v>66</v>
      </c>
      <c r="D62" s="94">
        <v>252</v>
      </c>
      <c r="E62" s="82" t="s">
        <v>109</v>
      </c>
      <c r="F62" s="83" t="s">
        <v>88</v>
      </c>
      <c r="G62" s="84">
        <v>5</v>
      </c>
      <c r="H62" s="107">
        <v>1350</v>
      </c>
      <c r="I62" s="59">
        <f t="shared" si="0"/>
        <v>6750</v>
      </c>
    </row>
    <row r="63" spans="1:9" ht="31.9" customHeight="1" thickBot="1" x14ac:dyDescent="0.25">
      <c r="A63" s="56">
        <v>54</v>
      </c>
      <c r="B63" s="58"/>
      <c r="C63" s="57" t="s">
        <v>66</v>
      </c>
      <c r="D63" s="129" t="s">
        <v>112</v>
      </c>
      <c r="E63" s="123" t="s">
        <v>175</v>
      </c>
      <c r="F63" s="120" t="s">
        <v>71</v>
      </c>
      <c r="G63" s="121">
        <v>100</v>
      </c>
      <c r="H63" s="122">
        <v>820</v>
      </c>
      <c r="I63" s="59">
        <f t="shared" si="0"/>
        <v>82000</v>
      </c>
    </row>
    <row r="64" spans="1:9" ht="31.9" customHeight="1" thickBot="1" x14ac:dyDescent="0.25">
      <c r="A64" s="56">
        <v>55</v>
      </c>
      <c r="B64" s="58"/>
      <c r="C64" s="57" t="s">
        <v>66</v>
      </c>
      <c r="D64" s="129" t="s">
        <v>112</v>
      </c>
      <c r="E64" s="123" t="s">
        <v>176</v>
      </c>
      <c r="F64" s="120" t="s">
        <v>79</v>
      </c>
      <c r="G64" s="121">
        <v>200</v>
      </c>
      <c r="H64" s="122">
        <v>40</v>
      </c>
      <c r="I64" s="59">
        <f t="shared" si="0"/>
        <v>8000</v>
      </c>
    </row>
    <row r="65" spans="1:9" ht="31.9" customHeight="1" thickBot="1" x14ac:dyDescent="0.25">
      <c r="A65" s="56">
        <v>56</v>
      </c>
      <c r="B65" s="58"/>
      <c r="C65" s="76" t="s">
        <v>66</v>
      </c>
      <c r="D65" s="94">
        <v>252</v>
      </c>
      <c r="E65" s="91" t="s">
        <v>110</v>
      </c>
      <c r="F65" s="92" t="s">
        <v>85</v>
      </c>
      <c r="G65" s="80">
        <v>150</v>
      </c>
      <c r="H65" s="81">
        <v>3.5</v>
      </c>
      <c r="I65" s="59">
        <f t="shared" si="0"/>
        <v>525</v>
      </c>
    </row>
    <row r="66" spans="1:9" ht="31.9" customHeight="1" thickBot="1" x14ac:dyDescent="0.25">
      <c r="A66" s="56">
        <v>57</v>
      </c>
      <c r="B66" s="58"/>
      <c r="C66" s="76" t="s">
        <v>66</v>
      </c>
      <c r="D66" s="94">
        <v>252</v>
      </c>
      <c r="E66" s="82" t="s">
        <v>111</v>
      </c>
      <c r="F66" s="83" t="s">
        <v>85</v>
      </c>
      <c r="G66" s="84">
        <v>100</v>
      </c>
      <c r="H66" s="107">
        <v>18.75</v>
      </c>
      <c r="I66" s="59">
        <f t="shared" si="0"/>
        <v>1875</v>
      </c>
    </row>
    <row r="67" spans="1:9" ht="31.9" customHeight="1" thickBot="1" x14ac:dyDescent="0.25">
      <c r="A67" s="56">
        <v>58</v>
      </c>
      <c r="B67" s="58"/>
      <c r="C67" s="76" t="s">
        <v>66</v>
      </c>
      <c r="D67" s="106" t="s">
        <v>112</v>
      </c>
      <c r="E67" s="82" t="s">
        <v>113</v>
      </c>
      <c r="F67" s="83" t="s">
        <v>88</v>
      </c>
      <c r="G67" s="84">
        <v>10</v>
      </c>
      <c r="H67" s="107">
        <v>260</v>
      </c>
      <c r="I67" s="59">
        <f t="shared" si="0"/>
        <v>2600</v>
      </c>
    </row>
    <row r="68" spans="1:9" ht="31.9" customHeight="1" thickBot="1" x14ac:dyDescent="0.25">
      <c r="A68" s="56">
        <v>59</v>
      </c>
      <c r="B68" s="58"/>
      <c r="C68" s="76" t="s">
        <v>66</v>
      </c>
      <c r="D68" s="106" t="s">
        <v>112</v>
      </c>
      <c r="E68" s="82" t="s">
        <v>114</v>
      </c>
      <c r="F68" s="83" t="s">
        <v>79</v>
      </c>
      <c r="G68" s="84">
        <v>500</v>
      </c>
      <c r="H68" s="107">
        <v>46</v>
      </c>
      <c r="I68" s="59">
        <f t="shared" si="0"/>
        <v>23000</v>
      </c>
    </row>
    <row r="69" spans="1:9" ht="31.9" customHeight="1" thickBot="1" x14ac:dyDescent="0.25">
      <c r="A69" s="56">
        <v>60</v>
      </c>
      <c r="B69" s="58"/>
      <c r="C69" s="57" t="s">
        <v>66</v>
      </c>
      <c r="D69" s="129" t="s">
        <v>112</v>
      </c>
      <c r="E69" s="123" t="s">
        <v>177</v>
      </c>
      <c r="F69" s="120" t="s">
        <v>79</v>
      </c>
      <c r="G69" s="121">
        <v>5050</v>
      </c>
      <c r="H69" s="122">
        <v>790</v>
      </c>
      <c r="I69" s="59">
        <f t="shared" si="0"/>
        <v>3989500</v>
      </c>
    </row>
    <row r="70" spans="1:9" ht="31.9" customHeight="1" thickBot="1" x14ac:dyDescent="0.25">
      <c r="A70" s="56">
        <v>61</v>
      </c>
      <c r="B70" s="58"/>
      <c r="C70" s="76" t="s">
        <v>66</v>
      </c>
      <c r="D70" s="106" t="s">
        <v>112</v>
      </c>
      <c r="E70" s="78" t="s">
        <v>115</v>
      </c>
      <c r="F70" s="79" t="s">
        <v>116</v>
      </c>
      <c r="G70" s="80">
        <v>60</v>
      </c>
      <c r="H70" s="81">
        <v>2900</v>
      </c>
      <c r="I70" s="59">
        <f t="shared" si="0"/>
        <v>174000</v>
      </c>
    </row>
    <row r="71" spans="1:9" ht="31.9" customHeight="1" thickBot="1" x14ac:dyDescent="0.25">
      <c r="A71" s="56">
        <v>62</v>
      </c>
      <c r="B71" s="58"/>
      <c r="C71" s="76" t="s">
        <v>66</v>
      </c>
      <c r="D71" s="106" t="s">
        <v>112</v>
      </c>
      <c r="E71" s="113" t="s">
        <v>117</v>
      </c>
      <c r="F71" s="108" t="s">
        <v>118</v>
      </c>
      <c r="G71" s="110">
        <v>100</v>
      </c>
      <c r="H71" s="81">
        <v>1385</v>
      </c>
      <c r="I71" s="59">
        <f t="shared" si="0"/>
        <v>138500</v>
      </c>
    </row>
    <row r="72" spans="1:9" ht="31.9" customHeight="1" thickBot="1" x14ac:dyDescent="0.25">
      <c r="A72" s="56">
        <v>63</v>
      </c>
      <c r="B72" s="58"/>
      <c r="C72" s="76" t="s">
        <v>66</v>
      </c>
      <c r="D72" s="106" t="s">
        <v>112</v>
      </c>
      <c r="E72" s="113" t="s">
        <v>119</v>
      </c>
      <c r="F72" s="108" t="s">
        <v>118</v>
      </c>
      <c r="G72" s="110">
        <v>40</v>
      </c>
      <c r="H72" s="81">
        <v>1395</v>
      </c>
      <c r="I72" s="59">
        <f t="shared" si="0"/>
        <v>55800</v>
      </c>
    </row>
    <row r="73" spans="1:9" ht="31.9" customHeight="1" thickBot="1" x14ac:dyDescent="0.25">
      <c r="A73" s="56">
        <v>64</v>
      </c>
      <c r="B73" s="58"/>
      <c r="C73" s="57" t="s">
        <v>66</v>
      </c>
      <c r="D73" s="129" t="s">
        <v>112</v>
      </c>
      <c r="E73" s="143" t="s">
        <v>178</v>
      </c>
      <c r="F73" s="120" t="s">
        <v>79</v>
      </c>
      <c r="G73" s="148">
        <v>30</v>
      </c>
      <c r="H73" s="122">
        <v>298</v>
      </c>
      <c r="I73" s="59">
        <f t="shared" si="0"/>
        <v>8940</v>
      </c>
    </row>
    <row r="74" spans="1:9" ht="31.9" customHeight="1" thickBot="1" x14ac:dyDescent="0.25">
      <c r="A74" s="56">
        <v>65</v>
      </c>
      <c r="B74" s="58"/>
      <c r="C74" s="76" t="s">
        <v>66</v>
      </c>
      <c r="D74" s="106" t="s">
        <v>112</v>
      </c>
      <c r="E74" s="113" t="s">
        <v>120</v>
      </c>
      <c r="F74" s="93" t="s">
        <v>95</v>
      </c>
      <c r="G74" s="110">
        <v>500</v>
      </c>
      <c r="H74" s="81">
        <v>248</v>
      </c>
      <c r="I74" s="59">
        <f t="shared" ref="I74:I97" si="1">G74*H74</f>
        <v>124000</v>
      </c>
    </row>
    <row r="75" spans="1:9" ht="31.9" customHeight="1" thickBot="1" x14ac:dyDescent="0.25">
      <c r="A75" s="56">
        <v>66</v>
      </c>
      <c r="B75" s="58"/>
      <c r="C75" s="76" t="s">
        <v>66</v>
      </c>
      <c r="D75" s="106" t="s">
        <v>112</v>
      </c>
      <c r="E75" s="111" t="s">
        <v>121</v>
      </c>
      <c r="F75" s="83" t="s">
        <v>85</v>
      </c>
      <c r="G75" s="112">
        <v>150</v>
      </c>
      <c r="H75" s="107">
        <v>9.9</v>
      </c>
      <c r="I75" s="59">
        <f t="shared" si="1"/>
        <v>1485</v>
      </c>
    </row>
    <row r="76" spans="1:9" ht="31.9" customHeight="1" thickBot="1" x14ac:dyDescent="0.25">
      <c r="A76" s="56">
        <v>67</v>
      </c>
      <c r="B76" s="58"/>
      <c r="C76" s="76" t="s">
        <v>66</v>
      </c>
      <c r="D76" s="106" t="s">
        <v>112</v>
      </c>
      <c r="E76" s="133" t="s">
        <v>122</v>
      </c>
      <c r="F76" s="83" t="s">
        <v>79</v>
      </c>
      <c r="G76" s="112">
        <v>500</v>
      </c>
      <c r="H76" s="117">
        <v>420</v>
      </c>
      <c r="I76" s="59">
        <f t="shared" si="1"/>
        <v>210000</v>
      </c>
    </row>
    <row r="77" spans="1:9" ht="31.9" customHeight="1" thickBot="1" x14ac:dyDescent="0.25">
      <c r="A77" s="56">
        <v>68</v>
      </c>
      <c r="B77" s="58"/>
      <c r="C77" s="76" t="s">
        <v>66</v>
      </c>
      <c r="D77" s="106" t="s">
        <v>112</v>
      </c>
      <c r="E77" s="115" t="s">
        <v>123</v>
      </c>
      <c r="F77" s="79" t="s">
        <v>68</v>
      </c>
      <c r="G77" s="110">
        <v>500</v>
      </c>
      <c r="H77" s="116">
        <v>55</v>
      </c>
      <c r="I77" s="59">
        <f t="shared" si="1"/>
        <v>27500</v>
      </c>
    </row>
    <row r="78" spans="1:9" ht="31.9" customHeight="1" thickBot="1" x14ac:dyDescent="0.25">
      <c r="A78" s="56">
        <v>69</v>
      </c>
      <c r="B78" s="58"/>
      <c r="C78" s="76" t="s">
        <v>66</v>
      </c>
      <c r="D78" s="106" t="s">
        <v>112</v>
      </c>
      <c r="E78" s="113" t="s">
        <v>124</v>
      </c>
      <c r="F78" s="92" t="s">
        <v>85</v>
      </c>
      <c r="G78" s="110">
        <v>300</v>
      </c>
      <c r="H78" s="116">
        <v>2.3199999999999998</v>
      </c>
      <c r="I78" s="59">
        <f t="shared" si="1"/>
        <v>696</v>
      </c>
    </row>
    <row r="79" spans="1:9" ht="31.9" customHeight="1" thickBot="1" x14ac:dyDescent="0.25">
      <c r="A79" s="56">
        <v>70</v>
      </c>
      <c r="B79" s="58"/>
      <c r="C79" s="76" t="s">
        <v>66</v>
      </c>
      <c r="D79" s="106" t="s">
        <v>112</v>
      </c>
      <c r="E79" s="111" t="s">
        <v>125</v>
      </c>
      <c r="F79" s="83" t="s">
        <v>85</v>
      </c>
      <c r="G79" s="112">
        <v>900</v>
      </c>
      <c r="H79" s="117">
        <v>3.8</v>
      </c>
      <c r="I79" s="59">
        <f t="shared" si="1"/>
        <v>3420</v>
      </c>
    </row>
    <row r="80" spans="1:9" ht="31.9" customHeight="1" thickBot="1" x14ac:dyDescent="0.25">
      <c r="A80" s="56">
        <v>71</v>
      </c>
      <c r="B80" s="58"/>
      <c r="C80" s="76" t="s">
        <v>66</v>
      </c>
      <c r="D80" s="106" t="s">
        <v>112</v>
      </c>
      <c r="E80" s="115" t="s">
        <v>126</v>
      </c>
      <c r="F80" s="79" t="s">
        <v>68</v>
      </c>
      <c r="G80" s="110">
        <v>3000</v>
      </c>
      <c r="H80" s="116">
        <v>4.42</v>
      </c>
      <c r="I80" s="59">
        <f t="shared" si="1"/>
        <v>13260</v>
      </c>
    </row>
    <row r="81" spans="1:9" ht="31.9" customHeight="1" thickBot="1" x14ac:dyDescent="0.25">
      <c r="A81" s="56">
        <v>72</v>
      </c>
      <c r="B81" s="58"/>
      <c r="C81" s="76" t="s">
        <v>66</v>
      </c>
      <c r="D81" s="106" t="s">
        <v>112</v>
      </c>
      <c r="E81" s="140" t="s">
        <v>127</v>
      </c>
      <c r="F81" s="93" t="s">
        <v>79</v>
      </c>
      <c r="G81" s="147">
        <v>15000</v>
      </c>
      <c r="H81" s="116">
        <v>35</v>
      </c>
      <c r="I81" s="59">
        <f t="shared" si="1"/>
        <v>525000</v>
      </c>
    </row>
    <row r="82" spans="1:9" ht="31.9" customHeight="1" thickBot="1" x14ac:dyDescent="0.25">
      <c r="A82" s="56">
        <v>73</v>
      </c>
      <c r="B82" s="58"/>
      <c r="C82" s="76" t="s">
        <v>66</v>
      </c>
      <c r="D82" s="106" t="s">
        <v>112</v>
      </c>
      <c r="E82" s="144" t="s">
        <v>128</v>
      </c>
      <c r="F82" s="83" t="s">
        <v>79</v>
      </c>
      <c r="G82" s="112">
        <v>400</v>
      </c>
      <c r="H82" s="117">
        <v>36</v>
      </c>
      <c r="I82" s="59">
        <f t="shared" si="1"/>
        <v>14400</v>
      </c>
    </row>
    <row r="83" spans="1:9" ht="31.9" customHeight="1" thickBot="1" x14ac:dyDescent="0.25">
      <c r="A83" s="56">
        <v>74</v>
      </c>
      <c r="B83" s="58"/>
      <c r="C83" s="76" t="s">
        <v>66</v>
      </c>
      <c r="D83" s="106" t="s">
        <v>112</v>
      </c>
      <c r="E83" s="113" t="s">
        <v>129</v>
      </c>
      <c r="F83" s="93" t="s">
        <v>95</v>
      </c>
      <c r="G83" s="110">
        <v>150</v>
      </c>
      <c r="H83" s="116">
        <v>260</v>
      </c>
      <c r="I83" s="59">
        <f t="shared" si="1"/>
        <v>39000</v>
      </c>
    </row>
    <row r="84" spans="1:9" ht="31.9" customHeight="1" thickBot="1" x14ac:dyDescent="0.25">
      <c r="A84" s="56">
        <v>75</v>
      </c>
      <c r="B84" s="58"/>
      <c r="C84" s="57" t="s">
        <v>66</v>
      </c>
      <c r="D84" s="129" t="s">
        <v>112</v>
      </c>
      <c r="E84" s="141" t="s">
        <v>179</v>
      </c>
      <c r="F84" s="120" t="s">
        <v>79</v>
      </c>
      <c r="G84" s="148">
        <v>20</v>
      </c>
      <c r="H84" s="151">
        <v>780</v>
      </c>
      <c r="I84" s="59">
        <f t="shared" si="1"/>
        <v>15600</v>
      </c>
    </row>
    <row r="85" spans="1:9" ht="31.9" customHeight="1" thickBot="1" x14ac:dyDescent="0.25">
      <c r="A85" s="56">
        <v>76</v>
      </c>
      <c r="B85" s="58"/>
      <c r="C85" s="57" t="s">
        <v>66</v>
      </c>
      <c r="D85" s="129" t="s">
        <v>112</v>
      </c>
      <c r="E85" s="143" t="s">
        <v>180</v>
      </c>
      <c r="F85" s="120" t="s">
        <v>79</v>
      </c>
      <c r="G85" s="148">
        <v>2000</v>
      </c>
      <c r="H85" s="151">
        <v>290</v>
      </c>
      <c r="I85" s="59">
        <f t="shared" si="1"/>
        <v>580000</v>
      </c>
    </row>
    <row r="86" spans="1:9" ht="31.9" customHeight="1" thickBot="1" x14ac:dyDescent="0.25">
      <c r="A86" s="56">
        <v>77</v>
      </c>
      <c r="B86" s="58"/>
      <c r="C86" s="76" t="s">
        <v>66</v>
      </c>
      <c r="D86" s="106" t="s">
        <v>112</v>
      </c>
      <c r="E86" s="111" t="s">
        <v>130</v>
      </c>
      <c r="F86" s="83" t="s">
        <v>85</v>
      </c>
      <c r="G86" s="112">
        <v>250</v>
      </c>
      <c r="H86" s="117">
        <v>19</v>
      </c>
      <c r="I86" s="59">
        <f t="shared" si="1"/>
        <v>4750</v>
      </c>
    </row>
    <row r="87" spans="1:9" ht="31.9" customHeight="1" thickBot="1" x14ac:dyDescent="0.25">
      <c r="A87" s="56">
        <v>78</v>
      </c>
      <c r="B87" s="58"/>
      <c r="C87" s="76" t="s">
        <v>66</v>
      </c>
      <c r="D87" s="106" t="s">
        <v>112</v>
      </c>
      <c r="E87" s="113" t="s">
        <v>131</v>
      </c>
      <c r="F87" s="92" t="s">
        <v>132</v>
      </c>
      <c r="G87" s="110">
        <v>10000</v>
      </c>
      <c r="H87" s="116">
        <v>2.39</v>
      </c>
      <c r="I87" s="59">
        <f t="shared" si="1"/>
        <v>23900</v>
      </c>
    </row>
    <row r="88" spans="1:9" ht="31.9" customHeight="1" thickBot="1" x14ac:dyDescent="0.25">
      <c r="A88" s="56">
        <v>79</v>
      </c>
      <c r="B88" s="58"/>
      <c r="C88" s="57" t="s">
        <v>66</v>
      </c>
      <c r="D88" s="129" t="s">
        <v>112</v>
      </c>
      <c r="E88" s="141" t="s">
        <v>181</v>
      </c>
      <c r="F88" s="120" t="s">
        <v>79</v>
      </c>
      <c r="G88" s="148">
        <v>10000</v>
      </c>
      <c r="H88" s="151">
        <v>498</v>
      </c>
      <c r="I88" s="59">
        <f t="shared" si="1"/>
        <v>4980000</v>
      </c>
    </row>
    <row r="89" spans="1:9" ht="31.9" customHeight="1" thickBot="1" x14ac:dyDescent="0.25">
      <c r="A89" s="56">
        <v>80</v>
      </c>
      <c r="B89" s="58"/>
      <c r="C89" s="76" t="s">
        <v>66</v>
      </c>
      <c r="D89" s="106" t="s">
        <v>112</v>
      </c>
      <c r="E89" s="91" t="s">
        <v>133</v>
      </c>
      <c r="F89" s="92" t="s">
        <v>79</v>
      </c>
      <c r="G89" s="80">
        <v>6000</v>
      </c>
      <c r="H89" s="81">
        <v>75</v>
      </c>
      <c r="I89" s="59">
        <f t="shared" si="1"/>
        <v>450000</v>
      </c>
    </row>
    <row r="90" spans="1:9" ht="31.9" customHeight="1" thickBot="1" x14ac:dyDescent="0.25">
      <c r="A90" s="56">
        <v>81</v>
      </c>
      <c r="B90" s="58"/>
      <c r="C90" s="57" t="s">
        <v>66</v>
      </c>
      <c r="D90" s="118" t="s">
        <v>112</v>
      </c>
      <c r="E90" s="125" t="s">
        <v>182</v>
      </c>
      <c r="F90" s="120" t="s">
        <v>79</v>
      </c>
      <c r="G90" s="121">
        <v>300</v>
      </c>
      <c r="H90" s="122">
        <v>990</v>
      </c>
      <c r="I90" s="59">
        <f t="shared" si="1"/>
        <v>297000</v>
      </c>
    </row>
    <row r="91" spans="1:9" ht="31.9" customHeight="1" thickBot="1" x14ac:dyDescent="0.25">
      <c r="A91" s="56">
        <v>82</v>
      </c>
      <c r="B91" s="58"/>
      <c r="C91" s="57" t="s">
        <v>66</v>
      </c>
      <c r="D91" s="118" t="s">
        <v>112</v>
      </c>
      <c r="E91" s="125" t="s">
        <v>183</v>
      </c>
      <c r="F91" s="120" t="s">
        <v>85</v>
      </c>
      <c r="G91" s="121">
        <v>2000</v>
      </c>
      <c r="H91" s="122">
        <v>3.86</v>
      </c>
      <c r="I91" s="59">
        <f t="shared" si="1"/>
        <v>7720</v>
      </c>
    </row>
    <row r="92" spans="1:9" ht="31.9" customHeight="1" thickBot="1" x14ac:dyDescent="0.25">
      <c r="A92" s="56">
        <v>83</v>
      </c>
      <c r="B92" s="58"/>
      <c r="C92" s="76" t="s">
        <v>66</v>
      </c>
      <c r="D92" s="128" t="s">
        <v>112</v>
      </c>
      <c r="E92" s="109" t="s">
        <v>134</v>
      </c>
      <c r="F92" s="83" t="s">
        <v>85</v>
      </c>
      <c r="G92" s="84">
        <v>100</v>
      </c>
      <c r="H92" s="107">
        <v>11.2</v>
      </c>
      <c r="I92" s="59">
        <f t="shared" si="1"/>
        <v>1120</v>
      </c>
    </row>
    <row r="93" spans="1:9" ht="31.9" customHeight="1" thickBot="1" x14ac:dyDescent="0.25">
      <c r="A93" s="56">
        <v>84</v>
      </c>
      <c r="B93" s="58"/>
      <c r="C93" s="76" t="s">
        <v>66</v>
      </c>
      <c r="D93" s="128" t="s">
        <v>112</v>
      </c>
      <c r="E93" s="91" t="s">
        <v>135</v>
      </c>
      <c r="F93" s="93" t="s">
        <v>88</v>
      </c>
      <c r="G93" s="80">
        <v>30</v>
      </c>
      <c r="H93" s="81">
        <v>380</v>
      </c>
      <c r="I93" s="59">
        <f t="shared" si="1"/>
        <v>11400</v>
      </c>
    </row>
    <row r="94" spans="1:9" ht="31.9" customHeight="1" thickBot="1" x14ac:dyDescent="0.25">
      <c r="A94" s="56">
        <v>85</v>
      </c>
      <c r="B94" s="58"/>
      <c r="C94" s="57" t="s">
        <v>66</v>
      </c>
      <c r="D94" s="118" t="s">
        <v>112</v>
      </c>
      <c r="E94" s="123" t="s">
        <v>184</v>
      </c>
      <c r="F94" s="120" t="s">
        <v>79</v>
      </c>
      <c r="G94" s="121">
        <v>2000</v>
      </c>
      <c r="H94" s="122">
        <v>440</v>
      </c>
      <c r="I94" s="59">
        <f t="shared" si="1"/>
        <v>880000</v>
      </c>
    </row>
    <row r="95" spans="1:9" ht="31.9" customHeight="1" thickBot="1" x14ac:dyDescent="0.25">
      <c r="A95" s="56">
        <v>86</v>
      </c>
      <c r="B95" s="58"/>
      <c r="C95" s="76" t="s">
        <v>66</v>
      </c>
      <c r="D95" s="128" t="s">
        <v>112</v>
      </c>
      <c r="E95" s="82" t="s">
        <v>136</v>
      </c>
      <c r="F95" s="83" t="s">
        <v>85</v>
      </c>
      <c r="G95" s="84">
        <v>100</v>
      </c>
      <c r="H95" s="107">
        <v>12.5</v>
      </c>
      <c r="I95" s="59">
        <f t="shared" si="1"/>
        <v>1250</v>
      </c>
    </row>
    <row r="96" spans="1:9" ht="31.9" customHeight="1" thickBot="1" x14ac:dyDescent="0.25">
      <c r="A96" s="56">
        <v>87</v>
      </c>
      <c r="B96" s="58"/>
      <c r="C96" s="76" t="s">
        <v>66</v>
      </c>
      <c r="D96" s="128" t="s">
        <v>112</v>
      </c>
      <c r="E96" s="82" t="s">
        <v>137</v>
      </c>
      <c r="F96" s="83" t="s">
        <v>88</v>
      </c>
      <c r="G96" s="84">
        <v>5</v>
      </c>
      <c r="H96" s="107">
        <v>558.6</v>
      </c>
      <c r="I96" s="59">
        <f t="shared" si="1"/>
        <v>2793</v>
      </c>
    </row>
    <row r="97" spans="1:9" ht="31.9" customHeight="1" thickBot="1" x14ac:dyDescent="0.25">
      <c r="A97" s="56">
        <v>88</v>
      </c>
      <c r="B97" s="58"/>
      <c r="C97" s="57" t="s">
        <v>66</v>
      </c>
      <c r="D97" s="118" t="s">
        <v>112</v>
      </c>
      <c r="E97" s="135" t="s">
        <v>185</v>
      </c>
      <c r="F97" s="120" t="s">
        <v>79</v>
      </c>
      <c r="G97" s="121">
        <v>150</v>
      </c>
      <c r="H97" s="122">
        <v>1098</v>
      </c>
      <c r="I97" s="59">
        <f t="shared" si="1"/>
        <v>164700</v>
      </c>
    </row>
    <row r="98" spans="1:9" ht="31.9" customHeight="1" thickBot="1" x14ac:dyDescent="0.25">
      <c r="A98" s="56">
        <v>89</v>
      </c>
      <c r="B98" s="58"/>
      <c r="C98" s="76" t="s">
        <v>138</v>
      </c>
      <c r="D98" s="128" t="s">
        <v>112</v>
      </c>
      <c r="E98" s="139" t="s">
        <v>139</v>
      </c>
      <c r="F98" s="79" t="s">
        <v>68</v>
      </c>
      <c r="G98" s="80">
        <v>400</v>
      </c>
      <c r="H98" s="81">
        <v>16.2</v>
      </c>
      <c r="I98" s="59">
        <f t="shared" ref="I98:I116" si="2">G98*H98</f>
        <v>6480</v>
      </c>
    </row>
    <row r="99" spans="1:9" ht="31.9" customHeight="1" thickBot="1" x14ac:dyDescent="0.25">
      <c r="A99" s="56">
        <v>90</v>
      </c>
      <c r="B99" s="58"/>
      <c r="C99" s="76" t="s">
        <v>138</v>
      </c>
      <c r="D99" s="128" t="s">
        <v>112</v>
      </c>
      <c r="E99" s="82" t="s">
        <v>140</v>
      </c>
      <c r="F99" s="83" t="s">
        <v>85</v>
      </c>
      <c r="G99" s="84">
        <v>60</v>
      </c>
      <c r="H99" s="107">
        <v>16.5</v>
      </c>
      <c r="I99" s="59">
        <f t="shared" si="2"/>
        <v>990</v>
      </c>
    </row>
    <row r="100" spans="1:9" ht="31.9" customHeight="1" thickBot="1" x14ac:dyDescent="0.25">
      <c r="A100" s="56">
        <v>91</v>
      </c>
      <c r="B100" s="58"/>
      <c r="C100" s="76" t="s">
        <v>138</v>
      </c>
      <c r="D100" s="128" t="s">
        <v>112</v>
      </c>
      <c r="E100" s="91" t="s">
        <v>141</v>
      </c>
      <c r="F100" s="92" t="s">
        <v>79</v>
      </c>
      <c r="G100" s="80">
        <v>40000</v>
      </c>
      <c r="H100" s="81">
        <v>42</v>
      </c>
      <c r="I100" s="59">
        <f t="shared" si="2"/>
        <v>1680000</v>
      </c>
    </row>
    <row r="101" spans="1:9" ht="31.9" customHeight="1" thickBot="1" x14ac:dyDescent="0.25">
      <c r="A101" s="56">
        <v>92</v>
      </c>
      <c r="B101" s="58"/>
      <c r="C101" s="76" t="s">
        <v>138</v>
      </c>
      <c r="D101" s="128" t="s">
        <v>112</v>
      </c>
      <c r="E101" s="82" t="s">
        <v>142</v>
      </c>
      <c r="F101" s="83" t="s">
        <v>85</v>
      </c>
      <c r="G101" s="84">
        <v>120</v>
      </c>
      <c r="H101" s="107">
        <v>15.88</v>
      </c>
      <c r="I101" s="59">
        <f t="shared" si="2"/>
        <v>1905.6000000000001</v>
      </c>
    </row>
    <row r="102" spans="1:9" ht="31.9" customHeight="1" thickBot="1" x14ac:dyDescent="0.25">
      <c r="A102" s="56">
        <v>93</v>
      </c>
      <c r="B102" s="58"/>
      <c r="C102" s="76" t="s">
        <v>138</v>
      </c>
      <c r="D102" s="128" t="s">
        <v>112</v>
      </c>
      <c r="E102" s="131" t="s">
        <v>143</v>
      </c>
      <c r="F102" s="88" t="s">
        <v>68</v>
      </c>
      <c r="G102" s="89">
        <v>500</v>
      </c>
      <c r="H102" s="90">
        <v>703</v>
      </c>
      <c r="I102" s="59">
        <f t="shared" si="2"/>
        <v>351500</v>
      </c>
    </row>
    <row r="103" spans="1:9" ht="31.9" customHeight="1" thickBot="1" x14ac:dyDescent="0.25">
      <c r="A103" s="56">
        <v>94</v>
      </c>
      <c r="B103" s="58"/>
      <c r="C103" s="76" t="s">
        <v>138</v>
      </c>
      <c r="D103" s="128" t="s">
        <v>112</v>
      </c>
      <c r="E103" s="131" t="s">
        <v>144</v>
      </c>
      <c r="F103" s="88" t="s">
        <v>68</v>
      </c>
      <c r="G103" s="89">
        <v>720</v>
      </c>
      <c r="H103" s="90">
        <v>635</v>
      </c>
      <c r="I103" s="59">
        <f t="shared" si="2"/>
        <v>457200</v>
      </c>
    </row>
    <row r="104" spans="1:9" ht="31.9" customHeight="1" thickBot="1" x14ac:dyDescent="0.25">
      <c r="A104" s="56">
        <v>95</v>
      </c>
      <c r="B104" s="58"/>
      <c r="C104" s="76" t="s">
        <v>138</v>
      </c>
      <c r="D104" s="128" t="s">
        <v>112</v>
      </c>
      <c r="E104" s="87" t="s">
        <v>145</v>
      </c>
      <c r="F104" s="88" t="s">
        <v>68</v>
      </c>
      <c r="G104" s="89">
        <v>30</v>
      </c>
      <c r="H104" s="90">
        <v>225</v>
      </c>
      <c r="I104" s="59">
        <f t="shared" si="2"/>
        <v>6750</v>
      </c>
    </row>
    <row r="105" spans="1:9" ht="31.9" customHeight="1" thickBot="1" x14ac:dyDescent="0.25">
      <c r="A105" s="56">
        <v>96</v>
      </c>
      <c r="B105" s="58"/>
      <c r="C105" s="76" t="s">
        <v>138</v>
      </c>
      <c r="D105" s="128" t="s">
        <v>112</v>
      </c>
      <c r="E105" s="87" t="s">
        <v>146</v>
      </c>
      <c r="F105" s="88" t="s">
        <v>68</v>
      </c>
      <c r="G105" s="89">
        <v>100</v>
      </c>
      <c r="H105" s="90">
        <v>119</v>
      </c>
      <c r="I105" s="59">
        <f t="shared" si="2"/>
        <v>11900</v>
      </c>
    </row>
    <row r="106" spans="1:9" ht="31.9" customHeight="1" thickBot="1" x14ac:dyDescent="0.25">
      <c r="A106" s="56">
        <v>97</v>
      </c>
      <c r="B106" s="58"/>
      <c r="C106" s="76" t="s">
        <v>138</v>
      </c>
      <c r="D106" s="128" t="s">
        <v>112</v>
      </c>
      <c r="E106" s="87" t="s">
        <v>147</v>
      </c>
      <c r="F106" s="88" t="s">
        <v>68</v>
      </c>
      <c r="G106" s="89">
        <v>50</v>
      </c>
      <c r="H106" s="90">
        <v>179</v>
      </c>
      <c r="I106" s="59">
        <f t="shared" si="2"/>
        <v>8950</v>
      </c>
    </row>
    <row r="107" spans="1:9" ht="31.9" customHeight="1" thickBot="1" x14ac:dyDescent="0.25">
      <c r="A107" s="56">
        <v>98</v>
      </c>
      <c r="B107" s="58"/>
      <c r="C107" s="76" t="s">
        <v>138</v>
      </c>
      <c r="D107" s="128" t="s">
        <v>112</v>
      </c>
      <c r="E107" s="131" t="s">
        <v>148</v>
      </c>
      <c r="F107" s="88" t="s">
        <v>68</v>
      </c>
      <c r="G107" s="89">
        <v>5000</v>
      </c>
      <c r="H107" s="90">
        <v>86</v>
      </c>
      <c r="I107" s="59">
        <f t="shared" si="2"/>
        <v>430000</v>
      </c>
    </row>
    <row r="108" spans="1:9" ht="31.9" customHeight="1" thickBot="1" x14ac:dyDescent="0.25">
      <c r="A108" s="56">
        <v>99</v>
      </c>
      <c r="B108" s="58"/>
      <c r="C108" s="76" t="s">
        <v>138</v>
      </c>
      <c r="D108" s="128" t="s">
        <v>112</v>
      </c>
      <c r="E108" s="131" t="s">
        <v>149</v>
      </c>
      <c r="F108" s="88" t="s">
        <v>68</v>
      </c>
      <c r="G108" s="89">
        <v>48000</v>
      </c>
      <c r="H108" s="90">
        <v>80</v>
      </c>
      <c r="I108" s="59">
        <f t="shared" si="2"/>
        <v>3840000</v>
      </c>
    </row>
    <row r="109" spans="1:9" ht="31.9" customHeight="1" thickBot="1" x14ac:dyDescent="0.25">
      <c r="A109" s="56">
        <v>100</v>
      </c>
      <c r="B109" s="58"/>
      <c r="C109" s="76" t="s">
        <v>138</v>
      </c>
      <c r="D109" s="128" t="s">
        <v>112</v>
      </c>
      <c r="E109" s="142" t="s">
        <v>150</v>
      </c>
      <c r="F109" s="88" t="s">
        <v>68</v>
      </c>
      <c r="G109" s="149">
        <v>500</v>
      </c>
      <c r="H109" s="90">
        <v>62</v>
      </c>
      <c r="I109" s="59">
        <f t="shared" si="2"/>
        <v>31000</v>
      </c>
    </row>
    <row r="110" spans="1:9" ht="31.9" customHeight="1" thickBot="1" x14ac:dyDescent="0.25">
      <c r="A110" s="56">
        <v>101</v>
      </c>
      <c r="B110" s="58"/>
      <c r="C110" s="76" t="s">
        <v>138</v>
      </c>
      <c r="D110" s="128" t="s">
        <v>112</v>
      </c>
      <c r="E110" s="142" t="s">
        <v>151</v>
      </c>
      <c r="F110" s="88" t="s">
        <v>68</v>
      </c>
      <c r="G110" s="149">
        <v>50</v>
      </c>
      <c r="H110" s="90">
        <v>286</v>
      </c>
      <c r="I110" s="59">
        <f t="shared" si="2"/>
        <v>14300</v>
      </c>
    </row>
    <row r="111" spans="1:9" ht="31.9" customHeight="1" thickBot="1" x14ac:dyDescent="0.25">
      <c r="A111" s="56">
        <v>102</v>
      </c>
      <c r="B111" s="58"/>
      <c r="C111" s="76" t="s">
        <v>138</v>
      </c>
      <c r="D111" s="128" t="s">
        <v>112</v>
      </c>
      <c r="E111" s="142" t="s">
        <v>152</v>
      </c>
      <c r="F111" s="88" t="s">
        <v>68</v>
      </c>
      <c r="G111" s="149">
        <v>100</v>
      </c>
      <c r="H111" s="90">
        <v>114</v>
      </c>
      <c r="I111" s="59">
        <f t="shared" si="2"/>
        <v>11400</v>
      </c>
    </row>
    <row r="112" spans="1:9" ht="31.9" customHeight="1" thickBot="1" x14ac:dyDescent="0.25">
      <c r="A112" s="56">
        <v>103</v>
      </c>
      <c r="B112" s="58"/>
      <c r="C112" s="76" t="s">
        <v>138</v>
      </c>
      <c r="D112" s="128" t="s">
        <v>112</v>
      </c>
      <c r="E112" s="142" t="s">
        <v>153</v>
      </c>
      <c r="F112" s="114" t="s">
        <v>68</v>
      </c>
      <c r="G112" s="149">
        <v>500</v>
      </c>
      <c r="H112" s="90">
        <v>35.799999999999997</v>
      </c>
      <c r="I112" s="59">
        <f t="shared" si="2"/>
        <v>17900</v>
      </c>
    </row>
    <row r="113" spans="1:9" ht="31.9" customHeight="1" thickBot="1" x14ac:dyDescent="0.25">
      <c r="A113" s="56">
        <v>104</v>
      </c>
      <c r="B113" s="58"/>
      <c r="C113" s="76" t="s">
        <v>138</v>
      </c>
      <c r="D113" s="128" t="s">
        <v>112</v>
      </c>
      <c r="E113" s="78" t="s">
        <v>154</v>
      </c>
      <c r="F113" s="79" t="s">
        <v>68</v>
      </c>
      <c r="G113" s="80">
        <v>500</v>
      </c>
      <c r="H113" s="81">
        <v>8.5</v>
      </c>
      <c r="I113" s="59">
        <f t="shared" si="2"/>
        <v>4250</v>
      </c>
    </row>
    <row r="114" spans="1:9" ht="31.9" customHeight="1" thickBot="1" x14ac:dyDescent="0.25">
      <c r="A114" s="56">
        <v>105</v>
      </c>
      <c r="B114" s="58"/>
      <c r="C114" s="76" t="s">
        <v>138</v>
      </c>
      <c r="D114" s="128" t="s">
        <v>112</v>
      </c>
      <c r="E114" s="91" t="s">
        <v>155</v>
      </c>
      <c r="F114" s="93" t="s">
        <v>95</v>
      </c>
      <c r="G114" s="80">
        <v>20</v>
      </c>
      <c r="H114" s="81">
        <v>550</v>
      </c>
      <c r="I114" s="59">
        <f t="shared" si="2"/>
        <v>11000</v>
      </c>
    </row>
    <row r="115" spans="1:9" ht="31.9" customHeight="1" thickBot="1" x14ac:dyDescent="0.25">
      <c r="A115" s="56">
        <v>106</v>
      </c>
      <c r="B115" s="58"/>
      <c r="C115" s="76" t="s">
        <v>138</v>
      </c>
      <c r="D115" s="128" t="s">
        <v>112</v>
      </c>
      <c r="E115" s="109" t="s">
        <v>156</v>
      </c>
      <c r="F115" s="83" t="s">
        <v>85</v>
      </c>
      <c r="G115" s="84">
        <v>30</v>
      </c>
      <c r="H115" s="107">
        <v>69</v>
      </c>
      <c r="I115" s="59">
        <f t="shared" si="2"/>
        <v>2070</v>
      </c>
    </row>
    <row r="116" spans="1:9" ht="31.9" customHeight="1" thickBot="1" x14ac:dyDescent="0.25">
      <c r="A116" s="56">
        <v>107</v>
      </c>
      <c r="B116" s="58"/>
      <c r="C116" s="76" t="s">
        <v>138</v>
      </c>
      <c r="D116" s="128" t="s">
        <v>112</v>
      </c>
      <c r="E116" s="78" t="s">
        <v>157</v>
      </c>
      <c r="F116" s="79" t="s">
        <v>68</v>
      </c>
      <c r="G116" s="80">
        <v>300</v>
      </c>
      <c r="H116" s="81">
        <v>41</v>
      </c>
      <c r="I116" s="59">
        <f t="shared" si="2"/>
        <v>12300</v>
      </c>
    </row>
    <row r="118" spans="1:9" ht="13.5" thickBot="1" x14ac:dyDescent="0.25"/>
    <row r="119" spans="1:9" ht="67.5" customHeight="1" thickBot="1" x14ac:dyDescent="0.25">
      <c r="C119" s="159" t="s">
        <v>188</v>
      </c>
      <c r="D119" s="160"/>
      <c r="E119" s="160"/>
    </row>
    <row r="120" spans="1:9" ht="27" customHeight="1" thickBot="1" x14ac:dyDescent="0.25">
      <c r="C120" s="161" t="s">
        <v>189</v>
      </c>
      <c r="D120" s="162"/>
      <c r="E120" s="163"/>
    </row>
    <row r="121" spans="1:9" ht="37.5" customHeight="1" thickBot="1" x14ac:dyDescent="0.25">
      <c r="C121" s="164" t="s">
        <v>190</v>
      </c>
      <c r="D121" s="165"/>
      <c r="E121" s="166"/>
    </row>
    <row r="122" spans="1:9" ht="13.5" thickBot="1" x14ac:dyDescent="0.25"/>
    <row r="123" spans="1:9" x14ac:dyDescent="0.2">
      <c r="B123" s="42" t="s">
        <v>186</v>
      </c>
      <c r="C123" s="43"/>
      <c r="D123" s="43"/>
      <c r="E123" s="44"/>
    </row>
    <row r="124" spans="1:9" ht="5.25" customHeight="1" x14ac:dyDescent="0.2">
      <c r="B124" s="45"/>
      <c r="C124" s="46"/>
      <c r="D124" s="46"/>
      <c r="E124" s="47"/>
    </row>
    <row r="125" spans="1:9" x14ac:dyDescent="0.2">
      <c r="B125" s="48" t="s">
        <v>14</v>
      </c>
      <c r="C125" s="46"/>
      <c r="D125" s="46"/>
      <c r="E125" s="47"/>
    </row>
    <row r="126" spans="1:9" ht="41.25" customHeight="1" x14ac:dyDescent="0.2">
      <c r="B126" s="48"/>
      <c r="C126" s="152"/>
      <c r="D126" s="152"/>
      <c r="E126" s="152"/>
    </row>
    <row r="127" spans="1:9" x14ac:dyDescent="0.2">
      <c r="B127" s="48" t="s">
        <v>15</v>
      </c>
      <c r="C127" s="46"/>
      <c r="D127" s="46"/>
      <c r="E127" s="47"/>
    </row>
    <row r="128" spans="1:9" ht="19.5" customHeight="1" x14ac:dyDescent="0.2">
      <c r="B128" s="49"/>
      <c r="C128" s="156" t="s">
        <v>187</v>
      </c>
      <c r="D128" s="156"/>
      <c r="E128" s="157"/>
    </row>
    <row r="129" spans="2:5" x14ac:dyDescent="0.2">
      <c r="B129" s="49"/>
      <c r="C129" s="158"/>
      <c r="D129" s="158"/>
      <c r="E129" s="158"/>
    </row>
    <row r="130" spans="2:5" x14ac:dyDescent="0.2">
      <c r="B130" s="48" t="s">
        <v>16</v>
      </c>
      <c r="C130" s="46"/>
      <c r="D130" s="46"/>
      <c r="E130" s="47"/>
    </row>
    <row r="131" spans="2:5" ht="26.25" customHeight="1" x14ac:dyDescent="0.2">
      <c r="B131" s="49"/>
      <c r="C131" s="152"/>
      <c r="D131" s="152"/>
      <c r="E131" s="152"/>
    </row>
    <row r="132" spans="2:5" x14ac:dyDescent="0.2">
      <c r="B132" s="48" t="s">
        <v>17</v>
      </c>
      <c r="C132" s="50"/>
      <c r="D132" s="50"/>
      <c r="E132" s="51"/>
    </row>
    <row r="133" spans="2:5" ht="26.25" customHeight="1" x14ac:dyDescent="0.2">
      <c r="B133" s="49"/>
      <c r="C133" s="153" t="s">
        <v>62</v>
      </c>
      <c r="D133" s="153"/>
      <c r="E133" s="153"/>
    </row>
    <row r="134" spans="2:5" x14ac:dyDescent="0.2">
      <c r="B134" s="48" t="s">
        <v>18</v>
      </c>
      <c r="C134" s="46"/>
      <c r="D134" s="46"/>
      <c r="E134" s="47"/>
    </row>
    <row r="135" spans="2:5" ht="23.25" customHeight="1" x14ac:dyDescent="0.2">
      <c r="B135" s="48"/>
      <c r="C135" s="154"/>
      <c r="D135" s="154"/>
      <c r="E135" s="154"/>
    </row>
    <row r="136" spans="2:5" x14ac:dyDescent="0.2">
      <c r="B136" s="52"/>
      <c r="C136" s="53"/>
      <c r="D136" s="53"/>
      <c r="E136" s="54"/>
    </row>
  </sheetData>
  <sortState ref="C10:H116">
    <sortCondition ref="E10:E116"/>
  </sortState>
  <mergeCells count="16">
    <mergeCell ref="B2:H2"/>
    <mergeCell ref="A4:B4"/>
    <mergeCell ref="C4:E4"/>
    <mergeCell ref="A5:B5"/>
    <mergeCell ref="C5:E5"/>
    <mergeCell ref="C131:E131"/>
    <mergeCell ref="C133:E133"/>
    <mergeCell ref="C135:E135"/>
    <mergeCell ref="A6:B6"/>
    <mergeCell ref="A7:B7"/>
    <mergeCell ref="C126:E126"/>
    <mergeCell ref="C128:E128"/>
    <mergeCell ref="C129:E129"/>
    <mergeCell ref="C119:E119"/>
    <mergeCell ref="C120:E120"/>
    <mergeCell ref="C121:E1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9"/>
  <sheetViews>
    <sheetView zoomScale="70" zoomScaleNormal="70" workbookViewId="0">
      <selection activeCell="D126" sqref="D1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77" t="s">
        <v>19</v>
      </c>
      <c r="B1" s="177"/>
      <c r="C1" s="177"/>
      <c r="D1" s="177"/>
      <c r="E1" s="177"/>
      <c r="F1" s="177"/>
      <c r="G1" s="177"/>
      <c r="H1" s="177"/>
      <c r="I1" s="177"/>
      <c r="J1" s="3" t="s">
        <v>20</v>
      </c>
      <c r="K1" s="62" t="s">
        <v>158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78" t="s">
        <v>53</v>
      </c>
      <c r="B3" s="178"/>
      <c r="C3" s="178"/>
      <c r="D3" s="179" t="str">
        <f>'Necesidades Trimestrales'!C4</f>
        <v>40 - Ministerio de Salud</v>
      </c>
      <c r="E3" s="179"/>
      <c r="F3" s="179"/>
      <c r="G3" s="179"/>
      <c r="H3" s="179"/>
      <c r="I3" s="179"/>
      <c r="J3" s="179"/>
      <c r="K3" s="179"/>
    </row>
    <row r="4" spans="1:11" ht="18.75" customHeight="1" thickBot="1" x14ac:dyDescent="0.25">
      <c r="A4" s="180" t="s">
        <v>54</v>
      </c>
      <c r="B4" s="180"/>
      <c r="C4" s="180"/>
      <c r="D4" s="179" t="str">
        <f>'Necesidades Trimestrales'!C5</f>
        <v>23 - Hospital Interzonal San Juan Bautista</v>
      </c>
      <c r="E4" s="179"/>
      <c r="F4" s="179"/>
      <c r="G4" s="179"/>
      <c r="H4" s="179"/>
      <c r="I4" s="179"/>
      <c r="J4" s="179"/>
      <c r="K4" s="179"/>
    </row>
    <row r="5" spans="1:11" ht="18.75" customHeight="1" thickBot="1" x14ac:dyDescent="0.25">
      <c r="A5" s="180" t="s">
        <v>32</v>
      </c>
      <c r="B5" s="180"/>
      <c r="C5" s="180"/>
      <c r="D5" s="179" t="s">
        <v>59</v>
      </c>
      <c r="E5" s="179"/>
      <c r="F5" s="179"/>
      <c r="G5" s="179"/>
      <c r="H5" s="179"/>
      <c r="I5" s="179"/>
      <c r="J5" s="179"/>
      <c r="K5" s="179"/>
    </row>
    <row r="6" spans="1:11" ht="16.5" customHeight="1" thickBot="1" x14ac:dyDescent="0.25">
      <c r="A6" s="178" t="s">
        <v>55</v>
      </c>
      <c r="B6" s="178"/>
      <c r="C6" s="178"/>
      <c r="D6" s="179" t="s">
        <v>60</v>
      </c>
      <c r="E6" s="179"/>
      <c r="F6" s="179"/>
      <c r="G6" s="179"/>
      <c r="H6" s="179"/>
      <c r="I6" s="179"/>
      <c r="J6" s="179"/>
      <c r="K6" s="179"/>
    </row>
    <row r="7" spans="1:11" ht="16.5" customHeight="1" x14ac:dyDescent="0.2">
      <c r="A7" s="180" t="s">
        <v>21</v>
      </c>
      <c r="B7" s="180"/>
      <c r="C7" s="180"/>
      <c r="D7" s="179" t="str">
        <f>'Necesidades Trimestrales'!C7 &amp; "° Trimestre - Año " &amp; 'Necesidades Trimestrales'!C6</f>
        <v>4° Trimestre - Año 2021</v>
      </c>
      <c r="E7" s="179"/>
      <c r="F7" s="179"/>
      <c r="G7" s="179"/>
      <c r="H7" s="179"/>
      <c r="I7" s="179"/>
      <c r="J7" s="179"/>
      <c r="K7" s="179"/>
    </row>
    <row r="8" spans="1:11" ht="16.5" customHeight="1" x14ac:dyDescent="0.2">
      <c r="A8" s="172" t="s">
        <v>22</v>
      </c>
      <c r="B8" s="172"/>
      <c r="C8" s="172"/>
      <c r="D8" s="173" t="s">
        <v>65</v>
      </c>
      <c r="E8" s="173"/>
      <c r="F8" s="173"/>
      <c r="G8" s="173"/>
      <c r="H8" s="173"/>
      <c r="I8" s="173"/>
      <c r="J8" s="173"/>
      <c r="K8" s="17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74" t="s">
        <v>23</v>
      </c>
      <c r="B10" s="175" t="s">
        <v>24</v>
      </c>
      <c r="C10" s="175" t="s">
        <v>25</v>
      </c>
      <c r="D10" s="175"/>
      <c r="E10" s="175"/>
      <c r="F10" s="175"/>
      <c r="G10" s="175"/>
      <c r="H10" s="175" t="s">
        <v>26</v>
      </c>
      <c r="I10" s="175" t="s">
        <v>27</v>
      </c>
      <c r="J10" s="175" t="s">
        <v>28</v>
      </c>
      <c r="K10" s="176" t="s">
        <v>29</v>
      </c>
    </row>
    <row r="11" spans="1:11" ht="24" customHeight="1" thickBot="1" x14ac:dyDescent="0.25">
      <c r="A11" s="174"/>
      <c r="B11" s="175"/>
      <c r="C11" s="175"/>
      <c r="D11" s="175"/>
      <c r="E11" s="175"/>
      <c r="F11" s="175"/>
      <c r="G11" s="175"/>
      <c r="H11" s="175"/>
      <c r="I11" s="175"/>
      <c r="J11" s="175"/>
      <c r="K11" s="176"/>
    </row>
    <row r="12" spans="1:11" ht="20.25" customHeight="1" thickBot="1" x14ac:dyDescent="0.25">
      <c r="A12" s="8">
        <v>1</v>
      </c>
      <c r="B12" s="63">
        <f>'Necesidades Trimestrales'!B10</f>
        <v>0</v>
      </c>
      <c r="C12" s="169" t="str">
        <f>'Necesidades Trimestrales'!E10</f>
        <v>ACIDO ACETIL SALICILICO 100 MG COMPRIMIDO</v>
      </c>
      <c r="D12" s="169"/>
      <c r="E12" s="169"/>
      <c r="F12" s="169"/>
      <c r="G12" s="169"/>
      <c r="H12" s="64" t="s">
        <v>56</v>
      </c>
      <c r="I12" s="65" t="str">
        <f>'Necesidades Trimestrales'!F10</f>
        <v>COMPRIMIDO</v>
      </c>
      <c r="J12" s="66">
        <f>'Necesidades Trimestrales'!H10</f>
        <v>2.5</v>
      </c>
      <c r="K12" s="67">
        <f>'Necesidades Trimestrales'!G10</f>
        <v>2000</v>
      </c>
    </row>
    <row r="13" spans="1:11" ht="20.25" customHeight="1" thickBot="1" x14ac:dyDescent="0.25">
      <c r="A13" s="8">
        <v>2</v>
      </c>
      <c r="B13" s="63">
        <f>'Necesidades Trimestrales'!B11</f>
        <v>0</v>
      </c>
      <c r="C13" s="169" t="str">
        <f>'Necesidades Trimestrales'!E11</f>
        <v>ACIDO AMINOCAPROICO 2G AMPOLLA</v>
      </c>
      <c r="D13" s="169"/>
      <c r="E13" s="169"/>
      <c r="F13" s="169"/>
      <c r="G13" s="169"/>
      <c r="H13" s="64" t="s">
        <v>56</v>
      </c>
      <c r="I13" s="65" t="str">
        <f>'Necesidades Trimestrales'!F11</f>
        <v>UNIDAD</v>
      </c>
      <c r="J13" s="66">
        <f>'Necesidades Trimestrales'!H11</f>
        <v>218</v>
      </c>
      <c r="K13" s="67">
        <f>'Necesidades Trimestrales'!G11</f>
        <v>900</v>
      </c>
    </row>
    <row r="14" spans="1:11" ht="20.25" customHeight="1" thickBot="1" x14ac:dyDescent="0.25">
      <c r="A14" s="8">
        <v>3</v>
      </c>
      <c r="B14" s="63">
        <f>'Necesidades Trimestrales'!B12</f>
        <v>0</v>
      </c>
      <c r="C14" s="169" t="str">
        <f>'Necesidades Trimestrales'!E12</f>
        <v>ACIDO FOLICO 5 MG COMPRIMIDOS</v>
      </c>
      <c r="D14" s="169"/>
      <c r="E14" s="169"/>
      <c r="F14" s="169"/>
      <c r="G14" s="169"/>
      <c r="H14" s="64" t="s">
        <v>56</v>
      </c>
      <c r="I14" s="65" t="str">
        <f>'Necesidades Trimestrales'!F12</f>
        <v>UNIDAD</v>
      </c>
      <c r="J14" s="66">
        <f>'Necesidades Trimestrales'!H12</f>
        <v>26</v>
      </c>
      <c r="K14" s="67">
        <f>'Necesidades Trimestrales'!G12</f>
        <v>3000</v>
      </c>
    </row>
    <row r="15" spans="1:11" ht="20.25" customHeight="1" thickBot="1" x14ac:dyDescent="0.25">
      <c r="A15" s="8">
        <v>4</v>
      </c>
      <c r="B15" s="63">
        <f>'Necesidades Trimestrales'!B13</f>
        <v>0</v>
      </c>
      <c r="C15" s="169" t="str">
        <f>'Necesidades Trimestrales'!E13</f>
        <v>ACIDO POLIACRILICO 0,2% GEL x 10 GRS</v>
      </c>
      <c r="D15" s="169"/>
      <c r="E15" s="169"/>
      <c r="F15" s="169"/>
      <c r="G15" s="169"/>
      <c r="H15" s="64" t="s">
        <v>56</v>
      </c>
      <c r="I15" s="65" t="str">
        <f>'Necesidades Trimestrales'!F13</f>
        <v>ENVASE</v>
      </c>
      <c r="J15" s="66">
        <f>'Necesidades Trimestrales'!H13</f>
        <v>950</v>
      </c>
      <c r="K15" s="67">
        <f>'Necesidades Trimestrales'!G13</f>
        <v>5</v>
      </c>
    </row>
    <row r="16" spans="1:11" ht="20.25" customHeight="1" thickBot="1" x14ac:dyDescent="0.25">
      <c r="A16" s="8">
        <v>5</v>
      </c>
      <c r="B16" s="63">
        <f>'Necesidades Trimestrales'!B14</f>
        <v>0</v>
      </c>
      <c r="C16" s="169" t="str">
        <f>'Necesidades Trimestrales'!E14</f>
        <v>ADENOSINA 6 MG AMPOLLA</v>
      </c>
      <c r="D16" s="169"/>
      <c r="E16" s="169"/>
      <c r="F16" s="169"/>
      <c r="G16" s="169"/>
      <c r="H16" s="64" t="s">
        <v>56</v>
      </c>
      <c r="I16" s="65" t="str">
        <f>'Necesidades Trimestrales'!F14</f>
        <v>UNIDAD</v>
      </c>
      <c r="J16" s="66">
        <f>'Necesidades Trimestrales'!H14</f>
        <v>131</v>
      </c>
      <c r="K16" s="67">
        <f>'Necesidades Trimestrales'!G14</f>
        <v>200</v>
      </c>
    </row>
    <row r="17" spans="1:11" ht="20.25" customHeight="1" thickBot="1" x14ac:dyDescent="0.25">
      <c r="A17" s="8">
        <v>6</v>
      </c>
      <c r="B17" s="63">
        <f>'Necesidades Trimestrales'!B15</f>
        <v>0</v>
      </c>
      <c r="C17" s="169" t="str">
        <f>'Necesidades Trimestrales'!E15</f>
        <v>ADRENALINA  1MG/ML AMPOLLA DE 1 ML</v>
      </c>
      <c r="D17" s="169"/>
      <c r="E17" s="169"/>
      <c r="F17" s="169"/>
      <c r="G17" s="169"/>
      <c r="H17" s="64" t="s">
        <v>56</v>
      </c>
      <c r="I17" s="65" t="str">
        <f>'Necesidades Trimestrales'!F15</f>
        <v>UNIDAD</v>
      </c>
      <c r="J17" s="66">
        <f>'Necesidades Trimestrales'!H15</f>
        <v>32</v>
      </c>
      <c r="K17" s="67">
        <f>'Necesidades Trimestrales'!G15</f>
        <v>300</v>
      </c>
    </row>
    <row r="18" spans="1:11" ht="20.25" customHeight="1" thickBot="1" x14ac:dyDescent="0.25">
      <c r="A18" s="8">
        <v>7</v>
      </c>
      <c r="B18" s="63">
        <f>'Necesidades Trimestrales'!B16</f>
        <v>0</v>
      </c>
      <c r="C18" s="169" t="str">
        <f>'Necesidades Trimestrales'!E16</f>
        <v>AGUA DESTILADA DE IRRIGACION QUIRURGICA X 2000 ML SACHET</v>
      </c>
      <c r="D18" s="169"/>
      <c r="E18" s="169"/>
      <c r="F18" s="169"/>
      <c r="G18" s="169"/>
      <c r="H18" s="64" t="s">
        <v>56</v>
      </c>
      <c r="I18" s="65" t="str">
        <f>'Necesidades Trimestrales'!F16</f>
        <v>UNIDAD</v>
      </c>
      <c r="J18" s="66">
        <f>'Necesidades Trimestrales'!H16</f>
        <v>260</v>
      </c>
      <c r="K18" s="67">
        <f>'Necesidades Trimestrales'!G16</f>
        <v>400</v>
      </c>
    </row>
    <row r="19" spans="1:11" ht="20.25" customHeight="1" thickBot="1" x14ac:dyDescent="0.25">
      <c r="A19" s="8">
        <v>8</v>
      </c>
      <c r="B19" s="63">
        <f>'Necesidades Trimestrales'!B17</f>
        <v>0</v>
      </c>
      <c r="C19" s="169" t="str">
        <f>'Necesidades Trimestrales'!E17</f>
        <v>ALBUMINA HUMANA 20% X 50 ML</v>
      </c>
      <c r="D19" s="169"/>
      <c r="E19" s="169"/>
      <c r="F19" s="169"/>
      <c r="G19" s="169"/>
      <c r="H19" s="64" t="s">
        <v>56</v>
      </c>
      <c r="I19" s="65" t="str">
        <f>'Necesidades Trimestrales'!F17</f>
        <v>FRASCO</v>
      </c>
      <c r="J19" s="66">
        <f>'Necesidades Trimestrales'!H17</f>
        <v>2800</v>
      </c>
      <c r="K19" s="67">
        <f>'Necesidades Trimestrales'!G17</f>
        <v>200</v>
      </c>
    </row>
    <row r="20" spans="1:11" ht="39.75" customHeight="1" thickBot="1" x14ac:dyDescent="0.25">
      <c r="A20" s="8">
        <v>9</v>
      </c>
      <c r="B20" s="63">
        <f>'Necesidades Trimestrales'!B18</f>
        <v>0</v>
      </c>
      <c r="C20" s="169" t="str">
        <f>'Necesidades Trimestrales'!E18</f>
        <v>ALIMENTACION PARENTERAL  DE GRAN VOLUMEN TIPO OLI CLINOMEL/SMOFKABIVEN CENTRAL BOLSA X 1970 ML</v>
      </c>
      <c r="D20" s="169"/>
      <c r="E20" s="169"/>
      <c r="F20" s="169"/>
      <c r="G20" s="169"/>
      <c r="H20" s="64" t="s">
        <v>56</v>
      </c>
      <c r="I20" s="65" t="str">
        <f>'Necesidades Trimestrales'!F18</f>
        <v>ENVASE</v>
      </c>
      <c r="J20" s="66">
        <f>'Necesidades Trimestrales'!H18</f>
        <v>6218</v>
      </c>
      <c r="K20" s="67">
        <f>'Necesidades Trimestrales'!G18</f>
        <v>60</v>
      </c>
    </row>
    <row r="21" spans="1:11" ht="20.25" customHeight="1" thickBot="1" x14ac:dyDescent="0.25">
      <c r="A21" s="8">
        <v>10</v>
      </c>
      <c r="B21" s="63">
        <f>'Necesidades Trimestrales'!B19</f>
        <v>0</v>
      </c>
      <c r="C21" s="169" t="str">
        <f>'Necesidades Trimestrales'!E19</f>
        <v>AMINIFILINA 200 MG AMPOLLA</v>
      </c>
      <c r="D21" s="169"/>
      <c r="E21" s="169"/>
      <c r="F21" s="169"/>
      <c r="G21" s="169"/>
      <c r="H21" s="64" t="s">
        <v>56</v>
      </c>
      <c r="I21" s="65" t="str">
        <f>'Necesidades Trimestrales'!F19</f>
        <v>COMPRIMIDO</v>
      </c>
      <c r="J21" s="66">
        <f>'Necesidades Trimestrales'!H19</f>
        <v>68</v>
      </c>
      <c r="K21" s="67">
        <f>'Necesidades Trimestrales'!G19</f>
        <v>100</v>
      </c>
    </row>
    <row r="22" spans="1:11" ht="20.25" customHeight="1" thickBot="1" x14ac:dyDescent="0.25">
      <c r="A22" s="8">
        <v>11</v>
      </c>
      <c r="B22" s="63">
        <f>'Necesidades Trimestrales'!B20</f>
        <v>0</v>
      </c>
      <c r="C22" s="169" t="str">
        <f>'Necesidades Trimestrales'!E20</f>
        <v>AMIODARONA 150 MG AMPOLLA X 3ML</v>
      </c>
      <c r="D22" s="169"/>
      <c r="E22" s="169"/>
      <c r="F22" s="169"/>
      <c r="G22" s="169"/>
      <c r="H22" s="64" t="s">
        <v>56</v>
      </c>
      <c r="I22" s="65" t="str">
        <f>'Necesidades Trimestrales'!F20</f>
        <v>UNIDAD</v>
      </c>
      <c r="J22" s="66">
        <f>'Necesidades Trimestrales'!H20</f>
        <v>9.8000000000000007</v>
      </c>
      <c r="K22" s="67">
        <f>'Necesidades Trimestrales'!G20</f>
        <v>300</v>
      </c>
    </row>
    <row r="23" spans="1:11" ht="20.25" customHeight="1" thickBot="1" x14ac:dyDescent="0.25">
      <c r="A23" s="8">
        <v>12</v>
      </c>
      <c r="B23" s="63">
        <f>'Necesidades Trimestrales'!B21</f>
        <v>0</v>
      </c>
      <c r="C23" s="169" t="str">
        <f>'Necesidades Trimestrales'!E21</f>
        <v>AMLODIPINA 10 MG COMPRIMIDO</v>
      </c>
      <c r="D23" s="169"/>
      <c r="E23" s="169"/>
      <c r="F23" s="169"/>
      <c r="G23" s="169"/>
      <c r="H23" s="64" t="s">
        <v>56</v>
      </c>
      <c r="I23" s="65" t="str">
        <f>'Necesidades Trimestrales'!F21</f>
        <v>UNIDAD</v>
      </c>
      <c r="J23" s="66">
        <f>'Necesidades Trimestrales'!H21</f>
        <v>4.9000000000000004</v>
      </c>
      <c r="K23" s="67">
        <f>'Necesidades Trimestrales'!G21</f>
        <v>3000</v>
      </c>
    </row>
    <row r="24" spans="1:11" ht="20.25" customHeight="1" thickBot="1" x14ac:dyDescent="0.25">
      <c r="A24" s="8">
        <v>13</v>
      </c>
      <c r="B24" s="63">
        <f>'Necesidades Trimestrales'!B22</f>
        <v>0</v>
      </c>
      <c r="C24" s="169" t="str">
        <f>'Necesidades Trimestrales'!E22</f>
        <v>AMOXICILINA + CLAVULANICO 1 G COMPRIMIDO</v>
      </c>
      <c r="D24" s="169"/>
      <c r="E24" s="169"/>
      <c r="F24" s="169"/>
      <c r="G24" s="169"/>
      <c r="H24" s="64" t="s">
        <v>56</v>
      </c>
      <c r="I24" s="65" t="str">
        <f>'Necesidades Trimestrales'!F22</f>
        <v>COMPRIMIDO</v>
      </c>
      <c r="J24" s="66">
        <f>'Necesidades Trimestrales'!H22</f>
        <v>28</v>
      </c>
      <c r="K24" s="67">
        <f>'Necesidades Trimestrales'!G22</f>
        <v>200</v>
      </c>
    </row>
    <row r="25" spans="1:11" ht="20.25" customHeight="1" thickBot="1" x14ac:dyDescent="0.25">
      <c r="A25" s="8">
        <v>14</v>
      </c>
      <c r="B25" s="63">
        <f>'Necesidades Trimestrales'!B23</f>
        <v>0</v>
      </c>
      <c r="C25" s="169" t="str">
        <f>'Necesidades Trimestrales'!E23</f>
        <v>ATORVASTATINA 10 MG COMPRIMIDO</v>
      </c>
      <c r="D25" s="169"/>
      <c r="E25" s="169"/>
      <c r="F25" s="169"/>
      <c r="G25" s="169"/>
      <c r="H25" s="64" t="s">
        <v>56</v>
      </c>
      <c r="I25" s="65" t="str">
        <f>'Necesidades Trimestrales'!F23</f>
        <v>UNIDAD</v>
      </c>
      <c r="J25" s="66">
        <f>'Necesidades Trimestrales'!H23</f>
        <v>4.8</v>
      </c>
      <c r="K25" s="67">
        <f>'Necesidades Trimestrales'!G23</f>
        <v>450</v>
      </c>
    </row>
    <row r="26" spans="1:11" ht="20.25" customHeight="1" thickBot="1" x14ac:dyDescent="0.25">
      <c r="A26" s="8">
        <v>15</v>
      </c>
      <c r="B26" s="63">
        <f>'Necesidades Trimestrales'!B24</f>
        <v>0</v>
      </c>
      <c r="C26" s="169" t="str">
        <f>'Necesidades Trimestrales'!E24</f>
        <v>ATROPINA 1MG AMPOLLA</v>
      </c>
      <c r="D26" s="169"/>
      <c r="E26" s="169"/>
      <c r="F26" s="169"/>
      <c r="G26" s="169"/>
      <c r="H26" s="64" t="s">
        <v>56</v>
      </c>
      <c r="I26" s="65" t="str">
        <f>'Necesidades Trimestrales'!F24</f>
        <v>AMPOLLA</v>
      </c>
      <c r="J26" s="66">
        <f>'Necesidades Trimestrales'!H24</f>
        <v>32</v>
      </c>
      <c r="K26" s="67">
        <f>'Necesidades Trimestrales'!G24</f>
        <v>1000</v>
      </c>
    </row>
    <row r="27" spans="1:11" ht="20.25" customHeight="1" thickBot="1" x14ac:dyDescent="0.25">
      <c r="A27" s="8">
        <v>16</v>
      </c>
      <c r="B27" s="63">
        <f>'Necesidades Trimestrales'!B25</f>
        <v>0</v>
      </c>
      <c r="C27" s="169" t="str">
        <f>'Necesidades Trimestrales'!E25</f>
        <v xml:space="preserve">BETAMETASONA G 12 MG ( 6 MG ACETATO/6 MG FOSFATO ) AMPOLLA </v>
      </c>
      <c r="D27" s="169"/>
      <c r="E27" s="169"/>
      <c r="F27" s="169"/>
      <c r="G27" s="169"/>
      <c r="H27" s="64" t="s">
        <v>56</v>
      </c>
      <c r="I27" s="65" t="str">
        <f>'Necesidades Trimestrales'!F25</f>
        <v>AMPOLLA</v>
      </c>
      <c r="J27" s="66">
        <f>'Necesidades Trimestrales'!H25</f>
        <v>326</v>
      </c>
      <c r="K27" s="67">
        <f>'Necesidades Trimestrales'!G25</f>
        <v>100</v>
      </c>
    </row>
    <row r="28" spans="1:11" ht="20.25" customHeight="1" thickBot="1" x14ac:dyDescent="0.25">
      <c r="A28" s="8">
        <v>17</v>
      </c>
      <c r="B28" s="63">
        <f>'Necesidades Trimestrales'!B26</f>
        <v>0</v>
      </c>
      <c r="C28" s="169" t="str">
        <f>'Necesidades Trimestrales'!E26</f>
        <v>BICARBONATO 1 MOLAR SACHET X 100 ML</v>
      </c>
      <c r="D28" s="169"/>
      <c r="E28" s="169"/>
      <c r="F28" s="169"/>
      <c r="G28" s="169"/>
      <c r="H28" s="64" t="s">
        <v>56</v>
      </c>
      <c r="I28" s="65" t="str">
        <f>'Necesidades Trimestrales'!F26</f>
        <v>UNIDAD</v>
      </c>
      <c r="J28" s="66">
        <f>'Necesidades Trimestrales'!H26</f>
        <v>256</v>
      </c>
      <c r="K28" s="67">
        <f>'Necesidades Trimestrales'!G26</f>
        <v>200</v>
      </c>
    </row>
    <row r="29" spans="1:11" ht="20.25" customHeight="1" thickBot="1" x14ac:dyDescent="0.25">
      <c r="A29" s="8">
        <v>18</v>
      </c>
      <c r="B29" s="63">
        <f>'Necesidades Trimestrales'!B27</f>
        <v>0</v>
      </c>
      <c r="C29" s="169" t="str">
        <f>'Necesidades Trimestrales'!E27</f>
        <v>BUTIL BROMURO DE HIOSCINA 20 MG INY</v>
      </c>
      <c r="D29" s="169"/>
      <c r="E29" s="169"/>
      <c r="F29" s="169"/>
      <c r="G29" s="169"/>
      <c r="H29" s="64" t="s">
        <v>56</v>
      </c>
      <c r="I29" s="65" t="str">
        <f>'Necesidades Trimestrales'!F27</f>
        <v>AMPOLLA</v>
      </c>
      <c r="J29" s="66">
        <f>'Necesidades Trimestrales'!H27</f>
        <v>38</v>
      </c>
      <c r="K29" s="67">
        <f>'Necesidades Trimestrales'!G27</f>
        <v>10000</v>
      </c>
    </row>
    <row r="30" spans="1:11" ht="20.25" customHeight="1" thickBot="1" x14ac:dyDescent="0.25">
      <c r="A30" s="8">
        <v>19</v>
      </c>
      <c r="B30" s="63">
        <f>'Necesidades Trimestrales'!B28</f>
        <v>0</v>
      </c>
      <c r="C30" s="169" t="str">
        <f>'Necesidades Trimestrales'!E28</f>
        <v>BUTIL BROMURO DE HIOSCINA 20MG + DIPIRONA AMPOLLA</v>
      </c>
      <c r="D30" s="169"/>
      <c r="E30" s="169"/>
      <c r="F30" s="169"/>
      <c r="G30" s="169"/>
      <c r="H30" s="64" t="s">
        <v>56</v>
      </c>
      <c r="I30" s="65" t="str">
        <f>'Necesidades Trimestrales'!F28</f>
        <v>AMPOLLA</v>
      </c>
      <c r="J30" s="66">
        <f>'Necesidades Trimestrales'!H28</f>
        <v>65</v>
      </c>
      <c r="K30" s="67">
        <f>'Necesidades Trimestrales'!G28</f>
        <v>5000</v>
      </c>
    </row>
    <row r="31" spans="1:11" ht="20.25" customHeight="1" thickBot="1" x14ac:dyDescent="0.25">
      <c r="A31" s="8">
        <v>20</v>
      </c>
      <c r="B31" s="63">
        <f>'Necesidades Trimestrales'!B29</f>
        <v>0</v>
      </c>
      <c r="C31" s="169" t="str">
        <f>'Necesidades Trimestrales'!E29</f>
        <v>CARBON ACTIVADO POLVO x 1kg</v>
      </c>
      <c r="D31" s="169"/>
      <c r="E31" s="169"/>
      <c r="F31" s="169"/>
      <c r="G31" s="169"/>
      <c r="H31" s="64" t="s">
        <v>56</v>
      </c>
      <c r="I31" s="65" t="str">
        <f>'Necesidades Trimestrales'!F29</f>
        <v>UNIDAD</v>
      </c>
      <c r="J31" s="66">
        <f>'Necesidades Trimestrales'!H29</f>
        <v>2700</v>
      </c>
      <c r="K31" s="67">
        <f>'Necesidades Trimestrales'!G29</f>
        <v>2</v>
      </c>
    </row>
    <row r="32" spans="1:11" ht="20.25" customHeight="1" thickBot="1" x14ac:dyDescent="0.25">
      <c r="A32" s="8">
        <v>21</v>
      </c>
      <c r="B32" s="63">
        <f>'Necesidades Trimestrales'!B30</f>
        <v>0</v>
      </c>
      <c r="C32" s="169" t="str">
        <f>'Necesidades Trimestrales'!E30</f>
        <v>CARBONATO CALCIO 500 MG COMPRIMIDO</v>
      </c>
      <c r="D32" s="169"/>
      <c r="E32" s="169"/>
      <c r="F32" s="169"/>
      <c r="G32" s="169"/>
      <c r="H32" s="64" t="s">
        <v>56</v>
      </c>
      <c r="I32" s="65" t="str">
        <f>'Necesidades Trimestrales'!F30</f>
        <v>COMPRIMIDO</v>
      </c>
      <c r="J32" s="66">
        <f>'Necesidades Trimestrales'!H30</f>
        <v>3.8</v>
      </c>
      <c r="K32" s="67">
        <f>'Necesidades Trimestrales'!G30</f>
        <v>7200</v>
      </c>
    </row>
    <row r="33" spans="1:11" ht="20.25" customHeight="1" thickBot="1" x14ac:dyDescent="0.25">
      <c r="A33" s="8">
        <v>22</v>
      </c>
      <c r="B33" s="63">
        <f>'Necesidades Trimestrales'!B31</f>
        <v>0</v>
      </c>
      <c r="C33" s="169" t="str">
        <f>'Necesidades Trimestrales'!E31</f>
        <v>CARVEDILOL 12,5 MG COMPRIMIDO</v>
      </c>
      <c r="D33" s="169"/>
      <c r="E33" s="169"/>
      <c r="F33" s="169"/>
      <c r="G33" s="169"/>
      <c r="H33" s="64" t="s">
        <v>56</v>
      </c>
      <c r="I33" s="65" t="str">
        <f>'Necesidades Trimestrales'!F31</f>
        <v>UNIDAD</v>
      </c>
      <c r="J33" s="66">
        <f>'Necesidades Trimestrales'!H31</f>
        <v>7.1</v>
      </c>
      <c r="K33" s="67">
        <f>'Necesidades Trimestrales'!G31</f>
        <v>1000</v>
      </c>
    </row>
    <row r="34" spans="1:11" ht="20.25" customHeight="1" thickBot="1" x14ac:dyDescent="0.25">
      <c r="A34" s="8">
        <v>23</v>
      </c>
      <c r="B34" s="63">
        <f>'Necesidades Trimestrales'!B32</f>
        <v>0</v>
      </c>
      <c r="C34" s="169" t="str">
        <f>'Necesidades Trimestrales'!E32</f>
        <v xml:space="preserve">CICLOPENTOLATO 1%X 5ML </v>
      </c>
      <c r="D34" s="169"/>
      <c r="E34" s="169"/>
      <c r="F34" s="169"/>
      <c r="G34" s="169"/>
      <c r="H34" s="64" t="s">
        <v>56</v>
      </c>
      <c r="I34" s="65" t="str">
        <f>'Necesidades Trimestrales'!F32</f>
        <v>GOTERO</v>
      </c>
      <c r="J34" s="66">
        <f>'Necesidades Trimestrales'!H32</f>
        <v>580</v>
      </c>
      <c r="K34" s="67">
        <f>'Necesidades Trimestrales'!G32</f>
        <v>10</v>
      </c>
    </row>
    <row r="35" spans="1:11" ht="20.25" customHeight="1" thickBot="1" x14ac:dyDescent="0.25">
      <c r="A35" s="8">
        <v>24</v>
      </c>
      <c r="B35" s="63">
        <f>'Necesidades Trimestrales'!B33</f>
        <v>0</v>
      </c>
      <c r="C35" s="169" t="str">
        <f>'Necesidades Trimestrales'!E33</f>
        <v>CLARITROMICINA 500 MG COMPRIMIDO</v>
      </c>
      <c r="D35" s="169"/>
      <c r="E35" s="169"/>
      <c r="F35" s="169"/>
      <c r="G35" s="169"/>
      <c r="H35" s="64" t="s">
        <v>56</v>
      </c>
      <c r="I35" s="65" t="str">
        <f>'Necesidades Trimestrales'!F33</f>
        <v>COMPRIMIDO</v>
      </c>
      <c r="J35" s="66">
        <f>'Necesidades Trimestrales'!H33</f>
        <v>30.9</v>
      </c>
      <c r="K35" s="67">
        <f>'Necesidades Trimestrales'!G33</f>
        <v>500</v>
      </c>
    </row>
    <row r="36" spans="1:11" ht="20.25" customHeight="1" thickBot="1" x14ac:dyDescent="0.25">
      <c r="A36" s="8">
        <v>25</v>
      </c>
      <c r="B36" s="63">
        <f>'Necesidades Trimestrales'!B34</f>
        <v>0</v>
      </c>
      <c r="C36" s="169" t="str">
        <f>'Necesidades Trimestrales'!E34</f>
        <v>CLONAZEPAM 0,5 MG COMPRIMIDOS</v>
      </c>
      <c r="D36" s="169"/>
      <c r="E36" s="169"/>
      <c r="F36" s="169"/>
      <c r="G36" s="169"/>
      <c r="H36" s="64" t="s">
        <v>56</v>
      </c>
      <c r="I36" s="65" t="str">
        <f>'Necesidades Trimestrales'!F34</f>
        <v>COMPRIMIDO</v>
      </c>
      <c r="J36" s="66">
        <f>'Necesidades Trimestrales'!H34</f>
        <v>2.9</v>
      </c>
      <c r="K36" s="67">
        <f>'Necesidades Trimestrales'!G34</f>
        <v>5000</v>
      </c>
    </row>
    <row r="37" spans="1:11" ht="20.25" customHeight="1" thickBot="1" x14ac:dyDescent="0.25">
      <c r="A37" s="8">
        <v>26</v>
      </c>
      <c r="B37" s="63">
        <f>'Necesidades Trimestrales'!B35</f>
        <v>0</v>
      </c>
      <c r="C37" s="169" t="str">
        <f>'Necesidades Trimestrales'!E35</f>
        <v>CLONAZEPAM 2 MG COMPRIMIDOS</v>
      </c>
      <c r="D37" s="169"/>
      <c r="E37" s="169"/>
      <c r="F37" s="169"/>
      <c r="G37" s="169"/>
      <c r="H37" s="64" t="s">
        <v>56</v>
      </c>
      <c r="I37" s="65" t="str">
        <f>'Necesidades Trimestrales'!F35</f>
        <v>COMPRIMIDO</v>
      </c>
      <c r="J37" s="66">
        <f>'Necesidades Trimestrales'!H35</f>
        <v>3.5</v>
      </c>
      <c r="K37" s="67">
        <f>'Necesidades Trimestrales'!G35</f>
        <v>1000</v>
      </c>
    </row>
    <row r="38" spans="1:11" ht="20.25" customHeight="1" thickBot="1" x14ac:dyDescent="0.25">
      <c r="A38" s="8">
        <v>27</v>
      </c>
      <c r="B38" s="63">
        <f>'Necesidades Trimestrales'!B36</f>
        <v>0</v>
      </c>
      <c r="C38" s="169" t="str">
        <f>'Necesidades Trimestrales'!E36</f>
        <v>CLONIDINA CLORHIDRATO 0,150 MG/ML AMPOLLA X 1 ML</v>
      </c>
      <c r="D38" s="169"/>
      <c r="E38" s="169"/>
      <c r="F38" s="169"/>
      <c r="G38" s="169"/>
      <c r="H38" s="64" t="s">
        <v>56</v>
      </c>
      <c r="I38" s="65" t="str">
        <f>'Necesidades Trimestrales'!F36</f>
        <v>AMPOLLA</v>
      </c>
      <c r="J38" s="66">
        <f>'Necesidades Trimestrales'!H36</f>
        <v>80</v>
      </c>
      <c r="K38" s="67">
        <f>'Necesidades Trimestrales'!G36</f>
        <v>500</v>
      </c>
    </row>
    <row r="39" spans="1:11" ht="20.25" customHeight="1" thickBot="1" x14ac:dyDescent="0.25">
      <c r="A39" s="8">
        <v>28</v>
      </c>
      <c r="B39" s="63">
        <f>'Necesidades Trimestrales'!B37</f>
        <v>0</v>
      </c>
      <c r="C39" s="169" t="str">
        <f>'Necesidades Trimestrales'!E37</f>
        <v>CLOPIDOGREL 75 MG COMPRIMIDO</v>
      </c>
      <c r="D39" s="169"/>
      <c r="E39" s="169"/>
      <c r="F39" s="169"/>
      <c r="G39" s="169"/>
      <c r="H39" s="64" t="s">
        <v>56</v>
      </c>
      <c r="I39" s="65" t="str">
        <f>'Necesidades Trimestrales'!F37</f>
        <v>UNIDAD</v>
      </c>
      <c r="J39" s="66">
        <f>'Necesidades Trimestrales'!H37</f>
        <v>8.1</v>
      </c>
      <c r="K39" s="67">
        <f>'Necesidades Trimestrales'!G37</f>
        <v>300</v>
      </c>
    </row>
    <row r="40" spans="1:11" ht="20.25" customHeight="1" thickBot="1" x14ac:dyDescent="0.25">
      <c r="A40" s="8">
        <v>29</v>
      </c>
      <c r="B40" s="63">
        <f>'Necesidades Trimestrales'!B38</f>
        <v>0</v>
      </c>
      <c r="C40" s="169" t="str">
        <f>'Necesidades Trimestrales'!E38</f>
        <v>CLORPROMAZINA 25MG  AMPOLLA IM</v>
      </c>
      <c r="D40" s="169"/>
      <c r="E40" s="169"/>
      <c r="F40" s="169"/>
      <c r="G40" s="169"/>
      <c r="H40" s="64" t="s">
        <v>56</v>
      </c>
      <c r="I40" s="65" t="str">
        <f>'Necesidades Trimestrales'!F38</f>
        <v>AMPOLLA</v>
      </c>
      <c r="J40" s="66">
        <f>'Necesidades Trimestrales'!H38</f>
        <v>130</v>
      </c>
      <c r="K40" s="67">
        <f>'Necesidades Trimestrales'!G38</f>
        <v>400</v>
      </c>
    </row>
    <row r="41" spans="1:11" ht="20.25" customHeight="1" thickBot="1" x14ac:dyDescent="0.25">
      <c r="A41" s="8">
        <v>30</v>
      </c>
      <c r="B41" s="63">
        <f>'Necesidades Trimestrales'!B39</f>
        <v>0</v>
      </c>
      <c r="C41" s="169" t="str">
        <f>'Necesidades Trimestrales'!E39</f>
        <v>CLORPROMAZINA 50MG  AMPOLLA EV</v>
      </c>
      <c r="D41" s="169"/>
      <c r="E41" s="169"/>
      <c r="F41" s="169"/>
      <c r="G41" s="169"/>
      <c r="H41" s="64" t="s">
        <v>56</v>
      </c>
      <c r="I41" s="65" t="str">
        <f>'Necesidades Trimestrales'!F39</f>
        <v>AMPOLLA</v>
      </c>
      <c r="J41" s="66">
        <f>'Necesidades Trimestrales'!H39</f>
        <v>150</v>
      </c>
      <c r="K41" s="67">
        <f>'Necesidades Trimestrales'!G39</f>
        <v>200</v>
      </c>
    </row>
    <row r="42" spans="1:11" ht="20.25" customHeight="1" thickBot="1" x14ac:dyDescent="0.25">
      <c r="A42" s="8">
        <v>31</v>
      </c>
      <c r="B42" s="63">
        <f>'Necesidades Trimestrales'!B40</f>
        <v>0</v>
      </c>
      <c r="C42" s="169" t="str">
        <f>'Necesidades Trimestrales'!E40</f>
        <v>COLISTINA 100 MG FCO AMPOLLA</v>
      </c>
      <c r="D42" s="169"/>
      <c r="E42" s="169"/>
      <c r="F42" s="169"/>
      <c r="G42" s="169"/>
      <c r="H42" s="64" t="s">
        <v>56</v>
      </c>
      <c r="I42" s="65" t="str">
        <f>'Necesidades Trimestrales'!F40</f>
        <v>AMPOLLA</v>
      </c>
      <c r="J42" s="66">
        <f>'Necesidades Trimestrales'!H40</f>
        <v>895</v>
      </c>
      <c r="K42" s="67">
        <f>'Necesidades Trimestrales'!G40</f>
        <v>200</v>
      </c>
    </row>
    <row r="43" spans="1:11" ht="20.25" customHeight="1" thickBot="1" x14ac:dyDescent="0.25">
      <c r="A43" s="8">
        <v>32</v>
      </c>
      <c r="B43" s="63">
        <f>'Necesidades Trimestrales'!B41</f>
        <v>0</v>
      </c>
      <c r="C43" s="169" t="str">
        <f>'Necesidades Trimestrales'!E41</f>
        <v>COMPLEJO B AMPOLLAS TIPO BECOZYM NF</v>
      </c>
      <c r="D43" s="169"/>
      <c r="E43" s="169"/>
      <c r="F43" s="169"/>
      <c r="G43" s="169"/>
      <c r="H43" s="64" t="s">
        <v>56</v>
      </c>
      <c r="I43" s="65" t="str">
        <f>'Necesidades Trimestrales'!F41</f>
        <v>AMPOLLA</v>
      </c>
      <c r="J43" s="66">
        <f>'Necesidades Trimestrales'!H41</f>
        <v>71</v>
      </c>
      <c r="K43" s="67">
        <f>'Necesidades Trimestrales'!G41</f>
        <v>2500</v>
      </c>
    </row>
    <row r="44" spans="1:11" ht="20.25" customHeight="1" thickBot="1" x14ac:dyDescent="0.25">
      <c r="A44" s="8">
        <v>33</v>
      </c>
      <c r="B44" s="63">
        <f>'Necesidades Trimestrales'!B42</f>
        <v>0</v>
      </c>
      <c r="C44" s="169" t="str">
        <f>'Necesidades Trimestrales'!E42</f>
        <v>CREMA DE BISMUTO X 90 ML</v>
      </c>
      <c r="D44" s="169"/>
      <c r="E44" s="169"/>
      <c r="F44" s="169"/>
      <c r="G44" s="169"/>
      <c r="H44" s="64" t="s">
        <v>56</v>
      </c>
      <c r="I44" s="65" t="str">
        <f>'Necesidades Trimestrales'!F42</f>
        <v>FRASCO</v>
      </c>
      <c r="J44" s="66">
        <f>'Necesidades Trimestrales'!H42</f>
        <v>250</v>
      </c>
      <c r="K44" s="67">
        <f>'Necesidades Trimestrales'!G42</f>
        <v>180</v>
      </c>
    </row>
    <row r="45" spans="1:11" ht="20.25" customHeight="1" thickBot="1" x14ac:dyDescent="0.25">
      <c r="A45" s="8">
        <v>34</v>
      </c>
      <c r="B45" s="63">
        <f>'Necesidades Trimestrales'!B43</f>
        <v>0</v>
      </c>
      <c r="C45" s="169" t="str">
        <f>'Necesidades Trimestrales'!E43</f>
        <v>DIAZEPAM 10 MG AMPOLLA</v>
      </c>
      <c r="D45" s="169"/>
      <c r="E45" s="169"/>
      <c r="F45" s="169"/>
      <c r="G45" s="169"/>
      <c r="H45" s="64" t="s">
        <v>56</v>
      </c>
      <c r="I45" s="65" t="str">
        <f>'Necesidades Trimestrales'!F43</f>
        <v>AMPOLLA</v>
      </c>
      <c r="J45" s="66">
        <f>'Necesidades Trimestrales'!H43</f>
        <v>68</v>
      </c>
      <c r="K45" s="67">
        <f>'Necesidades Trimestrales'!G43</f>
        <v>1000</v>
      </c>
    </row>
    <row r="46" spans="1:11" ht="20.25" customHeight="1" thickBot="1" x14ac:dyDescent="0.25">
      <c r="A46" s="8">
        <v>35</v>
      </c>
      <c r="B46" s="63">
        <f>'Necesidades Trimestrales'!B44</f>
        <v>0</v>
      </c>
      <c r="C46" s="169" t="str">
        <f>'Necesidades Trimestrales'!E44</f>
        <v>DIAZEPAM 10 MG COMPRIMIDO</v>
      </c>
      <c r="D46" s="169"/>
      <c r="E46" s="169"/>
      <c r="F46" s="169"/>
      <c r="G46" s="169"/>
      <c r="H46" s="64" t="s">
        <v>56</v>
      </c>
      <c r="I46" s="65" t="str">
        <f>'Necesidades Trimestrales'!F44</f>
        <v>COMPRIMIDO</v>
      </c>
      <c r="J46" s="66">
        <f>'Necesidades Trimestrales'!H44</f>
        <v>5.2</v>
      </c>
      <c r="K46" s="67">
        <f>'Necesidades Trimestrales'!G44</f>
        <v>100</v>
      </c>
    </row>
    <row r="47" spans="1:11" ht="20.25" customHeight="1" thickBot="1" x14ac:dyDescent="0.25">
      <c r="A47" s="8">
        <v>36</v>
      </c>
      <c r="B47" s="63">
        <f>'Necesidades Trimestrales'!B45</f>
        <v>0</v>
      </c>
      <c r="C47" s="169" t="str">
        <f>'Necesidades Trimestrales'!E45</f>
        <v>DIFENILHIDRAMINA 10MG AMPOLLAS</v>
      </c>
      <c r="D47" s="169"/>
      <c r="E47" s="169"/>
      <c r="F47" s="169"/>
      <c r="G47" s="169"/>
      <c r="H47" s="64" t="s">
        <v>56</v>
      </c>
      <c r="I47" s="65" t="str">
        <f>'Necesidades Trimestrales'!F45</f>
        <v>AMPOLLA</v>
      </c>
      <c r="J47" s="66">
        <f>'Necesidades Trimestrales'!H45</f>
        <v>42</v>
      </c>
      <c r="K47" s="67">
        <f>'Necesidades Trimestrales'!G45</f>
        <v>2000</v>
      </c>
    </row>
    <row r="48" spans="1:11" ht="20.25" customHeight="1" thickBot="1" x14ac:dyDescent="0.25">
      <c r="A48" s="8">
        <v>37</v>
      </c>
      <c r="B48" s="63">
        <f>'Necesidades Trimestrales'!B46</f>
        <v>0</v>
      </c>
      <c r="C48" s="169" t="str">
        <f>'Necesidades Trimestrales'!E46</f>
        <v>DIGOXINA 0,25 MG AMPOLLA</v>
      </c>
      <c r="D48" s="169"/>
      <c r="E48" s="169"/>
      <c r="F48" s="169"/>
      <c r="G48" s="169"/>
      <c r="H48" s="64" t="s">
        <v>56</v>
      </c>
      <c r="I48" s="65" t="str">
        <f>'Necesidades Trimestrales'!F46</f>
        <v>UNIDAD</v>
      </c>
      <c r="J48" s="66">
        <f>'Necesidades Trimestrales'!H46</f>
        <v>49</v>
      </c>
      <c r="K48" s="67">
        <f>'Necesidades Trimestrales'!G46</f>
        <v>300</v>
      </c>
    </row>
    <row r="49" spans="1:11" ht="20.25" customHeight="1" thickBot="1" x14ac:dyDescent="0.25">
      <c r="A49" s="8">
        <v>38</v>
      </c>
      <c r="B49" s="63">
        <f>'Necesidades Trimestrales'!B47</f>
        <v>0</v>
      </c>
      <c r="C49" s="169" t="str">
        <f>'Necesidades Trimestrales'!E47</f>
        <v>DIGOXINA 0,25 MG COMPRIDO</v>
      </c>
      <c r="D49" s="169"/>
      <c r="E49" s="169"/>
      <c r="F49" s="169"/>
      <c r="G49" s="169"/>
      <c r="H49" s="64" t="s">
        <v>56</v>
      </c>
      <c r="I49" s="65" t="str">
        <f>'Necesidades Trimestrales'!F47</f>
        <v>UNIDAD</v>
      </c>
      <c r="J49" s="66">
        <f>'Necesidades Trimestrales'!H47</f>
        <v>18.899999999999999</v>
      </c>
      <c r="K49" s="67">
        <f>'Necesidades Trimestrales'!G47</f>
        <v>300</v>
      </c>
    </row>
    <row r="50" spans="1:11" ht="20.25" customHeight="1" thickBot="1" x14ac:dyDescent="0.25">
      <c r="A50" s="8">
        <v>39</v>
      </c>
      <c r="B50" s="63">
        <f>'Necesidades Trimestrales'!B48</f>
        <v>0</v>
      </c>
      <c r="C50" s="169" t="str">
        <f>'Necesidades Trimestrales'!E48</f>
        <v>DOBUTAMINA 250 mg/ml FRASCO AMPOLLA X 20 ML</v>
      </c>
      <c r="D50" s="169"/>
      <c r="E50" s="169"/>
      <c r="F50" s="169"/>
      <c r="G50" s="169"/>
      <c r="H50" s="64" t="s">
        <v>56</v>
      </c>
      <c r="I50" s="65" t="str">
        <f>'Necesidades Trimestrales'!F48</f>
        <v>AMPOLLA</v>
      </c>
      <c r="J50" s="66">
        <f>'Necesidades Trimestrales'!H48</f>
        <v>320</v>
      </c>
      <c r="K50" s="67">
        <f>'Necesidades Trimestrales'!G48</f>
        <v>200</v>
      </c>
    </row>
    <row r="51" spans="1:11" ht="20.25" customHeight="1" thickBot="1" x14ac:dyDescent="0.25">
      <c r="A51" s="8">
        <v>40</v>
      </c>
      <c r="B51" s="63">
        <f>'Necesidades Trimestrales'!B49</f>
        <v>0</v>
      </c>
      <c r="C51" s="169" t="str">
        <f>'Necesidades Trimestrales'!E49</f>
        <v>DOPAMINA 200 MG  AMPOLLA X 5 ML</v>
      </c>
      <c r="D51" s="169"/>
      <c r="E51" s="169"/>
      <c r="F51" s="169"/>
      <c r="G51" s="169"/>
      <c r="H51" s="64" t="s">
        <v>56</v>
      </c>
      <c r="I51" s="65" t="str">
        <f>'Necesidades Trimestrales'!F49</f>
        <v>AMPOLLA</v>
      </c>
      <c r="J51" s="66">
        <f>'Necesidades Trimestrales'!H49</f>
        <v>280</v>
      </c>
      <c r="K51" s="67">
        <f>'Necesidades Trimestrales'!G49</f>
        <v>1000</v>
      </c>
    </row>
    <row r="52" spans="1:11" ht="20.25" customHeight="1" thickBot="1" x14ac:dyDescent="0.25">
      <c r="A52" s="8">
        <v>41</v>
      </c>
      <c r="B52" s="63">
        <f>'Necesidades Trimestrales'!B50</f>
        <v>0</v>
      </c>
      <c r="C52" s="169" t="str">
        <f>'Necesidades Trimestrales'!E50</f>
        <v>ENALAPRIL 10 MG COMPRIMIDO</v>
      </c>
      <c r="D52" s="169"/>
      <c r="E52" s="169"/>
      <c r="F52" s="169"/>
      <c r="G52" s="169"/>
      <c r="H52" s="64" t="s">
        <v>56</v>
      </c>
      <c r="I52" s="65" t="str">
        <f>'Necesidades Trimestrales'!F50</f>
        <v>UNIDAD</v>
      </c>
      <c r="J52" s="66">
        <f>'Necesidades Trimestrales'!H50</f>
        <v>3.2</v>
      </c>
      <c r="K52" s="67">
        <f>'Necesidades Trimestrales'!G50</f>
        <v>2500</v>
      </c>
    </row>
    <row r="53" spans="1:11" ht="20.25" customHeight="1" thickBot="1" x14ac:dyDescent="0.25">
      <c r="A53" s="8">
        <v>42</v>
      </c>
      <c r="B53" s="63">
        <f>'Necesidades Trimestrales'!B51</f>
        <v>0</v>
      </c>
      <c r="C53" s="169" t="str">
        <f>'Necesidades Trimestrales'!E51</f>
        <v>ESPIRONOLACTONA 100 MG COMPRIMIDO</v>
      </c>
      <c r="D53" s="169"/>
      <c r="E53" s="169"/>
      <c r="F53" s="169"/>
      <c r="G53" s="169"/>
      <c r="H53" s="64" t="s">
        <v>56</v>
      </c>
      <c r="I53" s="65" t="str">
        <f>'Necesidades Trimestrales'!F51</f>
        <v>UNIDAD</v>
      </c>
      <c r="J53" s="66">
        <f>'Necesidades Trimestrales'!H51</f>
        <v>15.8</v>
      </c>
      <c r="K53" s="67">
        <f>'Necesidades Trimestrales'!G51</f>
        <v>1000</v>
      </c>
    </row>
    <row r="54" spans="1:11" ht="20.25" customHeight="1" thickBot="1" x14ac:dyDescent="0.25">
      <c r="A54" s="8">
        <v>43</v>
      </c>
      <c r="B54" s="63">
        <f>'Necesidades Trimestrales'!B52</f>
        <v>0</v>
      </c>
      <c r="C54" s="169" t="str">
        <f>'Necesidades Trimestrales'!E52</f>
        <v>ETILEFRINA  CLORHIDRATO  5% AMPOLLA X 1 ML</v>
      </c>
      <c r="D54" s="169"/>
      <c r="E54" s="169"/>
      <c r="F54" s="169"/>
      <c r="G54" s="169"/>
      <c r="H54" s="64" t="s">
        <v>56</v>
      </c>
      <c r="I54" s="65" t="str">
        <f>'Necesidades Trimestrales'!F52</f>
        <v>UNIDAD</v>
      </c>
      <c r="J54" s="66">
        <f>'Necesidades Trimestrales'!H52</f>
        <v>48</v>
      </c>
      <c r="K54" s="67">
        <f>'Necesidades Trimestrales'!G52</f>
        <v>300</v>
      </c>
    </row>
    <row r="55" spans="1:11" ht="20.25" customHeight="1" thickBot="1" x14ac:dyDescent="0.25">
      <c r="A55" s="8">
        <v>44</v>
      </c>
      <c r="B55" s="63">
        <f>'Necesidades Trimestrales'!B53</f>
        <v>0</v>
      </c>
      <c r="C55" s="169" t="str">
        <f>'Necesidades Trimestrales'!E53</f>
        <v>FENITOINA 100 MG COMPRIMIDO</v>
      </c>
      <c r="D55" s="169"/>
      <c r="E55" s="169"/>
      <c r="F55" s="169"/>
      <c r="G55" s="169"/>
      <c r="H55" s="64" t="s">
        <v>56</v>
      </c>
      <c r="I55" s="65" t="str">
        <f>'Necesidades Trimestrales'!F53</f>
        <v>COMPRIMIDO</v>
      </c>
      <c r="J55" s="66">
        <f>'Necesidades Trimestrales'!H53</f>
        <v>6.9</v>
      </c>
      <c r="K55" s="67">
        <f>'Necesidades Trimestrales'!G53</f>
        <v>2000</v>
      </c>
    </row>
    <row r="56" spans="1:11" ht="20.25" customHeight="1" thickBot="1" x14ac:dyDescent="0.25">
      <c r="A56" s="8">
        <v>45</v>
      </c>
      <c r="B56" s="63">
        <f>'Necesidades Trimestrales'!B54</f>
        <v>0</v>
      </c>
      <c r="C56" s="169" t="str">
        <f>'Necesidades Trimestrales'!E54</f>
        <v>FENOBARBITAL 100MG COMPRIMIDO</v>
      </c>
      <c r="D56" s="169"/>
      <c r="E56" s="169"/>
      <c r="F56" s="169"/>
      <c r="G56" s="169"/>
      <c r="H56" s="64" t="s">
        <v>56</v>
      </c>
      <c r="I56" s="65" t="str">
        <f>'Necesidades Trimestrales'!F54</f>
        <v>COMPRIMIDO</v>
      </c>
      <c r="J56" s="66">
        <f>'Necesidades Trimestrales'!H54</f>
        <v>6.8</v>
      </c>
      <c r="K56" s="67">
        <f>'Necesidades Trimestrales'!G54</f>
        <v>200</v>
      </c>
    </row>
    <row r="57" spans="1:11" ht="20.25" customHeight="1" thickBot="1" x14ac:dyDescent="0.25">
      <c r="A57" s="8">
        <v>46</v>
      </c>
      <c r="B57" s="63">
        <f>'Necesidades Trimestrales'!B55</f>
        <v>0</v>
      </c>
      <c r="C57" s="169" t="str">
        <f>'Necesidades Trimestrales'!E55</f>
        <v>FENOBARBITAL 200MG AMPOLLAS</v>
      </c>
      <c r="D57" s="169"/>
      <c r="E57" s="169"/>
      <c r="F57" s="169"/>
      <c r="G57" s="169"/>
      <c r="H57" s="64" t="s">
        <v>56</v>
      </c>
      <c r="I57" s="65" t="str">
        <f>'Necesidades Trimestrales'!F55</f>
        <v>AMPOLLA</v>
      </c>
      <c r="J57" s="66">
        <f>'Necesidades Trimestrales'!H55</f>
        <v>280</v>
      </c>
      <c r="K57" s="67">
        <f>'Necesidades Trimestrales'!G55</f>
        <v>200</v>
      </c>
    </row>
    <row r="58" spans="1:11" ht="20.25" customHeight="1" thickBot="1" x14ac:dyDescent="0.25">
      <c r="A58" s="8">
        <v>47</v>
      </c>
      <c r="B58" s="63">
        <f>'Necesidades Trimestrales'!B56</f>
        <v>0</v>
      </c>
      <c r="C58" s="169" t="str">
        <f>'Necesidades Trimestrales'!E56</f>
        <v>FILGRASTIN 300 MCG AMPOLLA</v>
      </c>
      <c r="D58" s="169"/>
      <c r="E58" s="169"/>
      <c r="F58" s="169"/>
      <c r="G58" s="169"/>
      <c r="H58" s="64" t="s">
        <v>56</v>
      </c>
      <c r="I58" s="65" t="str">
        <f>'Necesidades Trimestrales'!F56</f>
        <v>UNIDAD</v>
      </c>
      <c r="J58" s="66">
        <f>'Necesidades Trimestrales'!H56</f>
        <v>1500</v>
      </c>
      <c r="K58" s="67">
        <f>'Necesidades Trimestrales'!G56</f>
        <v>90</v>
      </c>
    </row>
    <row r="59" spans="1:11" ht="20.25" customHeight="1" thickBot="1" x14ac:dyDescent="0.25">
      <c r="A59" s="8">
        <v>48</v>
      </c>
      <c r="B59" s="63">
        <f>'Necesidades Trimestrales'!B57</f>
        <v>0</v>
      </c>
      <c r="C59" s="169" t="str">
        <f>'Necesidades Trimestrales'!E57</f>
        <v>FLUCONAZOL 100 MG COMPRIMIDOS</v>
      </c>
      <c r="D59" s="169"/>
      <c r="E59" s="169"/>
      <c r="F59" s="169"/>
      <c r="G59" s="169"/>
      <c r="H59" s="64" t="s">
        <v>56</v>
      </c>
      <c r="I59" s="65" t="str">
        <f>'Necesidades Trimestrales'!F57</f>
        <v>COMPRIMIDO</v>
      </c>
      <c r="J59" s="66">
        <f>'Necesidades Trimestrales'!H57</f>
        <v>48</v>
      </c>
      <c r="K59" s="67">
        <f>'Necesidades Trimestrales'!G57</f>
        <v>300</v>
      </c>
    </row>
    <row r="60" spans="1:11" ht="20.25" customHeight="1" thickBot="1" x14ac:dyDescent="0.25">
      <c r="A60" s="8">
        <v>49</v>
      </c>
      <c r="B60" s="63">
        <f>'Necesidades Trimestrales'!B58</f>
        <v>0</v>
      </c>
      <c r="C60" s="169" t="str">
        <f>'Necesidades Trimestrales'!E58</f>
        <v>FLUCONAZOL 200 MG SACHET 100 ML</v>
      </c>
      <c r="D60" s="169"/>
      <c r="E60" s="169"/>
      <c r="F60" s="169"/>
      <c r="G60" s="169"/>
      <c r="H60" s="64" t="s">
        <v>56</v>
      </c>
      <c r="I60" s="65" t="str">
        <f>'Necesidades Trimestrales'!F58</f>
        <v>ENVASE</v>
      </c>
      <c r="J60" s="66">
        <f>'Necesidades Trimestrales'!H58</f>
        <v>645</v>
      </c>
      <c r="K60" s="67">
        <f>'Necesidades Trimestrales'!G58</f>
        <v>300</v>
      </c>
    </row>
    <row r="61" spans="1:11" ht="20.25" customHeight="1" thickBot="1" x14ac:dyDescent="0.25">
      <c r="A61" s="8">
        <v>50</v>
      </c>
      <c r="B61" s="63">
        <f>'Necesidades Trimestrales'!B59</f>
        <v>0</v>
      </c>
      <c r="C61" s="169" t="str">
        <f>'Necesidades Trimestrales'!E59</f>
        <v>FLUORESCEINA SODICA O,25% COLIRIO</v>
      </c>
      <c r="D61" s="169"/>
      <c r="E61" s="169"/>
      <c r="F61" s="169"/>
      <c r="G61" s="169"/>
      <c r="H61" s="64" t="s">
        <v>56</v>
      </c>
      <c r="I61" s="65" t="str">
        <f>'Necesidades Trimestrales'!F59</f>
        <v>GOTERO</v>
      </c>
      <c r="J61" s="66">
        <f>'Necesidades Trimestrales'!H59</f>
        <v>860</v>
      </c>
      <c r="K61" s="67">
        <f>'Necesidades Trimestrales'!G59</f>
        <v>3</v>
      </c>
    </row>
    <row r="62" spans="1:11" ht="20.25" customHeight="1" thickBot="1" x14ac:dyDescent="0.25">
      <c r="A62" s="8">
        <v>51</v>
      </c>
      <c r="B62" s="63">
        <f>'Necesidades Trimestrales'!B60</f>
        <v>0</v>
      </c>
      <c r="C62" s="169" t="str">
        <f>'Necesidades Trimestrales'!E60</f>
        <v>FOSFATO  SODICO TIPO FOSFODON X 100 ML</v>
      </c>
      <c r="D62" s="169"/>
      <c r="E62" s="169"/>
      <c r="F62" s="169"/>
      <c r="G62" s="169"/>
      <c r="H62" s="64" t="s">
        <v>56</v>
      </c>
      <c r="I62" s="65" t="str">
        <f>'Necesidades Trimestrales'!F60</f>
        <v>FRASCO</v>
      </c>
      <c r="J62" s="66">
        <f>'Necesidades Trimestrales'!H60</f>
        <v>1280</v>
      </c>
      <c r="K62" s="67">
        <f>'Necesidades Trimestrales'!G60</f>
        <v>120</v>
      </c>
    </row>
    <row r="63" spans="1:11" ht="20.25" customHeight="1" thickBot="1" x14ac:dyDescent="0.25">
      <c r="A63" s="8">
        <v>52</v>
      </c>
      <c r="B63" s="63">
        <f>'Necesidades Trimestrales'!B61</f>
        <v>0</v>
      </c>
      <c r="C63" s="169" t="str">
        <f>'Necesidades Trimestrales'!E61</f>
        <v>FUROSEMIDA 40 MG COMPRIMIDO</v>
      </c>
      <c r="D63" s="169"/>
      <c r="E63" s="169"/>
      <c r="F63" s="169"/>
      <c r="G63" s="169"/>
      <c r="H63" s="64" t="s">
        <v>56</v>
      </c>
      <c r="I63" s="65" t="str">
        <f>'Necesidades Trimestrales'!F61</f>
        <v>UNIDAD</v>
      </c>
      <c r="J63" s="66">
        <f>'Necesidades Trimestrales'!H61</f>
        <v>3.2</v>
      </c>
      <c r="K63" s="67">
        <f>'Necesidades Trimestrales'!G61</f>
        <v>3000</v>
      </c>
    </row>
    <row r="64" spans="1:11" ht="20.25" customHeight="1" thickBot="1" x14ac:dyDescent="0.25">
      <c r="A64" s="8">
        <v>53</v>
      </c>
      <c r="B64" s="63">
        <f>'Necesidades Trimestrales'!B62</f>
        <v>0</v>
      </c>
      <c r="C64" s="169" t="str">
        <f>'Necesidades Trimestrales'!E62</f>
        <v>GATIFLOXACINA 0,3 % COLIRIO x 5 ml</v>
      </c>
      <c r="D64" s="169"/>
      <c r="E64" s="169"/>
      <c r="F64" s="169"/>
      <c r="G64" s="169"/>
      <c r="H64" s="64" t="s">
        <v>56</v>
      </c>
      <c r="I64" s="65" t="str">
        <f>'Necesidades Trimestrales'!F62</f>
        <v>GOTERO</v>
      </c>
      <c r="J64" s="66">
        <f>'Necesidades Trimestrales'!H62</f>
        <v>1350</v>
      </c>
      <c r="K64" s="67">
        <f>'Necesidades Trimestrales'!G62</f>
        <v>5</v>
      </c>
    </row>
    <row r="65" spans="1:11" ht="20.25" customHeight="1" thickBot="1" x14ac:dyDescent="0.25">
      <c r="A65" s="8">
        <v>54</v>
      </c>
      <c r="B65" s="63">
        <f>'Necesidades Trimestrales'!B63</f>
        <v>0</v>
      </c>
      <c r="C65" s="169" t="str">
        <f>'Necesidades Trimestrales'!E63</f>
        <v>GELATINA AL 4% SACHET X 500 ML</v>
      </c>
      <c r="D65" s="169"/>
      <c r="E65" s="169"/>
      <c r="F65" s="169"/>
      <c r="G65" s="169"/>
      <c r="H65" s="64" t="s">
        <v>56</v>
      </c>
      <c r="I65" s="65" t="str">
        <f>'Necesidades Trimestrales'!F63</f>
        <v>ENVASE</v>
      </c>
      <c r="J65" s="66">
        <f>'Necesidades Trimestrales'!H63</f>
        <v>820</v>
      </c>
      <c r="K65" s="67">
        <f>'Necesidades Trimestrales'!G63</f>
        <v>100</v>
      </c>
    </row>
    <row r="66" spans="1:11" ht="20.25" customHeight="1" thickBot="1" x14ac:dyDescent="0.25">
      <c r="A66" s="8">
        <v>55</v>
      </c>
      <c r="B66" s="63">
        <f>'Necesidades Trimestrales'!B64</f>
        <v>0</v>
      </c>
      <c r="C66" s="169" t="str">
        <f>'Necesidades Trimestrales'!E64</f>
        <v>GENTAMICINA 80 MG AMPOLLA</v>
      </c>
      <c r="D66" s="169"/>
      <c r="E66" s="169"/>
      <c r="F66" s="169"/>
      <c r="G66" s="169"/>
      <c r="H66" s="64" t="s">
        <v>56</v>
      </c>
      <c r="I66" s="65" t="str">
        <f>'Necesidades Trimestrales'!F64</f>
        <v>AMPOLLA</v>
      </c>
      <c r="J66" s="66">
        <f>'Necesidades Trimestrales'!H64</f>
        <v>40</v>
      </c>
      <c r="K66" s="67">
        <f>'Necesidades Trimestrales'!G64</f>
        <v>200</v>
      </c>
    </row>
    <row r="67" spans="1:11" ht="20.25" customHeight="1" thickBot="1" x14ac:dyDescent="0.25">
      <c r="A67" s="8">
        <v>56</v>
      </c>
      <c r="B67" s="63">
        <f>'Necesidades Trimestrales'!B65</f>
        <v>0</v>
      </c>
      <c r="C67" s="169" t="str">
        <f>'Necesidades Trimestrales'!E65</f>
        <v>GLIBENCLAMIDA 5 MG COMPRIMIDO</v>
      </c>
      <c r="D67" s="169"/>
      <c r="E67" s="169"/>
      <c r="F67" s="169"/>
      <c r="G67" s="169"/>
      <c r="H67" s="64" t="s">
        <v>56</v>
      </c>
      <c r="I67" s="65" t="str">
        <f>'Necesidades Trimestrales'!F65</f>
        <v>COMPRIMIDO</v>
      </c>
      <c r="J67" s="66">
        <f>'Necesidades Trimestrales'!H65</f>
        <v>3.5</v>
      </c>
      <c r="K67" s="67">
        <f>'Necesidades Trimestrales'!G65</f>
        <v>150</v>
      </c>
    </row>
    <row r="68" spans="1:11" ht="20.25" customHeight="1" thickBot="1" x14ac:dyDescent="0.25">
      <c r="A68" s="8">
        <v>57</v>
      </c>
      <c r="B68" s="63">
        <f>'Necesidades Trimestrales'!B66</f>
        <v>0</v>
      </c>
      <c r="C68" s="169" t="str">
        <f>'Necesidades Trimestrales'!E66</f>
        <v>HALOPERIDOL 10 MG COMPRIMIDO</v>
      </c>
      <c r="D68" s="169"/>
      <c r="E68" s="169"/>
      <c r="F68" s="169"/>
      <c r="G68" s="169"/>
      <c r="H68" s="64" t="s">
        <v>56</v>
      </c>
      <c r="I68" s="65" t="str">
        <f>'Necesidades Trimestrales'!F66</f>
        <v>COMPRIMIDO</v>
      </c>
      <c r="J68" s="66">
        <f>'Necesidades Trimestrales'!H66</f>
        <v>18.75</v>
      </c>
      <c r="K68" s="67">
        <f>'Necesidades Trimestrales'!G66</f>
        <v>100</v>
      </c>
    </row>
    <row r="69" spans="1:11" ht="20.25" customHeight="1" thickBot="1" x14ac:dyDescent="0.25">
      <c r="A69" s="8">
        <v>58</v>
      </c>
      <c r="B69" s="63">
        <f>'Necesidades Trimestrales'!B67</f>
        <v>0</v>
      </c>
      <c r="C69" s="169" t="str">
        <f>'Necesidades Trimestrales'!E67</f>
        <v>HALOPERIDOL 2MG/ML GOTAS</v>
      </c>
      <c r="D69" s="169"/>
      <c r="E69" s="169"/>
      <c r="F69" s="169"/>
      <c r="G69" s="169"/>
      <c r="H69" s="64" t="s">
        <v>56</v>
      </c>
      <c r="I69" s="65" t="str">
        <f>'Necesidades Trimestrales'!F67</f>
        <v>GOTERO</v>
      </c>
      <c r="J69" s="66">
        <f>'Necesidades Trimestrales'!H67</f>
        <v>260</v>
      </c>
      <c r="K69" s="67">
        <f>'Necesidades Trimestrales'!G67</f>
        <v>10</v>
      </c>
    </row>
    <row r="70" spans="1:11" ht="20.25" customHeight="1" thickBot="1" x14ac:dyDescent="0.25">
      <c r="A70" s="8">
        <v>59</v>
      </c>
      <c r="B70" s="63">
        <f>'Necesidades Trimestrales'!B68</f>
        <v>0</v>
      </c>
      <c r="C70" s="169" t="str">
        <f>'Necesidades Trimestrales'!E68</f>
        <v>HALOPERIDOL 5 MG AMPOLLA</v>
      </c>
      <c r="D70" s="169"/>
      <c r="E70" s="169"/>
      <c r="F70" s="169"/>
      <c r="G70" s="169"/>
      <c r="H70" s="64" t="s">
        <v>56</v>
      </c>
      <c r="I70" s="65" t="str">
        <f>'Necesidades Trimestrales'!F68</f>
        <v>AMPOLLA</v>
      </c>
      <c r="J70" s="66">
        <f>'Necesidades Trimestrales'!H68</f>
        <v>46</v>
      </c>
      <c r="K70" s="67">
        <f>'Necesidades Trimestrales'!G68</f>
        <v>500</v>
      </c>
    </row>
    <row r="71" spans="1:11" ht="20.25" customHeight="1" thickBot="1" x14ac:dyDescent="0.25">
      <c r="A71" s="8">
        <v>60</v>
      </c>
      <c r="B71" s="63">
        <f>'Necesidades Trimestrales'!B69</f>
        <v>0</v>
      </c>
      <c r="C71" s="169" t="str">
        <f>'Necesidades Trimestrales'!E69</f>
        <v>HEPARINA SODICA 5000 UI FCO AMPOLLA X 5 ML</v>
      </c>
      <c r="D71" s="169"/>
      <c r="E71" s="169"/>
      <c r="F71" s="169"/>
      <c r="G71" s="169"/>
      <c r="H71" s="64" t="s">
        <v>56</v>
      </c>
      <c r="I71" s="65" t="str">
        <f>'Necesidades Trimestrales'!F69</f>
        <v>AMPOLLA</v>
      </c>
      <c r="J71" s="66">
        <f>'Necesidades Trimestrales'!H69</f>
        <v>790</v>
      </c>
      <c r="K71" s="67">
        <f>'Necesidades Trimestrales'!G69</f>
        <v>5050</v>
      </c>
    </row>
    <row r="72" spans="1:11" ht="20.25" customHeight="1" thickBot="1" x14ac:dyDescent="0.25">
      <c r="A72" s="8">
        <v>61</v>
      </c>
      <c r="B72" s="63">
        <f>'Necesidades Trimestrales'!B70</f>
        <v>0</v>
      </c>
      <c r="C72" s="169" t="str">
        <f>'Necesidades Trimestrales'!E70</f>
        <v>HIERRO+ACIDO FOLICO+B12 AMPOLLAS TIPO YECTAFER COMPLEX X 5 AMPOLLAS</v>
      </c>
      <c r="D72" s="169"/>
      <c r="E72" s="169"/>
      <c r="F72" s="169"/>
      <c r="G72" s="169"/>
      <c r="H72" s="64" t="s">
        <v>56</v>
      </c>
      <c r="I72" s="65" t="str">
        <f>'Necesidades Trimestrales'!F70</f>
        <v>CAJA</v>
      </c>
      <c r="J72" s="66">
        <f>'Necesidades Trimestrales'!H70</f>
        <v>2900</v>
      </c>
      <c r="K72" s="67">
        <f>'Necesidades Trimestrales'!G70</f>
        <v>60</v>
      </c>
    </row>
    <row r="73" spans="1:11" ht="40.5" customHeight="1" thickBot="1" x14ac:dyDescent="0.25">
      <c r="A73" s="8">
        <v>62</v>
      </c>
      <c r="B73" s="63">
        <f>'Necesidades Trimestrales'!B71</f>
        <v>0</v>
      </c>
      <c r="C73" s="169" t="str">
        <f>'Necesidades Trimestrales'!E71</f>
        <v>INSULINA CORRIENTE HUMANA 100 UI FCO AMP 10 ML</v>
      </c>
      <c r="D73" s="169"/>
      <c r="E73" s="169"/>
      <c r="F73" s="169"/>
      <c r="G73" s="169"/>
      <c r="H73" s="64" t="s">
        <v>56</v>
      </c>
      <c r="I73" s="65" t="str">
        <f>'Necesidades Trimestrales'!F71</f>
        <v>FRASCO AMPOLLA</v>
      </c>
      <c r="J73" s="66">
        <f>'Necesidades Trimestrales'!H71</f>
        <v>1385</v>
      </c>
      <c r="K73" s="67">
        <f>'Necesidades Trimestrales'!G71</f>
        <v>100</v>
      </c>
    </row>
    <row r="74" spans="1:11" ht="34.5" customHeight="1" thickBot="1" x14ac:dyDescent="0.25">
      <c r="A74" s="8">
        <v>63</v>
      </c>
      <c r="B74" s="63">
        <f>'Necesidades Trimestrales'!B72</f>
        <v>0</v>
      </c>
      <c r="C74" s="169" t="str">
        <f>'Necesidades Trimestrales'!E72</f>
        <v>INSULINA NPH HUMANA 100 UI FCO AMP 10 ML</v>
      </c>
      <c r="D74" s="169"/>
      <c r="E74" s="169"/>
      <c r="F74" s="169"/>
      <c r="G74" s="169"/>
      <c r="H74" s="64" t="s">
        <v>56</v>
      </c>
      <c r="I74" s="65" t="str">
        <f>'Necesidades Trimestrales'!F72</f>
        <v>FRASCO AMPOLLA</v>
      </c>
      <c r="J74" s="66">
        <f>'Necesidades Trimestrales'!H72</f>
        <v>1395</v>
      </c>
      <c r="K74" s="67">
        <f>'Necesidades Trimestrales'!G72</f>
        <v>40</v>
      </c>
    </row>
    <row r="75" spans="1:11" ht="27" customHeight="1" thickBot="1" x14ac:dyDescent="0.25">
      <c r="A75" s="8">
        <v>64</v>
      </c>
      <c r="B75" s="63">
        <f>'Necesidades Trimestrales'!B73</f>
        <v>0</v>
      </c>
      <c r="C75" s="169" t="str">
        <f>'Necesidades Trimestrales'!E73</f>
        <v>ISOPROTERONOL 1 MG AMPOLLA</v>
      </c>
      <c r="D75" s="169"/>
      <c r="E75" s="169"/>
      <c r="F75" s="169"/>
      <c r="G75" s="169"/>
      <c r="H75" s="64" t="s">
        <v>56</v>
      </c>
      <c r="I75" s="65" t="str">
        <f>'Necesidades Trimestrales'!F73</f>
        <v>AMPOLLA</v>
      </c>
      <c r="J75" s="66">
        <f>'Necesidades Trimestrales'!H73</f>
        <v>298</v>
      </c>
      <c r="K75" s="67">
        <f>'Necesidades Trimestrales'!G73</f>
        <v>30</v>
      </c>
    </row>
    <row r="76" spans="1:11" ht="20.25" customHeight="1" thickBot="1" x14ac:dyDescent="0.25">
      <c r="A76" s="8">
        <v>65</v>
      </c>
      <c r="B76" s="63">
        <f>'Necesidades Trimestrales'!B74</f>
        <v>0</v>
      </c>
      <c r="C76" s="169" t="str">
        <f>'Necesidades Trimestrales'!E74</f>
        <v>LACTULOSA SUSPENSIÓN X 120 ML</v>
      </c>
      <c r="D76" s="169"/>
      <c r="E76" s="169"/>
      <c r="F76" s="169"/>
      <c r="G76" s="169"/>
      <c r="H76" s="64" t="s">
        <v>56</v>
      </c>
      <c r="I76" s="65" t="str">
        <f>'Necesidades Trimestrales'!F74</f>
        <v>FRASCO</v>
      </c>
      <c r="J76" s="66">
        <f>'Necesidades Trimestrales'!H74</f>
        <v>248</v>
      </c>
      <c r="K76" s="67">
        <f>'Necesidades Trimestrales'!G74</f>
        <v>500</v>
      </c>
    </row>
    <row r="77" spans="1:11" ht="20.25" customHeight="1" thickBot="1" x14ac:dyDescent="0.25">
      <c r="A77" s="8">
        <v>66</v>
      </c>
      <c r="B77" s="63">
        <f>'Necesidades Trimestrales'!B75</f>
        <v>0</v>
      </c>
      <c r="C77" s="169" t="str">
        <f>'Necesidades Trimestrales'!E75</f>
        <v>LAMOTRIGINA 100MG COMPRIMIDO</v>
      </c>
      <c r="D77" s="169"/>
      <c r="E77" s="169"/>
      <c r="F77" s="169"/>
      <c r="G77" s="169"/>
      <c r="H77" s="64" t="s">
        <v>56</v>
      </c>
      <c r="I77" s="65" t="str">
        <f>'Necesidades Trimestrales'!F75</f>
        <v>COMPRIMIDO</v>
      </c>
      <c r="J77" s="66">
        <f>'Necesidades Trimestrales'!H75</f>
        <v>9.9</v>
      </c>
      <c r="K77" s="67">
        <f>'Necesidades Trimestrales'!G75</f>
        <v>150</v>
      </c>
    </row>
    <row r="78" spans="1:11" ht="20.25" customHeight="1" thickBot="1" x14ac:dyDescent="0.25">
      <c r="A78" s="8">
        <v>67</v>
      </c>
      <c r="B78" s="63">
        <f>'Necesidades Trimestrales'!B76</f>
        <v>0</v>
      </c>
      <c r="C78" s="169" t="str">
        <f>'Necesidades Trimestrales'!E76</f>
        <v>LEVOMEPROMAZINA 25 MG AMPOLLA</v>
      </c>
      <c r="D78" s="169"/>
      <c r="E78" s="169"/>
      <c r="F78" s="169"/>
      <c r="G78" s="169"/>
      <c r="H78" s="64" t="s">
        <v>56</v>
      </c>
      <c r="I78" s="65" t="str">
        <f>'Necesidades Trimestrales'!F76</f>
        <v>AMPOLLA</v>
      </c>
      <c r="J78" s="66">
        <f>'Necesidades Trimestrales'!H76</f>
        <v>420</v>
      </c>
      <c r="K78" s="67">
        <f>'Necesidades Trimestrales'!G76</f>
        <v>500</v>
      </c>
    </row>
    <row r="79" spans="1:11" ht="20.25" customHeight="1" thickBot="1" x14ac:dyDescent="0.25">
      <c r="A79" s="8">
        <v>68</v>
      </c>
      <c r="B79" s="63">
        <f>'Necesidades Trimestrales'!B77</f>
        <v>0</v>
      </c>
      <c r="C79" s="169" t="str">
        <f>'Necesidades Trimestrales'!E77</f>
        <v>LIDOCAINA  2% SIN EPINEFRINA FCO X 5ML</v>
      </c>
      <c r="D79" s="169"/>
      <c r="E79" s="169"/>
      <c r="F79" s="169"/>
      <c r="G79" s="169"/>
      <c r="H79" s="64" t="s">
        <v>56</v>
      </c>
      <c r="I79" s="65" t="str">
        <f>'Necesidades Trimestrales'!F77</f>
        <v>UNIDAD</v>
      </c>
      <c r="J79" s="66">
        <f>'Necesidades Trimestrales'!H77</f>
        <v>55</v>
      </c>
      <c r="K79" s="67">
        <f>'Necesidades Trimestrales'!G77</f>
        <v>500</v>
      </c>
    </row>
    <row r="80" spans="1:11" ht="20.25" customHeight="1" thickBot="1" x14ac:dyDescent="0.25">
      <c r="A80" s="8">
        <v>69</v>
      </c>
      <c r="B80" s="63">
        <f>'Necesidades Trimestrales'!B78</f>
        <v>0</v>
      </c>
      <c r="C80" s="169" t="str">
        <f>'Necesidades Trimestrales'!E78</f>
        <v>LOPERAMIDA 2 MG COMPRIMIDO</v>
      </c>
      <c r="D80" s="169"/>
      <c r="E80" s="169"/>
      <c r="F80" s="169"/>
      <c r="G80" s="169"/>
      <c r="H80" s="64" t="s">
        <v>56</v>
      </c>
      <c r="I80" s="65" t="str">
        <f>'Necesidades Trimestrales'!F78</f>
        <v>COMPRIMIDO</v>
      </c>
      <c r="J80" s="66">
        <f>'Necesidades Trimestrales'!H78</f>
        <v>2.3199999999999998</v>
      </c>
      <c r="K80" s="67">
        <f>'Necesidades Trimestrales'!G78</f>
        <v>300</v>
      </c>
    </row>
    <row r="81" spans="1:11" ht="20.25" customHeight="1" thickBot="1" x14ac:dyDescent="0.25">
      <c r="A81" s="8">
        <v>70</v>
      </c>
      <c r="B81" s="63">
        <f>'Necesidades Trimestrales'!B79</f>
        <v>0</v>
      </c>
      <c r="C81" s="169" t="str">
        <f>'Necesidades Trimestrales'!E79</f>
        <v>LORAZEPAM 1 MG COMPRIMIDO</v>
      </c>
      <c r="D81" s="169"/>
      <c r="E81" s="169"/>
      <c r="F81" s="169"/>
      <c r="G81" s="169"/>
      <c r="H81" s="64" t="s">
        <v>56</v>
      </c>
      <c r="I81" s="65" t="str">
        <f>'Necesidades Trimestrales'!F79</f>
        <v>COMPRIMIDO</v>
      </c>
      <c r="J81" s="66">
        <f>'Necesidades Trimestrales'!H79</f>
        <v>3.8</v>
      </c>
      <c r="K81" s="67">
        <f>'Necesidades Trimestrales'!G79</f>
        <v>900</v>
      </c>
    </row>
    <row r="82" spans="1:11" ht="20.25" customHeight="1" thickBot="1" x14ac:dyDescent="0.25">
      <c r="A82" s="8">
        <v>71</v>
      </c>
      <c r="B82" s="63">
        <f>'Necesidades Trimestrales'!B80</f>
        <v>0</v>
      </c>
      <c r="C82" s="169" t="str">
        <f>'Necesidades Trimestrales'!E80</f>
        <v>LOSARTAN 50 MG COMPRIMIDO</v>
      </c>
      <c r="D82" s="169"/>
      <c r="E82" s="169"/>
      <c r="F82" s="169"/>
      <c r="G82" s="169"/>
      <c r="H82" s="64" t="s">
        <v>56</v>
      </c>
      <c r="I82" s="65" t="str">
        <f>'Necesidades Trimestrales'!F80</f>
        <v>UNIDAD</v>
      </c>
      <c r="J82" s="66">
        <f>'Necesidades Trimestrales'!H80</f>
        <v>4.42</v>
      </c>
      <c r="K82" s="67">
        <f>'Necesidades Trimestrales'!G80</f>
        <v>3000</v>
      </c>
    </row>
    <row r="83" spans="1:11" ht="20.25" customHeight="1" thickBot="1" x14ac:dyDescent="0.25">
      <c r="A83" s="8">
        <v>72</v>
      </c>
      <c r="B83" s="63">
        <f>'Necesidades Trimestrales'!B81</f>
        <v>0</v>
      </c>
      <c r="C83" s="169" t="str">
        <f>'Necesidades Trimestrales'!E81</f>
        <v>METOCLOPRAMIDA AMPOLLA 10 MG X 2 ML</v>
      </c>
      <c r="D83" s="169"/>
      <c r="E83" s="169"/>
      <c r="F83" s="169"/>
      <c r="G83" s="169"/>
      <c r="H83" s="64" t="s">
        <v>56</v>
      </c>
      <c r="I83" s="65" t="str">
        <f>'Necesidades Trimestrales'!F81</f>
        <v>AMPOLLA</v>
      </c>
      <c r="J83" s="66">
        <f>'Necesidades Trimestrales'!H81</f>
        <v>35</v>
      </c>
      <c r="K83" s="67">
        <f>'Necesidades Trimestrales'!G81</f>
        <v>15000</v>
      </c>
    </row>
    <row r="84" spans="1:11" ht="20.25" customHeight="1" thickBot="1" x14ac:dyDescent="0.25">
      <c r="A84" s="8">
        <v>73</v>
      </c>
      <c r="B84" s="63">
        <f>'Necesidades Trimestrales'!B82</f>
        <v>0</v>
      </c>
      <c r="C84" s="169" t="str">
        <f>'Necesidades Trimestrales'!E82</f>
        <v>NEOSTIGMINA 0,5 MG  AMPOLLA X 1 ML</v>
      </c>
      <c r="D84" s="169"/>
      <c r="E84" s="169"/>
      <c r="F84" s="169"/>
      <c r="G84" s="169"/>
      <c r="H84" s="64" t="s">
        <v>56</v>
      </c>
      <c r="I84" s="65" t="str">
        <f>'Necesidades Trimestrales'!F82</f>
        <v>AMPOLLA</v>
      </c>
      <c r="J84" s="66">
        <f>'Necesidades Trimestrales'!H82</f>
        <v>36</v>
      </c>
      <c r="K84" s="67">
        <f>'Necesidades Trimestrales'!G82</f>
        <v>400</v>
      </c>
    </row>
    <row r="85" spans="1:11" ht="20.25" customHeight="1" thickBot="1" x14ac:dyDescent="0.25">
      <c r="A85" s="8">
        <v>74</v>
      </c>
      <c r="B85" s="63">
        <f>'Necesidades Trimestrales'!B83</f>
        <v>0</v>
      </c>
      <c r="C85" s="169" t="str">
        <f>'Necesidades Trimestrales'!E83</f>
        <v xml:space="preserve">NISTATINA 100000 UI/ML X 60 ML SUSPENSIÓN ORAL </v>
      </c>
      <c r="D85" s="169"/>
      <c r="E85" s="169"/>
      <c r="F85" s="169"/>
      <c r="G85" s="169"/>
      <c r="H85" s="64" t="s">
        <v>56</v>
      </c>
      <c r="I85" s="65" t="str">
        <f>'Necesidades Trimestrales'!F83</f>
        <v>FRASCO</v>
      </c>
      <c r="J85" s="66">
        <f>'Necesidades Trimestrales'!H83</f>
        <v>260</v>
      </c>
      <c r="K85" s="67">
        <f>'Necesidades Trimestrales'!G83</f>
        <v>150</v>
      </c>
    </row>
    <row r="86" spans="1:11" ht="20.25" customHeight="1" thickBot="1" x14ac:dyDescent="0.25">
      <c r="A86" s="8">
        <v>75</v>
      </c>
      <c r="B86" s="63">
        <f>'Necesidades Trimestrales'!B84</f>
        <v>0</v>
      </c>
      <c r="C86" s="169" t="str">
        <f>'Necesidades Trimestrales'!E84</f>
        <v>NITROPRUSIATO SODIO 50 MG VIAL</v>
      </c>
      <c r="D86" s="169"/>
      <c r="E86" s="169"/>
      <c r="F86" s="169"/>
      <c r="G86" s="169"/>
      <c r="H86" s="64" t="s">
        <v>56</v>
      </c>
      <c r="I86" s="65" t="str">
        <f>'Necesidades Trimestrales'!F84</f>
        <v>AMPOLLA</v>
      </c>
      <c r="J86" s="66">
        <f>'Necesidades Trimestrales'!H84</f>
        <v>780</v>
      </c>
      <c r="K86" s="67">
        <f>'Necesidades Trimestrales'!G84</f>
        <v>20</v>
      </c>
    </row>
    <row r="87" spans="1:11" ht="20.25" customHeight="1" thickBot="1" x14ac:dyDescent="0.25">
      <c r="A87" s="8">
        <v>76</v>
      </c>
      <c r="B87" s="63">
        <f>'Necesidades Trimestrales'!B85</f>
        <v>0</v>
      </c>
      <c r="C87" s="169" t="str">
        <f>'Necesidades Trimestrales'!E85</f>
        <v>NORADRENALINA 4 mg AMPOLLA x 4 ml</v>
      </c>
      <c r="D87" s="169"/>
      <c r="E87" s="169"/>
      <c r="F87" s="169"/>
      <c r="G87" s="169"/>
      <c r="H87" s="64" t="s">
        <v>56</v>
      </c>
      <c r="I87" s="65" t="str">
        <f>'Necesidades Trimestrales'!F85</f>
        <v>AMPOLLA</v>
      </c>
      <c r="J87" s="66">
        <f>'Necesidades Trimestrales'!H85</f>
        <v>290</v>
      </c>
      <c r="K87" s="67">
        <f>'Necesidades Trimestrales'!G85</f>
        <v>2000</v>
      </c>
    </row>
    <row r="88" spans="1:11" ht="20.25" customHeight="1" thickBot="1" x14ac:dyDescent="0.25">
      <c r="A88" s="8">
        <v>77</v>
      </c>
      <c r="B88" s="63">
        <f>'Necesidades Trimestrales'!B86</f>
        <v>0</v>
      </c>
      <c r="C88" s="169" t="str">
        <f>'Necesidades Trimestrales'!E86</f>
        <v>OLANZAPINA 10MG COMPRIMIDO</v>
      </c>
      <c r="D88" s="169"/>
      <c r="E88" s="169"/>
      <c r="F88" s="169"/>
      <c r="G88" s="169"/>
      <c r="H88" s="64" t="s">
        <v>56</v>
      </c>
      <c r="I88" s="65" t="str">
        <f>'Necesidades Trimestrales'!F86</f>
        <v>COMPRIMIDO</v>
      </c>
      <c r="J88" s="66">
        <f>'Necesidades Trimestrales'!H86</f>
        <v>19</v>
      </c>
      <c r="K88" s="67">
        <f>'Necesidades Trimestrales'!G86</f>
        <v>250</v>
      </c>
    </row>
    <row r="89" spans="1:11" ht="20.25" customHeight="1" thickBot="1" x14ac:dyDescent="0.25">
      <c r="A89" s="8">
        <v>78</v>
      </c>
      <c r="B89" s="63">
        <f>'Necesidades Trimestrales'!B87</f>
        <v>0</v>
      </c>
      <c r="C89" s="169" t="str">
        <f>'Necesidades Trimestrales'!E87</f>
        <v>OMEPRAZOL 20 MG CAPSULAS</v>
      </c>
      <c r="D89" s="169"/>
      <c r="E89" s="169"/>
      <c r="F89" s="169"/>
      <c r="G89" s="169"/>
      <c r="H89" s="64" t="s">
        <v>56</v>
      </c>
      <c r="I89" s="65" t="str">
        <f>'Necesidades Trimestrales'!F87</f>
        <v>CAPSULA</v>
      </c>
      <c r="J89" s="66">
        <f>'Necesidades Trimestrales'!H87</f>
        <v>2.39</v>
      </c>
      <c r="K89" s="67">
        <f>'Necesidades Trimestrales'!G87</f>
        <v>10000</v>
      </c>
    </row>
    <row r="90" spans="1:11" ht="20.25" customHeight="1" thickBot="1" x14ac:dyDescent="0.25">
      <c r="A90" s="8">
        <v>79</v>
      </c>
      <c r="B90" s="63">
        <f>'Necesidades Trimestrales'!B88</f>
        <v>0</v>
      </c>
      <c r="C90" s="169" t="str">
        <f>'Necesidades Trimestrales'!E88</f>
        <v>OMEPRAZOL 40 MG FCO AMP ENDOVENOSO</v>
      </c>
      <c r="D90" s="169"/>
      <c r="E90" s="169"/>
      <c r="F90" s="169"/>
      <c r="G90" s="169"/>
      <c r="H90" s="64" t="s">
        <v>56</v>
      </c>
      <c r="I90" s="65" t="str">
        <f>'Necesidades Trimestrales'!F88</f>
        <v>AMPOLLA</v>
      </c>
      <c r="J90" s="66">
        <f>'Necesidades Trimestrales'!H88</f>
        <v>498</v>
      </c>
      <c r="K90" s="67">
        <f>'Necesidades Trimestrales'!G88</f>
        <v>10000</v>
      </c>
    </row>
    <row r="91" spans="1:11" ht="20.25" customHeight="1" thickBot="1" x14ac:dyDescent="0.25">
      <c r="A91" s="8">
        <v>80</v>
      </c>
      <c r="B91" s="63">
        <f>'Necesidades Trimestrales'!B89</f>
        <v>0</v>
      </c>
      <c r="C91" s="169" t="str">
        <f>'Necesidades Trimestrales'!E89</f>
        <v>ONDASESTRON 8 MG AMPOLLA</v>
      </c>
      <c r="D91" s="169"/>
      <c r="E91" s="169"/>
      <c r="F91" s="169"/>
      <c r="G91" s="169"/>
      <c r="H91" s="64" t="s">
        <v>56</v>
      </c>
      <c r="I91" s="65" t="str">
        <f>'Necesidades Trimestrales'!F89</f>
        <v>AMPOLLA</v>
      </c>
      <c r="J91" s="66">
        <f>'Necesidades Trimestrales'!H89</f>
        <v>75</v>
      </c>
      <c r="K91" s="67">
        <f>'Necesidades Trimestrales'!G89</f>
        <v>6000</v>
      </c>
    </row>
    <row r="92" spans="1:11" ht="20.25" customHeight="1" thickBot="1" x14ac:dyDescent="0.25">
      <c r="A92" s="8">
        <v>81</v>
      </c>
      <c r="B92" s="63">
        <f>'Necesidades Trimestrales'!B90</f>
        <v>0</v>
      </c>
      <c r="C92" s="169" t="str">
        <f>'Necesidades Trimestrales'!E90</f>
        <v>PARACETAMOL 1GR ML FRASCO AMPOLLA</v>
      </c>
      <c r="D92" s="169"/>
      <c r="E92" s="169"/>
      <c r="F92" s="169"/>
      <c r="G92" s="169"/>
      <c r="H92" s="64" t="s">
        <v>56</v>
      </c>
      <c r="I92" s="65" t="str">
        <f>'Necesidades Trimestrales'!F90</f>
        <v>AMPOLLA</v>
      </c>
      <c r="J92" s="66">
        <f>'Necesidades Trimestrales'!H90</f>
        <v>990</v>
      </c>
      <c r="K92" s="67">
        <f>'Necesidades Trimestrales'!G90</f>
        <v>300</v>
      </c>
    </row>
    <row r="93" spans="1:11" ht="20.25" customHeight="1" thickBot="1" x14ac:dyDescent="0.25">
      <c r="A93" s="8">
        <v>82</v>
      </c>
      <c r="B93" s="63">
        <f>'Necesidades Trimestrales'!B91</f>
        <v>0</v>
      </c>
      <c r="C93" s="169" t="str">
        <f>'Necesidades Trimestrales'!E91</f>
        <v>PARACETAMOL 500 MG COMPRIMIDO</v>
      </c>
      <c r="D93" s="169"/>
      <c r="E93" s="169"/>
      <c r="F93" s="169"/>
      <c r="G93" s="169"/>
      <c r="H93" s="64" t="s">
        <v>56</v>
      </c>
      <c r="I93" s="65" t="str">
        <f>'Necesidades Trimestrales'!F91</f>
        <v>COMPRIMIDO</v>
      </c>
      <c r="J93" s="66">
        <f>'Necesidades Trimestrales'!H91</f>
        <v>3.86</v>
      </c>
      <c r="K93" s="67">
        <f>'Necesidades Trimestrales'!G91</f>
        <v>2000</v>
      </c>
    </row>
    <row r="94" spans="1:11" ht="20.25" customHeight="1" thickBot="1" x14ac:dyDescent="0.25">
      <c r="A94" s="8">
        <v>83</v>
      </c>
      <c r="B94" s="63">
        <f>'Necesidades Trimestrales'!B92</f>
        <v>0</v>
      </c>
      <c r="C94" s="169" t="str">
        <f>'Necesidades Trimestrales'!E92</f>
        <v>PAROXETINA 20MG COMPRIMIDO</v>
      </c>
      <c r="D94" s="169"/>
      <c r="E94" s="169"/>
      <c r="F94" s="169"/>
      <c r="G94" s="169"/>
      <c r="H94" s="64" t="s">
        <v>56</v>
      </c>
      <c r="I94" s="65" t="str">
        <f>'Necesidades Trimestrales'!F92</f>
        <v>COMPRIMIDO</v>
      </c>
      <c r="J94" s="66">
        <f>'Necesidades Trimestrales'!H92</f>
        <v>11.2</v>
      </c>
      <c r="K94" s="67">
        <f>'Necesidades Trimestrales'!G92</f>
        <v>100</v>
      </c>
    </row>
    <row r="95" spans="1:11" ht="20.25" customHeight="1" thickBot="1" x14ac:dyDescent="0.25">
      <c r="A95" s="8">
        <v>84</v>
      </c>
      <c r="B95" s="63">
        <f>'Necesidades Trimestrales'!B93</f>
        <v>0</v>
      </c>
      <c r="C95" s="169" t="str">
        <f>'Necesidades Trimestrales'!E93</f>
        <v>PICOSULFATO DE SODIO 75MG GOTAS x 15 ml</v>
      </c>
      <c r="D95" s="169"/>
      <c r="E95" s="169"/>
      <c r="F95" s="169"/>
      <c r="G95" s="169"/>
      <c r="H95" s="64" t="s">
        <v>56</v>
      </c>
      <c r="I95" s="65" t="str">
        <f>'Necesidades Trimestrales'!F93</f>
        <v>GOTERO</v>
      </c>
      <c r="J95" s="66">
        <f>'Necesidades Trimestrales'!H93</f>
        <v>380</v>
      </c>
      <c r="K95" s="67">
        <f>'Necesidades Trimestrales'!G93</f>
        <v>30</v>
      </c>
    </row>
    <row r="96" spans="1:11" ht="20.25" customHeight="1" thickBot="1" x14ac:dyDescent="0.25">
      <c r="A96" s="8">
        <v>85</v>
      </c>
      <c r="B96" s="63">
        <f>'Necesidades Trimestrales'!B94</f>
        <v>0</v>
      </c>
      <c r="C96" s="169" t="str">
        <f>'Necesidades Trimestrales'!E94</f>
        <v>PIPERACILINA 4 GRS + TAZOBACTAM 500 MG FCO AMPOLLA</v>
      </c>
      <c r="D96" s="169"/>
      <c r="E96" s="169"/>
      <c r="F96" s="169"/>
      <c r="G96" s="169"/>
      <c r="H96" s="64" t="s">
        <v>56</v>
      </c>
      <c r="I96" s="65" t="str">
        <f>'Necesidades Trimestrales'!F94</f>
        <v>AMPOLLA</v>
      </c>
      <c r="J96" s="66">
        <f>'Necesidades Trimestrales'!H94</f>
        <v>440</v>
      </c>
      <c r="K96" s="67">
        <f>'Necesidades Trimestrales'!G94</f>
        <v>2000</v>
      </c>
    </row>
    <row r="97" spans="1:11" ht="20.25" customHeight="1" thickBot="1" x14ac:dyDescent="0.25">
      <c r="A97" s="8">
        <v>86</v>
      </c>
      <c r="B97" s="63">
        <f>'Necesidades Trimestrales'!B95</f>
        <v>0</v>
      </c>
      <c r="C97" s="169" t="str">
        <f>'Necesidades Trimestrales'!E95</f>
        <v>PREGABALINA 75MG COMPRIMIDO</v>
      </c>
      <c r="D97" s="169"/>
      <c r="E97" s="169"/>
      <c r="F97" s="169"/>
      <c r="G97" s="169"/>
      <c r="H97" s="64" t="s">
        <v>56</v>
      </c>
      <c r="I97" s="65" t="str">
        <f>'Necesidades Trimestrales'!F95</f>
        <v>COMPRIMIDO</v>
      </c>
      <c r="J97" s="66">
        <f>'Necesidades Trimestrales'!H95</f>
        <v>12.5</v>
      </c>
      <c r="K97" s="67">
        <f>'Necesidades Trimestrales'!G95</f>
        <v>100</v>
      </c>
    </row>
    <row r="98" spans="1:11" ht="20.25" customHeight="1" thickBot="1" x14ac:dyDescent="0.25">
      <c r="A98" s="8">
        <v>87</v>
      </c>
      <c r="B98" s="63">
        <f>'Necesidades Trimestrales'!B96</f>
        <v>0</v>
      </c>
      <c r="C98" s="169" t="str">
        <f>'Necesidades Trimestrales'!E96</f>
        <v>PROPARACAINA CLORHIDRATO 0,5% COLIRIO</v>
      </c>
      <c r="D98" s="169"/>
      <c r="E98" s="169"/>
      <c r="F98" s="169"/>
      <c r="G98" s="169"/>
      <c r="H98" s="64" t="s">
        <v>56</v>
      </c>
      <c r="I98" s="65" t="str">
        <f>'Necesidades Trimestrales'!F96</f>
        <v>GOTERO</v>
      </c>
      <c r="J98" s="66">
        <f>'Necesidades Trimestrales'!H96</f>
        <v>558.6</v>
      </c>
      <c r="K98" s="67">
        <f>'Necesidades Trimestrales'!G96</f>
        <v>5</v>
      </c>
    </row>
    <row r="99" spans="1:11" ht="20.25" customHeight="1" thickBot="1" x14ac:dyDescent="0.25">
      <c r="A99" s="8">
        <v>88</v>
      </c>
      <c r="B99" s="63">
        <f>'Necesidades Trimestrales'!B97</f>
        <v>0</v>
      </c>
      <c r="C99" s="169" t="str">
        <f>'Necesidades Trimestrales'!E97</f>
        <v>PROPOFOL 1% FCO AMPOLLAS VIAL X 50 ML</v>
      </c>
      <c r="D99" s="169"/>
      <c r="E99" s="169"/>
      <c r="F99" s="169"/>
      <c r="G99" s="169"/>
      <c r="H99" s="64" t="s">
        <v>56</v>
      </c>
      <c r="I99" s="65" t="str">
        <f>'Necesidades Trimestrales'!F97</f>
        <v>AMPOLLA</v>
      </c>
      <c r="J99" s="66">
        <f>'Necesidades Trimestrales'!H97</f>
        <v>1098</v>
      </c>
      <c r="K99" s="67">
        <f>'Necesidades Trimestrales'!G97</f>
        <v>150</v>
      </c>
    </row>
    <row r="100" spans="1:11" ht="20.25" customHeight="1" thickBot="1" x14ac:dyDescent="0.25">
      <c r="A100" s="8">
        <v>89</v>
      </c>
      <c r="B100" s="63">
        <f>'Necesidades Trimestrales'!B98</f>
        <v>0</v>
      </c>
      <c r="C100" s="169" t="str">
        <f>'Necesidades Trimestrales'!E98</f>
        <v>PROPRANOLOL 40MG COMPRIMIDO</v>
      </c>
      <c r="D100" s="169"/>
      <c r="E100" s="169"/>
      <c r="F100" s="169"/>
      <c r="G100" s="169"/>
      <c r="H100" s="64" t="s">
        <v>56</v>
      </c>
      <c r="I100" s="65" t="str">
        <f>'Necesidades Trimestrales'!F98</f>
        <v>UNIDAD</v>
      </c>
      <c r="J100" s="66">
        <f>'Necesidades Trimestrales'!H98</f>
        <v>16.2</v>
      </c>
      <c r="K100" s="67">
        <f>'Necesidades Trimestrales'!G98</f>
        <v>400</v>
      </c>
    </row>
    <row r="101" spans="1:11" ht="20.25" customHeight="1" thickBot="1" x14ac:dyDescent="0.25">
      <c r="A101" s="8">
        <v>90</v>
      </c>
      <c r="B101" s="63">
        <f>'Necesidades Trimestrales'!B99</f>
        <v>0</v>
      </c>
      <c r="C101" s="169" t="str">
        <f>'Necesidades Trimestrales'!E99</f>
        <v>QUETIAPINA 100MG COMPRIMIDO</v>
      </c>
      <c r="D101" s="169"/>
      <c r="E101" s="169"/>
      <c r="F101" s="169"/>
      <c r="G101" s="169"/>
      <c r="H101" s="64" t="s">
        <v>56</v>
      </c>
      <c r="I101" s="65" t="str">
        <f>'Necesidades Trimestrales'!F99</f>
        <v>COMPRIMIDO</v>
      </c>
      <c r="J101" s="66">
        <f>'Necesidades Trimestrales'!H99</f>
        <v>16.5</v>
      </c>
      <c r="K101" s="67">
        <f>'Necesidades Trimestrales'!G99</f>
        <v>60</v>
      </c>
    </row>
    <row r="102" spans="1:11" ht="20.25" customHeight="1" thickBot="1" x14ac:dyDescent="0.25">
      <c r="A102" s="8">
        <v>91</v>
      </c>
      <c r="B102" s="63">
        <f>'Necesidades Trimestrales'!B100</f>
        <v>0</v>
      </c>
      <c r="C102" s="169" t="str">
        <f>'Necesidades Trimestrales'!E100</f>
        <v>RANITIDINA 50 MG AMPOLLA</v>
      </c>
      <c r="D102" s="169"/>
      <c r="E102" s="169"/>
      <c r="F102" s="169"/>
      <c r="G102" s="169"/>
      <c r="H102" s="64" t="s">
        <v>56</v>
      </c>
      <c r="I102" s="65" t="str">
        <f>'Necesidades Trimestrales'!F100</f>
        <v>AMPOLLA</v>
      </c>
      <c r="J102" s="66">
        <f>'Necesidades Trimestrales'!H100</f>
        <v>42</v>
      </c>
      <c r="K102" s="67">
        <f>'Necesidades Trimestrales'!G100</f>
        <v>40000</v>
      </c>
    </row>
    <row r="103" spans="1:11" ht="20.25" customHeight="1" thickBot="1" x14ac:dyDescent="0.25">
      <c r="A103" s="8">
        <v>92</v>
      </c>
      <c r="B103" s="63">
        <f>'Necesidades Trimestrales'!B101</f>
        <v>0</v>
      </c>
      <c r="C103" s="169" t="str">
        <f>'Necesidades Trimestrales'!E101</f>
        <v>RISPERIDONA 1MG COMPRIMIDO</v>
      </c>
      <c r="D103" s="169"/>
      <c r="E103" s="169"/>
      <c r="F103" s="169"/>
      <c r="G103" s="169"/>
      <c r="H103" s="64" t="s">
        <v>56</v>
      </c>
      <c r="I103" s="65" t="str">
        <f>'Necesidades Trimestrales'!F101</f>
        <v>COMPRIMIDO</v>
      </c>
      <c r="J103" s="66">
        <f>'Necesidades Trimestrales'!H101</f>
        <v>15.88</v>
      </c>
      <c r="K103" s="67">
        <f>'Necesidades Trimestrales'!G101</f>
        <v>120</v>
      </c>
    </row>
    <row r="104" spans="1:11" ht="34.5" customHeight="1" thickBot="1" x14ac:dyDescent="0.25">
      <c r="A104" s="8">
        <v>93</v>
      </c>
      <c r="B104" s="63">
        <f>'Necesidades Trimestrales'!B102</f>
        <v>0</v>
      </c>
      <c r="C104" s="169" t="str">
        <f>'Necesidades Trimestrales'!E102</f>
        <v>SOLUCION A CONCENTRADO ACIDO PARA HEMODIALISIS , FORMULA GLUCOSADOS Y NO GLUCOSADAS X 10 LITROS TIPO K-DIAL</v>
      </c>
      <c r="D104" s="169"/>
      <c r="E104" s="169"/>
      <c r="F104" s="169"/>
      <c r="G104" s="169"/>
      <c r="H104" s="64" t="s">
        <v>56</v>
      </c>
      <c r="I104" s="65" t="str">
        <f>'Necesidades Trimestrales'!F102</f>
        <v>UNIDAD</v>
      </c>
      <c r="J104" s="66">
        <f>'Necesidades Trimestrales'!H102</f>
        <v>703</v>
      </c>
      <c r="K104" s="67">
        <f>'Necesidades Trimestrales'!G102</f>
        <v>500</v>
      </c>
    </row>
    <row r="105" spans="1:11" ht="42" customHeight="1" thickBot="1" x14ac:dyDescent="0.25">
      <c r="A105" s="8">
        <v>94</v>
      </c>
      <c r="B105" s="63">
        <f>'Necesidades Trimestrales'!B103</f>
        <v>0</v>
      </c>
      <c r="C105" s="169" t="str">
        <f>'Necesidades Trimestrales'!E103</f>
        <v>SOLUCION B CONCENTRADO BASICO, FORMULA DE BICARBONATO EN SOLUCION X 10 LITROS TIPO K-DIAL</v>
      </c>
      <c r="D105" s="169"/>
      <c r="E105" s="169"/>
      <c r="F105" s="169"/>
      <c r="G105" s="169"/>
      <c r="H105" s="64" t="s">
        <v>56</v>
      </c>
      <c r="I105" s="65" t="str">
        <f>'Necesidades Trimestrales'!F103</f>
        <v>UNIDAD</v>
      </c>
      <c r="J105" s="66">
        <f>'Necesidades Trimestrales'!H103</f>
        <v>635</v>
      </c>
      <c r="K105" s="67">
        <f>'Necesidades Trimestrales'!G103</f>
        <v>720</v>
      </c>
    </row>
    <row r="106" spans="1:11" ht="20.25" customHeight="1" thickBot="1" x14ac:dyDescent="0.25">
      <c r="A106" s="8">
        <v>95</v>
      </c>
      <c r="B106" s="63">
        <f>'Necesidades Trimestrales'!B104</f>
        <v>0</v>
      </c>
      <c r="C106" s="169" t="str">
        <f>'Necesidades Trimestrales'!E104</f>
        <v>SOLUCION DEXTROSA 50%SACHET X 500ML</v>
      </c>
      <c r="D106" s="169"/>
      <c r="E106" s="169"/>
      <c r="F106" s="169"/>
      <c r="G106" s="169"/>
      <c r="H106" s="64" t="s">
        <v>56</v>
      </c>
      <c r="I106" s="65" t="str">
        <f>'Necesidades Trimestrales'!F104</f>
        <v>UNIDAD</v>
      </c>
      <c r="J106" s="66">
        <f>'Necesidades Trimestrales'!H104</f>
        <v>225</v>
      </c>
      <c r="K106" s="67">
        <f>'Necesidades Trimestrales'!G104</f>
        <v>30</v>
      </c>
    </row>
    <row r="107" spans="1:11" ht="20.25" customHeight="1" thickBot="1" x14ac:dyDescent="0.25">
      <c r="A107" s="8">
        <v>96</v>
      </c>
      <c r="B107" s="63">
        <f>'Necesidades Trimestrales'!B105</f>
        <v>0</v>
      </c>
      <c r="C107" s="169" t="str">
        <f>'Necesidades Trimestrales'!E105</f>
        <v>SOLUCION DEXTROSA AL 10% SACHET DE 500 ML</v>
      </c>
      <c r="D107" s="169"/>
      <c r="E107" s="169"/>
      <c r="F107" s="169"/>
      <c r="G107" s="169"/>
      <c r="H107" s="64" t="s">
        <v>56</v>
      </c>
      <c r="I107" s="65" t="str">
        <f>'Necesidades Trimestrales'!F105</f>
        <v>UNIDAD</v>
      </c>
      <c r="J107" s="66">
        <f>'Necesidades Trimestrales'!H105</f>
        <v>119</v>
      </c>
      <c r="K107" s="67">
        <f>'Necesidades Trimestrales'!G105</f>
        <v>100</v>
      </c>
    </row>
    <row r="108" spans="1:11" ht="20.25" customHeight="1" thickBot="1" x14ac:dyDescent="0.25">
      <c r="A108" s="8">
        <v>97</v>
      </c>
      <c r="B108" s="63">
        <f>'Necesidades Trimestrales'!B106</f>
        <v>0</v>
      </c>
      <c r="C108" s="169" t="str">
        <f>'Necesidades Trimestrales'!E106</f>
        <v>SOLUCION DEXTROSA AL 25% SACHET DE 500 ML</v>
      </c>
      <c r="D108" s="169"/>
      <c r="E108" s="169"/>
      <c r="F108" s="169"/>
      <c r="G108" s="169"/>
      <c r="H108" s="64" t="s">
        <v>56</v>
      </c>
      <c r="I108" s="65" t="str">
        <f>'Necesidades Trimestrales'!F106</f>
        <v>UNIDAD</v>
      </c>
      <c r="J108" s="66">
        <f>'Necesidades Trimestrales'!H106</f>
        <v>179</v>
      </c>
      <c r="K108" s="67">
        <f>'Necesidades Trimestrales'!G106</f>
        <v>50</v>
      </c>
    </row>
    <row r="109" spans="1:11" ht="20.25" customHeight="1" thickBot="1" x14ac:dyDescent="0.25">
      <c r="A109" s="8">
        <v>98</v>
      </c>
      <c r="B109" s="63">
        <f>'Necesidades Trimestrales'!B107</f>
        <v>0</v>
      </c>
      <c r="C109" s="169" t="str">
        <f>'Necesidades Trimestrales'!E107</f>
        <v xml:space="preserve">SOLUCION DEXTROSA AL 5 % SACHET DE 500 ML SISTEMA CERRADO , DOBLE PUERTO DE INYECCION </v>
      </c>
      <c r="D109" s="169"/>
      <c r="E109" s="169"/>
      <c r="F109" s="169"/>
      <c r="G109" s="169"/>
      <c r="H109" s="64" t="s">
        <v>56</v>
      </c>
      <c r="I109" s="65" t="str">
        <f>'Necesidades Trimestrales'!F107</f>
        <v>UNIDAD</v>
      </c>
      <c r="J109" s="66">
        <f>'Necesidades Trimestrales'!H107</f>
        <v>86</v>
      </c>
      <c r="K109" s="67">
        <f>'Necesidades Trimestrales'!G107</f>
        <v>5000</v>
      </c>
    </row>
    <row r="110" spans="1:11" ht="20.25" customHeight="1" thickBot="1" x14ac:dyDescent="0.25">
      <c r="A110" s="8">
        <v>99</v>
      </c>
      <c r="B110" s="63">
        <f>'Necesidades Trimestrales'!B108</f>
        <v>0</v>
      </c>
      <c r="C110" s="169" t="str">
        <f>'Necesidades Trimestrales'!E108</f>
        <v>SOLUCION FISIOLOGICA 0,9 % SACHET X 500 ML SISTEMA CERRADO DOBLE PUERTO DE INYECCION</v>
      </c>
      <c r="D110" s="169"/>
      <c r="E110" s="169"/>
      <c r="F110" s="169"/>
      <c r="G110" s="169"/>
      <c r="H110" s="64" t="s">
        <v>56</v>
      </c>
      <c r="I110" s="65" t="str">
        <f>'Necesidades Trimestrales'!F108</f>
        <v>UNIDAD</v>
      </c>
      <c r="J110" s="66">
        <f>'Necesidades Trimestrales'!H108</f>
        <v>80</v>
      </c>
      <c r="K110" s="67">
        <f>'Necesidades Trimestrales'!G108</f>
        <v>48000</v>
      </c>
    </row>
    <row r="111" spans="1:11" ht="20.25" customHeight="1" thickBot="1" x14ac:dyDescent="0.25">
      <c r="A111" s="8">
        <v>100</v>
      </c>
      <c r="B111" s="63">
        <f>'Necesidades Trimestrales'!B109</f>
        <v>0</v>
      </c>
      <c r="C111" s="169" t="str">
        <f>'Necesidades Trimestrales'!E109</f>
        <v>SOLUCION GLUCOSADA AL 25 % AMPOLLAS X 10 ML</v>
      </c>
      <c r="D111" s="169"/>
      <c r="E111" s="169"/>
      <c r="F111" s="169"/>
      <c r="G111" s="169"/>
      <c r="H111" s="64" t="s">
        <v>56</v>
      </c>
      <c r="I111" s="65" t="str">
        <f>'Necesidades Trimestrales'!F109</f>
        <v>UNIDAD</v>
      </c>
      <c r="J111" s="66">
        <f>'Necesidades Trimestrales'!H109</f>
        <v>62</v>
      </c>
      <c r="K111" s="67">
        <f>'Necesidades Trimestrales'!G109</f>
        <v>500</v>
      </c>
    </row>
    <row r="112" spans="1:11" ht="20.25" customHeight="1" thickBot="1" x14ac:dyDescent="0.25">
      <c r="A112" s="8">
        <v>101</v>
      </c>
      <c r="B112" s="63">
        <f>'Necesidades Trimestrales'!B110</f>
        <v>0</v>
      </c>
      <c r="C112" s="169" t="str">
        <f>'Necesidades Trimestrales'!E110</f>
        <v>SOLUCION MANITOL DE SACHET 500 ML</v>
      </c>
      <c r="D112" s="169"/>
      <c r="E112" s="169"/>
      <c r="F112" s="169"/>
      <c r="G112" s="169"/>
      <c r="H112" s="64" t="s">
        <v>56</v>
      </c>
      <c r="I112" s="65" t="str">
        <f>'Necesidades Trimestrales'!F110</f>
        <v>UNIDAD</v>
      </c>
      <c r="J112" s="66">
        <f>'Necesidades Trimestrales'!H110</f>
        <v>286</v>
      </c>
      <c r="K112" s="67">
        <f>'Necesidades Trimestrales'!G110</f>
        <v>50</v>
      </c>
    </row>
    <row r="113" spans="1:1024" ht="20.25" customHeight="1" thickBot="1" x14ac:dyDescent="0.25">
      <c r="A113" s="8">
        <v>102</v>
      </c>
      <c r="B113" s="63">
        <f>'Necesidades Trimestrales'!B111</f>
        <v>0</v>
      </c>
      <c r="C113" s="169" t="str">
        <f>'Necesidades Trimestrales'!E111</f>
        <v>SOLUCION RINGER LACTATO DE 500 ML</v>
      </c>
      <c r="D113" s="169"/>
      <c r="E113" s="169"/>
      <c r="F113" s="169"/>
      <c r="G113" s="169"/>
      <c r="H113" s="64" t="s">
        <v>56</v>
      </c>
      <c r="I113" s="65" t="str">
        <f>'Necesidades Trimestrales'!F111</f>
        <v>UNIDAD</v>
      </c>
      <c r="J113" s="66">
        <f>'Necesidades Trimestrales'!H111</f>
        <v>114</v>
      </c>
      <c r="K113" s="67">
        <f>'Necesidades Trimestrales'!G111</f>
        <v>100</v>
      </c>
    </row>
    <row r="114" spans="1:1024" ht="20.25" customHeight="1" thickBot="1" x14ac:dyDescent="0.25">
      <c r="A114" s="8">
        <v>103</v>
      </c>
      <c r="B114" s="63">
        <f>'Necesidades Trimestrales'!B112</f>
        <v>0</v>
      </c>
      <c r="C114" s="169" t="str">
        <f>'Necesidades Trimestrales'!E112</f>
        <v>SULFATO DE MAGNESIO 25%  AMPOLLAS X 5 ML</v>
      </c>
      <c r="D114" s="169"/>
      <c r="E114" s="169"/>
      <c r="F114" s="169"/>
      <c r="G114" s="169"/>
      <c r="H114" s="64" t="s">
        <v>56</v>
      </c>
      <c r="I114" s="65" t="str">
        <f>'Necesidades Trimestrales'!F112</f>
        <v>UNIDAD</v>
      </c>
      <c r="J114" s="66">
        <f>'Necesidades Trimestrales'!H112</f>
        <v>35.799999999999997</v>
      </c>
      <c r="K114" s="67">
        <f>'Necesidades Trimestrales'!G112</f>
        <v>500</v>
      </c>
    </row>
    <row r="115" spans="1:1024" ht="20.25" customHeight="1" thickBot="1" x14ac:dyDescent="0.25">
      <c r="A115" s="8">
        <v>104</v>
      </c>
      <c r="B115" s="63">
        <f>'Necesidades Trimestrales'!B113</f>
        <v>0</v>
      </c>
      <c r="C115" s="169" t="str">
        <f>'Necesidades Trimestrales'!E113</f>
        <v>SULFATO FERROSO 200 MG COMPRIMIDO</v>
      </c>
      <c r="D115" s="169"/>
      <c r="E115" s="169"/>
      <c r="F115" s="169"/>
      <c r="G115" s="169"/>
      <c r="H115" s="64" t="s">
        <v>56</v>
      </c>
      <c r="I115" s="65" t="str">
        <f>'Necesidades Trimestrales'!F113</f>
        <v>UNIDAD</v>
      </c>
      <c r="J115" s="66">
        <f>'Necesidades Trimestrales'!H113</f>
        <v>8.5</v>
      </c>
      <c r="K115" s="67">
        <f>'Necesidades Trimestrales'!G113</f>
        <v>500</v>
      </c>
    </row>
    <row r="116" spans="1:1024" ht="20.25" customHeight="1" thickBot="1" x14ac:dyDescent="0.25">
      <c r="A116" s="8">
        <v>105</v>
      </c>
      <c r="B116" s="63">
        <f>'Necesidades Trimestrales'!B114</f>
        <v>0</v>
      </c>
      <c r="C116" s="169" t="str">
        <f>'Necesidades Trimestrales'!E114</f>
        <v>VASELINA LIQUIDA X 1 LITRO</v>
      </c>
      <c r="D116" s="169"/>
      <c r="E116" s="169"/>
      <c r="F116" s="169"/>
      <c r="G116" s="169"/>
      <c r="H116" s="64" t="s">
        <v>56</v>
      </c>
      <c r="I116" s="65" t="str">
        <f>'Necesidades Trimestrales'!F114</f>
        <v>FRASCO</v>
      </c>
      <c r="J116" s="66">
        <f>'Necesidades Trimestrales'!H114</f>
        <v>550</v>
      </c>
      <c r="K116" s="67">
        <f>'Necesidades Trimestrales'!G114</f>
        <v>20</v>
      </c>
    </row>
    <row r="117" spans="1:1024" ht="20.25" customHeight="1" thickBot="1" x14ac:dyDescent="0.25">
      <c r="A117" s="8">
        <v>106</v>
      </c>
      <c r="B117" s="63">
        <f>'Necesidades Trimestrales'!B115</f>
        <v>0</v>
      </c>
      <c r="C117" s="169" t="str">
        <f>'Necesidades Trimestrales'!E115</f>
        <v>VELANFAXINA 75MG COMPRIMIDO</v>
      </c>
      <c r="D117" s="169"/>
      <c r="E117" s="169"/>
      <c r="F117" s="169"/>
      <c r="G117" s="169"/>
      <c r="H117" s="64" t="s">
        <v>56</v>
      </c>
      <c r="I117" s="65" t="str">
        <f>'Necesidades Trimestrales'!F115</f>
        <v>COMPRIMIDO</v>
      </c>
      <c r="J117" s="66">
        <f>'Necesidades Trimestrales'!H115</f>
        <v>69</v>
      </c>
      <c r="K117" s="67">
        <f>'Necesidades Trimestrales'!G115</f>
        <v>30</v>
      </c>
    </row>
    <row r="118" spans="1:1024" ht="20.25" customHeight="1" thickBot="1" x14ac:dyDescent="0.25">
      <c r="A118" s="8">
        <v>107</v>
      </c>
      <c r="B118" s="63">
        <f>'Necesidades Trimestrales'!B116</f>
        <v>0</v>
      </c>
      <c r="C118" s="169" t="str">
        <f>'Necesidades Trimestrales'!E116</f>
        <v>VITAMINA K 10 MG AMPOLLA</v>
      </c>
      <c r="D118" s="169"/>
      <c r="E118" s="169"/>
      <c r="F118" s="169"/>
      <c r="G118" s="169"/>
      <c r="H118" s="64" t="s">
        <v>56</v>
      </c>
      <c r="I118" s="65" t="str">
        <f>'Necesidades Trimestrales'!F116</f>
        <v>UNIDAD</v>
      </c>
      <c r="J118" s="66">
        <f>'Necesidades Trimestrales'!H116</f>
        <v>41</v>
      </c>
      <c r="K118" s="67">
        <f>'Necesidades Trimestrales'!G116</f>
        <v>300</v>
      </c>
    </row>
    <row r="119" spans="1:1024" ht="20.25" customHeight="1" thickBot="1" x14ac:dyDescent="0.25">
      <c r="A119" s="170" t="s">
        <v>191</v>
      </c>
      <c r="B119" s="170"/>
      <c r="C119" s="170"/>
      <c r="D119" s="170"/>
      <c r="E119" s="170"/>
      <c r="F119" s="170"/>
      <c r="G119" s="170"/>
      <c r="H119" s="170"/>
      <c r="I119" s="170"/>
      <c r="J119" s="171">
        <f>SUMPRODUCT(J12:J118,K12:K118)</f>
        <v>23720179.600000001</v>
      </c>
      <c r="K119" s="17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</sheetData>
  <mergeCells count="12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19:I119"/>
    <mergeCell ref="J119:K11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6" zoomScale="130" zoomScaleNormal="130" workbookViewId="0">
      <selection activeCell="S12" sqref="S1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205" t="s">
        <v>3</v>
      </c>
      <c r="B1" s="205"/>
      <c r="C1" s="205"/>
      <c r="D1" s="206">
        <f>'Necesidades Trimestrales'!C6</f>
        <v>2021</v>
      </c>
      <c r="E1" s="206"/>
      <c r="F1" s="10"/>
      <c r="G1" s="10"/>
      <c r="H1" s="11"/>
      <c r="I1" s="11"/>
      <c r="J1" s="11"/>
      <c r="K1" s="11"/>
      <c r="L1" s="11"/>
      <c r="M1" s="11"/>
      <c r="N1" s="11"/>
      <c r="P1" s="207" t="s">
        <v>30</v>
      </c>
      <c r="Q1" s="20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207"/>
      <c r="Q2" s="207"/>
    </row>
    <row r="4" spans="1:17" s="12" customFormat="1" ht="18" customHeight="1" thickBot="1" x14ac:dyDescent="0.25">
      <c r="A4" s="208" t="s">
        <v>31</v>
      </c>
      <c r="B4" s="208"/>
      <c r="C4" s="208"/>
      <c r="D4" s="208"/>
      <c r="E4" s="208"/>
      <c r="F4" s="208"/>
      <c r="G4" s="203" t="str">
        <f>NotaPedido!D3</f>
        <v>40 - Ministerio de Salud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</row>
    <row r="5" spans="1:17" s="12" customFormat="1" ht="18" customHeight="1" thickBot="1" x14ac:dyDescent="0.25">
      <c r="A5" s="200" t="s">
        <v>54</v>
      </c>
      <c r="B5" s="201"/>
      <c r="C5" s="201"/>
      <c r="D5" s="201"/>
      <c r="E5" s="201"/>
      <c r="F5" s="202"/>
      <c r="G5" s="203" t="str">
        <f>NotaPedido!D4</f>
        <v>23 - Hospital Interzonal San Juan Bautista</v>
      </c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s="12" customFormat="1" ht="18" customHeight="1" thickBot="1" x14ac:dyDescent="0.25">
      <c r="A6" s="200" t="s">
        <v>32</v>
      </c>
      <c r="B6" s="201"/>
      <c r="C6" s="201"/>
      <c r="D6" s="201"/>
      <c r="E6" s="201"/>
      <c r="F6" s="202"/>
      <c r="G6" s="203" t="str">
        <f>NotaPedido!D5</f>
        <v>168 - Direccion Asistencial</v>
      </c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s="12" customFormat="1" ht="18" customHeight="1" thickBot="1" x14ac:dyDescent="0.25">
      <c r="A7" s="200" t="s">
        <v>55</v>
      </c>
      <c r="B7" s="201"/>
      <c r="C7" s="201"/>
      <c r="D7" s="201"/>
      <c r="E7" s="201"/>
      <c r="F7" s="202"/>
      <c r="G7" s="203" t="str">
        <f>NotaPedido!D6</f>
        <v>Servicio de Farmacia</v>
      </c>
      <c r="H7" s="203"/>
      <c r="I7" s="203"/>
      <c r="J7" s="203"/>
      <c r="K7" s="203"/>
      <c r="L7" s="203"/>
      <c r="M7" s="203"/>
      <c r="N7" s="203"/>
      <c r="O7" s="203"/>
      <c r="P7" s="203"/>
      <c r="Q7" s="203"/>
    </row>
    <row r="8" spans="1:17" ht="18" customHeight="1" thickBot="1" x14ac:dyDescent="0.25">
      <c r="A8" s="204" t="s">
        <v>33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</row>
    <row r="9" spans="1:17" ht="18" customHeight="1" x14ac:dyDescent="0.2">
      <c r="A9" s="194" t="s">
        <v>34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"/>
      <c r="P9" s="1"/>
      <c r="Q9" s="13"/>
    </row>
    <row r="10" spans="1:17" ht="54.75" customHeight="1" x14ac:dyDescent="0.2">
      <c r="A10" s="19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088 - 2021,  afectando la erogación resultante a los créditos presupuestarios aprobados a favor de esta Unidad Ejecutora, conforme al siguiente detalle: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96" t="s">
        <v>35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customHeight="1" x14ac:dyDescent="0.2">
      <c r="A13" s="197" t="s">
        <v>36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 t="s">
        <v>37</v>
      </c>
      <c r="P13" s="198"/>
      <c r="Q13" s="199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98"/>
      <c r="P14" s="198"/>
      <c r="Q14" s="199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63</v>
      </c>
      <c r="I15" s="73">
        <v>2</v>
      </c>
      <c r="J15" s="73">
        <v>5</v>
      </c>
      <c r="K15" s="73">
        <v>2</v>
      </c>
      <c r="L15" s="71"/>
      <c r="M15" s="74">
        <v>1</v>
      </c>
      <c r="N15" s="72" t="s">
        <v>64</v>
      </c>
      <c r="O15" s="191" t="s">
        <v>61</v>
      </c>
      <c r="P15" s="191"/>
      <c r="Q15" s="23">
        <v>23720179.600000001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92"/>
      <c r="P16" s="192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92"/>
      <c r="P17" s="192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93"/>
      <c r="P18" s="18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86"/>
      <c r="P19" s="18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86"/>
      <c r="P20" s="18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87"/>
      <c r="P21" s="18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88"/>
      <c r="P22" s="188"/>
      <c r="Q22" s="37"/>
    </row>
    <row r="23" spans="1:19" ht="20.25" customHeight="1" x14ac:dyDescent="0.2">
      <c r="A23" s="189" t="s">
        <v>192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38">
        <f>SUM(Q15:Q22)</f>
        <v>23720179.600000001</v>
      </c>
    </row>
    <row r="24" spans="1:19" ht="18" customHeight="1" thickBot="1" x14ac:dyDescent="0.25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</row>
    <row r="25" spans="1:19" ht="17.25" customHeight="1" thickBot="1" x14ac:dyDescent="0.25">
      <c r="A25" s="181" t="s">
        <v>52</v>
      </c>
      <c r="B25" s="182"/>
      <c r="C25" s="182"/>
      <c r="D25" s="182"/>
      <c r="E25" s="182"/>
      <c r="F25" s="183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</row>
    <row r="26" spans="1:19" ht="18" customHeight="1" thickBot="1" x14ac:dyDescent="0.25">
      <c r="A26" s="185" t="str">
        <f>"Para la "&amp; NotaPedido!D8 &amp;" para ser destinados al " &amp; NotaPedido!D6 &amp;"  del HISJB del Ministerio de Salud."</f>
        <v>Para la Adquisición de Medicamentos  para ser destinados al Servicio de Farmacia  del HISJB del Ministerio de Salud.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</row>
    <row r="27" spans="1:19" ht="15" customHeight="1" x14ac:dyDescent="0.2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2021-11-23T13:04:10Z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