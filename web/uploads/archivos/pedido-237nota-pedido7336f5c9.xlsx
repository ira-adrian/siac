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61526FA3-37C4-4AB3-AB51-44D3ACA07092}" xr6:coauthVersionLast="46" xr6:coauthVersionMax="46" xr10:uidLastSave="{00000000-0000-0000-0000-000000000000}"/>
  <bookViews>
    <workbookView xWindow="-120" yWindow="-120" windowWidth="29040" windowHeight="15840" xr2:uid="{00000000-000D-0000-FFFF-FFFF00000000}"/>
  </bookViews>
  <sheets>
    <sheet name="Control ítems" sheetId="1" r:id="rId1"/>
    <sheet name="Npe y SG" sheetId="2" r:id="rId2"/>
  </sheets>
  <calcPr calcId="181029"/>
</workbook>
</file>

<file path=xl/calcChain.xml><?xml version="1.0" encoding="utf-8"?>
<calcChain xmlns="http://schemas.openxmlformats.org/spreadsheetml/2006/main">
  <c r="I17" i="1" l="1"/>
  <c r="I16" i="1"/>
  <c r="I19" i="1" s="1"/>
  <c r="I12" i="1"/>
  <c r="I10" i="1"/>
</calcChain>
</file>

<file path=xl/sharedStrings.xml><?xml version="1.0" encoding="utf-8"?>
<sst xmlns="http://schemas.openxmlformats.org/spreadsheetml/2006/main" count="45" uniqueCount="38">
  <si>
    <t>ID</t>
  </si>
  <si>
    <t>CODIGO ITEM</t>
  </si>
  <si>
    <t>UNIDAD DE MEDIDA</t>
  </si>
  <si>
    <t>CANTIDAD</t>
  </si>
  <si>
    <t>2.5.8-6597.55</t>
  </si>
  <si>
    <t>FERRETERIA</t>
  </si>
  <si>
    <t>2.5.8</t>
  </si>
  <si>
    <t>MANGUERAS PLASTICAS; TIPO: MANGA DE RIEGO, MATERIAL: POLIETILENO, DIAMETRO: 10 pulg, PRESION DE TRABAJO: 1 MH2O, LONG.DE CUERPO: 100 M</t>
  </si>
  <si>
    <t>UNIDAD</t>
  </si>
  <si>
    <t>2.9.6-9340.4</t>
  </si>
  <si>
    <t>2.9.6</t>
  </si>
  <si>
    <t>REP. Y ACC. P/EQUIPO DE RIEGO; TIPO: RIEGO POR MANGAS, MARCA EQUIPO: SEGÚN PLIEGO, MODELO EQUIPO: SEGUN PLIEGO, ELEMENTO: INSERTOR PARA COMPUERTAS</t>
  </si>
  <si>
    <t>2.9.6-9340.5</t>
  </si>
  <si>
    <t>REP. Y ACC. P/EQUIPO DE RIEGO; TIPO: RIEGO POR MANGAS, MARCA EQUIPO: SEGÚN PLIEGO, MODELO EQUIPO: SEGUN PLIEGO, ELEMENTO: COMPUERTAS DE POLIETILENO REGULADORA DE CAUDAL PARA MANGAS DE RIEGO</t>
  </si>
  <si>
    <t>Plazos y lugares de entrega:</t>
  </si>
  <si>
    <r>
      <rPr>
        <b/>
        <u/>
        <sz val="12"/>
        <color rgb="FF000000"/>
        <rFont val="Calibri"/>
        <family val="2"/>
        <scheme val="minor"/>
      </rPr>
      <t>PLAZO DE ENTREGA:</t>
    </r>
    <r>
      <rPr>
        <sz val="12"/>
        <color rgb="FF000000"/>
        <rFont val="Calibri"/>
        <family val="2"/>
        <scheme val="minor"/>
      </rPr>
      <t xml:space="preserve"> 10 DIAS</t>
    </r>
  </si>
  <si>
    <r>
      <rPr>
        <b/>
        <u/>
        <sz val="12"/>
        <color rgb="FF000000"/>
        <rFont val="Calibri"/>
        <family val="2"/>
        <scheme val="minor"/>
      </rPr>
      <t>LUGAR:</t>
    </r>
    <r>
      <rPr>
        <sz val="12"/>
        <color rgb="FF000000"/>
        <rFont val="Calibri"/>
        <family val="2"/>
        <scheme val="minor"/>
      </rPr>
      <t xml:space="preserve"> AV. VENEZUELA S/N - C.A.P.E - PABELLON N° 28 -SAN FERNANDO DEL VALLE DE CATAMARCA- CATAMARCA</t>
    </r>
  </si>
  <si>
    <t>REP. Y ACC. P/EQUIPO DE RIEGO; TIPO: RIEGO POR MANGAS, MARCA EQUIPO: SEGUN PLIEGO, MODELO EQUIPO: SEGUN PLIEGO, ELEMENTO: INSERTOR PARA COMPUERTAS</t>
  </si>
  <si>
    <t>REP. Y ACC. P/EQUIPO DE RIEGO; TIPO: RIEGO POR MANGAS, MARCA EQUIPO: SEGUN PLIEGO, MODELO EQUIPO: SEGUN PLIEGO, ELEMENTO: COMPUERTAS DE POLIETILENO REGULADORA DE CAUDAL PARA MANGAS DE RIEGO</t>
  </si>
  <si>
    <t>S/CATALOGO COMPR.AR</t>
  </si>
  <si>
    <t>control IPP</t>
  </si>
  <si>
    <t>Especialidades item N° 1</t>
  </si>
  <si>
    <t>Especialidades item N° 2</t>
  </si>
  <si>
    <t>Especialidades item N° 3</t>
  </si>
  <si>
    <t>MANGUERAS PLASTICAS; TIPO: MANGA DE RIEGO, MATERIAL: POLIETILENO, DIAMETRO: 10 pulg, PRESION DE TRABAJO: 1 MH2O,
LONG.DE CUERPO: 100 M - SEGÚN DESCRIPCION ITEM</t>
  </si>
  <si>
    <t>SACABOCADO PARA MANGAS DE RIEGO, INSERTOR PARA COLOCACION DE COMPUERTAS DE 50MM DE PVC REGULADORAS DE CAUDAL DE AGUA PARA RIEGO POR MANGAS. HERRAMIENTA CILINDRICA DE POLIETILENO CON FILO EN LA PUNTA PARA PERFORACION DE MANGA Y AJUSTAR MECANICAMENTE LA COMPUERTA REGULADORA.</t>
  </si>
  <si>
    <t>COMPUERTAS DE RIEGO PARA RIEGO POR PULSOS Y RIEGO POR MANGAS BG50, BG40 Y BG30 PARA MANGAS DE RIEGO. ABERTURA MAXIMA DE 30 MM/40MM/50MM RESPECTIVAMENTE, PERMITE CAUDAL HASTA 10LTS./SG CON 1 MCA./ DE PVC, CAUDAL REGULABLE, INDUSTRIA ARGENTINA, 50 MM</t>
  </si>
  <si>
    <t>JURISDICCION:</t>
  </si>
  <si>
    <t xml:space="preserve">SAF N°: </t>
  </si>
  <si>
    <t>EJERCICIO:</t>
  </si>
  <si>
    <t>TRIMESTRE:</t>
  </si>
  <si>
    <t>62 - MINISTERIO DE AGRICULTURA Y GANADERIA</t>
  </si>
  <si>
    <t>33 - DIRECCION PROVINCIAL DE GESTION ADMINISTRATIVA Y RRHH</t>
  </si>
  <si>
    <t>RUBRO DE COMPRA</t>
  </si>
  <si>
    <t xml:space="preserve">I.P.P. </t>
  </si>
  <si>
    <t>DESCRIPCION</t>
  </si>
  <si>
    <t>PRECIO UNITARIO ESTIMADO</t>
  </si>
  <si>
    <t xml:space="preserve">IMPORTE TOTAL ESTIMADO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</si>
</sst>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0.00"/>
    <numFmt numFmtId="165" formatCode="\$0.00"/>
    <numFmt numFmtId="166" formatCode="&quot;$&quot;\ #,##0.00"/>
  </numFmts>
  <fonts count="22" x14ac:knownFonts="1">
    <font>
      <sz val="10"/>
      <color rgb="FF000000"/>
      <name val="Times New Roman"/>
      <charset val="204"/>
    </font>
    <font>
      <b/>
      <sz val="11"/>
      <name val="Arial"/>
    </font>
    <font>
      <sz val="8"/>
      <color rgb="FF000000"/>
      <name val="Arial"/>
      <family val="2"/>
    </font>
    <font>
      <b/>
      <sz val="8.5"/>
      <name val="Calibri"/>
    </font>
    <font>
      <sz val="8"/>
      <name val="Arial"/>
    </font>
    <font>
      <sz val="11"/>
      <name val="Times New Roman"/>
    </font>
    <font>
      <sz val="10"/>
      <color rgb="FF000000"/>
      <name val="Times New Roman"/>
      <charset val="204"/>
    </font>
    <font>
      <b/>
      <sz val="12"/>
      <name val="Calibri"/>
      <family val="2"/>
      <scheme val="minor"/>
    </font>
    <font>
      <sz val="12"/>
      <color rgb="FF000000"/>
      <name val="Calibri"/>
      <family val="2"/>
      <scheme val="minor"/>
    </font>
    <font>
      <sz val="12"/>
      <name val="Calibri"/>
      <family val="2"/>
      <scheme val="minor"/>
    </font>
    <font>
      <sz val="10"/>
      <name val="Arial"/>
      <family val="2"/>
    </font>
    <font>
      <sz val="9"/>
      <color rgb="FF000000"/>
      <name val="Times New Roman"/>
      <family val="1"/>
    </font>
    <font>
      <b/>
      <u/>
      <sz val="12"/>
      <color rgb="FF000000"/>
      <name val="Calibri"/>
      <family val="2"/>
      <scheme val="minor"/>
    </font>
    <font>
      <b/>
      <sz val="12"/>
      <color rgb="FF000000"/>
      <name val="Calibri"/>
      <family val="2"/>
      <scheme val="minor"/>
    </font>
    <font>
      <sz val="8"/>
      <color rgb="FF000000"/>
      <name val="Calibri"/>
      <family val="2"/>
      <scheme val="minor"/>
    </font>
    <font>
      <sz val="8"/>
      <color rgb="FF000000"/>
      <name val="Times New Roman"/>
      <family val="1"/>
    </font>
    <font>
      <b/>
      <sz val="8"/>
      <color rgb="FF000000"/>
      <name val="Calibri"/>
      <family val="2"/>
      <scheme val="minor"/>
    </font>
    <font>
      <sz val="8"/>
      <name val="Times New Roman"/>
      <family val="1"/>
    </font>
    <font>
      <b/>
      <sz val="8"/>
      <name val="Calibri"/>
      <family val="2"/>
      <scheme val="minor"/>
    </font>
    <font>
      <u/>
      <sz val="8"/>
      <color rgb="FF000000"/>
      <name val="Calibri"/>
      <family val="2"/>
      <scheme val="minor"/>
    </font>
    <font>
      <b/>
      <sz val="11"/>
      <color rgb="FF000000"/>
      <name val="Times New Roman"/>
      <family val="1"/>
    </font>
    <font>
      <b/>
      <sz val="10"/>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rgb="FF7030A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top/>
      <bottom/>
      <diagonal/>
    </border>
    <border>
      <left style="medium">
        <color indexed="64"/>
      </left>
      <right/>
      <top style="medium">
        <color indexed="64"/>
      </top>
      <bottom style="medium">
        <color indexed="64"/>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s>
  <cellStyleXfs count="2">
    <xf numFmtId="0" fontId="0" fillId="0" borderId="0"/>
    <xf numFmtId="44" fontId="6" fillId="0" borderId="0" applyFont="0" applyFill="0" applyBorder="0" applyAlignment="0" applyProtection="0"/>
  </cellStyleXfs>
  <cellXfs count="64">
    <xf numFmtId="0" fontId="0" fillId="0" borderId="0" xfId="0" applyFill="1" applyBorder="1" applyAlignment="1">
      <alignment horizontal="left" vertical="top"/>
    </xf>
    <xf numFmtId="0" fontId="0" fillId="0" borderId="0" xfId="0" applyFill="1" applyBorder="1" applyAlignment="1">
      <alignment vertical="top" wrapText="1"/>
    </xf>
    <xf numFmtId="164" fontId="2" fillId="0" borderId="0" xfId="0" applyNumberFormat="1" applyFont="1" applyFill="1" applyBorder="1" applyAlignment="1">
      <alignment horizontal="center" vertical="center" shrinkToFit="1"/>
    </xf>
    <xf numFmtId="0" fontId="8" fillId="0" borderId="0" xfId="0" applyFont="1" applyFill="1" applyBorder="1" applyAlignment="1">
      <alignment horizontal="left" vertical="top"/>
    </xf>
    <xf numFmtId="0" fontId="11" fillId="0" borderId="0" xfId="0" applyFont="1" applyFill="1" applyBorder="1" applyAlignment="1">
      <alignment horizontal="left" vertical="top"/>
    </xf>
    <xf numFmtId="0" fontId="10" fillId="0" borderId="0" xfId="0" applyFont="1" applyFill="1" applyBorder="1" applyAlignment="1">
      <alignment vertical="top" wrapText="1"/>
    </xf>
    <xf numFmtId="0" fontId="5" fillId="0" borderId="0" xfId="0" applyFont="1" applyFill="1" applyBorder="1" applyAlignment="1">
      <alignment vertical="top" wrapText="1"/>
    </xf>
    <xf numFmtId="0" fontId="12" fillId="0" borderId="0" xfId="0" applyFont="1" applyFill="1" applyBorder="1" applyAlignment="1">
      <alignment horizontal="left" vertical="top"/>
    </xf>
    <xf numFmtId="166" fontId="7" fillId="2" borderId="1" xfId="1" applyNumberFormat="1" applyFont="1" applyFill="1" applyBorder="1" applyAlignment="1">
      <alignment vertical="top" wrapText="1"/>
    </xf>
    <xf numFmtId="0" fontId="8" fillId="0" borderId="0" xfId="0" applyFont="1" applyFill="1" applyBorder="1" applyAlignment="1">
      <alignment horizontal="left" vertical="top" wrapText="1"/>
    </xf>
    <xf numFmtId="44" fontId="8" fillId="0" borderId="0" xfId="1" applyFont="1" applyFill="1" applyBorder="1" applyAlignment="1">
      <alignment horizontal="left" vertical="top"/>
    </xf>
    <xf numFmtId="0" fontId="8" fillId="0" borderId="0" xfId="0" applyFont="1" applyFill="1" applyBorder="1" applyAlignment="1">
      <alignment horizontal="center" vertical="top"/>
    </xf>
    <xf numFmtId="44" fontId="8" fillId="0" borderId="2" xfId="1" applyFont="1" applyFill="1" applyBorder="1" applyAlignment="1">
      <alignment horizontal="left" vertical="top"/>
    </xf>
    <xf numFmtId="44" fontId="13" fillId="0" borderId="0" xfId="1" applyFont="1" applyFill="1" applyBorder="1" applyAlignment="1">
      <alignment horizontal="left" vertical="top"/>
    </xf>
    <xf numFmtId="164" fontId="8" fillId="0" borderId="0" xfId="0" applyNumberFormat="1" applyFont="1" applyFill="1" applyBorder="1" applyAlignment="1">
      <alignment horizontal="center" vertical="center" shrinkToFit="1"/>
    </xf>
    <xf numFmtId="0" fontId="8" fillId="0" borderId="0" xfId="0" applyFont="1" applyFill="1" applyBorder="1" applyAlignment="1">
      <alignment horizontal="center" vertical="center" wrapText="1"/>
    </xf>
    <xf numFmtId="164" fontId="13" fillId="0" borderId="0" xfId="0" applyNumberFormat="1" applyFont="1" applyFill="1" applyBorder="1" applyAlignment="1">
      <alignment horizontal="center" vertical="center" shrinkToFit="1"/>
    </xf>
    <xf numFmtId="166" fontId="7" fillId="0" borderId="0" xfId="1" applyNumberFormat="1" applyFont="1" applyFill="1" applyBorder="1" applyAlignment="1">
      <alignment vertical="top" wrapText="1"/>
    </xf>
    <xf numFmtId="0" fontId="13" fillId="3" borderId="4" xfId="0" applyFont="1" applyFill="1" applyBorder="1" applyAlignment="1">
      <alignment horizontal="center" vertical="center" wrapText="1"/>
    </xf>
    <xf numFmtId="0" fontId="13" fillId="3" borderId="5" xfId="0" applyFont="1" applyFill="1" applyBorder="1" applyAlignment="1">
      <alignment horizontal="center" vertical="center" wrapText="1"/>
    </xf>
    <xf numFmtId="1" fontId="8" fillId="0" borderId="6" xfId="0" applyNumberFormat="1" applyFont="1" applyFill="1" applyBorder="1" applyAlignment="1">
      <alignment horizontal="center" vertical="center" shrinkToFit="1"/>
    </xf>
    <xf numFmtId="0" fontId="8" fillId="0" borderId="7" xfId="0" applyFont="1" applyFill="1" applyBorder="1" applyAlignment="1">
      <alignment horizontal="left" vertical="top" wrapText="1"/>
    </xf>
    <xf numFmtId="1" fontId="8" fillId="0" borderId="8" xfId="0" applyNumberFormat="1" applyFont="1" applyFill="1" applyBorder="1" applyAlignment="1">
      <alignment horizontal="center" vertical="center" shrinkToFit="1"/>
    </xf>
    <xf numFmtId="0" fontId="8" fillId="0" borderId="9" xfId="0" applyFont="1" applyFill="1" applyBorder="1" applyAlignment="1">
      <alignment horizontal="left" vertical="top" wrapText="1"/>
    </xf>
    <xf numFmtId="0" fontId="14" fillId="0" borderId="0" xfId="0" applyFont="1" applyFill="1" applyBorder="1" applyAlignment="1">
      <alignment horizontal="left" vertical="center" wrapText="1"/>
    </xf>
    <xf numFmtId="164" fontId="2" fillId="0" borderId="0" xfId="0" applyNumberFormat="1" applyFont="1" applyFill="1" applyBorder="1" applyAlignment="1">
      <alignment horizontal="left" vertical="center" shrinkToFit="1"/>
    </xf>
    <xf numFmtId="164" fontId="16" fillId="0" borderId="0" xfId="0" applyNumberFormat="1" applyFont="1" applyFill="1" applyBorder="1" applyAlignment="1">
      <alignment horizontal="left" vertical="center" shrinkToFit="1"/>
    </xf>
    <xf numFmtId="0" fontId="15" fillId="0" borderId="0" xfId="0" applyFont="1" applyFill="1" applyBorder="1" applyAlignment="1">
      <alignment horizontal="left" vertical="center" wrapText="1"/>
    </xf>
    <xf numFmtId="0" fontId="17" fillId="0" borderId="0" xfId="0" applyFont="1" applyFill="1" applyBorder="1" applyAlignment="1">
      <alignment horizontal="left" vertical="center" wrapText="1"/>
    </xf>
    <xf numFmtId="166" fontId="18" fillId="0" borderId="0" xfId="1" applyNumberFormat="1" applyFont="1" applyFill="1" applyBorder="1" applyAlignment="1">
      <alignment horizontal="left" vertical="center" wrapText="1"/>
    </xf>
    <xf numFmtId="0" fontId="15" fillId="0" borderId="0" xfId="0" applyFont="1" applyFill="1" applyBorder="1" applyAlignment="1">
      <alignment horizontal="left" vertical="center"/>
    </xf>
    <xf numFmtId="44" fontId="14" fillId="0" borderId="0" xfId="1" applyFont="1" applyFill="1" applyBorder="1" applyAlignment="1">
      <alignment horizontal="left" vertical="center"/>
    </xf>
    <xf numFmtId="44" fontId="16" fillId="0" borderId="0" xfId="1" applyFont="1" applyFill="1" applyBorder="1" applyAlignment="1">
      <alignment horizontal="left" vertical="center"/>
    </xf>
    <xf numFmtId="164" fontId="13" fillId="2" borderId="3" xfId="0" applyNumberFormat="1" applyFont="1" applyFill="1" applyBorder="1" applyAlignment="1">
      <alignment horizontal="center" vertical="center" shrinkToFit="1"/>
    </xf>
    <xf numFmtId="1" fontId="8" fillId="0" borderId="10" xfId="0" applyNumberFormat="1" applyFont="1" applyFill="1" applyBorder="1" applyAlignment="1">
      <alignment horizontal="center" vertical="center" shrinkToFit="1"/>
    </xf>
    <xf numFmtId="0" fontId="9" fillId="0" borderId="11" xfId="0" applyFont="1" applyFill="1" applyBorder="1" applyAlignment="1">
      <alignment horizontal="center" vertical="center" wrapText="1"/>
    </xf>
    <xf numFmtId="0" fontId="9" fillId="0" borderId="11" xfId="0" applyFont="1" applyFill="1" applyBorder="1" applyAlignment="1">
      <alignment horizontal="left" vertical="center" wrapText="1"/>
    </xf>
    <xf numFmtId="3" fontId="8" fillId="0" borderId="11" xfId="0" applyNumberFormat="1" applyFont="1" applyFill="1" applyBorder="1" applyAlignment="1">
      <alignment horizontal="center" vertical="center" shrinkToFit="1"/>
    </xf>
    <xf numFmtId="164" fontId="8" fillId="0" borderId="12" xfId="0" applyNumberFormat="1" applyFont="1" applyFill="1" applyBorder="1" applyAlignment="1">
      <alignment horizontal="left" vertical="center" indent="1" shrinkToFit="1"/>
    </xf>
    <xf numFmtId="164" fontId="8" fillId="0" borderId="14" xfId="0" applyNumberFormat="1" applyFont="1" applyFill="1" applyBorder="1" applyAlignment="1">
      <alignment horizontal="center" vertical="center" shrinkToFit="1"/>
    </xf>
    <xf numFmtId="164" fontId="19" fillId="0" borderId="14" xfId="0" applyNumberFormat="1" applyFont="1" applyFill="1" applyBorder="1" applyAlignment="1">
      <alignment horizontal="center" vertical="center" wrapText="1" shrinkToFit="1"/>
    </xf>
    <xf numFmtId="164" fontId="14" fillId="0" borderId="13" xfId="0" applyNumberFormat="1" applyFont="1" applyFill="1" applyBorder="1" applyAlignment="1">
      <alignment horizontal="left" vertical="center" wrapText="1" shrinkToFit="1"/>
    </xf>
    <xf numFmtId="1" fontId="8" fillId="0" borderId="15" xfId="0" applyNumberFormat="1" applyFont="1" applyFill="1" applyBorder="1" applyAlignment="1">
      <alignment horizontal="center" vertical="center" shrinkToFit="1"/>
    </xf>
    <xf numFmtId="0" fontId="9" fillId="0" borderId="16" xfId="0" applyFont="1" applyFill="1" applyBorder="1" applyAlignment="1">
      <alignment horizontal="center" vertical="center" wrapText="1"/>
    </xf>
    <xf numFmtId="0" fontId="9" fillId="0" borderId="16" xfId="0" applyFont="1" applyFill="1" applyBorder="1" applyAlignment="1">
      <alignment horizontal="left" vertical="center" wrapText="1"/>
    </xf>
    <xf numFmtId="3" fontId="8" fillId="0" borderId="16" xfId="0" applyNumberFormat="1" applyFont="1" applyFill="1" applyBorder="1" applyAlignment="1">
      <alignment horizontal="center" vertical="center" shrinkToFit="1"/>
    </xf>
    <xf numFmtId="164" fontId="8" fillId="0" borderId="17" xfId="0" applyNumberFormat="1" applyFont="1" applyFill="1" applyBorder="1" applyAlignment="1">
      <alignment horizontal="left" vertical="center" indent="1" shrinkToFit="1"/>
    </xf>
    <xf numFmtId="164" fontId="8" fillId="0" borderId="18" xfId="0" applyNumberFormat="1" applyFont="1" applyFill="1" applyBorder="1" applyAlignment="1">
      <alignment horizontal="center" vertical="center" shrinkToFit="1"/>
    </xf>
    <xf numFmtId="164" fontId="19" fillId="0" borderId="18" xfId="0" applyNumberFormat="1" applyFont="1" applyFill="1" applyBorder="1" applyAlignment="1">
      <alignment horizontal="center" vertical="center" wrapText="1" shrinkToFit="1"/>
    </xf>
    <xf numFmtId="164" fontId="14" fillId="0" borderId="19" xfId="0" applyNumberFormat="1" applyFont="1" applyFill="1" applyBorder="1" applyAlignment="1">
      <alignment horizontal="left" vertical="center" wrapText="1" shrinkToFit="1"/>
    </xf>
    <xf numFmtId="1" fontId="2" fillId="0" borderId="20" xfId="0" applyNumberFormat="1" applyFont="1" applyFill="1" applyBorder="1" applyAlignment="1">
      <alignment horizontal="center" vertical="center" shrinkToFi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0" xfId="0" applyFont="1" applyFill="1" applyBorder="1" applyAlignment="1">
      <alignment horizontal="left" vertical="top" wrapText="1"/>
    </xf>
    <xf numFmtId="1" fontId="2" fillId="0" borderId="0" xfId="0" applyNumberFormat="1" applyFont="1" applyFill="1" applyBorder="1" applyAlignment="1">
      <alignment horizontal="center" vertical="center" shrinkToFit="1"/>
    </xf>
    <xf numFmtId="165" fontId="2" fillId="0" borderId="0" xfId="0" applyNumberFormat="1" applyFont="1" applyFill="1" applyBorder="1" applyAlignment="1">
      <alignment horizontal="left" vertical="center" indent="1" shrinkToFit="1"/>
    </xf>
    <xf numFmtId="165" fontId="8" fillId="0" borderId="17" xfId="0" applyNumberFormat="1" applyFont="1" applyFill="1" applyBorder="1" applyAlignment="1">
      <alignment horizontal="left" vertical="center" indent="1" shrinkToFit="1"/>
    </xf>
    <xf numFmtId="0" fontId="1" fillId="0" borderId="0" xfId="0" applyFont="1" applyFill="1" applyBorder="1" applyAlignment="1">
      <alignment vertical="top" wrapText="1"/>
    </xf>
    <xf numFmtId="0" fontId="20" fillId="0" borderId="0" xfId="0" applyFont="1" applyAlignment="1">
      <alignment horizontal="left" vertical="center" wrapText="1"/>
    </xf>
    <xf numFmtId="0" fontId="21" fillId="0" borderId="21"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24" xfId="0" applyFont="1" applyBorder="1" applyAlignment="1">
      <alignment horizontal="center" vertical="center" wrapText="1"/>
    </xf>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2</xdr:row>
      <xdr:rowOff>152400</xdr:rowOff>
    </xdr:from>
    <xdr:to>
      <xdr:col>15</xdr:col>
      <xdr:colOff>257175</xdr:colOff>
      <xdr:row>46</xdr:row>
      <xdr:rowOff>138541</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5775" y="476250"/>
          <a:ext cx="10058400" cy="7110841"/>
        </a:xfrm>
        <a:prstGeom prst="rect">
          <a:avLst/>
        </a:prstGeom>
      </xdr:spPr>
    </xdr:pic>
    <xdr:clientData/>
  </xdr:twoCellAnchor>
  <xdr:twoCellAnchor editAs="oneCell">
    <xdr:from>
      <xdr:col>16</xdr:col>
      <xdr:colOff>180975</xdr:colOff>
      <xdr:row>6</xdr:row>
      <xdr:rowOff>47625</xdr:rowOff>
    </xdr:from>
    <xdr:to>
      <xdr:col>26</xdr:col>
      <xdr:colOff>429764</xdr:colOff>
      <xdr:row>53</xdr:row>
      <xdr:rowOff>76200</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3775" y="1019175"/>
          <a:ext cx="7106789" cy="7639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tabSelected="1" workbookViewId="0">
      <selection activeCell="I8" sqref="I8"/>
    </sheetView>
  </sheetViews>
  <sheetFormatPr baseColWidth="10" defaultColWidth="9.33203125" defaultRowHeight="12.75" x14ac:dyDescent="0.2"/>
  <cols>
    <col min="1" max="1" width="5.5" customWidth="1"/>
    <col min="2" max="2" width="13.83203125" customWidth="1"/>
    <col min="3" max="3" width="15.33203125" customWidth="1"/>
    <col min="4" max="4" width="8.33203125" customWidth="1"/>
    <col min="5" max="5" width="71.5" customWidth="1"/>
    <col min="6" max="6" width="14.6640625" customWidth="1"/>
    <col min="7" max="7" width="13.5" customWidth="1"/>
    <col min="8" max="8" width="14.1640625" customWidth="1"/>
    <col min="9" max="9" width="19.1640625" customWidth="1"/>
    <col min="10" max="10" width="13.6640625" customWidth="1"/>
    <col min="11" max="11" width="43.5" style="30" customWidth="1"/>
    <col min="12" max="12" width="19.1640625" customWidth="1"/>
    <col min="13" max="13" width="6.5" customWidth="1"/>
    <col min="14" max="14" width="69.5" customWidth="1"/>
  </cols>
  <sheetData>
    <row r="1" spans="1:14" ht="14.25" x14ac:dyDescent="0.2">
      <c r="A1" s="58" t="s">
        <v>27</v>
      </c>
      <c r="B1" s="58"/>
      <c r="C1" t="s">
        <v>31</v>
      </c>
    </row>
    <row r="2" spans="1:14" ht="21.75" customHeight="1" x14ac:dyDescent="0.2">
      <c r="A2" s="58" t="s">
        <v>28</v>
      </c>
      <c r="B2" s="58"/>
      <c r="C2" t="s">
        <v>32</v>
      </c>
      <c r="D2" s="57"/>
      <c r="E2" s="57"/>
      <c r="F2" s="57"/>
      <c r="G2" s="57"/>
      <c r="H2" s="57"/>
      <c r="I2" s="57"/>
      <c r="J2" s="57"/>
      <c r="K2" s="57"/>
      <c r="L2" s="57"/>
      <c r="M2" s="57"/>
      <c r="N2" s="57"/>
    </row>
    <row r="3" spans="1:14" ht="21.75" customHeight="1" x14ac:dyDescent="0.2">
      <c r="A3" s="58" t="s">
        <v>29</v>
      </c>
      <c r="B3" s="58"/>
      <c r="C3">
        <v>2021</v>
      </c>
      <c r="D3" s="57"/>
      <c r="E3" s="57"/>
      <c r="F3" s="57"/>
      <c r="G3" s="57"/>
      <c r="H3" s="57"/>
      <c r="I3" s="57"/>
      <c r="J3" s="57"/>
      <c r="K3" s="57"/>
      <c r="L3" s="57"/>
      <c r="M3" s="57"/>
      <c r="N3" s="57"/>
    </row>
    <row r="4" spans="1:14" ht="21.75" customHeight="1" thickBot="1" x14ac:dyDescent="0.25">
      <c r="A4" s="58" t="s">
        <v>30</v>
      </c>
      <c r="B4" s="58"/>
      <c r="C4">
        <v>2</v>
      </c>
      <c r="D4" s="1"/>
      <c r="E4" s="1"/>
      <c r="F4" s="1"/>
      <c r="G4" s="1"/>
      <c r="H4" s="1"/>
      <c r="I4" s="1"/>
      <c r="J4" s="1"/>
      <c r="K4" s="27"/>
      <c r="L4" s="1"/>
      <c r="M4" s="1"/>
      <c r="N4" s="9"/>
    </row>
    <row r="5" spans="1:14" ht="46.5" customHeight="1" thickBot="1" x14ac:dyDescent="0.25">
      <c r="A5" s="59" t="s">
        <v>0</v>
      </c>
      <c r="B5" s="60" t="s">
        <v>1</v>
      </c>
      <c r="C5" s="60" t="s">
        <v>33</v>
      </c>
      <c r="D5" s="60" t="s">
        <v>34</v>
      </c>
      <c r="E5" s="60" t="s">
        <v>35</v>
      </c>
      <c r="F5" s="61" t="s">
        <v>2</v>
      </c>
      <c r="G5" s="62" t="s">
        <v>3</v>
      </c>
      <c r="H5" s="62" t="s">
        <v>36</v>
      </c>
      <c r="I5" s="63" t="s">
        <v>37</v>
      </c>
      <c r="J5" s="15"/>
      <c r="K5" s="24"/>
      <c r="L5" s="15"/>
      <c r="M5" s="18" t="s">
        <v>0</v>
      </c>
      <c r="N5" s="19" t="s">
        <v>19</v>
      </c>
    </row>
    <row r="6" spans="1:14" ht="48" thickBot="1" x14ac:dyDescent="0.25">
      <c r="A6" s="34">
        <v>1</v>
      </c>
      <c r="B6" s="35" t="s">
        <v>4</v>
      </c>
      <c r="C6" s="35" t="s">
        <v>5</v>
      </c>
      <c r="D6" s="35" t="s">
        <v>6</v>
      </c>
      <c r="E6" s="36" t="s">
        <v>7</v>
      </c>
      <c r="F6" s="35" t="s">
        <v>8</v>
      </c>
      <c r="G6" s="37">
        <v>50</v>
      </c>
      <c r="H6" s="38">
        <v>9558</v>
      </c>
      <c r="I6" s="39">
        <v>477900</v>
      </c>
      <c r="J6" s="40" t="s">
        <v>21</v>
      </c>
      <c r="K6" s="41" t="s">
        <v>24</v>
      </c>
      <c r="L6" s="14"/>
      <c r="M6" s="20">
        <v>1</v>
      </c>
      <c r="N6" s="21" t="s">
        <v>7</v>
      </c>
    </row>
    <row r="7" spans="1:14" ht="79.5" thickBot="1" x14ac:dyDescent="0.25">
      <c r="A7" s="42">
        <v>2</v>
      </c>
      <c r="B7" s="43" t="s">
        <v>9</v>
      </c>
      <c r="C7" s="43" t="s">
        <v>5</v>
      </c>
      <c r="D7" s="43" t="s">
        <v>10</v>
      </c>
      <c r="E7" s="44" t="s">
        <v>11</v>
      </c>
      <c r="F7" s="43" t="s">
        <v>8</v>
      </c>
      <c r="G7" s="45">
        <v>50</v>
      </c>
      <c r="H7" s="46">
        <v>4670</v>
      </c>
      <c r="I7" s="47">
        <v>233500</v>
      </c>
      <c r="J7" s="48" t="s">
        <v>22</v>
      </c>
      <c r="K7" s="49" t="s">
        <v>25</v>
      </c>
      <c r="L7" s="14"/>
      <c r="M7" s="20">
        <v>2</v>
      </c>
      <c r="N7" s="21" t="s">
        <v>17</v>
      </c>
    </row>
    <row r="8" spans="1:14" ht="66.75" customHeight="1" thickBot="1" x14ac:dyDescent="0.25">
      <c r="A8" s="42">
        <v>3</v>
      </c>
      <c r="B8" s="43" t="s">
        <v>12</v>
      </c>
      <c r="C8" s="43" t="s">
        <v>5</v>
      </c>
      <c r="D8" s="43" t="s">
        <v>10</v>
      </c>
      <c r="E8" s="44" t="s">
        <v>13</v>
      </c>
      <c r="F8" s="43" t="s">
        <v>8</v>
      </c>
      <c r="G8" s="45">
        <v>5000</v>
      </c>
      <c r="H8" s="56">
        <v>218</v>
      </c>
      <c r="I8" s="47">
        <v>1090000</v>
      </c>
      <c r="J8" s="48" t="s">
        <v>23</v>
      </c>
      <c r="K8" s="49" t="s">
        <v>26</v>
      </c>
      <c r="L8" s="14"/>
      <c r="M8" s="22">
        <v>3</v>
      </c>
      <c r="N8" s="23" t="s">
        <v>18</v>
      </c>
    </row>
    <row r="9" spans="1:14" ht="13.5" thickBot="1" x14ac:dyDescent="0.25">
      <c r="A9" s="50"/>
      <c r="B9" s="51"/>
      <c r="C9" s="52"/>
      <c r="D9" s="52"/>
      <c r="E9" s="53"/>
      <c r="F9" s="52"/>
      <c r="G9" s="54"/>
      <c r="H9" s="55"/>
      <c r="I9" s="2"/>
      <c r="J9" s="2"/>
      <c r="K9" s="25"/>
      <c r="L9" s="2"/>
      <c r="M9" s="2"/>
    </row>
    <row r="10" spans="1:14" ht="16.5" thickBot="1" x14ac:dyDescent="0.25">
      <c r="A10" s="5"/>
      <c r="B10" s="1"/>
      <c r="C10" s="1"/>
      <c r="D10" s="1"/>
      <c r="E10" s="1"/>
      <c r="F10" s="1"/>
      <c r="G10" s="1"/>
      <c r="H10" s="1"/>
      <c r="I10" s="33">
        <f>SUM(I6:I9)</f>
        <v>1801400</v>
      </c>
      <c r="J10" s="16"/>
      <c r="K10" s="26"/>
      <c r="L10" s="16"/>
    </row>
    <row r="11" spans="1:14" ht="15.75" customHeight="1" x14ac:dyDescent="0.2">
      <c r="A11" s="6"/>
      <c r="B11" s="6"/>
      <c r="C11" s="7" t="s">
        <v>14</v>
      </c>
      <c r="D11" s="6"/>
      <c r="E11" s="6"/>
      <c r="F11" s="6"/>
      <c r="G11" s="6"/>
      <c r="H11" s="6"/>
      <c r="I11" s="6"/>
      <c r="J11" s="6"/>
      <c r="K11" s="28"/>
      <c r="L11" s="6"/>
      <c r="M11" s="6"/>
      <c r="N11" s="6"/>
    </row>
    <row r="12" spans="1:14" ht="15.75" customHeight="1" x14ac:dyDescent="0.2">
      <c r="A12" s="6"/>
      <c r="B12" s="6"/>
      <c r="C12" s="3" t="s">
        <v>15</v>
      </c>
      <c r="D12" s="6"/>
      <c r="E12" s="6"/>
      <c r="F12" s="6"/>
      <c r="G12" s="6"/>
      <c r="H12" s="6"/>
      <c r="I12" s="8">
        <f>SUMPRODUCT(G6:G8*H6:H8)</f>
        <v>1801400</v>
      </c>
      <c r="J12" s="17"/>
      <c r="K12" s="29"/>
      <c r="L12" s="17"/>
      <c r="M12" s="6"/>
      <c r="N12" s="6"/>
    </row>
    <row r="13" spans="1:14" ht="15.75" x14ac:dyDescent="0.2">
      <c r="B13" s="4"/>
      <c r="C13" s="3" t="s">
        <v>16</v>
      </c>
      <c r="D13" s="3"/>
    </row>
    <row r="14" spans="1:14" ht="15.75" x14ac:dyDescent="0.2">
      <c r="D14" s="3"/>
    </row>
    <row r="15" spans="1:14" ht="15.75" x14ac:dyDescent="0.2">
      <c r="D15" s="3"/>
      <c r="H15" s="7" t="s">
        <v>20</v>
      </c>
    </row>
    <row r="16" spans="1:14" ht="15.75" x14ac:dyDescent="0.2">
      <c r="H16" s="11">
        <v>258</v>
      </c>
      <c r="I16" s="10">
        <f>I6</f>
        <v>477900</v>
      </c>
      <c r="J16" s="10"/>
      <c r="K16" s="31"/>
      <c r="L16" s="10"/>
    </row>
    <row r="17" spans="8:12" ht="16.5" thickBot="1" x14ac:dyDescent="0.25">
      <c r="H17" s="11">
        <v>296</v>
      </c>
      <c r="I17" s="12">
        <f>SUM(I7:I8)</f>
        <v>1323500</v>
      </c>
      <c r="J17" s="10"/>
      <c r="K17" s="31"/>
      <c r="L17" s="10"/>
    </row>
    <row r="19" spans="8:12" ht="15.75" x14ac:dyDescent="0.2">
      <c r="I19" s="13">
        <f>SUM(I16:I17)</f>
        <v>1801400</v>
      </c>
      <c r="J19" s="13"/>
      <c r="K19" s="32"/>
      <c r="L19" s="13"/>
    </row>
  </sheetData>
  <mergeCells count="4">
    <mergeCell ref="A1:B1"/>
    <mergeCell ref="A2:B2"/>
    <mergeCell ref="A3:B3"/>
    <mergeCell ref="A4:B4"/>
  </mergeCells>
  <pageMargins left="0.7" right="0.7" top="0.75" bottom="0.75" header="0.3" footer="0.3"/>
  <pageSetup paperSize="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4" workbookViewId="0">
      <selection activeCell="Q49" sqref="Q49"/>
    </sheetView>
  </sheetViews>
  <sheetFormatPr baseColWidth="10" defaultRowHeight="12.7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Control ítems</vt:lpstr>
      <vt:lpstr>Npe y 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Vega</dc:creator>
  <cp:lastModifiedBy>COMPRAS</cp:lastModifiedBy>
  <dcterms:created xsi:type="dcterms:W3CDTF">2021-04-08T12:19:25Z</dcterms:created>
  <dcterms:modified xsi:type="dcterms:W3CDTF">2021-08-13T11:44:37Z</dcterms:modified>
</cp:coreProperties>
</file>