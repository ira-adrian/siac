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LIAS QUINTAR\Downloads\"/>
    </mc:Choice>
  </mc:AlternateContent>
  <xr:revisionPtr revIDLastSave="0" documentId="8_{F62430BA-22F9-4C8A-B16A-2121B3B2D346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Necesidades Trimestrales" sheetId="1" r:id="rId1"/>
    <sheet name="NotaPedido" sheetId="2" r:id="rId2"/>
    <sheet name="Autor Gastar" sheetId="3" r:id="rId3"/>
  </sheets>
  <definedNames>
    <definedName name="_xlnm._FilterDatabase" localSheetId="0" hidden="1">'Necesidades Trimestrales'!$A$9:$I$16</definedName>
    <definedName name="_xlnm.Print_Area" localSheetId="2">'Autor Gastar'!$A$1:$Q$27</definedName>
    <definedName name="_xlnm.Print_Area" localSheetId="1">NotaPedido!$A$1:$K$21</definedName>
  </definedNames>
  <calcPr calcId="181029"/>
</workbook>
</file>

<file path=xl/calcChain.xml><?xml version="1.0" encoding="utf-8"?>
<calcChain xmlns="http://schemas.openxmlformats.org/spreadsheetml/2006/main">
  <c r="J13" i="2" l="1"/>
  <c r="J14" i="2"/>
  <c r="J15" i="2"/>
  <c r="J16" i="2"/>
  <c r="J17" i="2"/>
  <c r="J18" i="2"/>
  <c r="J19" i="2"/>
  <c r="K19" i="2"/>
  <c r="I19" i="2"/>
  <c r="C19" i="2"/>
  <c r="B19" i="2"/>
  <c r="K18" i="2"/>
  <c r="I18" i="2"/>
  <c r="C18" i="2"/>
  <c r="B18" i="2"/>
  <c r="K17" i="2"/>
  <c r="I17" i="2"/>
  <c r="C17" i="2"/>
  <c r="B17" i="2"/>
  <c r="K16" i="2"/>
  <c r="I16" i="2"/>
  <c r="C16" i="2"/>
  <c r="B16" i="2"/>
  <c r="K15" i="2"/>
  <c r="I15" i="2"/>
  <c r="C15" i="2"/>
  <c r="B15" i="2"/>
  <c r="K14" i="2"/>
  <c r="I14" i="2"/>
  <c r="C14" i="2"/>
  <c r="B14" i="2"/>
  <c r="K13" i="2"/>
  <c r="I13" i="2"/>
  <c r="C13" i="2"/>
  <c r="B13" i="2"/>
  <c r="I16" i="1"/>
  <c r="D16" i="1"/>
  <c r="I15" i="1"/>
  <c r="D15" i="1"/>
  <c r="I14" i="1"/>
  <c r="D14" i="1"/>
  <c r="I13" i="1"/>
  <c r="D13" i="1"/>
  <c r="I12" i="1"/>
  <c r="D12" i="1"/>
  <c r="I11" i="1"/>
  <c r="D11" i="1"/>
  <c r="I10" i="1"/>
  <c r="D10" i="1"/>
  <c r="K12" i="2" l="1"/>
  <c r="J12" i="2"/>
  <c r="I12" i="2"/>
  <c r="C12" i="2"/>
  <c r="B12" i="2"/>
  <c r="A26" i="3" l="1"/>
  <c r="A10" i="3"/>
  <c r="J21" i="2"/>
  <c r="G6" i="3" l="1"/>
  <c r="G7" i="3"/>
  <c r="D7" i="2"/>
  <c r="D3" i="2"/>
  <c r="G4" i="3" s="1"/>
  <c r="D4" i="2"/>
  <c r="G5" i="3" s="1"/>
  <c r="D1" i="3" l="1"/>
  <c r="Q23" i="3"/>
</calcChain>
</file>

<file path=xl/sharedStrings.xml><?xml version="1.0" encoding="utf-8"?>
<sst xmlns="http://schemas.openxmlformats.org/spreadsheetml/2006/main" count="166" uniqueCount="95">
  <si>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</si>
  <si>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</si>
  <si>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</si>
  <si>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</si>
  <si>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</si>
  <si>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</si>
  <si>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</si>
  <si>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</si>
  <si>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</si>
  <si>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</si>
  <si>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</si>
  <si>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</si>
  <si>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</si>
  <si>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</si>
  <si>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</si>
  <si>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</si>
  <si>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</si>
  <si>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</si>
  <si>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</si>
  <si>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</si>
  <si>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</si>
  <si>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</si>
  <si>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</si>
  <si>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</si>
  <si>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</si>
  <si>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</si>
  <si>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</si>
  <si>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</si>
  <si>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</si>
  <si>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</si>
  <si>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</si>
  <si>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</si>
  <si>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</si>
  <si>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</si>
  <si>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</si>
  <si>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</si>
  <si>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</si>
  <si>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</si>
  <si>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</si>
  <si>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</si>
  <si>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</si>
  <si>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</si>
  <si>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</si>
  <si>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</si>
  <si>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</si>
  <si>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</si>
  <si>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</si>
  <si>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</si>
  <si>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</si>
  <si>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</si>
  <si>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</si>
  <si>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NO</t>
  </si>
  <si>
    <t>40 - Ministerio de Salud</t>
  </si>
  <si>
    <t>1.1</t>
  </si>
  <si>
    <t>28 - MATERNIDAD PROVINCIAL 25 DE MAYO</t>
  </si>
  <si>
    <t xml:space="preserve">1er.  </t>
  </si>
  <si>
    <t>Plazos y lugares de entrega</t>
  </si>
  <si>
    <t>Calidad Minima esperada</t>
  </si>
  <si>
    <t>Mantenimiento</t>
  </si>
  <si>
    <t>Garantia</t>
  </si>
  <si>
    <t>Descripción técnica</t>
  </si>
  <si>
    <t>Especificidades Item N° 7:</t>
  </si>
  <si>
    <t>2.2.2-6731.176</t>
  </si>
  <si>
    <t>2.2.2-6738.120</t>
  </si>
  <si>
    <t>2.2.1-5016.13</t>
  </si>
  <si>
    <t>INDUMENT TEXTIL Y CONFECCIONES</t>
  </si>
  <si>
    <t>CAMISAS; TIPO: AMBO, TELA: MICROFIBRA, MANGA: CORTA, COSTURA: DOBLE Y REFORZADA, BOLSILLO: 3, CRITERIO SOCIAL: SIN</t>
  </si>
  <si>
    <t>PANTALONES; TIPO: LABORATORIO, TELA: ALGODON Y POLIESTER, SEXO: MASCULINO</t>
  </si>
  <si>
    <t>LIENZOS; TIPO: LIENZO IMPRIMADO, MATERIA PRIMA: SIN VALOR, ANCHO: 1,50 M, PRESENTACION: ROLLO X 50 M</t>
  </si>
  <si>
    <t>unidad</t>
  </si>
  <si>
    <t>UNIDAD</t>
  </si>
  <si>
    <t>Especificidades Item N°1 :</t>
  </si>
  <si>
    <t xml:space="preserve">Ambo medico, tela tipo: arciel o simil resitente, o poliester con tratamiento antiestatica. Talle: M . Color : naranjado liso. Con logo bordado del servicio en chaqueta </t>
  </si>
  <si>
    <t>quirofano</t>
  </si>
  <si>
    <t>Maternidad Provincial 25 de Mayo - H de Pedraza 1500</t>
  </si>
  <si>
    <t>Especificidades Item N°2 :</t>
  </si>
  <si>
    <t>Ambo medico, tela tipo: arciel o simil resitente, o poliester con tratamiento antiestatica. Talle: M . Color : naranjado liso. Con logo bordado del servicio en pantalon</t>
  </si>
  <si>
    <t>Especificidades Item N°3 :</t>
  </si>
  <si>
    <t xml:space="preserve">Ambo medico, tela tipo: arciel o simil resitente, o poliester con tratamiento antiestatica. Talle: L . Color : azul liso. Con logo bordado del servicio en chaqueta </t>
  </si>
  <si>
    <t>Especificidades Item N°4 :</t>
  </si>
  <si>
    <t>Ambo medico, tela tipo: arciel o simil resitente, o poliester con tratamiento antiestatica. Talle: L. Color : naranjado liso. Con logo bordado del servicio en pantalon</t>
  </si>
  <si>
    <t>Especificidades Item N°5 :</t>
  </si>
  <si>
    <t xml:space="preserve">Ambo medico, tela tipo: arciel o simil resitente, o poliester con tratamiento antiestatica. Talle: XL . Color : gris acero liso. Con logo bordado del servicio en chaqueta </t>
  </si>
  <si>
    <t>Especificidades Item N°6:</t>
  </si>
  <si>
    <t>Ambo medico, tela tipo: arciel o simil resitente, o poliester con tratamiento antiestatica. Talle: XL . Color : gris acero liso. Con logo bordado del servicio en pantalon</t>
  </si>
  <si>
    <t>Descripción técnica:LIENZO ECOLOGICO(FRISELINA) X 50 MTRS.</t>
  </si>
  <si>
    <t>MATERNIDAD PROVINCIAL 25 DE MAYO - H. DE PEDRAZA 1550</t>
  </si>
  <si>
    <t>07/21</t>
  </si>
  <si>
    <t>169-Direccion de Asistencial</t>
  </si>
  <si>
    <t xml:space="preserve">Servicio de Quirofano y esterilizacion </t>
  </si>
  <si>
    <t xml:space="preserve">Adquisicion de prendas de vestir y telas </t>
  </si>
  <si>
    <t>Costo total estimado: TRESCIENTOS CINCUENTA Y DOS MIL OCHOCIENTOS CON 00/100</t>
  </si>
  <si>
    <t>PRENDAS DE VESTIR</t>
  </si>
  <si>
    <t xml:space="preserve">HILADOS Y TELAS </t>
  </si>
  <si>
    <t>TOTAL DE PESOS:TRESCIENTOS CINCUENTA Y DOS MIL OCHOCIENTOS CON 00/100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</si>
</sst>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  <numFmt numFmtId="169" formatCode="&quot;$&quot;\ #,##0.00"/>
  </numFmts>
  <fonts count="33" x14ac:knownFonts="1">
    <font>
      <sz val="10"/>
      <name val="Arial"/>
      <charset val="1"/>
    </font>
    <font>
      <sz val="11"/>
      <color theme="1"/>
      <name val="Calibri"/>
      <family val="2"/>
      <scheme val="minor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b/>
      <sz val="12"/>
      <color rgb="FF000000"/>
      <name val="Times New Roman"/>
      <family val="1"/>
    </font>
    <font>
      <sz val="9"/>
      <name val="Arial"/>
      <family val="2"/>
    </font>
    <font>
      <sz val="11"/>
      <name val="Arial"/>
      <family val="2"/>
    </font>
    <font>
      <b/>
      <sz val="12"/>
      <name val="Times New Roman"/>
      <family val="1"/>
    </font>
    <font>
      <sz val="11"/>
      <color rgb="FF000000"/>
      <name val="Times New Roman"/>
      <family val="1"/>
    </font>
    <font>
      <sz val="11"/>
      <name val="Times New Roman"/>
      <family val="1"/>
    </font>
    <font>
      <u/>
      <sz val="10"/>
      <name val="Times New Roman"/>
      <family val="1"/>
    </font>
    <font>
      <sz val="8"/>
      <name val="Arial"/>
      <family val="2"/>
    </font>
    <font>
      <sz val="10"/>
      <color rgb="FF000000"/>
      <name val="Arial"/>
      <family val="2"/>
    </font>
    <font>
      <b/>
      <sz val="1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6" tint="0.79998168889431442"/>
        <bgColor indexed="65"/>
      </patternFill>
    </fill>
  </fills>
  <borders count="62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/>
      <diagonal/>
    </border>
  </borders>
  <cellStyleXfs count="7">
    <xf numFmtId="0" fontId="0" fillId="0" borderId="0"/>
    <xf numFmtId="165" fontId="15" fillId="0" borderId="0" applyBorder="0" applyProtection="0"/>
    <xf numFmtId="0" fontId="2" fillId="0" borderId="1" applyProtection="0"/>
    <xf numFmtId="164" fontId="3" fillId="0" borderId="0" applyBorder="0" applyProtection="0"/>
    <xf numFmtId="0" fontId="4" fillId="2" borderId="0" applyBorder="0" applyProtection="0"/>
    <xf numFmtId="0" fontId="1" fillId="6" borderId="0" applyNumberFormat="0" applyBorder="0" applyAlignment="0" applyProtection="0"/>
    <xf numFmtId="0" fontId="1" fillId="5" borderId="0" applyNumberFormat="0" applyBorder="0" applyAlignment="0" applyProtection="0"/>
  </cellStyleXfs>
  <cellXfs count="162">
    <xf numFmtId="0" fontId="0" fillId="0" borderId="0" xfId="0"/>
    <xf numFmtId="0" fontId="0" fillId="0" borderId="0" xfId="0" applyBorder="1"/>
    <xf numFmtId="0" fontId="3" fillId="0" borderId="0" xfId="0" applyFont="1" applyBorder="1" applyAlignment="1">
      <alignment vertical="center"/>
    </xf>
    <xf numFmtId="0" fontId="6" fillId="0" borderId="5" xfId="0" applyFont="1" applyBorder="1" applyAlignment="1">
      <alignment horizontal="right" vertical="center"/>
    </xf>
    <xf numFmtId="0" fontId="6" fillId="0" borderId="7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8" fillId="0" borderId="0" xfId="0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 wrapText="1" indent="1"/>
    </xf>
    <xf numFmtId="0" fontId="5" fillId="0" borderId="14" xfId="0" applyFont="1" applyBorder="1" applyAlignment="1">
      <alignment horizontal="center" vertical="center"/>
    </xf>
    <xf numFmtId="0" fontId="0" fillId="0" borderId="0" xfId="0" applyAlignment="1">
      <alignment horizontal="left"/>
    </xf>
    <xf numFmtId="3" fontId="10" fillId="0" borderId="0" xfId="0" applyNumberFormat="1" applyFont="1" applyBorder="1" applyAlignment="1"/>
    <xf numFmtId="168" fontId="0" fillId="0" borderId="0" xfId="0" applyNumberFormat="1" applyAlignment="1">
      <alignment horizontal="left"/>
    </xf>
    <xf numFmtId="0" fontId="3" fillId="0" borderId="0" xfId="0" applyFont="1"/>
    <xf numFmtId="0" fontId="0" fillId="0" borderId="5" xfId="0" applyBorder="1"/>
    <xf numFmtId="0" fontId="0" fillId="0" borderId="20" xfId="0" applyBorder="1"/>
    <xf numFmtId="0" fontId="0" fillId="0" borderId="7" xfId="0" applyBorder="1"/>
    <xf numFmtId="0" fontId="0" fillId="0" borderId="7" xfId="0" applyBorder="1" applyAlignment="1">
      <alignment horizontal="left"/>
    </xf>
    <xf numFmtId="0" fontId="0" fillId="0" borderId="21" xfId="0" applyBorder="1"/>
    <xf numFmtId="0" fontId="14" fillId="0" borderId="23" xfId="0" applyFont="1" applyBorder="1" applyAlignment="1">
      <alignment horizontal="center" vertical="center"/>
    </xf>
    <xf numFmtId="0" fontId="14" fillId="0" borderId="24" xfId="0" applyFont="1" applyBorder="1" applyAlignment="1">
      <alignment horizontal="center" vertical="center"/>
    </xf>
    <xf numFmtId="0" fontId="14" fillId="0" borderId="24" xfId="0" applyFont="1" applyBorder="1" applyAlignment="1">
      <alignment horizontal="left" vertical="center"/>
    </xf>
    <xf numFmtId="0" fontId="14" fillId="0" borderId="25" xfId="0" applyFont="1" applyBorder="1" applyAlignment="1">
      <alignment horizontal="center" vertical="center"/>
    </xf>
    <xf numFmtId="0" fontId="14" fillId="0" borderId="19" xfId="0" applyFont="1" applyBorder="1" applyAlignment="1">
      <alignment horizontal="center" vertical="center"/>
    </xf>
    <xf numFmtId="0" fontId="0" fillId="0" borderId="26" xfId="0" applyFont="1" applyBorder="1" applyAlignment="1">
      <alignment horizontal="center" vertical="center"/>
    </xf>
    <xf numFmtId="0" fontId="0" fillId="0" borderId="27" xfId="0" applyFont="1" applyBorder="1" applyAlignment="1">
      <alignment horizontal="center" vertical="center"/>
    </xf>
    <xf numFmtId="0" fontId="0" fillId="0" borderId="28" xfId="0" applyFont="1" applyBorder="1" applyAlignment="1">
      <alignment horizontal="center" vertical="center"/>
    </xf>
    <xf numFmtId="0" fontId="0" fillId="0" borderId="29" xfId="0" applyFont="1" applyBorder="1" applyAlignment="1">
      <alignment horizontal="center" vertical="center"/>
    </xf>
    <xf numFmtId="166" fontId="0" fillId="0" borderId="30" xfId="3" applyNumberFormat="1" applyFont="1" applyBorder="1" applyAlignment="1" applyProtection="1">
      <alignment horizontal="center" vertical="center"/>
    </xf>
    <xf numFmtId="0" fontId="12" fillId="0" borderId="26" xfId="0" applyFont="1" applyBorder="1" applyAlignment="1">
      <alignment horizontal="center" vertical="center"/>
    </xf>
    <xf numFmtId="0" fontId="12" fillId="0" borderId="27" xfId="0" applyFont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29" xfId="0" applyFont="1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166" fontId="0" fillId="0" borderId="34" xfId="3" applyNumberFormat="1" applyFont="1" applyBorder="1" applyAlignment="1" applyProtection="1">
      <alignment horizontal="center" vertical="center"/>
    </xf>
    <xf numFmtId="0" fontId="16" fillId="0" borderId="0" xfId="0" applyFont="1"/>
    <xf numFmtId="0" fontId="19" fillId="0" borderId="0" xfId="0" applyFont="1" applyAlignment="1">
      <alignment horizontal="left" wrapText="1"/>
    </xf>
    <xf numFmtId="0" fontId="19" fillId="0" borderId="0" xfId="0" applyFont="1" applyAlignment="1">
      <alignment horizontal="center" wrapText="1"/>
    </xf>
    <xf numFmtId="0" fontId="16" fillId="0" borderId="0" xfId="0" applyFont="1" applyBorder="1"/>
    <xf numFmtId="0" fontId="20" fillId="0" borderId="9" xfId="0" applyFont="1" applyBorder="1" applyAlignment="1">
      <alignment horizontal="center" vertical="center" wrapText="1"/>
    </xf>
    <xf numFmtId="0" fontId="5" fillId="3" borderId="14" xfId="0" applyFont="1" applyFill="1" applyBorder="1" applyAlignment="1">
      <alignment horizontal="center" vertical="center"/>
    </xf>
    <xf numFmtId="0" fontId="5" fillId="4" borderId="14" xfId="0" applyFont="1" applyFill="1" applyBorder="1" applyAlignment="1">
      <alignment horizontal="center" vertical="center" wrapText="1"/>
    </xf>
    <xf numFmtId="3" fontId="5" fillId="4" borderId="14" xfId="0" applyNumberFormat="1" applyFont="1" applyFill="1" applyBorder="1" applyAlignment="1">
      <alignment horizontal="center" vertical="center"/>
    </xf>
    <xf numFmtId="166" fontId="0" fillId="0" borderId="0" xfId="0" applyNumberFormat="1"/>
    <xf numFmtId="166" fontId="14" fillId="0" borderId="35" xfId="0" applyNumberFormat="1" applyFont="1" applyBorder="1" applyAlignment="1">
      <alignment horizontal="right" vertical="center"/>
    </xf>
    <xf numFmtId="0" fontId="20" fillId="0" borderId="40" xfId="0" applyFont="1" applyBorder="1" applyAlignment="1">
      <alignment horizontal="center" vertical="center" wrapText="1"/>
    </xf>
    <xf numFmtId="0" fontId="22" fillId="3" borderId="43" xfId="0" applyFont="1" applyFill="1" applyBorder="1" applyAlignment="1">
      <alignment horizontal="center" vertical="center" wrapText="1"/>
    </xf>
    <xf numFmtId="0" fontId="20" fillId="0" borderId="2" xfId="0" applyFont="1" applyBorder="1" applyAlignment="1">
      <alignment horizontal="center" vertical="center" wrapText="1"/>
    </xf>
    <xf numFmtId="0" fontId="20" fillId="0" borderId="4" xfId="0" applyFont="1" applyBorder="1" applyAlignment="1">
      <alignment horizontal="center" vertical="center" wrapText="1"/>
    </xf>
    <xf numFmtId="0" fontId="22" fillId="3" borderId="45" xfId="0" applyFont="1" applyFill="1" applyBorder="1" applyAlignment="1">
      <alignment horizontal="center" vertical="center" wrapText="1"/>
    </xf>
    <xf numFmtId="0" fontId="25" fillId="0" borderId="47" xfId="0" applyFont="1" applyBorder="1" applyAlignment="1">
      <alignment horizontal="center" vertical="center" wrapText="1"/>
    </xf>
    <xf numFmtId="0" fontId="20" fillId="0" borderId="3" xfId="0" applyFont="1" applyBorder="1" applyAlignment="1">
      <alignment horizontal="center" vertical="center" wrapText="1"/>
    </xf>
    <xf numFmtId="0" fontId="22" fillId="0" borderId="49" xfId="0" applyFont="1" applyBorder="1" applyAlignment="1">
      <alignment horizontal="center" vertical="center" wrapText="1"/>
    </xf>
    <xf numFmtId="0" fontId="24" fillId="0" borderId="47" xfId="0" applyFont="1" applyBorder="1" applyAlignment="1">
      <alignment horizontal="center" vertical="center"/>
    </xf>
    <xf numFmtId="166" fontId="21" fillId="3" borderId="44" xfId="1" applyNumberFormat="1" applyFont="1" applyFill="1" applyBorder="1" applyAlignment="1" applyProtection="1">
      <alignment horizontal="center" vertical="center" wrapText="1"/>
    </xf>
    <xf numFmtId="166" fontId="21" fillId="3" borderId="47" xfId="1" applyNumberFormat="1" applyFont="1" applyFill="1" applyBorder="1" applyAlignment="1" applyProtection="1">
      <alignment horizontal="center" vertical="center" wrapText="1"/>
    </xf>
    <xf numFmtId="0" fontId="5" fillId="4" borderId="14" xfId="0" applyFont="1" applyFill="1" applyBorder="1" applyAlignment="1">
      <alignment horizontal="center" vertical="center"/>
    </xf>
    <xf numFmtId="166" fontId="5" fillId="4" borderId="14" xfId="1" applyNumberFormat="1" applyFont="1" applyFill="1" applyBorder="1" applyAlignment="1" applyProtection="1">
      <alignment horizontal="center" vertical="center" wrapText="1"/>
    </xf>
    <xf numFmtId="0" fontId="0" fillId="0" borderId="4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27" fillId="0" borderId="50" xfId="0" applyFont="1" applyBorder="1" applyAlignment="1">
      <alignment horizontal="center" vertical="center" wrapText="1"/>
    </xf>
    <xf numFmtId="0" fontId="27" fillId="0" borderId="48" xfId="0" applyFont="1" applyBorder="1" applyAlignment="1">
      <alignment horizontal="center" vertical="center" wrapText="1"/>
    </xf>
    <xf numFmtId="166" fontId="28" fillId="3" borderId="14" xfId="1" applyNumberFormat="1" applyFont="1" applyFill="1" applyBorder="1" applyAlignment="1" applyProtection="1">
      <alignment horizontal="center" vertical="center" wrapText="1"/>
    </xf>
    <xf numFmtId="0" fontId="27" fillId="0" borderId="46" xfId="0" applyFont="1" applyBorder="1" applyAlignment="1">
      <alignment horizontal="center" vertical="center" wrapText="1"/>
    </xf>
    <xf numFmtId="166" fontId="28" fillId="3" borderId="46" xfId="1" applyNumberFormat="1" applyFont="1" applyFill="1" applyBorder="1" applyAlignment="1" applyProtection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0" fillId="0" borderId="49" xfId="0" applyBorder="1" applyAlignment="1">
      <alignment horizontal="center" vertical="center"/>
    </xf>
    <xf numFmtId="0" fontId="21" fillId="0" borderId="47" xfId="0" applyFont="1" applyBorder="1" applyAlignment="1">
      <alignment horizontal="center" vertical="center"/>
    </xf>
    <xf numFmtId="0" fontId="16" fillId="0" borderId="0" xfId="0" applyFont="1" applyBorder="1" applyAlignment="1">
      <alignment horizontal="left" indent="3"/>
    </xf>
    <xf numFmtId="0" fontId="23" fillId="3" borderId="0" xfId="0" applyFont="1" applyFill="1" applyAlignment="1">
      <alignment horizontal="left" wrapText="1" indent="1"/>
    </xf>
    <xf numFmtId="0" fontId="20" fillId="4" borderId="0" xfId="0" applyFont="1" applyFill="1" applyAlignment="1">
      <alignment horizontal="left" wrapText="1"/>
    </xf>
    <xf numFmtId="0" fontId="16" fillId="4" borderId="0" xfId="0" applyFont="1" applyFill="1" applyBorder="1"/>
    <xf numFmtId="49" fontId="7" fillId="3" borderId="6" xfId="0" applyNumberFormat="1" applyFont="1" applyFill="1" applyBorder="1" applyAlignment="1">
      <alignment horizontal="center" vertical="center"/>
    </xf>
    <xf numFmtId="0" fontId="0" fillId="0" borderId="57" xfId="0" applyFont="1" applyFill="1" applyBorder="1" applyAlignment="1">
      <alignment horizontal="center" vertical="center"/>
    </xf>
    <xf numFmtId="0" fontId="0" fillId="0" borderId="58" xfId="0" applyFont="1" applyFill="1" applyBorder="1" applyAlignment="1">
      <alignment horizontal="center" vertical="center"/>
    </xf>
    <xf numFmtId="0" fontId="0" fillId="0" borderId="57" xfId="0" applyFill="1" applyBorder="1" applyAlignment="1">
      <alignment horizontal="center" vertical="center"/>
    </xf>
    <xf numFmtId="166" fontId="0" fillId="0" borderId="59" xfId="3" applyNumberFormat="1" applyFont="1" applyBorder="1" applyAlignment="1" applyProtection="1">
      <alignment horizontal="center" vertical="center"/>
    </xf>
    <xf numFmtId="0" fontId="1" fillId="4" borderId="42" xfId="6" applyFill="1" applyBorder="1" applyAlignment="1">
      <alignment horizontal="center" vertical="center" wrapText="1"/>
    </xf>
    <xf numFmtId="0" fontId="1" fillId="4" borderId="39" xfId="6" applyFill="1" applyBorder="1" applyAlignment="1">
      <alignment horizontal="center" vertical="center" wrapText="1"/>
    </xf>
    <xf numFmtId="0" fontId="1" fillId="4" borderId="60" xfId="5" applyFill="1" applyBorder="1" applyAlignment="1">
      <alignment horizontal="center" vertical="center"/>
    </xf>
    <xf numFmtId="0" fontId="1" fillId="4" borderId="42" xfId="6" applyFill="1" applyBorder="1" applyAlignment="1">
      <alignment horizontal="center" vertical="center" wrapText="1"/>
    </xf>
    <xf numFmtId="0" fontId="1" fillId="4" borderId="39" xfId="6" applyFill="1" applyBorder="1" applyAlignment="1">
      <alignment horizontal="center" vertical="center" wrapText="1"/>
    </xf>
    <xf numFmtId="0" fontId="1" fillId="4" borderId="61" xfId="5" applyFill="1" applyBorder="1" applyAlignment="1">
      <alignment wrapText="1"/>
    </xf>
    <xf numFmtId="0" fontId="1" fillId="4" borderId="42" xfId="6" applyFill="1" applyBorder="1" applyAlignment="1">
      <alignment horizontal="center" vertical="center" wrapText="1"/>
    </xf>
    <xf numFmtId="0" fontId="1" fillId="4" borderId="39" xfId="6" applyFill="1" applyBorder="1" applyAlignment="1">
      <alignment horizontal="center" vertical="center" wrapText="1"/>
    </xf>
    <xf numFmtId="0" fontId="1" fillId="4" borderId="60" xfId="5" applyFill="1" applyBorder="1" applyAlignment="1">
      <alignment horizontal="center" vertical="center" wrapText="1"/>
    </xf>
    <xf numFmtId="0" fontId="1" fillId="4" borderId="39" xfId="6" applyFill="1" applyBorder="1" applyAlignment="1">
      <alignment horizontal="center" vertical="center" wrapText="1"/>
    </xf>
    <xf numFmtId="0" fontId="1" fillId="4" borderId="60" xfId="5" applyFill="1" applyBorder="1" applyAlignment="1">
      <alignment horizontal="center"/>
    </xf>
    <xf numFmtId="0" fontId="16" fillId="0" borderId="0" xfId="0" applyFont="1"/>
    <xf numFmtId="169" fontId="16" fillId="0" borderId="39" xfId="0" applyNumberFormat="1" applyFont="1" applyBorder="1" applyAlignment="1">
      <alignment horizontal="center" vertical="center"/>
    </xf>
    <xf numFmtId="0" fontId="0" fillId="0" borderId="0" xfId="0"/>
    <xf numFmtId="0" fontId="16" fillId="0" borderId="0" xfId="0" applyFont="1"/>
    <xf numFmtId="0" fontId="29" fillId="0" borderId="2" xfId="0" applyFont="1" applyBorder="1"/>
    <xf numFmtId="0" fontId="16" fillId="0" borderId="3" xfId="0" applyFont="1" applyBorder="1"/>
    <xf numFmtId="0" fontId="16" fillId="0" borderId="4" xfId="0" applyFont="1" applyBorder="1"/>
    <xf numFmtId="0" fontId="16" fillId="0" borderId="52" xfId="0" applyFont="1" applyBorder="1"/>
    <xf numFmtId="0" fontId="16" fillId="0" borderId="53" xfId="0" applyFont="1" applyBorder="1"/>
    <xf numFmtId="0" fontId="29" fillId="0" borderId="52" xfId="0" applyFont="1" applyBorder="1" applyAlignment="1">
      <alignment horizontal="left" indent="3"/>
    </xf>
    <xf numFmtId="0" fontId="16" fillId="0" borderId="52" xfId="0" applyFont="1" applyBorder="1" applyAlignment="1">
      <alignment horizontal="left" indent="3"/>
    </xf>
    <xf numFmtId="0" fontId="16" fillId="0" borderId="54" xfId="0" applyFont="1" applyBorder="1" applyAlignment="1">
      <alignment horizontal="left" indent="3"/>
    </xf>
    <xf numFmtId="0" fontId="16" fillId="0" borderId="55" xfId="0" applyFont="1" applyBorder="1"/>
    <xf numFmtId="0" fontId="16" fillId="0" borderId="56" xfId="0" applyFont="1" applyBorder="1"/>
    <xf numFmtId="0" fontId="29" fillId="0" borderId="54" xfId="0" applyFont="1" applyBorder="1" applyAlignment="1">
      <alignment horizontal="left" indent="3"/>
    </xf>
    <xf numFmtId="0" fontId="16" fillId="0" borderId="53" xfId="0" applyFont="1" applyBorder="1" applyAlignment="1">
      <alignment horizontal="center" wrapText="1"/>
    </xf>
    <xf numFmtId="0" fontId="16" fillId="0" borderId="53" xfId="0" applyFont="1" applyBorder="1" applyAlignment="1">
      <alignment horizontal="center"/>
    </xf>
    <xf numFmtId="0" fontId="31" fillId="0" borderId="0" xfId="0" applyFont="1" applyAlignment="1">
      <alignment vertical="center"/>
    </xf>
    <xf numFmtId="0" fontId="16" fillId="0" borderId="0" xfId="0" applyFont="1" applyAlignment="1">
      <alignment horizontal="center" wrapText="1"/>
    </xf>
    <xf numFmtId="0" fontId="32" fillId="0" borderId="0" xfId="0" applyFont="1" applyAlignment="1">
      <alignment horizontal="center" wrapText="1"/>
    </xf>
    <xf numFmtId="0" fontId="16" fillId="0" borderId="0" xfId="0" applyFont="1" applyAlignment="1">
      <alignment horizontal="left" indent="3"/>
    </xf>
    <xf numFmtId="0" fontId="16" fillId="0" borderId="0" xfId="0" applyFont="1" applyAlignment="1">
      <alignment horizontal="center"/>
    </xf>
    <xf numFmtId="0" fontId="16" fillId="0" borderId="53" xfId="0" applyFont="1" applyBorder="1" applyAlignment="1">
      <alignment horizontal="center" wrapText="1"/>
    </xf>
    <xf numFmtId="0" fontId="16" fillId="0" borderId="53" xfId="0" applyFont="1" applyBorder="1" applyAlignment="1">
      <alignment horizontal="center"/>
    </xf>
    <xf numFmtId="0" fontId="18" fillId="0" borderId="0" xfId="0" applyFont="1" applyBorder="1" applyAlignment="1">
      <alignment horizontal="left" vertical="center" wrapText="1"/>
    </xf>
    <xf numFmtId="0" fontId="17" fillId="0" borderId="0" xfId="0" applyFont="1" applyBorder="1" applyAlignment="1">
      <alignment horizontal="center"/>
    </xf>
    <xf numFmtId="0" fontId="23" fillId="3" borderId="0" xfId="0" applyFont="1" applyFill="1" applyBorder="1" applyAlignment="1">
      <alignment horizontal="left" wrapText="1" indent="1"/>
    </xf>
    <xf numFmtId="0" fontId="16" fillId="0" borderId="0" xfId="0" applyFont="1" applyAlignment="1">
      <alignment horizontal="center"/>
    </xf>
    <xf numFmtId="0" fontId="16" fillId="0" borderId="0" xfId="0" applyFont="1" applyAlignment="1">
      <alignment horizontal="center" wrapText="1"/>
    </xf>
    <xf numFmtId="0" fontId="16" fillId="0" borderId="55" xfId="0" applyFont="1" applyBorder="1" applyAlignment="1">
      <alignment horizontal="center"/>
    </xf>
    <xf numFmtId="0" fontId="6" fillId="0" borderId="0" xfId="0" applyFont="1" applyBorder="1" applyAlignment="1">
      <alignment horizontal="center" vertical="center"/>
    </xf>
    <xf numFmtId="0" fontId="8" fillId="0" borderId="8" xfId="0" applyFont="1" applyBorder="1" applyAlignment="1">
      <alignment horizontal="left" vertical="center" wrapText="1"/>
    </xf>
    <xf numFmtId="0" fontId="7" fillId="4" borderId="9" xfId="0" applyFont="1" applyFill="1" applyBorder="1" applyAlignment="1">
      <alignment horizontal="left" vertical="center" wrapText="1" indent="1"/>
    </xf>
    <xf numFmtId="0" fontId="8" fillId="0" borderId="10" xfId="0" applyFont="1" applyBorder="1" applyAlignment="1">
      <alignment horizontal="left" vertical="center" wrapText="1"/>
    </xf>
    <xf numFmtId="167" fontId="26" fillId="4" borderId="9" xfId="0" applyNumberFormat="1" applyFont="1" applyFill="1" applyBorder="1" applyAlignment="1">
      <alignment horizontal="center" vertical="center"/>
    </xf>
    <xf numFmtId="0" fontId="5" fillId="4" borderId="14" xfId="0" applyFont="1" applyFill="1" applyBorder="1" applyAlignment="1">
      <alignment horizontal="left" vertical="center" wrapText="1"/>
    </xf>
    <xf numFmtId="0" fontId="8" fillId="0" borderId="11" xfId="0" applyFont="1" applyBorder="1" applyAlignment="1">
      <alignment horizontal="left" vertical="center"/>
    </xf>
    <xf numFmtId="0" fontId="7" fillId="3" borderId="12" xfId="0" applyFont="1" applyFill="1" applyBorder="1" applyAlignment="1">
      <alignment horizontal="left" vertical="center" wrapText="1" indent="1"/>
    </xf>
    <xf numFmtId="0" fontId="9" fillId="0" borderId="11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0" fontId="5" fillId="4" borderId="15" xfId="0" applyFont="1" applyFill="1" applyBorder="1" applyAlignment="1">
      <alignment horizontal="center" vertical="center" wrapText="1"/>
    </xf>
    <xf numFmtId="0" fontId="5" fillId="4" borderId="51" xfId="0" applyFont="1" applyFill="1" applyBorder="1" applyAlignment="1">
      <alignment horizontal="center" vertical="center" wrapText="1"/>
    </xf>
    <xf numFmtId="0" fontId="5" fillId="4" borderId="16" xfId="0" applyFont="1" applyFill="1" applyBorder="1" applyAlignment="1">
      <alignment horizontal="center" vertical="center" wrapText="1"/>
    </xf>
    <xf numFmtId="0" fontId="0" fillId="0" borderId="15" xfId="0" applyFont="1" applyBorder="1" applyAlignment="1">
      <alignment horizontal="center"/>
    </xf>
    <xf numFmtId="1" fontId="10" fillId="0" borderId="16" xfId="0" applyNumberFormat="1" applyFont="1" applyBorder="1" applyAlignment="1">
      <alignment horizontal="center"/>
    </xf>
    <xf numFmtId="0" fontId="11" fillId="0" borderId="6" xfId="0" applyFont="1" applyBorder="1" applyAlignment="1">
      <alignment horizontal="center" vertical="center" wrapText="1"/>
    </xf>
    <xf numFmtId="0" fontId="3" fillId="0" borderId="6" xfId="0" applyFont="1" applyBorder="1"/>
    <xf numFmtId="0" fontId="12" fillId="4" borderId="6" xfId="0" applyFont="1" applyFill="1" applyBorder="1" applyAlignment="1">
      <alignment horizontal="left" indent="1"/>
    </xf>
    <xf numFmtId="0" fontId="5" fillId="0" borderId="8" xfId="0" applyFont="1" applyBorder="1" applyAlignment="1">
      <alignment horizontal="left" vertical="center" wrapText="1"/>
    </xf>
    <xf numFmtId="0" fontId="5" fillId="0" borderId="37" xfId="0" applyFont="1" applyBorder="1" applyAlignment="1">
      <alignment horizontal="left" vertical="center" wrapText="1"/>
    </xf>
    <xf numFmtId="0" fontId="5" fillId="0" borderId="38" xfId="0" applyFont="1" applyBorder="1" applyAlignment="1">
      <alignment horizontal="left" vertical="center" wrapText="1"/>
    </xf>
    <xf numFmtId="0" fontId="13" fillId="0" borderId="6" xfId="0" applyFont="1" applyBorder="1" applyAlignment="1">
      <alignment horizontal="left"/>
    </xf>
    <xf numFmtId="0" fontId="12" fillId="0" borderId="18" xfId="0" applyFont="1" applyBorder="1"/>
    <xf numFmtId="0" fontId="12" fillId="0" borderId="19" xfId="0" applyFont="1" applyBorder="1" applyAlignment="1">
      <alignment horizontal="left" vertical="center" wrapText="1" indent="1"/>
    </xf>
    <xf numFmtId="0" fontId="14" fillId="0" borderId="17" xfId="0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14" fillId="0" borderId="17" xfId="0" applyFont="1" applyBorder="1" applyAlignment="1">
      <alignment horizontal="center" vertical="center" wrapText="1"/>
    </xf>
    <xf numFmtId="0" fontId="14" fillId="0" borderId="22" xfId="0" applyFont="1" applyBorder="1" applyAlignment="1">
      <alignment horizontal="center" vertical="center"/>
    </xf>
    <xf numFmtId="0" fontId="30" fillId="0" borderId="57" xfId="0" applyFont="1" applyBorder="1" applyAlignment="1">
      <alignment horizontal="left" vertical="center" wrapText="1"/>
    </xf>
    <xf numFmtId="0" fontId="15" fillId="0" borderId="57" xfId="0" applyFont="1" applyBorder="1" applyAlignment="1">
      <alignment horizontal="left" vertical="center" wrapText="1"/>
    </xf>
    <xf numFmtId="0" fontId="0" fillId="0" borderId="57" xfId="0" applyFont="1" applyBorder="1" applyAlignment="1">
      <alignment horizontal="left" vertical="center" wrapText="1"/>
    </xf>
    <xf numFmtId="0" fontId="0" fillId="0" borderId="29" xfId="0" applyFont="1" applyBorder="1" applyAlignment="1">
      <alignment horizontal="left" vertical="center"/>
    </xf>
    <xf numFmtId="0" fontId="10" fillId="0" borderId="15" xfId="0" applyFont="1" applyBorder="1" applyAlignment="1">
      <alignment vertical="center" wrapText="1"/>
    </xf>
    <xf numFmtId="0" fontId="10" fillId="0" borderId="36" xfId="0" applyFont="1" applyBorder="1" applyAlignment="1">
      <alignment vertical="center" wrapText="1"/>
    </xf>
    <xf numFmtId="0" fontId="10" fillId="0" borderId="12" xfId="0" applyFont="1" applyBorder="1" applyAlignment="1">
      <alignment vertical="center" wrapText="1"/>
    </xf>
    <xf numFmtId="0" fontId="12" fillId="0" borderId="22" xfId="0" applyFont="1" applyBorder="1" applyAlignment="1">
      <alignment vertical="center" wrapText="1"/>
    </xf>
    <xf numFmtId="0" fontId="12" fillId="3" borderId="35" xfId="0" applyFont="1" applyFill="1" applyBorder="1" applyAlignment="1">
      <alignment horizontal="left" vertical="center" wrapText="1" indent="1"/>
    </xf>
    <xf numFmtId="0" fontId="0" fillId="0" borderId="29" xfId="0" applyBorder="1" applyAlignment="1">
      <alignment horizontal="left" vertical="center"/>
    </xf>
    <xf numFmtId="0" fontId="0" fillId="0" borderId="32" xfId="0" applyBorder="1" applyAlignment="1">
      <alignment horizontal="left" vertical="center"/>
    </xf>
    <xf numFmtId="0" fontId="14" fillId="0" borderId="35" xfId="0" applyFont="1" applyBorder="1" applyAlignment="1">
      <alignment horizontal="left" vertical="center" wrapText="1"/>
    </xf>
    <xf numFmtId="0" fontId="0" fillId="0" borderId="17" xfId="0" applyBorder="1"/>
  </cellXfs>
  <cellStyles count="7">
    <cellStyle name="20% - Énfasis3" xfId="5" builtinId="38"/>
    <cellStyle name="20% - Énfasis5 2" xfId="6" xr:uid="{00000000-0005-0000-0000-000001000000}"/>
    <cellStyle name="Encabezado 1" xfId="2" xr:uid="{00000000-0005-0000-0000-000002000000}"/>
    <cellStyle name="Moneda" xfId="1" builtinId="4"/>
    <cellStyle name="Moneda_AUTORIZACION Y NOTA DE PEDIDO" xfId="3" xr:uid="{00000000-0005-0000-0000-000004000000}"/>
    <cellStyle name="Neutral 1" xfId="4" xr:uid="{00000000-0005-0000-0000-000005000000}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128"/>
  <sheetViews>
    <sheetView tabSelected="1" zoomScale="90" zoomScaleNormal="90" workbookViewId="0">
      <selection activeCell="J28" sqref="J28"/>
    </sheetView>
  </sheetViews>
  <sheetFormatPr baseColWidth="10" defaultColWidth="11" defaultRowHeight="12.75" x14ac:dyDescent="0.2"/>
  <cols>
    <col min="1" max="1" width="4.5703125" style="37" customWidth="1"/>
    <col min="2" max="2" width="14" style="37" customWidth="1"/>
    <col min="3" max="3" width="21.7109375" style="37" customWidth="1"/>
    <col min="4" max="4" width="8.42578125" style="37" customWidth="1"/>
    <col min="5" max="5" width="79" style="37" customWidth="1"/>
    <col min="6" max="6" width="11" style="37"/>
    <col min="7" max="7" width="12.7109375" style="37" customWidth="1"/>
    <col min="8" max="8" width="13.85546875" style="37" customWidth="1"/>
    <col min="9" max="9" width="18.5703125" style="37" customWidth="1"/>
    <col min="10" max="16384" width="11" style="37"/>
  </cols>
  <sheetData>
    <row r="2" spans="1:9" ht="27" x14ac:dyDescent="0.35">
      <c r="B2" s="115" t="s">
        <v>0</v>
      </c>
      <c r="C2" s="115"/>
      <c r="D2" s="115"/>
      <c r="E2" s="115"/>
      <c r="F2" s="115"/>
      <c r="G2" s="115"/>
      <c r="H2" s="115"/>
    </row>
    <row r="4" spans="1:9" ht="18" customHeight="1" x14ac:dyDescent="0.25">
      <c r="A4" s="114" t="s">
        <v>1</v>
      </c>
      <c r="B4" s="114"/>
      <c r="C4" s="116" t="s">
        <v>52</v>
      </c>
      <c r="D4" s="116"/>
      <c r="E4" s="116"/>
      <c r="F4" s="38"/>
      <c r="G4" s="39"/>
      <c r="H4" s="38"/>
    </row>
    <row r="5" spans="1:9" ht="18" customHeight="1" x14ac:dyDescent="0.25">
      <c r="A5" s="114" t="s">
        <v>2</v>
      </c>
      <c r="B5" s="114"/>
      <c r="C5" s="116" t="s">
        <v>54</v>
      </c>
      <c r="D5" s="116"/>
      <c r="E5" s="116"/>
      <c r="F5" s="38"/>
      <c r="G5" s="39"/>
      <c r="H5" s="38"/>
    </row>
    <row r="6" spans="1:9" ht="16.5" customHeight="1" x14ac:dyDescent="0.25">
      <c r="A6" s="114" t="s">
        <v>3</v>
      </c>
      <c r="B6" s="114"/>
      <c r="C6" s="71">
        <v>2021</v>
      </c>
      <c r="D6" s="72"/>
      <c r="E6" s="72"/>
      <c r="F6" s="38"/>
      <c r="G6" s="39"/>
      <c r="H6" s="38"/>
    </row>
    <row r="7" spans="1:9" ht="16.5" customHeight="1" x14ac:dyDescent="0.25">
      <c r="A7" s="114" t="s">
        <v>4</v>
      </c>
      <c r="B7" s="114"/>
      <c r="C7" s="71" t="s">
        <v>55</v>
      </c>
      <c r="D7" s="72"/>
      <c r="E7" s="72"/>
      <c r="F7" s="38"/>
      <c r="G7" s="39"/>
      <c r="H7" s="38"/>
    </row>
    <row r="8" spans="1:9" ht="13.5" thickBot="1" x14ac:dyDescent="0.25">
      <c r="B8" s="38"/>
      <c r="C8" s="39"/>
      <c r="D8" s="38"/>
      <c r="E8" s="38"/>
      <c r="F8" s="38"/>
      <c r="G8" s="39"/>
      <c r="H8" s="38"/>
    </row>
    <row r="9" spans="1:9" ht="39" thickBot="1" x14ac:dyDescent="0.25">
      <c r="A9" s="41" t="s">
        <v>5</v>
      </c>
      <c r="B9" s="67" t="s">
        <v>6</v>
      </c>
      <c r="C9" s="41" t="s">
        <v>7</v>
      </c>
      <c r="D9" s="53" t="s">
        <v>8</v>
      </c>
      <c r="E9" s="47" t="s">
        <v>9</v>
      </c>
      <c r="F9" s="50" t="s">
        <v>10</v>
      </c>
      <c r="G9" s="47" t="s">
        <v>11</v>
      </c>
      <c r="H9" s="49" t="s">
        <v>12</v>
      </c>
      <c r="I9" s="47" t="s">
        <v>13</v>
      </c>
    </row>
    <row r="10" spans="1:9" ht="45.75" customHeight="1" x14ac:dyDescent="0.2">
      <c r="A10" s="62">
        <v>1</v>
      </c>
      <c r="B10" s="79" t="s">
        <v>62</v>
      </c>
      <c r="C10" s="62" t="s">
        <v>65</v>
      </c>
      <c r="D10" s="63" t="str">
        <f t="shared" ref="D10:D16" si="0">LEFT(B10,5)</f>
        <v>2.2.2</v>
      </c>
      <c r="E10" s="82" t="s">
        <v>66</v>
      </c>
      <c r="F10" s="85" t="s">
        <v>69</v>
      </c>
      <c r="G10" s="88">
        <v>30</v>
      </c>
      <c r="H10" s="91">
        <v>1470</v>
      </c>
      <c r="I10" s="64">
        <f t="shared" ref="I10:I16" si="1">G10*H10</f>
        <v>44100</v>
      </c>
    </row>
    <row r="11" spans="1:9" ht="31.9" customHeight="1" x14ac:dyDescent="0.2">
      <c r="A11" s="65">
        <v>2</v>
      </c>
      <c r="B11" s="80" t="s">
        <v>63</v>
      </c>
      <c r="C11" s="62" t="s">
        <v>65</v>
      </c>
      <c r="D11" s="63" t="str">
        <f t="shared" si="0"/>
        <v>2.2.2</v>
      </c>
      <c r="E11" s="83" t="s">
        <v>67</v>
      </c>
      <c r="F11" s="86" t="s">
        <v>69</v>
      </c>
      <c r="G11" s="88">
        <v>30</v>
      </c>
      <c r="H11" s="91">
        <v>1365</v>
      </c>
      <c r="I11" s="66">
        <f t="shared" si="1"/>
        <v>40950</v>
      </c>
    </row>
    <row r="12" spans="1:9" ht="31.9" customHeight="1" x14ac:dyDescent="0.2">
      <c r="A12" s="65">
        <v>3</v>
      </c>
      <c r="B12" s="80" t="s">
        <v>62</v>
      </c>
      <c r="C12" s="62" t="s">
        <v>65</v>
      </c>
      <c r="D12" s="63" t="str">
        <f t="shared" si="0"/>
        <v>2.2.2</v>
      </c>
      <c r="E12" s="83" t="s">
        <v>66</v>
      </c>
      <c r="F12" s="86" t="s">
        <v>69</v>
      </c>
      <c r="G12" s="88">
        <v>30</v>
      </c>
      <c r="H12" s="91">
        <v>1470</v>
      </c>
      <c r="I12" s="66">
        <f t="shared" si="1"/>
        <v>44100</v>
      </c>
    </row>
    <row r="13" spans="1:9" ht="31.9" customHeight="1" x14ac:dyDescent="0.2">
      <c r="A13" s="65">
        <v>4</v>
      </c>
      <c r="B13" s="80" t="s">
        <v>63</v>
      </c>
      <c r="C13" s="62" t="s">
        <v>65</v>
      </c>
      <c r="D13" s="63" t="str">
        <f t="shared" si="0"/>
        <v>2.2.2</v>
      </c>
      <c r="E13" s="83" t="s">
        <v>67</v>
      </c>
      <c r="F13" s="86" t="s">
        <v>69</v>
      </c>
      <c r="G13" s="88">
        <v>30</v>
      </c>
      <c r="H13" s="91">
        <v>1365</v>
      </c>
      <c r="I13" s="66">
        <f t="shared" si="1"/>
        <v>40950</v>
      </c>
    </row>
    <row r="14" spans="1:9" ht="31.9" customHeight="1" x14ac:dyDescent="0.2">
      <c r="A14" s="62">
        <v>5</v>
      </c>
      <c r="B14" s="80" t="s">
        <v>62</v>
      </c>
      <c r="C14" s="62" t="s">
        <v>65</v>
      </c>
      <c r="D14" s="63" t="str">
        <f t="shared" si="0"/>
        <v>2.2.2</v>
      </c>
      <c r="E14" s="83" t="s">
        <v>66</v>
      </c>
      <c r="F14" s="86" t="s">
        <v>69</v>
      </c>
      <c r="G14" s="88">
        <v>20</v>
      </c>
      <c r="H14" s="91">
        <v>1470</v>
      </c>
      <c r="I14" s="66">
        <f t="shared" si="1"/>
        <v>29400</v>
      </c>
    </row>
    <row r="15" spans="1:9" ht="31.9" customHeight="1" x14ac:dyDescent="0.2">
      <c r="A15" s="62">
        <v>6</v>
      </c>
      <c r="B15" s="80" t="s">
        <v>63</v>
      </c>
      <c r="C15" s="62" t="s">
        <v>65</v>
      </c>
      <c r="D15" s="63" t="str">
        <f t="shared" si="0"/>
        <v>2.2.2</v>
      </c>
      <c r="E15" s="83" t="s">
        <v>67</v>
      </c>
      <c r="F15" s="86" t="s">
        <v>69</v>
      </c>
      <c r="G15" s="88">
        <v>20</v>
      </c>
      <c r="H15" s="91">
        <v>1365</v>
      </c>
      <c r="I15" s="66">
        <f t="shared" si="1"/>
        <v>27300</v>
      </c>
    </row>
    <row r="16" spans="1:9" ht="31.9" customHeight="1" x14ac:dyDescent="0.25">
      <c r="A16" s="65">
        <v>7</v>
      </c>
      <c r="B16" s="81" t="s">
        <v>64</v>
      </c>
      <c r="C16" s="62" t="s">
        <v>65</v>
      </c>
      <c r="D16" s="63" t="str">
        <f t="shared" si="0"/>
        <v>2.2.1</v>
      </c>
      <c r="E16" s="84" t="s">
        <v>68</v>
      </c>
      <c r="F16" s="87" t="s">
        <v>70</v>
      </c>
      <c r="G16" s="89">
        <v>40</v>
      </c>
      <c r="H16" s="91">
        <v>3150</v>
      </c>
      <c r="I16" s="66">
        <f t="shared" si="1"/>
        <v>126000</v>
      </c>
    </row>
    <row r="17" spans="1:9" ht="15" thickBot="1" x14ac:dyDescent="0.25">
      <c r="A17" s="69"/>
      <c r="B17" s="68"/>
      <c r="C17" s="55"/>
      <c r="D17" s="54"/>
      <c r="E17" s="52"/>
      <c r="F17" s="51"/>
      <c r="G17" s="48"/>
      <c r="H17" s="56"/>
      <c r="I17" s="57"/>
    </row>
    <row r="18" spans="1:9" x14ac:dyDescent="0.2">
      <c r="B18" s="70"/>
      <c r="C18" s="40"/>
      <c r="D18" s="40"/>
      <c r="E18" s="40"/>
    </row>
    <row r="20" spans="1:9" x14ac:dyDescent="0.2">
      <c r="B20" s="73"/>
    </row>
    <row r="21" spans="1:9" ht="13.5" thickBot="1" x14ac:dyDescent="0.25">
      <c r="B21" s="73"/>
    </row>
    <row r="22" spans="1:9" x14ac:dyDescent="0.2">
      <c r="B22" s="94" t="s">
        <v>71</v>
      </c>
      <c r="C22" s="95"/>
      <c r="D22" s="95"/>
      <c r="E22" s="95"/>
    </row>
    <row r="23" spans="1:9" x14ac:dyDescent="0.2">
      <c r="B23" s="97"/>
      <c r="C23" s="92"/>
      <c r="D23" s="92"/>
      <c r="E23" s="92"/>
    </row>
    <row r="24" spans="1:9" x14ac:dyDescent="0.2">
      <c r="B24" s="99" t="s">
        <v>60</v>
      </c>
      <c r="C24" s="92"/>
      <c r="D24" s="92"/>
      <c r="E24" s="92"/>
    </row>
    <row r="25" spans="1:9" x14ac:dyDescent="0.2">
      <c r="B25" s="99"/>
      <c r="C25" s="107" t="s">
        <v>72</v>
      </c>
      <c r="D25" s="108"/>
      <c r="E25" s="109"/>
    </row>
    <row r="26" spans="1:9" x14ac:dyDescent="0.2">
      <c r="B26" s="99" t="s">
        <v>56</v>
      </c>
      <c r="C26" s="93" t="s">
        <v>73</v>
      </c>
      <c r="D26" s="92"/>
      <c r="E26" s="92"/>
    </row>
    <row r="27" spans="1:9" x14ac:dyDescent="0.2">
      <c r="B27" s="100"/>
      <c r="C27" s="113" t="s">
        <v>74</v>
      </c>
      <c r="D27" s="113"/>
      <c r="E27" s="113"/>
    </row>
    <row r="28" spans="1:9" x14ac:dyDescent="0.2">
      <c r="B28" s="100"/>
      <c r="C28" s="117"/>
      <c r="D28" s="117"/>
      <c r="E28" s="117"/>
    </row>
    <row r="29" spans="1:9" x14ac:dyDescent="0.2">
      <c r="B29" s="99" t="s">
        <v>57</v>
      </c>
      <c r="C29" s="92"/>
      <c r="D29" s="92"/>
      <c r="E29" s="92"/>
    </row>
    <row r="30" spans="1:9" x14ac:dyDescent="0.2">
      <c r="B30" s="100"/>
      <c r="C30" s="118"/>
      <c r="D30" s="118"/>
      <c r="E30" s="118"/>
    </row>
    <row r="31" spans="1:9" x14ac:dyDescent="0.2">
      <c r="B31" s="99" t="s">
        <v>58</v>
      </c>
      <c r="C31" s="108"/>
      <c r="D31" s="108"/>
      <c r="E31" s="108"/>
    </row>
    <row r="32" spans="1:9" x14ac:dyDescent="0.2">
      <c r="B32" s="100"/>
      <c r="C32" s="118"/>
      <c r="D32" s="118"/>
      <c r="E32" s="118"/>
    </row>
    <row r="33" spans="2:5" x14ac:dyDescent="0.2">
      <c r="B33" s="99" t="s">
        <v>59</v>
      </c>
      <c r="C33" s="92"/>
      <c r="D33" s="92"/>
      <c r="E33" s="92"/>
    </row>
    <row r="34" spans="2:5" ht="13.5" thickBot="1" x14ac:dyDescent="0.25">
      <c r="B34" s="104"/>
      <c r="C34" s="119"/>
      <c r="D34" s="119"/>
      <c r="E34" s="119"/>
    </row>
    <row r="35" spans="2:5" x14ac:dyDescent="0.2">
      <c r="B35" s="110"/>
      <c r="C35" s="92"/>
      <c r="D35" s="92"/>
      <c r="E35" s="92"/>
    </row>
    <row r="36" spans="2:5" ht="13.5" thickBot="1" x14ac:dyDescent="0.25">
      <c r="B36" s="92"/>
      <c r="C36" s="92"/>
      <c r="D36" s="92"/>
      <c r="E36" s="92"/>
    </row>
    <row r="37" spans="2:5" x14ac:dyDescent="0.2">
      <c r="B37" s="94" t="s">
        <v>75</v>
      </c>
      <c r="C37" s="95"/>
      <c r="D37" s="95"/>
      <c r="E37" s="96"/>
    </row>
    <row r="38" spans="2:5" x14ac:dyDescent="0.2">
      <c r="B38" s="97"/>
      <c r="C38" s="92"/>
      <c r="D38" s="92"/>
      <c r="E38" s="98"/>
    </row>
    <row r="39" spans="2:5" x14ac:dyDescent="0.2">
      <c r="B39" s="99" t="s">
        <v>60</v>
      </c>
      <c r="C39" s="92"/>
      <c r="D39" s="92"/>
      <c r="E39" s="98"/>
    </row>
    <row r="40" spans="2:5" x14ac:dyDescent="0.2">
      <c r="B40" s="99"/>
      <c r="C40" s="112" t="s">
        <v>76</v>
      </c>
      <c r="D40" s="112"/>
      <c r="E40" s="112"/>
    </row>
    <row r="41" spans="2:5" x14ac:dyDescent="0.2">
      <c r="B41" s="99" t="s">
        <v>56</v>
      </c>
      <c r="C41" s="93" t="s">
        <v>73</v>
      </c>
      <c r="D41" s="92"/>
      <c r="E41" s="98"/>
    </row>
    <row r="42" spans="2:5" x14ac:dyDescent="0.2">
      <c r="B42" s="100"/>
      <c r="C42" s="113" t="s">
        <v>74</v>
      </c>
      <c r="D42" s="113"/>
      <c r="E42" s="113"/>
    </row>
    <row r="43" spans="2:5" x14ac:dyDescent="0.2">
      <c r="B43" s="100"/>
      <c r="C43" s="113"/>
      <c r="D43" s="113"/>
      <c r="E43" s="113"/>
    </row>
    <row r="44" spans="2:5" x14ac:dyDescent="0.2">
      <c r="B44" s="99" t="s">
        <v>57</v>
      </c>
      <c r="C44" s="92"/>
      <c r="D44" s="92"/>
      <c r="E44" s="98"/>
    </row>
    <row r="45" spans="2:5" x14ac:dyDescent="0.2">
      <c r="B45" s="100"/>
      <c r="C45" s="112"/>
      <c r="D45" s="112"/>
      <c r="E45" s="112"/>
    </row>
    <row r="46" spans="2:5" x14ac:dyDescent="0.2">
      <c r="B46" s="99" t="s">
        <v>58</v>
      </c>
      <c r="C46" s="108"/>
      <c r="D46" s="108"/>
      <c r="E46" s="105"/>
    </row>
    <row r="47" spans="2:5" x14ac:dyDescent="0.2">
      <c r="B47" s="100"/>
      <c r="C47" s="112"/>
      <c r="D47" s="112"/>
      <c r="E47" s="112"/>
    </row>
    <row r="48" spans="2:5" x14ac:dyDescent="0.2">
      <c r="B48" s="99" t="s">
        <v>59</v>
      </c>
      <c r="C48" s="92"/>
      <c r="D48" s="92"/>
      <c r="E48" s="98"/>
    </row>
    <row r="49" spans="2:5" x14ac:dyDescent="0.2">
      <c r="B49" s="99"/>
      <c r="C49" s="113"/>
      <c r="D49" s="113"/>
      <c r="E49" s="113"/>
    </row>
    <row r="50" spans="2:5" ht="13.5" thickBot="1" x14ac:dyDescent="0.25">
      <c r="B50" s="101"/>
      <c r="C50" s="102"/>
      <c r="D50" s="102"/>
      <c r="E50" s="103"/>
    </row>
    <row r="51" spans="2:5" ht="13.5" thickBot="1" x14ac:dyDescent="0.25">
      <c r="B51" s="92"/>
      <c r="C51" s="92"/>
      <c r="D51" s="92"/>
      <c r="E51" s="92"/>
    </row>
    <row r="52" spans="2:5" x14ac:dyDescent="0.2">
      <c r="B52" s="94" t="s">
        <v>77</v>
      </c>
      <c r="C52" s="95"/>
      <c r="D52" s="95"/>
      <c r="E52" s="96"/>
    </row>
    <row r="53" spans="2:5" x14ac:dyDescent="0.2">
      <c r="B53" s="97"/>
      <c r="C53" s="92"/>
      <c r="D53" s="92"/>
      <c r="E53" s="98"/>
    </row>
    <row r="54" spans="2:5" x14ac:dyDescent="0.2">
      <c r="B54" s="99" t="s">
        <v>60</v>
      </c>
      <c r="C54" s="92"/>
      <c r="D54" s="92"/>
      <c r="E54" s="98"/>
    </row>
    <row r="55" spans="2:5" x14ac:dyDescent="0.2">
      <c r="B55" s="99"/>
      <c r="C55" s="112" t="s">
        <v>78</v>
      </c>
      <c r="D55" s="112"/>
      <c r="E55" s="112"/>
    </row>
    <row r="56" spans="2:5" x14ac:dyDescent="0.2">
      <c r="B56" s="99" t="s">
        <v>56</v>
      </c>
      <c r="C56" s="93" t="s">
        <v>73</v>
      </c>
      <c r="D56" s="92"/>
      <c r="E56" s="98"/>
    </row>
    <row r="57" spans="2:5" x14ac:dyDescent="0.2">
      <c r="B57" s="100"/>
      <c r="C57" s="113" t="s">
        <v>74</v>
      </c>
      <c r="D57" s="113"/>
      <c r="E57" s="113"/>
    </row>
    <row r="58" spans="2:5" x14ac:dyDescent="0.2">
      <c r="B58" s="100"/>
      <c r="C58" s="113"/>
      <c r="D58" s="113"/>
      <c r="E58" s="113"/>
    </row>
    <row r="59" spans="2:5" x14ac:dyDescent="0.2">
      <c r="B59" s="99" t="s">
        <v>57</v>
      </c>
      <c r="C59" s="92"/>
      <c r="D59" s="92"/>
      <c r="E59" s="98"/>
    </row>
    <row r="60" spans="2:5" x14ac:dyDescent="0.2">
      <c r="B60" s="100"/>
      <c r="C60" s="112"/>
      <c r="D60" s="112"/>
      <c r="E60" s="112"/>
    </row>
    <row r="61" spans="2:5" x14ac:dyDescent="0.2">
      <c r="B61" s="99" t="s">
        <v>58</v>
      </c>
      <c r="C61" s="108"/>
      <c r="D61" s="108"/>
      <c r="E61" s="105"/>
    </row>
    <row r="62" spans="2:5" x14ac:dyDescent="0.2">
      <c r="B62" s="100"/>
      <c r="C62" s="112"/>
      <c r="D62" s="112"/>
      <c r="E62" s="112"/>
    </row>
    <row r="63" spans="2:5" x14ac:dyDescent="0.2">
      <c r="B63" s="99" t="s">
        <v>59</v>
      </c>
      <c r="C63" s="92"/>
      <c r="D63" s="92"/>
      <c r="E63" s="98"/>
    </row>
    <row r="64" spans="2:5" x14ac:dyDescent="0.2">
      <c r="B64" s="99"/>
      <c r="C64" s="113"/>
      <c r="D64" s="113"/>
      <c r="E64" s="113"/>
    </row>
    <row r="65" spans="2:5" ht="13.5" thickBot="1" x14ac:dyDescent="0.25">
      <c r="B65" s="101"/>
      <c r="C65" s="102"/>
      <c r="D65" s="102"/>
      <c r="E65" s="103"/>
    </row>
    <row r="66" spans="2:5" ht="13.5" thickBot="1" x14ac:dyDescent="0.25">
      <c r="B66" s="92"/>
      <c r="C66" s="92"/>
      <c r="D66" s="92"/>
      <c r="E66" s="92"/>
    </row>
    <row r="67" spans="2:5" x14ac:dyDescent="0.2">
      <c r="B67" s="94" t="s">
        <v>79</v>
      </c>
      <c r="C67" s="95"/>
      <c r="D67" s="95"/>
      <c r="E67" s="96"/>
    </row>
    <row r="68" spans="2:5" x14ac:dyDescent="0.2">
      <c r="B68" s="97"/>
      <c r="C68" s="92"/>
      <c r="D68" s="92"/>
      <c r="E68" s="98"/>
    </row>
    <row r="69" spans="2:5" x14ac:dyDescent="0.2">
      <c r="B69" s="99" t="s">
        <v>60</v>
      </c>
      <c r="C69" s="92"/>
      <c r="D69" s="92"/>
      <c r="E69" s="98"/>
    </row>
    <row r="70" spans="2:5" x14ac:dyDescent="0.2">
      <c r="B70" s="99"/>
      <c r="C70" s="112" t="s">
        <v>80</v>
      </c>
      <c r="D70" s="112"/>
      <c r="E70" s="112"/>
    </row>
    <row r="71" spans="2:5" x14ac:dyDescent="0.2">
      <c r="B71" s="99" t="s">
        <v>56</v>
      </c>
      <c r="C71" s="93" t="s">
        <v>73</v>
      </c>
      <c r="D71" s="92"/>
      <c r="E71" s="98"/>
    </row>
    <row r="72" spans="2:5" x14ac:dyDescent="0.2">
      <c r="B72" s="100"/>
      <c r="C72" s="113" t="s">
        <v>74</v>
      </c>
      <c r="D72" s="113"/>
      <c r="E72" s="113"/>
    </row>
    <row r="73" spans="2:5" x14ac:dyDescent="0.2">
      <c r="B73" s="100"/>
      <c r="C73" s="113"/>
      <c r="D73" s="113"/>
      <c r="E73" s="113"/>
    </row>
    <row r="74" spans="2:5" x14ac:dyDescent="0.2">
      <c r="B74" s="99" t="s">
        <v>57</v>
      </c>
      <c r="C74" s="92"/>
      <c r="D74" s="92"/>
      <c r="E74" s="98"/>
    </row>
    <row r="75" spans="2:5" x14ac:dyDescent="0.2">
      <c r="B75" s="100"/>
      <c r="C75" s="112"/>
      <c r="D75" s="112"/>
      <c r="E75" s="112"/>
    </row>
    <row r="76" spans="2:5" x14ac:dyDescent="0.2">
      <c r="B76" s="99" t="s">
        <v>58</v>
      </c>
      <c r="C76" s="108"/>
      <c r="D76" s="108"/>
      <c r="E76" s="105"/>
    </row>
    <row r="77" spans="2:5" x14ac:dyDescent="0.2">
      <c r="B77" s="100"/>
      <c r="C77" s="112"/>
      <c r="D77" s="112"/>
      <c r="E77" s="112"/>
    </row>
    <row r="78" spans="2:5" x14ac:dyDescent="0.2">
      <c r="B78" s="99" t="s">
        <v>59</v>
      </c>
      <c r="C78" s="92"/>
      <c r="D78" s="92"/>
      <c r="E78" s="98"/>
    </row>
    <row r="79" spans="2:5" x14ac:dyDescent="0.2">
      <c r="B79" s="99"/>
      <c r="C79" s="113"/>
      <c r="D79" s="113"/>
      <c r="E79" s="113"/>
    </row>
    <row r="80" spans="2:5" ht="13.5" thickBot="1" x14ac:dyDescent="0.25">
      <c r="B80" s="101"/>
      <c r="C80" s="102"/>
      <c r="D80" s="102"/>
      <c r="E80" s="103"/>
    </row>
    <row r="81" spans="2:5" ht="13.5" thickBot="1" x14ac:dyDescent="0.25">
      <c r="B81" s="92"/>
      <c r="C81" s="92"/>
      <c r="D81" s="92"/>
      <c r="E81" s="92"/>
    </row>
    <row r="82" spans="2:5" x14ac:dyDescent="0.2">
      <c r="B82" s="94" t="s">
        <v>81</v>
      </c>
      <c r="C82" s="95"/>
      <c r="D82" s="95"/>
      <c r="E82" s="96"/>
    </row>
    <row r="83" spans="2:5" x14ac:dyDescent="0.2">
      <c r="B83" s="97"/>
      <c r="C83" s="92"/>
      <c r="D83" s="92"/>
      <c r="E83" s="98"/>
    </row>
    <row r="84" spans="2:5" x14ac:dyDescent="0.2">
      <c r="B84" s="99" t="s">
        <v>60</v>
      </c>
      <c r="C84" s="92"/>
      <c r="D84" s="92"/>
      <c r="E84" s="98"/>
    </row>
    <row r="85" spans="2:5" x14ac:dyDescent="0.2">
      <c r="B85" s="99"/>
      <c r="C85" s="112" t="s">
        <v>82</v>
      </c>
      <c r="D85" s="112"/>
      <c r="E85" s="112"/>
    </row>
    <row r="86" spans="2:5" x14ac:dyDescent="0.2">
      <c r="B86" s="99" t="s">
        <v>56</v>
      </c>
      <c r="C86" s="93" t="s">
        <v>73</v>
      </c>
      <c r="D86" s="92"/>
      <c r="E86" s="98"/>
    </row>
    <row r="87" spans="2:5" x14ac:dyDescent="0.2">
      <c r="B87" s="100"/>
      <c r="C87" s="113" t="s">
        <v>74</v>
      </c>
      <c r="D87" s="113"/>
      <c r="E87" s="113"/>
    </row>
    <row r="88" spans="2:5" x14ac:dyDescent="0.2">
      <c r="B88" s="100"/>
      <c r="C88" s="113"/>
      <c r="D88" s="113"/>
      <c r="E88" s="113"/>
    </row>
    <row r="89" spans="2:5" x14ac:dyDescent="0.2">
      <c r="B89" s="99" t="s">
        <v>57</v>
      </c>
      <c r="C89" s="92"/>
      <c r="D89" s="92"/>
      <c r="E89" s="98"/>
    </row>
    <row r="90" spans="2:5" x14ac:dyDescent="0.2">
      <c r="B90" s="100"/>
      <c r="C90" s="112"/>
      <c r="D90" s="112"/>
      <c r="E90" s="112"/>
    </row>
    <row r="91" spans="2:5" x14ac:dyDescent="0.2">
      <c r="B91" s="99" t="s">
        <v>58</v>
      </c>
      <c r="C91" s="108"/>
      <c r="D91" s="108"/>
      <c r="E91" s="105"/>
    </row>
    <row r="92" spans="2:5" x14ac:dyDescent="0.2">
      <c r="B92" s="100"/>
      <c r="C92" s="112"/>
      <c r="D92" s="112"/>
      <c r="E92" s="112"/>
    </row>
    <row r="93" spans="2:5" x14ac:dyDescent="0.2">
      <c r="B93" s="99" t="s">
        <v>59</v>
      </c>
      <c r="C93" s="92"/>
      <c r="D93" s="92"/>
      <c r="E93" s="98"/>
    </row>
    <row r="94" spans="2:5" x14ac:dyDescent="0.2">
      <c r="B94" s="99"/>
      <c r="C94" s="113"/>
      <c r="D94" s="113"/>
      <c r="E94" s="113"/>
    </row>
    <row r="95" spans="2:5" ht="13.5" thickBot="1" x14ac:dyDescent="0.25">
      <c r="B95" s="101"/>
      <c r="C95" s="102"/>
      <c r="D95" s="102"/>
      <c r="E95" s="103"/>
    </row>
    <row r="96" spans="2:5" ht="13.5" thickBot="1" x14ac:dyDescent="0.25">
      <c r="B96" s="92"/>
      <c r="C96" s="92"/>
      <c r="D96" s="92"/>
      <c r="E96" s="92"/>
    </row>
    <row r="97" spans="2:5" x14ac:dyDescent="0.2">
      <c r="B97" s="94" t="s">
        <v>83</v>
      </c>
      <c r="C97" s="95"/>
      <c r="D97" s="95"/>
      <c r="E97" s="96"/>
    </row>
    <row r="98" spans="2:5" x14ac:dyDescent="0.2">
      <c r="B98" s="97"/>
      <c r="C98" s="92"/>
      <c r="D98" s="92"/>
      <c r="E98" s="98"/>
    </row>
    <row r="99" spans="2:5" x14ac:dyDescent="0.2">
      <c r="B99" s="99" t="s">
        <v>60</v>
      </c>
      <c r="C99" s="92"/>
      <c r="D99" s="92"/>
      <c r="E99" s="98"/>
    </row>
    <row r="100" spans="2:5" x14ac:dyDescent="0.2">
      <c r="B100" s="99"/>
      <c r="C100" s="112" t="s">
        <v>84</v>
      </c>
      <c r="D100" s="112"/>
      <c r="E100" s="112"/>
    </row>
    <row r="101" spans="2:5" x14ac:dyDescent="0.2">
      <c r="B101" s="99" t="s">
        <v>56</v>
      </c>
      <c r="C101" s="93" t="s">
        <v>73</v>
      </c>
      <c r="D101" s="92"/>
      <c r="E101" s="98"/>
    </row>
    <row r="102" spans="2:5" x14ac:dyDescent="0.2">
      <c r="B102" s="100"/>
      <c r="C102" s="113" t="s">
        <v>74</v>
      </c>
      <c r="D102" s="113"/>
      <c r="E102" s="113"/>
    </row>
    <row r="103" spans="2:5" x14ac:dyDescent="0.2">
      <c r="B103" s="100"/>
      <c r="C103" s="113"/>
      <c r="D103" s="113"/>
      <c r="E103" s="113"/>
    </row>
    <row r="104" spans="2:5" x14ac:dyDescent="0.2">
      <c r="B104" s="99" t="s">
        <v>57</v>
      </c>
      <c r="C104" s="92"/>
      <c r="D104" s="92"/>
      <c r="E104" s="98"/>
    </row>
    <row r="105" spans="2:5" x14ac:dyDescent="0.2">
      <c r="B105" s="100"/>
      <c r="C105" s="112"/>
      <c r="D105" s="112"/>
      <c r="E105" s="112"/>
    </row>
    <row r="106" spans="2:5" x14ac:dyDescent="0.2">
      <c r="B106" s="99" t="s">
        <v>58</v>
      </c>
      <c r="C106" s="108"/>
      <c r="D106" s="108"/>
      <c r="E106" s="105"/>
    </row>
    <row r="107" spans="2:5" x14ac:dyDescent="0.2">
      <c r="B107" s="100"/>
      <c r="C107" s="112"/>
      <c r="D107" s="112"/>
      <c r="E107" s="112"/>
    </row>
    <row r="108" spans="2:5" x14ac:dyDescent="0.2">
      <c r="B108" s="99" t="s">
        <v>59</v>
      </c>
      <c r="C108" s="92"/>
      <c r="D108" s="92"/>
      <c r="E108" s="98"/>
    </row>
    <row r="109" spans="2:5" x14ac:dyDescent="0.2">
      <c r="B109" s="99"/>
      <c r="C109" s="113"/>
      <c r="D109" s="113"/>
      <c r="E109" s="113"/>
    </row>
    <row r="110" spans="2:5" ht="13.5" thickBot="1" x14ac:dyDescent="0.25">
      <c r="B110" s="101"/>
      <c r="C110" s="102"/>
      <c r="D110" s="102"/>
      <c r="E110" s="103"/>
    </row>
    <row r="111" spans="2:5" x14ac:dyDescent="0.2">
      <c r="B111" s="92"/>
      <c r="C111" s="92"/>
      <c r="D111" s="92"/>
      <c r="E111" s="92"/>
    </row>
    <row r="112" spans="2:5" x14ac:dyDescent="0.2">
      <c r="B112" s="90"/>
      <c r="C112" s="90"/>
      <c r="D112" s="90"/>
      <c r="E112" s="90"/>
    </row>
    <row r="113" spans="2:5" x14ac:dyDescent="0.2">
      <c r="B113" s="92"/>
      <c r="C113" s="110"/>
      <c r="D113" s="92"/>
      <c r="E113" s="92"/>
    </row>
    <row r="114" spans="2:5" ht="13.5" thickBot="1" x14ac:dyDescent="0.25">
      <c r="B114" s="92"/>
      <c r="C114" s="92"/>
      <c r="D114" s="92"/>
      <c r="E114" s="92"/>
    </row>
    <row r="115" spans="2:5" x14ac:dyDescent="0.2">
      <c r="B115" s="94" t="s">
        <v>61</v>
      </c>
      <c r="C115" s="95"/>
      <c r="D115" s="95"/>
      <c r="E115" s="96"/>
    </row>
    <row r="116" spans="2:5" x14ac:dyDescent="0.2">
      <c r="B116" s="97"/>
      <c r="C116" s="92"/>
      <c r="D116" s="92"/>
      <c r="E116" s="98"/>
    </row>
    <row r="117" spans="2:5" x14ac:dyDescent="0.2">
      <c r="B117" s="99" t="s">
        <v>85</v>
      </c>
      <c r="C117" s="92"/>
      <c r="D117" s="92"/>
      <c r="E117" s="98"/>
    </row>
    <row r="118" spans="2:5" x14ac:dyDescent="0.2">
      <c r="B118" s="99"/>
      <c r="C118" s="108"/>
      <c r="D118" s="108"/>
      <c r="E118" s="105"/>
    </row>
    <row r="119" spans="2:5" x14ac:dyDescent="0.2">
      <c r="B119" s="99" t="s">
        <v>56</v>
      </c>
      <c r="C119" s="117" t="s">
        <v>86</v>
      </c>
      <c r="D119" s="117"/>
      <c r="E119" s="98"/>
    </row>
    <row r="120" spans="2:5" x14ac:dyDescent="0.2">
      <c r="B120" s="100"/>
      <c r="C120" s="111"/>
      <c r="D120" s="111"/>
      <c r="E120" s="106"/>
    </row>
    <row r="121" spans="2:5" x14ac:dyDescent="0.2">
      <c r="B121" s="100"/>
      <c r="C121" s="111"/>
      <c r="D121" s="111"/>
      <c r="E121" s="106"/>
    </row>
    <row r="122" spans="2:5" x14ac:dyDescent="0.2">
      <c r="B122" s="99" t="s">
        <v>57</v>
      </c>
      <c r="C122" s="92"/>
      <c r="D122" s="92"/>
      <c r="E122" s="98"/>
    </row>
    <row r="123" spans="2:5" x14ac:dyDescent="0.2">
      <c r="B123" s="100"/>
      <c r="C123" s="108"/>
      <c r="D123" s="108"/>
      <c r="E123" s="105"/>
    </row>
    <row r="124" spans="2:5" x14ac:dyDescent="0.2">
      <c r="B124" s="99" t="s">
        <v>58</v>
      </c>
      <c r="C124" s="108"/>
      <c r="D124" s="108"/>
      <c r="E124" s="105"/>
    </row>
    <row r="125" spans="2:5" x14ac:dyDescent="0.2">
      <c r="B125" s="100"/>
      <c r="C125" s="108"/>
      <c r="D125" s="108"/>
      <c r="E125" s="105"/>
    </row>
    <row r="126" spans="2:5" x14ac:dyDescent="0.2">
      <c r="B126" s="99" t="s">
        <v>59</v>
      </c>
      <c r="C126" s="92"/>
      <c r="D126" s="92"/>
      <c r="E126" s="98"/>
    </row>
    <row r="127" spans="2:5" x14ac:dyDescent="0.2">
      <c r="B127" s="99"/>
      <c r="C127" s="111"/>
      <c r="D127" s="111"/>
      <c r="E127" s="106"/>
    </row>
    <row r="128" spans="2:5" ht="13.5" thickBot="1" x14ac:dyDescent="0.25">
      <c r="B128" s="101"/>
      <c r="C128" s="102"/>
      <c r="D128" s="102"/>
      <c r="E128" s="103"/>
    </row>
  </sheetData>
  <mergeCells count="43">
    <mergeCell ref="C103:E103"/>
    <mergeCell ref="C105:E105"/>
    <mergeCell ref="C107:E107"/>
    <mergeCell ref="C109:E109"/>
    <mergeCell ref="C119:D119"/>
    <mergeCell ref="C47:E47"/>
    <mergeCell ref="C75:E75"/>
    <mergeCell ref="C77:E77"/>
    <mergeCell ref="C79:E79"/>
    <mergeCell ref="C102:E102"/>
    <mergeCell ref="C49:E49"/>
    <mergeCell ref="C55:E55"/>
    <mergeCell ref="C57:E57"/>
    <mergeCell ref="C58:E58"/>
    <mergeCell ref="C60:E60"/>
    <mergeCell ref="C40:E40"/>
    <mergeCell ref="C42:E42"/>
    <mergeCell ref="C43:E43"/>
    <mergeCell ref="C45:E45"/>
    <mergeCell ref="C27:E27"/>
    <mergeCell ref="C28:E28"/>
    <mergeCell ref="C30:E30"/>
    <mergeCell ref="C32:E32"/>
    <mergeCell ref="C34:E34"/>
    <mergeCell ref="A6:B6"/>
    <mergeCell ref="A7:B7"/>
    <mergeCell ref="B2:H2"/>
    <mergeCell ref="A4:B4"/>
    <mergeCell ref="C4:E4"/>
    <mergeCell ref="A5:B5"/>
    <mergeCell ref="C5:E5"/>
    <mergeCell ref="C88:E88"/>
    <mergeCell ref="C90:E90"/>
    <mergeCell ref="C92:E92"/>
    <mergeCell ref="C94:E94"/>
    <mergeCell ref="C100:E100"/>
    <mergeCell ref="C85:E85"/>
    <mergeCell ref="C87:E87"/>
    <mergeCell ref="C62:E62"/>
    <mergeCell ref="C64:E64"/>
    <mergeCell ref="C70:E70"/>
    <mergeCell ref="C72:E72"/>
    <mergeCell ref="C73:E73"/>
  </mergeCells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21"/>
  <sheetViews>
    <sheetView zoomScale="90" zoomScaleNormal="90" workbookViewId="0">
      <selection activeCell="A21" sqref="A21:I21"/>
    </sheetView>
  </sheetViews>
  <sheetFormatPr baseColWidth="10" defaultColWidth="9.140625" defaultRowHeight="12.75" x14ac:dyDescent="0.2"/>
  <cols>
    <col min="1" max="1" width="5.5703125" style="2" customWidth="1"/>
    <col min="2" max="2" width="15.140625" style="2" customWidth="1"/>
    <col min="3" max="3" width="14.140625" style="2" customWidth="1"/>
    <col min="4" max="4" width="26" style="2" customWidth="1"/>
    <col min="5" max="5" width="8" style="2" customWidth="1"/>
    <col min="6" max="6" width="7.85546875" style="2" customWidth="1"/>
    <col min="7" max="7" width="42" style="2" customWidth="1"/>
    <col min="8" max="8" width="9.28515625" style="2" customWidth="1"/>
    <col min="9" max="9" width="15.5703125" style="2" customWidth="1"/>
    <col min="10" max="10" width="14.7109375" style="2" customWidth="1"/>
    <col min="11" max="11" width="15.5703125" style="2" customWidth="1"/>
    <col min="12" max="14" width="5.85546875" style="2" customWidth="1"/>
    <col min="15" max="15" width="12.5703125" style="2" customWidth="1"/>
    <col min="16" max="1024" width="9.140625" style="2"/>
  </cols>
  <sheetData>
    <row r="1" spans="1:11" ht="18" customHeight="1" x14ac:dyDescent="0.2">
      <c r="A1" s="120" t="s">
        <v>14</v>
      </c>
      <c r="B1" s="120"/>
      <c r="C1" s="120"/>
      <c r="D1" s="120"/>
      <c r="E1" s="120"/>
      <c r="F1" s="120"/>
      <c r="G1" s="120"/>
      <c r="H1" s="120"/>
      <c r="I1" s="120"/>
      <c r="J1" s="3" t="s">
        <v>15</v>
      </c>
      <c r="K1" s="74" t="s">
        <v>87</v>
      </c>
    </row>
    <row r="2" spans="1:11" ht="18.75" customHeight="1" thickBot="1" x14ac:dyDescent="0.25">
      <c r="A2" s="4"/>
      <c r="B2" s="4"/>
      <c r="C2" s="4"/>
      <c r="D2" s="5"/>
      <c r="E2" s="5"/>
      <c r="F2" s="5"/>
      <c r="G2" s="5"/>
      <c r="H2" s="5"/>
      <c r="I2" s="5"/>
      <c r="J2" s="5"/>
      <c r="K2" s="5"/>
    </row>
    <row r="3" spans="1:11" ht="18.75" customHeight="1" thickBot="1" x14ac:dyDescent="0.25">
      <c r="A3" s="121" t="s">
        <v>48</v>
      </c>
      <c r="B3" s="121"/>
      <c r="C3" s="121"/>
      <c r="D3" s="122" t="str">
        <f>'Necesidades Trimestrales'!C4</f>
        <v>40 - Ministerio de Salud</v>
      </c>
      <c r="E3" s="122"/>
      <c r="F3" s="122"/>
      <c r="G3" s="122"/>
      <c r="H3" s="122"/>
      <c r="I3" s="122"/>
      <c r="J3" s="122"/>
      <c r="K3" s="122"/>
    </row>
    <row r="4" spans="1:11" ht="18.75" customHeight="1" thickBot="1" x14ac:dyDescent="0.25">
      <c r="A4" s="123" t="s">
        <v>49</v>
      </c>
      <c r="B4" s="123"/>
      <c r="C4" s="123"/>
      <c r="D4" s="122" t="str">
        <f>'Necesidades Trimestrales'!C5</f>
        <v>28 - MATERNIDAD PROVINCIAL 25 DE MAYO</v>
      </c>
      <c r="E4" s="122"/>
      <c r="F4" s="122"/>
      <c r="G4" s="122"/>
      <c r="H4" s="122"/>
      <c r="I4" s="122"/>
      <c r="J4" s="122"/>
      <c r="K4" s="122"/>
    </row>
    <row r="5" spans="1:11" ht="18.75" customHeight="1" thickBot="1" x14ac:dyDescent="0.25">
      <c r="A5" s="123" t="s">
        <v>27</v>
      </c>
      <c r="B5" s="123"/>
      <c r="C5" s="123"/>
      <c r="D5" s="122" t="s">
        <v>88</v>
      </c>
      <c r="E5" s="122"/>
      <c r="F5" s="122"/>
      <c r="G5" s="122"/>
      <c r="H5" s="122"/>
      <c r="I5" s="122"/>
      <c r="J5" s="122"/>
      <c r="K5" s="122"/>
    </row>
    <row r="6" spans="1:11" ht="16.5" customHeight="1" thickBot="1" x14ac:dyDescent="0.25">
      <c r="A6" s="121" t="s">
        <v>50</v>
      </c>
      <c r="B6" s="121"/>
      <c r="C6" s="121"/>
      <c r="D6" s="122" t="s">
        <v>89</v>
      </c>
      <c r="E6" s="122"/>
      <c r="F6" s="122"/>
      <c r="G6" s="122"/>
      <c r="H6" s="122"/>
      <c r="I6" s="122"/>
      <c r="J6" s="122"/>
      <c r="K6" s="122"/>
    </row>
    <row r="7" spans="1:11" ht="16.5" customHeight="1" x14ac:dyDescent="0.2">
      <c r="A7" s="123" t="s">
        <v>16</v>
      </c>
      <c r="B7" s="123"/>
      <c r="C7" s="123"/>
      <c r="D7" s="122" t="str">
        <f>'Necesidades Trimestrales'!C7 &amp; "° Trimestre - Año " &amp; 'Necesidades Trimestrales'!C6</f>
        <v>1er.  ° Trimestre - Año 2021</v>
      </c>
      <c r="E7" s="122"/>
      <c r="F7" s="122"/>
      <c r="G7" s="122"/>
      <c r="H7" s="122"/>
      <c r="I7" s="122"/>
      <c r="J7" s="122"/>
      <c r="K7" s="122"/>
    </row>
    <row r="8" spans="1:11" ht="16.5" customHeight="1" x14ac:dyDescent="0.2">
      <c r="A8" s="126" t="s">
        <v>17</v>
      </c>
      <c r="B8" s="126"/>
      <c r="C8" s="126"/>
      <c r="D8" s="127" t="s">
        <v>90</v>
      </c>
      <c r="E8" s="127"/>
      <c r="F8" s="127"/>
      <c r="G8" s="127"/>
      <c r="H8" s="127"/>
      <c r="I8" s="127"/>
      <c r="J8" s="127"/>
      <c r="K8" s="127"/>
    </row>
    <row r="9" spans="1:11" ht="15.75" x14ac:dyDescent="0.2">
      <c r="A9" s="6"/>
      <c r="B9" s="6"/>
      <c r="C9" s="6"/>
      <c r="D9" s="7"/>
      <c r="E9" s="7"/>
      <c r="F9" s="7"/>
      <c r="G9" s="7"/>
      <c r="H9" s="7"/>
      <c r="I9" s="7"/>
      <c r="J9" s="7"/>
      <c r="K9" s="7"/>
    </row>
    <row r="10" spans="1:11" ht="18.75" customHeight="1" x14ac:dyDescent="0.2">
      <c r="A10" s="128" t="s">
        <v>18</v>
      </c>
      <c r="B10" s="129" t="s">
        <v>19</v>
      </c>
      <c r="C10" s="129" t="s">
        <v>20</v>
      </c>
      <c r="D10" s="129"/>
      <c r="E10" s="129"/>
      <c r="F10" s="129"/>
      <c r="G10" s="129"/>
      <c r="H10" s="129" t="s">
        <v>21</v>
      </c>
      <c r="I10" s="129" t="s">
        <v>22</v>
      </c>
      <c r="J10" s="129" t="s">
        <v>23</v>
      </c>
      <c r="K10" s="130" t="s">
        <v>24</v>
      </c>
    </row>
    <row r="11" spans="1:11" ht="24" customHeight="1" thickBot="1" x14ac:dyDescent="0.25">
      <c r="A11" s="128"/>
      <c r="B11" s="129"/>
      <c r="C11" s="129"/>
      <c r="D11" s="129"/>
      <c r="E11" s="129"/>
      <c r="F11" s="129"/>
      <c r="G11" s="129"/>
      <c r="H11" s="129"/>
      <c r="I11" s="129"/>
      <c r="J11" s="129"/>
      <c r="K11" s="130"/>
    </row>
    <row r="12" spans="1:11" ht="30" customHeight="1" thickBot="1" x14ac:dyDescent="0.25">
      <c r="A12" s="8"/>
      <c r="B12" s="58" t="str">
        <f>'Necesidades Trimestrales'!B9</f>
        <v>CODIGO ITEM</v>
      </c>
      <c r="C12" s="131" t="str">
        <f>'Necesidades Trimestrales'!E9</f>
        <v>DESCRIPCION</v>
      </c>
      <c r="D12" s="132"/>
      <c r="E12" s="132"/>
      <c r="F12" s="132"/>
      <c r="G12" s="133"/>
      <c r="H12" s="42" t="s">
        <v>51</v>
      </c>
      <c r="I12" s="43" t="str">
        <f>'Necesidades Trimestrales'!F9</f>
        <v>UNIDAD DE MEDIDA</v>
      </c>
      <c r="J12" s="59" t="str">
        <f>'Necesidades Trimestrales'!H9</f>
        <v>PRECIO UNITARIO ESTIMADO</v>
      </c>
      <c r="K12" s="44" t="str">
        <f>'Necesidades Trimestrales'!G9</f>
        <v>CANTIDAD</v>
      </c>
    </row>
    <row r="13" spans="1:11" ht="30" customHeight="1" thickBot="1" x14ac:dyDescent="0.25">
      <c r="A13" s="8">
        <v>1</v>
      </c>
      <c r="B13" s="58" t="str">
        <f>'Necesidades Trimestrales'!B10</f>
        <v>2.2.2-6731.176</v>
      </c>
      <c r="C13" s="125" t="str">
        <f>'Necesidades Trimestrales'!E10</f>
        <v>CAMISAS; TIPO: AMBO, TELA: MICROFIBRA, MANGA: CORTA, COSTURA: DOBLE Y REFORZADA, BOLSILLO: 3, CRITERIO SOCIAL: SIN</v>
      </c>
      <c r="D13" s="125"/>
      <c r="E13" s="125"/>
      <c r="F13" s="125"/>
      <c r="G13" s="125"/>
      <c r="H13" s="42" t="s">
        <v>51</v>
      </c>
      <c r="I13" s="43" t="str">
        <f>'Necesidades Trimestrales'!F10</f>
        <v>unidad</v>
      </c>
      <c r="J13" s="59">
        <f>'Necesidades Trimestrales'!H10</f>
        <v>1470</v>
      </c>
      <c r="K13" s="44">
        <f>'Necesidades Trimestrales'!G10</f>
        <v>30</v>
      </c>
    </row>
    <row r="14" spans="1:11" ht="30" customHeight="1" thickBot="1" x14ac:dyDescent="0.25">
      <c r="A14" s="8">
        <v>2</v>
      </c>
      <c r="B14" s="58" t="str">
        <f>'Necesidades Trimestrales'!B11</f>
        <v>2.2.2-6738.120</v>
      </c>
      <c r="C14" s="125" t="str">
        <f>'Necesidades Trimestrales'!E11</f>
        <v>PANTALONES; TIPO: LABORATORIO, TELA: ALGODON Y POLIESTER, SEXO: MASCULINO</v>
      </c>
      <c r="D14" s="125"/>
      <c r="E14" s="125"/>
      <c r="F14" s="125"/>
      <c r="G14" s="125"/>
      <c r="H14" s="42" t="s">
        <v>51</v>
      </c>
      <c r="I14" s="43" t="str">
        <f>'Necesidades Trimestrales'!F11</f>
        <v>unidad</v>
      </c>
      <c r="J14" s="59">
        <f>'Necesidades Trimestrales'!H11</f>
        <v>1365</v>
      </c>
      <c r="K14" s="44">
        <f>'Necesidades Trimestrales'!G11</f>
        <v>30</v>
      </c>
    </row>
    <row r="15" spans="1:11" ht="30" customHeight="1" thickBot="1" x14ac:dyDescent="0.25">
      <c r="A15" s="8">
        <v>3</v>
      </c>
      <c r="B15" s="58" t="str">
        <f>'Necesidades Trimestrales'!B12</f>
        <v>2.2.2-6731.176</v>
      </c>
      <c r="C15" s="125" t="str">
        <f>'Necesidades Trimestrales'!E12</f>
        <v>CAMISAS; TIPO: AMBO, TELA: MICROFIBRA, MANGA: CORTA, COSTURA: DOBLE Y REFORZADA, BOLSILLO: 3, CRITERIO SOCIAL: SIN</v>
      </c>
      <c r="D15" s="125"/>
      <c r="E15" s="125"/>
      <c r="F15" s="125"/>
      <c r="G15" s="125"/>
      <c r="H15" s="42" t="s">
        <v>51</v>
      </c>
      <c r="I15" s="43" t="str">
        <f>'Necesidades Trimestrales'!F12</f>
        <v>unidad</v>
      </c>
      <c r="J15" s="59">
        <f>'Necesidades Trimestrales'!H12</f>
        <v>1470</v>
      </c>
      <c r="K15" s="44">
        <f>'Necesidades Trimestrales'!G12</f>
        <v>30</v>
      </c>
    </row>
    <row r="16" spans="1:11" ht="30" customHeight="1" thickBot="1" x14ac:dyDescent="0.25">
      <c r="A16" s="8">
        <v>4</v>
      </c>
      <c r="B16" s="58" t="str">
        <f>'Necesidades Trimestrales'!B13</f>
        <v>2.2.2-6738.120</v>
      </c>
      <c r="C16" s="125" t="str">
        <f>'Necesidades Trimestrales'!E13</f>
        <v>PANTALONES; TIPO: LABORATORIO, TELA: ALGODON Y POLIESTER, SEXO: MASCULINO</v>
      </c>
      <c r="D16" s="125"/>
      <c r="E16" s="125"/>
      <c r="F16" s="125"/>
      <c r="G16" s="125"/>
      <c r="H16" s="42" t="s">
        <v>51</v>
      </c>
      <c r="I16" s="43" t="str">
        <f>'Necesidades Trimestrales'!F13</f>
        <v>unidad</v>
      </c>
      <c r="J16" s="59">
        <f>'Necesidades Trimestrales'!H13</f>
        <v>1365</v>
      </c>
      <c r="K16" s="44">
        <f>'Necesidades Trimestrales'!G13</f>
        <v>30</v>
      </c>
    </row>
    <row r="17" spans="1:11" ht="30" customHeight="1" thickBot="1" x14ac:dyDescent="0.25">
      <c r="A17" s="8">
        <v>5</v>
      </c>
      <c r="B17" s="58" t="str">
        <f>'Necesidades Trimestrales'!B14</f>
        <v>2.2.2-6731.176</v>
      </c>
      <c r="C17" s="125" t="str">
        <f>'Necesidades Trimestrales'!E14</f>
        <v>CAMISAS; TIPO: AMBO, TELA: MICROFIBRA, MANGA: CORTA, COSTURA: DOBLE Y REFORZADA, BOLSILLO: 3, CRITERIO SOCIAL: SIN</v>
      </c>
      <c r="D17" s="125"/>
      <c r="E17" s="125"/>
      <c r="F17" s="125"/>
      <c r="G17" s="125"/>
      <c r="H17" s="42" t="s">
        <v>51</v>
      </c>
      <c r="I17" s="43" t="str">
        <f>'Necesidades Trimestrales'!F14</f>
        <v>unidad</v>
      </c>
      <c r="J17" s="59">
        <f>'Necesidades Trimestrales'!H14</f>
        <v>1470</v>
      </c>
      <c r="K17" s="44">
        <f>'Necesidades Trimestrales'!G14</f>
        <v>20</v>
      </c>
    </row>
    <row r="18" spans="1:11" ht="30" customHeight="1" thickBot="1" x14ac:dyDescent="0.25">
      <c r="A18" s="8">
        <v>6</v>
      </c>
      <c r="B18" s="58" t="str">
        <f>'Necesidades Trimestrales'!B15</f>
        <v>2.2.2-6738.120</v>
      </c>
      <c r="C18" s="125" t="str">
        <f>'Necesidades Trimestrales'!E15</f>
        <v>PANTALONES; TIPO: LABORATORIO, TELA: ALGODON Y POLIESTER, SEXO: MASCULINO</v>
      </c>
      <c r="D18" s="125"/>
      <c r="E18" s="125"/>
      <c r="F18" s="125"/>
      <c r="G18" s="125"/>
      <c r="H18" s="42" t="s">
        <v>51</v>
      </c>
      <c r="I18" s="43" t="str">
        <f>'Necesidades Trimestrales'!F15</f>
        <v>unidad</v>
      </c>
      <c r="J18" s="59">
        <f>'Necesidades Trimestrales'!H15</f>
        <v>1365</v>
      </c>
      <c r="K18" s="44">
        <f>'Necesidades Trimestrales'!G15</f>
        <v>20</v>
      </c>
    </row>
    <row r="19" spans="1:11" ht="30" customHeight="1" thickBot="1" x14ac:dyDescent="0.25">
      <c r="A19" s="8">
        <v>7</v>
      </c>
      <c r="B19" s="58" t="str">
        <f>'Necesidades Trimestrales'!B16</f>
        <v>2.2.1-5016.13</v>
      </c>
      <c r="C19" s="125" t="str">
        <f>'Necesidades Trimestrales'!E16</f>
        <v>LIENZOS; TIPO: LIENZO IMPRIMADO, MATERIA PRIMA: SIN VALOR, ANCHO: 1,50 M, PRESENTACION: ROLLO X 50 M</v>
      </c>
      <c r="D19" s="125"/>
      <c r="E19" s="125"/>
      <c r="F19" s="125"/>
      <c r="G19" s="125"/>
      <c r="H19" s="42" t="s">
        <v>51</v>
      </c>
      <c r="I19" s="43" t="str">
        <f>'Necesidades Trimestrales'!F16</f>
        <v>UNIDAD</v>
      </c>
      <c r="J19" s="59">
        <f>'Necesidades Trimestrales'!H16</f>
        <v>3150</v>
      </c>
      <c r="K19" s="44">
        <f>'Necesidades Trimestrales'!G16</f>
        <v>40</v>
      </c>
    </row>
    <row r="20" spans="1:11" ht="13.5" thickBot="1" x14ac:dyDescent="0.25">
      <c r="A20" s="8"/>
      <c r="B20" s="58"/>
      <c r="C20" s="125"/>
      <c r="D20" s="125"/>
      <c r="E20" s="125"/>
      <c r="F20" s="125"/>
      <c r="G20" s="125"/>
      <c r="H20" s="42"/>
      <c r="I20" s="43"/>
      <c r="J20" s="59"/>
      <c r="K20" s="44"/>
    </row>
    <row r="21" spans="1:11" ht="16.5" thickBot="1" x14ac:dyDescent="0.25">
      <c r="A21" s="122" t="s">
        <v>91</v>
      </c>
      <c r="B21" s="122"/>
      <c r="C21" s="122"/>
      <c r="D21" s="122"/>
      <c r="E21" s="122"/>
      <c r="F21" s="122"/>
      <c r="G21" s="122"/>
      <c r="H21" s="122"/>
      <c r="I21" s="122"/>
      <c r="J21" s="124">
        <f>SUMPRODUCT(J13:J20,K13:K20)</f>
        <v>352800</v>
      </c>
      <c r="K21" s="124"/>
    </row>
  </sheetData>
  <mergeCells count="31">
    <mergeCell ref="C13:G13"/>
    <mergeCell ref="C14:G14"/>
    <mergeCell ref="C15:G15"/>
    <mergeCell ref="C16:G16"/>
    <mergeCell ref="J21:K21"/>
    <mergeCell ref="C20:G20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  <mergeCell ref="C17:G17"/>
    <mergeCell ref="C18:G18"/>
    <mergeCell ref="C19:G19"/>
    <mergeCell ref="A21:I21"/>
    <mergeCell ref="C12:G12"/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27"/>
  <sheetViews>
    <sheetView zoomScale="120" zoomScaleNormal="120" workbookViewId="0">
      <selection activeCell="O16" sqref="O16:P16"/>
    </sheetView>
  </sheetViews>
  <sheetFormatPr baseColWidth="10" defaultColWidth="11" defaultRowHeight="12.75" x14ac:dyDescent="0.2"/>
  <cols>
    <col min="1" max="4" width="4.42578125" customWidth="1"/>
    <col min="5" max="5" width="4.140625" customWidth="1"/>
    <col min="6" max="6" width="5.140625" customWidth="1"/>
    <col min="7" max="7" width="4.42578125" style="9" customWidth="1"/>
    <col min="8" max="14" width="4.42578125" customWidth="1"/>
    <col min="15" max="16" width="14.85546875" customWidth="1"/>
    <col min="17" max="17" width="14.7109375" customWidth="1"/>
    <col min="19" max="19" width="13.28515625" bestFit="1" customWidth="1"/>
  </cols>
  <sheetData>
    <row r="1" spans="1:17" ht="15.75" customHeight="1" x14ac:dyDescent="0.25">
      <c r="A1" s="134" t="s">
        <v>3</v>
      </c>
      <c r="B1" s="134"/>
      <c r="C1" s="134"/>
      <c r="D1" s="135">
        <f>'Necesidades Trimestrales'!C6</f>
        <v>2021</v>
      </c>
      <c r="E1" s="135"/>
      <c r="F1" s="10"/>
      <c r="G1" s="10"/>
      <c r="H1" s="11"/>
      <c r="I1" s="11"/>
      <c r="J1" s="11"/>
      <c r="K1" s="11"/>
      <c r="L1" s="11"/>
      <c r="M1" s="11"/>
      <c r="N1" s="11"/>
      <c r="P1" s="136" t="s">
        <v>25</v>
      </c>
      <c r="Q1" s="136"/>
    </row>
    <row r="2" spans="1:17" ht="15.75" customHeight="1" x14ac:dyDescent="0.2">
      <c r="H2" s="11"/>
      <c r="I2" s="11"/>
      <c r="J2" s="11"/>
      <c r="K2" s="11"/>
      <c r="L2" s="11"/>
      <c r="M2" s="11"/>
      <c r="N2" s="11"/>
      <c r="P2" s="136"/>
      <c r="Q2" s="136"/>
    </row>
    <row r="4" spans="1:17" s="12" customFormat="1" ht="18" customHeight="1" thickBot="1" x14ac:dyDescent="0.25">
      <c r="A4" s="137" t="s">
        <v>26</v>
      </c>
      <c r="B4" s="137"/>
      <c r="C4" s="137"/>
      <c r="D4" s="137"/>
      <c r="E4" s="137"/>
      <c r="F4" s="137"/>
      <c r="G4" s="138" t="str">
        <f>NotaPedido!D3</f>
        <v>40 - Ministerio de Salud</v>
      </c>
      <c r="H4" s="138"/>
      <c r="I4" s="138"/>
      <c r="J4" s="138"/>
      <c r="K4" s="138"/>
      <c r="L4" s="138"/>
      <c r="M4" s="138"/>
      <c r="N4" s="138"/>
      <c r="O4" s="138"/>
      <c r="P4" s="138"/>
      <c r="Q4" s="138"/>
    </row>
    <row r="5" spans="1:17" s="12" customFormat="1" ht="18" customHeight="1" thickBot="1" x14ac:dyDescent="0.25">
      <c r="A5" s="139" t="s">
        <v>49</v>
      </c>
      <c r="B5" s="140"/>
      <c r="C5" s="140"/>
      <c r="D5" s="140"/>
      <c r="E5" s="140"/>
      <c r="F5" s="141"/>
      <c r="G5" s="138" t="str">
        <f>NotaPedido!D4</f>
        <v>28 - MATERNIDAD PROVINCIAL 25 DE MAYO</v>
      </c>
      <c r="H5" s="138"/>
      <c r="I5" s="138"/>
      <c r="J5" s="138"/>
      <c r="K5" s="138"/>
      <c r="L5" s="138"/>
      <c r="M5" s="138"/>
      <c r="N5" s="138"/>
      <c r="O5" s="138"/>
      <c r="P5" s="138"/>
      <c r="Q5" s="138"/>
    </row>
    <row r="6" spans="1:17" s="12" customFormat="1" ht="18" customHeight="1" thickBot="1" x14ac:dyDescent="0.25">
      <c r="A6" s="139" t="s">
        <v>27</v>
      </c>
      <c r="B6" s="140"/>
      <c r="C6" s="140"/>
      <c r="D6" s="140"/>
      <c r="E6" s="140"/>
      <c r="F6" s="141"/>
      <c r="G6" s="138" t="str">
        <f>NotaPedido!D5</f>
        <v>169-Direccion de Asistencial</v>
      </c>
      <c r="H6" s="138"/>
      <c r="I6" s="138"/>
      <c r="J6" s="138"/>
      <c r="K6" s="138"/>
      <c r="L6" s="138"/>
      <c r="M6" s="138"/>
      <c r="N6" s="138"/>
      <c r="O6" s="138"/>
      <c r="P6" s="138"/>
      <c r="Q6" s="138"/>
    </row>
    <row r="7" spans="1:17" s="12" customFormat="1" ht="18" customHeight="1" thickBot="1" x14ac:dyDescent="0.25">
      <c r="A7" s="139" t="s">
        <v>50</v>
      </c>
      <c r="B7" s="140"/>
      <c r="C7" s="140"/>
      <c r="D7" s="140"/>
      <c r="E7" s="140"/>
      <c r="F7" s="141"/>
      <c r="G7" s="138" t="str">
        <f>NotaPedido!D6</f>
        <v xml:space="preserve">Servicio de Quirofano y esterilizacion </v>
      </c>
      <c r="H7" s="138"/>
      <c r="I7" s="138"/>
      <c r="J7" s="138"/>
      <c r="K7" s="138"/>
      <c r="L7" s="138"/>
      <c r="M7" s="138"/>
      <c r="N7" s="138"/>
      <c r="O7" s="138"/>
      <c r="P7" s="138"/>
      <c r="Q7" s="138"/>
    </row>
    <row r="8" spans="1:17" ht="18" customHeight="1" thickBot="1" x14ac:dyDescent="0.25">
      <c r="A8" s="142" t="s">
        <v>28</v>
      </c>
      <c r="B8" s="142"/>
      <c r="C8" s="142"/>
      <c r="D8" s="142"/>
      <c r="E8" s="142"/>
      <c r="F8" s="142"/>
      <c r="G8" s="142"/>
      <c r="H8" s="142"/>
      <c r="I8" s="142"/>
      <c r="J8" s="142"/>
      <c r="K8" s="142"/>
      <c r="L8" s="142"/>
      <c r="M8" s="142"/>
      <c r="N8" s="142"/>
      <c r="O8" s="142"/>
      <c r="P8" s="142"/>
      <c r="Q8" s="142"/>
    </row>
    <row r="9" spans="1:17" ht="18" customHeight="1" x14ac:dyDescent="0.2">
      <c r="A9" s="143" t="s">
        <v>29</v>
      </c>
      <c r="B9" s="143"/>
      <c r="C9" s="143"/>
      <c r="D9" s="143"/>
      <c r="E9" s="143"/>
      <c r="F9" s="143"/>
      <c r="G9" s="143"/>
      <c r="H9" s="143"/>
      <c r="I9" s="143"/>
      <c r="J9" s="143"/>
      <c r="K9" s="143"/>
      <c r="L9" s="143"/>
      <c r="M9" s="143"/>
      <c r="N9" s="143"/>
      <c r="O9" s="1"/>
      <c r="P9" s="1"/>
      <c r="Q9" s="13"/>
    </row>
    <row r="10" spans="1:17" ht="54.75" customHeight="1" x14ac:dyDescent="0.2">
      <c r="A10" s="144" t="str">
        <f>"Autorizo la realización de los  trámites correspondientes, a fin de proveer a  este Organismo los bienes y/o servicios que se detallan en Nota de Pedido N° " &amp; NotaPedido!K1&amp;",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de Pedido N° 07/21,  afectando la erogación resultante a los créditos presupuestarios aprobados a favor de esta Unidad Ejecutora, conforme al siguiente detalle:</v>
      </c>
      <c r="B10" s="144"/>
      <c r="C10" s="144"/>
      <c r="D10" s="144"/>
      <c r="E10" s="144"/>
      <c r="F10" s="144"/>
      <c r="G10" s="144"/>
      <c r="H10" s="144"/>
      <c r="I10" s="144"/>
      <c r="J10" s="144"/>
      <c r="K10" s="144"/>
      <c r="L10" s="144"/>
      <c r="M10" s="144"/>
      <c r="N10" s="144"/>
      <c r="O10" s="144"/>
      <c r="P10" s="144"/>
      <c r="Q10" s="144"/>
    </row>
    <row r="11" spans="1:17" ht="9" customHeight="1" x14ac:dyDescent="0.2">
      <c r="A11" s="14"/>
      <c r="B11" s="15"/>
      <c r="C11" s="15"/>
      <c r="D11" s="15"/>
      <c r="E11" s="15"/>
      <c r="F11" s="15"/>
      <c r="G11" s="16"/>
      <c r="H11" s="15"/>
      <c r="I11" s="15"/>
      <c r="J11" s="15"/>
      <c r="K11" s="15"/>
      <c r="L11" s="15"/>
      <c r="M11" s="15"/>
      <c r="N11" s="15"/>
      <c r="O11" s="15"/>
      <c r="P11" s="15"/>
      <c r="Q11" s="17"/>
    </row>
    <row r="12" spans="1:17" ht="15.75" customHeight="1" x14ac:dyDescent="0.2">
      <c r="A12" s="145" t="s">
        <v>30</v>
      </c>
      <c r="B12" s="145"/>
      <c r="C12" s="145"/>
      <c r="D12" s="145"/>
      <c r="E12" s="145"/>
      <c r="F12" s="145"/>
      <c r="G12" s="145"/>
      <c r="H12" s="145"/>
      <c r="I12" s="145"/>
      <c r="J12" s="145"/>
      <c r="K12" s="145"/>
      <c r="L12" s="145"/>
      <c r="M12" s="145"/>
      <c r="N12" s="145"/>
      <c r="O12" s="145"/>
      <c r="P12" s="145"/>
      <c r="Q12" s="145"/>
    </row>
    <row r="13" spans="1:17" ht="15.75" customHeight="1" x14ac:dyDescent="0.2">
      <c r="A13" s="146" t="s">
        <v>31</v>
      </c>
      <c r="B13" s="146"/>
      <c r="C13" s="146"/>
      <c r="D13" s="146"/>
      <c r="E13" s="146"/>
      <c r="F13" s="146"/>
      <c r="G13" s="146"/>
      <c r="H13" s="146"/>
      <c r="I13" s="146"/>
      <c r="J13" s="146"/>
      <c r="K13" s="146"/>
      <c r="L13" s="146"/>
      <c r="M13" s="146"/>
      <c r="N13" s="146"/>
      <c r="O13" s="147" t="s">
        <v>32</v>
      </c>
      <c r="P13" s="147"/>
      <c r="Q13" s="148" t="s">
        <v>33</v>
      </c>
    </row>
    <row r="14" spans="1:17" ht="15.75" customHeight="1" thickBot="1" x14ac:dyDescent="0.25">
      <c r="A14" s="18" t="s">
        <v>34</v>
      </c>
      <c r="B14" s="19" t="s">
        <v>35</v>
      </c>
      <c r="C14" s="19" t="s">
        <v>36</v>
      </c>
      <c r="D14" s="19" t="s">
        <v>37</v>
      </c>
      <c r="E14" s="19" t="s">
        <v>38</v>
      </c>
      <c r="F14" s="19" t="s">
        <v>39</v>
      </c>
      <c r="G14" s="20" t="s">
        <v>40</v>
      </c>
      <c r="H14" s="19" t="s">
        <v>41</v>
      </c>
      <c r="I14" s="19" t="s">
        <v>42</v>
      </c>
      <c r="J14" s="19" t="s">
        <v>43</v>
      </c>
      <c r="K14" s="19" t="s">
        <v>43</v>
      </c>
      <c r="L14" s="19" t="s">
        <v>44</v>
      </c>
      <c r="M14" s="21" t="s">
        <v>45</v>
      </c>
      <c r="N14" s="22" t="s">
        <v>46</v>
      </c>
      <c r="O14" s="147"/>
      <c r="P14" s="147"/>
      <c r="Q14" s="148"/>
    </row>
    <row r="15" spans="1:17" ht="17.25" customHeight="1" thickBot="1" x14ac:dyDescent="0.25">
      <c r="A15" s="60">
        <v>42</v>
      </c>
      <c r="B15" s="61"/>
      <c r="C15" s="61"/>
      <c r="D15" s="61">
        <v>2</v>
      </c>
      <c r="E15" s="61"/>
      <c r="F15" s="61">
        <v>4901</v>
      </c>
      <c r="G15" s="61">
        <v>3</v>
      </c>
      <c r="H15" s="61">
        <v>1</v>
      </c>
      <c r="I15" s="75">
        <v>2</v>
      </c>
      <c r="J15" s="75">
        <v>2</v>
      </c>
      <c r="K15" s="75">
        <v>2</v>
      </c>
      <c r="L15" s="75"/>
      <c r="M15" s="76">
        <v>1</v>
      </c>
      <c r="N15" s="77" t="s">
        <v>53</v>
      </c>
      <c r="O15" s="149" t="s">
        <v>92</v>
      </c>
      <c r="P15" s="149"/>
      <c r="Q15" s="78">
        <v>226800</v>
      </c>
    </row>
    <row r="16" spans="1:17" ht="17.25" customHeight="1" thickBot="1" x14ac:dyDescent="0.25">
      <c r="A16" s="60">
        <v>42</v>
      </c>
      <c r="B16" s="61"/>
      <c r="C16" s="61"/>
      <c r="D16" s="61">
        <v>2</v>
      </c>
      <c r="E16" s="61"/>
      <c r="F16" s="61">
        <v>4901</v>
      </c>
      <c r="G16" s="61">
        <v>3</v>
      </c>
      <c r="H16" s="61">
        <v>1</v>
      </c>
      <c r="I16" s="24">
        <v>2</v>
      </c>
      <c r="J16" s="24">
        <v>2</v>
      </c>
      <c r="K16" s="24">
        <v>1</v>
      </c>
      <c r="L16" s="24"/>
      <c r="M16" s="25">
        <v>1</v>
      </c>
      <c r="N16" s="26" t="s">
        <v>53</v>
      </c>
      <c r="O16" s="149" t="s">
        <v>93</v>
      </c>
      <c r="P16" s="149"/>
      <c r="Q16" s="27">
        <v>126000</v>
      </c>
    </row>
    <row r="17" spans="1:19" ht="17.25" customHeight="1" thickBot="1" x14ac:dyDescent="0.25">
      <c r="A17" s="60"/>
      <c r="B17" s="61"/>
      <c r="C17" s="61"/>
      <c r="D17" s="61"/>
      <c r="E17" s="61"/>
      <c r="F17" s="61"/>
      <c r="G17" s="61"/>
      <c r="H17" s="61"/>
      <c r="I17" s="24"/>
      <c r="J17" s="24"/>
      <c r="K17" s="24"/>
      <c r="L17" s="24"/>
      <c r="M17" s="25"/>
      <c r="N17" s="77"/>
      <c r="O17" s="150"/>
      <c r="P17" s="151"/>
      <c r="Q17" s="27"/>
      <c r="S17" s="45"/>
    </row>
    <row r="18" spans="1:19" ht="17.25" customHeight="1" x14ac:dyDescent="0.2">
      <c r="A18" s="60"/>
      <c r="B18" s="61"/>
      <c r="C18" s="61"/>
      <c r="D18" s="61"/>
      <c r="E18" s="61"/>
      <c r="F18" s="61"/>
      <c r="G18" s="61"/>
      <c r="H18" s="61"/>
      <c r="I18" s="24"/>
      <c r="J18" s="24"/>
      <c r="K18" s="24"/>
      <c r="L18" s="24"/>
      <c r="M18" s="25"/>
      <c r="N18" s="77"/>
      <c r="O18" s="150"/>
      <c r="P18" s="151"/>
      <c r="Q18" s="27"/>
    </row>
    <row r="19" spans="1:19" ht="17.25" customHeight="1" x14ac:dyDescent="0.2">
      <c r="A19" s="23"/>
      <c r="B19" s="24"/>
      <c r="C19" s="24"/>
      <c r="D19" s="24"/>
      <c r="E19" s="24"/>
      <c r="F19" s="26"/>
      <c r="G19" s="24"/>
      <c r="H19" s="24"/>
      <c r="I19" s="24"/>
      <c r="J19" s="24"/>
      <c r="K19" s="24"/>
      <c r="L19" s="24"/>
      <c r="M19" s="25"/>
      <c r="N19" s="26"/>
      <c r="O19" s="152"/>
      <c r="P19" s="152"/>
      <c r="Q19" s="27"/>
    </row>
    <row r="20" spans="1:19" ht="17.25" customHeight="1" x14ac:dyDescent="0.2">
      <c r="A20" s="23"/>
      <c r="B20" s="24"/>
      <c r="C20" s="24"/>
      <c r="D20" s="24"/>
      <c r="E20" s="24"/>
      <c r="F20" s="26"/>
      <c r="G20" s="24"/>
      <c r="H20" s="24"/>
      <c r="I20" s="24"/>
      <c r="J20" s="24"/>
      <c r="K20" s="24"/>
      <c r="L20" s="24"/>
      <c r="M20" s="25"/>
      <c r="N20" s="26"/>
      <c r="O20" s="152"/>
      <c r="P20" s="152"/>
      <c r="Q20" s="27"/>
    </row>
    <row r="21" spans="1:19" ht="17.25" customHeight="1" x14ac:dyDescent="0.2">
      <c r="A21" s="28"/>
      <c r="B21" s="29"/>
      <c r="C21" s="29"/>
      <c r="D21" s="29"/>
      <c r="E21" s="29"/>
      <c r="F21" s="30"/>
      <c r="G21" s="29"/>
      <c r="H21" s="29"/>
      <c r="I21" s="29"/>
      <c r="J21" s="29"/>
      <c r="K21" s="29"/>
      <c r="L21" s="29"/>
      <c r="M21" s="31"/>
      <c r="N21" s="32"/>
      <c r="O21" s="158"/>
      <c r="P21" s="158"/>
      <c r="Q21" s="27"/>
      <c r="R21" s="1"/>
    </row>
    <row r="22" spans="1:19" ht="17.25" customHeight="1" thickBot="1" x14ac:dyDescent="0.25">
      <c r="A22" s="33"/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5"/>
      <c r="N22" s="34"/>
      <c r="O22" s="159"/>
      <c r="P22" s="159"/>
      <c r="Q22" s="36"/>
    </row>
    <row r="23" spans="1:19" ht="34.5" customHeight="1" thickBot="1" x14ac:dyDescent="0.25">
      <c r="A23" s="160" t="s">
        <v>94</v>
      </c>
      <c r="B23" s="160"/>
      <c r="C23" s="160"/>
      <c r="D23" s="160"/>
      <c r="E23" s="160"/>
      <c r="F23" s="160"/>
      <c r="G23" s="160"/>
      <c r="H23" s="160"/>
      <c r="I23" s="160"/>
      <c r="J23" s="160"/>
      <c r="K23" s="160"/>
      <c r="L23" s="160"/>
      <c r="M23" s="160"/>
      <c r="N23" s="160"/>
      <c r="O23" s="160"/>
      <c r="P23" s="160"/>
      <c r="Q23" s="46">
        <f>SUM(Q15:Q22)</f>
        <v>352800</v>
      </c>
    </row>
    <row r="24" spans="1:19" ht="18" customHeight="1" thickBot="1" x14ac:dyDescent="0.25">
      <c r="A24" s="161"/>
      <c r="B24" s="161"/>
      <c r="C24" s="161"/>
      <c r="D24" s="161"/>
      <c r="E24" s="161"/>
      <c r="F24" s="161"/>
      <c r="G24" s="161"/>
      <c r="H24" s="161"/>
      <c r="I24" s="161"/>
      <c r="J24" s="161"/>
      <c r="K24" s="161"/>
      <c r="L24" s="161"/>
      <c r="M24" s="161"/>
      <c r="N24" s="161"/>
      <c r="O24" s="161"/>
      <c r="P24" s="161"/>
      <c r="Q24" s="161"/>
    </row>
    <row r="25" spans="1:19" ht="17.25" customHeight="1" thickBot="1" x14ac:dyDescent="0.25">
      <c r="A25" s="153" t="s">
        <v>47</v>
      </c>
      <c r="B25" s="154"/>
      <c r="C25" s="154"/>
      <c r="D25" s="154"/>
      <c r="E25" s="154"/>
      <c r="F25" s="155"/>
      <c r="G25" s="156"/>
      <c r="H25" s="156"/>
      <c r="I25" s="156"/>
      <c r="J25" s="156"/>
      <c r="K25" s="156"/>
      <c r="L25" s="156"/>
      <c r="M25" s="156"/>
      <c r="N25" s="156"/>
      <c r="O25" s="156"/>
      <c r="P25" s="156"/>
      <c r="Q25" s="156"/>
    </row>
    <row r="26" spans="1:19" ht="18" customHeight="1" thickBot="1" x14ac:dyDescent="0.25">
      <c r="A26" s="157" t="str">
        <f>"Para la "&amp; NotaPedido!D8 &amp;" para ser destinados a " &amp; NotaPedido!D6 &amp;"  de la Maternidad Provincial 25 de Mayo del Ministerio de Salud."</f>
        <v>Para la Adquisicion de prendas de vestir y telas  para ser destinados a Servicio de Quirofano y esterilizacion   de la Maternidad Provincial 25 de Mayo del Ministerio de Salud.</v>
      </c>
      <c r="B26" s="157"/>
      <c r="C26" s="157"/>
      <c r="D26" s="157"/>
      <c r="E26" s="157"/>
      <c r="F26" s="157"/>
      <c r="G26" s="157"/>
      <c r="H26" s="157"/>
      <c r="I26" s="157"/>
      <c r="J26" s="157"/>
      <c r="K26" s="157"/>
      <c r="L26" s="157"/>
      <c r="M26" s="157"/>
      <c r="N26" s="157"/>
      <c r="O26" s="157"/>
      <c r="P26" s="157"/>
      <c r="Q26" s="157"/>
    </row>
    <row r="27" spans="1:19" ht="15" customHeight="1" x14ac:dyDescent="0.2">
      <c r="A27" s="157"/>
      <c r="B27" s="157"/>
      <c r="C27" s="157"/>
      <c r="D27" s="157"/>
      <c r="E27" s="157"/>
      <c r="F27" s="157"/>
      <c r="G27" s="157"/>
      <c r="H27" s="157"/>
      <c r="I27" s="157"/>
      <c r="J27" s="157"/>
      <c r="K27" s="157"/>
      <c r="L27" s="157"/>
      <c r="M27" s="157"/>
      <c r="N27" s="157"/>
      <c r="O27" s="157"/>
      <c r="P27" s="157"/>
      <c r="Q27" s="157"/>
    </row>
  </sheetData>
  <mergeCells count="31">
    <mergeCell ref="A25:F25"/>
    <mergeCell ref="G25:Q25"/>
    <mergeCell ref="A26:Q27"/>
    <mergeCell ref="O20:P20"/>
    <mergeCell ref="O21:P21"/>
    <mergeCell ref="O22:P22"/>
    <mergeCell ref="A23:P23"/>
    <mergeCell ref="A24:Q24"/>
    <mergeCell ref="O15:P15"/>
    <mergeCell ref="O16:P16"/>
    <mergeCell ref="O17:P17"/>
    <mergeCell ref="O18:P18"/>
    <mergeCell ref="O19:P19"/>
    <mergeCell ref="A9:N9"/>
    <mergeCell ref="A10:Q10"/>
    <mergeCell ref="A12:Q12"/>
    <mergeCell ref="A13:N13"/>
    <mergeCell ref="O13:P14"/>
    <mergeCell ref="Q13:Q14"/>
    <mergeCell ref="A5:F5"/>
    <mergeCell ref="G5:Q5"/>
    <mergeCell ref="A8:Q8"/>
    <mergeCell ref="A6:F6"/>
    <mergeCell ref="G6:Q6"/>
    <mergeCell ref="A7:F7"/>
    <mergeCell ref="G7:Q7"/>
    <mergeCell ref="A1:C1"/>
    <mergeCell ref="D1:E1"/>
    <mergeCell ref="P1:Q2"/>
    <mergeCell ref="A4:F4"/>
    <mergeCell ref="G4:Q4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Necesidades Trimestrales</vt:lpstr>
      <vt:lpstr>NotaPedido</vt:lpstr>
      <vt:lpstr>Autor Gastar</vt:lpstr>
      <vt:lpstr>'Autor Gastar'!Área_de_impresión</vt:lpstr>
      <vt:lpstr>NotaPedido!Área_de_impresión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llicta6</dc:creator>
  <cp:lastModifiedBy>ELIAS QUINTAR</cp:lastModifiedBy>
  <cp:revision>2</cp:revision>
  <cp:lastPrinted>2020-07-17T22:18:48Z</cp:lastPrinted>
  <dcterms:created xsi:type="dcterms:W3CDTF">2020-07-17T23:44:49Z</dcterms:created>
  <dcterms:modified xsi:type="dcterms:W3CDTF">2021-08-13T14:34:48Z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