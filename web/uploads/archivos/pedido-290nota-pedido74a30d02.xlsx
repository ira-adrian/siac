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modernizacion\software CIDI\nuevo\final\"/>
    </mc:Choice>
  </mc:AlternateContent>
  <xr:revisionPtr revIDLastSave="0" documentId="8_{3F7814C2-282A-4EF0-B267-7434E998576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H10" i="1" l="1"/>
  <c r="D11" i="1" l="1"/>
  <c r="D12" i="1"/>
  <c r="I11" i="1"/>
  <c r="I12" i="1"/>
  <c r="I10" i="1"/>
</calcChain>
</file>

<file path=xl/sharedStrings.xml><?xml version="1.0" encoding="utf-8"?>
<sst xmlns="http://schemas.openxmlformats.org/spreadsheetml/2006/main" count="44" uniqueCount="42">
  <si>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</si>
  <si>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</si>
  <si>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</si>
  <si>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</si>
  <si>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</si>
  <si>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</si>
  <si>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</si>
  <si>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</si>
  <si>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</si>
  <si>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</si>
  <si>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</si>
  <si>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</si>
  <si>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</si>
  <si>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</si>
  <si>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</si>
  <si>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Descripción técnica</t>
  </si>
  <si>
    <t>Plazo de Mantenimiento de oferta</t>
  </si>
  <si>
    <t xml:space="preserve">                                                                                 </t>
  </si>
  <si>
    <t>30 - MINISTERIO DE ECONOMIA</t>
  </si>
  <si>
    <t>UNIDAD</t>
  </si>
  <si>
    <t>SAF 9 - DIRECCION PROVINCIAL DE ADMINISTRACION DE LA SECRETARIA DE FINANZAS PUBLICAS</t>
  </si>
  <si>
    <t>Primera calidad</t>
  </si>
  <si>
    <t>4.8.1-8125.1</t>
  </si>
  <si>
    <t>INFORMATICA</t>
  </si>
  <si>
    <t>4.8.1</t>
  </si>
  <si>
    <t>SOFTWARES; TIPO: ESPECIFICO</t>
  </si>
  <si>
    <r>
      <rPr>
        <u/>
        <sz val="10"/>
        <rFont val="Times New Roman"/>
        <family val="1"/>
      </rPr>
      <t>Calidad exigida del bien</t>
    </r>
    <r>
      <rPr>
        <sz val="10"/>
        <rFont val="Times New Roman"/>
        <family val="1"/>
      </rPr>
      <t xml:space="preserve"> </t>
    </r>
  </si>
  <si>
    <t xml:space="preserve">Especificidades Item N° 1 </t>
  </si>
  <si>
    <t>Forma de Pago</t>
  </si>
  <si>
    <t>Uno (1) solo pago</t>
  </si>
  <si>
    <t>Solicitud de prueba del producto ofrecido</t>
  </si>
  <si>
    <t>Ofertas alternativas</t>
  </si>
  <si>
    <t>Se aceptan ofertas alternativas</t>
  </si>
  <si>
    <t>Garantia de buen funcionamiento</t>
  </si>
  <si>
    <t>Doce (12) meses desde su implementación en el entorno de producción.</t>
  </si>
  <si>
    <t>Veinte (20) días habiles.</t>
  </si>
  <si>
    <t>Debido a que el bien a adquirir es un software creado específicamente para satisfacer los requerimientos de la Plataforma "Ciudadano Digital", se debera solicitar a cada oferente una "Demo", la que consistira en la descripcion de detalles técnicos de la oferta, prototipos o soluciones implementadas de iguales características a las solicitadas en las especificaciones técnicas, todo ello a fin de poder relizar una adecuada evaluacion del bien a proveer, antes de la compra e implementación. Dicha Demo se hara mediante una videoconferencia entre el personal tecnico de la Secretaria de Modernizacion encargado de evaluarlo y el oferente, la misma sera realizada a traves de la plataforma Meet y quedara grabada como prueba de evaluacion, debiendo fijar la Secretaria de Modernizacion el dia y hora en que ésta se llevara a cabo. Por medio de esta videollamada el personal tecnico podra realizar todas las consultas técnicas que considere necesarias en base a las propuestas presentadas, antes de emitir el correspondiente informe de evaluacion tecnica.</t>
  </si>
  <si>
    <t>Las ofertas deberán efectuarse en moneda de curso legal en nuestro país</t>
  </si>
  <si>
    <t>Cotizacion Dólar BNA Tipo Vendedor 07/6/2022</t>
  </si>
  <si>
    <t>Moneda en la que se admitirán las ofertas</t>
  </si>
  <si>
    <t>VEINTE (20) días habiles a partir del perfeccionamiento del documento contractual  en la Secretaria de Modernización del Ministerio de Economia, sito en Av. Venezuela S/N° - C.A.P.E. Pabellón N° 21, San Fernando del Valle de Catamarca .</t>
  </si>
  <si>
    <t>se adjuntan en nota NO-2022-00985550-CAT-SME#MEC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</si>
</sst>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&quot;$&quot;\ #,##0.00;[Red]&quot;$&quot;\ #,##0.00"/>
  </numFmts>
  <fonts count="1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u/>
      <sz val="10"/>
      <name val="Times New Roman"/>
      <family val="1"/>
    </font>
    <font>
      <sz val="11"/>
      <color rgb="FF333333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1"/>
      <name val="Arial"/>
      <family val="2"/>
    </font>
    <font>
      <sz val="11"/>
      <color rgb="FF000000"/>
      <name val="Arial"/>
      <family val="2"/>
    </font>
    <font>
      <b/>
      <u/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21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1" applyProtection="0"/>
    <xf numFmtId="0" fontId="2" fillId="2" borderId="0" applyBorder="0" applyProtection="0"/>
    <xf numFmtId="44" fontId="14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0" applyFont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4" fillId="0" borderId="5" xfId="0" applyFont="1" applyBorder="1"/>
    <xf numFmtId="0" fontId="4" fillId="0" borderId="0" xfId="0" applyFont="1" applyBorder="1"/>
    <xf numFmtId="0" fontId="4" fillId="0" borderId="6" xfId="0" applyFont="1" applyBorder="1"/>
    <xf numFmtId="0" fontId="4" fillId="0" borderId="5" xfId="0" applyFont="1" applyBorder="1" applyAlignment="1">
      <alignment horizontal="left" indent="3"/>
    </xf>
    <xf numFmtId="0" fontId="8" fillId="0" borderId="0" xfId="0" applyFont="1" applyAlignment="1">
      <alignment horizontal="left" wrapText="1"/>
    </xf>
    <xf numFmtId="0" fontId="11" fillId="0" borderId="0" xfId="0" applyFont="1" applyFill="1" applyAlignment="1">
      <alignment horizontal="left" wrapText="1" indent="1"/>
    </xf>
    <xf numFmtId="0" fontId="4" fillId="0" borderId="0" xfId="0" applyFont="1" applyFill="1" applyBorder="1"/>
    <xf numFmtId="0" fontId="4" fillId="0" borderId="6" xfId="0" applyFont="1" applyFill="1" applyBorder="1"/>
    <xf numFmtId="0" fontId="4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0" borderId="5" xfId="0" applyFont="1" applyBorder="1"/>
    <xf numFmtId="0" fontId="10" fillId="0" borderId="5" xfId="0" applyFont="1" applyBorder="1" applyAlignment="1"/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 vertical="top" wrapText="1"/>
    </xf>
    <xf numFmtId="0" fontId="4" fillId="0" borderId="0" xfId="0" applyFont="1" applyFill="1" applyBorder="1" applyAlignment="1">
      <alignment vertical="center" wrapText="1"/>
    </xf>
    <xf numFmtId="0" fontId="9" fillId="0" borderId="14" xfId="0" applyFont="1" applyFill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5" fillId="0" borderId="0" xfId="0" applyFont="1"/>
    <xf numFmtId="0" fontId="9" fillId="0" borderId="16" xfId="0" applyFont="1" applyFill="1" applyBorder="1" applyAlignment="1">
      <alignment horizontal="center" vertical="center" wrapText="1"/>
    </xf>
    <xf numFmtId="0" fontId="4" fillId="0" borderId="5" xfId="0" applyFont="1" applyBorder="1" applyAlignment="1"/>
    <xf numFmtId="44" fontId="15" fillId="0" borderId="0" xfId="3" applyFont="1"/>
    <xf numFmtId="44" fontId="16" fillId="0" borderId="13" xfId="3" applyFont="1" applyBorder="1" applyAlignment="1">
      <alignment horizontal="center" vertical="center"/>
    </xf>
    <xf numFmtId="44" fontId="16" fillId="0" borderId="17" xfId="3" applyFont="1" applyBorder="1" applyAlignment="1">
      <alignment horizontal="center" vertic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13" fillId="0" borderId="18" xfId="0" applyFont="1" applyBorder="1" applyAlignment="1">
      <alignment vertical="center" wrapText="1"/>
    </xf>
    <xf numFmtId="0" fontId="17" fillId="0" borderId="19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6" fillId="0" borderId="20" xfId="0" applyFont="1" applyFill="1" applyBorder="1" applyAlignment="1">
      <alignment horizontal="center" vertical="center"/>
    </xf>
    <xf numFmtId="0" fontId="16" fillId="0" borderId="18" xfId="0" applyFont="1" applyBorder="1" applyAlignment="1">
      <alignment vertical="center"/>
    </xf>
    <xf numFmtId="0" fontId="3" fillId="0" borderId="19" xfId="0" applyFont="1" applyBorder="1" applyAlignment="1">
      <alignment horizontal="center" vertical="center" wrapText="1"/>
    </xf>
    <xf numFmtId="3" fontId="16" fillId="0" borderId="18" xfId="0" applyNumberFormat="1" applyFont="1" applyBorder="1" applyAlignment="1">
      <alignment horizontal="center" vertical="center"/>
    </xf>
    <xf numFmtId="44" fontId="16" fillId="0" borderId="19" xfId="3" applyFont="1" applyBorder="1" applyAlignment="1">
      <alignment horizontal="center" vertical="center"/>
    </xf>
    <xf numFmtId="44" fontId="16" fillId="0" borderId="18" xfId="3" applyFont="1" applyBorder="1" applyAlignment="1">
      <alignment horizontal="center" vertical="center"/>
    </xf>
    <xf numFmtId="0" fontId="10" fillId="0" borderId="7" xfId="0" applyFont="1" applyBorder="1"/>
    <xf numFmtId="0" fontId="4" fillId="0" borderId="0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  <xf numFmtId="8" fontId="4" fillId="0" borderId="0" xfId="0" applyNumberFormat="1" applyFont="1" applyFill="1" applyBorder="1" applyAlignment="1">
      <alignment horizontal="left" wrapText="1"/>
    </xf>
    <xf numFmtId="0" fontId="10" fillId="0" borderId="5" xfId="0" applyFont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5" xfId="0" applyFont="1" applyBorder="1" applyAlignment="1">
      <alignment vertical="top"/>
    </xf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wrapText="1" indent="1"/>
    </xf>
    <xf numFmtId="0" fontId="4" fillId="0" borderId="0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4" fillId="0" borderId="0" xfId="0" applyFont="1" applyFill="1" applyBorder="1" applyAlignment="1">
      <alignment horizontal="left" wrapText="1"/>
    </xf>
    <xf numFmtId="0" fontId="4" fillId="0" borderId="6" xfId="0" applyFont="1" applyFill="1" applyBorder="1" applyAlignment="1">
      <alignment horizontal="left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6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wrapText="1"/>
    </xf>
    <xf numFmtId="0" fontId="4" fillId="0" borderId="0" xfId="0" applyFont="1" applyFill="1" applyBorder="1" applyAlignment="1">
      <alignment wrapText="1"/>
    </xf>
    <xf numFmtId="0" fontId="4" fillId="0" borderId="6" xfId="0" applyFont="1" applyFill="1" applyBorder="1" applyAlignment="1">
      <alignment wrapText="1"/>
    </xf>
  </cellXfs>
  <cellStyles count="4">
    <cellStyle name="Encabezado 1" xfId="1" xr:uid="{00000000-0005-0000-0000-000000000000}"/>
    <cellStyle name="Moneda" xfId="3" builtinId="4"/>
    <cellStyle name="Neutral 1" xfId="2" xr:uid="{00000000-0005-0000-0000-000002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45"/>
  <sheetViews>
    <sheetView tabSelected="1" zoomScale="106" zoomScaleNormal="106" zoomScaleSheetLayoutView="80" workbookViewId="0">
      <selection activeCell="E25" sqref="E25"/>
    </sheetView>
  </sheetViews>
  <sheetFormatPr baseColWidth="10" defaultColWidth="11" defaultRowHeight="12.75" x14ac:dyDescent="0.2"/>
  <cols>
    <col min="1" max="1" width="4.5703125" style="1" customWidth="1"/>
    <col min="2" max="2" width="13.7109375" style="1" customWidth="1"/>
    <col min="3" max="3" width="28.28515625" style="1" customWidth="1"/>
    <col min="4" max="4" width="8.42578125" style="1" customWidth="1"/>
    <col min="5" max="5" width="79" style="1" customWidth="1"/>
    <col min="6" max="6" width="11" style="1"/>
    <col min="7" max="7" width="12.7109375" style="1" customWidth="1"/>
    <col min="8" max="8" width="18.7109375" style="1" customWidth="1"/>
    <col min="9" max="9" width="18.5703125" style="1" customWidth="1"/>
    <col min="10" max="10" width="11" style="13"/>
    <col min="11" max="11" width="11" style="12"/>
    <col min="12" max="12" width="11.140625" style="12" bestFit="1" customWidth="1"/>
    <col min="13" max="14" width="11" style="12"/>
    <col min="15" max="16384" width="11" style="1"/>
  </cols>
  <sheetData>
    <row r="2" spans="1:9" ht="27" x14ac:dyDescent="0.35">
      <c r="B2" s="59" t="s">
        <v>0</v>
      </c>
      <c r="C2" s="59"/>
      <c r="D2" s="59"/>
      <c r="E2" s="59"/>
      <c r="F2" s="59"/>
      <c r="G2" s="59"/>
      <c r="H2" s="59"/>
    </row>
    <row r="4" spans="1:9" ht="18" customHeight="1" x14ac:dyDescent="0.25">
      <c r="A4" s="60" t="s">
        <v>1</v>
      </c>
      <c r="B4" s="60"/>
      <c r="C4" s="61" t="s">
        <v>18</v>
      </c>
      <c r="D4" s="61"/>
      <c r="E4" s="61"/>
      <c r="F4" s="2"/>
      <c r="G4" s="3"/>
      <c r="H4" s="2"/>
    </row>
    <row r="5" spans="1:9" ht="18" customHeight="1" x14ac:dyDescent="0.25">
      <c r="A5" s="60" t="s">
        <v>2</v>
      </c>
      <c r="B5" s="60"/>
      <c r="C5" s="61" t="s">
        <v>20</v>
      </c>
      <c r="D5" s="61"/>
      <c r="E5" s="61"/>
      <c r="F5" s="2"/>
      <c r="G5" s="3"/>
      <c r="H5" s="2"/>
    </row>
    <row r="6" spans="1:9" ht="16.5" customHeight="1" x14ac:dyDescent="0.25">
      <c r="A6" s="60" t="s">
        <v>3</v>
      </c>
      <c r="B6" s="60"/>
      <c r="C6" s="9">
        <v>2022</v>
      </c>
      <c r="D6" s="8"/>
      <c r="E6" s="8"/>
      <c r="F6" s="2"/>
      <c r="G6" s="3"/>
      <c r="H6" s="2"/>
    </row>
    <row r="7" spans="1:9" ht="16.5" customHeight="1" x14ac:dyDescent="0.25">
      <c r="A7" s="60" t="s">
        <v>4</v>
      </c>
      <c r="B7" s="60"/>
      <c r="C7" s="9">
        <v>2</v>
      </c>
      <c r="D7" s="8"/>
      <c r="E7" s="8"/>
      <c r="F7" s="2"/>
      <c r="G7" s="3"/>
      <c r="H7" s="2"/>
    </row>
    <row r="8" spans="1:9" ht="13.5" thickBot="1" x14ac:dyDescent="0.25">
      <c r="B8" s="2"/>
      <c r="C8" s="3"/>
      <c r="D8" s="2"/>
      <c r="E8" s="2"/>
      <c r="F8" s="2"/>
      <c r="G8" s="3"/>
      <c r="H8" s="2"/>
    </row>
    <row r="9" spans="1:9" ht="26.25" thickBot="1" x14ac:dyDescent="0.25">
      <c r="A9" s="14" t="s">
        <v>5</v>
      </c>
      <c r="B9" s="15" t="s">
        <v>6</v>
      </c>
      <c r="C9" s="15" t="s">
        <v>7</v>
      </c>
      <c r="D9" s="15" t="s">
        <v>8</v>
      </c>
      <c r="E9" s="15" t="s">
        <v>9</v>
      </c>
      <c r="F9" s="15" t="s">
        <v>10</v>
      </c>
      <c r="G9" s="15" t="s">
        <v>11</v>
      </c>
      <c r="H9" s="15" t="s">
        <v>12</v>
      </c>
      <c r="I9" s="16" t="s">
        <v>13</v>
      </c>
    </row>
    <row r="10" spans="1:9" ht="56.25" customHeight="1" thickBot="1" x14ac:dyDescent="0.25">
      <c r="A10" s="39">
        <v>1</v>
      </c>
      <c r="B10" s="40" t="s">
        <v>22</v>
      </c>
      <c r="C10" s="38" t="s">
        <v>23</v>
      </c>
      <c r="D10" s="37" t="s">
        <v>24</v>
      </c>
      <c r="E10" s="36" t="s">
        <v>25</v>
      </c>
      <c r="F10" s="41" t="s">
        <v>19</v>
      </c>
      <c r="G10" s="42">
        <v>1</v>
      </c>
      <c r="H10" s="43">
        <f>85500*126.25</f>
        <v>10794375</v>
      </c>
      <c r="I10" s="44">
        <f>H10*G10</f>
        <v>10794375</v>
      </c>
    </row>
    <row r="11" spans="1:9" ht="15.75" hidden="1" thickBot="1" x14ac:dyDescent="0.3">
      <c r="B11" s="7"/>
      <c r="C11" s="19"/>
      <c r="D11" s="23" t="str">
        <f t="shared" ref="D11:D12" si="0">LEFT(B11,5)</f>
        <v/>
      </c>
      <c r="E11" s="20"/>
      <c r="F11" s="24" t="s">
        <v>19</v>
      </c>
      <c r="G11" s="27"/>
      <c r="H11" s="30"/>
      <c r="I11" s="31">
        <f t="shared" ref="I11:I12" si="1">H11*G11</f>
        <v>0</v>
      </c>
    </row>
    <row r="12" spans="1:9" ht="15.75" hidden="1" thickBot="1" x14ac:dyDescent="0.3">
      <c r="B12" s="7"/>
      <c r="C12" s="10"/>
      <c r="D12" s="28" t="str">
        <f t="shared" si="0"/>
        <v/>
      </c>
      <c r="E12" s="11"/>
      <c r="F12" s="24" t="s">
        <v>19</v>
      </c>
      <c r="G12" s="27"/>
      <c r="H12" s="30"/>
      <c r="I12" s="32">
        <f t="shared" si="1"/>
        <v>0</v>
      </c>
    </row>
    <row r="14" spans="1:9" ht="13.5" thickBot="1" x14ac:dyDescent="0.25"/>
    <row r="15" spans="1:9" ht="38.25" customHeight="1" x14ac:dyDescent="0.2">
      <c r="B15" s="67" t="s">
        <v>27</v>
      </c>
      <c r="C15" s="68"/>
      <c r="D15" s="68"/>
      <c r="E15" s="69"/>
    </row>
    <row r="16" spans="1:9" x14ac:dyDescent="0.2">
      <c r="B16" s="17" t="s">
        <v>15</v>
      </c>
      <c r="C16" s="5"/>
      <c r="D16" s="5"/>
      <c r="E16" s="6"/>
    </row>
    <row r="17" spans="2:5" ht="20.25" customHeight="1" x14ac:dyDescent="0.2">
      <c r="B17" s="4"/>
      <c r="C17" s="21"/>
      <c r="D17" s="70" t="s">
        <v>41</v>
      </c>
      <c r="E17" s="71"/>
    </row>
    <row r="18" spans="2:5" x14ac:dyDescent="0.2">
      <c r="B18" s="74"/>
      <c r="C18" s="62"/>
      <c r="D18" s="62"/>
      <c r="E18" s="63"/>
    </row>
    <row r="19" spans="2:5" x14ac:dyDescent="0.2">
      <c r="B19" s="18" t="s">
        <v>14</v>
      </c>
      <c r="C19" s="10"/>
      <c r="D19" s="10"/>
      <c r="E19" s="11"/>
    </row>
    <row r="20" spans="2:5" ht="40.5" customHeight="1" x14ac:dyDescent="0.2">
      <c r="B20" s="7"/>
      <c r="C20" s="22"/>
      <c r="D20" s="72" t="s">
        <v>40</v>
      </c>
      <c r="E20" s="73"/>
    </row>
    <row r="21" spans="2:5" x14ac:dyDescent="0.2">
      <c r="B21" s="18"/>
      <c r="C21" s="10"/>
      <c r="D21" s="10"/>
      <c r="E21" s="11"/>
    </row>
    <row r="22" spans="2:5" x14ac:dyDescent="0.2">
      <c r="B22" s="18" t="s">
        <v>16</v>
      </c>
      <c r="C22" s="25"/>
      <c r="D22" s="25"/>
      <c r="E22" s="26"/>
    </row>
    <row r="23" spans="2:5" ht="18" customHeight="1" x14ac:dyDescent="0.2">
      <c r="B23" s="18"/>
      <c r="C23" s="25"/>
      <c r="D23" s="72" t="s">
        <v>35</v>
      </c>
      <c r="E23" s="73"/>
    </row>
    <row r="24" spans="2:5" ht="11.25" customHeight="1" x14ac:dyDescent="0.2">
      <c r="B24" s="18"/>
      <c r="C24" s="25"/>
      <c r="D24" s="50"/>
      <c r="E24" s="51"/>
    </row>
    <row r="25" spans="2:5" ht="12.75" customHeight="1" x14ac:dyDescent="0.2">
      <c r="B25" s="29" t="s">
        <v>26</v>
      </c>
      <c r="C25" s="25"/>
      <c r="D25" s="5"/>
      <c r="E25" s="6"/>
    </row>
    <row r="26" spans="2:5" ht="12.75" customHeight="1" x14ac:dyDescent="0.2">
      <c r="B26" s="29"/>
      <c r="C26" s="25"/>
      <c r="D26" s="75" t="s">
        <v>21</v>
      </c>
      <c r="E26" s="76"/>
    </row>
    <row r="27" spans="2:5" ht="12.75" customHeight="1" x14ac:dyDescent="0.2">
      <c r="B27" s="29"/>
      <c r="C27" s="25"/>
      <c r="D27" s="5"/>
      <c r="E27" s="6"/>
    </row>
    <row r="28" spans="2:5" ht="12.75" customHeight="1" x14ac:dyDescent="0.2">
      <c r="B28" s="18" t="s">
        <v>28</v>
      </c>
      <c r="C28" s="25"/>
      <c r="D28" s="5"/>
      <c r="E28" s="6"/>
    </row>
    <row r="29" spans="2:5" ht="12.75" customHeight="1" x14ac:dyDescent="0.2">
      <c r="B29" s="29"/>
      <c r="C29" s="25"/>
      <c r="D29" s="5" t="s">
        <v>29</v>
      </c>
      <c r="E29" s="6"/>
    </row>
    <row r="30" spans="2:5" ht="12.75" customHeight="1" x14ac:dyDescent="0.2">
      <c r="B30" s="29"/>
      <c r="C30" s="25"/>
      <c r="D30" s="5"/>
      <c r="E30" s="6"/>
    </row>
    <row r="31" spans="2:5" ht="129" customHeight="1" x14ac:dyDescent="0.2">
      <c r="B31" s="57" t="s">
        <v>30</v>
      </c>
      <c r="C31" s="58"/>
      <c r="D31" s="62" t="s">
        <v>36</v>
      </c>
      <c r="E31" s="63"/>
    </row>
    <row r="32" spans="2:5" ht="15" customHeight="1" x14ac:dyDescent="0.2">
      <c r="B32" s="4"/>
      <c r="C32" s="5"/>
      <c r="D32" s="48"/>
      <c r="E32" s="49"/>
    </row>
    <row r="33" spans="2:5" ht="15" customHeight="1" x14ac:dyDescent="0.2">
      <c r="B33" s="55" t="s">
        <v>31</v>
      </c>
      <c r="C33" s="25"/>
      <c r="D33" s="48"/>
      <c r="E33" s="49"/>
    </row>
    <row r="34" spans="2:5" ht="18.75" customHeight="1" x14ac:dyDescent="0.2">
      <c r="B34" s="7"/>
      <c r="C34" s="22" t="s">
        <v>17</v>
      </c>
      <c r="D34" s="5" t="s">
        <v>32</v>
      </c>
      <c r="E34" s="6"/>
    </row>
    <row r="35" spans="2:5" ht="10.5" customHeight="1" x14ac:dyDescent="0.2">
      <c r="B35" s="7"/>
      <c r="C35" s="22"/>
      <c r="D35" s="5"/>
      <c r="E35" s="6"/>
    </row>
    <row r="36" spans="2:5" ht="21.75" customHeight="1" x14ac:dyDescent="0.2">
      <c r="B36" s="18" t="s">
        <v>39</v>
      </c>
      <c r="C36" s="56"/>
      <c r="D36" s="5"/>
      <c r="E36" s="6"/>
    </row>
    <row r="37" spans="2:5" ht="21.75" customHeight="1" x14ac:dyDescent="0.2">
      <c r="B37" s="7"/>
      <c r="C37" s="22"/>
      <c r="D37" s="5" t="s">
        <v>37</v>
      </c>
      <c r="E37" s="6"/>
    </row>
    <row r="38" spans="2:5" ht="13.5" customHeight="1" x14ac:dyDescent="0.2">
      <c r="B38" s="7"/>
      <c r="C38" s="22"/>
      <c r="D38" s="5"/>
      <c r="E38" s="6"/>
    </row>
    <row r="39" spans="2:5" ht="13.5" customHeight="1" x14ac:dyDescent="0.2">
      <c r="B39" s="7"/>
      <c r="C39" s="22"/>
      <c r="D39" s="52"/>
      <c r="E39" s="53"/>
    </row>
    <row r="40" spans="2:5" ht="13.5" customHeight="1" thickBot="1" x14ac:dyDescent="0.25">
      <c r="B40" s="45" t="s">
        <v>33</v>
      </c>
      <c r="C40" s="22"/>
      <c r="D40" s="52"/>
      <c r="E40" s="53"/>
    </row>
    <row r="41" spans="2:5" ht="13.5" customHeight="1" x14ac:dyDescent="0.2">
      <c r="B41" s="7"/>
      <c r="C41" s="22"/>
      <c r="D41" s="65" t="s">
        <v>34</v>
      </c>
      <c r="E41" s="66"/>
    </row>
    <row r="42" spans="2:5" ht="13.5" customHeight="1" x14ac:dyDescent="0.2">
      <c r="B42" s="7"/>
      <c r="C42" s="22"/>
      <c r="D42" s="46"/>
      <c r="E42" s="47"/>
    </row>
    <row r="43" spans="2:5" ht="15" customHeight="1" x14ac:dyDescent="0.2">
      <c r="B43" s="64" t="s">
        <v>38</v>
      </c>
      <c r="C43" s="62"/>
      <c r="D43" s="54">
        <v>126.25</v>
      </c>
      <c r="E43" s="47"/>
    </row>
    <row r="44" spans="2:5" ht="13.5" customHeight="1" x14ac:dyDescent="0.2">
      <c r="B44" s="7"/>
      <c r="C44" s="22"/>
      <c r="D44" s="46"/>
      <c r="E44" s="47"/>
    </row>
    <row r="45" spans="2:5" ht="13.5" thickBot="1" x14ac:dyDescent="0.25">
      <c r="B45" s="33"/>
      <c r="C45" s="34"/>
      <c r="D45" s="34"/>
      <c r="E45" s="35"/>
    </row>
  </sheetData>
  <mergeCells count="16">
    <mergeCell ref="D31:E31"/>
    <mergeCell ref="B43:C43"/>
    <mergeCell ref="A6:B6"/>
    <mergeCell ref="A7:B7"/>
    <mergeCell ref="D41:E41"/>
    <mergeCell ref="B15:E15"/>
    <mergeCell ref="D17:E17"/>
    <mergeCell ref="D20:E20"/>
    <mergeCell ref="D23:E23"/>
    <mergeCell ref="B18:E18"/>
    <mergeCell ref="D26:E26"/>
    <mergeCell ref="B2:H2"/>
    <mergeCell ref="A4:B4"/>
    <mergeCell ref="C4:E4"/>
    <mergeCell ref="A5:B5"/>
    <mergeCell ref="C5:E5"/>
  </mergeCells>
  <pageMargins left="0.70866141732283472" right="0.70866141732283472" top="0.35433070866141736" bottom="0.35433070866141736" header="0.51181102362204722" footer="0.51181102362204722"/>
  <pageSetup paperSize="5" scale="56"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COMPRAS</cp:lastModifiedBy>
  <cp:revision>2</cp:revision>
  <cp:lastPrinted>2021-11-16T10:46:20Z</cp:lastPrinted>
  <dcterms:created xsi:type="dcterms:W3CDTF">2020-07-17T23:44:49Z</dcterms:created>
  <dcterms:modified xsi:type="dcterms:W3CDTF">2022-06-09T11:48:46Z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