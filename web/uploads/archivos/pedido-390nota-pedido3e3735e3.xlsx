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IDSP\Productos Ganaderia y Agricultura\"/>
    </mc:Choice>
  </mc:AlternateContent>
  <xr:revisionPtr revIDLastSave="0" documentId="13_ncr:1_{CEC399C6-5328-49F8-99EF-0F32D49083C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Trimestrales'!$A$10:$J$27</definedName>
    <definedName name="_xlnm.Print_Area" localSheetId="1">' NotaPedido'!$A$1:$K$24</definedName>
    <definedName name="_xlnm.Print_Area" localSheetId="2">'Autor Gastar'!$A$1:$Q$41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2" i="3" l="1"/>
  <c r="I21" i="3" l="1"/>
  <c r="I20" i="3"/>
  <c r="I19" i="3"/>
  <c r="I11" i="3" l="1"/>
  <c r="I12" i="3" l="1"/>
  <c r="I13" i="3"/>
  <c r="I14" i="3"/>
  <c r="I15" i="3"/>
  <c r="I16" i="3"/>
  <c r="I17" i="3"/>
  <c r="I18" i="3"/>
  <c r="Q37" i="2" l="1"/>
</calcChain>
</file>

<file path=xl/sharedStrings.xml><?xml version="1.0" encoding="utf-8"?>
<sst xmlns="http://schemas.openxmlformats.org/spreadsheetml/2006/main" count="202" uniqueCount="106">
  <si>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</si>
  <si>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</si>
  <si>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</si>
  <si>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</si>
  <si>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</si>
  <si>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</si>
  <si>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</si>
  <si>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</si>
  <si>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</si>
  <si>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</si>
  <si>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</si>
  <si>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</si>
  <si>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</si>
  <si>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</si>
  <si>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</si>
  <si>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</si>
  <si>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</si>
  <si>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</si>
  <si>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</si>
  <si>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</si>
  <si>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</si>
  <si>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</si>
  <si>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</si>
  <si>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</si>
  <si>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</si>
  <si>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</si>
  <si>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</si>
  <si>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</si>
  <si>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</si>
  <si>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</si>
  <si>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</si>
  <si>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</si>
  <si>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</si>
  <si>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</si>
  <si>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</si>
  <si>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</si>
  <si>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</si>
  <si>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</si>
  <si>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</si>
  <si>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</si>
  <si>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</si>
  <si>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</si>
  <si>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</si>
  <si>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</si>
  <si>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</si>
  <si>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</si>
  <si>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</si>
  <si>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Descripcion Técnica</t>
  </si>
  <si>
    <t>Plazos y lugares de entrega:</t>
  </si>
  <si>
    <t>Mantenmiento</t>
  </si>
  <si>
    <t>UNIDAD</t>
  </si>
  <si>
    <t>Pedido de Necesidades Trimestrales</t>
  </si>
  <si>
    <t>Calidad Minima esperada</t>
  </si>
  <si>
    <t>IMPORTE TOTAL ESTIMADO</t>
  </si>
  <si>
    <t>SI</t>
  </si>
  <si>
    <t>JURISDICCION : 62- MINISTERIO DE INCLUSION DIGITAL Y SISTEMAS PRODUCTIVOS</t>
  </si>
  <si>
    <t>EJERCICIO: 2022</t>
  </si>
  <si>
    <t>62- MINISTERIO DE INCLUSION DIGITAL Y SISTEMAS PRODUCTIVOS</t>
  </si>
  <si>
    <t>MINISTERIO DE INCLUSION DIGITAL Y SISTEMAS PRODUCTIVOS</t>
  </si>
  <si>
    <t xml:space="preserve">SAF N°: 33- DIRECCION PROVINCIAL DE ADMINISTRACION GENERAL </t>
  </si>
  <si>
    <t>33- DIRECCION PROVINCIAL DE ADMINISTRACION GENERAL</t>
  </si>
  <si>
    <t>TRIMESTRE 03</t>
  </si>
  <si>
    <t>PRODUCTOS VETERINARIOS</t>
  </si>
  <si>
    <t>ANTIPARASITARIOS VETERINARIOS; TIPO: MONODROGA, DROGA GENERICA: IVERMECTINA, FORMA FARMACEUTICA: SOLUCION, PRESENTACION: ENVASE X 500 CM3</t>
  </si>
  <si>
    <t>2.5.7-7051.45</t>
  </si>
  <si>
    <t>2.5.7-2964.44</t>
  </si>
  <si>
    <t>COMPL VITAMINICOS VETERINARIOS; TIPO: ASOCIACION, DROGA GENERICA: COBRE + ZINC + VITAM. A, E, D3, FORMA FARMACEUTICA: SOLUCION, PRESENTACION: ENVASE X 500 mL</t>
  </si>
  <si>
    <t>2.5.7-2985.18</t>
  </si>
  <si>
    <t>CICATRIZANTES VETERINARIOS; TIPO: ASOCIACION, DROGA GENERICA: SULFATIZINA + PLATA 0,1 GS...., FORMA FARMACEUTICA: AEROSOL, PRESENTACION: ENVASE X 440 mL</t>
  </si>
  <si>
    <t>2.5.7-7051.66</t>
  </si>
  <si>
    <t>ANTIPARASITARIOS VETERINARIOS; TIPO: MONODROGA, DROGA GENERICA: CIPERMETRINA, FORMA FARMACEUTICA: LIQUIDO, PRESENTACION: ENVASE X 1 L</t>
  </si>
  <si>
    <t>2.1.2-2888.6</t>
  </si>
  <si>
    <t>ALIMENTOS</t>
  </si>
  <si>
    <t>ALIMENTOS Y FORRAJES; CAPACIDAD: 20 Kg, DESTINATARIO: GANADO BOVINO, TIPO: SAL DE PIEDRA, PRESENTACION: EN PANES X 20 Kg, USO: GANADO BOVINO</t>
  </si>
  <si>
    <t>2.1.2-2888.41</t>
  </si>
  <si>
    <t>ALIMENTOS Y FORRAJES; TIPO: MAIZ ENTERO, PRESENTACION: SEGÚN PLIEGO, USO: SEGÚN PLIEGO</t>
  </si>
  <si>
    <t>2.1.4-7179.32</t>
  </si>
  <si>
    <t>AGRIC,GANADERIA,CAZA,SILVICULT</t>
  </si>
  <si>
    <t>SEMILLAS; TIPO: ALFALFA, PRESENTACION: ENVASE X 25 Kg</t>
  </si>
  <si>
    <t>2.5.7-7051.18</t>
  </si>
  <si>
    <t>ANTIPARASITARIOS VETERINARIOS; TIPO: MONODROGA, DROGA GENERICA: CIPERMETRINA AL 5%, FORMA FARMACEUTICA: SOLUCION, PRESENTACION: ENVASE X 5 L</t>
  </si>
  <si>
    <t>2.5.3-3960.8</t>
  </si>
  <si>
    <t>FERTILIZANTES; TIPO: UREA GRANULADA, PRESENTACION: BOLSA X 50 Kg</t>
  </si>
  <si>
    <t>2.5.3-3960.16</t>
  </si>
  <si>
    <t>FERTILIZANTES; TIPO: TRIPLE 15, PRESENTACION: 50 Kg</t>
  </si>
  <si>
    <t>2.5.3-3960.23</t>
  </si>
  <si>
    <t>FERTILIZANTES; TIPO: FOSFATO DIAMONICO , PRESENTACION: BOLSA X 50 Kg</t>
  </si>
  <si>
    <t>2.1.2-2888.1</t>
  </si>
  <si>
    <t>ALIMENTOS Y FORRAJES; TIPO: HENO DE ALFALFA, PRESENTACION: FARDO X 25 Kg, CAPACIDAD: 25 Kg, DESTINATARIO: GANADO BOVINO, USO: GANADO BOVINO</t>
  </si>
  <si>
    <t>Autorizo la realización de los  trámites correspondientes, a fin de proveer a  este Organismo los bienes que se detallan en Nota  de Pedido N° 02/ 2022 afectando la erogación resultante a los créditos presupuestarios aprobados a favor de esta Unidad Ejecutora, conforme al siguiente detalle:</t>
  </si>
  <si>
    <t>ESPECIFICOS VETERINARIOS</t>
  </si>
  <si>
    <t>ALIMENTO PARA ANIMALES</t>
  </si>
  <si>
    <t>PRODUCTOS AGROFORESTALES</t>
  </si>
  <si>
    <t>ABONOS Y FERTILIZANTES</t>
  </si>
  <si>
    <t>ADQUISICION DE ESPECIFICOS VETERINARIOS E INSUMOS PARA AGRONOMIAS DE ZONA</t>
  </si>
  <si>
    <t>3 TRIMESTRE 2022</t>
  </si>
  <si>
    <t>Especialidades item N°1 a 5</t>
  </si>
  <si>
    <t>SEGÚN DESCRIPCION DEL ITEM</t>
  </si>
  <si>
    <t>a)  FORMA DE LA ENTREGA   : AV. VENEZUELA S/N - C.A.P.E - PABELLON N° 28 -SAN FERNANDO DEL VALLE DE CATAMARCA- CATAMARCA. Presentar  Remito que deberá cumplimentar lo dispuesto por la R.G. AFIP 1415/03, sin excepción en las oficinas del Área Compras del Ministerio de Inclusion Digital y Sistemas Productivos. 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</si>
  <si>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30 DIAS</t>
  </si>
  <si>
    <t>Especialidades Item 6</t>
  </si>
  <si>
    <t>MAIZ ENTERO EN BOLSA X 30KG - FORRAJE PARA GANADO</t>
  </si>
  <si>
    <t>DEBERA SER DE PRIMERA CALIDAD</t>
  </si>
  <si>
    <t>Especialidades item N°7 a 12</t>
  </si>
  <si>
    <t>Costo Total Estimado: OCHO MILLONES DOSCIENTOS MIL CON 00/100</t>
  </si>
  <si>
    <t>TOTAL DE PESOS:OCHO MILLONES DOSCIENTOS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</si>
</sst>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#,##0.00"/>
    <numFmt numFmtId="169" formatCode="&quot;$&quot;\ #,##0.00"/>
  </numFmts>
  <fonts count="48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Times New Roman"/>
      <family val="1"/>
      <charset val="1"/>
    </font>
    <font>
      <b/>
      <sz val="12"/>
      <name val="Times New Roman"/>
      <family val="1"/>
    </font>
    <font>
      <sz val="10"/>
      <name val="Calibri 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90">
    <xf numFmtId="0" fontId="0" fillId="0" borderId="0"/>
    <xf numFmtId="0" fontId="6" fillId="0" borderId="1" applyProtection="0"/>
    <xf numFmtId="164" fontId="7" fillId="0" borderId="0" applyBorder="0" applyProtection="0"/>
    <xf numFmtId="0" fontId="8" fillId="2" borderId="0" applyBorder="0" applyProtection="0"/>
    <xf numFmtId="0" fontId="5" fillId="0" borderId="0"/>
    <xf numFmtId="0" fontId="23" fillId="0" borderId="0"/>
    <xf numFmtId="0" fontId="32" fillId="0" borderId="0" applyNumberFormat="0" applyFill="0" applyBorder="0" applyAlignment="0" applyProtection="0"/>
    <xf numFmtId="0" fontId="33" fillId="0" borderId="64" applyNumberFormat="0" applyFill="0" applyAlignment="0" applyProtection="0"/>
    <xf numFmtId="0" fontId="34" fillId="0" borderId="65" applyNumberFormat="0" applyFill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7" borderId="66" applyNumberFormat="0" applyAlignment="0" applyProtection="0"/>
    <xf numFmtId="0" fontId="38" fillId="8" borderId="67" applyNumberFormat="0" applyAlignment="0" applyProtection="0"/>
    <xf numFmtId="0" fontId="39" fillId="8" borderId="66" applyNumberFormat="0" applyAlignment="0" applyProtection="0"/>
    <xf numFmtId="0" fontId="40" fillId="0" borderId="68" applyNumberFormat="0" applyFill="0" applyAlignment="0" applyProtection="0"/>
    <xf numFmtId="0" fontId="41" fillId="9" borderId="69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71" applyNumberFormat="0" applyFill="0" applyAlignment="0" applyProtection="0"/>
    <xf numFmtId="0" fontId="45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5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6" fillId="0" borderId="72" applyNumberFormat="0" applyFill="0" applyAlignment="0" applyProtection="0"/>
    <xf numFmtId="0" fontId="47" fillId="6" borderId="0" applyNumberFormat="0" applyBorder="0" applyAlignment="0" applyProtection="0"/>
    <xf numFmtId="0" fontId="4" fillId="10" borderId="70" applyNumberFormat="0" applyFont="0" applyAlignment="0" applyProtection="0"/>
    <xf numFmtId="0" fontId="45" fillId="14" borderId="0" applyNumberFormat="0" applyBorder="0" applyAlignment="0" applyProtection="0"/>
    <xf numFmtId="0" fontId="45" fillId="18" borderId="0" applyNumberFormat="0" applyBorder="0" applyAlignment="0" applyProtection="0"/>
    <xf numFmtId="0" fontId="45" fillId="22" borderId="0" applyNumberFormat="0" applyBorder="0" applyAlignment="0" applyProtection="0"/>
    <xf numFmtId="0" fontId="45" fillId="26" borderId="0" applyNumberFormat="0" applyBorder="0" applyAlignment="0" applyProtection="0"/>
    <xf numFmtId="0" fontId="45" fillId="30" borderId="0" applyNumberFormat="0" applyBorder="0" applyAlignment="0" applyProtection="0"/>
    <xf numFmtId="0" fontId="45" fillId="34" borderId="0" applyNumberFormat="0" applyBorder="0" applyAlignment="0" applyProtection="0"/>
    <xf numFmtId="0" fontId="3" fillId="0" borderId="0"/>
    <xf numFmtId="0" fontId="3" fillId="10" borderId="70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" fillId="0" borderId="0"/>
    <xf numFmtId="0" fontId="2" fillId="10" borderId="70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0" borderId="0"/>
    <xf numFmtId="0" fontId="1" fillId="10" borderId="70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46">
    <xf numFmtId="0" fontId="0" fillId="0" borderId="0" xfId="0"/>
    <xf numFmtId="0" fontId="7" fillId="0" borderId="0" xfId="0" applyFont="1" applyAlignment="1">
      <alignment vertical="center"/>
    </xf>
    <xf numFmtId="0" fontId="10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 indent="1"/>
    </xf>
    <xf numFmtId="0" fontId="11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5" fillId="0" borderId="19" xfId="0" applyNumberFormat="1" applyFont="1" applyBorder="1"/>
    <xf numFmtId="166" fontId="0" fillId="0" borderId="19" xfId="0" applyNumberFormat="1" applyBorder="1" applyAlignment="1">
      <alignment horizontal="left"/>
    </xf>
    <xf numFmtId="0" fontId="0" fillId="0" borderId="19" xfId="0" applyBorder="1"/>
    <xf numFmtId="0" fontId="0" fillId="0" borderId="12" xfId="0" applyBorder="1"/>
    <xf numFmtId="166" fontId="0" fillId="0" borderId="0" xfId="0" applyNumberFormat="1" applyAlignment="1">
      <alignment horizontal="left"/>
    </xf>
    <xf numFmtId="0" fontId="0" fillId="0" borderId="7" xfId="0" applyBorder="1"/>
    <xf numFmtId="0" fontId="7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5" xfId="0" applyBorder="1"/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7" fontId="0" fillId="0" borderId="40" xfId="2" applyNumberFormat="1" applyFont="1" applyBorder="1" applyAlignment="1" applyProtection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7" fontId="0" fillId="0" borderId="44" xfId="2" applyNumberFormat="1" applyFont="1" applyBorder="1" applyAlignment="1" applyProtection="1">
      <alignment horizontal="center" vertical="center"/>
    </xf>
    <xf numFmtId="167" fontId="19" fillId="0" borderId="46" xfId="0" applyNumberFormat="1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167" fontId="20" fillId="0" borderId="35" xfId="2" applyNumberFormat="1" applyFont="1" applyBorder="1" applyAlignment="1" applyProtection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0" fillId="0" borderId="48" xfId="0" applyBorder="1" applyAlignment="1">
      <alignment horizontal="center" vertical="center"/>
    </xf>
    <xf numFmtId="0" fontId="22" fillId="0" borderId="0" xfId="0" applyFont="1"/>
    <xf numFmtId="0" fontId="22" fillId="0" borderId="9" xfId="0" applyFont="1" applyBorder="1" applyAlignment="1">
      <alignment horizontal="center" vertical="center"/>
    </xf>
    <xf numFmtId="0" fontId="25" fillId="0" borderId="0" xfId="0" applyFont="1"/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7" fillId="0" borderId="0" xfId="0" applyFont="1" applyAlignment="1">
      <alignment wrapText="1"/>
    </xf>
    <xf numFmtId="0" fontId="24" fillId="0" borderId="56" xfId="0" applyFont="1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24" fillId="0" borderId="62" xfId="0" applyFont="1" applyBorder="1"/>
    <xf numFmtId="0" fontId="0" fillId="0" borderId="62" xfId="0" applyBorder="1"/>
    <xf numFmtId="0" fontId="0" fillId="0" borderId="63" xfId="0" applyBorder="1"/>
    <xf numFmtId="0" fontId="28" fillId="0" borderId="55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/>
    </xf>
    <xf numFmtId="3" fontId="27" fillId="0" borderId="55" xfId="0" applyNumberFormat="1" applyFont="1" applyBorder="1" applyAlignment="1">
      <alignment horizontal="center" vertical="center"/>
    </xf>
    <xf numFmtId="168" fontId="27" fillId="0" borderId="55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wrapText="1"/>
    </xf>
    <xf numFmtId="0" fontId="25" fillId="0" borderId="60" xfId="0" applyFont="1" applyBorder="1" applyAlignment="1">
      <alignment horizontal="left" wrapText="1"/>
    </xf>
    <xf numFmtId="0" fontId="25" fillId="0" borderId="0" xfId="0" applyFont="1" applyAlignment="1">
      <alignment horizontal="left"/>
    </xf>
    <xf numFmtId="0" fontId="28" fillId="3" borderId="55" xfId="0" applyFont="1" applyFill="1" applyBorder="1" applyAlignment="1">
      <alignment horizontal="center" vertical="center" wrapText="1"/>
    </xf>
    <xf numFmtId="0" fontId="27" fillId="3" borderId="55" xfId="0" applyFont="1" applyFill="1" applyBorder="1" applyAlignment="1">
      <alignment horizontal="center" vertical="center"/>
    </xf>
    <xf numFmtId="168" fontId="27" fillId="3" borderId="55" xfId="0" applyNumberFormat="1" applyFont="1" applyFill="1" applyBorder="1" applyAlignment="1">
      <alignment horizontal="center" vertical="center"/>
    </xf>
    <xf numFmtId="0" fontId="23" fillId="0" borderId="62" xfId="5" applyBorder="1"/>
    <xf numFmtId="0" fontId="24" fillId="0" borderId="62" xfId="5" applyFont="1" applyBorder="1"/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0" fillId="0" borderId="57" xfId="0" applyBorder="1" applyAlignment="1">
      <alignment vertical="top"/>
    </xf>
    <xf numFmtId="0" fontId="0" fillId="0" borderId="57" xfId="0" applyBorder="1" applyAlignment="1">
      <alignment horizontal="left"/>
    </xf>
    <xf numFmtId="169" fontId="27" fillId="0" borderId="55" xfId="0" applyNumberFormat="1" applyFont="1" applyBorder="1" applyAlignment="1">
      <alignment horizontal="center" vertical="center"/>
    </xf>
    <xf numFmtId="169" fontId="27" fillId="3" borderId="55" xfId="0" applyNumberFormat="1" applyFont="1" applyFill="1" applyBorder="1" applyAlignment="1">
      <alignment horizontal="center" vertical="center"/>
    </xf>
    <xf numFmtId="0" fontId="25" fillId="0" borderId="62" xfId="0" applyFont="1" applyBorder="1"/>
    <xf numFmtId="0" fontId="25" fillId="0" borderId="0" xfId="0" applyFont="1" applyAlignment="1">
      <alignment horizontal="center" wrapText="1"/>
    </xf>
    <xf numFmtId="0" fontId="25" fillId="0" borderId="60" xfId="0" applyFont="1" applyBorder="1" applyAlignment="1">
      <alignment horizontal="center" wrapText="1"/>
    </xf>
    <xf numFmtId="0" fontId="25" fillId="0" borderId="0" xfId="0" applyFont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60" xfId="0" applyBorder="1" applyAlignment="1">
      <alignment horizontal="center"/>
    </xf>
    <xf numFmtId="0" fontId="25" fillId="0" borderId="0" xfId="0" applyFont="1" applyAlignment="1">
      <alignment horizontal="left" wrapText="1"/>
    </xf>
    <xf numFmtId="0" fontId="25" fillId="0" borderId="60" xfId="0" applyFont="1" applyBorder="1" applyAlignment="1">
      <alignment horizontal="left" wrapText="1"/>
    </xf>
    <xf numFmtId="0" fontId="26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 indent="1"/>
    </xf>
    <xf numFmtId="0" fontId="11" fillId="0" borderId="47" xfId="0" applyFont="1" applyBorder="1" applyAlignment="1">
      <alignment horizontal="left" vertical="center" wrapText="1" indent="1"/>
    </xf>
    <xf numFmtId="0" fontId="11" fillId="0" borderId="18" xfId="0" applyFont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 indent="1"/>
    </xf>
    <xf numFmtId="0" fontId="11" fillId="0" borderId="52" xfId="0" applyFont="1" applyBorder="1" applyAlignment="1">
      <alignment horizontal="left" vertical="center" wrapText="1" indent="1"/>
    </xf>
    <xf numFmtId="0" fontId="11" fillId="0" borderId="53" xfId="0" applyFont="1" applyBorder="1" applyAlignment="1">
      <alignment horizontal="left" vertical="center" wrapText="1" indent="1"/>
    </xf>
    <xf numFmtId="0" fontId="11" fillId="0" borderId="54" xfId="0" applyFont="1" applyBorder="1" applyAlignment="1">
      <alignment horizontal="left" vertical="center" wrapText="1" indent="1"/>
    </xf>
    <xf numFmtId="165" fontId="30" fillId="0" borderId="52" xfId="0" applyNumberFormat="1" applyFont="1" applyBorder="1" applyAlignment="1">
      <alignment horizontal="center" vertical="center"/>
    </xf>
    <xf numFmtId="165" fontId="30" fillId="0" borderId="5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1" fillId="0" borderId="73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3" fontId="15" fillId="0" borderId="18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7" fillId="0" borderId="20" xfId="0" applyFont="1" applyBorder="1"/>
    <xf numFmtId="0" fontId="20" fillId="0" borderId="21" xfId="0" applyFont="1" applyBorder="1" applyAlignment="1">
      <alignment horizontal="left" indent="1"/>
    </xf>
    <xf numFmtId="0" fontId="14" fillId="0" borderId="20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49" fontId="17" fillId="0" borderId="24" xfId="0" applyNumberFormat="1" applyFont="1" applyBorder="1" applyAlignment="1">
      <alignment horizontal="justify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15" fillId="0" borderId="9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0" fontId="17" fillId="0" borderId="16" xfId="0" applyFont="1" applyBorder="1" applyAlignment="1">
      <alignment horizontal="left" vertical="center" wrapText="1" indent="1"/>
    </xf>
    <xf numFmtId="0" fontId="0" fillId="0" borderId="42" xfId="0" applyBorder="1" applyAlignment="1">
      <alignment horizontal="left" vertical="center"/>
    </xf>
    <xf numFmtId="0" fontId="15" fillId="0" borderId="45" xfId="0" applyFont="1" applyBorder="1" applyAlignment="1">
      <alignment horizontal="left" vertical="center" wrapText="1"/>
    </xf>
    <xf numFmtId="0" fontId="0" fillId="0" borderId="23" xfId="0" applyBorder="1"/>
    <xf numFmtId="0" fontId="25" fillId="0" borderId="59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90">
    <cellStyle name="20% - Énfasis1" xfId="21" builtinId="30" customBuiltin="1"/>
    <cellStyle name="20% - Énfasis1 2" xfId="50" xr:uid="{00000000-0005-0000-0000-000001000000}"/>
    <cellStyle name="20% - Énfasis1 3" xfId="64" xr:uid="{00000000-0005-0000-0000-000002000000}"/>
    <cellStyle name="20% - Énfasis1 4" xfId="78" xr:uid="{00000000-0005-0000-0000-000003000000}"/>
    <cellStyle name="20% - Énfasis2" xfId="24" builtinId="34" customBuiltin="1"/>
    <cellStyle name="20% - Énfasis2 2" xfId="52" xr:uid="{00000000-0005-0000-0000-000005000000}"/>
    <cellStyle name="20% - Énfasis2 3" xfId="66" xr:uid="{00000000-0005-0000-0000-000006000000}"/>
    <cellStyle name="20% - Énfasis2 4" xfId="80" xr:uid="{00000000-0005-0000-0000-000007000000}"/>
    <cellStyle name="20% - Énfasis3" xfId="27" builtinId="38" customBuiltin="1"/>
    <cellStyle name="20% - Énfasis3 2" xfId="54" xr:uid="{00000000-0005-0000-0000-000009000000}"/>
    <cellStyle name="20% - Énfasis3 3" xfId="68" xr:uid="{00000000-0005-0000-0000-00000A000000}"/>
    <cellStyle name="20% - Énfasis3 4" xfId="82" xr:uid="{00000000-0005-0000-0000-00000B000000}"/>
    <cellStyle name="20% - Énfasis4" xfId="30" builtinId="42" customBuiltin="1"/>
    <cellStyle name="20% - Énfasis4 2" xfId="56" xr:uid="{00000000-0005-0000-0000-00000D000000}"/>
    <cellStyle name="20% - Énfasis4 3" xfId="70" xr:uid="{00000000-0005-0000-0000-00000E000000}"/>
    <cellStyle name="20% - Énfasis4 4" xfId="84" xr:uid="{00000000-0005-0000-0000-00000F000000}"/>
    <cellStyle name="20% - Énfasis5" xfId="33" builtinId="46" customBuiltin="1"/>
    <cellStyle name="20% - Énfasis5 2" xfId="58" xr:uid="{00000000-0005-0000-0000-000011000000}"/>
    <cellStyle name="20% - Énfasis5 3" xfId="72" xr:uid="{00000000-0005-0000-0000-000012000000}"/>
    <cellStyle name="20% - Énfasis5 4" xfId="86" xr:uid="{00000000-0005-0000-0000-000013000000}"/>
    <cellStyle name="20% - Énfasis6" xfId="36" builtinId="50" customBuiltin="1"/>
    <cellStyle name="20% - Énfasis6 2" xfId="60" xr:uid="{00000000-0005-0000-0000-000015000000}"/>
    <cellStyle name="20% - Énfasis6 3" xfId="74" xr:uid="{00000000-0005-0000-0000-000016000000}"/>
    <cellStyle name="20% - Énfasis6 4" xfId="88" xr:uid="{00000000-0005-0000-0000-000017000000}"/>
    <cellStyle name="40% - Énfasis1" xfId="22" builtinId="31" customBuiltin="1"/>
    <cellStyle name="40% - Énfasis1 2" xfId="51" xr:uid="{00000000-0005-0000-0000-000019000000}"/>
    <cellStyle name="40% - Énfasis1 3" xfId="65" xr:uid="{00000000-0005-0000-0000-00001A000000}"/>
    <cellStyle name="40% - Énfasis1 4" xfId="79" xr:uid="{00000000-0005-0000-0000-00001B000000}"/>
    <cellStyle name="40% - Énfasis2" xfId="25" builtinId="35" customBuiltin="1"/>
    <cellStyle name="40% - Énfasis2 2" xfId="53" xr:uid="{00000000-0005-0000-0000-00001D000000}"/>
    <cellStyle name="40% - Énfasis2 3" xfId="67" xr:uid="{00000000-0005-0000-0000-00001E000000}"/>
    <cellStyle name="40% - Énfasis2 4" xfId="81" xr:uid="{00000000-0005-0000-0000-00001F000000}"/>
    <cellStyle name="40% - Énfasis3" xfId="28" builtinId="39" customBuiltin="1"/>
    <cellStyle name="40% - Énfasis3 2" xfId="55" xr:uid="{00000000-0005-0000-0000-000021000000}"/>
    <cellStyle name="40% - Énfasis3 3" xfId="69" xr:uid="{00000000-0005-0000-0000-000022000000}"/>
    <cellStyle name="40% - Énfasis3 4" xfId="83" xr:uid="{00000000-0005-0000-0000-000023000000}"/>
    <cellStyle name="40% - Énfasis4" xfId="31" builtinId="43" customBuiltin="1"/>
    <cellStyle name="40% - Énfasis4 2" xfId="57" xr:uid="{00000000-0005-0000-0000-000025000000}"/>
    <cellStyle name="40% - Énfasis4 3" xfId="71" xr:uid="{00000000-0005-0000-0000-000026000000}"/>
    <cellStyle name="40% - Énfasis4 4" xfId="85" xr:uid="{00000000-0005-0000-0000-000027000000}"/>
    <cellStyle name="40% - Énfasis5" xfId="34" builtinId="47" customBuiltin="1"/>
    <cellStyle name="40% - Énfasis5 2" xfId="59" xr:uid="{00000000-0005-0000-0000-000029000000}"/>
    <cellStyle name="40% - Énfasis5 3" xfId="73" xr:uid="{00000000-0005-0000-0000-00002A000000}"/>
    <cellStyle name="40% - Énfasis5 4" xfId="87" xr:uid="{00000000-0005-0000-0000-00002B000000}"/>
    <cellStyle name="40% - Énfasis6" xfId="37" builtinId="51" customBuiltin="1"/>
    <cellStyle name="40% - Énfasis6 2" xfId="61" xr:uid="{00000000-0005-0000-0000-00002D000000}"/>
    <cellStyle name="40% - Énfasis6 3" xfId="75" xr:uid="{00000000-0005-0000-0000-00002E000000}"/>
    <cellStyle name="40% - Énfasis6 4" xfId="89" xr:uid="{00000000-0005-0000-0000-00002F000000}"/>
    <cellStyle name="60% - Énfasis1 2" xfId="42" xr:uid="{00000000-0005-0000-0000-000030000000}"/>
    <cellStyle name="60% - Énfasis2 2" xfId="43" xr:uid="{00000000-0005-0000-0000-000031000000}"/>
    <cellStyle name="60% - Énfasis3 2" xfId="44" xr:uid="{00000000-0005-0000-0000-000032000000}"/>
    <cellStyle name="60% - Énfasis4 2" xfId="45" xr:uid="{00000000-0005-0000-0000-000033000000}"/>
    <cellStyle name="60% - Énfasis5 2" xfId="46" xr:uid="{00000000-0005-0000-0000-000034000000}"/>
    <cellStyle name="60% - Énfasis6 2" xfId="47" xr:uid="{00000000-0005-0000-0000-000035000000}"/>
    <cellStyle name="Bueno" xfId="10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1" xr:uid="{00000000-0005-0000-0000-00003A000000}"/>
    <cellStyle name="Encabezado 1 2" xfId="39" xr:uid="{00000000-0005-0000-0000-00003B000000}"/>
    <cellStyle name="Encabezado 4" xfId="9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2" builtinId="20" customBuiltin="1"/>
    <cellStyle name="Incorrecto" xfId="11" builtinId="27" customBuiltin="1"/>
    <cellStyle name="Moneda_AUTORIZACION Y NOTA DE PEDIDO" xfId="2" xr:uid="{00000000-0005-0000-0000-000045000000}"/>
    <cellStyle name="Neutral 1" xfId="3" xr:uid="{00000000-0005-0000-0000-000046000000}"/>
    <cellStyle name="Neutral 2" xfId="40" xr:uid="{00000000-0005-0000-0000-000047000000}"/>
    <cellStyle name="Normal" xfId="0" builtinId="0"/>
    <cellStyle name="Normal 2" xfId="4" xr:uid="{00000000-0005-0000-0000-000049000000}"/>
    <cellStyle name="Normal 3" xfId="5" xr:uid="{00000000-0005-0000-0000-00004A000000}"/>
    <cellStyle name="Normal 4" xfId="38" xr:uid="{00000000-0005-0000-0000-00004B000000}"/>
    <cellStyle name="Normal 5" xfId="48" xr:uid="{00000000-0005-0000-0000-00004C000000}"/>
    <cellStyle name="Normal 6" xfId="62" xr:uid="{00000000-0005-0000-0000-00004D000000}"/>
    <cellStyle name="Normal 7" xfId="76" xr:uid="{00000000-0005-0000-0000-00004E000000}"/>
    <cellStyle name="Notas 2" xfId="41" xr:uid="{00000000-0005-0000-0000-00004F000000}"/>
    <cellStyle name="Notas 3" xfId="49" xr:uid="{00000000-0005-0000-0000-000050000000}"/>
    <cellStyle name="Notas 4" xfId="63" xr:uid="{00000000-0005-0000-0000-000051000000}"/>
    <cellStyle name="Notas 5" xfId="77" xr:uid="{00000000-0005-0000-0000-000052000000}"/>
    <cellStyle name="Salida" xfId="13" builtinId="21" customBuiltin="1"/>
    <cellStyle name="Texto de advertencia" xfId="17" builtinId="11" customBuiltin="1"/>
    <cellStyle name="Texto explicativo" xfId="18" builtinId="53" customBuiltin="1"/>
    <cellStyle name="Título" xfId="6" builtinId="15" customBuiltin="1"/>
    <cellStyle name="Título 2" xfId="7" builtinId="17" customBuiltin="1"/>
    <cellStyle name="Título 3" xfId="8" builtinId="18" customBuiltin="1"/>
    <cellStyle name="Total" xfId="19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7"/>
  <sheetViews>
    <sheetView tabSelected="1" topLeftCell="A7" zoomScale="106" zoomScaleNormal="106" workbookViewId="0">
      <selection activeCell="J7" sqref="J1:J1048576"/>
    </sheetView>
  </sheetViews>
  <sheetFormatPr baseColWidth="10" defaultRowHeight="12.75"/>
  <cols>
    <col min="1" max="1" width="5.5703125" customWidth="1"/>
    <col min="2" max="2" width="20.5703125" customWidth="1"/>
    <col min="3" max="3" width="32.28515625" customWidth="1"/>
    <col min="5" max="5" width="31" customWidth="1"/>
    <col min="6" max="6" width="10.28515625" customWidth="1"/>
    <col min="7" max="7" width="10.7109375" customWidth="1"/>
    <col min="8" max="8" width="11.5703125" bestFit="1" customWidth="1"/>
    <col min="9" max="9" width="12.7109375" bestFit="1" customWidth="1"/>
  </cols>
  <sheetData>
    <row r="2" spans="1:10" ht="18" customHeight="1">
      <c r="B2" s="101" t="s">
        <v>51</v>
      </c>
      <c r="C2" s="101"/>
      <c r="D2" s="76"/>
      <c r="E2" s="76"/>
      <c r="F2" s="76"/>
      <c r="G2" s="76"/>
      <c r="H2" s="76"/>
      <c r="I2" s="76"/>
    </row>
    <row r="4" spans="1:10">
      <c r="A4" s="54" t="s">
        <v>55</v>
      </c>
      <c r="B4" s="54"/>
      <c r="C4" s="54"/>
      <c r="D4" s="54"/>
      <c r="E4" s="54"/>
      <c r="F4" s="54"/>
      <c r="G4" s="54"/>
      <c r="H4" s="54"/>
      <c r="I4" s="54"/>
    </row>
    <row r="5" spans="1:10">
      <c r="A5" s="54" t="s">
        <v>59</v>
      </c>
      <c r="B5" s="54"/>
      <c r="C5" s="54"/>
      <c r="D5" s="54"/>
      <c r="E5" s="54"/>
      <c r="F5" s="54"/>
      <c r="G5" s="54"/>
      <c r="H5" s="54"/>
      <c r="I5" s="54"/>
    </row>
    <row r="6" spans="1:10">
      <c r="A6" s="54" t="s">
        <v>56</v>
      </c>
      <c r="B6" s="54"/>
      <c r="C6" s="54"/>
      <c r="D6" s="54"/>
      <c r="E6" s="54"/>
      <c r="F6" s="54"/>
      <c r="G6" s="54"/>
      <c r="H6" s="54"/>
      <c r="I6" s="54"/>
    </row>
    <row r="7" spans="1:10">
      <c r="A7" s="54" t="s">
        <v>61</v>
      </c>
      <c r="B7" s="54"/>
      <c r="C7" s="54"/>
      <c r="D7" s="54"/>
      <c r="E7" s="54"/>
      <c r="F7" s="54"/>
      <c r="G7" s="54"/>
      <c r="H7" s="54"/>
      <c r="I7" s="54"/>
    </row>
    <row r="8" spans="1:10">
      <c r="A8" s="54"/>
      <c r="B8" s="54"/>
      <c r="C8" s="54"/>
      <c r="D8" s="54"/>
      <c r="E8" s="54"/>
      <c r="F8" s="54"/>
      <c r="G8" s="54"/>
      <c r="H8" s="54"/>
      <c r="I8" s="54"/>
    </row>
    <row r="9" spans="1:10" ht="13.5" thickBot="1">
      <c r="A9" s="54"/>
      <c r="B9" s="54"/>
      <c r="C9" s="54"/>
      <c r="D9" s="54"/>
      <c r="E9" s="54"/>
      <c r="F9" s="54"/>
      <c r="G9" s="54"/>
      <c r="H9" s="54"/>
      <c r="I9" s="54"/>
    </row>
    <row r="10" spans="1:10" ht="38.25" customHeight="1" thickBot="1">
      <c r="A10" s="55" t="s">
        <v>39</v>
      </c>
      <c r="B10" s="47" t="s">
        <v>40</v>
      </c>
      <c r="C10" s="48" t="s">
        <v>41</v>
      </c>
      <c r="D10" s="48" t="s">
        <v>42</v>
      </c>
      <c r="E10" s="48" t="s">
        <v>43</v>
      </c>
      <c r="F10" s="49" t="s">
        <v>44</v>
      </c>
      <c r="G10" s="48" t="s">
        <v>45</v>
      </c>
      <c r="H10" s="49" t="s">
        <v>46</v>
      </c>
      <c r="I10" s="50" t="s">
        <v>53</v>
      </c>
    </row>
    <row r="11" spans="1:10" ht="81.75" customHeight="1">
      <c r="A11" s="53">
        <v>1</v>
      </c>
      <c r="B11" s="72" t="s">
        <v>64</v>
      </c>
      <c r="C11" s="72" t="s">
        <v>62</v>
      </c>
      <c r="D11" s="72">
        <v>257</v>
      </c>
      <c r="E11" s="72" t="s">
        <v>63</v>
      </c>
      <c r="F11" s="73" t="s">
        <v>50</v>
      </c>
      <c r="G11" s="74">
        <v>100</v>
      </c>
      <c r="H11" s="75">
        <v>2000</v>
      </c>
      <c r="I11" s="75">
        <f t="shared" ref="I11:I22" si="0">H11*G11</f>
        <v>200000</v>
      </c>
      <c r="J11" s="51"/>
    </row>
    <row r="12" spans="1:10" ht="68.25" customHeight="1">
      <c r="A12" s="53">
        <v>2</v>
      </c>
      <c r="B12" s="72" t="s">
        <v>67</v>
      </c>
      <c r="C12" s="72" t="s">
        <v>62</v>
      </c>
      <c r="D12" s="73">
        <v>257</v>
      </c>
      <c r="E12" s="72" t="s">
        <v>68</v>
      </c>
      <c r="F12" s="73" t="s">
        <v>50</v>
      </c>
      <c r="G12" s="72">
        <v>100</v>
      </c>
      <c r="H12" s="73">
        <v>700</v>
      </c>
      <c r="I12" s="75">
        <f t="shared" si="0"/>
        <v>70000</v>
      </c>
    </row>
    <row r="13" spans="1:10" ht="69.75" customHeight="1">
      <c r="A13" s="53">
        <v>3</v>
      </c>
      <c r="B13" s="72" t="s">
        <v>69</v>
      </c>
      <c r="C13" s="72" t="s">
        <v>62</v>
      </c>
      <c r="D13" s="72">
        <v>257</v>
      </c>
      <c r="E13" s="72" t="s">
        <v>70</v>
      </c>
      <c r="F13" s="73" t="s">
        <v>50</v>
      </c>
      <c r="G13" s="73">
        <v>100</v>
      </c>
      <c r="H13" s="73">
        <v>1500</v>
      </c>
      <c r="I13" s="75">
        <f t="shared" si="0"/>
        <v>150000</v>
      </c>
    </row>
    <row r="14" spans="1:10" ht="84" customHeight="1">
      <c r="A14" s="53">
        <v>4</v>
      </c>
      <c r="B14" s="72" t="s">
        <v>65</v>
      </c>
      <c r="C14" s="72" t="s">
        <v>62</v>
      </c>
      <c r="D14" s="73">
        <v>257</v>
      </c>
      <c r="E14" s="72" t="s">
        <v>66</v>
      </c>
      <c r="F14" s="73" t="s">
        <v>50</v>
      </c>
      <c r="G14" s="73">
        <v>100</v>
      </c>
      <c r="H14" s="73">
        <v>2000</v>
      </c>
      <c r="I14" s="75">
        <f t="shared" si="0"/>
        <v>200000</v>
      </c>
    </row>
    <row r="15" spans="1:10" ht="63.75">
      <c r="A15" s="53">
        <v>5</v>
      </c>
      <c r="B15" s="87" t="s">
        <v>71</v>
      </c>
      <c r="C15" s="72" t="s">
        <v>72</v>
      </c>
      <c r="D15" s="72">
        <v>212</v>
      </c>
      <c r="E15" s="72" t="s">
        <v>73</v>
      </c>
      <c r="F15" s="73" t="s">
        <v>50</v>
      </c>
      <c r="G15" s="73">
        <v>100</v>
      </c>
      <c r="H15" s="73">
        <v>650</v>
      </c>
      <c r="I15" s="75">
        <f t="shared" si="0"/>
        <v>65000</v>
      </c>
    </row>
    <row r="16" spans="1:10" ht="38.25" customHeight="1">
      <c r="A16" s="53">
        <v>6</v>
      </c>
      <c r="B16" s="72" t="s">
        <v>74</v>
      </c>
      <c r="C16" s="72" t="s">
        <v>72</v>
      </c>
      <c r="D16" s="72">
        <v>212</v>
      </c>
      <c r="E16" s="72" t="s">
        <v>75</v>
      </c>
      <c r="F16" s="73" t="s">
        <v>50</v>
      </c>
      <c r="G16" s="73">
        <v>3000</v>
      </c>
      <c r="H16" s="73">
        <v>35</v>
      </c>
      <c r="I16" s="75">
        <f t="shared" si="0"/>
        <v>105000</v>
      </c>
      <c r="J16" s="145" t="s">
        <v>101</v>
      </c>
    </row>
    <row r="17" spans="1:9" ht="51" customHeight="1">
      <c r="A17" s="53">
        <v>7</v>
      </c>
      <c r="B17" s="72" t="s">
        <v>76</v>
      </c>
      <c r="C17" s="72" t="s">
        <v>77</v>
      </c>
      <c r="D17" s="72">
        <v>214</v>
      </c>
      <c r="E17" s="72" t="s">
        <v>78</v>
      </c>
      <c r="F17" s="73" t="s">
        <v>50</v>
      </c>
      <c r="G17" s="73">
        <v>100</v>
      </c>
      <c r="H17" s="73">
        <v>21000</v>
      </c>
      <c r="I17" s="75">
        <f t="shared" si="0"/>
        <v>2100000</v>
      </c>
    </row>
    <row r="18" spans="1:9" ht="71.25" customHeight="1">
      <c r="A18" s="53">
        <v>8</v>
      </c>
      <c r="B18" s="80" t="s">
        <v>79</v>
      </c>
      <c r="C18" s="80" t="s">
        <v>62</v>
      </c>
      <c r="D18" s="80">
        <v>257</v>
      </c>
      <c r="E18" s="80" t="s">
        <v>80</v>
      </c>
      <c r="F18" s="81" t="s">
        <v>50</v>
      </c>
      <c r="G18" s="81">
        <v>60</v>
      </c>
      <c r="H18" s="81">
        <v>16000</v>
      </c>
      <c r="I18" s="82">
        <f t="shared" si="0"/>
        <v>960000</v>
      </c>
    </row>
    <row r="19" spans="1:9" ht="38.25" customHeight="1">
      <c r="A19" s="53">
        <v>9</v>
      </c>
      <c r="B19" s="72" t="s">
        <v>81</v>
      </c>
      <c r="C19" s="72" t="s">
        <v>77</v>
      </c>
      <c r="D19" s="72">
        <v>253</v>
      </c>
      <c r="E19" s="72" t="s">
        <v>82</v>
      </c>
      <c r="F19" s="73" t="s">
        <v>50</v>
      </c>
      <c r="G19" s="73">
        <v>100</v>
      </c>
      <c r="H19" s="73">
        <v>8000</v>
      </c>
      <c r="I19" s="75">
        <f t="shared" si="0"/>
        <v>800000</v>
      </c>
    </row>
    <row r="20" spans="1:9" ht="38.25" customHeight="1">
      <c r="A20" s="53">
        <v>10</v>
      </c>
      <c r="B20" s="72" t="s">
        <v>83</v>
      </c>
      <c r="C20" s="72" t="s">
        <v>77</v>
      </c>
      <c r="D20" s="72">
        <v>253</v>
      </c>
      <c r="E20" s="72" t="s">
        <v>84</v>
      </c>
      <c r="F20" s="73" t="s">
        <v>50</v>
      </c>
      <c r="G20" s="73">
        <v>100</v>
      </c>
      <c r="H20" s="73">
        <v>8000</v>
      </c>
      <c r="I20" s="75">
        <f t="shared" si="0"/>
        <v>800000</v>
      </c>
    </row>
    <row r="21" spans="1:9" ht="38.25" customHeight="1">
      <c r="A21" s="53">
        <v>11</v>
      </c>
      <c r="B21" s="72" t="s">
        <v>85</v>
      </c>
      <c r="C21" s="72" t="s">
        <v>77</v>
      </c>
      <c r="D21" s="72">
        <v>253</v>
      </c>
      <c r="E21" s="72" t="s">
        <v>86</v>
      </c>
      <c r="F21" s="73" t="s">
        <v>50</v>
      </c>
      <c r="G21" s="73">
        <v>100</v>
      </c>
      <c r="H21" s="73">
        <v>9500</v>
      </c>
      <c r="I21" s="75">
        <f t="shared" si="0"/>
        <v>950000</v>
      </c>
    </row>
    <row r="22" spans="1:9" ht="38.25" customHeight="1">
      <c r="A22" s="53">
        <v>12</v>
      </c>
      <c r="B22" s="72" t="s">
        <v>87</v>
      </c>
      <c r="C22" s="72" t="s">
        <v>72</v>
      </c>
      <c r="D22" s="72">
        <v>212</v>
      </c>
      <c r="E22" s="72" t="s">
        <v>88</v>
      </c>
      <c r="F22" s="73" t="s">
        <v>50</v>
      </c>
      <c r="G22" s="73">
        <v>3000</v>
      </c>
      <c r="H22" s="73">
        <v>600</v>
      </c>
      <c r="I22" s="75">
        <f t="shared" si="0"/>
        <v>1800000</v>
      </c>
    </row>
    <row r="23" spans="1:9" ht="38.25" customHeight="1">
      <c r="A23" s="57"/>
      <c r="B23" s="57"/>
      <c r="C23" s="61"/>
      <c r="D23" s="58"/>
      <c r="E23" s="62"/>
      <c r="F23" s="58"/>
      <c r="G23" s="59"/>
      <c r="H23" s="60"/>
      <c r="I23" s="60"/>
    </row>
    <row r="24" spans="1:9" ht="38.25" customHeight="1">
      <c r="B24" s="83"/>
      <c r="C24" s="84"/>
      <c r="D24" s="83"/>
      <c r="E24" s="83"/>
      <c r="F24" s="83"/>
      <c r="G24" s="83"/>
      <c r="H24" s="83"/>
      <c r="I24" s="83"/>
    </row>
    <row r="25" spans="1:9" ht="38.25" customHeight="1">
      <c r="B25" s="63" t="s">
        <v>96</v>
      </c>
      <c r="C25" s="89"/>
      <c r="D25" s="64"/>
      <c r="E25" s="88"/>
      <c r="F25" s="64"/>
      <c r="G25" s="64"/>
      <c r="H25" s="64"/>
      <c r="I25" s="65"/>
    </row>
    <row r="26" spans="1:9" ht="38.25" customHeight="1">
      <c r="B26" s="66"/>
      <c r="C26" s="52" t="s">
        <v>47</v>
      </c>
      <c r="D26" s="93"/>
      <c r="E26" s="93"/>
      <c r="F26" s="93"/>
      <c r="G26" s="93"/>
      <c r="H26" s="93"/>
      <c r="I26" s="94"/>
    </row>
    <row r="27" spans="1:9" ht="38.25" customHeight="1">
      <c r="B27" s="66"/>
      <c r="D27" s="95" t="s">
        <v>97</v>
      </c>
      <c r="E27" s="95"/>
      <c r="F27" s="95"/>
      <c r="G27" s="95"/>
      <c r="H27" s="95"/>
      <c r="I27" s="96"/>
    </row>
    <row r="28" spans="1:9">
      <c r="B28" s="66"/>
      <c r="C28" s="52" t="s">
        <v>48</v>
      </c>
      <c r="D28" s="97"/>
      <c r="E28" s="97"/>
      <c r="F28" s="97"/>
      <c r="G28" s="97"/>
      <c r="H28" s="97"/>
      <c r="I28" s="98"/>
    </row>
    <row r="29" spans="1:9">
      <c r="B29" s="66"/>
      <c r="C29" s="51"/>
      <c r="D29" s="99" t="s">
        <v>98</v>
      </c>
      <c r="E29" s="99"/>
      <c r="F29" s="99"/>
      <c r="G29" s="99"/>
      <c r="H29" s="99"/>
      <c r="I29" s="100"/>
    </row>
    <row r="30" spans="1:9" ht="65.25" customHeight="1">
      <c r="B30" s="66"/>
      <c r="C30" s="51"/>
      <c r="D30" s="99"/>
      <c r="E30" s="99"/>
      <c r="F30" s="99"/>
      <c r="G30" s="99"/>
      <c r="H30" s="99"/>
      <c r="I30" s="100"/>
    </row>
    <row r="31" spans="1:9">
      <c r="B31" s="66"/>
      <c r="C31" s="51"/>
      <c r="I31" s="67"/>
    </row>
    <row r="32" spans="1:9">
      <c r="B32" s="66"/>
      <c r="C32" s="52" t="s">
        <v>52</v>
      </c>
      <c r="D32" s="79" t="s">
        <v>102</v>
      </c>
      <c r="E32" s="79"/>
      <c r="I32" s="67"/>
    </row>
    <row r="33" spans="2:9">
      <c r="B33" s="66"/>
      <c r="C33" s="52" t="s">
        <v>49</v>
      </c>
      <c r="D33" s="56" t="s">
        <v>99</v>
      </c>
      <c r="I33" s="67"/>
    </row>
    <row r="34" spans="2:9">
      <c r="B34" s="68"/>
      <c r="C34" s="69"/>
      <c r="D34" s="92"/>
      <c r="E34" s="70"/>
      <c r="F34" s="70"/>
      <c r="G34" s="70"/>
      <c r="H34" s="70"/>
      <c r="I34" s="71"/>
    </row>
    <row r="36" spans="2:9">
      <c r="B36" s="63" t="s">
        <v>100</v>
      </c>
      <c r="C36" s="64"/>
      <c r="D36" s="64"/>
      <c r="E36" s="64"/>
      <c r="F36" s="64"/>
      <c r="G36" s="64"/>
      <c r="H36" s="64"/>
      <c r="I36" s="65"/>
    </row>
    <row r="37" spans="2:9">
      <c r="B37" s="66"/>
      <c r="I37" s="67"/>
    </row>
    <row r="38" spans="2:9">
      <c r="B38" s="66"/>
      <c r="C38" s="52" t="s">
        <v>47</v>
      </c>
      <c r="D38" s="77"/>
      <c r="E38" s="77"/>
      <c r="F38" s="77"/>
      <c r="G38" s="77"/>
      <c r="H38" s="77"/>
      <c r="I38" s="78"/>
    </row>
    <row r="39" spans="2:9">
      <c r="B39" s="66"/>
      <c r="D39" s="144" t="s">
        <v>101</v>
      </c>
      <c r="E39" s="95"/>
      <c r="F39" s="95"/>
      <c r="G39" s="95"/>
      <c r="H39" s="95"/>
      <c r="I39" s="96"/>
    </row>
    <row r="40" spans="2:9">
      <c r="B40" s="66"/>
      <c r="C40" s="52" t="s">
        <v>48</v>
      </c>
      <c r="I40" s="67"/>
    </row>
    <row r="41" spans="2:9">
      <c r="B41" s="66"/>
      <c r="C41" s="51"/>
      <c r="D41" s="99" t="s">
        <v>98</v>
      </c>
      <c r="E41" s="99"/>
      <c r="F41" s="99"/>
      <c r="G41" s="99"/>
      <c r="H41" s="99"/>
      <c r="I41" s="100"/>
    </row>
    <row r="42" spans="2:9" ht="64.5" customHeight="1">
      <c r="B42" s="66"/>
      <c r="C42" s="51"/>
      <c r="D42" s="99"/>
      <c r="E42" s="99"/>
      <c r="F42" s="99"/>
      <c r="G42" s="99"/>
      <c r="H42" s="99"/>
      <c r="I42" s="100"/>
    </row>
    <row r="43" spans="2:9">
      <c r="B43" s="66"/>
      <c r="C43" s="51"/>
      <c r="I43" s="67"/>
    </row>
    <row r="44" spans="2:9">
      <c r="B44" s="66"/>
      <c r="C44" s="52" t="s">
        <v>52</v>
      </c>
      <c r="D44" s="79" t="s">
        <v>102</v>
      </c>
      <c r="E44" s="79"/>
      <c r="I44" s="67"/>
    </row>
    <row r="45" spans="2:9">
      <c r="B45" s="66"/>
      <c r="C45" s="52" t="s">
        <v>49</v>
      </c>
      <c r="D45" s="56" t="s">
        <v>99</v>
      </c>
      <c r="I45" s="67"/>
    </row>
    <row r="46" spans="2:9">
      <c r="B46" s="68"/>
      <c r="C46" s="69"/>
      <c r="D46" s="70"/>
      <c r="E46" s="70"/>
      <c r="F46" s="70"/>
      <c r="G46" s="70"/>
      <c r="H46" s="70"/>
      <c r="I46" s="71"/>
    </row>
    <row r="48" spans="2:9">
      <c r="B48" s="63" t="s">
        <v>103</v>
      </c>
      <c r="C48" s="89"/>
      <c r="D48" s="64"/>
      <c r="E48" s="88"/>
      <c r="F48" s="64"/>
      <c r="G48" s="64"/>
      <c r="H48" s="64"/>
      <c r="I48" s="65"/>
    </row>
    <row r="49" spans="2:9">
      <c r="B49" s="66"/>
      <c r="C49" s="52" t="s">
        <v>47</v>
      </c>
      <c r="D49" s="93"/>
      <c r="E49" s="93"/>
      <c r="F49" s="93"/>
      <c r="G49" s="93"/>
      <c r="H49" s="93"/>
      <c r="I49" s="94"/>
    </row>
    <row r="50" spans="2:9">
      <c r="B50" s="66"/>
      <c r="D50" s="95" t="s">
        <v>97</v>
      </c>
      <c r="E50" s="95"/>
      <c r="F50" s="95"/>
      <c r="G50" s="95"/>
      <c r="H50" s="95"/>
      <c r="I50" s="96"/>
    </row>
    <row r="51" spans="2:9">
      <c r="B51" s="66"/>
      <c r="C51" s="52" t="s">
        <v>48</v>
      </c>
      <c r="D51" s="97"/>
      <c r="E51" s="97"/>
      <c r="F51" s="97"/>
      <c r="G51" s="97"/>
      <c r="H51" s="97"/>
      <c r="I51" s="98"/>
    </row>
    <row r="52" spans="2:9">
      <c r="B52" s="66"/>
      <c r="C52" s="51"/>
      <c r="D52" s="99" t="s">
        <v>98</v>
      </c>
      <c r="E52" s="99"/>
      <c r="F52" s="99"/>
      <c r="G52" s="99"/>
      <c r="H52" s="99"/>
      <c r="I52" s="100"/>
    </row>
    <row r="53" spans="2:9" ht="61.5" customHeight="1">
      <c r="B53" s="66"/>
      <c r="C53" s="51"/>
      <c r="D53" s="99"/>
      <c r="E53" s="99"/>
      <c r="F53" s="99"/>
      <c r="G53" s="99"/>
      <c r="H53" s="99"/>
      <c r="I53" s="100"/>
    </row>
    <row r="54" spans="2:9">
      <c r="B54" s="66"/>
      <c r="C54" s="51"/>
      <c r="I54" s="67"/>
    </row>
    <row r="55" spans="2:9">
      <c r="B55" s="66"/>
      <c r="C55" s="52" t="s">
        <v>52</v>
      </c>
      <c r="D55" s="79" t="s">
        <v>102</v>
      </c>
      <c r="E55" s="79"/>
      <c r="I55" s="67"/>
    </row>
    <row r="56" spans="2:9">
      <c r="B56" s="66"/>
      <c r="C56" s="52" t="s">
        <v>49</v>
      </c>
      <c r="D56" s="56" t="s">
        <v>99</v>
      </c>
      <c r="I56" s="67"/>
    </row>
    <row r="57" spans="2:9">
      <c r="B57" s="68"/>
      <c r="C57" s="69"/>
      <c r="D57" s="92"/>
      <c r="E57" s="70"/>
      <c r="F57" s="70"/>
      <c r="G57" s="70"/>
      <c r="H57" s="70"/>
      <c r="I57" s="71"/>
    </row>
  </sheetData>
  <autoFilter ref="A10:J27" xr:uid="{00000000-0009-0000-0000-000000000000}"/>
  <mergeCells count="11">
    <mergeCell ref="B2:C2"/>
    <mergeCell ref="D27:I27"/>
    <mergeCell ref="D29:I30"/>
    <mergeCell ref="D28:I28"/>
    <mergeCell ref="D26:I26"/>
    <mergeCell ref="D49:I49"/>
    <mergeCell ref="D50:I50"/>
    <mergeCell ref="D51:I51"/>
    <mergeCell ref="D52:I53"/>
    <mergeCell ref="D39:I39"/>
    <mergeCell ref="D41:I42"/>
  </mergeCells>
  <phoneticPr fontId="25" type="noConversion"/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4"/>
  <sheetViews>
    <sheetView topLeftCell="A10" zoomScaleNormal="100" workbookViewId="0">
      <selection activeCell="C15" sqref="C15:G15"/>
    </sheetView>
  </sheetViews>
  <sheetFormatPr baseColWidth="10" defaultColWidth="9.140625" defaultRowHeight="12.75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2" t="s">
        <v>1</v>
      </c>
      <c r="K1" s="3">
        <v>2</v>
      </c>
    </row>
    <row r="2" spans="1:11" ht="18.75" customHeight="1" thickBot="1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>
      <c r="A3" s="103" t="s">
        <v>2</v>
      </c>
      <c r="B3" s="103"/>
      <c r="C3" s="103"/>
      <c r="D3" s="104" t="s">
        <v>57</v>
      </c>
      <c r="E3" s="105"/>
      <c r="F3" s="105"/>
      <c r="G3" s="105"/>
      <c r="H3" s="105"/>
      <c r="I3" s="105"/>
      <c r="J3" s="105"/>
      <c r="K3" s="106"/>
    </row>
    <row r="4" spans="1:11" ht="18.75" customHeight="1" thickBot="1">
      <c r="A4" s="107" t="s">
        <v>3</v>
      </c>
      <c r="B4" s="107"/>
      <c r="C4" s="107"/>
      <c r="D4" s="104" t="s">
        <v>60</v>
      </c>
      <c r="E4" s="105"/>
      <c r="F4" s="105"/>
      <c r="G4" s="105"/>
      <c r="H4" s="105"/>
      <c r="I4" s="105"/>
      <c r="J4" s="105"/>
      <c r="K4" s="106"/>
    </row>
    <row r="5" spans="1:11" ht="18.75" customHeight="1" thickBot="1">
      <c r="A5" s="107" t="s">
        <v>4</v>
      </c>
      <c r="B5" s="107"/>
      <c r="C5" s="107"/>
      <c r="D5" s="104" t="s">
        <v>58</v>
      </c>
      <c r="E5" s="105"/>
      <c r="F5" s="105"/>
      <c r="G5" s="105"/>
      <c r="H5" s="105"/>
      <c r="I5" s="105"/>
      <c r="J5" s="105"/>
      <c r="K5" s="106"/>
    </row>
    <row r="6" spans="1:11" ht="16.5" customHeight="1" thickBot="1">
      <c r="A6" s="103" t="s">
        <v>5</v>
      </c>
      <c r="B6" s="103"/>
      <c r="C6" s="103"/>
      <c r="D6" s="104" t="s">
        <v>58</v>
      </c>
      <c r="E6" s="105"/>
      <c r="F6" s="105"/>
      <c r="G6" s="105"/>
      <c r="H6" s="105"/>
      <c r="I6" s="105"/>
      <c r="J6" s="105"/>
      <c r="K6" s="106"/>
    </row>
    <row r="7" spans="1:11" ht="16.5" customHeight="1" thickBot="1">
      <c r="A7" s="107" t="s">
        <v>6</v>
      </c>
      <c r="B7" s="107"/>
      <c r="C7" s="107"/>
      <c r="D7" s="108" t="s">
        <v>95</v>
      </c>
      <c r="E7" s="108"/>
      <c r="F7" s="108"/>
      <c r="G7" s="108"/>
      <c r="H7" s="108"/>
      <c r="I7" s="108"/>
      <c r="J7" s="108"/>
      <c r="K7" s="108"/>
    </row>
    <row r="8" spans="1:11" ht="40.5" customHeight="1" thickBot="1">
      <c r="A8" s="114" t="s">
        <v>7</v>
      </c>
      <c r="B8" s="114"/>
      <c r="C8" s="114"/>
      <c r="D8" s="115" t="s">
        <v>94</v>
      </c>
      <c r="E8" s="105"/>
      <c r="F8" s="105"/>
      <c r="G8" s="105"/>
      <c r="H8" s="105"/>
      <c r="I8" s="105"/>
      <c r="J8" s="105"/>
      <c r="K8" s="106"/>
    </row>
    <row r="9" spans="1:11" ht="16.5" thickBot="1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>
      <c r="A10" s="116" t="s">
        <v>8</v>
      </c>
      <c r="B10" s="117" t="s">
        <v>9</v>
      </c>
      <c r="C10" s="117" t="s">
        <v>10</v>
      </c>
      <c r="D10" s="117"/>
      <c r="E10" s="117"/>
      <c r="F10" s="117"/>
      <c r="G10" s="117"/>
      <c r="H10" s="117" t="s">
        <v>11</v>
      </c>
      <c r="I10" s="117" t="s">
        <v>12</v>
      </c>
      <c r="J10" s="117" t="s">
        <v>13</v>
      </c>
      <c r="K10" s="118" t="s">
        <v>14</v>
      </c>
    </row>
    <row r="11" spans="1:11" ht="24" customHeight="1" thickBot="1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8"/>
    </row>
    <row r="12" spans="1:11" ht="40.5" customHeight="1" thickBot="1">
      <c r="A12" s="85">
        <v>1</v>
      </c>
      <c r="B12" s="72" t="s">
        <v>64</v>
      </c>
      <c r="C12" s="119" t="s">
        <v>63</v>
      </c>
      <c r="D12" s="120"/>
      <c r="E12" s="120"/>
      <c r="F12" s="120"/>
      <c r="G12" s="121"/>
      <c r="H12" s="86" t="s">
        <v>54</v>
      </c>
      <c r="I12" s="86" t="s">
        <v>50</v>
      </c>
      <c r="J12" s="90">
        <v>2000</v>
      </c>
      <c r="K12" s="74">
        <v>100</v>
      </c>
    </row>
    <row r="13" spans="1:11" ht="36" customHeight="1" thickBot="1">
      <c r="A13" s="85">
        <v>2</v>
      </c>
      <c r="B13" s="72" t="s">
        <v>67</v>
      </c>
      <c r="C13" s="119" t="s">
        <v>68</v>
      </c>
      <c r="D13" s="120"/>
      <c r="E13" s="120"/>
      <c r="F13" s="120"/>
      <c r="G13" s="121"/>
      <c r="H13" s="86" t="s">
        <v>54</v>
      </c>
      <c r="I13" s="86" t="s">
        <v>50</v>
      </c>
      <c r="J13" s="90">
        <v>700</v>
      </c>
      <c r="K13" s="72">
        <v>100</v>
      </c>
    </row>
    <row r="14" spans="1:11" ht="40.5" customHeight="1" thickBot="1">
      <c r="A14" s="85">
        <v>3</v>
      </c>
      <c r="B14" s="72" t="s">
        <v>69</v>
      </c>
      <c r="C14" s="119" t="s">
        <v>70</v>
      </c>
      <c r="D14" s="120"/>
      <c r="E14" s="120"/>
      <c r="F14" s="120"/>
      <c r="G14" s="121"/>
      <c r="H14" s="86" t="s">
        <v>54</v>
      </c>
      <c r="I14" s="86" t="s">
        <v>50</v>
      </c>
      <c r="J14" s="90">
        <v>1500</v>
      </c>
      <c r="K14" s="73">
        <v>100</v>
      </c>
    </row>
    <row r="15" spans="1:11" ht="42.75" customHeight="1" thickBot="1">
      <c r="A15" s="85">
        <v>4</v>
      </c>
      <c r="B15" s="72" t="s">
        <v>65</v>
      </c>
      <c r="C15" s="119" t="s">
        <v>66</v>
      </c>
      <c r="D15" s="120"/>
      <c r="E15" s="120"/>
      <c r="F15" s="120"/>
      <c r="G15" s="121"/>
      <c r="H15" s="86" t="s">
        <v>54</v>
      </c>
      <c r="I15" s="86" t="s">
        <v>50</v>
      </c>
      <c r="J15" s="90">
        <v>2000</v>
      </c>
      <c r="K15" s="73">
        <v>100</v>
      </c>
    </row>
    <row r="16" spans="1:11" ht="38.25" customHeight="1" thickBot="1">
      <c r="A16" s="85">
        <v>5</v>
      </c>
      <c r="B16" s="87" t="s">
        <v>71</v>
      </c>
      <c r="C16" s="119" t="s">
        <v>73</v>
      </c>
      <c r="D16" s="120"/>
      <c r="E16" s="120"/>
      <c r="F16" s="120"/>
      <c r="G16" s="121"/>
      <c r="H16" s="86" t="s">
        <v>54</v>
      </c>
      <c r="I16" s="86" t="s">
        <v>50</v>
      </c>
      <c r="J16" s="90">
        <v>650</v>
      </c>
      <c r="K16" s="73">
        <v>100</v>
      </c>
    </row>
    <row r="17" spans="1:11" ht="30.75" customHeight="1" thickBot="1">
      <c r="A17" s="85">
        <v>6</v>
      </c>
      <c r="B17" s="72" t="s">
        <v>74</v>
      </c>
      <c r="C17" s="119" t="s">
        <v>75</v>
      </c>
      <c r="D17" s="120"/>
      <c r="E17" s="120"/>
      <c r="F17" s="120"/>
      <c r="G17" s="121"/>
      <c r="H17" s="86" t="s">
        <v>54</v>
      </c>
      <c r="I17" s="86" t="s">
        <v>50</v>
      </c>
      <c r="J17" s="90">
        <v>35</v>
      </c>
      <c r="K17" s="73">
        <v>3000</v>
      </c>
    </row>
    <row r="18" spans="1:11" ht="32.25" customHeight="1" thickBot="1">
      <c r="A18" s="85">
        <v>7</v>
      </c>
      <c r="B18" s="72" t="s">
        <v>76</v>
      </c>
      <c r="C18" s="119" t="s">
        <v>78</v>
      </c>
      <c r="D18" s="120"/>
      <c r="E18" s="120"/>
      <c r="F18" s="120"/>
      <c r="G18" s="121"/>
      <c r="H18" s="86" t="s">
        <v>54</v>
      </c>
      <c r="I18" s="86" t="s">
        <v>50</v>
      </c>
      <c r="J18" s="90">
        <v>21000</v>
      </c>
      <c r="K18" s="73">
        <v>100</v>
      </c>
    </row>
    <row r="19" spans="1:11" ht="37.5" customHeight="1" thickBot="1">
      <c r="A19" s="85">
        <v>8</v>
      </c>
      <c r="B19" s="80" t="s">
        <v>79</v>
      </c>
      <c r="C19" s="119" t="s">
        <v>80</v>
      </c>
      <c r="D19" s="120"/>
      <c r="E19" s="120"/>
      <c r="F19" s="120"/>
      <c r="G19" s="121"/>
      <c r="H19" s="86" t="s">
        <v>54</v>
      </c>
      <c r="I19" s="86" t="s">
        <v>50</v>
      </c>
      <c r="J19" s="91">
        <v>16000</v>
      </c>
      <c r="K19" s="81">
        <v>60</v>
      </c>
    </row>
    <row r="20" spans="1:11" ht="24" customHeight="1" thickBot="1">
      <c r="A20" s="85">
        <v>9</v>
      </c>
      <c r="B20" s="72" t="s">
        <v>81</v>
      </c>
      <c r="C20" s="119" t="s">
        <v>82</v>
      </c>
      <c r="D20" s="120"/>
      <c r="E20" s="120"/>
      <c r="F20" s="120"/>
      <c r="G20" s="121"/>
      <c r="H20" s="86" t="s">
        <v>54</v>
      </c>
      <c r="I20" s="86" t="s">
        <v>50</v>
      </c>
      <c r="J20" s="90">
        <v>8000</v>
      </c>
      <c r="K20" s="73">
        <v>100</v>
      </c>
    </row>
    <row r="21" spans="1:11" ht="24.75" customHeight="1" thickBot="1">
      <c r="A21" s="85">
        <v>10</v>
      </c>
      <c r="B21" s="72" t="s">
        <v>83</v>
      </c>
      <c r="C21" s="119" t="s">
        <v>84</v>
      </c>
      <c r="D21" s="120"/>
      <c r="E21" s="120"/>
      <c r="F21" s="120"/>
      <c r="G21" s="121"/>
      <c r="H21" s="86" t="s">
        <v>54</v>
      </c>
      <c r="I21" s="86" t="s">
        <v>50</v>
      </c>
      <c r="J21" s="90">
        <v>8000</v>
      </c>
      <c r="K21" s="73">
        <v>100</v>
      </c>
    </row>
    <row r="22" spans="1:11" ht="28.5" customHeight="1" thickBot="1">
      <c r="A22" s="85">
        <v>11</v>
      </c>
      <c r="B22" s="72" t="s">
        <v>85</v>
      </c>
      <c r="C22" s="119" t="s">
        <v>86</v>
      </c>
      <c r="D22" s="120"/>
      <c r="E22" s="120"/>
      <c r="F22" s="120"/>
      <c r="G22" s="121"/>
      <c r="H22" s="86" t="s">
        <v>54</v>
      </c>
      <c r="I22" s="86" t="s">
        <v>50</v>
      </c>
      <c r="J22" s="90">
        <v>9500</v>
      </c>
      <c r="K22" s="73">
        <v>100</v>
      </c>
    </row>
    <row r="23" spans="1:11" ht="36.75" customHeight="1" thickBot="1">
      <c r="A23" s="85">
        <v>12</v>
      </c>
      <c r="B23" s="72" t="s">
        <v>87</v>
      </c>
      <c r="C23" s="119" t="s">
        <v>88</v>
      </c>
      <c r="D23" s="120"/>
      <c r="E23" s="120"/>
      <c r="F23" s="120"/>
      <c r="G23" s="121"/>
      <c r="H23" s="86" t="s">
        <v>54</v>
      </c>
      <c r="I23" s="86" t="s">
        <v>50</v>
      </c>
      <c r="J23" s="90">
        <v>600</v>
      </c>
      <c r="K23" s="73">
        <v>3000</v>
      </c>
    </row>
    <row r="24" spans="1:11" ht="25.5" customHeight="1" thickBot="1">
      <c r="A24" s="109" t="s">
        <v>104</v>
      </c>
      <c r="B24" s="110"/>
      <c r="C24" s="110"/>
      <c r="D24" s="110"/>
      <c r="E24" s="110"/>
      <c r="F24" s="110"/>
      <c r="G24" s="110"/>
      <c r="H24" s="110"/>
      <c r="I24" s="111"/>
      <c r="J24" s="112">
        <v>8200000</v>
      </c>
      <c r="K24" s="113"/>
    </row>
  </sheetData>
  <mergeCells count="34">
    <mergeCell ref="C17:G17"/>
    <mergeCell ref="C23:G23"/>
    <mergeCell ref="C18:G18"/>
    <mergeCell ref="C19:G19"/>
    <mergeCell ref="C20:G20"/>
    <mergeCell ref="C21:G21"/>
    <mergeCell ref="C22:G22"/>
    <mergeCell ref="A24:I24"/>
    <mergeCell ref="J24:K2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110" zoomScaleNormal="110" workbookViewId="0">
      <selection activeCell="O24" sqref="O24:P24"/>
    </sheetView>
  </sheetViews>
  <sheetFormatPr baseColWidth="10" defaultColWidth="11" defaultRowHeight="12.75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22" t="s">
        <v>15</v>
      </c>
      <c r="B1" s="122"/>
      <c r="C1" s="122"/>
      <c r="D1" s="123">
        <v>2022</v>
      </c>
      <c r="E1" s="123"/>
      <c r="F1" s="13"/>
      <c r="G1" s="13"/>
      <c r="H1" s="14"/>
      <c r="I1" s="14"/>
      <c r="J1" s="14"/>
      <c r="K1" s="14"/>
      <c r="L1" s="14"/>
      <c r="M1" s="14"/>
      <c r="N1" s="14"/>
      <c r="O1" s="15"/>
      <c r="P1" s="124" t="s">
        <v>16</v>
      </c>
      <c r="Q1" s="124"/>
    </row>
    <row r="2" spans="1:17" ht="15.75" customHeight="1">
      <c r="A2" s="16"/>
      <c r="H2" s="17"/>
      <c r="I2" s="17"/>
      <c r="J2" s="17"/>
      <c r="K2" s="17"/>
      <c r="L2" s="17"/>
      <c r="M2" s="17"/>
      <c r="N2" s="17"/>
      <c r="P2" s="124"/>
      <c r="Q2" s="124"/>
    </row>
    <row r="3" spans="1:17">
      <c r="A3" s="16"/>
      <c r="Q3" s="18"/>
    </row>
    <row r="4" spans="1:17" s="19" customFormat="1" ht="18" customHeight="1">
      <c r="A4" s="125" t="s">
        <v>17</v>
      </c>
      <c r="B4" s="125"/>
      <c r="C4" s="125"/>
      <c r="D4" s="125"/>
      <c r="E4" s="125"/>
      <c r="F4" s="125"/>
      <c r="G4" s="126" t="s">
        <v>57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19" customFormat="1" ht="18" customHeight="1">
      <c r="A5" s="127" t="s">
        <v>3</v>
      </c>
      <c r="B5" s="127"/>
      <c r="C5" s="127"/>
      <c r="D5" s="127"/>
      <c r="E5" s="127"/>
      <c r="F5" s="127"/>
      <c r="G5" s="126" t="s">
        <v>60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19" customFormat="1" ht="18" customHeight="1">
      <c r="A6" s="127" t="s">
        <v>4</v>
      </c>
      <c r="B6" s="127"/>
      <c r="C6" s="127"/>
      <c r="D6" s="127"/>
      <c r="E6" s="127"/>
      <c r="F6" s="127"/>
      <c r="G6" s="126" t="s">
        <v>58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19" customFormat="1" ht="22.5" customHeight="1">
      <c r="A7" s="127" t="s">
        <v>5</v>
      </c>
      <c r="B7" s="127"/>
      <c r="C7" s="127"/>
      <c r="D7" s="127"/>
      <c r="E7" s="127"/>
      <c r="F7" s="127"/>
      <c r="G7" s="126" t="s">
        <v>58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>
      <c r="A8" s="129" t="s">
        <v>18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>
      <c r="A9" s="130" t="s">
        <v>19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</row>
    <row r="10" spans="1:17" ht="66" customHeight="1">
      <c r="A10" s="131" t="s">
        <v>89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>
      <c r="A11" s="20"/>
      <c r="B11" s="21"/>
      <c r="C11" s="21"/>
      <c r="D11" s="21"/>
      <c r="E11" s="21"/>
      <c r="F11" s="21"/>
      <c r="G11" s="22"/>
      <c r="H11" s="21"/>
      <c r="I11" s="21"/>
      <c r="J11" s="21"/>
      <c r="K11" s="21"/>
      <c r="L11" s="21"/>
      <c r="M11" s="21"/>
      <c r="N11" s="21"/>
      <c r="O11" s="21"/>
      <c r="P11" s="21"/>
      <c r="Q11" s="23"/>
    </row>
    <row r="12" spans="1:17" ht="15.75" customHeight="1">
      <c r="A12" s="132" t="s">
        <v>20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>
      <c r="A13" s="133" t="s">
        <v>21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22</v>
      </c>
      <c r="P13" s="134"/>
      <c r="Q13" s="135" t="s">
        <v>23</v>
      </c>
    </row>
    <row r="14" spans="1:17" ht="15.75" customHeight="1">
      <c r="A14" s="24" t="s">
        <v>24</v>
      </c>
      <c r="B14" s="25" t="s">
        <v>25</v>
      </c>
      <c r="C14" s="25" t="s">
        <v>26</v>
      </c>
      <c r="D14" s="25" t="s">
        <v>27</v>
      </c>
      <c r="E14" s="25" t="s">
        <v>28</v>
      </c>
      <c r="F14" s="25" t="s">
        <v>29</v>
      </c>
      <c r="G14" s="26" t="s">
        <v>30</v>
      </c>
      <c r="H14" s="25" t="s">
        <v>31</v>
      </c>
      <c r="I14" s="25" t="s">
        <v>32</v>
      </c>
      <c r="J14" s="25" t="s">
        <v>33</v>
      </c>
      <c r="K14" s="25" t="s">
        <v>33</v>
      </c>
      <c r="L14" s="25" t="s">
        <v>34</v>
      </c>
      <c r="M14" s="27" t="s">
        <v>35</v>
      </c>
      <c r="N14" s="28" t="s">
        <v>36</v>
      </c>
      <c r="O14" s="134"/>
      <c r="P14" s="134"/>
      <c r="Q14" s="135"/>
    </row>
    <row r="15" spans="1:17" ht="13.5" thickBot="1">
      <c r="A15" s="43">
        <v>3</v>
      </c>
      <c r="B15" s="44">
        <v>0</v>
      </c>
      <c r="C15" s="44">
        <v>0</v>
      </c>
      <c r="D15" s="44">
        <v>1</v>
      </c>
      <c r="E15" s="44">
        <v>0</v>
      </c>
      <c r="F15" s="44">
        <v>4901</v>
      </c>
      <c r="G15" s="44">
        <v>1</v>
      </c>
      <c r="H15" s="44">
        <v>3</v>
      </c>
      <c r="I15" s="44">
        <v>2</v>
      </c>
      <c r="J15" s="44">
        <v>5</v>
      </c>
      <c r="K15" s="44">
        <v>7</v>
      </c>
      <c r="L15" s="44">
        <v>0</v>
      </c>
      <c r="M15" s="45">
        <v>1</v>
      </c>
      <c r="N15" s="44" t="s">
        <v>38</v>
      </c>
      <c r="O15" s="128" t="s">
        <v>90</v>
      </c>
      <c r="P15" s="128"/>
      <c r="Q15" s="46">
        <v>1580000</v>
      </c>
    </row>
    <row r="16" spans="1:17" ht="17.25" customHeight="1" thickBot="1">
      <c r="A16" s="43">
        <v>3</v>
      </c>
      <c r="B16" s="44">
        <v>0</v>
      </c>
      <c r="C16" s="44">
        <v>0</v>
      </c>
      <c r="D16" s="44">
        <v>1</v>
      </c>
      <c r="E16" s="44">
        <v>0</v>
      </c>
      <c r="F16" s="44">
        <v>4901</v>
      </c>
      <c r="G16" s="44">
        <v>1</v>
      </c>
      <c r="H16" s="44">
        <v>3</v>
      </c>
      <c r="I16" s="44">
        <v>2</v>
      </c>
      <c r="J16" s="44">
        <v>1</v>
      </c>
      <c r="K16" s="44">
        <v>2</v>
      </c>
      <c r="L16" s="44">
        <v>0</v>
      </c>
      <c r="M16" s="45">
        <v>1</v>
      </c>
      <c r="N16" s="44" t="s">
        <v>38</v>
      </c>
      <c r="O16" s="128" t="s">
        <v>91</v>
      </c>
      <c r="P16" s="128"/>
      <c r="Q16" s="46">
        <v>1970000</v>
      </c>
    </row>
    <row r="17" spans="1:17" ht="17.25" customHeight="1" thickBot="1">
      <c r="A17" s="43">
        <v>3</v>
      </c>
      <c r="B17" s="44">
        <v>0</v>
      </c>
      <c r="C17" s="44">
        <v>0</v>
      </c>
      <c r="D17" s="44">
        <v>1</v>
      </c>
      <c r="E17" s="44">
        <v>0</v>
      </c>
      <c r="F17" s="44">
        <v>4901</v>
      </c>
      <c r="G17" s="44">
        <v>1</v>
      </c>
      <c r="H17" s="44">
        <v>3</v>
      </c>
      <c r="I17" s="44">
        <v>2</v>
      </c>
      <c r="J17" s="44">
        <v>1</v>
      </c>
      <c r="K17" s="44">
        <v>4</v>
      </c>
      <c r="L17" s="44">
        <v>0</v>
      </c>
      <c r="M17" s="45">
        <v>1</v>
      </c>
      <c r="N17" s="44" t="s">
        <v>38</v>
      </c>
      <c r="O17" s="128" t="s">
        <v>92</v>
      </c>
      <c r="P17" s="128"/>
      <c r="Q17" s="46">
        <v>2100000</v>
      </c>
    </row>
    <row r="18" spans="1:17" ht="17.25" customHeight="1">
      <c r="A18" s="43">
        <v>3</v>
      </c>
      <c r="B18" s="44">
        <v>0</v>
      </c>
      <c r="C18" s="44">
        <v>0</v>
      </c>
      <c r="D18" s="44">
        <v>1</v>
      </c>
      <c r="E18" s="44">
        <v>0</v>
      </c>
      <c r="F18" s="44">
        <v>4901</v>
      </c>
      <c r="G18" s="44">
        <v>1</v>
      </c>
      <c r="H18" s="44">
        <v>3</v>
      </c>
      <c r="I18" s="44">
        <v>2</v>
      </c>
      <c r="J18" s="44">
        <v>5</v>
      </c>
      <c r="K18" s="44">
        <v>3</v>
      </c>
      <c r="L18" s="44">
        <v>0</v>
      </c>
      <c r="M18" s="45">
        <v>1</v>
      </c>
      <c r="N18" s="44" t="s">
        <v>38</v>
      </c>
      <c r="O18" s="128" t="s">
        <v>93</v>
      </c>
      <c r="P18" s="128"/>
      <c r="Q18" s="46">
        <v>2550000</v>
      </c>
    </row>
    <row r="19" spans="1:17" ht="17.25" customHeight="1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2"/>
      <c r="O19" s="136"/>
      <c r="P19" s="136"/>
      <c r="Q19" s="33"/>
    </row>
    <row r="20" spans="1:17" ht="17.25" customHeight="1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2"/>
      <c r="O20" s="136"/>
      <c r="P20" s="136"/>
      <c r="Q20" s="33"/>
    </row>
    <row r="21" spans="1:17" ht="17.25" customHeight="1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32"/>
      <c r="O21" s="136"/>
      <c r="P21" s="136"/>
      <c r="Q21" s="33"/>
    </row>
    <row r="22" spans="1:17" ht="17.25" customHeight="1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32"/>
      <c r="O22" s="136"/>
      <c r="P22" s="136"/>
      <c r="Q22" s="33"/>
    </row>
    <row r="23" spans="1:17" ht="17.25" customHeight="1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2"/>
      <c r="O23" s="136"/>
      <c r="P23" s="136"/>
      <c r="Q23" s="33"/>
    </row>
    <row r="24" spans="1:17" ht="17.25" customHeight="1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  <c r="N24" s="32"/>
      <c r="O24" s="136"/>
      <c r="P24" s="136"/>
      <c r="Q24" s="33"/>
    </row>
    <row r="25" spans="1:17" ht="17.25" customHeight="1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  <c r="N25" s="32"/>
      <c r="O25" s="136"/>
      <c r="P25" s="136"/>
      <c r="Q25" s="33"/>
    </row>
    <row r="26" spans="1:17" ht="17.2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1"/>
      <c r="N26" s="32"/>
      <c r="O26" s="136"/>
      <c r="P26" s="136"/>
      <c r="Q26" s="33"/>
    </row>
    <row r="27" spans="1:17" ht="17.2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  <c r="N27" s="32"/>
      <c r="O27" s="136"/>
      <c r="P27" s="136"/>
      <c r="Q27" s="33"/>
    </row>
    <row r="28" spans="1:17" ht="17.2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32"/>
      <c r="O28" s="136"/>
      <c r="P28" s="136"/>
      <c r="Q28" s="33"/>
    </row>
    <row r="29" spans="1:17" ht="17.25" customHeight="1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1"/>
      <c r="N29" s="32"/>
      <c r="O29" s="136"/>
      <c r="P29" s="136"/>
      <c r="Q29" s="33"/>
    </row>
    <row r="30" spans="1:17" ht="17.2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32"/>
      <c r="O30" s="136"/>
      <c r="P30" s="136"/>
      <c r="Q30" s="33"/>
    </row>
    <row r="31" spans="1:17" ht="17.25" customHeight="1">
      <c r="A31" s="29"/>
      <c r="B31" s="30"/>
      <c r="C31" s="30"/>
      <c r="D31" s="30"/>
      <c r="E31" s="30"/>
      <c r="F31" s="32"/>
      <c r="G31" s="30"/>
      <c r="H31" s="30"/>
      <c r="I31" s="30"/>
      <c r="J31" s="30"/>
      <c r="K31" s="30"/>
      <c r="L31" s="30"/>
      <c r="M31" s="31"/>
      <c r="N31" s="32"/>
      <c r="O31" s="137"/>
      <c r="P31" s="137"/>
      <c r="Q31" s="33"/>
    </row>
    <row r="32" spans="1:17" ht="17.2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1"/>
      <c r="N32" s="32"/>
      <c r="O32" s="137"/>
      <c r="P32" s="137"/>
      <c r="Q32" s="33"/>
    </row>
    <row r="33" spans="1:17" ht="17.25" customHeight="1">
      <c r="A33" s="29"/>
      <c r="B33" s="30"/>
      <c r="C33" s="30"/>
      <c r="D33" s="30"/>
      <c r="E33" s="30"/>
      <c r="F33" s="32"/>
      <c r="G33" s="30"/>
      <c r="H33" s="30"/>
      <c r="I33" s="30"/>
      <c r="J33" s="30"/>
      <c r="K33" s="30"/>
      <c r="L33" s="30"/>
      <c r="M33" s="31"/>
      <c r="N33" s="32"/>
      <c r="O33" s="137"/>
      <c r="P33" s="137"/>
      <c r="Q33" s="33"/>
    </row>
    <row r="34" spans="1:17" ht="17.25" customHeight="1">
      <c r="A34" s="29"/>
      <c r="B34" s="30"/>
      <c r="C34" s="30"/>
      <c r="D34" s="30"/>
      <c r="E34" s="30"/>
      <c r="F34" s="32"/>
      <c r="G34" s="30"/>
      <c r="H34" s="30"/>
      <c r="I34" s="30"/>
      <c r="J34" s="30"/>
      <c r="K34" s="30"/>
      <c r="L34" s="30"/>
      <c r="M34" s="31"/>
      <c r="N34" s="32"/>
      <c r="O34" s="137"/>
      <c r="P34" s="137"/>
      <c r="Q34" s="33"/>
    </row>
    <row r="35" spans="1:17" ht="17.25" customHeight="1">
      <c r="A35" s="34"/>
      <c r="B35" s="35"/>
      <c r="C35" s="35"/>
      <c r="D35" s="35"/>
      <c r="E35" s="35"/>
      <c r="F35" s="32"/>
      <c r="G35" s="35"/>
      <c r="H35" s="35"/>
      <c r="I35" s="35"/>
      <c r="J35" s="35"/>
      <c r="K35" s="35"/>
      <c r="L35" s="35"/>
      <c r="M35" s="36"/>
      <c r="N35" s="37"/>
      <c r="O35" s="137"/>
      <c r="P35" s="137"/>
      <c r="Q35" s="33"/>
    </row>
    <row r="36" spans="1:17" ht="17.25" customHeight="1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40"/>
      <c r="N36" s="39"/>
      <c r="O36" s="141"/>
      <c r="P36" s="141"/>
      <c r="Q36" s="41"/>
    </row>
    <row r="37" spans="1:17" ht="20.25" customHeight="1">
      <c r="A37" s="142" t="s">
        <v>105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42">
        <f>SUM(Q15:Q36)</f>
        <v>8200000</v>
      </c>
    </row>
    <row r="38" spans="1:17" ht="18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17.25" customHeight="1">
      <c r="A39" s="138" t="s">
        <v>37</v>
      </c>
      <c r="B39" s="138"/>
      <c r="C39" s="138"/>
      <c r="D39" s="138"/>
      <c r="E39" s="138"/>
      <c r="F39" s="138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</row>
    <row r="40" spans="1:17" ht="18" customHeight="1">
      <c r="A40" s="140" t="s">
        <v>94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</row>
    <row r="41" spans="1:17" ht="63.75" customHeight="1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</row>
  </sheetData>
  <mergeCells count="45">
    <mergeCell ref="A39:F39"/>
    <mergeCell ref="G39:Q39"/>
    <mergeCell ref="A40:Q41"/>
    <mergeCell ref="O34:P34"/>
    <mergeCell ref="O35:P35"/>
    <mergeCell ref="O36:P36"/>
    <mergeCell ref="A37:P37"/>
    <mergeCell ref="A38:Q38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19:P19"/>
    <mergeCell ref="O20:P20"/>
    <mergeCell ref="O21:P21"/>
    <mergeCell ref="O22:P22"/>
    <mergeCell ref="O23:P23"/>
    <mergeCell ref="O15:P15"/>
    <mergeCell ref="O16:P16"/>
    <mergeCell ref="O17:P17"/>
    <mergeCell ref="O18:P18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COMPRAR</cp:lastModifiedBy>
  <cp:revision>3</cp:revision>
  <cp:lastPrinted>2022-02-02T11:53:05Z</cp:lastPrinted>
  <dcterms:created xsi:type="dcterms:W3CDTF">2020-07-17T23:44:49Z</dcterms:created>
  <dcterms:modified xsi:type="dcterms:W3CDTF">2022-07-21T13:35:52Z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