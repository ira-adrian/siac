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93C668E-64A2-49FC-825E-0E4D26BAC0DD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NotaPedido'!$A$1:$K$25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Q21" i="3" l="1"/>
  <c r="I10" i="1" l="1"/>
  <c r="C12" i="2" l="1"/>
  <c r="G6" i="3" l="1"/>
  <c r="G7" i="3"/>
  <c r="D7" i="2"/>
  <c r="D3" i="2"/>
  <c r="G4" i="3" s="1"/>
  <c r="D4" i="2"/>
  <c r="G5" i="3" s="1"/>
  <c r="D1" i="3" l="1"/>
  <c r="I12" i="2"/>
  <c r="B12" i="2"/>
</calcChain>
</file>

<file path=xl/sharedStrings.xml><?xml version="1.0" encoding="utf-8"?>
<sst xmlns="http://schemas.openxmlformats.org/spreadsheetml/2006/main" count="81" uniqueCount="76">
  <si>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</si>
  <si>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</si>
  <si>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</si>
  <si>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</si>
  <si>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</si>
  <si>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</si>
  <si>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</si>
  <si>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</si>
  <si>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</si>
  <si>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</si>
  <si>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</si>
  <si>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</si>
  <si>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</si>
  <si>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</si>
  <si>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</si>
  <si>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</si>
  <si>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</si>
  <si>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</si>
  <si>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</si>
  <si>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</si>
  <si>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</si>
  <si>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</si>
  <si>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</si>
  <si>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</si>
  <si>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</si>
  <si>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</si>
  <si>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</si>
  <si>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</si>
  <si>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</si>
  <si>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</si>
  <si>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</si>
  <si>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</si>
  <si>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</si>
  <si>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</si>
  <si>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</si>
  <si>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</si>
  <si>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</si>
  <si>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</si>
  <si>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</si>
  <si>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</si>
  <si>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</si>
  <si>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</si>
  <si>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</si>
  <si>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</si>
  <si>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</si>
  <si>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</si>
  <si>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</si>
  <si>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</si>
  <si>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</si>
  <si>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</si>
  <si>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</si>
  <si>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</si>
  <si>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</si>
  <si>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</si>
  <si>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</si>
  <si>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70 - MINISTERIO DE CIENCIA E INNOVACION TECNOLOGICA</t>
  </si>
  <si>
    <t>20 - MINISTERIO DE CIENCIA E INNOVACION TECNOLOGICA</t>
  </si>
  <si>
    <t xml:space="preserve"> MINISTERIO DE CIENCIA E INNOVACION TECNOLOGICA</t>
  </si>
  <si>
    <t>Garantía</t>
  </si>
  <si>
    <t>1.1</t>
  </si>
  <si>
    <r>
      <rPr>
        <b/>
        <u/>
        <sz val="8"/>
        <color rgb="FF000000"/>
        <rFont val="Calibri"/>
        <family val="2"/>
      </rPr>
      <t>Mantenimiento:</t>
    </r>
    <r>
      <rPr>
        <b/>
        <sz val="8"/>
        <color rgb="FF000000"/>
        <rFont val="Calibri"/>
        <family val="2"/>
      </rPr>
      <t xml:space="preserve"> 30 DIAS</t>
    </r>
  </si>
  <si>
    <t>Unidad</t>
  </si>
  <si>
    <t xml:space="preserve">CAPE PABELLON 26  DENTRO DE LOS DIEZ (10) DIAS DE RECIBIDA LA ORDEN DE COMPRA </t>
  </si>
  <si>
    <t>NO</t>
  </si>
  <si>
    <t>DIRECCION PROVINCIAL DE GESTION ADMINISTRATIVA</t>
  </si>
  <si>
    <t>Cubiertas y Cámaras de Aire</t>
  </si>
  <si>
    <t>2.4.4-6818.890</t>
  </si>
  <si>
    <t>REPUESTOS</t>
  </si>
  <si>
    <t>2.4.4</t>
  </si>
  <si>
    <t>NEUMATICOS; VEHICULO: CAMIONETA, CONSTRUCCION: RADIAL, ARMADO: SIN CAMARA, MEDIDA: 265/60R18</t>
  </si>
  <si>
    <t xml:space="preserve">ADQUISICION DE NEUMATICOS DESTINADOS A LAS CAMIONETAS (TOYOTA HILUX 4X4) OFICIALES DEPENDIENTES DEL MINISTERIO DE CIENCIA E INNOVACION TECNOLOGICA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</si>
  <si>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ADQUISICION DE NEUMATICOS DESTINADOS A LAS CAMIONETAS (TOYOTA HILUX 4X4) OFICIALES DEPENDIENTES DEL MINISTERIO DE CIENCIA E INNOVACION TECNOLOGICA   </t>
  </si>
  <si>
    <t>Costo total estimado: TRESCIENTOS SESENTA MIL DOSCIENTOS CUARENTA Y UNO CON 44/100.</t>
  </si>
  <si>
    <t xml:space="preserve">TOTAL DE PESOS: TRESCIENTOS SESENTA MIL DOSCIENTOS CUARENTA Y UNO CON 44/100. </t>
  </si>
  <si>
    <t>007/2020</t>
  </si>
  <si>
    <t>Autorizo la realización de los  trámites correspondientes, a fin de proveer a  este Organismo los bienes y/o servicios que se detallan en Nota  de Pedido N° 007/2020,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</si>
</sst>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3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b/>
      <sz val="9"/>
      <color rgb="FF000000"/>
      <name val="Times New Roman"/>
      <family val="1"/>
    </font>
    <font>
      <u/>
      <sz val="9"/>
      <name val="Times New Roman"/>
      <family val="1"/>
    </font>
    <font>
      <b/>
      <u/>
      <sz val="8"/>
      <color rgb="FF000000"/>
      <name val="Calibri"/>
      <family val="2"/>
    </font>
    <font>
      <sz val="8"/>
      <name val="Arial"/>
      <family val="2"/>
      <charset val="1"/>
    </font>
    <font>
      <b/>
      <sz val="8"/>
      <color rgb="FF000000"/>
      <name val="Calibri"/>
      <family val="2"/>
    </font>
    <font>
      <b/>
      <u/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9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3" xfId="0" applyBorder="1"/>
    <xf numFmtId="0" fontId="0" fillId="0" borderId="17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8" xfId="0" applyBorder="1"/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2" fillId="0" borderId="40" xfId="0" applyFont="1" applyBorder="1" applyAlignment="1">
      <alignment vertical="center"/>
    </xf>
    <xf numFmtId="0" fontId="0" fillId="0" borderId="40" xfId="0" applyBorder="1"/>
    <xf numFmtId="0" fontId="15" fillId="0" borderId="0" xfId="0" applyFont="1" applyFill="1"/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0" fillId="0" borderId="0" xfId="0" applyFont="1" applyFill="1"/>
    <xf numFmtId="0" fontId="20" fillId="0" borderId="0" xfId="0" applyFont="1" applyFill="1" applyBorder="1"/>
    <xf numFmtId="0" fontId="20" fillId="0" borderId="0" xfId="0" applyFont="1" applyFill="1" applyBorder="1" applyAlignment="1">
      <alignment horizontal="center" wrapText="1"/>
    </xf>
    <xf numFmtId="0" fontId="27" fillId="0" borderId="0" xfId="0" applyFont="1"/>
    <xf numFmtId="0" fontId="28" fillId="0" borderId="0" xfId="0" applyFont="1" applyBorder="1" applyAlignment="1">
      <alignment vertical="center"/>
    </xf>
    <xf numFmtId="0" fontId="24" fillId="0" borderId="0" xfId="0" applyFont="1"/>
    <xf numFmtId="0" fontId="29" fillId="0" borderId="0" xfId="0" applyFont="1"/>
    <xf numFmtId="0" fontId="24" fillId="0" borderId="0" xfId="0" applyFont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right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20" fillId="0" borderId="0" xfId="0" applyFont="1" applyFill="1" applyBorder="1" applyAlignment="1">
      <alignment horizontal="left" indent="3"/>
    </xf>
    <xf numFmtId="0" fontId="26" fillId="0" borderId="0" xfId="0" applyFont="1" applyFill="1" applyBorder="1" applyAlignment="1">
      <alignment horizontal="left" indent="3"/>
    </xf>
    <xf numFmtId="0" fontId="26" fillId="0" borderId="0" xfId="0" applyFont="1" applyFill="1" applyBorder="1"/>
    <xf numFmtId="167" fontId="20" fillId="0" borderId="0" xfId="0" applyNumberFormat="1" applyFont="1" applyFill="1"/>
    <xf numFmtId="167" fontId="15" fillId="0" borderId="0" xfId="0" applyNumberFormat="1" applyFont="1" applyFill="1"/>
    <xf numFmtId="0" fontId="15" fillId="0" borderId="0" xfId="0" applyNumberFormat="1" applyFont="1" applyFill="1"/>
    <xf numFmtId="49" fontId="6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left" vertical="center" wrapText="1"/>
    </xf>
    <xf numFmtId="166" fontId="20" fillId="0" borderId="7" xfId="1" applyNumberFormat="1" applyFont="1" applyFill="1" applyBorder="1" applyAlignment="1" applyProtection="1">
      <alignment horizontal="center" vertical="center" wrapText="1"/>
    </xf>
    <xf numFmtId="166" fontId="20" fillId="0" borderId="7" xfId="1" applyNumberFormat="1" applyFont="1" applyFill="1" applyBorder="1" applyAlignment="1" applyProtection="1">
      <alignment horizontal="left" vertical="center" wrapText="1"/>
    </xf>
    <xf numFmtId="0" fontId="23" fillId="0" borderId="7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center" wrapText="1"/>
    </xf>
    <xf numFmtId="169" fontId="21" fillId="0" borderId="7" xfId="0" applyNumberFormat="1" applyFont="1" applyFill="1" applyBorder="1" applyAlignment="1">
      <alignment horizontal="center" wrapText="1"/>
    </xf>
    <xf numFmtId="167" fontId="21" fillId="0" borderId="7" xfId="0" applyNumberFormat="1" applyFont="1" applyFill="1" applyBorder="1" applyAlignment="1">
      <alignment horizontal="right" wrapText="1"/>
    </xf>
    <xf numFmtId="169" fontId="21" fillId="0" borderId="7" xfId="0" applyNumberFormat="1" applyFont="1" applyFill="1" applyBorder="1" applyAlignment="1">
      <alignment horizontal="right" wrapText="1"/>
    </xf>
    <xf numFmtId="0" fontId="21" fillId="0" borderId="7" xfId="0" applyFont="1" applyFill="1" applyBorder="1" applyAlignment="1">
      <alignment horizontal="right" wrapText="1"/>
    </xf>
    <xf numFmtId="166" fontId="21" fillId="0" borderId="7" xfId="0" applyNumberFormat="1" applyFont="1" applyFill="1" applyBorder="1" applyAlignment="1">
      <alignment horizontal="right" wrapText="1"/>
    </xf>
    <xf numFmtId="0" fontId="35" fillId="0" borderId="7" xfId="0" applyFont="1" applyFill="1" applyBorder="1" applyAlignment="1">
      <alignment horizontal="center" vertical="center"/>
    </xf>
    <xf numFmtId="0" fontId="35" fillId="0" borderId="7" xfId="0" applyFont="1" applyFill="1" applyBorder="1" applyAlignment="1">
      <alignment horizontal="left" vertical="center"/>
    </xf>
    <xf numFmtId="0" fontId="35" fillId="0" borderId="7" xfId="0" applyFont="1" applyFill="1" applyBorder="1" applyAlignment="1">
      <alignment horizontal="center" vertical="center" wrapText="1"/>
    </xf>
    <xf numFmtId="166" fontId="36" fillId="0" borderId="7" xfId="1" applyNumberFormat="1" applyFont="1" applyFill="1" applyBorder="1" applyAlignment="1" applyProtection="1">
      <alignment horizontal="center" vertical="center" wrapText="1"/>
    </xf>
    <xf numFmtId="0" fontId="36" fillId="3" borderId="7" xfId="1" applyNumberFormat="1" applyFont="1" applyFill="1" applyBorder="1" applyAlignment="1" applyProtection="1">
      <alignment horizontal="center" vertical="center" wrapText="1"/>
    </xf>
    <xf numFmtId="0" fontId="37" fillId="0" borderId="7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left" vertical="center"/>
    </xf>
    <xf numFmtId="169" fontId="35" fillId="0" borderId="7" xfId="0" applyNumberFormat="1" applyFont="1" applyFill="1" applyBorder="1" applyAlignment="1">
      <alignment horizontal="center" vertical="center" wrapText="1"/>
    </xf>
    <xf numFmtId="3" fontId="35" fillId="0" borderId="7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9" fontId="4" fillId="0" borderId="7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6" fillId="0" borderId="7" xfId="0" applyFont="1" applyBorder="1" applyAlignment="1">
      <alignment horizontal="left" vertical="center" wrapText="1" indent="1"/>
    </xf>
    <xf numFmtId="167" fontId="7" fillId="0" borderId="7" xfId="0" applyNumberFormat="1" applyFont="1" applyBorder="1" applyAlignment="1">
      <alignment horizontal="center" vertical="center"/>
    </xf>
    <xf numFmtId="0" fontId="35" fillId="0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35" fillId="0" borderId="7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top" wrapText="1"/>
    </xf>
    <xf numFmtId="0" fontId="34" fillId="0" borderId="11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2" fillId="0" borderId="9" xfId="0" applyFont="1" applyFill="1" applyBorder="1" applyAlignment="1">
      <alignment horizontal="left" vertical="center"/>
    </xf>
    <xf numFmtId="0" fontId="33" fillId="0" borderId="10" xfId="0" applyFont="1" applyFill="1" applyBorder="1" applyAlignment="1">
      <alignment horizontal="left" vertical="center" wrapText="1" indent="1"/>
    </xf>
    <xf numFmtId="0" fontId="34" fillId="0" borderId="9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2" fillId="0" borderId="6" xfId="0" applyFont="1" applyFill="1" applyBorder="1" applyAlignment="1">
      <alignment horizontal="left" vertical="center" wrapText="1"/>
    </xf>
    <xf numFmtId="0" fontId="31" fillId="0" borderId="7" xfId="0" applyFont="1" applyFill="1" applyBorder="1" applyAlignment="1">
      <alignment horizontal="left" vertical="center" wrapText="1" indent="1"/>
    </xf>
    <xf numFmtId="0" fontId="32" fillId="0" borderId="8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2" fillId="0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36" xfId="0" applyFont="1" applyBorder="1" applyAlignment="1">
      <alignment horizontal="left" vertical="center" wrapText="1"/>
    </xf>
    <xf numFmtId="0" fontId="0" fillId="0" borderId="14" xfId="0" applyBorder="1"/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top" wrapText="1"/>
    </xf>
    <xf numFmtId="0" fontId="23" fillId="0" borderId="43" xfId="0" applyFont="1" applyBorder="1" applyAlignment="1">
      <alignment horizontal="left" vertical="top" wrapText="1"/>
    </xf>
    <xf numFmtId="0" fontId="23" fillId="0" borderId="25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indent="1"/>
    </xf>
    <xf numFmtId="0" fontId="12" fillId="0" borderId="4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5"/>
  <sheetViews>
    <sheetView tabSelected="1" zoomScaleNormal="100" workbookViewId="0">
      <selection activeCell="J18" sqref="J18"/>
    </sheetView>
  </sheetViews>
  <sheetFormatPr baseColWidth="10" defaultColWidth="11" defaultRowHeight="12.75" x14ac:dyDescent="0.2"/>
  <cols>
    <col min="1" max="1" width="3.28515625" style="30" customWidth="1"/>
    <col min="2" max="2" width="12.85546875" style="30" customWidth="1"/>
    <col min="3" max="3" width="27.5703125" style="30" customWidth="1"/>
    <col min="4" max="4" width="5.28515625" style="30" customWidth="1"/>
    <col min="5" max="5" width="76" style="30" customWidth="1"/>
    <col min="6" max="6" width="8.7109375" style="30" customWidth="1"/>
    <col min="7" max="7" width="11" style="30" customWidth="1"/>
    <col min="8" max="8" width="10.7109375" style="30" customWidth="1"/>
    <col min="9" max="9" width="10.140625" style="30" customWidth="1"/>
    <col min="10" max="10" width="11" style="30"/>
    <col min="11" max="11" width="11.28515625" style="30" bestFit="1" customWidth="1"/>
    <col min="12" max="16384" width="11" style="30"/>
  </cols>
  <sheetData>
    <row r="2" spans="1:11" ht="27" x14ac:dyDescent="0.35">
      <c r="B2" s="98" t="s">
        <v>0</v>
      </c>
      <c r="C2" s="98"/>
      <c r="D2" s="98"/>
      <c r="E2" s="98"/>
      <c r="F2" s="98"/>
      <c r="G2" s="98"/>
      <c r="H2" s="98"/>
    </row>
    <row r="4" spans="1:11" ht="15.75" x14ac:dyDescent="0.25">
      <c r="A4" s="99" t="s">
        <v>1</v>
      </c>
      <c r="B4" s="99"/>
      <c r="C4" s="100" t="s">
        <v>55</v>
      </c>
      <c r="D4" s="100"/>
      <c r="E4" s="100"/>
      <c r="F4" s="31"/>
      <c r="G4" s="32"/>
      <c r="H4" s="31"/>
    </row>
    <row r="5" spans="1:11" ht="18" customHeight="1" x14ac:dyDescent="0.25">
      <c r="A5" s="97" t="s">
        <v>2</v>
      </c>
      <c r="B5" s="97"/>
      <c r="C5" s="100" t="s">
        <v>56</v>
      </c>
      <c r="D5" s="100"/>
      <c r="E5" s="100"/>
      <c r="F5" s="31"/>
      <c r="G5" s="32"/>
      <c r="H5" s="31"/>
    </row>
    <row r="6" spans="1:11" ht="16.5" customHeight="1" x14ac:dyDescent="0.25">
      <c r="A6" s="97" t="s">
        <v>3</v>
      </c>
      <c r="B6" s="97"/>
      <c r="C6" s="33">
        <v>2020</v>
      </c>
      <c r="D6" s="34"/>
      <c r="E6" s="34"/>
      <c r="F6" s="31"/>
      <c r="G6" s="32"/>
      <c r="H6" s="31"/>
    </row>
    <row r="7" spans="1:11" ht="16.5" customHeight="1" x14ac:dyDescent="0.25">
      <c r="A7" s="97" t="s">
        <v>4</v>
      </c>
      <c r="B7" s="97"/>
      <c r="C7" s="33">
        <v>4</v>
      </c>
      <c r="D7" s="34"/>
      <c r="E7" s="34"/>
      <c r="F7" s="31"/>
      <c r="G7" s="32"/>
      <c r="H7" s="31"/>
    </row>
    <row r="8" spans="1:11" x14ac:dyDescent="0.2">
      <c r="B8" s="31"/>
      <c r="C8" s="32"/>
      <c r="D8" s="31"/>
      <c r="E8" s="31"/>
      <c r="F8" s="31"/>
      <c r="G8" s="32"/>
      <c r="H8" s="31"/>
    </row>
    <row r="9" spans="1:11" ht="49.5" thickTop="1" thickBot="1" x14ac:dyDescent="0.25">
      <c r="A9" s="43" t="s">
        <v>5</v>
      </c>
      <c r="B9" s="43" t="s">
        <v>6</v>
      </c>
      <c r="C9" s="43" t="s">
        <v>7</v>
      </c>
      <c r="D9" s="43" t="s">
        <v>8</v>
      </c>
      <c r="E9" s="43" t="s">
        <v>9</v>
      </c>
      <c r="F9" s="43" t="s">
        <v>10</v>
      </c>
      <c r="G9" s="43" t="s">
        <v>11</v>
      </c>
      <c r="H9" s="43" t="s">
        <v>12</v>
      </c>
      <c r="I9" s="43" t="s">
        <v>13</v>
      </c>
      <c r="J9" s="44"/>
    </row>
    <row r="10" spans="1:11" ht="31.5" customHeight="1" thickBot="1" x14ac:dyDescent="0.25">
      <c r="A10" s="67">
        <v>1</v>
      </c>
      <c r="B10" s="68" t="s">
        <v>66</v>
      </c>
      <c r="C10" s="68" t="s">
        <v>67</v>
      </c>
      <c r="D10" s="68" t="s">
        <v>68</v>
      </c>
      <c r="E10" s="69" t="s">
        <v>69</v>
      </c>
      <c r="F10" s="68" t="s">
        <v>61</v>
      </c>
      <c r="G10" s="68">
        <v>16</v>
      </c>
      <c r="H10" s="70">
        <v>22515.09</v>
      </c>
      <c r="I10" s="71">
        <f>+G10*H10</f>
        <v>360241.44</v>
      </c>
      <c r="J10" s="63"/>
      <c r="K10" s="64"/>
    </row>
    <row r="11" spans="1:11" ht="13.5" thickBot="1" x14ac:dyDescent="0.25">
      <c r="A11" s="67"/>
      <c r="B11" s="68"/>
      <c r="C11" s="69"/>
      <c r="D11" s="68"/>
      <c r="E11" s="72"/>
      <c r="F11" s="73"/>
      <c r="G11" s="73"/>
      <c r="H11" s="74"/>
      <c r="I11" s="75"/>
      <c r="J11" s="44"/>
      <c r="K11" s="65"/>
    </row>
    <row r="12" spans="1:11" ht="13.5" thickBot="1" x14ac:dyDescent="0.25">
      <c r="A12" s="67"/>
      <c r="B12" s="68"/>
      <c r="C12" s="69"/>
      <c r="D12" s="68"/>
      <c r="E12" s="72"/>
      <c r="F12" s="73"/>
      <c r="G12" s="73"/>
      <c r="H12" s="74"/>
      <c r="I12" s="76"/>
      <c r="J12" s="44"/>
      <c r="K12" s="65"/>
    </row>
    <row r="13" spans="1:11" ht="13.5" thickBot="1" x14ac:dyDescent="0.25">
      <c r="A13" s="67"/>
      <c r="B13" s="68"/>
      <c r="C13" s="69"/>
      <c r="D13" s="68"/>
      <c r="E13" s="72"/>
      <c r="F13" s="73"/>
      <c r="G13" s="73"/>
      <c r="H13" s="74"/>
      <c r="I13" s="76"/>
      <c r="J13" s="44"/>
      <c r="K13" s="64"/>
    </row>
    <row r="14" spans="1:11" ht="13.5" thickBot="1" x14ac:dyDescent="0.25">
      <c r="A14" s="67"/>
      <c r="B14" s="68"/>
      <c r="C14" s="69"/>
      <c r="D14" s="68"/>
      <c r="E14" s="72"/>
      <c r="F14" s="73"/>
      <c r="G14" s="73"/>
      <c r="H14" s="73"/>
      <c r="I14" s="77"/>
      <c r="J14" s="44"/>
    </row>
    <row r="15" spans="1:11" ht="13.5" thickBot="1" x14ac:dyDescent="0.25">
      <c r="A15" s="67"/>
      <c r="B15" s="68"/>
      <c r="C15" s="69"/>
      <c r="D15" s="68"/>
      <c r="E15" s="72"/>
      <c r="F15" s="73"/>
      <c r="G15" s="73"/>
      <c r="H15" s="73"/>
      <c r="I15" s="78"/>
      <c r="J15" s="44"/>
    </row>
    <row r="16" spans="1:11" ht="13.5" thickBot="1" x14ac:dyDescent="0.25">
      <c r="A16" s="67"/>
      <c r="B16" s="68"/>
      <c r="C16" s="69"/>
      <c r="D16" s="68"/>
      <c r="E16" s="69"/>
      <c r="F16" s="73"/>
      <c r="G16" s="73"/>
      <c r="H16" s="73"/>
      <c r="I16" s="77"/>
      <c r="J16" s="44"/>
    </row>
    <row r="17" spans="1:10" ht="13.5" thickBot="1" x14ac:dyDescent="0.25">
      <c r="A17" s="67"/>
      <c r="B17" s="68"/>
      <c r="C17" s="69"/>
      <c r="D17" s="68"/>
      <c r="E17" s="69"/>
      <c r="F17" s="73"/>
      <c r="G17" s="73"/>
      <c r="H17" s="73"/>
      <c r="I17" s="77"/>
      <c r="J17" s="44"/>
    </row>
    <row r="18" spans="1:10" ht="13.5" thickBot="1" x14ac:dyDescent="0.25">
      <c r="A18" s="67"/>
      <c r="B18" s="68"/>
      <c r="C18" s="69"/>
      <c r="D18" s="68"/>
      <c r="E18" s="69"/>
      <c r="F18" s="73"/>
      <c r="G18" s="73"/>
      <c r="H18" s="73"/>
      <c r="I18" s="77"/>
      <c r="J18" s="44"/>
    </row>
    <row r="19" spans="1:10" ht="13.5" thickBot="1" x14ac:dyDescent="0.25">
      <c r="A19" s="67"/>
      <c r="B19" s="68"/>
      <c r="C19" s="69"/>
      <c r="D19" s="68"/>
      <c r="E19" s="69"/>
      <c r="F19" s="73"/>
      <c r="G19" s="73"/>
      <c r="H19" s="73"/>
      <c r="I19" s="77"/>
      <c r="J19" s="44"/>
    </row>
    <row r="20" spans="1:10" ht="13.5" thickBot="1" x14ac:dyDescent="0.25">
      <c r="A20" s="67"/>
      <c r="B20" s="68"/>
      <c r="C20" s="69"/>
      <c r="D20" s="68"/>
      <c r="E20" s="69"/>
      <c r="F20" s="73"/>
      <c r="G20" s="73"/>
      <c r="H20" s="73"/>
      <c r="I20" s="77"/>
      <c r="J20" s="44"/>
    </row>
    <row r="21" spans="1:10" ht="13.5" thickBot="1" x14ac:dyDescent="0.25">
      <c r="A21" s="67"/>
      <c r="B21" s="68"/>
      <c r="C21" s="69"/>
      <c r="D21" s="68"/>
      <c r="E21" s="69"/>
      <c r="F21" s="73"/>
      <c r="G21" s="73"/>
      <c r="H21" s="73"/>
      <c r="I21" s="77"/>
      <c r="J21" s="44"/>
    </row>
    <row r="22" spans="1:10" ht="13.5" thickBot="1" x14ac:dyDescent="0.25">
      <c r="A22" s="67"/>
      <c r="B22" s="68"/>
      <c r="C22" s="69"/>
      <c r="D22" s="68"/>
      <c r="E22" s="69"/>
      <c r="F22" s="73"/>
      <c r="G22" s="73"/>
      <c r="H22" s="73"/>
      <c r="I22" s="77"/>
      <c r="J22" s="44"/>
    </row>
    <row r="23" spans="1:10" x14ac:dyDescent="0.2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x14ac:dyDescent="0.2">
      <c r="A24" s="44"/>
      <c r="B24" s="47" t="s">
        <v>14</v>
      </c>
      <c r="C24" s="48"/>
      <c r="D24" s="48"/>
      <c r="E24" s="48"/>
      <c r="F24" s="48"/>
      <c r="G24" s="48"/>
      <c r="H24" s="48"/>
      <c r="I24" s="44"/>
      <c r="J24" s="44"/>
    </row>
    <row r="25" spans="1:10" x14ac:dyDescent="0.2">
      <c r="A25" s="44"/>
      <c r="B25" s="47" t="s">
        <v>15</v>
      </c>
      <c r="C25" s="48"/>
      <c r="D25" s="48"/>
      <c r="E25" s="48"/>
      <c r="F25" s="48"/>
      <c r="G25" s="48"/>
      <c r="H25" s="48"/>
      <c r="I25" s="44"/>
      <c r="J25" s="44"/>
    </row>
    <row r="26" spans="1:10" x14ac:dyDescent="0.2">
      <c r="A26" s="44"/>
      <c r="B26" s="49"/>
      <c r="C26" s="48"/>
      <c r="D26" s="48"/>
      <c r="E26" s="48"/>
      <c r="F26" s="48"/>
      <c r="G26" s="48"/>
      <c r="H26" s="48"/>
      <c r="I26" s="44"/>
      <c r="J26" s="44"/>
    </row>
    <row r="27" spans="1:10" x14ac:dyDescent="0.2">
      <c r="A27" s="44"/>
      <c r="B27" s="49"/>
      <c r="C27" s="49"/>
      <c r="D27" s="49"/>
      <c r="E27" s="49"/>
      <c r="F27" s="49"/>
      <c r="G27" s="49"/>
      <c r="H27" s="49"/>
      <c r="I27" s="44"/>
      <c r="J27" s="44"/>
    </row>
    <row r="28" spans="1:10" ht="32.25" customHeight="1" x14ac:dyDescent="0.2">
      <c r="A28" s="44"/>
      <c r="B28" s="47" t="s">
        <v>16</v>
      </c>
      <c r="C28" s="49" t="s">
        <v>62</v>
      </c>
      <c r="D28" s="49"/>
      <c r="E28" s="49"/>
      <c r="F28" s="49"/>
      <c r="G28" s="49"/>
      <c r="H28" s="49"/>
      <c r="I28" s="44"/>
      <c r="J28" s="44"/>
    </row>
    <row r="29" spans="1:10" x14ac:dyDescent="0.2">
      <c r="A29" s="44"/>
      <c r="B29" s="49"/>
      <c r="C29" s="49"/>
      <c r="D29" s="49"/>
      <c r="E29" s="49"/>
      <c r="F29" s="49"/>
      <c r="G29" s="49"/>
      <c r="H29" s="49"/>
      <c r="I29" s="44"/>
      <c r="J29" s="44"/>
    </row>
    <row r="30" spans="1:10" x14ac:dyDescent="0.2">
      <c r="A30" s="44"/>
      <c r="B30" s="50" t="s">
        <v>17</v>
      </c>
      <c r="C30" s="49"/>
      <c r="D30" s="49"/>
      <c r="E30" s="49"/>
      <c r="F30" s="49"/>
      <c r="G30" s="49"/>
      <c r="H30" s="49"/>
      <c r="I30" s="44"/>
      <c r="J30" s="44"/>
    </row>
    <row r="31" spans="1:10" x14ac:dyDescent="0.2">
      <c r="A31" s="44"/>
      <c r="B31" s="50" t="s">
        <v>60</v>
      </c>
      <c r="C31" s="49"/>
      <c r="D31" s="49"/>
      <c r="E31" s="49"/>
      <c r="F31" s="49"/>
      <c r="G31" s="49"/>
      <c r="H31" s="49"/>
      <c r="I31" s="44"/>
      <c r="J31" s="44"/>
    </row>
    <row r="32" spans="1:10" x14ac:dyDescent="0.2">
      <c r="A32" s="44"/>
      <c r="B32" s="50" t="s">
        <v>58</v>
      </c>
      <c r="C32" s="47"/>
      <c r="D32" s="49"/>
      <c r="E32" s="49"/>
      <c r="F32" s="49"/>
      <c r="G32" s="49"/>
      <c r="H32" s="49"/>
      <c r="I32" s="44"/>
      <c r="J32" s="44"/>
    </row>
    <row r="33" spans="1:10" ht="26.25" customHeight="1" x14ac:dyDescent="0.2">
      <c r="A33" s="45"/>
      <c r="B33" s="60"/>
      <c r="C33" s="96"/>
      <c r="D33" s="96"/>
      <c r="E33" s="96"/>
      <c r="F33" s="44"/>
      <c r="G33" s="44"/>
      <c r="H33" s="44"/>
      <c r="I33" s="44"/>
      <c r="J33" s="44"/>
    </row>
    <row r="34" spans="1:10" x14ac:dyDescent="0.2">
      <c r="A34" s="45"/>
      <c r="B34" s="61"/>
      <c r="C34" s="46"/>
      <c r="D34" s="46"/>
      <c r="E34" s="46"/>
      <c r="F34" s="44"/>
      <c r="G34" s="44"/>
      <c r="H34" s="44"/>
      <c r="I34" s="44"/>
      <c r="J34" s="44"/>
    </row>
    <row r="35" spans="1:10" ht="26.25" customHeight="1" x14ac:dyDescent="0.2">
      <c r="A35" s="45"/>
      <c r="B35" s="60"/>
      <c r="C35" s="96"/>
      <c r="D35" s="96"/>
      <c r="E35" s="96"/>
      <c r="F35" s="44"/>
      <c r="G35" s="44"/>
      <c r="H35" s="44"/>
      <c r="I35" s="44"/>
      <c r="J35" s="44"/>
    </row>
    <row r="36" spans="1:10" x14ac:dyDescent="0.2">
      <c r="A36" s="45"/>
      <c r="B36" s="61"/>
      <c r="C36" s="45"/>
      <c r="D36" s="45"/>
      <c r="E36" s="45"/>
      <c r="F36" s="44"/>
      <c r="G36" s="44"/>
      <c r="H36" s="44"/>
      <c r="I36" s="44"/>
      <c r="J36" s="44"/>
    </row>
    <row r="37" spans="1:10" ht="23.25" customHeight="1" x14ac:dyDescent="0.2">
      <c r="A37" s="45"/>
      <c r="B37" s="61"/>
      <c r="C37" s="94"/>
      <c r="D37" s="94"/>
      <c r="E37" s="94"/>
      <c r="F37" s="44"/>
      <c r="G37" s="44"/>
      <c r="H37" s="44"/>
      <c r="I37" s="44"/>
      <c r="J37" s="44"/>
    </row>
    <row r="38" spans="1:10" x14ac:dyDescent="0.2">
      <c r="A38" s="45"/>
      <c r="B38" s="60"/>
      <c r="C38" s="45"/>
      <c r="D38" s="45"/>
      <c r="E38" s="45"/>
      <c r="F38" s="44"/>
      <c r="G38" s="44"/>
      <c r="H38" s="44"/>
      <c r="I38" s="44"/>
      <c r="J38" s="44"/>
    </row>
    <row r="39" spans="1:10" x14ac:dyDescent="0.2">
      <c r="A39" s="45"/>
      <c r="B39" s="45"/>
      <c r="C39" s="45"/>
      <c r="D39" s="45"/>
      <c r="E39" s="45"/>
      <c r="F39" s="44"/>
      <c r="G39" s="44"/>
      <c r="H39" s="44"/>
      <c r="I39" s="44"/>
      <c r="J39" s="44"/>
    </row>
    <row r="40" spans="1:10" x14ac:dyDescent="0.2">
      <c r="A40" s="45"/>
      <c r="B40" s="62"/>
      <c r="C40" s="45"/>
      <c r="D40" s="45"/>
      <c r="E40" s="45"/>
      <c r="F40" s="44"/>
      <c r="G40" s="44"/>
      <c r="H40" s="44"/>
      <c r="I40" s="44"/>
      <c r="J40" s="44"/>
    </row>
    <row r="41" spans="1:10" ht="7.5" customHeight="1" x14ac:dyDescent="0.2">
      <c r="A41" s="45"/>
      <c r="B41" s="45"/>
      <c r="C41" s="45"/>
      <c r="D41" s="45"/>
      <c r="E41" s="45"/>
      <c r="F41" s="44"/>
      <c r="G41" s="44"/>
      <c r="H41" s="44"/>
      <c r="I41" s="44"/>
      <c r="J41" s="44"/>
    </row>
    <row r="42" spans="1:10" x14ac:dyDescent="0.2">
      <c r="A42" s="45"/>
      <c r="B42" s="61"/>
      <c r="C42" s="45"/>
      <c r="D42" s="45"/>
      <c r="E42" s="45"/>
      <c r="F42" s="44"/>
      <c r="G42" s="44"/>
      <c r="H42" s="44"/>
      <c r="I42" s="44"/>
      <c r="J42" s="44"/>
    </row>
    <row r="43" spans="1:10" ht="50.25" customHeight="1" x14ac:dyDescent="0.2">
      <c r="A43" s="45"/>
      <c r="B43" s="61"/>
      <c r="C43" s="95"/>
      <c r="D43" s="95"/>
      <c r="E43" s="95"/>
      <c r="F43" s="44"/>
      <c r="G43" s="44"/>
      <c r="H43" s="44"/>
      <c r="I43" s="44"/>
      <c r="J43" s="44"/>
    </row>
    <row r="44" spans="1:10" x14ac:dyDescent="0.2">
      <c r="A44" s="45"/>
      <c r="B44" s="61"/>
      <c r="C44" s="45"/>
      <c r="D44" s="45"/>
      <c r="E44" s="45"/>
      <c r="F44" s="44"/>
      <c r="G44" s="44"/>
      <c r="H44" s="44"/>
      <c r="I44" s="44"/>
      <c r="J44" s="44"/>
    </row>
    <row r="45" spans="1:10" x14ac:dyDescent="0.2">
      <c r="A45" s="45"/>
      <c r="B45" s="60"/>
      <c r="C45" s="94"/>
      <c r="D45" s="94"/>
      <c r="E45" s="94"/>
      <c r="F45" s="44"/>
      <c r="G45" s="44"/>
      <c r="H45" s="44"/>
      <c r="I45" s="44"/>
      <c r="J45" s="44"/>
    </row>
    <row r="46" spans="1:10" x14ac:dyDescent="0.2">
      <c r="A46" s="45"/>
      <c r="B46" s="60"/>
      <c r="C46" s="94"/>
      <c r="D46" s="94"/>
      <c r="E46" s="94"/>
      <c r="F46" s="44"/>
      <c r="G46" s="44"/>
      <c r="H46" s="44"/>
      <c r="I46" s="44"/>
      <c r="J46" s="44"/>
    </row>
    <row r="47" spans="1:10" x14ac:dyDescent="0.2">
      <c r="A47" s="45"/>
      <c r="B47" s="61"/>
      <c r="C47" s="45"/>
      <c r="D47" s="45"/>
      <c r="E47" s="45"/>
      <c r="F47" s="44"/>
      <c r="G47" s="44"/>
      <c r="H47" s="44"/>
      <c r="I47" s="44"/>
      <c r="J47" s="44"/>
    </row>
    <row r="48" spans="1:10" x14ac:dyDescent="0.2">
      <c r="A48" s="45"/>
      <c r="B48" s="60"/>
      <c r="C48" s="96"/>
      <c r="D48" s="96"/>
      <c r="E48" s="96"/>
      <c r="F48" s="44"/>
      <c r="G48" s="44"/>
      <c r="H48" s="44"/>
      <c r="I48" s="44"/>
      <c r="J48" s="44"/>
    </row>
    <row r="49" spans="1:10" x14ac:dyDescent="0.2">
      <c r="A49" s="45"/>
      <c r="B49" s="61"/>
      <c r="C49" s="46"/>
      <c r="D49" s="46"/>
      <c r="E49" s="46"/>
      <c r="F49" s="44"/>
      <c r="G49" s="44"/>
      <c r="H49" s="44"/>
      <c r="I49" s="44"/>
      <c r="J49" s="44"/>
    </row>
    <row r="50" spans="1:10" x14ac:dyDescent="0.2">
      <c r="A50" s="45"/>
      <c r="B50" s="60"/>
      <c r="C50" s="96"/>
      <c r="D50" s="96"/>
      <c r="E50" s="96"/>
      <c r="F50" s="44"/>
      <c r="G50" s="44"/>
      <c r="H50" s="44"/>
      <c r="I50" s="44"/>
      <c r="J50" s="44"/>
    </row>
    <row r="51" spans="1:10" x14ac:dyDescent="0.2">
      <c r="A51" s="45"/>
      <c r="B51" s="61"/>
      <c r="C51" s="45"/>
      <c r="D51" s="45"/>
      <c r="E51" s="45"/>
      <c r="F51" s="44"/>
      <c r="G51" s="44"/>
      <c r="H51" s="44"/>
      <c r="I51" s="44"/>
      <c r="J51" s="44"/>
    </row>
    <row r="52" spans="1:10" x14ac:dyDescent="0.2">
      <c r="A52" s="45"/>
      <c r="B52" s="61"/>
      <c r="C52" s="94"/>
      <c r="D52" s="94"/>
      <c r="E52" s="94"/>
      <c r="F52" s="44"/>
      <c r="G52" s="44"/>
      <c r="H52" s="44"/>
      <c r="I52" s="44"/>
      <c r="J52" s="44"/>
    </row>
    <row r="53" spans="1:10" x14ac:dyDescent="0.2">
      <c r="A53" s="45"/>
      <c r="B53" s="60"/>
      <c r="C53" s="45"/>
      <c r="D53" s="45"/>
      <c r="E53" s="45"/>
      <c r="F53" s="44"/>
      <c r="G53" s="44"/>
      <c r="H53" s="44"/>
      <c r="I53" s="44"/>
      <c r="J53" s="44"/>
    </row>
    <row r="54" spans="1:10" x14ac:dyDescent="0.2">
      <c r="A54" s="45"/>
      <c r="B54" s="45"/>
      <c r="C54" s="45"/>
      <c r="D54" s="45"/>
      <c r="E54" s="45"/>
      <c r="F54" s="44"/>
      <c r="G54" s="44"/>
      <c r="H54" s="44"/>
      <c r="I54" s="44"/>
      <c r="J54" s="44"/>
    </row>
    <row r="55" spans="1:10" x14ac:dyDescent="0.2">
      <c r="A55" s="45"/>
      <c r="B55" s="45"/>
      <c r="C55" s="45"/>
      <c r="D55" s="45"/>
      <c r="E55" s="45"/>
      <c r="F55" s="44"/>
      <c r="G55" s="44"/>
      <c r="H55" s="44"/>
      <c r="I55" s="44"/>
      <c r="J55" s="44"/>
    </row>
    <row r="56" spans="1:10" x14ac:dyDescent="0.2">
      <c r="A56" s="45"/>
      <c r="B56" s="45"/>
      <c r="C56" s="45"/>
      <c r="D56" s="45"/>
      <c r="E56" s="45"/>
      <c r="F56" s="44"/>
      <c r="G56" s="44"/>
      <c r="H56" s="44"/>
      <c r="I56" s="44"/>
      <c r="J56" s="44"/>
    </row>
    <row r="57" spans="1:10" x14ac:dyDescent="0.2">
      <c r="A57" s="45"/>
      <c r="B57" s="45"/>
      <c r="C57" s="45"/>
      <c r="D57" s="45"/>
      <c r="E57" s="45"/>
      <c r="F57" s="44"/>
      <c r="G57" s="44"/>
      <c r="H57" s="44"/>
      <c r="I57" s="44"/>
      <c r="J57" s="44"/>
    </row>
    <row r="58" spans="1:10" x14ac:dyDescent="0.2">
      <c r="A58" s="45"/>
      <c r="B58" s="62"/>
      <c r="C58" s="45"/>
      <c r="D58" s="45"/>
      <c r="E58" s="45"/>
      <c r="F58" s="44"/>
      <c r="G58" s="44"/>
      <c r="H58" s="44"/>
      <c r="I58" s="44"/>
      <c r="J58" s="44"/>
    </row>
    <row r="59" spans="1:10" x14ac:dyDescent="0.2">
      <c r="A59" s="45"/>
      <c r="B59" s="45"/>
      <c r="C59" s="45"/>
      <c r="D59" s="45"/>
      <c r="E59" s="45"/>
      <c r="F59" s="44"/>
      <c r="G59" s="44"/>
      <c r="H59" s="44"/>
      <c r="I59" s="44"/>
      <c r="J59" s="44"/>
    </row>
    <row r="60" spans="1:10" x14ac:dyDescent="0.2">
      <c r="A60" s="45"/>
      <c r="B60" s="61"/>
      <c r="C60" s="45"/>
      <c r="D60" s="45"/>
      <c r="E60" s="45"/>
      <c r="F60" s="44"/>
      <c r="G60" s="44"/>
      <c r="H60" s="44"/>
      <c r="I60" s="44"/>
      <c r="J60" s="44"/>
    </row>
    <row r="61" spans="1:10" ht="57.75" customHeight="1" x14ac:dyDescent="0.2">
      <c r="A61" s="45"/>
      <c r="B61" s="61"/>
      <c r="C61" s="95"/>
      <c r="D61" s="95"/>
      <c r="E61" s="95"/>
      <c r="F61" s="44"/>
      <c r="G61" s="44"/>
      <c r="H61" s="44"/>
      <c r="I61" s="44"/>
      <c r="J61" s="44"/>
    </row>
    <row r="62" spans="1:10" ht="32.25" customHeight="1" x14ac:dyDescent="0.2">
      <c r="A62" s="45"/>
      <c r="B62" s="61"/>
      <c r="C62" s="45"/>
      <c r="D62" s="45"/>
      <c r="E62" s="45"/>
      <c r="F62" s="44"/>
      <c r="G62" s="44"/>
      <c r="H62" s="44"/>
      <c r="I62" s="44"/>
      <c r="J62" s="44"/>
    </row>
    <row r="63" spans="1:10" x14ac:dyDescent="0.2">
      <c r="A63" s="45"/>
      <c r="B63" s="60"/>
      <c r="C63" s="94"/>
      <c r="D63" s="94"/>
      <c r="E63" s="94"/>
      <c r="F63" s="44"/>
      <c r="G63" s="44"/>
      <c r="H63" s="44"/>
      <c r="I63" s="44"/>
      <c r="J63" s="44"/>
    </row>
    <row r="64" spans="1:10" x14ac:dyDescent="0.2">
      <c r="A64" s="45"/>
      <c r="B64" s="60"/>
      <c r="C64" s="94"/>
      <c r="D64" s="94"/>
      <c r="E64" s="94"/>
      <c r="F64" s="44"/>
      <c r="G64" s="44"/>
      <c r="H64" s="44"/>
      <c r="I64" s="44"/>
      <c r="J64" s="44"/>
    </row>
    <row r="65" spans="1:10" x14ac:dyDescent="0.2">
      <c r="A65" s="45"/>
      <c r="B65" s="61"/>
      <c r="C65" s="45"/>
      <c r="D65" s="45"/>
      <c r="E65" s="45"/>
      <c r="F65" s="44"/>
      <c r="G65" s="44"/>
      <c r="H65" s="44"/>
      <c r="I65" s="44"/>
      <c r="J65" s="44"/>
    </row>
    <row r="66" spans="1:10" x14ac:dyDescent="0.2">
      <c r="A66" s="45"/>
      <c r="B66" s="60"/>
      <c r="C66" s="96"/>
      <c r="D66" s="96"/>
      <c r="E66" s="96"/>
      <c r="F66" s="44"/>
      <c r="G66" s="44"/>
      <c r="H66" s="44"/>
      <c r="I66" s="44"/>
      <c r="J66" s="44"/>
    </row>
    <row r="67" spans="1:10" x14ac:dyDescent="0.2">
      <c r="A67" s="45"/>
      <c r="B67" s="61"/>
      <c r="C67" s="46"/>
      <c r="D67" s="46"/>
      <c r="E67" s="46"/>
      <c r="F67" s="44"/>
      <c r="G67" s="44"/>
      <c r="H67" s="44"/>
      <c r="I67" s="44"/>
      <c r="J67" s="44"/>
    </row>
    <row r="68" spans="1:10" x14ac:dyDescent="0.2">
      <c r="A68" s="45"/>
      <c r="B68" s="60"/>
      <c r="C68" s="96"/>
      <c r="D68" s="96"/>
      <c r="E68" s="96"/>
      <c r="F68" s="44"/>
      <c r="G68" s="44"/>
      <c r="H68" s="44"/>
      <c r="I68" s="44"/>
      <c r="J68" s="44"/>
    </row>
    <row r="69" spans="1:10" x14ac:dyDescent="0.2">
      <c r="A69" s="45"/>
      <c r="B69" s="61"/>
      <c r="C69" s="45"/>
      <c r="D69" s="45"/>
      <c r="E69" s="45"/>
      <c r="F69" s="44"/>
      <c r="G69" s="44"/>
      <c r="H69" s="44"/>
      <c r="I69" s="44"/>
      <c r="J69" s="44"/>
    </row>
    <row r="70" spans="1:10" x14ac:dyDescent="0.2">
      <c r="A70" s="45"/>
      <c r="B70" s="61"/>
      <c r="C70" s="94"/>
      <c r="D70" s="94"/>
      <c r="E70" s="94"/>
      <c r="F70" s="44"/>
      <c r="G70" s="44"/>
      <c r="H70" s="44"/>
      <c r="I70" s="44"/>
      <c r="J70" s="44"/>
    </row>
    <row r="71" spans="1:10" x14ac:dyDescent="0.2">
      <c r="A71" s="45"/>
      <c r="B71" s="60"/>
      <c r="C71" s="45"/>
      <c r="D71" s="45"/>
      <c r="E71" s="45"/>
      <c r="F71" s="44"/>
      <c r="G71" s="44"/>
      <c r="H71" s="44"/>
      <c r="I71" s="44"/>
      <c r="J71" s="44"/>
    </row>
    <row r="72" spans="1:10" x14ac:dyDescent="0.2">
      <c r="A72" s="45"/>
      <c r="B72" s="45"/>
      <c r="C72" s="45"/>
      <c r="D72" s="45"/>
      <c r="E72" s="45"/>
      <c r="F72" s="44"/>
      <c r="G72" s="44"/>
      <c r="H72" s="44"/>
      <c r="I72" s="44"/>
      <c r="J72" s="44"/>
    </row>
    <row r="73" spans="1:10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</row>
  </sheetData>
  <mergeCells count="22">
    <mergeCell ref="A6:B6"/>
    <mergeCell ref="A7:B7"/>
    <mergeCell ref="B2:H2"/>
    <mergeCell ref="A4:B4"/>
    <mergeCell ref="C4:E4"/>
    <mergeCell ref="A5:B5"/>
    <mergeCell ref="C5:E5"/>
    <mergeCell ref="C46:E46"/>
    <mergeCell ref="C48:E48"/>
    <mergeCell ref="C50:E50"/>
    <mergeCell ref="C52:E52"/>
    <mergeCell ref="C33:E33"/>
    <mergeCell ref="C35:E35"/>
    <mergeCell ref="C37:E37"/>
    <mergeCell ref="C43:E43"/>
    <mergeCell ref="C45:E45"/>
    <mergeCell ref="C70:E70"/>
    <mergeCell ref="C61:E61"/>
    <mergeCell ref="C63:E63"/>
    <mergeCell ref="C64:E64"/>
    <mergeCell ref="C66:E66"/>
    <mergeCell ref="C68:E68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1"/>
  <sheetViews>
    <sheetView zoomScale="90" zoomScaleNormal="90" workbookViewId="0">
      <selection activeCell="C18" sqref="C18:G18"/>
    </sheetView>
  </sheetViews>
  <sheetFormatPr baseColWidth="10" defaultColWidth="9.140625" defaultRowHeight="12.75" x14ac:dyDescent="0.2"/>
  <cols>
    <col min="1" max="1" width="19" style="2" customWidth="1"/>
    <col min="2" max="2" width="12.85546875" style="2" customWidth="1"/>
    <col min="3" max="3" width="8.7109375" style="2" customWidth="1"/>
    <col min="4" max="4" width="85.5703125" style="2" customWidth="1"/>
    <col min="5" max="5" width="10.42578125" style="2" bestFit="1" customWidth="1"/>
    <col min="6" max="6" width="7.85546875" style="2" customWidth="1"/>
    <col min="7" max="7" width="20.5703125" style="2" customWidth="1"/>
    <col min="8" max="8" width="7.85546875" style="2" customWidth="1"/>
    <col min="9" max="9" width="9.140625" style="2" customWidth="1"/>
    <col min="10" max="10" width="11" style="2" customWidth="1"/>
    <col min="11" max="11" width="11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3" t="s">
        <v>19</v>
      </c>
      <c r="K1" s="66" t="s">
        <v>74</v>
      </c>
      <c r="L1" s="57"/>
    </row>
    <row r="2" spans="1:12" ht="18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3"/>
      <c r="K2" s="54"/>
      <c r="L2" s="57"/>
    </row>
    <row r="3" spans="1:12" ht="18.75" customHeight="1" thickBot="1" x14ac:dyDescent="0.25">
      <c r="A3" s="114" t="s">
        <v>52</v>
      </c>
      <c r="B3" s="114"/>
      <c r="C3" s="114"/>
      <c r="D3" s="115" t="str">
        <f>'Necesidades Trimestrales'!C4</f>
        <v>70 - MINISTERIO DE CIENCIA E INNOVACION TECNOLOGICA</v>
      </c>
      <c r="E3" s="115"/>
      <c r="F3" s="115"/>
      <c r="G3" s="115"/>
      <c r="H3" s="115"/>
      <c r="I3" s="115"/>
      <c r="J3" s="115"/>
      <c r="K3" s="115"/>
    </row>
    <row r="4" spans="1:12" ht="18.75" customHeight="1" thickBot="1" x14ac:dyDescent="0.25">
      <c r="A4" s="116" t="s">
        <v>53</v>
      </c>
      <c r="B4" s="116"/>
      <c r="C4" s="116"/>
      <c r="D4" s="115" t="str">
        <f>'Necesidades Trimestrales'!C5</f>
        <v>20 - MINISTERIO DE CIENCIA E INNOVACION TECNOLOGICA</v>
      </c>
      <c r="E4" s="115"/>
      <c r="F4" s="115"/>
      <c r="G4" s="115"/>
      <c r="H4" s="115"/>
      <c r="I4" s="115"/>
      <c r="J4" s="115"/>
      <c r="K4" s="115"/>
    </row>
    <row r="5" spans="1:12" ht="18.75" customHeight="1" thickBot="1" x14ac:dyDescent="0.25">
      <c r="A5" s="116" t="s">
        <v>31</v>
      </c>
      <c r="B5" s="116"/>
      <c r="C5" s="116"/>
      <c r="D5" s="115" t="s">
        <v>57</v>
      </c>
      <c r="E5" s="115"/>
      <c r="F5" s="115"/>
      <c r="G5" s="115"/>
      <c r="H5" s="115"/>
      <c r="I5" s="115"/>
      <c r="J5" s="115"/>
      <c r="K5" s="115"/>
    </row>
    <row r="6" spans="1:12" ht="16.5" customHeight="1" thickBot="1" x14ac:dyDescent="0.25">
      <c r="A6" s="114" t="s">
        <v>54</v>
      </c>
      <c r="B6" s="114"/>
      <c r="C6" s="114"/>
      <c r="D6" s="115" t="s">
        <v>64</v>
      </c>
      <c r="E6" s="115"/>
      <c r="F6" s="115"/>
      <c r="G6" s="115"/>
      <c r="H6" s="115"/>
      <c r="I6" s="115"/>
      <c r="J6" s="115"/>
      <c r="K6" s="115"/>
    </row>
    <row r="7" spans="1:12" ht="16.5" customHeight="1" x14ac:dyDescent="0.2">
      <c r="A7" s="116" t="s">
        <v>20</v>
      </c>
      <c r="B7" s="116"/>
      <c r="C7" s="116"/>
      <c r="D7" s="115" t="str">
        <f>'Necesidades Trimestrales'!C7 &amp; "° Trimestre - Año " &amp; 'Necesidades Trimestrales'!C6</f>
        <v>4° Trimestre - Año 2020</v>
      </c>
      <c r="E7" s="115"/>
      <c r="F7" s="115"/>
      <c r="G7" s="115"/>
      <c r="H7" s="115"/>
      <c r="I7" s="115"/>
      <c r="J7" s="115"/>
      <c r="K7" s="115"/>
    </row>
    <row r="8" spans="1:12" ht="33.75" customHeight="1" x14ac:dyDescent="0.2">
      <c r="A8" s="110" t="s">
        <v>21</v>
      </c>
      <c r="B8" s="110"/>
      <c r="C8" s="110"/>
      <c r="D8" s="111" t="s">
        <v>71</v>
      </c>
      <c r="E8" s="111"/>
      <c r="F8" s="111"/>
      <c r="G8" s="111"/>
      <c r="H8" s="111"/>
      <c r="I8" s="111"/>
      <c r="J8" s="111"/>
      <c r="K8" s="111"/>
    </row>
    <row r="9" spans="1:12" ht="15.75" x14ac:dyDescent="0.2">
      <c r="A9" s="55"/>
      <c r="B9" s="55"/>
      <c r="C9" s="55"/>
      <c r="D9" s="56"/>
      <c r="E9" s="56"/>
      <c r="F9" s="56"/>
      <c r="G9" s="56"/>
      <c r="H9" s="56"/>
      <c r="I9" s="56"/>
      <c r="J9" s="56"/>
      <c r="K9" s="56"/>
    </row>
    <row r="10" spans="1:12" ht="18.75" customHeight="1" x14ac:dyDescent="0.2">
      <c r="A10" s="112" t="s">
        <v>22</v>
      </c>
      <c r="B10" s="108" t="s">
        <v>23</v>
      </c>
      <c r="C10" s="108" t="s">
        <v>24</v>
      </c>
      <c r="D10" s="108"/>
      <c r="E10" s="108"/>
      <c r="F10" s="108"/>
      <c r="G10" s="108"/>
      <c r="H10" s="108" t="s">
        <v>25</v>
      </c>
      <c r="I10" s="108" t="s">
        <v>26</v>
      </c>
      <c r="J10" s="108" t="s">
        <v>27</v>
      </c>
      <c r="K10" s="109" t="s">
        <v>28</v>
      </c>
    </row>
    <row r="11" spans="1:12" ht="24" customHeight="1" thickBot="1" x14ac:dyDescent="0.25">
      <c r="A11" s="112"/>
      <c r="B11" s="108"/>
      <c r="C11" s="108"/>
      <c r="D11" s="108"/>
      <c r="E11" s="108"/>
      <c r="F11" s="108"/>
      <c r="G11" s="108"/>
      <c r="H11" s="108"/>
      <c r="I11" s="108"/>
      <c r="J11" s="108"/>
      <c r="K11" s="109"/>
    </row>
    <row r="12" spans="1:12" ht="32.25" customHeight="1" thickBot="1" x14ac:dyDescent="0.25">
      <c r="A12" s="79">
        <v>1</v>
      </c>
      <c r="B12" s="80" t="str">
        <f>'Necesidades Trimestrales'!B10</f>
        <v>2.4.4-6818.890</v>
      </c>
      <c r="C12" s="103" t="str">
        <f>'Necesidades Trimestrales'!E10</f>
        <v>NEUMATICOS; VEHICULO: CAMIONETA, CONSTRUCCION: RADIAL, ARMADO: SIN CAMARA, MEDIDA: 265/60R18</v>
      </c>
      <c r="D12" s="103"/>
      <c r="E12" s="103"/>
      <c r="F12" s="103"/>
      <c r="G12" s="103"/>
      <c r="H12" s="79" t="s">
        <v>63</v>
      </c>
      <c r="I12" s="81" t="str">
        <f>'Necesidades Trimestrales'!F10</f>
        <v>Unidad</v>
      </c>
      <c r="J12" s="82">
        <v>22515.09</v>
      </c>
      <c r="K12" s="83">
        <v>16</v>
      </c>
    </row>
    <row r="13" spans="1:12" ht="25.5" customHeight="1" thickBot="1" x14ac:dyDescent="0.25">
      <c r="A13" s="84"/>
      <c r="B13" s="85"/>
      <c r="C13" s="105"/>
      <c r="D13" s="105"/>
      <c r="E13" s="105"/>
      <c r="F13" s="105"/>
      <c r="G13" s="105"/>
      <c r="H13" s="79"/>
      <c r="I13" s="81"/>
      <c r="J13" s="86"/>
      <c r="K13" s="87"/>
    </row>
    <row r="14" spans="1:12" ht="34.5" customHeight="1" thickBot="1" x14ac:dyDescent="0.25">
      <c r="A14" s="84"/>
      <c r="B14" s="85"/>
      <c r="C14" s="103"/>
      <c r="D14" s="103"/>
      <c r="E14" s="103"/>
      <c r="F14" s="103"/>
      <c r="G14" s="103"/>
      <c r="H14" s="79"/>
      <c r="I14" s="81"/>
      <c r="J14" s="86"/>
      <c r="K14" s="87"/>
    </row>
    <row r="15" spans="1:12" ht="36.75" customHeight="1" thickBot="1" x14ac:dyDescent="0.25">
      <c r="A15" s="88"/>
      <c r="B15" s="89"/>
      <c r="C15" s="106"/>
      <c r="D15" s="106"/>
      <c r="E15" s="106"/>
      <c r="F15" s="106"/>
      <c r="G15" s="106"/>
      <c r="H15" s="90"/>
      <c r="I15" s="91"/>
      <c r="J15" s="92"/>
      <c r="K15" s="93"/>
    </row>
    <row r="16" spans="1:12" ht="20.25" customHeight="1" thickBot="1" x14ac:dyDescent="0.25">
      <c r="A16" s="88"/>
      <c r="B16" s="89"/>
      <c r="C16" s="107"/>
      <c r="D16" s="107"/>
      <c r="E16" s="107"/>
      <c r="F16" s="107"/>
      <c r="G16" s="107"/>
      <c r="H16" s="90"/>
      <c r="I16" s="91"/>
      <c r="J16" s="91"/>
      <c r="K16" s="93"/>
    </row>
    <row r="17" spans="1:1024" ht="20.25" customHeight="1" thickBot="1" x14ac:dyDescent="0.25">
      <c r="A17" s="88"/>
      <c r="B17" s="89"/>
      <c r="C17" s="104"/>
      <c r="D17" s="104"/>
      <c r="E17" s="104"/>
      <c r="F17" s="104"/>
      <c r="G17" s="104"/>
      <c r="H17" s="90"/>
      <c r="I17" s="91"/>
      <c r="J17" s="91"/>
      <c r="K17" s="93"/>
    </row>
    <row r="18" spans="1:1024" ht="20.25" customHeight="1" thickBot="1" x14ac:dyDescent="0.25">
      <c r="A18" s="88"/>
      <c r="B18" s="89"/>
      <c r="C18" s="104"/>
      <c r="D18" s="104"/>
      <c r="E18" s="104"/>
      <c r="F18" s="104"/>
      <c r="G18" s="104"/>
      <c r="H18" s="90"/>
      <c r="I18" s="91"/>
      <c r="J18" s="91"/>
      <c r="K18" s="93"/>
    </row>
    <row r="19" spans="1:1024" ht="20.25" customHeight="1" thickBot="1" x14ac:dyDescent="0.25">
      <c r="A19" s="88"/>
      <c r="B19" s="89"/>
      <c r="C19" s="104"/>
      <c r="D19" s="104"/>
      <c r="E19" s="104"/>
      <c r="F19" s="104"/>
      <c r="G19" s="104"/>
      <c r="H19" s="90"/>
      <c r="I19" s="91"/>
      <c r="J19" s="91"/>
      <c r="K19" s="93"/>
    </row>
    <row r="20" spans="1:1024" s="29" customFormat="1" ht="20.25" customHeight="1" thickBot="1" x14ac:dyDescent="0.25">
      <c r="A20" s="88"/>
      <c r="B20" s="89"/>
      <c r="C20" s="104"/>
      <c r="D20" s="104"/>
      <c r="E20" s="104"/>
      <c r="F20" s="104"/>
      <c r="G20" s="104"/>
      <c r="H20" s="90"/>
      <c r="I20" s="91"/>
      <c r="J20" s="91"/>
      <c r="K20" s="93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  <c r="IW20" s="28"/>
      <c r="IX20" s="28"/>
      <c r="IY20" s="28"/>
      <c r="IZ20" s="28"/>
      <c r="JA20" s="28"/>
      <c r="JB20" s="28"/>
      <c r="JC20" s="28"/>
      <c r="JD20" s="28"/>
      <c r="JE20" s="28"/>
      <c r="JF20" s="28"/>
      <c r="JG20" s="28"/>
      <c r="JH20" s="28"/>
      <c r="JI20" s="28"/>
      <c r="JJ20" s="28"/>
      <c r="JK20" s="28"/>
      <c r="JL20" s="28"/>
      <c r="JM20" s="28"/>
      <c r="JN20" s="28"/>
      <c r="JO20" s="28"/>
      <c r="JP20" s="28"/>
      <c r="JQ20" s="28"/>
      <c r="JR20" s="28"/>
      <c r="JS20" s="28"/>
      <c r="JT20" s="28"/>
      <c r="JU20" s="28"/>
      <c r="JV20" s="28"/>
      <c r="JW20" s="28"/>
      <c r="JX20" s="28"/>
      <c r="JY20" s="28"/>
      <c r="JZ20" s="28"/>
      <c r="KA20" s="28"/>
      <c r="KB20" s="28"/>
      <c r="KC20" s="28"/>
      <c r="KD20" s="28"/>
      <c r="KE20" s="28"/>
      <c r="KF20" s="28"/>
      <c r="KG20" s="28"/>
      <c r="KH20" s="28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28"/>
      <c r="TB20" s="28"/>
      <c r="TC20" s="28"/>
      <c r="TD20" s="28"/>
      <c r="TE20" s="28"/>
      <c r="TF20" s="28"/>
      <c r="TG20" s="28"/>
      <c r="TH20" s="28"/>
      <c r="TI20" s="28"/>
      <c r="TJ20" s="28"/>
      <c r="TK20" s="28"/>
      <c r="TL20" s="28"/>
      <c r="TM20" s="28"/>
      <c r="TN20" s="28"/>
      <c r="TO20" s="28"/>
      <c r="TP20" s="28"/>
      <c r="TQ20" s="28"/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28"/>
      <c r="WF20" s="28"/>
      <c r="WG20" s="28"/>
      <c r="WH20" s="28"/>
      <c r="WI20" s="28"/>
      <c r="WJ20" s="28"/>
      <c r="WK20" s="28"/>
      <c r="WL20" s="28"/>
      <c r="WM20" s="28"/>
      <c r="WN20" s="28"/>
      <c r="WO20" s="28"/>
      <c r="WP20" s="28"/>
      <c r="WQ20" s="28"/>
      <c r="WR20" s="28"/>
      <c r="WS20" s="28"/>
      <c r="WT20" s="28"/>
      <c r="WU20" s="28"/>
      <c r="WV20" s="28"/>
      <c r="WW20" s="28"/>
      <c r="WX20" s="28"/>
      <c r="WY20" s="28"/>
      <c r="WZ20" s="28"/>
      <c r="XA20" s="28"/>
      <c r="XB20" s="28"/>
      <c r="XC20" s="28"/>
      <c r="XD20" s="28"/>
      <c r="XE20" s="28"/>
      <c r="XF20" s="28"/>
      <c r="XG20" s="28"/>
      <c r="XH20" s="28"/>
      <c r="XI20" s="28"/>
      <c r="XJ20" s="28"/>
      <c r="XK20" s="28"/>
      <c r="XL20" s="28"/>
      <c r="XM20" s="28"/>
      <c r="XN20" s="28"/>
      <c r="XO20" s="28"/>
      <c r="XP20" s="28"/>
      <c r="XQ20" s="28"/>
      <c r="XR20" s="28"/>
      <c r="XS20" s="28"/>
      <c r="XT20" s="28"/>
      <c r="XU20" s="28"/>
      <c r="XV20" s="28"/>
      <c r="XW20" s="28"/>
      <c r="XX20" s="28"/>
      <c r="XY20" s="28"/>
      <c r="XZ20" s="28"/>
      <c r="YA20" s="28"/>
      <c r="YB20" s="28"/>
      <c r="YC20" s="28"/>
      <c r="YD20" s="28"/>
      <c r="YE20" s="28"/>
      <c r="YF20" s="28"/>
      <c r="YG20" s="28"/>
      <c r="YH20" s="28"/>
      <c r="YI20" s="28"/>
      <c r="YJ20" s="28"/>
      <c r="YK20" s="28"/>
      <c r="YL20" s="28"/>
      <c r="YM20" s="28"/>
      <c r="YN20" s="28"/>
      <c r="YO20" s="28"/>
      <c r="YP20" s="28"/>
      <c r="YQ20" s="28"/>
      <c r="YR20" s="28"/>
      <c r="YS20" s="28"/>
      <c r="YT20" s="28"/>
      <c r="YU20" s="28"/>
      <c r="YV20" s="28"/>
      <c r="YW20" s="28"/>
      <c r="YX20" s="28"/>
      <c r="YY20" s="28"/>
      <c r="YZ20" s="28"/>
      <c r="ZA20" s="28"/>
      <c r="ZB20" s="28"/>
      <c r="ZC20" s="28"/>
      <c r="ZD20" s="28"/>
      <c r="ZE20" s="28"/>
      <c r="ZF20" s="28"/>
      <c r="ZG20" s="28"/>
      <c r="ZH20" s="28"/>
      <c r="ZI20" s="28"/>
      <c r="ZJ20" s="28"/>
      <c r="ZK20" s="28"/>
      <c r="ZL20" s="28"/>
      <c r="ZM20" s="28"/>
      <c r="ZN20" s="28"/>
      <c r="ZO20" s="28"/>
      <c r="ZP20" s="28"/>
      <c r="ZQ20" s="28"/>
      <c r="ZR20" s="28"/>
      <c r="ZS20" s="28"/>
      <c r="ZT20" s="28"/>
      <c r="ZU20" s="28"/>
      <c r="ZV20" s="28"/>
      <c r="ZW20" s="28"/>
      <c r="ZX20" s="28"/>
      <c r="ZY20" s="28"/>
      <c r="ZZ20" s="28"/>
      <c r="AAA20" s="28"/>
      <c r="AAB20" s="28"/>
      <c r="AAC20" s="28"/>
      <c r="AAD20" s="28"/>
      <c r="AAE20" s="28"/>
      <c r="AAF20" s="28"/>
      <c r="AAG20" s="28"/>
      <c r="AAH20" s="28"/>
      <c r="AAI20" s="28"/>
      <c r="AAJ20" s="28"/>
      <c r="AAK20" s="28"/>
      <c r="AAL20" s="28"/>
      <c r="AAM20" s="28"/>
      <c r="AAN20" s="28"/>
      <c r="AAO20" s="28"/>
      <c r="AAP20" s="28"/>
      <c r="AAQ20" s="28"/>
      <c r="AAR20" s="28"/>
      <c r="AAS20" s="28"/>
      <c r="AAT20" s="28"/>
      <c r="AAU20" s="28"/>
      <c r="AAV20" s="28"/>
      <c r="AAW20" s="28"/>
      <c r="AAX20" s="28"/>
      <c r="AAY20" s="28"/>
      <c r="AAZ20" s="28"/>
      <c r="ABA20" s="28"/>
      <c r="ABB20" s="28"/>
      <c r="ABC20" s="28"/>
      <c r="ABD20" s="28"/>
      <c r="ABE20" s="28"/>
      <c r="ABF20" s="28"/>
      <c r="ABG20" s="28"/>
      <c r="ABH20" s="28"/>
      <c r="ABI20" s="28"/>
      <c r="ABJ20" s="28"/>
      <c r="ABK20" s="28"/>
      <c r="ABL20" s="28"/>
      <c r="ABM20" s="28"/>
      <c r="ABN20" s="28"/>
      <c r="ABO20" s="28"/>
      <c r="ABP20" s="28"/>
      <c r="ABQ20" s="28"/>
      <c r="ABR20" s="28"/>
      <c r="ABS20" s="28"/>
      <c r="ABT20" s="28"/>
      <c r="ABU20" s="28"/>
      <c r="ABV20" s="28"/>
      <c r="ABW20" s="28"/>
      <c r="ABX20" s="28"/>
      <c r="ABY20" s="28"/>
      <c r="ABZ20" s="28"/>
      <c r="ACA20" s="28"/>
      <c r="ACB20" s="28"/>
      <c r="ACC20" s="28"/>
      <c r="ACD20" s="28"/>
      <c r="ACE20" s="28"/>
      <c r="ACF20" s="28"/>
      <c r="ACG20" s="28"/>
      <c r="ACH20" s="28"/>
      <c r="ACI20" s="28"/>
      <c r="ACJ20" s="28"/>
      <c r="ACK20" s="28"/>
      <c r="ACL20" s="28"/>
      <c r="ACM20" s="28"/>
      <c r="ACN20" s="28"/>
      <c r="ACO20" s="28"/>
      <c r="ACP20" s="28"/>
      <c r="ACQ20" s="28"/>
      <c r="ACR20" s="28"/>
      <c r="ACS20" s="28"/>
      <c r="ACT20" s="28"/>
      <c r="ACU20" s="28"/>
      <c r="ACV20" s="28"/>
      <c r="ACW20" s="28"/>
      <c r="ACX20" s="28"/>
      <c r="ACY20" s="28"/>
      <c r="ACZ20" s="28"/>
      <c r="ADA20" s="28"/>
      <c r="ADB20" s="28"/>
      <c r="ADC20" s="28"/>
      <c r="ADD20" s="28"/>
      <c r="ADE20" s="28"/>
      <c r="ADF20" s="28"/>
      <c r="ADG20" s="28"/>
      <c r="ADH20" s="28"/>
      <c r="ADI20" s="28"/>
      <c r="ADJ20" s="28"/>
      <c r="ADK20" s="28"/>
      <c r="ADL20" s="28"/>
      <c r="ADM20" s="28"/>
      <c r="ADN20" s="28"/>
      <c r="ADO20" s="28"/>
      <c r="ADP20" s="28"/>
      <c r="ADQ20" s="28"/>
      <c r="ADR20" s="28"/>
      <c r="ADS20" s="28"/>
      <c r="ADT20" s="28"/>
      <c r="ADU20" s="28"/>
      <c r="ADV20" s="28"/>
      <c r="ADW20" s="28"/>
      <c r="ADX20" s="28"/>
      <c r="ADY20" s="28"/>
      <c r="ADZ20" s="28"/>
      <c r="AEA20" s="28"/>
      <c r="AEB20" s="28"/>
      <c r="AEC20" s="28"/>
      <c r="AED20" s="28"/>
      <c r="AEE20" s="28"/>
      <c r="AEF20" s="28"/>
      <c r="AEG20" s="28"/>
      <c r="AEH20" s="28"/>
      <c r="AEI20" s="28"/>
      <c r="AEJ20" s="28"/>
      <c r="AEK20" s="28"/>
      <c r="AEL20" s="28"/>
      <c r="AEM20" s="28"/>
      <c r="AEN20" s="28"/>
      <c r="AEO20" s="28"/>
      <c r="AEP20" s="28"/>
      <c r="AEQ20" s="28"/>
      <c r="AER20" s="28"/>
      <c r="AES20" s="28"/>
      <c r="AET20" s="28"/>
      <c r="AEU20" s="28"/>
      <c r="AEV20" s="28"/>
      <c r="AEW20" s="28"/>
      <c r="AEX20" s="28"/>
      <c r="AEY20" s="28"/>
      <c r="AEZ20" s="28"/>
      <c r="AFA20" s="28"/>
      <c r="AFB20" s="28"/>
      <c r="AFC20" s="28"/>
      <c r="AFD20" s="28"/>
      <c r="AFE20" s="28"/>
      <c r="AFF20" s="28"/>
      <c r="AFG20" s="28"/>
      <c r="AFH20" s="28"/>
      <c r="AFI20" s="28"/>
      <c r="AFJ20" s="28"/>
      <c r="AFK20" s="28"/>
      <c r="AFL20" s="28"/>
      <c r="AFM20" s="28"/>
      <c r="AFN20" s="28"/>
      <c r="AFO20" s="28"/>
      <c r="AFP20" s="28"/>
      <c r="AFQ20" s="28"/>
      <c r="AFR20" s="28"/>
      <c r="AFS20" s="28"/>
      <c r="AFT20" s="28"/>
      <c r="AFU20" s="28"/>
      <c r="AFV20" s="28"/>
      <c r="AFW20" s="28"/>
      <c r="AFX20" s="28"/>
      <c r="AFY20" s="28"/>
      <c r="AFZ20" s="28"/>
      <c r="AGA20" s="28"/>
      <c r="AGB20" s="28"/>
      <c r="AGC20" s="28"/>
      <c r="AGD20" s="28"/>
      <c r="AGE20" s="28"/>
      <c r="AGF20" s="28"/>
      <c r="AGG20" s="28"/>
      <c r="AGH20" s="28"/>
      <c r="AGI20" s="28"/>
      <c r="AGJ20" s="28"/>
      <c r="AGK20" s="28"/>
      <c r="AGL20" s="28"/>
      <c r="AGM20" s="28"/>
      <c r="AGN20" s="28"/>
      <c r="AGO20" s="28"/>
      <c r="AGP20" s="28"/>
      <c r="AGQ20" s="28"/>
      <c r="AGR20" s="28"/>
      <c r="AGS20" s="28"/>
      <c r="AGT20" s="28"/>
      <c r="AGU20" s="28"/>
      <c r="AGV20" s="28"/>
      <c r="AGW20" s="28"/>
      <c r="AGX20" s="28"/>
      <c r="AGY20" s="28"/>
      <c r="AGZ20" s="28"/>
      <c r="AHA20" s="28"/>
      <c r="AHB20" s="28"/>
      <c r="AHC20" s="28"/>
      <c r="AHD20" s="28"/>
      <c r="AHE20" s="28"/>
      <c r="AHF20" s="28"/>
      <c r="AHG20" s="28"/>
      <c r="AHH20" s="28"/>
      <c r="AHI20" s="28"/>
      <c r="AHJ20" s="28"/>
      <c r="AHK20" s="28"/>
      <c r="AHL20" s="28"/>
      <c r="AHM20" s="28"/>
      <c r="AHN20" s="28"/>
      <c r="AHO20" s="28"/>
      <c r="AHP20" s="28"/>
      <c r="AHQ20" s="28"/>
      <c r="AHR20" s="28"/>
      <c r="AHS20" s="28"/>
      <c r="AHT20" s="28"/>
      <c r="AHU20" s="28"/>
      <c r="AHV20" s="28"/>
      <c r="AHW20" s="28"/>
      <c r="AHX20" s="28"/>
      <c r="AHY20" s="28"/>
      <c r="AHZ20" s="28"/>
      <c r="AIA20" s="28"/>
      <c r="AIB20" s="28"/>
      <c r="AIC20" s="28"/>
      <c r="AID20" s="28"/>
      <c r="AIE20" s="28"/>
      <c r="AIF20" s="28"/>
      <c r="AIG20" s="28"/>
      <c r="AIH20" s="28"/>
      <c r="AII20" s="28"/>
      <c r="AIJ20" s="28"/>
      <c r="AIK20" s="28"/>
      <c r="AIL20" s="28"/>
      <c r="AIM20" s="28"/>
      <c r="AIN20" s="28"/>
      <c r="AIO20" s="28"/>
      <c r="AIP20" s="28"/>
      <c r="AIQ20" s="28"/>
      <c r="AIR20" s="28"/>
      <c r="AIS20" s="28"/>
      <c r="AIT20" s="28"/>
      <c r="AIU20" s="28"/>
      <c r="AIV20" s="28"/>
      <c r="AIW20" s="28"/>
      <c r="AIX20" s="28"/>
      <c r="AIY20" s="28"/>
      <c r="AIZ20" s="28"/>
      <c r="AJA20" s="28"/>
      <c r="AJB20" s="28"/>
      <c r="AJC20" s="28"/>
      <c r="AJD20" s="28"/>
      <c r="AJE20" s="28"/>
      <c r="AJF20" s="28"/>
      <c r="AJG20" s="28"/>
      <c r="AJH20" s="28"/>
      <c r="AJI20" s="28"/>
      <c r="AJJ20" s="28"/>
      <c r="AJK20" s="28"/>
      <c r="AJL20" s="28"/>
      <c r="AJM20" s="28"/>
      <c r="AJN20" s="28"/>
      <c r="AJO20" s="28"/>
      <c r="AJP20" s="28"/>
      <c r="AJQ20" s="28"/>
      <c r="AJR20" s="28"/>
      <c r="AJS20" s="28"/>
      <c r="AJT20" s="28"/>
      <c r="AJU20" s="28"/>
      <c r="AJV20" s="28"/>
      <c r="AJW20" s="28"/>
      <c r="AJX20" s="28"/>
      <c r="AJY20" s="28"/>
      <c r="AJZ20" s="28"/>
      <c r="AKA20" s="28"/>
      <c r="AKB20" s="28"/>
      <c r="AKC20" s="28"/>
      <c r="AKD20" s="28"/>
      <c r="AKE20" s="28"/>
      <c r="AKF20" s="28"/>
      <c r="AKG20" s="28"/>
      <c r="AKH20" s="28"/>
      <c r="AKI20" s="28"/>
      <c r="AKJ20" s="28"/>
      <c r="AKK20" s="28"/>
      <c r="AKL20" s="28"/>
      <c r="AKM20" s="28"/>
      <c r="AKN20" s="28"/>
      <c r="AKO20" s="28"/>
      <c r="AKP20" s="28"/>
      <c r="AKQ20" s="28"/>
      <c r="AKR20" s="28"/>
      <c r="AKS20" s="28"/>
      <c r="AKT20" s="28"/>
      <c r="AKU20" s="28"/>
      <c r="AKV20" s="28"/>
      <c r="AKW20" s="28"/>
      <c r="AKX20" s="28"/>
      <c r="AKY20" s="28"/>
      <c r="AKZ20" s="28"/>
      <c r="ALA20" s="28"/>
      <c r="ALB20" s="28"/>
      <c r="ALC20" s="28"/>
      <c r="ALD20" s="28"/>
      <c r="ALE20" s="28"/>
      <c r="ALF20" s="28"/>
      <c r="ALG20" s="28"/>
      <c r="ALH20" s="28"/>
      <c r="ALI20" s="28"/>
      <c r="ALJ20" s="28"/>
      <c r="ALK20" s="28"/>
      <c r="ALL20" s="28"/>
      <c r="ALM20" s="28"/>
      <c r="ALN20" s="28"/>
      <c r="ALO20" s="28"/>
      <c r="ALP20" s="28"/>
      <c r="ALQ20" s="28"/>
      <c r="ALR20" s="28"/>
      <c r="ALS20" s="28"/>
      <c r="ALT20" s="28"/>
      <c r="ALU20" s="28"/>
      <c r="ALV20" s="28"/>
      <c r="ALW20" s="28"/>
      <c r="ALX20" s="28"/>
      <c r="ALY20" s="28"/>
      <c r="ALZ20" s="28"/>
      <c r="AMA20" s="28"/>
      <c r="AMB20" s="28"/>
      <c r="AMC20" s="28"/>
      <c r="AMD20" s="28"/>
      <c r="AME20" s="28"/>
      <c r="AMF20" s="28"/>
      <c r="AMG20" s="28"/>
      <c r="AMH20" s="28"/>
      <c r="AMI20" s="28"/>
      <c r="AMJ20" s="28"/>
    </row>
    <row r="21" spans="1:1024" ht="20.25" customHeight="1" thickBot="1" x14ac:dyDescent="0.25">
      <c r="A21" s="88"/>
      <c r="B21" s="89"/>
      <c r="C21" s="104"/>
      <c r="D21" s="104"/>
      <c r="E21" s="104"/>
      <c r="F21" s="104"/>
      <c r="G21" s="104"/>
      <c r="H21" s="90"/>
      <c r="I21" s="91"/>
      <c r="J21" s="91"/>
      <c r="K21" s="93"/>
    </row>
    <row r="22" spans="1:1024" ht="20.25" customHeight="1" thickBot="1" x14ac:dyDescent="0.25">
      <c r="A22" s="88"/>
      <c r="B22" s="89"/>
      <c r="C22" s="104"/>
      <c r="D22" s="104"/>
      <c r="E22" s="104"/>
      <c r="F22" s="104"/>
      <c r="G22" s="104"/>
      <c r="H22" s="90"/>
      <c r="I22" s="91"/>
      <c r="J22" s="91"/>
      <c r="K22" s="93"/>
    </row>
    <row r="23" spans="1:1024" ht="20.25" customHeight="1" thickBot="1" x14ac:dyDescent="0.25">
      <c r="A23" s="88"/>
      <c r="B23" s="89"/>
      <c r="C23" s="104"/>
      <c r="D23" s="104"/>
      <c r="E23" s="104"/>
      <c r="F23" s="104"/>
      <c r="G23" s="104"/>
      <c r="H23" s="90"/>
      <c r="I23" s="91"/>
      <c r="J23" s="91"/>
      <c r="K23" s="93"/>
    </row>
    <row r="24" spans="1:1024" ht="20.25" customHeight="1" thickBot="1" x14ac:dyDescent="0.25">
      <c r="A24" s="88"/>
      <c r="B24" s="89"/>
      <c r="C24" s="104"/>
      <c r="D24" s="104"/>
      <c r="E24" s="104"/>
      <c r="F24" s="104"/>
      <c r="G24" s="104"/>
      <c r="H24" s="90"/>
      <c r="I24" s="91"/>
      <c r="J24" s="91"/>
      <c r="K24" s="93"/>
    </row>
    <row r="25" spans="1:1024" ht="20.25" customHeight="1" thickBot="1" x14ac:dyDescent="0.25">
      <c r="A25" s="101" t="s">
        <v>72</v>
      </c>
      <c r="B25" s="101"/>
      <c r="C25" s="101"/>
      <c r="D25" s="101"/>
      <c r="E25" s="101"/>
      <c r="F25" s="101"/>
      <c r="G25" s="101"/>
      <c r="H25" s="101"/>
      <c r="I25" s="101"/>
      <c r="J25" s="102">
        <v>360241.44</v>
      </c>
      <c r="K25" s="102"/>
    </row>
    <row r="27" spans="1:1024" x14ac:dyDescent="0.2">
      <c r="A27"/>
    </row>
    <row r="28" spans="1:1024" x14ac:dyDescent="0.2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1024" x14ac:dyDescent="0.2">
      <c r="A29" s="47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1024" x14ac:dyDescent="0.2">
      <c r="A30" s="49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1024" x14ac:dyDescent="0.2">
      <c r="A31" s="49"/>
      <c r="B31" s="49"/>
      <c r="C31" s="49"/>
      <c r="D31" s="49"/>
      <c r="E31" s="49"/>
      <c r="F31" s="49"/>
      <c r="G31" s="49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1024" x14ac:dyDescent="0.2">
      <c r="A32" s="47"/>
      <c r="B32" s="49"/>
      <c r="C32" s="49"/>
      <c r="D32" s="49"/>
      <c r="E32" s="49"/>
      <c r="F32" s="49"/>
      <c r="G32" s="49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x14ac:dyDescent="0.2">
      <c r="A33" s="49"/>
      <c r="B33" s="49"/>
      <c r="C33" s="49"/>
      <c r="D33" s="49"/>
      <c r="F33" s="49"/>
      <c r="G33" s="49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x14ac:dyDescent="0.2">
      <c r="A34" s="50"/>
      <c r="B34" s="49"/>
      <c r="C34" s="49"/>
      <c r="D34" s="49"/>
      <c r="E34" s="49"/>
      <c r="F34" s="49"/>
      <c r="G34" s="49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x14ac:dyDescent="0.2">
      <c r="A35" s="50"/>
      <c r="B35" s="49"/>
      <c r="C35" s="49"/>
      <c r="D35" s="49"/>
      <c r="E35" s="49"/>
      <c r="F35" s="49"/>
      <c r="G35" s="49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x14ac:dyDescent="0.2">
      <c r="A36" s="50"/>
      <c r="B36" s="47"/>
      <c r="C36" s="49"/>
      <c r="D36" s="49"/>
      <c r="E36" s="49"/>
      <c r="F36" s="49"/>
      <c r="G36" s="49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x14ac:dyDescent="0.2">
      <c r="A37" s="47"/>
      <c r="B37" s="51"/>
      <c r="C37" s="49"/>
      <c r="D37" s="49"/>
      <c r="E37" s="49"/>
      <c r="F37" s="49"/>
      <c r="G37" s="49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x14ac:dyDescent="0.2">
      <c r="A38" s="47"/>
      <c r="B38" s="49"/>
      <c r="C38" s="49"/>
      <c r="D38" s="49"/>
      <c r="E38" s="49"/>
      <c r="F38" s="49"/>
      <c r="G38" s="49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x14ac:dyDescent="0.2">
      <c r="A39" s="49"/>
      <c r="B39" s="49"/>
      <c r="C39" s="49"/>
      <c r="D39" s="49"/>
      <c r="E39" s="49"/>
      <c r="F39" s="49"/>
      <c r="G39" s="49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x14ac:dyDescent="0.2">
      <c r="A40" s="49"/>
      <c r="B40" s="49"/>
      <c r="C40" s="51"/>
      <c r="D40" s="51"/>
      <c r="E40" s="49"/>
      <c r="F40" s="49"/>
      <c r="G40" s="49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x14ac:dyDescent="0.2">
      <c r="A41" s="49"/>
      <c r="B41" s="47"/>
      <c r="C41" s="49"/>
      <c r="D41" s="49"/>
      <c r="E41" s="49"/>
      <c r="F41" s="49"/>
      <c r="G41" s="49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x14ac:dyDescent="0.2">
      <c r="A42" s="49"/>
      <c r="B42" s="47"/>
      <c r="C42" s="49"/>
      <c r="D42" s="49"/>
      <c r="E42" s="49"/>
      <c r="F42" s="49"/>
      <c r="G42" s="49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x14ac:dyDescent="0.2">
      <c r="A43" s="47"/>
      <c r="B43" s="49"/>
      <c r="C43" s="49"/>
      <c r="D43" s="49"/>
      <c r="E43" s="49"/>
      <c r="F43" s="49"/>
      <c r="G43" s="49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x14ac:dyDescent="0.2">
      <c r="A44" s="49"/>
      <c r="B44" s="49"/>
      <c r="C44" s="49"/>
      <c r="D44" s="49"/>
      <c r="E44" s="49"/>
      <c r="F44" s="49"/>
      <c r="G44" s="49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x14ac:dyDescent="0.2">
      <c r="A45" s="50"/>
      <c r="B45" s="49"/>
      <c r="C45" s="49"/>
      <c r="D45" s="49"/>
      <c r="E45" s="49"/>
      <c r="F45" s="49"/>
      <c r="G45" s="49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x14ac:dyDescent="0.2">
      <c r="A46" s="47"/>
      <c r="B46" s="49"/>
      <c r="C46" s="49"/>
      <c r="D46" s="49"/>
      <c r="E46" s="49"/>
      <c r="F46" s="49"/>
      <c r="G46" s="49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x14ac:dyDescent="0.2">
      <c r="A47" s="47"/>
      <c r="B47" s="49"/>
      <c r="C47" s="49"/>
      <c r="D47" s="49"/>
      <c r="E47" s="49"/>
      <c r="F47" s="49"/>
      <c r="G47" s="49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x14ac:dyDescent="0.2">
      <c r="A48" s="48"/>
      <c r="B48" s="51"/>
      <c r="C48" s="49"/>
      <c r="D48" s="49"/>
      <c r="E48" s="49"/>
      <c r="F48" s="49"/>
      <c r="G48" s="49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x14ac:dyDescent="0.2">
      <c r="A49" s="48"/>
      <c r="B49" s="49"/>
      <c r="C49" s="49"/>
      <c r="D49" s="49"/>
      <c r="E49" s="49"/>
      <c r="F49" s="49"/>
      <c r="G49" s="49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x14ac:dyDescent="0.2">
      <c r="A50" s="48"/>
      <c r="B50" s="49"/>
      <c r="C50" s="49"/>
      <c r="D50" s="49"/>
      <c r="E50" s="49"/>
      <c r="F50" s="49"/>
      <c r="G50" s="49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x14ac:dyDescent="0.2">
      <c r="A51" s="48"/>
      <c r="B51" s="49"/>
      <c r="C51" s="51"/>
      <c r="D51" s="51"/>
      <c r="E51" s="49"/>
      <c r="F51" s="49"/>
      <c r="G51" s="49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x14ac:dyDescent="0.2">
      <c r="A52" s="48"/>
      <c r="B52" s="48"/>
      <c r="C52" s="49"/>
      <c r="D52" s="49"/>
      <c r="E52" s="49"/>
      <c r="F52" s="49"/>
      <c r="G52" s="49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x14ac:dyDescent="0.2">
      <c r="A53" s="48"/>
      <c r="B53" s="48"/>
      <c r="C53" s="49"/>
      <c r="D53" s="49"/>
      <c r="E53" s="49"/>
      <c r="F53" s="49"/>
      <c r="G53" s="49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x14ac:dyDescent="0.2">
      <c r="A54" s="48"/>
      <c r="B54" s="48"/>
      <c r="C54" s="49"/>
      <c r="D54" s="49"/>
      <c r="E54" s="49"/>
      <c r="F54" s="49"/>
      <c r="G54" s="49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x14ac:dyDescent="0.2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x14ac:dyDescent="0.2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x14ac:dyDescent="0.2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x14ac:dyDescent="0.2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x14ac:dyDescent="0.2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x14ac:dyDescent="0.2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x14ac:dyDescent="0.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x14ac:dyDescent="0.2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x14ac:dyDescent="0.2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x14ac:dyDescent="0.2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x14ac:dyDescent="0.2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x14ac:dyDescent="0.2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x14ac:dyDescent="0.2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x14ac:dyDescent="0.2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x14ac:dyDescent="0.2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x14ac:dyDescent="0.2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x14ac:dyDescent="0.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x14ac:dyDescent="0.2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x14ac:dyDescent="0.2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x14ac:dyDescent="0.2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x14ac:dyDescent="0.2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x14ac:dyDescent="0.2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x14ac:dyDescent="0.2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x14ac:dyDescent="0.2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x14ac:dyDescent="0.2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x14ac:dyDescent="0.2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x14ac:dyDescent="0.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x14ac:dyDescent="0.2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x14ac:dyDescent="0.2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x14ac:dyDescent="0.2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x14ac:dyDescent="0.2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x14ac:dyDescent="0.2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x14ac:dyDescent="0.2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x14ac:dyDescent="0.2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x14ac:dyDescent="0.2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x14ac:dyDescent="0.2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x14ac:dyDescent="0.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x14ac:dyDescent="0.2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x14ac:dyDescent="0.2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x14ac:dyDescent="0.2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x14ac:dyDescent="0.2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x14ac:dyDescent="0.2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x14ac:dyDescent="0.2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x14ac:dyDescent="0.2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x14ac:dyDescent="0.2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x14ac:dyDescent="0.2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</sheetData>
  <mergeCells count="35"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B10:B11"/>
    <mergeCell ref="C10:G11"/>
    <mergeCell ref="H10:H11"/>
    <mergeCell ref="I10:I11"/>
    <mergeCell ref="J10:J11"/>
    <mergeCell ref="K10:K11"/>
    <mergeCell ref="C23:G23"/>
    <mergeCell ref="A25:I25"/>
    <mergeCell ref="J25:K25"/>
    <mergeCell ref="C12:G12"/>
    <mergeCell ref="C21:G21"/>
    <mergeCell ref="C13:G13"/>
    <mergeCell ref="C14:G14"/>
    <mergeCell ref="C15:G15"/>
    <mergeCell ref="C16:G16"/>
    <mergeCell ref="C17:G17"/>
    <mergeCell ref="C24:G24"/>
    <mergeCell ref="C18:G18"/>
    <mergeCell ref="C19:G19"/>
    <mergeCell ref="C20:G20"/>
    <mergeCell ref="C22:G22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zoomScale="130" zoomScaleNormal="130" workbookViewId="0">
      <selection activeCell="S6" sqref="S6"/>
    </sheetView>
  </sheetViews>
  <sheetFormatPr baseColWidth="10" defaultColWidth="11" defaultRowHeight="12.75" x14ac:dyDescent="0.2"/>
  <cols>
    <col min="1" max="5" width="4.42578125" customWidth="1"/>
    <col min="6" max="6" width="5.42578125" customWidth="1"/>
    <col min="7" max="7" width="4.42578125" style="4" customWidth="1"/>
    <col min="8" max="14" width="4.42578125" customWidth="1"/>
    <col min="15" max="15" width="14.85546875" customWidth="1"/>
    <col min="16" max="16" width="18.7109375" customWidth="1"/>
    <col min="17" max="17" width="14.7109375" customWidth="1"/>
  </cols>
  <sheetData>
    <row r="1" spans="1:17" ht="15.75" customHeight="1" x14ac:dyDescent="0.25">
      <c r="A1" s="144" t="s">
        <v>3</v>
      </c>
      <c r="B1" s="144"/>
      <c r="C1" s="144"/>
      <c r="D1" s="145">
        <f>'Necesidades Trimestrales'!C6</f>
        <v>2020</v>
      </c>
      <c r="E1" s="145"/>
      <c r="F1" s="5"/>
      <c r="G1" s="5"/>
      <c r="H1" s="6"/>
      <c r="I1" s="6"/>
      <c r="J1" s="6"/>
      <c r="K1" s="6"/>
      <c r="L1" s="6"/>
      <c r="M1" s="6"/>
      <c r="N1" s="6"/>
      <c r="P1" s="146" t="s">
        <v>29</v>
      </c>
      <c r="Q1" s="146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146"/>
      <c r="Q2" s="146"/>
    </row>
    <row r="4" spans="1:17" s="7" customFormat="1" ht="18" customHeight="1" thickBot="1" x14ac:dyDescent="0.25">
      <c r="A4" s="147" t="s">
        <v>30</v>
      </c>
      <c r="B4" s="147"/>
      <c r="C4" s="147"/>
      <c r="D4" s="147"/>
      <c r="E4" s="147"/>
      <c r="F4" s="147"/>
      <c r="G4" s="142" t="str">
        <f>' NotaPedido'!D3</f>
        <v>70 - MINISTERIO DE CIENCIA E INNOVACION TECNOLOGICA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7" customFormat="1" ht="18" customHeight="1" thickBot="1" x14ac:dyDescent="0.25">
      <c r="A5" s="139" t="s">
        <v>53</v>
      </c>
      <c r="B5" s="140"/>
      <c r="C5" s="140"/>
      <c r="D5" s="140"/>
      <c r="E5" s="140"/>
      <c r="F5" s="141"/>
      <c r="G5" s="142" t="str">
        <f>' NotaPedido'!D4</f>
        <v>20 - MINISTERIO DE CIENCIA E INNOVACION TECNOLOGICA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7" customFormat="1" ht="18" customHeight="1" thickBot="1" x14ac:dyDescent="0.25">
      <c r="A6" s="139" t="s">
        <v>31</v>
      </c>
      <c r="B6" s="140"/>
      <c r="C6" s="140"/>
      <c r="D6" s="140"/>
      <c r="E6" s="140"/>
      <c r="F6" s="141"/>
      <c r="G6" s="142" t="str">
        <f>' NotaPedido'!D5</f>
        <v xml:space="preserve"> MINISTERIO DE CIENCIA E INNOVACION TECNOLOGICA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7" customFormat="1" ht="18" customHeight="1" thickBot="1" x14ac:dyDescent="0.25">
      <c r="A7" s="139" t="s">
        <v>54</v>
      </c>
      <c r="B7" s="140"/>
      <c r="C7" s="140"/>
      <c r="D7" s="140"/>
      <c r="E7" s="140"/>
      <c r="F7" s="141"/>
      <c r="G7" s="142" t="str">
        <f>' NotaPedido'!D6</f>
        <v>DIRECCION PROVINCIAL DE GESTION ADMINISTRATIVA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32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33" t="s">
        <v>33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8"/>
    </row>
    <row r="10" spans="1:17" ht="54.75" customHeight="1" x14ac:dyDescent="0.2">
      <c r="A10" s="134" t="s">
        <v>75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7" ht="15.75" customHeight="1" x14ac:dyDescent="0.2">
      <c r="A12" s="135" t="s">
        <v>34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36</v>
      </c>
      <c r="P13" s="137"/>
      <c r="Q13" s="138" t="s">
        <v>37</v>
      </c>
    </row>
    <row r="14" spans="1:17" ht="15.75" customHeight="1" thickBot="1" x14ac:dyDescent="0.25">
      <c r="A14" s="35" t="s">
        <v>38</v>
      </c>
      <c r="B14" s="36" t="s">
        <v>39</v>
      </c>
      <c r="C14" s="36" t="s">
        <v>40</v>
      </c>
      <c r="D14" s="36" t="s">
        <v>41</v>
      </c>
      <c r="E14" s="36" t="s">
        <v>42</v>
      </c>
      <c r="F14" s="36" t="s">
        <v>43</v>
      </c>
      <c r="G14" s="37" t="s">
        <v>44</v>
      </c>
      <c r="H14" s="36" t="s">
        <v>45</v>
      </c>
      <c r="I14" s="36" t="s">
        <v>46</v>
      </c>
      <c r="J14" s="36" t="s">
        <v>47</v>
      </c>
      <c r="K14" s="36" t="s">
        <v>47</v>
      </c>
      <c r="L14" s="36" t="s">
        <v>48</v>
      </c>
      <c r="M14" s="38" t="s">
        <v>49</v>
      </c>
      <c r="N14" s="39" t="s">
        <v>50</v>
      </c>
      <c r="O14" s="137"/>
      <c r="P14" s="137"/>
      <c r="Q14" s="138"/>
    </row>
    <row r="15" spans="1:17" ht="30.75" customHeight="1" thickBot="1" x14ac:dyDescent="0.25">
      <c r="A15" s="40">
        <v>15</v>
      </c>
      <c r="B15" s="41"/>
      <c r="C15" s="41"/>
      <c r="D15" s="41">
        <v>1</v>
      </c>
      <c r="E15" s="41"/>
      <c r="F15" s="41">
        <v>4901</v>
      </c>
      <c r="G15" s="41">
        <v>3</v>
      </c>
      <c r="H15" s="41">
        <v>350</v>
      </c>
      <c r="I15" s="41">
        <v>2</v>
      </c>
      <c r="J15" s="41">
        <v>4</v>
      </c>
      <c r="K15" s="41">
        <v>4</v>
      </c>
      <c r="L15" s="41"/>
      <c r="M15" s="42">
        <v>1</v>
      </c>
      <c r="N15" s="41" t="s">
        <v>59</v>
      </c>
      <c r="O15" s="126" t="s">
        <v>65</v>
      </c>
      <c r="P15" s="127"/>
      <c r="Q15" s="13">
        <v>360241.44</v>
      </c>
    </row>
    <row r="16" spans="1:17" ht="21" customHeight="1" thickBot="1" x14ac:dyDescent="0.25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2"/>
      <c r="N16" s="41"/>
      <c r="O16" s="128"/>
      <c r="P16" s="129"/>
      <c r="Q16" s="13"/>
    </row>
    <row r="17" spans="1:18" ht="25.5" customHeight="1" x14ac:dyDescent="0.2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2"/>
      <c r="N17" s="41"/>
      <c r="O17" s="130"/>
      <c r="P17" s="131"/>
      <c r="Q17" s="13"/>
    </row>
    <row r="18" spans="1:18" ht="17.25" customHeigh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7"/>
      <c r="O18" s="132"/>
      <c r="P18" s="132"/>
      <c r="Q18" s="18"/>
    </row>
    <row r="19" spans="1:18" ht="17.25" customHeight="1" x14ac:dyDescent="0.2">
      <c r="A19" s="19"/>
      <c r="B19" s="20"/>
      <c r="C19" s="20"/>
      <c r="D19" s="20"/>
      <c r="E19" s="20"/>
      <c r="F19" s="21"/>
      <c r="G19" s="20"/>
      <c r="H19" s="20"/>
      <c r="I19" s="20"/>
      <c r="J19" s="20"/>
      <c r="K19" s="20"/>
      <c r="L19" s="20"/>
      <c r="M19" s="22"/>
      <c r="N19" s="23"/>
      <c r="O19" s="122"/>
      <c r="P19" s="122"/>
      <c r="Q19" s="18"/>
      <c r="R19" s="1"/>
    </row>
    <row r="20" spans="1:18" ht="12.75" customHeight="1" thickBot="1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5"/>
      <c r="O20" s="123"/>
      <c r="P20" s="123"/>
      <c r="Q20" s="27"/>
    </row>
    <row r="21" spans="1:18" ht="28.5" customHeight="1" thickBot="1" x14ac:dyDescent="0.25">
      <c r="A21" s="124" t="s">
        <v>73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3">
        <f>SUM(Q15:Q20)</f>
        <v>360241.44</v>
      </c>
    </row>
    <row r="22" spans="1:18" ht="18" customHeight="1" thickBot="1" x14ac:dyDescent="0.25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</row>
    <row r="23" spans="1:18" ht="17.25" customHeight="1" thickBot="1" x14ac:dyDescent="0.25">
      <c r="A23" s="117" t="s">
        <v>51</v>
      </c>
      <c r="B23" s="118"/>
      <c r="C23" s="118"/>
      <c r="D23" s="118"/>
      <c r="E23" s="118"/>
      <c r="F23" s="119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</row>
    <row r="24" spans="1:18" ht="18" customHeight="1" thickBot="1" x14ac:dyDescent="0.25">
      <c r="A24" s="121" t="s">
        <v>70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</row>
    <row r="25" spans="1:18" ht="41.25" customHeight="1" thickBot="1" x14ac:dyDescent="0.25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8" x14ac:dyDescent="0.2">
      <c r="A26" s="58"/>
      <c r="B26" s="58"/>
      <c r="C26" s="58"/>
      <c r="D26" s="58"/>
      <c r="E26" s="58"/>
      <c r="F26" s="58"/>
      <c r="G26" s="59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spans="1:18" x14ac:dyDescent="0.2">
      <c r="A27" s="58"/>
      <c r="B27" s="58"/>
      <c r="C27" s="58"/>
      <c r="D27" s="58"/>
      <c r="E27" s="58"/>
      <c r="F27" s="58"/>
      <c r="G27" s="59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 spans="1:18" x14ac:dyDescent="0.2">
      <c r="A28" s="58"/>
      <c r="B28" s="58"/>
      <c r="C28" s="58"/>
      <c r="D28" s="58"/>
      <c r="E28" s="58"/>
      <c r="F28" s="58"/>
      <c r="G28" s="59"/>
      <c r="H28" s="58"/>
      <c r="I28" s="58"/>
      <c r="J28" s="58"/>
      <c r="K28" s="58"/>
      <c r="L28" s="58"/>
      <c r="M28" s="58"/>
      <c r="N28" s="58"/>
      <c r="O28" s="58"/>
      <c r="P28" s="58"/>
      <c r="Q28" s="58"/>
    </row>
    <row r="29" spans="1:18" x14ac:dyDescent="0.2">
      <c r="A29" s="58"/>
      <c r="B29" s="58"/>
      <c r="C29" s="58"/>
      <c r="D29" s="58"/>
      <c r="E29" s="58"/>
      <c r="F29" s="58"/>
      <c r="G29" s="59"/>
      <c r="H29" s="58"/>
      <c r="I29" s="58"/>
      <c r="J29" s="58"/>
      <c r="K29" s="58"/>
      <c r="L29" s="58"/>
      <c r="M29" s="58"/>
      <c r="N29" s="58"/>
      <c r="O29" s="58"/>
      <c r="P29" s="58"/>
      <c r="Q29" s="58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3:F23"/>
    <mergeCell ref="G23:Q23"/>
    <mergeCell ref="A24:Q25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2020-07-30T16:44:07Z</cp:lastPrinted>
  <dcterms:created xsi:type="dcterms:W3CDTF">2020-07-17T23:44:49Z</dcterms:created>
  <dcterms:modified xsi:type="dcterms:W3CDTF">2021-08-18T11:26:22Z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