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5600" windowHeight="11760" tabRatio="500"/>
  </bookViews>
  <sheets>
    <sheet name="Necesidades Trimestrales" sheetId="1" r:id="rId1"/>
    <sheet name=" NotaPedido" sheetId="2" r:id="rId2"/>
    <sheet name="Autor Gastar" sheetId="3" r:id="rId3"/>
    <sheet name="DETALLE IMPRESORAS" sheetId="4" r:id="rId4"/>
  </sheets>
  <definedNames>
    <definedName name="_xlnm._FilterDatabase" localSheetId="0" hidden="1">'Necesidades Trimestrales'!$A$9:$I$24</definedName>
    <definedName name="_xlnm.Print_Area" localSheetId="1">' NotaPedido'!$A$1:$K$28</definedName>
    <definedName name="_xlnm.Print_Area" localSheetId="2">'Autor Gastar'!$A$1:$Q$28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8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12" i="2"/>
  <c r="I25" i="1"/>
  <c r="Q24" i="3" l="1"/>
  <c r="I19" i="1"/>
  <c r="I17" i="1"/>
  <c r="I16" i="1"/>
  <c r="I15" i="1"/>
  <c r="I14" i="1"/>
  <c r="I13" i="1"/>
  <c r="I11" i="1"/>
  <c r="D23" i="1"/>
  <c r="D24" i="1"/>
  <c r="D25" i="1"/>
  <c r="D11" i="1"/>
  <c r="D12" i="1"/>
  <c r="D13" i="1"/>
  <c r="D14" i="1"/>
  <c r="D15" i="1"/>
  <c r="D16" i="1"/>
  <c r="D17" i="1"/>
  <c r="D18" i="1"/>
  <c r="D19" i="1"/>
  <c r="D20" i="1"/>
  <c r="D21" i="1"/>
  <c r="D22" i="1"/>
  <c r="D10" i="1"/>
  <c r="A24" i="3" l="1"/>
  <c r="I24" i="1"/>
  <c r="I23" i="1"/>
  <c r="I22" i="1"/>
  <c r="I21" i="1"/>
  <c r="I20" i="1"/>
  <c r="I18" i="1"/>
  <c r="I12" i="1"/>
  <c r="I10" i="1"/>
  <c r="I26" i="1" l="1"/>
  <c r="J28" i="2"/>
  <c r="A27" i="3"/>
  <c r="A10" i="3"/>
  <c r="G7" i="3" l="1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<sst xmlns="http://schemas.openxmlformats.org/spreadsheetml/2006/main" count="431" uniqueCount="182">
  <si>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</si>
  <si>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</si>
  <si>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</si>
  <si>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</si>
  <si>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</si>
  <si>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</si>
  <si>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</si>
  <si>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</si>
  <si>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</si>
  <si>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</si>
  <si>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</si>
  <si>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</si>
  <si>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</si>
  <si>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</si>
  <si>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</si>
  <si>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</si>
  <si>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</si>
  <si>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</si>
  <si>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</si>
  <si>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</si>
  <si>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</si>
  <si>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</si>
  <si>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</si>
  <si>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</si>
  <si>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</si>
  <si>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</si>
  <si>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</si>
  <si>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</si>
  <si>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</si>
  <si>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</si>
  <si>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</si>
  <si>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</si>
  <si>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</si>
  <si>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</si>
  <si>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</si>
  <si>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</si>
  <si>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</si>
  <si>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</si>
  <si>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</si>
  <si>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</si>
  <si>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</si>
  <si>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</si>
  <si>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</si>
  <si>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</si>
  <si>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</si>
  <si>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</si>
  <si>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</si>
  <si>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</si>
  <si>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</si>
  <si>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</si>
  <si>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</si>
  <si>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</si>
  <si>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</si>
  <si>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</si>
  <si>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12 -Ministerio de Trabajo y Recursos Humanos</t>
  </si>
  <si>
    <t xml:space="preserve">Secretaria de Administracion </t>
  </si>
  <si>
    <t>Ministerio de Trabajo y Reursos Humanos</t>
  </si>
  <si>
    <t>UNIDAD</t>
  </si>
  <si>
    <t>Descripción técnica</t>
  </si>
  <si>
    <t>REPUESTOS</t>
  </si>
  <si>
    <t>2.9.6-401.2045</t>
  </si>
  <si>
    <t>CARTUCHOS DE TONER; CODIGO: TN 1060, USO: BROTHER</t>
  </si>
  <si>
    <t xml:space="preserve">UNIDAD </t>
  </si>
  <si>
    <t xml:space="preserve">UNIDAD   </t>
  </si>
  <si>
    <t>2.9.6-401.1695</t>
  </si>
  <si>
    <t>CARTUCHOS DE TONER; CODIGO: CE658A, USO: HEWLETT PACKARD</t>
  </si>
  <si>
    <t>2.9.6-401.1860</t>
  </si>
  <si>
    <t>CARTUCHOS DE TONER; CODIGO: CF280A, USO: HEWLETT PACKARD</t>
  </si>
  <si>
    <t>2.9.6-401.2377</t>
  </si>
  <si>
    <t>CARTUCHOS DE TONER; CODIGO: CF279A, USO: HEWLETT PACKARD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</si>
  <si>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Pabellón Nº 20 Ministerio de Trabajo y Recursos Humanos (CAPE), sito en Av. Presidente Castillo y Av.  Venezuela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</si>
  <si>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Que Cumpla con lo Solicitado de Forma Integra.</t>
  </si>
  <si>
    <t>30 (treinta)  días</t>
  </si>
  <si>
    <t>Adquisición de CARTUCHOS TONER para las impresoras y fotocopiadoras de las distintas reparticiones de este Ministerio.</t>
  </si>
  <si>
    <t>004/2021</t>
  </si>
  <si>
    <t>REPUESTOS Y ACCESORIOS</t>
  </si>
  <si>
    <t>SECRETARIA</t>
  </si>
  <si>
    <t>REPARTICION</t>
  </si>
  <si>
    <t>SECTOR</t>
  </si>
  <si>
    <t>ESPECIE</t>
  </si>
  <si>
    <t>DETALLE</t>
  </si>
  <si>
    <t>UBICACIÓN</t>
  </si>
  <si>
    <t>DIRECCION PROVINCIAL CONTROL Y GESTION</t>
  </si>
  <si>
    <t>IMPRESORA LASER</t>
  </si>
  <si>
    <t>HP LASERJET PRO 400</t>
  </si>
  <si>
    <t>PABELLON 20</t>
  </si>
  <si>
    <t>DIRECCION PROVINCIAL DE ASESORIA LEGAL Y TECNICA</t>
  </si>
  <si>
    <t>HP LASERJET 1020</t>
  </si>
  <si>
    <t>DIRECCION PROVINCIAL SUMARIO DOCENTE</t>
  </si>
  <si>
    <t>BROTHER HL1212W</t>
  </si>
  <si>
    <t>PABELLON 12</t>
  </si>
  <si>
    <t>SAMSUNG ML2165W</t>
  </si>
  <si>
    <t>HP LASERJET P1005</t>
  </si>
  <si>
    <t>HP LASERJET P1102W</t>
  </si>
  <si>
    <t>OFICINA DEL MINISTRO</t>
  </si>
  <si>
    <t>HP LASERJET P1006</t>
  </si>
  <si>
    <t>SECRETARIA DE RECURSOS HUMANOS DOCENTES</t>
  </si>
  <si>
    <t>DIRECCION PROVINCIAL DE RECURSOS HUMANOS Y GESTION DOCENTE</t>
  </si>
  <si>
    <t>PABELLON 10</t>
  </si>
  <si>
    <t>SUMINISTROS</t>
  </si>
  <si>
    <t xml:space="preserve">IMPRESORA LASER </t>
  </si>
  <si>
    <t>HP LASERJET P2014</t>
  </si>
  <si>
    <t>MESA DE ENTRADA</t>
  </si>
  <si>
    <t>LEGALES</t>
  </si>
  <si>
    <t>MOVILIDAD</t>
  </si>
  <si>
    <t>HP LASERJET ENTERPRISE M506</t>
  </si>
  <si>
    <t>SECRETARIA DE RECURSOS HUMANOS Y GESTION PUBLICA</t>
  </si>
  <si>
    <t>DIRECCION PROVINCIAL DE RECURSOS HUMANOS</t>
  </si>
  <si>
    <t>LEGAJOS</t>
  </si>
  <si>
    <t>SAMSUNG M2020W</t>
  </si>
  <si>
    <t>HP LASERJET M404</t>
  </si>
  <si>
    <t>DIRECCION PROVINCIAL LIQUIDACION DE HABERES</t>
  </si>
  <si>
    <t>IMPRESORA MULTIFUNCION</t>
  </si>
  <si>
    <t>BROTHER DCP7040</t>
  </si>
  <si>
    <t>BROTHER MFC-L6900DW</t>
  </si>
  <si>
    <t>HP LASERJET PRO M12W</t>
  </si>
  <si>
    <t>SECRETARIA DE RECURSOS HUMANOS</t>
  </si>
  <si>
    <t>DEPARTAMENTO JUBILACIONES</t>
  </si>
  <si>
    <t>DEPARTAMENTO DESPACHO</t>
  </si>
  <si>
    <t>DIRECCION PROVINCIAL CENTRO DE INNOVACION Y CAPACITACION</t>
  </si>
  <si>
    <t>APOYO A LA GESTION DE LA CAPACITACION</t>
  </si>
  <si>
    <t>VICARIO Y CHACABUCO</t>
  </si>
  <si>
    <t>FOTOCOPIADORA</t>
  </si>
  <si>
    <t>RICOH AFICIO MP1500</t>
  </si>
  <si>
    <t>DEPARTAMENTO PEDAGOGICO</t>
  </si>
  <si>
    <t>DEPARTAMENTO LICENCIAS</t>
  </si>
  <si>
    <t>SECRETARIA DE TRABAJO</t>
  </si>
  <si>
    <t>INSPECCION LABORAL</t>
  </si>
  <si>
    <t>HIGIENE Y SEGURIDAD</t>
  </si>
  <si>
    <t>PABELLON 5 ARRIBA</t>
  </si>
  <si>
    <t>PATRIMONIO</t>
  </si>
  <si>
    <t>HP LASERJET 1022</t>
  </si>
  <si>
    <t>RECURSOS HUMANOS</t>
  </si>
  <si>
    <t>SHARP AL-1645 CS</t>
  </si>
  <si>
    <t>HP F4180</t>
  </si>
  <si>
    <t>ASESORIA JURIDICA</t>
  </si>
  <si>
    <t>PABELLON 5 ABAJO</t>
  </si>
  <si>
    <t>SERVICIO ADMINISTRATIVO</t>
  </si>
  <si>
    <t>HP LASERJET 1018</t>
  </si>
  <si>
    <t>HP ADVANTAGE 2675</t>
  </si>
  <si>
    <t>DIRECTOR</t>
  </si>
  <si>
    <t>RELACIONES LABORALES</t>
  </si>
  <si>
    <t>INSPECCION Y VIGILANCIA</t>
  </si>
  <si>
    <t>CONSEJO DOMESTICO</t>
  </si>
  <si>
    <t>DESPACHO</t>
  </si>
  <si>
    <t>SUBSECRETARIA RECONOCIMIENTO MEDICO</t>
  </si>
  <si>
    <t>EX SAN JUAN BAUTISTA</t>
  </si>
  <si>
    <t>DIRECCION PROVINCIAL DE RECONOCIMIENTO MEDICO DOCENTE</t>
  </si>
  <si>
    <t>ADMINISTRACION</t>
  </si>
  <si>
    <t>HP LASERJET 1102W</t>
  </si>
  <si>
    <t>CONSULTORIOS</t>
  </si>
  <si>
    <t>2.9.6-401.2024</t>
  </si>
  <si>
    <t>CARTUCHOS DE TONER; CODIGO: MLT-D111S, USO: SAMSUNG</t>
  </si>
  <si>
    <t>2.9.6-401.1501</t>
  </si>
  <si>
    <t>CARTUCHOS DE TONER; CODIGO: 1130D, USO: RICOH</t>
  </si>
  <si>
    <t>2.9.6-1355.1139</t>
  </si>
  <si>
    <t>CARTUCHOS DE TINTA; CODIGO: C9351AL, DESCRIPCION: SIN VALOR, COLOR: SIN VALOR, USO: HEWLETT PACKARD</t>
  </si>
  <si>
    <t>2.9.6-401.1097</t>
  </si>
  <si>
    <t>CARTUCHOS DE TONER; CODIGO: CB435A, USO: HEWLETT PACKARD</t>
  </si>
  <si>
    <t>2.9.6-401.1362</t>
  </si>
  <si>
    <t>CARTUCHOS DE TONER; CODIGO: CE285A, USO: HEWLETT PACKARD</t>
  </si>
  <si>
    <t>2.9.6-401.2202</t>
  </si>
  <si>
    <t>CARTUCHOS DE TONER; CODIGO: 87X, USO: LASERJET CF287A</t>
  </si>
  <si>
    <t>2.9.6-1355.1961</t>
  </si>
  <si>
    <t>CARTUCHOS DE TINTA; CODIGO: CZ104AL, USO: HEWLETT PACKARD</t>
  </si>
  <si>
    <t>2.9.6-401.1859</t>
  </si>
  <si>
    <t>CARTUCHOS DE TONER; CODIGO: MLT-D101S, USO: SAMSUNG 2165</t>
  </si>
  <si>
    <t>2.9.6-401.1060</t>
  </si>
  <si>
    <t>CARTUCHOS DE TONER; CODIGO: HPQ2612A, COLOR: SIN VALOR, DESCRIPCION: SIN VALOR, USO: HEWLETT PACKARD</t>
  </si>
  <si>
    <t>2.9.6-401.952</t>
  </si>
  <si>
    <t>CARTUCHOS DE TONER; CODIGO: Q7553A, COLOR: SIN VALOR, DESCRIPCION: SIN VALOR, USO: HEWLETT PACKARD</t>
  </si>
  <si>
    <t>2.9.6-401.2294</t>
  </si>
  <si>
    <t>CARTUCHOS DE TONER; CODIGO: TN-3479, USO: BROTHER</t>
  </si>
  <si>
    <t>2.9.6-401.1557</t>
  </si>
  <si>
    <t>CARTUCHOS DE TONER; CODIGO: TN 360, USO: BROTHER</t>
  </si>
  <si>
    <t>COSTO TOTAL ESTIMADO: DOSCIENTOS SESENTA Y SIETE MIL OCHOSCIENTOS TREINTA Y DOS CON 60/100</t>
  </si>
  <si>
    <t>Calidad Mínima esperada</t>
  </si>
  <si>
    <t>Garantía</t>
  </si>
  <si>
    <t>22 - Secretaria de Administración del Ministerio de Trabajo y Recursos Humanos</t>
  </si>
  <si>
    <t>SI</t>
  </si>
  <si>
    <t>Especificidades PARA TODOS LOS ITEMS:</t>
  </si>
  <si>
    <r>
      <t xml:space="preserve">LOS CARTUCHOS TONER Y CARTUCHOS DE TINTA PODRAN SER </t>
    </r>
    <r>
      <rPr>
        <b/>
        <sz val="14"/>
        <rFont val="Times New Roman"/>
        <family val="1"/>
      </rPr>
      <t xml:space="preserve"> ALTERNATIVOS </t>
    </r>
    <r>
      <rPr>
        <sz val="10"/>
        <rFont val="Times New Roman"/>
        <family val="1"/>
      </rPr>
      <t>QUE SEAN COMPATIBLES PARA LA DESCRIPCION SOLICITADA DE ACUERDO AL LISTADO DE IMPRESORAS QUE SE ADJUNTA COMO DETALLE.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</si>
</sst>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"/>
    <numFmt numFmtId="167" formatCode="dd\-mm\-yy;@"/>
    <numFmt numFmtId="168" formatCode="_-[$$-2C0A]\ * #,##0.00_-;\-[$$-2C0A]\ * #,##0.00_-;_-[$$-2C0A]\ * &quot;-&quot;??_-;_-@_-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entury Gothic"/>
      <family val="2"/>
    </font>
    <font>
      <sz val="11"/>
      <color rgb="FFFF0000"/>
      <name val="Century Gothic"/>
      <family val="2"/>
    </font>
    <font>
      <sz val="11"/>
      <color theme="1"/>
      <name val="Century Gothic"/>
      <family val="2"/>
    </font>
    <font>
      <b/>
      <sz val="12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5" fontId="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82">
    <xf numFmtId="0" fontId="0" fillId="0" borderId="0" xfId="0"/>
    <xf numFmtId="0" fontId="7" fillId="0" borderId="0" xfId="0" applyFont="1"/>
    <xf numFmtId="0" fontId="7" fillId="0" borderId="0" xfId="0" applyFont="1" applyBorder="1"/>
    <xf numFmtId="3" fontId="16" fillId="0" borderId="0" xfId="0" applyNumberFormat="1" applyFont="1" applyBorder="1" applyAlignment="1"/>
    <xf numFmtId="167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4" xfId="0" applyFont="1" applyBorder="1"/>
    <xf numFmtId="0" fontId="7" fillId="0" borderId="12" xfId="0" applyFont="1" applyBorder="1"/>
    <xf numFmtId="0" fontId="7" fillId="0" borderId="12" xfId="0" applyFont="1" applyBorder="1" applyAlignment="1">
      <alignment horizontal="left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/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 wrapText="1" indent="1"/>
    </xf>
    <xf numFmtId="0" fontId="19" fillId="0" borderId="0" xfId="0" applyFont="1" applyFill="1" applyAlignment="1">
      <alignment horizontal="left" vertical="center" wrapText="1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0" fillId="0" borderId="3" xfId="0" applyFont="1" applyBorder="1"/>
    <xf numFmtId="0" fontId="20" fillId="0" borderId="4" xfId="0" applyFont="1" applyBorder="1"/>
    <xf numFmtId="0" fontId="20" fillId="0" borderId="0" xfId="0" applyFont="1" applyBorder="1"/>
    <xf numFmtId="0" fontId="20" fillId="0" borderId="6" xfId="0" applyFont="1" applyBorder="1"/>
    <xf numFmtId="0" fontId="20" fillId="0" borderId="8" xfId="0" applyFont="1" applyBorder="1"/>
    <xf numFmtId="0" fontId="20" fillId="0" borderId="9" xfId="0" applyFont="1" applyBorder="1"/>
    <xf numFmtId="0" fontId="20" fillId="0" borderId="5" xfId="0" applyFont="1" applyBorder="1" applyAlignment="1">
      <alignment horizontal="left" indent="3"/>
    </xf>
    <xf numFmtId="0" fontId="21" fillId="0" borderId="5" xfId="0" applyFont="1" applyBorder="1" applyAlignment="1">
      <alignment horizontal="left" indent="3"/>
    </xf>
    <xf numFmtId="0" fontId="20" fillId="0" borderId="7" xfId="0" applyFont="1" applyBorder="1" applyAlignment="1">
      <alignment horizontal="left" indent="3"/>
    </xf>
    <xf numFmtId="0" fontId="18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168" fontId="20" fillId="0" borderId="0" xfId="0" applyNumberFormat="1" applyFont="1"/>
    <xf numFmtId="0" fontId="24" fillId="0" borderId="0" xfId="0" applyFont="1" applyAlignment="1">
      <alignment horizont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8" fontId="19" fillId="0" borderId="37" xfId="0" applyNumberFormat="1" applyFont="1" applyBorder="1" applyAlignment="1">
      <alignment horizontal="center" vertical="center" wrapText="1"/>
    </xf>
    <xf numFmtId="168" fontId="5" fillId="0" borderId="40" xfId="1" applyNumberFormat="1" applyBorder="1"/>
    <xf numFmtId="168" fontId="5" fillId="0" borderId="43" xfId="1" applyNumberFormat="1" applyBorder="1"/>
    <xf numFmtId="0" fontId="6" fillId="0" borderId="2" xfId="0" applyFont="1" applyBorder="1"/>
    <xf numFmtId="0" fontId="20" fillId="0" borderId="5" xfId="0" applyFont="1" applyBorder="1"/>
    <xf numFmtId="0" fontId="21" fillId="0" borderId="7" xfId="0" applyFont="1" applyBorder="1" applyAlignment="1">
      <alignment horizontal="left" indent="3"/>
    </xf>
    <xf numFmtId="0" fontId="20" fillId="0" borderId="8" xfId="0" applyFont="1" applyFill="1" applyBorder="1" applyAlignment="1">
      <alignment horizontal="justify" wrapText="1"/>
    </xf>
    <xf numFmtId="0" fontId="20" fillId="0" borderId="9" xfId="0" applyFont="1" applyFill="1" applyBorder="1" applyAlignment="1">
      <alignment horizontal="justify" wrapText="1"/>
    </xf>
    <xf numFmtId="0" fontId="21" fillId="0" borderId="0" xfId="0" applyFont="1" applyBorder="1" applyAlignment="1">
      <alignment horizontal="left" indent="3"/>
    </xf>
    <xf numFmtId="0" fontId="20" fillId="0" borderId="0" xfId="0" applyFont="1" applyFill="1" applyBorder="1" applyAlignment="1">
      <alignment horizontal="justify" wrapText="1"/>
    </xf>
    <xf numFmtId="0" fontId="21" fillId="0" borderId="2" xfId="0" applyFont="1" applyBorder="1" applyAlignment="1">
      <alignment horizontal="left" indent="3"/>
    </xf>
    <xf numFmtId="0" fontId="20" fillId="0" borderId="0" xfId="0" applyFont="1" applyFill="1"/>
    <xf numFmtId="0" fontId="20" fillId="0" borderId="5" xfId="0" applyFont="1" applyFill="1" applyBorder="1" applyAlignment="1">
      <alignment horizontal="left" indent="3"/>
    </xf>
    <xf numFmtId="0" fontId="20" fillId="0" borderId="0" xfId="0" applyFont="1" applyFill="1" applyAlignment="1">
      <alignment horizontal="center" vertical="center"/>
    </xf>
    <xf numFmtId="168" fontId="20" fillId="0" borderId="0" xfId="0" applyNumberFormat="1" applyFont="1" applyFill="1"/>
    <xf numFmtId="0" fontId="20" fillId="0" borderId="0" xfId="0" applyFont="1" applyBorder="1" applyAlignment="1">
      <alignment horizontal="center" wrapText="1"/>
    </xf>
    <xf numFmtId="0" fontId="20" fillId="0" borderId="6" xfId="0" applyFont="1" applyBorder="1" applyAlignment="1">
      <alignment horizontal="center" wrapText="1"/>
    </xf>
    <xf numFmtId="0" fontId="12" fillId="3" borderId="43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12" fillId="3" borderId="40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2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168" fontId="5" fillId="0" borderId="10" xfId="1" applyNumberFormat="1" applyBorder="1"/>
    <xf numFmtId="168" fontId="5" fillId="0" borderId="0" xfId="1" applyNumberFormat="1" applyBorder="1"/>
    <xf numFmtId="168" fontId="5" fillId="0" borderId="50" xfId="1" applyNumberFormat="1" applyBorder="1"/>
    <xf numFmtId="0" fontId="7" fillId="0" borderId="43" xfId="0" applyFont="1" applyFill="1" applyBorder="1" applyAlignment="1">
      <alignment horizontal="center" vertical="center"/>
    </xf>
    <xf numFmtId="168" fontId="7" fillId="0" borderId="10" xfId="0" applyNumberFormat="1" applyFont="1" applyBorder="1"/>
    <xf numFmtId="168" fontId="7" fillId="0" borderId="25" xfId="0" applyNumberFormat="1" applyFont="1" applyBorder="1"/>
    <xf numFmtId="168" fontId="7" fillId="0" borderId="43" xfId="3" applyNumberFormat="1" applyFont="1" applyFill="1" applyBorder="1" applyAlignment="1" applyProtection="1">
      <alignment horizontal="center" vertical="center"/>
    </xf>
    <xf numFmtId="168" fontId="12" fillId="0" borderId="30" xfId="0" applyNumberFormat="1" applyFont="1" applyBorder="1" applyAlignment="1">
      <alignment horizontal="center" vertical="center"/>
    </xf>
    <xf numFmtId="168" fontId="7" fillId="0" borderId="0" xfId="0" applyNumberFormat="1" applyFont="1"/>
    <xf numFmtId="168" fontId="7" fillId="0" borderId="43" xfId="0" applyNumberFormat="1" applyFont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0" fontId="15" fillId="0" borderId="0" xfId="0" applyFont="1"/>
    <xf numFmtId="0" fontId="1" fillId="0" borderId="0" xfId="5"/>
    <xf numFmtId="0" fontId="7" fillId="3" borderId="50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applyFont="1"/>
    <xf numFmtId="0" fontId="25" fillId="0" borderId="40" xfId="0" applyFont="1" applyFill="1" applyBorder="1" applyAlignment="1">
      <alignment vertical="center" wrapText="1"/>
    </xf>
    <xf numFmtId="0" fontId="25" fillId="0" borderId="43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5" fillId="0" borderId="43" xfId="0" applyFont="1" applyFill="1" applyBorder="1" applyAlignment="1">
      <alignment horizontal="center" vertical="center" wrapText="1"/>
    </xf>
    <xf numFmtId="0" fontId="16" fillId="0" borderId="42" xfId="0" applyFont="1" applyFill="1" applyBorder="1" applyAlignment="1">
      <alignment horizontal="center" vertical="center" wrapText="1"/>
    </xf>
    <xf numFmtId="0" fontId="15" fillId="0" borderId="43" xfId="0" applyFont="1" applyFill="1" applyBorder="1" applyAlignment="1">
      <alignment vertical="center" wrapText="1"/>
    </xf>
    <xf numFmtId="0" fontId="15" fillId="0" borderId="43" xfId="0" applyFont="1" applyFill="1" applyBorder="1" applyAlignment="1">
      <alignment horizontal="center" vertical="center" wrapText="1"/>
    </xf>
    <xf numFmtId="168" fontId="16" fillId="0" borderId="44" xfId="0" applyNumberFormat="1" applyFont="1" applyFill="1" applyBorder="1" applyAlignment="1">
      <alignment horizontal="center" vertical="center" wrapText="1"/>
    </xf>
    <xf numFmtId="0" fontId="26" fillId="0" borderId="0" xfId="0" applyFont="1" applyFill="1"/>
    <xf numFmtId="0" fontId="14" fillId="0" borderId="39" xfId="0" applyFont="1" applyFill="1" applyBorder="1" applyAlignment="1">
      <alignment horizontal="center" vertical="center" wrapText="1"/>
    </xf>
    <xf numFmtId="0" fontId="25" fillId="0" borderId="40" xfId="0" applyFont="1" applyFill="1" applyBorder="1" applyAlignment="1">
      <alignment horizontal="center" vertical="center" wrapText="1"/>
    </xf>
    <xf numFmtId="0" fontId="27" fillId="0" borderId="43" xfId="0" applyFont="1" applyFill="1" applyBorder="1" applyAlignment="1">
      <alignment vertical="center" wrapText="1"/>
    </xf>
    <xf numFmtId="0" fontId="27" fillId="0" borderId="43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center" vertical="center" wrapText="1"/>
    </xf>
    <xf numFmtId="0" fontId="25" fillId="0" borderId="50" xfId="0" applyFont="1" applyFill="1" applyBorder="1" applyAlignment="1">
      <alignment vertical="center" wrapText="1"/>
    </xf>
    <xf numFmtId="168" fontId="16" fillId="0" borderId="51" xfId="0" applyNumberFormat="1" applyFont="1" applyFill="1" applyBorder="1"/>
    <xf numFmtId="0" fontId="15" fillId="0" borderId="40" xfId="0" applyFont="1" applyFill="1" applyBorder="1" applyAlignment="1">
      <alignment vertical="center" wrapText="1"/>
    </xf>
    <xf numFmtId="0" fontId="15" fillId="0" borderId="50" xfId="0" applyFont="1" applyFill="1" applyBorder="1" applyAlignment="1">
      <alignment vertical="center" wrapText="1"/>
    </xf>
    <xf numFmtId="0" fontId="15" fillId="0" borderId="50" xfId="0" applyFont="1" applyFill="1" applyBorder="1" applyAlignment="1">
      <alignment horizontal="center"/>
    </xf>
    <xf numFmtId="168" fontId="16" fillId="0" borderId="41" xfId="0" applyNumberFormat="1" applyFont="1" applyFill="1" applyBorder="1" applyAlignment="1">
      <alignment horizontal="center" vertical="center" wrapText="1"/>
    </xf>
    <xf numFmtId="168" fontId="28" fillId="0" borderId="48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168" fontId="5" fillId="0" borderId="0" xfId="1" applyNumberFormat="1" applyAlignment="1">
      <alignment horizontal="center" vertical="center"/>
    </xf>
    <xf numFmtId="168" fontId="22" fillId="0" borderId="36" xfId="1" applyNumberFormat="1" applyFont="1" applyBorder="1" applyAlignment="1">
      <alignment horizontal="center" vertical="center" wrapText="1"/>
    </xf>
    <xf numFmtId="168" fontId="5" fillId="0" borderId="40" xfId="1" applyNumberFormat="1" applyBorder="1" applyAlignment="1">
      <alignment horizontal="center" vertical="center"/>
    </xf>
    <xf numFmtId="168" fontId="5" fillId="0" borderId="43" xfId="1" applyNumberFormat="1" applyBorder="1" applyAlignment="1">
      <alignment horizontal="center" vertical="center"/>
    </xf>
    <xf numFmtId="168" fontId="5" fillId="0" borderId="50" xfId="1" applyNumberFormat="1" applyBorder="1" applyAlignment="1">
      <alignment horizontal="center" vertical="center"/>
    </xf>
    <xf numFmtId="0" fontId="14" fillId="3" borderId="0" xfId="0" applyFont="1" applyFill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 indent="1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6" xfId="0" applyFont="1" applyFill="1" applyBorder="1" applyAlignment="1">
      <alignment horizontal="left" vertical="center" wrapText="1"/>
    </xf>
    <xf numFmtId="0" fontId="20" fillId="0" borderId="6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 wrapText="1"/>
    </xf>
    <xf numFmtId="0" fontId="20" fillId="0" borderId="6" xfId="0" applyFont="1" applyFill="1" applyBorder="1" applyAlignment="1">
      <alignment horizontal="left" wrapText="1"/>
    </xf>
    <xf numFmtId="0" fontId="7" fillId="3" borderId="43" xfId="0" applyFont="1" applyFill="1" applyBorder="1" applyAlignment="1">
      <alignment horizontal="center" vertical="center" wrapText="1"/>
    </xf>
    <xf numFmtId="166" fontId="12" fillId="3" borderId="48" xfId="0" applyNumberFormat="1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left" vertical="center" wrapText="1" inden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46" xfId="0" applyFont="1" applyFill="1" applyBorder="1" applyAlignment="1">
      <alignment horizontal="center" vertical="center" wrapText="1"/>
    </xf>
    <xf numFmtId="168" fontId="5" fillId="0" borderId="18" xfId="1" applyNumberFormat="1" applyBorder="1"/>
    <xf numFmtId="168" fontId="5" fillId="0" borderId="46" xfId="1" applyNumberFormat="1" applyBorder="1"/>
    <xf numFmtId="0" fontId="7" fillId="3" borderId="50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 wrapText="1" indent="1"/>
    </xf>
    <xf numFmtId="0" fontId="12" fillId="3" borderId="16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47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52" xfId="0" applyFont="1" applyBorder="1" applyAlignment="1">
      <alignment vertical="center" wrapText="1"/>
    </xf>
    <xf numFmtId="0" fontId="16" fillId="0" borderId="4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53" xfId="0" applyFont="1" applyFill="1" applyBorder="1" applyAlignment="1">
      <alignment horizontal="left" vertical="center" wrapText="1" indent="1"/>
    </xf>
    <xf numFmtId="0" fontId="15" fillId="0" borderId="54" xfId="0" applyFont="1" applyFill="1" applyBorder="1" applyAlignment="1">
      <alignment horizontal="left" vertical="center" wrapText="1" indent="1"/>
    </xf>
    <xf numFmtId="0" fontId="15" fillId="0" borderId="55" xfId="0" applyFont="1" applyFill="1" applyBorder="1" applyAlignment="1">
      <alignment horizontal="left" vertical="center" wrapText="1" indent="1"/>
    </xf>
    <xf numFmtId="0" fontId="15" fillId="0" borderId="56" xfId="0" applyFont="1" applyFill="1" applyBorder="1" applyAlignment="1">
      <alignment horizontal="left" vertical="center" wrapText="1" indent="1"/>
    </xf>
    <xf numFmtId="0" fontId="15" fillId="0" borderId="57" xfId="0" applyFont="1" applyFill="1" applyBorder="1" applyAlignment="1">
      <alignment horizontal="left" vertical="center" wrapText="1" indent="1"/>
    </xf>
    <xf numFmtId="0" fontId="15" fillId="0" borderId="58" xfId="0" applyFont="1" applyFill="1" applyBorder="1" applyAlignment="1">
      <alignment horizontal="left" vertical="center" wrapText="1" indent="1"/>
    </xf>
    <xf numFmtId="0" fontId="16" fillId="0" borderId="30" xfId="0" applyFont="1" applyBorder="1" applyAlignment="1">
      <alignment horizontal="left" vertical="center" wrapText="1"/>
    </xf>
    <xf numFmtId="0" fontId="7" fillId="0" borderId="21" xfId="0" applyFont="1" applyBorder="1"/>
    <xf numFmtId="0" fontId="15" fillId="0" borderId="22" xfId="0" applyFont="1" applyBorder="1"/>
    <xf numFmtId="0" fontId="15" fillId="0" borderId="23" xfId="0" applyFont="1" applyBorder="1" applyAlignment="1">
      <alignment horizontal="left" vertical="center" wrapText="1" indent="1"/>
    </xf>
    <xf numFmtId="0" fontId="12" fillId="0" borderId="2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168" fontId="12" fillId="0" borderId="26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indent="1"/>
    </xf>
    <xf numFmtId="0" fontId="11" fillId="0" borderId="11" xfId="0" applyFont="1" applyBorder="1" applyAlignment="1">
      <alignment horizontal="left"/>
    </xf>
    <xf numFmtId="0" fontId="7" fillId="0" borderId="19" xfId="0" applyFont="1" applyBorder="1" applyAlignment="1">
      <alignment horizontal="center"/>
    </xf>
    <xf numFmtId="3" fontId="16" fillId="0" borderId="20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justify" vertical="center" wrapText="1"/>
    </xf>
    <xf numFmtId="0" fontId="20" fillId="0" borderId="6" xfId="0" applyFont="1" applyFill="1" applyBorder="1" applyAlignment="1">
      <alignment horizontal="justify" vertical="center" wrapTex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1885950</xdr:colOff>
      <xdr:row>2</xdr:row>
      <xdr:rowOff>114300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0065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4:G46" totalsRowShown="0">
  <autoFilter ref="A4:G46"/>
  <sortState ref="A5:G46">
    <sortCondition ref="A4:A46"/>
  </sortState>
  <tableColumns count="7">
    <tableColumn id="1" name="SECRETARIA"/>
    <tableColumn id="2" name="REPARTICION"/>
    <tableColumn id="3" name="SECTOR"/>
    <tableColumn id="5" name="ESPECIE"/>
    <tableColumn id="6" name="DETALLE"/>
    <tableColumn id="7" name="CANTIDAD"/>
    <tableColumn id="8" name="UBIC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6"/>
  <sheetViews>
    <sheetView tabSelected="1" topLeftCell="A28" zoomScale="85" zoomScaleNormal="85" workbookViewId="0">
      <selection activeCell="C36" sqref="C36:E36"/>
    </sheetView>
  </sheetViews>
  <sheetFormatPr baseColWidth="10" defaultColWidth="11" defaultRowHeight="13.5" x14ac:dyDescent="0.25"/>
  <cols>
    <col min="1" max="1" width="4.5703125" style="15" customWidth="1"/>
    <col min="2" max="2" width="17.28515625" style="22" customWidth="1"/>
    <col min="3" max="3" width="15.85546875" style="22" customWidth="1"/>
    <col min="4" max="4" width="8.42578125" style="15" customWidth="1"/>
    <col min="5" max="5" width="76.28515625" style="15" customWidth="1"/>
    <col min="6" max="6" width="11" style="15"/>
    <col min="7" max="7" width="10.7109375" style="15" customWidth="1"/>
    <col min="8" max="8" width="13.85546875" style="113" customWidth="1"/>
    <col min="9" max="9" width="18.5703125" style="15" customWidth="1"/>
    <col min="10" max="10" width="11" style="15"/>
    <col min="11" max="11" width="11.7109375" style="15" bestFit="1" customWidth="1"/>
    <col min="12" max="16384" width="11" style="15"/>
  </cols>
  <sheetData>
    <row r="2" spans="1:9" ht="28.5" x14ac:dyDescent="0.4">
      <c r="B2" s="120" t="s">
        <v>0</v>
      </c>
      <c r="C2" s="120"/>
      <c r="D2" s="120"/>
      <c r="E2" s="120"/>
      <c r="F2" s="120"/>
      <c r="G2" s="120"/>
      <c r="H2" s="120"/>
    </row>
    <row r="4" spans="1:9" ht="18" customHeight="1" x14ac:dyDescent="0.25">
      <c r="A4" s="118" t="s">
        <v>1</v>
      </c>
      <c r="B4" s="118"/>
      <c r="C4" s="121" t="s">
        <v>54</v>
      </c>
      <c r="D4" s="121"/>
      <c r="E4" s="121"/>
      <c r="F4" s="20"/>
      <c r="G4" s="21"/>
    </row>
    <row r="5" spans="1:9" ht="27" customHeight="1" x14ac:dyDescent="0.25">
      <c r="A5" s="118" t="s">
        <v>2</v>
      </c>
      <c r="B5" s="118"/>
      <c r="C5" s="121" t="s">
        <v>178</v>
      </c>
      <c r="D5" s="121"/>
      <c r="E5" s="121"/>
      <c r="F5" s="20"/>
      <c r="G5" s="21"/>
    </row>
    <row r="6" spans="1:9" ht="16.5" customHeight="1" x14ac:dyDescent="0.25">
      <c r="A6" s="118" t="s">
        <v>3</v>
      </c>
      <c r="B6" s="118"/>
      <c r="C6" s="23">
        <v>2021</v>
      </c>
      <c r="D6" s="24"/>
      <c r="E6" s="24"/>
      <c r="F6" s="20"/>
      <c r="G6" s="21"/>
    </row>
    <row r="7" spans="1:9" s="25" customFormat="1" ht="16.5" customHeight="1" x14ac:dyDescent="0.25">
      <c r="A7" s="119" t="s">
        <v>4</v>
      </c>
      <c r="B7" s="119"/>
      <c r="C7" s="36">
        <v>2</v>
      </c>
      <c r="D7" s="37"/>
      <c r="E7" s="37"/>
      <c r="F7" s="38"/>
      <c r="G7" s="39"/>
      <c r="H7" s="113"/>
      <c r="I7" s="40"/>
    </row>
    <row r="8" spans="1:9" s="25" customFormat="1" thickBot="1" x14ac:dyDescent="0.25">
      <c r="B8" s="38"/>
      <c r="C8" s="41"/>
      <c r="D8" s="38"/>
      <c r="E8" s="38"/>
      <c r="F8" s="38"/>
      <c r="G8" s="39"/>
      <c r="H8" s="113"/>
      <c r="I8" s="40"/>
    </row>
    <row r="9" spans="1:9" s="25" customFormat="1" ht="39" thickBot="1" x14ac:dyDescent="0.25">
      <c r="A9" s="42" t="s">
        <v>5</v>
      </c>
      <c r="B9" s="43" t="s">
        <v>6</v>
      </c>
      <c r="C9" s="44" t="s">
        <v>7</v>
      </c>
      <c r="D9" s="42" t="s">
        <v>8</v>
      </c>
      <c r="E9" s="44" t="s">
        <v>9</v>
      </c>
      <c r="F9" s="45" t="s">
        <v>10</v>
      </c>
      <c r="G9" s="46" t="s">
        <v>11</v>
      </c>
      <c r="H9" s="114" t="s">
        <v>12</v>
      </c>
      <c r="I9" s="47" t="s">
        <v>13</v>
      </c>
    </row>
    <row r="10" spans="1:9" s="84" customFormat="1" ht="21.75" customHeight="1" x14ac:dyDescent="0.3">
      <c r="A10" s="100">
        <v>1</v>
      </c>
      <c r="B10" s="91" t="s">
        <v>157</v>
      </c>
      <c r="C10" s="91" t="s">
        <v>59</v>
      </c>
      <c r="D10" s="107" t="str">
        <f>+LEFT(B10,5)</f>
        <v>2.9.6</v>
      </c>
      <c r="E10" s="91" t="s">
        <v>158</v>
      </c>
      <c r="F10" s="91" t="s">
        <v>57</v>
      </c>
      <c r="G10" s="101">
        <v>20</v>
      </c>
      <c r="H10" s="115">
        <v>590.35</v>
      </c>
      <c r="I10" s="110">
        <f t="shared" ref="I10:I24" si="0">+H10*G10</f>
        <v>11807</v>
      </c>
    </row>
    <row r="11" spans="1:9" s="84" customFormat="1" ht="16.5" x14ac:dyDescent="0.3">
      <c r="A11" s="95">
        <v>2</v>
      </c>
      <c r="B11" s="96" t="s">
        <v>153</v>
      </c>
      <c r="C11" s="96" t="s">
        <v>59</v>
      </c>
      <c r="D11" s="96" t="str">
        <f t="shared" ref="D11:D25" si="1">+LEFT(B11,5)</f>
        <v>2.9.6</v>
      </c>
      <c r="E11" s="96" t="s">
        <v>154</v>
      </c>
      <c r="F11" s="96" t="s">
        <v>57</v>
      </c>
      <c r="G11" s="97">
        <v>4</v>
      </c>
      <c r="H11" s="116">
        <v>779</v>
      </c>
      <c r="I11" s="98">
        <f>+H11*G11</f>
        <v>3116</v>
      </c>
    </row>
    <row r="12" spans="1:9" s="89" customFormat="1" ht="33" x14ac:dyDescent="0.2">
      <c r="A12" s="93">
        <v>3</v>
      </c>
      <c r="B12" s="92" t="s">
        <v>155</v>
      </c>
      <c r="C12" s="92" t="s">
        <v>59</v>
      </c>
      <c r="D12" s="96" t="str">
        <f t="shared" si="1"/>
        <v>2.9.6</v>
      </c>
      <c r="E12" s="92" t="s">
        <v>156</v>
      </c>
      <c r="F12" s="102" t="s">
        <v>62</v>
      </c>
      <c r="G12" s="103">
        <v>4</v>
      </c>
      <c r="H12" s="116">
        <v>3029</v>
      </c>
      <c r="I12" s="98">
        <f t="shared" si="0"/>
        <v>12116</v>
      </c>
    </row>
    <row r="13" spans="1:9" s="89" customFormat="1" ht="24.75" customHeight="1" x14ac:dyDescent="0.2">
      <c r="A13" s="93">
        <v>4</v>
      </c>
      <c r="B13" s="92" t="s">
        <v>161</v>
      </c>
      <c r="C13" s="92" t="s">
        <v>59</v>
      </c>
      <c r="D13" s="96" t="str">
        <f t="shared" si="1"/>
        <v>2.9.6</v>
      </c>
      <c r="E13" s="92" t="s">
        <v>162</v>
      </c>
      <c r="F13" s="102" t="s">
        <v>62</v>
      </c>
      <c r="G13" s="103">
        <v>10</v>
      </c>
      <c r="H13" s="116">
        <v>3616.85</v>
      </c>
      <c r="I13" s="98">
        <f>+H13*G13</f>
        <v>36168.5</v>
      </c>
    </row>
    <row r="14" spans="1:9" s="89" customFormat="1" ht="16.5" x14ac:dyDescent="0.2">
      <c r="A14" s="95">
        <v>5</v>
      </c>
      <c r="B14" s="92" t="s">
        <v>165</v>
      </c>
      <c r="C14" s="92" t="s">
        <v>59</v>
      </c>
      <c r="D14" s="96" t="str">
        <f t="shared" si="1"/>
        <v>2.9.6</v>
      </c>
      <c r="E14" s="92" t="s">
        <v>166</v>
      </c>
      <c r="F14" s="102" t="s">
        <v>62</v>
      </c>
      <c r="G14" s="103">
        <v>16</v>
      </c>
      <c r="H14" s="116">
        <v>1059.73</v>
      </c>
      <c r="I14" s="98">
        <f>+H14*G14</f>
        <v>16955.68</v>
      </c>
    </row>
    <row r="15" spans="1:9" s="89" customFormat="1" ht="33" x14ac:dyDescent="0.2">
      <c r="A15" s="93">
        <v>6</v>
      </c>
      <c r="B15" s="92" t="s">
        <v>169</v>
      </c>
      <c r="C15" s="92" t="s">
        <v>59</v>
      </c>
      <c r="D15" s="96" t="str">
        <f t="shared" si="1"/>
        <v>2.9.6</v>
      </c>
      <c r="E15" s="92" t="s">
        <v>170</v>
      </c>
      <c r="F15" s="102" t="s">
        <v>62</v>
      </c>
      <c r="G15" s="103">
        <v>3</v>
      </c>
      <c r="H15" s="116">
        <v>5747</v>
      </c>
      <c r="I15" s="98">
        <f>+H15*G15</f>
        <v>17241</v>
      </c>
    </row>
    <row r="16" spans="1:9" s="89" customFormat="1" ht="16.5" x14ac:dyDescent="0.2">
      <c r="A16" s="93">
        <v>7</v>
      </c>
      <c r="B16" s="92" t="s">
        <v>60</v>
      </c>
      <c r="C16" s="92" t="s">
        <v>59</v>
      </c>
      <c r="D16" s="96" t="str">
        <f t="shared" si="1"/>
        <v>2.9.6</v>
      </c>
      <c r="E16" s="92" t="s">
        <v>61</v>
      </c>
      <c r="F16" s="102" t="s">
        <v>62</v>
      </c>
      <c r="G16" s="103">
        <v>6</v>
      </c>
      <c r="H16" s="116">
        <v>545.21</v>
      </c>
      <c r="I16" s="98">
        <f>+H16*G16</f>
        <v>3271.26</v>
      </c>
    </row>
    <row r="17" spans="1:9" s="89" customFormat="1" ht="16.5" x14ac:dyDescent="0.2">
      <c r="A17" s="95">
        <v>8</v>
      </c>
      <c r="B17" s="92" t="s">
        <v>171</v>
      </c>
      <c r="C17" s="92" t="s">
        <v>59</v>
      </c>
      <c r="D17" s="96" t="str">
        <f t="shared" si="1"/>
        <v>2.9.6</v>
      </c>
      <c r="E17" s="92" t="s">
        <v>172</v>
      </c>
      <c r="F17" s="102" t="s">
        <v>62</v>
      </c>
      <c r="G17" s="103">
        <v>4</v>
      </c>
      <c r="H17" s="116">
        <v>1279.99</v>
      </c>
      <c r="I17" s="98">
        <f>+H17*G17</f>
        <v>5119.96</v>
      </c>
    </row>
    <row r="18" spans="1:9" s="84" customFormat="1" ht="16.5" x14ac:dyDescent="0.3">
      <c r="A18" s="93">
        <v>9</v>
      </c>
      <c r="B18" s="102" t="s">
        <v>151</v>
      </c>
      <c r="C18" s="102" t="s">
        <v>59</v>
      </c>
      <c r="D18" s="96" t="str">
        <f t="shared" si="1"/>
        <v>2.9.6</v>
      </c>
      <c r="E18" s="102" t="s">
        <v>152</v>
      </c>
      <c r="F18" s="92" t="s">
        <v>63</v>
      </c>
      <c r="G18" s="94">
        <v>50</v>
      </c>
      <c r="H18" s="116">
        <v>1290</v>
      </c>
      <c r="I18" s="98">
        <f t="shared" si="0"/>
        <v>64500</v>
      </c>
    </row>
    <row r="19" spans="1:9" s="84" customFormat="1" ht="16.5" x14ac:dyDescent="0.3">
      <c r="A19" s="93">
        <v>10</v>
      </c>
      <c r="B19" s="102" t="s">
        <v>163</v>
      </c>
      <c r="C19" s="102" t="s">
        <v>59</v>
      </c>
      <c r="D19" s="96" t="str">
        <f t="shared" si="1"/>
        <v>2.9.6</v>
      </c>
      <c r="E19" s="102" t="s">
        <v>164</v>
      </c>
      <c r="F19" s="92" t="s">
        <v>63</v>
      </c>
      <c r="G19" s="94">
        <v>4</v>
      </c>
      <c r="H19" s="116">
        <v>1150</v>
      </c>
      <c r="I19" s="98">
        <f t="shared" si="0"/>
        <v>4600</v>
      </c>
    </row>
    <row r="20" spans="1:9" s="90" customFormat="1" ht="16.5" x14ac:dyDescent="0.3">
      <c r="A20" s="95">
        <v>11</v>
      </c>
      <c r="B20" s="96" t="s">
        <v>173</v>
      </c>
      <c r="C20" s="96" t="s">
        <v>59</v>
      </c>
      <c r="D20" s="96" t="str">
        <f t="shared" si="1"/>
        <v>2.9.6</v>
      </c>
      <c r="E20" s="96" t="s">
        <v>174</v>
      </c>
      <c r="F20" s="96" t="s">
        <v>63</v>
      </c>
      <c r="G20" s="97">
        <v>8</v>
      </c>
      <c r="H20" s="116">
        <v>1020.57</v>
      </c>
      <c r="I20" s="98">
        <f t="shared" si="0"/>
        <v>8164.56</v>
      </c>
    </row>
    <row r="21" spans="1:9" s="84" customFormat="1" ht="16.5" x14ac:dyDescent="0.3">
      <c r="A21" s="93">
        <v>12</v>
      </c>
      <c r="B21" s="92" t="s">
        <v>159</v>
      </c>
      <c r="C21" s="92" t="s">
        <v>59</v>
      </c>
      <c r="D21" s="96" t="str">
        <f t="shared" si="1"/>
        <v>2.9.6</v>
      </c>
      <c r="E21" s="92" t="s">
        <v>160</v>
      </c>
      <c r="F21" s="92" t="s">
        <v>57</v>
      </c>
      <c r="G21" s="94">
        <v>16</v>
      </c>
      <c r="H21" s="116">
        <v>590.35</v>
      </c>
      <c r="I21" s="98">
        <f t="shared" si="0"/>
        <v>9445.6</v>
      </c>
    </row>
    <row r="22" spans="1:9" s="84" customFormat="1" ht="16.5" x14ac:dyDescent="0.3">
      <c r="A22" s="93">
        <v>13</v>
      </c>
      <c r="B22" s="92" t="s">
        <v>64</v>
      </c>
      <c r="C22" s="92" t="s">
        <v>59</v>
      </c>
      <c r="D22" s="96" t="str">
        <f t="shared" si="1"/>
        <v>2.9.6</v>
      </c>
      <c r="E22" s="92" t="s">
        <v>65</v>
      </c>
      <c r="F22" s="92" t="s">
        <v>57</v>
      </c>
      <c r="G22" s="94">
        <v>16</v>
      </c>
      <c r="H22" s="116">
        <v>1582.49</v>
      </c>
      <c r="I22" s="98">
        <f t="shared" si="0"/>
        <v>25319.84</v>
      </c>
    </row>
    <row r="23" spans="1:9" s="99" customFormat="1" ht="33" x14ac:dyDescent="0.3">
      <c r="A23" s="95">
        <v>14</v>
      </c>
      <c r="B23" s="96" t="s">
        <v>167</v>
      </c>
      <c r="C23" s="96" t="s">
        <v>59</v>
      </c>
      <c r="D23" s="96" t="str">
        <f>+LEFT(B23,5)</f>
        <v>2.9.6</v>
      </c>
      <c r="E23" s="96" t="s">
        <v>168</v>
      </c>
      <c r="F23" s="96" t="s">
        <v>57</v>
      </c>
      <c r="G23" s="97">
        <v>30</v>
      </c>
      <c r="H23" s="116">
        <v>1020</v>
      </c>
      <c r="I23" s="98">
        <f t="shared" si="0"/>
        <v>30600</v>
      </c>
    </row>
    <row r="24" spans="1:9" s="84" customFormat="1" ht="16.5" x14ac:dyDescent="0.3">
      <c r="A24" s="93">
        <v>15</v>
      </c>
      <c r="B24" s="92" t="s">
        <v>66</v>
      </c>
      <c r="C24" s="92" t="s">
        <v>59</v>
      </c>
      <c r="D24" s="96" t="str">
        <f t="shared" si="1"/>
        <v>2.9.6</v>
      </c>
      <c r="E24" s="92" t="s">
        <v>67</v>
      </c>
      <c r="F24" s="92" t="s">
        <v>57</v>
      </c>
      <c r="G24" s="94">
        <v>10</v>
      </c>
      <c r="H24" s="116">
        <v>828.64</v>
      </c>
      <c r="I24" s="98">
        <f t="shared" si="0"/>
        <v>8286.4</v>
      </c>
    </row>
    <row r="25" spans="1:9" s="84" customFormat="1" ht="17.25" thickBot="1" x14ac:dyDescent="0.35">
      <c r="A25" s="104">
        <v>16</v>
      </c>
      <c r="B25" s="105" t="s">
        <v>68</v>
      </c>
      <c r="C25" s="105" t="s">
        <v>59</v>
      </c>
      <c r="D25" s="108" t="str">
        <f t="shared" si="1"/>
        <v>2.9.6</v>
      </c>
      <c r="E25" s="105" t="s">
        <v>69</v>
      </c>
      <c r="F25" s="105" t="s">
        <v>57</v>
      </c>
      <c r="G25" s="109">
        <v>16</v>
      </c>
      <c r="H25" s="117">
        <v>695.05</v>
      </c>
      <c r="I25" s="106">
        <f>+H25*G25</f>
        <v>11120.8</v>
      </c>
    </row>
    <row r="26" spans="1:9" s="112" customFormat="1" ht="30" customHeight="1" thickBot="1" x14ac:dyDescent="0.25">
      <c r="A26" s="122" t="s">
        <v>175</v>
      </c>
      <c r="B26" s="123"/>
      <c r="C26" s="123"/>
      <c r="D26" s="123"/>
      <c r="E26" s="123"/>
      <c r="F26" s="123"/>
      <c r="G26" s="123"/>
      <c r="H26" s="124"/>
      <c r="I26" s="111">
        <f>SUM(I10:I25)</f>
        <v>267832.59999999998</v>
      </c>
    </row>
    <row r="27" spans="1:9" s="25" customFormat="1" ht="12.75" x14ac:dyDescent="0.2">
      <c r="G27" s="26"/>
      <c r="H27" s="113"/>
      <c r="I27" s="40"/>
    </row>
    <row r="28" spans="1:9" s="25" customFormat="1" thickBot="1" x14ac:dyDescent="0.25">
      <c r="G28" s="26"/>
      <c r="H28" s="113"/>
      <c r="I28" s="40"/>
    </row>
    <row r="29" spans="1:9" s="25" customFormat="1" ht="19.5" customHeight="1" x14ac:dyDescent="0.2">
      <c r="B29" s="50" t="s">
        <v>180</v>
      </c>
      <c r="C29" s="27"/>
      <c r="D29" s="27"/>
      <c r="E29" s="28"/>
      <c r="G29" s="26"/>
      <c r="H29" s="113"/>
      <c r="I29" s="40"/>
    </row>
    <row r="30" spans="1:9" s="25" customFormat="1" ht="12.75" x14ac:dyDescent="0.2">
      <c r="B30" s="51"/>
      <c r="C30" s="29"/>
      <c r="D30" s="29"/>
      <c r="E30" s="30"/>
      <c r="G30" s="26"/>
      <c r="H30" s="113"/>
      <c r="I30" s="40"/>
    </row>
    <row r="31" spans="1:9" s="25" customFormat="1" ht="15.75" customHeight="1" x14ac:dyDescent="0.2">
      <c r="B31" s="34" t="s">
        <v>58</v>
      </c>
      <c r="C31" s="29"/>
      <c r="D31" s="29"/>
      <c r="E31" s="30"/>
      <c r="G31" s="26"/>
      <c r="H31" s="113"/>
      <c r="I31" s="40"/>
    </row>
    <row r="32" spans="1:9" s="25" customFormat="1" ht="54.75" customHeight="1" x14ac:dyDescent="0.2">
      <c r="B32" s="34"/>
      <c r="C32" s="180" t="s">
        <v>181</v>
      </c>
      <c r="D32" s="180"/>
      <c r="E32" s="181"/>
      <c r="G32" s="26"/>
      <c r="H32" s="113"/>
      <c r="I32" s="40"/>
    </row>
    <row r="33" spans="2:9" s="25" customFormat="1" ht="16.5" customHeight="1" thickBot="1" x14ac:dyDescent="0.25">
      <c r="B33" s="52"/>
      <c r="C33" s="53"/>
      <c r="D33" s="53"/>
      <c r="E33" s="54"/>
      <c r="G33" s="26"/>
      <c r="H33" s="113"/>
      <c r="I33" s="40"/>
    </row>
    <row r="34" spans="2:9" s="25" customFormat="1" thickBot="1" x14ac:dyDescent="0.25">
      <c r="B34" s="55"/>
      <c r="C34" s="56"/>
      <c r="D34" s="56"/>
      <c r="E34" s="56"/>
      <c r="G34" s="26"/>
      <c r="H34" s="113"/>
      <c r="I34" s="40"/>
    </row>
    <row r="35" spans="2:9" s="25" customFormat="1" ht="20.25" customHeight="1" x14ac:dyDescent="0.2">
      <c r="B35" s="57" t="s">
        <v>14</v>
      </c>
      <c r="C35" s="27"/>
      <c r="D35" s="27"/>
      <c r="E35" s="28"/>
      <c r="G35" s="26"/>
      <c r="H35" s="113"/>
      <c r="I35" s="40"/>
    </row>
    <row r="36" spans="2:9" s="58" customFormat="1" ht="112.5" customHeight="1" x14ac:dyDescent="0.2">
      <c r="B36" s="33"/>
      <c r="C36" s="125" t="s">
        <v>70</v>
      </c>
      <c r="D36" s="125"/>
      <c r="E36" s="126"/>
      <c r="G36" s="60"/>
      <c r="H36" s="113"/>
      <c r="I36" s="61"/>
    </row>
    <row r="37" spans="2:9" s="25" customFormat="1" ht="12.75" x14ac:dyDescent="0.2">
      <c r="B37" s="59"/>
      <c r="C37" s="127"/>
      <c r="D37" s="127"/>
      <c r="E37" s="127"/>
      <c r="G37" s="26"/>
      <c r="H37" s="113"/>
      <c r="I37" s="40"/>
    </row>
    <row r="38" spans="2:9" s="25" customFormat="1" ht="12.75" x14ac:dyDescent="0.2">
      <c r="B38" s="34" t="s">
        <v>176</v>
      </c>
      <c r="C38" s="29"/>
      <c r="D38" s="29"/>
      <c r="E38" s="30"/>
      <c r="G38" s="26"/>
      <c r="H38" s="113"/>
      <c r="I38" s="40"/>
    </row>
    <row r="39" spans="2:9" s="25" customFormat="1" ht="19.5" customHeight="1" x14ac:dyDescent="0.2">
      <c r="B39" s="33"/>
      <c r="C39" s="128" t="s">
        <v>71</v>
      </c>
      <c r="D39" s="128"/>
      <c r="E39" s="129"/>
      <c r="G39" s="26"/>
      <c r="H39" s="113"/>
      <c r="I39" s="40"/>
    </row>
    <row r="40" spans="2:9" s="25" customFormat="1" ht="12.75" x14ac:dyDescent="0.2">
      <c r="B40" s="34" t="s">
        <v>15</v>
      </c>
      <c r="C40" s="62"/>
      <c r="D40" s="62"/>
      <c r="E40" s="63"/>
      <c r="G40" s="26"/>
      <c r="H40" s="113"/>
      <c r="I40" s="40"/>
    </row>
    <row r="41" spans="2:9" s="25" customFormat="1" ht="12.75" x14ac:dyDescent="0.2">
      <c r="B41" s="33"/>
      <c r="C41" s="128" t="s">
        <v>72</v>
      </c>
      <c r="D41" s="128"/>
      <c r="E41" s="129"/>
      <c r="G41" s="26"/>
      <c r="H41" s="113"/>
      <c r="I41" s="40"/>
    </row>
    <row r="42" spans="2:9" s="25" customFormat="1" ht="12.75" x14ac:dyDescent="0.2">
      <c r="B42" s="34" t="s">
        <v>177</v>
      </c>
      <c r="C42" s="29"/>
      <c r="D42" s="29"/>
      <c r="E42" s="30"/>
      <c r="G42" s="26"/>
      <c r="H42" s="113"/>
      <c r="I42" s="40"/>
    </row>
    <row r="43" spans="2:9" s="25" customFormat="1" ht="12.75" x14ac:dyDescent="0.2">
      <c r="B43" s="34"/>
      <c r="C43" s="127"/>
      <c r="D43" s="127"/>
      <c r="E43" s="127"/>
      <c r="G43" s="26"/>
      <c r="H43" s="113"/>
      <c r="I43" s="40"/>
    </row>
    <row r="44" spans="2:9" s="25" customFormat="1" thickBot="1" x14ac:dyDescent="0.25">
      <c r="B44" s="35"/>
      <c r="C44" s="31"/>
      <c r="D44" s="31"/>
      <c r="E44" s="32"/>
      <c r="G44" s="26"/>
      <c r="H44" s="113"/>
      <c r="I44" s="40"/>
    </row>
    <row r="45" spans="2:9" s="25" customFormat="1" ht="12.75" x14ac:dyDescent="0.2">
      <c r="G45" s="26"/>
      <c r="H45" s="113"/>
      <c r="I45" s="40"/>
    </row>
    <row r="46" spans="2:9" x14ac:dyDescent="0.25">
      <c r="B46" s="25"/>
      <c r="C46" s="25"/>
      <c r="D46" s="25"/>
      <c r="E46" s="25"/>
    </row>
  </sheetData>
  <mergeCells count="14">
    <mergeCell ref="C36:E36"/>
    <mergeCell ref="C37:E37"/>
    <mergeCell ref="C39:E39"/>
    <mergeCell ref="C41:E41"/>
    <mergeCell ref="C43:E43"/>
    <mergeCell ref="A6:B6"/>
    <mergeCell ref="A7:B7"/>
    <mergeCell ref="C32:E32"/>
    <mergeCell ref="B2:H2"/>
    <mergeCell ref="A4:B4"/>
    <mergeCell ref="C4:E4"/>
    <mergeCell ref="A5:B5"/>
    <mergeCell ref="C5:E5"/>
    <mergeCell ref="A26:H26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8"/>
  <sheetViews>
    <sheetView topLeftCell="A14" zoomScale="85" zoomScaleNormal="85" workbookViewId="0">
      <selection activeCell="C21" sqref="C21:G21"/>
    </sheetView>
  </sheetViews>
  <sheetFormatPr baseColWidth="10" defaultColWidth="9.140625" defaultRowHeight="13.5" x14ac:dyDescent="0.25"/>
  <cols>
    <col min="1" max="1" width="5.5703125" style="14" customWidth="1"/>
    <col min="2" max="2" width="15.140625" style="14" customWidth="1"/>
    <col min="3" max="3" width="14.140625" style="14" customWidth="1"/>
    <col min="4" max="4" width="26" style="14" customWidth="1"/>
    <col min="5" max="5" width="8" style="14" customWidth="1"/>
    <col min="6" max="6" width="7.85546875" style="14" customWidth="1"/>
    <col min="7" max="7" width="42" style="14" customWidth="1"/>
    <col min="8" max="8" width="9.28515625" style="14" customWidth="1"/>
    <col min="9" max="9" width="15.5703125" style="14" customWidth="1"/>
    <col min="10" max="10" width="14.7109375" style="74" customWidth="1"/>
    <col min="11" max="11" width="15.5703125" style="14" customWidth="1"/>
    <col min="12" max="14" width="5.85546875" style="14" customWidth="1"/>
    <col min="15" max="15" width="12.5703125" style="14" customWidth="1"/>
    <col min="16" max="1024" width="9.140625" style="14"/>
    <col min="1025" max="16384" width="9.140625" style="15"/>
  </cols>
  <sheetData>
    <row r="1" spans="1:11" ht="26.25" customHeight="1" x14ac:dyDescent="0.25">
      <c r="A1" s="143" t="s">
        <v>16</v>
      </c>
      <c r="B1" s="143"/>
      <c r="C1" s="143"/>
      <c r="D1" s="143"/>
      <c r="E1" s="143"/>
      <c r="F1" s="143"/>
      <c r="G1" s="143"/>
      <c r="H1" s="143"/>
      <c r="I1" s="143"/>
      <c r="J1" s="73" t="s">
        <v>17</v>
      </c>
      <c r="K1" s="83" t="s">
        <v>74</v>
      </c>
    </row>
    <row r="2" spans="1:11" ht="18.75" customHeight="1" thickBot="1" x14ac:dyDescent="0.3">
      <c r="A2" s="16"/>
      <c r="B2" s="16"/>
      <c r="C2" s="16"/>
      <c r="D2" s="17"/>
      <c r="E2" s="17"/>
      <c r="F2" s="17"/>
      <c r="G2" s="17"/>
      <c r="H2" s="17"/>
      <c r="I2" s="17"/>
      <c r="K2" s="17"/>
    </row>
    <row r="3" spans="1:11" ht="18.75" customHeight="1" thickBot="1" x14ac:dyDescent="0.3">
      <c r="A3" s="144" t="s">
        <v>49</v>
      </c>
      <c r="B3" s="144"/>
      <c r="C3" s="144"/>
      <c r="D3" s="145" t="str">
        <f>'Necesidades Trimestrales'!C4</f>
        <v>12 -Ministerio de Trabajo y Recursos Humanos</v>
      </c>
      <c r="E3" s="145"/>
      <c r="F3" s="145"/>
      <c r="G3" s="145"/>
      <c r="H3" s="145"/>
      <c r="I3" s="145"/>
      <c r="J3" s="145"/>
      <c r="K3" s="145"/>
    </row>
    <row r="4" spans="1:11" ht="18.75" customHeight="1" thickBot="1" x14ac:dyDescent="0.3">
      <c r="A4" s="146" t="s">
        <v>50</v>
      </c>
      <c r="B4" s="146"/>
      <c r="C4" s="146"/>
      <c r="D4" s="145" t="str">
        <f>'Necesidades Trimestrales'!C5</f>
        <v>22 - Secretaria de Administración del Ministerio de Trabajo y Recursos Humanos</v>
      </c>
      <c r="E4" s="145"/>
      <c r="F4" s="145"/>
      <c r="G4" s="145"/>
      <c r="H4" s="145"/>
      <c r="I4" s="145"/>
      <c r="J4" s="145"/>
      <c r="K4" s="145"/>
    </row>
    <row r="5" spans="1:11" ht="18.75" customHeight="1" thickBot="1" x14ac:dyDescent="0.3">
      <c r="A5" s="146" t="s">
        <v>29</v>
      </c>
      <c r="B5" s="146"/>
      <c r="C5" s="146"/>
      <c r="D5" s="145" t="s">
        <v>55</v>
      </c>
      <c r="E5" s="145"/>
      <c r="F5" s="145"/>
      <c r="G5" s="145"/>
      <c r="H5" s="145"/>
      <c r="I5" s="145"/>
      <c r="J5" s="145"/>
      <c r="K5" s="145"/>
    </row>
    <row r="6" spans="1:11" ht="16.5" customHeight="1" thickBot="1" x14ac:dyDescent="0.3">
      <c r="A6" s="144" t="s">
        <v>51</v>
      </c>
      <c r="B6" s="144"/>
      <c r="C6" s="144"/>
      <c r="D6" s="145" t="s">
        <v>55</v>
      </c>
      <c r="E6" s="145"/>
      <c r="F6" s="145"/>
      <c r="G6" s="145"/>
      <c r="H6" s="145"/>
      <c r="I6" s="145"/>
      <c r="J6" s="145"/>
      <c r="K6" s="145"/>
    </row>
    <row r="7" spans="1:11" ht="16.5" customHeight="1" x14ac:dyDescent="0.25">
      <c r="A7" s="146" t="s">
        <v>18</v>
      </c>
      <c r="B7" s="146"/>
      <c r="C7" s="146"/>
      <c r="D7" s="145" t="str">
        <f>'Necesidades Trimestrales'!C7 &amp; "° Trimestre - Año " &amp; 'Necesidades Trimestrales'!C6</f>
        <v>2° Trimestre - Año 2021</v>
      </c>
      <c r="E7" s="145"/>
      <c r="F7" s="145"/>
      <c r="G7" s="145"/>
      <c r="H7" s="145"/>
      <c r="I7" s="145"/>
      <c r="J7" s="145"/>
      <c r="K7" s="145"/>
    </row>
    <row r="8" spans="1:11" ht="16.5" customHeight="1" x14ac:dyDescent="0.25">
      <c r="A8" s="139" t="s">
        <v>19</v>
      </c>
      <c r="B8" s="139"/>
      <c r="C8" s="139"/>
      <c r="D8" s="140" t="s">
        <v>73</v>
      </c>
      <c r="E8" s="140"/>
      <c r="F8" s="140"/>
      <c r="G8" s="140"/>
      <c r="H8" s="140"/>
      <c r="I8" s="140"/>
      <c r="J8" s="140"/>
      <c r="K8" s="140"/>
    </row>
    <row r="9" spans="1:11" ht="14.25" thickBot="1" x14ac:dyDescent="0.3">
      <c r="A9" s="18"/>
      <c r="B9" s="18"/>
      <c r="C9" s="18"/>
      <c r="D9" s="19"/>
      <c r="E9" s="19"/>
      <c r="F9" s="19"/>
      <c r="G9" s="19"/>
      <c r="H9" s="19"/>
      <c r="I9" s="19"/>
      <c r="K9" s="19"/>
    </row>
    <row r="10" spans="1:11" ht="18.75" customHeight="1" thickBot="1" x14ac:dyDescent="0.3">
      <c r="A10" s="141" t="s">
        <v>20</v>
      </c>
      <c r="B10" s="133" t="s">
        <v>21</v>
      </c>
      <c r="C10" s="133" t="s">
        <v>22</v>
      </c>
      <c r="D10" s="133"/>
      <c r="E10" s="133"/>
      <c r="F10" s="133"/>
      <c r="G10" s="133"/>
      <c r="H10" s="133" t="s">
        <v>23</v>
      </c>
      <c r="I10" s="133" t="s">
        <v>24</v>
      </c>
      <c r="J10" s="135" t="s">
        <v>25</v>
      </c>
      <c r="K10" s="147" t="s">
        <v>26</v>
      </c>
    </row>
    <row r="11" spans="1:11" ht="24" customHeight="1" thickBot="1" x14ac:dyDescent="0.3">
      <c r="A11" s="142"/>
      <c r="B11" s="134"/>
      <c r="C11" s="134"/>
      <c r="D11" s="134"/>
      <c r="E11" s="134"/>
      <c r="F11" s="134"/>
      <c r="G11" s="134"/>
      <c r="H11" s="134"/>
      <c r="I11" s="134"/>
      <c r="J11" s="136"/>
      <c r="K11" s="148"/>
    </row>
    <row r="12" spans="1:11" ht="24" customHeight="1" x14ac:dyDescent="0.25">
      <c r="A12" s="65">
        <f>+'Necesidades Trimestrales'!A10</f>
        <v>1</v>
      </c>
      <c r="B12" s="66" t="str">
        <f>+'Necesidades Trimestrales'!B10</f>
        <v>2.9.6-401.1097</v>
      </c>
      <c r="C12" s="138" t="str">
        <f>+'Necesidades Trimestrales'!E10</f>
        <v>CARTUCHOS DE TONER; CODIGO: CB435A, USO: HEWLETT PACKARD</v>
      </c>
      <c r="D12" s="138"/>
      <c r="E12" s="138"/>
      <c r="F12" s="138"/>
      <c r="G12" s="138"/>
      <c r="H12" s="88" t="s">
        <v>179</v>
      </c>
      <c r="I12" s="88" t="str">
        <f>+'Necesidades Trimestrales'!F10</f>
        <v>UNIDAD</v>
      </c>
      <c r="J12" s="48">
        <f>+'Necesidades Trimestrales'!H10</f>
        <v>590.35</v>
      </c>
      <c r="K12" s="67">
        <f>+'Necesidades Trimestrales'!G10</f>
        <v>20</v>
      </c>
    </row>
    <row r="13" spans="1:11" ht="24" customHeight="1" x14ac:dyDescent="0.25">
      <c r="A13" s="68">
        <f>+'Necesidades Trimestrales'!A11</f>
        <v>2</v>
      </c>
      <c r="B13" s="64" t="str">
        <f>+'Necesidades Trimestrales'!B11</f>
        <v>2.9.6-401.1501</v>
      </c>
      <c r="C13" s="130" t="str">
        <f>+'Necesidades Trimestrales'!E11</f>
        <v>CARTUCHOS DE TONER; CODIGO: 1130D, USO: RICOH</v>
      </c>
      <c r="D13" s="130"/>
      <c r="E13" s="130"/>
      <c r="F13" s="130"/>
      <c r="G13" s="130"/>
      <c r="H13" s="87" t="s">
        <v>179</v>
      </c>
      <c r="I13" s="87" t="str">
        <f>+'Necesidades Trimestrales'!F11</f>
        <v>UNIDAD</v>
      </c>
      <c r="J13" s="49">
        <f>+'Necesidades Trimestrales'!H11</f>
        <v>779</v>
      </c>
      <c r="K13" s="69">
        <f>+'Necesidades Trimestrales'!G11</f>
        <v>4</v>
      </c>
    </row>
    <row r="14" spans="1:11" ht="24" customHeight="1" x14ac:dyDescent="0.25">
      <c r="A14" s="68">
        <f>+'Necesidades Trimestrales'!A12</f>
        <v>3</v>
      </c>
      <c r="B14" s="64" t="str">
        <f>+'Necesidades Trimestrales'!B12</f>
        <v>2.9.6-1355.1139</v>
      </c>
      <c r="C14" s="130" t="str">
        <f>+'Necesidades Trimestrales'!E12</f>
        <v>CARTUCHOS DE TINTA; CODIGO: C9351AL, DESCRIPCION: SIN VALOR, COLOR: SIN VALOR, USO: HEWLETT PACKARD</v>
      </c>
      <c r="D14" s="130"/>
      <c r="E14" s="130"/>
      <c r="F14" s="130"/>
      <c r="G14" s="130"/>
      <c r="H14" s="87" t="s">
        <v>179</v>
      </c>
      <c r="I14" s="87" t="str">
        <f>+'Necesidades Trimestrales'!F12</f>
        <v xml:space="preserve">UNIDAD </v>
      </c>
      <c r="J14" s="49">
        <f>+'Necesidades Trimestrales'!H12</f>
        <v>3029</v>
      </c>
      <c r="K14" s="69">
        <f>+'Necesidades Trimestrales'!G12</f>
        <v>4</v>
      </c>
    </row>
    <row r="15" spans="1:11" ht="28.5" customHeight="1" x14ac:dyDescent="0.25">
      <c r="A15" s="68">
        <f>+'Necesidades Trimestrales'!A13</f>
        <v>4</v>
      </c>
      <c r="B15" s="64" t="str">
        <f>+'Necesidades Trimestrales'!B13</f>
        <v>2.9.6-401.2202</v>
      </c>
      <c r="C15" s="130" t="str">
        <f>+'Necesidades Trimestrales'!E13</f>
        <v>CARTUCHOS DE TONER; CODIGO: 87X, USO: LASERJET CF287A</v>
      </c>
      <c r="D15" s="130"/>
      <c r="E15" s="130"/>
      <c r="F15" s="130"/>
      <c r="G15" s="130"/>
      <c r="H15" s="87" t="s">
        <v>179</v>
      </c>
      <c r="I15" s="87" t="str">
        <f>+'Necesidades Trimestrales'!F13</f>
        <v xml:space="preserve">UNIDAD </v>
      </c>
      <c r="J15" s="49">
        <f>+'Necesidades Trimestrales'!H13</f>
        <v>3616.85</v>
      </c>
      <c r="K15" s="69">
        <f>+'Necesidades Trimestrales'!G13</f>
        <v>10</v>
      </c>
    </row>
    <row r="16" spans="1:11" ht="24" customHeight="1" x14ac:dyDescent="0.25">
      <c r="A16" s="68">
        <f>+'Necesidades Trimestrales'!A14</f>
        <v>5</v>
      </c>
      <c r="B16" s="64" t="str">
        <f>+'Necesidades Trimestrales'!B14</f>
        <v>2.9.6-401.1859</v>
      </c>
      <c r="C16" s="130" t="str">
        <f>+'Necesidades Trimestrales'!E14</f>
        <v>CARTUCHOS DE TONER; CODIGO: MLT-D101S, USO: SAMSUNG 2165</v>
      </c>
      <c r="D16" s="130"/>
      <c r="E16" s="130"/>
      <c r="F16" s="130"/>
      <c r="G16" s="130"/>
      <c r="H16" s="87" t="s">
        <v>179</v>
      </c>
      <c r="I16" s="87" t="str">
        <f>+'Necesidades Trimestrales'!F14</f>
        <v xml:space="preserve">UNIDAD </v>
      </c>
      <c r="J16" s="49">
        <f>+'Necesidades Trimestrales'!H14</f>
        <v>1059.73</v>
      </c>
      <c r="K16" s="69">
        <f>+'Necesidades Trimestrales'!G14</f>
        <v>16</v>
      </c>
    </row>
    <row r="17" spans="1:11" ht="24" customHeight="1" x14ac:dyDescent="0.25">
      <c r="A17" s="68">
        <f>+'Necesidades Trimestrales'!A15</f>
        <v>6</v>
      </c>
      <c r="B17" s="64" t="str">
        <f>+'Necesidades Trimestrales'!B15</f>
        <v>2.9.6-401.952</v>
      </c>
      <c r="C17" s="130" t="str">
        <f>+'Necesidades Trimestrales'!E15</f>
        <v>CARTUCHOS DE TONER; CODIGO: Q7553A, COLOR: SIN VALOR, DESCRIPCION: SIN VALOR, USO: HEWLETT PACKARD</v>
      </c>
      <c r="D17" s="130"/>
      <c r="E17" s="130"/>
      <c r="F17" s="130"/>
      <c r="G17" s="130"/>
      <c r="H17" s="87" t="s">
        <v>179</v>
      </c>
      <c r="I17" s="87" t="str">
        <f>+'Necesidades Trimestrales'!F15</f>
        <v xml:space="preserve">UNIDAD </v>
      </c>
      <c r="J17" s="49">
        <f>+'Necesidades Trimestrales'!H15</f>
        <v>5747</v>
      </c>
      <c r="K17" s="69">
        <f>+'Necesidades Trimestrales'!G15</f>
        <v>3</v>
      </c>
    </row>
    <row r="18" spans="1:11" ht="24" customHeight="1" x14ac:dyDescent="0.25">
      <c r="A18" s="68">
        <f>+'Necesidades Trimestrales'!A16</f>
        <v>7</v>
      </c>
      <c r="B18" s="64" t="str">
        <f>+'Necesidades Trimestrales'!B16</f>
        <v>2.9.6-401.2045</v>
      </c>
      <c r="C18" s="130" t="str">
        <f>+'Necesidades Trimestrales'!E16</f>
        <v>CARTUCHOS DE TONER; CODIGO: TN 1060, USO: BROTHER</v>
      </c>
      <c r="D18" s="130"/>
      <c r="E18" s="130"/>
      <c r="F18" s="130"/>
      <c r="G18" s="130"/>
      <c r="H18" s="87" t="s">
        <v>179</v>
      </c>
      <c r="I18" s="87" t="str">
        <f>+'Necesidades Trimestrales'!F16</f>
        <v xml:space="preserve">UNIDAD </v>
      </c>
      <c r="J18" s="49">
        <f>+'Necesidades Trimestrales'!H16</f>
        <v>545.21</v>
      </c>
      <c r="K18" s="69">
        <f>+'Necesidades Trimestrales'!G16</f>
        <v>6</v>
      </c>
    </row>
    <row r="19" spans="1:11" ht="24" customHeight="1" x14ac:dyDescent="0.25">
      <c r="A19" s="68">
        <f>+'Necesidades Trimestrales'!A17</f>
        <v>8</v>
      </c>
      <c r="B19" s="64" t="str">
        <f>+'Necesidades Trimestrales'!B17</f>
        <v>2.9.6-401.2294</v>
      </c>
      <c r="C19" s="130" t="str">
        <f>+'Necesidades Trimestrales'!E17</f>
        <v>CARTUCHOS DE TONER; CODIGO: TN-3479, USO: BROTHER</v>
      </c>
      <c r="D19" s="130"/>
      <c r="E19" s="130"/>
      <c r="F19" s="130"/>
      <c r="G19" s="130"/>
      <c r="H19" s="87" t="s">
        <v>179</v>
      </c>
      <c r="I19" s="87" t="str">
        <f>+'Necesidades Trimestrales'!F17</f>
        <v xml:space="preserve">UNIDAD </v>
      </c>
      <c r="J19" s="49">
        <f>+'Necesidades Trimestrales'!H17</f>
        <v>1279.99</v>
      </c>
      <c r="K19" s="69">
        <f>+'Necesidades Trimestrales'!G17</f>
        <v>4</v>
      </c>
    </row>
    <row r="20" spans="1:11" ht="24" customHeight="1" x14ac:dyDescent="0.25">
      <c r="A20" s="68">
        <f>+'Necesidades Trimestrales'!A18</f>
        <v>9</v>
      </c>
      <c r="B20" s="64" t="str">
        <f>+'Necesidades Trimestrales'!B18</f>
        <v>2.9.6-401.2024</v>
      </c>
      <c r="C20" s="130" t="str">
        <f>+'Necesidades Trimestrales'!E18</f>
        <v>CARTUCHOS DE TONER; CODIGO: MLT-D111S, USO: SAMSUNG</v>
      </c>
      <c r="D20" s="130"/>
      <c r="E20" s="130"/>
      <c r="F20" s="130"/>
      <c r="G20" s="130"/>
      <c r="H20" s="87" t="s">
        <v>179</v>
      </c>
      <c r="I20" s="87" t="str">
        <f>+'Necesidades Trimestrales'!F18</f>
        <v xml:space="preserve">UNIDAD   </v>
      </c>
      <c r="J20" s="49">
        <f>+'Necesidades Trimestrales'!H18</f>
        <v>1290</v>
      </c>
      <c r="K20" s="69">
        <f>+'Necesidades Trimestrales'!G18</f>
        <v>50</v>
      </c>
    </row>
    <row r="21" spans="1:11" ht="24" customHeight="1" x14ac:dyDescent="0.25">
      <c r="A21" s="68">
        <f>+'Necesidades Trimestrales'!A19</f>
        <v>10</v>
      </c>
      <c r="B21" s="64" t="str">
        <f>+'Necesidades Trimestrales'!B19</f>
        <v>2.9.6-1355.1961</v>
      </c>
      <c r="C21" s="130" t="str">
        <f>+'Necesidades Trimestrales'!E19</f>
        <v>CARTUCHOS DE TINTA; CODIGO: CZ104AL, USO: HEWLETT PACKARD</v>
      </c>
      <c r="D21" s="130"/>
      <c r="E21" s="130"/>
      <c r="F21" s="130"/>
      <c r="G21" s="130"/>
      <c r="H21" s="87" t="s">
        <v>179</v>
      </c>
      <c r="I21" s="87" t="str">
        <f>+'Necesidades Trimestrales'!F19</f>
        <v xml:space="preserve">UNIDAD   </v>
      </c>
      <c r="J21" s="49">
        <f>+'Necesidades Trimestrales'!H19</f>
        <v>1150</v>
      </c>
      <c r="K21" s="69">
        <f>+'Necesidades Trimestrales'!G19</f>
        <v>4</v>
      </c>
    </row>
    <row r="22" spans="1:11" ht="24" customHeight="1" x14ac:dyDescent="0.25">
      <c r="A22" s="68">
        <f>+'Necesidades Trimestrales'!A20</f>
        <v>11</v>
      </c>
      <c r="B22" s="64" t="str">
        <f>+'Necesidades Trimestrales'!B20</f>
        <v>2.9.6-401.1557</v>
      </c>
      <c r="C22" s="130" t="str">
        <f>+'Necesidades Trimestrales'!E20</f>
        <v>CARTUCHOS DE TONER; CODIGO: TN 360, USO: BROTHER</v>
      </c>
      <c r="D22" s="130"/>
      <c r="E22" s="130"/>
      <c r="F22" s="130"/>
      <c r="G22" s="130"/>
      <c r="H22" s="87" t="s">
        <v>179</v>
      </c>
      <c r="I22" s="87" t="str">
        <f>+'Necesidades Trimestrales'!F20</f>
        <v xml:space="preserve">UNIDAD   </v>
      </c>
      <c r="J22" s="49">
        <f>+'Necesidades Trimestrales'!H20</f>
        <v>1020.57</v>
      </c>
      <c r="K22" s="69">
        <f>+'Necesidades Trimestrales'!G20</f>
        <v>8</v>
      </c>
    </row>
    <row r="23" spans="1:11" ht="24" customHeight="1" x14ac:dyDescent="0.25">
      <c r="A23" s="68">
        <f>+'Necesidades Trimestrales'!A21</f>
        <v>12</v>
      </c>
      <c r="B23" s="64" t="str">
        <f>+'Necesidades Trimestrales'!B21</f>
        <v>2.9.6-401.1362</v>
      </c>
      <c r="C23" s="130" t="str">
        <f>+'Necesidades Trimestrales'!E21</f>
        <v>CARTUCHOS DE TONER; CODIGO: CE285A, USO: HEWLETT PACKARD</v>
      </c>
      <c r="D23" s="130"/>
      <c r="E23" s="130"/>
      <c r="F23" s="130"/>
      <c r="G23" s="130"/>
      <c r="H23" s="87" t="s">
        <v>179</v>
      </c>
      <c r="I23" s="87" t="str">
        <f>+'Necesidades Trimestrales'!F21</f>
        <v>UNIDAD</v>
      </c>
      <c r="J23" s="49">
        <f>+'Necesidades Trimestrales'!H21</f>
        <v>590.35</v>
      </c>
      <c r="K23" s="69">
        <f>+'Necesidades Trimestrales'!G21</f>
        <v>16</v>
      </c>
    </row>
    <row r="24" spans="1:11" ht="24" customHeight="1" x14ac:dyDescent="0.25">
      <c r="A24" s="68">
        <f>+'Necesidades Trimestrales'!A22</f>
        <v>13</v>
      </c>
      <c r="B24" s="64" t="str">
        <f>+'Necesidades Trimestrales'!B22</f>
        <v>2.9.6-401.1695</v>
      </c>
      <c r="C24" s="130" t="str">
        <f>+'Necesidades Trimestrales'!E22</f>
        <v>CARTUCHOS DE TONER; CODIGO: CE658A, USO: HEWLETT PACKARD</v>
      </c>
      <c r="D24" s="130"/>
      <c r="E24" s="130"/>
      <c r="F24" s="130"/>
      <c r="G24" s="130"/>
      <c r="H24" s="87" t="s">
        <v>179</v>
      </c>
      <c r="I24" s="87" t="str">
        <f>+'Necesidades Trimestrales'!F22</f>
        <v>UNIDAD</v>
      </c>
      <c r="J24" s="49">
        <f>+'Necesidades Trimestrales'!H22</f>
        <v>1582.49</v>
      </c>
      <c r="K24" s="69">
        <f>+'Necesidades Trimestrales'!G22</f>
        <v>16</v>
      </c>
    </row>
    <row r="25" spans="1:11" ht="24" customHeight="1" x14ac:dyDescent="0.25">
      <c r="A25" s="68">
        <f>+'Necesidades Trimestrales'!A23</f>
        <v>14</v>
      </c>
      <c r="B25" s="64" t="str">
        <f>+'Necesidades Trimestrales'!B23</f>
        <v>2.9.6-401.1060</v>
      </c>
      <c r="C25" s="130" t="str">
        <f>+'Necesidades Trimestrales'!E23</f>
        <v>CARTUCHOS DE TONER; CODIGO: HPQ2612A, COLOR: SIN VALOR, DESCRIPCION: SIN VALOR, USO: HEWLETT PACKARD</v>
      </c>
      <c r="D25" s="130"/>
      <c r="E25" s="130"/>
      <c r="F25" s="130"/>
      <c r="G25" s="130"/>
      <c r="H25" s="87" t="s">
        <v>179</v>
      </c>
      <c r="I25" s="87" t="str">
        <f>+'Necesidades Trimestrales'!F23</f>
        <v>UNIDAD</v>
      </c>
      <c r="J25" s="49">
        <f>+'Necesidades Trimestrales'!H23</f>
        <v>1020</v>
      </c>
      <c r="K25" s="69">
        <f>+'Necesidades Trimestrales'!G23</f>
        <v>30</v>
      </c>
    </row>
    <row r="26" spans="1:11" ht="24" customHeight="1" x14ac:dyDescent="0.25">
      <c r="A26" s="68">
        <f>+'Necesidades Trimestrales'!A24</f>
        <v>15</v>
      </c>
      <c r="B26" s="64" t="str">
        <f>+'Necesidades Trimestrales'!B24</f>
        <v>2.9.6-401.1860</v>
      </c>
      <c r="C26" s="130" t="str">
        <f>+'Necesidades Trimestrales'!E24</f>
        <v>CARTUCHOS DE TONER; CODIGO: CF280A, USO: HEWLETT PACKARD</v>
      </c>
      <c r="D26" s="130"/>
      <c r="E26" s="130"/>
      <c r="F26" s="130"/>
      <c r="G26" s="130"/>
      <c r="H26" s="87" t="s">
        <v>179</v>
      </c>
      <c r="I26" s="87" t="str">
        <f>+'Necesidades Trimestrales'!F24</f>
        <v>UNIDAD</v>
      </c>
      <c r="J26" s="49">
        <f>+'Necesidades Trimestrales'!H24</f>
        <v>828.64</v>
      </c>
      <c r="K26" s="69">
        <f>+'Necesidades Trimestrales'!G24</f>
        <v>10</v>
      </c>
    </row>
    <row r="27" spans="1:11" ht="24" customHeight="1" thickBot="1" x14ac:dyDescent="0.3">
      <c r="A27" s="70">
        <f>+'Necesidades Trimestrales'!A25</f>
        <v>16</v>
      </c>
      <c r="B27" s="71" t="str">
        <f>+'Necesidades Trimestrales'!B25</f>
        <v>2.9.6-401.2377</v>
      </c>
      <c r="C27" s="137" t="str">
        <f>+'Necesidades Trimestrales'!E25</f>
        <v>CARTUCHOS DE TONER; CODIGO: CF279A, USO: HEWLETT PACKARD</v>
      </c>
      <c r="D27" s="137"/>
      <c r="E27" s="137"/>
      <c r="F27" s="137"/>
      <c r="G27" s="137"/>
      <c r="H27" s="86" t="s">
        <v>179</v>
      </c>
      <c r="I27" s="86" t="str">
        <f>+'Necesidades Trimestrales'!F25</f>
        <v>UNIDAD</v>
      </c>
      <c r="J27" s="75">
        <f>+'Necesidades Trimestrales'!H25</f>
        <v>695.05</v>
      </c>
      <c r="K27" s="72">
        <f>+'Necesidades Trimestrales'!G25</f>
        <v>16</v>
      </c>
    </row>
    <row r="28" spans="1:11" ht="20.25" customHeight="1" thickBot="1" x14ac:dyDescent="0.3">
      <c r="A28" s="132" t="str">
        <f>+'Necesidades Trimestrales'!A26:H26</f>
        <v>COSTO TOTAL ESTIMADO: DOSCIENTOS SESENTA Y SIETE MIL OCHOSCIENTOS TREINTA Y DOS CON 60/100</v>
      </c>
      <c r="B28" s="132"/>
      <c r="C28" s="132"/>
      <c r="D28" s="132"/>
      <c r="E28" s="132"/>
      <c r="F28" s="132"/>
      <c r="G28" s="132"/>
      <c r="H28" s="132"/>
      <c r="I28" s="132"/>
      <c r="J28" s="131">
        <f>SUMPRODUCT(J12:J27,K12:K27)</f>
        <v>267832.59999999998</v>
      </c>
      <c r="K28" s="131"/>
    </row>
  </sheetData>
  <mergeCells count="3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9:G19"/>
    <mergeCell ref="C20:G20"/>
    <mergeCell ref="C21:G21"/>
    <mergeCell ref="C12:G12"/>
    <mergeCell ref="A8:C8"/>
    <mergeCell ref="D8:K8"/>
    <mergeCell ref="A10:A11"/>
    <mergeCell ref="K10:K11"/>
    <mergeCell ref="C18:G18"/>
    <mergeCell ref="C13:G13"/>
    <mergeCell ref="C14:G14"/>
    <mergeCell ref="C15:G15"/>
    <mergeCell ref="C16:G16"/>
    <mergeCell ref="C17:G17"/>
    <mergeCell ref="B10:B11"/>
    <mergeCell ref="C10:G11"/>
    <mergeCell ref="H10:H11"/>
    <mergeCell ref="I10:I11"/>
    <mergeCell ref="J10:J11"/>
    <mergeCell ref="C22:G22"/>
    <mergeCell ref="C23:G23"/>
    <mergeCell ref="C24:G24"/>
    <mergeCell ref="C25:G25"/>
    <mergeCell ref="J28:K28"/>
    <mergeCell ref="A28:I28"/>
    <mergeCell ref="C26:G26"/>
    <mergeCell ref="C27:G2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opLeftCell="A13" zoomScale="115" zoomScaleNormal="115" workbookViewId="0">
      <selection activeCell="A27" sqref="A27:Q28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14.7109375" style="81" customWidth="1"/>
    <col min="18" max="18" width="11" style="1"/>
    <col min="19" max="19" width="12.85546875" style="1" bestFit="1" customWidth="1"/>
    <col min="20" max="16384" width="11" style="1"/>
  </cols>
  <sheetData>
    <row r="1" spans="1:19" ht="15.75" customHeight="1" x14ac:dyDescent="0.25">
      <c r="A1" s="172" t="s">
        <v>3</v>
      </c>
      <c r="B1" s="172"/>
      <c r="C1" s="172"/>
      <c r="D1" s="173">
        <f>'Necesidades Trimestrales'!C6</f>
        <v>2021</v>
      </c>
      <c r="E1" s="173"/>
      <c r="F1" s="3"/>
      <c r="G1" s="3"/>
      <c r="H1" s="4"/>
      <c r="I1" s="4"/>
      <c r="J1" s="4"/>
      <c r="K1" s="4"/>
      <c r="L1" s="4"/>
      <c r="M1" s="4"/>
      <c r="N1" s="4"/>
      <c r="P1" s="174" t="s">
        <v>27</v>
      </c>
      <c r="Q1" s="174"/>
    </row>
    <row r="2" spans="1:19" ht="15.75" customHeight="1" x14ac:dyDescent="0.25">
      <c r="H2" s="4"/>
      <c r="I2" s="4"/>
      <c r="J2" s="4"/>
      <c r="K2" s="4"/>
      <c r="L2" s="4"/>
      <c r="M2" s="4"/>
      <c r="N2" s="4"/>
      <c r="P2" s="174"/>
      <c r="Q2" s="174"/>
    </row>
    <row r="4" spans="1:19" ht="18" customHeight="1" thickBot="1" x14ac:dyDescent="0.35">
      <c r="A4" s="175" t="s">
        <v>28</v>
      </c>
      <c r="B4" s="175"/>
      <c r="C4" s="175"/>
      <c r="D4" s="175"/>
      <c r="E4" s="175"/>
      <c r="F4" s="175"/>
      <c r="G4" s="170" t="str">
        <f>' NotaPedido'!D3</f>
        <v>12 -Ministerio de Trabajo y Recursos Humanos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</row>
    <row r="5" spans="1:19" ht="18" customHeight="1" thickBot="1" x14ac:dyDescent="0.35">
      <c r="A5" s="167" t="s">
        <v>50</v>
      </c>
      <c r="B5" s="168"/>
      <c r="C5" s="168"/>
      <c r="D5" s="168"/>
      <c r="E5" s="168"/>
      <c r="F5" s="169"/>
      <c r="G5" s="170" t="str">
        <f>' NotaPedido'!D4</f>
        <v>22 - Secretaria de Administración del Ministerio de Trabajo y Recursos Humanos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</row>
    <row r="6" spans="1:19" ht="18" customHeight="1" thickBot="1" x14ac:dyDescent="0.35">
      <c r="A6" s="167" t="s">
        <v>29</v>
      </c>
      <c r="B6" s="168"/>
      <c r="C6" s="168"/>
      <c r="D6" s="168"/>
      <c r="E6" s="168"/>
      <c r="F6" s="169"/>
      <c r="G6" s="170" t="s">
        <v>56</v>
      </c>
      <c r="H6" s="170"/>
      <c r="I6" s="170"/>
      <c r="J6" s="170"/>
      <c r="K6" s="170"/>
      <c r="L6" s="170"/>
      <c r="M6" s="170"/>
      <c r="N6" s="170"/>
      <c r="O6" s="170"/>
      <c r="P6" s="170"/>
      <c r="Q6" s="170"/>
    </row>
    <row r="7" spans="1:19" ht="18" customHeight="1" thickBot="1" x14ac:dyDescent="0.35">
      <c r="A7" s="167" t="s">
        <v>51</v>
      </c>
      <c r="B7" s="168"/>
      <c r="C7" s="168"/>
      <c r="D7" s="168"/>
      <c r="E7" s="168"/>
      <c r="F7" s="169"/>
      <c r="G7" s="170" t="str">
        <f>' NotaPedido'!D6</f>
        <v xml:space="preserve">Secretaria de Administracion </v>
      </c>
      <c r="H7" s="170"/>
      <c r="I7" s="170"/>
      <c r="J7" s="170"/>
      <c r="K7" s="170"/>
      <c r="L7" s="170"/>
      <c r="M7" s="170"/>
      <c r="N7" s="170"/>
      <c r="O7" s="170"/>
      <c r="P7" s="170"/>
      <c r="Q7" s="170"/>
    </row>
    <row r="8" spans="1:19" ht="18" customHeight="1" thickBot="1" x14ac:dyDescent="0.3">
      <c r="A8" s="171" t="s">
        <v>52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</row>
    <row r="9" spans="1:19" ht="18" customHeight="1" x14ac:dyDescent="0.3">
      <c r="A9" s="161" t="s">
        <v>30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2"/>
      <c r="P9" s="2"/>
      <c r="Q9" s="77"/>
    </row>
    <row r="10" spans="1:19" ht="65.25" customHeight="1" x14ac:dyDescent="0.25">
      <c r="A10" s="16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004/2021,  afectando la erogación resultante a los créditos presupuestarios aprobados a favor de esta Unidad Ejecutora, conforme al siguiente detalle: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9" ht="9" customHeigh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78"/>
    </row>
    <row r="12" spans="1:19" ht="15.75" customHeight="1" x14ac:dyDescent="0.25">
      <c r="A12" s="163" t="s">
        <v>31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9" ht="15.75" customHeight="1" x14ac:dyDescent="0.25">
      <c r="A13" s="164" t="s">
        <v>32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5" t="s">
        <v>33</v>
      </c>
      <c r="P13" s="165"/>
      <c r="Q13" s="166" t="s">
        <v>34</v>
      </c>
    </row>
    <row r="14" spans="1:19" ht="15.75" customHeight="1" x14ac:dyDescent="0.25">
      <c r="A14" s="9" t="s">
        <v>35</v>
      </c>
      <c r="B14" s="10" t="s">
        <v>36</v>
      </c>
      <c r="C14" s="10" t="s">
        <v>37</v>
      </c>
      <c r="D14" s="10" t="s">
        <v>38</v>
      </c>
      <c r="E14" s="10" t="s">
        <v>39</v>
      </c>
      <c r="F14" s="10" t="s">
        <v>40</v>
      </c>
      <c r="G14" s="11" t="s">
        <v>41</v>
      </c>
      <c r="H14" s="10" t="s">
        <v>42</v>
      </c>
      <c r="I14" s="10" t="s">
        <v>43</v>
      </c>
      <c r="J14" s="10" t="s">
        <v>44</v>
      </c>
      <c r="K14" s="10" t="s">
        <v>44</v>
      </c>
      <c r="L14" s="10" t="s">
        <v>45</v>
      </c>
      <c r="M14" s="12" t="s">
        <v>46</v>
      </c>
      <c r="N14" s="13" t="s">
        <v>47</v>
      </c>
      <c r="O14" s="165"/>
      <c r="P14" s="165"/>
      <c r="Q14" s="166"/>
    </row>
    <row r="15" spans="1:19" ht="15.75" customHeight="1" x14ac:dyDescent="0.25">
      <c r="A15" s="76">
        <v>1</v>
      </c>
      <c r="B15" s="76">
        <v>0</v>
      </c>
      <c r="C15" s="76">
        <v>0</v>
      </c>
      <c r="D15" s="76">
        <v>1</v>
      </c>
      <c r="E15" s="76">
        <v>0</v>
      </c>
      <c r="F15" s="76">
        <v>4901</v>
      </c>
      <c r="G15" s="76">
        <v>3</v>
      </c>
      <c r="H15" s="76">
        <v>6</v>
      </c>
      <c r="I15" s="76">
        <v>2</v>
      </c>
      <c r="J15" s="76">
        <v>9</v>
      </c>
      <c r="K15" s="76">
        <v>6</v>
      </c>
      <c r="L15" s="76">
        <v>0</v>
      </c>
      <c r="M15" s="76">
        <v>1</v>
      </c>
      <c r="N15" s="76" t="s">
        <v>53</v>
      </c>
      <c r="O15" s="176" t="s">
        <v>75</v>
      </c>
      <c r="P15" s="177"/>
      <c r="Q15" s="82">
        <v>167510.6</v>
      </c>
      <c r="S15" s="81"/>
    </row>
    <row r="16" spans="1:19" ht="15.75" customHeight="1" x14ac:dyDescent="0.25">
      <c r="A16" s="76">
        <v>3</v>
      </c>
      <c r="B16" s="76">
        <v>0</v>
      </c>
      <c r="C16" s="76">
        <v>0</v>
      </c>
      <c r="D16" s="76">
        <v>1</v>
      </c>
      <c r="E16" s="76">
        <v>0</v>
      </c>
      <c r="F16" s="76">
        <v>4901</v>
      </c>
      <c r="G16" s="76">
        <v>1</v>
      </c>
      <c r="H16" s="76">
        <v>3</v>
      </c>
      <c r="I16" s="76">
        <v>2</v>
      </c>
      <c r="J16" s="76">
        <v>9</v>
      </c>
      <c r="K16" s="76">
        <v>6</v>
      </c>
      <c r="L16" s="76">
        <v>0</v>
      </c>
      <c r="M16" s="76">
        <v>1</v>
      </c>
      <c r="N16" s="76" t="s">
        <v>53</v>
      </c>
      <c r="O16" s="176" t="s">
        <v>75</v>
      </c>
      <c r="P16" s="177"/>
      <c r="Q16" s="82">
        <v>10000</v>
      </c>
    </row>
    <row r="17" spans="1:19" ht="15.75" customHeight="1" x14ac:dyDescent="0.25">
      <c r="A17" s="76">
        <v>6</v>
      </c>
      <c r="B17" s="76">
        <v>0</v>
      </c>
      <c r="C17" s="76">
        <v>0</v>
      </c>
      <c r="D17" s="76">
        <v>1</v>
      </c>
      <c r="E17" s="76">
        <v>0</v>
      </c>
      <c r="F17" s="76">
        <v>4901</v>
      </c>
      <c r="G17" s="76">
        <v>1</v>
      </c>
      <c r="H17" s="76">
        <v>3</v>
      </c>
      <c r="I17" s="76">
        <v>2</v>
      </c>
      <c r="J17" s="76">
        <v>9</v>
      </c>
      <c r="K17" s="76">
        <v>6</v>
      </c>
      <c r="L17" s="76">
        <v>0</v>
      </c>
      <c r="M17" s="76">
        <v>1</v>
      </c>
      <c r="N17" s="76" t="s">
        <v>53</v>
      </c>
      <c r="O17" s="176" t="s">
        <v>75</v>
      </c>
      <c r="P17" s="177"/>
      <c r="Q17" s="82">
        <v>40000</v>
      </c>
    </row>
    <row r="18" spans="1:19" ht="15.75" customHeight="1" x14ac:dyDescent="0.25">
      <c r="A18" s="76">
        <v>6</v>
      </c>
      <c r="B18" s="76">
        <v>0</v>
      </c>
      <c r="C18" s="76">
        <v>0</v>
      </c>
      <c r="D18" s="76">
        <v>2</v>
      </c>
      <c r="E18" s="76">
        <v>0</v>
      </c>
      <c r="F18" s="76">
        <v>4901</v>
      </c>
      <c r="G18" s="76">
        <v>1</v>
      </c>
      <c r="H18" s="76">
        <v>3</v>
      </c>
      <c r="I18" s="76">
        <v>2</v>
      </c>
      <c r="J18" s="76">
        <v>9</v>
      </c>
      <c r="K18" s="76">
        <v>6</v>
      </c>
      <c r="L18" s="76">
        <v>0</v>
      </c>
      <c r="M18" s="76">
        <v>1</v>
      </c>
      <c r="N18" s="76" t="s">
        <v>53</v>
      </c>
      <c r="O18" s="176" t="s">
        <v>75</v>
      </c>
      <c r="P18" s="177"/>
      <c r="Q18" s="82">
        <v>1843</v>
      </c>
      <c r="S18" s="81"/>
    </row>
    <row r="19" spans="1:19" ht="15.75" customHeight="1" x14ac:dyDescent="0.25">
      <c r="A19" s="76">
        <v>6</v>
      </c>
      <c r="B19" s="76">
        <v>0</v>
      </c>
      <c r="C19" s="76">
        <v>0</v>
      </c>
      <c r="D19" s="76">
        <v>3</v>
      </c>
      <c r="E19" s="76">
        <v>0</v>
      </c>
      <c r="F19" s="76">
        <v>4901</v>
      </c>
      <c r="G19" s="76">
        <v>1</v>
      </c>
      <c r="H19" s="76">
        <v>8</v>
      </c>
      <c r="I19" s="76">
        <v>2</v>
      </c>
      <c r="J19" s="76">
        <v>9</v>
      </c>
      <c r="K19" s="76">
        <v>6</v>
      </c>
      <c r="L19" s="76">
        <v>0</v>
      </c>
      <c r="M19" s="76">
        <v>1</v>
      </c>
      <c r="N19" s="76" t="s">
        <v>53</v>
      </c>
      <c r="O19" s="176" t="s">
        <v>75</v>
      </c>
      <c r="P19" s="177"/>
      <c r="Q19" s="82">
        <v>6255</v>
      </c>
    </row>
    <row r="20" spans="1:19" ht="15.75" customHeight="1" x14ac:dyDescent="0.25">
      <c r="A20" s="76">
        <v>6</v>
      </c>
      <c r="B20" s="76">
        <v>0</v>
      </c>
      <c r="C20" s="76">
        <v>0</v>
      </c>
      <c r="D20" s="76">
        <v>4</v>
      </c>
      <c r="E20" s="76">
        <v>0</v>
      </c>
      <c r="F20" s="76">
        <v>4901</v>
      </c>
      <c r="G20" s="76">
        <v>3</v>
      </c>
      <c r="H20" s="76">
        <v>4</v>
      </c>
      <c r="I20" s="76">
        <v>2</v>
      </c>
      <c r="J20" s="76">
        <v>9</v>
      </c>
      <c r="K20" s="76">
        <v>6</v>
      </c>
      <c r="L20" s="76">
        <v>0</v>
      </c>
      <c r="M20" s="76">
        <v>1</v>
      </c>
      <c r="N20" s="76" t="s">
        <v>53</v>
      </c>
      <c r="O20" s="176" t="s">
        <v>75</v>
      </c>
      <c r="P20" s="177"/>
      <c r="Q20" s="82">
        <v>10000</v>
      </c>
    </row>
    <row r="21" spans="1:19" ht="15.75" customHeight="1" x14ac:dyDescent="0.25">
      <c r="A21" s="76">
        <v>6</v>
      </c>
      <c r="B21" s="76">
        <v>0</v>
      </c>
      <c r="C21" s="76">
        <v>0</v>
      </c>
      <c r="D21" s="76">
        <v>5</v>
      </c>
      <c r="E21" s="76">
        <v>0</v>
      </c>
      <c r="F21" s="76">
        <v>4901</v>
      </c>
      <c r="G21" s="76">
        <v>3</v>
      </c>
      <c r="H21" s="76">
        <v>1</v>
      </c>
      <c r="I21" s="76">
        <v>2</v>
      </c>
      <c r="J21" s="76">
        <v>9</v>
      </c>
      <c r="K21" s="76">
        <v>6</v>
      </c>
      <c r="L21" s="76">
        <v>0</v>
      </c>
      <c r="M21" s="76">
        <v>1</v>
      </c>
      <c r="N21" s="76" t="s">
        <v>53</v>
      </c>
      <c r="O21" s="176" t="s">
        <v>75</v>
      </c>
      <c r="P21" s="177"/>
      <c r="Q21" s="82">
        <v>6554</v>
      </c>
    </row>
    <row r="22" spans="1:19" ht="15.75" customHeight="1" x14ac:dyDescent="0.25">
      <c r="A22" s="76">
        <v>7</v>
      </c>
      <c r="B22" s="76">
        <v>0</v>
      </c>
      <c r="C22" s="76">
        <v>0</v>
      </c>
      <c r="D22" s="76">
        <v>1</v>
      </c>
      <c r="E22" s="76">
        <v>0</v>
      </c>
      <c r="F22" s="76">
        <v>4901</v>
      </c>
      <c r="G22" s="76">
        <v>1</v>
      </c>
      <c r="H22" s="76">
        <v>3</v>
      </c>
      <c r="I22" s="76">
        <v>2</v>
      </c>
      <c r="J22" s="76">
        <v>9</v>
      </c>
      <c r="K22" s="76">
        <v>6</v>
      </c>
      <c r="L22" s="76">
        <v>0</v>
      </c>
      <c r="M22" s="76">
        <v>1</v>
      </c>
      <c r="N22" s="76" t="s">
        <v>53</v>
      </c>
      <c r="O22" s="176" t="s">
        <v>75</v>
      </c>
      <c r="P22" s="177"/>
      <c r="Q22" s="82">
        <v>20000</v>
      </c>
    </row>
    <row r="23" spans="1:19" ht="17.25" customHeight="1" x14ac:dyDescent="0.25">
      <c r="A23" s="76">
        <v>8</v>
      </c>
      <c r="B23" s="76">
        <v>0</v>
      </c>
      <c r="C23" s="76">
        <v>0</v>
      </c>
      <c r="D23" s="76">
        <v>1</v>
      </c>
      <c r="E23" s="76">
        <v>0</v>
      </c>
      <c r="F23" s="76">
        <v>4901</v>
      </c>
      <c r="G23" s="76">
        <v>3</v>
      </c>
      <c r="H23" s="76">
        <v>6</v>
      </c>
      <c r="I23" s="76">
        <v>2</v>
      </c>
      <c r="J23" s="76">
        <v>9</v>
      </c>
      <c r="K23" s="76">
        <v>6</v>
      </c>
      <c r="L23" s="76">
        <v>0</v>
      </c>
      <c r="M23" s="76">
        <v>1</v>
      </c>
      <c r="N23" s="76" t="s">
        <v>53</v>
      </c>
      <c r="O23" s="178" t="s">
        <v>75</v>
      </c>
      <c r="P23" s="179"/>
      <c r="Q23" s="79">
        <v>5670</v>
      </c>
    </row>
    <row r="24" spans="1:19" ht="28.5" customHeight="1" thickBot="1" x14ac:dyDescent="0.3">
      <c r="A24" s="159" t="str">
        <f>+' NotaPedido'!A28:I28</f>
        <v>COSTO TOTAL ESTIMADO: DOSCIENTOS SESENTA Y SIETE MIL OCHOSCIENTOS TREINTA Y DOS CON 60/100</v>
      </c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80">
        <f>SUM(Q15:Q23)</f>
        <v>267832.59999999998</v>
      </c>
      <c r="S24" s="81"/>
    </row>
    <row r="25" spans="1:19" ht="18" customHeight="1" thickBot="1" x14ac:dyDescent="0.3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</row>
    <row r="26" spans="1:19" ht="17.25" customHeight="1" thickBot="1" x14ac:dyDescent="0.3">
      <c r="A26" s="149" t="s">
        <v>48</v>
      </c>
      <c r="B26" s="150"/>
      <c r="C26" s="150"/>
      <c r="D26" s="150"/>
      <c r="E26" s="150"/>
      <c r="F26" s="151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</row>
    <row r="27" spans="1:19" ht="18" customHeight="1" thickBot="1" x14ac:dyDescent="0.3">
      <c r="A27" s="153" t="str">
        <f>' NotaPedido'!D8</f>
        <v>Adquisición de CARTUCHOS TONER para las impresoras y fotocopiadoras de las distintas reparticiones de este Ministerio.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5"/>
    </row>
    <row r="28" spans="1:19" ht="15" customHeight="1" thickBot="1" x14ac:dyDescent="0.3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8"/>
    </row>
  </sheetData>
  <mergeCells count="32">
    <mergeCell ref="O22:P22"/>
    <mergeCell ref="O23:P23"/>
    <mergeCell ref="O15:P15"/>
    <mergeCell ref="O16:P16"/>
    <mergeCell ref="O17:P17"/>
    <mergeCell ref="O20:P20"/>
    <mergeCell ref="O19:P19"/>
    <mergeCell ref="O18:P18"/>
    <mergeCell ref="O21:P21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A26:F26"/>
    <mergeCell ref="G26:Q26"/>
    <mergeCell ref="A27:Q28"/>
    <mergeCell ref="A24:P24"/>
    <mergeCell ref="A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6"/>
  <sheetViews>
    <sheetView showGridLines="0" topLeftCell="A9" zoomScale="80" zoomScaleNormal="80" workbookViewId="0">
      <selection activeCell="F35" sqref="F35"/>
    </sheetView>
  </sheetViews>
  <sheetFormatPr baseColWidth="10" defaultRowHeight="15" x14ac:dyDescent="0.25"/>
  <cols>
    <col min="1" max="1" width="49.7109375" style="85" bestFit="1" customWidth="1"/>
    <col min="2" max="2" width="60.7109375" style="85" bestFit="1" customWidth="1"/>
    <col min="3" max="3" width="47.42578125" style="85" bestFit="1" customWidth="1"/>
    <col min="4" max="4" width="24.7109375" style="85" bestFit="1" customWidth="1"/>
    <col min="5" max="5" width="27.28515625" style="85" bestFit="1" customWidth="1"/>
    <col min="6" max="6" width="11.42578125" style="85"/>
    <col min="7" max="7" width="20.42578125" style="85" bestFit="1" customWidth="1"/>
    <col min="8" max="256" width="11.42578125" style="85"/>
    <col min="257" max="257" width="49.7109375" style="85" bestFit="1" customWidth="1"/>
    <col min="258" max="258" width="60.7109375" style="85" bestFit="1" customWidth="1"/>
    <col min="259" max="259" width="47.42578125" style="85" bestFit="1" customWidth="1"/>
    <col min="260" max="260" width="24.7109375" style="85" bestFit="1" customWidth="1"/>
    <col min="261" max="261" width="27.28515625" style="85" bestFit="1" customWidth="1"/>
    <col min="262" max="262" width="11.42578125" style="85"/>
    <col min="263" max="263" width="20.42578125" style="85" bestFit="1" customWidth="1"/>
    <col min="264" max="512" width="11.42578125" style="85"/>
    <col min="513" max="513" width="49.7109375" style="85" bestFit="1" customWidth="1"/>
    <col min="514" max="514" width="60.7109375" style="85" bestFit="1" customWidth="1"/>
    <col min="515" max="515" width="47.42578125" style="85" bestFit="1" customWidth="1"/>
    <col min="516" max="516" width="24.7109375" style="85" bestFit="1" customWidth="1"/>
    <col min="517" max="517" width="27.28515625" style="85" bestFit="1" customWidth="1"/>
    <col min="518" max="518" width="11.42578125" style="85"/>
    <col min="519" max="519" width="20.42578125" style="85" bestFit="1" customWidth="1"/>
    <col min="520" max="768" width="11.42578125" style="85"/>
    <col min="769" max="769" width="49.7109375" style="85" bestFit="1" customWidth="1"/>
    <col min="770" max="770" width="60.7109375" style="85" bestFit="1" customWidth="1"/>
    <col min="771" max="771" width="47.42578125" style="85" bestFit="1" customWidth="1"/>
    <col min="772" max="772" width="24.7109375" style="85" bestFit="1" customWidth="1"/>
    <col min="773" max="773" width="27.28515625" style="85" bestFit="1" customWidth="1"/>
    <col min="774" max="774" width="11.42578125" style="85"/>
    <col min="775" max="775" width="20.42578125" style="85" bestFit="1" customWidth="1"/>
    <col min="776" max="1024" width="11.42578125" style="85"/>
    <col min="1025" max="1025" width="49.7109375" style="85" bestFit="1" customWidth="1"/>
    <col min="1026" max="1026" width="60.7109375" style="85" bestFit="1" customWidth="1"/>
    <col min="1027" max="1027" width="47.42578125" style="85" bestFit="1" customWidth="1"/>
    <col min="1028" max="1028" width="24.7109375" style="85" bestFit="1" customWidth="1"/>
    <col min="1029" max="1029" width="27.28515625" style="85" bestFit="1" customWidth="1"/>
    <col min="1030" max="1030" width="11.42578125" style="85"/>
    <col min="1031" max="1031" width="20.42578125" style="85" bestFit="1" customWidth="1"/>
    <col min="1032" max="1280" width="11.42578125" style="85"/>
    <col min="1281" max="1281" width="49.7109375" style="85" bestFit="1" customWidth="1"/>
    <col min="1282" max="1282" width="60.7109375" style="85" bestFit="1" customWidth="1"/>
    <col min="1283" max="1283" width="47.42578125" style="85" bestFit="1" customWidth="1"/>
    <col min="1284" max="1284" width="24.7109375" style="85" bestFit="1" customWidth="1"/>
    <col min="1285" max="1285" width="27.28515625" style="85" bestFit="1" customWidth="1"/>
    <col min="1286" max="1286" width="11.42578125" style="85"/>
    <col min="1287" max="1287" width="20.42578125" style="85" bestFit="1" customWidth="1"/>
    <col min="1288" max="1536" width="11.42578125" style="85"/>
    <col min="1537" max="1537" width="49.7109375" style="85" bestFit="1" customWidth="1"/>
    <col min="1538" max="1538" width="60.7109375" style="85" bestFit="1" customWidth="1"/>
    <col min="1539" max="1539" width="47.42578125" style="85" bestFit="1" customWidth="1"/>
    <col min="1540" max="1540" width="24.7109375" style="85" bestFit="1" customWidth="1"/>
    <col min="1541" max="1541" width="27.28515625" style="85" bestFit="1" customWidth="1"/>
    <col min="1542" max="1542" width="11.42578125" style="85"/>
    <col min="1543" max="1543" width="20.42578125" style="85" bestFit="1" customWidth="1"/>
    <col min="1544" max="1792" width="11.42578125" style="85"/>
    <col min="1793" max="1793" width="49.7109375" style="85" bestFit="1" customWidth="1"/>
    <col min="1794" max="1794" width="60.7109375" style="85" bestFit="1" customWidth="1"/>
    <col min="1795" max="1795" width="47.42578125" style="85" bestFit="1" customWidth="1"/>
    <col min="1796" max="1796" width="24.7109375" style="85" bestFit="1" customWidth="1"/>
    <col min="1797" max="1797" width="27.28515625" style="85" bestFit="1" customWidth="1"/>
    <col min="1798" max="1798" width="11.42578125" style="85"/>
    <col min="1799" max="1799" width="20.42578125" style="85" bestFit="1" customWidth="1"/>
    <col min="1800" max="2048" width="11.42578125" style="85"/>
    <col min="2049" max="2049" width="49.7109375" style="85" bestFit="1" customWidth="1"/>
    <col min="2050" max="2050" width="60.7109375" style="85" bestFit="1" customWidth="1"/>
    <col min="2051" max="2051" width="47.42578125" style="85" bestFit="1" customWidth="1"/>
    <col min="2052" max="2052" width="24.7109375" style="85" bestFit="1" customWidth="1"/>
    <col min="2053" max="2053" width="27.28515625" style="85" bestFit="1" customWidth="1"/>
    <col min="2054" max="2054" width="11.42578125" style="85"/>
    <col min="2055" max="2055" width="20.42578125" style="85" bestFit="1" customWidth="1"/>
    <col min="2056" max="2304" width="11.42578125" style="85"/>
    <col min="2305" max="2305" width="49.7109375" style="85" bestFit="1" customWidth="1"/>
    <col min="2306" max="2306" width="60.7109375" style="85" bestFit="1" customWidth="1"/>
    <col min="2307" max="2307" width="47.42578125" style="85" bestFit="1" customWidth="1"/>
    <col min="2308" max="2308" width="24.7109375" style="85" bestFit="1" customWidth="1"/>
    <col min="2309" max="2309" width="27.28515625" style="85" bestFit="1" customWidth="1"/>
    <col min="2310" max="2310" width="11.42578125" style="85"/>
    <col min="2311" max="2311" width="20.42578125" style="85" bestFit="1" customWidth="1"/>
    <col min="2312" max="2560" width="11.42578125" style="85"/>
    <col min="2561" max="2561" width="49.7109375" style="85" bestFit="1" customWidth="1"/>
    <col min="2562" max="2562" width="60.7109375" style="85" bestFit="1" customWidth="1"/>
    <col min="2563" max="2563" width="47.42578125" style="85" bestFit="1" customWidth="1"/>
    <col min="2564" max="2564" width="24.7109375" style="85" bestFit="1" customWidth="1"/>
    <col min="2565" max="2565" width="27.28515625" style="85" bestFit="1" customWidth="1"/>
    <col min="2566" max="2566" width="11.42578125" style="85"/>
    <col min="2567" max="2567" width="20.42578125" style="85" bestFit="1" customWidth="1"/>
    <col min="2568" max="2816" width="11.42578125" style="85"/>
    <col min="2817" max="2817" width="49.7109375" style="85" bestFit="1" customWidth="1"/>
    <col min="2818" max="2818" width="60.7109375" style="85" bestFit="1" customWidth="1"/>
    <col min="2819" max="2819" width="47.42578125" style="85" bestFit="1" customWidth="1"/>
    <col min="2820" max="2820" width="24.7109375" style="85" bestFit="1" customWidth="1"/>
    <col min="2821" max="2821" width="27.28515625" style="85" bestFit="1" customWidth="1"/>
    <col min="2822" max="2822" width="11.42578125" style="85"/>
    <col min="2823" max="2823" width="20.42578125" style="85" bestFit="1" customWidth="1"/>
    <col min="2824" max="3072" width="11.42578125" style="85"/>
    <col min="3073" max="3073" width="49.7109375" style="85" bestFit="1" customWidth="1"/>
    <col min="3074" max="3074" width="60.7109375" style="85" bestFit="1" customWidth="1"/>
    <col min="3075" max="3075" width="47.42578125" style="85" bestFit="1" customWidth="1"/>
    <col min="3076" max="3076" width="24.7109375" style="85" bestFit="1" customWidth="1"/>
    <col min="3077" max="3077" width="27.28515625" style="85" bestFit="1" customWidth="1"/>
    <col min="3078" max="3078" width="11.42578125" style="85"/>
    <col min="3079" max="3079" width="20.42578125" style="85" bestFit="1" customWidth="1"/>
    <col min="3080" max="3328" width="11.42578125" style="85"/>
    <col min="3329" max="3329" width="49.7109375" style="85" bestFit="1" customWidth="1"/>
    <col min="3330" max="3330" width="60.7109375" style="85" bestFit="1" customWidth="1"/>
    <col min="3331" max="3331" width="47.42578125" style="85" bestFit="1" customWidth="1"/>
    <col min="3332" max="3332" width="24.7109375" style="85" bestFit="1" customWidth="1"/>
    <col min="3333" max="3333" width="27.28515625" style="85" bestFit="1" customWidth="1"/>
    <col min="3334" max="3334" width="11.42578125" style="85"/>
    <col min="3335" max="3335" width="20.42578125" style="85" bestFit="1" customWidth="1"/>
    <col min="3336" max="3584" width="11.42578125" style="85"/>
    <col min="3585" max="3585" width="49.7109375" style="85" bestFit="1" customWidth="1"/>
    <col min="3586" max="3586" width="60.7109375" style="85" bestFit="1" customWidth="1"/>
    <col min="3587" max="3587" width="47.42578125" style="85" bestFit="1" customWidth="1"/>
    <col min="3588" max="3588" width="24.7109375" style="85" bestFit="1" customWidth="1"/>
    <col min="3589" max="3589" width="27.28515625" style="85" bestFit="1" customWidth="1"/>
    <col min="3590" max="3590" width="11.42578125" style="85"/>
    <col min="3591" max="3591" width="20.42578125" style="85" bestFit="1" customWidth="1"/>
    <col min="3592" max="3840" width="11.42578125" style="85"/>
    <col min="3841" max="3841" width="49.7109375" style="85" bestFit="1" customWidth="1"/>
    <col min="3842" max="3842" width="60.7109375" style="85" bestFit="1" customWidth="1"/>
    <col min="3843" max="3843" width="47.42578125" style="85" bestFit="1" customWidth="1"/>
    <col min="3844" max="3844" width="24.7109375" style="85" bestFit="1" customWidth="1"/>
    <col min="3845" max="3845" width="27.28515625" style="85" bestFit="1" customWidth="1"/>
    <col min="3846" max="3846" width="11.42578125" style="85"/>
    <col min="3847" max="3847" width="20.42578125" style="85" bestFit="1" customWidth="1"/>
    <col min="3848" max="4096" width="11.42578125" style="85"/>
    <col min="4097" max="4097" width="49.7109375" style="85" bestFit="1" customWidth="1"/>
    <col min="4098" max="4098" width="60.7109375" style="85" bestFit="1" customWidth="1"/>
    <col min="4099" max="4099" width="47.42578125" style="85" bestFit="1" customWidth="1"/>
    <col min="4100" max="4100" width="24.7109375" style="85" bestFit="1" customWidth="1"/>
    <col min="4101" max="4101" width="27.28515625" style="85" bestFit="1" customWidth="1"/>
    <col min="4102" max="4102" width="11.42578125" style="85"/>
    <col min="4103" max="4103" width="20.42578125" style="85" bestFit="1" customWidth="1"/>
    <col min="4104" max="4352" width="11.42578125" style="85"/>
    <col min="4353" max="4353" width="49.7109375" style="85" bestFit="1" customWidth="1"/>
    <col min="4354" max="4354" width="60.7109375" style="85" bestFit="1" customWidth="1"/>
    <col min="4355" max="4355" width="47.42578125" style="85" bestFit="1" customWidth="1"/>
    <col min="4356" max="4356" width="24.7109375" style="85" bestFit="1" customWidth="1"/>
    <col min="4357" max="4357" width="27.28515625" style="85" bestFit="1" customWidth="1"/>
    <col min="4358" max="4358" width="11.42578125" style="85"/>
    <col min="4359" max="4359" width="20.42578125" style="85" bestFit="1" customWidth="1"/>
    <col min="4360" max="4608" width="11.42578125" style="85"/>
    <col min="4609" max="4609" width="49.7109375" style="85" bestFit="1" customWidth="1"/>
    <col min="4610" max="4610" width="60.7109375" style="85" bestFit="1" customWidth="1"/>
    <col min="4611" max="4611" width="47.42578125" style="85" bestFit="1" customWidth="1"/>
    <col min="4612" max="4612" width="24.7109375" style="85" bestFit="1" customWidth="1"/>
    <col min="4613" max="4613" width="27.28515625" style="85" bestFit="1" customWidth="1"/>
    <col min="4614" max="4614" width="11.42578125" style="85"/>
    <col min="4615" max="4615" width="20.42578125" style="85" bestFit="1" customWidth="1"/>
    <col min="4616" max="4864" width="11.42578125" style="85"/>
    <col min="4865" max="4865" width="49.7109375" style="85" bestFit="1" customWidth="1"/>
    <col min="4866" max="4866" width="60.7109375" style="85" bestFit="1" customWidth="1"/>
    <col min="4867" max="4867" width="47.42578125" style="85" bestFit="1" customWidth="1"/>
    <col min="4868" max="4868" width="24.7109375" style="85" bestFit="1" customWidth="1"/>
    <col min="4869" max="4869" width="27.28515625" style="85" bestFit="1" customWidth="1"/>
    <col min="4870" max="4870" width="11.42578125" style="85"/>
    <col min="4871" max="4871" width="20.42578125" style="85" bestFit="1" customWidth="1"/>
    <col min="4872" max="5120" width="11.42578125" style="85"/>
    <col min="5121" max="5121" width="49.7109375" style="85" bestFit="1" customWidth="1"/>
    <col min="5122" max="5122" width="60.7109375" style="85" bestFit="1" customWidth="1"/>
    <col min="5123" max="5123" width="47.42578125" style="85" bestFit="1" customWidth="1"/>
    <col min="5124" max="5124" width="24.7109375" style="85" bestFit="1" customWidth="1"/>
    <col min="5125" max="5125" width="27.28515625" style="85" bestFit="1" customWidth="1"/>
    <col min="5126" max="5126" width="11.42578125" style="85"/>
    <col min="5127" max="5127" width="20.42578125" style="85" bestFit="1" customWidth="1"/>
    <col min="5128" max="5376" width="11.42578125" style="85"/>
    <col min="5377" max="5377" width="49.7109375" style="85" bestFit="1" customWidth="1"/>
    <col min="5378" max="5378" width="60.7109375" style="85" bestFit="1" customWidth="1"/>
    <col min="5379" max="5379" width="47.42578125" style="85" bestFit="1" customWidth="1"/>
    <col min="5380" max="5380" width="24.7109375" style="85" bestFit="1" customWidth="1"/>
    <col min="5381" max="5381" width="27.28515625" style="85" bestFit="1" customWidth="1"/>
    <col min="5382" max="5382" width="11.42578125" style="85"/>
    <col min="5383" max="5383" width="20.42578125" style="85" bestFit="1" customWidth="1"/>
    <col min="5384" max="5632" width="11.42578125" style="85"/>
    <col min="5633" max="5633" width="49.7109375" style="85" bestFit="1" customWidth="1"/>
    <col min="5634" max="5634" width="60.7109375" style="85" bestFit="1" customWidth="1"/>
    <col min="5635" max="5635" width="47.42578125" style="85" bestFit="1" customWidth="1"/>
    <col min="5636" max="5636" width="24.7109375" style="85" bestFit="1" customWidth="1"/>
    <col min="5637" max="5637" width="27.28515625" style="85" bestFit="1" customWidth="1"/>
    <col min="5638" max="5638" width="11.42578125" style="85"/>
    <col min="5639" max="5639" width="20.42578125" style="85" bestFit="1" customWidth="1"/>
    <col min="5640" max="5888" width="11.42578125" style="85"/>
    <col min="5889" max="5889" width="49.7109375" style="85" bestFit="1" customWidth="1"/>
    <col min="5890" max="5890" width="60.7109375" style="85" bestFit="1" customWidth="1"/>
    <col min="5891" max="5891" width="47.42578125" style="85" bestFit="1" customWidth="1"/>
    <col min="5892" max="5892" width="24.7109375" style="85" bestFit="1" customWidth="1"/>
    <col min="5893" max="5893" width="27.28515625" style="85" bestFit="1" customWidth="1"/>
    <col min="5894" max="5894" width="11.42578125" style="85"/>
    <col min="5895" max="5895" width="20.42578125" style="85" bestFit="1" customWidth="1"/>
    <col min="5896" max="6144" width="11.42578125" style="85"/>
    <col min="6145" max="6145" width="49.7109375" style="85" bestFit="1" customWidth="1"/>
    <col min="6146" max="6146" width="60.7109375" style="85" bestFit="1" customWidth="1"/>
    <col min="6147" max="6147" width="47.42578125" style="85" bestFit="1" customWidth="1"/>
    <col min="6148" max="6148" width="24.7109375" style="85" bestFit="1" customWidth="1"/>
    <col min="6149" max="6149" width="27.28515625" style="85" bestFit="1" customWidth="1"/>
    <col min="6150" max="6150" width="11.42578125" style="85"/>
    <col min="6151" max="6151" width="20.42578125" style="85" bestFit="1" customWidth="1"/>
    <col min="6152" max="6400" width="11.42578125" style="85"/>
    <col min="6401" max="6401" width="49.7109375" style="85" bestFit="1" customWidth="1"/>
    <col min="6402" max="6402" width="60.7109375" style="85" bestFit="1" customWidth="1"/>
    <col min="6403" max="6403" width="47.42578125" style="85" bestFit="1" customWidth="1"/>
    <col min="6404" max="6404" width="24.7109375" style="85" bestFit="1" customWidth="1"/>
    <col min="6405" max="6405" width="27.28515625" style="85" bestFit="1" customWidth="1"/>
    <col min="6406" max="6406" width="11.42578125" style="85"/>
    <col min="6407" max="6407" width="20.42578125" style="85" bestFit="1" customWidth="1"/>
    <col min="6408" max="6656" width="11.42578125" style="85"/>
    <col min="6657" max="6657" width="49.7109375" style="85" bestFit="1" customWidth="1"/>
    <col min="6658" max="6658" width="60.7109375" style="85" bestFit="1" customWidth="1"/>
    <col min="6659" max="6659" width="47.42578125" style="85" bestFit="1" customWidth="1"/>
    <col min="6660" max="6660" width="24.7109375" style="85" bestFit="1" customWidth="1"/>
    <col min="6661" max="6661" width="27.28515625" style="85" bestFit="1" customWidth="1"/>
    <col min="6662" max="6662" width="11.42578125" style="85"/>
    <col min="6663" max="6663" width="20.42578125" style="85" bestFit="1" customWidth="1"/>
    <col min="6664" max="6912" width="11.42578125" style="85"/>
    <col min="6913" max="6913" width="49.7109375" style="85" bestFit="1" customWidth="1"/>
    <col min="6914" max="6914" width="60.7109375" style="85" bestFit="1" customWidth="1"/>
    <col min="6915" max="6915" width="47.42578125" style="85" bestFit="1" customWidth="1"/>
    <col min="6916" max="6916" width="24.7109375" style="85" bestFit="1" customWidth="1"/>
    <col min="6917" max="6917" width="27.28515625" style="85" bestFit="1" customWidth="1"/>
    <col min="6918" max="6918" width="11.42578125" style="85"/>
    <col min="6919" max="6919" width="20.42578125" style="85" bestFit="1" customWidth="1"/>
    <col min="6920" max="7168" width="11.42578125" style="85"/>
    <col min="7169" max="7169" width="49.7109375" style="85" bestFit="1" customWidth="1"/>
    <col min="7170" max="7170" width="60.7109375" style="85" bestFit="1" customWidth="1"/>
    <col min="7171" max="7171" width="47.42578125" style="85" bestFit="1" customWidth="1"/>
    <col min="7172" max="7172" width="24.7109375" style="85" bestFit="1" customWidth="1"/>
    <col min="7173" max="7173" width="27.28515625" style="85" bestFit="1" customWidth="1"/>
    <col min="7174" max="7174" width="11.42578125" style="85"/>
    <col min="7175" max="7175" width="20.42578125" style="85" bestFit="1" customWidth="1"/>
    <col min="7176" max="7424" width="11.42578125" style="85"/>
    <col min="7425" max="7425" width="49.7109375" style="85" bestFit="1" customWidth="1"/>
    <col min="7426" max="7426" width="60.7109375" style="85" bestFit="1" customWidth="1"/>
    <col min="7427" max="7427" width="47.42578125" style="85" bestFit="1" customWidth="1"/>
    <col min="7428" max="7428" width="24.7109375" style="85" bestFit="1" customWidth="1"/>
    <col min="7429" max="7429" width="27.28515625" style="85" bestFit="1" customWidth="1"/>
    <col min="7430" max="7430" width="11.42578125" style="85"/>
    <col min="7431" max="7431" width="20.42578125" style="85" bestFit="1" customWidth="1"/>
    <col min="7432" max="7680" width="11.42578125" style="85"/>
    <col min="7681" max="7681" width="49.7109375" style="85" bestFit="1" customWidth="1"/>
    <col min="7682" max="7682" width="60.7109375" style="85" bestFit="1" customWidth="1"/>
    <col min="7683" max="7683" width="47.42578125" style="85" bestFit="1" customWidth="1"/>
    <col min="7684" max="7684" width="24.7109375" style="85" bestFit="1" customWidth="1"/>
    <col min="7685" max="7685" width="27.28515625" style="85" bestFit="1" customWidth="1"/>
    <col min="7686" max="7686" width="11.42578125" style="85"/>
    <col min="7687" max="7687" width="20.42578125" style="85" bestFit="1" customWidth="1"/>
    <col min="7688" max="7936" width="11.42578125" style="85"/>
    <col min="7937" max="7937" width="49.7109375" style="85" bestFit="1" customWidth="1"/>
    <col min="7938" max="7938" width="60.7109375" style="85" bestFit="1" customWidth="1"/>
    <col min="7939" max="7939" width="47.42578125" style="85" bestFit="1" customWidth="1"/>
    <col min="7940" max="7940" width="24.7109375" style="85" bestFit="1" customWidth="1"/>
    <col min="7941" max="7941" width="27.28515625" style="85" bestFit="1" customWidth="1"/>
    <col min="7942" max="7942" width="11.42578125" style="85"/>
    <col min="7943" max="7943" width="20.42578125" style="85" bestFit="1" customWidth="1"/>
    <col min="7944" max="8192" width="11.42578125" style="85"/>
    <col min="8193" max="8193" width="49.7109375" style="85" bestFit="1" customWidth="1"/>
    <col min="8194" max="8194" width="60.7109375" style="85" bestFit="1" customWidth="1"/>
    <col min="8195" max="8195" width="47.42578125" style="85" bestFit="1" customWidth="1"/>
    <col min="8196" max="8196" width="24.7109375" style="85" bestFit="1" customWidth="1"/>
    <col min="8197" max="8197" width="27.28515625" style="85" bestFit="1" customWidth="1"/>
    <col min="8198" max="8198" width="11.42578125" style="85"/>
    <col min="8199" max="8199" width="20.42578125" style="85" bestFit="1" customWidth="1"/>
    <col min="8200" max="8448" width="11.42578125" style="85"/>
    <col min="8449" max="8449" width="49.7109375" style="85" bestFit="1" customWidth="1"/>
    <col min="8450" max="8450" width="60.7109375" style="85" bestFit="1" customWidth="1"/>
    <col min="8451" max="8451" width="47.42578125" style="85" bestFit="1" customWidth="1"/>
    <col min="8452" max="8452" width="24.7109375" style="85" bestFit="1" customWidth="1"/>
    <col min="8453" max="8453" width="27.28515625" style="85" bestFit="1" customWidth="1"/>
    <col min="8454" max="8454" width="11.42578125" style="85"/>
    <col min="8455" max="8455" width="20.42578125" style="85" bestFit="1" customWidth="1"/>
    <col min="8456" max="8704" width="11.42578125" style="85"/>
    <col min="8705" max="8705" width="49.7109375" style="85" bestFit="1" customWidth="1"/>
    <col min="8706" max="8706" width="60.7109375" style="85" bestFit="1" customWidth="1"/>
    <col min="8707" max="8707" width="47.42578125" style="85" bestFit="1" customWidth="1"/>
    <col min="8708" max="8708" width="24.7109375" style="85" bestFit="1" customWidth="1"/>
    <col min="8709" max="8709" width="27.28515625" style="85" bestFit="1" customWidth="1"/>
    <col min="8710" max="8710" width="11.42578125" style="85"/>
    <col min="8711" max="8711" width="20.42578125" style="85" bestFit="1" customWidth="1"/>
    <col min="8712" max="8960" width="11.42578125" style="85"/>
    <col min="8961" max="8961" width="49.7109375" style="85" bestFit="1" customWidth="1"/>
    <col min="8962" max="8962" width="60.7109375" style="85" bestFit="1" customWidth="1"/>
    <col min="8963" max="8963" width="47.42578125" style="85" bestFit="1" customWidth="1"/>
    <col min="8964" max="8964" width="24.7109375" style="85" bestFit="1" customWidth="1"/>
    <col min="8965" max="8965" width="27.28515625" style="85" bestFit="1" customWidth="1"/>
    <col min="8966" max="8966" width="11.42578125" style="85"/>
    <col min="8967" max="8967" width="20.42578125" style="85" bestFit="1" customWidth="1"/>
    <col min="8968" max="9216" width="11.42578125" style="85"/>
    <col min="9217" max="9217" width="49.7109375" style="85" bestFit="1" customWidth="1"/>
    <col min="9218" max="9218" width="60.7109375" style="85" bestFit="1" customWidth="1"/>
    <col min="9219" max="9219" width="47.42578125" style="85" bestFit="1" customWidth="1"/>
    <col min="9220" max="9220" width="24.7109375" style="85" bestFit="1" customWidth="1"/>
    <col min="9221" max="9221" width="27.28515625" style="85" bestFit="1" customWidth="1"/>
    <col min="9222" max="9222" width="11.42578125" style="85"/>
    <col min="9223" max="9223" width="20.42578125" style="85" bestFit="1" customWidth="1"/>
    <col min="9224" max="9472" width="11.42578125" style="85"/>
    <col min="9473" max="9473" width="49.7109375" style="85" bestFit="1" customWidth="1"/>
    <col min="9474" max="9474" width="60.7109375" style="85" bestFit="1" customWidth="1"/>
    <col min="9475" max="9475" width="47.42578125" style="85" bestFit="1" customWidth="1"/>
    <col min="9476" max="9476" width="24.7109375" style="85" bestFit="1" customWidth="1"/>
    <col min="9477" max="9477" width="27.28515625" style="85" bestFit="1" customWidth="1"/>
    <col min="9478" max="9478" width="11.42578125" style="85"/>
    <col min="9479" max="9479" width="20.42578125" style="85" bestFit="1" customWidth="1"/>
    <col min="9480" max="9728" width="11.42578125" style="85"/>
    <col min="9729" max="9729" width="49.7109375" style="85" bestFit="1" customWidth="1"/>
    <col min="9730" max="9730" width="60.7109375" style="85" bestFit="1" customWidth="1"/>
    <col min="9731" max="9731" width="47.42578125" style="85" bestFit="1" customWidth="1"/>
    <col min="9732" max="9732" width="24.7109375" style="85" bestFit="1" customWidth="1"/>
    <col min="9733" max="9733" width="27.28515625" style="85" bestFit="1" customWidth="1"/>
    <col min="9734" max="9734" width="11.42578125" style="85"/>
    <col min="9735" max="9735" width="20.42578125" style="85" bestFit="1" customWidth="1"/>
    <col min="9736" max="9984" width="11.42578125" style="85"/>
    <col min="9985" max="9985" width="49.7109375" style="85" bestFit="1" customWidth="1"/>
    <col min="9986" max="9986" width="60.7109375" style="85" bestFit="1" customWidth="1"/>
    <col min="9987" max="9987" width="47.42578125" style="85" bestFit="1" customWidth="1"/>
    <col min="9988" max="9988" width="24.7109375" style="85" bestFit="1" customWidth="1"/>
    <col min="9989" max="9989" width="27.28515625" style="85" bestFit="1" customWidth="1"/>
    <col min="9990" max="9990" width="11.42578125" style="85"/>
    <col min="9991" max="9991" width="20.42578125" style="85" bestFit="1" customWidth="1"/>
    <col min="9992" max="10240" width="11.42578125" style="85"/>
    <col min="10241" max="10241" width="49.7109375" style="85" bestFit="1" customWidth="1"/>
    <col min="10242" max="10242" width="60.7109375" style="85" bestFit="1" customWidth="1"/>
    <col min="10243" max="10243" width="47.42578125" style="85" bestFit="1" customWidth="1"/>
    <col min="10244" max="10244" width="24.7109375" style="85" bestFit="1" customWidth="1"/>
    <col min="10245" max="10245" width="27.28515625" style="85" bestFit="1" customWidth="1"/>
    <col min="10246" max="10246" width="11.42578125" style="85"/>
    <col min="10247" max="10247" width="20.42578125" style="85" bestFit="1" customWidth="1"/>
    <col min="10248" max="10496" width="11.42578125" style="85"/>
    <col min="10497" max="10497" width="49.7109375" style="85" bestFit="1" customWidth="1"/>
    <col min="10498" max="10498" width="60.7109375" style="85" bestFit="1" customWidth="1"/>
    <col min="10499" max="10499" width="47.42578125" style="85" bestFit="1" customWidth="1"/>
    <col min="10500" max="10500" width="24.7109375" style="85" bestFit="1" customWidth="1"/>
    <col min="10501" max="10501" width="27.28515625" style="85" bestFit="1" customWidth="1"/>
    <col min="10502" max="10502" width="11.42578125" style="85"/>
    <col min="10503" max="10503" width="20.42578125" style="85" bestFit="1" customWidth="1"/>
    <col min="10504" max="10752" width="11.42578125" style="85"/>
    <col min="10753" max="10753" width="49.7109375" style="85" bestFit="1" customWidth="1"/>
    <col min="10754" max="10754" width="60.7109375" style="85" bestFit="1" customWidth="1"/>
    <col min="10755" max="10755" width="47.42578125" style="85" bestFit="1" customWidth="1"/>
    <col min="10756" max="10756" width="24.7109375" style="85" bestFit="1" customWidth="1"/>
    <col min="10757" max="10757" width="27.28515625" style="85" bestFit="1" customWidth="1"/>
    <col min="10758" max="10758" width="11.42578125" style="85"/>
    <col min="10759" max="10759" width="20.42578125" style="85" bestFit="1" customWidth="1"/>
    <col min="10760" max="11008" width="11.42578125" style="85"/>
    <col min="11009" max="11009" width="49.7109375" style="85" bestFit="1" customWidth="1"/>
    <col min="11010" max="11010" width="60.7109375" style="85" bestFit="1" customWidth="1"/>
    <col min="11011" max="11011" width="47.42578125" style="85" bestFit="1" customWidth="1"/>
    <col min="11012" max="11012" width="24.7109375" style="85" bestFit="1" customWidth="1"/>
    <col min="11013" max="11013" width="27.28515625" style="85" bestFit="1" customWidth="1"/>
    <col min="11014" max="11014" width="11.42578125" style="85"/>
    <col min="11015" max="11015" width="20.42578125" style="85" bestFit="1" customWidth="1"/>
    <col min="11016" max="11264" width="11.42578125" style="85"/>
    <col min="11265" max="11265" width="49.7109375" style="85" bestFit="1" customWidth="1"/>
    <col min="11266" max="11266" width="60.7109375" style="85" bestFit="1" customWidth="1"/>
    <col min="11267" max="11267" width="47.42578125" style="85" bestFit="1" customWidth="1"/>
    <col min="11268" max="11268" width="24.7109375" style="85" bestFit="1" customWidth="1"/>
    <col min="11269" max="11269" width="27.28515625" style="85" bestFit="1" customWidth="1"/>
    <col min="11270" max="11270" width="11.42578125" style="85"/>
    <col min="11271" max="11271" width="20.42578125" style="85" bestFit="1" customWidth="1"/>
    <col min="11272" max="11520" width="11.42578125" style="85"/>
    <col min="11521" max="11521" width="49.7109375" style="85" bestFit="1" customWidth="1"/>
    <col min="11522" max="11522" width="60.7109375" style="85" bestFit="1" customWidth="1"/>
    <col min="11523" max="11523" width="47.42578125" style="85" bestFit="1" customWidth="1"/>
    <col min="11524" max="11524" width="24.7109375" style="85" bestFit="1" customWidth="1"/>
    <col min="11525" max="11525" width="27.28515625" style="85" bestFit="1" customWidth="1"/>
    <col min="11526" max="11526" width="11.42578125" style="85"/>
    <col min="11527" max="11527" width="20.42578125" style="85" bestFit="1" customWidth="1"/>
    <col min="11528" max="11776" width="11.42578125" style="85"/>
    <col min="11777" max="11777" width="49.7109375" style="85" bestFit="1" customWidth="1"/>
    <col min="11778" max="11778" width="60.7109375" style="85" bestFit="1" customWidth="1"/>
    <col min="11779" max="11779" width="47.42578125" style="85" bestFit="1" customWidth="1"/>
    <col min="11780" max="11780" width="24.7109375" style="85" bestFit="1" customWidth="1"/>
    <col min="11781" max="11781" width="27.28515625" style="85" bestFit="1" customWidth="1"/>
    <col min="11782" max="11782" width="11.42578125" style="85"/>
    <col min="11783" max="11783" width="20.42578125" style="85" bestFit="1" customWidth="1"/>
    <col min="11784" max="12032" width="11.42578125" style="85"/>
    <col min="12033" max="12033" width="49.7109375" style="85" bestFit="1" customWidth="1"/>
    <col min="12034" max="12034" width="60.7109375" style="85" bestFit="1" customWidth="1"/>
    <col min="12035" max="12035" width="47.42578125" style="85" bestFit="1" customWidth="1"/>
    <col min="12036" max="12036" width="24.7109375" style="85" bestFit="1" customWidth="1"/>
    <col min="12037" max="12037" width="27.28515625" style="85" bestFit="1" customWidth="1"/>
    <col min="12038" max="12038" width="11.42578125" style="85"/>
    <col min="12039" max="12039" width="20.42578125" style="85" bestFit="1" customWidth="1"/>
    <col min="12040" max="12288" width="11.42578125" style="85"/>
    <col min="12289" max="12289" width="49.7109375" style="85" bestFit="1" customWidth="1"/>
    <col min="12290" max="12290" width="60.7109375" style="85" bestFit="1" customWidth="1"/>
    <col min="12291" max="12291" width="47.42578125" style="85" bestFit="1" customWidth="1"/>
    <col min="12292" max="12292" width="24.7109375" style="85" bestFit="1" customWidth="1"/>
    <col min="12293" max="12293" width="27.28515625" style="85" bestFit="1" customWidth="1"/>
    <col min="12294" max="12294" width="11.42578125" style="85"/>
    <col min="12295" max="12295" width="20.42578125" style="85" bestFit="1" customWidth="1"/>
    <col min="12296" max="12544" width="11.42578125" style="85"/>
    <col min="12545" max="12545" width="49.7109375" style="85" bestFit="1" customWidth="1"/>
    <col min="12546" max="12546" width="60.7109375" style="85" bestFit="1" customWidth="1"/>
    <col min="12547" max="12547" width="47.42578125" style="85" bestFit="1" customWidth="1"/>
    <col min="12548" max="12548" width="24.7109375" style="85" bestFit="1" customWidth="1"/>
    <col min="12549" max="12549" width="27.28515625" style="85" bestFit="1" customWidth="1"/>
    <col min="12550" max="12550" width="11.42578125" style="85"/>
    <col min="12551" max="12551" width="20.42578125" style="85" bestFit="1" customWidth="1"/>
    <col min="12552" max="12800" width="11.42578125" style="85"/>
    <col min="12801" max="12801" width="49.7109375" style="85" bestFit="1" customWidth="1"/>
    <col min="12802" max="12802" width="60.7109375" style="85" bestFit="1" customWidth="1"/>
    <col min="12803" max="12803" width="47.42578125" style="85" bestFit="1" customWidth="1"/>
    <col min="12804" max="12804" width="24.7109375" style="85" bestFit="1" customWidth="1"/>
    <col min="12805" max="12805" width="27.28515625" style="85" bestFit="1" customWidth="1"/>
    <col min="12806" max="12806" width="11.42578125" style="85"/>
    <col min="12807" max="12807" width="20.42578125" style="85" bestFit="1" customWidth="1"/>
    <col min="12808" max="13056" width="11.42578125" style="85"/>
    <col min="13057" max="13057" width="49.7109375" style="85" bestFit="1" customWidth="1"/>
    <col min="13058" max="13058" width="60.7109375" style="85" bestFit="1" customWidth="1"/>
    <col min="13059" max="13059" width="47.42578125" style="85" bestFit="1" customWidth="1"/>
    <col min="13060" max="13060" width="24.7109375" style="85" bestFit="1" customWidth="1"/>
    <col min="13061" max="13061" width="27.28515625" style="85" bestFit="1" customWidth="1"/>
    <col min="13062" max="13062" width="11.42578125" style="85"/>
    <col min="13063" max="13063" width="20.42578125" style="85" bestFit="1" customWidth="1"/>
    <col min="13064" max="13312" width="11.42578125" style="85"/>
    <col min="13313" max="13313" width="49.7109375" style="85" bestFit="1" customWidth="1"/>
    <col min="13314" max="13314" width="60.7109375" style="85" bestFit="1" customWidth="1"/>
    <col min="13315" max="13315" width="47.42578125" style="85" bestFit="1" customWidth="1"/>
    <col min="13316" max="13316" width="24.7109375" style="85" bestFit="1" customWidth="1"/>
    <col min="13317" max="13317" width="27.28515625" style="85" bestFit="1" customWidth="1"/>
    <col min="13318" max="13318" width="11.42578125" style="85"/>
    <col min="13319" max="13319" width="20.42578125" style="85" bestFit="1" customWidth="1"/>
    <col min="13320" max="13568" width="11.42578125" style="85"/>
    <col min="13569" max="13569" width="49.7109375" style="85" bestFit="1" customWidth="1"/>
    <col min="13570" max="13570" width="60.7109375" style="85" bestFit="1" customWidth="1"/>
    <col min="13571" max="13571" width="47.42578125" style="85" bestFit="1" customWidth="1"/>
    <col min="13572" max="13572" width="24.7109375" style="85" bestFit="1" customWidth="1"/>
    <col min="13573" max="13573" width="27.28515625" style="85" bestFit="1" customWidth="1"/>
    <col min="13574" max="13574" width="11.42578125" style="85"/>
    <col min="13575" max="13575" width="20.42578125" style="85" bestFit="1" customWidth="1"/>
    <col min="13576" max="13824" width="11.42578125" style="85"/>
    <col min="13825" max="13825" width="49.7109375" style="85" bestFit="1" customWidth="1"/>
    <col min="13826" max="13826" width="60.7109375" style="85" bestFit="1" customWidth="1"/>
    <col min="13827" max="13827" width="47.42578125" style="85" bestFit="1" customWidth="1"/>
    <col min="13828" max="13828" width="24.7109375" style="85" bestFit="1" customWidth="1"/>
    <col min="13829" max="13829" width="27.28515625" style="85" bestFit="1" customWidth="1"/>
    <col min="13830" max="13830" width="11.42578125" style="85"/>
    <col min="13831" max="13831" width="20.42578125" style="85" bestFit="1" customWidth="1"/>
    <col min="13832" max="14080" width="11.42578125" style="85"/>
    <col min="14081" max="14081" width="49.7109375" style="85" bestFit="1" customWidth="1"/>
    <col min="14082" max="14082" width="60.7109375" style="85" bestFit="1" customWidth="1"/>
    <col min="14083" max="14083" width="47.42578125" style="85" bestFit="1" customWidth="1"/>
    <col min="14084" max="14084" width="24.7109375" style="85" bestFit="1" customWidth="1"/>
    <col min="14085" max="14085" width="27.28515625" style="85" bestFit="1" customWidth="1"/>
    <col min="14086" max="14086" width="11.42578125" style="85"/>
    <col min="14087" max="14087" width="20.42578125" style="85" bestFit="1" customWidth="1"/>
    <col min="14088" max="14336" width="11.42578125" style="85"/>
    <col min="14337" max="14337" width="49.7109375" style="85" bestFit="1" customWidth="1"/>
    <col min="14338" max="14338" width="60.7109375" style="85" bestFit="1" customWidth="1"/>
    <col min="14339" max="14339" width="47.42578125" style="85" bestFit="1" customWidth="1"/>
    <col min="14340" max="14340" width="24.7109375" style="85" bestFit="1" customWidth="1"/>
    <col min="14341" max="14341" width="27.28515625" style="85" bestFit="1" customWidth="1"/>
    <col min="14342" max="14342" width="11.42578125" style="85"/>
    <col min="14343" max="14343" width="20.42578125" style="85" bestFit="1" customWidth="1"/>
    <col min="14344" max="14592" width="11.42578125" style="85"/>
    <col min="14593" max="14593" width="49.7109375" style="85" bestFit="1" customWidth="1"/>
    <col min="14594" max="14594" width="60.7109375" style="85" bestFit="1" customWidth="1"/>
    <col min="14595" max="14595" width="47.42578125" style="85" bestFit="1" customWidth="1"/>
    <col min="14596" max="14596" width="24.7109375" style="85" bestFit="1" customWidth="1"/>
    <col min="14597" max="14597" width="27.28515625" style="85" bestFit="1" customWidth="1"/>
    <col min="14598" max="14598" width="11.42578125" style="85"/>
    <col min="14599" max="14599" width="20.42578125" style="85" bestFit="1" customWidth="1"/>
    <col min="14600" max="14848" width="11.42578125" style="85"/>
    <col min="14849" max="14849" width="49.7109375" style="85" bestFit="1" customWidth="1"/>
    <col min="14850" max="14850" width="60.7109375" style="85" bestFit="1" customWidth="1"/>
    <col min="14851" max="14851" width="47.42578125" style="85" bestFit="1" customWidth="1"/>
    <col min="14852" max="14852" width="24.7109375" style="85" bestFit="1" customWidth="1"/>
    <col min="14853" max="14853" width="27.28515625" style="85" bestFit="1" customWidth="1"/>
    <col min="14854" max="14854" width="11.42578125" style="85"/>
    <col min="14855" max="14855" width="20.42578125" style="85" bestFit="1" customWidth="1"/>
    <col min="14856" max="15104" width="11.42578125" style="85"/>
    <col min="15105" max="15105" width="49.7109375" style="85" bestFit="1" customWidth="1"/>
    <col min="15106" max="15106" width="60.7109375" style="85" bestFit="1" customWidth="1"/>
    <col min="15107" max="15107" width="47.42578125" style="85" bestFit="1" customWidth="1"/>
    <col min="15108" max="15108" width="24.7109375" style="85" bestFit="1" customWidth="1"/>
    <col min="15109" max="15109" width="27.28515625" style="85" bestFit="1" customWidth="1"/>
    <col min="15110" max="15110" width="11.42578125" style="85"/>
    <col min="15111" max="15111" width="20.42578125" style="85" bestFit="1" customWidth="1"/>
    <col min="15112" max="15360" width="11.42578125" style="85"/>
    <col min="15361" max="15361" width="49.7109375" style="85" bestFit="1" customWidth="1"/>
    <col min="15362" max="15362" width="60.7109375" style="85" bestFit="1" customWidth="1"/>
    <col min="15363" max="15363" width="47.42578125" style="85" bestFit="1" customWidth="1"/>
    <col min="15364" max="15364" width="24.7109375" style="85" bestFit="1" customWidth="1"/>
    <col min="15365" max="15365" width="27.28515625" style="85" bestFit="1" customWidth="1"/>
    <col min="15366" max="15366" width="11.42578125" style="85"/>
    <col min="15367" max="15367" width="20.42578125" style="85" bestFit="1" customWidth="1"/>
    <col min="15368" max="15616" width="11.42578125" style="85"/>
    <col min="15617" max="15617" width="49.7109375" style="85" bestFit="1" customWidth="1"/>
    <col min="15618" max="15618" width="60.7109375" style="85" bestFit="1" customWidth="1"/>
    <col min="15619" max="15619" width="47.42578125" style="85" bestFit="1" customWidth="1"/>
    <col min="15620" max="15620" width="24.7109375" style="85" bestFit="1" customWidth="1"/>
    <col min="15621" max="15621" width="27.28515625" style="85" bestFit="1" customWidth="1"/>
    <col min="15622" max="15622" width="11.42578125" style="85"/>
    <col min="15623" max="15623" width="20.42578125" style="85" bestFit="1" customWidth="1"/>
    <col min="15624" max="15872" width="11.42578125" style="85"/>
    <col min="15873" max="15873" width="49.7109375" style="85" bestFit="1" customWidth="1"/>
    <col min="15874" max="15874" width="60.7109375" style="85" bestFit="1" customWidth="1"/>
    <col min="15875" max="15875" width="47.42578125" style="85" bestFit="1" customWidth="1"/>
    <col min="15876" max="15876" width="24.7109375" style="85" bestFit="1" customWidth="1"/>
    <col min="15877" max="15877" width="27.28515625" style="85" bestFit="1" customWidth="1"/>
    <col min="15878" max="15878" width="11.42578125" style="85"/>
    <col min="15879" max="15879" width="20.42578125" style="85" bestFit="1" customWidth="1"/>
    <col min="15880" max="16128" width="11.42578125" style="85"/>
    <col min="16129" max="16129" width="49.7109375" style="85" bestFit="1" customWidth="1"/>
    <col min="16130" max="16130" width="60.7109375" style="85" bestFit="1" customWidth="1"/>
    <col min="16131" max="16131" width="47.42578125" style="85" bestFit="1" customWidth="1"/>
    <col min="16132" max="16132" width="24.7109375" style="85" bestFit="1" customWidth="1"/>
    <col min="16133" max="16133" width="27.28515625" style="85" bestFit="1" customWidth="1"/>
    <col min="16134" max="16134" width="11.42578125" style="85"/>
    <col min="16135" max="16135" width="20.42578125" style="85" bestFit="1" customWidth="1"/>
    <col min="16136" max="16384" width="11.42578125" style="85"/>
  </cols>
  <sheetData>
    <row r="2" spans="1:7" ht="43.9" customHeight="1" x14ac:dyDescent="0.25"/>
    <row r="4" spans="1:7" x14ac:dyDescent="0.25">
      <c r="A4" s="85" t="s">
        <v>76</v>
      </c>
      <c r="B4" s="85" t="s">
        <v>77</v>
      </c>
      <c r="C4" s="85" t="s">
        <v>78</v>
      </c>
      <c r="D4" s="85" t="s">
        <v>79</v>
      </c>
      <c r="E4" s="85" t="s">
        <v>80</v>
      </c>
      <c r="F4" s="85" t="s">
        <v>11</v>
      </c>
      <c r="G4" s="85" t="s">
        <v>81</v>
      </c>
    </row>
    <row r="5" spans="1:7" x14ac:dyDescent="0.25">
      <c r="A5" s="85" t="s">
        <v>82</v>
      </c>
      <c r="B5" s="85" t="s">
        <v>82</v>
      </c>
      <c r="C5" s="85" t="s">
        <v>82</v>
      </c>
      <c r="D5" s="85" t="s">
        <v>83</v>
      </c>
      <c r="E5" s="85" t="s">
        <v>84</v>
      </c>
      <c r="F5" s="85">
        <v>1</v>
      </c>
      <c r="G5" s="85" t="s">
        <v>85</v>
      </c>
    </row>
    <row r="6" spans="1:7" x14ac:dyDescent="0.25">
      <c r="A6" s="85" t="s">
        <v>86</v>
      </c>
      <c r="B6" s="85" t="s">
        <v>86</v>
      </c>
      <c r="C6" s="85" t="s">
        <v>86</v>
      </c>
      <c r="D6" s="85" t="s">
        <v>83</v>
      </c>
      <c r="E6" s="85" t="s">
        <v>87</v>
      </c>
      <c r="F6" s="85">
        <v>1</v>
      </c>
      <c r="G6" s="85" t="s">
        <v>85</v>
      </c>
    </row>
    <row r="7" spans="1:7" x14ac:dyDescent="0.25">
      <c r="A7" s="85" t="s">
        <v>88</v>
      </c>
      <c r="B7" s="85" t="s">
        <v>88</v>
      </c>
      <c r="C7" s="85" t="s">
        <v>88</v>
      </c>
      <c r="D7" s="85" t="s">
        <v>83</v>
      </c>
      <c r="E7" s="85" t="s">
        <v>89</v>
      </c>
      <c r="F7" s="85">
        <v>1</v>
      </c>
      <c r="G7" s="85" t="s">
        <v>90</v>
      </c>
    </row>
    <row r="8" spans="1:7" x14ac:dyDescent="0.25">
      <c r="A8" s="85" t="s">
        <v>88</v>
      </c>
      <c r="B8" s="85" t="s">
        <v>88</v>
      </c>
      <c r="C8" s="85" t="s">
        <v>88</v>
      </c>
      <c r="D8" s="85" t="s">
        <v>83</v>
      </c>
      <c r="E8" s="85" t="s">
        <v>89</v>
      </c>
      <c r="F8" s="85">
        <v>1</v>
      </c>
      <c r="G8" s="85" t="s">
        <v>90</v>
      </c>
    </row>
    <row r="9" spans="1:7" x14ac:dyDescent="0.25">
      <c r="A9" s="85" t="s">
        <v>88</v>
      </c>
      <c r="B9" s="85" t="s">
        <v>88</v>
      </c>
      <c r="C9" s="85" t="s">
        <v>88</v>
      </c>
      <c r="D9" s="85" t="s">
        <v>83</v>
      </c>
      <c r="E9" s="85" t="s">
        <v>91</v>
      </c>
      <c r="F9" s="85">
        <v>1</v>
      </c>
      <c r="G9" s="85" t="s">
        <v>90</v>
      </c>
    </row>
    <row r="10" spans="1:7" x14ac:dyDescent="0.25">
      <c r="A10" s="85" t="s">
        <v>88</v>
      </c>
      <c r="B10" s="85" t="s">
        <v>88</v>
      </c>
      <c r="C10" s="85" t="s">
        <v>88</v>
      </c>
      <c r="D10" s="85" t="s">
        <v>83</v>
      </c>
      <c r="E10" s="85" t="s">
        <v>92</v>
      </c>
      <c r="F10" s="85">
        <v>1</v>
      </c>
      <c r="G10" s="85" t="s">
        <v>90</v>
      </c>
    </row>
    <row r="11" spans="1:7" x14ac:dyDescent="0.25">
      <c r="A11" s="85" t="s">
        <v>88</v>
      </c>
      <c r="B11" s="85" t="s">
        <v>88</v>
      </c>
      <c r="C11" s="85" t="s">
        <v>88</v>
      </c>
      <c r="D11" s="85" t="s">
        <v>83</v>
      </c>
      <c r="E11" s="85" t="s">
        <v>93</v>
      </c>
      <c r="F11" s="85">
        <v>1</v>
      </c>
      <c r="G11" s="85" t="s">
        <v>90</v>
      </c>
    </row>
    <row r="12" spans="1:7" x14ac:dyDescent="0.25">
      <c r="A12" s="85" t="s">
        <v>88</v>
      </c>
      <c r="B12" s="85" t="s">
        <v>88</v>
      </c>
      <c r="C12" s="85" t="s">
        <v>88</v>
      </c>
      <c r="D12" s="85" t="s">
        <v>83</v>
      </c>
      <c r="E12" s="85" t="s">
        <v>93</v>
      </c>
      <c r="F12" s="85">
        <v>1</v>
      </c>
      <c r="G12" s="85" t="s">
        <v>90</v>
      </c>
    </row>
    <row r="13" spans="1:7" x14ac:dyDescent="0.25">
      <c r="A13" s="85" t="s">
        <v>94</v>
      </c>
      <c r="B13" s="85" t="s">
        <v>94</v>
      </c>
      <c r="C13" s="85" t="s">
        <v>94</v>
      </c>
      <c r="D13" s="85" t="s">
        <v>83</v>
      </c>
      <c r="E13" s="85" t="s">
        <v>95</v>
      </c>
      <c r="F13" s="85">
        <v>1</v>
      </c>
      <c r="G13" s="85" t="s">
        <v>85</v>
      </c>
    </row>
    <row r="14" spans="1:7" x14ac:dyDescent="0.25">
      <c r="A14" s="85" t="s">
        <v>96</v>
      </c>
      <c r="B14" s="85" t="s">
        <v>97</v>
      </c>
      <c r="C14" s="85" t="s">
        <v>76</v>
      </c>
      <c r="D14" s="85" t="s">
        <v>83</v>
      </c>
      <c r="E14" s="85" t="s">
        <v>93</v>
      </c>
      <c r="F14" s="85">
        <v>1</v>
      </c>
      <c r="G14" s="85" t="s">
        <v>98</v>
      </c>
    </row>
    <row r="15" spans="1:7" x14ac:dyDescent="0.25">
      <c r="A15" s="85" t="s">
        <v>96</v>
      </c>
      <c r="B15" s="85" t="s">
        <v>97</v>
      </c>
      <c r="C15" s="85" t="s">
        <v>99</v>
      </c>
      <c r="D15" s="85" t="s">
        <v>100</v>
      </c>
      <c r="E15" s="85" t="s">
        <v>101</v>
      </c>
      <c r="F15" s="85">
        <v>1</v>
      </c>
      <c r="G15" s="85" t="s">
        <v>98</v>
      </c>
    </row>
    <row r="16" spans="1:7" x14ac:dyDescent="0.25">
      <c r="A16" s="85" t="s">
        <v>96</v>
      </c>
      <c r="B16" s="85" t="s">
        <v>97</v>
      </c>
      <c r="C16" s="85" t="s">
        <v>102</v>
      </c>
      <c r="D16" s="85" t="s">
        <v>83</v>
      </c>
      <c r="E16" s="85" t="s">
        <v>84</v>
      </c>
      <c r="F16" s="85">
        <v>1</v>
      </c>
      <c r="G16" s="85" t="s">
        <v>98</v>
      </c>
    </row>
    <row r="17" spans="1:7" x14ac:dyDescent="0.25">
      <c r="A17" s="85" t="s">
        <v>96</v>
      </c>
      <c r="B17" s="85" t="s">
        <v>97</v>
      </c>
      <c r="C17" s="85" t="s">
        <v>103</v>
      </c>
      <c r="D17" s="85" t="s">
        <v>83</v>
      </c>
      <c r="E17" s="85" t="s">
        <v>93</v>
      </c>
      <c r="F17" s="85">
        <v>1</v>
      </c>
      <c r="G17" s="85" t="s">
        <v>98</v>
      </c>
    </row>
    <row r="18" spans="1:7" x14ac:dyDescent="0.25">
      <c r="A18" s="85" t="s">
        <v>96</v>
      </c>
      <c r="B18" s="85" t="s">
        <v>97</v>
      </c>
      <c r="C18" s="85" t="s">
        <v>104</v>
      </c>
      <c r="D18" s="85" t="s">
        <v>83</v>
      </c>
      <c r="E18" s="85" t="s">
        <v>105</v>
      </c>
      <c r="F18" s="85">
        <v>1</v>
      </c>
      <c r="G18" s="85" t="s">
        <v>98</v>
      </c>
    </row>
    <row r="19" spans="1:7" x14ac:dyDescent="0.25">
      <c r="A19" s="85" t="s">
        <v>106</v>
      </c>
      <c r="B19" s="85" t="s">
        <v>107</v>
      </c>
      <c r="C19" s="85" t="s">
        <v>108</v>
      </c>
      <c r="D19" s="85" t="s">
        <v>83</v>
      </c>
      <c r="E19" s="85" t="s">
        <v>109</v>
      </c>
      <c r="F19" s="85">
        <v>1</v>
      </c>
      <c r="G19" s="85" t="s">
        <v>85</v>
      </c>
    </row>
    <row r="20" spans="1:7" x14ac:dyDescent="0.25">
      <c r="A20" s="85" t="s">
        <v>106</v>
      </c>
      <c r="B20" s="85" t="s">
        <v>107</v>
      </c>
      <c r="C20" s="85" t="s">
        <v>107</v>
      </c>
      <c r="D20" s="85" t="s">
        <v>83</v>
      </c>
      <c r="E20" s="85" t="s">
        <v>110</v>
      </c>
      <c r="F20" s="85">
        <v>1</v>
      </c>
      <c r="G20" s="85" t="s">
        <v>85</v>
      </c>
    </row>
    <row r="21" spans="1:7" x14ac:dyDescent="0.25">
      <c r="A21" s="85" t="s">
        <v>106</v>
      </c>
      <c r="B21" s="85" t="s">
        <v>111</v>
      </c>
      <c r="C21" s="85" t="s">
        <v>111</v>
      </c>
      <c r="D21" s="85" t="s">
        <v>112</v>
      </c>
      <c r="E21" s="85" t="s">
        <v>113</v>
      </c>
      <c r="F21" s="85">
        <v>1</v>
      </c>
      <c r="G21" s="85" t="s">
        <v>85</v>
      </c>
    </row>
    <row r="22" spans="1:7" x14ac:dyDescent="0.25">
      <c r="A22" s="85" t="s">
        <v>106</v>
      </c>
      <c r="B22" s="85" t="s">
        <v>111</v>
      </c>
      <c r="C22" s="85" t="s">
        <v>111</v>
      </c>
      <c r="D22" s="85" t="s">
        <v>112</v>
      </c>
      <c r="E22" s="85" t="s">
        <v>114</v>
      </c>
      <c r="F22" s="85">
        <v>1</v>
      </c>
      <c r="G22" s="85" t="s">
        <v>85</v>
      </c>
    </row>
    <row r="23" spans="1:7" x14ac:dyDescent="0.25">
      <c r="A23" s="85" t="s">
        <v>106</v>
      </c>
      <c r="B23" s="85" t="s">
        <v>111</v>
      </c>
      <c r="C23" s="85" t="s">
        <v>111</v>
      </c>
      <c r="D23" s="85" t="s">
        <v>83</v>
      </c>
      <c r="E23" s="85" t="s">
        <v>115</v>
      </c>
      <c r="F23" s="85">
        <v>1</v>
      </c>
      <c r="G23" s="85" t="s">
        <v>85</v>
      </c>
    </row>
    <row r="24" spans="1:7" x14ac:dyDescent="0.25">
      <c r="A24" s="85" t="s">
        <v>106</v>
      </c>
      <c r="B24" s="85" t="s">
        <v>116</v>
      </c>
      <c r="C24" s="85" t="s">
        <v>117</v>
      </c>
      <c r="D24" s="85" t="s">
        <v>83</v>
      </c>
      <c r="E24" s="85" t="s">
        <v>110</v>
      </c>
      <c r="F24" s="85">
        <v>1</v>
      </c>
      <c r="G24" s="85" t="s">
        <v>85</v>
      </c>
    </row>
    <row r="25" spans="1:7" x14ac:dyDescent="0.25">
      <c r="A25" s="85" t="s">
        <v>106</v>
      </c>
      <c r="B25" s="85" t="s">
        <v>116</v>
      </c>
      <c r="C25" s="85" t="s">
        <v>118</v>
      </c>
      <c r="D25" s="85" t="s">
        <v>83</v>
      </c>
      <c r="E25" s="85" t="s">
        <v>93</v>
      </c>
      <c r="F25" s="85">
        <v>1</v>
      </c>
      <c r="G25" s="85" t="s">
        <v>85</v>
      </c>
    </row>
    <row r="26" spans="1:7" x14ac:dyDescent="0.25">
      <c r="A26" s="85" t="s">
        <v>106</v>
      </c>
      <c r="B26" s="85" t="s">
        <v>119</v>
      </c>
      <c r="C26" s="85" t="s">
        <v>120</v>
      </c>
      <c r="D26" s="85" t="s">
        <v>83</v>
      </c>
      <c r="E26" s="85" t="s">
        <v>115</v>
      </c>
      <c r="F26" s="85">
        <v>1</v>
      </c>
      <c r="G26" s="85" t="s">
        <v>121</v>
      </c>
    </row>
    <row r="27" spans="1:7" x14ac:dyDescent="0.25">
      <c r="A27" s="85" t="s">
        <v>106</v>
      </c>
      <c r="B27" s="85" t="s">
        <v>119</v>
      </c>
      <c r="C27" s="85" t="s">
        <v>120</v>
      </c>
      <c r="D27" s="85" t="s">
        <v>122</v>
      </c>
      <c r="E27" s="85" t="s">
        <v>123</v>
      </c>
      <c r="F27" s="85">
        <v>1</v>
      </c>
      <c r="G27" s="85" t="s">
        <v>121</v>
      </c>
    </row>
    <row r="28" spans="1:7" x14ac:dyDescent="0.25">
      <c r="A28" s="85" t="s">
        <v>106</v>
      </c>
      <c r="B28" s="85" t="s">
        <v>119</v>
      </c>
      <c r="C28" s="85" t="s">
        <v>124</v>
      </c>
      <c r="D28" s="85" t="s">
        <v>83</v>
      </c>
      <c r="E28" s="85" t="s">
        <v>91</v>
      </c>
      <c r="F28" s="85">
        <v>1</v>
      </c>
      <c r="G28" s="85" t="s">
        <v>121</v>
      </c>
    </row>
    <row r="29" spans="1:7" x14ac:dyDescent="0.25">
      <c r="A29" s="85" t="s">
        <v>106</v>
      </c>
      <c r="B29" s="85" t="s">
        <v>97</v>
      </c>
      <c r="C29" s="85" t="s">
        <v>125</v>
      </c>
      <c r="D29" s="85" t="s">
        <v>83</v>
      </c>
      <c r="E29" s="85" t="s">
        <v>84</v>
      </c>
      <c r="F29" s="85">
        <v>1</v>
      </c>
      <c r="G29" s="85" t="s">
        <v>98</v>
      </c>
    </row>
    <row r="30" spans="1:7" x14ac:dyDescent="0.25">
      <c r="A30" s="85" t="s">
        <v>126</v>
      </c>
      <c r="B30" s="85" t="s">
        <v>127</v>
      </c>
      <c r="C30" s="85" t="s">
        <v>128</v>
      </c>
      <c r="D30" s="85" t="s">
        <v>83</v>
      </c>
      <c r="E30" s="85" t="s">
        <v>109</v>
      </c>
      <c r="F30" s="85">
        <v>1</v>
      </c>
      <c r="G30" s="85" t="s">
        <v>129</v>
      </c>
    </row>
    <row r="31" spans="1:7" x14ac:dyDescent="0.25">
      <c r="A31" s="85" t="s">
        <v>126</v>
      </c>
      <c r="B31" s="85" t="s">
        <v>127</v>
      </c>
      <c r="C31" s="85" t="s">
        <v>128</v>
      </c>
      <c r="D31" s="85" t="s">
        <v>83</v>
      </c>
      <c r="E31" s="85" t="s">
        <v>93</v>
      </c>
      <c r="F31" s="85">
        <v>1</v>
      </c>
      <c r="G31" s="85" t="s">
        <v>129</v>
      </c>
    </row>
    <row r="32" spans="1:7" x14ac:dyDescent="0.25">
      <c r="A32" s="85" t="s">
        <v>126</v>
      </c>
      <c r="B32" s="85" t="s">
        <v>126</v>
      </c>
      <c r="C32" s="85" t="s">
        <v>130</v>
      </c>
      <c r="D32" s="85" t="s">
        <v>83</v>
      </c>
      <c r="E32" s="85" t="s">
        <v>131</v>
      </c>
      <c r="F32" s="85">
        <v>1</v>
      </c>
      <c r="G32" s="85" t="s">
        <v>129</v>
      </c>
    </row>
    <row r="33" spans="1:7" x14ac:dyDescent="0.25">
      <c r="A33" s="85" t="s">
        <v>126</v>
      </c>
      <c r="B33" s="85" t="s">
        <v>126</v>
      </c>
      <c r="C33" s="85" t="s">
        <v>132</v>
      </c>
      <c r="D33" s="85" t="s">
        <v>122</v>
      </c>
      <c r="E33" s="85" t="s">
        <v>133</v>
      </c>
      <c r="F33" s="85">
        <v>1</v>
      </c>
      <c r="G33" s="85" t="s">
        <v>129</v>
      </c>
    </row>
    <row r="34" spans="1:7" x14ac:dyDescent="0.25">
      <c r="A34" s="85" t="s">
        <v>126</v>
      </c>
      <c r="B34" s="85" t="s">
        <v>126</v>
      </c>
      <c r="C34" s="85" t="s">
        <v>126</v>
      </c>
      <c r="D34" s="85" t="s">
        <v>112</v>
      </c>
      <c r="E34" s="85" t="s">
        <v>134</v>
      </c>
      <c r="F34" s="85">
        <v>1</v>
      </c>
      <c r="G34" s="85" t="s">
        <v>129</v>
      </c>
    </row>
    <row r="35" spans="1:7" x14ac:dyDescent="0.25">
      <c r="A35" s="85" t="s">
        <v>126</v>
      </c>
      <c r="B35" s="85" t="s">
        <v>127</v>
      </c>
      <c r="C35" s="85" t="s">
        <v>135</v>
      </c>
      <c r="D35" s="85" t="s">
        <v>83</v>
      </c>
      <c r="E35" s="85" t="s">
        <v>131</v>
      </c>
      <c r="F35" s="85">
        <v>2</v>
      </c>
      <c r="G35" s="85" t="s">
        <v>136</v>
      </c>
    </row>
    <row r="36" spans="1:7" x14ac:dyDescent="0.25">
      <c r="A36" s="85" t="s">
        <v>126</v>
      </c>
      <c r="B36" s="85" t="s">
        <v>127</v>
      </c>
      <c r="C36" s="85" t="s">
        <v>137</v>
      </c>
      <c r="D36" s="85" t="s">
        <v>83</v>
      </c>
      <c r="E36" s="85" t="s">
        <v>138</v>
      </c>
      <c r="F36" s="85">
        <v>1</v>
      </c>
      <c r="G36" s="85" t="s">
        <v>136</v>
      </c>
    </row>
    <row r="37" spans="1:7" x14ac:dyDescent="0.25">
      <c r="A37" s="85" t="s">
        <v>126</v>
      </c>
      <c r="B37" s="85" t="s">
        <v>127</v>
      </c>
      <c r="C37" s="85" t="s">
        <v>137</v>
      </c>
      <c r="D37" s="85" t="s">
        <v>112</v>
      </c>
      <c r="E37" s="85" t="s">
        <v>139</v>
      </c>
      <c r="F37" s="85">
        <v>1</v>
      </c>
      <c r="G37" s="85" t="s">
        <v>136</v>
      </c>
    </row>
    <row r="38" spans="1:7" x14ac:dyDescent="0.25">
      <c r="A38" s="85" t="s">
        <v>126</v>
      </c>
      <c r="B38" s="85" t="s">
        <v>127</v>
      </c>
      <c r="C38" s="85" t="s">
        <v>140</v>
      </c>
      <c r="D38" s="85" t="s">
        <v>83</v>
      </c>
      <c r="E38" s="85" t="s">
        <v>92</v>
      </c>
      <c r="F38" s="85">
        <v>1</v>
      </c>
      <c r="G38" s="85" t="s">
        <v>136</v>
      </c>
    </row>
    <row r="39" spans="1:7" x14ac:dyDescent="0.25">
      <c r="A39" s="85" t="s">
        <v>126</v>
      </c>
      <c r="B39" s="85" t="s">
        <v>127</v>
      </c>
      <c r="C39" s="85" t="s">
        <v>141</v>
      </c>
      <c r="D39" s="85" t="s">
        <v>83</v>
      </c>
      <c r="E39" s="85" t="s">
        <v>93</v>
      </c>
      <c r="F39" s="85">
        <v>1</v>
      </c>
      <c r="G39" s="85" t="s">
        <v>136</v>
      </c>
    </row>
    <row r="40" spans="1:7" x14ac:dyDescent="0.25">
      <c r="A40" s="85" t="s">
        <v>126</v>
      </c>
      <c r="B40" s="85" t="s">
        <v>127</v>
      </c>
      <c r="C40" s="85" t="s">
        <v>142</v>
      </c>
      <c r="D40" s="85" t="s">
        <v>83</v>
      </c>
      <c r="E40" s="85" t="s">
        <v>93</v>
      </c>
      <c r="F40" s="85">
        <v>1</v>
      </c>
      <c r="G40" s="85" t="s">
        <v>136</v>
      </c>
    </row>
    <row r="41" spans="1:7" x14ac:dyDescent="0.25">
      <c r="A41" s="85" t="s">
        <v>126</v>
      </c>
      <c r="B41" s="85" t="s">
        <v>127</v>
      </c>
      <c r="C41" s="85" t="s">
        <v>142</v>
      </c>
      <c r="D41" s="85" t="s">
        <v>100</v>
      </c>
      <c r="E41" s="85" t="s">
        <v>87</v>
      </c>
      <c r="F41" s="85">
        <v>1</v>
      </c>
      <c r="G41" s="85" t="s">
        <v>136</v>
      </c>
    </row>
    <row r="42" spans="1:7" x14ac:dyDescent="0.25">
      <c r="A42" s="85" t="s">
        <v>126</v>
      </c>
      <c r="B42" s="85" t="s">
        <v>127</v>
      </c>
      <c r="C42" s="85" t="s">
        <v>143</v>
      </c>
      <c r="D42" s="85" t="s">
        <v>83</v>
      </c>
      <c r="E42" s="85" t="s">
        <v>93</v>
      </c>
      <c r="F42" s="85">
        <v>1</v>
      </c>
      <c r="G42" s="85" t="s">
        <v>136</v>
      </c>
    </row>
    <row r="43" spans="1:7" x14ac:dyDescent="0.25">
      <c r="A43" s="85" t="s">
        <v>126</v>
      </c>
      <c r="B43" s="85" t="s">
        <v>127</v>
      </c>
      <c r="C43" s="85" t="s">
        <v>144</v>
      </c>
      <c r="D43" s="85" t="s">
        <v>83</v>
      </c>
      <c r="E43" s="85" t="s">
        <v>109</v>
      </c>
      <c r="F43" s="85">
        <v>1</v>
      </c>
      <c r="G43" s="85" t="s">
        <v>136</v>
      </c>
    </row>
    <row r="44" spans="1:7" x14ac:dyDescent="0.25">
      <c r="A44" s="85" t="s">
        <v>145</v>
      </c>
      <c r="B44" s="85" t="s">
        <v>145</v>
      </c>
      <c r="C44" s="85" t="s">
        <v>145</v>
      </c>
      <c r="D44" s="85" t="s">
        <v>83</v>
      </c>
      <c r="E44" s="85" t="s">
        <v>93</v>
      </c>
      <c r="F44" s="85">
        <v>3</v>
      </c>
      <c r="G44" s="85" t="s">
        <v>146</v>
      </c>
    </row>
    <row r="45" spans="1:7" x14ac:dyDescent="0.25">
      <c r="A45" s="85" t="s">
        <v>145</v>
      </c>
      <c r="B45" s="85" t="s">
        <v>147</v>
      </c>
      <c r="C45" s="85" t="s">
        <v>148</v>
      </c>
      <c r="D45" s="85" t="s">
        <v>83</v>
      </c>
      <c r="E45" s="85" t="s">
        <v>149</v>
      </c>
      <c r="F45" s="85">
        <v>3</v>
      </c>
      <c r="G45" s="85" t="s">
        <v>146</v>
      </c>
    </row>
    <row r="46" spans="1:7" x14ac:dyDescent="0.25">
      <c r="A46" s="85" t="s">
        <v>145</v>
      </c>
      <c r="B46" s="85" t="s">
        <v>147</v>
      </c>
      <c r="C46" s="85" t="s">
        <v>150</v>
      </c>
      <c r="D46" s="85" t="s">
        <v>83</v>
      </c>
      <c r="E46" s="85" t="s">
        <v>93</v>
      </c>
      <c r="F46" s="85">
        <v>2</v>
      </c>
      <c r="G46" s="85" t="s">
        <v>146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 NotaPedido</vt:lpstr>
      <vt:lpstr>Autor Gastar</vt:lpstr>
      <vt:lpstr>DETALLE IMPRESORAS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compras_rrhh@autolock.com</cp:lastModifiedBy>
  <cp:revision>2</cp:revision>
  <cp:lastPrinted>2020-11-24T14:25:44Z</cp:lastPrinted>
  <dcterms:created xsi:type="dcterms:W3CDTF">2020-07-17T23:44:49Z</dcterms:created>
  <dcterms:modified xsi:type="dcterms:W3CDTF">2021-03-22T15:24:28Z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