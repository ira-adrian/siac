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8_{2BBD8BBB-7CEB-4E2C-88EF-377173BD27D8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Trimestrales'!$A$9:$H$56</definedName>
    <definedName name="_xlnm.Print_Area" localSheetId="1">' NotaPedido'!$A$1:$G$58</definedName>
    <definedName name="_xlnm.Print_Area" localSheetId="2">'Autor Gastar'!$A$1:$Q$27</definedName>
    <definedName name="_xlnm.Print_Area" localSheetId="0">'Necesidades Trimestrales'!$D$9:$D$37</definedName>
  </definedNames>
  <calcPr calcId="181029"/>
</workbook>
</file>

<file path=xl/calcChain.xml><?xml version="1.0" encoding="utf-8"?>
<calcChain xmlns="http://schemas.openxmlformats.org/spreadsheetml/2006/main">
  <c r="F59" i="2" l="1"/>
  <c r="F60" i="2"/>
  <c r="F61" i="2"/>
  <c r="F62" i="2"/>
  <c r="F63" i="2"/>
  <c r="F64" i="2"/>
  <c r="F65" i="2"/>
  <c r="C59" i="2"/>
  <c r="C60" i="2"/>
  <c r="C61" i="2"/>
  <c r="C62" i="2"/>
  <c r="C63" i="2"/>
  <c r="C64" i="2"/>
  <c r="C65" i="2"/>
  <c r="G65" i="2"/>
  <c r="E65" i="2"/>
  <c r="B65" i="2"/>
  <c r="G64" i="2"/>
  <c r="E64" i="2"/>
  <c r="B64" i="2"/>
  <c r="G63" i="2"/>
  <c r="E63" i="2"/>
  <c r="B63" i="2"/>
  <c r="G62" i="2"/>
  <c r="E62" i="2"/>
  <c r="B62" i="2"/>
  <c r="G61" i="2"/>
  <c r="E61" i="2"/>
  <c r="B61" i="2"/>
  <c r="G60" i="2"/>
  <c r="E60" i="2"/>
  <c r="B60" i="2"/>
  <c r="G59" i="2"/>
  <c r="E59" i="2"/>
  <c r="B59" i="2"/>
  <c r="H63" i="1" l="1"/>
  <c r="H62" i="1"/>
  <c r="H61" i="1"/>
  <c r="H60" i="1"/>
  <c r="H59" i="1"/>
  <c r="H58" i="1"/>
  <c r="H57" i="1"/>
  <c r="F13" i="2" l="1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12" i="2"/>
  <c r="F12" i="2"/>
  <c r="F66" i="2" s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0" i="1"/>
  <c r="B36" i="2" l="1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D4" i="2" l="1"/>
  <c r="D3" i="2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A10" i="3" l="1"/>
  <c r="B14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13" i="2"/>
  <c r="B13" i="2"/>
  <c r="H12" i="1" l="1"/>
  <c r="H11" i="1"/>
  <c r="D1" i="3" l="1"/>
  <c r="E12" i="2"/>
  <c r="C12" i="2"/>
  <c r="Q23" i="3" l="1"/>
</calcChain>
</file>

<file path=xl/sharedStrings.xml><?xml version="1.0" encoding="utf-8"?>
<sst xmlns="http://schemas.openxmlformats.org/spreadsheetml/2006/main" count="293" uniqueCount="127">
  <si>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</si>
  <si>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</si>
  <si>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</si>
  <si>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</si>
  <si>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</si>
  <si>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</si>
  <si>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</si>
  <si>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</si>
  <si>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</si>
  <si>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</si>
  <si>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</si>
  <si>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</si>
  <si>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</si>
  <si>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</si>
  <si>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</si>
  <si>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</si>
  <si>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</si>
  <si>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</si>
  <si>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</si>
  <si>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</si>
  <si>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</si>
  <si>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</si>
  <si>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</si>
  <si>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</si>
  <si>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</si>
  <si>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</si>
  <si>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</si>
  <si>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</si>
  <si>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</si>
  <si>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</si>
  <si>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</si>
  <si>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</si>
  <si>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</si>
  <si>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</si>
  <si>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</si>
  <si>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</si>
  <si>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</si>
  <si>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</si>
  <si>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</si>
  <si>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</si>
  <si>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</si>
  <si>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</si>
  <si>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</si>
  <si>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</si>
  <si>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</si>
  <si>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</si>
  <si>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</si>
  <si>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</si>
  <si>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</si>
  <si>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</si>
  <si>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</si>
  <si>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</si>
  <si>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</si>
  <si>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</si>
  <si>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</si>
  <si>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</si>
  <si>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</si>
  <si>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AGUA OXIGENADA</t>
  </si>
  <si>
    <t>COSTO TOTAL ESTIMADO</t>
  </si>
  <si>
    <t>Servicio de Farmacia</t>
  </si>
  <si>
    <t xml:space="preserve">Adquisición de Medicamentos </t>
  </si>
  <si>
    <t>Productos Farmaceuticos y Medicinales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</si>
  <si>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</si>
  <si>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</si>
  <si>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</si>
  <si>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</si>
  <si>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</si>
  <si>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</si>
  <si>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</si>
  <si>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</si>
  <si>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ACICLOVIR   8%/100 ML. SUSP. X 120 ML X 1</t>
  </si>
  <si>
    <t>ACICLOVIR 500 MG INY X 1 FCO/AMP.</t>
  </si>
  <si>
    <t>AMIKACINA 500 MG.AMP.X 2 ML</t>
  </si>
  <si>
    <t>AMOXI,500 MG+ACIDO CLAVULANICO SUSP.X 120 ML.</t>
  </si>
  <si>
    <t>AMOXI+CLAVULANICO 500 MG COMP.X 1</t>
  </si>
  <si>
    <t>AMOXICILINA 500 MG COMP.X 1</t>
  </si>
  <si>
    <t>AMPICILINA 500 MG.F/A</t>
  </si>
  <si>
    <t>ANFOTERICINA B F/A X1 50MG</t>
  </si>
  <si>
    <t>AZITROMICINA 500 MG.COMP.X 1</t>
  </si>
  <si>
    <t>CEFALEXINA 500 MG. COMP. X 1</t>
  </si>
  <si>
    <t>CEFALEXINA 500 MG.X 90 ML.SUSP.</t>
  </si>
  <si>
    <t>CEFALOTINA 1 GR.F/A.X 1</t>
  </si>
  <si>
    <t>CEFAZOLINA 1G F/A</t>
  </si>
  <si>
    <t>CEFEPIME 1G F/A</t>
  </si>
  <si>
    <t>CEFOTAXINA 500 MG.F/A X 1</t>
  </si>
  <si>
    <t>CEFTAZIDIMA 1 GR.F/A X 1</t>
  </si>
  <si>
    <t>CEFTRIAXONA 1 GR.F/A</t>
  </si>
  <si>
    <t>CIPROFLOXACINA 200 MG.E.V X 100 ML</t>
  </si>
  <si>
    <t>CIPROFLOXACINA 500 MG.COMP X 1</t>
  </si>
  <si>
    <t>CLARITROMICINA 250 MG/5 ML.SUSP. X 60 ML.</t>
  </si>
  <si>
    <t>CLARITROMICINA 500 MG.IV INY.F/A</t>
  </si>
  <si>
    <t>CLINDAMICINA 300MG CAPS.X 1</t>
  </si>
  <si>
    <t>CLINDAMICINA 600 MG.X 4 ML.X 1</t>
  </si>
  <si>
    <t>COTRIMOXAZOL 4 GR/0.8 SUSP. X 60 ML.</t>
  </si>
  <si>
    <t>FLUCONAZOL 150 MG COMP. X 1</t>
  </si>
  <si>
    <t>FLUCONAZOL 200 MG.IV.SACHET X 1</t>
  </si>
  <si>
    <t>FLUCONAZOL 50 MG/5 ML.SUSP.X 35 ML.</t>
  </si>
  <si>
    <t>GASA FURACINADA X 20 APOS</t>
  </si>
  <si>
    <t>GRISEOFULFINA 500 MG. COMP. X 1</t>
  </si>
  <si>
    <t>ITRACONAZOL 100 MG (ITRAC) CAPS. X 1</t>
  </si>
  <si>
    <t>MEBENDAZOL 100 MG.COMP. X 1</t>
  </si>
  <si>
    <t>MEBENDAZOL 2% SUSP. X 30 ML.</t>
  </si>
  <si>
    <t>MEROPENEM 500 IV MG F/A X 1</t>
  </si>
  <si>
    <t>METRONIDAZOL 2,5% SUSP. X 120 ML.(FLAGYL)</t>
  </si>
  <si>
    <t>MUPIROCINA 2% CREMA X 15G (BACTROBAN)</t>
  </si>
  <si>
    <t>NISTATINA X 60 ML. SUSPENSION</t>
  </si>
  <si>
    <t>ORNIDAZOL 1 GR. AMP. X 1</t>
  </si>
  <si>
    <t>PEN ORAL JBE. X 60 ML</t>
  </si>
  <si>
    <t>PENICILINA G BENZAT 1.200.000 U.I.FCO/AMP.</t>
  </si>
  <si>
    <t>PENICILINA G BENZAT 2.400.000 U.I.FCO/AMP.</t>
  </si>
  <si>
    <t>PENICILINA G SODICA 1.000.000 FCO/AMP.</t>
  </si>
  <si>
    <t>PENICILINA G SODICA 3.000.000 FCO/AMP.</t>
  </si>
  <si>
    <t>PIPERACILINA+TAZOB. 4,5 GR.FCO/AMP</t>
  </si>
  <si>
    <t>RIFAMPICINA 2% SUSP. X 50 ML</t>
  </si>
  <si>
    <t>RIFAMPICINA 300 MG CAPS. X 1</t>
  </si>
  <si>
    <t>VANCOMICINA 1G.FCO/AMP.X 1</t>
  </si>
  <si>
    <t>VANCOMICINA 500 MG.FCO/AMP. X 1</t>
  </si>
  <si>
    <t>020/2021</t>
  </si>
  <si>
    <t>MEPREDNISONA 0,4 % GOTAS X 15 ML</t>
  </si>
  <si>
    <t>MEPREDNISONA 40 MG COMP X 1</t>
  </si>
  <si>
    <t>MEPREDNISONA 4 MG COMP X 1</t>
  </si>
  <si>
    <t>BUDESONIDE AEROSOL X 200 DOSIS</t>
  </si>
  <si>
    <t>BUDESONIDE GTS P/NEBUL X 20 ML</t>
  </si>
  <si>
    <t>DIFENHIDRAMINA 10 MG AMP X 1 ML</t>
  </si>
  <si>
    <t>DIFENHIDRAMINA JBE X 120 ML</t>
  </si>
  <si>
    <t>Para la adquisición de antibioticos y medicamentos respiratorios destinados al servico de Farmacia del Hospital Interzonal de Niños Eva Peron, para el normal funcionamiento del organismo.</t>
  </si>
  <si>
    <t>TOTAL DE PESOS: OCHO MILLONES QUINIENTOS OCHENTA Y SEIS MIL SEISCIENTOS CINCUENTA Y DOS CON 80/100.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</si>
</sst>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0" fillId="0" borderId="48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 wrapText="1"/>
    </xf>
    <xf numFmtId="166" fontId="4" fillId="3" borderId="49" xfId="1" applyNumberFormat="1" applyFont="1" applyFill="1" applyBorder="1" applyAlignment="1" applyProtection="1">
      <alignment horizontal="right" vertical="center" wrapText="1"/>
    </xf>
    <xf numFmtId="3" fontId="4" fillId="3" borderId="49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0" fillId="0" borderId="48" xfId="0" applyBorder="1" applyAlignment="1"/>
    <xf numFmtId="0" fontId="23" fillId="3" borderId="48" xfId="0" applyFont="1" applyFill="1" applyBorder="1" applyAlignment="1">
      <alignment vertical="center" wrapText="1"/>
    </xf>
    <xf numFmtId="0" fontId="25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5" fillId="0" borderId="55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5" fillId="0" borderId="58" xfId="0" applyFont="1" applyBorder="1"/>
    <xf numFmtId="0" fontId="15" fillId="0" borderId="59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169" fontId="14" fillId="0" borderId="48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1" fillId="4" borderId="48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167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5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6" xfId="5" applyFont="1" applyFill="1" applyBorder="1" applyAlignment="1">
      <alignment horizontal="left" wrapText="1"/>
    </xf>
    <xf numFmtId="0" fontId="15" fillId="4" borderId="56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24" fillId="3" borderId="15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indent="1"/>
    </xf>
    <xf numFmtId="0" fontId="12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74"/>
  <sheetViews>
    <sheetView topLeftCell="A52" zoomScaleNormal="100" workbookViewId="0">
      <selection activeCell="D71" sqref="D71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52.5703125" style="32" customWidth="1"/>
    <col min="5" max="5" width="11" style="32" customWidth="1"/>
    <col min="6" max="6" width="10.42578125" style="88" bestFit="1" customWidth="1"/>
    <col min="7" max="7" width="13.85546875" style="80" customWidth="1"/>
    <col min="8" max="8" width="18.5703125" style="32" customWidth="1"/>
    <col min="9" max="16384" width="11" style="32"/>
  </cols>
  <sheetData>
    <row r="2" spans="1:8" ht="27" x14ac:dyDescent="0.35">
      <c r="B2" s="96" t="s">
        <v>0</v>
      </c>
      <c r="C2" s="96"/>
      <c r="D2" s="96"/>
      <c r="E2" s="96"/>
      <c r="F2" s="96"/>
      <c r="G2" s="96"/>
    </row>
    <row r="3" spans="1:8" ht="12" customHeight="1" x14ac:dyDescent="0.2"/>
    <row r="4" spans="1:8" ht="18" customHeight="1" x14ac:dyDescent="0.25">
      <c r="A4" s="97" t="s">
        <v>1</v>
      </c>
      <c r="B4" s="97"/>
      <c r="C4" s="98" t="s">
        <v>53</v>
      </c>
      <c r="D4" s="98"/>
      <c r="E4" s="33"/>
      <c r="F4" s="89"/>
    </row>
    <row r="5" spans="1:8" ht="18" customHeight="1" x14ac:dyDescent="0.25">
      <c r="A5" s="97" t="s">
        <v>2</v>
      </c>
      <c r="B5" s="97"/>
      <c r="C5" s="98" t="s">
        <v>52</v>
      </c>
      <c r="D5" s="98"/>
      <c r="E5" s="33"/>
      <c r="F5" s="89"/>
    </row>
    <row r="6" spans="1:8" ht="16.5" customHeight="1" x14ac:dyDescent="0.25">
      <c r="A6" s="97" t="s">
        <v>3</v>
      </c>
      <c r="B6" s="97"/>
      <c r="C6" s="56">
        <v>2021</v>
      </c>
      <c r="D6" s="57"/>
      <c r="E6" s="33"/>
      <c r="F6" s="89"/>
    </row>
    <row r="7" spans="1:8" ht="16.5" customHeight="1" x14ac:dyDescent="0.25">
      <c r="A7" s="97" t="s">
        <v>4</v>
      </c>
      <c r="B7" s="97"/>
      <c r="C7" s="56">
        <v>1</v>
      </c>
      <c r="D7" s="57"/>
      <c r="E7" s="33"/>
      <c r="F7" s="89"/>
    </row>
    <row r="8" spans="1:8" ht="13.5" thickBot="1" x14ac:dyDescent="0.25">
      <c r="B8" s="33"/>
      <c r="C8" s="34"/>
      <c r="D8" s="33"/>
      <c r="E8" s="33"/>
      <c r="F8" s="89"/>
    </row>
    <row r="9" spans="1:8" ht="27" thickTop="1" thickBot="1" x14ac:dyDescent="0.25">
      <c r="A9" s="37" t="s">
        <v>5</v>
      </c>
      <c r="B9" s="35" t="s">
        <v>6</v>
      </c>
      <c r="C9" s="35" t="s">
        <v>7</v>
      </c>
      <c r="D9" s="66" t="s">
        <v>8</v>
      </c>
      <c r="E9" s="38" t="s">
        <v>9</v>
      </c>
      <c r="F9" s="35" t="s">
        <v>10</v>
      </c>
      <c r="G9" s="81" t="s">
        <v>11</v>
      </c>
      <c r="H9" s="35" t="s">
        <v>12</v>
      </c>
    </row>
    <row r="10" spans="1:8" ht="15.75" thickTop="1" x14ac:dyDescent="0.2">
      <c r="A10" s="36">
        <v>1</v>
      </c>
      <c r="B10" s="39">
        <v>252</v>
      </c>
      <c r="C10" s="39" t="s">
        <v>56</v>
      </c>
      <c r="D10" s="68" t="s">
        <v>70</v>
      </c>
      <c r="E10" s="65" t="s">
        <v>13</v>
      </c>
      <c r="F10" s="90">
        <v>25</v>
      </c>
      <c r="G10" s="82">
        <v>1391.26</v>
      </c>
      <c r="H10" s="58">
        <f>+F10*G10</f>
        <v>34781.5</v>
      </c>
    </row>
    <row r="11" spans="1:8" ht="15" x14ac:dyDescent="0.2">
      <c r="A11" s="36">
        <v>2</v>
      </c>
      <c r="B11" s="39">
        <v>252</v>
      </c>
      <c r="C11" s="39" t="s">
        <v>56</v>
      </c>
      <c r="D11" s="68" t="s">
        <v>71</v>
      </c>
      <c r="E11" s="65" t="s">
        <v>13</v>
      </c>
      <c r="F11" s="91">
        <v>500</v>
      </c>
      <c r="G11" s="83">
        <v>915.04</v>
      </c>
      <c r="H11" s="59">
        <f>F11*G11</f>
        <v>457520</v>
      </c>
    </row>
    <row r="12" spans="1:8" ht="15.75" thickBot="1" x14ac:dyDescent="0.25">
      <c r="A12" s="36">
        <v>3</v>
      </c>
      <c r="B12" s="39">
        <v>252</v>
      </c>
      <c r="C12" s="39" t="s">
        <v>56</v>
      </c>
      <c r="D12" s="68" t="s">
        <v>72</v>
      </c>
      <c r="E12" s="65" t="s">
        <v>13</v>
      </c>
      <c r="F12" s="91">
        <v>250</v>
      </c>
      <c r="G12" s="83">
        <v>241.68</v>
      </c>
      <c r="H12" s="59">
        <f t="shared" ref="H12" si="0">F12*G12</f>
        <v>60420</v>
      </c>
    </row>
    <row r="13" spans="1:8" ht="15.75" thickBot="1" x14ac:dyDescent="0.25">
      <c r="A13" s="36">
        <v>4</v>
      </c>
      <c r="B13" s="39">
        <v>252</v>
      </c>
      <c r="C13" s="39" t="s">
        <v>56</v>
      </c>
      <c r="D13" s="68" t="s">
        <v>73</v>
      </c>
      <c r="E13" s="65" t="s">
        <v>13</v>
      </c>
      <c r="F13" s="91">
        <v>100</v>
      </c>
      <c r="G13" s="83">
        <v>861.84</v>
      </c>
      <c r="H13" s="58">
        <f t="shared" ref="H13:H56" si="1">+F13*G13</f>
        <v>86184</v>
      </c>
    </row>
    <row r="14" spans="1:8" ht="15.75" thickBot="1" x14ac:dyDescent="0.25">
      <c r="A14" s="36">
        <v>5</v>
      </c>
      <c r="B14" s="39">
        <v>252</v>
      </c>
      <c r="C14" s="39" t="s">
        <v>56</v>
      </c>
      <c r="D14" s="68" t="s">
        <v>74</v>
      </c>
      <c r="E14" s="65" t="s">
        <v>13</v>
      </c>
      <c r="F14" s="91">
        <v>1500</v>
      </c>
      <c r="G14" s="83">
        <v>46.05</v>
      </c>
      <c r="H14" s="58">
        <f t="shared" si="1"/>
        <v>69075</v>
      </c>
    </row>
    <row r="15" spans="1:8" ht="15.75" thickBot="1" x14ac:dyDescent="0.25">
      <c r="A15" s="36">
        <v>6</v>
      </c>
      <c r="B15" s="39">
        <v>252</v>
      </c>
      <c r="C15" s="39" t="s">
        <v>56</v>
      </c>
      <c r="D15" s="68" t="s">
        <v>75</v>
      </c>
      <c r="E15" s="65" t="s">
        <v>13</v>
      </c>
      <c r="F15" s="91">
        <v>1500</v>
      </c>
      <c r="G15" s="83">
        <v>18.260000000000002</v>
      </c>
      <c r="H15" s="58">
        <f t="shared" si="1"/>
        <v>27390.000000000004</v>
      </c>
    </row>
    <row r="16" spans="1:8" ht="15.75" thickBot="1" x14ac:dyDescent="0.25">
      <c r="A16" s="36">
        <v>7</v>
      </c>
      <c r="B16" s="39">
        <v>252</v>
      </c>
      <c r="C16" s="39" t="s">
        <v>56</v>
      </c>
      <c r="D16" s="68" t="s">
        <v>76</v>
      </c>
      <c r="E16" s="65" t="s">
        <v>13</v>
      </c>
      <c r="F16" s="91">
        <v>1500</v>
      </c>
      <c r="G16" s="83">
        <v>268.33</v>
      </c>
      <c r="H16" s="58">
        <f t="shared" si="1"/>
        <v>402495</v>
      </c>
    </row>
    <row r="17" spans="1:8" ht="15.75" thickBot="1" x14ac:dyDescent="0.25">
      <c r="A17" s="36">
        <v>8</v>
      </c>
      <c r="B17" s="39">
        <v>252</v>
      </c>
      <c r="C17" s="39" t="s">
        <v>56</v>
      </c>
      <c r="D17" s="68" t="s">
        <v>77</v>
      </c>
      <c r="E17" s="65" t="s">
        <v>13</v>
      </c>
      <c r="F17" s="91">
        <v>50</v>
      </c>
      <c r="G17" s="83">
        <v>3694.82</v>
      </c>
      <c r="H17" s="58">
        <f t="shared" si="1"/>
        <v>184741</v>
      </c>
    </row>
    <row r="18" spans="1:8" ht="15.75" thickBot="1" x14ac:dyDescent="0.25">
      <c r="A18" s="36">
        <v>9</v>
      </c>
      <c r="B18" s="39">
        <v>252</v>
      </c>
      <c r="C18" s="39" t="s">
        <v>56</v>
      </c>
      <c r="D18" s="68" t="s">
        <v>78</v>
      </c>
      <c r="E18" s="65" t="s">
        <v>13</v>
      </c>
      <c r="F18" s="91">
        <v>1500</v>
      </c>
      <c r="G18" s="83">
        <v>93.6</v>
      </c>
      <c r="H18" s="58">
        <f t="shared" si="1"/>
        <v>140400</v>
      </c>
    </row>
    <row r="19" spans="1:8" ht="15.75" thickBot="1" x14ac:dyDescent="0.25">
      <c r="A19" s="36">
        <v>10</v>
      </c>
      <c r="B19" s="39">
        <v>252</v>
      </c>
      <c r="C19" s="39" t="s">
        <v>56</v>
      </c>
      <c r="D19" s="68" t="s">
        <v>79</v>
      </c>
      <c r="E19" s="65" t="s">
        <v>13</v>
      </c>
      <c r="F19" s="91">
        <v>1500</v>
      </c>
      <c r="G19" s="83">
        <v>36.36</v>
      </c>
      <c r="H19" s="58">
        <f t="shared" si="1"/>
        <v>54540</v>
      </c>
    </row>
    <row r="20" spans="1:8" ht="15.75" thickBot="1" x14ac:dyDescent="0.25">
      <c r="A20" s="36">
        <v>11</v>
      </c>
      <c r="B20" s="39">
        <v>252</v>
      </c>
      <c r="C20" s="39" t="s">
        <v>56</v>
      </c>
      <c r="D20" s="68" t="s">
        <v>80</v>
      </c>
      <c r="E20" s="65" t="s">
        <v>13</v>
      </c>
      <c r="F20" s="91">
        <v>100</v>
      </c>
      <c r="G20" s="83">
        <v>530.46</v>
      </c>
      <c r="H20" s="58">
        <f t="shared" si="1"/>
        <v>53046</v>
      </c>
    </row>
    <row r="21" spans="1:8" ht="15.75" thickBot="1" x14ac:dyDescent="0.25">
      <c r="A21" s="36">
        <v>12</v>
      </c>
      <c r="B21" s="39">
        <v>252</v>
      </c>
      <c r="C21" s="39" t="s">
        <v>56</v>
      </c>
      <c r="D21" s="68" t="s">
        <v>81</v>
      </c>
      <c r="E21" s="65" t="s">
        <v>13</v>
      </c>
      <c r="F21" s="91">
        <v>1000</v>
      </c>
      <c r="G21" s="83">
        <v>485.18</v>
      </c>
      <c r="H21" s="58">
        <f t="shared" si="1"/>
        <v>485180</v>
      </c>
    </row>
    <row r="22" spans="1:8" ht="15.75" thickBot="1" x14ac:dyDescent="0.25">
      <c r="A22" s="36">
        <v>13</v>
      </c>
      <c r="B22" s="39">
        <v>252</v>
      </c>
      <c r="C22" s="39" t="s">
        <v>56</v>
      </c>
      <c r="D22" s="68" t="s">
        <v>82</v>
      </c>
      <c r="E22" s="65" t="s">
        <v>13</v>
      </c>
      <c r="F22" s="91">
        <v>100</v>
      </c>
      <c r="G22" s="83">
        <v>550.21</v>
      </c>
      <c r="H22" s="58">
        <f t="shared" si="1"/>
        <v>55021</v>
      </c>
    </row>
    <row r="23" spans="1:8" ht="15.75" thickBot="1" x14ac:dyDescent="0.25">
      <c r="A23" s="36">
        <v>14</v>
      </c>
      <c r="B23" s="39">
        <v>252</v>
      </c>
      <c r="C23" s="39" t="s">
        <v>56</v>
      </c>
      <c r="D23" s="68" t="s">
        <v>83</v>
      </c>
      <c r="E23" s="65" t="s">
        <v>13</v>
      </c>
      <c r="F23" s="91">
        <v>100</v>
      </c>
      <c r="G23" s="83">
        <v>1463.08</v>
      </c>
      <c r="H23" s="58">
        <f t="shared" si="1"/>
        <v>146308</v>
      </c>
    </row>
    <row r="24" spans="1:8" ht="15.75" thickBot="1" x14ac:dyDescent="0.25">
      <c r="A24" s="36">
        <v>15</v>
      </c>
      <c r="B24" s="39">
        <v>252</v>
      </c>
      <c r="C24" s="39" t="s">
        <v>56</v>
      </c>
      <c r="D24" s="68" t="s">
        <v>84</v>
      </c>
      <c r="E24" s="65" t="s">
        <v>13</v>
      </c>
      <c r="F24" s="91">
        <v>100</v>
      </c>
      <c r="G24" s="83">
        <v>412.69</v>
      </c>
      <c r="H24" s="58">
        <f t="shared" si="1"/>
        <v>41269</v>
      </c>
    </row>
    <row r="25" spans="1:8" ht="15.75" thickBot="1" x14ac:dyDescent="0.25">
      <c r="A25" s="36">
        <v>16</v>
      </c>
      <c r="B25" s="39">
        <v>252</v>
      </c>
      <c r="C25" s="39" t="s">
        <v>57</v>
      </c>
      <c r="D25" s="68" t="s">
        <v>85</v>
      </c>
      <c r="E25" s="65" t="s">
        <v>13</v>
      </c>
      <c r="F25" s="65">
        <v>150</v>
      </c>
      <c r="G25" s="83">
        <v>515.41</v>
      </c>
      <c r="H25" s="58">
        <f t="shared" si="1"/>
        <v>77311.5</v>
      </c>
    </row>
    <row r="26" spans="1:8" ht="15.75" thickBot="1" x14ac:dyDescent="0.25">
      <c r="A26" s="36">
        <v>17</v>
      </c>
      <c r="B26" s="39">
        <v>252</v>
      </c>
      <c r="C26" s="39" t="s">
        <v>56</v>
      </c>
      <c r="D26" s="68" t="s">
        <v>86</v>
      </c>
      <c r="E26" s="65" t="s">
        <v>13</v>
      </c>
      <c r="F26" s="65">
        <v>5000</v>
      </c>
      <c r="G26" s="83">
        <v>364.99</v>
      </c>
      <c r="H26" s="58">
        <f t="shared" si="1"/>
        <v>1824950</v>
      </c>
    </row>
    <row r="27" spans="1:8" ht="15.75" thickBot="1" x14ac:dyDescent="0.25">
      <c r="A27" s="36">
        <v>18</v>
      </c>
      <c r="B27" s="39">
        <v>252</v>
      </c>
      <c r="C27" s="39" t="s">
        <v>56</v>
      </c>
      <c r="D27" s="68" t="s">
        <v>87</v>
      </c>
      <c r="E27" s="65" t="s">
        <v>13</v>
      </c>
      <c r="F27" s="65">
        <v>100</v>
      </c>
      <c r="G27" s="83">
        <v>211.85</v>
      </c>
      <c r="H27" s="58">
        <f t="shared" si="1"/>
        <v>21185</v>
      </c>
    </row>
    <row r="28" spans="1:8" ht="15.75" thickBot="1" x14ac:dyDescent="0.25">
      <c r="A28" s="36">
        <v>19</v>
      </c>
      <c r="B28" s="39">
        <v>252</v>
      </c>
      <c r="C28" s="39" t="s">
        <v>56</v>
      </c>
      <c r="D28" s="68" t="s">
        <v>88</v>
      </c>
      <c r="E28" s="65" t="s">
        <v>13</v>
      </c>
      <c r="F28" s="65">
        <v>1000</v>
      </c>
      <c r="G28" s="83">
        <v>25.13</v>
      </c>
      <c r="H28" s="58">
        <f t="shared" si="1"/>
        <v>25130</v>
      </c>
    </row>
    <row r="29" spans="1:8" ht="15.75" thickBot="1" x14ac:dyDescent="0.25">
      <c r="A29" s="36">
        <v>20</v>
      </c>
      <c r="B29" s="39">
        <v>252</v>
      </c>
      <c r="C29" s="39" t="s">
        <v>56</v>
      </c>
      <c r="D29" s="68" t="s">
        <v>89</v>
      </c>
      <c r="E29" s="65" t="s">
        <v>13</v>
      </c>
      <c r="F29" s="65">
        <v>100</v>
      </c>
      <c r="G29" s="83">
        <v>1227.0899999999999</v>
      </c>
      <c r="H29" s="58">
        <f t="shared" si="1"/>
        <v>122708.99999999999</v>
      </c>
    </row>
    <row r="30" spans="1:8" ht="15.75" thickBot="1" x14ac:dyDescent="0.25">
      <c r="A30" s="36">
        <v>21</v>
      </c>
      <c r="B30" s="39">
        <v>252</v>
      </c>
      <c r="C30" s="39" t="s">
        <v>56</v>
      </c>
      <c r="D30" s="68" t="s">
        <v>90</v>
      </c>
      <c r="E30" s="65" t="s">
        <v>13</v>
      </c>
      <c r="F30" s="65">
        <v>100</v>
      </c>
      <c r="G30" s="83">
        <v>3044.87</v>
      </c>
      <c r="H30" s="58">
        <f t="shared" si="1"/>
        <v>304487</v>
      </c>
    </row>
    <row r="31" spans="1:8" ht="15.75" thickBot="1" x14ac:dyDescent="0.25">
      <c r="A31" s="36">
        <v>22</v>
      </c>
      <c r="B31" s="39">
        <v>252</v>
      </c>
      <c r="C31" s="39" t="s">
        <v>56</v>
      </c>
      <c r="D31" s="68" t="s">
        <v>91</v>
      </c>
      <c r="E31" s="65" t="s">
        <v>13</v>
      </c>
      <c r="F31" s="65">
        <v>500</v>
      </c>
      <c r="G31" s="83">
        <v>62.79</v>
      </c>
      <c r="H31" s="58">
        <f t="shared" si="1"/>
        <v>31395</v>
      </c>
    </row>
    <row r="32" spans="1:8" ht="15.75" thickBot="1" x14ac:dyDescent="0.25">
      <c r="A32" s="36">
        <v>23</v>
      </c>
      <c r="B32" s="39">
        <v>252</v>
      </c>
      <c r="C32" s="39" t="s">
        <v>56</v>
      </c>
      <c r="D32" s="68" t="s">
        <v>92</v>
      </c>
      <c r="E32" s="65" t="s">
        <v>13</v>
      </c>
      <c r="F32" s="65">
        <v>3000</v>
      </c>
      <c r="G32" s="83">
        <v>238.06</v>
      </c>
      <c r="H32" s="58">
        <f t="shared" si="1"/>
        <v>714180</v>
      </c>
    </row>
    <row r="33" spans="1:8" ht="15.75" thickBot="1" x14ac:dyDescent="0.25">
      <c r="A33" s="36">
        <v>24</v>
      </c>
      <c r="B33" s="39">
        <v>252</v>
      </c>
      <c r="C33" s="39" t="s">
        <v>56</v>
      </c>
      <c r="D33" s="68" t="s">
        <v>93</v>
      </c>
      <c r="E33" s="65" t="s">
        <v>13</v>
      </c>
      <c r="F33" s="65">
        <v>150</v>
      </c>
      <c r="G33" s="83">
        <v>266.76</v>
      </c>
      <c r="H33" s="58">
        <f t="shared" si="1"/>
        <v>40014</v>
      </c>
    </row>
    <row r="34" spans="1:8" ht="15.75" thickBot="1" x14ac:dyDescent="0.25">
      <c r="A34" s="36">
        <v>25</v>
      </c>
      <c r="B34" s="39">
        <v>252</v>
      </c>
      <c r="C34" s="67" t="s">
        <v>56</v>
      </c>
      <c r="D34" s="68" t="s">
        <v>94</v>
      </c>
      <c r="E34" s="65" t="s">
        <v>13</v>
      </c>
      <c r="F34" s="92">
        <v>150</v>
      </c>
      <c r="G34" s="84">
        <v>36.03</v>
      </c>
      <c r="H34" s="58">
        <f t="shared" si="1"/>
        <v>5404.5</v>
      </c>
    </row>
    <row r="35" spans="1:8" ht="15.75" thickBot="1" x14ac:dyDescent="0.25">
      <c r="A35" s="36">
        <v>26</v>
      </c>
      <c r="B35" s="39">
        <v>252</v>
      </c>
      <c r="C35" s="67" t="s">
        <v>56</v>
      </c>
      <c r="D35" s="68" t="s">
        <v>95</v>
      </c>
      <c r="E35" s="65" t="s">
        <v>13</v>
      </c>
      <c r="F35" s="92">
        <v>50</v>
      </c>
      <c r="G35" s="84">
        <v>865.26</v>
      </c>
      <c r="H35" s="58">
        <f t="shared" si="1"/>
        <v>43263</v>
      </c>
    </row>
    <row r="36" spans="1:8" ht="15.75" thickBot="1" x14ac:dyDescent="0.25">
      <c r="A36" s="36">
        <v>27</v>
      </c>
      <c r="B36" s="39">
        <v>252</v>
      </c>
      <c r="C36" s="67" t="s">
        <v>56</v>
      </c>
      <c r="D36" s="68" t="s">
        <v>96</v>
      </c>
      <c r="E36" s="65" t="s">
        <v>13</v>
      </c>
      <c r="F36" s="92">
        <v>20</v>
      </c>
      <c r="G36" s="84">
        <v>2029.32</v>
      </c>
      <c r="H36" s="58">
        <f t="shared" si="1"/>
        <v>40586.400000000001</v>
      </c>
    </row>
    <row r="37" spans="1:8" ht="15.75" thickBot="1" x14ac:dyDescent="0.25">
      <c r="A37" s="36">
        <v>28</v>
      </c>
      <c r="B37" s="39">
        <v>252</v>
      </c>
      <c r="C37" s="67" t="s">
        <v>56</v>
      </c>
      <c r="D37" s="68" t="s">
        <v>97</v>
      </c>
      <c r="E37" s="65" t="s">
        <v>13</v>
      </c>
      <c r="F37" s="92">
        <v>70</v>
      </c>
      <c r="G37" s="84">
        <v>506.6</v>
      </c>
      <c r="H37" s="58">
        <f t="shared" si="1"/>
        <v>35462</v>
      </c>
    </row>
    <row r="38" spans="1:8" ht="15.75" thickBot="1" x14ac:dyDescent="0.25">
      <c r="A38" s="36">
        <v>29</v>
      </c>
      <c r="B38" s="39">
        <v>252</v>
      </c>
      <c r="C38" s="67" t="s">
        <v>56</v>
      </c>
      <c r="D38" s="68" t="s">
        <v>98</v>
      </c>
      <c r="E38" s="65" t="s">
        <v>13</v>
      </c>
      <c r="F38" s="92">
        <v>100</v>
      </c>
      <c r="G38" s="84">
        <v>52.98</v>
      </c>
      <c r="H38" s="58">
        <f t="shared" si="1"/>
        <v>5298</v>
      </c>
    </row>
    <row r="39" spans="1:8" ht="15.75" thickBot="1" x14ac:dyDescent="0.25">
      <c r="A39" s="36">
        <v>30</v>
      </c>
      <c r="B39" s="39">
        <v>252</v>
      </c>
      <c r="C39" s="67" t="s">
        <v>56</v>
      </c>
      <c r="D39" s="68" t="s">
        <v>99</v>
      </c>
      <c r="E39" s="65" t="s">
        <v>13</v>
      </c>
      <c r="F39" s="92">
        <v>150</v>
      </c>
      <c r="G39" s="84">
        <v>83.86</v>
      </c>
      <c r="H39" s="58">
        <f t="shared" si="1"/>
        <v>12579</v>
      </c>
    </row>
    <row r="40" spans="1:8" ht="15.75" thickBot="1" x14ac:dyDescent="0.25">
      <c r="A40" s="36">
        <v>31</v>
      </c>
      <c r="B40" s="39">
        <v>252</v>
      </c>
      <c r="C40" s="67" t="s">
        <v>56</v>
      </c>
      <c r="D40" s="68" t="s">
        <v>100</v>
      </c>
      <c r="E40" s="65" t="s">
        <v>13</v>
      </c>
      <c r="F40" s="92">
        <v>50</v>
      </c>
      <c r="G40" s="84">
        <v>28.89</v>
      </c>
      <c r="H40" s="58">
        <f t="shared" si="1"/>
        <v>1444.5</v>
      </c>
    </row>
    <row r="41" spans="1:8" ht="15.75" thickBot="1" x14ac:dyDescent="0.25">
      <c r="A41" s="36">
        <v>32</v>
      </c>
      <c r="B41" s="39">
        <v>252</v>
      </c>
      <c r="C41" s="67" t="s">
        <v>56</v>
      </c>
      <c r="D41" s="68" t="s">
        <v>101</v>
      </c>
      <c r="E41" s="65" t="s">
        <v>13</v>
      </c>
      <c r="F41" s="92">
        <v>50</v>
      </c>
      <c r="G41" s="84">
        <v>186.73</v>
      </c>
      <c r="H41" s="58">
        <f t="shared" si="1"/>
        <v>9336.5</v>
      </c>
    </row>
    <row r="42" spans="1:8" ht="15.75" thickBot="1" x14ac:dyDescent="0.25">
      <c r="A42" s="36">
        <v>33</v>
      </c>
      <c r="B42" s="39">
        <v>252</v>
      </c>
      <c r="C42" s="67" t="s">
        <v>56</v>
      </c>
      <c r="D42" s="68" t="s">
        <v>102</v>
      </c>
      <c r="E42" s="65" t="s">
        <v>13</v>
      </c>
      <c r="F42" s="92">
        <v>500</v>
      </c>
      <c r="G42" s="84">
        <v>1102.9100000000001</v>
      </c>
      <c r="H42" s="58">
        <f t="shared" si="1"/>
        <v>551455</v>
      </c>
    </row>
    <row r="43" spans="1:8" ht="15.75" thickBot="1" x14ac:dyDescent="0.25">
      <c r="A43" s="36">
        <v>34</v>
      </c>
      <c r="B43" s="39">
        <v>252</v>
      </c>
      <c r="C43" s="67" t="s">
        <v>56</v>
      </c>
      <c r="D43" s="68" t="s">
        <v>103</v>
      </c>
      <c r="E43" s="65" t="s">
        <v>13</v>
      </c>
      <c r="F43" s="92">
        <v>150</v>
      </c>
      <c r="G43" s="84">
        <v>248.97</v>
      </c>
      <c r="H43" s="58">
        <f t="shared" si="1"/>
        <v>37345.5</v>
      </c>
    </row>
    <row r="44" spans="1:8" ht="15.75" thickBot="1" x14ac:dyDescent="0.25">
      <c r="A44" s="36">
        <v>35</v>
      </c>
      <c r="B44" s="39">
        <v>252</v>
      </c>
      <c r="C44" s="67" t="s">
        <v>56</v>
      </c>
      <c r="D44" s="68" t="s">
        <v>104</v>
      </c>
      <c r="E44" s="65" t="s">
        <v>13</v>
      </c>
      <c r="F44" s="92">
        <v>25</v>
      </c>
      <c r="G44" s="84">
        <v>1113.45</v>
      </c>
      <c r="H44" s="58">
        <f t="shared" si="1"/>
        <v>27836.25</v>
      </c>
    </row>
    <row r="45" spans="1:8" ht="15.75" thickBot="1" x14ac:dyDescent="0.25">
      <c r="A45" s="36">
        <v>36</v>
      </c>
      <c r="B45" s="39">
        <v>252</v>
      </c>
      <c r="C45" s="67" t="s">
        <v>56</v>
      </c>
      <c r="D45" s="68" t="s">
        <v>105</v>
      </c>
      <c r="E45" s="65" t="s">
        <v>13</v>
      </c>
      <c r="F45" s="92">
        <v>100</v>
      </c>
      <c r="G45" s="84">
        <v>508.37</v>
      </c>
      <c r="H45" s="58">
        <f t="shared" si="1"/>
        <v>50837</v>
      </c>
    </row>
    <row r="46" spans="1:8" ht="15.75" thickBot="1" x14ac:dyDescent="0.25">
      <c r="A46" s="36">
        <v>37</v>
      </c>
      <c r="B46" s="39">
        <v>252</v>
      </c>
      <c r="C46" s="67" t="s">
        <v>56</v>
      </c>
      <c r="D46" s="68" t="s">
        <v>106</v>
      </c>
      <c r="E46" s="65" t="s">
        <v>13</v>
      </c>
      <c r="F46" s="92">
        <v>100</v>
      </c>
      <c r="G46" s="84">
        <v>2093.92</v>
      </c>
      <c r="H46" s="58">
        <f t="shared" si="1"/>
        <v>209392</v>
      </c>
    </row>
    <row r="47" spans="1:8" ht="15.75" thickBot="1" x14ac:dyDescent="0.25">
      <c r="A47" s="36">
        <v>38</v>
      </c>
      <c r="B47" s="39">
        <v>252</v>
      </c>
      <c r="C47" s="67" t="s">
        <v>56</v>
      </c>
      <c r="D47" s="68" t="s">
        <v>107</v>
      </c>
      <c r="E47" s="65" t="s">
        <v>13</v>
      </c>
      <c r="F47" s="92">
        <v>20</v>
      </c>
      <c r="G47" s="84">
        <v>417.92</v>
      </c>
      <c r="H47" s="58">
        <f t="shared" si="1"/>
        <v>8358.4</v>
      </c>
    </row>
    <row r="48" spans="1:8" ht="15.75" thickBot="1" x14ac:dyDescent="0.25">
      <c r="A48" s="36">
        <v>39</v>
      </c>
      <c r="B48" s="39">
        <v>252</v>
      </c>
      <c r="C48" s="67" t="s">
        <v>56</v>
      </c>
      <c r="D48" s="68" t="s">
        <v>108</v>
      </c>
      <c r="E48" s="65" t="s">
        <v>13</v>
      </c>
      <c r="F48" s="92">
        <v>100</v>
      </c>
      <c r="G48" s="84">
        <v>361.76</v>
      </c>
      <c r="H48" s="58">
        <f t="shared" si="1"/>
        <v>36176</v>
      </c>
    </row>
    <row r="49" spans="1:8" ht="15.75" thickBot="1" x14ac:dyDescent="0.25">
      <c r="A49" s="36">
        <v>40</v>
      </c>
      <c r="B49" s="39">
        <v>252</v>
      </c>
      <c r="C49" s="67" t="s">
        <v>56</v>
      </c>
      <c r="D49" s="68" t="s">
        <v>109</v>
      </c>
      <c r="E49" s="65" t="s">
        <v>13</v>
      </c>
      <c r="F49" s="92">
        <v>100</v>
      </c>
      <c r="G49" s="84">
        <v>510.72</v>
      </c>
      <c r="H49" s="58">
        <f t="shared" si="1"/>
        <v>51072</v>
      </c>
    </row>
    <row r="50" spans="1:8" ht="15.75" thickBot="1" x14ac:dyDescent="0.25">
      <c r="A50" s="36">
        <v>41</v>
      </c>
      <c r="B50" s="39">
        <v>252</v>
      </c>
      <c r="C50" s="67" t="s">
        <v>56</v>
      </c>
      <c r="D50" s="68" t="s">
        <v>110</v>
      </c>
      <c r="E50" s="65" t="s">
        <v>13</v>
      </c>
      <c r="F50" s="92">
        <v>100</v>
      </c>
      <c r="G50" s="84">
        <v>319.2</v>
      </c>
      <c r="H50" s="58">
        <f t="shared" si="1"/>
        <v>31920</v>
      </c>
    </row>
    <row r="51" spans="1:8" ht="15.75" thickBot="1" x14ac:dyDescent="0.25">
      <c r="A51" s="36">
        <v>42</v>
      </c>
      <c r="B51" s="39">
        <v>252</v>
      </c>
      <c r="C51" s="67" t="s">
        <v>56</v>
      </c>
      <c r="D51" s="68" t="s">
        <v>111</v>
      </c>
      <c r="E51" s="65" t="s">
        <v>13</v>
      </c>
      <c r="F51" s="92">
        <v>100</v>
      </c>
      <c r="G51" s="84">
        <v>383.04</v>
      </c>
      <c r="H51" s="58">
        <f t="shared" si="1"/>
        <v>38304</v>
      </c>
    </row>
    <row r="52" spans="1:8" ht="15.75" thickBot="1" x14ac:dyDescent="0.25">
      <c r="A52" s="36">
        <v>43</v>
      </c>
      <c r="B52" s="39">
        <v>252</v>
      </c>
      <c r="C52" s="67" t="s">
        <v>56</v>
      </c>
      <c r="D52" s="68" t="s">
        <v>112</v>
      </c>
      <c r="E52" s="65" t="s">
        <v>13</v>
      </c>
      <c r="F52" s="92">
        <v>500</v>
      </c>
      <c r="G52" s="84">
        <v>1017.18</v>
      </c>
      <c r="H52" s="58">
        <f t="shared" si="1"/>
        <v>508590</v>
      </c>
    </row>
    <row r="53" spans="1:8" ht="15.75" thickBot="1" x14ac:dyDescent="0.25">
      <c r="A53" s="36">
        <v>44</v>
      </c>
      <c r="B53" s="39">
        <v>252</v>
      </c>
      <c r="C53" s="67" t="s">
        <v>56</v>
      </c>
      <c r="D53" s="68" t="s">
        <v>113</v>
      </c>
      <c r="E53" s="65" t="s">
        <v>13</v>
      </c>
      <c r="F53" s="92">
        <v>25</v>
      </c>
      <c r="G53" s="84">
        <v>919.02</v>
      </c>
      <c r="H53" s="58">
        <f t="shared" si="1"/>
        <v>22975.5</v>
      </c>
    </row>
    <row r="54" spans="1:8" ht="15.75" thickBot="1" x14ac:dyDescent="0.25">
      <c r="A54" s="36">
        <v>45</v>
      </c>
      <c r="B54" s="39">
        <v>252</v>
      </c>
      <c r="C54" s="67" t="s">
        <v>56</v>
      </c>
      <c r="D54" s="68" t="s">
        <v>114</v>
      </c>
      <c r="E54" s="65" t="s">
        <v>13</v>
      </c>
      <c r="F54" s="92">
        <v>25</v>
      </c>
      <c r="G54" s="84">
        <v>101.81</v>
      </c>
      <c r="H54" s="58">
        <f t="shared" si="1"/>
        <v>2545.25</v>
      </c>
    </row>
    <row r="55" spans="1:8" ht="15.75" thickBot="1" x14ac:dyDescent="0.25">
      <c r="A55" s="36">
        <v>46</v>
      </c>
      <c r="B55" s="39">
        <v>252</v>
      </c>
      <c r="C55" s="67" t="s">
        <v>56</v>
      </c>
      <c r="D55" s="68" t="s">
        <v>115</v>
      </c>
      <c r="E55" s="65" t="s">
        <v>13</v>
      </c>
      <c r="F55" s="92">
        <v>400</v>
      </c>
      <c r="G55" s="84">
        <v>871.41</v>
      </c>
      <c r="H55" s="58">
        <f t="shared" si="1"/>
        <v>348564</v>
      </c>
    </row>
    <row r="56" spans="1:8" ht="15.75" thickBot="1" x14ac:dyDescent="0.25">
      <c r="A56" s="36">
        <v>47</v>
      </c>
      <c r="B56" s="39">
        <v>252</v>
      </c>
      <c r="C56" s="67" t="s">
        <v>56</v>
      </c>
      <c r="D56" s="68" t="s">
        <v>116</v>
      </c>
      <c r="E56" s="65" t="s">
        <v>13</v>
      </c>
      <c r="F56" s="92">
        <v>400</v>
      </c>
      <c r="G56" s="84">
        <v>523.41</v>
      </c>
      <c r="H56" s="58">
        <f t="shared" si="1"/>
        <v>209364</v>
      </c>
    </row>
    <row r="57" spans="1:8" ht="15.75" thickBot="1" x14ac:dyDescent="0.25">
      <c r="A57" s="36">
        <v>48</v>
      </c>
      <c r="B57" s="39">
        <v>252</v>
      </c>
      <c r="C57" s="67" t="s">
        <v>56</v>
      </c>
      <c r="D57" s="68" t="s">
        <v>118</v>
      </c>
      <c r="E57" s="65" t="s">
        <v>13</v>
      </c>
      <c r="F57" s="92">
        <v>400</v>
      </c>
      <c r="G57" s="84">
        <v>434.91</v>
      </c>
      <c r="H57" s="58">
        <f t="shared" ref="H57:H63" si="2">+F57*G57</f>
        <v>173964</v>
      </c>
    </row>
    <row r="58" spans="1:8" ht="15.75" thickBot="1" x14ac:dyDescent="0.25">
      <c r="A58" s="36">
        <v>49</v>
      </c>
      <c r="B58" s="39">
        <v>252</v>
      </c>
      <c r="C58" s="67" t="s">
        <v>56</v>
      </c>
      <c r="D58" s="68" t="s">
        <v>119</v>
      </c>
      <c r="E58" s="65" t="s">
        <v>13</v>
      </c>
      <c r="F58" s="92">
        <v>500</v>
      </c>
      <c r="G58" s="84">
        <v>127.68</v>
      </c>
      <c r="H58" s="58">
        <f t="shared" si="2"/>
        <v>63840</v>
      </c>
    </row>
    <row r="59" spans="1:8" ht="15.75" thickBot="1" x14ac:dyDescent="0.25">
      <c r="A59" s="36">
        <v>50</v>
      </c>
      <c r="B59" s="39">
        <v>252</v>
      </c>
      <c r="C59" s="67" t="s">
        <v>56</v>
      </c>
      <c r="D59" s="68" t="s">
        <v>120</v>
      </c>
      <c r="E59" s="65" t="s">
        <v>13</v>
      </c>
      <c r="F59" s="92">
        <v>1000</v>
      </c>
      <c r="G59" s="84">
        <v>10.199999999999999</v>
      </c>
      <c r="H59" s="58">
        <f t="shared" si="2"/>
        <v>10200</v>
      </c>
    </row>
    <row r="60" spans="1:8" ht="15.75" thickBot="1" x14ac:dyDescent="0.25">
      <c r="A60" s="36">
        <v>51</v>
      </c>
      <c r="B60" s="39">
        <v>252</v>
      </c>
      <c r="C60" s="67" t="s">
        <v>56</v>
      </c>
      <c r="D60" s="68" t="s">
        <v>121</v>
      </c>
      <c r="E60" s="65" t="s">
        <v>13</v>
      </c>
      <c r="F60" s="92">
        <v>100</v>
      </c>
      <c r="G60" s="84">
        <v>968.34</v>
      </c>
      <c r="H60" s="58">
        <f t="shared" si="2"/>
        <v>96834</v>
      </c>
    </row>
    <row r="61" spans="1:8" ht="15.75" thickBot="1" x14ac:dyDescent="0.25">
      <c r="A61" s="36">
        <v>52</v>
      </c>
      <c r="B61" s="39">
        <v>252</v>
      </c>
      <c r="C61" s="67" t="s">
        <v>56</v>
      </c>
      <c r="D61" s="68" t="s">
        <v>122</v>
      </c>
      <c r="E61" s="65" t="s">
        <v>13</v>
      </c>
      <c r="F61" s="92">
        <v>100</v>
      </c>
      <c r="G61" s="84">
        <v>400.14</v>
      </c>
      <c r="H61" s="58">
        <f t="shared" si="2"/>
        <v>40014</v>
      </c>
    </row>
    <row r="62" spans="1:8" ht="15.75" thickBot="1" x14ac:dyDescent="0.25">
      <c r="A62" s="36">
        <v>53</v>
      </c>
      <c r="B62" s="39">
        <v>252</v>
      </c>
      <c r="C62" s="67" t="s">
        <v>56</v>
      </c>
      <c r="D62" s="68" t="s">
        <v>123</v>
      </c>
      <c r="E62" s="65" t="s">
        <v>13</v>
      </c>
      <c r="F62" s="92">
        <v>3000</v>
      </c>
      <c r="G62" s="84">
        <v>139.32</v>
      </c>
      <c r="H62" s="58">
        <f t="shared" si="2"/>
        <v>417960</v>
      </c>
    </row>
    <row r="63" spans="1:8" ht="15" x14ac:dyDescent="0.2">
      <c r="A63" s="36">
        <v>54</v>
      </c>
      <c r="B63" s="39">
        <v>252</v>
      </c>
      <c r="C63" s="67" t="s">
        <v>56</v>
      </c>
      <c r="D63" s="68" t="s">
        <v>124</v>
      </c>
      <c r="E63" s="65" t="s">
        <v>13</v>
      </c>
      <c r="F63" s="92">
        <v>300</v>
      </c>
      <c r="G63" s="84">
        <v>120</v>
      </c>
      <c r="H63" s="58">
        <f t="shared" si="2"/>
        <v>36000</v>
      </c>
    </row>
    <row r="65" spans="2:7" ht="13.5" thickBot="1" x14ac:dyDescent="0.25"/>
    <row r="66" spans="2:7" x14ac:dyDescent="0.2">
      <c r="B66" s="69" t="s">
        <v>62</v>
      </c>
      <c r="C66" s="70"/>
      <c r="D66" s="70"/>
      <c r="E66" s="71"/>
      <c r="F66" s="93"/>
      <c r="G66" s="85"/>
    </row>
    <row r="67" spans="2:7" ht="12.75" customHeight="1" x14ac:dyDescent="0.2">
      <c r="B67" s="99" t="s">
        <v>63</v>
      </c>
      <c r="C67" s="100"/>
      <c r="D67" s="100"/>
      <c r="E67" s="101"/>
      <c r="F67" s="93"/>
      <c r="G67" s="85"/>
    </row>
    <row r="68" spans="2:7" ht="26.25" customHeight="1" x14ac:dyDescent="0.2">
      <c r="B68" s="99"/>
      <c r="C68" s="100"/>
      <c r="D68" s="100"/>
      <c r="E68" s="101"/>
      <c r="F68" s="93"/>
      <c r="G68" s="85"/>
    </row>
    <row r="69" spans="2:7" ht="26.25" customHeight="1" x14ac:dyDescent="0.2">
      <c r="B69" s="99" t="s">
        <v>69</v>
      </c>
      <c r="C69" s="100"/>
      <c r="D69" s="100"/>
      <c r="E69" s="101"/>
      <c r="F69" s="93"/>
      <c r="G69" s="85"/>
    </row>
    <row r="70" spans="2:7" ht="26.25" customHeight="1" x14ac:dyDescent="0.2">
      <c r="B70" s="99" t="s">
        <v>64</v>
      </c>
      <c r="C70" s="100"/>
      <c r="D70" s="100"/>
      <c r="E70" s="101"/>
      <c r="F70" s="93"/>
      <c r="G70" s="85"/>
    </row>
    <row r="71" spans="2:7" x14ac:dyDescent="0.2">
      <c r="B71" s="72" t="s">
        <v>67</v>
      </c>
      <c r="C71" s="73"/>
      <c r="D71" s="74"/>
      <c r="E71" s="75"/>
      <c r="F71" s="93"/>
      <c r="G71" s="85"/>
    </row>
    <row r="72" spans="2:7" ht="26.25" customHeight="1" x14ac:dyDescent="0.2">
      <c r="B72" s="76"/>
      <c r="C72" s="102" t="s">
        <v>65</v>
      </c>
      <c r="D72" s="102"/>
      <c r="E72" s="102"/>
      <c r="F72" s="93"/>
      <c r="G72" s="85"/>
    </row>
    <row r="73" spans="2:7" ht="13.5" thickBot="1" x14ac:dyDescent="0.25">
      <c r="B73" s="77"/>
      <c r="C73" s="78"/>
      <c r="D73" s="78"/>
      <c r="E73" s="79"/>
      <c r="F73" s="93"/>
      <c r="G73" s="85"/>
    </row>
    <row r="74" spans="2:7" x14ac:dyDescent="0.2">
      <c r="F74" s="93"/>
      <c r="G74" s="85"/>
    </row>
  </sheetData>
  <autoFilter ref="A9:H56" xr:uid="{00000000-0009-0000-0000-000000000000}"/>
  <sortState xmlns:xlrd2="http://schemas.microsoft.com/office/spreadsheetml/2017/richdata2" ref="D454:H576">
    <sortCondition ref="H576"/>
  </sortState>
  <mergeCells count="11">
    <mergeCell ref="B67:E68"/>
    <mergeCell ref="B70:E70"/>
    <mergeCell ref="C72:E72"/>
    <mergeCell ref="A6:B6"/>
    <mergeCell ref="A7:B7"/>
    <mergeCell ref="B69:E69"/>
    <mergeCell ref="B2:G2"/>
    <mergeCell ref="A4:B4"/>
    <mergeCell ref="C4:D4"/>
    <mergeCell ref="A5:B5"/>
    <mergeCell ref="C5:D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66"/>
  <sheetViews>
    <sheetView topLeftCell="A53" zoomScaleNormal="100" workbookViewId="0">
      <selection activeCell="I23" sqref="I23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103" t="s">
        <v>14</v>
      </c>
      <c r="B1" s="103"/>
      <c r="C1" s="103"/>
      <c r="D1" s="103"/>
      <c r="E1" s="103"/>
      <c r="F1" s="40" t="s">
        <v>15</v>
      </c>
      <c r="G1" s="94" t="s">
        <v>117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04" t="s">
        <v>49</v>
      </c>
      <c r="B3" s="104"/>
      <c r="C3" s="104"/>
      <c r="D3" s="106" t="str">
        <f>'[1]Necesidades Trimestrales'!C4</f>
        <v>040 - Ministerio de Salud</v>
      </c>
      <c r="E3" s="107"/>
      <c r="F3" s="107"/>
      <c r="G3" s="108"/>
    </row>
    <row r="4" spans="1:7" ht="18.75" customHeight="1" thickBot="1" x14ac:dyDescent="0.25">
      <c r="A4" s="105" t="s">
        <v>50</v>
      </c>
      <c r="B4" s="105"/>
      <c r="C4" s="105"/>
      <c r="D4" s="112" t="str">
        <f>'[1]Necesidades Trimestrales'!C5</f>
        <v>024 - Hospital Interzonal de Niños</v>
      </c>
      <c r="E4" s="112"/>
      <c r="F4" s="112"/>
      <c r="G4" s="112"/>
    </row>
    <row r="5" spans="1:7" ht="18.75" customHeight="1" thickBot="1" x14ac:dyDescent="0.25">
      <c r="A5" s="105" t="s">
        <v>28</v>
      </c>
      <c r="B5" s="105"/>
      <c r="C5" s="105"/>
      <c r="D5" s="112" t="s">
        <v>52</v>
      </c>
      <c r="E5" s="112"/>
      <c r="F5" s="112"/>
      <c r="G5" s="112"/>
    </row>
    <row r="6" spans="1:7" ht="16.5" customHeight="1" thickBot="1" x14ac:dyDescent="0.25">
      <c r="A6" s="104" t="s">
        <v>51</v>
      </c>
      <c r="B6" s="104"/>
      <c r="C6" s="104"/>
      <c r="D6" s="112" t="s">
        <v>59</v>
      </c>
      <c r="E6" s="112"/>
      <c r="F6" s="112"/>
      <c r="G6" s="112"/>
    </row>
    <row r="7" spans="1:7" ht="16.5" customHeight="1" thickBot="1" x14ac:dyDescent="0.25">
      <c r="A7" s="105" t="s">
        <v>16</v>
      </c>
      <c r="B7" s="105"/>
      <c r="C7" s="105"/>
      <c r="D7" s="112" t="s">
        <v>68</v>
      </c>
      <c r="E7" s="112"/>
      <c r="F7" s="112"/>
      <c r="G7" s="112"/>
    </row>
    <row r="8" spans="1:7" ht="16.5" customHeight="1" thickBot="1" x14ac:dyDescent="0.25">
      <c r="A8" s="114" t="s">
        <v>17</v>
      </c>
      <c r="B8" s="114"/>
      <c r="C8" s="114"/>
      <c r="D8" s="113" t="s">
        <v>60</v>
      </c>
      <c r="E8" s="113"/>
      <c r="F8" s="113"/>
      <c r="G8" s="113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15" t="s">
        <v>18</v>
      </c>
      <c r="B10" s="116" t="s">
        <v>19</v>
      </c>
      <c r="C10" s="116" t="s">
        <v>20</v>
      </c>
      <c r="D10" s="116" t="s">
        <v>21</v>
      </c>
      <c r="E10" s="116" t="s">
        <v>22</v>
      </c>
      <c r="F10" s="116" t="s">
        <v>23</v>
      </c>
      <c r="G10" s="117" t="s">
        <v>24</v>
      </c>
    </row>
    <row r="11" spans="1:7" ht="24" customHeight="1" thickBot="1" x14ac:dyDescent="0.25">
      <c r="A11" s="115"/>
      <c r="B11" s="116"/>
      <c r="C11" s="116"/>
      <c r="D11" s="116"/>
      <c r="E11" s="116"/>
      <c r="F11" s="116"/>
      <c r="G11" s="117"/>
    </row>
    <row r="12" spans="1:7" ht="27.75" customHeight="1" thickBot="1" x14ac:dyDescent="0.25">
      <c r="A12" s="47">
        <v>1</v>
      </c>
      <c r="B12" s="48">
        <v>252</v>
      </c>
      <c r="C12" s="48" t="str">
        <f>'Necesidades Trimestrales'!D10</f>
        <v>ACICLOVIR   8%/100 ML. SUSP. X 120 ML X 1</v>
      </c>
      <c r="D12" s="49" t="s">
        <v>55</v>
      </c>
      <c r="E12" s="50" t="str">
        <f>'Necesidades Trimestrales'!E10</f>
        <v>UNIDAD</v>
      </c>
      <c r="F12" s="51">
        <f>+'Necesidades Trimestrales'!G10</f>
        <v>1391.26</v>
      </c>
      <c r="G12" s="52">
        <f>+'Necesidades Trimestrales'!F10</f>
        <v>25</v>
      </c>
    </row>
    <row r="13" spans="1:7" ht="20.25" customHeight="1" thickBot="1" x14ac:dyDescent="0.25">
      <c r="A13" s="47">
        <v>2</v>
      </c>
      <c r="B13" s="53">
        <f>'Necesidades Trimestrales'!B11</f>
        <v>252</v>
      </c>
      <c r="C13" s="48" t="str">
        <f>'Necesidades Trimestrales'!D11</f>
        <v>ACICLOVIR 500 MG INY X 1 FCO/AMP.</v>
      </c>
      <c r="D13" s="54" t="s">
        <v>55</v>
      </c>
      <c r="E13" s="55" t="str">
        <f>'Necesidades Trimestrales'!E11</f>
        <v>UNIDAD</v>
      </c>
      <c r="F13" s="51">
        <f>+'Necesidades Trimestrales'!G11</f>
        <v>915.04</v>
      </c>
      <c r="G13" s="52">
        <f>+'Necesidades Trimestrales'!F11</f>
        <v>500</v>
      </c>
    </row>
    <row r="14" spans="1:7" ht="20.25" customHeight="1" thickBot="1" x14ac:dyDescent="0.25">
      <c r="A14" s="47">
        <v>3</v>
      </c>
      <c r="B14" s="53">
        <f>'Necesidades Trimestrales'!B12</f>
        <v>252</v>
      </c>
      <c r="C14" s="48" t="str">
        <f>'Necesidades Trimestrales'!D12</f>
        <v>AMIKACINA 500 MG.AMP.X 2 ML</v>
      </c>
      <c r="D14" s="54" t="s">
        <v>55</v>
      </c>
      <c r="E14" s="55" t="str">
        <f>'Necesidades Trimestrales'!E12</f>
        <v>UNIDAD</v>
      </c>
      <c r="F14" s="51">
        <f>+'Necesidades Trimestrales'!G12</f>
        <v>241.68</v>
      </c>
      <c r="G14" s="52">
        <f>+'Necesidades Trimestrales'!F12</f>
        <v>250</v>
      </c>
    </row>
    <row r="15" spans="1:7" ht="20.25" customHeight="1" thickBot="1" x14ac:dyDescent="0.25">
      <c r="A15" s="47">
        <v>4</v>
      </c>
      <c r="B15" s="53">
        <v>252</v>
      </c>
      <c r="C15" s="48" t="str">
        <f>'Necesidades Trimestrales'!D13</f>
        <v>AMOXI,500 MG+ACIDO CLAVULANICO SUSP.X 120 ML.</v>
      </c>
      <c r="D15" s="54" t="s">
        <v>55</v>
      </c>
      <c r="E15" s="55" t="str">
        <f>'Necesidades Trimestrales'!E13</f>
        <v>UNIDAD</v>
      </c>
      <c r="F15" s="51">
        <f>+'Necesidades Trimestrales'!G13</f>
        <v>861.84</v>
      </c>
      <c r="G15" s="52">
        <f>+'Necesidades Trimestrales'!F13</f>
        <v>100</v>
      </c>
    </row>
    <row r="16" spans="1:7" ht="20.25" customHeight="1" thickBot="1" x14ac:dyDescent="0.25">
      <c r="A16" s="47">
        <v>5</v>
      </c>
      <c r="B16" s="53">
        <f>'Necesidades Trimestrales'!B14</f>
        <v>252</v>
      </c>
      <c r="C16" s="48" t="str">
        <f>'Necesidades Trimestrales'!D14</f>
        <v>AMOXI+CLAVULANICO 500 MG COMP.X 1</v>
      </c>
      <c r="D16" s="54" t="s">
        <v>55</v>
      </c>
      <c r="E16" s="55" t="str">
        <f>'Necesidades Trimestrales'!E14</f>
        <v>UNIDAD</v>
      </c>
      <c r="F16" s="51">
        <f>+'Necesidades Trimestrales'!G14</f>
        <v>46.05</v>
      </c>
      <c r="G16" s="52">
        <f>+'Necesidades Trimestrales'!F14</f>
        <v>1500</v>
      </c>
    </row>
    <row r="17" spans="1:7" ht="20.25" customHeight="1" thickBot="1" x14ac:dyDescent="0.25">
      <c r="A17" s="47">
        <v>6</v>
      </c>
      <c r="B17" s="53">
        <f>'Necesidades Trimestrales'!B15</f>
        <v>252</v>
      </c>
      <c r="C17" s="48" t="str">
        <f>'Necesidades Trimestrales'!D15</f>
        <v>AMOXICILINA 500 MG COMP.X 1</v>
      </c>
      <c r="D17" s="54" t="s">
        <v>55</v>
      </c>
      <c r="E17" s="55" t="str">
        <f>'Necesidades Trimestrales'!E15</f>
        <v>UNIDAD</v>
      </c>
      <c r="F17" s="51">
        <f>+'Necesidades Trimestrales'!G15</f>
        <v>18.260000000000002</v>
      </c>
      <c r="G17" s="52">
        <f>+'Necesidades Trimestrales'!F15</f>
        <v>1500</v>
      </c>
    </row>
    <row r="18" spans="1:7" ht="20.25" customHeight="1" thickBot="1" x14ac:dyDescent="0.25">
      <c r="A18" s="47">
        <v>7</v>
      </c>
      <c r="B18" s="53">
        <f>'Necesidades Trimestrales'!B16</f>
        <v>252</v>
      </c>
      <c r="C18" s="48" t="str">
        <f>'Necesidades Trimestrales'!D16</f>
        <v>AMPICILINA 500 MG.F/A</v>
      </c>
      <c r="D18" s="54" t="s">
        <v>55</v>
      </c>
      <c r="E18" s="55" t="str">
        <f>'Necesidades Trimestrales'!E16</f>
        <v>UNIDAD</v>
      </c>
      <c r="F18" s="51">
        <f>+'Necesidades Trimestrales'!G16</f>
        <v>268.33</v>
      </c>
      <c r="G18" s="52">
        <f>+'Necesidades Trimestrales'!F16</f>
        <v>1500</v>
      </c>
    </row>
    <row r="19" spans="1:7" ht="20.25" customHeight="1" thickBot="1" x14ac:dyDescent="0.25">
      <c r="A19" s="47">
        <v>8</v>
      </c>
      <c r="B19" s="53">
        <f>'Necesidades Trimestrales'!B17</f>
        <v>252</v>
      </c>
      <c r="C19" s="48" t="str">
        <f>'Necesidades Trimestrales'!D17</f>
        <v>ANFOTERICINA B F/A X1 50MG</v>
      </c>
      <c r="D19" s="54" t="s">
        <v>55</v>
      </c>
      <c r="E19" s="55" t="str">
        <f>'Necesidades Trimestrales'!E17</f>
        <v>UNIDAD</v>
      </c>
      <c r="F19" s="51">
        <f>+'Necesidades Trimestrales'!G17</f>
        <v>3694.82</v>
      </c>
      <c r="G19" s="52">
        <f>+'Necesidades Trimestrales'!F17</f>
        <v>50</v>
      </c>
    </row>
    <row r="20" spans="1:7" ht="20.25" customHeight="1" thickBot="1" x14ac:dyDescent="0.25">
      <c r="A20" s="47">
        <v>9</v>
      </c>
      <c r="B20" s="53">
        <f>'Necesidades Trimestrales'!B18</f>
        <v>252</v>
      </c>
      <c r="C20" s="48" t="str">
        <f>'Necesidades Trimestrales'!D18</f>
        <v>AZITROMICINA 500 MG.COMP.X 1</v>
      </c>
      <c r="D20" s="54" t="s">
        <v>55</v>
      </c>
      <c r="E20" s="55" t="str">
        <f>'Necesidades Trimestrales'!E18</f>
        <v>UNIDAD</v>
      </c>
      <c r="F20" s="51">
        <f>+'Necesidades Trimestrales'!G18</f>
        <v>93.6</v>
      </c>
      <c r="G20" s="52">
        <f>+'Necesidades Trimestrales'!F18</f>
        <v>1500</v>
      </c>
    </row>
    <row r="21" spans="1:7" ht="20.25" customHeight="1" thickBot="1" x14ac:dyDescent="0.25">
      <c r="A21" s="47">
        <v>10</v>
      </c>
      <c r="B21" s="53">
        <f>'Necesidades Trimestrales'!B19</f>
        <v>252</v>
      </c>
      <c r="C21" s="48" t="str">
        <f>'Necesidades Trimestrales'!D19</f>
        <v>CEFALEXINA 500 MG. COMP. X 1</v>
      </c>
      <c r="D21" s="54" t="s">
        <v>55</v>
      </c>
      <c r="E21" s="55" t="str">
        <f>'Necesidades Trimestrales'!E19</f>
        <v>UNIDAD</v>
      </c>
      <c r="F21" s="51">
        <f>+'Necesidades Trimestrales'!G19</f>
        <v>36.36</v>
      </c>
      <c r="G21" s="52">
        <f>+'Necesidades Trimestrales'!F19</f>
        <v>1500</v>
      </c>
    </row>
    <row r="22" spans="1:7" ht="20.25" customHeight="1" thickBot="1" x14ac:dyDescent="0.25">
      <c r="A22" s="47">
        <v>11</v>
      </c>
      <c r="B22" s="53">
        <f>'Necesidades Trimestrales'!B20</f>
        <v>252</v>
      </c>
      <c r="C22" s="48" t="str">
        <f>'Necesidades Trimestrales'!D20</f>
        <v>CEFALEXINA 500 MG.X 90 ML.SUSP.</v>
      </c>
      <c r="D22" s="54" t="s">
        <v>55</v>
      </c>
      <c r="E22" s="55" t="str">
        <f>'Necesidades Trimestrales'!E20</f>
        <v>UNIDAD</v>
      </c>
      <c r="F22" s="51">
        <f>+'Necesidades Trimestrales'!G20</f>
        <v>530.46</v>
      </c>
      <c r="G22" s="52">
        <f>+'Necesidades Trimestrales'!F20</f>
        <v>100</v>
      </c>
    </row>
    <row r="23" spans="1:7" ht="20.25" customHeight="1" thickBot="1" x14ac:dyDescent="0.25">
      <c r="A23" s="47">
        <v>12</v>
      </c>
      <c r="B23" s="53">
        <f>'Necesidades Trimestrales'!B21</f>
        <v>252</v>
      </c>
      <c r="C23" s="48" t="str">
        <f>'Necesidades Trimestrales'!D21</f>
        <v>CEFALOTINA 1 GR.F/A.X 1</v>
      </c>
      <c r="D23" s="54" t="s">
        <v>55</v>
      </c>
      <c r="E23" s="55" t="str">
        <f>'Necesidades Trimestrales'!E21</f>
        <v>UNIDAD</v>
      </c>
      <c r="F23" s="51">
        <f>+'Necesidades Trimestrales'!G21</f>
        <v>485.18</v>
      </c>
      <c r="G23" s="52">
        <f>+'Necesidades Trimestrales'!F21</f>
        <v>1000</v>
      </c>
    </row>
    <row r="24" spans="1:7" ht="20.25" customHeight="1" thickBot="1" x14ac:dyDescent="0.25">
      <c r="A24" s="47">
        <v>13</v>
      </c>
      <c r="B24" s="53">
        <f>'Necesidades Trimestrales'!B22</f>
        <v>252</v>
      </c>
      <c r="C24" s="48" t="str">
        <f>'Necesidades Trimestrales'!D22</f>
        <v>CEFAZOLINA 1G F/A</v>
      </c>
      <c r="D24" s="54" t="s">
        <v>55</v>
      </c>
      <c r="E24" s="55" t="str">
        <f>'Necesidades Trimestrales'!E22</f>
        <v>UNIDAD</v>
      </c>
      <c r="F24" s="51">
        <f>+'Necesidades Trimestrales'!G22</f>
        <v>550.21</v>
      </c>
      <c r="G24" s="52">
        <f>+'Necesidades Trimestrales'!F22</f>
        <v>100</v>
      </c>
    </row>
    <row r="25" spans="1:7" ht="20.25" customHeight="1" thickBot="1" x14ac:dyDescent="0.25">
      <c r="A25" s="47">
        <v>14</v>
      </c>
      <c r="B25" s="53">
        <f>'Necesidades Trimestrales'!B23</f>
        <v>252</v>
      </c>
      <c r="C25" s="48" t="str">
        <f>'Necesidades Trimestrales'!D23</f>
        <v>CEFEPIME 1G F/A</v>
      </c>
      <c r="D25" s="54" t="s">
        <v>55</v>
      </c>
      <c r="E25" s="55" t="str">
        <f>'Necesidades Trimestrales'!E23</f>
        <v>UNIDAD</v>
      </c>
      <c r="F25" s="51">
        <f>+'Necesidades Trimestrales'!G23</f>
        <v>1463.08</v>
      </c>
      <c r="G25" s="52">
        <f>+'Necesidades Trimestrales'!F23</f>
        <v>100</v>
      </c>
    </row>
    <row r="26" spans="1:7" ht="20.25" customHeight="1" thickBot="1" x14ac:dyDescent="0.25">
      <c r="A26" s="47">
        <v>15</v>
      </c>
      <c r="B26" s="53">
        <f>'Necesidades Trimestrales'!B24</f>
        <v>252</v>
      </c>
      <c r="C26" s="48" t="str">
        <f>'Necesidades Trimestrales'!D24</f>
        <v>CEFOTAXINA 500 MG.F/A X 1</v>
      </c>
      <c r="D26" s="54" t="s">
        <v>55</v>
      </c>
      <c r="E26" s="55" t="str">
        <f>'Necesidades Trimestrales'!E24</f>
        <v>UNIDAD</v>
      </c>
      <c r="F26" s="51">
        <f>+'Necesidades Trimestrales'!G24</f>
        <v>412.69</v>
      </c>
      <c r="G26" s="52">
        <f>+'Necesidades Trimestrales'!F24</f>
        <v>100</v>
      </c>
    </row>
    <row r="27" spans="1:7" ht="20.25" customHeight="1" thickBot="1" x14ac:dyDescent="0.25">
      <c r="A27" s="47">
        <v>16</v>
      </c>
      <c r="B27" s="53">
        <f>'Necesidades Trimestrales'!B25</f>
        <v>252</v>
      </c>
      <c r="C27" s="48" t="str">
        <f>'Necesidades Trimestrales'!D25</f>
        <v>CEFTAZIDIMA 1 GR.F/A X 1</v>
      </c>
      <c r="D27" s="54" t="s">
        <v>55</v>
      </c>
      <c r="E27" s="55" t="str">
        <f>'Necesidades Trimestrales'!E25</f>
        <v>UNIDAD</v>
      </c>
      <c r="F27" s="51">
        <f>+'Necesidades Trimestrales'!G25</f>
        <v>515.41</v>
      </c>
      <c r="G27" s="52">
        <f>+'Necesidades Trimestrales'!F25</f>
        <v>150</v>
      </c>
    </row>
    <row r="28" spans="1:7" ht="20.25" customHeight="1" thickBot="1" x14ac:dyDescent="0.25">
      <c r="A28" s="47">
        <v>17</v>
      </c>
      <c r="B28" s="53">
        <f>'Necesidades Trimestrales'!B26</f>
        <v>252</v>
      </c>
      <c r="C28" s="48" t="str">
        <f>'Necesidades Trimestrales'!D26</f>
        <v>CEFTRIAXONA 1 GR.F/A</v>
      </c>
      <c r="D28" s="54" t="s">
        <v>55</v>
      </c>
      <c r="E28" s="55" t="str">
        <f>'Necesidades Trimestrales'!E26</f>
        <v>UNIDAD</v>
      </c>
      <c r="F28" s="51">
        <f>+'Necesidades Trimestrales'!G26</f>
        <v>364.99</v>
      </c>
      <c r="G28" s="52">
        <f>+'Necesidades Trimestrales'!F26</f>
        <v>5000</v>
      </c>
    </row>
    <row r="29" spans="1:7" ht="20.25" customHeight="1" thickBot="1" x14ac:dyDescent="0.25">
      <c r="A29" s="47">
        <v>18</v>
      </c>
      <c r="B29" s="53">
        <f>'Necesidades Trimestrales'!B27</f>
        <v>252</v>
      </c>
      <c r="C29" s="48" t="str">
        <f>'Necesidades Trimestrales'!D27</f>
        <v>CIPROFLOXACINA 200 MG.E.V X 100 ML</v>
      </c>
      <c r="D29" s="54" t="s">
        <v>55</v>
      </c>
      <c r="E29" s="55" t="str">
        <f>'Necesidades Trimestrales'!E27</f>
        <v>UNIDAD</v>
      </c>
      <c r="F29" s="51">
        <f>+'Necesidades Trimestrales'!G27</f>
        <v>211.85</v>
      </c>
      <c r="G29" s="52">
        <f>+'Necesidades Trimestrales'!F27</f>
        <v>100</v>
      </c>
    </row>
    <row r="30" spans="1:7" ht="20.25" customHeight="1" thickBot="1" x14ac:dyDescent="0.25">
      <c r="A30" s="47">
        <v>19</v>
      </c>
      <c r="B30" s="53">
        <f>'Necesidades Trimestrales'!B28</f>
        <v>252</v>
      </c>
      <c r="C30" s="48" t="str">
        <f>'Necesidades Trimestrales'!D28</f>
        <v>CIPROFLOXACINA 500 MG.COMP X 1</v>
      </c>
      <c r="D30" s="54" t="s">
        <v>55</v>
      </c>
      <c r="E30" s="55" t="str">
        <f>'Necesidades Trimestrales'!E28</f>
        <v>UNIDAD</v>
      </c>
      <c r="F30" s="51">
        <f>+'Necesidades Trimestrales'!G28</f>
        <v>25.13</v>
      </c>
      <c r="G30" s="52">
        <f>+'Necesidades Trimestrales'!F28</f>
        <v>1000</v>
      </c>
    </row>
    <row r="31" spans="1:7" ht="20.25" customHeight="1" thickBot="1" x14ac:dyDescent="0.25">
      <c r="A31" s="47">
        <v>20</v>
      </c>
      <c r="B31" s="53">
        <f>'Necesidades Trimestrales'!B29</f>
        <v>252</v>
      </c>
      <c r="C31" s="48" t="str">
        <f>'Necesidades Trimestrales'!D29</f>
        <v>CLARITROMICINA 250 MG/5 ML.SUSP. X 60 ML.</v>
      </c>
      <c r="D31" s="54" t="s">
        <v>55</v>
      </c>
      <c r="E31" s="55" t="str">
        <f>'Necesidades Trimestrales'!E29</f>
        <v>UNIDAD</v>
      </c>
      <c r="F31" s="51">
        <f>+'Necesidades Trimestrales'!G29</f>
        <v>1227.0899999999999</v>
      </c>
      <c r="G31" s="52">
        <f>+'Necesidades Trimestrales'!F29</f>
        <v>100</v>
      </c>
    </row>
    <row r="32" spans="1:7" ht="20.25" customHeight="1" thickBot="1" x14ac:dyDescent="0.25">
      <c r="A32" s="47">
        <v>21</v>
      </c>
      <c r="B32" s="53">
        <f>'Necesidades Trimestrales'!B30</f>
        <v>252</v>
      </c>
      <c r="C32" s="48" t="str">
        <f>'Necesidades Trimestrales'!D30</f>
        <v>CLARITROMICINA 500 MG.IV INY.F/A</v>
      </c>
      <c r="D32" s="54" t="s">
        <v>55</v>
      </c>
      <c r="E32" s="55" t="str">
        <f>'Necesidades Trimestrales'!E30</f>
        <v>UNIDAD</v>
      </c>
      <c r="F32" s="51">
        <f>+'Necesidades Trimestrales'!G30</f>
        <v>3044.87</v>
      </c>
      <c r="G32" s="52">
        <f>+'Necesidades Trimestrales'!F30</f>
        <v>100</v>
      </c>
    </row>
    <row r="33" spans="1:7" ht="20.25" customHeight="1" thickBot="1" x14ac:dyDescent="0.25">
      <c r="A33" s="47">
        <v>22</v>
      </c>
      <c r="B33" s="53">
        <f>'Necesidades Trimestrales'!B31</f>
        <v>252</v>
      </c>
      <c r="C33" s="48" t="str">
        <f>'Necesidades Trimestrales'!D31</f>
        <v>CLINDAMICINA 300MG CAPS.X 1</v>
      </c>
      <c r="D33" s="54" t="s">
        <v>55</v>
      </c>
      <c r="E33" s="55" t="str">
        <f>'Necesidades Trimestrales'!E31</f>
        <v>UNIDAD</v>
      </c>
      <c r="F33" s="51">
        <f>+'Necesidades Trimestrales'!G31</f>
        <v>62.79</v>
      </c>
      <c r="G33" s="52">
        <f>+'Necesidades Trimestrales'!F31</f>
        <v>500</v>
      </c>
    </row>
    <row r="34" spans="1:7" ht="20.25" customHeight="1" thickBot="1" x14ac:dyDescent="0.25">
      <c r="A34" s="47">
        <v>23</v>
      </c>
      <c r="B34" s="53">
        <f>'Necesidades Trimestrales'!B32</f>
        <v>252</v>
      </c>
      <c r="C34" s="48" t="str">
        <f>'Necesidades Trimestrales'!D32</f>
        <v>CLINDAMICINA 600 MG.X 4 ML.X 1</v>
      </c>
      <c r="D34" s="54" t="s">
        <v>55</v>
      </c>
      <c r="E34" s="55" t="str">
        <f>'Necesidades Trimestrales'!E32</f>
        <v>UNIDAD</v>
      </c>
      <c r="F34" s="51">
        <f>+'Necesidades Trimestrales'!G32</f>
        <v>238.06</v>
      </c>
      <c r="G34" s="52">
        <f>+'Necesidades Trimestrales'!F32</f>
        <v>3000</v>
      </c>
    </row>
    <row r="35" spans="1:7" ht="20.25" customHeight="1" thickBot="1" x14ac:dyDescent="0.25">
      <c r="A35" s="47">
        <v>24</v>
      </c>
      <c r="B35" s="53">
        <f>'Necesidades Trimestrales'!B33</f>
        <v>252</v>
      </c>
      <c r="C35" s="48" t="str">
        <f>'Necesidades Trimestrales'!D33</f>
        <v>COTRIMOXAZOL 4 GR/0.8 SUSP. X 60 ML.</v>
      </c>
      <c r="D35" s="54" t="s">
        <v>55</v>
      </c>
      <c r="E35" s="55" t="str">
        <f>'Necesidades Trimestrales'!E33</f>
        <v>UNIDAD</v>
      </c>
      <c r="F35" s="51">
        <f>+'Necesidades Trimestrales'!G33</f>
        <v>266.76</v>
      </c>
      <c r="G35" s="52">
        <f>+'Necesidades Trimestrales'!F33</f>
        <v>150</v>
      </c>
    </row>
    <row r="36" spans="1:7" ht="20.25" customHeight="1" thickBot="1" x14ac:dyDescent="0.25">
      <c r="A36" s="47">
        <v>25</v>
      </c>
      <c r="B36" s="53">
        <f>'Necesidades Trimestrales'!B34</f>
        <v>252</v>
      </c>
      <c r="C36" s="48" t="str">
        <f>'Necesidades Trimestrales'!D34</f>
        <v>FLUCONAZOL 150 MG COMP. X 1</v>
      </c>
      <c r="D36" s="54" t="s">
        <v>55</v>
      </c>
      <c r="E36" s="55" t="str">
        <f>'Necesidades Trimestrales'!E34</f>
        <v>UNIDAD</v>
      </c>
      <c r="F36" s="51">
        <f>+'Necesidades Trimestrales'!G34</f>
        <v>36.03</v>
      </c>
      <c r="G36" s="52">
        <f>+'Necesidades Trimestrales'!F34</f>
        <v>150</v>
      </c>
    </row>
    <row r="37" spans="1:7" ht="20.25" customHeight="1" thickBot="1" x14ac:dyDescent="0.25">
      <c r="A37" s="47">
        <v>26</v>
      </c>
      <c r="B37" s="53">
        <f>'Necesidades Trimestrales'!B35</f>
        <v>252</v>
      </c>
      <c r="C37" s="48" t="str">
        <f>'Necesidades Trimestrales'!D35</f>
        <v>FLUCONAZOL 200 MG.IV.SACHET X 1</v>
      </c>
      <c r="D37" s="54" t="s">
        <v>55</v>
      </c>
      <c r="E37" s="55" t="str">
        <f>'Necesidades Trimestrales'!E35</f>
        <v>UNIDAD</v>
      </c>
      <c r="F37" s="51">
        <f>+'Necesidades Trimestrales'!G35</f>
        <v>865.26</v>
      </c>
      <c r="G37" s="52">
        <f>+'Necesidades Trimestrales'!F35</f>
        <v>50</v>
      </c>
    </row>
    <row r="38" spans="1:7" ht="20.25" customHeight="1" thickBot="1" x14ac:dyDescent="0.25">
      <c r="A38" s="47">
        <v>27</v>
      </c>
      <c r="B38" s="53">
        <f>'Necesidades Trimestrales'!B36</f>
        <v>252</v>
      </c>
      <c r="C38" s="48" t="str">
        <f>'Necesidades Trimestrales'!D36</f>
        <v>FLUCONAZOL 50 MG/5 ML.SUSP.X 35 ML.</v>
      </c>
      <c r="D38" s="54" t="s">
        <v>55</v>
      </c>
      <c r="E38" s="55" t="str">
        <f>'Necesidades Trimestrales'!E36</f>
        <v>UNIDAD</v>
      </c>
      <c r="F38" s="51">
        <f>+'Necesidades Trimestrales'!G36</f>
        <v>2029.32</v>
      </c>
      <c r="G38" s="52">
        <f>+'Necesidades Trimestrales'!F36</f>
        <v>20</v>
      </c>
    </row>
    <row r="39" spans="1:7" ht="20.25" customHeight="1" thickBot="1" x14ac:dyDescent="0.25">
      <c r="A39" s="47">
        <v>28</v>
      </c>
      <c r="B39" s="53">
        <f>'Necesidades Trimestrales'!B37</f>
        <v>252</v>
      </c>
      <c r="C39" s="48" t="str">
        <f>'Necesidades Trimestrales'!D37</f>
        <v>GASA FURACINADA X 20 APOS</v>
      </c>
      <c r="D39" s="54" t="s">
        <v>55</v>
      </c>
      <c r="E39" s="55" t="str">
        <f>'Necesidades Trimestrales'!E37</f>
        <v>UNIDAD</v>
      </c>
      <c r="F39" s="51">
        <f>+'Necesidades Trimestrales'!G37</f>
        <v>506.6</v>
      </c>
      <c r="G39" s="52">
        <f>+'Necesidades Trimestrales'!F37</f>
        <v>70</v>
      </c>
    </row>
    <row r="40" spans="1:7" ht="20.25" customHeight="1" thickBot="1" x14ac:dyDescent="0.25">
      <c r="A40" s="47">
        <v>29</v>
      </c>
      <c r="B40" s="53">
        <f>'Necesidades Trimestrales'!B38</f>
        <v>252</v>
      </c>
      <c r="C40" s="48" t="str">
        <f>'Necesidades Trimestrales'!D38</f>
        <v>GRISEOFULFINA 500 MG. COMP. X 1</v>
      </c>
      <c r="D40" s="54" t="s">
        <v>55</v>
      </c>
      <c r="E40" s="55" t="str">
        <f>'Necesidades Trimestrales'!E38</f>
        <v>UNIDAD</v>
      </c>
      <c r="F40" s="51">
        <f>+'Necesidades Trimestrales'!G38</f>
        <v>52.98</v>
      </c>
      <c r="G40" s="52">
        <f>+'Necesidades Trimestrales'!F38</f>
        <v>100</v>
      </c>
    </row>
    <row r="41" spans="1:7" ht="20.25" customHeight="1" thickBot="1" x14ac:dyDescent="0.25">
      <c r="A41" s="47">
        <v>30</v>
      </c>
      <c r="B41" s="53">
        <f>'Necesidades Trimestrales'!B39</f>
        <v>252</v>
      </c>
      <c r="C41" s="48" t="str">
        <f>'Necesidades Trimestrales'!D39</f>
        <v>ITRACONAZOL 100 MG (ITRAC) CAPS. X 1</v>
      </c>
      <c r="D41" s="54" t="s">
        <v>55</v>
      </c>
      <c r="E41" s="55" t="str">
        <f>'Necesidades Trimestrales'!E39</f>
        <v>UNIDAD</v>
      </c>
      <c r="F41" s="51">
        <f>+'Necesidades Trimestrales'!G39</f>
        <v>83.86</v>
      </c>
      <c r="G41" s="52">
        <f>+'Necesidades Trimestrales'!F39</f>
        <v>150</v>
      </c>
    </row>
    <row r="42" spans="1:7" ht="20.25" customHeight="1" thickBot="1" x14ac:dyDescent="0.25">
      <c r="A42" s="47">
        <v>31</v>
      </c>
      <c r="B42" s="53">
        <f>'Necesidades Trimestrales'!B40</f>
        <v>252</v>
      </c>
      <c r="C42" s="48" t="str">
        <f>'Necesidades Trimestrales'!D40</f>
        <v>MEBENDAZOL 100 MG.COMP. X 1</v>
      </c>
      <c r="D42" s="54" t="s">
        <v>55</v>
      </c>
      <c r="E42" s="55" t="str">
        <f>'Necesidades Trimestrales'!E40</f>
        <v>UNIDAD</v>
      </c>
      <c r="F42" s="51">
        <f>+'Necesidades Trimestrales'!G40</f>
        <v>28.89</v>
      </c>
      <c r="G42" s="52">
        <f>+'Necesidades Trimestrales'!F40</f>
        <v>50</v>
      </c>
    </row>
    <row r="43" spans="1:7" ht="20.25" customHeight="1" thickBot="1" x14ac:dyDescent="0.25">
      <c r="A43" s="47">
        <v>32</v>
      </c>
      <c r="B43" s="53">
        <f>'Necesidades Trimestrales'!B41</f>
        <v>252</v>
      </c>
      <c r="C43" s="48" t="str">
        <f>'Necesidades Trimestrales'!D41</f>
        <v>MEBENDAZOL 2% SUSP. X 30 ML.</v>
      </c>
      <c r="D43" s="54" t="s">
        <v>55</v>
      </c>
      <c r="E43" s="55" t="str">
        <f>'Necesidades Trimestrales'!E41</f>
        <v>UNIDAD</v>
      </c>
      <c r="F43" s="51">
        <f>+'Necesidades Trimestrales'!G41</f>
        <v>186.73</v>
      </c>
      <c r="G43" s="52">
        <f>+'Necesidades Trimestrales'!F41</f>
        <v>50</v>
      </c>
    </row>
    <row r="44" spans="1:7" ht="20.25" customHeight="1" thickBot="1" x14ac:dyDescent="0.25">
      <c r="A44" s="47">
        <v>33</v>
      </c>
      <c r="B44" s="53">
        <f>'Necesidades Trimestrales'!B42</f>
        <v>252</v>
      </c>
      <c r="C44" s="48" t="str">
        <f>'Necesidades Trimestrales'!D42</f>
        <v>MEROPENEM 500 IV MG F/A X 1</v>
      </c>
      <c r="D44" s="54" t="s">
        <v>55</v>
      </c>
      <c r="E44" s="55" t="str">
        <f>'Necesidades Trimestrales'!E42</f>
        <v>UNIDAD</v>
      </c>
      <c r="F44" s="51">
        <f>+'Necesidades Trimestrales'!G42</f>
        <v>1102.9100000000001</v>
      </c>
      <c r="G44" s="52">
        <f>+'Necesidades Trimestrales'!F42</f>
        <v>500</v>
      </c>
    </row>
    <row r="45" spans="1:7" ht="20.25" customHeight="1" thickBot="1" x14ac:dyDescent="0.25">
      <c r="A45" s="47">
        <v>34</v>
      </c>
      <c r="B45" s="53">
        <f>'Necesidades Trimestrales'!B43</f>
        <v>252</v>
      </c>
      <c r="C45" s="48" t="str">
        <f>'Necesidades Trimestrales'!D43</f>
        <v>METRONIDAZOL 2,5% SUSP. X 120 ML.(FLAGYL)</v>
      </c>
      <c r="D45" s="54" t="s">
        <v>55</v>
      </c>
      <c r="E45" s="55" t="str">
        <f>'Necesidades Trimestrales'!E43</f>
        <v>UNIDAD</v>
      </c>
      <c r="F45" s="51">
        <f>+'Necesidades Trimestrales'!G43</f>
        <v>248.97</v>
      </c>
      <c r="G45" s="52">
        <f>+'Necesidades Trimestrales'!F43</f>
        <v>150</v>
      </c>
    </row>
    <row r="46" spans="1:7" ht="20.25" customHeight="1" thickBot="1" x14ac:dyDescent="0.25">
      <c r="A46" s="47">
        <v>35</v>
      </c>
      <c r="B46" s="53">
        <f>'Necesidades Trimestrales'!B44</f>
        <v>252</v>
      </c>
      <c r="C46" s="48" t="str">
        <f>'Necesidades Trimestrales'!D44</f>
        <v>MUPIROCINA 2% CREMA X 15G (BACTROBAN)</v>
      </c>
      <c r="D46" s="54" t="s">
        <v>55</v>
      </c>
      <c r="E46" s="55" t="str">
        <f>'Necesidades Trimestrales'!E44</f>
        <v>UNIDAD</v>
      </c>
      <c r="F46" s="51">
        <f>+'Necesidades Trimestrales'!G44</f>
        <v>1113.45</v>
      </c>
      <c r="G46" s="52">
        <f>+'Necesidades Trimestrales'!F44</f>
        <v>25</v>
      </c>
    </row>
    <row r="47" spans="1:7" ht="20.25" customHeight="1" thickBot="1" x14ac:dyDescent="0.25">
      <c r="A47" s="47">
        <v>36</v>
      </c>
      <c r="B47" s="53">
        <f>'Necesidades Trimestrales'!B45</f>
        <v>252</v>
      </c>
      <c r="C47" s="48" t="str">
        <f>'Necesidades Trimestrales'!D45</f>
        <v>NISTATINA X 60 ML. SUSPENSION</v>
      </c>
      <c r="D47" s="54" t="s">
        <v>55</v>
      </c>
      <c r="E47" s="55" t="str">
        <f>'Necesidades Trimestrales'!E45</f>
        <v>UNIDAD</v>
      </c>
      <c r="F47" s="51">
        <f>+'Necesidades Trimestrales'!G45</f>
        <v>508.37</v>
      </c>
      <c r="G47" s="52">
        <f>+'Necesidades Trimestrales'!F45</f>
        <v>100</v>
      </c>
    </row>
    <row r="48" spans="1:7" ht="20.25" customHeight="1" thickBot="1" x14ac:dyDescent="0.25">
      <c r="A48" s="47">
        <v>37</v>
      </c>
      <c r="B48" s="53">
        <f>'Necesidades Trimestrales'!B46</f>
        <v>252</v>
      </c>
      <c r="C48" s="48" t="str">
        <f>'Necesidades Trimestrales'!D46</f>
        <v>ORNIDAZOL 1 GR. AMP. X 1</v>
      </c>
      <c r="D48" s="54" t="s">
        <v>55</v>
      </c>
      <c r="E48" s="55" t="str">
        <f>'Necesidades Trimestrales'!E46</f>
        <v>UNIDAD</v>
      </c>
      <c r="F48" s="51">
        <f>+'Necesidades Trimestrales'!G46</f>
        <v>2093.92</v>
      </c>
      <c r="G48" s="52">
        <f>+'Necesidades Trimestrales'!F46</f>
        <v>100</v>
      </c>
    </row>
    <row r="49" spans="1:7" ht="20.25" customHeight="1" thickBot="1" x14ac:dyDescent="0.25">
      <c r="A49" s="47">
        <v>38</v>
      </c>
      <c r="B49" s="53">
        <f>'Necesidades Trimestrales'!B47</f>
        <v>252</v>
      </c>
      <c r="C49" s="48" t="str">
        <f>'Necesidades Trimestrales'!D47</f>
        <v>PEN ORAL JBE. X 60 ML</v>
      </c>
      <c r="D49" s="54" t="s">
        <v>55</v>
      </c>
      <c r="E49" s="55" t="str">
        <f>'Necesidades Trimestrales'!E47</f>
        <v>UNIDAD</v>
      </c>
      <c r="F49" s="51">
        <f>+'Necesidades Trimestrales'!G47</f>
        <v>417.92</v>
      </c>
      <c r="G49" s="52">
        <f>+'Necesidades Trimestrales'!F47</f>
        <v>20</v>
      </c>
    </row>
    <row r="50" spans="1:7" ht="20.25" customHeight="1" thickBot="1" x14ac:dyDescent="0.25">
      <c r="A50" s="47">
        <v>39</v>
      </c>
      <c r="B50" s="53">
        <f>'Necesidades Trimestrales'!B48</f>
        <v>252</v>
      </c>
      <c r="C50" s="48" t="str">
        <f>'Necesidades Trimestrales'!D48</f>
        <v>PENICILINA G BENZAT 1.200.000 U.I.FCO/AMP.</v>
      </c>
      <c r="D50" s="54" t="s">
        <v>55</v>
      </c>
      <c r="E50" s="55" t="str">
        <f>'Necesidades Trimestrales'!E48</f>
        <v>UNIDAD</v>
      </c>
      <c r="F50" s="51">
        <f>+'Necesidades Trimestrales'!G48</f>
        <v>361.76</v>
      </c>
      <c r="G50" s="52">
        <f>+'Necesidades Trimestrales'!F48</f>
        <v>100</v>
      </c>
    </row>
    <row r="51" spans="1:7" ht="20.25" customHeight="1" thickBot="1" x14ac:dyDescent="0.25">
      <c r="A51" s="47">
        <v>40</v>
      </c>
      <c r="B51" s="53">
        <f>'Necesidades Trimestrales'!B49</f>
        <v>252</v>
      </c>
      <c r="C51" s="48" t="str">
        <f>'Necesidades Trimestrales'!D49</f>
        <v>PENICILINA G BENZAT 2.400.000 U.I.FCO/AMP.</v>
      </c>
      <c r="D51" s="54" t="s">
        <v>55</v>
      </c>
      <c r="E51" s="55" t="str">
        <f>'Necesidades Trimestrales'!E49</f>
        <v>UNIDAD</v>
      </c>
      <c r="F51" s="51">
        <f>+'Necesidades Trimestrales'!G49</f>
        <v>510.72</v>
      </c>
      <c r="G51" s="52">
        <f>+'Necesidades Trimestrales'!F49</f>
        <v>100</v>
      </c>
    </row>
    <row r="52" spans="1:7" ht="20.25" customHeight="1" thickBot="1" x14ac:dyDescent="0.25">
      <c r="A52" s="47">
        <v>41</v>
      </c>
      <c r="B52" s="53">
        <f>'Necesidades Trimestrales'!B50</f>
        <v>252</v>
      </c>
      <c r="C52" s="48" t="str">
        <f>'Necesidades Trimestrales'!D50</f>
        <v>PENICILINA G SODICA 1.000.000 FCO/AMP.</v>
      </c>
      <c r="D52" s="54" t="s">
        <v>55</v>
      </c>
      <c r="E52" s="55" t="str">
        <f>'Necesidades Trimestrales'!E50</f>
        <v>UNIDAD</v>
      </c>
      <c r="F52" s="51">
        <f>+'Necesidades Trimestrales'!G50</f>
        <v>319.2</v>
      </c>
      <c r="G52" s="52">
        <f>+'Necesidades Trimestrales'!F50</f>
        <v>100</v>
      </c>
    </row>
    <row r="53" spans="1:7" ht="20.25" customHeight="1" thickBot="1" x14ac:dyDescent="0.25">
      <c r="A53" s="47">
        <v>42</v>
      </c>
      <c r="B53" s="53">
        <f>'Necesidades Trimestrales'!B51</f>
        <v>252</v>
      </c>
      <c r="C53" s="48" t="str">
        <f>'Necesidades Trimestrales'!D51</f>
        <v>PENICILINA G SODICA 3.000.000 FCO/AMP.</v>
      </c>
      <c r="D53" s="54" t="s">
        <v>25</v>
      </c>
      <c r="E53" s="55" t="str">
        <f>'Necesidades Trimestrales'!E51</f>
        <v>UNIDAD</v>
      </c>
      <c r="F53" s="51">
        <f>+'Necesidades Trimestrales'!G51</f>
        <v>383.04</v>
      </c>
      <c r="G53" s="52">
        <f>+'Necesidades Trimestrales'!F51</f>
        <v>100</v>
      </c>
    </row>
    <row r="54" spans="1:7" ht="20.25" customHeight="1" thickBot="1" x14ac:dyDescent="0.25">
      <c r="A54" s="47">
        <v>43</v>
      </c>
      <c r="B54" s="53">
        <f>'Necesidades Trimestrales'!B52</f>
        <v>252</v>
      </c>
      <c r="C54" s="48" t="str">
        <f>'Necesidades Trimestrales'!D52</f>
        <v>PIPERACILINA+TAZOB. 4,5 GR.FCO/AMP</v>
      </c>
      <c r="D54" s="54" t="s">
        <v>55</v>
      </c>
      <c r="E54" s="55" t="str">
        <f>'Necesidades Trimestrales'!E52</f>
        <v>UNIDAD</v>
      </c>
      <c r="F54" s="51">
        <f>+'Necesidades Trimestrales'!G52</f>
        <v>1017.18</v>
      </c>
      <c r="G54" s="52">
        <f>+'Necesidades Trimestrales'!F52</f>
        <v>500</v>
      </c>
    </row>
    <row r="55" spans="1:7" ht="20.25" customHeight="1" thickBot="1" x14ac:dyDescent="0.25">
      <c r="A55" s="47">
        <v>44</v>
      </c>
      <c r="B55" s="53">
        <f>'Necesidades Trimestrales'!B53</f>
        <v>252</v>
      </c>
      <c r="C55" s="48" t="str">
        <f>'Necesidades Trimestrales'!D53</f>
        <v>RIFAMPICINA 2% SUSP. X 50 ML</v>
      </c>
      <c r="D55" s="54" t="s">
        <v>55</v>
      </c>
      <c r="E55" s="55" t="str">
        <f>'Necesidades Trimestrales'!E53</f>
        <v>UNIDAD</v>
      </c>
      <c r="F55" s="51">
        <f>+'Necesidades Trimestrales'!G53</f>
        <v>919.02</v>
      </c>
      <c r="G55" s="52">
        <f>+'Necesidades Trimestrales'!F53</f>
        <v>25</v>
      </c>
    </row>
    <row r="56" spans="1:7" ht="20.25" customHeight="1" thickBot="1" x14ac:dyDescent="0.25">
      <c r="A56" s="47">
        <v>45</v>
      </c>
      <c r="B56" s="53">
        <f>'Necesidades Trimestrales'!B54</f>
        <v>252</v>
      </c>
      <c r="C56" s="48" t="str">
        <f>'Necesidades Trimestrales'!D54</f>
        <v>RIFAMPICINA 300 MG CAPS. X 1</v>
      </c>
      <c r="D56" s="54" t="s">
        <v>55</v>
      </c>
      <c r="E56" s="55" t="str">
        <f>'Necesidades Trimestrales'!E54</f>
        <v>UNIDAD</v>
      </c>
      <c r="F56" s="51">
        <f>+'Necesidades Trimestrales'!G54</f>
        <v>101.81</v>
      </c>
      <c r="G56" s="52">
        <f>+'Necesidades Trimestrales'!F54</f>
        <v>25</v>
      </c>
    </row>
    <row r="57" spans="1:7" ht="20.25" customHeight="1" thickBot="1" x14ac:dyDescent="0.25">
      <c r="A57" s="47">
        <v>46</v>
      </c>
      <c r="B57" s="53">
        <f>'Necesidades Trimestrales'!B55</f>
        <v>252</v>
      </c>
      <c r="C57" s="48" t="str">
        <f>'Necesidades Trimestrales'!D55</f>
        <v>VANCOMICINA 1G.FCO/AMP.X 1</v>
      </c>
      <c r="D57" s="54" t="s">
        <v>55</v>
      </c>
      <c r="E57" s="55" t="str">
        <f>'Necesidades Trimestrales'!E55</f>
        <v>UNIDAD</v>
      </c>
      <c r="F57" s="51">
        <f>+'Necesidades Trimestrales'!G55</f>
        <v>871.41</v>
      </c>
      <c r="G57" s="52">
        <f>+'Necesidades Trimestrales'!F55</f>
        <v>400</v>
      </c>
    </row>
    <row r="58" spans="1:7" ht="20.25" customHeight="1" thickBot="1" x14ac:dyDescent="0.25">
      <c r="A58" s="47">
        <v>47</v>
      </c>
      <c r="B58" s="53">
        <f>'Necesidades Trimestrales'!B56</f>
        <v>252</v>
      </c>
      <c r="C58" s="48" t="str">
        <f>'Necesidades Trimestrales'!D56</f>
        <v>VANCOMICINA 500 MG.FCO/AMP. X 1</v>
      </c>
      <c r="D58" s="54" t="s">
        <v>55</v>
      </c>
      <c r="E58" s="55" t="str">
        <f>'Necesidades Trimestrales'!E56</f>
        <v>UNIDAD</v>
      </c>
      <c r="F58" s="51">
        <f>+'Necesidades Trimestrales'!G56</f>
        <v>523.41</v>
      </c>
      <c r="G58" s="52">
        <f>+'Necesidades Trimestrales'!F56</f>
        <v>400</v>
      </c>
    </row>
    <row r="59" spans="1:7" ht="20.25" customHeight="1" thickBot="1" x14ac:dyDescent="0.25">
      <c r="A59" s="47">
        <v>48</v>
      </c>
      <c r="B59" s="53">
        <f>'Necesidades Trimestrales'!B57</f>
        <v>252</v>
      </c>
      <c r="C59" s="48" t="str">
        <f>'Necesidades Trimestrales'!D57</f>
        <v>MEPREDNISONA 0,4 % GOTAS X 15 ML</v>
      </c>
      <c r="D59" s="54" t="s">
        <v>55</v>
      </c>
      <c r="E59" s="55" t="str">
        <f>'Necesidades Trimestrales'!E57</f>
        <v>UNIDAD</v>
      </c>
      <c r="F59" s="51">
        <f>+'Necesidades Trimestrales'!G57</f>
        <v>434.91</v>
      </c>
      <c r="G59" s="52">
        <f>+'Necesidades Trimestrales'!F57</f>
        <v>400</v>
      </c>
    </row>
    <row r="60" spans="1:7" ht="20.25" customHeight="1" thickBot="1" x14ac:dyDescent="0.25">
      <c r="A60" s="47">
        <v>49</v>
      </c>
      <c r="B60" s="53">
        <f>'Necesidades Trimestrales'!B58</f>
        <v>252</v>
      </c>
      <c r="C60" s="48" t="str">
        <f>'Necesidades Trimestrales'!D58</f>
        <v>MEPREDNISONA 40 MG COMP X 1</v>
      </c>
      <c r="D60" s="54" t="s">
        <v>25</v>
      </c>
      <c r="E60" s="55" t="str">
        <f>'Necesidades Trimestrales'!E58</f>
        <v>UNIDAD</v>
      </c>
      <c r="F60" s="51">
        <f>+'Necesidades Trimestrales'!G58</f>
        <v>127.68</v>
      </c>
      <c r="G60" s="52">
        <f>+'Necesidades Trimestrales'!F58</f>
        <v>500</v>
      </c>
    </row>
    <row r="61" spans="1:7" ht="20.25" customHeight="1" thickBot="1" x14ac:dyDescent="0.25">
      <c r="A61" s="47">
        <v>50</v>
      </c>
      <c r="B61" s="53">
        <f>'Necesidades Trimestrales'!B59</f>
        <v>252</v>
      </c>
      <c r="C61" s="48" t="str">
        <f>'Necesidades Trimestrales'!D59</f>
        <v>MEPREDNISONA 4 MG COMP X 1</v>
      </c>
      <c r="D61" s="54" t="s">
        <v>55</v>
      </c>
      <c r="E61" s="55" t="str">
        <f>'Necesidades Trimestrales'!E59</f>
        <v>UNIDAD</v>
      </c>
      <c r="F61" s="51">
        <f>+'Necesidades Trimestrales'!G59</f>
        <v>10.199999999999999</v>
      </c>
      <c r="G61" s="52">
        <f>+'Necesidades Trimestrales'!F59</f>
        <v>1000</v>
      </c>
    </row>
    <row r="62" spans="1:7" ht="20.25" customHeight="1" thickBot="1" x14ac:dyDescent="0.25">
      <c r="A62" s="47">
        <v>51</v>
      </c>
      <c r="B62" s="53">
        <f>'Necesidades Trimestrales'!B60</f>
        <v>252</v>
      </c>
      <c r="C62" s="48" t="str">
        <f>'Necesidades Trimestrales'!D60</f>
        <v>BUDESONIDE AEROSOL X 200 DOSIS</v>
      </c>
      <c r="D62" s="54" t="s">
        <v>55</v>
      </c>
      <c r="E62" s="55" t="str">
        <f>'Necesidades Trimestrales'!E60</f>
        <v>UNIDAD</v>
      </c>
      <c r="F62" s="51">
        <f>+'Necesidades Trimestrales'!G60</f>
        <v>968.34</v>
      </c>
      <c r="G62" s="52">
        <f>+'Necesidades Trimestrales'!F60</f>
        <v>100</v>
      </c>
    </row>
    <row r="63" spans="1:7" ht="20.25" customHeight="1" thickBot="1" x14ac:dyDescent="0.25">
      <c r="A63" s="47">
        <v>52</v>
      </c>
      <c r="B63" s="53">
        <f>'Necesidades Trimestrales'!B61</f>
        <v>252</v>
      </c>
      <c r="C63" s="48" t="str">
        <f>'Necesidades Trimestrales'!D61</f>
        <v>BUDESONIDE GTS P/NEBUL X 20 ML</v>
      </c>
      <c r="D63" s="54" t="s">
        <v>55</v>
      </c>
      <c r="E63" s="55" t="str">
        <f>'Necesidades Trimestrales'!E61</f>
        <v>UNIDAD</v>
      </c>
      <c r="F63" s="51">
        <f>+'Necesidades Trimestrales'!G61</f>
        <v>400.14</v>
      </c>
      <c r="G63" s="52">
        <f>+'Necesidades Trimestrales'!F61</f>
        <v>100</v>
      </c>
    </row>
    <row r="64" spans="1:7" ht="20.25" customHeight="1" thickBot="1" x14ac:dyDescent="0.25">
      <c r="A64" s="47">
        <v>53</v>
      </c>
      <c r="B64" s="53">
        <f>'Necesidades Trimestrales'!B62</f>
        <v>252</v>
      </c>
      <c r="C64" s="48" t="str">
        <f>'Necesidades Trimestrales'!D62</f>
        <v>DIFENHIDRAMINA 10 MG AMP X 1 ML</v>
      </c>
      <c r="D64" s="54" t="s">
        <v>55</v>
      </c>
      <c r="E64" s="55" t="str">
        <f>'Necesidades Trimestrales'!E62</f>
        <v>UNIDAD</v>
      </c>
      <c r="F64" s="51">
        <f>+'Necesidades Trimestrales'!G62</f>
        <v>139.32</v>
      </c>
      <c r="G64" s="52">
        <f>+'Necesidades Trimestrales'!F62</f>
        <v>3000</v>
      </c>
    </row>
    <row r="65" spans="1:9" ht="20.25" customHeight="1" thickBot="1" x14ac:dyDescent="0.25">
      <c r="A65" s="47">
        <v>54</v>
      </c>
      <c r="B65" s="53">
        <f>'Necesidades Trimestrales'!B63</f>
        <v>252</v>
      </c>
      <c r="C65" s="48" t="str">
        <f>'Necesidades Trimestrales'!D63</f>
        <v>DIFENHIDRAMINA JBE X 120 ML</v>
      </c>
      <c r="D65" s="54" t="s">
        <v>55</v>
      </c>
      <c r="E65" s="55" t="str">
        <f>'Necesidades Trimestrales'!E63</f>
        <v>UNIDAD</v>
      </c>
      <c r="F65" s="51">
        <f>+'Necesidades Trimestrales'!G63</f>
        <v>120</v>
      </c>
      <c r="G65" s="52">
        <f>+'Necesidades Trimestrales'!F63</f>
        <v>300</v>
      </c>
    </row>
    <row r="66" spans="1:9" ht="25.5" customHeight="1" thickBot="1" x14ac:dyDescent="0.25">
      <c r="A66" s="109" t="s">
        <v>58</v>
      </c>
      <c r="B66" s="110"/>
      <c r="C66" s="110"/>
      <c r="D66" s="110"/>
      <c r="E66" s="110"/>
      <c r="F66" s="111">
        <f>SUMPRODUCT(F12:F65,G12:G65)</f>
        <v>8586652.8000000007</v>
      </c>
      <c r="G66" s="111"/>
      <c r="I66" s="86"/>
    </row>
  </sheetData>
  <mergeCells count="22">
    <mergeCell ref="A66:E66"/>
    <mergeCell ref="F66:G66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  <mergeCell ref="A1:E1"/>
    <mergeCell ref="A6:C6"/>
    <mergeCell ref="A7:C7"/>
    <mergeCell ref="A3:C3"/>
    <mergeCell ref="D3:G3"/>
    <mergeCell ref="A4:C4"/>
    <mergeCell ref="A5:C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abSelected="1" topLeftCell="A14" zoomScale="130" zoomScaleNormal="130" workbookViewId="0">
      <selection activeCell="S15" sqref="S15:S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41" t="s">
        <v>3</v>
      </c>
      <c r="B1" s="141"/>
      <c r="C1" s="141"/>
      <c r="D1" s="142">
        <f>'Necesidades Trimestrales'!C6</f>
        <v>2021</v>
      </c>
      <c r="E1" s="142"/>
      <c r="F1" s="3"/>
      <c r="G1" s="3"/>
      <c r="H1" s="4"/>
      <c r="I1" s="4"/>
      <c r="J1" s="4"/>
      <c r="K1" s="4"/>
      <c r="L1" s="4"/>
      <c r="M1" s="4"/>
      <c r="N1" s="4"/>
      <c r="P1" s="143" t="s">
        <v>26</v>
      </c>
      <c r="Q1" s="143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43"/>
      <c r="Q2" s="143"/>
    </row>
    <row r="4" spans="1:19" s="5" customFormat="1" ht="18" customHeight="1" thickBot="1" x14ac:dyDescent="0.25">
      <c r="A4" s="144" t="s">
        <v>27</v>
      </c>
      <c r="B4" s="144"/>
      <c r="C4" s="144"/>
      <c r="D4" s="144"/>
      <c r="E4" s="144"/>
      <c r="F4" s="144"/>
      <c r="G4" s="139" t="s">
        <v>53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9" s="5" customFormat="1" ht="18" customHeight="1" thickBot="1" x14ac:dyDescent="0.25">
      <c r="A5" s="136" t="s">
        <v>50</v>
      </c>
      <c r="B5" s="137"/>
      <c r="C5" s="137"/>
      <c r="D5" s="137"/>
      <c r="E5" s="137"/>
      <c r="F5" s="138"/>
      <c r="G5" s="139" t="s">
        <v>52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9" s="5" customFormat="1" ht="18" customHeight="1" thickBot="1" x14ac:dyDescent="0.25">
      <c r="A6" s="136" t="s">
        <v>28</v>
      </c>
      <c r="B6" s="137"/>
      <c r="C6" s="137"/>
      <c r="D6" s="137"/>
      <c r="E6" s="137"/>
      <c r="F6" s="138"/>
      <c r="G6" s="139" t="s">
        <v>52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</row>
    <row r="7" spans="1:19" s="5" customFormat="1" ht="18" customHeight="1" thickBot="1" x14ac:dyDescent="0.25">
      <c r="A7" s="136" t="s">
        <v>51</v>
      </c>
      <c r="B7" s="137"/>
      <c r="C7" s="137"/>
      <c r="D7" s="137"/>
      <c r="E7" s="137"/>
      <c r="F7" s="138"/>
      <c r="G7" s="139" t="s">
        <v>66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9" ht="18" customHeight="1" thickBot="1" x14ac:dyDescent="0.25">
      <c r="A8" s="140" t="s">
        <v>29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</row>
    <row r="9" spans="1:19" ht="18" customHeight="1" x14ac:dyDescent="0.2">
      <c r="A9" s="130" t="s">
        <v>30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6"/>
    </row>
    <row r="10" spans="1:19" ht="54.75" customHeight="1" x14ac:dyDescent="0.2">
      <c r="A10" s="131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020/2021,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32" t="s">
        <v>31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9" ht="15.75" customHeight="1" x14ac:dyDescent="0.2">
      <c r="A13" s="133" t="s">
        <v>32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33</v>
      </c>
      <c r="P13" s="134"/>
      <c r="Q13" s="135" t="s">
        <v>34</v>
      </c>
    </row>
    <row r="14" spans="1:19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34"/>
      <c r="P14" s="134"/>
      <c r="Q14" s="135"/>
    </row>
    <row r="15" spans="1:19" ht="27.75" customHeight="1" x14ac:dyDescent="0.2">
      <c r="A15" s="60">
        <v>36</v>
      </c>
      <c r="B15" s="61"/>
      <c r="C15" s="61"/>
      <c r="D15" s="61">
        <v>1</v>
      </c>
      <c r="E15" s="61"/>
      <c r="F15" s="61">
        <v>4901</v>
      </c>
      <c r="G15" s="61">
        <v>3</v>
      </c>
      <c r="H15" s="61">
        <v>310</v>
      </c>
      <c r="I15" s="62">
        <v>2</v>
      </c>
      <c r="J15" s="62">
        <v>5</v>
      </c>
      <c r="K15" s="62">
        <v>2</v>
      </c>
      <c r="L15" s="61"/>
      <c r="M15" s="63">
        <v>1</v>
      </c>
      <c r="N15" s="64" t="s">
        <v>54</v>
      </c>
      <c r="O15" s="128" t="s">
        <v>61</v>
      </c>
      <c r="P15" s="129"/>
      <c r="Q15" s="16">
        <v>8586652.8000000007</v>
      </c>
      <c r="S15" s="87"/>
    </row>
    <row r="16" spans="1:19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4"/>
      <c r="O16" s="124"/>
      <c r="P16" s="123"/>
      <c r="Q16" s="21"/>
      <c r="S16" s="95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23"/>
      <c r="P17" s="123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23"/>
      <c r="P18" s="123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3"/>
      <c r="P19" s="123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23"/>
      <c r="P20" s="123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4"/>
      <c r="P21" s="124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25"/>
      <c r="P22" s="125"/>
      <c r="Q22" s="30"/>
    </row>
    <row r="23" spans="1:18" ht="29.25" customHeight="1" x14ac:dyDescent="0.2">
      <c r="A23" s="126" t="s">
        <v>126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31">
        <f>SUM(Q15:Q22)</f>
        <v>8586652.8000000007</v>
      </c>
    </row>
    <row r="24" spans="1:18" ht="18" customHeight="1" thickBo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8" ht="17.25" customHeight="1" thickBot="1" x14ac:dyDescent="0.25">
      <c r="A25" s="118" t="s">
        <v>48</v>
      </c>
      <c r="B25" s="119"/>
      <c r="C25" s="119"/>
      <c r="D25" s="119"/>
      <c r="E25" s="119"/>
      <c r="F25" s="120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8" ht="18" customHeight="1" thickBot="1" x14ac:dyDescent="0.25">
      <c r="A26" s="122" t="s">
        <v>125</v>
      </c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</row>
    <row r="27" spans="1:18" ht="15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JOHANA AYBAR</cp:lastModifiedBy>
  <cp:revision>2</cp:revision>
  <cp:lastPrinted>2020-07-23T13:47:13Z</cp:lastPrinted>
  <dcterms:created xsi:type="dcterms:W3CDTF">2020-07-17T23:44:49Z</dcterms:created>
  <dcterms:modified xsi:type="dcterms:W3CDTF">2021-08-13T14:16:43Z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