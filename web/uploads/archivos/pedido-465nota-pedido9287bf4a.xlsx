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"/>
    </mc:Choice>
  </mc:AlternateContent>
  <xr:revisionPtr revIDLastSave="0" documentId="8_{D1355DD8-081A-4D85-BD52-D454265497B5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NotaPedido!$A$1:$K$53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K50" i="2" l="1"/>
  <c r="K51" i="2"/>
  <c r="K52" i="2"/>
  <c r="I50" i="2"/>
  <c r="I51" i="2"/>
  <c r="I52" i="2"/>
  <c r="C49" i="2"/>
  <c r="C50" i="2"/>
  <c r="C51" i="2"/>
  <c r="C52" i="2"/>
  <c r="I49" i="1"/>
  <c r="I50" i="1"/>
  <c r="I45" i="1" l="1"/>
  <c r="I46" i="1"/>
  <c r="I47" i="1"/>
  <c r="I48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1" i="2"/>
  <c r="B5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A26" i="3"/>
  <c r="A10" i="3"/>
  <c r="K16" i="2"/>
  <c r="I16" i="2"/>
  <c r="K15" i="2"/>
  <c r="I15" i="2"/>
  <c r="C15" i="2"/>
  <c r="K14" i="2"/>
  <c r="I14" i="2"/>
  <c r="C14" i="2"/>
  <c r="B14" i="2"/>
  <c r="K13" i="2"/>
  <c r="I13" i="2"/>
  <c r="C13" i="2"/>
  <c r="B13" i="2"/>
  <c r="K12" i="2"/>
  <c r="J12" i="2"/>
  <c r="I12" i="2"/>
  <c r="C12" i="2"/>
  <c r="B12" i="2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53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<sst xmlns="http://schemas.openxmlformats.org/spreadsheetml/2006/main" count="655" uniqueCount="255">
  <si>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</si>
  <si>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</si>
  <si>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</si>
  <si>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</si>
  <si>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</si>
  <si>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</si>
  <si>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</si>
  <si>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</si>
  <si>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</si>
  <si>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</si>
  <si>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</si>
  <si>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</si>
  <si>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</si>
  <si>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</si>
  <si>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</si>
  <si>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</si>
  <si>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</si>
  <si>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</si>
  <si>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</si>
  <si>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</si>
  <si>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</si>
  <si>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</si>
  <si>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</si>
  <si>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</si>
  <si>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</si>
  <si>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</si>
  <si>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</si>
  <si>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</si>
  <si>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</si>
  <si>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</si>
  <si>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</si>
  <si>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</si>
  <si>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</si>
  <si>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</si>
  <si>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</si>
  <si>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</si>
  <si>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</si>
  <si>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</si>
  <si>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</si>
  <si>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</si>
  <si>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</si>
  <si>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</si>
  <si>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</si>
  <si>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</si>
  <si>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</si>
  <si>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</si>
  <si>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</si>
  <si>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</si>
  <si>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</si>
  <si>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</si>
  <si>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</si>
  <si>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</si>
  <si>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</si>
  <si>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</si>
  <si>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</si>
  <si>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</si>
  <si>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</si>
  <si>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</si>
  <si>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</si>
  <si>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</si>
  <si>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</si>
  <si>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</si>
  <si>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</si>
  <si>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UNIDAD</t>
  </si>
  <si>
    <t>ENVASE</t>
  </si>
  <si>
    <t>PAR</t>
  </si>
  <si>
    <t>PAQUETE</t>
  </si>
  <si>
    <t>BOLSA</t>
  </si>
  <si>
    <t>Adquisición de Elementos de Limpieza</t>
  </si>
  <si>
    <t xml:space="preserve">60 dias habiles </t>
  </si>
  <si>
    <t>237 - Direccion de Mantenimiento</t>
  </si>
  <si>
    <t>Elementos de Limpieza</t>
  </si>
  <si>
    <t>Insecticidas, Fumigantes y Otros</t>
  </si>
  <si>
    <t>Productos de Papel y Cartón</t>
  </si>
  <si>
    <t xml:space="preserve">05 dias - Servicio de Deposito Central y Control de Infecciones </t>
  </si>
  <si>
    <t xml:space="preserve">Depósito Central y Servicio Control de Infecciones </t>
  </si>
  <si>
    <t>LIMPIADORES; TIPO: LAVANDINA, PRESENTACION: ENVASE X 1 L</t>
  </si>
  <si>
    <t>2.9.1-6951.28</t>
  </si>
  <si>
    <t>ELEMENTOS DE LIMPIEZA</t>
  </si>
  <si>
    <t>BALDES DE PLASTICO; CAPACIDAD: 17 L, COLOR: SIN VALOR</t>
  </si>
  <si>
    <t>2.9.1-564.13</t>
  </si>
  <si>
    <t>LUSTRADORES; TIPO: CERA DE LUSTRAR LIQUIDA, PRESENTACION: ENVASE X 1 L</t>
  </si>
  <si>
    <t>2.9.1-6950.6</t>
  </si>
  <si>
    <t>DESODORANTES DE AMBIENTE; FORMATO: AEROSOL, FRAGANCIA: LAVANDA, PRESENTACION: ENVASE X 360 CM3, LIBRE DE CFC: SI</t>
  </si>
  <si>
    <t>2.9.1-544.57</t>
  </si>
  <si>
    <t>LIMPIADORES; TIPO: DESODORANTE LIQUIDO , PRESENTACION: BIDON X 5 L</t>
  </si>
  <si>
    <t>2.9.1-6951.157</t>
  </si>
  <si>
    <t>LIMPIADORES; TIPO: DETERGENTE NEUTRO, PRESENTACION: ENVASE X 5 L</t>
  </si>
  <si>
    <t>2.9.1-6951.214</t>
  </si>
  <si>
    <t>IMPIADORES; TIPO: DETERGENTE ENZIMATICO, PRESENTACION: ENVASE X 5 L, BIODEGRADABLE: SI</t>
  </si>
  <si>
    <t>2.9.1-6951.290</t>
  </si>
  <si>
    <t>CEPILLOS; TIPO: ESCOBA REFORZADA, MATERIAL: PLASTICO</t>
  </si>
  <si>
    <t>2.9.1-6952.61</t>
  </si>
  <si>
    <t>ELEM. P/LIMPIEZA SANITARIOS; TIPO: ESCOBILLA P/INODORO , PRESENTACION: UNIDAD</t>
  </si>
  <si>
    <t>2.9.1-6961.14</t>
  </si>
  <si>
    <t>ESPONJAS; MATERIAL: POLIURETANO POLIETER, USO: P/COCINA, ADITAMENTO: FIBRA POLIESTER SUAVE, FORMA: PRISMATICA, LARGO X ANCHO X ESP: 12 X 8 X 2 Cm, COLOR: AMARILLO</t>
  </si>
  <si>
    <t>2.9.1-1164.2</t>
  </si>
  <si>
    <t>ESPONJAS; MATERIAL: ACERO INOXIDABLE, USO: LIMPIEZA, ADITAMENTO: SIN, FORMA: MADEJA 40 GR, LARGO X ANCHO X ESP: SIN VALOR, COLOR: ACERO</t>
  </si>
  <si>
    <t>2.9.1-1164.21</t>
  </si>
  <si>
    <t>GUANTES P/LIMPIEZA; MATERIAL: LATEX C/FELPA INTERIOR, TAMAÑO: CHICO</t>
  </si>
  <si>
    <t>2.9.1-761.7</t>
  </si>
  <si>
    <t>GUANTES P/LIMPIEZA; TAMAÑO: MEDIANO, MATERIAL: LATEX C/FELPA INTERIOR</t>
  </si>
  <si>
    <t>2.9.1-761.6</t>
  </si>
  <si>
    <t>GUANTES P/LIMPIEZA; TAMAÑO: GRANDE, MATERIAL: LATEX C/FELPA INTERIOR</t>
  </si>
  <si>
    <t>2.9.1-761.5</t>
  </si>
  <si>
    <t>INSECTICIDAS; PRINCIPIO ACTIVO: D-TETRAMETRINA,PERMETRINA,PRAL, CONTROL: MOSCAS Y MOSQUITOS, ACCION: INSECTICIDA, PRESENTACION: ENVASE X 360 CM3</t>
  </si>
  <si>
    <t>2.5.4-506.165</t>
  </si>
  <si>
    <t>ARTICULOS DE TOCADOR; TIPO: JABON DE TOCADOR, PRESENTACION: ENVASE X 125 GR</t>
  </si>
  <si>
    <t>2.9.1-6956.93</t>
  </si>
  <si>
    <t>ELEM. LIMPIEZA P/INDUMENTARIA; TIPO: JABON EN PAN, PRESENTACION: 200 GR</t>
  </si>
  <si>
    <t>2.9.1-6960.27</t>
  </si>
  <si>
    <t>ELEM. LIMPIEZA P/INDUMENTARIA; TIPO: JABON EN POLVO, PRESENTACION: ENVASE X 3 Kg</t>
  </si>
  <si>
    <t>2.9.1-6960.20</t>
  </si>
  <si>
    <t>LIMPIADORES; TIPO: LIMPIAVIDRIOS, PRESENTACION: ENVASE X 5 L</t>
  </si>
  <si>
    <t>2.9.1-6951.116</t>
  </si>
  <si>
    <t>LIMPIADORES; TIPO: SECUESTRANTE DE POLVO, PRESENTACION: ENVASE X 5 L</t>
  </si>
  <si>
    <t>2.9.1-6951.110</t>
  </si>
  <si>
    <t>LÍQUIDO DESINFECTANTE ANTIBACTERIDESINFECTANTES; PRESENTACION: ENVASE X 5 L, USO P/CONTROL: BACTERIAS, CAPACIDAD: 5 L, CONTROL: BACTERIAS, PRINCIPIO ACTIVO: CLORURO DE BENCIL AMONIOAL, ENVASE DE 5 LITROS, ETIQUETADO. PRESENTAR MUESTRA.-</t>
  </si>
  <si>
    <t>2.5.4-505.2</t>
  </si>
  <si>
    <t>LIMPIADORES; TIPO: QUITASARRO, PRESENTACION: ENVASE X 500 CM3</t>
  </si>
  <si>
    <t>2.9.1-6951.80</t>
  </si>
  <si>
    <t>CABOS DE MADERA; APLICACION: P/ESCOBA, FORMA: RECTO</t>
  </si>
  <si>
    <t>2.1.5-393.13</t>
  </si>
  <si>
    <t>FERRETERIA</t>
  </si>
  <si>
    <t>PLUMEROS; PLUMA: SINTETICA, CLASE: SUAVE, MATERIAL MANGO: MADERA, LARGO MANGO: 60 Cm, Nº VUELTAS PENACHO: 6, TIPO: SUAVE</t>
  </si>
  <si>
    <t>2.9.1-1156.1</t>
  </si>
  <si>
    <t>LIMPIADORES; TIPO: POLVO LIMPIADOR, PRESENTACION: ENVASE X 400 GR</t>
  </si>
  <si>
    <t>2.9.1-6951.174</t>
  </si>
  <si>
    <t>PULVERIZADORES; MATERIAL: PLASTICO REFORZADO, CAPACIDAD: 1000 CM3, TIPO: MANUAL</t>
  </si>
  <si>
    <t>2.7.5-1491.5</t>
  </si>
  <si>
    <t>HERRAMIENTAS</t>
  </si>
  <si>
    <t>SECADORES DE GOMA; COLOR: ROJO, LARGO: 40 Cm</t>
  </si>
  <si>
    <t>2.9.1-683.2</t>
  </si>
  <si>
    <t>SECADORES DE GOMA; LARGO: 80 Cm, COLOR: ROJO</t>
  </si>
  <si>
    <t>2.9.1-683.4</t>
  </si>
  <si>
    <t>ELEM. LIMPIEZA P/INDUMENTARIA; TIPO: SUAVIZANTE P/ROPA, PRESENTACION: ENVASE X 5 L</t>
  </si>
  <si>
    <t>2.9.1-6960.1</t>
  </si>
  <si>
    <t>FRANELAS; DIMENSION: 40 X 50 Cm</t>
  </si>
  <si>
    <t>2.9.1-714.5</t>
  </si>
  <si>
    <t>TRAPOS REJILLA; DIMENSION: 40 X 50 Cm, COLOR: SIN VALOR, MATERIAL: ALGODÓN</t>
  </si>
  <si>
    <t>2.9.1-678.7</t>
  </si>
  <si>
    <t>TRAPOS DE PISO; DIMENSION: 48 X 60 Cm, COLOR: GRIS</t>
  </si>
  <si>
    <t>2.9.1-713.6</t>
  </si>
  <si>
    <t>ESPONJA DE ACERO; CUERPO: METALICO, PESO: 60 GR, MATERIAL DEL CUERPO: METALICO, MATERIAL: METALICO</t>
  </si>
  <si>
    <t>2.9.1-1083.5</t>
  </si>
  <si>
    <t>PAPEL HIGIENICO; TIPO: ROLLO, LARGO: 300 Cm, PRESENTACION: UNIDAD, ANCHO: 10 Cm, MATERIAL HOJA: SIMPLE, HOJA: SIMPLE, TIPO DE HOJA: SIMPLE</t>
  </si>
  <si>
    <t>2.3.4-786.1</t>
  </si>
  <si>
    <t>DESINFECTANTES; PRINCIPIO ACTIVO: HIPOCLORITO DE SODIO, PRESENTACION: ENVASE X 5 L, USO P/CONTROL: VIRUS, CONTROL: VIRUS, CAPACIDAD: 5 L</t>
  </si>
  <si>
    <t>2.5.4-505.18</t>
  </si>
  <si>
    <t>BOLSAS DE RESIDUOS; COLOR: OBSCURO, ESPESOR: 40 Mn, DIMENSION: 45 X 60 Cm, PRESENTACION: SIN VALOR</t>
  </si>
  <si>
    <t>2.9.1-646.18</t>
  </si>
  <si>
    <t>TOALLAS DE PAPEL; MATERIAL: PAPEL ABSORBENTE, GRAMAJE: 35 GR, DIMENSION: 20 X 24 Cm, PRESENTACION: ENVASE X 2500 HOJAS</t>
  </si>
  <si>
    <t>2.3.4-783.90</t>
  </si>
  <si>
    <t>AGUA LAVANDINA CONCENTRADA X 55 GRS. DE CLORO ACTIVO EN ENVASE DE 1 LITRO, ETIQUETADO. PRESENTAR MUESTRA. (P/MAQUINIA DE DIALISIS)</t>
  </si>
  <si>
    <t>BALDE PLÁSTICO CON MANIJA METALICA CAPACIDAD 17 LITROS, PRIMERA MARCA. PRESENTAR MUESTRA</t>
  </si>
  <si>
    <t>05 días - Servicio de Depósito Central y Control de Infecciones</t>
  </si>
  <si>
    <t>Especificidades Item N° 3:</t>
  </si>
  <si>
    <t>CERA PARA PISOS COLOR ROJO, EN ENVASE DE 1 LITRO, ETIQUETADO. PRESENTAR MUESTRA</t>
  </si>
  <si>
    <t>Especificidades Item N° 4:</t>
  </si>
  <si>
    <t>DESODORANTE DE AMBIENTE EN AEROSOL DE 360 CM3, PRESENTAR MUESTRA</t>
  </si>
  <si>
    <t>Especificidades Item N° 5:</t>
  </si>
  <si>
    <t>DESODORANTE PARA PISO EN ENVASE DE 5 LITROS (CHERRY, LAVANDA), ETIQUETADO. PRESENTAR MUESTRA</t>
  </si>
  <si>
    <t>Especificidades Item N° 6:</t>
  </si>
  <si>
    <t>DESENGRASANTE INDUSTRIAL EN ENVASE DE 5 LITROS APTO PARA LA INDUSTRIA ALIMENTICIA, ETIQUETADO. PRESENTAR MUESTRA</t>
  </si>
  <si>
    <t>Especificidades Item N° 7:</t>
  </si>
  <si>
    <t>DETERGENTE BIODEGRADABLE CONCENTRADO CON 15% DE MATERIA ACTIVA EN ENVASE DE 5 LITROS, ETIQUETADO. PRESENTAR MUESTRA</t>
  </si>
  <si>
    <t>Especificidades Item N° 8:</t>
  </si>
  <si>
    <t>ESCOBA DE PLÁSTICO DE PRIMERA CALIDAD , PRESENTAR MUESTRA</t>
  </si>
  <si>
    <t>Especificidades Item N° 9:</t>
  </si>
  <si>
    <t>ESCOBILLA LIMPIA INODOROS SOLA, PRESENTAR MUESTRA</t>
  </si>
  <si>
    <t>Especificidades Item N° 10:</t>
  </si>
  <si>
    <t>ESPONJA DE FIBRA CUADRICULADA PARA LAVAR VAJILLA, PRIMERA MARCA. PRESENTAR MUESTRA</t>
  </si>
  <si>
    <t>Especificidades Item N° 11:</t>
  </si>
  <si>
    <t>ESPONJA DE ACERO ENVOLTORIO INDIVIDUAL, 45 GRS. DE PESO APROXIMADO. PRESENTAR MUESTRA</t>
  </si>
  <si>
    <t>Especificidades Item N° 12:</t>
  </si>
  <si>
    <t>GUANTE DE LATEX AFELPADO POR DENTRO DE USO DOMÉSTICO, N° 7, PRESENTAR MUESTRA</t>
  </si>
  <si>
    <t>Especificidades Item N° 13:</t>
  </si>
  <si>
    <t>GUANTE DE LATEX AFELPADO POR DENTRO DE USO DOMÉSTICO, N° 8, PRESENTAR MUESTRA</t>
  </si>
  <si>
    <t>05 días - Servicio de Dpósito Central y Control de Infecciones</t>
  </si>
  <si>
    <t>Especificidades Item N° 14:</t>
  </si>
  <si>
    <t>GUANTE DE LATEX AFELPADO POR DENTRO DE USO DOMÉSTICO, N° 9, PRESENTAR MUESTRA</t>
  </si>
  <si>
    <t>Especificidades Item N° 15:</t>
  </si>
  <si>
    <t>INSECTICIDA EN AEROSOL, MATA MOSCA Y MOSQUITO POR 360 CM3, PRIMERA MARCA. PRESENTAR MUESTRA</t>
  </si>
  <si>
    <t>Especificidades Item N° 16:</t>
  </si>
  <si>
    <t>JABÓN DE TOCADOR POR 125 GRS., ENVOLTORIO INDIVIDUAL. PRESENTAR MUESTRA</t>
  </si>
  <si>
    <t>Especificidades Item N° 17:</t>
  </si>
  <si>
    <t>JABÓN NEUTRO BLANCO EN PAN POR 200 GRS. PRESENTAR MUESTRA</t>
  </si>
  <si>
    <t>Especificidades Item N° 18:</t>
  </si>
  <si>
    <t>JABÓN EN POLVO BAJA ESPUMA PARA LAVADORA INDUSTRIAL, EN PAQUETE DE 3 KGS. SIN SUAVIZANTE. PRESENTAR MUESTRA</t>
  </si>
  <si>
    <t>Especificidades Item N° 19:</t>
  </si>
  <si>
    <t>LÍQUIDO LIMPIA VIDRIOS, EN ENVASE DE 5 LITROS, ETIQUETADO. PRESENTAR MUESTRA</t>
  </si>
  <si>
    <t>05 - días Servicio de Depósito Central y Control de Infecciones</t>
  </si>
  <si>
    <t>Especificidades Item N° 20:</t>
  </si>
  <si>
    <t>LÍQUIDO SECUESTRANTE DE POLVO PERFUMADO PARA PISO, EN ENVASE DE 5 LITROS, ETIQUETADO. PRESENTAR MUESTRA</t>
  </si>
  <si>
    <t>Especificidades Item N° 21:</t>
  </si>
  <si>
    <t>LÍQUIDO DESINFECTANTE ANTIBATERIAL, EN ENVASE DE 5 LITROS, ETIQUETADO. PRESENTAR MUESTRA</t>
  </si>
  <si>
    <t>Especificidades Item N° 22:</t>
  </si>
  <si>
    <t>LÍQUIDO QUITASARRO, EN ENVASE DE 500 CM3, PRIMERA MARCA. PRESENTAR MUESTRA</t>
  </si>
  <si>
    <t>Especificidades Item N° 23:</t>
  </si>
  <si>
    <t>PALO PARA SECADOR DE 1,60 METROS DE LONGITUD SIN FORRAR. PRESENTAR MUESTRA</t>
  </si>
  <si>
    <t>Especificidades Item N° 24:</t>
  </si>
  <si>
    <t>PLUMERO PARA LIMPIAR MUEBLES N° 10. PRESENTAR MUESTRA</t>
  </si>
  <si>
    <t>Especificidades Item N° 25:</t>
  </si>
  <si>
    <t>POLVO LIMPIADOR DESENGRASANTE EN ENVASE DE 400 GRS. PRIMERA MARCA. PRESENTAR MUESTRA</t>
  </si>
  <si>
    <t>Especificidades Item N° 26:</t>
  </si>
  <si>
    <t>PULVERIZADOR A GATILLO CON ENVASE DE 1 LITRO DE CAPACIDAD. PRESENTAR MUESTRA</t>
  </si>
  <si>
    <t>Especificidades Item N° 27:</t>
  </si>
  <si>
    <t>SECADOR DE GOMA REFORZADO CON ALMA DE HIERRO DE 40 CM. DE LONGITUD. PRESENTAR MUESTRA</t>
  </si>
  <si>
    <t>Especificidades Item N° 28:</t>
  </si>
  <si>
    <t>SECADOR DE GOMA ROJO REFORZADO CON ALMA DE HIERRO DE 80 CM. DE LONGITUD. PRESENTAR MUESTRA</t>
  </si>
  <si>
    <t>Especificidades Item N° 29:</t>
  </si>
  <si>
    <t>SUAVIZANTE PERFUMADO PARA ROPA EN ENVASE DE 5 LITROS. PRESENTAR MUESTRA</t>
  </si>
  <si>
    <t>Especificidades Item N° 30:</t>
  </si>
  <si>
    <t>TRAPO FRANELA DE 40 X 50 CM. PRIMERA MARCA. PRESENTAR MUESTRA</t>
  </si>
  <si>
    <t>Especificidades Item N° 31:</t>
  </si>
  <si>
    <t>TRAPO REJILLA SEMIPESADA DE 40 X 50 CM. PRIMERA MARCA. PRESENTAR MUESTRA</t>
  </si>
  <si>
    <t>Especificidades Item N° 32:</t>
  </si>
  <si>
    <t>TRAPO DE PISO DE 48 X 60 CM. 90% DE ALGODÓN, PRIMERA MARCA. PRESENTAR MUESTRA</t>
  </si>
  <si>
    <t>Especificidades Item N° 33:</t>
  </si>
  <si>
    <t>VIRULANA DE ACERO EN ROLLITO EN PAQUETE DE 10 UNIDADES X 60 GRS. PRESENTAR MUESTRA</t>
  </si>
  <si>
    <t>Especificidades Item N° 34:</t>
  </si>
  <si>
    <t>PAPEL HIGIÉNICO HOJA SIMPLE DE 30 METROS DE LONGITUD EN PACK DE 6 UNIDADES. PRESENTAR MUESTRA</t>
  </si>
  <si>
    <t>Especificidades Item N° 35:</t>
  </si>
  <si>
    <t>HIPOCLORITO DE SODIO 100 GRS. DE CLORO ACTIVO X LITRO EN ENVASE DE 5 LITROS, PRIMERA MARCA. PRESENTAR MUESTRA</t>
  </si>
  <si>
    <t>Especificidades Item N° 36:</t>
  </si>
  <si>
    <t>Especificidades Item N° 37:</t>
  </si>
  <si>
    <t>BOLSA DE CONSORCIO CON FUELLE PARA RESIDUOS DE 90 X 60 CM. DE 40 MICRONES, COLOR NEGRO DE BAJA DENSIDAD EN PAQUETES DE 100 UNIDADES, ARRASTRE. PRESENTRAR MUESTRA</t>
  </si>
  <si>
    <t>Especificidades Item N° 38:</t>
  </si>
  <si>
    <t>BOLSA DE CONSORCIO CON FUELLE PARA RESIDUOS DE 90 X 60 CM. DE 40 MICRONES, COLOR VERDE DE VAJA DENSIDAD EN PAQUETES DE 100 UNIDADES, NO ARRASTRE. PRESENTAR MUESTRA</t>
  </si>
  <si>
    <t>Especificidades Item N° 39:</t>
  </si>
  <si>
    <t>BOLSA CRISTAL CON FUELLE PARA RESUDUOS DE 45 X 60 CM. DE 40 MICRONES, EN PAQUETES DE 100 UNIDADES, BAJA DESINDAD, MATERIAL VIRGEN, NO DE ARRASTRE. PRESENTAR MUESTRA</t>
  </si>
  <si>
    <t>Especificidades Item N° 40:</t>
  </si>
  <si>
    <t>Especificidades Item N° 41:</t>
  </si>
  <si>
    <t>BOBINA DE PAPEL MULTIUSO DOBLE HOJA EN FORMATO DE 25 CM. DE ANCHO X 400 DE LONGITUD Y 3500 DE PESO APROXIMADO. PRIMERA MARCA</t>
  </si>
  <si>
    <t>TOALLAS INTERCALADAS DE PAPEL DE 20 X 24 CM. COLOR BLANCAS, CAJA X 10 PAQUETES DE 250 UNIDADES. PRIMERA MARCA</t>
  </si>
  <si>
    <t>2.9.1</t>
  </si>
  <si>
    <t>2.5.4</t>
  </si>
  <si>
    <t>2.7.5</t>
  </si>
  <si>
    <t>BOLSAS DE RESIDUOS; DIMENSION: 90 X 60 Cm, PRESENTACION: UNIDAD, ESPESOR: SIN VALOR, COLOR: NEGRO</t>
  </si>
  <si>
    <t>2.9.1-646.35</t>
  </si>
  <si>
    <t>TOALLAS DE PAPEL; MATERIAL: FIBRA CELULOSICA, GRAMAJE: 20 GR/M2, DIMENSION: 25 Cm, PRESENTACION: 2 X BOBINA X 400 M</t>
  </si>
  <si>
    <t>2.3.4-783.84</t>
  </si>
  <si>
    <t>2.3.4</t>
  </si>
  <si>
    <t>BOLSAS DE RESIDUOS; DIMENSION: 45 X 60 Cm, PRESENTACION: UNIDAD, ESPESOR: 45 Mn</t>
  </si>
  <si>
    <t>2.9.1-646.92</t>
  </si>
  <si>
    <t>BOLSAS DE RESIDUOS; DIMENSION: 90 X 60 Cm, PRESENTACION: ENVASE X 100 UN, ESPESOR: 30 Mn</t>
  </si>
  <si>
    <t>2.9.1-646.93</t>
  </si>
  <si>
    <t xml:space="preserve">INSECTICIDA, FUMIGANTES Y OTROS </t>
  </si>
  <si>
    <t>2.1.5</t>
  </si>
  <si>
    <t>PRODUCTOS DE PAPEL Y CARTON</t>
  </si>
  <si>
    <t xml:space="preserve">Costo total estimado: NOVECIENTOS VEINTISIETE MIL SETECIENTOS CUARENTA Y UNO CON 80/100.--- </t>
  </si>
  <si>
    <t>354 - 2020</t>
  </si>
  <si>
    <t xml:space="preserve">Herramientas Menores </t>
  </si>
  <si>
    <t>TOTAL DE PESOS: NOVECIENTOS VEINTISIETE MIL SETECIENTOS CUARENTA Y UNO CON 80/100.-----</t>
  </si>
  <si>
    <t xml:space="preserve">Madera, Corcho y sus Manufacturas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</si>
</sst>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6" fontId="0" fillId="0" borderId="0" xfId="0" applyNumberFormat="1"/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15" fillId="5" borderId="0" xfId="0" applyFont="1" applyFill="1"/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5" borderId="14" xfId="0" applyFill="1" applyBorder="1" applyAlignment="1">
      <alignment wrapText="1"/>
    </xf>
    <xf numFmtId="0" fontId="21" fillId="0" borderId="14" xfId="0" applyFont="1" applyFill="1" applyBorder="1" applyAlignment="1">
      <alignment horizontal="center" vertical="center" wrapText="1"/>
    </xf>
    <xf numFmtId="166" fontId="20" fillId="0" borderId="14" xfId="1" applyNumberFormat="1" applyFont="1" applyFill="1" applyBorder="1" applyAlignment="1" applyProtection="1">
      <alignment horizontal="right" vertical="center" wrapText="1"/>
    </xf>
    <xf numFmtId="0" fontId="0" fillId="0" borderId="14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5" borderId="14" xfId="0" applyFill="1" applyBorder="1" applyAlignment="1">
      <alignment vertical="center" wrapText="1"/>
    </xf>
    <xf numFmtId="0" fontId="24" fillId="5" borderId="14" xfId="0" applyFont="1" applyFill="1" applyBorder="1" applyAlignment="1">
      <alignment vertical="center" wrapText="1"/>
    </xf>
    <xf numFmtId="166" fontId="20" fillId="5" borderId="14" xfId="1" applyNumberFormat="1" applyFont="1" applyFill="1" applyBorder="1" applyAlignment="1" applyProtection="1">
      <alignment horizontal="center" vertical="center" wrapText="1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49" xfId="3" applyNumberFormat="1" applyFont="1" applyBorder="1" applyAlignment="1" applyProtection="1">
      <alignment horizontal="center" vertical="center"/>
    </xf>
    <xf numFmtId="0" fontId="0" fillId="4" borderId="50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14" fillId="4" borderId="38" xfId="0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0" fillId="4" borderId="51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48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42"/>
  <sheetViews>
    <sheetView topLeftCell="A41" zoomScale="85" zoomScaleNormal="85" workbookViewId="0">
      <selection activeCell="I45" sqref="I45:I48"/>
    </sheetView>
  </sheetViews>
  <sheetFormatPr baseColWidth="10" defaultColWidth="11" defaultRowHeight="12.75" x14ac:dyDescent="0.2"/>
  <cols>
    <col min="1" max="1" width="4.5703125" style="34" customWidth="1"/>
    <col min="2" max="2" width="12.85546875" style="34" customWidth="1"/>
    <col min="3" max="3" width="32.42578125" style="34" customWidth="1"/>
    <col min="4" max="4" width="8.42578125" style="34" customWidth="1"/>
    <col min="5" max="5" width="79" style="34" customWidth="1"/>
    <col min="6" max="6" width="11" style="34"/>
    <col min="7" max="7" width="12.7109375" style="34" customWidth="1"/>
    <col min="8" max="8" width="13.85546875" style="34" customWidth="1"/>
    <col min="9" max="9" width="18.5703125" style="34" customWidth="1"/>
    <col min="10" max="16384" width="11" style="34"/>
  </cols>
  <sheetData>
    <row r="2" spans="1:9" ht="27" x14ac:dyDescent="0.35">
      <c r="B2" s="106" t="s">
        <v>0</v>
      </c>
      <c r="C2" s="106"/>
      <c r="D2" s="106"/>
      <c r="E2" s="106"/>
      <c r="F2" s="106"/>
      <c r="G2" s="106"/>
      <c r="H2" s="106"/>
    </row>
    <row r="4" spans="1:9" ht="18" customHeight="1" x14ac:dyDescent="0.25">
      <c r="A4" s="103" t="s">
        <v>1</v>
      </c>
      <c r="B4" s="103"/>
      <c r="C4" s="107" t="s">
        <v>59</v>
      </c>
      <c r="D4" s="107"/>
      <c r="E4" s="107"/>
      <c r="F4" s="35"/>
      <c r="G4" s="36"/>
      <c r="H4" s="35"/>
    </row>
    <row r="5" spans="1:9" ht="18" customHeight="1" x14ac:dyDescent="0.25">
      <c r="A5" s="103" t="s">
        <v>2</v>
      </c>
      <c r="B5" s="103"/>
      <c r="C5" s="107" t="s">
        <v>60</v>
      </c>
      <c r="D5" s="107"/>
      <c r="E5" s="107"/>
      <c r="F5" s="35"/>
      <c r="G5" s="36"/>
      <c r="H5" s="35"/>
    </row>
    <row r="6" spans="1:9" ht="16.5" customHeight="1" x14ac:dyDescent="0.25">
      <c r="A6" s="103" t="s">
        <v>3</v>
      </c>
      <c r="B6" s="103"/>
      <c r="C6" s="58">
        <v>2020</v>
      </c>
      <c r="D6" s="59"/>
      <c r="E6" s="59"/>
      <c r="F6" s="35"/>
      <c r="G6" s="36"/>
      <c r="H6" s="35"/>
    </row>
    <row r="7" spans="1:9" ht="16.5" customHeight="1" x14ac:dyDescent="0.25">
      <c r="A7" s="103" t="s">
        <v>4</v>
      </c>
      <c r="B7" s="103"/>
      <c r="C7" s="58">
        <v>4</v>
      </c>
      <c r="D7" s="59"/>
      <c r="E7" s="59"/>
      <c r="F7" s="35"/>
      <c r="G7" s="36"/>
      <c r="H7" s="35"/>
    </row>
    <row r="8" spans="1:9" ht="13.5" thickBot="1" x14ac:dyDescent="0.25">
      <c r="B8" s="35"/>
      <c r="C8" s="36"/>
      <c r="D8" s="35"/>
      <c r="E8" s="35"/>
      <c r="F8" s="35"/>
      <c r="G8" s="36"/>
      <c r="H8" s="35"/>
    </row>
    <row r="9" spans="1:9" ht="39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31.9" customHeight="1" thickBot="1" x14ac:dyDescent="0.25">
      <c r="A10" s="51">
        <v>1</v>
      </c>
      <c r="B10" s="55" t="s">
        <v>77</v>
      </c>
      <c r="C10" s="52" t="s">
        <v>78</v>
      </c>
      <c r="D10" s="53" t="s">
        <v>235</v>
      </c>
      <c r="E10" s="54" t="s">
        <v>76</v>
      </c>
      <c r="F10" s="55" t="s">
        <v>63</v>
      </c>
      <c r="G10" s="55">
        <v>1000</v>
      </c>
      <c r="H10" s="56">
        <v>45</v>
      </c>
      <c r="I10" s="57">
        <f t="shared" ref="I10:I50" si="0">G10*H10</f>
        <v>45000</v>
      </c>
    </row>
    <row r="11" spans="1:9" ht="31.9" customHeight="1" thickBot="1" x14ac:dyDescent="0.25">
      <c r="A11" s="51">
        <v>2</v>
      </c>
      <c r="B11" s="55" t="s">
        <v>80</v>
      </c>
      <c r="C11" s="52" t="s">
        <v>78</v>
      </c>
      <c r="D11" s="53" t="s">
        <v>235</v>
      </c>
      <c r="E11" s="54" t="s">
        <v>79</v>
      </c>
      <c r="F11" s="55" t="s">
        <v>63</v>
      </c>
      <c r="G11" s="55">
        <v>50</v>
      </c>
      <c r="H11" s="56">
        <v>365</v>
      </c>
      <c r="I11" s="57">
        <f t="shared" si="0"/>
        <v>18250</v>
      </c>
    </row>
    <row r="12" spans="1:9" ht="31.9" customHeight="1" thickBot="1" x14ac:dyDescent="0.25">
      <c r="A12" s="51">
        <v>3</v>
      </c>
      <c r="B12" s="55" t="s">
        <v>82</v>
      </c>
      <c r="C12" s="52" t="s">
        <v>78</v>
      </c>
      <c r="D12" s="53" t="s">
        <v>235</v>
      </c>
      <c r="E12" s="54" t="s">
        <v>81</v>
      </c>
      <c r="F12" s="55" t="s">
        <v>63</v>
      </c>
      <c r="G12" s="55">
        <v>100</v>
      </c>
      <c r="H12" s="56">
        <v>162</v>
      </c>
      <c r="I12" s="57">
        <f t="shared" si="0"/>
        <v>16200</v>
      </c>
    </row>
    <row r="13" spans="1:9" ht="31.9" customHeight="1" thickBot="1" x14ac:dyDescent="0.25">
      <c r="A13" s="51">
        <v>4</v>
      </c>
      <c r="B13" s="55" t="s">
        <v>84</v>
      </c>
      <c r="C13" s="52" t="s">
        <v>78</v>
      </c>
      <c r="D13" s="53" t="s">
        <v>235</v>
      </c>
      <c r="E13" s="54" t="s">
        <v>83</v>
      </c>
      <c r="F13" s="55" t="s">
        <v>63</v>
      </c>
      <c r="G13" s="55">
        <v>100</v>
      </c>
      <c r="H13" s="56">
        <v>100</v>
      </c>
      <c r="I13" s="57">
        <f t="shared" si="0"/>
        <v>10000</v>
      </c>
    </row>
    <row r="14" spans="1:9" ht="31.9" customHeight="1" thickBot="1" x14ac:dyDescent="0.25">
      <c r="A14" s="51">
        <v>5</v>
      </c>
      <c r="B14" s="55" t="s">
        <v>86</v>
      </c>
      <c r="C14" s="52" t="s">
        <v>78</v>
      </c>
      <c r="D14" s="53" t="s">
        <v>235</v>
      </c>
      <c r="E14" s="54" t="s">
        <v>85</v>
      </c>
      <c r="F14" s="55" t="s">
        <v>64</v>
      </c>
      <c r="G14" s="55">
        <v>600</v>
      </c>
      <c r="H14" s="56">
        <v>165</v>
      </c>
      <c r="I14" s="57">
        <f t="shared" si="0"/>
        <v>99000</v>
      </c>
    </row>
    <row r="15" spans="1:9" s="73" customFormat="1" ht="31.9" customHeight="1" thickBot="1" x14ac:dyDescent="0.25">
      <c r="A15" s="69">
        <v>6</v>
      </c>
      <c r="B15" s="55" t="s">
        <v>88</v>
      </c>
      <c r="C15" s="70" t="s">
        <v>78</v>
      </c>
      <c r="D15" s="71" t="s">
        <v>235</v>
      </c>
      <c r="E15" s="82" t="s">
        <v>87</v>
      </c>
      <c r="F15" s="55" t="s">
        <v>64</v>
      </c>
      <c r="G15" s="55">
        <v>15</v>
      </c>
      <c r="H15" s="56">
        <v>710</v>
      </c>
      <c r="I15" s="57">
        <f t="shared" si="0"/>
        <v>10650</v>
      </c>
    </row>
    <row r="16" spans="1:9" ht="31.9" customHeight="1" thickBot="1" x14ac:dyDescent="0.25">
      <c r="A16" s="51">
        <v>7</v>
      </c>
      <c r="B16" s="55" t="s">
        <v>90</v>
      </c>
      <c r="C16" s="52" t="s">
        <v>78</v>
      </c>
      <c r="D16" s="53" t="s">
        <v>235</v>
      </c>
      <c r="E16" s="54" t="s">
        <v>89</v>
      </c>
      <c r="F16" s="55" t="s">
        <v>64</v>
      </c>
      <c r="G16" s="55">
        <v>50</v>
      </c>
      <c r="H16" s="56">
        <v>250</v>
      </c>
      <c r="I16" s="57">
        <f t="shared" si="0"/>
        <v>12500</v>
      </c>
    </row>
    <row r="17" spans="1:9" ht="31.9" customHeight="1" thickBot="1" x14ac:dyDescent="0.25">
      <c r="A17" s="51">
        <v>8</v>
      </c>
      <c r="B17" s="55" t="s">
        <v>92</v>
      </c>
      <c r="C17" s="52" t="s">
        <v>78</v>
      </c>
      <c r="D17" s="53" t="s">
        <v>235</v>
      </c>
      <c r="E17" s="54" t="s">
        <v>91</v>
      </c>
      <c r="F17" s="55" t="s">
        <v>63</v>
      </c>
      <c r="G17" s="55">
        <v>40</v>
      </c>
      <c r="H17" s="56">
        <v>95.57</v>
      </c>
      <c r="I17" s="57">
        <f t="shared" si="0"/>
        <v>3822.7999999999997</v>
      </c>
    </row>
    <row r="18" spans="1:9" ht="31.9" customHeight="1" thickBot="1" x14ac:dyDescent="0.25">
      <c r="A18" s="51">
        <v>9</v>
      </c>
      <c r="B18" s="55" t="s">
        <v>94</v>
      </c>
      <c r="C18" s="52" t="s">
        <v>78</v>
      </c>
      <c r="D18" s="53" t="s">
        <v>235</v>
      </c>
      <c r="E18" s="54" t="s">
        <v>93</v>
      </c>
      <c r="F18" s="55" t="s">
        <v>63</v>
      </c>
      <c r="G18" s="55">
        <v>100</v>
      </c>
      <c r="H18" s="56">
        <v>92.11</v>
      </c>
      <c r="I18" s="57">
        <f t="shared" si="0"/>
        <v>9211</v>
      </c>
    </row>
    <row r="19" spans="1:9" ht="31.9" customHeight="1" thickBot="1" x14ac:dyDescent="0.25">
      <c r="A19" s="51">
        <v>10</v>
      </c>
      <c r="B19" s="55" t="s">
        <v>96</v>
      </c>
      <c r="C19" s="52" t="s">
        <v>78</v>
      </c>
      <c r="D19" s="53" t="s">
        <v>235</v>
      </c>
      <c r="E19" s="54" t="s">
        <v>95</v>
      </c>
      <c r="F19" s="55" t="s">
        <v>63</v>
      </c>
      <c r="G19" s="55">
        <v>200</v>
      </c>
      <c r="H19" s="56">
        <v>21.17</v>
      </c>
      <c r="I19" s="57">
        <f t="shared" si="0"/>
        <v>4234</v>
      </c>
    </row>
    <row r="20" spans="1:9" ht="31.9" customHeight="1" thickBot="1" x14ac:dyDescent="0.25">
      <c r="A20" s="51">
        <v>11</v>
      </c>
      <c r="B20" s="55" t="s">
        <v>98</v>
      </c>
      <c r="C20" s="52" t="s">
        <v>78</v>
      </c>
      <c r="D20" s="53" t="s">
        <v>235</v>
      </c>
      <c r="E20" s="54" t="s">
        <v>97</v>
      </c>
      <c r="F20" s="55" t="s">
        <v>63</v>
      </c>
      <c r="G20" s="55">
        <v>300</v>
      </c>
      <c r="H20" s="56">
        <v>19.649999999999999</v>
      </c>
      <c r="I20" s="57">
        <f t="shared" si="0"/>
        <v>5895</v>
      </c>
    </row>
    <row r="21" spans="1:9" ht="31.9" customHeight="1" thickBot="1" x14ac:dyDescent="0.25">
      <c r="A21" s="51">
        <v>12</v>
      </c>
      <c r="B21" s="55" t="s">
        <v>100</v>
      </c>
      <c r="C21" s="52" t="s">
        <v>78</v>
      </c>
      <c r="D21" s="53" t="s">
        <v>235</v>
      </c>
      <c r="E21" s="54" t="s">
        <v>99</v>
      </c>
      <c r="F21" s="55" t="s">
        <v>65</v>
      </c>
      <c r="G21" s="55">
        <v>150</v>
      </c>
      <c r="H21" s="56">
        <v>94.63</v>
      </c>
      <c r="I21" s="57">
        <f t="shared" si="0"/>
        <v>14194.5</v>
      </c>
    </row>
    <row r="22" spans="1:9" ht="31.9" customHeight="1" thickBot="1" x14ac:dyDescent="0.25">
      <c r="A22" s="51">
        <v>13</v>
      </c>
      <c r="B22" s="55" t="s">
        <v>102</v>
      </c>
      <c r="C22" s="52" t="s">
        <v>78</v>
      </c>
      <c r="D22" s="53" t="s">
        <v>235</v>
      </c>
      <c r="E22" s="54" t="s">
        <v>101</v>
      </c>
      <c r="F22" s="55" t="s">
        <v>65</v>
      </c>
      <c r="G22" s="55">
        <v>120</v>
      </c>
      <c r="H22" s="56">
        <v>94.63</v>
      </c>
      <c r="I22" s="57">
        <f t="shared" si="0"/>
        <v>11355.599999999999</v>
      </c>
    </row>
    <row r="23" spans="1:9" ht="31.9" customHeight="1" thickBot="1" x14ac:dyDescent="0.25">
      <c r="A23" s="51">
        <v>14</v>
      </c>
      <c r="B23" s="55" t="s">
        <v>104</v>
      </c>
      <c r="C23" s="52" t="s">
        <v>78</v>
      </c>
      <c r="D23" s="53" t="s">
        <v>235</v>
      </c>
      <c r="E23" s="54" t="s">
        <v>103</v>
      </c>
      <c r="F23" s="55" t="s">
        <v>65</v>
      </c>
      <c r="G23" s="55">
        <v>100</v>
      </c>
      <c r="H23" s="56">
        <v>149</v>
      </c>
      <c r="I23" s="57">
        <f t="shared" si="0"/>
        <v>14900</v>
      </c>
    </row>
    <row r="24" spans="1:9" ht="51" customHeight="1" thickBot="1" x14ac:dyDescent="0.25">
      <c r="A24" s="51">
        <v>15</v>
      </c>
      <c r="B24" s="55" t="s">
        <v>106</v>
      </c>
      <c r="C24" s="52" t="s">
        <v>247</v>
      </c>
      <c r="D24" s="53" t="s">
        <v>236</v>
      </c>
      <c r="E24" s="54" t="s">
        <v>105</v>
      </c>
      <c r="F24" s="55" t="s">
        <v>63</v>
      </c>
      <c r="G24" s="55">
        <v>100</v>
      </c>
      <c r="H24" s="56">
        <v>107.65</v>
      </c>
      <c r="I24" s="57">
        <f t="shared" si="0"/>
        <v>10765</v>
      </c>
    </row>
    <row r="25" spans="1:9" ht="31.9" customHeight="1" thickBot="1" x14ac:dyDescent="0.25">
      <c r="A25" s="51">
        <v>16</v>
      </c>
      <c r="B25" s="55" t="s">
        <v>108</v>
      </c>
      <c r="C25" s="52" t="s">
        <v>78</v>
      </c>
      <c r="D25" s="53" t="s">
        <v>235</v>
      </c>
      <c r="E25" s="54" t="s">
        <v>107</v>
      </c>
      <c r="F25" s="55" t="s">
        <v>63</v>
      </c>
      <c r="G25" s="55">
        <v>60</v>
      </c>
      <c r="H25" s="56">
        <v>40</v>
      </c>
      <c r="I25" s="57">
        <f t="shared" si="0"/>
        <v>2400</v>
      </c>
    </row>
    <row r="26" spans="1:9" ht="31.9" customHeight="1" thickBot="1" x14ac:dyDescent="0.25">
      <c r="A26" s="51">
        <v>17</v>
      </c>
      <c r="B26" s="55" t="s">
        <v>110</v>
      </c>
      <c r="C26" s="52" t="s">
        <v>78</v>
      </c>
      <c r="D26" s="53" t="s">
        <v>235</v>
      </c>
      <c r="E26" s="54" t="s">
        <v>109</v>
      </c>
      <c r="F26" s="55" t="s">
        <v>63</v>
      </c>
      <c r="G26" s="55">
        <v>75</v>
      </c>
      <c r="H26" s="56">
        <v>35</v>
      </c>
      <c r="I26" s="57">
        <f t="shared" si="0"/>
        <v>2625</v>
      </c>
    </row>
    <row r="27" spans="1:9" ht="39.75" customHeight="1" thickBot="1" x14ac:dyDescent="0.25">
      <c r="A27" s="51">
        <v>18</v>
      </c>
      <c r="B27" s="55" t="s">
        <v>112</v>
      </c>
      <c r="C27" s="52" t="s">
        <v>78</v>
      </c>
      <c r="D27" s="53" t="s">
        <v>235</v>
      </c>
      <c r="E27" s="54" t="s">
        <v>111</v>
      </c>
      <c r="F27" s="55" t="s">
        <v>66</v>
      </c>
      <c r="G27" s="55">
        <v>240</v>
      </c>
      <c r="H27" s="56">
        <v>240</v>
      </c>
      <c r="I27" s="57">
        <f t="shared" si="0"/>
        <v>57600</v>
      </c>
    </row>
    <row r="28" spans="1:9" ht="31.9" customHeight="1" thickBot="1" x14ac:dyDescent="0.25">
      <c r="A28" s="51">
        <v>19</v>
      </c>
      <c r="B28" s="55" t="s">
        <v>114</v>
      </c>
      <c r="C28" s="52" t="s">
        <v>78</v>
      </c>
      <c r="D28" s="53" t="s">
        <v>235</v>
      </c>
      <c r="E28" s="54" t="s">
        <v>113</v>
      </c>
      <c r="F28" s="55" t="s">
        <v>64</v>
      </c>
      <c r="G28" s="55">
        <v>15</v>
      </c>
      <c r="H28" s="56">
        <v>400</v>
      </c>
      <c r="I28" s="57">
        <f t="shared" si="0"/>
        <v>6000</v>
      </c>
    </row>
    <row r="29" spans="1:9" ht="31.9" customHeight="1" thickBot="1" x14ac:dyDescent="0.25">
      <c r="A29" s="51">
        <v>20</v>
      </c>
      <c r="B29" s="55" t="s">
        <v>116</v>
      </c>
      <c r="C29" s="52" t="s">
        <v>78</v>
      </c>
      <c r="D29" s="53" t="s">
        <v>235</v>
      </c>
      <c r="E29" s="54" t="s">
        <v>115</v>
      </c>
      <c r="F29" s="55" t="s">
        <v>64</v>
      </c>
      <c r="G29" s="55">
        <v>16</v>
      </c>
      <c r="H29" s="56">
        <v>2495</v>
      </c>
      <c r="I29" s="57">
        <f t="shared" si="0"/>
        <v>39920</v>
      </c>
    </row>
    <row r="30" spans="1:9" ht="72" customHeight="1" thickBot="1" x14ac:dyDescent="0.25">
      <c r="A30" s="51">
        <v>21</v>
      </c>
      <c r="B30" s="55" t="s">
        <v>118</v>
      </c>
      <c r="C30" s="52" t="s">
        <v>247</v>
      </c>
      <c r="D30" s="53" t="s">
        <v>236</v>
      </c>
      <c r="E30" s="54" t="s">
        <v>117</v>
      </c>
      <c r="F30" s="55" t="s">
        <v>64</v>
      </c>
      <c r="G30" s="55">
        <v>75</v>
      </c>
      <c r="H30" s="56">
        <v>235</v>
      </c>
      <c r="I30" s="57">
        <f t="shared" si="0"/>
        <v>17625</v>
      </c>
    </row>
    <row r="31" spans="1:9" ht="31.9" customHeight="1" thickBot="1" x14ac:dyDescent="0.25">
      <c r="A31" s="51">
        <v>22</v>
      </c>
      <c r="B31" s="55" t="s">
        <v>120</v>
      </c>
      <c r="C31" s="52" t="s">
        <v>78</v>
      </c>
      <c r="D31" s="53" t="s">
        <v>235</v>
      </c>
      <c r="E31" s="54" t="s">
        <v>119</v>
      </c>
      <c r="F31" s="55" t="s">
        <v>64</v>
      </c>
      <c r="G31" s="55">
        <v>50</v>
      </c>
      <c r="H31" s="56">
        <v>160</v>
      </c>
      <c r="I31" s="57">
        <f t="shared" si="0"/>
        <v>8000</v>
      </c>
    </row>
    <row r="32" spans="1:9" ht="31.9" customHeight="1" thickBot="1" x14ac:dyDescent="0.25">
      <c r="A32" s="51">
        <v>23</v>
      </c>
      <c r="B32" s="55" t="s">
        <v>122</v>
      </c>
      <c r="C32" s="52" t="s">
        <v>123</v>
      </c>
      <c r="D32" s="53" t="s">
        <v>248</v>
      </c>
      <c r="E32" s="54" t="s">
        <v>121</v>
      </c>
      <c r="F32" s="55" t="s">
        <v>63</v>
      </c>
      <c r="G32" s="55">
        <v>100</v>
      </c>
      <c r="H32" s="56">
        <v>120</v>
      </c>
      <c r="I32" s="57">
        <f t="shared" si="0"/>
        <v>12000</v>
      </c>
    </row>
    <row r="33" spans="1:9" ht="31.9" customHeight="1" thickBot="1" x14ac:dyDescent="0.25">
      <c r="A33" s="51">
        <v>24</v>
      </c>
      <c r="B33" s="55" t="s">
        <v>125</v>
      </c>
      <c r="C33" s="52" t="s">
        <v>78</v>
      </c>
      <c r="D33" s="53" t="s">
        <v>235</v>
      </c>
      <c r="E33" s="54" t="s">
        <v>124</v>
      </c>
      <c r="F33" s="55" t="s">
        <v>63</v>
      </c>
      <c r="G33" s="55">
        <v>15</v>
      </c>
      <c r="H33" s="56">
        <v>1110</v>
      </c>
      <c r="I33" s="57">
        <f t="shared" si="0"/>
        <v>16650</v>
      </c>
    </row>
    <row r="34" spans="1:9" ht="31.9" customHeight="1" thickBot="1" x14ac:dyDescent="0.25">
      <c r="A34" s="51">
        <v>25</v>
      </c>
      <c r="B34" s="55" t="s">
        <v>127</v>
      </c>
      <c r="C34" s="52" t="s">
        <v>78</v>
      </c>
      <c r="D34" s="53" t="s">
        <v>235</v>
      </c>
      <c r="E34" s="54" t="s">
        <v>126</v>
      </c>
      <c r="F34" s="55" t="s">
        <v>63</v>
      </c>
      <c r="G34" s="55">
        <v>100</v>
      </c>
      <c r="H34" s="56">
        <v>92</v>
      </c>
      <c r="I34" s="57">
        <f t="shared" si="0"/>
        <v>9200</v>
      </c>
    </row>
    <row r="35" spans="1:9" ht="31.9" customHeight="1" thickBot="1" x14ac:dyDescent="0.25">
      <c r="A35" s="51">
        <v>26</v>
      </c>
      <c r="B35" s="55" t="s">
        <v>129</v>
      </c>
      <c r="C35" s="52" t="s">
        <v>130</v>
      </c>
      <c r="D35" s="53" t="s">
        <v>237</v>
      </c>
      <c r="E35" s="54" t="s">
        <v>128</v>
      </c>
      <c r="F35" s="55" t="s">
        <v>63</v>
      </c>
      <c r="G35" s="55">
        <v>75</v>
      </c>
      <c r="H35" s="56">
        <v>130</v>
      </c>
      <c r="I35" s="57">
        <f t="shared" si="0"/>
        <v>9750</v>
      </c>
    </row>
    <row r="36" spans="1:9" ht="31.9" customHeight="1" thickBot="1" x14ac:dyDescent="0.25">
      <c r="A36" s="51">
        <v>27</v>
      </c>
      <c r="B36" s="55" t="s">
        <v>132</v>
      </c>
      <c r="C36" s="52" t="s">
        <v>78</v>
      </c>
      <c r="D36" s="53" t="s">
        <v>235</v>
      </c>
      <c r="E36" s="54" t="s">
        <v>131</v>
      </c>
      <c r="F36" s="55" t="s">
        <v>63</v>
      </c>
      <c r="G36" s="55">
        <v>150</v>
      </c>
      <c r="H36" s="56">
        <v>49.8</v>
      </c>
      <c r="I36" s="57">
        <f t="shared" si="0"/>
        <v>7470</v>
      </c>
    </row>
    <row r="37" spans="1:9" ht="31.9" customHeight="1" thickBot="1" x14ac:dyDescent="0.25">
      <c r="A37" s="51">
        <v>28</v>
      </c>
      <c r="B37" s="55" t="s">
        <v>134</v>
      </c>
      <c r="C37" s="52" t="s">
        <v>78</v>
      </c>
      <c r="D37" s="53" t="s">
        <v>235</v>
      </c>
      <c r="E37" s="54" t="s">
        <v>133</v>
      </c>
      <c r="F37" s="55" t="s">
        <v>63</v>
      </c>
      <c r="G37" s="55">
        <v>20</v>
      </c>
      <c r="H37" s="56">
        <v>231.74</v>
      </c>
      <c r="I37" s="57">
        <f t="shared" si="0"/>
        <v>4634.8</v>
      </c>
    </row>
    <row r="38" spans="1:9" ht="31.9" customHeight="1" thickBot="1" x14ac:dyDescent="0.25">
      <c r="A38" s="51">
        <v>29</v>
      </c>
      <c r="B38" s="55" t="s">
        <v>136</v>
      </c>
      <c r="C38" s="52" t="s">
        <v>78</v>
      </c>
      <c r="D38" s="53" t="s">
        <v>235</v>
      </c>
      <c r="E38" s="54" t="s">
        <v>135</v>
      </c>
      <c r="F38" s="55" t="s">
        <v>64</v>
      </c>
      <c r="G38" s="55">
        <v>32</v>
      </c>
      <c r="H38" s="56">
        <v>620</v>
      </c>
      <c r="I38" s="57">
        <f t="shared" si="0"/>
        <v>19840</v>
      </c>
    </row>
    <row r="39" spans="1:9" ht="31.9" customHeight="1" thickBot="1" x14ac:dyDescent="0.25">
      <c r="A39" s="51">
        <v>30</v>
      </c>
      <c r="B39" s="55" t="s">
        <v>138</v>
      </c>
      <c r="C39" s="52" t="s">
        <v>78</v>
      </c>
      <c r="D39" s="53" t="s">
        <v>235</v>
      </c>
      <c r="E39" s="54" t="s">
        <v>137</v>
      </c>
      <c r="F39" s="55" t="s">
        <v>63</v>
      </c>
      <c r="G39" s="55">
        <v>120</v>
      </c>
      <c r="H39" s="56">
        <v>48.62</v>
      </c>
      <c r="I39" s="57">
        <f t="shared" si="0"/>
        <v>5834.4</v>
      </c>
    </row>
    <row r="40" spans="1:9" ht="31.9" customHeight="1" thickBot="1" x14ac:dyDescent="0.25">
      <c r="A40" s="51">
        <v>31</v>
      </c>
      <c r="B40" s="55" t="s">
        <v>140</v>
      </c>
      <c r="C40" s="52" t="s">
        <v>78</v>
      </c>
      <c r="D40" s="53" t="s">
        <v>235</v>
      </c>
      <c r="E40" s="54" t="s">
        <v>139</v>
      </c>
      <c r="F40" s="55" t="s">
        <v>63</v>
      </c>
      <c r="G40" s="55">
        <v>250</v>
      </c>
      <c r="H40" s="56">
        <v>19.21</v>
      </c>
      <c r="I40" s="57">
        <f t="shared" si="0"/>
        <v>4802.5</v>
      </c>
    </row>
    <row r="41" spans="1:9" ht="31.9" customHeight="1" thickBot="1" x14ac:dyDescent="0.25">
      <c r="A41" s="51">
        <v>32</v>
      </c>
      <c r="B41" s="55" t="s">
        <v>142</v>
      </c>
      <c r="C41" s="52" t="s">
        <v>78</v>
      </c>
      <c r="D41" s="53" t="s">
        <v>235</v>
      </c>
      <c r="E41" s="54" t="s">
        <v>141</v>
      </c>
      <c r="F41" s="55" t="s">
        <v>63</v>
      </c>
      <c r="G41" s="55">
        <v>300</v>
      </c>
      <c r="H41" s="56">
        <v>37.82</v>
      </c>
      <c r="I41" s="57">
        <f t="shared" si="0"/>
        <v>11346</v>
      </c>
    </row>
    <row r="42" spans="1:9" ht="31.9" customHeight="1" thickBot="1" x14ac:dyDescent="0.25">
      <c r="A42" s="51">
        <v>33</v>
      </c>
      <c r="B42" s="55" t="s">
        <v>144</v>
      </c>
      <c r="C42" s="52" t="s">
        <v>78</v>
      </c>
      <c r="D42" s="53" t="s">
        <v>235</v>
      </c>
      <c r="E42" s="54" t="s">
        <v>143</v>
      </c>
      <c r="F42" s="55" t="s">
        <v>66</v>
      </c>
      <c r="G42" s="55">
        <v>2000</v>
      </c>
      <c r="H42" s="56">
        <v>26.65</v>
      </c>
      <c r="I42" s="57">
        <f t="shared" si="0"/>
        <v>53300</v>
      </c>
    </row>
    <row r="43" spans="1:9" ht="38.25" customHeight="1" thickBot="1" x14ac:dyDescent="0.25">
      <c r="A43" s="51">
        <v>34</v>
      </c>
      <c r="B43" s="55" t="s">
        <v>146</v>
      </c>
      <c r="C43" s="52" t="s">
        <v>249</v>
      </c>
      <c r="D43" s="53" t="s">
        <v>242</v>
      </c>
      <c r="E43" s="54" t="s">
        <v>145</v>
      </c>
      <c r="F43" s="55" t="s">
        <v>63</v>
      </c>
      <c r="G43" s="55">
        <v>900</v>
      </c>
      <c r="H43" s="56">
        <v>18.329999999999998</v>
      </c>
      <c r="I43" s="57">
        <f t="shared" si="0"/>
        <v>16497</v>
      </c>
    </row>
    <row r="44" spans="1:9" ht="45" customHeight="1" thickBot="1" x14ac:dyDescent="0.25">
      <c r="A44" s="51">
        <v>35</v>
      </c>
      <c r="B44" s="55" t="s">
        <v>148</v>
      </c>
      <c r="C44" s="52" t="s">
        <v>247</v>
      </c>
      <c r="D44" s="53" t="s">
        <v>236</v>
      </c>
      <c r="E44" s="54" t="s">
        <v>147</v>
      </c>
      <c r="F44" s="55" t="s">
        <v>64</v>
      </c>
      <c r="G44" s="55">
        <v>200</v>
      </c>
      <c r="H44" s="56">
        <v>350</v>
      </c>
      <c r="I44" s="57">
        <f t="shared" si="0"/>
        <v>70000</v>
      </c>
    </row>
    <row r="45" spans="1:9" ht="41.25" customHeight="1" thickBot="1" x14ac:dyDescent="0.25">
      <c r="A45" s="51">
        <v>36</v>
      </c>
      <c r="B45" s="55" t="s">
        <v>150</v>
      </c>
      <c r="C45" s="52" t="s">
        <v>78</v>
      </c>
      <c r="D45" s="53" t="s">
        <v>235</v>
      </c>
      <c r="E45" s="54" t="s">
        <v>149</v>
      </c>
      <c r="F45" s="55" t="s">
        <v>63</v>
      </c>
      <c r="G45" s="55">
        <v>18000</v>
      </c>
      <c r="H45" s="56">
        <v>1.22</v>
      </c>
      <c r="I45" s="57">
        <f t="shared" si="0"/>
        <v>21960</v>
      </c>
    </row>
    <row r="46" spans="1:9" s="73" customFormat="1" ht="41.25" customHeight="1" thickBot="1" x14ac:dyDescent="0.25">
      <c r="A46" s="51">
        <v>37</v>
      </c>
      <c r="B46" s="79" t="s">
        <v>239</v>
      </c>
      <c r="C46" s="52" t="s">
        <v>78</v>
      </c>
      <c r="D46" s="71" t="s">
        <v>235</v>
      </c>
      <c r="E46" s="74" t="s">
        <v>238</v>
      </c>
      <c r="F46" s="77" t="s">
        <v>63</v>
      </c>
      <c r="G46" s="77">
        <v>1400</v>
      </c>
      <c r="H46" s="83">
        <v>3.82</v>
      </c>
      <c r="I46" s="78">
        <f t="shared" si="0"/>
        <v>5348</v>
      </c>
    </row>
    <row r="47" spans="1:9" s="73" customFormat="1" ht="42.75" customHeight="1" thickBot="1" x14ac:dyDescent="0.25">
      <c r="A47" s="51">
        <v>38</v>
      </c>
      <c r="B47" s="79" t="s">
        <v>246</v>
      </c>
      <c r="C47" s="70" t="s">
        <v>78</v>
      </c>
      <c r="D47" s="71" t="s">
        <v>235</v>
      </c>
      <c r="E47" s="76" t="s">
        <v>245</v>
      </c>
      <c r="F47" s="55" t="s">
        <v>63</v>
      </c>
      <c r="G47" s="55">
        <v>4500</v>
      </c>
      <c r="H47" s="56">
        <v>8</v>
      </c>
      <c r="I47" s="57">
        <f t="shared" si="0"/>
        <v>36000</v>
      </c>
    </row>
    <row r="48" spans="1:9" s="73" customFormat="1" ht="40.5" customHeight="1" thickBot="1" x14ac:dyDescent="0.25">
      <c r="A48" s="51">
        <v>39</v>
      </c>
      <c r="B48" s="75" t="s">
        <v>244</v>
      </c>
      <c r="C48" s="52" t="s">
        <v>78</v>
      </c>
      <c r="D48" s="71" t="s">
        <v>235</v>
      </c>
      <c r="E48" s="81" t="s">
        <v>243</v>
      </c>
      <c r="F48" s="77" t="s">
        <v>63</v>
      </c>
      <c r="G48" s="77">
        <v>4100</v>
      </c>
      <c r="H48" s="83">
        <v>7.02</v>
      </c>
      <c r="I48" s="78">
        <f t="shared" si="0"/>
        <v>28782</v>
      </c>
    </row>
    <row r="49" spans="1:9" s="73" customFormat="1" ht="45" customHeight="1" thickBot="1" x14ac:dyDescent="0.25">
      <c r="A49" s="51">
        <v>40</v>
      </c>
      <c r="B49" s="79" t="s">
        <v>241</v>
      </c>
      <c r="C49" s="52" t="s">
        <v>249</v>
      </c>
      <c r="D49" s="71" t="s">
        <v>242</v>
      </c>
      <c r="E49" s="72" t="s">
        <v>240</v>
      </c>
      <c r="F49" s="55" t="s">
        <v>63</v>
      </c>
      <c r="G49" s="55">
        <v>100</v>
      </c>
      <c r="H49" s="56">
        <v>626.95000000000005</v>
      </c>
      <c r="I49" s="57">
        <f t="shared" si="0"/>
        <v>62695.000000000007</v>
      </c>
    </row>
    <row r="50" spans="1:9" ht="31.9" customHeight="1" thickBot="1" x14ac:dyDescent="0.25">
      <c r="A50" s="51">
        <v>41</v>
      </c>
      <c r="B50" s="55" t="s">
        <v>152</v>
      </c>
      <c r="C50" s="52" t="s">
        <v>249</v>
      </c>
      <c r="D50" s="53" t="s">
        <v>242</v>
      </c>
      <c r="E50" s="54" t="s">
        <v>151</v>
      </c>
      <c r="F50" s="55" t="s">
        <v>67</v>
      </c>
      <c r="G50" s="55">
        <v>142</v>
      </c>
      <c r="H50" s="56">
        <v>785.1</v>
      </c>
      <c r="I50" s="57">
        <f t="shared" si="0"/>
        <v>111484.2</v>
      </c>
    </row>
    <row r="53" spans="1:9" x14ac:dyDescent="0.2">
      <c r="B53" s="37" t="s">
        <v>14</v>
      </c>
      <c r="C53" s="38"/>
      <c r="D53" s="38"/>
      <c r="E53" s="39"/>
    </row>
    <row r="54" spans="1:9" ht="5.25" customHeight="1" x14ac:dyDescent="0.2">
      <c r="B54" s="40"/>
      <c r="C54" s="41"/>
      <c r="D54" s="41"/>
      <c r="E54" s="42"/>
    </row>
    <row r="55" spans="1:9" x14ac:dyDescent="0.2">
      <c r="B55" s="43" t="s">
        <v>15</v>
      </c>
      <c r="C55" s="41"/>
      <c r="D55" s="41"/>
      <c r="E55" s="42"/>
    </row>
    <row r="56" spans="1:9" ht="41.25" customHeight="1" x14ac:dyDescent="0.2">
      <c r="B56" s="43"/>
      <c r="C56" s="101" t="s">
        <v>153</v>
      </c>
      <c r="D56" s="101"/>
      <c r="E56" s="101"/>
    </row>
    <row r="57" spans="1:9" x14ac:dyDescent="0.2">
      <c r="B57" s="43" t="s">
        <v>16</v>
      </c>
      <c r="C57" s="41"/>
      <c r="D57" s="41"/>
      <c r="E57" s="42"/>
    </row>
    <row r="58" spans="1:9" x14ac:dyDescent="0.2">
      <c r="B58" s="44"/>
      <c r="C58" s="104" t="s">
        <v>74</v>
      </c>
      <c r="D58" s="104"/>
      <c r="E58" s="104"/>
    </row>
    <row r="59" spans="1:9" x14ac:dyDescent="0.2">
      <c r="B59" s="44"/>
      <c r="C59" s="105"/>
      <c r="D59" s="105"/>
      <c r="E59" s="105"/>
    </row>
    <row r="60" spans="1:9" x14ac:dyDescent="0.2">
      <c r="B60" s="43" t="s">
        <v>17</v>
      </c>
      <c r="C60" s="41"/>
      <c r="D60" s="41"/>
      <c r="E60" s="42"/>
    </row>
    <row r="61" spans="1:9" ht="26.25" customHeight="1" x14ac:dyDescent="0.2">
      <c r="B61" s="44"/>
      <c r="C61" s="101"/>
      <c r="D61" s="101"/>
      <c r="E61" s="101"/>
    </row>
    <row r="62" spans="1:9" x14ac:dyDescent="0.2">
      <c r="B62" s="43" t="s">
        <v>18</v>
      </c>
      <c r="C62" s="45"/>
      <c r="D62" s="45"/>
      <c r="E62" s="46"/>
    </row>
    <row r="63" spans="1:9" ht="26.25" customHeight="1" x14ac:dyDescent="0.2">
      <c r="B63" s="44"/>
      <c r="C63" s="102" t="s">
        <v>69</v>
      </c>
      <c r="D63" s="102"/>
      <c r="E63" s="102"/>
    </row>
    <row r="64" spans="1:9" x14ac:dyDescent="0.2">
      <c r="B64" s="43" t="s">
        <v>19</v>
      </c>
      <c r="C64" s="41"/>
      <c r="D64" s="41"/>
      <c r="E64" s="42"/>
    </row>
    <row r="65" spans="2:5" ht="23.25" customHeight="1" x14ac:dyDescent="0.2">
      <c r="B65" s="43"/>
      <c r="C65" s="100"/>
      <c r="D65" s="100"/>
      <c r="E65" s="100"/>
    </row>
    <row r="66" spans="2:5" x14ac:dyDescent="0.2">
      <c r="B66" s="47"/>
      <c r="C66" s="48"/>
      <c r="D66" s="48"/>
      <c r="E66" s="49"/>
    </row>
    <row r="68" spans="2:5" x14ac:dyDescent="0.2">
      <c r="B68" s="37" t="s">
        <v>20</v>
      </c>
      <c r="C68" s="38"/>
      <c r="D68" s="38"/>
      <c r="E68" s="39"/>
    </row>
    <row r="69" spans="2:5" ht="7.5" customHeight="1" x14ac:dyDescent="0.2">
      <c r="B69" s="40"/>
      <c r="C69" s="41"/>
      <c r="D69" s="41"/>
      <c r="E69" s="42"/>
    </row>
    <row r="70" spans="2:5" x14ac:dyDescent="0.2">
      <c r="B70" s="43" t="s">
        <v>15</v>
      </c>
      <c r="C70" s="41"/>
      <c r="D70" s="41"/>
      <c r="E70" s="42"/>
    </row>
    <row r="71" spans="2:5" ht="39" customHeight="1" x14ac:dyDescent="0.2">
      <c r="B71" s="43"/>
      <c r="C71" s="101" t="s">
        <v>154</v>
      </c>
      <c r="D71" s="101"/>
      <c r="E71" s="101"/>
    </row>
    <row r="72" spans="2:5" x14ac:dyDescent="0.2">
      <c r="B72" s="43" t="s">
        <v>16</v>
      </c>
      <c r="C72" s="41"/>
      <c r="D72" s="41"/>
      <c r="E72" s="42"/>
    </row>
    <row r="73" spans="2:5" x14ac:dyDescent="0.2">
      <c r="B73" s="44"/>
      <c r="C73" s="100" t="s">
        <v>155</v>
      </c>
      <c r="D73" s="100"/>
      <c r="E73" s="100"/>
    </row>
    <row r="74" spans="2:5" x14ac:dyDescent="0.2">
      <c r="B74" s="44"/>
      <c r="C74" s="100"/>
      <c r="D74" s="100"/>
      <c r="E74" s="100"/>
    </row>
    <row r="75" spans="2:5" x14ac:dyDescent="0.2">
      <c r="B75" s="43" t="s">
        <v>17</v>
      </c>
      <c r="C75" s="41"/>
      <c r="D75" s="41"/>
      <c r="E75" s="42"/>
    </row>
    <row r="76" spans="2:5" x14ac:dyDescent="0.2">
      <c r="B76" s="44"/>
      <c r="C76" s="101"/>
      <c r="D76" s="101"/>
      <c r="E76" s="101"/>
    </row>
    <row r="77" spans="2:5" x14ac:dyDescent="0.2">
      <c r="B77" s="43" t="s">
        <v>18</v>
      </c>
      <c r="C77" s="45"/>
      <c r="D77" s="45"/>
      <c r="E77" s="46"/>
    </row>
    <row r="78" spans="2:5" x14ac:dyDescent="0.2">
      <c r="B78" s="44"/>
      <c r="C78" s="101"/>
      <c r="D78" s="101"/>
      <c r="E78" s="101"/>
    </row>
    <row r="79" spans="2:5" x14ac:dyDescent="0.2">
      <c r="B79" s="43" t="s">
        <v>19</v>
      </c>
      <c r="C79" s="41"/>
      <c r="D79" s="41"/>
      <c r="E79" s="42"/>
    </row>
    <row r="80" spans="2:5" x14ac:dyDescent="0.2">
      <c r="B80" s="43"/>
      <c r="C80" s="100"/>
      <c r="D80" s="100"/>
      <c r="E80" s="100"/>
    </row>
    <row r="81" spans="2:5" x14ac:dyDescent="0.2">
      <c r="B81" s="47"/>
      <c r="C81" s="48"/>
      <c r="D81" s="48"/>
      <c r="E81" s="49"/>
    </row>
    <row r="82" spans="2:5" ht="13.5" thickBot="1" x14ac:dyDescent="0.25"/>
    <row r="83" spans="2:5" x14ac:dyDescent="0.2">
      <c r="B83" s="37" t="s">
        <v>156</v>
      </c>
      <c r="C83" s="38"/>
      <c r="D83" s="38"/>
      <c r="E83" s="39"/>
    </row>
    <row r="84" spans="2:5" x14ac:dyDescent="0.2">
      <c r="B84" s="40"/>
      <c r="C84" s="41"/>
      <c r="D84" s="41"/>
      <c r="E84" s="42"/>
    </row>
    <row r="85" spans="2:5" x14ac:dyDescent="0.2">
      <c r="B85" s="43" t="s">
        <v>15</v>
      </c>
      <c r="C85" s="41"/>
      <c r="D85" s="41"/>
      <c r="E85" s="42"/>
    </row>
    <row r="86" spans="2:5" ht="31.5" customHeight="1" x14ac:dyDescent="0.2">
      <c r="B86" s="43"/>
      <c r="C86" s="101" t="s">
        <v>157</v>
      </c>
      <c r="D86" s="101"/>
      <c r="E86" s="101"/>
    </row>
    <row r="87" spans="2:5" x14ac:dyDescent="0.2">
      <c r="B87" s="43" t="s">
        <v>16</v>
      </c>
      <c r="C87" s="41"/>
      <c r="D87" s="41"/>
      <c r="E87" s="42"/>
    </row>
    <row r="88" spans="2:5" x14ac:dyDescent="0.2">
      <c r="B88" s="44"/>
      <c r="C88" s="100" t="s">
        <v>155</v>
      </c>
      <c r="D88" s="100"/>
      <c r="E88" s="100"/>
    </row>
    <row r="89" spans="2:5" x14ac:dyDescent="0.2">
      <c r="B89" s="44"/>
      <c r="C89" s="100"/>
      <c r="D89" s="100"/>
      <c r="E89" s="100"/>
    </row>
    <row r="90" spans="2:5" x14ac:dyDescent="0.2">
      <c r="B90" s="43" t="s">
        <v>17</v>
      </c>
      <c r="C90" s="41"/>
      <c r="D90" s="41"/>
      <c r="E90" s="42"/>
    </row>
    <row r="91" spans="2:5" x14ac:dyDescent="0.2">
      <c r="B91" s="44"/>
      <c r="C91" s="101"/>
      <c r="D91" s="101"/>
      <c r="E91" s="101"/>
    </row>
    <row r="92" spans="2:5" x14ac:dyDescent="0.2">
      <c r="B92" s="43" t="s">
        <v>18</v>
      </c>
      <c r="C92" s="45"/>
      <c r="D92" s="45"/>
      <c r="E92" s="46"/>
    </row>
    <row r="93" spans="2:5" x14ac:dyDescent="0.2">
      <c r="B93" s="44"/>
      <c r="C93" s="101"/>
      <c r="D93" s="101"/>
      <c r="E93" s="101"/>
    </row>
    <row r="94" spans="2:5" x14ac:dyDescent="0.2">
      <c r="B94" s="43" t="s">
        <v>19</v>
      </c>
      <c r="C94" s="41"/>
      <c r="D94" s="41"/>
      <c r="E94" s="42"/>
    </row>
    <row r="95" spans="2:5" x14ac:dyDescent="0.2">
      <c r="B95" s="43"/>
      <c r="C95" s="100"/>
      <c r="D95" s="100"/>
      <c r="E95" s="100"/>
    </row>
    <row r="96" spans="2:5" ht="13.5" thickBot="1" x14ac:dyDescent="0.25">
      <c r="B96" s="47"/>
      <c r="C96" s="48"/>
      <c r="D96" s="48"/>
      <c r="E96" s="49"/>
    </row>
    <row r="97" spans="2:5" ht="13.5" thickBot="1" x14ac:dyDescent="0.25"/>
    <row r="98" spans="2:5" x14ac:dyDescent="0.2">
      <c r="B98" s="37" t="s">
        <v>158</v>
      </c>
      <c r="C98" s="38"/>
      <c r="D98" s="38"/>
      <c r="E98" s="39"/>
    </row>
    <row r="99" spans="2:5" x14ac:dyDescent="0.2">
      <c r="B99" s="40"/>
      <c r="C99" s="41"/>
      <c r="D99" s="41"/>
      <c r="E99" s="42"/>
    </row>
    <row r="100" spans="2:5" x14ac:dyDescent="0.2">
      <c r="B100" s="43" t="s">
        <v>15</v>
      </c>
      <c r="C100" s="41"/>
      <c r="D100" s="41"/>
      <c r="E100" s="42"/>
    </row>
    <row r="101" spans="2:5" ht="32.25" customHeight="1" x14ac:dyDescent="0.2">
      <c r="B101" s="43"/>
      <c r="C101" s="101" t="s">
        <v>159</v>
      </c>
      <c r="D101" s="101"/>
      <c r="E101" s="101"/>
    </row>
    <row r="102" spans="2:5" x14ac:dyDescent="0.2">
      <c r="B102" s="43" t="s">
        <v>16</v>
      </c>
      <c r="C102" s="41"/>
      <c r="D102" s="41"/>
      <c r="E102" s="42"/>
    </row>
    <row r="103" spans="2:5" x14ac:dyDescent="0.2">
      <c r="B103" s="44"/>
      <c r="C103" s="100" t="s">
        <v>155</v>
      </c>
      <c r="D103" s="100"/>
      <c r="E103" s="100"/>
    </row>
    <row r="104" spans="2:5" x14ac:dyDescent="0.2">
      <c r="B104" s="44"/>
      <c r="C104" s="100"/>
      <c r="D104" s="100"/>
      <c r="E104" s="100"/>
    </row>
    <row r="105" spans="2:5" x14ac:dyDescent="0.2">
      <c r="B105" s="43" t="s">
        <v>17</v>
      </c>
      <c r="C105" s="41"/>
      <c r="D105" s="41"/>
      <c r="E105" s="42"/>
    </row>
    <row r="106" spans="2:5" x14ac:dyDescent="0.2">
      <c r="B106" s="44"/>
      <c r="C106" s="101"/>
      <c r="D106" s="101"/>
      <c r="E106" s="101"/>
    </row>
    <row r="107" spans="2:5" x14ac:dyDescent="0.2">
      <c r="B107" s="43" t="s">
        <v>18</v>
      </c>
      <c r="C107" s="45"/>
      <c r="D107" s="45"/>
      <c r="E107" s="46"/>
    </row>
    <row r="108" spans="2:5" x14ac:dyDescent="0.2">
      <c r="B108" s="44"/>
      <c r="C108" s="101"/>
      <c r="D108" s="101"/>
      <c r="E108" s="101"/>
    </row>
    <row r="109" spans="2:5" x14ac:dyDescent="0.2">
      <c r="B109" s="43" t="s">
        <v>19</v>
      </c>
      <c r="C109" s="41"/>
      <c r="D109" s="41"/>
      <c r="E109" s="42"/>
    </row>
    <row r="110" spans="2:5" x14ac:dyDescent="0.2">
      <c r="B110" s="43"/>
      <c r="C110" s="100"/>
      <c r="D110" s="100"/>
      <c r="E110" s="100"/>
    </row>
    <row r="111" spans="2:5" ht="13.5" thickBot="1" x14ac:dyDescent="0.25">
      <c r="B111" s="47"/>
      <c r="C111" s="48"/>
      <c r="D111" s="48"/>
      <c r="E111" s="49"/>
    </row>
    <row r="112" spans="2:5" ht="13.5" thickBot="1" x14ac:dyDescent="0.25"/>
    <row r="113" spans="2:5" x14ac:dyDescent="0.2">
      <c r="B113" s="37" t="s">
        <v>160</v>
      </c>
      <c r="C113" s="38"/>
      <c r="D113" s="38"/>
      <c r="E113" s="39"/>
    </row>
    <row r="114" spans="2:5" x14ac:dyDescent="0.2">
      <c r="B114" s="40"/>
      <c r="C114" s="41"/>
      <c r="D114" s="41"/>
      <c r="E114" s="42"/>
    </row>
    <row r="115" spans="2:5" x14ac:dyDescent="0.2">
      <c r="B115" s="43" t="s">
        <v>15</v>
      </c>
      <c r="C115" s="41"/>
      <c r="D115" s="41"/>
      <c r="E115" s="42"/>
    </row>
    <row r="116" spans="2:5" ht="32.25" customHeight="1" x14ac:dyDescent="0.2">
      <c r="B116" s="43"/>
      <c r="C116" s="101" t="s">
        <v>161</v>
      </c>
      <c r="D116" s="101"/>
      <c r="E116" s="101"/>
    </row>
    <row r="117" spans="2:5" x14ac:dyDescent="0.2">
      <c r="B117" s="43" t="s">
        <v>16</v>
      </c>
      <c r="C117" s="41"/>
      <c r="D117" s="41"/>
      <c r="E117" s="42"/>
    </row>
    <row r="118" spans="2:5" x14ac:dyDescent="0.2">
      <c r="B118" s="44"/>
      <c r="C118" s="100" t="s">
        <v>155</v>
      </c>
      <c r="D118" s="100"/>
      <c r="E118" s="100"/>
    </row>
    <row r="119" spans="2:5" x14ac:dyDescent="0.2">
      <c r="B119" s="44"/>
      <c r="C119" s="100"/>
      <c r="D119" s="100"/>
      <c r="E119" s="100"/>
    </row>
    <row r="120" spans="2:5" x14ac:dyDescent="0.2">
      <c r="B120" s="43" t="s">
        <v>17</v>
      </c>
      <c r="C120" s="41"/>
      <c r="D120" s="41"/>
      <c r="E120" s="42"/>
    </row>
    <row r="121" spans="2:5" x14ac:dyDescent="0.2">
      <c r="B121" s="44"/>
      <c r="C121" s="101"/>
      <c r="D121" s="101"/>
      <c r="E121" s="101"/>
    </row>
    <row r="122" spans="2:5" x14ac:dyDescent="0.2">
      <c r="B122" s="43" t="s">
        <v>18</v>
      </c>
      <c r="C122" s="45"/>
      <c r="D122" s="45"/>
      <c r="E122" s="46"/>
    </row>
    <row r="123" spans="2:5" x14ac:dyDescent="0.2">
      <c r="B123" s="44"/>
      <c r="C123" s="101"/>
      <c r="D123" s="101"/>
      <c r="E123" s="101"/>
    </row>
    <row r="124" spans="2:5" x14ac:dyDescent="0.2">
      <c r="B124" s="43" t="s">
        <v>19</v>
      </c>
      <c r="C124" s="41"/>
      <c r="D124" s="41"/>
      <c r="E124" s="42"/>
    </row>
    <row r="125" spans="2:5" x14ac:dyDescent="0.2">
      <c r="B125" s="43"/>
      <c r="C125" s="100"/>
      <c r="D125" s="100"/>
      <c r="E125" s="100"/>
    </row>
    <row r="126" spans="2:5" ht="13.5" thickBot="1" x14ac:dyDescent="0.25">
      <c r="B126" s="47"/>
      <c r="C126" s="48"/>
      <c r="D126" s="48"/>
      <c r="E126" s="49"/>
    </row>
    <row r="127" spans="2:5" ht="13.5" thickBot="1" x14ac:dyDescent="0.25"/>
    <row r="128" spans="2:5" x14ac:dyDescent="0.2">
      <c r="B128" s="37" t="s">
        <v>162</v>
      </c>
      <c r="C128" s="38"/>
      <c r="D128" s="38"/>
      <c r="E128" s="39"/>
    </row>
    <row r="129" spans="2:5" x14ac:dyDescent="0.2">
      <c r="B129" s="40"/>
      <c r="C129" s="41"/>
      <c r="D129" s="41"/>
      <c r="E129" s="42"/>
    </row>
    <row r="130" spans="2:5" x14ac:dyDescent="0.2">
      <c r="B130" s="43" t="s">
        <v>15</v>
      </c>
      <c r="C130" s="41"/>
      <c r="D130" s="41"/>
      <c r="E130" s="42"/>
    </row>
    <row r="131" spans="2:5" ht="32.25" customHeight="1" x14ac:dyDescent="0.2">
      <c r="B131" s="43"/>
      <c r="C131" s="101" t="s">
        <v>163</v>
      </c>
      <c r="D131" s="101"/>
      <c r="E131" s="101"/>
    </row>
    <row r="132" spans="2:5" x14ac:dyDescent="0.2">
      <c r="B132" s="43" t="s">
        <v>16</v>
      </c>
      <c r="C132" s="41"/>
      <c r="D132" s="41"/>
      <c r="E132" s="42"/>
    </row>
    <row r="133" spans="2:5" x14ac:dyDescent="0.2">
      <c r="B133" s="44"/>
      <c r="C133" s="100" t="s">
        <v>155</v>
      </c>
      <c r="D133" s="100"/>
      <c r="E133" s="100"/>
    </row>
    <row r="134" spans="2:5" x14ac:dyDescent="0.2">
      <c r="B134" s="44"/>
      <c r="C134" s="100"/>
      <c r="D134" s="100"/>
      <c r="E134" s="100"/>
    </row>
    <row r="135" spans="2:5" x14ac:dyDescent="0.2">
      <c r="B135" s="43" t="s">
        <v>17</v>
      </c>
      <c r="C135" s="41"/>
      <c r="D135" s="41"/>
      <c r="E135" s="42"/>
    </row>
    <row r="136" spans="2:5" x14ac:dyDescent="0.2">
      <c r="B136" s="44"/>
      <c r="C136" s="101"/>
      <c r="D136" s="101"/>
      <c r="E136" s="101"/>
    </row>
    <row r="137" spans="2:5" x14ac:dyDescent="0.2">
      <c r="B137" s="43" t="s">
        <v>18</v>
      </c>
      <c r="C137" s="45"/>
      <c r="D137" s="45"/>
      <c r="E137" s="46"/>
    </row>
    <row r="138" spans="2:5" x14ac:dyDescent="0.2">
      <c r="B138" s="44"/>
      <c r="C138" s="101"/>
      <c r="D138" s="101"/>
      <c r="E138" s="101"/>
    </row>
    <row r="139" spans="2:5" x14ac:dyDescent="0.2">
      <c r="B139" s="43" t="s">
        <v>19</v>
      </c>
      <c r="C139" s="41"/>
      <c r="D139" s="41"/>
      <c r="E139" s="42"/>
    </row>
    <row r="140" spans="2:5" x14ac:dyDescent="0.2">
      <c r="B140" s="43"/>
      <c r="C140" s="100"/>
      <c r="D140" s="100"/>
      <c r="E140" s="100"/>
    </row>
    <row r="141" spans="2:5" ht="13.5" thickBot="1" x14ac:dyDescent="0.25">
      <c r="B141" s="47"/>
      <c r="C141" s="48"/>
      <c r="D141" s="48"/>
      <c r="E141" s="49"/>
    </row>
    <row r="142" spans="2:5" ht="13.5" thickBot="1" x14ac:dyDescent="0.25"/>
    <row r="143" spans="2:5" x14ac:dyDescent="0.2">
      <c r="B143" s="37" t="s">
        <v>164</v>
      </c>
      <c r="C143" s="38"/>
      <c r="D143" s="38"/>
      <c r="E143" s="39"/>
    </row>
    <row r="144" spans="2:5" x14ac:dyDescent="0.2">
      <c r="B144" s="40"/>
      <c r="C144" s="41"/>
      <c r="D144" s="41"/>
      <c r="E144" s="42"/>
    </row>
    <row r="145" spans="2:5" x14ac:dyDescent="0.2">
      <c r="B145" s="43" t="s">
        <v>15</v>
      </c>
      <c r="C145" s="41"/>
      <c r="D145" s="41"/>
      <c r="E145" s="42"/>
    </row>
    <row r="146" spans="2:5" ht="31.5" customHeight="1" x14ac:dyDescent="0.2">
      <c r="B146" s="43"/>
      <c r="C146" s="101" t="s">
        <v>165</v>
      </c>
      <c r="D146" s="101"/>
      <c r="E146" s="101"/>
    </row>
    <row r="147" spans="2:5" x14ac:dyDescent="0.2">
      <c r="B147" s="43" t="s">
        <v>16</v>
      </c>
      <c r="C147" s="41"/>
      <c r="D147" s="41"/>
      <c r="E147" s="42"/>
    </row>
    <row r="148" spans="2:5" x14ac:dyDescent="0.2">
      <c r="B148" s="44"/>
      <c r="C148" s="100" t="s">
        <v>155</v>
      </c>
      <c r="D148" s="100"/>
      <c r="E148" s="100"/>
    </row>
    <row r="149" spans="2:5" x14ac:dyDescent="0.2">
      <c r="B149" s="44"/>
      <c r="C149" s="100"/>
      <c r="D149" s="100"/>
      <c r="E149" s="100"/>
    </row>
    <row r="150" spans="2:5" x14ac:dyDescent="0.2">
      <c r="B150" s="43" t="s">
        <v>17</v>
      </c>
      <c r="C150" s="41"/>
      <c r="D150" s="41"/>
      <c r="E150" s="42"/>
    </row>
    <row r="151" spans="2:5" x14ac:dyDescent="0.2">
      <c r="B151" s="44"/>
      <c r="C151" s="101"/>
      <c r="D151" s="101"/>
      <c r="E151" s="101"/>
    </row>
    <row r="152" spans="2:5" x14ac:dyDescent="0.2">
      <c r="B152" s="43" t="s">
        <v>18</v>
      </c>
      <c r="C152" s="45"/>
      <c r="D152" s="45"/>
      <c r="E152" s="46"/>
    </row>
    <row r="153" spans="2:5" x14ac:dyDescent="0.2">
      <c r="B153" s="44"/>
      <c r="C153" s="101"/>
      <c r="D153" s="101"/>
      <c r="E153" s="101"/>
    </row>
    <row r="154" spans="2:5" x14ac:dyDescent="0.2">
      <c r="B154" s="43" t="s">
        <v>19</v>
      </c>
      <c r="C154" s="41"/>
      <c r="D154" s="41"/>
      <c r="E154" s="42"/>
    </row>
    <row r="155" spans="2:5" x14ac:dyDescent="0.2">
      <c r="B155" s="43"/>
      <c r="C155" s="100"/>
      <c r="D155" s="100"/>
      <c r="E155" s="100"/>
    </row>
    <row r="156" spans="2:5" ht="13.5" thickBot="1" x14ac:dyDescent="0.25">
      <c r="B156" s="47"/>
      <c r="C156" s="48"/>
      <c r="D156" s="48"/>
      <c r="E156" s="49"/>
    </row>
    <row r="157" spans="2:5" ht="13.5" thickBot="1" x14ac:dyDescent="0.25"/>
    <row r="158" spans="2:5" x14ac:dyDescent="0.2">
      <c r="B158" s="37" t="s">
        <v>166</v>
      </c>
      <c r="C158" s="38"/>
      <c r="D158" s="38"/>
      <c r="E158" s="39"/>
    </row>
    <row r="159" spans="2:5" x14ac:dyDescent="0.2">
      <c r="B159" s="40"/>
      <c r="C159" s="41"/>
      <c r="D159" s="41"/>
      <c r="E159" s="42"/>
    </row>
    <row r="160" spans="2:5" x14ac:dyDescent="0.2">
      <c r="B160" s="43" t="s">
        <v>15</v>
      </c>
      <c r="C160" s="41"/>
      <c r="D160" s="41"/>
      <c r="E160" s="42"/>
    </row>
    <row r="161" spans="2:5" ht="30.75" customHeight="1" x14ac:dyDescent="0.2">
      <c r="B161" s="43"/>
      <c r="C161" s="101" t="s">
        <v>167</v>
      </c>
      <c r="D161" s="101"/>
      <c r="E161" s="101"/>
    </row>
    <row r="162" spans="2:5" x14ac:dyDescent="0.2">
      <c r="B162" s="43" t="s">
        <v>16</v>
      </c>
      <c r="C162" s="41"/>
      <c r="D162" s="41"/>
      <c r="E162" s="42"/>
    </row>
    <row r="163" spans="2:5" x14ac:dyDescent="0.2">
      <c r="B163" s="44"/>
      <c r="C163" s="100" t="s">
        <v>155</v>
      </c>
      <c r="D163" s="100"/>
      <c r="E163" s="100"/>
    </row>
    <row r="164" spans="2:5" x14ac:dyDescent="0.2">
      <c r="B164" s="44"/>
      <c r="C164" s="100"/>
      <c r="D164" s="100"/>
      <c r="E164" s="100"/>
    </row>
    <row r="165" spans="2:5" x14ac:dyDescent="0.2">
      <c r="B165" s="43" t="s">
        <v>17</v>
      </c>
      <c r="C165" s="41"/>
      <c r="D165" s="41"/>
      <c r="E165" s="42"/>
    </row>
    <row r="166" spans="2:5" x14ac:dyDescent="0.2">
      <c r="B166" s="44"/>
      <c r="C166" s="101"/>
      <c r="D166" s="101"/>
      <c r="E166" s="101"/>
    </row>
    <row r="167" spans="2:5" x14ac:dyDescent="0.2">
      <c r="B167" s="43" t="s">
        <v>18</v>
      </c>
      <c r="C167" s="45"/>
      <c r="D167" s="45"/>
      <c r="E167" s="46"/>
    </row>
    <row r="168" spans="2:5" x14ac:dyDescent="0.2">
      <c r="B168" s="44"/>
      <c r="C168" s="101"/>
      <c r="D168" s="101"/>
      <c r="E168" s="101"/>
    </row>
    <row r="169" spans="2:5" x14ac:dyDescent="0.2">
      <c r="B169" s="43" t="s">
        <v>19</v>
      </c>
      <c r="C169" s="41"/>
      <c r="D169" s="41"/>
      <c r="E169" s="42"/>
    </row>
    <row r="170" spans="2:5" x14ac:dyDescent="0.2">
      <c r="B170" s="43"/>
      <c r="C170" s="100"/>
      <c r="D170" s="100"/>
      <c r="E170" s="100"/>
    </row>
    <row r="171" spans="2:5" ht="13.5" thickBot="1" x14ac:dyDescent="0.25">
      <c r="B171" s="47"/>
      <c r="C171" s="48"/>
      <c r="D171" s="48"/>
      <c r="E171" s="49"/>
    </row>
    <row r="172" spans="2:5" ht="13.5" thickBot="1" x14ac:dyDescent="0.25"/>
    <row r="173" spans="2:5" x14ac:dyDescent="0.2">
      <c r="B173" s="37" t="s">
        <v>168</v>
      </c>
      <c r="C173" s="38"/>
      <c r="D173" s="38"/>
      <c r="E173" s="39"/>
    </row>
    <row r="174" spans="2:5" x14ac:dyDescent="0.2">
      <c r="B174" s="40"/>
      <c r="C174" s="41"/>
      <c r="D174" s="41"/>
      <c r="E174" s="42"/>
    </row>
    <row r="175" spans="2:5" x14ac:dyDescent="0.2">
      <c r="B175" s="43" t="s">
        <v>15</v>
      </c>
      <c r="C175" s="41"/>
      <c r="D175" s="41"/>
      <c r="E175" s="42"/>
    </row>
    <row r="176" spans="2:5" ht="32.25" customHeight="1" x14ac:dyDescent="0.2">
      <c r="B176" s="43"/>
      <c r="C176" s="101" t="s">
        <v>169</v>
      </c>
      <c r="D176" s="101"/>
      <c r="E176" s="101"/>
    </row>
    <row r="177" spans="2:5" x14ac:dyDescent="0.2">
      <c r="B177" s="43" t="s">
        <v>16</v>
      </c>
      <c r="C177" s="41"/>
      <c r="D177" s="41"/>
      <c r="E177" s="42"/>
    </row>
    <row r="178" spans="2:5" x14ac:dyDescent="0.2">
      <c r="B178" s="44"/>
      <c r="C178" s="100" t="s">
        <v>155</v>
      </c>
      <c r="D178" s="100"/>
      <c r="E178" s="100"/>
    </row>
    <row r="179" spans="2:5" x14ac:dyDescent="0.2">
      <c r="B179" s="44"/>
      <c r="C179" s="100"/>
      <c r="D179" s="100"/>
      <c r="E179" s="100"/>
    </row>
    <row r="180" spans="2:5" x14ac:dyDescent="0.2">
      <c r="B180" s="43" t="s">
        <v>17</v>
      </c>
      <c r="C180" s="41"/>
      <c r="D180" s="41"/>
      <c r="E180" s="42"/>
    </row>
    <row r="181" spans="2:5" x14ac:dyDescent="0.2">
      <c r="B181" s="44"/>
      <c r="C181" s="101"/>
      <c r="D181" s="101"/>
      <c r="E181" s="101"/>
    </row>
    <row r="182" spans="2:5" x14ac:dyDescent="0.2">
      <c r="B182" s="43" t="s">
        <v>18</v>
      </c>
      <c r="C182" s="45"/>
      <c r="D182" s="45"/>
      <c r="E182" s="46"/>
    </row>
    <row r="183" spans="2:5" x14ac:dyDescent="0.2">
      <c r="B183" s="44"/>
      <c r="C183" s="101"/>
      <c r="D183" s="101"/>
      <c r="E183" s="101"/>
    </row>
    <row r="184" spans="2:5" x14ac:dyDescent="0.2">
      <c r="B184" s="43" t="s">
        <v>19</v>
      </c>
      <c r="C184" s="41"/>
      <c r="D184" s="41"/>
      <c r="E184" s="42"/>
    </row>
    <row r="185" spans="2:5" x14ac:dyDescent="0.2">
      <c r="B185" s="43"/>
      <c r="C185" s="100"/>
      <c r="D185" s="100"/>
      <c r="E185" s="100"/>
    </row>
    <row r="186" spans="2:5" ht="13.5" thickBot="1" x14ac:dyDescent="0.25">
      <c r="B186" s="47"/>
      <c r="C186" s="48"/>
      <c r="D186" s="48"/>
      <c r="E186" s="49"/>
    </row>
    <row r="187" spans="2:5" ht="13.5" thickBot="1" x14ac:dyDescent="0.25"/>
    <row r="188" spans="2:5" x14ac:dyDescent="0.2">
      <c r="B188" s="37" t="s">
        <v>170</v>
      </c>
      <c r="C188" s="38"/>
      <c r="D188" s="38"/>
      <c r="E188" s="39"/>
    </row>
    <row r="189" spans="2:5" x14ac:dyDescent="0.2">
      <c r="B189" s="40"/>
      <c r="C189" s="41"/>
      <c r="D189" s="41"/>
      <c r="E189" s="42"/>
    </row>
    <row r="190" spans="2:5" x14ac:dyDescent="0.2">
      <c r="B190" s="43" t="s">
        <v>15</v>
      </c>
      <c r="C190" s="41"/>
      <c r="D190" s="41"/>
      <c r="E190" s="42"/>
    </row>
    <row r="191" spans="2:5" ht="33" customHeight="1" x14ac:dyDescent="0.2">
      <c r="B191" s="43"/>
      <c r="C191" s="101" t="s">
        <v>171</v>
      </c>
      <c r="D191" s="101"/>
      <c r="E191" s="101"/>
    </row>
    <row r="192" spans="2:5" x14ac:dyDescent="0.2">
      <c r="B192" s="43" t="s">
        <v>16</v>
      </c>
      <c r="C192" s="41"/>
      <c r="D192" s="41"/>
      <c r="E192" s="42"/>
    </row>
    <row r="193" spans="2:5" x14ac:dyDescent="0.2">
      <c r="B193" s="44"/>
      <c r="C193" s="100" t="s">
        <v>155</v>
      </c>
      <c r="D193" s="100"/>
      <c r="E193" s="100"/>
    </row>
    <row r="194" spans="2:5" x14ac:dyDescent="0.2">
      <c r="B194" s="44"/>
      <c r="C194" s="100"/>
      <c r="D194" s="100"/>
      <c r="E194" s="100"/>
    </row>
    <row r="195" spans="2:5" x14ac:dyDescent="0.2">
      <c r="B195" s="43" t="s">
        <v>17</v>
      </c>
      <c r="C195" s="41"/>
      <c r="D195" s="41"/>
      <c r="E195" s="42"/>
    </row>
    <row r="196" spans="2:5" x14ac:dyDescent="0.2">
      <c r="B196" s="44"/>
      <c r="C196" s="101"/>
      <c r="D196" s="101"/>
      <c r="E196" s="101"/>
    </row>
    <row r="197" spans="2:5" x14ac:dyDescent="0.2">
      <c r="B197" s="43" t="s">
        <v>18</v>
      </c>
      <c r="C197" s="45"/>
      <c r="D197" s="45"/>
      <c r="E197" s="46"/>
    </row>
    <row r="198" spans="2:5" x14ac:dyDescent="0.2">
      <c r="B198" s="44"/>
      <c r="C198" s="101"/>
      <c r="D198" s="101"/>
      <c r="E198" s="101"/>
    </row>
    <row r="199" spans="2:5" x14ac:dyDescent="0.2">
      <c r="B199" s="43" t="s">
        <v>19</v>
      </c>
      <c r="C199" s="41"/>
      <c r="D199" s="41"/>
      <c r="E199" s="42"/>
    </row>
    <row r="200" spans="2:5" x14ac:dyDescent="0.2">
      <c r="B200" s="43"/>
      <c r="C200" s="100"/>
      <c r="D200" s="100"/>
      <c r="E200" s="100"/>
    </row>
    <row r="201" spans="2:5" ht="13.5" thickBot="1" x14ac:dyDescent="0.25">
      <c r="B201" s="47"/>
      <c r="C201" s="48"/>
      <c r="D201" s="48"/>
      <c r="E201" s="49"/>
    </row>
    <row r="202" spans="2:5" ht="13.5" thickBot="1" x14ac:dyDescent="0.25"/>
    <row r="203" spans="2:5" x14ac:dyDescent="0.2">
      <c r="B203" s="37" t="s">
        <v>172</v>
      </c>
      <c r="C203" s="38"/>
      <c r="D203" s="38"/>
      <c r="E203" s="39"/>
    </row>
    <row r="204" spans="2:5" x14ac:dyDescent="0.2">
      <c r="B204" s="40"/>
      <c r="C204" s="41"/>
      <c r="D204" s="41"/>
      <c r="E204" s="42"/>
    </row>
    <row r="205" spans="2:5" x14ac:dyDescent="0.2">
      <c r="B205" s="43" t="s">
        <v>15</v>
      </c>
      <c r="C205" s="41"/>
      <c r="D205" s="41"/>
      <c r="E205" s="42"/>
    </row>
    <row r="206" spans="2:5" ht="34.5" customHeight="1" x14ac:dyDescent="0.2">
      <c r="B206" s="43"/>
      <c r="C206" s="101" t="s">
        <v>173</v>
      </c>
      <c r="D206" s="101"/>
      <c r="E206" s="101"/>
    </row>
    <row r="207" spans="2:5" x14ac:dyDescent="0.2">
      <c r="B207" s="43" t="s">
        <v>16</v>
      </c>
      <c r="C207" s="41"/>
      <c r="D207" s="41"/>
      <c r="E207" s="42"/>
    </row>
    <row r="208" spans="2:5" x14ac:dyDescent="0.2">
      <c r="B208" s="44"/>
      <c r="C208" s="100" t="s">
        <v>155</v>
      </c>
      <c r="D208" s="100"/>
      <c r="E208" s="100"/>
    </row>
    <row r="209" spans="2:5" x14ac:dyDescent="0.2">
      <c r="B209" s="44"/>
      <c r="C209" s="100"/>
      <c r="D209" s="100"/>
      <c r="E209" s="100"/>
    </row>
    <row r="210" spans="2:5" x14ac:dyDescent="0.2">
      <c r="B210" s="43" t="s">
        <v>17</v>
      </c>
      <c r="C210" s="41"/>
      <c r="D210" s="41"/>
      <c r="E210" s="42"/>
    </row>
    <row r="211" spans="2:5" x14ac:dyDescent="0.2">
      <c r="B211" s="44"/>
      <c r="C211" s="101"/>
      <c r="D211" s="101"/>
      <c r="E211" s="101"/>
    </row>
    <row r="212" spans="2:5" x14ac:dyDescent="0.2">
      <c r="B212" s="43" t="s">
        <v>18</v>
      </c>
      <c r="C212" s="45"/>
      <c r="D212" s="45"/>
      <c r="E212" s="46"/>
    </row>
    <row r="213" spans="2:5" x14ac:dyDescent="0.2">
      <c r="B213" s="44"/>
      <c r="C213" s="101"/>
      <c r="D213" s="101"/>
      <c r="E213" s="101"/>
    </row>
    <row r="214" spans="2:5" x14ac:dyDescent="0.2">
      <c r="B214" s="43" t="s">
        <v>19</v>
      </c>
      <c r="C214" s="41"/>
      <c r="D214" s="41"/>
      <c r="E214" s="42"/>
    </row>
    <row r="215" spans="2:5" x14ac:dyDescent="0.2">
      <c r="B215" s="43"/>
      <c r="C215" s="100"/>
      <c r="D215" s="100"/>
      <c r="E215" s="100"/>
    </row>
    <row r="216" spans="2:5" ht="13.5" thickBot="1" x14ac:dyDescent="0.25">
      <c r="B216" s="47"/>
      <c r="C216" s="48"/>
      <c r="D216" s="48"/>
      <c r="E216" s="49"/>
    </row>
    <row r="217" spans="2:5" ht="13.5" thickBot="1" x14ac:dyDescent="0.25"/>
    <row r="218" spans="2:5" x14ac:dyDescent="0.2">
      <c r="B218" s="37" t="s">
        <v>174</v>
      </c>
      <c r="C218" s="38"/>
      <c r="D218" s="38"/>
      <c r="E218" s="39"/>
    </row>
    <row r="219" spans="2:5" x14ac:dyDescent="0.2">
      <c r="B219" s="40"/>
      <c r="C219" s="41"/>
      <c r="D219" s="41"/>
      <c r="E219" s="42"/>
    </row>
    <row r="220" spans="2:5" x14ac:dyDescent="0.2">
      <c r="B220" s="43" t="s">
        <v>15</v>
      </c>
      <c r="C220" s="41"/>
      <c r="D220" s="41"/>
      <c r="E220" s="42"/>
    </row>
    <row r="221" spans="2:5" ht="32.25" customHeight="1" x14ac:dyDescent="0.2">
      <c r="B221" s="43"/>
      <c r="C221" s="101" t="s">
        <v>175</v>
      </c>
      <c r="D221" s="101"/>
      <c r="E221" s="101"/>
    </row>
    <row r="222" spans="2:5" x14ac:dyDescent="0.2">
      <c r="B222" s="43" t="s">
        <v>16</v>
      </c>
      <c r="C222" s="41"/>
      <c r="D222" s="41"/>
      <c r="E222" s="42"/>
    </row>
    <row r="223" spans="2:5" x14ac:dyDescent="0.2">
      <c r="B223" s="44"/>
      <c r="C223" s="100" t="s">
        <v>155</v>
      </c>
      <c r="D223" s="100"/>
      <c r="E223" s="100"/>
    </row>
    <row r="224" spans="2:5" x14ac:dyDescent="0.2">
      <c r="B224" s="44"/>
      <c r="C224" s="100"/>
      <c r="D224" s="100"/>
      <c r="E224" s="100"/>
    </row>
    <row r="225" spans="2:5" x14ac:dyDescent="0.2">
      <c r="B225" s="43" t="s">
        <v>17</v>
      </c>
      <c r="C225" s="41"/>
      <c r="D225" s="41"/>
      <c r="E225" s="42"/>
    </row>
    <row r="226" spans="2:5" x14ac:dyDescent="0.2">
      <c r="B226" s="44"/>
      <c r="C226" s="101"/>
      <c r="D226" s="101"/>
      <c r="E226" s="101"/>
    </row>
    <row r="227" spans="2:5" x14ac:dyDescent="0.2">
      <c r="B227" s="43" t="s">
        <v>18</v>
      </c>
      <c r="C227" s="45"/>
      <c r="D227" s="45"/>
      <c r="E227" s="46"/>
    </row>
    <row r="228" spans="2:5" x14ac:dyDescent="0.2">
      <c r="B228" s="44"/>
      <c r="C228" s="101"/>
      <c r="D228" s="101"/>
      <c r="E228" s="101"/>
    </row>
    <row r="229" spans="2:5" x14ac:dyDescent="0.2">
      <c r="B229" s="43" t="s">
        <v>19</v>
      </c>
      <c r="C229" s="41"/>
      <c r="D229" s="41"/>
      <c r="E229" s="42"/>
    </row>
    <row r="230" spans="2:5" x14ac:dyDescent="0.2">
      <c r="B230" s="43"/>
      <c r="C230" s="100"/>
      <c r="D230" s="100"/>
      <c r="E230" s="100"/>
    </row>
    <row r="231" spans="2:5" ht="13.5" thickBot="1" x14ac:dyDescent="0.25">
      <c r="B231" s="47"/>
      <c r="C231" s="48"/>
      <c r="D231" s="48"/>
      <c r="E231" s="49"/>
    </row>
    <row r="232" spans="2:5" ht="13.5" thickBot="1" x14ac:dyDescent="0.25"/>
    <row r="233" spans="2:5" x14ac:dyDescent="0.2">
      <c r="B233" s="37" t="s">
        <v>176</v>
      </c>
      <c r="C233" s="38"/>
      <c r="D233" s="38"/>
      <c r="E233" s="39"/>
    </row>
    <row r="234" spans="2:5" x14ac:dyDescent="0.2">
      <c r="B234" s="40"/>
      <c r="C234" s="41"/>
      <c r="D234" s="41"/>
      <c r="E234" s="42"/>
    </row>
    <row r="235" spans="2:5" x14ac:dyDescent="0.2">
      <c r="B235" s="43" t="s">
        <v>15</v>
      </c>
      <c r="C235" s="41"/>
      <c r="D235" s="41"/>
      <c r="E235" s="42"/>
    </row>
    <row r="236" spans="2:5" ht="33" customHeight="1" x14ac:dyDescent="0.2">
      <c r="B236" s="43"/>
      <c r="C236" s="101" t="s">
        <v>177</v>
      </c>
      <c r="D236" s="101"/>
      <c r="E236" s="101"/>
    </row>
    <row r="237" spans="2:5" x14ac:dyDescent="0.2">
      <c r="B237" s="43" t="s">
        <v>16</v>
      </c>
      <c r="C237" s="41"/>
      <c r="D237" s="41"/>
      <c r="E237" s="42"/>
    </row>
    <row r="238" spans="2:5" x14ac:dyDescent="0.2">
      <c r="B238" s="44"/>
      <c r="C238" s="100" t="s">
        <v>178</v>
      </c>
      <c r="D238" s="100"/>
      <c r="E238" s="100"/>
    </row>
    <row r="239" spans="2:5" x14ac:dyDescent="0.2">
      <c r="B239" s="44"/>
      <c r="C239" s="100"/>
      <c r="D239" s="100"/>
      <c r="E239" s="100"/>
    </row>
    <row r="240" spans="2:5" x14ac:dyDescent="0.2">
      <c r="B240" s="43" t="s">
        <v>17</v>
      </c>
      <c r="C240" s="41"/>
      <c r="D240" s="41"/>
      <c r="E240" s="42"/>
    </row>
    <row r="241" spans="2:5" x14ac:dyDescent="0.2">
      <c r="B241" s="44"/>
      <c r="C241" s="101"/>
      <c r="D241" s="101"/>
      <c r="E241" s="101"/>
    </row>
    <row r="242" spans="2:5" x14ac:dyDescent="0.2">
      <c r="B242" s="43" t="s">
        <v>18</v>
      </c>
      <c r="C242" s="45"/>
      <c r="D242" s="45"/>
      <c r="E242" s="46"/>
    </row>
    <row r="243" spans="2:5" x14ac:dyDescent="0.2">
      <c r="B243" s="44"/>
      <c r="C243" s="101"/>
      <c r="D243" s="101"/>
      <c r="E243" s="101"/>
    </row>
    <row r="244" spans="2:5" x14ac:dyDescent="0.2">
      <c r="B244" s="43" t="s">
        <v>19</v>
      </c>
      <c r="C244" s="41"/>
      <c r="D244" s="41"/>
      <c r="E244" s="42"/>
    </row>
    <row r="245" spans="2:5" x14ac:dyDescent="0.2">
      <c r="B245" s="43"/>
      <c r="C245" s="100"/>
      <c r="D245" s="100"/>
      <c r="E245" s="100"/>
    </row>
    <row r="246" spans="2:5" ht="13.5" thickBot="1" x14ac:dyDescent="0.25">
      <c r="B246" s="47"/>
      <c r="C246" s="48"/>
      <c r="D246" s="48"/>
      <c r="E246" s="49"/>
    </row>
    <row r="247" spans="2:5" ht="13.5" thickBot="1" x14ac:dyDescent="0.25"/>
    <row r="248" spans="2:5" x14ac:dyDescent="0.2">
      <c r="B248" s="37" t="s">
        <v>179</v>
      </c>
      <c r="C248" s="38"/>
      <c r="D248" s="38"/>
      <c r="E248" s="39"/>
    </row>
    <row r="249" spans="2:5" x14ac:dyDescent="0.2">
      <c r="B249" s="40"/>
      <c r="C249" s="41"/>
      <c r="D249" s="41"/>
      <c r="E249" s="42"/>
    </row>
    <row r="250" spans="2:5" x14ac:dyDescent="0.2">
      <c r="B250" s="43" t="s">
        <v>15</v>
      </c>
      <c r="C250" s="41"/>
      <c r="D250" s="41"/>
      <c r="E250" s="42"/>
    </row>
    <row r="251" spans="2:5" ht="30.75" customHeight="1" x14ac:dyDescent="0.2">
      <c r="B251" s="43"/>
      <c r="C251" s="101" t="s">
        <v>180</v>
      </c>
      <c r="D251" s="101"/>
      <c r="E251" s="101"/>
    </row>
    <row r="252" spans="2:5" x14ac:dyDescent="0.2">
      <c r="B252" s="43" t="s">
        <v>16</v>
      </c>
      <c r="C252" s="41"/>
      <c r="D252" s="41"/>
      <c r="E252" s="42"/>
    </row>
    <row r="253" spans="2:5" x14ac:dyDescent="0.2">
      <c r="B253" s="44"/>
      <c r="C253" s="100" t="s">
        <v>155</v>
      </c>
      <c r="D253" s="100"/>
      <c r="E253" s="100"/>
    </row>
    <row r="254" spans="2:5" x14ac:dyDescent="0.2">
      <c r="B254" s="44"/>
      <c r="C254" s="100"/>
      <c r="D254" s="100"/>
      <c r="E254" s="100"/>
    </row>
    <row r="255" spans="2:5" x14ac:dyDescent="0.2">
      <c r="B255" s="43" t="s">
        <v>17</v>
      </c>
      <c r="C255" s="41"/>
      <c r="D255" s="41"/>
      <c r="E255" s="42"/>
    </row>
    <row r="256" spans="2:5" x14ac:dyDescent="0.2">
      <c r="B256" s="44"/>
      <c r="C256" s="101"/>
      <c r="D256" s="101"/>
      <c r="E256" s="101"/>
    </row>
    <row r="257" spans="2:5" x14ac:dyDescent="0.2">
      <c r="B257" s="43" t="s">
        <v>18</v>
      </c>
      <c r="C257" s="45"/>
      <c r="D257" s="45"/>
      <c r="E257" s="46"/>
    </row>
    <row r="258" spans="2:5" x14ac:dyDescent="0.2">
      <c r="B258" s="44"/>
      <c r="C258" s="101"/>
      <c r="D258" s="101"/>
      <c r="E258" s="101"/>
    </row>
    <row r="259" spans="2:5" x14ac:dyDescent="0.2">
      <c r="B259" s="43" t="s">
        <v>19</v>
      </c>
      <c r="C259" s="41"/>
      <c r="D259" s="41"/>
      <c r="E259" s="42"/>
    </row>
    <row r="260" spans="2:5" x14ac:dyDescent="0.2">
      <c r="B260" s="43"/>
      <c r="C260" s="100"/>
      <c r="D260" s="100"/>
      <c r="E260" s="100"/>
    </row>
    <row r="261" spans="2:5" ht="13.5" thickBot="1" x14ac:dyDescent="0.25">
      <c r="B261" s="47"/>
      <c r="C261" s="48"/>
      <c r="D261" s="48"/>
      <c r="E261" s="49"/>
    </row>
    <row r="262" spans="2:5" ht="13.5" thickBot="1" x14ac:dyDescent="0.25"/>
    <row r="263" spans="2:5" x14ac:dyDescent="0.2">
      <c r="B263" s="37" t="s">
        <v>181</v>
      </c>
      <c r="C263" s="38"/>
      <c r="D263" s="38"/>
      <c r="E263" s="39"/>
    </row>
    <row r="264" spans="2:5" x14ac:dyDescent="0.2">
      <c r="B264" s="40"/>
      <c r="C264" s="41"/>
      <c r="D264" s="41"/>
      <c r="E264" s="42"/>
    </row>
    <row r="265" spans="2:5" x14ac:dyDescent="0.2">
      <c r="B265" s="43" t="s">
        <v>15</v>
      </c>
      <c r="C265" s="41"/>
      <c r="D265" s="41"/>
      <c r="E265" s="42"/>
    </row>
    <row r="266" spans="2:5" ht="33" customHeight="1" x14ac:dyDescent="0.2">
      <c r="B266" s="43"/>
      <c r="C266" s="101" t="s">
        <v>182</v>
      </c>
      <c r="D266" s="101"/>
      <c r="E266" s="101"/>
    </row>
    <row r="267" spans="2:5" x14ac:dyDescent="0.2">
      <c r="B267" s="43" t="s">
        <v>16</v>
      </c>
      <c r="C267" s="41"/>
      <c r="D267" s="41"/>
      <c r="E267" s="42"/>
    </row>
    <row r="268" spans="2:5" x14ac:dyDescent="0.2">
      <c r="B268" s="44"/>
      <c r="C268" s="100" t="s">
        <v>155</v>
      </c>
      <c r="D268" s="100"/>
      <c r="E268" s="100"/>
    </row>
    <row r="269" spans="2:5" x14ac:dyDescent="0.2">
      <c r="B269" s="44"/>
      <c r="C269" s="100"/>
      <c r="D269" s="100"/>
      <c r="E269" s="100"/>
    </row>
    <row r="270" spans="2:5" x14ac:dyDescent="0.2">
      <c r="B270" s="43" t="s">
        <v>17</v>
      </c>
      <c r="C270" s="41"/>
      <c r="D270" s="41"/>
      <c r="E270" s="42"/>
    </row>
    <row r="271" spans="2:5" x14ac:dyDescent="0.2">
      <c r="B271" s="44"/>
      <c r="C271" s="101"/>
      <c r="D271" s="101"/>
      <c r="E271" s="101"/>
    </row>
    <row r="272" spans="2:5" x14ac:dyDescent="0.2">
      <c r="B272" s="43" t="s">
        <v>18</v>
      </c>
      <c r="C272" s="45"/>
      <c r="D272" s="45"/>
      <c r="E272" s="46"/>
    </row>
    <row r="273" spans="2:5" x14ac:dyDescent="0.2">
      <c r="B273" s="44"/>
      <c r="C273" s="101"/>
      <c r="D273" s="101"/>
      <c r="E273" s="101"/>
    </row>
    <row r="274" spans="2:5" x14ac:dyDescent="0.2">
      <c r="B274" s="43" t="s">
        <v>19</v>
      </c>
      <c r="C274" s="41"/>
      <c r="D274" s="41"/>
      <c r="E274" s="42"/>
    </row>
    <row r="275" spans="2:5" x14ac:dyDescent="0.2">
      <c r="B275" s="43"/>
      <c r="C275" s="100"/>
      <c r="D275" s="100"/>
      <c r="E275" s="100"/>
    </row>
    <row r="276" spans="2:5" ht="13.5" thickBot="1" x14ac:dyDescent="0.25">
      <c r="B276" s="47"/>
      <c r="C276" s="48"/>
      <c r="D276" s="48"/>
      <c r="E276" s="49"/>
    </row>
    <row r="277" spans="2:5" ht="13.5" thickBot="1" x14ac:dyDescent="0.25"/>
    <row r="278" spans="2:5" x14ac:dyDescent="0.2">
      <c r="B278" s="37" t="s">
        <v>183</v>
      </c>
      <c r="C278" s="38"/>
      <c r="D278" s="38"/>
      <c r="E278" s="39"/>
    </row>
    <row r="279" spans="2:5" x14ac:dyDescent="0.2">
      <c r="B279" s="40"/>
      <c r="C279" s="41"/>
      <c r="D279" s="41"/>
      <c r="E279" s="42"/>
    </row>
    <row r="280" spans="2:5" x14ac:dyDescent="0.2">
      <c r="B280" s="43" t="s">
        <v>15</v>
      </c>
      <c r="C280" s="41"/>
      <c r="D280" s="41"/>
      <c r="E280" s="42"/>
    </row>
    <row r="281" spans="2:5" ht="33.75" customHeight="1" x14ac:dyDescent="0.2">
      <c r="B281" s="43"/>
      <c r="C281" s="101" t="s">
        <v>184</v>
      </c>
      <c r="D281" s="101"/>
      <c r="E281" s="101"/>
    </row>
    <row r="282" spans="2:5" x14ac:dyDescent="0.2">
      <c r="B282" s="43" t="s">
        <v>16</v>
      </c>
      <c r="C282" s="41"/>
      <c r="D282" s="41"/>
      <c r="E282" s="42"/>
    </row>
    <row r="283" spans="2:5" x14ac:dyDescent="0.2">
      <c r="B283" s="44"/>
      <c r="C283" s="100" t="s">
        <v>155</v>
      </c>
      <c r="D283" s="100"/>
      <c r="E283" s="100"/>
    </row>
    <row r="284" spans="2:5" x14ac:dyDescent="0.2">
      <c r="B284" s="44"/>
      <c r="C284" s="100"/>
      <c r="D284" s="100"/>
      <c r="E284" s="100"/>
    </row>
    <row r="285" spans="2:5" x14ac:dyDescent="0.2">
      <c r="B285" s="43" t="s">
        <v>17</v>
      </c>
      <c r="C285" s="41"/>
      <c r="D285" s="41"/>
      <c r="E285" s="42"/>
    </row>
    <row r="286" spans="2:5" x14ac:dyDescent="0.2">
      <c r="B286" s="44"/>
      <c r="C286" s="101"/>
      <c r="D286" s="101"/>
      <c r="E286" s="101"/>
    </row>
    <row r="287" spans="2:5" x14ac:dyDescent="0.2">
      <c r="B287" s="43" t="s">
        <v>18</v>
      </c>
      <c r="C287" s="45"/>
      <c r="D287" s="45"/>
      <c r="E287" s="46"/>
    </row>
    <row r="288" spans="2:5" x14ac:dyDescent="0.2">
      <c r="B288" s="44"/>
      <c r="C288" s="101"/>
      <c r="D288" s="101"/>
      <c r="E288" s="101"/>
    </row>
    <row r="289" spans="2:5" x14ac:dyDescent="0.2">
      <c r="B289" s="43" t="s">
        <v>19</v>
      </c>
      <c r="C289" s="41"/>
      <c r="D289" s="41"/>
      <c r="E289" s="42"/>
    </row>
    <row r="290" spans="2:5" x14ac:dyDescent="0.2">
      <c r="B290" s="43"/>
      <c r="C290" s="100"/>
      <c r="D290" s="100"/>
      <c r="E290" s="100"/>
    </row>
    <row r="291" spans="2:5" ht="13.5" thickBot="1" x14ac:dyDescent="0.25">
      <c r="B291" s="47"/>
      <c r="C291" s="48"/>
      <c r="D291" s="48"/>
      <c r="E291" s="49"/>
    </row>
    <row r="292" spans="2:5" ht="13.5" thickBot="1" x14ac:dyDescent="0.25"/>
    <row r="293" spans="2:5" x14ac:dyDescent="0.2">
      <c r="B293" s="37" t="s">
        <v>185</v>
      </c>
      <c r="C293" s="38"/>
      <c r="D293" s="38"/>
      <c r="E293" s="39"/>
    </row>
    <row r="294" spans="2:5" x14ac:dyDescent="0.2">
      <c r="B294" s="40"/>
      <c r="C294" s="41"/>
      <c r="D294" s="41"/>
      <c r="E294" s="42"/>
    </row>
    <row r="295" spans="2:5" x14ac:dyDescent="0.2">
      <c r="B295" s="43" t="s">
        <v>15</v>
      </c>
      <c r="C295" s="41"/>
      <c r="D295" s="41"/>
      <c r="E295" s="42"/>
    </row>
    <row r="296" spans="2:5" ht="34.5" customHeight="1" x14ac:dyDescent="0.2">
      <c r="B296" s="43"/>
      <c r="C296" s="101" t="s">
        <v>186</v>
      </c>
      <c r="D296" s="101"/>
      <c r="E296" s="101"/>
    </row>
    <row r="297" spans="2:5" x14ac:dyDescent="0.2">
      <c r="B297" s="43" t="s">
        <v>16</v>
      </c>
      <c r="C297" s="41"/>
      <c r="D297" s="41"/>
      <c r="E297" s="42"/>
    </row>
    <row r="298" spans="2:5" x14ac:dyDescent="0.2">
      <c r="B298" s="44"/>
      <c r="C298" s="100" t="s">
        <v>155</v>
      </c>
      <c r="D298" s="100"/>
      <c r="E298" s="100"/>
    </row>
    <row r="299" spans="2:5" x14ac:dyDescent="0.2">
      <c r="B299" s="44"/>
      <c r="C299" s="100"/>
      <c r="D299" s="100"/>
      <c r="E299" s="100"/>
    </row>
    <row r="300" spans="2:5" x14ac:dyDescent="0.2">
      <c r="B300" s="43" t="s">
        <v>17</v>
      </c>
      <c r="C300" s="41"/>
      <c r="D300" s="41"/>
      <c r="E300" s="42"/>
    </row>
    <row r="301" spans="2:5" x14ac:dyDescent="0.2">
      <c r="B301" s="44"/>
      <c r="C301" s="101"/>
      <c r="D301" s="101"/>
      <c r="E301" s="101"/>
    </row>
    <row r="302" spans="2:5" x14ac:dyDescent="0.2">
      <c r="B302" s="43" t="s">
        <v>18</v>
      </c>
      <c r="C302" s="45"/>
      <c r="D302" s="45"/>
      <c r="E302" s="46"/>
    </row>
    <row r="303" spans="2:5" x14ac:dyDescent="0.2">
      <c r="B303" s="44"/>
      <c r="C303" s="101"/>
      <c r="D303" s="101"/>
      <c r="E303" s="101"/>
    </row>
    <row r="304" spans="2:5" x14ac:dyDescent="0.2">
      <c r="B304" s="43" t="s">
        <v>19</v>
      </c>
      <c r="C304" s="41"/>
      <c r="D304" s="41"/>
      <c r="E304" s="42"/>
    </row>
    <row r="305" spans="2:5" x14ac:dyDescent="0.2">
      <c r="B305" s="43"/>
      <c r="C305" s="100"/>
      <c r="D305" s="100"/>
      <c r="E305" s="100"/>
    </row>
    <row r="306" spans="2:5" ht="13.5" thickBot="1" x14ac:dyDescent="0.25">
      <c r="B306" s="47"/>
      <c r="C306" s="48"/>
      <c r="D306" s="48"/>
      <c r="E306" s="49"/>
    </row>
    <row r="307" spans="2:5" ht="13.5" thickBot="1" x14ac:dyDescent="0.25"/>
    <row r="308" spans="2:5" x14ac:dyDescent="0.2">
      <c r="B308" s="37" t="s">
        <v>187</v>
      </c>
      <c r="C308" s="38"/>
      <c r="D308" s="38"/>
      <c r="E308" s="39"/>
    </row>
    <row r="309" spans="2:5" x14ac:dyDescent="0.2">
      <c r="B309" s="40"/>
      <c r="C309" s="41"/>
      <c r="D309" s="41"/>
      <c r="E309" s="42"/>
    </row>
    <row r="310" spans="2:5" x14ac:dyDescent="0.2">
      <c r="B310" s="43" t="s">
        <v>15</v>
      </c>
      <c r="C310" s="41"/>
      <c r="D310" s="41"/>
      <c r="E310" s="42"/>
    </row>
    <row r="311" spans="2:5" ht="34.5" customHeight="1" x14ac:dyDescent="0.2">
      <c r="B311" s="43"/>
      <c r="C311" s="101" t="s">
        <v>188</v>
      </c>
      <c r="D311" s="101"/>
      <c r="E311" s="101"/>
    </row>
    <row r="312" spans="2:5" x14ac:dyDescent="0.2">
      <c r="B312" s="43" t="s">
        <v>16</v>
      </c>
      <c r="C312" s="41"/>
      <c r="D312" s="41"/>
      <c r="E312" s="42"/>
    </row>
    <row r="313" spans="2:5" x14ac:dyDescent="0.2">
      <c r="B313" s="44"/>
      <c r="C313" s="100" t="s">
        <v>178</v>
      </c>
      <c r="D313" s="100"/>
      <c r="E313" s="100"/>
    </row>
    <row r="314" spans="2:5" x14ac:dyDescent="0.2">
      <c r="B314" s="44"/>
      <c r="C314" s="100"/>
      <c r="D314" s="100"/>
      <c r="E314" s="100"/>
    </row>
    <row r="315" spans="2:5" x14ac:dyDescent="0.2">
      <c r="B315" s="43" t="s">
        <v>17</v>
      </c>
      <c r="C315" s="41"/>
      <c r="D315" s="41"/>
      <c r="E315" s="42"/>
    </row>
    <row r="316" spans="2:5" x14ac:dyDescent="0.2">
      <c r="B316" s="44"/>
      <c r="C316" s="101"/>
      <c r="D316" s="101"/>
      <c r="E316" s="101"/>
    </row>
    <row r="317" spans="2:5" x14ac:dyDescent="0.2">
      <c r="B317" s="43" t="s">
        <v>18</v>
      </c>
      <c r="C317" s="45"/>
      <c r="D317" s="45"/>
      <c r="E317" s="46"/>
    </row>
    <row r="318" spans="2:5" x14ac:dyDescent="0.2">
      <c r="B318" s="44"/>
      <c r="C318" s="101"/>
      <c r="D318" s="101"/>
      <c r="E318" s="101"/>
    </row>
    <row r="319" spans="2:5" x14ac:dyDescent="0.2">
      <c r="B319" s="43" t="s">
        <v>19</v>
      </c>
      <c r="C319" s="41"/>
      <c r="D319" s="41"/>
      <c r="E319" s="42"/>
    </row>
    <row r="320" spans="2:5" x14ac:dyDescent="0.2">
      <c r="B320" s="43"/>
      <c r="C320" s="100"/>
      <c r="D320" s="100"/>
      <c r="E320" s="100"/>
    </row>
    <row r="321" spans="2:5" ht="13.5" thickBot="1" x14ac:dyDescent="0.25">
      <c r="B321" s="47"/>
      <c r="C321" s="48"/>
      <c r="D321" s="48"/>
      <c r="E321" s="49"/>
    </row>
    <row r="322" spans="2:5" ht="13.5" thickBot="1" x14ac:dyDescent="0.25"/>
    <row r="323" spans="2:5" x14ac:dyDescent="0.2">
      <c r="B323" s="37" t="s">
        <v>189</v>
      </c>
      <c r="C323" s="38"/>
      <c r="D323" s="38"/>
      <c r="E323" s="39"/>
    </row>
    <row r="324" spans="2:5" x14ac:dyDescent="0.2">
      <c r="B324" s="40"/>
      <c r="C324" s="41"/>
      <c r="D324" s="41"/>
      <c r="E324" s="42"/>
    </row>
    <row r="325" spans="2:5" x14ac:dyDescent="0.2">
      <c r="B325" s="43" t="s">
        <v>15</v>
      </c>
      <c r="C325" s="41"/>
      <c r="D325" s="41"/>
      <c r="E325" s="42"/>
    </row>
    <row r="326" spans="2:5" ht="30" customHeight="1" x14ac:dyDescent="0.2">
      <c r="B326" s="43"/>
      <c r="C326" s="101" t="s">
        <v>190</v>
      </c>
      <c r="D326" s="101"/>
      <c r="E326" s="101"/>
    </row>
    <row r="327" spans="2:5" x14ac:dyDescent="0.2">
      <c r="B327" s="43" t="s">
        <v>16</v>
      </c>
      <c r="C327" s="41"/>
      <c r="D327" s="41"/>
      <c r="E327" s="42"/>
    </row>
    <row r="328" spans="2:5" x14ac:dyDescent="0.2">
      <c r="B328" s="44"/>
      <c r="C328" s="100" t="s">
        <v>191</v>
      </c>
      <c r="D328" s="100"/>
      <c r="E328" s="100"/>
    </row>
    <row r="329" spans="2:5" x14ac:dyDescent="0.2">
      <c r="B329" s="44"/>
      <c r="C329" s="100"/>
      <c r="D329" s="100"/>
      <c r="E329" s="100"/>
    </row>
    <row r="330" spans="2:5" x14ac:dyDescent="0.2">
      <c r="B330" s="43" t="s">
        <v>17</v>
      </c>
      <c r="C330" s="41"/>
      <c r="D330" s="41"/>
      <c r="E330" s="42"/>
    </row>
    <row r="331" spans="2:5" x14ac:dyDescent="0.2">
      <c r="B331" s="44"/>
      <c r="C331" s="101"/>
      <c r="D331" s="101"/>
      <c r="E331" s="101"/>
    </row>
    <row r="332" spans="2:5" x14ac:dyDescent="0.2">
      <c r="B332" s="43" t="s">
        <v>18</v>
      </c>
      <c r="C332" s="45"/>
      <c r="D332" s="45"/>
      <c r="E332" s="46"/>
    </row>
    <row r="333" spans="2:5" x14ac:dyDescent="0.2">
      <c r="B333" s="44"/>
      <c r="C333" s="101"/>
      <c r="D333" s="101"/>
      <c r="E333" s="101"/>
    </row>
    <row r="334" spans="2:5" x14ac:dyDescent="0.2">
      <c r="B334" s="43" t="s">
        <v>19</v>
      </c>
      <c r="C334" s="41"/>
      <c r="D334" s="41"/>
      <c r="E334" s="42"/>
    </row>
    <row r="335" spans="2:5" x14ac:dyDescent="0.2">
      <c r="B335" s="43"/>
      <c r="C335" s="100"/>
      <c r="D335" s="100"/>
      <c r="E335" s="100"/>
    </row>
    <row r="336" spans="2:5" ht="13.5" thickBot="1" x14ac:dyDescent="0.25">
      <c r="B336" s="47"/>
      <c r="C336" s="48"/>
      <c r="D336" s="48"/>
      <c r="E336" s="49"/>
    </row>
    <row r="337" spans="2:5" ht="13.5" thickBot="1" x14ac:dyDescent="0.25"/>
    <row r="338" spans="2:5" x14ac:dyDescent="0.2">
      <c r="B338" s="37" t="s">
        <v>192</v>
      </c>
      <c r="C338" s="38"/>
      <c r="D338" s="38"/>
      <c r="E338" s="39"/>
    </row>
    <row r="339" spans="2:5" x14ac:dyDescent="0.2">
      <c r="B339" s="40"/>
      <c r="C339" s="41"/>
      <c r="D339" s="41"/>
      <c r="E339" s="42"/>
    </row>
    <row r="340" spans="2:5" x14ac:dyDescent="0.2">
      <c r="B340" s="43" t="s">
        <v>15</v>
      </c>
      <c r="C340" s="41"/>
      <c r="D340" s="41"/>
      <c r="E340" s="42"/>
    </row>
    <row r="341" spans="2:5" ht="35.25" customHeight="1" x14ac:dyDescent="0.2">
      <c r="B341" s="43"/>
      <c r="C341" s="101" t="s">
        <v>193</v>
      </c>
      <c r="D341" s="101"/>
      <c r="E341" s="101"/>
    </row>
    <row r="342" spans="2:5" x14ac:dyDescent="0.2">
      <c r="B342" s="43" t="s">
        <v>16</v>
      </c>
      <c r="C342" s="41"/>
      <c r="D342" s="41"/>
      <c r="E342" s="42"/>
    </row>
    <row r="343" spans="2:5" x14ac:dyDescent="0.2">
      <c r="B343" s="44"/>
      <c r="C343" s="100" t="s">
        <v>191</v>
      </c>
      <c r="D343" s="100"/>
      <c r="E343" s="100"/>
    </row>
    <row r="344" spans="2:5" x14ac:dyDescent="0.2">
      <c r="B344" s="44"/>
      <c r="C344" s="100"/>
      <c r="D344" s="100"/>
      <c r="E344" s="100"/>
    </row>
    <row r="345" spans="2:5" x14ac:dyDescent="0.2">
      <c r="B345" s="43" t="s">
        <v>17</v>
      </c>
      <c r="C345" s="41"/>
      <c r="D345" s="41"/>
      <c r="E345" s="42"/>
    </row>
    <row r="346" spans="2:5" x14ac:dyDescent="0.2">
      <c r="B346" s="44"/>
      <c r="C346" s="101"/>
      <c r="D346" s="101"/>
      <c r="E346" s="101"/>
    </row>
    <row r="347" spans="2:5" x14ac:dyDescent="0.2">
      <c r="B347" s="43" t="s">
        <v>18</v>
      </c>
      <c r="C347" s="45"/>
      <c r="D347" s="45"/>
      <c r="E347" s="46"/>
    </row>
    <row r="348" spans="2:5" x14ac:dyDescent="0.2">
      <c r="B348" s="44"/>
      <c r="C348" s="101"/>
      <c r="D348" s="101"/>
      <c r="E348" s="101"/>
    </row>
    <row r="349" spans="2:5" x14ac:dyDescent="0.2">
      <c r="B349" s="43" t="s">
        <v>19</v>
      </c>
      <c r="C349" s="41"/>
      <c r="D349" s="41"/>
      <c r="E349" s="42"/>
    </row>
    <row r="350" spans="2:5" x14ac:dyDescent="0.2">
      <c r="B350" s="43"/>
      <c r="C350" s="100"/>
      <c r="D350" s="100"/>
      <c r="E350" s="100"/>
    </row>
    <row r="351" spans="2:5" ht="13.5" thickBot="1" x14ac:dyDescent="0.25">
      <c r="B351" s="47"/>
      <c r="C351" s="48"/>
      <c r="D351" s="48"/>
      <c r="E351" s="49"/>
    </row>
    <row r="352" spans="2:5" ht="13.5" thickBot="1" x14ac:dyDescent="0.25"/>
    <row r="353" spans="2:5" x14ac:dyDescent="0.2">
      <c r="B353" s="37" t="s">
        <v>194</v>
      </c>
      <c r="C353" s="38"/>
      <c r="D353" s="38"/>
      <c r="E353" s="39"/>
    </row>
    <row r="354" spans="2:5" x14ac:dyDescent="0.2">
      <c r="B354" s="40"/>
      <c r="C354" s="41"/>
      <c r="D354" s="41"/>
      <c r="E354" s="42"/>
    </row>
    <row r="355" spans="2:5" x14ac:dyDescent="0.2">
      <c r="B355" s="43" t="s">
        <v>15</v>
      </c>
      <c r="C355" s="41"/>
      <c r="D355" s="41"/>
      <c r="E355" s="42"/>
    </row>
    <row r="356" spans="2:5" ht="39" customHeight="1" x14ac:dyDescent="0.2">
      <c r="B356" s="43"/>
      <c r="C356" s="101" t="s">
        <v>195</v>
      </c>
      <c r="D356" s="101"/>
      <c r="E356" s="101"/>
    </row>
    <row r="357" spans="2:5" x14ac:dyDescent="0.2">
      <c r="B357" s="43" t="s">
        <v>16</v>
      </c>
      <c r="C357" s="41"/>
      <c r="D357" s="41"/>
      <c r="E357" s="42"/>
    </row>
    <row r="358" spans="2:5" x14ac:dyDescent="0.2">
      <c r="B358" s="44"/>
      <c r="C358" s="100" t="s">
        <v>191</v>
      </c>
      <c r="D358" s="100"/>
      <c r="E358" s="100"/>
    </row>
    <row r="359" spans="2:5" x14ac:dyDescent="0.2">
      <c r="B359" s="44"/>
      <c r="C359" s="100"/>
      <c r="D359" s="100"/>
      <c r="E359" s="100"/>
    </row>
    <row r="360" spans="2:5" x14ac:dyDescent="0.2">
      <c r="B360" s="43" t="s">
        <v>17</v>
      </c>
      <c r="C360" s="41"/>
      <c r="D360" s="41"/>
      <c r="E360" s="42"/>
    </row>
    <row r="361" spans="2:5" x14ac:dyDescent="0.2">
      <c r="B361" s="44"/>
      <c r="C361" s="101"/>
      <c r="D361" s="101"/>
      <c r="E361" s="101"/>
    </row>
    <row r="362" spans="2:5" x14ac:dyDescent="0.2">
      <c r="B362" s="43" t="s">
        <v>18</v>
      </c>
      <c r="C362" s="45"/>
      <c r="D362" s="45"/>
      <c r="E362" s="46"/>
    </row>
    <row r="363" spans="2:5" x14ac:dyDescent="0.2">
      <c r="B363" s="44"/>
      <c r="C363" s="101"/>
      <c r="D363" s="101"/>
      <c r="E363" s="101"/>
    </row>
    <row r="364" spans="2:5" x14ac:dyDescent="0.2">
      <c r="B364" s="43" t="s">
        <v>19</v>
      </c>
      <c r="C364" s="41"/>
      <c r="D364" s="41"/>
      <c r="E364" s="42"/>
    </row>
    <row r="365" spans="2:5" x14ac:dyDescent="0.2">
      <c r="B365" s="43"/>
      <c r="C365" s="100"/>
      <c r="D365" s="100"/>
      <c r="E365" s="100"/>
    </row>
    <row r="366" spans="2:5" ht="13.5" thickBot="1" x14ac:dyDescent="0.25">
      <c r="B366" s="47"/>
      <c r="C366" s="48"/>
      <c r="D366" s="48"/>
      <c r="E366" s="49"/>
    </row>
    <row r="367" spans="2:5" ht="13.5" thickBot="1" x14ac:dyDescent="0.25"/>
    <row r="368" spans="2:5" x14ac:dyDescent="0.2">
      <c r="B368" s="37" t="s">
        <v>196</v>
      </c>
      <c r="C368" s="38"/>
      <c r="D368" s="38"/>
      <c r="E368" s="39"/>
    </row>
    <row r="369" spans="2:5" x14ac:dyDescent="0.2">
      <c r="B369" s="40"/>
      <c r="C369" s="41"/>
      <c r="D369" s="41"/>
      <c r="E369" s="42"/>
    </row>
    <row r="370" spans="2:5" x14ac:dyDescent="0.2">
      <c r="B370" s="43" t="s">
        <v>15</v>
      </c>
      <c r="C370" s="41"/>
      <c r="D370" s="41"/>
      <c r="E370" s="42"/>
    </row>
    <row r="371" spans="2:5" ht="34.5" customHeight="1" x14ac:dyDescent="0.2">
      <c r="B371" s="43"/>
      <c r="C371" s="101" t="s">
        <v>197</v>
      </c>
      <c r="D371" s="101"/>
      <c r="E371" s="101"/>
    </row>
    <row r="372" spans="2:5" x14ac:dyDescent="0.2">
      <c r="B372" s="43" t="s">
        <v>16</v>
      </c>
      <c r="C372" s="41"/>
      <c r="D372" s="41"/>
      <c r="E372" s="42"/>
    </row>
    <row r="373" spans="2:5" x14ac:dyDescent="0.2">
      <c r="B373" s="44"/>
      <c r="C373" s="100" t="s">
        <v>191</v>
      </c>
      <c r="D373" s="100"/>
      <c r="E373" s="100"/>
    </row>
    <row r="374" spans="2:5" x14ac:dyDescent="0.2">
      <c r="B374" s="44"/>
      <c r="C374" s="100"/>
      <c r="D374" s="100"/>
      <c r="E374" s="100"/>
    </row>
    <row r="375" spans="2:5" x14ac:dyDescent="0.2">
      <c r="B375" s="43" t="s">
        <v>17</v>
      </c>
      <c r="C375" s="41"/>
      <c r="D375" s="41"/>
      <c r="E375" s="42"/>
    </row>
    <row r="376" spans="2:5" x14ac:dyDescent="0.2">
      <c r="B376" s="44"/>
      <c r="C376" s="101"/>
      <c r="D376" s="101"/>
      <c r="E376" s="101"/>
    </row>
    <row r="377" spans="2:5" x14ac:dyDescent="0.2">
      <c r="B377" s="43" t="s">
        <v>18</v>
      </c>
      <c r="C377" s="45"/>
      <c r="D377" s="45"/>
      <c r="E377" s="46"/>
    </row>
    <row r="378" spans="2:5" x14ac:dyDescent="0.2">
      <c r="B378" s="44"/>
      <c r="C378" s="101"/>
      <c r="D378" s="101"/>
      <c r="E378" s="101"/>
    </row>
    <row r="379" spans="2:5" x14ac:dyDescent="0.2">
      <c r="B379" s="43" t="s">
        <v>19</v>
      </c>
      <c r="C379" s="41"/>
      <c r="D379" s="41"/>
      <c r="E379" s="42"/>
    </row>
    <row r="380" spans="2:5" x14ac:dyDescent="0.2">
      <c r="B380" s="43"/>
      <c r="C380" s="100"/>
      <c r="D380" s="100"/>
      <c r="E380" s="100"/>
    </row>
    <row r="381" spans="2:5" ht="13.5" thickBot="1" x14ac:dyDescent="0.25">
      <c r="B381" s="47"/>
      <c r="C381" s="48"/>
      <c r="D381" s="48"/>
      <c r="E381" s="49"/>
    </row>
    <row r="382" spans="2:5" ht="13.5" thickBot="1" x14ac:dyDescent="0.25"/>
    <row r="383" spans="2:5" x14ac:dyDescent="0.2">
      <c r="B383" s="37" t="s">
        <v>198</v>
      </c>
      <c r="C383" s="38"/>
      <c r="D383" s="38"/>
      <c r="E383" s="39"/>
    </row>
    <row r="384" spans="2:5" x14ac:dyDescent="0.2">
      <c r="B384" s="40"/>
      <c r="C384" s="41"/>
      <c r="D384" s="41"/>
      <c r="E384" s="42"/>
    </row>
    <row r="385" spans="2:5" x14ac:dyDescent="0.2">
      <c r="B385" s="43" t="s">
        <v>15</v>
      </c>
      <c r="C385" s="41"/>
      <c r="D385" s="41"/>
      <c r="E385" s="42"/>
    </row>
    <row r="386" spans="2:5" ht="39" customHeight="1" x14ac:dyDescent="0.2">
      <c r="B386" s="43"/>
      <c r="C386" s="101" t="s">
        <v>199</v>
      </c>
      <c r="D386" s="101"/>
      <c r="E386" s="101"/>
    </row>
    <row r="387" spans="2:5" x14ac:dyDescent="0.2">
      <c r="B387" s="43" t="s">
        <v>16</v>
      </c>
      <c r="C387" s="41"/>
      <c r="D387" s="41"/>
      <c r="E387" s="42"/>
    </row>
    <row r="388" spans="2:5" x14ac:dyDescent="0.2">
      <c r="B388" s="44"/>
      <c r="C388" s="100" t="s">
        <v>191</v>
      </c>
      <c r="D388" s="100"/>
      <c r="E388" s="100"/>
    </row>
    <row r="389" spans="2:5" x14ac:dyDescent="0.2">
      <c r="B389" s="44"/>
      <c r="C389" s="100"/>
      <c r="D389" s="100"/>
      <c r="E389" s="100"/>
    </row>
    <row r="390" spans="2:5" x14ac:dyDescent="0.2">
      <c r="B390" s="43" t="s">
        <v>17</v>
      </c>
      <c r="C390" s="41"/>
      <c r="D390" s="41"/>
      <c r="E390" s="42"/>
    </row>
    <row r="391" spans="2:5" x14ac:dyDescent="0.2">
      <c r="B391" s="44"/>
      <c r="C391" s="101"/>
      <c r="D391" s="101"/>
      <c r="E391" s="101"/>
    </row>
    <row r="392" spans="2:5" x14ac:dyDescent="0.2">
      <c r="B392" s="43" t="s">
        <v>18</v>
      </c>
      <c r="C392" s="45"/>
      <c r="D392" s="45"/>
      <c r="E392" s="46"/>
    </row>
    <row r="393" spans="2:5" x14ac:dyDescent="0.2">
      <c r="B393" s="44"/>
      <c r="C393" s="101"/>
      <c r="D393" s="101"/>
      <c r="E393" s="101"/>
    </row>
    <row r="394" spans="2:5" x14ac:dyDescent="0.2">
      <c r="B394" s="43" t="s">
        <v>19</v>
      </c>
      <c r="C394" s="41"/>
      <c r="D394" s="41"/>
      <c r="E394" s="42"/>
    </row>
    <row r="395" spans="2:5" x14ac:dyDescent="0.2">
      <c r="B395" s="43"/>
      <c r="C395" s="100"/>
      <c r="D395" s="100"/>
      <c r="E395" s="100"/>
    </row>
    <row r="396" spans="2:5" ht="13.5" thickBot="1" x14ac:dyDescent="0.25">
      <c r="B396" s="47"/>
      <c r="C396" s="48"/>
      <c r="D396" s="48"/>
      <c r="E396" s="49"/>
    </row>
    <row r="397" spans="2:5" ht="13.5" thickBot="1" x14ac:dyDescent="0.25"/>
    <row r="398" spans="2:5" x14ac:dyDescent="0.2">
      <c r="B398" s="37" t="s">
        <v>200</v>
      </c>
      <c r="C398" s="38"/>
      <c r="D398" s="38"/>
      <c r="E398" s="39"/>
    </row>
    <row r="399" spans="2:5" x14ac:dyDescent="0.2">
      <c r="B399" s="40"/>
      <c r="C399" s="41"/>
      <c r="D399" s="41"/>
      <c r="E399" s="42"/>
    </row>
    <row r="400" spans="2:5" x14ac:dyDescent="0.2">
      <c r="B400" s="43" t="s">
        <v>15</v>
      </c>
      <c r="C400" s="41"/>
      <c r="D400" s="41"/>
      <c r="E400" s="42"/>
    </row>
    <row r="401" spans="2:5" ht="39.75" customHeight="1" x14ac:dyDescent="0.2">
      <c r="B401" s="43"/>
      <c r="C401" s="101" t="s">
        <v>201</v>
      </c>
      <c r="D401" s="101"/>
      <c r="E401" s="101"/>
    </row>
    <row r="402" spans="2:5" x14ac:dyDescent="0.2">
      <c r="B402" s="43" t="s">
        <v>16</v>
      </c>
      <c r="C402" s="41"/>
      <c r="D402" s="41"/>
      <c r="E402" s="42"/>
    </row>
    <row r="403" spans="2:5" x14ac:dyDescent="0.2">
      <c r="B403" s="44"/>
      <c r="C403" s="100" t="s">
        <v>191</v>
      </c>
      <c r="D403" s="100"/>
      <c r="E403" s="100"/>
    </row>
    <row r="404" spans="2:5" x14ac:dyDescent="0.2">
      <c r="B404" s="44"/>
      <c r="C404" s="100"/>
      <c r="D404" s="100"/>
      <c r="E404" s="100"/>
    </row>
    <row r="405" spans="2:5" x14ac:dyDescent="0.2">
      <c r="B405" s="43" t="s">
        <v>17</v>
      </c>
      <c r="C405" s="41"/>
      <c r="D405" s="41"/>
      <c r="E405" s="42"/>
    </row>
    <row r="406" spans="2:5" x14ac:dyDescent="0.2">
      <c r="B406" s="44"/>
      <c r="C406" s="101"/>
      <c r="D406" s="101"/>
      <c r="E406" s="101"/>
    </row>
    <row r="407" spans="2:5" x14ac:dyDescent="0.2">
      <c r="B407" s="43" t="s">
        <v>18</v>
      </c>
      <c r="C407" s="45"/>
      <c r="D407" s="45"/>
      <c r="E407" s="46"/>
    </row>
    <row r="408" spans="2:5" x14ac:dyDescent="0.2">
      <c r="B408" s="44"/>
      <c r="C408" s="101"/>
      <c r="D408" s="101"/>
      <c r="E408" s="101"/>
    </row>
    <row r="409" spans="2:5" x14ac:dyDescent="0.2">
      <c r="B409" s="43" t="s">
        <v>19</v>
      </c>
      <c r="C409" s="41"/>
      <c r="D409" s="41"/>
      <c r="E409" s="42"/>
    </row>
    <row r="410" spans="2:5" x14ac:dyDescent="0.2">
      <c r="B410" s="43"/>
      <c r="C410" s="100"/>
      <c r="D410" s="100"/>
      <c r="E410" s="100"/>
    </row>
    <row r="411" spans="2:5" ht="13.5" thickBot="1" x14ac:dyDescent="0.25">
      <c r="B411" s="47"/>
      <c r="C411" s="48"/>
      <c r="D411" s="48"/>
      <c r="E411" s="49"/>
    </row>
    <row r="412" spans="2:5" ht="13.5" thickBot="1" x14ac:dyDescent="0.25"/>
    <row r="413" spans="2:5" x14ac:dyDescent="0.2">
      <c r="B413" s="37" t="s">
        <v>202</v>
      </c>
      <c r="C413" s="38"/>
      <c r="D413" s="38"/>
      <c r="E413" s="39"/>
    </row>
    <row r="414" spans="2:5" x14ac:dyDescent="0.2">
      <c r="B414" s="40"/>
      <c r="C414" s="41"/>
      <c r="D414" s="41"/>
      <c r="E414" s="42"/>
    </row>
    <row r="415" spans="2:5" x14ac:dyDescent="0.2">
      <c r="B415" s="43" t="s">
        <v>15</v>
      </c>
      <c r="C415" s="41"/>
      <c r="D415" s="41"/>
      <c r="E415" s="42"/>
    </row>
    <row r="416" spans="2:5" ht="42" customHeight="1" x14ac:dyDescent="0.2">
      <c r="B416" s="43"/>
      <c r="C416" s="101" t="s">
        <v>203</v>
      </c>
      <c r="D416" s="101"/>
      <c r="E416" s="101"/>
    </row>
    <row r="417" spans="2:5" x14ac:dyDescent="0.2">
      <c r="B417" s="43" t="s">
        <v>16</v>
      </c>
      <c r="C417" s="41"/>
      <c r="D417" s="41"/>
      <c r="E417" s="42"/>
    </row>
    <row r="418" spans="2:5" x14ac:dyDescent="0.2">
      <c r="B418" s="44"/>
      <c r="C418" s="100" t="s">
        <v>191</v>
      </c>
      <c r="D418" s="100"/>
      <c r="E418" s="100"/>
    </row>
    <row r="419" spans="2:5" x14ac:dyDescent="0.2">
      <c r="B419" s="44"/>
      <c r="C419" s="100"/>
      <c r="D419" s="100"/>
      <c r="E419" s="100"/>
    </row>
    <row r="420" spans="2:5" x14ac:dyDescent="0.2">
      <c r="B420" s="43" t="s">
        <v>17</v>
      </c>
      <c r="C420" s="41"/>
      <c r="D420" s="41"/>
      <c r="E420" s="42"/>
    </row>
    <row r="421" spans="2:5" x14ac:dyDescent="0.2">
      <c r="B421" s="44"/>
      <c r="C421" s="101"/>
      <c r="D421" s="101"/>
      <c r="E421" s="101"/>
    </row>
    <row r="422" spans="2:5" x14ac:dyDescent="0.2">
      <c r="B422" s="43" t="s">
        <v>18</v>
      </c>
      <c r="C422" s="45"/>
      <c r="D422" s="45"/>
      <c r="E422" s="46"/>
    </row>
    <row r="423" spans="2:5" x14ac:dyDescent="0.2">
      <c r="B423" s="44"/>
      <c r="C423" s="101"/>
      <c r="D423" s="101"/>
      <c r="E423" s="101"/>
    </row>
    <row r="424" spans="2:5" x14ac:dyDescent="0.2">
      <c r="B424" s="43" t="s">
        <v>19</v>
      </c>
      <c r="C424" s="41"/>
      <c r="D424" s="41"/>
      <c r="E424" s="42"/>
    </row>
    <row r="425" spans="2:5" x14ac:dyDescent="0.2">
      <c r="B425" s="43"/>
      <c r="C425" s="100"/>
      <c r="D425" s="100"/>
      <c r="E425" s="100"/>
    </row>
    <row r="426" spans="2:5" ht="13.5" thickBot="1" x14ac:dyDescent="0.25">
      <c r="B426" s="47"/>
      <c r="C426" s="48"/>
      <c r="D426" s="48"/>
      <c r="E426" s="49"/>
    </row>
    <row r="427" spans="2:5" ht="13.5" thickBot="1" x14ac:dyDescent="0.25"/>
    <row r="428" spans="2:5" x14ac:dyDescent="0.2">
      <c r="B428" s="37" t="s">
        <v>204</v>
      </c>
      <c r="C428" s="38"/>
      <c r="D428" s="38"/>
      <c r="E428" s="39"/>
    </row>
    <row r="429" spans="2:5" x14ac:dyDescent="0.2">
      <c r="B429" s="40"/>
      <c r="C429" s="41"/>
      <c r="D429" s="41"/>
      <c r="E429" s="42"/>
    </row>
    <row r="430" spans="2:5" x14ac:dyDescent="0.2">
      <c r="B430" s="43" t="s">
        <v>15</v>
      </c>
      <c r="C430" s="41"/>
      <c r="D430" s="41"/>
      <c r="E430" s="42"/>
    </row>
    <row r="431" spans="2:5" ht="37.5" customHeight="1" x14ac:dyDescent="0.2">
      <c r="B431" s="43"/>
      <c r="C431" s="101" t="s">
        <v>205</v>
      </c>
      <c r="D431" s="101"/>
      <c r="E431" s="101"/>
    </row>
    <row r="432" spans="2:5" x14ac:dyDescent="0.2">
      <c r="B432" s="43" t="s">
        <v>16</v>
      </c>
      <c r="C432" s="41"/>
      <c r="D432" s="41"/>
      <c r="E432" s="42"/>
    </row>
    <row r="433" spans="2:5" x14ac:dyDescent="0.2">
      <c r="B433" s="44"/>
      <c r="C433" s="100" t="s">
        <v>191</v>
      </c>
      <c r="D433" s="100"/>
      <c r="E433" s="100"/>
    </row>
    <row r="434" spans="2:5" x14ac:dyDescent="0.2">
      <c r="B434" s="44"/>
      <c r="C434" s="100"/>
      <c r="D434" s="100"/>
      <c r="E434" s="100"/>
    </row>
    <row r="435" spans="2:5" x14ac:dyDescent="0.2">
      <c r="B435" s="43" t="s">
        <v>17</v>
      </c>
      <c r="C435" s="41"/>
      <c r="D435" s="41"/>
      <c r="E435" s="42"/>
    </row>
    <row r="436" spans="2:5" x14ac:dyDescent="0.2">
      <c r="B436" s="44"/>
      <c r="C436" s="101"/>
      <c r="D436" s="101"/>
      <c r="E436" s="101"/>
    </row>
    <row r="437" spans="2:5" x14ac:dyDescent="0.2">
      <c r="B437" s="43" t="s">
        <v>18</v>
      </c>
      <c r="C437" s="45"/>
      <c r="D437" s="45"/>
      <c r="E437" s="46"/>
    </row>
    <row r="438" spans="2:5" x14ac:dyDescent="0.2">
      <c r="B438" s="44"/>
      <c r="C438" s="101"/>
      <c r="D438" s="101"/>
      <c r="E438" s="101"/>
    </row>
    <row r="439" spans="2:5" x14ac:dyDescent="0.2">
      <c r="B439" s="43" t="s">
        <v>19</v>
      </c>
      <c r="C439" s="41"/>
      <c r="D439" s="41"/>
      <c r="E439" s="42"/>
    </row>
    <row r="440" spans="2:5" x14ac:dyDescent="0.2">
      <c r="B440" s="43"/>
      <c r="C440" s="100"/>
      <c r="D440" s="100"/>
      <c r="E440" s="100"/>
    </row>
    <row r="441" spans="2:5" ht="13.5" thickBot="1" x14ac:dyDescent="0.25">
      <c r="B441" s="47"/>
      <c r="C441" s="48"/>
      <c r="D441" s="48"/>
      <c r="E441" s="49"/>
    </row>
    <row r="442" spans="2:5" ht="13.5" thickBot="1" x14ac:dyDescent="0.25"/>
    <row r="443" spans="2:5" x14ac:dyDescent="0.2">
      <c r="B443" s="37" t="s">
        <v>206</v>
      </c>
      <c r="C443" s="38"/>
      <c r="D443" s="38"/>
      <c r="E443" s="39"/>
    </row>
    <row r="444" spans="2:5" x14ac:dyDescent="0.2">
      <c r="B444" s="40"/>
      <c r="C444" s="41"/>
      <c r="D444" s="41"/>
      <c r="E444" s="42"/>
    </row>
    <row r="445" spans="2:5" x14ac:dyDescent="0.2">
      <c r="B445" s="43" t="s">
        <v>15</v>
      </c>
      <c r="C445" s="41"/>
      <c r="D445" s="41"/>
      <c r="E445" s="42"/>
    </row>
    <row r="446" spans="2:5" ht="34.5" customHeight="1" x14ac:dyDescent="0.2">
      <c r="B446" s="43"/>
      <c r="C446" s="101" t="s">
        <v>207</v>
      </c>
      <c r="D446" s="101"/>
      <c r="E446" s="101"/>
    </row>
    <row r="447" spans="2:5" x14ac:dyDescent="0.2">
      <c r="B447" s="43" t="s">
        <v>16</v>
      </c>
      <c r="C447" s="41"/>
      <c r="D447" s="41"/>
      <c r="E447" s="42"/>
    </row>
    <row r="448" spans="2:5" x14ac:dyDescent="0.2">
      <c r="B448" s="44"/>
      <c r="C448" s="100" t="s">
        <v>191</v>
      </c>
      <c r="D448" s="100"/>
      <c r="E448" s="100"/>
    </row>
    <row r="449" spans="2:5" x14ac:dyDescent="0.2">
      <c r="B449" s="44"/>
      <c r="C449" s="100"/>
      <c r="D449" s="100"/>
      <c r="E449" s="100"/>
    </row>
    <row r="450" spans="2:5" x14ac:dyDescent="0.2">
      <c r="B450" s="43" t="s">
        <v>17</v>
      </c>
      <c r="C450" s="41"/>
      <c r="D450" s="41"/>
      <c r="E450" s="42"/>
    </row>
    <row r="451" spans="2:5" x14ac:dyDescent="0.2">
      <c r="B451" s="44"/>
      <c r="C451" s="101"/>
      <c r="D451" s="101"/>
      <c r="E451" s="101"/>
    </row>
    <row r="452" spans="2:5" x14ac:dyDescent="0.2">
      <c r="B452" s="43" t="s">
        <v>18</v>
      </c>
      <c r="C452" s="45"/>
      <c r="D452" s="45"/>
      <c r="E452" s="46"/>
    </row>
    <row r="453" spans="2:5" x14ac:dyDescent="0.2">
      <c r="B453" s="44"/>
      <c r="C453" s="101"/>
      <c r="D453" s="101"/>
      <c r="E453" s="101"/>
    </row>
    <row r="454" spans="2:5" x14ac:dyDescent="0.2">
      <c r="B454" s="43" t="s">
        <v>19</v>
      </c>
      <c r="C454" s="41"/>
      <c r="D454" s="41"/>
      <c r="E454" s="42"/>
    </row>
    <row r="455" spans="2:5" x14ac:dyDescent="0.2">
      <c r="B455" s="43"/>
      <c r="C455" s="100"/>
      <c r="D455" s="100"/>
      <c r="E455" s="100"/>
    </row>
    <row r="456" spans="2:5" ht="13.5" thickBot="1" x14ac:dyDescent="0.25">
      <c r="B456" s="47"/>
      <c r="C456" s="48"/>
      <c r="D456" s="48"/>
      <c r="E456" s="49"/>
    </row>
    <row r="457" spans="2:5" ht="13.5" thickBot="1" x14ac:dyDescent="0.25"/>
    <row r="458" spans="2:5" x14ac:dyDescent="0.2">
      <c r="B458" s="37" t="s">
        <v>208</v>
      </c>
      <c r="C458" s="38"/>
      <c r="D458" s="38"/>
      <c r="E458" s="39"/>
    </row>
    <row r="459" spans="2:5" x14ac:dyDescent="0.2">
      <c r="B459" s="40"/>
      <c r="C459" s="41"/>
      <c r="D459" s="41"/>
      <c r="E459" s="42"/>
    </row>
    <row r="460" spans="2:5" x14ac:dyDescent="0.2">
      <c r="B460" s="43" t="s">
        <v>15</v>
      </c>
      <c r="C460" s="41"/>
      <c r="D460" s="41"/>
      <c r="E460" s="42"/>
    </row>
    <row r="461" spans="2:5" ht="34.5" customHeight="1" x14ac:dyDescent="0.2">
      <c r="B461" s="43"/>
      <c r="C461" s="101" t="s">
        <v>209</v>
      </c>
      <c r="D461" s="101"/>
      <c r="E461" s="101"/>
    </row>
    <row r="462" spans="2:5" x14ac:dyDescent="0.2">
      <c r="B462" s="43" t="s">
        <v>16</v>
      </c>
      <c r="C462" s="41"/>
      <c r="D462" s="41"/>
      <c r="E462" s="42"/>
    </row>
    <row r="463" spans="2:5" x14ac:dyDescent="0.2">
      <c r="B463" s="44"/>
      <c r="C463" s="100" t="s">
        <v>191</v>
      </c>
      <c r="D463" s="100"/>
      <c r="E463" s="100"/>
    </row>
    <row r="464" spans="2:5" x14ac:dyDescent="0.2">
      <c r="B464" s="44"/>
      <c r="C464" s="100"/>
      <c r="D464" s="100"/>
      <c r="E464" s="100"/>
    </row>
    <row r="465" spans="2:5" x14ac:dyDescent="0.2">
      <c r="B465" s="43" t="s">
        <v>17</v>
      </c>
      <c r="C465" s="41"/>
      <c r="D465" s="41"/>
      <c r="E465" s="42"/>
    </row>
    <row r="466" spans="2:5" x14ac:dyDescent="0.2">
      <c r="B466" s="44"/>
      <c r="C466" s="101"/>
      <c r="D466" s="101"/>
      <c r="E466" s="101"/>
    </row>
    <row r="467" spans="2:5" x14ac:dyDescent="0.2">
      <c r="B467" s="43" t="s">
        <v>18</v>
      </c>
      <c r="C467" s="45"/>
      <c r="D467" s="45"/>
      <c r="E467" s="46"/>
    </row>
    <row r="468" spans="2:5" x14ac:dyDescent="0.2">
      <c r="B468" s="44"/>
      <c r="C468" s="101"/>
      <c r="D468" s="101"/>
      <c r="E468" s="101"/>
    </row>
    <row r="469" spans="2:5" x14ac:dyDescent="0.2">
      <c r="B469" s="43" t="s">
        <v>19</v>
      </c>
      <c r="C469" s="41"/>
      <c r="D469" s="41"/>
      <c r="E469" s="42"/>
    </row>
    <row r="470" spans="2:5" x14ac:dyDescent="0.2">
      <c r="B470" s="43"/>
      <c r="C470" s="100"/>
      <c r="D470" s="100"/>
      <c r="E470" s="100"/>
    </row>
    <row r="471" spans="2:5" ht="13.5" thickBot="1" x14ac:dyDescent="0.25">
      <c r="B471" s="47"/>
      <c r="C471" s="48"/>
      <c r="D471" s="48"/>
      <c r="E471" s="49"/>
    </row>
    <row r="472" spans="2:5" ht="13.5" thickBot="1" x14ac:dyDescent="0.25"/>
    <row r="473" spans="2:5" x14ac:dyDescent="0.2">
      <c r="B473" s="37" t="s">
        <v>210</v>
      </c>
      <c r="C473" s="38"/>
      <c r="D473" s="38"/>
      <c r="E473" s="39"/>
    </row>
    <row r="474" spans="2:5" x14ac:dyDescent="0.2">
      <c r="B474" s="40"/>
      <c r="C474" s="41"/>
      <c r="D474" s="41"/>
      <c r="E474" s="42"/>
    </row>
    <row r="475" spans="2:5" x14ac:dyDescent="0.2">
      <c r="B475" s="43" t="s">
        <v>15</v>
      </c>
      <c r="C475" s="41"/>
      <c r="D475" s="41"/>
      <c r="E475" s="42"/>
    </row>
    <row r="476" spans="2:5" ht="36" customHeight="1" x14ac:dyDescent="0.2">
      <c r="B476" s="43"/>
      <c r="C476" s="101" t="s">
        <v>211</v>
      </c>
      <c r="D476" s="101"/>
      <c r="E476" s="101"/>
    </row>
    <row r="477" spans="2:5" x14ac:dyDescent="0.2">
      <c r="B477" s="43" t="s">
        <v>16</v>
      </c>
      <c r="C477" s="41"/>
      <c r="D477" s="41"/>
      <c r="E477" s="42"/>
    </row>
    <row r="478" spans="2:5" x14ac:dyDescent="0.2">
      <c r="B478" s="44"/>
      <c r="C478" s="100" t="s">
        <v>191</v>
      </c>
      <c r="D478" s="100"/>
      <c r="E478" s="100"/>
    </row>
    <row r="479" spans="2:5" x14ac:dyDescent="0.2">
      <c r="B479" s="44"/>
      <c r="C479" s="100"/>
      <c r="D479" s="100"/>
      <c r="E479" s="100"/>
    </row>
    <row r="480" spans="2:5" x14ac:dyDescent="0.2">
      <c r="B480" s="43" t="s">
        <v>17</v>
      </c>
      <c r="C480" s="41"/>
      <c r="D480" s="41"/>
      <c r="E480" s="42"/>
    </row>
    <row r="481" spans="2:5" x14ac:dyDescent="0.2">
      <c r="B481" s="44"/>
      <c r="C481" s="101"/>
      <c r="D481" s="101"/>
      <c r="E481" s="101"/>
    </row>
    <row r="482" spans="2:5" x14ac:dyDescent="0.2">
      <c r="B482" s="43" t="s">
        <v>18</v>
      </c>
      <c r="C482" s="45"/>
      <c r="D482" s="45"/>
      <c r="E482" s="46"/>
    </row>
    <row r="483" spans="2:5" x14ac:dyDescent="0.2">
      <c r="B483" s="44"/>
      <c r="C483" s="101"/>
      <c r="D483" s="101"/>
      <c r="E483" s="101"/>
    </row>
    <row r="484" spans="2:5" x14ac:dyDescent="0.2">
      <c r="B484" s="43" t="s">
        <v>19</v>
      </c>
      <c r="C484" s="41"/>
      <c r="D484" s="41"/>
      <c r="E484" s="42"/>
    </row>
    <row r="485" spans="2:5" x14ac:dyDescent="0.2">
      <c r="B485" s="43"/>
      <c r="C485" s="100"/>
      <c r="D485" s="100"/>
      <c r="E485" s="100"/>
    </row>
    <row r="486" spans="2:5" ht="13.5" thickBot="1" x14ac:dyDescent="0.25">
      <c r="B486" s="47"/>
      <c r="C486" s="48"/>
      <c r="D486" s="48"/>
      <c r="E486" s="49"/>
    </row>
    <row r="487" spans="2:5" ht="13.5" thickBot="1" x14ac:dyDescent="0.25"/>
    <row r="488" spans="2:5" x14ac:dyDescent="0.2">
      <c r="B488" s="37" t="s">
        <v>212</v>
      </c>
      <c r="C488" s="38"/>
      <c r="D488" s="38"/>
      <c r="E488" s="39"/>
    </row>
    <row r="489" spans="2:5" x14ac:dyDescent="0.2">
      <c r="B489" s="40"/>
      <c r="C489" s="41"/>
      <c r="D489" s="41"/>
      <c r="E489" s="42"/>
    </row>
    <row r="490" spans="2:5" x14ac:dyDescent="0.2">
      <c r="B490" s="43" t="s">
        <v>15</v>
      </c>
      <c r="C490" s="41"/>
      <c r="D490" s="41"/>
      <c r="E490" s="42"/>
    </row>
    <row r="491" spans="2:5" ht="39" customHeight="1" x14ac:dyDescent="0.2">
      <c r="B491" s="43"/>
      <c r="C491" s="101" t="s">
        <v>213</v>
      </c>
      <c r="D491" s="101"/>
      <c r="E491" s="101"/>
    </row>
    <row r="492" spans="2:5" x14ac:dyDescent="0.2">
      <c r="B492" s="43" t="s">
        <v>16</v>
      </c>
      <c r="C492" s="41"/>
      <c r="D492" s="41"/>
      <c r="E492" s="42"/>
    </row>
    <row r="493" spans="2:5" x14ac:dyDescent="0.2">
      <c r="B493" s="44"/>
      <c r="C493" s="100" t="s">
        <v>191</v>
      </c>
      <c r="D493" s="100"/>
      <c r="E493" s="100"/>
    </row>
    <row r="494" spans="2:5" x14ac:dyDescent="0.2">
      <c r="B494" s="44"/>
      <c r="C494" s="100"/>
      <c r="D494" s="100"/>
      <c r="E494" s="100"/>
    </row>
    <row r="495" spans="2:5" x14ac:dyDescent="0.2">
      <c r="B495" s="43" t="s">
        <v>17</v>
      </c>
      <c r="C495" s="41"/>
      <c r="D495" s="41"/>
      <c r="E495" s="42"/>
    </row>
    <row r="496" spans="2:5" x14ac:dyDescent="0.2">
      <c r="B496" s="44"/>
      <c r="C496" s="101"/>
      <c r="D496" s="101"/>
      <c r="E496" s="101"/>
    </row>
    <row r="497" spans="2:5" x14ac:dyDescent="0.2">
      <c r="B497" s="43" t="s">
        <v>18</v>
      </c>
      <c r="C497" s="45"/>
      <c r="D497" s="45"/>
      <c r="E497" s="46"/>
    </row>
    <row r="498" spans="2:5" x14ac:dyDescent="0.2">
      <c r="B498" s="44"/>
      <c r="C498" s="101"/>
      <c r="D498" s="101"/>
      <c r="E498" s="101"/>
    </row>
    <row r="499" spans="2:5" x14ac:dyDescent="0.2">
      <c r="B499" s="43" t="s">
        <v>19</v>
      </c>
      <c r="C499" s="41"/>
      <c r="D499" s="41"/>
      <c r="E499" s="42"/>
    </row>
    <row r="500" spans="2:5" x14ac:dyDescent="0.2">
      <c r="B500" s="43"/>
      <c r="C500" s="100"/>
      <c r="D500" s="100"/>
      <c r="E500" s="100"/>
    </row>
    <row r="501" spans="2:5" ht="13.5" thickBot="1" x14ac:dyDescent="0.25">
      <c r="B501" s="47"/>
      <c r="C501" s="48"/>
      <c r="D501" s="48"/>
      <c r="E501" s="49"/>
    </row>
    <row r="502" spans="2:5" ht="13.5" thickBot="1" x14ac:dyDescent="0.25"/>
    <row r="503" spans="2:5" x14ac:dyDescent="0.2">
      <c r="B503" s="37" t="s">
        <v>214</v>
      </c>
      <c r="C503" s="38"/>
      <c r="D503" s="38"/>
      <c r="E503" s="39"/>
    </row>
    <row r="504" spans="2:5" x14ac:dyDescent="0.2">
      <c r="B504" s="40"/>
      <c r="C504" s="41"/>
      <c r="D504" s="41"/>
      <c r="E504" s="42"/>
    </row>
    <row r="505" spans="2:5" x14ac:dyDescent="0.2">
      <c r="B505" s="43" t="s">
        <v>15</v>
      </c>
      <c r="C505" s="41"/>
      <c r="D505" s="41"/>
      <c r="E505" s="42"/>
    </row>
    <row r="506" spans="2:5" ht="35.25" customHeight="1" x14ac:dyDescent="0.2">
      <c r="B506" s="43"/>
      <c r="C506" s="101" t="s">
        <v>215</v>
      </c>
      <c r="D506" s="101"/>
      <c r="E506" s="101"/>
    </row>
    <row r="507" spans="2:5" x14ac:dyDescent="0.2">
      <c r="B507" s="43" t="s">
        <v>16</v>
      </c>
      <c r="C507" s="41"/>
      <c r="D507" s="41"/>
      <c r="E507" s="42"/>
    </row>
    <row r="508" spans="2:5" x14ac:dyDescent="0.2">
      <c r="B508" s="44"/>
      <c r="C508" s="100" t="s">
        <v>191</v>
      </c>
      <c r="D508" s="100"/>
      <c r="E508" s="100"/>
    </row>
    <row r="509" spans="2:5" x14ac:dyDescent="0.2">
      <c r="B509" s="44"/>
      <c r="C509" s="100"/>
      <c r="D509" s="100"/>
      <c r="E509" s="100"/>
    </row>
    <row r="510" spans="2:5" x14ac:dyDescent="0.2">
      <c r="B510" s="43" t="s">
        <v>17</v>
      </c>
      <c r="C510" s="41"/>
      <c r="D510" s="41"/>
      <c r="E510" s="42"/>
    </row>
    <row r="511" spans="2:5" x14ac:dyDescent="0.2">
      <c r="B511" s="44"/>
      <c r="C511" s="101"/>
      <c r="D511" s="101"/>
      <c r="E511" s="101"/>
    </row>
    <row r="512" spans="2:5" x14ac:dyDescent="0.2">
      <c r="B512" s="43" t="s">
        <v>18</v>
      </c>
      <c r="C512" s="45"/>
      <c r="D512" s="45"/>
      <c r="E512" s="46"/>
    </row>
    <row r="513" spans="2:5" x14ac:dyDescent="0.2">
      <c r="B513" s="44"/>
      <c r="C513" s="101"/>
      <c r="D513" s="101"/>
      <c r="E513" s="101"/>
    </row>
    <row r="514" spans="2:5" x14ac:dyDescent="0.2">
      <c r="B514" s="43" t="s">
        <v>19</v>
      </c>
      <c r="C514" s="41"/>
      <c r="D514" s="41"/>
      <c r="E514" s="42"/>
    </row>
    <row r="515" spans="2:5" x14ac:dyDescent="0.2">
      <c r="B515" s="43"/>
      <c r="C515" s="100"/>
      <c r="D515" s="100"/>
      <c r="E515" s="100"/>
    </row>
    <row r="516" spans="2:5" ht="13.5" thickBot="1" x14ac:dyDescent="0.25">
      <c r="B516" s="47"/>
      <c r="C516" s="48"/>
      <c r="D516" s="48"/>
      <c r="E516" s="49"/>
    </row>
    <row r="517" spans="2:5" ht="13.5" thickBot="1" x14ac:dyDescent="0.25"/>
    <row r="518" spans="2:5" x14ac:dyDescent="0.2">
      <c r="B518" s="37" t="s">
        <v>216</v>
      </c>
      <c r="C518" s="38"/>
      <c r="D518" s="38"/>
      <c r="E518" s="39"/>
    </row>
    <row r="519" spans="2:5" x14ac:dyDescent="0.2">
      <c r="B519" s="40"/>
      <c r="C519" s="41"/>
      <c r="D519" s="41"/>
      <c r="E519" s="42"/>
    </row>
    <row r="520" spans="2:5" x14ac:dyDescent="0.2">
      <c r="B520" s="43" t="s">
        <v>15</v>
      </c>
      <c r="C520" s="41"/>
      <c r="D520" s="41"/>
      <c r="E520" s="42"/>
    </row>
    <row r="521" spans="2:5" ht="32.25" customHeight="1" x14ac:dyDescent="0.2">
      <c r="B521" s="43"/>
      <c r="C521" s="101" t="s">
        <v>217</v>
      </c>
      <c r="D521" s="101"/>
      <c r="E521" s="101"/>
    </row>
    <row r="522" spans="2:5" x14ac:dyDescent="0.2">
      <c r="B522" s="43" t="s">
        <v>16</v>
      </c>
      <c r="C522" s="41"/>
      <c r="D522" s="41"/>
      <c r="E522" s="42"/>
    </row>
    <row r="523" spans="2:5" x14ac:dyDescent="0.2">
      <c r="B523" s="44"/>
      <c r="C523" s="100" t="s">
        <v>191</v>
      </c>
      <c r="D523" s="100"/>
      <c r="E523" s="100"/>
    </row>
    <row r="524" spans="2:5" x14ac:dyDescent="0.2">
      <c r="B524" s="44"/>
      <c r="C524" s="100"/>
      <c r="D524" s="100"/>
      <c r="E524" s="100"/>
    </row>
    <row r="525" spans="2:5" x14ac:dyDescent="0.2">
      <c r="B525" s="43" t="s">
        <v>17</v>
      </c>
      <c r="C525" s="41"/>
      <c r="D525" s="41"/>
      <c r="E525" s="42"/>
    </row>
    <row r="526" spans="2:5" x14ac:dyDescent="0.2">
      <c r="B526" s="44"/>
      <c r="C526" s="101"/>
      <c r="D526" s="101"/>
      <c r="E526" s="101"/>
    </row>
    <row r="527" spans="2:5" x14ac:dyDescent="0.2">
      <c r="B527" s="43" t="s">
        <v>18</v>
      </c>
      <c r="C527" s="45"/>
      <c r="D527" s="45"/>
      <c r="E527" s="46"/>
    </row>
    <row r="528" spans="2:5" x14ac:dyDescent="0.2">
      <c r="B528" s="44"/>
      <c r="C528" s="101"/>
      <c r="D528" s="101"/>
      <c r="E528" s="101"/>
    </row>
    <row r="529" spans="2:5" x14ac:dyDescent="0.2">
      <c r="B529" s="43" t="s">
        <v>19</v>
      </c>
      <c r="C529" s="41"/>
      <c r="D529" s="41"/>
      <c r="E529" s="42"/>
    </row>
    <row r="530" spans="2:5" x14ac:dyDescent="0.2">
      <c r="B530" s="43"/>
      <c r="C530" s="100"/>
      <c r="D530" s="100"/>
      <c r="E530" s="100"/>
    </row>
    <row r="531" spans="2:5" ht="13.5" thickBot="1" x14ac:dyDescent="0.25">
      <c r="B531" s="47"/>
      <c r="C531" s="48"/>
      <c r="D531" s="48"/>
      <c r="E531" s="49"/>
    </row>
    <row r="532" spans="2:5" ht="13.5" thickBot="1" x14ac:dyDescent="0.25"/>
    <row r="533" spans="2:5" x14ac:dyDescent="0.2">
      <c r="B533" s="37" t="s">
        <v>218</v>
      </c>
      <c r="C533" s="38"/>
      <c r="D533" s="38"/>
      <c r="E533" s="39"/>
    </row>
    <row r="534" spans="2:5" x14ac:dyDescent="0.2">
      <c r="B534" s="40"/>
      <c r="C534" s="41"/>
      <c r="D534" s="41"/>
      <c r="E534" s="42"/>
    </row>
    <row r="535" spans="2:5" x14ac:dyDescent="0.2">
      <c r="B535" s="43" t="s">
        <v>15</v>
      </c>
      <c r="C535" s="41"/>
      <c r="D535" s="41"/>
      <c r="E535" s="42"/>
    </row>
    <row r="536" spans="2:5" ht="31.5" customHeight="1" x14ac:dyDescent="0.2">
      <c r="B536" s="43"/>
      <c r="C536" s="101" t="s">
        <v>219</v>
      </c>
      <c r="D536" s="101"/>
      <c r="E536" s="101"/>
    </row>
    <row r="537" spans="2:5" x14ac:dyDescent="0.2">
      <c r="B537" s="43" t="s">
        <v>16</v>
      </c>
      <c r="C537" s="41"/>
      <c r="D537" s="41"/>
      <c r="E537" s="42"/>
    </row>
    <row r="538" spans="2:5" x14ac:dyDescent="0.2">
      <c r="B538" s="44"/>
      <c r="C538" s="100" t="s">
        <v>191</v>
      </c>
      <c r="D538" s="100"/>
      <c r="E538" s="100"/>
    </row>
    <row r="539" spans="2:5" x14ac:dyDescent="0.2">
      <c r="B539" s="44"/>
      <c r="C539" s="100"/>
      <c r="D539" s="100"/>
      <c r="E539" s="100"/>
    </row>
    <row r="540" spans="2:5" x14ac:dyDescent="0.2">
      <c r="B540" s="43" t="s">
        <v>17</v>
      </c>
      <c r="C540" s="41"/>
      <c r="D540" s="41"/>
      <c r="E540" s="42"/>
    </row>
    <row r="541" spans="2:5" x14ac:dyDescent="0.2">
      <c r="B541" s="44"/>
      <c r="C541" s="101"/>
      <c r="D541" s="101"/>
      <c r="E541" s="101"/>
    </row>
    <row r="542" spans="2:5" x14ac:dyDescent="0.2">
      <c r="B542" s="43" t="s">
        <v>18</v>
      </c>
      <c r="C542" s="45"/>
      <c r="D542" s="45"/>
      <c r="E542" s="46"/>
    </row>
    <row r="543" spans="2:5" x14ac:dyDescent="0.2">
      <c r="B543" s="44"/>
      <c r="C543" s="101"/>
      <c r="D543" s="101"/>
      <c r="E543" s="101"/>
    </row>
    <row r="544" spans="2:5" x14ac:dyDescent="0.2">
      <c r="B544" s="43" t="s">
        <v>19</v>
      </c>
      <c r="C544" s="41"/>
      <c r="D544" s="41"/>
      <c r="E544" s="42"/>
    </row>
    <row r="545" spans="2:5" x14ac:dyDescent="0.2">
      <c r="B545" s="43"/>
      <c r="C545" s="100"/>
      <c r="D545" s="100"/>
      <c r="E545" s="100"/>
    </row>
    <row r="546" spans="2:5" ht="13.5" thickBot="1" x14ac:dyDescent="0.25">
      <c r="B546" s="47"/>
      <c r="C546" s="48"/>
      <c r="D546" s="48"/>
      <c r="E546" s="49"/>
    </row>
    <row r="547" spans="2:5" ht="13.5" thickBot="1" x14ac:dyDescent="0.25"/>
    <row r="548" spans="2:5" x14ac:dyDescent="0.2">
      <c r="B548" s="37" t="s">
        <v>220</v>
      </c>
      <c r="C548" s="38"/>
      <c r="D548" s="38"/>
      <c r="E548" s="39"/>
    </row>
    <row r="549" spans="2:5" x14ac:dyDescent="0.2">
      <c r="B549" s="40"/>
      <c r="C549" s="41"/>
      <c r="D549" s="41"/>
      <c r="E549" s="42"/>
    </row>
    <row r="550" spans="2:5" x14ac:dyDescent="0.2">
      <c r="B550" s="43" t="s">
        <v>15</v>
      </c>
      <c r="C550" s="41"/>
      <c r="D550" s="41"/>
      <c r="E550" s="42"/>
    </row>
    <row r="551" spans="2:5" ht="33" customHeight="1" x14ac:dyDescent="0.2">
      <c r="B551" s="43"/>
      <c r="C551" s="101" t="s">
        <v>221</v>
      </c>
      <c r="D551" s="101"/>
      <c r="E551" s="101"/>
    </row>
    <row r="552" spans="2:5" x14ac:dyDescent="0.2">
      <c r="B552" s="43" t="s">
        <v>16</v>
      </c>
      <c r="C552" s="41"/>
      <c r="D552" s="41"/>
      <c r="E552" s="42"/>
    </row>
    <row r="553" spans="2:5" x14ac:dyDescent="0.2">
      <c r="B553" s="44"/>
      <c r="C553" s="100" t="s">
        <v>191</v>
      </c>
      <c r="D553" s="100"/>
      <c r="E553" s="100"/>
    </row>
    <row r="554" spans="2:5" x14ac:dyDescent="0.2">
      <c r="B554" s="44"/>
      <c r="C554" s="100"/>
      <c r="D554" s="100"/>
      <c r="E554" s="100"/>
    </row>
    <row r="555" spans="2:5" x14ac:dyDescent="0.2">
      <c r="B555" s="43" t="s">
        <v>17</v>
      </c>
      <c r="C555" s="41"/>
      <c r="D555" s="41"/>
      <c r="E555" s="42"/>
    </row>
    <row r="556" spans="2:5" x14ac:dyDescent="0.2">
      <c r="B556" s="44"/>
      <c r="C556" s="101"/>
      <c r="D556" s="101"/>
      <c r="E556" s="101"/>
    </row>
    <row r="557" spans="2:5" x14ac:dyDescent="0.2">
      <c r="B557" s="43" t="s">
        <v>18</v>
      </c>
      <c r="C557" s="45"/>
      <c r="D557" s="45"/>
      <c r="E557" s="46"/>
    </row>
    <row r="558" spans="2:5" x14ac:dyDescent="0.2">
      <c r="B558" s="44"/>
      <c r="C558" s="101"/>
      <c r="D558" s="101"/>
      <c r="E558" s="101"/>
    </row>
    <row r="559" spans="2:5" x14ac:dyDescent="0.2">
      <c r="B559" s="43" t="s">
        <v>19</v>
      </c>
      <c r="C559" s="41"/>
      <c r="D559" s="41"/>
      <c r="E559" s="42"/>
    </row>
    <row r="560" spans="2:5" x14ac:dyDescent="0.2">
      <c r="B560" s="43"/>
      <c r="C560" s="100"/>
      <c r="D560" s="100"/>
      <c r="E560" s="100"/>
    </row>
    <row r="561" spans="2:5" ht="13.5" thickBot="1" x14ac:dyDescent="0.25">
      <c r="B561" s="47"/>
      <c r="C561" s="48"/>
      <c r="D561" s="48"/>
      <c r="E561" s="49"/>
    </row>
    <row r="562" spans="2:5" ht="13.5" thickBot="1" x14ac:dyDescent="0.25"/>
    <row r="563" spans="2:5" x14ac:dyDescent="0.2">
      <c r="B563" s="37" t="s">
        <v>222</v>
      </c>
      <c r="C563" s="38"/>
      <c r="D563" s="38"/>
      <c r="E563" s="39"/>
    </row>
    <row r="564" spans="2:5" x14ac:dyDescent="0.2">
      <c r="B564" s="40"/>
      <c r="C564" s="41"/>
      <c r="D564" s="41"/>
      <c r="E564" s="42"/>
    </row>
    <row r="565" spans="2:5" x14ac:dyDescent="0.2">
      <c r="B565" s="43" t="s">
        <v>15</v>
      </c>
      <c r="C565" s="41"/>
      <c r="D565" s="41"/>
      <c r="E565" s="42"/>
    </row>
    <row r="566" spans="2:5" ht="36" customHeight="1" x14ac:dyDescent="0.2">
      <c r="B566" s="43"/>
      <c r="C566" s="101" t="s">
        <v>223</v>
      </c>
      <c r="D566" s="101"/>
      <c r="E566" s="101"/>
    </row>
    <row r="567" spans="2:5" x14ac:dyDescent="0.2">
      <c r="B567" s="43" t="s">
        <v>16</v>
      </c>
      <c r="C567" s="41"/>
      <c r="D567" s="41"/>
      <c r="E567" s="42"/>
    </row>
    <row r="568" spans="2:5" x14ac:dyDescent="0.2">
      <c r="B568" s="44"/>
      <c r="C568" s="100" t="s">
        <v>191</v>
      </c>
      <c r="D568" s="100"/>
      <c r="E568" s="100"/>
    </row>
    <row r="569" spans="2:5" x14ac:dyDescent="0.2">
      <c r="B569" s="44"/>
      <c r="C569" s="100"/>
      <c r="D569" s="100"/>
      <c r="E569" s="100"/>
    </row>
    <row r="570" spans="2:5" x14ac:dyDescent="0.2">
      <c r="B570" s="43" t="s">
        <v>17</v>
      </c>
      <c r="C570" s="41"/>
      <c r="D570" s="41"/>
      <c r="E570" s="42"/>
    </row>
    <row r="571" spans="2:5" x14ac:dyDescent="0.2">
      <c r="B571" s="44"/>
      <c r="C571" s="101"/>
      <c r="D571" s="101"/>
      <c r="E571" s="101"/>
    </row>
    <row r="572" spans="2:5" x14ac:dyDescent="0.2">
      <c r="B572" s="43" t="s">
        <v>18</v>
      </c>
      <c r="C572" s="45"/>
      <c r="D572" s="45"/>
      <c r="E572" s="46"/>
    </row>
    <row r="573" spans="2:5" x14ac:dyDescent="0.2">
      <c r="B573" s="44"/>
      <c r="C573" s="101"/>
      <c r="D573" s="101"/>
      <c r="E573" s="101"/>
    </row>
    <row r="574" spans="2:5" x14ac:dyDescent="0.2">
      <c r="B574" s="43" t="s">
        <v>19</v>
      </c>
      <c r="C574" s="41"/>
      <c r="D574" s="41"/>
      <c r="E574" s="42"/>
    </row>
    <row r="575" spans="2:5" x14ac:dyDescent="0.2">
      <c r="B575" s="43"/>
      <c r="C575" s="100"/>
      <c r="D575" s="100"/>
      <c r="E575" s="100"/>
    </row>
    <row r="576" spans="2:5" ht="13.5" thickBot="1" x14ac:dyDescent="0.25">
      <c r="B576" s="47"/>
      <c r="C576" s="48"/>
      <c r="D576" s="48"/>
      <c r="E576" s="49"/>
    </row>
    <row r="577" spans="2:5" ht="13.5" thickBot="1" x14ac:dyDescent="0.25"/>
    <row r="578" spans="2:5" x14ac:dyDescent="0.2">
      <c r="B578" s="37" t="s">
        <v>224</v>
      </c>
      <c r="C578" s="38"/>
      <c r="D578" s="38"/>
      <c r="E578" s="39"/>
    </row>
    <row r="579" spans="2:5" x14ac:dyDescent="0.2">
      <c r="B579" s="40"/>
      <c r="C579" s="41"/>
      <c r="D579" s="41"/>
      <c r="E579" s="42"/>
    </row>
    <row r="580" spans="2:5" x14ac:dyDescent="0.2">
      <c r="B580" s="43" t="s">
        <v>15</v>
      </c>
      <c r="C580" s="41"/>
      <c r="D580" s="41"/>
      <c r="E580" s="42"/>
    </row>
    <row r="581" spans="2:5" ht="34.5" customHeight="1" x14ac:dyDescent="0.2">
      <c r="B581" s="43"/>
      <c r="C581" s="101" t="s">
        <v>203</v>
      </c>
      <c r="D581" s="101"/>
      <c r="E581" s="101"/>
    </row>
    <row r="582" spans="2:5" x14ac:dyDescent="0.2">
      <c r="B582" s="43" t="s">
        <v>16</v>
      </c>
      <c r="C582" s="41"/>
      <c r="D582" s="41"/>
      <c r="E582" s="42"/>
    </row>
    <row r="583" spans="2:5" x14ac:dyDescent="0.2">
      <c r="B583" s="44"/>
      <c r="C583" s="100" t="s">
        <v>191</v>
      </c>
      <c r="D583" s="100"/>
      <c r="E583" s="100"/>
    </row>
    <row r="584" spans="2:5" x14ac:dyDescent="0.2">
      <c r="B584" s="44"/>
      <c r="C584" s="100"/>
      <c r="D584" s="100"/>
      <c r="E584" s="100"/>
    </row>
    <row r="585" spans="2:5" x14ac:dyDescent="0.2">
      <c r="B585" s="43" t="s">
        <v>17</v>
      </c>
      <c r="C585" s="41"/>
      <c r="D585" s="41"/>
      <c r="E585" s="42"/>
    </row>
    <row r="586" spans="2:5" x14ac:dyDescent="0.2">
      <c r="B586" s="44"/>
      <c r="C586" s="101"/>
      <c r="D586" s="101"/>
      <c r="E586" s="101"/>
    </row>
    <row r="587" spans="2:5" x14ac:dyDescent="0.2">
      <c r="B587" s="43" t="s">
        <v>18</v>
      </c>
      <c r="C587" s="45"/>
      <c r="D587" s="45"/>
      <c r="E587" s="46"/>
    </row>
    <row r="588" spans="2:5" x14ac:dyDescent="0.2">
      <c r="B588" s="44"/>
      <c r="C588" s="101"/>
      <c r="D588" s="101"/>
      <c r="E588" s="101"/>
    </row>
    <row r="589" spans="2:5" x14ac:dyDescent="0.2">
      <c r="B589" s="43" t="s">
        <v>19</v>
      </c>
      <c r="C589" s="41"/>
      <c r="D589" s="41"/>
      <c r="E589" s="42"/>
    </row>
    <row r="590" spans="2:5" x14ac:dyDescent="0.2">
      <c r="B590" s="43"/>
      <c r="C590" s="100"/>
      <c r="D590" s="100"/>
      <c r="E590" s="100"/>
    </row>
    <row r="591" spans="2:5" ht="13.5" thickBot="1" x14ac:dyDescent="0.25">
      <c r="B591" s="47"/>
      <c r="C591" s="48"/>
      <c r="D591" s="48"/>
      <c r="E591" s="49"/>
    </row>
    <row r="592" spans="2:5" ht="13.5" thickBot="1" x14ac:dyDescent="0.25"/>
    <row r="593" spans="2:5" x14ac:dyDescent="0.2">
      <c r="B593" s="37" t="s">
        <v>225</v>
      </c>
      <c r="C593" s="38"/>
      <c r="D593" s="38"/>
      <c r="E593" s="39"/>
    </row>
    <row r="594" spans="2:5" x14ac:dyDescent="0.2">
      <c r="B594" s="40"/>
      <c r="C594" s="41"/>
      <c r="D594" s="41"/>
      <c r="E594" s="42"/>
    </row>
    <row r="595" spans="2:5" x14ac:dyDescent="0.2">
      <c r="B595" s="43" t="s">
        <v>15</v>
      </c>
      <c r="C595" s="41"/>
      <c r="D595" s="41"/>
      <c r="E595" s="42"/>
    </row>
    <row r="596" spans="2:5" ht="33.75" customHeight="1" x14ac:dyDescent="0.2">
      <c r="B596" s="43"/>
      <c r="C596" s="101" t="s">
        <v>226</v>
      </c>
      <c r="D596" s="101"/>
      <c r="E596" s="101"/>
    </row>
    <row r="597" spans="2:5" x14ac:dyDescent="0.2">
      <c r="B597" s="43" t="s">
        <v>16</v>
      </c>
      <c r="C597" s="41"/>
      <c r="D597" s="41"/>
      <c r="E597" s="42"/>
    </row>
    <row r="598" spans="2:5" x14ac:dyDescent="0.2">
      <c r="B598" s="44"/>
      <c r="C598" s="100" t="s">
        <v>191</v>
      </c>
      <c r="D598" s="100"/>
      <c r="E598" s="100"/>
    </row>
    <row r="599" spans="2:5" x14ac:dyDescent="0.2">
      <c r="B599" s="44"/>
      <c r="C599" s="100"/>
      <c r="D599" s="100"/>
      <c r="E599" s="100"/>
    </row>
    <row r="600" spans="2:5" x14ac:dyDescent="0.2">
      <c r="B600" s="43" t="s">
        <v>17</v>
      </c>
      <c r="C600" s="41"/>
      <c r="D600" s="41"/>
      <c r="E600" s="42"/>
    </row>
    <row r="601" spans="2:5" x14ac:dyDescent="0.2">
      <c r="B601" s="44"/>
      <c r="C601" s="101"/>
      <c r="D601" s="101"/>
      <c r="E601" s="101"/>
    </row>
    <row r="602" spans="2:5" x14ac:dyDescent="0.2">
      <c r="B602" s="43" t="s">
        <v>18</v>
      </c>
      <c r="C602" s="45"/>
      <c r="D602" s="45"/>
      <c r="E602" s="46"/>
    </row>
    <row r="603" spans="2:5" x14ac:dyDescent="0.2">
      <c r="B603" s="44"/>
      <c r="C603" s="101"/>
      <c r="D603" s="101"/>
      <c r="E603" s="101"/>
    </row>
    <row r="604" spans="2:5" x14ac:dyDescent="0.2">
      <c r="B604" s="43" t="s">
        <v>19</v>
      </c>
      <c r="C604" s="41"/>
      <c r="D604" s="41"/>
      <c r="E604" s="42"/>
    </row>
    <row r="605" spans="2:5" x14ac:dyDescent="0.2">
      <c r="B605" s="43"/>
      <c r="C605" s="100"/>
      <c r="D605" s="100"/>
      <c r="E605" s="100"/>
    </row>
    <row r="606" spans="2:5" ht="13.5" thickBot="1" x14ac:dyDescent="0.25">
      <c r="B606" s="47"/>
      <c r="C606" s="48"/>
      <c r="D606" s="48"/>
      <c r="E606" s="49"/>
    </row>
    <row r="607" spans="2:5" ht="13.5" thickBot="1" x14ac:dyDescent="0.25"/>
    <row r="608" spans="2:5" x14ac:dyDescent="0.2">
      <c r="B608" s="37" t="s">
        <v>227</v>
      </c>
      <c r="C608" s="38"/>
      <c r="D608" s="38"/>
      <c r="E608" s="39"/>
    </row>
    <row r="609" spans="2:5" x14ac:dyDescent="0.2">
      <c r="B609" s="40"/>
      <c r="C609" s="41"/>
      <c r="D609" s="41"/>
      <c r="E609" s="42"/>
    </row>
    <row r="610" spans="2:5" x14ac:dyDescent="0.2">
      <c r="B610" s="43" t="s">
        <v>15</v>
      </c>
      <c r="C610" s="41"/>
      <c r="D610" s="41"/>
      <c r="E610" s="42"/>
    </row>
    <row r="611" spans="2:5" ht="30" customHeight="1" x14ac:dyDescent="0.2">
      <c r="B611" s="43"/>
      <c r="C611" s="101" t="s">
        <v>228</v>
      </c>
      <c r="D611" s="101"/>
      <c r="E611" s="101"/>
    </row>
    <row r="612" spans="2:5" x14ac:dyDescent="0.2">
      <c r="B612" s="43" t="s">
        <v>16</v>
      </c>
      <c r="C612" s="41"/>
      <c r="D612" s="41"/>
      <c r="E612" s="42"/>
    </row>
    <row r="613" spans="2:5" x14ac:dyDescent="0.2">
      <c r="B613" s="44"/>
      <c r="C613" s="100" t="s">
        <v>191</v>
      </c>
      <c r="D613" s="100"/>
      <c r="E613" s="100"/>
    </row>
    <row r="614" spans="2:5" x14ac:dyDescent="0.2">
      <c r="B614" s="44"/>
      <c r="C614" s="100"/>
      <c r="D614" s="100"/>
      <c r="E614" s="100"/>
    </row>
    <row r="615" spans="2:5" x14ac:dyDescent="0.2">
      <c r="B615" s="43" t="s">
        <v>17</v>
      </c>
      <c r="C615" s="41"/>
      <c r="D615" s="41"/>
      <c r="E615" s="42"/>
    </row>
    <row r="616" spans="2:5" x14ac:dyDescent="0.2">
      <c r="B616" s="44"/>
      <c r="C616" s="101"/>
      <c r="D616" s="101"/>
      <c r="E616" s="101"/>
    </row>
    <row r="617" spans="2:5" x14ac:dyDescent="0.2">
      <c r="B617" s="43" t="s">
        <v>18</v>
      </c>
      <c r="C617" s="45"/>
      <c r="D617" s="45"/>
      <c r="E617" s="46"/>
    </row>
    <row r="618" spans="2:5" x14ac:dyDescent="0.2">
      <c r="B618" s="44"/>
      <c r="C618" s="101"/>
      <c r="D618" s="101"/>
      <c r="E618" s="101"/>
    </row>
    <row r="619" spans="2:5" x14ac:dyDescent="0.2">
      <c r="B619" s="43" t="s">
        <v>19</v>
      </c>
      <c r="C619" s="41"/>
      <c r="D619" s="41"/>
      <c r="E619" s="42"/>
    </row>
    <row r="620" spans="2:5" x14ac:dyDescent="0.2">
      <c r="B620" s="43"/>
      <c r="C620" s="100"/>
      <c r="D620" s="100"/>
      <c r="E620" s="100"/>
    </row>
    <row r="621" spans="2:5" ht="13.5" thickBot="1" x14ac:dyDescent="0.25">
      <c r="B621" s="47"/>
      <c r="C621" s="48"/>
      <c r="D621" s="48"/>
      <c r="E621" s="49"/>
    </row>
    <row r="622" spans="2:5" ht="13.5" thickBot="1" x14ac:dyDescent="0.25"/>
    <row r="623" spans="2:5" x14ac:dyDescent="0.2">
      <c r="B623" s="37" t="s">
        <v>229</v>
      </c>
      <c r="C623" s="38"/>
      <c r="D623" s="38"/>
      <c r="E623" s="39"/>
    </row>
    <row r="624" spans="2:5" x14ac:dyDescent="0.2">
      <c r="B624" s="40"/>
      <c r="C624" s="41"/>
      <c r="D624" s="41"/>
      <c r="E624" s="42"/>
    </row>
    <row r="625" spans="2:5" x14ac:dyDescent="0.2">
      <c r="B625" s="43" t="s">
        <v>15</v>
      </c>
      <c r="C625" s="41"/>
      <c r="D625" s="41"/>
      <c r="E625" s="42"/>
    </row>
    <row r="626" spans="2:5" ht="32.25" customHeight="1" x14ac:dyDescent="0.2">
      <c r="B626" s="43"/>
      <c r="C626" s="101" t="s">
        <v>230</v>
      </c>
      <c r="D626" s="101"/>
      <c r="E626" s="101"/>
    </row>
    <row r="627" spans="2:5" x14ac:dyDescent="0.2">
      <c r="B627" s="43" t="s">
        <v>16</v>
      </c>
      <c r="C627" s="41"/>
      <c r="D627" s="41"/>
      <c r="E627" s="42"/>
    </row>
    <row r="628" spans="2:5" x14ac:dyDescent="0.2">
      <c r="B628" s="44"/>
      <c r="C628" s="100" t="s">
        <v>191</v>
      </c>
      <c r="D628" s="100"/>
      <c r="E628" s="100"/>
    </row>
    <row r="629" spans="2:5" x14ac:dyDescent="0.2">
      <c r="B629" s="44"/>
      <c r="C629" s="100"/>
      <c r="D629" s="100"/>
      <c r="E629" s="100"/>
    </row>
    <row r="630" spans="2:5" x14ac:dyDescent="0.2">
      <c r="B630" s="43" t="s">
        <v>17</v>
      </c>
      <c r="C630" s="41"/>
      <c r="D630" s="41"/>
      <c r="E630" s="42"/>
    </row>
    <row r="631" spans="2:5" x14ac:dyDescent="0.2">
      <c r="B631" s="44"/>
      <c r="C631" s="101"/>
      <c r="D631" s="101"/>
      <c r="E631" s="101"/>
    </row>
    <row r="632" spans="2:5" x14ac:dyDescent="0.2">
      <c r="B632" s="43" t="s">
        <v>18</v>
      </c>
      <c r="C632" s="45"/>
      <c r="D632" s="45"/>
      <c r="E632" s="46"/>
    </row>
    <row r="633" spans="2:5" x14ac:dyDescent="0.2">
      <c r="B633" s="44"/>
      <c r="C633" s="101"/>
      <c r="D633" s="101"/>
      <c r="E633" s="101"/>
    </row>
    <row r="634" spans="2:5" x14ac:dyDescent="0.2">
      <c r="B634" s="43" t="s">
        <v>19</v>
      </c>
      <c r="C634" s="41"/>
      <c r="D634" s="41"/>
      <c r="E634" s="42"/>
    </row>
    <row r="635" spans="2:5" x14ac:dyDescent="0.2">
      <c r="B635" s="43"/>
      <c r="C635" s="100"/>
      <c r="D635" s="100"/>
      <c r="E635" s="100"/>
    </row>
    <row r="636" spans="2:5" ht="13.5" thickBot="1" x14ac:dyDescent="0.25">
      <c r="B636" s="47"/>
      <c r="C636" s="48"/>
      <c r="D636" s="48"/>
      <c r="E636" s="49"/>
    </row>
    <row r="637" spans="2:5" ht="13.5" thickBot="1" x14ac:dyDescent="0.25"/>
    <row r="638" spans="2:5" x14ac:dyDescent="0.2">
      <c r="B638" s="37" t="s">
        <v>231</v>
      </c>
      <c r="C638" s="38"/>
      <c r="D638" s="38"/>
      <c r="E638" s="39"/>
    </row>
    <row r="639" spans="2:5" x14ac:dyDescent="0.2">
      <c r="B639" s="40"/>
      <c r="C639" s="41"/>
      <c r="D639" s="41"/>
      <c r="E639" s="42"/>
    </row>
    <row r="640" spans="2:5" x14ac:dyDescent="0.2">
      <c r="B640" s="43" t="s">
        <v>15</v>
      </c>
      <c r="C640" s="41"/>
      <c r="D640" s="41"/>
      <c r="E640" s="42"/>
    </row>
    <row r="641" spans="2:5" ht="33.75" customHeight="1" x14ac:dyDescent="0.2">
      <c r="B641" s="43"/>
      <c r="C641" s="101" t="s">
        <v>233</v>
      </c>
      <c r="D641" s="101"/>
      <c r="E641" s="101"/>
    </row>
    <row r="642" spans="2:5" x14ac:dyDescent="0.2">
      <c r="B642" s="43" t="s">
        <v>16</v>
      </c>
      <c r="C642" s="41"/>
      <c r="D642" s="41"/>
      <c r="E642" s="42"/>
    </row>
    <row r="643" spans="2:5" x14ac:dyDescent="0.2">
      <c r="B643" s="44"/>
      <c r="C643" s="100" t="s">
        <v>191</v>
      </c>
      <c r="D643" s="100"/>
      <c r="E643" s="100"/>
    </row>
    <row r="644" spans="2:5" x14ac:dyDescent="0.2">
      <c r="B644" s="44"/>
      <c r="C644" s="100"/>
      <c r="D644" s="100"/>
      <c r="E644" s="100"/>
    </row>
    <row r="645" spans="2:5" x14ac:dyDescent="0.2">
      <c r="B645" s="43" t="s">
        <v>17</v>
      </c>
      <c r="C645" s="41"/>
      <c r="D645" s="41"/>
      <c r="E645" s="42"/>
    </row>
    <row r="646" spans="2:5" x14ac:dyDescent="0.2">
      <c r="B646" s="44"/>
      <c r="C646" s="101"/>
      <c r="D646" s="101"/>
      <c r="E646" s="101"/>
    </row>
    <row r="647" spans="2:5" x14ac:dyDescent="0.2">
      <c r="B647" s="43" t="s">
        <v>18</v>
      </c>
      <c r="C647" s="45"/>
      <c r="D647" s="45"/>
      <c r="E647" s="46"/>
    </row>
    <row r="648" spans="2:5" x14ac:dyDescent="0.2">
      <c r="B648" s="44"/>
      <c r="C648" s="101"/>
      <c r="D648" s="101"/>
      <c r="E648" s="101"/>
    </row>
    <row r="649" spans="2:5" x14ac:dyDescent="0.2">
      <c r="B649" s="43" t="s">
        <v>19</v>
      </c>
      <c r="C649" s="41"/>
      <c r="D649" s="41"/>
      <c r="E649" s="42"/>
    </row>
    <row r="650" spans="2:5" x14ac:dyDescent="0.2">
      <c r="B650" s="43"/>
      <c r="C650" s="100"/>
      <c r="D650" s="100"/>
      <c r="E650" s="100"/>
    </row>
    <row r="651" spans="2:5" ht="13.5" thickBot="1" x14ac:dyDescent="0.25">
      <c r="B651" s="47"/>
      <c r="C651" s="48"/>
      <c r="D651" s="48"/>
      <c r="E651" s="49"/>
    </row>
    <row r="652" spans="2:5" ht="13.5" thickBot="1" x14ac:dyDescent="0.25"/>
    <row r="653" spans="2:5" x14ac:dyDescent="0.2">
      <c r="B653" s="37" t="s">
        <v>232</v>
      </c>
      <c r="C653" s="38"/>
      <c r="D653" s="38"/>
      <c r="E653" s="39"/>
    </row>
    <row r="654" spans="2:5" x14ac:dyDescent="0.2">
      <c r="B654" s="40"/>
      <c r="C654" s="41"/>
      <c r="D654" s="41"/>
      <c r="E654" s="42"/>
    </row>
    <row r="655" spans="2:5" x14ac:dyDescent="0.2">
      <c r="B655" s="43" t="s">
        <v>15</v>
      </c>
      <c r="C655" s="41"/>
      <c r="D655" s="41"/>
      <c r="E655" s="42"/>
    </row>
    <row r="656" spans="2:5" ht="37.5" customHeight="1" x14ac:dyDescent="0.2">
      <c r="B656" s="43"/>
      <c r="C656" s="101" t="s">
        <v>234</v>
      </c>
      <c r="D656" s="101"/>
      <c r="E656" s="101"/>
    </row>
    <row r="657" spans="2:5" x14ac:dyDescent="0.2">
      <c r="B657" s="43" t="s">
        <v>16</v>
      </c>
      <c r="C657" s="41"/>
      <c r="D657" s="41"/>
      <c r="E657" s="42"/>
    </row>
    <row r="658" spans="2:5" x14ac:dyDescent="0.2">
      <c r="B658" s="44"/>
      <c r="C658" s="100" t="s">
        <v>191</v>
      </c>
      <c r="D658" s="100"/>
      <c r="E658" s="100"/>
    </row>
    <row r="659" spans="2:5" x14ac:dyDescent="0.2">
      <c r="B659" s="44"/>
      <c r="C659" s="100"/>
      <c r="D659" s="100"/>
      <c r="E659" s="100"/>
    </row>
    <row r="660" spans="2:5" x14ac:dyDescent="0.2">
      <c r="B660" s="43" t="s">
        <v>17</v>
      </c>
      <c r="C660" s="41"/>
      <c r="D660" s="41"/>
      <c r="E660" s="42"/>
    </row>
    <row r="661" spans="2:5" x14ac:dyDescent="0.2">
      <c r="B661" s="44"/>
      <c r="C661" s="101"/>
      <c r="D661" s="101"/>
      <c r="E661" s="101"/>
    </row>
    <row r="662" spans="2:5" x14ac:dyDescent="0.2">
      <c r="B662" s="43" t="s">
        <v>18</v>
      </c>
      <c r="C662" s="45"/>
      <c r="D662" s="45"/>
      <c r="E662" s="46"/>
    </row>
    <row r="663" spans="2:5" x14ac:dyDescent="0.2">
      <c r="B663" s="44"/>
      <c r="C663" s="101"/>
      <c r="D663" s="101"/>
      <c r="E663" s="101"/>
    </row>
    <row r="664" spans="2:5" x14ac:dyDescent="0.2">
      <c r="B664" s="43" t="s">
        <v>19</v>
      </c>
      <c r="C664" s="41"/>
      <c r="D664" s="41"/>
      <c r="E664" s="42"/>
    </row>
    <row r="665" spans="2:5" x14ac:dyDescent="0.2">
      <c r="B665" s="43"/>
      <c r="C665" s="100"/>
      <c r="D665" s="100"/>
      <c r="E665" s="100"/>
    </row>
    <row r="666" spans="2:5" ht="13.5" thickBot="1" x14ac:dyDescent="0.25">
      <c r="B666" s="47"/>
      <c r="C666" s="48"/>
      <c r="D666" s="48"/>
      <c r="E666" s="49"/>
    </row>
    <row r="667" spans="2:5" ht="13.5" thickBot="1" x14ac:dyDescent="0.25"/>
    <row r="668" spans="2:5" x14ac:dyDescent="0.2">
      <c r="B668" s="37"/>
      <c r="C668" s="38"/>
      <c r="D668" s="38"/>
      <c r="E668" s="39"/>
    </row>
    <row r="669" spans="2:5" x14ac:dyDescent="0.2">
      <c r="B669" s="40"/>
      <c r="C669" s="41"/>
      <c r="D669" s="41"/>
      <c r="E669" s="42"/>
    </row>
    <row r="670" spans="2:5" x14ac:dyDescent="0.2">
      <c r="B670" s="43"/>
      <c r="C670" s="41"/>
      <c r="D670" s="41"/>
      <c r="E670" s="42"/>
    </row>
    <row r="671" spans="2:5" ht="33" customHeight="1" x14ac:dyDescent="0.2">
      <c r="B671" s="43"/>
      <c r="C671" s="101"/>
      <c r="D671" s="101"/>
      <c r="E671" s="101"/>
    </row>
    <row r="672" spans="2:5" x14ac:dyDescent="0.2">
      <c r="B672" s="43"/>
      <c r="C672" s="41"/>
      <c r="D672" s="41"/>
      <c r="E672" s="42"/>
    </row>
    <row r="673" spans="2:5" x14ac:dyDescent="0.2">
      <c r="B673" s="44"/>
      <c r="C673" s="100"/>
      <c r="D673" s="100"/>
      <c r="E673" s="100"/>
    </row>
    <row r="674" spans="2:5" x14ac:dyDescent="0.2">
      <c r="B674" s="44"/>
      <c r="C674" s="100"/>
      <c r="D674" s="100"/>
      <c r="E674" s="100"/>
    </row>
    <row r="675" spans="2:5" x14ac:dyDescent="0.2">
      <c r="B675" s="43"/>
      <c r="C675" s="41"/>
      <c r="D675" s="41"/>
      <c r="E675" s="42"/>
    </row>
    <row r="676" spans="2:5" x14ac:dyDescent="0.2">
      <c r="B676" s="44"/>
      <c r="C676" s="101"/>
      <c r="D676" s="101"/>
      <c r="E676" s="101"/>
    </row>
    <row r="677" spans="2:5" x14ac:dyDescent="0.2">
      <c r="B677" s="43"/>
      <c r="C677" s="45"/>
      <c r="D677" s="45"/>
      <c r="E677" s="46"/>
    </row>
    <row r="678" spans="2:5" x14ac:dyDescent="0.2">
      <c r="B678" s="44"/>
      <c r="C678" s="101"/>
      <c r="D678" s="101"/>
      <c r="E678" s="101"/>
    </row>
    <row r="679" spans="2:5" x14ac:dyDescent="0.2">
      <c r="B679" s="43"/>
      <c r="C679" s="41"/>
      <c r="D679" s="41"/>
      <c r="E679" s="42"/>
    </row>
    <row r="680" spans="2:5" x14ac:dyDescent="0.2">
      <c r="B680" s="43"/>
      <c r="C680" s="100"/>
      <c r="D680" s="100"/>
      <c r="E680" s="100"/>
    </row>
    <row r="681" spans="2:5" ht="13.5" thickBot="1" x14ac:dyDescent="0.25">
      <c r="B681" s="47"/>
      <c r="C681" s="48"/>
      <c r="D681" s="48"/>
      <c r="E681" s="49"/>
    </row>
    <row r="682" spans="2:5" ht="13.5" thickBot="1" x14ac:dyDescent="0.25"/>
    <row r="683" spans="2:5" x14ac:dyDescent="0.2">
      <c r="B683" s="37"/>
      <c r="C683" s="38"/>
      <c r="D683" s="38"/>
      <c r="E683" s="39"/>
    </row>
    <row r="684" spans="2:5" x14ac:dyDescent="0.2">
      <c r="B684" s="40"/>
      <c r="C684" s="41"/>
      <c r="D684" s="41"/>
      <c r="E684" s="42"/>
    </row>
    <row r="685" spans="2:5" x14ac:dyDescent="0.2">
      <c r="B685" s="43"/>
      <c r="C685" s="41"/>
      <c r="D685" s="41"/>
      <c r="E685" s="42"/>
    </row>
    <row r="686" spans="2:5" ht="30.75" customHeight="1" x14ac:dyDescent="0.2">
      <c r="B686" s="43"/>
      <c r="C686" s="101"/>
      <c r="D686" s="101"/>
      <c r="E686" s="101"/>
    </row>
    <row r="687" spans="2:5" x14ac:dyDescent="0.2">
      <c r="B687" s="43"/>
      <c r="C687" s="41"/>
      <c r="D687" s="41"/>
      <c r="E687" s="42"/>
    </row>
    <row r="688" spans="2:5" x14ac:dyDescent="0.2">
      <c r="B688" s="44"/>
      <c r="C688" s="100"/>
      <c r="D688" s="100"/>
      <c r="E688" s="100"/>
    </row>
    <row r="689" spans="2:5" x14ac:dyDescent="0.2">
      <c r="B689" s="44"/>
      <c r="C689" s="100"/>
      <c r="D689" s="100"/>
      <c r="E689" s="100"/>
    </row>
    <row r="690" spans="2:5" x14ac:dyDescent="0.2">
      <c r="B690" s="43"/>
      <c r="C690" s="41"/>
      <c r="D690" s="41"/>
      <c r="E690" s="42"/>
    </row>
    <row r="691" spans="2:5" x14ac:dyDescent="0.2">
      <c r="B691" s="44"/>
      <c r="C691" s="101"/>
      <c r="D691" s="101"/>
      <c r="E691" s="101"/>
    </row>
    <row r="692" spans="2:5" x14ac:dyDescent="0.2">
      <c r="B692" s="43"/>
      <c r="C692" s="45"/>
      <c r="D692" s="45"/>
      <c r="E692" s="46"/>
    </row>
    <row r="693" spans="2:5" x14ac:dyDescent="0.2">
      <c r="B693" s="44"/>
      <c r="C693" s="101"/>
      <c r="D693" s="101"/>
      <c r="E693" s="101"/>
    </row>
    <row r="694" spans="2:5" x14ac:dyDescent="0.2">
      <c r="B694" s="43"/>
      <c r="C694" s="41"/>
      <c r="D694" s="41"/>
      <c r="E694" s="42"/>
    </row>
    <row r="695" spans="2:5" x14ac:dyDescent="0.2">
      <c r="B695" s="43"/>
      <c r="C695" s="100"/>
      <c r="D695" s="100"/>
      <c r="E695" s="100"/>
    </row>
    <row r="696" spans="2:5" ht="13.5" thickBot="1" x14ac:dyDescent="0.25">
      <c r="B696" s="47"/>
      <c r="C696" s="48"/>
      <c r="D696" s="48"/>
      <c r="E696" s="49"/>
    </row>
    <row r="698" spans="2:5" ht="13.5" thickBot="1" x14ac:dyDescent="0.25"/>
    <row r="699" spans="2:5" x14ac:dyDescent="0.2">
      <c r="B699" s="37"/>
      <c r="C699" s="38"/>
      <c r="D699" s="38"/>
      <c r="E699" s="39"/>
    </row>
    <row r="700" spans="2:5" x14ac:dyDescent="0.2">
      <c r="B700" s="40"/>
      <c r="C700" s="41"/>
      <c r="D700" s="41"/>
      <c r="E700" s="42"/>
    </row>
    <row r="701" spans="2:5" x14ac:dyDescent="0.2">
      <c r="B701" s="43"/>
      <c r="C701" s="41"/>
      <c r="D701" s="41"/>
      <c r="E701" s="42"/>
    </row>
    <row r="702" spans="2:5" x14ac:dyDescent="0.2">
      <c r="B702" s="43"/>
      <c r="C702" s="101"/>
      <c r="D702" s="101"/>
      <c r="E702" s="101"/>
    </row>
    <row r="703" spans="2:5" x14ac:dyDescent="0.2">
      <c r="B703" s="43"/>
      <c r="C703" s="41"/>
      <c r="D703" s="41"/>
      <c r="E703" s="42"/>
    </row>
    <row r="704" spans="2:5" x14ac:dyDescent="0.2">
      <c r="B704" s="44"/>
      <c r="C704" s="100"/>
      <c r="D704" s="100"/>
      <c r="E704" s="100"/>
    </row>
    <row r="705" spans="2:5" x14ac:dyDescent="0.2">
      <c r="B705" s="44"/>
      <c r="C705" s="100"/>
      <c r="D705" s="100"/>
      <c r="E705" s="100"/>
    </row>
    <row r="706" spans="2:5" x14ac:dyDescent="0.2">
      <c r="B706" s="43"/>
      <c r="C706" s="41"/>
      <c r="D706" s="41"/>
      <c r="E706" s="42"/>
    </row>
    <row r="707" spans="2:5" x14ac:dyDescent="0.2">
      <c r="B707" s="44"/>
      <c r="C707" s="101"/>
      <c r="D707" s="101"/>
      <c r="E707" s="101"/>
    </row>
    <row r="708" spans="2:5" x14ac:dyDescent="0.2">
      <c r="B708" s="43"/>
      <c r="C708" s="45"/>
      <c r="D708" s="45"/>
      <c r="E708" s="46"/>
    </row>
    <row r="709" spans="2:5" x14ac:dyDescent="0.2">
      <c r="B709" s="44"/>
      <c r="C709" s="101"/>
      <c r="D709" s="101"/>
      <c r="E709" s="101"/>
    </row>
    <row r="710" spans="2:5" x14ac:dyDescent="0.2">
      <c r="B710" s="43"/>
      <c r="C710" s="41"/>
      <c r="D710" s="41"/>
      <c r="E710" s="42"/>
    </row>
    <row r="711" spans="2:5" x14ac:dyDescent="0.2">
      <c r="B711" s="43"/>
      <c r="C711" s="100"/>
      <c r="D711" s="100"/>
      <c r="E711" s="100"/>
    </row>
    <row r="712" spans="2:5" ht="13.5" thickBot="1" x14ac:dyDescent="0.25">
      <c r="B712" s="47"/>
      <c r="C712" s="48"/>
      <c r="D712" s="48"/>
      <c r="E712" s="49"/>
    </row>
    <row r="713" spans="2:5" ht="13.5" thickBot="1" x14ac:dyDescent="0.25"/>
    <row r="714" spans="2:5" x14ac:dyDescent="0.2">
      <c r="B714" s="37"/>
      <c r="C714" s="38"/>
      <c r="D714" s="38"/>
      <c r="E714" s="39"/>
    </row>
    <row r="715" spans="2:5" x14ac:dyDescent="0.2">
      <c r="B715" s="40"/>
      <c r="C715" s="41"/>
      <c r="D715" s="41"/>
      <c r="E715" s="42"/>
    </row>
    <row r="716" spans="2:5" x14ac:dyDescent="0.2">
      <c r="B716" s="43"/>
      <c r="C716" s="41"/>
      <c r="D716" s="41"/>
      <c r="E716" s="42"/>
    </row>
    <row r="717" spans="2:5" x14ac:dyDescent="0.2">
      <c r="B717" s="43"/>
      <c r="C717" s="101"/>
      <c r="D717" s="101"/>
      <c r="E717" s="101"/>
    </row>
    <row r="718" spans="2:5" x14ac:dyDescent="0.2">
      <c r="B718" s="43"/>
      <c r="C718" s="41"/>
      <c r="D718" s="41"/>
      <c r="E718" s="42"/>
    </row>
    <row r="719" spans="2:5" x14ac:dyDescent="0.2">
      <c r="B719" s="44"/>
      <c r="C719" s="100"/>
      <c r="D719" s="100"/>
      <c r="E719" s="100"/>
    </row>
    <row r="720" spans="2:5" x14ac:dyDescent="0.2">
      <c r="B720" s="44"/>
      <c r="C720" s="100"/>
      <c r="D720" s="100"/>
      <c r="E720" s="100"/>
    </row>
    <row r="721" spans="2:5" x14ac:dyDescent="0.2">
      <c r="B721" s="43"/>
      <c r="C721" s="41"/>
      <c r="D721" s="41"/>
      <c r="E721" s="42"/>
    </row>
    <row r="722" spans="2:5" x14ac:dyDescent="0.2">
      <c r="B722" s="44"/>
      <c r="C722" s="101"/>
      <c r="D722" s="101"/>
      <c r="E722" s="101"/>
    </row>
    <row r="723" spans="2:5" x14ac:dyDescent="0.2">
      <c r="B723" s="43"/>
      <c r="C723" s="45"/>
      <c r="D723" s="45"/>
      <c r="E723" s="46"/>
    </row>
    <row r="724" spans="2:5" x14ac:dyDescent="0.2">
      <c r="B724" s="44"/>
      <c r="C724" s="101"/>
      <c r="D724" s="101"/>
      <c r="E724" s="101"/>
    </row>
    <row r="725" spans="2:5" x14ac:dyDescent="0.2">
      <c r="B725" s="43"/>
      <c r="C725" s="41"/>
      <c r="D725" s="41"/>
      <c r="E725" s="42"/>
    </row>
    <row r="726" spans="2:5" x14ac:dyDescent="0.2">
      <c r="B726" s="43"/>
      <c r="C726" s="100"/>
      <c r="D726" s="100"/>
      <c r="E726" s="100"/>
    </row>
    <row r="727" spans="2:5" ht="13.5" thickBot="1" x14ac:dyDescent="0.25">
      <c r="B727" s="47"/>
      <c r="C727" s="48"/>
      <c r="D727" s="48"/>
      <c r="E727" s="49"/>
    </row>
    <row r="728" spans="2:5" ht="13.5" thickBot="1" x14ac:dyDescent="0.25"/>
    <row r="729" spans="2:5" x14ac:dyDescent="0.2">
      <c r="B729" s="37"/>
      <c r="C729" s="38"/>
      <c r="D729" s="38"/>
      <c r="E729" s="39"/>
    </row>
    <row r="730" spans="2:5" x14ac:dyDescent="0.2">
      <c r="B730" s="40"/>
      <c r="C730" s="41"/>
      <c r="D730" s="41"/>
      <c r="E730" s="42"/>
    </row>
    <row r="731" spans="2:5" x14ac:dyDescent="0.2">
      <c r="B731" s="43"/>
      <c r="C731" s="41"/>
      <c r="D731" s="41"/>
      <c r="E731" s="42"/>
    </row>
    <row r="732" spans="2:5" x14ac:dyDescent="0.2">
      <c r="B732" s="43"/>
      <c r="C732" s="101"/>
      <c r="D732" s="101"/>
      <c r="E732" s="101"/>
    </row>
    <row r="733" spans="2:5" x14ac:dyDescent="0.2">
      <c r="B733" s="43"/>
      <c r="C733" s="41"/>
      <c r="D733" s="41"/>
      <c r="E733" s="42"/>
    </row>
    <row r="734" spans="2:5" x14ac:dyDescent="0.2">
      <c r="B734" s="44"/>
      <c r="C734" s="100"/>
      <c r="D734" s="100"/>
      <c r="E734" s="100"/>
    </row>
    <row r="735" spans="2:5" x14ac:dyDescent="0.2">
      <c r="B735" s="44"/>
      <c r="C735" s="100"/>
      <c r="D735" s="100"/>
      <c r="E735" s="100"/>
    </row>
    <row r="736" spans="2:5" x14ac:dyDescent="0.2">
      <c r="B736" s="43"/>
      <c r="C736" s="41"/>
      <c r="D736" s="41"/>
      <c r="E736" s="42"/>
    </row>
    <row r="737" spans="2:5" x14ac:dyDescent="0.2">
      <c r="B737" s="44"/>
      <c r="C737" s="101"/>
      <c r="D737" s="101"/>
      <c r="E737" s="101"/>
    </row>
    <row r="738" spans="2:5" x14ac:dyDescent="0.2">
      <c r="B738" s="43"/>
      <c r="C738" s="45"/>
      <c r="D738" s="45"/>
      <c r="E738" s="46"/>
    </row>
    <row r="739" spans="2:5" x14ac:dyDescent="0.2">
      <c r="B739" s="44"/>
      <c r="C739" s="101"/>
      <c r="D739" s="101"/>
      <c r="E739" s="101"/>
    </row>
    <row r="740" spans="2:5" x14ac:dyDescent="0.2">
      <c r="B740" s="43"/>
      <c r="C740" s="41"/>
      <c r="D740" s="41"/>
      <c r="E740" s="42"/>
    </row>
    <row r="741" spans="2:5" x14ac:dyDescent="0.2">
      <c r="B741" s="43"/>
      <c r="C741" s="100"/>
      <c r="D741" s="100"/>
      <c r="E741" s="100"/>
    </row>
    <row r="742" spans="2:5" ht="13.5" thickBot="1" x14ac:dyDescent="0.25">
      <c r="B742" s="47"/>
      <c r="C742" s="48"/>
      <c r="D742" s="48"/>
      <c r="E742" s="49"/>
    </row>
  </sheetData>
  <mergeCells count="283">
    <mergeCell ref="A6:B6"/>
    <mergeCell ref="A7:B7"/>
    <mergeCell ref="C56:E56"/>
    <mergeCell ref="C58:E58"/>
    <mergeCell ref="C59:E59"/>
    <mergeCell ref="B2:H2"/>
    <mergeCell ref="A4:B4"/>
    <mergeCell ref="C4:E4"/>
    <mergeCell ref="A5:B5"/>
    <mergeCell ref="C5:E5"/>
    <mergeCell ref="C74:E74"/>
    <mergeCell ref="C76:E76"/>
    <mergeCell ref="C78:E78"/>
    <mergeCell ref="C80:E80"/>
    <mergeCell ref="C61:E61"/>
    <mergeCell ref="C63:E63"/>
    <mergeCell ref="C65:E65"/>
    <mergeCell ref="C71:E71"/>
    <mergeCell ref="C73:E73"/>
    <mergeCell ref="C95:E95"/>
    <mergeCell ref="C101:E101"/>
    <mergeCell ref="C103:E103"/>
    <mergeCell ref="C104:E104"/>
    <mergeCell ref="C106:E106"/>
    <mergeCell ref="C86:E86"/>
    <mergeCell ref="C88:E88"/>
    <mergeCell ref="C89:E89"/>
    <mergeCell ref="C91:E91"/>
    <mergeCell ref="C93:E93"/>
    <mergeCell ref="C121:E121"/>
    <mergeCell ref="C123:E123"/>
    <mergeCell ref="C125:E125"/>
    <mergeCell ref="C131:E131"/>
    <mergeCell ref="C133:E133"/>
    <mergeCell ref="C108:E108"/>
    <mergeCell ref="C110:E110"/>
    <mergeCell ref="C116:E116"/>
    <mergeCell ref="C118:E118"/>
    <mergeCell ref="C119:E119"/>
    <mergeCell ref="C148:E148"/>
    <mergeCell ref="C149:E149"/>
    <mergeCell ref="C151:E151"/>
    <mergeCell ref="C153:E153"/>
    <mergeCell ref="C155:E155"/>
    <mergeCell ref="C134:E134"/>
    <mergeCell ref="C136:E136"/>
    <mergeCell ref="C138:E138"/>
    <mergeCell ref="C140:E140"/>
    <mergeCell ref="C146:E146"/>
    <mergeCell ref="C170:E170"/>
    <mergeCell ref="C176:E176"/>
    <mergeCell ref="C178:E178"/>
    <mergeCell ref="C179:E179"/>
    <mergeCell ref="C181:E181"/>
    <mergeCell ref="C161:E161"/>
    <mergeCell ref="C163:E163"/>
    <mergeCell ref="C164:E164"/>
    <mergeCell ref="C166:E166"/>
    <mergeCell ref="C168:E168"/>
    <mergeCell ref="C196:E196"/>
    <mergeCell ref="C198:E198"/>
    <mergeCell ref="C200:E200"/>
    <mergeCell ref="C206:E206"/>
    <mergeCell ref="C208:E208"/>
    <mergeCell ref="C183:E183"/>
    <mergeCell ref="C185:E185"/>
    <mergeCell ref="C191:E191"/>
    <mergeCell ref="C193:E193"/>
    <mergeCell ref="C194:E194"/>
    <mergeCell ref="C223:E223"/>
    <mergeCell ref="C224:E224"/>
    <mergeCell ref="C226:E226"/>
    <mergeCell ref="C228:E228"/>
    <mergeCell ref="C230:E230"/>
    <mergeCell ref="C209:E209"/>
    <mergeCell ref="C211:E211"/>
    <mergeCell ref="C213:E213"/>
    <mergeCell ref="C215:E215"/>
    <mergeCell ref="C221:E221"/>
    <mergeCell ref="C245:E245"/>
    <mergeCell ref="C251:E251"/>
    <mergeCell ref="C253:E253"/>
    <mergeCell ref="C254:E254"/>
    <mergeCell ref="C256:E256"/>
    <mergeCell ref="C236:E236"/>
    <mergeCell ref="C238:E238"/>
    <mergeCell ref="C239:E239"/>
    <mergeCell ref="C241:E241"/>
    <mergeCell ref="C243:E243"/>
    <mergeCell ref="C271:E271"/>
    <mergeCell ref="C273:E273"/>
    <mergeCell ref="C275:E275"/>
    <mergeCell ref="C281:E281"/>
    <mergeCell ref="C283:E283"/>
    <mergeCell ref="C258:E258"/>
    <mergeCell ref="C260:E260"/>
    <mergeCell ref="C266:E266"/>
    <mergeCell ref="C268:E268"/>
    <mergeCell ref="C269:E269"/>
    <mergeCell ref="C298:E298"/>
    <mergeCell ref="C299:E299"/>
    <mergeCell ref="C301:E301"/>
    <mergeCell ref="C303:E303"/>
    <mergeCell ref="C305:E305"/>
    <mergeCell ref="C284:E284"/>
    <mergeCell ref="C286:E286"/>
    <mergeCell ref="C288:E288"/>
    <mergeCell ref="C290:E290"/>
    <mergeCell ref="C296:E296"/>
    <mergeCell ref="C320:E320"/>
    <mergeCell ref="C326:E326"/>
    <mergeCell ref="C328:E328"/>
    <mergeCell ref="C329:E329"/>
    <mergeCell ref="C331:E331"/>
    <mergeCell ref="C311:E311"/>
    <mergeCell ref="C313:E313"/>
    <mergeCell ref="C314:E314"/>
    <mergeCell ref="C316:E316"/>
    <mergeCell ref="C318:E318"/>
    <mergeCell ref="C346:E346"/>
    <mergeCell ref="C348:E348"/>
    <mergeCell ref="C350:E350"/>
    <mergeCell ref="C356:E356"/>
    <mergeCell ref="C358:E358"/>
    <mergeCell ref="C333:E333"/>
    <mergeCell ref="C335:E335"/>
    <mergeCell ref="C341:E341"/>
    <mergeCell ref="C343:E343"/>
    <mergeCell ref="C344:E344"/>
    <mergeCell ref="C373:E373"/>
    <mergeCell ref="C374:E374"/>
    <mergeCell ref="C376:E376"/>
    <mergeCell ref="C378:E378"/>
    <mergeCell ref="C380:E380"/>
    <mergeCell ref="C359:E359"/>
    <mergeCell ref="C361:E361"/>
    <mergeCell ref="C363:E363"/>
    <mergeCell ref="C365:E365"/>
    <mergeCell ref="C371:E371"/>
    <mergeCell ref="C395:E395"/>
    <mergeCell ref="C401:E401"/>
    <mergeCell ref="C403:E403"/>
    <mergeCell ref="C404:E404"/>
    <mergeCell ref="C406:E406"/>
    <mergeCell ref="C386:E386"/>
    <mergeCell ref="C388:E388"/>
    <mergeCell ref="C389:E389"/>
    <mergeCell ref="C391:E391"/>
    <mergeCell ref="C393:E393"/>
    <mergeCell ref="C421:E421"/>
    <mergeCell ref="C423:E423"/>
    <mergeCell ref="C425:E425"/>
    <mergeCell ref="C431:E431"/>
    <mergeCell ref="C433:E433"/>
    <mergeCell ref="C408:E408"/>
    <mergeCell ref="C410:E410"/>
    <mergeCell ref="C416:E416"/>
    <mergeCell ref="C418:E418"/>
    <mergeCell ref="C419:E419"/>
    <mergeCell ref="C448:E448"/>
    <mergeCell ref="C449:E449"/>
    <mergeCell ref="C451:E451"/>
    <mergeCell ref="C453:E453"/>
    <mergeCell ref="C455:E455"/>
    <mergeCell ref="C434:E434"/>
    <mergeCell ref="C436:E436"/>
    <mergeCell ref="C438:E438"/>
    <mergeCell ref="C440:E440"/>
    <mergeCell ref="C446:E446"/>
    <mergeCell ref="C470:E470"/>
    <mergeCell ref="C476:E476"/>
    <mergeCell ref="C478:E478"/>
    <mergeCell ref="C479:E479"/>
    <mergeCell ref="C481:E481"/>
    <mergeCell ref="C461:E461"/>
    <mergeCell ref="C463:E463"/>
    <mergeCell ref="C464:E464"/>
    <mergeCell ref="C466:E466"/>
    <mergeCell ref="C468:E468"/>
    <mergeCell ref="C496:E496"/>
    <mergeCell ref="C498:E498"/>
    <mergeCell ref="C500:E500"/>
    <mergeCell ref="C506:E506"/>
    <mergeCell ref="C508:E508"/>
    <mergeCell ref="C483:E483"/>
    <mergeCell ref="C485:E485"/>
    <mergeCell ref="C491:E491"/>
    <mergeCell ref="C493:E493"/>
    <mergeCell ref="C494:E494"/>
    <mergeCell ref="C523:E523"/>
    <mergeCell ref="C524:E524"/>
    <mergeCell ref="C526:E526"/>
    <mergeCell ref="C528:E528"/>
    <mergeCell ref="C530:E530"/>
    <mergeCell ref="C509:E509"/>
    <mergeCell ref="C511:E511"/>
    <mergeCell ref="C513:E513"/>
    <mergeCell ref="C515:E515"/>
    <mergeCell ref="C521:E521"/>
    <mergeCell ref="C545:E545"/>
    <mergeCell ref="C551:E551"/>
    <mergeCell ref="C553:E553"/>
    <mergeCell ref="C554:E554"/>
    <mergeCell ref="C556:E556"/>
    <mergeCell ref="C536:E536"/>
    <mergeCell ref="C538:E538"/>
    <mergeCell ref="C539:E539"/>
    <mergeCell ref="C541:E541"/>
    <mergeCell ref="C543:E543"/>
    <mergeCell ref="C571:E571"/>
    <mergeCell ref="C573:E573"/>
    <mergeCell ref="C575:E575"/>
    <mergeCell ref="C581:E581"/>
    <mergeCell ref="C583:E583"/>
    <mergeCell ref="C558:E558"/>
    <mergeCell ref="C560:E560"/>
    <mergeCell ref="C566:E566"/>
    <mergeCell ref="C568:E568"/>
    <mergeCell ref="C569:E569"/>
    <mergeCell ref="C598:E598"/>
    <mergeCell ref="C599:E599"/>
    <mergeCell ref="C601:E601"/>
    <mergeCell ref="C603:E603"/>
    <mergeCell ref="C605:E605"/>
    <mergeCell ref="C584:E584"/>
    <mergeCell ref="C586:E586"/>
    <mergeCell ref="C588:E588"/>
    <mergeCell ref="C590:E590"/>
    <mergeCell ref="C596:E596"/>
    <mergeCell ref="C620:E620"/>
    <mergeCell ref="C626:E626"/>
    <mergeCell ref="C628:E628"/>
    <mergeCell ref="C629:E629"/>
    <mergeCell ref="C631:E631"/>
    <mergeCell ref="C611:E611"/>
    <mergeCell ref="C613:E613"/>
    <mergeCell ref="C614:E614"/>
    <mergeCell ref="C616:E616"/>
    <mergeCell ref="C618:E618"/>
    <mergeCell ref="C646:E646"/>
    <mergeCell ref="C648:E648"/>
    <mergeCell ref="C650:E650"/>
    <mergeCell ref="C656:E656"/>
    <mergeCell ref="C658:E658"/>
    <mergeCell ref="C633:E633"/>
    <mergeCell ref="C635:E635"/>
    <mergeCell ref="C641:E641"/>
    <mergeCell ref="C643:E643"/>
    <mergeCell ref="C644:E644"/>
    <mergeCell ref="C673:E673"/>
    <mergeCell ref="C674:E674"/>
    <mergeCell ref="C676:E676"/>
    <mergeCell ref="C678:E678"/>
    <mergeCell ref="C680:E680"/>
    <mergeCell ref="C659:E659"/>
    <mergeCell ref="C661:E661"/>
    <mergeCell ref="C663:E663"/>
    <mergeCell ref="C665:E665"/>
    <mergeCell ref="C671:E671"/>
    <mergeCell ref="C695:E695"/>
    <mergeCell ref="C686:E686"/>
    <mergeCell ref="C688:E688"/>
    <mergeCell ref="C689:E689"/>
    <mergeCell ref="C691:E691"/>
    <mergeCell ref="C693:E693"/>
    <mergeCell ref="C707:E707"/>
    <mergeCell ref="C709:E709"/>
    <mergeCell ref="C711:E711"/>
    <mergeCell ref="C741:E741"/>
    <mergeCell ref="C720:E720"/>
    <mergeCell ref="C722:E722"/>
    <mergeCell ref="C724:E724"/>
    <mergeCell ref="C726:E726"/>
    <mergeCell ref="C732:E732"/>
    <mergeCell ref="C717:E717"/>
    <mergeCell ref="C719:E719"/>
    <mergeCell ref="C702:E702"/>
    <mergeCell ref="C704:E704"/>
    <mergeCell ref="C705:E705"/>
    <mergeCell ref="C734:E734"/>
    <mergeCell ref="C735:E735"/>
    <mergeCell ref="C737:E737"/>
    <mergeCell ref="C739:E73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3"/>
  <sheetViews>
    <sheetView topLeftCell="A43" zoomScale="70" zoomScaleNormal="7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21</v>
      </c>
      <c r="B1" s="117"/>
      <c r="C1" s="117"/>
      <c r="D1" s="117"/>
      <c r="E1" s="117"/>
      <c r="F1" s="117"/>
      <c r="G1" s="117"/>
      <c r="H1" s="117"/>
      <c r="I1" s="117"/>
      <c r="J1" s="3" t="s">
        <v>22</v>
      </c>
      <c r="K1" s="60" t="s">
        <v>251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8" t="s">
        <v>55</v>
      </c>
      <c r="B3" s="118"/>
      <c r="C3" s="118"/>
      <c r="D3" s="119" t="str">
        <f>'Necesidades Trimestrales'!C4</f>
        <v>40 - Ministerio de Salud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56</v>
      </c>
      <c r="B4" s="120"/>
      <c r="C4" s="120"/>
      <c r="D4" s="119" t="str">
        <f>'Necesidades Trimestrales'!C5</f>
        <v>23 - Hospital Interzonal San Juan Bautista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34</v>
      </c>
      <c r="B5" s="120"/>
      <c r="C5" s="120"/>
      <c r="D5" s="119" t="s">
        <v>70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57</v>
      </c>
      <c r="B6" s="118"/>
      <c r="C6" s="118"/>
      <c r="D6" s="119" t="s">
        <v>75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">
      <c r="A7" s="120" t="s">
        <v>23</v>
      </c>
      <c r="B7" s="120"/>
      <c r="C7" s="120"/>
      <c r="D7" s="119" t="str">
        <f>'Necesidades Trimestrales'!C7 &amp; "° Trimestre - Año " &amp; 'Necesidades Trimestrales'!C6</f>
        <v>4° Trimestre - Año 2020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12" t="s">
        <v>24</v>
      </c>
      <c r="B8" s="112"/>
      <c r="C8" s="112"/>
      <c r="D8" s="113" t="s">
        <v>68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4" t="s">
        <v>25</v>
      </c>
      <c r="B10" s="115" t="s">
        <v>26</v>
      </c>
      <c r="C10" s="115" t="s">
        <v>27</v>
      </c>
      <c r="D10" s="115"/>
      <c r="E10" s="115"/>
      <c r="F10" s="115"/>
      <c r="G10" s="115"/>
      <c r="H10" s="115" t="s">
        <v>28</v>
      </c>
      <c r="I10" s="115" t="s">
        <v>29</v>
      </c>
      <c r="J10" s="115" t="s">
        <v>30</v>
      </c>
      <c r="K10" s="116" t="s">
        <v>31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45.75" customHeight="1" thickBot="1" x14ac:dyDescent="0.25">
      <c r="A12" s="8">
        <v>1</v>
      </c>
      <c r="B12" s="61" t="str">
        <f>'Necesidades Trimestrales'!B10</f>
        <v>2.9.1-6951.28</v>
      </c>
      <c r="C12" s="108" t="str">
        <f>'Necesidades Trimestrales'!E10</f>
        <v>LIMPIADORES; TIPO: LAVANDINA, PRESENTACION: ENVASE X 1 L</v>
      </c>
      <c r="D12" s="108"/>
      <c r="E12" s="108"/>
      <c r="F12" s="108"/>
      <c r="G12" s="108"/>
      <c r="H12" s="62" t="s">
        <v>58</v>
      </c>
      <c r="I12" s="63" t="str">
        <f>'Necesidades Trimestrales'!F10</f>
        <v>UNIDAD</v>
      </c>
      <c r="J12" s="64">
        <f>'Necesidades Trimestrales'!H10</f>
        <v>45</v>
      </c>
      <c r="K12" s="65">
        <f>'Necesidades Trimestrales'!G10</f>
        <v>1000</v>
      </c>
    </row>
    <row r="13" spans="1:11" ht="37.5" customHeight="1" thickBot="1" x14ac:dyDescent="0.25">
      <c r="A13" s="8">
        <v>2</v>
      </c>
      <c r="B13" s="61" t="str">
        <f>'Necesidades Trimestrales'!B11</f>
        <v>2.9.1-564.13</v>
      </c>
      <c r="C13" s="108" t="str">
        <f>'Necesidades Trimestrales'!E11</f>
        <v>BALDES DE PLASTICO; CAPACIDAD: 17 L, COLOR: SIN VALOR</v>
      </c>
      <c r="D13" s="108"/>
      <c r="E13" s="108"/>
      <c r="F13" s="108"/>
      <c r="G13" s="108"/>
      <c r="H13" s="62" t="s">
        <v>58</v>
      </c>
      <c r="I13" s="63" t="str">
        <f>'Necesidades Trimestrales'!F11</f>
        <v>UNIDAD</v>
      </c>
      <c r="J13" s="64">
        <f>'Necesidades Trimestrales'!H11</f>
        <v>365</v>
      </c>
      <c r="K13" s="65">
        <f>'Necesidades Trimestrales'!G11</f>
        <v>50</v>
      </c>
    </row>
    <row r="14" spans="1:11" ht="28.5" customHeight="1" thickBot="1" x14ac:dyDescent="0.25">
      <c r="A14" s="8">
        <v>3</v>
      </c>
      <c r="B14" s="61" t="str">
        <f>'Necesidades Trimestrales'!B12</f>
        <v>2.9.1-6950.6</v>
      </c>
      <c r="C14" s="108" t="str">
        <f>'Necesidades Trimestrales'!E12</f>
        <v>LUSTRADORES; TIPO: CERA DE LUSTRAR LIQUIDA, PRESENTACION: ENVASE X 1 L</v>
      </c>
      <c r="D14" s="108"/>
      <c r="E14" s="108"/>
      <c r="F14" s="108"/>
      <c r="G14" s="108"/>
      <c r="H14" s="62" t="s">
        <v>58</v>
      </c>
      <c r="I14" s="63" t="str">
        <f>'Necesidades Trimestrales'!F12</f>
        <v>UNIDAD</v>
      </c>
      <c r="J14" s="64">
        <f>'Necesidades Trimestrales'!H12</f>
        <v>162</v>
      </c>
      <c r="K14" s="65">
        <f>'Necesidades Trimestrales'!G12</f>
        <v>100</v>
      </c>
    </row>
    <row r="15" spans="1:11" ht="35.25" customHeight="1" thickBot="1" x14ac:dyDescent="0.25">
      <c r="A15" s="8">
        <v>4</v>
      </c>
      <c r="B15" s="61" t="str">
        <f>'Necesidades Trimestrales'!B13</f>
        <v>2.9.1-544.57</v>
      </c>
      <c r="C15" s="108" t="str">
        <f>'Necesidades Trimestrales'!E13</f>
        <v>DESODORANTES DE AMBIENTE; FORMATO: AEROSOL, FRAGANCIA: LAVANDA, PRESENTACION: ENVASE X 360 CM3, LIBRE DE CFC: SI</v>
      </c>
      <c r="D15" s="108"/>
      <c r="E15" s="108"/>
      <c r="F15" s="108"/>
      <c r="G15" s="108"/>
      <c r="H15" s="62" t="s">
        <v>58</v>
      </c>
      <c r="I15" s="63" t="str">
        <f>'Necesidades Trimestrales'!F13</f>
        <v>UNIDAD</v>
      </c>
      <c r="J15" s="64">
        <f>'Necesidades Trimestrales'!H13</f>
        <v>100</v>
      </c>
      <c r="K15" s="65">
        <f>'Necesidades Trimestrales'!G13</f>
        <v>100</v>
      </c>
    </row>
    <row r="16" spans="1:11" ht="25.5" customHeight="1" thickBot="1" x14ac:dyDescent="0.25">
      <c r="A16" s="8">
        <v>5</v>
      </c>
      <c r="B16" s="61" t="str">
        <f>'Necesidades Trimestrales'!B14</f>
        <v>2.9.1-6951.157</v>
      </c>
      <c r="C16" s="108" t="str">
        <f>'Necesidades Trimestrales'!E14</f>
        <v>LIMPIADORES; TIPO: DESODORANTE LIQUIDO , PRESENTACION: BIDON X 5 L</v>
      </c>
      <c r="D16" s="108"/>
      <c r="E16" s="108"/>
      <c r="F16" s="108"/>
      <c r="G16" s="108"/>
      <c r="H16" s="62" t="s">
        <v>58</v>
      </c>
      <c r="I16" s="63" t="str">
        <f>'Necesidades Trimestrales'!F14</f>
        <v>ENVASE</v>
      </c>
      <c r="J16" s="64">
        <f>'Necesidades Trimestrales'!H14</f>
        <v>165</v>
      </c>
      <c r="K16" s="65">
        <f>'Necesidades Trimestrales'!G14</f>
        <v>600</v>
      </c>
    </row>
    <row r="17" spans="1:11" ht="28.5" customHeight="1" thickBot="1" x14ac:dyDescent="0.25">
      <c r="A17" s="8">
        <v>6</v>
      </c>
      <c r="B17" s="61" t="str">
        <f>'Necesidades Trimestrales'!B15</f>
        <v>2.9.1-6951.214</v>
      </c>
      <c r="C17" s="108" t="str">
        <f>'Necesidades Trimestrales'!E15</f>
        <v>LIMPIADORES; TIPO: DETERGENTE NEUTRO, PRESENTACION: ENVASE X 5 L</v>
      </c>
      <c r="D17" s="108"/>
      <c r="E17" s="108"/>
      <c r="F17" s="108"/>
      <c r="G17" s="108"/>
      <c r="H17" s="62" t="s">
        <v>58</v>
      </c>
      <c r="I17" s="63" t="str">
        <f>'Necesidades Trimestrales'!F15</f>
        <v>ENVASE</v>
      </c>
      <c r="J17" s="64">
        <f>'Necesidades Trimestrales'!H15</f>
        <v>710</v>
      </c>
      <c r="K17" s="65">
        <f>'Necesidades Trimestrales'!G15</f>
        <v>15</v>
      </c>
    </row>
    <row r="18" spans="1:11" ht="31.5" customHeight="1" thickBot="1" x14ac:dyDescent="0.25">
      <c r="A18" s="8">
        <v>7</v>
      </c>
      <c r="B18" s="61" t="str">
        <f>'Necesidades Trimestrales'!B16</f>
        <v>2.9.1-6951.290</v>
      </c>
      <c r="C18" s="108" t="str">
        <f>'Necesidades Trimestrales'!E16</f>
        <v>IMPIADORES; TIPO: DETERGENTE ENZIMATICO, PRESENTACION: ENVASE X 5 L, BIODEGRADABLE: SI</v>
      </c>
      <c r="D18" s="108"/>
      <c r="E18" s="108"/>
      <c r="F18" s="108"/>
      <c r="G18" s="108"/>
      <c r="H18" s="62" t="s">
        <v>58</v>
      </c>
      <c r="I18" s="63" t="str">
        <f>'Necesidades Trimestrales'!F16</f>
        <v>ENVASE</v>
      </c>
      <c r="J18" s="64">
        <f>'Necesidades Trimestrales'!H16</f>
        <v>250</v>
      </c>
      <c r="K18" s="65">
        <f>'Necesidades Trimestrales'!G16</f>
        <v>50</v>
      </c>
    </row>
    <row r="19" spans="1:11" ht="33" customHeight="1" thickBot="1" x14ac:dyDescent="0.25">
      <c r="A19" s="8">
        <v>8</v>
      </c>
      <c r="B19" s="61" t="str">
        <f>'Necesidades Trimestrales'!B17</f>
        <v>2.9.1-6952.61</v>
      </c>
      <c r="C19" s="108" t="str">
        <f>'Necesidades Trimestrales'!E17</f>
        <v>CEPILLOS; TIPO: ESCOBA REFORZADA, MATERIAL: PLASTICO</v>
      </c>
      <c r="D19" s="108"/>
      <c r="E19" s="108"/>
      <c r="F19" s="108"/>
      <c r="G19" s="108"/>
      <c r="H19" s="62" t="s">
        <v>58</v>
      </c>
      <c r="I19" s="63" t="str">
        <f>'Necesidades Trimestrales'!F17</f>
        <v>UNIDAD</v>
      </c>
      <c r="J19" s="64">
        <f>'Necesidades Trimestrales'!H17</f>
        <v>95.57</v>
      </c>
      <c r="K19" s="65">
        <f>'Necesidades Trimestrales'!G17</f>
        <v>40</v>
      </c>
    </row>
    <row r="20" spans="1:11" ht="28.5" customHeight="1" thickBot="1" x14ac:dyDescent="0.25">
      <c r="A20" s="8">
        <v>9</v>
      </c>
      <c r="B20" s="61" t="str">
        <f>'Necesidades Trimestrales'!B18</f>
        <v>2.9.1-6961.14</v>
      </c>
      <c r="C20" s="108" t="str">
        <f>'Necesidades Trimestrales'!E18</f>
        <v>ELEM. P/LIMPIEZA SANITARIOS; TIPO: ESCOBILLA P/INODORO , PRESENTACION: UNIDAD</v>
      </c>
      <c r="D20" s="108"/>
      <c r="E20" s="108"/>
      <c r="F20" s="108"/>
      <c r="G20" s="108"/>
      <c r="H20" s="62" t="s">
        <v>58</v>
      </c>
      <c r="I20" s="63" t="str">
        <f>'Necesidades Trimestrales'!F18</f>
        <v>UNIDAD</v>
      </c>
      <c r="J20" s="64">
        <f>'Necesidades Trimestrales'!H18</f>
        <v>92.11</v>
      </c>
      <c r="K20" s="65">
        <f>'Necesidades Trimestrales'!G18</f>
        <v>100</v>
      </c>
    </row>
    <row r="21" spans="1:11" ht="33" customHeight="1" thickBot="1" x14ac:dyDescent="0.25">
      <c r="A21" s="8">
        <v>10</v>
      </c>
      <c r="B21" s="61" t="str">
        <f>'Necesidades Trimestrales'!B19</f>
        <v>2.9.1-1164.2</v>
      </c>
      <c r="C21" s="108" t="str">
        <f>'Necesidades Trimestrales'!E19</f>
        <v>ESPONJAS; MATERIAL: POLIURETANO POLIETER, USO: P/COCINA, ADITAMENTO: FIBRA POLIESTER SUAVE, FORMA: PRISMATICA, LARGO X ANCHO X ESP: 12 X 8 X 2 Cm, COLOR: AMARILLO</v>
      </c>
      <c r="D21" s="108"/>
      <c r="E21" s="108"/>
      <c r="F21" s="108"/>
      <c r="G21" s="108"/>
      <c r="H21" s="62" t="s">
        <v>58</v>
      </c>
      <c r="I21" s="63" t="str">
        <f>'Necesidades Trimestrales'!F19</f>
        <v>UNIDAD</v>
      </c>
      <c r="J21" s="64">
        <f>'Necesidades Trimestrales'!H19</f>
        <v>21.17</v>
      </c>
      <c r="K21" s="65">
        <f>'Necesidades Trimestrales'!G19</f>
        <v>200</v>
      </c>
    </row>
    <row r="22" spans="1:11" ht="28.5" customHeight="1" thickBot="1" x14ac:dyDescent="0.25">
      <c r="A22" s="8">
        <v>11</v>
      </c>
      <c r="B22" s="61" t="str">
        <f>'Necesidades Trimestrales'!B20</f>
        <v>2.9.1-1164.21</v>
      </c>
      <c r="C22" s="108" t="str">
        <f>'Necesidades Trimestrales'!E20</f>
        <v>ESPONJAS; MATERIAL: ACERO INOXIDABLE, USO: LIMPIEZA, ADITAMENTO: SIN, FORMA: MADEJA 40 GR, LARGO X ANCHO X ESP: SIN VALOR, COLOR: ACERO</v>
      </c>
      <c r="D22" s="108"/>
      <c r="E22" s="108"/>
      <c r="F22" s="108"/>
      <c r="G22" s="108"/>
      <c r="H22" s="62" t="s">
        <v>58</v>
      </c>
      <c r="I22" s="63" t="str">
        <f>'Necesidades Trimestrales'!F20</f>
        <v>UNIDAD</v>
      </c>
      <c r="J22" s="64">
        <f>'Necesidades Trimestrales'!H20</f>
        <v>19.649999999999999</v>
      </c>
      <c r="K22" s="65">
        <f>'Necesidades Trimestrales'!G20</f>
        <v>300</v>
      </c>
    </row>
    <row r="23" spans="1:11" ht="29.25" customHeight="1" thickBot="1" x14ac:dyDescent="0.25">
      <c r="A23" s="8">
        <v>12</v>
      </c>
      <c r="B23" s="61" t="str">
        <f>'Necesidades Trimestrales'!B21</f>
        <v>2.9.1-761.7</v>
      </c>
      <c r="C23" s="108" t="str">
        <f>'Necesidades Trimestrales'!E21</f>
        <v>GUANTES P/LIMPIEZA; MATERIAL: LATEX C/FELPA INTERIOR, TAMAÑO: CHICO</v>
      </c>
      <c r="D23" s="108"/>
      <c r="E23" s="108"/>
      <c r="F23" s="108"/>
      <c r="G23" s="108"/>
      <c r="H23" s="62" t="s">
        <v>58</v>
      </c>
      <c r="I23" s="63" t="str">
        <f>'Necesidades Trimestrales'!F21</f>
        <v>PAR</v>
      </c>
      <c r="J23" s="64">
        <f>'Necesidades Trimestrales'!H21</f>
        <v>94.63</v>
      </c>
      <c r="K23" s="65">
        <f>'Necesidades Trimestrales'!G21</f>
        <v>150</v>
      </c>
    </row>
    <row r="24" spans="1:11" ht="27" customHeight="1" thickBot="1" x14ac:dyDescent="0.25">
      <c r="A24" s="8">
        <v>13</v>
      </c>
      <c r="B24" s="61" t="str">
        <f>'Necesidades Trimestrales'!B22</f>
        <v>2.9.1-761.6</v>
      </c>
      <c r="C24" s="108" t="str">
        <f>'Necesidades Trimestrales'!E22</f>
        <v>GUANTES P/LIMPIEZA; TAMAÑO: MEDIANO, MATERIAL: LATEX C/FELPA INTERIOR</v>
      </c>
      <c r="D24" s="108"/>
      <c r="E24" s="108"/>
      <c r="F24" s="108"/>
      <c r="G24" s="108"/>
      <c r="H24" s="62" t="s">
        <v>58</v>
      </c>
      <c r="I24" s="63" t="str">
        <f>'Necesidades Trimestrales'!F22</f>
        <v>PAR</v>
      </c>
      <c r="J24" s="64">
        <f>'Necesidades Trimestrales'!H22</f>
        <v>94.63</v>
      </c>
      <c r="K24" s="65">
        <f>'Necesidades Trimestrales'!G22</f>
        <v>120</v>
      </c>
    </row>
    <row r="25" spans="1:11" ht="30" customHeight="1" thickBot="1" x14ac:dyDescent="0.25">
      <c r="A25" s="8">
        <v>14</v>
      </c>
      <c r="B25" s="61" t="str">
        <f>'Necesidades Trimestrales'!B23</f>
        <v>2.9.1-761.5</v>
      </c>
      <c r="C25" s="108" t="str">
        <f>'Necesidades Trimestrales'!E23</f>
        <v>GUANTES P/LIMPIEZA; TAMAÑO: GRANDE, MATERIAL: LATEX C/FELPA INTERIOR</v>
      </c>
      <c r="D25" s="108"/>
      <c r="E25" s="108"/>
      <c r="F25" s="108"/>
      <c r="G25" s="108"/>
      <c r="H25" s="62" t="s">
        <v>58</v>
      </c>
      <c r="I25" s="63" t="str">
        <f>'Necesidades Trimestrales'!F23</f>
        <v>PAR</v>
      </c>
      <c r="J25" s="64">
        <f>'Necesidades Trimestrales'!H23</f>
        <v>149</v>
      </c>
      <c r="K25" s="65">
        <f>'Necesidades Trimestrales'!G23</f>
        <v>100</v>
      </c>
    </row>
    <row r="26" spans="1:11" ht="39" customHeight="1" thickBot="1" x14ac:dyDescent="0.25">
      <c r="A26" s="8">
        <v>15</v>
      </c>
      <c r="B26" s="61" t="str">
        <f>'Necesidades Trimestrales'!B24</f>
        <v>2.5.4-506.165</v>
      </c>
      <c r="C26" s="108" t="str">
        <f>'Necesidades Trimestrales'!E24</f>
        <v>INSECTICIDAS; PRINCIPIO ACTIVO: D-TETRAMETRINA,PERMETRINA,PRAL, CONTROL: MOSCAS Y MOSQUITOS, ACCION: INSECTICIDA, PRESENTACION: ENVASE X 360 CM3</v>
      </c>
      <c r="D26" s="108"/>
      <c r="E26" s="108"/>
      <c r="F26" s="108"/>
      <c r="G26" s="108"/>
      <c r="H26" s="62" t="s">
        <v>58</v>
      </c>
      <c r="I26" s="63" t="str">
        <f>'Necesidades Trimestrales'!F24</f>
        <v>UNIDAD</v>
      </c>
      <c r="J26" s="64">
        <f>'Necesidades Trimestrales'!H24</f>
        <v>107.65</v>
      </c>
      <c r="K26" s="65">
        <f>'Necesidades Trimestrales'!G24</f>
        <v>100</v>
      </c>
    </row>
    <row r="27" spans="1:11" ht="27.75" customHeight="1" thickBot="1" x14ac:dyDescent="0.25">
      <c r="A27" s="8">
        <v>16</v>
      </c>
      <c r="B27" s="61" t="str">
        <f>'Necesidades Trimestrales'!B25</f>
        <v>2.9.1-6956.93</v>
      </c>
      <c r="C27" s="108" t="str">
        <f>'Necesidades Trimestrales'!E25</f>
        <v>ARTICULOS DE TOCADOR; TIPO: JABON DE TOCADOR, PRESENTACION: ENVASE X 125 GR</v>
      </c>
      <c r="D27" s="108"/>
      <c r="E27" s="108"/>
      <c r="F27" s="108"/>
      <c r="G27" s="108"/>
      <c r="H27" s="62" t="s">
        <v>58</v>
      </c>
      <c r="I27" s="63" t="str">
        <f>'Necesidades Trimestrales'!F25</f>
        <v>UNIDAD</v>
      </c>
      <c r="J27" s="64">
        <f>'Necesidades Trimestrales'!H25</f>
        <v>40</v>
      </c>
      <c r="K27" s="65">
        <f>'Necesidades Trimestrales'!G25</f>
        <v>60</v>
      </c>
    </row>
    <row r="28" spans="1:11" ht="31.5" customHeight="1" thickBot="1" x14ac:dyDescent="0.25">
      <c r="A28" s="8">
        <v>17</v>
      </c>
      <c r="B28" s="61" t="str">
        <f>'Necesidades Trimestrales'!B26</f>
        <v>2.9.1-6960.27</v>
      </c>
      <c r="C28" s="108" t="str">
        <f>'Necesidades Trimestrales'!E26</f>
        <v>ELEM. LIMPIEZA P/INDUMENTARIA; TIPO: JABON EN PAN, PRESENTACION: 200 GR</v>
      </c>
      <c r="D28" s="108"/>
      <c r="E28" s="108"/>
      <c r="F28" s="108"/>
      <c r="G28" s="108"/>
      <c r="H28" s="62" t="s">
        <v>58</v>
      </c>
      <c r="I28" s="63" t="str">
        <f>'Necesidades Trimestrales'!F26</f>
        <v>UNIDAD</v>
      </c>
      <c r="J28" s="64">
        <f>'Necesidades Trimestrales'!H26</f>
        <v>35</v>
      </c>
      <c r="K28" s="65">
        <f>'Necesidades Trimestrales'!G26</f>
        <v>75</v>
      </c>
    </row>
    <row r="29" spans="1:11" ht="30.75" customHeight="1" thickBot="1" x14ac:dyDescent="0.25">
      <c r="A29" s="8">
        <v>18</v>
      </c>
      <c r="B29" s="61" t="str">
        <f>'Necesidades Trimestrales'!B27</f>
        <v>2.9.1-6960.20</v>
      </c>
      <c r="C29" s="108" t="str">
        <f>'Necesidades Trimestrales'!E27</f>
        <v>ELEM. LIMPIEZA P/INDUMENTARIA; TIPO: JABON EN POLVO, PRESENTACION: ENVASE X 3 Kg</v>
      </c>
      <c r="D29" s="108"/>
      <c r="E29" s="108"/>
      <c r="F29" s="108"/>
      <c r="G29" s="108"/>
      <c r="H29" s="62" t="s">
        <v>58</v>
      </c>
      <c r="I29" s="63" t="str">
        <f>'Necesidades Trimestrales'!F27</f>
        <v>PAQUETE</v>
      </c>
      <c r="J29" s="64">
        <f>'Necesidades Trimestrales'!H27</f>
        <v>240</v>
      </c>
      <c r="K29" s="65">
        <f>'Necesidades Trimestrales'!G27</f>
        <v>240</v>
      </c>
    </row>
    <row r="30" spans="1:11" ht="30" customHeight="1" thickBot="1" x14ac:dyDescent="0.25">
      <c r="A30" s="8">
        <v>19</v>
      </c>
      <c r="B30" s="61" t="str">
        <f>'Necesidades Trimestrales'!B28</f>
        <v>2.9.1-6951.116</v>
      </c>
      <c r="C30" s="108" t="str">
        <f>'Necesidades Trimestrales'!E28</f>
        <v>LIMPIADORES; TIPO: LIMPIAVIDRIOS, PRESENTACION: ENVASE X 5 L</v>
      </c>
      <c r="D30" s="108"/>
      <c r="E30" s="108"/>
      <c r="F30" s="108"/>
      <c r="G30" s="108"/>
      <c r="H30" s="62" t="s">
        <v>58</v>
      </c>
      <c r="I30" s="63" t="str">
        <f>'Necesidades Trimestrales'!F28</f>
        <v>ENVASE</v>
      </c>
      <c r="J30" s="64">
        <f>'Necesidades Trimestrales'!H28</f>
        <v>400</v>
      </c>
      <c r="K30" s="65">
        <f>'Necesidades Trimestrales'!G28</f>
        <v>15</v>
      </c>
    </row>
    <row r="31" spans="1:11" ht="29.25" customHeight="1" thickBot="1" x14ac:dyDescent="0.25">
      <c r="A31" s="8">
        <v>20</v>
      </c>
      <c r="B31" s="61" t="str">
        <f>'Necesidades Trimestrales'!B29</f>
        <v>2.9.1-6951.110</v>
      </c>
      <c r="C31" s="108" t="str">
        <f>'Necesidades Trimestrales'!E29</f>
        <v>LIMPIADORES; TIPO: SECUESTRANTE DE POLVO, PRESENTACION: ENVASE X 5 L</v>
      </c>
      <c r="D31" s="108"/>
      <c r="E31" s="108"/>
      <c r="F31" s="108"/>
      <c r="G31" s="108"/>
      <c r="H31" s="62" t="s">
        <v>58</v>
      </c>
      <c r="I31" s="63" t="str">
        <f>'Necesidades Trimestrales'!F29</f>
        <v>ENVASE</v>
      </c>
      <c r="J31" s="64">
        <f>'Necesidades Trimestrales'!H29</f>
        <v>2495</v>
      </c>
      <c r="K31" s="65">
        <f>'Necesidades Trimestrales'!G29</f>
        <v>16</v>
      </c>
    </row>
    <row r="32" spans="1:11" ht="44.25" customHeight="1" thickBot="1" x14ac:dyDescent="0.25">
      <c r="A32" s="8">
        <v>21</v>
      </c>
      <c r="B32" s="61" t="str">
        <f>'Necesidades Trimestrales'!B30</f>
        <v>2.5.4-505.2</v>
      </c>
      <c r="C32" s="108" t="str">
        <f>'Necesidades Trimestrales'!E30</f>
        <v>LÍQUIDO DESINFECTANTE ANTIBACTERIDESINFECTANTES; PRESENTACION: ENVASE X 5 L, USO P/CONTROL: BACTERIAS, CAPACIDAD: 5 L, CONTROL: BACTERIAS, PRINCIPIO ACTIVO: CLORURO DE BENCIL AMONIOAL, ENVASE DE 5 LITROS, ETIQUETADO. PRESENTAR MUESTRA.-</v>
      </c>
      <c r="D32" s="108"/>
      <c r="E32" s="108"/>
      <c r="F32" s="108"/>
      <c r="G32" s="108"/>
      <c r="H32" s="62" t="s">
        <v>58</v>
      </c>
      <c r="I32" s="63" t="str">
        <f>'Necesidades Trimestrales'!F30</f>
        <v>ENVASE</v>
      </c>
      <c r="J32" s="64">
        <f>'Necesidades Trimestrales'!H30</f>
        <v>235</v>
      </c>
      <c r="K32" s="65">
        <f>'Necesidades Trimestrales'!G30</f>
        <v>75</v>
      </c>
    </row>
    <row r="33" spans="1:11" ht="28.5" customHeight="1" thickBot="1" x14ac:dyDescent="0.25">
      <c r="A33" s="8">
        <v>22</v>
      </c>
      <c r="B33" s="61" t="str">
        <f>'Necesidades Trimestrales'!B31</f>
        <v>2.9.1-6951.80</v>
      </c>
      <c r="C33" s="108" t="str">
        <f>'Necesidades Trimestrales'!E31</f>
        <v>LIMPIADORES; TIPO: QUITASARRO, PRESENTACION: ENVASE X 500 CM3</v>
      </c>
      <c r="D33" s="108"/>
      <c r="E33" s="108"/>
      <c r="F33" s="108"/>
      <c r="G33" s="108"/>
      <c r="H33" s="62" t="s">
        <v>58</v>
      </c>
      <c r="I33" s="63" t="str">
        <f>'Necesidades Trimestrales'!F31</f>
        <v>ENVASE</v>
      </c>
      <c r="J33" s="64">
        <f>'Necesidades Trimestrales'!H31</f>
        <v>160</v>
      </c>
      <c r="K33" s="65">
        <f>'Necesidades Trimestrales'!G31</f>
        <v>50</v>
      </c>
    </row>
    <row r="34" spans="1:11" ht="28.5" customHeight="1" thickBot="1" x14ac:dyDescent="0.25">
      <c r="A34" s="8">
        <v>23</v>
      </c>
      <c r="B34" s="61" t="str">
        <f>'Necesidades Trimestrales'!B32</f>
        <v>2.1.5-393.13</v>
      </c>
      <c r="C34" s="108" t="str">
        <f>'Necesidades Trimestrales'!E32</f>
        <v>CABOS DE MADERA; APLICACION: P/ESCOBA, FORMA: RECTO</v>
      </c>
      <c r="D34" s="108"/>
      <c r="E34" s="108"/>
      <c r="F34" s="108"/>
      <c r="G34" s="108"/>
      <c r="H34" s="62" t="s">
        <v>58</v>
      </c>
      <c r="I34" s="63" t="str">
        <f>'Necesidades Trimestrales'!F32</f>
        <v>UNIDAD</v>
      </c>
      <c r="J34" s="64">
        <f>'Necesidades Trimestrales'!H32</f>
        <v>120</v>
      </c>
      <c r="K34" s="65">
        <f>'Necesidades Trimestrales'!G32</f>
        <v>100</v>
      </c>
    </row>
    <row r="35" spans="1:11" ht="30" customHeight="1" thickBot="1" x14ac:dyDescent="0.25">
      <c r="A35" s="8">
        <v>24</v>
      </c>
      <c r="B35" s="61" t="str">
        <f>'Necesidades Trimestrales'!B33</f>
        <v>2.9.1-1156.1</v>
      </c>
      <c r="C35" s="108" t="str">
        <f>'Necesidades Trimestrales'!E33</f>
        <v>PLUMEROS; PLUMA: SINTETICA, CLASE: SUAVE, MATERIAL MANGO: MADERA, LARGO MANGO: 60 Cm, Nº VUELTAS PENACHO: 6, TIPO: SUAVE</v>
      </c>
      <c r="D35" s="108"/>
      <c r="E35" s="108"/>
      <c r="F35" s="108"/>
      <c r="G35" s="108"/>
      <c r="H35" s="62" t="s">
        <v>58</v>
      </c>
      <c r="I35" s="63" t="str">
        <f>'Necesidades Trimestrales'!F33</f>
        <v>UNIDAD</v>
      </c>
      <c r="J35" s="64">
        <f>'Necesidades Trimestrales'!H33</f>
        <v>1110</v>
      </c>
      <c r="K35" s="65">
        <f>'Necesidades Trimestrales'!G33</f>
        <v>15</v>
      </c>
    </row>
    <row r="36" spans="1:11" ht="27" customHeight="1" thickBot="1" x14ac:dyDescent="0.25">
      <c r="A36" s="8">
        <v>25</v>
      </c>
      <c r="B36" s="61" t="str">
        <f>'Necesidades Trimestrales'!B34</f>
        <v>2.9.1-6951.174</v>
      </c>
      <c r="C36" s="108" t="str">
        <f>'Necesidades Trimestrales'!E34</f>
        <v>LIMPIADORES; TIPO: POLVO LIMPIADOR, PRESENTACION: ENVASE X 400 GR</v>
      </c>
      <c r="D36" s="108"/>
      <c r="E36" s="108"/>
      <c r="F36" s="108"/>
      <c r="G36" s="108"/>
      <c r="H36" s="62" t="s">
        <v>58</v>
      </c>
      <c r="I36" s="63" t="str">
        <f>'Necesidades Trimestrales'!F34</f>
        <v>UNIDAD</v>
      </c>
      <c r="J36" s="64">
        <f>'Necesidades Trimestrales'!H34</f>
        <v>92</v>
      </c>
      <c r="K36" s="65">
        <f>'Necesidades Trimestrales'!G34</f>
        <v>100</v>
      </c>
    </row>
    <row r="37" spans="1:11" ht="32.25" customHeight="1" thickBot="1" x14ac:dyDescent="0.25">
      <c r="A37" s="8">
        <v>26</v>
      </c>
      <c r="B37" s="61" t="str">
        <f>'Necesidades Trimestrales'!B35</f>
        <v>2.7.5-1491.5</v>
      </c>
      <c r="C37" s="108" t="str">
        <f>'Necesidades Trimestrales'!E35</f>
        <v>PULVERIZADORES; MATERIAL: PLASTICO REFORZADO, CAPACIDAD: 1000 CM3, TIPO: MANUAL</v>
      </c>
      <c r="D37" s="108"/>
      <c r="E37" s="108"/>
      <c r="F37" s="108"/>
      <c r="G37" s="108"/>
      <c r="H37" s="62" t="s">
        <v>58</v>
      </c>
      <c r="I37" s="63" t="str">
        <f>'Necesidades Trimestrales'!F35</f>
        <v>UNIDAD</v>
      </c>
      <c r="J37" s="64">
        <f>'Necesidades Trimestrales'!H35</f>
        <v>130</v>
      </c>
      <c r="K37" s="65">
        <f>'Necesidades Trimestrales'!G35</f>
        <v>75</v>
      </c>
    </row>
    <row r="38" spans="1:11" ht="26.25" customHeight="1" thickBot="1" x14ac:dyDescent="0.25">
      <c r="A38" s="8">
        <v>27</v>
      </c>
      <c r="B38" s="61" t="str">
        <f>'Necesidades Trimestrales'!B36</f>
        <v>2.9.1-683.2</v>
      </c>
      <c r="C38" s="108" t="str">
        <f>'Necesidades Trimestrales'!E36</f>
        <v>SECADORES DE GOMA; COLOR: ROJO, LARGO: 40 Cm</v>
      </c>
      <c r="D38" s="108"/>
      <c r="E38" s="108"/>
      <c r="F38" s="108"/>
      <c r="G38" s="108"/>
      <c r="H38" s="62" t="s">
        <v>58</v>
      </c>
      <c r="I38" s="63" t="str">
        <f>'Necesidades Trimestrales'!F36</f>
        <v>UNIDAD</v>
      </c>
      <c r="J38" s="64">
        <f>'Necesidades Trimestrales'!H36</f>
        <v>49.8</v>
      </c>
      <c r="K38" s="65">
        <f>'Necesidades Trimestrales'!G36</f>
        <v>150</v>
      </c>
    </row>
    <row r="39" spans="1:11" ht="30.75" customHeight="1" thickBot="1" x14ac:dyDescent="0.25">
      <c r="A39" s="8">
        <v>28</v>
      </c>
      <c r="B39" s="61" t="str">
        <f>'Necesidades Trimestrales'!B37</f>
        <v>2.9.1-683.4</v>
      </c>
      <c r="C39" s="108" t="str">
        <f>'Necesidades Trimestrales'!E37</f>
        <v>SECADORES DE GOMA; LARGO: 80 Cm, COLOR: ROJO</v>
      </c>
      <c r="D39" s="108"/>
      <c r="E39" s="108"/>
      <c r="F39" s="108"/>
      <c r="G39" s="108"/>
      <c r="H39" s="62" t="s">
        <v>58</v>
      </c>
      <c r="I39" s="63" t="str">
        <f>'Necesidades Trimestrales'!F37</f>
        <v>UNIDAD</v>
      </c>
      <c r="J39" s="64">
        <f>'Necesidades Trimestrales'!H37</f>
        <v>231.74</v>
      </c>
      <c r="K39" s="65">
        <f>'Necesidades Trimestrales'!G37</f>
        <v>20</v>
      </c>
    </row>
    <row r="40" spans="1:11" ht="31.5" customHeight="1" thickBot="1" x14ac:dyDescent="0.25">
      <c r="A40" s="8">
        <v>29</v>
      </c>
      <c r="B40" s="61" t="str">
        <f>'Necesidades Trimestrales'!B38</f>
        <v>2.9.1-6960.1</v>
      </c>
      <c r="C40" s="108" t="str">
        <f>'Necesidades Trimestrales'!E38</f>
        <v>ELEM. LIMPIEZA P/INDUMENTARIA; TIPO: SUAVIZANTE P/ROPA, PRESENTACION: ENVASE X 5 L</v>
      </c>
      <c r="D40" s="108"/>
      <c r="E40" s="108"/>
      <c r="F40" s="108"/>
      <c r="G40" s="108"/>
      <c r="H40" s="62" t="s">
        <v>58</v>
      </c>
      <c r="I40" s="63" t="str">
        <f>'Necesidades Trimestrales'!F38</f>
        <v>ENVASE</v>
      </c>
      <c r="J40" s="64">
        <f>'Necesidades Trimestrales'!H38</f>
        <v>620</v>
      </c>
      <c r="K40" s="65">
        <f>'Necesidades Trimestrales'!G38</f>
        <v>32</v>
      </c>
    </row>
    <row r="41" spans="1:11" ht="24" customHeight="1" thickBot="1" x14ac:dyDescent="0.25">
      <c r="A41" s="8">
        <v>30</v>
      </c>
      <c r="B41" s="61" t="str">
        <f>'Necesidades Trimestrales'!B39</f>
        <v>2.9.1-714.5</v>
      </c>
      <c r="C41" s="108" t="str">
        <f>'Necesidades Trimestrales'!E39</f>
        <v>FRANELAS; DIMENSION: 40 X 50 Cm</v>
      </c>
      <c r="D41" s="108"/>
      <c r="E41" s="108"/>
      <c r="F41" s="108"/>
      <c r="G41" s="108"/>
      <c r="H41" s="62" t="s">
        <v>58</v>
      </c>
      <c r="I41" s="63" t="str">
        <f>'Necesidades Trimestrales'!F39</f>
        <v>UNIDAD</v>
      </c>
      <c r="J41" s="64">
        <f>'Necesidades Trimestrales'!H39</f>
        <v>48.62</v>
      </c>
      <c r="K41" s="65">
        <f>'Necesidades Trimestrales'!G39</f>
        <v>120</v>
      </c>
    </row>
    <row r="42" spans="1:11" ht="22.5" customHeight="1" thickBot="1" x14ac:dyDescent="0.25">
      <c r="A42" s="8">
        <v>31</v>
      </c>
      <c r="B42" s="61" t="str">
        <f>'Necesidades Trimestrales'!B40</f>
        <v>2.9.1-678.7</v>
      </c>
      <c r="C42" s="108" t="str">
        <f>'Necesidades Trimestrales'!E40</f>
        <v>TRAPOS REJILLA; DIMENSION: 40 X 50 Cm, COLOR: SIN VALOR, MATERIAL: ALGODÓN</v>
      </c>
      <c r="D42" s="108"/>
      <c r="E42" s="108"/>
      <c r="F42" s="108"/>
      <c r="G42" s="108"/>
      <c r="H42" s="62" t="s">
        <v>58</v>
      </c>
      <c r="I42" s="63" t="str">
        <f>'Necesidades Trimestrales'!F40</f>
        <v>UNIDAD</v>
      </c>
      <c r="J42" s="64">
        <f>'Necesidades Trimestrales'!H40</f>
        <v>19.21</v>
      </c>
      <c r="K42" s="65">
        <f>'Necesidades Trimestrales'!G40</f>
        <v>250</v>
      </c>
    </row>
    <row r="43" spans="1:11" ht="31.5" customHeight="1" thickBot="1" x14ac:dyDescent="0.25">
      <c r="A43" s="8">
        <v>32</v>
      </c>
      <c r="B43" s="61" t="str">
        <f>'Necesidades Trimestrales'!B41</f>
        <v>2.9.1-713.6</v>
      </c>
      <c r="C43" s="108" t="str">
        <f>'Necesidades Trimestrales'!E41</f>
        <v>TRAPOS DE PISO; DIMENSION: 48 X 60 Cm, COLOR: GRIS</v>
      </c>
      <c r="D43" s="108"/>
      <c r="E43" s="108"/>
      <c r="F43" s="108"/>
      <c r="G43" s="108"/>
      <c r="H43" s="62" t="s">
        <v>58</v>
      </c>
      <c r="I43" s="63" t="str">
        <f>'Necesidades Trimestrales'!F41</f>
        <v>UNIDAD</v>
      </c>
      <c r="J43" s="64">
        <f>'Necesidades Trimestrales'!H41</f>
        <v>37.82</v>
      </c>
      <c r="K43" s="65">
        <f>'Necesidades Trimestrales'!G41</f>
        <v>300</v>
      </c>
    </row>
    <row r="44" spans="1:11" ht="25.5" customHeight="1" thickBot="1" x14ac:dyDescent="0.25">
      <c r="A44" s="8">
        <v>33</v>
      </c>
      <c r="B44" s="61" t="str">
        <f>'Necesidades Trimestrales'!B42</f>
        <v>2.9.1-1083.5</v>
      </c>
      <c r="C44" s="108" t="str">
        <f>'Necesidades Trimestrales'!E42</f>
        <v>ESPONJA DE ACERO; CUERPO: METALICO, PESO: 60 GR, MATERIAL DEL CUERPO: METALICO, MATERIAL: METALICO</v>
      </c>
      <c r="D44" s="108"/>
      <c r="E44" s="108"/>
      <c r="F44" s="108"/>
      <c r="G44" s="108"/>
      <c r="H44" s="62" t="s">
        <v>58</v>
      </c>
      <c r="I44" s="63" t="str">
        <f>'Necesidades Trimestrales'!F42</f>
        <v>PAQUETE</v>
      </c>
      <c r="J44" s="64">
        <f>'Necesidades Trimestrales'!H42</f>
        <v>26.65</v>
      </c>
      <c r="K44" s="65">
        <f>'Necesidades Trimestrales'!G42</f>
        <v>2000</v>
      </c>
    </row>
    <row r="45" spans="1:11" ht="31.5" customHeight="1" thickBot="1" x14ac:dyDescent="0.25">
      <c r="A45" s="8">
        <v>34</v>
      </c>
      <c r="B45" s="61" t="str">
        <f>'Necesidades Trimestrales'!B43</f>
        <v>2.3.4-786.1</v>
      </c>
      <c r="C45" s="108" t="str">
        <f>'Necesidades Trimestrales'!E43</f>
        <v>PAPEL HIGIENICO; TIPO: ROLLO, LARGO: 300 Cm, PRESENTACION: UNIDAD, ANCHO: 10 Cm, MATERIAL HOJA: SIMPLE, HOJA: SIMPLE, TIPO DE HOJA: SIMPLE</v>
      </c>
      <c r="D45" s="108"/>
      <c r="E45" s="108"/>
      <c r="F45" s="108"/>
      <c r="G45" s="108"/>
      <c r="H45" s="62" t="s">
        <v>58</v>
      </c>
      <c r="I45" s="63" t="str">
        <f>'Necesidades Trimestrales'!F43</f>
        <v>UNIDAD</v>
      </c>
      <c r="J45" s="64">
        <f>'Necesidades Trimestrales'!H43</f>
        <v>18.329999999999998</v>
      </c>
      <c r="K45" s="65">
        <f>'Necesidades Trimestrales'!G43</f>
        <v>900</v>
      </c>
    </row>
    <row r="46" spans="1:11" ht="30.75" customHeight="1" thickBot="1" x14ac:dyDescent="0.25">
      <c r="A46" s="8">
        <v>35</v>
      </c>
      <c r="B46" s="61" t="str">
        <f>'Necesidades Trimestrales'!B44</f>
        <v>2.5.4-505.18</v>
      </c>
      <c r="C46" s="108" t="str">
        <f>'Necesidades Trimestrales'!E44</f>
        <v>DESINFECTANTES; PRINCIPIO ACTIVO: HIPOCLORITO DE SODIO, PRESENTACION: ENVASE X 5 L, USO P/CONTROL: VIRUS, CONTROL: VIRUS, CAPACIDAD: 5 L</v>
      </c>
      <c r="D46" s="108"/>
      <c r="E46" s="108"/>
      <c r="F46" s="108"/>
      <c r="G46" s="108"/>
      <c r="H46" s="62" t="s">
        <v>58</v>
      </c>
      <c r="I46" s="63" t="str">
        <f>'Necesidades Trimestrales'!F44</f>
        <v>ENVASE</v>
      </c>
      <c r="J46" s="64">
        <f>'Necesidades Trimestrales'!H44</f>
        <v>350</v>
      </c>
      <c r="K46" s="65">
        <f>'Necesidades Trimestrales'!G44</f>
        <v>200</v>
      </c>
    </row>
    <row r="47" spans="1:11" ht="33" customHeight="1" thickBot="1" x14ac:dyDescent="0.25">
      <c r="A47" s="8">
        <v>36</v>
      </c>
      <c r="B47" s="61" t="str">
        <f>'Necesidades Trimestrales'!B45</f>
        <v>2.9.1-646.18</v>
      </c>
      <c r="C47" s="108" t="str">
        <f>'Necesidades Trimestrales'!E45</f>
        <v>BOLSAS DE RESIDUOS; COLOR: OBSCURO, ESPESOR: 40 Mn, DIMENSION: 45 X 60 Cm, PRESENTACION: SIN VALOR</v>
      </c>
      <c r="D47" s="108"/>
      <c r="E47" s="108"/>
      <c r="F47" s="108"/>
      <c r="G47" s="108"/>
      <c r="H47" s="62" t="s">
        <v>58</v>
      </c>
      <c r="I47" s="63" t="str">
        <f>'Necesidades Trimestrales'!F45</f>
        <v>UNIDAD</v>
      </c>
      <c r="J47" s="64">
        <f>'Necesidades Trimestrales'!H45</f>
        <v>1.22</v>
      </c>
      <c r="K47" s="65">
        <f>'Necesidades Trimestrales'!G45</f>
        <v>18000</v>
      </c>
    </row>
    <row r="48" spans="1:11" ht="33" customHeight="1" thickBot="1" x14ac:dyDescent="0.25">
      <c r="A48" s="8">
        <v>37</v>
      </c>
      <c r="B48" s="61" t="str">
        <f>'Necesidades Trimestrales'!B46</f>
        <v>2.9.1-646.35</v>
      </c>
      <c r="C48" s="108" t="str">
        <f>'Necesidades Trimestrales'!E46</f>
        <v>BOLSAS DE RESIDUOS; DIMENSION: 90 X 60 Cm, PRESENTACION: UNIDAD, ESPESOR: SIN VALOR, COLOR: NEGRO</v>
      </c>
      <c r="D48" s="108"/>
      <c r="E48" s="108"/>
      <c r="F48" s="108"/>
      <c r="G48" s="108"/>
      <c r="H48" s="62" t="s">
        <v>58</v>
      </c>
      <c r="I48" s="63" t="str">
        <f>'Necesidades Trimestrales'!F46</f>
        <v>UNIDAD</v>
      </c>
      <c r="J48" s="64">
        <f>'Necesidades Trimestrales'!H46</f>
        <v>3.82</v>
      </c>
      <c r="K48" s="65">
        <f>'Necesidades Trimestrales'!G46</f>
        <v>1400</v>
      </c>
    </row>
    <row r="49" spans="1:1024" ht="33" customHeight="1" thickBot="1" x14ac:dyDescent="0.25">
      <c r="A49" s="8">
        <v>38</v>
      </c>
      <c r="B49" s="61" t="str">
        <f>'Necesidades Trimestrales'!B47</f>
        <v>2.9.1-646.93</v>
      </c>
      <c r="C49" s="108" t="str">
        <f>'Necesidades Trimestrales'!E47</f>
        <v>BOLSAS DE RESIDUOS; DIMENSION: 90 X 60 Cm, PRESENTACION: ENVASE X 100 UN, ESPESOR: 30 Mn</v>
      </c>
      <c r="D49" s="108"/>
      <c r="E49" s="108"/>
      <c r="F49" s="108"/>
      <c r="G49" s="108"/>
      <c r="H49" s="62" t="s">
        <v>58</v>
      </c>
      <c r="I49" s="63" t="str">
        <f>'Necesidades Trimestrales'!F47</f>
        <v>UNIDAD</v>
      </c>
      <c r="J49" s="64">
        <f>'Necesidades Trimestrales'!H47</f>
        <v>8</v>
      </c>
      <c r="K49" s="65">
        <f>'Necesidades Trimestrales'!G47</f>
        <v>4500</v>
      </c>
    </row>
    <row r="50" spans="1:1024" ht="33" customHeight="1" thickBot="1" x14ac:dyDescent="0.25">
      <c r="A50" s="8">
        <v>39</v>
      </c>
      <c r="B50" s="61" t="s">
        <v>244</v>
      </c>
      <c r="C50" s="108" t="str">
        <f>'Necesidades Trimestrales'!E48</f>
        <v>BOLSAS DE RESIDUOS; DIMENSION: 45 X 60 Cm, PRESENTACION: UNIDAD, ESPESOR: 45 Mn</v>
      </c>
      <c r="D50" s="108"/>
      <c r="E50" s="108"/>
      <c r="F50" s="108"/>
      <c r="G50" s="108"/>
      <c r="H50" s="62" t="s">
        <v>58</v>
      </c>
      <c r="I50" s="63" t="str">
        <f>'Necesidades Trimestrales'!F48</f>
        <v>UNIDAD</v>
      </c>
      <c r="J50" s="64">
        <f>'Necesidades Trimestrales'!H48</f>
        <v>7.02</v>
      </c>
      <c r="K50" s="65">
        <f>'Necesidades Trimestrales'!G48</f>
        <v>4100</v>
      </c>
    </row>
    <row r="51" spans="1:1024" ht="30" customHeight="1" thickBot="1" x14ac:dyDescent="0.25">
      <c r="A51" s="8">
        <v>40</v>
      </c>
      <c r="B51" s="61" t="str">
        <f>'Necesidades Trimestrales'!B49</f>
        <v>2.3.4-783.84</v>
      </c>
      <c r="C51" s="108" t="str">
        <f>'Necesidades Trimestrales'!E49</f>
        <v>TOALLAS DE PAPEL; MATERIAL: FIBRA CELULOSICA, GRAMAJE: 20 GR/M2, DIMENSION: 25 Cm, PRESENTACION: 2 X BOBINA X 400 M</v>
      </c>
      <c r="D51" s="108"/>
      <c r="E51" s="108"/>
      <c r="F51" s="108"/>
      <c r="G51" s="108"/>
      <c r="H51" s="62" t="s">
        <v>58</v>
      </c>
      <c r="I51" s="63" t="str">
        <f>'Necesidades Trimestrales'!F49</f>
        <v>UNIDAD</v>
      </c>
      <c r="J51" s="64">
        <f>'Necesidades Trimestrales'!H49</f>
        <v>626.95000000000005</v>
      </c>
      <c r="K51" s="65">
        <f>'Necesidades Trimestrales'!G49</f>
        <v>100</v>
      </c>
    </row>
    <row r="52" spans="1:1024" ht="37.5" customHeight="1" thickBot="1" x14ac:dyDescent="0.25">
      <c r="A52" s="8">
        <v>41</v>
      </c>
      <c r="B52" s="61" t="str">
        <f>'Necesidades Trimestrales'!B50</f>
        <v>2.3.4-783.90</v>
      </c>
      <c r="C52" s="108" t="str">
        <f>'Necesidades Trimestrales'!E50</f>
        <v>TOALLAS DE PAPEL; MATERIAL: PAPEL ABSORBENTE, GRAMAJE: 35 GR, DIMENSION: 20 X 24 Cm, PRESENTACION: ENVASE X 2500 HOJAS</v>
      </c>
      <c r="D52" s="108"/>
      <c r="E52" s="108"/>
      <c r="F52" s="108"/>
      <c r="G52" s="108"/>
      <c r="H52" s="62" t="s">
        <v>58</v>
      </c>
      <c r="I52" s="63" t="str">
        <f>'Necesidades Trimestrales'!F50</f>
        <v>BOLSA</v>
      </c>
      <c r="J52" s="64">
        <f>'Necesidades Trimestrales'!H50</f>
        <v>785.1</v>
      </c>
      <c r="K52" s="65">
        <f>'Necesidades Trimestrales'!G50</f>
        <v>142</v>
      </c>
    </row>
    <row r="53" spans="1:1024" ht="20.25" customHeight="1" thickBot="1" x14ac:dyDescent="0.25">
      <c r="A53" s="109" t="s">
        <v>250</v>
      </c>
      <c r="B53" s="110"/>
      <c r="C53" s="110"/>
      <c r="D53" s="110"/>
      <c r="E53" s="110"/>
      <c r="F53" s="110"/>
      <c r="G53" s="110"/>
      <c r="H53" s="110"/>
      <c r="I53" s="110"/>
      <c r="J53" s="111">
        <f>SUMPRODUCT(J12:J52,K12:K52)</f>
        <v>927741.8</v>
      </c>
      <c r="K53" s="111"/>
      <c r="L53"/>
      <c r="M53"/>
      <c r="N53"/>
      <c r="O53" s="80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</sheetData>
  <mergeCells count="6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53:I53"/>
    <mergeCell ref="J53:K5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8:G48"/>
    <mergeCell ref="C49:G49"/>
    <mergeCell ref="C51:G51"/>
    <mergeCell ref="C52:G52"/>
    <mergeCell ref="C50:G5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zoomScale="130" zoomScaleNormal="130" workbookViewId="0">
      <selection activeCell="S16" sqref="S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7" t="s">
        <v>3</v>
      </c>
      <c r="B1" s="147"/>
      <c r="C1" s="147"/>
      <c r="D1" s="148">
        <f>'Necesidades Trimestrales'!C6</f>
        <v>2020</v>
      </c>
      <c r="E1" s="148"/>
      <c r="F1" s="10"/>
      <c r="G1" s="10"/>
      <c r="H1" s="11"/>
      <c r="I1" s="11"/>
      <c r="J1" s="11"/>
      <c r="K1" s="11"/>
      <c r="L1" s="11"/>
      <c r="M1" s="11"/>
      <c r="N1" s="11"/>
      <c r="P1" s="149" t="s">
        <v>32</v>
      </c>
      <c r="Q1" s="14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9"/>
      <c r="Q2" s="149"/>
    </row>
    <row r="4" spans="1:17" s="12" customFormat="1" ht="18" customHeight="1" thickBot="1" x14ac:dyDescent="0.25">
      <c r="A4" s="150" t="s">
        <v>33</v>
      </c>
      <c r="B4" s="150"/>
      <c r="C4" s="150"/>
      <c r="D4" s="150"/>
      <c r="E4" s="150"/>
      <c r="F4" s="150"/>
      <c r="G4" s="145" t="str">
        <f>NotaPedido!D3</f>
        <v>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12" customFormat="1" ht="18" customHeight="1" thickBot="1" x14ac:dyDescent="0.25">
      <c r="A5" s="142" t="s">
        <v>56</v>
      </c>
      <c r="B5" s="143"/>
      <c r="C5" s="143"/>
      <c r="D5" s="143"/>
      <c r="E5" s="143"/>
      <c r="F5" s="144"/>
      <c r="G5" s="145" t="str">
        <f>NotaPedido!D4</f>
        <v>23 - Hospital Interzonal San Juan Bautista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12" customFormat="1" ht="18" customHeight="1" thickBot="1" x14ac:dyDescent="0.25">
      <c r="A6" s="142" t="s">
        <v>34</v>
      </c>
      <c r="B6" s="143"/>
      <c r="C6" s="143"/>
      <c r="D6" s="143"/>
      <c r="E6" s="143"/>
      <c r="F6" s="144"/>
      <c r="G6" s="145" t="str">
        <f>NotaPedido!D5</f>
        <v>237 - Direccion de Mantenimiento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12" customFormat="1" ht="18" customHeight="1" thickBot="1" x14ac:dyDescent="0.25">
      <c r="A7" s="142" t="s">
        <v>57</v>
      </c>
      <c r="B7" s="143"/>
      <c r="C7" s="143"/>
      <c r="D7" s="143"/>
      <c r="E7" s="143"/>
      <c r="F7" s="144"/>
      <c r="G7" s="145" t="str">
        <f>NotaPedido!D6</f>
        <v xml:space="preserve">Depósito Central y Servicio Control de Infecciones 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6" t="s">
        <v>35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36" t="s">
        <v>36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13"/>
    </row>
    <row r="10" spans="1:17" ht="54.75" customHeight="1" x14ac:dyDescent="0.2">
      <c r="A10" s="13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354 - 2020,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8" t="s">
        <v>37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x14ac:dyDescent="0.2">
      <c r="A13" s="139" t="s">
        <v>38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39</v>
      </c>
      <c r="P13" s="140"/>
      <c r="Q13" s="141" t="s">
        <v>40</v>
      </c>
    </row>
    <row r="14" spans="1:17" ht="15.75" customHeight="1" thickBo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40"/>
      <c r="P14" s="140"/>
      <c r="Q14" s="141"/>
    </row>
    <row r="15" spans="1:17" ht="17.25" customHeight="1" x14ac:dyDescent="0.2">
      <c r="A15" s="96">
        <v>33</v>
      </c>
      <c r="B15" s="97"/>
      <c r="C15" s="97"/>
      <c r="D15" s="97">
        <v>4</v>
      </c>
      <c r="E15" s="97"/>
      <c r="F15" s="97">
        <v>4901</v>
      </c>
      <c r="G15" s="97">
        <v>3</v>
      </c>
      <c r="H15" s="98" t="s">
        <v>61</v>
      </c>
      <c r="I15" s="97">
        <v>2</v>
      </c>
      <c r="J15" s="97">
        <v>1</v>
      </c>
      <c r="K15" s="97">
        <v>5</v>
      </c>
      <c r="L15" s="97"/>
      <c r="M15" s="99">
        <v>1</v>
      </c>
      <c r="N15" s="98" t="s">
        <v>62</v>
      </c>
      <c r="O15" s="131" t="s">
        <v>254</v>
      </c>
      <c r="P15" s="131"/>
      <c r="Q15" s="23">
        <v>12000</v>
      </c>
    </row>
    <row r="16" spans="1:17" ht="17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66" t="s">
        <v>61</v>
      </c>
      <c r="I16" s="25">
        <v>2</v>
      </c>
      <c r="J16" s="25">
        <v>3</v>
      </c>
      <c r="K16" s="25">
        <v>4</v>
      </c>
      <c r="L16" s="25"/>
      <c r="M16" s="26">
        <v>1</v>
      </c>
      <c r="N16" s="67" t="s">
        <v>62</v>
      </c>
      <c r="O16" s="132" t="s">
        <v>73</v>
      </c>
      <c r="P16" s="133"/>
      <c r="Q16" s="28">
        <v>190676.2</v>
      </c>
    </row>
    <row r="17" spans="1:19" ht="17.25" customHeight="1" x14ac:dyDescent="0.2">
      <c r="A17" s="24">
        <v>33</v>
      </c>
      <c r="B17" s="25"/>
      <c r="C17" s="25"/>
      <c r="D17" s="25">
        <v>4</v>
      </c>
      <c r="E17" s="25"/>
      <c r="F17" s="27">
        <v>4901</v>
      </c>
      <c r="G17" s="25">
        <v>3</v>
      </c>
      <c r="H17" s="66" t="s">
        <v>61</v>
      </c>
      <c r="I17" s="25">
        <v>2</v>
      </c>
      <c r="J17" s="25">
        <v>5</v>
      </c>
      <c r="K17" s="25">
        <v>4</v>
      </c>
      <c r="L17" s="25"/>
      <c r="M17" s="26">
        <v>1</v>
      </c>
      <c r="N17" s="67" t="s">
        <v>62</v>
      </c>
      <c r="O17" s="134" t="s">
        <v>72</v>
      </c>
      <c r="P17" s="134"/>
      <c r="Q17" s="28">
        <v>98390</v>
      </c>
      <c r="S17" s="68"/>
    </row>
    <row r="18" spans="1:19" ht="17.25" customHeight="1" x14ac:dyDescent="0.2">
      <c r="A18" s="84">
        <v>33</v>
      </c>
      <c r="B18" s="85"/>
      <c r="C18" s="85"/>
      <c r="D18" s="85">
        <v>4</v>
      </c>
      <c r="E18" s="85"/>
      <c r="F18" s="86">
        <v>4901</v>
      </c>
      <c r="G18" s="85">
        <v>3</v>
      </c>
      <c r="H18" s="95" t="s">
        <v>61</v>
      </c>
      <c r="I18" s="85">
        <v>2</v>
      </c>
      <c r="J18" s="85">
        <v>7</v>
      </c>
      <c r="K18" s="85">
        <v>5</v>
      </c>
      <c r="L18" s="85"/>
      <c r="M18" s="87">
        <v>1</v>
      </c>
      <c r="N18" s="94" t="s">
        <v>62</v>
      </c>
      <c r="O18" s="135" t="s">
        <v>252</v>
      </c>
      <c r="P18" s="126"/>
      <c r="Q18" s="88">
        <v>9750</v>
      </c>
    </row>
    <row r="19" spans="1:19" ht="17.25" customHeight="1" x14ac:dyDescent="0.2">
      <c r="A19" s="89">
        <v>33</v>
      </c>
      <c r="B19" s="90"/>
      <c r="C19" s="90"/>
      <c r="D19" s="90">
        <v>4</v>
      </c>
      <c r="E19" s="90"/>
      <c r="F19" s="90">
        <v>4901</v>
      </c>
      <c r="G19" s="90">
        <v>3</v>
      </c>
      <c r="H19" s="91" t="s">
        <v>61</v>
      </c>
      <c r="I19" s="92">
        <v>2</v>
      </c>
      <c r="J19" s="92">
        <v>9</v>
      </c>
      <c r="K19" s="92">
        <v>1</v>
      </c>
      <c r="L19" s="90"/>
      <c r="M19" s="93">
        <v>1</v>
      </c>
      <c r="N19" s="91" t="s">
        <v>62</v>
      </c>
      <c r="O19" s="127" t="s">
        <v>71</v>
      </c>
      <c r="P19" s="127"/>
      <c r="Q19" s="28">
        <v>616925.6</v>
      </c>
    </row>
    <row r="20" spans="1:19" ht="17.25" customHeight="1" x14ac:dyDescent="0.2">
      <c r="A20" s="84"/>
      <c r="B20" s="85"/>
      <c r="C20" s="85"/>
      <c r="D20" s="85"/>
      <c r="E20" s="85"/>
      <c r="F20" s="86"/>
      <c r="G20" s="85"/>
      <c r="H20" s="85"/>
      <c r="I20" s="85"/>
      <c r="J20" s="85"/>
      <c r="K20" s="85"/>
      <c r="L20" s="85"/>
      <c r="M20" s="87"/>
      <c r="N20" s="86"/>
      <c r="O20" s="126"/>
      <c r="P20" s="126"/>
      <c r="Q20" s="88"/>
    </row>
    <row r="21" spans="1:19" ht="17.25" customHeight="1" x14ac:dyDescent="0.2">
      <c r="A21" s="89"/>
      <c r="B21" s="90"/>
      <c r="C21" s="90"/>
      <c r="D21" s="90"/>
      <c r="E21" s="90"/>
      <c r="F21" s="90"/>
      <c r="G21" s="90"/>
      <c r="H21" s="91"/>
      <c r="I21" s="92"/>
      <c r="J21" s="92"/>
      <c r="K21" s="92"/>
      <c r="L21" s="90"/>
      <c r="M21" s="93"/>
      <c r="N21" s="91"/>
      <c r="O21" s="127"/>
      <c r="P21" s="127"/>
      <c r="Q21" s="28"/>
      <c r="R21" s="1"/>
    </row>
    <row r="22" spans="1:19" ht="17.25" customHeight="1" thickBo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0"/>
      <c r="O22" s="128"/>
      <c r="P22" s="128"/>
      <c r="Q22" s="32"/>
    </row>
    <row r="23" spans="1:19" ht="20.25" customHeight="1" x14ac:dyDescent="0.2">
      <c r="A23" s="129" t="s">
        <v>253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33">
        <f>SUM(Q15:Q22)</f>
        <v>927741.8</v>
      </c>
    </row>
    <row r="24" spans="1:19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7.25" customHeight="1" thickBot="1" x14ac:dyDescent="0.25">
      <c r="A25" s="121" t="s">
        <v>54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9" ht="18" customHeight="1" thickBot="1" x14ac:dyDescent="0.25">
      <c r="A26" s="125" t="str">
        <f>"Para la "&amp; NotaPedido!D8 &amp;" para ser destinados al " &amp; NotaPedido!D6 &amp;"  del HISJB del Ministerio de Salud."</f>
        <v>Para la Adquisición de Elementos de Limpieza para ser destinados al Depósito Central y Servicio Control de Infecciones   del HISJB del Ministerio de Salud.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  <row r="27" spans="1:19" ht="15" customHeight="1" x14ac:dyDescent="0.2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SILVINA ATENCIO</cp:lastModifiedBy>
  <cp:revision>2</cp:revision>
  <cp:lastPrinted>2020-07-17T22:18:48Z</cp:lastPrinted>
  <dcterms:created xsi:type="dcterms:W3CDTF">2020-07-17T23:44:49Z</dcterms:created>
  <dcterms:modified xsi:type="dcterms:W3CDTF">2021-08-17T15:47:58Z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