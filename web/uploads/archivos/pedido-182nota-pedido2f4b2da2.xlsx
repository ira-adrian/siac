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NotaPedido'!$A$1:$K$24</definedName>
    <definedName name="_xlnm.Print_Area" localSheetId="2">'Autor Gastar'!$A$1:$Q$27</definedName>
    <definedName name="_xlnm.Print_Area" localSheetId="0">'Necesidades Trimestrales'!$E$9:$E$19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2" l="1"/>
  <c r="I22" i="2"/>
  <c r="I23" i="2"/>
  <c r="C22" i="2"/>
  <c r="K22" i="2"/>
  <c r="K23" i="2"/>
  <c r="J22" i="2"/>
  <c r="J23" i="2"/>
  <c r="C23" i="2"/>
  <c r="B22" i="2"/>
  <c r="B23" i="2"/>
  <c r="I21" i="1"/>
  <c r="I20" i="1"/>
  <c r="Q23" i="3" l="1"/>
  <c r="I16" i="3" l="1"/>
  <c r="A10" i="3" l="1"/>
  <c r="B14" i="2" l="1"/>
  <c r="B15" i="2"/>
  <c r="B16" i="2"/>
  <c r="B17" i="2"/>
  <c r="B18" i="2"/>
  <c r="B19" i="2"/>
  <c r="B20" i="2"/>
  <c r="B21" i="2"/>
  <c r="C20" i="2"/>
  <c r="C21" i="2"/>
  <c r="C16" i="2"/>
  <c r="C17" i="2"/>
  <c r="C18" i="2"/>
  <c r="C19" i="2"/>
  <c r="C15" i="2"/>
  <c r="C14" i="2"/>
  <c r="I14" i="2"/>
  <c r="I15" i="2"/>
  <c r="I16" i="2"/>
  <c r="I17" i="2"/>
  <c r="I18" i="2"/>
  <c r="I19" i="2"/>
  <c r="I20" i="2"/>
  <c r="I21" i="2"/>
  <c r="J14" i="2"/>
  <c r="J15" i="2"/>
  <c r="J16" i="2"/>
  <c r="J17" i="2"/>
  <c r="J18" i="2"/>
  <c r="J19" i="2"/>
  <c r="J20" i="2"/>
  <c r="J21" i="2"/>
  <c r="K14" i="2"/>
  <c r="K15" i="2"/>
  <c r="K16" i="2"/>
  <c r="K17" i="2"/>
  <c r="K18" i="2"/>
  <c r="K19" i="2"/>
  <c r="K20" i="2"/>
  <c r="K21" i="2"/>
  <c r="I13" i="2"/>
  <c r="J13" i="2"/>
  <c r="K13" i="2"/>
  <c r="C13" i="2"/>
  <c r="B13" i="2"/>
  <c r="I12" i="1" l="1"/>
  <c r="I13" i="1"/>
  <c r="I16" i="1"/>
  <c r="I17" i="1"/>
  <c r="I18" i="1"/>
  <c r="I19" i="1"/>
  <c r="I11" i="1"/>
  <c r="G6" i="3" l="1"/>
  <c r="G7" i="3"/>
  <c r="D7" i="2"/>
  <c r="D3" i="2"/>
  <c r="G4" i="3" s="1"/>
  <c r="D4" i="2"/>
  <c r="G5" i="3" s="1"/>
  <c r="D1" i="3" l="1"/>
  <c r="K12" i="2"/>
  <c r="J12" i="2"/>
  <c r="J24" i="2" s="1"/>
  <c r="C12" i="2"/>
  <c r="B12" i="2"/>
  <c r="I10" i="1"/>
  <c r="I15" i="3"/>
</calcChain>
</file>

<file path=xl/sharedStrings.xml><?xml version="1.0" encoding="utf-8"?>
<sst xmlns="http://schemas.openxmlformats.org/spreadsheetml/2006/main" count="150" uniqueCount="113">
  <si>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</si>
  <si>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</si>
  <si>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</si>
  <si>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</si>
  <si>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</si>
  <si>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</si>
  <si>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</si>
  <si>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</si>
  <si>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</si>
  <si>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</si>
  <si>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</si>
  <si>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</si>
  <si>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</si>
  <si>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</si>
  <si>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</si>
  <si>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</si>
  <si>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</si>
  <si>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</si>
  <si>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</si>
  <si>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</si>
  <si>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</si>
  <si>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</si>
  <si>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</si>
  <si>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</si>
  <si>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</si>
  <si>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</si>
  <si>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</si>
  <si>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</si>
  <si>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</si>
  <si>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</si>
  <si>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</si>
  <si>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</si>
  <si>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</si>
  <si>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</si>
  <si>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</si>
  <si>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</si>
  <si>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</si>
  <si>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</si>
  <si>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</si>
  <si>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</si>
  <si>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</si>
  <si>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</si>
  <si>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</si>
  <si>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</si>
  <si>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</si>
  <si>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</si>
  <si>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</si>
  <si>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</si>
  <si>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</si>
  <si>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</si>
  <si>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</si>
  <si>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</si>
  <si>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</si>
  <si>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</si>
  <si>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024 - Hospital Interzonal de Niños</t>
  </si>
  <si>
    <t>040 - Ministerio de Salud</t>
  </si>
  <si>
    <t>Servicio de Alimentacion y Dietoterapia</t>
  </si>
  <si>
    <t>1.1</t>
  </si>
  <si>
    <t>NO</t>
  </si>
  <si>
    <t>BAZAR Y MENAJE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</si>
  <si>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</si>
  <si>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</si>
  <si>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</si>
  <si>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</si>
  <si>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</si>
  <si>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</si>
  <si>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</si>
  <si>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</si>
  <si>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</si>
  <si>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</si>
  <si>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</si>
  <si>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</si>
  <si>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</si>
  <si>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</si>
  <si>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</si>
  <si>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</si>
  <si>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Productos de Papel y Carton</t>
  </si>
  <si>
    <t>Para la adquisición de Descartables de Cocina destinados al servico de Alimentacion y Dietoterapia del Hospital Interzonal de Niños Eva Peron, para el normal funcionamiento del organismo.</t>
  </si>
  <si>
    <t>Adquisición de Descartables de Cocina</t>
  </si>
  <si>
    <t>2.3.4-938.13</t>
  </si>
  <si>
    <t>FERRETERIA</t>
  </si>
  <si>
    <r>
      <t>Mantenimiento de Oferta</t>
    </r>
    <r>
      <rPr>
        <sz val="10"/>
        <rFont val="Times New Roman"/>
        <family val="1"/>
      </rPr>
      <t>: 45 dias habiles</t>
    </r>
  </si>
  <si>
    <t>ROLLO</t>
  </si>
  <si>
    <t>Productos de Material Plastico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</si>
  <si>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</si>
  <si>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Descripción técnica</t>
  </si>
  <si>
    <t>REFORZADOS DESCARTABLES.</t>
  </si>
  <si>
    <t>Especificidades Item N° 3 y 4:</t>
  </si>
  <si>
    <t>Especificidades Item N° 2:</t>
  </si>
  <si>
    <t>SOPERAS, REFORZADAS DESCARTABLES.</t>
  </si>
  <si>
    <t>VASOS PLASTICOS DESCARTABLES; MATERIAL: POLIESTIRENO, MOTIVO: LISO, CAPACIDAD: 250 CM3, PRESENTACION: BOLSA X 100 UN, TIPO: BLANCO</t>
  </si>
  <si>
    <t>BOLSA</t>
  </si>
  <si>
    <t>2.9.4-588.50</t>
  </si>
  <si>
    <t>VASOS PLASTICOS DESCARTABLES; MATERIAL: POLIETILENO, CAPACIDAD: 220 CM3, PRESENTACION: PAQUETE X 100 UN, TIPO: BLANCO, MOTIVO: LISO</t>
  </si>
  <si>
    <t>ROLLO DE BOLSAS DE ARRANQUE.</t>
  </si>
  <si>
    <t>Especificidades Item N° 11 y 12:</t>
  </si>
  <si>
    <t>Especificidades Item N° 1:</t>
  </si>
  <si>
    <t>CON TAPA.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</si>
  <si>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</si>
  <si>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SI</t>
  </si>
  <si>
    <t>BOLSAS DE POLIETILENO; TAMAÑO: 20 X 30 Cm, ESPESOR: 30 mm, PRESENTACION: ENVASE X 100 UN</t>
  </si>
  <si>
    <t>BOLSAS DE POLIETILENO; TAMAÑO: 35 X 45 Cm, ESPESOR: 30 Mn, PRESENTACION: ROLLO X 150 UN</t>
  </si>
  <si>
    <t>2.5.8-3977.78</t>
  </si>
  <si>
    <t>2.5.8-3977.63</t>
  </si>
  <si>
    <t>036/2022</t>
  </si>
  <si>
    <t>TOTAL DE PESOS: DOS MILLONES CIENTO VEINTINUEVE MIL DOSCIENTOS CON 00/100.</t>
  </si>
  <si>
    <t>Costo total estimado: Dos Millones Ciento Veintinueve Mil Doscientos con 00/100.</t>
  </si>
  <si>
    <t>Utensilios de Cocina y Comedor</t>
  </si>
  <si>
    <t>2.9.4-588.xx</t>
  </si>
  <si>
    <t>d</t>
  </si>
  <si>
    <t>av</t>
  </si>
  <si>
    <t>s</t>
  </si>
  <si>
    <t>SERVILLETAS DE PAPEL; PRESENTACION: PAQUETE X 100, DIMENSION: 24 X 24 Cm, COLOR: BLANCO, MOTIVO: SIN VALOR, TIPO: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</si>
</sst>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7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4" fillId="4" borderId="56" xfId="0" applyFont="1" applyFill="1" applyBorder="1" applyAlignment="1">
      <alignment horizontal="center" vertical="center"/>
    </xf>
    <xf numFmtId="166" fontId="4" fillId="3" borderId="56" xfId="1" applyNumberFormat="1" applyFont="1" applyFill="1" applyBorder="1" applyAlignment="1" applyProtection="1">
      <alignment horizontal="right" vertical="center" wrapText="1"/>
    </xf>
    <xf numFmtId="3" fontId="4" fillId="3" borderId="5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166" fontId="4" fillId="3" borderId="21" xfId="1" applyNumberFormat="1" applyFont="1" applyFill="1" applyBorder="1" applyAlignment="1" applyProtection="1">
      <alignment horizontal="right" vertical="center" wrapText="1"/>
    </xf>
    <xf numFmtId="3" fontId="4" fillId="3" borderId="21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 wrapText="1"/>
    </xf>
    <xf numFmtId="0" fontId="14" fillId="0" borderId="54" xfId="0" applyFont="1" applyBorder="1" applyAlignment="1">
      <alignment vertical="center" wrapText="1"/>
    </xf>
    <xf numFmtId="0" fontId="23" fillId="4" borderId="54" xfId="0" applyFont="1" applyFill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0" fillId="4" borderId="60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6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indent="3"/>
    </xf>
    <xf numFmtId="0" fontId="14" fillId="0" borderId="3" xfId="0" applyFont="1" applyBorder="1" applyAlignment="1">
      <alignment wrapText="1"/>
    </xf>
    <xf numFmtId="0" fontId="14" fillId="0" borderId="54" xfId="0" applyFont="1" applyBorder="1" applyAlignment="1">
      <alignment wrapText="1"/>
    </xf>
    <xf numFmtId="0" fontId="14" fillId="0" borderId="62" xfId="0" applyFont="1" applyBorder="1" applyAlignment="1">
      <alignment horizontal="center" vertical="center"/>
    </xf>
    <xf numFmtId="166" fontId="20" fillId="4" borderId="63" xfId="1" applyNumberFormat="1" applyFont="1" applyFill="1" applyBorder="1" applyAlignment="1" applyProtection="1">
      <alignment horizontal="right" vertical="center" wrapText="1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166" fontId="20" fillId="4" borderId="64" xfId="1" applyNumberFormat="1" applyFont="1" applyFill="1" applyBorder="1" applyAlignment="1" applyProtection="1">
      <alignment horizontal="right" vertical="center" wrapText="1"/>
    </xf>
    <xf numFmtId="0" fontId="14" fillId="0" borderId="65" xfId="0" applyFont="1" applyBorder="1" applyAlignment="1">
      <alignment horizontal="center" vertical="center"/>
    </xf>
    <xf numFmtId="0" fontId="21" fillId="0" borderId="10" xfId="0" applyFont="1" applyBorder="1" applyAlignment="1"/>
    <xf numFmtId="0" fontId="15" fillId="0" borderId="66" xfId="0" applyFont="1" applyBorder="1" applyAlignment="1">
      <alignment horizontal="center" wrapText="1"/>
    </xf>
    <xf numFmtId="0" fontId="15" fillId="0" borderId="66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0" fillId="0" borderId="54" xfId="0" applyBorder="1" applyAlignment="1">
      <alignment wrapText="1"/>
    </xf>
    <xf numFmtId="0" fontId="21" fillId="0" borderId="5" xfId="0" applyFont="1" applyBorder="1"/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0" xfId="0" applyFont="1" applyFill="1" applyBorder="1"/>
    <xf numFmtId="0" fontId="15" fillId="0" borderId="9" xfId="0" applyFont="1" applyFill="1" applyBorder="1"/>
    <xf numFmtId="0" fontId="21" fillId="0" borderId="8" xfId="0" applyFont="1" applyBorder="1" applyAlignment="1"/>
    <xf numFmtId="0" fontId="19" fillId="0" borderId="67" xfId="0" applyFont="1" applyBorder="1" applyAlignment="1">
      <alignment horizontal="center" vertical="center" wrapText="1"/>
    </xf>
    <xf numFmtId="0" fontId="0" fillId="0" borderId="59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54" xfId="0" applyBorder="1" applyAlignment="1">
      <alignment vertical="center"/>
    </xf>
    <xf numFmtId="0" fontId="14" fillId="0" borderId="59" xfId="0" applyFont="1" applyBorder="1" applyAlignment="1">
      <alignment vertical="center" wrapText="1"/>
    </xf>
    <xf numFmtId="0" fontId="15" fillId="0" borderId="54" xfId="0" applyFont="1" applyBorder="1" applyAlignment="1">
      <alignment horizontal="center"/>
    </xf>
    <xf numFmtId="0" fontId="14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169" fontId="15" fillId="0" borderId="0" xfId="0" applyNumberFormat="1" applyFont="1"/>
    <xf numFmtId="0" fontId="15" fillId="0" borderId="10" xfId="0" applyFont="1" applyFill="1" applyBorder="1" applyAlignment="1">
      <alignment horizontal="left" vertical="center" wrapText="1"/>
    </xf>
    <xf numFmtId="0" fontId="15" fillId="0" borderId="66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 indent="1"/>
    </xf>
    <xf numFmtId="0" fontId="7" fillId="3" borderId="17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0" fillId="0" borderId="39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14" fillId="5" borderId="58" xfId="0" applyFont="1" applyFill="1" applyBorder="1" applyAlignment="1">
      <alignment horizontal="center" vertical="center"/>
    </xf>
    <xf numFmtId="0" fontId="14" fillId="5" borderId="68" xfId="0" applyFont="1" applyFill="1" applyBorder="1" applyAlignment="1">
      <alignment horizontal="center" vertical="center"/>
    </xf>
    <xf numFmtId="0" fontId="23" fillId="6" borderId="54" xfId="0" applyFont="1" applyFill="1" applyBorder="1" applyAlignment="1">
      <alignment horizontal="center" vertical="center" wrapText="1"/>
    </xf>
    <xf numFmtId="0" fontId="23" fillId="5" borderId="54" xfId="0" applyFont="1" applyFill="1" applyBorder="1" applyAlignment="1">
      <alignment horizontal="center" vertical="center" wrapText="1"/>
    </xf>
    <xf numFmtId="166" fontId="20" fillId="6" borderId="50" xfId="1" applyNumberFormat="1" applyFont="1" applyFill="1" applyBorder="1" applyAlignment="1" applyProtection="1">
      <alignment horizontal="right" vertical="center" wrapText="1"/>
    </xf>
    <xf numFmtId="0" fontId="0" fillId="5" borderId="0" xfId="0" applyFill="1" applyAlignment="1">
      <alignment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3"/>
  <sheetViews>
    <sheetView tabSelected="1" zoomScale="98" zoomScaleNormal="98" workbookViewId="0">
      <selection activeCell="B2" sqref="A2:H7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2" width="11.5703125" style="32" bestFit="1" customWidth="1"/>
    <col min="13" max="16384" width="11" style="32"/>
  </cols>
  <sheetData>
    <row r="2" spans="1:12" ht="27" x14ac:dyDescent="0.35">
      <c r="B2" s="123" t="s">
        <v>0</v>
      </c>
      <c r="C2" s="123"/>
      <c r="D2" s="123"/>
      <c r="E2" s="123"/>
      <c r="F2" s="123"/>
      <c r="G2" s="123"/>
      <c r="H2" s="123"/>
    </row>
    <row r="3" spans="1:12" ht="12" customHeight="1" x14ac:dyDescent="0.2"/>
    <row r="4" spans="1:12" ht="18" customHeight="1" x14ac:dyDescent="0.25">
      <c r="A4" s="122" t="s">
        <v>1</v>
      </c>
      <c r="B4" s="122"/>
      <c r="C4" s="124" t="s">
        <v>55</v>
      </c>
      <c r="D4" s="124"/>
      <c r="E4" s="124"/>
      <c r="F4" s="33"/>
      <c r="G4" s="34"/>
      <c r="H4" s="33"/>
    </row>
    <row r="5" spans="1:12" ht="18" customHeight="1" x14ac:dyDescent="0.25">
      <c r="A5" s="122" t="s">
        <v>2</v>
      </c>
      <c r="B5" s="122"/>
      <c r="C5" s="124" t="s">
        <v>54</v>
      </c>
      <c r="D5" s="124"/>
      <c r="E5" s="124"/>
      <c r="F5" s="33"/>
      <c r="G5" s="34"/>
      <c r="H5" s="33"/>
    </row>
    <row r="6" spans="1:12" ht="16.5" customHeight="1" x14ac:dyDescent="0.25">
      <c r="A6" s="122" t="s">
        <v>3</v>
      </c>
      <c r="B6" s="122"/>
      <c r="C6" s="62">
        <v>2022</v>
      </c>
      <c r="D6" s="63"/>
      <c r="E6" s="63"/>
      <c r="F6" s="33"/>
      <c r="G6" s="34"/>
      <c r="H6" s="33"/>
    </row>
    <row r="7" spans="1:12" ht="16.5" customHeight="1" x14ac:dyDescent="0.25">
      <c r="A7" s="122" t="s">
        <v>4</v>
      </c>
      <c r="B7" s="122"/>
      <c r="C7" s="62">
        <v>2</v>
      </c>
      <c r="D7" s="63"/>
      <c r="E7" s="63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9" t="s">
        <v>5</v>
      </c>
      <c r="B9" s="39" t="s">
        <v>6</v>
      </c>
      <c r="C9" s="39" t="s">
        <v>7</v>
      </c>
      <c r="D9" s="40" t="s">
        <v>8</v>
      </c>
      <c r="E9" s="106" t="s">
        <v>9</v>
      </c>
      <c r="F9" s="41" t="s">
        <v>10</v>
      </c>
      <c r="G9" s="35" t="s">
        <v>11</v>
      </c>
      <c r="H9" s="35" t="s">
        <v>12</v>
      </c>
      <c r="I9" s="35" t="s">
        <v>13</v>
      </c>
    </row>
    <row r="10" spans="1:12" ht="39" thickTop="1" x14ac:dyDescent="0.2">
      <c r="A10" s="71">
        <v>1</v>
      </c>
      <c r="B10" s="166" t="s">
        <v>108</v>
      </c>
      <c r="C10" s="88" t="s">
        <v>59</v>
      </c>
      <c r="D10" s="72">
        <v>294</v>
      </c>
      <c r="E10" s="108" t="s">
        <v>90</v>
      </c>
      <c r="F10" s="73" t="s">
        <v>91</v>
      </c>
      <c r="G10" s="73">
        <v>240</v>
      </c>
      <c r="H10" s="64">
        <v>1600</v>
      </c>
      <c r="I10" s="65">
        <f>H10*G10</f>
        <v>384000</v>
      </c>
      <c r="K10" s="38"/>
      <c r="L10" s="38"/>
    </row>
    <row r="11" spans="1:12" ht="25.5" x14ac:dyDescent="0.2">
      <c r="A11" s="74">
        <v>2</v>
      </c>
      <c r="B11" s="112" t="s">
        <v>60</v>
      </c>
      <c r="C11" s="89" t="s">
        <v>59</v>
      </c>
      <c r="D11" s="168"/>
      <c r="E11" s="76" t="s">
        <v>61</v>
      </c>
      <c r="F11" s="77" t="s">
        <v>14</v>
      </c>
      <c r="G11" s="77">
        <v>8000</v>
      </c>
      <c r="H11" s="66">
        <v>4.5999999999999996</v>
      </c>
      <c r="I11" s="67">
        <f>G11*H11</f>
        <v>36800</v>
      </c>
      <c r="K11" s="38"/>
      <c r="L11" s="38"/>
    </row>
    <row r="12" spans="1:12" ht="25.5" x14ac:dyDescent="0.2">
      <c r="A12" s="165" t="s">
        <v>109</v>
      </c>
      <c r="B12" s="112" t="s">
        <v>62</v>
      </c>
      <c r="C12" s="89" t="s">
        <v>59</v>
      </c>
      <c r="D12" s="75">
        <v>294</v>
      </c>
      <c r="E12" s="76" t="s">
        <v>63</v>
      </c>
      <c r="F12" s="77" t="s">
        <v>14</v>
      </c>
      <c r="G12" s="77">
        <v>5000</v>
      </c>
      <c r="H12" s="66">
        <v>3.3</v>
      </c>
      <c r="I12" s="67">
        <f t="shared" ref="I12:I19" si="0">G12*H12</f>
        <v>16500</v>
      </c>
      <c r="K12" s="38"/>
      <c r="L12" s="38"/>
    </row>
    <row r="13" spans="1:12" ht="25.5" x14ac:dyDescent="0.2">
      <c r="A13" s="74">
        <v>4</v>
      </c>
      <c r="B13" s="112" t="s">
        <v>64</v>
      </c>
      <c r="C13" s="89" t="s">
        <v>59</v>
      </c>
      <c r="D13" s="75">
        <v>294</v>
      </c>
      <c r="E13" s="76" t="s">
        <v>65</v>
      </c>
      <c r="F13" s="77" t="s">
        <v>14</v>
      </c>
      <c r="G13" s="77">
        <v>8000</v>
      </c>
      <c r="H13" s="66">
        <v>3.3</v>
      </c>
      <c r="I13" s="67">
        <f t="shared" si="0"/>
        <v>26400</v>
      </c>
      <c r="K13" s="38"/>
      <c r="L13" s="38"/>
    </row>
    <row r="14" spans="1:12" ht="38.25" x14ac:dyDescent="0.2">
      <c r="A14" s="74">
        <v>5</v>
      </c>
      <c r="B14" s="112" t="s">
        <v>66</v>
      </c>
      <c r="C14" s="89" t="s">
        <v>59</v>
      </c>
      <c r="D14" s="75">
        <v>294</v>
      </c>
      <c r="E14" s="89" t="s">
        <v>67</v>
      </c>
      <c r="F14" s="77" t="s">
        <v>53</v>
      </c>
      <c r="G14" s="167" t="s">
        <v>110</v>
      </c>
      <c r="H14" s="66">
        <v>1000</v>
      </c>
      <c r="I14" s="67">
        <v>200000</v>
      </c>
    </row>
    <row r="15" spans="1:12" ht="25.5" x14ac:dyDescent="0.2">
      <c r="A15" s="74">
        <v>6</v>
      </c>
      <c r="B15" s="112" t="s">
        <v>92</v>
      </c>
      <c r="C15" s="89" t="s">
        <v>59</v>
      </c>
      <c r="D15" s="75">
        <v>294</v>
      </c>
      <c r="E15" s="89" t="s">
        <v>93</v>
      </c>
      <c r="F15" s="77" t="s">
        <v>53</v>
      </c>
      <c r="G15" s="77">
        <v>240</v>
      </c>
      <c r="H15" s="66">
        <v>600</v>
      </c>
      <c r="I15" s="169" t="s">
        <v>111</v>
      </c>
    </row>
    <row r="16" spans="1:12" ht="25.5" x14ac:dyDescent="0.2">
      <c r="A16" s="74">
        <v>7</v>
      </c>
      <c r="B16" s="113" t="s">
        <v>79</v>
      </c>
      <c r="C16" s="89" t="s">
        <v>59</v>
      </c>
      <c r="D16" s="75">
        <v>234</v>
      </c>
      <c r="E16" s="170" t="s">
        <v>112</v>
      </c>
      <c r="F16" s="77" t="s">
        <v>53</v>
      </c>
      <c r="G16" s="77">
        <v>50</v>
      </c>
      <c r="H16" s="66">
        <v>190</v>
      </c>
      <c r="I16" s="67">
        <f t="shared" si="0"/>
        <v>9500</v>
      </c>
    </row>
    <row r="17" spans="1:11" ht="25.5" x14ac:dyDescent="0.2">
      <c r="A17" s="74">
        <v>8</v>
      </c>
      <c r="B17" s="112" t="s">
        <v>68</v>
      </c>
      <c r="C17" s="89" t="s">
        <v>59</v>
      </c>
      <c r="D17" s="75">
        <v>234</v>
      </c>
      <c r="E17" s="76" t="s">
        <v>69</v>
      </c>
      <c r="F17" s="77" t="s">
        <v>70</v>
      </c>
      <c r="G17" s="77">
        <v>40</v>
      </c>
      <c r="H17" s="66">
        <v>1800</v>
      </c>
      <c r="I17" s="67">
        <f t="shared" si="0"/>
        <v>72000</v>
      </c>
      <c r="K17" s="38"/>
    </row>
    <row r="18" spans="1:11" ht="25.5" x14ac:dyDescent="0.2">
      <c r="A18" s="74">
        <v>9</v>
      </c>
      <c r="B18" s="112" t="s">
        <v>71</v>
      </c>
      <c r="C18" s="89" t="s">
        <v>59</v>
      </c>
      <c r="D18" s="75">
        <v>294</v>
      </c>
      <c r="E18" s="89" t="s">
        <v>72</v>
      </c>
      <c r="F18" s="77" t="s">
        <v>14</v>
      </c>
      <c r="G18" s="77">
        <v>36000</v>
      </c>
      <c r="H18" s="66">
        <v>31</v>
      </c>
      <c r="I18" s="67">
        <f t="shared" si="0"/>
        <v>1116000</v>
      </c>
      <c r="K18" s="38"/>
    </row>
    <row r="19" spans="1:11" ht="38.25" customHeight="1" x14ac:dyDescent="0.2">
      <c r="A19" s="90">
        <v>10</v>
      </c>
      <c r="B19" s="112" t="s">
        <v>73</v>
      </c>
      <c r="C19" s="89" t="s">
        <v>74</v>
      </c>
      <c r="D19" s="75">
        <v>258</v>
      </c>
      <c r="E19" s="89" t="s">
        <v>75</v>
      </c>
      <c r="F19" s="77" t="s">
        <v>14</v>
      </c>
      <c r="G19" s="77">
        <v>20</v>
      </c>
      <c r="H19" s="92">
        <v>3200</v>
      </c>
      <c r="I19" s="91">
        <f t="shared" si="0"/>
        <v>64000</v>
      </c>
    </row>
    <row r="20" spans="1:11" ht="25.5" x14ac:dyDescent="0.2">
      <c r="A20" s="74">
        <v>11</v>
      </c>
      <c r="B20" s="112" t="s">
        <v>102</v>
      </c>
      <c r="C20" s="109" t="s">
        <v>80</v>
      </c>
      <c r="D20" s="75">
        <v>258</v>
      </c>
      <c r="E20" s="99" t="s">
        <v>100</v>
      </c>
      <c r="F20" s="111" t="s">
        <v>82</v>
      </c>
      <c r="G20" s="111">
        <v>20</v>
      </c>
      <c r="H20" s="92">
        <v>1500</v>
      </c>
      <c r="I20" s="93">
        <f t="shared" ref="I20:I21" si="1">G20*H20</f>
        <v>30000</v>
      </c>
      <c r="K20" s="38"/>
    </row>
    <row r="21" spans="1:11" ht="26.25" thickBot="1" x14ac:dyDescent="0.25">
      <c r="A21" s="94">
        <v>12</v>
      </c>
      <c r="B21" s="114" t="s">
        <v>103</v>
      </c>
      <c r="C21" s="110" t="s">
        <v>80</v>
      </c>
      <c r="D21" s="78">
        <v>258</v>
      </c>
      <c r="E21" s="107" t="s">
        <v>101</v>
      </c>
      <c r="F21" s="111" t="s">
        <v>82</v>
      </c>
      <c r="G21" s="111">
        <v>20</v>
      </c>
      <c r="H21" s="92">
        <v>1500</v>
      </c>
      <c r="I21" s="93">
        <f t="shared" si="1"/>
        <v>30000</v>
      </c>
    </row>
    <row r="22" spans="1:11" ht="13.5" thickBot="1" x14ac:dyDescent="0.25">
      <c r="I22" s="38"/>
      <c r="K22" s="115"/>
    </row>
    <row r="23" spans="1:11" x14ac:dyDescent="0.2">
      <c r="B23" s="87" t="s">
        <v>15</v>
      </c>
      <c r="C23" s="36"/>
      <c r="D23" s="36"/>
      <c r="E23" s="37"/>
    </row>
    <row r="24" spans="1:11" ht="12.75" customHeight="1" x14ac:dyDescent="0.2">
      <c r="B24" s="119" t="s">
        <v>84</v>
      </c>
      <c r="C24" s="120"/>
      <c r="D24" s="120"/>
      <c r="E24" s="121"/>
    </row>
    <row r="25" spans="1:11" ht="26.25" customHeight="1" x14ac:dyDescent="0.2">
      <c r="B25" s="119"/>
      <c r="C25" s="120"/>
      <c r="D25" s="120"/>
      <c r="E25" s="121"/>
    </row>
    <row r="26" spans="1:11" ht="16.5" customHeight="1" x14ac:dyDescent="0.2">
      <c r="B26" s="119" t="s">
        <v>98</v>
      </c>
      <c r="C26" s="120"/>
      <c r="D26" s="120"/>
      <c r="E26" s="121"/>
    </row>
    <row r="27" spans="1:11" ht="16.5" customHeight="1" thickBot="1" x14ac:dyDescent="0.25">
      <c r="B27" s="95" t="s">
        <v>81</v>
      </c>
      <c r="C27" s="96"/>
      <c r="D27" s="97"/>
      <c r="E27" s="98"/>
    </row>
    <row r="28" spans="1:11" ht="13.5" thickBot="1" x14ac:dyDescent="0.25"/>
    <row r="29" spans="1:11" x14ac:dyDescent="0.2">
      <c r="B29" s="100" t="s">
        <v>96</v>
      </c>
      <c r="C29" s="101"/>
      <c r="D29" s="101"/>
      <c r="E29" s="102"/>
    </row>
    <row r="30" spans="1:11" x14ac:dyDescent="0.2">
      <c r="B30" s="105" t="s">
        <v>85</v>
      </c>
      <c r="C30" s="103"/>
      <c r="D30" s="103"/>
      <c r="E30" s="104"/>
    </row>
    <row r="31" spans="1:11" ht="13.5" thickBot="1" x14ac:dyDescent="0.25">
      <c r="B31" s="116" t="s">
        <v>97</v>
      </c>
      <c r="C31" s="117"/>
      <c r="D31" s="117"/>
      <c r="E31" s="118"/>
    </row>
    <row r="32" spans="1:11" ht="13.5" thickBot="1" x14ac:dyDescent="0.25"/>
    <row r="33" spans="2:5" x14ac:dyDescent="0.2">
      <c r="B33" s="100" t="s">
        <v>88</v>
      </c>
      <c r="C33" s="101"/>
      <c r="D33" s="101"/>
      <c r="E33" s="102"/>
    </row>
    <row r="34" spans="2:5" x14ac:dyDescent="0.2">
      <c r="B34" s="105" t="s">
        <v>85</v>
      </c>
      <c r="C34" s="103"/>
      <c r="D34" s="103"/>
      <c r="E34" s="104"/>
    </row>
    <row r="35" spans="2:5" ht="18" customHeight="1" thickBot="1" x14ac:dyDescent="0.25">
      <c r="B35" s="116" t="s">
        <v>89</v>
      </c>
      <c r="C35" s="117"/>
      <c r="D35" s="117"/>
      <c r="E35" s="118"/>
    </row>
    <row r="36" spans="2:5" ht="13.5" thickBot="1" x14ac:dyDescent="0.25"/>
    <row r="37" spans="2:5" x14ac:dyDescent="0.2">
      <c r="B37" s="100" t="s">
        <v>87</v>
      </c>
      <c r="C37" s="101"/>
      <c r="D37" s="101"/>
      <c r="E37" s="102"/>
    </row>
    <row r="38" spans="2:5" x14ac:dyDescent="0.2">
      <c r="B38" s="105" t="s">
        <v>85</v>
      </c>
      <c r="C38" s="103"/>
      <c r="D38" s="103"/>
      <c r="E38" s="104"/>
    </row>
    <row r="39" spans="2:5" ht="13.5" thickBot="1" x14ac:dyDescent="0.25">
      <c r="B39" s="116" t="s">
        <v>86</v>
      </c>
      <c r="C39" s="117"/>
      <c r="D39" s="117"/>
      <c r="E39" s="118"/>
    </row>
    <row r="40" spans="2:5" ht="13.5" thickBot="1" x14ac:dyDescent="0.25"/>
    <row r="41" spans="2:5" x14ac:dyDescent="0.2">
      <c r="B41" s="100" t="s">
        <v>95</v>
      </c>
      <c r="C41" s="101"/>
      <c r="D41" s="101"/>
      <c r="E41" s="102"/>
    </row>
    <row r="42" spans="2:5" x14ac:dyDescent="0.2">
      <c r="B42" s="105" t="s">
        <v>85</v>
      </c>
      <c r="C42" s="103"/>
      <c r="D42" s="103"/>
      <c r="E42" s="104"/>
    </row>
    <row r="43" spans="2:5" ht="13.5" thickBot="1" x14ac:dyDescent="0.25">
      <c r="B43" s="116" t="s">
        <v>94</v>
      </c>
      <c r="C43" s="117"/>
      <c r="D43" s="117"/>
      <c r="E43" s="118"/>
    </row>
  </sheetData>
  <autoFilter ref="A9:I19"/>
  <mergeCells count="13">
    <mergeCell ref="A6:B6"/>
    <mergeCell ref="A7:B7"/>
    <mergeCell ref="B31:E31"/>
    <mergeCell ref="B2:H2"/>
    <mergeCell ref="A4:B4"/>
    <mergeCell ref="C4:E4"/>
    <mergeCell ref="A5:B5"/>
    <mergeCell ref="C5:E5"/>
    <mergeCell ref="B43:E43"/>
    <mergeCell ref="B39:E39"/>
    <mergeCell ref="B35:E35"/>
    <mergeCell ref="B24:E25"/>
    <mergeCell ref="B26:E2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opLeftCell="A16" zoomScale="110" zoomScaleNormal="110" workbookViewId="0">
      <selection activeCell="A24" sqref="A24:I24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8" style="44" customWidth="1"/>
    <col min="6" max="6" width="7.85546875" style="44" customWidth="1"/>
    <col min="7" max="7" width="48.5703125" style="44" customWidth="1"/>
    <col min="8" max="8" width="9.28515625" style="44" customWidth="1"/>
    <col min="9" max="9" width="15.5703125" style="44" customWidth="1"/>
    <col min="10" max="10" width="14.7109375" style="44" customWidth="1"/>
    <col min="11" max="11" width="15.5703125" style="44" customWidth="1"/>
    <col min="12" max="14" width="5.85546875" style="44" customWidth="1"/>
    <col min="15" max="15" width="12.5703125" style="44" customWidth="1"/>
    <col min="16" max="1024" width="9.140625" style="44"/>
    <col min="1025" max="16384" width="9.140625" style="45"/>
  </cols>
  <sheetData>
    <row r="1" spans="1:11" ht="18" customHeight="1" x14ac:dyDescent="0.2">
      <c r="A1" s="125" t="s">
        <v>16</v>
      </c>
      <c r="B1" s="125"/>
      <c r="C1" s="125"/>
      <c r="D1" s="125"/>
      <c r="E1" s="125"/>
      <c r="F1" s="125"/>
      <c r="G1" s="125"/>
      <c r="H1" s="125"/>
      <c r="I1" s="125"/>
      <c r="J1" s="42" t="s">
        <v>17</v>
      </c>
      <c r="K1" s="43" t="s">
        <v>104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26" t="s">
        <v>50</v>
      </c>
      <c r="B3" s="126"/>
      <c r="C3" s="126"/>
      <c r="D3" s="127" t="str">
        <f>'Necesidades Trimestrales'!C4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8" t="s">
        <v>51</v>
      </c>
      <c r="B4" s="128"/>
      <c r="C4" s="128"/>
      <c r="D4" s="127" t="str">
        <f>'Necesidades Trimestrales'!C5</f>
        <v>024 - Hospital Interzonal de Niños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28" t="s">
        <v>29</v>
      </c>
      <c r="B5" s="128"/>
      <c r="C5" s="128"/>
      <c r="D5" s="127" t="s">
        <v>54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26" t="s">
        <v>52</v>
      </c>
      <c r="B6" s="126"/>
      <c r="C6" s="126"/>
      <c r="D6" s="127" t="s">
        <v>56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18</v>
      </c>
      <c r="B7" s="128"/>
      <c r="C7" s="128"/>
      <c r="D7" s="127" t="str">
        <f>'Necesidades Trimestrales'!C7 &amp; "° Trimestre - Año " &amp; 'Necesidades Trimestrales'!C6</f>
        <v>2° Trimestre - Año 2022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29" t="s">
        <v>19</v>
      </c>
      <c r="B8" s="129"/>
      <c r="C8" s="129"/>
      <c r="D8" s="130" t="s">
        <v>78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31" t="s">
        <v>20</v>
      </c>
      <c r="B10" s="132" t="s">
        <v>21</v>
      </c>
      <c r="C10" s="132" t="s">
        <v>22</v>
      </c>
      <c r="D10" s="132"/>
      <c r="E10" s="132"/>
      <c r="F10" s="132"/>
      <c r="G10" s="132"/>
      <c r="H10" s="132" t="s">
        <v>23</v>
      </c>
      <c r="I10" s="132" t="s">
        <v>24</v>
      </c>
      <c r="J10" s="132" t="s">
        <v>25</v>
      </c>
      <c r="K10" s="133" t="s">
        <v>26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27.75" customHeight="1" x14ac:dyDescent="0.2">
      <c r="A12" s="50">
        <v>1</v>
      </c>
      <c r="B12" s="51" t="str">
        <f>'Necesidades Trimestrales'!B10</f>
        <v>2.9.4-588.xx</v>
      </c>
      <c r="C12" s="135" t="str">
        <f>'Necesidades Trimestrales'!E10</f>
        <v>VASOS PLASTICOS DESCARTABLES; MATERIAL: POLIESTIRENO, MOTIVO: LISO, CAPACIDAD: 250 CM3, PRESENTACION: BOLSA X 100 UN, TIPO: BLANCO</v>
      </c>
      <c r="D12" s="135"/>
      <c r="E12" s="135"/>
      <c r="F12" s="135"/>
      <c r="G12" s="135"/>
      <c r="H12" s="52" t="s">
        <v>99</v>
      </c>
      <c r="I12" s="58" t="str">
        <f>'Necesidades Trimestrales'!F10</f>
        <v>BOLSA</v>
      </c>
      <c r="J12" s="53">
        <f>'Necesidades Trimestrales'!H10</f>
        <v>1600</v>
      </c>
      <c r="K12" s="54">
        <f>'Necesidades Trimestrales'!G10</f>
        <v>240</v>
      </c>
    </row>
    <row r="13" spans="1:11" ht="20.25" customHeight="1" x14ac:dyDescent="0.2">
      <c r="A13" s="55">
        <v>2</v>
      </c>
      <c r="B13" s="56" t="str">
        <f>'Necesidades Trimestrales'!B11</f>
        <v>2.9.4-690.15</v>
      </c>
      <c r="C13" s="136" t="str">
        <f>'Necesidades Trimestrales'!E11</f>
        <v>CUCHARAS; TIPO: DE MESA, MATERIAL: PLASTICO</v>
      </c>
      <c r="D13" s="136"/>
      <c r="E13" s="136"/>
      <c r="F13" s="136"/>
      <c r="G13" s="136"/>
      <c r="H13" s="57" t="s">
        <v>99</v>
      </c>
      <c r="I13" s="58" t="str">
        <f>'Necesidades Trimestrales'!F11</f>
        <v>UNIDAD</v>
      </c>
      <c r="J13" s="59">
        <f>'Necesidades Trimestrales'!H11</f>
        <v>4.5999999999999996</v>
      </c>
      <c r="K13" s="60">
        <f>'Necesidades Trimestrales'!G11</f>
        <v>8000</v>
      </c>
    </row>
    <row r="14" spans="1:11" ht="20.25" customHeight="1" x14ac:dyDescent="0.2">
      <c r="A14" s="61">
        <v>3</v>
      </c>
      <c r="B14" s="56" t="str">
        <f>'Necesidades Trimestrales'!B12</f>
        <v>2.9.4-689.15</v>
      </c>
      <c r="C14" s="136" t="str">
        <f>'Necesidades Trimestrales'!E12</f>
        <v>CUCHILLOS; TIPO: DE MESA, MATERIAL: PLASTICO</v>
      </c>
      <c r="D14" s="136"/>
      <c r="E14" s="136"/>
      <c r="F14" s="136"/>
      <c r="G14" s="136"/>
      <c r="H14" s="57" t="s">
        <v>99</v>
      </c>
      <c r="I14" s="58" t="str">
        <f>'Necesidades Trimestrales'!F12</f>
        <v>UNIDAD</v>
      </c>
      <c r="J14" s="59">
        <f>'Necesidades Trimestrales'!H12</f>
        <v>3.3</v>
      </c>
      <c r="K14" s="60">
        <f>'Necesidades Trimestrales'!G12</f>
        <v>5000</v>
      </c>
    </row>
    <row r="15" spans="1:11" ht="20.25" customHeight="1" x14ac:dyDescent="0.2">
      <c r="A15" s="61">
        <v>4</v>
      </c>
      <c r="B15" s="56" t="str">
        <f>'Necesidades Trimestrales'!B13</f>
        <v>2.9.4-692.10</v>
      </c>
      <c r="C15" s="136" t="str">
        <f>'Necesidades Trimestrales'!E13</f>
        <v>TENEDORES; TIPO: DE MESA, MATERIAL: PLASTICO</v>
      </c>
      <c r="D15" s="136"/>
      <c r="E15" s="136"/>
      <c r="F15" s="136"/>
      <c r="G15" s="136"/>
      <c r="H15" s="57" t="s">
        <v>99</v>
      </c>
      <c r="I15" s="58" t="str">
        <f>'Necesidades Trimestrales'!F13</f>
        <v>UNIDAD</v>
      </c>
      <c r="J15" s="59">
        <f>'Necesidades Trimestrales'!H13</f>
        <v>3.3</v>
      </c>
      <c r="K15" s="60">
        <f>'Necesidades Trimestrales'!G13</f>
        <v>8000</v>
      </c>
    </row>
    <row r="16" spans="1:11" ht="26.25" customHeight="1" x14ac:dyDescent="0.2">
      <c r="A16" s="61">
        <v>5</v>
      </c>
      <c r="B16" s="56" t="str">
        <f>'Necesidades Trimestrales'!B14</f>
        <v>2.9.4-588.67</v>
      </c>
      <c r="C16" s="136" t="str">
        <f>'Necesidades Trimestrales'!E14</f>
        <v>VASOS PLASTICOS DESCARTABLES; MATERIAL: POLIPROPILENO, MOTIVO: LISO C/TAPA, CAPACIDAD: 500 CM3, PRESENTACION: ENVASE X 50, TIPO: ESTRIADO</v>
      </c>
      <c r="D16" s="136"/>
      <c r="E16" s="136"/>
      <c r="F16" s="136"/>
      <c r="G16" s="136"/>
      <c r="H16" s="57" t="s">
        <v>58</v>
      </c>
      <c r="I16" s="58" t="str">
        <f>'Necesidades Trimestrales'!F14</f>
        <v>PAQUETE</v>
      </c>
      <c r="J16" s="59">
        <f>'Necesidades Trimestrales'!H14</f>
        <v>1000</v>
      </c>
      <c r="K16" s="60" t="str">
        <f>'Necesidades Trimestrales'!G14</f>
        <v>av</v>
      </c>
    </row>
    <row r="17" spans="1:11" ht="27.75" customHeight="1" x14ac:dyDescent="0.2">
      <c r="A17" s="61">
        <v>6</v>
      </c>
      <c r="B17" s="56" t="str">
        <f>'Necesidades Trimestrales'!B15</f>
        <v>2.9.4-588.50</v>
      </c>
      <c r="C17" s="136" t="str">
        <f>'Necesidades Trimestrales'!E15</f>
        <v>VASOS PLASTICOS DESCARTABLES; MATERIAL: POLIETILENO, CAPACIDAD: 220 CM3, PRESENTACION: PAQUETE X 100 UN, TIPO: BLANCO, MOTIVO: LISO</v>
      </c>
      <c r="D17" s="136"/>
      <c r="E17" s="136"/>
      <c r="F17" s="136"/>
      <c r="G17" s="136"/>
      <c r="H17" s="57" t="s">
        <v>58</v>
      </c>
      <c r="I17" s="58" t="str">
        <f>'Necesidades Trimestrales'!F15</f>
        <v>PAQUETE</v>
      </c>
      <c r="J17" s="59">
        <f>'Necesidades Trimestrales'!H15</f>
        <v>600</v>
      </c>
      <c r="K17" s="60">
        <f>'Necesidades Trimestrales'!G15</f>
        <v>240</v>
      </c>
    </row>
    <row r="18" spans="1:11" ht="31.5" customHeight="1" x14ac:dyDescent="0.2">
      <c r="A18" s="61">
        <v>7</v>
      </c>
      <c r="B18" s="56" t="str">
        <f>'Necesidades Trimestrales'!B16</f>
        <v>2.3.4-938.13</v>
      </c>
      <c r="C18" s="136" t="str">
        <f>'Necesidades Trimestrales'!E16</f>
        <v>SERVILLETAS DE PAPEL; PRESENTACION: PAQUETE X 100, DIMENSION: 24 X 24 Cm, COLOR: BLANCO, MOTIVO: SIN VALOR, TIPO:</v>
      </c>
      <c r="D18" s="136"/>
      <c r="E18" s="136"/>
      <c r="F18" s="136"/>
      <c r="G18" s="136"/>
      <c r="H18" s="57" t="s">
        <v>58</v>
      </c>
      <c r="I18" s="58" t="str">
        <f>'Necesidades Trimestrales'!F16</f>
        <v>PAQUETE</v>
      </c>
      <c r="J18" s="59">
        <f>'Necesidades Trimestrales'!H16</f>
        <v>190</v>
      </c>
      <c r="K18" s="60">
        <f>'Necesidades Trimestrales'!G16</f>
        <v>50</v>
      </c>
    </row>
    <row r="19" spans="1:11" ht="20.25" customHeight="1" x14ac:dyDescent="0.2">
      <c r="A19" s="61">
        <v>8</v>
      </c>
      <c r="B19" s="56" t="str">
        <f>'Necesidades Trimestrales'!B17</f>
        <v>2.3.4-5442.12</v>
      </c>
      <c r="C19" s="136" t="str">
        <f>'Necesidades Trimestrales'!E17</f>
        <v>ROLLOS P/COCINA; DIMENSION: 0,33 X 400 M, PRESENTACION: BOBINA</v>
      </c>
      <c r="D19" s="136"/>
      <c r="E19" s="136"/>
      <c r="F19" s="136"/>
      <c r="G19" s="136"/>
      <c r="H19" s="57" t="s">
        <v>58</v>
      </c>
      <c r="I19" s="58" t="str">
        <f>'Necesidades Trimestrales'!F17</f>
        <v>BOBINA</v>
      </c>
      <c r="J19" s="59">
        <f>'Necesidades Trimestrales'!H17</f>
        <v>1800</v>
      </c>
      <c r="K19" s="60">
        <f>'Necesidades Trimestrales'!G17</f>
        <v>40</v>
      </c>
    </row>
    <row r="20" spans="1:11" ht="30" customHeight="1" x14ac:dyDescent="0.2">
      <c r="A20" s="61">
        <v>9</v>
      </c>
      <c r="B20" s="56" t="str">
        <f>'Necesidades Trimestrales'!B18</f>
        <v>2.9.4-4743.23</v>
      </c>
      <c r="C20" s="136" t="str">
        <f>'Necesidades Trimestrales'!E18</f>
        <v>BANDEJA P/TRANSP. DE ALIMENTO; DIMENSION: 18 X 14 X 4 Cm, TIPO: RECTANGULAR CON TAPA, MATERIAL: ALUMINIO, CAPACIDAD: 750 CM2</v>
      </c>
      <c r="D20" s="136"/>
      <c r="E20" s="136"/>
      <c r="F20" s="136"/>
      <c r="G20" s="136"/>
      <c r="H20" s="57" t="s">
        <v>58</v>
      </c>
      <c r="I20" s="58" t="str">
        <f>'Necesidades Trimestrales'!F18</f>
        <v>UNIDAD</v>
      </c>
      <c r="J20" s="59">
        <f>'Necesidades Trimestrales'!H18</f>
        <v>31</v>
      </c>
      <c r="K20" s="60">
        <f>'Necesidades Trimestrales'!G18</f>
        <v>36000</v>
      </c>
    </row>
    <row r="21" spans="1:11" ht="28.5" customHeight="1" x14ac:dyDescent="0.2">
      <c r="A21" s="61">
        <v>10</v>
      </c>
      <c r="B21" s="56" t="str">
        <f>'Necesidades Trimestrales'!B19</f>
        <v>2.9.5-5755.16</v>
      </c>
      <c r="C21" s="136" t="str">
        <f>'Necesidades Trimestrales'!E19</f>
        <v>FILMS AUTOADHERENTES; TIPO: TRANSPARENTE, MATERIAL: POLIETILENO, PRESENTACION: ENVASE X 300 M, ANCHO: 38 Cm</v>
      </c>
      <c r="D21" s="136"/>
      <c r="E21" s="136"/>
      <c r="F21" s="136"/>
      <c r="G21" s="136"/>
      <c r="H21" s="57" t="s">
        <v>58</v>
      </c>
      <c r="I21" s="58" t="str">
        <f>'Necesidades Trimestrales'!F19</f>
        <v>UNIDAD</v>
      </c>
      <c r="J21" s="59">
        <f>'Necesidades Trimestrales'!H19</f>
        <v>3200</v>
      </c>
      <c r="K21" s="60">
        <f>'Necesidades Trimestrales'!G19</f>
        <v>20</v>
      </c>
    </row>
    <row r="22" spans="1:11" ht="28.5" customHeight="1" x14ac:dyDescent="0.2">
      <c r="A22" s="61">
        <v>11</v>
      </c>
      <c r="B22" s="56" t="str">
        <f>'Necesidades Trimestrales'!B20</f>
        <v>2.5.8-3977.78</v>
      </c>
      <c r="C22" s="136" t="str">
        <f>'Necesidades Trimestrales'!E20</f>
        <v>BOLSAS DE POLIETILENO; TAMAÑO: 20 X 30 Cm, ESPESOR: 30 mm, PRESENTACION: ENVASE X 100 UN</v>
      </c>
      <c r="D22" s="136"/>
      <c r="E22" s="136"/>
      <c r="F22" s="136"/>
      <c r="G22" s="136"/>
      <c r="H22" s="57" t="s">
        <v>99</v>
      </c>
      <c r="I22" s="58" t="str">
        <f>'Necesidades Trimestrales'!F20</f>
        <v>ROLLO</v>
      </c>
      <c r="J22" s="59">
        <f>'Necesidades Trimestrales'!H20</f>
        <v>1500</v>
      </c>
      <c r="K22" s="60">
        <f>'Necesidades Trimestrales'!G20</f>
        <v>20</v>
      </c>
    </row>
    <row r="23" spans="1:11" ht="28.5" customHeight="1" thickBot="1" x14ac:dyDescent="0.25">
      <c r="A23" s="61">
        <v>12</v>
      </c>
      <c r="B23" s="56" t="str">
        <f>'Necesidades Trimestrales'!B21</f>
        <v>2.5.8-3977.63</v>
      </c>
      <c r="C23" s="136" t="str">
        <f>'Necesidades Trimestrales'!E21</f>
        <v>BOLSAS DE POLIETILENO; TAMAÑO: 35 X 45 Cm, ESPESOR: 30 Mn, PRESENTACION: ROLLO X 150 UN</v>
      </c>
      <c r="D23" s="136"/>
      <c r="E23" s="136"/>
      <c r="F23" s="136"/>
      <c r="G23" s="136"/>
      <c r="H23" s="57" t="s">
        <v>99</v>
      </c>
      <c r="I23" s="58" t="str">
        <f>'Necesidades Trimestrales'!F21</f>
        <v>ROLLO</v>
      </c>
      <c r="J23" s="59">
        <f>'Necesidades Trimestrales'!H21</f>
        <v>1500</v>
      </c>
      <c r="K23" s="60">
        <f>'Necesidades Trimestrales'!G21</f>
        <v>20</v>
      </c>
    </row>
    <row r="24" spans="1:11" ht="20.25" customHeight="1" thickBot="1" x14ac:dyDescent="0.25">
      <c r="A24" s="127" t="s">
        <v>106</v>
      </c>
      <c r="B24" s="127"/>
      <c r="C24" s="127"/>
      <c r="D24" s="127"/>
      <c r="E24" s="127"/>
      <c r="F24" s="127"/>
      <c r="G24" s="127"/>
      <c r="H24" s="127"/>
      <c r="I24" s="127"/>
      <c r="J24" s="134">
        <f>SUMPRODUCT(J12:J23,K12:K23)</f>
        <v>1929200</v>
      </c>
      <c r="K24" s="134"/>
    </row>
  </sheetData>
  <mergeCells count="34">
    <mergeCell ref="A24:I24"/>
    <mergeCell ref="J24:K2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1" zoomScale="130" zoomScaleNormal="130" workbookViewId="0">
      <selection activeCell="O18" sqref="O18:P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2022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27</v>
      </c>
      <c r="Q1" s="13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7" s="5" customFormat="1" ht="18" customHeight="1" thickBot="1" x14ac:dyDescent="0.25">
      <c r="A4" s="140" t="s">
        <v>28</v>
      </c>
      <c r="B4" s="140"/>
      <c r="C4" s="140"/>
      <c r="D4" s="140"/>
      <c r="E4" s="140"/>
      <c r="F4" s="140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42" t="s">
        <v>51</v>
      </c>
      <c r="B5" s="143"/>
      <c r="C5" s="143"/>
      <c r="D5" s="143"/>
      <c r="E5" s="143"/>
      <c r="F5" s="144"/>
      <c r="G5" s="141" t="str">
        <f>' NotaPedido'!D4</f>
        <v>024 -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42" t="s">
        <v>29</v>
      </c>
      <c r="B6" s="143"/>
      <c r="C6" s="143"/>
      <c r="D6" s="143"/>
      <c r="E6" s="143"/>
      <c r="F6" s="144"/>
      <c r="G6" s="141" t="str">
        <f>' NotaPedido'!D5</f>
        <v>024 -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42" t="s">
        <v>52</v>
      </c>
      <c r="B7" s="143"/>
      <c r="C7" s="143"/>
      <c r="D7" s="143"/>
      <c r="E7" s="143"/>
      <c r="F7" s="144"/>
      <c r="G7" s="141" t="str">
        <f>' NotaPedido'!D6</f>
        <v>Servicio de Alimentacion y Dietoterapia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5" t="s">
        <v>30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46" t="s">
        <v>31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"/>
      <c r="P9" s="1"/>
      <c r="Q9" s="6"/>
    </row>
    <row r="10" spans="1:17" ht="54.75" customHeight="1" x14ac:dyDescent="0.2">
      <c r="A10" s="14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036/2022,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8" t="s">
        <v>32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 x14ac:dyDescent="0.2">
      <c r="A13" s="149" t="s">
        <v>33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34</v>
      </c>
      <c r="P13" s="150"/>
      <c r="Q13" s="151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50"/>
      <c r="P14" s="150"/>
      <c r="Q14" s="151"/>
    </row>
    <row r="15" spans="1:17" ht="17.25" customHeight="1" x14ac:dyDescent="0.2">
      <c r="A15" s="68">
        <v>36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310</v>
      </c>
      <c r="I15" s="86" t="str">
        <f>LEFT('Necesidades Trimestrales'!D10,1)</f>
        <v>2</v>
      </c>
      <c r="J15" s="86">
        <v>3</v>
      </c>
      <c r="K15" s="86">
        <v>4</v>
      </c>
      <c r="L15" s="84"/>
      <c r="M15" s="69">
        <v>1</v>
      </c>
      <c r="N15" s="70" t="s">
        <v>57</v>
      </c>
      <c r="O15" s="152" t="s">
        <v>76</v>
      </c>
      <c r="P15" s="153"/>
      <c r="Q15" s="16">
        <v>81500</v>
      </c>
    </row>
    <row r="16" spans="1:17" ht="17.25" customHeight="1" x14ac:dyDescent="0.2">
      <c r="A16" s="79">
        <v>36</v>
      </c>
      <c r="B16" s="83"/>
      <c r="C16" s="83"/>
      <c r="D16" s="83">
        <v>1</v>
      </c>
      <c r="E16" s="83"/>
      <c r="F16" s="83">
        <v>4901</v>
      </c>
      <c r="G16" s="83">
        <v>3</v>
      </c>
      <c r="H16" s="83">
        <v>310</v>
      </c>
      <c r="I16" s="85" t="str">
        <f>LEFT('Necesidades Trimestrales'!D11,1)</f>
        <v/>
      </c>
      <c r="J16" s="85">
        <v>5</v>
      </c>
      <c r="K16" s="85">
        <v>8</v>
      </c>
      <c r="L16" s="83"/>
      <c r="M16" s="80">
        <v>1</v>
      </c>
      <c r="N16" s="81" t="s">
        <v>57</v>
      </c>
      <c r="O16" s="154" t="s">
        <v>83</v>
      </c>
      <c r="P16" s="155"/>
      <c r="Q16" s="21">
        <v>124000</v>
      </c>
    </row>
    <row r="17" spans="1:18" ht="23.25" customHeight="1" x14ac:dyDescent="0.2">
      <c r="A17" s="79">
        <v>36</v>
      </c>
      <c r="B17" s="80"/>
      <c r="C17" s="80"/>
      <c r="D17" s="80">
        <v>1</v>
      </c>
      <c r="E17" s="80"/>
      <c r="F17" s="80">
        <v>4901</v>
      </c>
      <c r="G17" s="80">
        <v>3</v>
      </c>
      <c r="H17" s="80">
        <v>310</v>
      </c>
      <c r="I17" s="82">
        <v>2</v>
      </c>
      <c r="J17" s="82">
        <v>9</v>
      </c>
      <c r="K17" s="82">
        <v>4</v>
      </c>
      <c r="L17" s="80"/>
      <c r="M17" s="80">
        <v>1</v>
      </c>
      <c r="N17" s="81" t="s">
        <v>57</v>
      </c>
      <c r="O17" s="154" t="s">
        <v>107</v>
      </c>
      <c r="P17" s="155"/>
      <c r="Q17" s="21">
        <v>1923700</v>
      </c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55"/>
      <c r="P18" s="15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55"/>
      <c r="P19" s="15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55"/>
      <c r="P20" s="15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61"/>
      <c r="P21" s="161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62"/>
      <c r="P22" s="162"/>
      <c r="Q22" s="30"/>
    </row>
    <row r="23" spans="1:18" ht="29.25" customHeight="1" x14ac:dyDescent="0.2">
      <c r="A23" s="163" t="s">
        <v>105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31">
        <f>SUM(Q15:Q22)</f>
        <v>2129200</v>
      </c>
    </row>
    <row r="24" spans="1:18" ht="18" customHeight="1" thickBot="1" x14ac:dyDescent="0.25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1:18" ht="17.25" customHeight="1" thickBot="1" x14ac:dyDescent="0.25">
      <c r="A25" s="156" t="s">
        <v>49</v>
      </c>
      <c r="B25" s="157"/>
      <c r="C25" s="157"/>
      <c r="D25" s="157"/>
      <c r="E25" s="157"/>
      <c r="F25" s="158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</row>
    <row r="26" spans="1:18" ht="18" customHeight="1" thickBot="1" x14ac:dyDescent="0.25">
      <c r="A26" s="160" t="s">
        <v>77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15" customHeight="1" x14ac:dyDescent="0.2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2022-04-05T14:05:50Z</cp:lastPrinted>
  <dcterms:created xsi:type="dcterms:W3CDTF">2020-07-17T23:44:49Z</dcterms:created>
  <dcterms:modified xsi:type="dcterms:W3CDTF">2022-04-08T13:14:50Z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