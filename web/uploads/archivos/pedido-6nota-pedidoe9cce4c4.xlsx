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6AF0DE59-0DA7-483B-9068-F63F88AE0969}"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NDP" sheetId="2" r:id="rId2"/>
    <sheet name="APG" sheetId="3" r:id="rId3"/>
  </sheets>
  <definedNames>
    <definedName name="_xlnm.Print_Area" localSheetId="0">'Necesidades Trimestrales'!$A$1:$I$34</definedName>
  </definedNames>
  <calcPr calcId="181029"/>
</workbook>
</file>

<file path=xl/calcChain.xml><?xml version="1.0" encoding="utf-8"?>
<calcChain xmlns="http://schemas.openxmlformats.org/spreadsheetml/2006/main">
  <c r="I14" i="1" l="1"/>
  <c r="D14" i="1"/>
  <c r="I13" i="1"/>
  <c r="D13" i="1"/>
  <c r="I12" i="1"/>
  <c r="D12" i="1"/>
  <c r="I11" i="1"/>
  <c r="D11" i="1"/>
  <c r="I10" i="1"/>
  <c r="D10" i="1"/>
  <c r="I9" i="1"/>
  <c r="D9" i="1"/>
  <c r="U16" i="3" l="1"/>
  <c r="Q21" i="3" l="1"/>
  <c r="I16" i="1" l="1"/>
  <c r="D16" i="1"/>
  <c r="D15" i="1"/>
  <c r="I15" i="1" l="1"/>
</calcChain>
</file>

<file path=xl/sharedStrings.xml><?xml version="1.0" encoding="utf-8"?>
<sst xmlns="http://schemas.openxmlformats.org/spreadsheetml/2006/main" count="211" uniqueCount="92">
  <si>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</si>
  <si>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</si>
  <si>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</si>
  <si>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</si>
  <si>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</si>
  <si>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</si>
  <si>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</si>
  <si>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</si>
  <si>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</si>
  <si>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</si>
  <si>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</si>
  <si>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</si>
  <si>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</si>
  <si>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</si>
  <si>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</si>
  <si>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</si>
  <si>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</si>
  <si>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Garantia</t>
  </si>
  <si>
    <t>50 - MINISTERIO DE EDUCACIÓN</t>
  </si>
  <si>
    <t>26 - DIRECCIÓN PROVINCIAL DE ADMINISTRACIÓN</t>
  </si>
  <si>
    <t>UNIDAD</t>
  </si>
  <si>
    <t>INDUMENT TEXTIL Y CONFECCIONES</t>
  </si>
  <si>
    <t>NOTA DE PEDIDO</t>
  </si>
  <si>
    <t>N°</t>
  </si>
  <si>
    <t xml:space="preserve">JURISDICCIÓN: </t>
  </si>
  <si>
    <t>MINISTERIO DE EDUCACIÓN</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</si>
  <si>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</si>
  <si>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</si>
  <si>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</si>
  <si>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</si>
  <si>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</si>
  <si>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</si>
  <si>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</si>
  <si>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</si>
  <si>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</si>
  <si>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</si>
  <si>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</si>
  <si>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</si>
  <si>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 xml:space="preserve">UNIDAD  </t>
  </si>
  <si>
    <t>AUTORIZACIÓN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</si>
  <si>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</si>
  <si>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</si>
  <si>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</si>
  <si>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</si>
  <si>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</si>
  <si>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</si>
  <si>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</si>
  <si>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</si>
  <si>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</si>
  <si>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</si>
  <si>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</si>
  <si>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</si>
  <si>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</si>
  <si>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</si>
  <si>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</si>
  <si>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</si>
  <si>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</si>
  <si>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</si>
  <si>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</si>
  <si>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</si>
  <si>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</si>
  <si>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</si>
  <si>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Según Anexo</t>
  </si>
  <si>
    <t>DOCE (12) MESES</t>
  </si>
  <si>
    <t>PRENDAS DE VESTIR</t>
  </si>
  <si>
    <t>SI</t>
  </si>
  <si>
    <r>
      <t>Mantenimiento:</t>
    </r>
    <r>
      <rPr>
        <sz val="10"/>
        <rFont val="Times New Roman"/>
        <family val="1"/>
      </rPr>
      <t xml:space="preserve"> 30 días corridos</t>
    </r>
  </si>
  <si>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sito en Avda. República de Venezuela S/N CAPE- Pabellón N° 15. San Fernando del Valle de Catamarca.  Se presentará Remito que deberá cumplimentar lo dispuesto por la R.G. AFIP  1415/03, sin excepción.</t>
  </si>
  <si>
    <t>Especificidades Items N°  1:</t>
  </si>
  <si>
    <t>Especificidades Items N°  2:</t>
  </si>
  <si>
    <t>3/2022</t>
  </si>
  <si>
    <r>
      <t>Autorizo la realización de los  trámites correspondientes, a fin de proveer a este Organismo los bienes que se detallan en Nota  de Pedido N°03</t>
    </r>
    <r>
      <rPr>
        <sz val="11"/>
        <rFont val="Arial"/>
        <family val="2"/>
      </rPr>
      <t>/22</t>
    </r>
    <r>
      <rPr>
        <sz val="11"/>
        <rFont val="Arial"/>
        <family val="2"/>
        <charset val="1"/>
      </rPr>
      <t>, afectando la erogación resultante a los créditos presupuestarios aprobados a favor de esta Unidad Ejecutora, conforme al siguiente detalle:</t>
    </r>
  </si>
  <si>
    <t>TOTAL DE PESOS: CUARENTA Y SIETE MILLONES CUATROCIENTOS OCHENTA Y DOS MIL QUINIENTOS  CON 00/100</t>
  </si>
  <si>
    <t xml:space="preserve">Costo total estimado:  PESOS CUARENTA Y SIETE MILLONES CUATROCIENTOS OCHENTA Y DOS MIL QUINIENTOS CON 00/100 </t>
  </si>
  <si>
    <t>GUARDAPOLVO ESCOLAR TALLE N° 6</t>
  </si>
  <si>
    <t>GUARDAPOLVO ESCOLAR TALLE N° 8</t>
  </si>
  <si>
    <t>Especificidades Items N° 3:</t>
  </si>
  <si>
    <t>GUARDAPOLVO ESCOLAR TALLE N° 10</t>
  </si>
  <si>
    <t>Especificidades Items N°  4:</t>
  </si>
  <si>
    <t>GUARDAPOLVO ESCOLAR TALLE N° 12</t>
  </si>
  <si>
    <t>Especificidades Items N°  5:</t>
  </si>
  <si>
    <t>GUARDAPOLVO ESCOLAR TALLE N° 14</t>
  </si>
  <si>
    <t>Especificidades Items N° 6:</t>
  </si>
  <si>
    <t>GUARDAPOLVO ESCOLAR TALLE N° 16</t>
  </si>
  <si>
    <t>Especificidades Items N°  7:</t>
  </si>
  <si>
    <t>Especificidades Items N°  8:</t>
  </si>
  <si>
    <t xml:space="preserve">   ADQUISICIÓN PARCIAL DE GUARDAPOLVOS Y PINTORCITOS PARA ESTUDIANTES DE NIVEL PRIMARIO E INICIAL DE TODA LA PROVINCIA.-</t>
  </si>
  <si>
    <t xml:space="preserve">  ADQUISICIÓN PARCIAL DE GUARDAPOLVOS Y PINTORCITOS PARA ESTUDIANTES DE NIVEL  PRIMARIO E INICIAL DE TODA LA PROVINCIA</t>
  </si>
  <si>
    <t>2.2.2-838.484</t>
  </si>
  <si>
    <t>GUARDAPOLVOS; USO: GENERAL, MODELO: CLASICO, ABOTONADO:CON, TELA:  ALGODÓN Y POLIESTER</t>
  </si>
  <si>
    <t>GUARDAPOLVO ESCOLAR TALLE N° 5 - COLOR AZUL CUADRILLE</t>
  </si>
  <si>
    <t>GUARDAPOLVO ESCOLAR TALLE N° 6 - COLOR AZUL CUADRILLE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</si>
</sst>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quot;$&quot;* #,##0.00_-;_-&quot;$&quot;* &quot;-&quot;??_-;_-@_-"/>
    <numFmt numFmtId="165" formatCode="_-* #,##0.00&quot; €&quot;_-;\-* #,##0.00&quot; €&quot;_-;_-* \-??&quot; €&quot;_-;_-@_-"/>
    <numFmt numFmtId="166" formatCode="[$$-2C0A]\ #,##0.00;[$$-2C0A]&quot; -&quot;#,##0.00"/>
    <numFmt numFmtId="167" formatCode="[$$-2C0A]\ #,##0.00"/>
    <numFmt numFmtId="168" formatCode="&quot;$&quot;\ #,##0.00"/>
    <numFmt numFmtId="169" formatCode="dd\-mm\-yy;@"/>
    <numFmt numFmtId="170" formatCode="_(\$* #,##0.00_);_(\$* \(#,##0.00\);_(\$* \-??_);_(@_)"/>
    <numFmt numFmtId="171" formatCode="&quot;$&quot;#,##0.00"/>
  </numFmts>
  <fonts count="2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sz val="11"/>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3">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s>
  <cellStyleXfs count="6">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xf numFmtId="170" fontId="19" fillId="0" borderId="0" applyBorder="0" applyProtection="0"/>
  </cellStyleXfs>
  <cellXfs count="138">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4" fillId="0" borderId="6" xfId="0" applyFont="1" applyBorder="1"/>
    <xf numFmtId="0" fontId="4" fillId="0" borderId="7" xfId="0" applyFont="1" applyBorder="1"/>
    <xf numFmtId="0" fontId="4" fillId="0" borderId="8" xfId="0" applyFont="1" applyBorder="1"/>
    <xf numFmtId="0" fontId="4" fillId="0" borderId="0" xfId="0" applyFont="1" applyBorder="1"/>
    <xf numFmtId="0" fontId="4" fillId="0" borderId="9" xfId="0" applyFont="1" applyBorder="1"/>
    <xf numFmtId="0" fontId="11" fillId="0" borderId="8" xfId="0" applyFont="1" applyBorder="1" applyAlignment="1">
      <alignment horizontal="left" indent="3"/>
    </xf>
    <xf numFmtId="0" fontId="4" fillId="0" borderId="8" xfId="0" applyFont="1" applyBorder="1" applyAlignment="1">
      <alignment horizontal="left" indent="3"/>
    </xf>
    <xf numFmtId="0" fontId="4" fillId="0" borderId="0"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left" indent="3"/>
    </xf>
    <xf numFmtId="0" fontId="4" fillId="0" borderId="11" xfId="0" applyFont="1" applyBorder="1"/>
    <xf numFmtId="0" fontId="4" fillId="0" borderId="12" xfId="0" applyFont="1" applyBorder="1"/>
    <xf numFmtId="0" fontId="10" fillId="4" borderId="2" xfId="0" applyFont="1" applyFill="1" applyBorder="1" applyAlignment="1">
      <alignment horizontal="center" vertical="center" wrapText="1"/>
    </xf>
    <xf numFmtId="166" fontId="9" fillId="4" borderId="2" xfId="1" applyNumberFormat="1" applyFont="1" applyFill="1" applyBorder="1" applyAlignment="1" applyProtection="1">
      <alignment horizontal="right" vertical="center" wrapText="1"/>
    </xf>
    <xf numFmtId="166" fontId="9" fillId="4" borderId="3" xfId="1" applyNumberFormat="1" applyFont="1" applyFill="1" applyBorder="1" applyAlignment="1" applyProtection="1">
      <alignment horizontal="right"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5"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10" fillId="0" borderId="4" xfId="0" applyFont="1" applyBorder="1" applyAlignment="1">
      <alignment horizontal="center" vertical="center" wrapText="1"/>
    </xf>
    <xf numFmtId="0" fontId="0" fillId="0" borderId="4" xfId="0" applyBorder="1"/>
    <xf numFmtId="0" fontId="9" fillId="0" borderId="14" xfId="0" applyFont="1" applyBorder="1" applyAlignment="1">
      <alignment horizontal="center" vertical="center"/>
    </xf>
    <xf numFmtId="0" fontId="10" fillId="0" borderId="15" xfId="0" applyFont="1" applyBorder="1" applyAlignment="1">
      <alignment horizontal="center" vertical="center" wrapText="1"/>
    </xf>
    <xf numFmtId="0" fontId="10" fillId="4" borderId="15" xfId="0" applyFont="1" applyFill="1" applyBorder="1" applyAlignment="1">
      <alignment horizontal="center" vertical="center" wrapText="1"/>
    </xf>
    <xf numFmtId="166" fontId="9" fillId="4" borderId="15" xfId="1" applyNumberFormat="1" applyFont="1" applyFill="1" applyBorder="1" applyAlignment="1" applyProtection="1">
      <alignment horizontal="right" vertical="center" wrapText="1"/>
    </xf>
    <xf numFmtId="167" fontId="10" fillId="0" borderId="16" xfId="0" applyNumberFormat="1" applyFont="1" applyBorder="1" applyAlignment="1">
      <alignment horizontal="right" vertical="center" wrapText="1"/>
    </xf>
    <xf numFmtId="0" fontId="8" fillId="0" borderId="13" xfId="0" applyFont="1" applyBorder="1" applyAlignment="1">
      <alignment horizontal="center" vertical="center" wrapText="1"/>
    </xf>
    <xf numFmtId="0" fontId="14" fillId="0" borderId="17" xfId="0" applyFont="1" applyBorder="1" applyAlignment="1">
      <alignment horizontal="right" vertical="center"/>
    </xf>
    <xf numFmtId="0" fontId="14" fillId="0" borderId="19" xfId="0" applyFont="1" applyBorder="1" applyAlignment="1">
      <alignment vertical="center"/>
    </xf>
    <xf numFmtId="0" fontId="14" fillId="0" borderId="20" xfId="0" applyFont="1" applyBorder="1" applyAlignment="1">
      <alignment vertical="center"/>
    </xf>
    <xf numFmtId="0" fontId="14" fillId="0" borderId="0" xfId="0" applyFont="1" applyBorder="1" applyAlignment="1">
      <alignment vertical="center"/>
    </xf>
    <xf numFmtId="0" fontId="14" fillId="0" borderId="9" xfId="0" applyFont="1" applyBorder="1" applyAlignment="1">
      <alignment vertical="center"/>
    </xf>
    <xf numFmtId="0" fontId="16" fillId="0" borderId="8" xfId="0" applyFont="1" applyBorder="1" applyAlignment="1">
      <alignment horizontal="left" vertical="center"/>
    </xf>
    <xf numFmtId="0" fontId="16" fillId="0" borderId="0" xfId="0" applyFont="1" applyBorder="1" applyAlignment="1">
      <alignment horizontal="left" vertical="center"/>
    </xf>
    <xf numFmtId="0" fontId="15" fillId="0" borderId="0" xfId="0" applyFont="1" applyBorder="1" applyAlignment="1">
      <alignment horizontal="left" vertical="center" wrapText="1" indent="1"/>
    </xf>
    <xf numFmtId="0" fontId="15" fillId="0" borderId="9" xfId="0" applyFont="1" applyBorder="1" applyAlignment="1">
      <alignment horizontal="left" vertical="center" wrapText="1" indent="1"/>
    </xf>
    <xf numFmtId="0" fontId="16" fillId="0" borderId="28"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center" vertical="center" wrapText="1"/>
    </xf>
    <xf numFmtId="168" fontId="16" fillId="0" borderId="2" xfId="0" applyNumberFormat="1" applyFont="1" applyBorder="1" applyAlignment="1">
      <alignment horizontal="center" vertical="center" wrapText="1"/>
    </xf>
    <xf numFmtId="3" fontId="16" fillId="0" borderId="3" xfId="0" applyNumberFormat="1" applyFont="1" applyBorder="1" applyAlignment="1">
      <alignment horizontal="center" vertical="center"/>
    </xf>
    <xf numFmtId="168" fontId="0" fillId="0" borderId="0" xfId="0" applyNumberFormat="1"/>
    <xf numFmtId="3" fontId="17" fillId="0" borderId="6" xfId="0" applyNumberFormat="1" applyFont="1" applyBorder="1" applyAlignment="1"/>
    <xf numFmtId="169" fontId="0" fillId="0" borderId="6" xfId="0" applyNumberFormat="1" applyBorder="1" applyAlignment="1">
      <alignment horizontal="left"/>
    </xf>
    <xf numFmtId="0" fontId="0" fillId="0" borderId="6" xfId="0" applyBorder="1"/>
    <xf numFmtId="0" fontId="0" fillId="0" borderId="8"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9" xfId="0" applyBorder="1"/>
    <xf numFmtId="0" fontId="19" fillId="0" borderId="0" xfId="0" applyFont="1"/>
    <xf numFmtId="0" fontId="0" fillId="0" borderId="19" xfId="0" applyBorder="1"/>
    <xf numFmtId="0" fontId="0" fillId="0" borderId="20" xfId="0" applyBorder="1"/>
    <xf numFmtId="0" fontId="0" fillId="0" borderId="20" xfId="0" applyBorder="1" applyAlignment="1">
      <alignment horizontal="left"/>
    </xf>
    <xf numFmtId="0" fontId="0" fillId="0" borderId="37" xfId="0" applyBorder="1"/>
    <xf numFmtId="0" fontId="23" fillId="0" borderId="40" xfId="0" applyFont="1" applyBorder="1" applyAlignment="1">
      <alignment horizontal="center" vertical="center"/>
    </xf>
    <xf numFmtId="0" fontId="23" fillId="0" borderId="41" xfId="0" applyFont="1" applyBorder="1" applyAlignment="1">
      <alignment horizontal="center" vertical="center"/>
    </xf>
    <xf numFmtId="0" fontId="23" fillId="0" borderId="41" xfId="0" applyFont="1" applyBorder="1" applyAlignment="1">
      <alignment horizontal="left" vertical="center"/>
    </xf>
    <xf numFmtId="0" fontId="23" fillId="0" borderId="42" xfId="0" applyFont="1" applyBorder="1" applyAlignment="1">
      <alignment horizontal="center" vertical="center"/>
    </xf>
    <xf numFmtId="0" fontId="23"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166" fontId="0" fillId="0" borderId="47" xfId="5" applyNumberFormat="1" applyFont="1" applyBorder="1" applyAlignment="1" applyProtection="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166" fontId="0" fillId="0" borderId="52" xfId="5" applyNumberFormat="1" applyFont="1" applyBorder="1" applyAlignment="1" applyProtection="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166" fontId="0" fillId="0" borderId="56" xfId="5" applyNumberFormat="1" applyFont="1" applyBorder="1" applyAlignment="1" applyProtection="1">
      <alignment horizontal="center" vertical="center"/>
    </xf>
    <xf numFmtId="166" fontId="23" fillId="0" borderId="58" xfId="0" applyNumberFormat="1" applyFont="1" applyBorder="1" applyAlignment="1">
      <alignment horizontal="center" vertical="center"/>
    </xf>
    <xf numFmtId="0" fontId="0" fillId="0" borderId="0" xfId="0" applyAlignment="1">
      <alignment horizontal="left"/>
    </xf>
    <xf numFmtId="0" fontId="8" fillId="0" borderId="59" xfId="0" applyFont="1" applyBorder="1" applyAlignment="1">
      <alignment horizontal="center" vertical="center" wrapText="1"/>
    </xf>
    <xf numFmtId="0" fontId="16" fillId="0" borderId="2" xfId="0" applyFont="1" applyBorder="1" applyAlignment="1">
      <alignment horizontal="center" vertical="center" wrapText="1"/>
    </xf>
    <xf numFmtId="49" fontId="15" fillId="0" borderId="18" xfId="0" applyNumberFormat="1" applyFont="1" applyBorder="1" applyAlignment="1">
      <alignment horizontal="center" vertical="center"/>
    </xf>
    <xf numFmtId="171" fontId="0" fillId="0" borderId="0" xfId="0" applyNumberFormat="1"/>
    <xf numFmtId="0" fontId="0" fillId="0" borderId="4" xfId="0" applyBorder="1" applyAlignment="1">
      <alignment wrapText="1"/>
    </xf>
    <xf numFmtId="0" fontId="10" fillId="4" borderId="4" xfId="0" applyFont="1" applyFill="1" applyBorder="1" applyAlignment="1">
      <alignment horizontal="center" vertical="center" wrapText="1"/>
    </xf>
    <xf numFmtId="166" fontId="9" fillId="4" borderId="4" xfId="1" applyNumberFormat="1" applyFont="1" applyFill="1" applyBorder="1" applyAlignment="1" applyProtection="1">
      <alignment horizontal="right" vertical="center" wrapText="1"/>
    </xf>
    <xf numFmtId="167" fontId="10" fillId="0" borderId="4" xfId="0" applyNumberFormat="1" applyFont="1" applyBorder="1" applyAlignment="1">
      <alignment horizontal="right" vertical="center" wrapText="1"/>
    </xf>
    <xf numFmtId="0" fontId="4" fillId="4" borderId="0" xfId="0" applyFont="1" applyFill="1" applyBorder="1" applyAlignment="1">
      <alignment horizontal="left" wrapText="1"/>
    </xf>
    <xf numFmtId="0" fontId="4" fillId="4" borderId="9" xfId="0" applyFont="1" applyFill="1" applyBorder="1" applyAlignment="1">
      <alignment horizontal="left" wrapText="1"/>
    </xf>
    <xf numFmtId="0" fontId="4" fillId="4" borderId="0" xfId="0" applyFont="1" applyFill="1" applyBorder="1" applyAlignment="1">
      <alignment horizontal="left"/>
    </xf>
    <xf numFmtId="0" fontId="4" fillId="4" borderId="9" xfId="0" applyFont="1" applyFill="1" applyBorder="1" applyAlignment="1">
      <alignment horizontal="left"/>
    </xf>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4" borderId="0" xfId="0" applyFont="1" applyFill="1" applyBorder="1" applyAlignment="1">
      <alignment horizontal="left" wrapText="1" indent="1"/>
    </xf>
    <xf numFmtId="0" fontId="16" fillId="0" borderId="60" xfId="0" applyFont="1" applyBorder="1" applyAlignment="1">
      <alignment horizontal="left" vertical="center" wrapText="1"/>
    </xf>
    <xf numFmtId="0" fontId="16" fillId="0" borderId="61" xfId="0" applyFont="1" applyBorder="1" applyAlignment="1">
      <alignment horizontal="left" vertical="center" wrapText="1"/>
    </xf>
    <xf numFmtId="0" fontId="16" fillId="0" borderId="62" xfId="0" applyFont="1" applyBorder="1" applyAlignment="1">
      <alignment horizontal="left" vertical="center" wrapText="1"/>
    </xf>
    <xf numFmtId="0" fontId="15" fillId="0" borderId="27" xfId="0" applyFont="1" applyBorder="1" applyAlignment="1">
      <alignment horizontal="center" vertical="center" wrapText="1"/>
    </xf>
    <xf numFmtId="0" fontId="15" fillId="0" borderId="29" xfId="0" applyFont="1" applyBorder="1" applyAlignment="1">
      <alignment horizontal="left" vertical="center" wrapText="1" indent="1"/>
    </xf>
    <xf numFmtId="167" fontId="16" fillId="0" borderId="29" xfId="0" applyNumberFormat="1"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wrapText="1"/>
    </xf>
    <xf numFmtId="0" fontId="16" fillId="0" borderId="21" xfId="0" applyFont="1" applyBorder="1" applyAlignment="1">
      <alignment horizontal="left" vertical="center" wrapText="1"/>
    </xf>
    <xf numFmtId="0" fontId="15" fillId="0" borderId="13" xfId="0" applyFont="1" applyBorder="1" applyAlignment="1">
      <alignment horizontal="left" vertical="center" wrapText="1" indent="1"/>
    </xf>
    <xf numFmtId="0" fontId="16" fillId="0" borderId="22" xfId="0" applyFont="1" applyBorder="1" applyAlignment="1">
      <alignment horizontal="left" vertical="center" wrapText="1"/>
    </xf>
    <xf numFmtId="0" fontId="16" fillId="0" borderId="23" xfId="0" applyFont="1" applyBorder="1" applyAlignment="1">
      <alignment horizontal="left" vertical="center"/>
    </xf>
    <xf numFmtId="0" fontId="15" fillId="0" borderId="24" xfId="0" applyFont="1" applyBorder="1" applyAlignment="1">
      <alignment vertical="center" wrapText="1"/>
    </xf>
    <xf numFmtId="0" fontId="13" fillId="0" borderId="5" xfId="0" applyFont="1" applyBorder="1" applyAlignment="1">
      <alignment horizontal="center" vertical="center"/>
    </xf>
    <xf numFmtId="0" fontId="0" fillId="0" borderId="35" xfId="0" applyBorder="1"/>
    <xf numFmtId="0" fontId="17" fillId="0" borderId="13" xfId="0" applyFont="1" applyBorder="1" applyAlignment="1">
      <alignment vertical="center" wrapText="1"/>
    </xf>
    <xf numFmtId="0" fontId="20" fillId="0" borderId="39" xfId="0" applyFont="1" applyBorder="1" applyAlignment="1">
      <alignment vertical="center" wrapText="1"/>
    </xf>
    <xf numFmtId="0" fontId="20" fillId="0" borderId="29" xfId="0" applyFont="1" applyBorder="1" applyAlignment="1">
      <alignment horizontal="left" vertical="center" wrapText="1" indent="1"/>
    </xf>
    <xf numFmtId="0" fontId="0" fillId="0" borderId="51" xfId="0" applyFont="1" applyBorder="1" applyAlignment="1">
      <alignment horizontal="left" vertical="center"/>
    </xf>
    <xf numFmtId="0" fontId="0" fillId="0" borderId="51" xfId="0" applyBorder="1" applyAlignment="1">
      <alignment horizontal="center"/>
    </xf>
    <xf numFmtId="0" fontId="0" fillId="0" borderId="51" xfId="0" applyFont="1" applyBorder="1" applyAlignment="1">
      <alignment horizontal="center" vertical="center"/>
    </xf>
    <xf numFmtId="0" fontId="0" fillId="0" borderId="54" xfId="0" applyBorder="1" applyAlignment="1">
      <alignment horizontal="left" vertical="center"/>
    </xf>
    <xf numFmtId="0" fontId="17" fillId="0" borderId="57" xfId="0" applyFont="1" applyBorder="1" applyAlignment="1">
      <alignment horizontal="left" vertical="center" wrapText="1"/>
    </xf>
    <xf numFmtId="0" fontId="3" fillId="0" borderId="45" xfId="0" applyFont="1" applyBorder="1" applyAlignment="1">
      <alignment horizontal="left" vertical="center" wrapText="1"/>
    </xf>
    <xf numFmtId="0" fontId="0" fillId="0" borderId="45" xfId="0" applyFont="1" applyBorder="1" applyAlignment="1">
      <alignment horizontal="left" vertical="center" wrapText="1"/>
    </xf>
    <xf numFmtId="0" fontId="21" fillId="0" borderId="32" xfId="0" applyFont="1" applyBorder="1" applyAlignment="1">
      <alignment horizontal="left" vertical="center" wrapText="1"/>
    </xf>
    <xf numFmtId="0" fontId="20" fillId="0" borderId="33" xfId="0" applyFont="1" applyBorder="1" applyAlignment="1">
      <alignment horizontal="left" indent="1"/>
    </xf>
    <xf numFmtId="0" fontId="22" fillId="0" borderId="34" xfId="0" applyFont="1" applyBorder="1" applyAlignment="1">
      <alignment horizontal="left"/>
    </xf>
    <xf numFmtId="0" fontId="20" fillId="0" borderId="35" xfId="0" applyFont="1" applyBorder="1" applyAlignment="1">
      <alignment horizontal="left"/>
    </xf>
    <xf numFmtId="49" fontId="20" fillId="0" borderId="36" xfId="0" applyNumberFormat="1" applyFont="1" applyBorder="1" applyAlignment="1">
      <alignment horizontal="justify" vertical="center" wrapText="1"/>
    </xf>
    <xf numFmtId="0" fontId="23" fillId="0" borderId="35" xfId="0" applyFont="1" applyBorder="1" applyAlignment="1">
      <alignment horizontal="center" vertical="center"/>
    </xf>
    <xf numFmtId="0" fontId="23" fillId="0" borderId="32" xfId="0" applyFont="1" applyBorder="1" applyAlignment="1">
      <alignment horizontal="center" vertical="center"/>
    </xf>
    <xf numFmtId="0" fontId="23" fillId="0" borderId="38" xfId="0" applyFont="1" applyBorder="1" applyAlignment="1">
      <alignment horizontal="center" vertical="center" wrapText="1"/>
    </xf>
    <xf numFmtId="0" fontId="23" fillId="0" borderId="39" xfId="0" applyFont="1" applyBorder="1" applyAlignment="1">
      <alignment horizontal="center" vertical="center"/>
    </xf>
    <xf numFmtId="0" fontId="0" fillId="0" borderId="30" xfId="0" applyFont="1" applyBorder="1" applyAlignment="1">
      <alignment horizontal="center"/>
    </xf>
    <xf numFmtId="0" fontId="17" fillId="0" borderId="31" xfId="0" applyNumberFormat="1" applyFont="1" applyBorder="1" applyAlignment="1">
      <alignment horizontal="center"/>
    </xf>
    <xf numFmtId="0" fontId="18" fillId="0" borderId="18" xfId="0" applyFont="1" applyBorder="1" applyAlignment="1">
      <alignment horizontal="center" vertical="center" wrapText="1"/>
    </xf>
    <xf numFmtId="0" fontId="19" fillId="0" borderId="32" xfId="0" applyFont="1" applyBorder="1"/>
  </cellXfs>
  <cellStyles count="6">
    <cellStyle name="Encabezado 1" xfId="2" xr:uid="{00000000-0005-0000-0000-000000000000}"/>
    <cellStyle name="Moneda" xfId="1" builtinId="4"/>
    <cellStyle name="Moneda 2" xfId="4" xr:uid="{00000000-0005-0000-0000-000002000000}"/>
    <cellStyle name="Moneda_AUTORIZACION Y NOTA DE PEDIDO" xfId="5" xr:uid="{00000000-0005-0000-0000-000003000000}"/>
    <cellStyle name="Neutral 1" xfId="3" xr:uid="{00000000-0005-0000-0000-000004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
  <sheetViews>
    <sheetView tabSelected="1" topLeftCell="A85" zoomScale="130" zoomScaleNormal="130" workbookViewId="0">
      <selection activeCell="E118" sqref="E118"/>
    </sheetView>
  </sheetViews>
  <sheetFormatPr baseColWidth="10" defaultRowHeight="12.75" x14ac:dyDescent="0.2"/>
  <cols>
    <col min="1" max="1" width="4.5703125" style="1" customWidth="1"/>
    <col min="2" max="2" width="13.140625" style="1" customWidth="1"/>
    <col min="3" max="3" width="35.140625"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42578125" style="1"/>
  </cols>
  <sheetData>
    <row r="1" spans="1:9" ht="27" x14ac:dyDescent="0.35">
      <c r="B1" s="97" t="s">
        <v>0</v>
      </c>
      <c r="C1" s="97"/>
      <c r="D1" s="97"/>
      <c r="E1" s="97"/>
      <c r="F1" s="97"/>
      <c r="G1" s="97"/>
      <c r="H1" s="97"/>
    </row>
    <row r="3" spans="1:9" ht="18" customHeight="1" x14ac:dyDescent="0.25">
      <c r="A3" s="98" t="s">
        <v>1</v>
      </c>
      <c r="B3" s="98"/>
      <c r="C3" s="99" t="s">
        <v>18</v>
      </c>
      <c r="D3" s="99"/>
      <c r="E3" s="99"/>
      <c r="F3" s="2"/>
      <c r="G3" s="3"/>
      <c r="H3" s="2"/>
    </row>
    <row r="4" spans="1:9" ht="18" customHeight="1" x14ac:dyDescent="0.25">
      <c r="A4" s="98" t="s">
        <v>2</v>
      </c>
      <c r="B4" s="98"/>
      <c r="C4" s="99" t="s">
        <v>19</v>
      </c>
      <c r="D4" s="99"/>
      <c r="E4" s="99"/>
      <c r="F4" s="2"/>
      <c r="G4" s="3"/>
      <c r="H4" s="2"/>
    </row>
    <row r="5" spans="1:9" ht="16.5" customHeight="1" x14ac:dyDescent="0.25">
      <c r="A5" s="98" t="s">
        <v>3</v>
      </c>
      <c r="B5" s="98"/>
      <c r="C5" s="19">
        <v>2022</v>
      </c>
      <c r="D5" s="20"/>
      <c r="E5" s="20"/>
      <c r="F5" s="2"/>
      <c r="G5" s="3"/>
      <c r="H5" s="2"/>
    </row>
    <row r="6" spans="1:9" ht="16.5" customHeight="1" x14ac:dyDescent="0.25">
      <c r="A6" s="98" t="s">
        <v>4</v>
      </c>
      <c r="B6" s="98"/>
      <c r="C6" s="19">
        <v>1</v>
      </c>
      <c r="D6" s="20"/>
      <c r="E6" s="20"/>
      <c r="F6" s="2"/>
      <c r="G6" s="3"/>
      <c r="H6" s="2"/>
    </row>
    <row r="7" spans="1:9" ht="13.5" thickBot="1" x14ac:dyDescent="0.25">
      <c r="B7" s="2"/>
      <c r="C7" s="3"/>
      <c r="D7" s="2"/>
      <c r="E7" s="2"/>
      <c r="F7" s="2"/>
      <c r="G7" s="3"/>
      <c r="H7" s="2"/>
    </row>
    <row r="8" spans="1:9" ht="39" thickBot="1" x14ac:dyDescent="0.25">
      <c r="A8" s="36" t="s">
        <v>5</v>
      </c>
      <c r="B8" s="85" t="s">
        <v>6</v>
      </c>
      <c r="C8" s="85" t="s">
        <v>7</v>
      </c>
      <c r="D8" s="85" t="s">
        <v>8</v>
      </c>
      <c r="E8" s="85" t="s">
        <v>9</v>
      </c>
      <c r="F8" s="85" t="s">
        <v>10</v>
      </c>
      <c r="G8" s="85" t="s">
        <v>11</v>
      </c>
      <c r="H8" s="85" t="s">
        <v>12</v>
      </c>
      <c r="I8" s="85" t="s">
        <v>13</v>
      </c>
    </row>
    <row r="9" spans="1:9" ht="25.5" x14ac:dyDescent="0.2">
      <c r="A9" s="31">
        <v>1</v>
      </c>
      <c r="B9" s="30" t="s">
        <v>88</v>
      </c>
      <c r="C9" s="30" t="s">
        <v>21</v>
      </c>
      <c r="D9" s="29" t="str">
        <f t="shared" ref="D9:D14" si="0">LEFT(B9,5)</f>
        <v>2.2.2</v>
      </c>
      <c r="E9" s="89" t="s">
        <v>89</v>
      </c>
      <c r="F9" s="90" t="s">
        <v>20</v>
      </c>
      <c r="G9" s="29">
        <v>1500</v>
      </c>
      <c r="H9" s="91">
        <v>1650</v>
      </c>
      <c r="I9" s="92">
        <f>H9*G9</f>
        <v>2475000</v>
      </c>
    </row>
    <row r="10" spans="1:9" ht="25.5" x14ac:dyDescent="0.2">
      <c r="A10" s="31">
        <v>2</v>
      </c>
      <c r="B10" s="30" t="s">
        <v>88</v>
      </c>
      <c r="C10" s="30" t="s">
        <v>21</v>
      </c>
      <c r="D10" s="29" t="str">
        <f t="shared" si="0"/>
        <v>2.2.2</v>
      </c>
      <c r="E10" s="89" t="s">
        <v>89</v>
      </c>
      <c r="F10" s="90" t="s">
        <v>20</v>
      </c>
      <c r="G10" s="90">
        <v>4500</v>
      </c>
      <c r="H10" s="91">
        <v>1750</v>
      </c>
      <c r="I10" s="91">
        <f t="shared" ref="I10" si="1">G10*H10</f>
        <v>7875000</v>
      </c>
    </row>
    <row r="11" spans="1:9" ht="25.5" x14ac:dyDescent="0.2">
      <c r="A11" s="31">
        <v>3</v>
      </c>
      <c r="B11" s="30" t="s">
        <v>88</v>
      </c>
      <c r="C11" s="30" t="s">
        <v>21</v>
      </c>
      <c r="D11" s="29" t="str">
        <f t="shared" si="0"/>
        <v>2.2.2</v>
      </c>
      <c r="E11" s="89" t="s">
        <v>89</v>
      </c>
      <c r="F11" s="90" t="s">
        <v>20</v>
      </c>
      <c r="G11" s="29">
        <v>4500</v>
      </c>
      <c r="H11" s="91">
        <v>1890</v>
      </c>
      <c r="I11" s="92">
        <f>H11*G11</f>
        <v>8505000</v>
      </c>
    </row>
    <row r="12" spans="1:9" ht="25.5" x14ac:dyDescent="0.2">
      <c r="A12" s="31">
        <v>4</v>
      </c>
      <c r="B12" s="30" t="s">
        <v>88</v>
      </c>
      <c r="C12" s="30" t="s">
        <v>21</v>
      </c>
      <c r="D12" s="29" t="str">
        <f t="shared" si="0"/>
        <v>2.2.2</v>
      </c>
      <c r="E12" s="89" t="s">
        <v>89</v>
      </c>
      <c r="F12" s="90" t="s">
        <v>20</v>
      </c>
      <c r="G12" s="29">
        <v>3500</v>
      </c>
      <c r="H12" s="91">
        <v>2070</v>
      </c>
      <c r="I12" s="92">
        <f>H12*G12</f>
        <v>7245000</v>
      </c>
    </row>
    <row r="13" spans="1:9" ht="25.5" x14ac:dyDescent="0.2">
      <c r="A13" s="31">
        <v>5</v>
      </c>
      <c r="B13" s="30" t="s">
        <v>88</v>
      </c>
      <c r="C13" s="30" t="s">
        <v>21</v>
      </c>
      <c r="D13" s="29" t="str">
        <f t="shared" si="0"/>
        <v>2.2.2</v>
      </c>
      <c r="E13" s="89" t="s">
        <v>89</v>
      </c>
      <c r="F13" s="90" t="s">
        <v>20</v>
      </c>
      <c r="G13" s="90">
        <v>4500</v>
      </c>
      <c r="H13" s="91">
        <v>2185</v>
      </c>
      <c r="I13" s="91">
        <f t="shared" ref="I13" si="2">G13*H13</f>
        <v>9832500</v>
      </c>
    </row>
    <row r="14" spans="1:9" ht="25.5" x14ac:dyDescent="0.2">
      <c r="A14" s="31">
        <v>6</v>
      </c>
      <c r="B14" s="30" t="s">
        <v>88</v>
      </c>
      <c r="C14" s="30" t="s">
        <v>21</v>
      </c>
      <c r="D14" s="29" t="str">
        <f t="shared" si="0"/>
        <v>2.2.2</v>
      </c>
      <c r="E14" s="89" t="s">
        <v>89</v>
      </c>
      <c r="F14" s="90" t="s">
        <v>20</v>
      </c>
      <c r="G14" s="29">
        <v>1500</v>
      </c>
      <c r="H14" s="91">
        <v>2300</v>
      </c>
      <c r="I14" s="92">
        <f>H14*G14</f>
        <v>3450000</v>
      </c>
    </row>
    <row r="15" spans="1:9" ht="31.5" customHeight="1" thickBot="1" x14ac:dyDescent="0.25">
      <c r="A15" s="31">
        <v>7</v>
      </c>
      <c r="B15" s="30" t="s">
        <v>88</v>
      </c>
      <c r="C15" s="30" t="s">
        <v>21</v>
      </c>
      <c r="D15" s="29" t="str">
        <f t="shared" ref="D15:D16" si="3">LEFT(B15,5)</f>
        <v>2.2.2</v>
      </c>
      <c r="E15" s="89" t="s">
        <v>89</v>
      </c>
      <c r="F15" s="33" t="s">
        <v>20</v>
      </c>
      <c r="G15" s="32">
        <v>3000</v>
      </c>
      <c r="H15" s="34">
        <v>1350</v>
      </c>
      <c r="I15" s="35">
        <f>H15*G15</f>
        <v>4050000</v>
      </c>
    </row>
    <row r="16" spans="1:9" ht="25.5" x14ac:dyDescent="0.2">
      <c r="A16" s="31">
        <v>8</v>
      </c>
      <c r="B16" s="30" t="s">
        <v>88</v>
      </c>
      <c r="C16" s="30" t="s">
        <v>21</v>
      </c>
      <c r="D16" s="29" t="str">
        <f t="shared" si="3"/>
        <v>2.2.2</v>
      </c>
      <c r="E16" s="89" t="s">
        <v>89</v>
      </c>
      <c r="F16" s="16" t="s">
        <v>20</v>
      </c>
      <c r="G16" s="16">
        <v>3000</v>
      </c>
      <c r="H16" s="17">
        <v>1350</v>
      </c>
      <c r="I16" s="18">
        <f t="shared" ref="I16" si="4">G16*H16</f>
        <v>4050000</v>
      </c>
    </row>
    <row r="17" spans="1:9" x14ac:dyDescent="0.2">
      <c r="A17" s="21"/>
      <c r="B17"/>
      <c r="C17" s="23"/>
      <c r="D17" s="27"/>
      <c r="E17" s="24"/>
      <c r="F17" s="22"/>
      <c r="G17" s="22"/>
      <c r="H17" s="25"/>
      <c r="I17" s="25"/>
    </row>
    <row r="18" spans="1:9" ht="11.25" customHeight="1" thickBot="1" x14ac:dyDescent="0.25">
      <c r="A18" s="21"/>
      <c r="B18" s="28"/>
      <c r="C18" s="23"/>
      <c r="D18" s="27"/>
      <c r="E18" s="24"/>
      <c r="F18" s="22"/>
      <c r="G18" s="22"/>
      <c r="H18" s="25"/>
      <c r="I18" s="25"/>
    </row>
    <row r="19" spans="1:9" x14ac:dyDescent="0.2">
      <c r="B19" s="26" t="s">
        <v>68</v>
      </c>
      <c r="C19" s="4"/>
      <c r="D19" s="4"/>
      <c r="E19" s="5"/>
    </row>
    <row r="20" spans="1:9" ht="22.5" customHeight="1" x14ac:dyDescent="0.2">
      <c r="B20" s="6"/>
      <c r="C20" s="7" t="s">
        <v>74</v>
      </c>
      <c r="D20" s="7"/>
      <c r="E20" s="8"/>
    </row>
    <row r="21" spans="1:9" x14ac:dyDescent="0.2">
      <c r="B21" s="9" t="s">
        <v>14</v>
      </c>
      <c r="C21" s="7"/>
      <c r="D21" s="7"/>
      <c r="E21" s="8"/>
    </row>
    <row r="22" spans="1:9" ht="25.5" customHeight="1" x14ac:dyDescent="0.2">
      <c r="B22" s="9"/>
      <c r="C22" s="93" t="s">
        <v>62</v>
      </c>
      <c r="D22" s="93"/>
      <c r="E22" s="94"/>
    </row>
    <row r="23" spans="1:9" ht="37.5" customHeight="1" x14ac:dyDescent="0.2">
      <c r="B23" s="9" t="s">
        <v>15</v>
      </c>
      <c r="C23" s="7"/>
      <c r="D23" s="7"/>
      <c r="E23" s="8"/>
    </row>
    <row r="24" spans="1:9" x14ac:dyDescent="0.2">
      <c r="B24" s="10"/>
      <c r="C24" s="93" t="s">
        <v>67</v>
      </c>
      <c r="D24" s="93"/>
      <c r="E24" s="94"/>
    </row>
    <row r="25" spans="1:9" ht="47.25" customHeight="1" x14ac:dyDescent="0.2">
      <c r="B25" s="10"/>
      <c r="C25" s="93"/>
      <c r="D25" s="93"/>
      <c r="E25" s="94"/>
    </row>
    <row r="26" spans="1:9" x14ac:dyDescent="0.2">
      <c r="B26" s="9" t="s">
        <v>16</v>
      </c>
      <c r="C26" s="7"/>
      <c r="D26" s="7"/>
      <c r="E26" s="8"/>
    </row>
    <row r="27" spans="1:9" ht="7.5" customHeight="1" x14ac:dyDescent="0.2">
      <c r="B27" s="10"/>
      <c r="C27" s="93"/>
      <c r="D27" s="93"/>
      <c r="E27" s="94"/>
    </row>
    <row r="28" spans="1:9" x14ac:dyDescent="0.2">
      <c r="B28" s="9" t="s">
        <v>66</v>
      </c>
      <c r="C28" s="11"/>
      <c r="D28" s="11"/>
      <c r="E28" s="12"/>
    </row>
    <row r="29" spans="1:9" ht="13.5" customHeight="1" x14ac:dyDescent="0.2">
      <c r="B29" s="10"/>
      <c r="C29" s="93"/>
      <c r="D29" s="93"/>
      <c r="E29" s="94"/>
    </row>
    <row r="30" spans="1:9" ht="7.5" customHeight="1" x14ac:dyDescent="0.2">
      <c r="B30" s="9" t="s">
        <v>17</v>
      </c>
      <c r="C30" s="7"/>
      <c r="D30" s="7"/>
      <c r="E30" s="8"/>
    </row>
    <row r="31" spans="1:9" ht="7.5" customHeight="1" x14ac:dyDescent="0.2">
      <c r="B31" s="9"/>
      <c r="C31" s="93"/>
      <c r="D31" s="95"/>
      <c r="E31" s="96"/>
    </row>
    <row r="32" spans="1:9" ht="13.5" thickBot="1" x14ac:dyDescent="0.25">
      <c r="B32" s="13"/>
      <c r="C32" s="14"/>
      <c r="D32" s="14"/>
      <c r="E32" s="15"/>
    </row>
    <row r="33" spans="2:5" ht="13.5" thickBot="1" x14ac:dyDescent="0.25">
      <c r="B33" s="10"/>
      <c r="C33" s="7"/>
      <c r="D33" s="7"/>
      <c r="E33" s="8"/>
    </row>
    <row r="34" spans="2:5" ht="12.75" customHeight="1" x14ac:dyDescent="0.2">
      <c r="B34" s="26" t="s">
        <v>69</v>
      </c>
      <c r="C34" s="4"/>
      <c r="D34" s="4"/>
      <c r="E34" s="5"/>
    </row>
    <row r="35" spans="2:5" x14ac:dyDescent="0.2">
      <c r="B35" s="6"/>
      <c r="C35" s="7" t="s">
        <v>75</v>
      </c>
      <c r="D35" s="7"/>
      <c r="E35" s="8"/>
    </row>
    <row r="36" spans="2:5" ht="22.5" customHeight="1" x14ac:dyDescent="0.2">
      <c r="B36" s="9" t="s">
        <v>14</v>
      </c>
      <c r="C36" s="7"/>
      <c r="D36" s="7"/>
      <c r="E36" s="8"/>
    </row>
    <row r="37" spans="2:5" ht="12.75" customHeight="1" x14ac:dyDescent="0.2">
      <c r="B37" s="9"/>
      <c r="C37" s="93" t="s">
        <v>62</v>
      </c>
      <c r="D37" s="93"/>
      <c r="E37" s="94"/>
    </row>
    <row r="38" spans="2:5" ht="25.5" customHeight="1" x14ac:dyDescent="0.2">
      <c r="B38" s="9" t="s">
        <v>15</v>
      </c>
      <c r="C38" s="7"/>
      <c r="D38" s="7"/>
      <c r="E38" s="8"/>
    </row>
    <row r="39" spans="2:5" ht="37.5" customHeight="1" x14ac:dyDescent="0.2">
      <c r="B39" s="10"/>
      <c r="C39" s="93" t="s">
        <v>67</v>
      </c>
      <c r="D39" s="93"/>
      <c r="E39" s="94"/>
    </row>
    <row r="40" spans="2:5" ht="21" customHeight="1" x14ac:dyDescent="0.2">
      <c r="B40" s="10"/>
      <c r="C40" s="93"/>
      <c r="D40" s="93"/>
      <c r="E40" s="94"/>
    </row>
    <row r="41" spans="2:5" ht="9.75" customHeight="1" x14ac:dyDescent="0.2">
      <c r="B41" s="9" t="s">
        <v>16</v>
      </c>
      <c r="C41" s="7"/>
      <c r="D41" s="7"/>
      <c r="E41" s="8"/>
    </row>
    <row r="42" spans="2:5" x14ac:dyDescent="0.2">
      <c r="B42" s="10"/>
      <c r="C42" s="93"/>
      <c r="D42" s="93"/>
      <c r="E42" s="94"/>
    </row>
    <row r="43" spans="2:5" ht="16.5" customHeight="1" x14ac:dyDescent="0.2">
      <c r="B43" s="9" t="s">
        <v>66</v>
      </c>
      <c r="C43" s="11"/>
      <c r="D43" s="11"/>
      <c r="E43" s="12"/>
    </row>
    <row r="44" spans="2:5" x14ac:dyDescent="0.2">
      <c r="B44" s="10"/>
      <c r="C44" s="93"/>
      <c r="D44" s="93"/>
      <c r="E44" s="94"/>
    </row>
    <row r="45" spans="2:5" ht="13.5" customHeight="1" x14ac:dyDescent="0.2">
      <c r="B45" s="9" t="s">
        <v>17</v>
      </c>
      <c r="C45" s="7"/>
      <c r="D45" s="7"/>
      <c r="E45" s="8"/>
    </row>
    <row r="46" spans="2:5" ht="13.5" customHeight="1" x14ac:dyDescent="0.2">
      <c r="B46" s="9"/>
      <c r="C46" s="93"/>
      <c r="D46" s="95"/>
      <c r="E46" s="96"/>
    </row>
    <row r="47" spans="2:5" ht="18.75" customHeight="1" thickBot="1" x14ac:dyDescent="0.25">
      <c r="B47" s="13"/>
      <c r="C47" s="14"/>
      <c r="D47" s="14"/>
      <c r="E47" s="15"/>
    </row>
    <row r="48" spans="2:5" ht="13.5" thickBot="1" x14ac:dyDescent="0.25">
      <c r="B48" s="10"/>
      <c r="C48" s="7"/>
      <c r="D48" s="7"/>
      <c r="E48" s="8"/>
    </row>
    <row r="49" spans="2:5" x14ac:dyDescent="0.2">
      <c r="B49" s="26" t="s">
        <v>76</v>
      </c>
      <c r="C49" s="4"/>
      <c r="D49" s="4"/>
      <c r="E49" s="5"/>
    </row>
    <row r="50" spans="2:5" x14ac:dyDescent="0.2">
      <c r="B50" s="6"/>
      <c r="C50" s="7" t="s">
        <v>77</v>
      </c>
      <c r="D50" s="7"/>
      <c r="E50" s="8"/>
    </row>
    <row r="51" spans="2:5" x14ac:dyDescent="0.2">
      <c r="B51" s="9" t="s">
        <v>14</v>
      </c>
      <c r="C51" s="7"/>
      <c r="D51" s="7"/>
      <c r="E51" s="8"/>
    </row>
    <row r="52" spans="2:5" ht="12.75" customHeight="1" x14ac:dyDescent="0.2">
      <c r="B52" s="9"/>
      <c r="C52" s="93" t="s">
        <v>62</v>
      </c>
      <c r="D52" s="93"/>
      <c r="E52" s="94"/>
    </row>
    <row r="53" spans="2:5" x14ac:dyDescent="0.2">
      <c r="B53" s="9" t="s">
        <v>15</v>
      </c>
      <c r="C53" s="7"/>
      <c r="D53" s="7"/>
      <c r="E53" s="8"/>
    </row>
    <row r="54" spans="2:5" x14ac:dyDescent="0.2">
      <c r="B54" s="10"/>
      <c r="C54" s="93" t="s">
        <v>67</v>
      </c>
      <c r="D54" s="93"/>
      <c r="E54" s="94"/>
    </row>
    <row r="55" spans="2:5" ht="42.75" customHeight="1" x14ac:dyDescent="0.2">
      <c r="B55" s="10"/>
      <c r="C55" s="93"/>
      <c r="D55" s="93"/>
      <c r="E55" s="94"/>
    </row>
    <row r="56" spans="2:5" x14ac:dyDescent="0.2">
      <c r="B56" s="9" t="s">
        <v>16</v>
      </c>
      <c r="C56" s="7"/>
      <c r="D56" s="7"/>
      <c r="E56" s="8"/>
    </row>
    <row r="57" spans="2:5" x14ac:dyDescent="0.2">
      <c r="B57" s="10"/>
      <c r="C57" s="93"/>
      <c r="D57" s="93"/>
      <c r="E57" s="94"/>
    </row>
    <row r="58" spans="2:5" x14ac:dyDescent="0.2">
      <c r="B58" s="9" t="s">
        <v>66</v>
      </c>
      <c r="C58" s="11"/>
      <c r="D58" s="11"/>
      <c r="E58" s="12"/>
    </row>
    <row r="59" spans="2:5" x14ac:dyDescent="0.2">
      <c r="B59" s="10"/>
      <c r="C59" s="93"/>
      <c r="D59" s="93"/>
      <c r="E59" s="94"/>
    </row>
    <row r="60" spans="2:5" x14ac:dyDescent="0.2">
      <c r="B60" s="9" t="s">
        <v>17</v>
      </c>
      <c r="C60" s="7"/>
      <c r="D60" s="7"/>
      <c r="E60" s="8"/>
    </row>
    <row r="61" spans="2:5" x14ac:dyDescent="0.2">
      <c r="B61" s="9"/>
      <c r="C61" s="93"/>
      <c r="D61" s="95"/>
      <c r="E61" s="96"/>
    </row>
    <row r="62" spans="2:5" ht="13.5" thickBot="1" x14ac:dyDescent="0.25">
      <c r="B62" s="13"/>
      <c r="C62" s="14"/>
      <c r="D62" s="14"/>
      <c r="E62" s="15"/>
    </row>
    <row r="63" spans="2:5" ht="13.5" thickBot="1" x14ac:dyDescent="0.25">
      <c r="B63" s="10"/>
      <c r="C63" s="7"/>
      <c r="D63" s="7"/>
      <c r="E63" s="8"/>
    </row>
    <row r="64" spans="2:5" x14ac:dyDescent="0.2">
      <c r="B64" s="26" t="s">
        <v>78</v>
      </c>
      <c r="C64" s="4"/>
      <c r="D64" s="4"/>
      <c r="E64" s="5"/>
    </row>
    <row r="65" spans="2:5" x14ac:dyDescent="0.2">
      <c r="B65" s="6"/>
      <c r="C65" s="7" t="s">
        <v>79</v>
      </c>
      <c r="D65" s="7"/>
      <c r="E65" s="8"/>
    </row>
    <row r="66" spans="2:5" x14ac:dyDescent="0.2">
      <c r="B66" s="9" t="s">
        <v>14</v>
      </c>
      <c r="C66" s="7"/>
      <c r="D66" s="7"/>
      <c r="E66" s="8"/>
    </row>
    <row r="67" spans="2:5" ht="12.75" customHeight="1" x14ac:dyDescent="0.2">
      <c r="B67" s="9"/>
      <c r="C67" s="93" t="s">
        <v>62</v>
      </c>
      <c r="D67" s="93"/>
      <c r="E67" s="94"/>
    </row>
    <row r="68" spans="2:5" x14ac:dyDescent="0.2">
      <c r="B68" s="9" t="s">
        <v>15</v>
      </c>
      <c r="C68" s="7"/>
      <c r="D68" s="7"/>
      <c r="E68" s="8"/>
    </row>
    <row r="69" spans="2:5" x14ac:dyDescent="0.2">
      <c r="B69" s="10"/>
      <c r="C69" s="93" t="s">
        <v>67</v>
      </c>
      <c r="D69" s="93"/>
      <c r="E69" s="94"/>
    </row>
    <row r="70" spans="2:5" ht="45" customHeight="1" x14ac:dyDescent="0.2">
      <c r="B70" s="10"/>
      <c r="C70" s="93"/>
      <c r="D70" s="93"/>
      <c r="E70" s="94"/>
    </row>
    <row r="71" spans="2:5" x14ac:dyDescent="0.2">
      <c r="B71" s="9" t="s">
        <v>16</v>
      </c>
      <c r="C71" s="7"/>
      <c r="D71" s="7"/>
      <c r="E71" s="8"/>
    </row>
    <row r="72" spans="2:5" x14ac:dyDescent="0.2">
      <c r="B72" s="10"/>
      <c r="C72" s="93"/>
      <c r="D72" s="93"/>
      <c r="E72" s="94"/>
    </row>
    <row r="73" spans="2:5" x14ac:dyDescent="0.2">
      <c r="B73" s="9" t="s">
        <v>66</v>
      </c>
      <c r="C73" s="11"/>
      <c r="D73" s="11"/>
      <c r="E73" s="12"/>
    </row>
    <row r="74" spans="2:5" x14ac:dyDescent="0.2">
      <c r="B74" s="10"/>
      <c r="C74" s="93"/>
      <c r="D74" s="93"/>
      <c r="E74" s="94"/>
    </row>
    <row r="75" spans="2:5" x14ac:dyDescent="0.2">
      <c r="B75" s="9" t="s">
        <v>17</v>
      </c>
      <c r="C75" s="7"/>
      <c r="D75" s="7"/>
      <c r="E75" s="8"/>
    </row>
    <row r="76" spans="2:5" x14ac:dyDescent="0.2">
      <c r="B76" s="9"/>
      <c r="C76" s="93"/>
      <c r="D76" s="95"/>
      <c r="E76" s="96"/>
    </row>
    <row r="77" spans="2:5" ht="13.5" thickBot="1" x14ac:dyDescent="0.25">
      <c r="B77" s="13"/>
      <c r="C77" s="14"/>
      <c r="D77" s="14"/>
      <c r="E77" s="15"/>
    </row>
    <row r="78" spans="2:5" ht="13.5" thickBot="1" x14ac:dyDescent="0.25">
      <c r="B78" s="10"/>
      <c r="C78" s="7"/>
      <c r="D78" s="7"/>
      <c r="E78" s="8"/>
    </row>
    <row r="79" spans="2:5" x14ac:dyDescent="0.2">
      <c r="B79" s="26" t="s">
        <v>80</v>
      </c>
      <c r="C79" s="4"/>
      <c r="D79" s="4"/>
      <c r="E79" s="5"/>
    </row>
    <row r="80" spans="2:5" x14ac:dyDescent="0.2">
      <c r="B80" s="6"/>
      <c r="C80" s="7" t="s">
        <v>81</v>
      </c>
      <c r="D80" s="7"/>
      <c r="E80" s="8"/>
    </row>
    <row r="81" spans="2:5" x14ac:dyDescent="0.2">
      <c r="B81" s="9" t="s">
        <v>14</v>
      </c>
      <c r="C81" s="7"/>
      <c r="D81" s="7"/>
      <c r="E81" s="8"/>
    </row>
    <row r="82" spans="2:5" ht="12.75" customHeight="1" x14ac:dyDescent="0.2">
      <c r="B82" s="9"/>
      <c r="C82" s="93" t="s">
        <v>62</v>
      </c>
      <c r="D82" s="93"/>
      <c r="E82" s="94"/>
    </row>
    <row r="83" spans="2:5" x14ac:dyDescent="0.2">
      <c r="B83" s="9" t="s">
        <v>15</v>
      </c>
      <c r="C83" s="7"/>
      <c r="D83" s="7"/>
      <c r="E83" s="8"/>
    </row>
    <row r="84" spans="2:5" x14ac:dyDescent="0.2">
      <c r="B84" s="10"/>
      <c r="C84" s="93" t="s">
        <v>67</v>
      </c>
      <c r="D84" s="93"/>
      <c r="E84" s="94"/>
    </row>
    <row r="85" spans="2:5" ht="45.75" customHeight="1" x14ac:dyDescent="0.2">
      <c r="B85" s="10"/>
      <c r="C85" s="93"/>
      <c r="D85" s="93"/>
      <c r="E85" s="94"/>
    </row>
    <row r="86" spans="2:5" x14ac:dyDescent="0.2">
      <c r="B86" s="9" t="s">
        <v>16</v>
      </c>
      <c r="C86" s="7"/>
      <c r="D86" s="7"/>
      <c r="E86" s="8"/>
    </row>
    <row r="87" spans="2:5" x14ac:dyDescent="0.2">
      <c r="B87" s="10"/>
      <c r="C87" s="93"/>
      <c r="D87" s="93"/>
      <c r="E87" s="94"/>
    </row>
    <row r="88" spans="2:5" x14ac:dyDescent="0.2">
      <c r="B88" s="9" t="s">
        <v>66</v>
      </c>
      <c r="C88" s="11"/>
      <c r="D88" s="11"/>
      <c r="E88" s="12"/>
    </row>
    <row r="89" spans="2:5" x14ac:dyDescent="0.2">
      <c r="B89" s="10"/>
      <c r="C89" s="93"/>
      <c r="D89" s="93"/>
      <c r="E89" s="94"/>
    </row>
    <row r="90" spans="2:5" x14ac:dyDescent="0.2">
      <c r="B90" s="9" t="s">
        <v>17</v>
      </c>
      <c r="C90" s="7"/>
      <c r="D90" s="7"/>
      <c r="E90" s="8"/>
    </row>
    <row r="91" spans="2:5" x14ac:dyDescent="0.2">
      <c r="B91" s="9"/>
      <c r="C91" s="93"/>
      <c r="D91" s="95"/>
      <c r="E91" s="96"/>
    </row>
    <row r="92" spans="2:5" ht="13.5" thickBot="1" x14ac:dyDescent="0.25">
      <c r="B92" s="13"/>
      <c r="C92" s="14"/>
      <c r="D92" s="14"/>
      <c r="E92" s="15"/>
    </row>
    <row r="93" spans="2:5" ht="13.5" thickBot="1" x14ac:dyDescent="0.25">
      <c r="B93" s="10"/>
      <c r="C93" s="7"/>
      <c r="D93" s="7"/>
      <c r="E93" s="8"/>
    </row>
    <row r="94" spans="2:5" x14ac:dyDescent="0.2">
      <c r="B94" s="26" t="s">
        <v>82</v>
      </c>
      <c r="C94" s="4"/>
      <c r="D94" s="4"/>
      <c r="E94" s="5"/>
    </row>
    <row r="95" spans="2:5" x14ac:dyDescent="0.2">
      <c r="B95" s="6"/>
      <c r="C95" s="7" t="s">
        <v>83</v>
      </c>
      <c r="D95" s="7"/>
      <c r="E95" s="8"/>
    </row>
    <row r="96" spans="2:5" x14ac:dyDescent="0.2">
      <c r="B96" s="9" t="s">
        <v>14</v>
      </c>
      <c r="C96" s="7"/>
      <c r="D96" s="7"/>
      <c r="E96" s="8"/>
    </row>
    <row r="97" spans="2:5" ht="12.75" customHeight="1" x14ac:dyDescent="0.2">
      <c r="B97" s="9"/>
      <c r="C97" s="93" t="s">
        <v>62</v>
      </c>
      <c r="D97" s="93"/>
      <c r="E97" s="94"/>
    </row>
    <row r="98" spans="2:5" x14ac:dyDescent="0.2">
      <c r="B98" s="9" t="s">
        <v>15</v>
      </c>
      <c r="C98" s="7"/>
      <c r="D98" s="7"/>
      <c r="E98" s="8"/>
    </row>
    <row r="99" spans="2:5" x14ac:dyDescent="0.2">
      <c r="B99" s="10"/>
      <c r="C99" s="93" t="s">
        <v>67</v>
      </c>
      <c r="D99" s="93"/>
      <c r="E99" s="94"/>
    </row>
    <row r="100" spans="2:5" ht="49.5" customHeight="1" x14ac:dyDescent="0.2">
      <c r="B100" s="10"/>
      <c r="C100" s="93"/>
      <c r="D100" s="93"/>
      <c r="E100" s="94"/>
    </row>
    <row r="101" spans="2:5" x14ac:dyDescent="0.2">
      <c r="B101" s="9" t="s">
        <v>16</v>
      </c>
      <c r="C101" s="7"/>
      <c r="D101" s="7"/>
      <c r="E101" s="8"/>
    </row>
    <row r="102" spans="2:5" x14ac:dyDescent="0.2">
      <c r="B102" s="10"/>
      <c r="C102" s="93"/>
      <c r="D102" s="93"/>
      <c r="E102" s="94"/>
    </row>
    <row r="103" spans="2:5" x14ac:dyDescent="0.2">
      <c r="B103" s="9" t="s">
        <v>66</v>
      </c>
      <c r="C103" s="11"/>
      <c r="D103" s="11"/>
      <c r="E103" s="12"/>
    </row>
    <row r="104" spans="2:5" x14ac:dyDescent="0.2">
      <c r="B104" s="10"/>
      <c r="C104" s="93"/>
      <c r="D104" s="93"/>
      <c r="E104" s="94"/>
    </row>
    <row r="105" spans="2:5" x14ac:dyDescent="0.2">
      <c r="B105" s="9" t="s">
        <v>17</v>
      </c>
      <c r="C105" s="7"/>
      <c r="D105" s="7"/>
      <c r="E105" s="8"/>
    </row>
    <row r="106" spans="2:5" x14ac:dyDescent="0.2">
      <c r="B106" s="9"/>
      <c r="C106" s="93"/>
      <c r="D106" s="95"/>
      <c r="E106" s="96"/>
    </row>
    <row r="107" spans="2:5" ht="13.5" thickBot="1" x14ac:dyDescent="0.25">
      <c r="B107" s="13"/>
      <c r="C107" s="14"/>
      <c r="D107" s="14"/>
      <c r="E107" s="15"/>
    </row>
    <row r="108" spans="2:5" ht="13.5" thickBot="1" x14ac:dyDescent="0.25">
      <c r="B108" s="10"/>
      <c r="C108" s="7"/>
      <c r="D108" s="7"/>
      <c r="E108" s="8"/>
    </row>
    <row r="109" spans="2:5" x14ac:dyDescent="0.2">
      <c r="B109" s="26" t="s">
        <v>84</v>
      </c>
      <c r="C109" s="4"/>
      <c r="D109" s="4"/>
      <c r="E109" s="5"/>
    </row>
    <row r="110" spans="2:5" x14ac:dyDescent="0.2">
      <c r="B110" s="6"/>
      <c r="C110" s="7" t="s">
        <v>90</v>
      </c>
      <c r="D110" s="7"/>
      <c r="E110" s="8"/>
    </row>
    <row r="111" spans="2:5" x14ac:dyDescent="0.2">
      <c r="B111" s="9" t="s">
        <v>14</v>
      </c>
      <c r="C111" s="7"/>
      <c r="D111" s="7"/>
      <c r="E111" s="8"/>
    </row>
    <row r="112" spans="2:5" x14ac:dyDescent="0.2">
      <c r="B112" s="9"/>
      <c r="C112" s="93" t="s">
        <v>62</v>
      </c>
      <c r="D112" s="93"/>
      <c r="E112" s="94"/>
    </row>
    <row r="113" spans="2:5" x14ac:dyDescent="0.2">
      <c r="B113" s="9" t="s">
        <v>15</v>
      </c>
      <c r="C113" s="7"/>
      <c r="D113" s="7"/>
      <c r="E113" s="8"/>
    </row>
    <row r="114" spans="2:5" x14ac:dyDescent="0.2">
      <c r="B114" s="10"/>
      <c r="C114" s="93" t="s">
        <v>67</v>
      </c>
      <c r="D114" s="93"/>
      <c r="E114" s="94"/>
    </row>
    <row r="115" spans="2:5" ht="39.75" customHeight="1" x14ac:dyDescent="0.2">
      <c r="B115" s="10"/>
      <c r="C115" s="93"/>
      <c r="D115" s="93"/>
      <c r="E115" s="94"/>
    </row>
    <row r="116" spans="2:5" x14ac:dyDescent="0.2">
      <c r="B116" s="9" t="s">
        <v>16</v>
      </c>
      <c r="C116" s="7"/>
      <c r="D116" s="7"/>
      <c r="E116" s="8"/>
    </row>
    <row r="117" spans="2:5" x14ac:dyDescent="0.2">
      <c r="B117" s="10"/>
      <c r="C117" s="93"/>
      <c r="D117" s="93"/>
      <c r="E117" s="94"/>
    </row>
    <row r="118" spans="2:5" x14ac:dyDescent="0.2">
      <c r="B118" s="9" t="s">
        <v>66</v>
      </c>
      <c r="C118" s="11"/>
      <c r="D118" s="11"/>
      <c r="E118" s="12"/>
    </row>
    <row r="119" spans="2:5" x14ac:dyDescent="0.2">
      <c r="B119" s="10"/>
      <c r="C119" s="93"/>
      <c r="D119" s="93"/>
      <c r="E119" s="94"/>
    </row>
    <row r="120" spans="2:5" x14ac:dyDescent="0.2">
      <c r="B120" s="9" t="s">
        <v>17</v>
      </c>
      <c r="C120" s="7"/>
      <c r="D120" s="7"/>
      <c r="E120" s="8"/>
    </row>
    <row r="121" spans="2:5" x14ac:dyDescent="0.2">
      <c r="B121" s="9"/>
      <c r="C121" s="93"/>
      <c r="D121" s="95"/>
      <c r="E121" s="96"/>
    </row>
    <row r="122" spans="2:5" ht="13.5" thickBot="1" x14ac:dyDescent="0.25">
      <c r="B122" s="13"/>
      <c r="C122" s="14"/>
      <c r="D122" s="14"/>
      <c r="E122" s="15"/>
    </row>
    <row r="123" spans="2:5" ht="13.5" thickBot="1" x14ac:dyDescent="0.25"/>
    <row r="124" spans="2:5" x14ac:dyDescent="0.2">
      <c r="B124" s="26" t="s">
        <v>85</v>
      </c>
      <c r="C124" s="4"/>
      <c r="D124" s="4"/>
      <c r="E124" s="5"/>
    </row>
    <row r="125" spans="2:5" x14ac:dyDescent="0.2">
      <c r="B125" s="6"/>
      <c r="C125" s="7" t="s">
        <v>91</v>
      </c>
      <c r="D125" s="7"/>
      <c r="E125" s="8"/>
    </row>
    <row r="126" spans="2:5" x14ac:dyDescent="0.2">
      <c r="B126" s="9" t="s">
        <v>14</v>
      </c>
      <c r="C126" s="7"/>
      <c r="D126" s="7"/>
      <c r="E126" s="8"/>
    </row>
    <row r="127" spans="2:5" x14ac:dyDescent="0.2">
      <c r="B127" s="9"/>
      <c r="C127" s="93" t="s">
        <v>62</v>
      </c>
      <c r="D127" s="93"/>
      <c r="E127" s="94"/>
    </row>
    <row r="128" spans="2:5" x14ac:dyDescent="0.2">
      <c r="B128" s="9" t="s">
        <v>15</v>
      </c>
      <c r="C128" s="7"/>
      <c r="D128" s="7"/>
      <c r="E128" s="8"/>
    </row>
    <row r="129" spans="2:5" x14ac:dyDescent="0.2">
      <c r="B129" s="10"/>
      <c r="C129" s="93" t="s">
        <v>67</v>
      </c>
      <c r="D129" s="93"/>
      <c r="E129" s="94"/>
    </row>
    <row r="130" spans="2:5" ht="48.75" customHeight="1" x14ac:dyDescent="0.2">
      <c r="B130" s="10"/>
      <c r="C130" s="93"/>
      <c r="D130" s="93"/>
      <c r="E130" s="94"/>
    </row>
    <row r="131" spans="2:5" x14ac:dyDescent="0.2">
      <c r="B131" s="9" t="s">
        <v>16</v>
      </c>
      <c r="C131" s="7"/>
      <c r="D131" s="7"/>
      <c r="E131" s="8"/>
    </row>
    <row r="132" spans="2:5" x14ac:dyDescent="0.2">
      <c r="B132" s="10"/>
      <c r="C132" s="93"/>
      <c r="D132" s="93"/>
      <c r="E132" s="94"/>
    </row>
    <row r="133" spans="2:5" x14ac:dyDescent="0.2">
      <c r="B133" s="9" t="s">
        <v>66</v>
      </c>
      <c r="C133" s="11"/>
      <c r="D133" s="11"/>
      <c r="E133" s="12"/>
    </row>
    <row r="134" spans="2:5" x14ac:dyDescent="0.2">
      <c r="B134" s="10"/>
      <c r="C134" s="93"/>
      <c r="D134" s="93"/>
      <c r="E134" s="94"/>
    </row>
    <row r="135" spans="2:5" x14ac:dyDescent="0.2">
      <c r="B135" s="9" t="s">
        <v>17</v>
      </c>
      <c r="C135" s="7"/>
      <c r="D135" s="7"/>
      <c r="E135" s="8"/>
    </row>
    <row r="136" spans="2:5" x14ac:dyDescent="0.2">
      <c r="B136" s="9"/>
      <c r="C136" s="93"/>
      <c r="D136" s="95"/>
      <c r="E136" s="96"/>
    </row>
    <row r="137" spans="2:5" ht="13.5" thickBot="1" x14ac:dyDescent="0.25">
      <c r="B137" s="13"/>
      <c r="C137" s="14"/>
      <c r="D137" s="14"/>
      <c r="E137" s="15"/>
    </row>
  </sheetData>
  <mergeCells count="47">
    <mergeCell ref="C106:E106"/>
    <mergeCell ref="C91:E91"/>
    <mergeCell ref="C97:E97"/>
    <mergeCell ref="C99:E100"/>
    <mergeCell ref="C102:E102"/>
    <mergeCell ref="C104:E104"/>
    <mergeCell ref="C76:E76"/>
    <mergeCell ref="C82:E82"/>
    <mergeCell ref="C84:E85"/>
    <mergeCell ref="C87:E87"/>
    <mergeCell ref="C89:E89"/>
    <mergeCell ref="C61:E61"/>
    <mergeCell ref="C67:E67"/>
    <mergeCell ref="C69:E70"/>
    <mergeCell ref="C72:E72"/>
    <mergeCell ref="C74:E74"/>
    <mergeCell ref="C46:E46"/>
    <mergeCell ref="C52:E52"/>
    <mergeCell ref="C54:E55"/>
    <mergeCell ref="C57:E57"/>
    <mergeCell ref="C59:E59"/>
    <mergeCell ref="C117:E117"/>
    <mergeCell ref="C119:E119"/>
    <mergeCell ref="C121:E121"/>
    <mergeCell ref="A5:B5"/>
    <mergeCell ref="A6:B6"/>
    <mergeCell ref="C112:E112"/>
    <mergeCell ref="C114:E115"/>
    <mergeCell ref="C22:E22"/>
    <mergeCell ref="C24:E25"/>
    <mergeCell ref="C27:E27"/>
    <mergeCell ref="C29:E29"/>
    <mergeCell ref="C31:E31"/>
    <mergeCell ref="C37:E37"/>
    <mergeCell ref="C39:E40"/>
    <mergeCell ref="C42:E42"/>
    <mergeCell ref="C44:E44"/>
    <mergeCell ref="B1:H1"/>
    <mergeCell ref="A3:B3"/>
    <mergeCell ref="C3:E3"/>
    <mergeCell ref="A4:B4"/>
    <mergeCell ref="C4:E4"/>
    <mergeCell ref="C127:E127"/>
    <mergeCell ref="C129:E130"/>
    <mergeCell ref="C132:E132"/>
    <mergeCell ref="C134:E134"/>
    <mergeCell ref="C136:E136"/>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
  <sheetViews>
    <sheetView topLeftCell="A10" workbookViewId="0">
      <selection activeCell="G21" sqref="G21"/>
    </sheetView>
  </sheetViews>
  <sheetFormatPr baseColWidth="10" defaultColWidth="9.140625" defaultRowHeight="12.75" x14ac:dyDescent="0.2"/>
  <cols>
    <col min="2" max="2" width="13.7109375" customWidth="1"/>
    <col min="3" max="3" width="7.28515625" customWidth="1"/>
    <col min="7" max="7" width="19" customWidth="1"/>
    <col min="8" max="8" width="13.140625" customWidth="1"/>
    <col min="9" max="9" width="16.85546875" customWidth="1"/>
    <col min="10" max="10" width="30.42578125" customWidth="1"/>
    <col min="11" max="11" width="25.28515625" customWidth="1"/>
    <col min="12" max="12" width="17" customWidth="1"/>
    <col min="15" max="15" width="18.28515625" customWidth="1"/>
  </cols>
  <sheetData>
    <row r="1" spans="1:12" ht="16.5" thickBot="1" x14ac:dyDescent="0.25">
      <c r="A1" s="113" t="s">
        <v>22</v>
      </c>
      <c r="B1" s="113"/>
      <c r="C1" s="113"/>
      <c r="D1" s="113"/>
      <c r="E1" s="113"/>
      <c r="F1" s="113"/>
      <c r="G1" s="113"/>
      <c r="H1" s="113"/>
      <c r="I1" s="113"/>
      <c r="J1" s="37" t="s">
        <v>23</v>
      </c>
      <c r="K1" s="87" t="s">
        <v>70</v>
      </c>
    </row>
    <row r="2" spans="1:12" ht="15" thickBot="1" x14ac:dyDescent="0.25">
      <c r="A2" s="38"/>
      <c r="B2" s="39"/>
      <c r="C2" s="39"/>
      <c r="D2" s="40"/>
      <c r="E2" s="40"/>
      <c r="F2" s="40"/>
      <c r="G2" s="40"/>
      <c r="H2" s="40"/>
      <c r="I2" s="40"/>
      <c r="J2" s="40"/>
      <c r="K2" s="41"/>
    </row>
    <row r="3" spans="1:12" ht="15.75" thickBot="1" x14ac:dyDescent="0.25">
      <c r="A3" s="108" t="s">
        <v>24</v>
      </c>
      <c r="B3" s="108"/>
      <c r="C3" s="108"/>
      <c r="D3" s="109" t="s">
        <v>18</v>
      </c>
      <c r="E3" s="109"/>
      <c r="F3" s="109"/>
      <c r="G3" s="109"/>
      <c r="H3" s="109"/>
      <c r="I3" s="109"/>
      <c r="J3" s="109"/>
      <c r="K3" s="109"/>
    </row>
    <row r="4" spans="1:12" ht="15.75" thickBot="1" x14ac:dyDescent="0.25">
      <c r="A4" s="110" t="s">
        <v>26</v>
      </c>
      <c r="B4" s="110"/>
      <c r="C4" s="110"/>
      <c r="D4" s="109" t="s">
        <v>19</v>
      </c>
      <c r="E4" s="109"/>
      <c r="F4" s="109"/>
      <c r="G4" s="109"/>
      <c r="H4" s="109"/>
      <c r="I4" s="109"/>
      <c r="J4" s="109"/>
      <c r="K4" s="109"/>
    </row>
    <row r="5" spans="1:12" ht="15.75" thickBot="1" x14ac:dyDescent="0.25">
      <c r="A5" s="110" t="s">
        <v>27</v>
      </c>
      <c r="B5" s="110"/>
      <c r="C5" s="110"/>
      <c r="D5" s="109" t="s">
        <v>25</v>
      </c>
      <c r="E5" s="109"/>
      <c r="F5" s="109"/>
      <c r="G5" s="109"/>
      <c r="H5" s="109"/>
      <c r="I5" s="109"/>
      <c r="J5" s="109"/>
      <c r="K5" s="109"/>
    </row>
    <row r="6" spans="1:12" ht="15.75" thickBot="1" x14ac:dyDescent="0.25">
      <c r="A6" s="108" t="s">
        <v>28</v>
      </c>
      <c r="B6" s="108"/>
      <c r="C6" s="108"/>
      <c r="D6" s="109" t="s">
        <v>25</v>
      </c>
      <c r="E6" s="109"/>
      <c r="F6" s="109"/>
      <c r="G6" s="109"/>
      <c r="H6" s="109"/>
      <c r="I6" s="109"/>
      <c r="J6" s="109"/>
      <c r="K6" s="109"/>
    </row>
    <row r="7" spans="1:12" ht="15.75" thickBot="1" x14ac:dyDescent="0.25">
      <c r="A7" s="110" t="s">
        <v>29</v>
      </c>
      <c r="B7" s="110"/>
      <c r="C7" s="110"/>
      <c r="D7" s="109" t="s">
        <v>63</v>
      </c>
      <c r="E7" s="109"/>
      <c r="F7" s="109"/>
      <c r="G7" s="109"/>
      <c r="H7" s="109"/>
      <c r="I7" s="109"/>
      <c r="J7" s="109"/>
      <c r="K7" s="109"/>
    </row>
    <row r="8" spans="1:12" ht="29.25" customHeight="1" thickBot="1" x14ac:dyDescent="0.25">
      <c r="A8" s="111" t="s">
        <v>30</v>
      </c>
      <c r="B8" s="111"/>
      <c r="C8" s="111"/>
      <c r="D8" s="112" t="s">
        <v>87</v>
      </c>
      <c r="E8" s="112"/>
      <c r="F8" s="112"/>
      <c r="G8" s="112"/>
      <c r="H8" s="112"/>
      <c r="I8" s="112"/>
      <c r="J8" s="112"/>
      <c r="K8" s="112"/>
    </row>
    <row r="9" spans="1:12" ht="15.75" thickBot="1" x14ac:dyDescent="0.25">
      <c r="A9" s="42"/>
      <c r="B9" s="43"/>
      <c r="C9" s="43"/>
      <c r="D9" s="44"/>
      <c r="E9" s="44"/>
      <c r="F9" s="44"/>
      <c r="G9" s="44"/>
      <c r="H9" s="44"/>
      <c r="I9" s="44"/>
      <c r="J9" s="44"/>
      <c r="K9" s="45"/>
    </row>
    <row r="10" spans="1:12" ht="13.5" thickBot="1" x14ac:dyDescent="0.25">
      <c r="A10" s="106" t="s">
        <v>31</v>
      </c>
      <c r="B10" s="107" t="s">
        <v>32</v>
      </c>
      <c r="C10" s="107" t="s">
        <v>33</v>
      </c>
      <c r="D10" s="107"/>
      <c r="E10" s="107"/>
      <c r="F10" s="107"/>
      <c r="G10" s="107"/>
      <c r="H10" s="107" t="s">
        <v>34</v>
      </c>
      <c r="I10" s="107" t="s">
        <v>35</v>
      </c>
      <c r="J10" s="107" t="s">
        <v>36</v>
      </c>
      <c r="K10" s="103" t="s">
        <v>37</v>
      </c>
    </row>
    <row r="11" spans="1:12" ht="13.5" thickBot="1" x14ac:dyDescent="0.25">
      <c r="A11" s="106"/>
      <c r="B11" s="107"/>
      <c r="C11" s="107"/>
      <c r="D11" s="107"/>
      <c r="E11" s="107"/>
      <c r="F11" s="107"/>
      <c r="G11" s="107"/>
      <c r="H11" s="107"/>
      <c r="I11" s="107"/>
      <c r="J11" s="107"/>
      <c r="K11" s="103"/>
    </row>
    <row r="12" spans="1:12" ht="53.25" customHeight="1" thickBot="1" x14ac:dyDescent="0.25">
      <c r="A12" s="46">
        <v>1</v>
      </c>
      <c r="B12" s="30" t="s">
        <v>88</v>
      </c>
      <c r="C12" s="100" t="s">
        <v>89</v>
      </c>
      <c r="D12" s="101"/>
      <c r="E12" s="101"/>
      <c r="F12" s="101"/>
      <c r="G12" s="102"/>
      <c r="H12" s="47" t="s">
        <v>65</v>
      </c>
      <c r="I12" s="86" t="s">
        <v>38</v>
      </c>
      <c r="J12" s="49">
        <v>1650</v>
      </c>
      <c r="K12" s="50">
        <v>1500</v>
      </c>
      <c r="L12" s="88"/>
    </row>
    <row r="13" spans="1:12" ht="53.25" customHeight="1" thickBot="1" x14ac:dyDescent="0.25">
      <c r="A13" s="46">
        <v>2</v>
      </c>
      <c r="B13" s="30" t="s">
        <v>88</v>
      </c>
      <c r="C13" s="100" t="s">
        <v>89</v>
      </c>
      <c r="D13" s="101"/>
      <c r="E13" s="101"/>
      <c r="F13" s="101"/>
      <c r="G13" s="102"/>
      <c r="H13" s="47" t="s">
        <v>65</v>
      </c>
      <c r="I13" s="86" t="s">
        <v>38</v>
      </c>
      <c r="J13" s="49">
        <v>1750</v>
      </c>
      <c r="K13" s="50">
        <v>4500</v>
      </c>
      <c r="L13" s="88"/>
    </row>
    <row r="14" spans="1:12" ht="47.25" customHeight="1" thickBot="1" x14ac:dyDescent="0.25">
      <c r="A14" s="46">
        <v>3</v>
      </c>
      <c r="B14" s="30" t="s">
        <v>88</v>
      </c>
      <c r="C14" s="100" t="s">
        <v>89</v>
      </c>
      <c r="D14" s="101"/>
      <c r="E14" s="101"/>
      <c r="F14" s="101"/>
      <c r="G14" s="102"/>
      <c r="H14" s="47" t="s">
        <v>65</v>
      </c>
      <c r="I14" s="86" t="s">
        <v>38</v>
      </c>
      <c r="J14" s="49">
        <v>1890</v>
      </c>
      <c r="K14" s="50">
        <v>4500</v>
      </c>
      <c r="L14" s="88"/>
    </row>
    <row r="15" spans="1:12" ht="44.25" customHeight="1" thickBot="1" x14ac:dyDescent="0.25">
      <c r="A15" s="46">
        <v>4</v>
      </c>
      <c r="B15" s="30" t="s">
        <v>88</v>
      </c>
      <c r="C15" s="100" t="s">
        <v>89</v>
      </c>
      <c r="D15" s="101"/>
      <c r="E15" s="101"/>
      <c r="F15" s="101"/>
      <c r="G15" s="102"/>
      <c r="H15" s="47" t="s">
        <v>65</v>
      </c>
      <c r="I15" s="86" t="s">
        <v>38</v>
      </c>
      <c r="J15" s="49">
        <v>2070</v>
      </c>
      <c r="K15" s="50">
        <v>3500</v>
      </c>
      <c r="L15" s="88"/>
    </row>
    <row r="16" spans="1:12" ht="45.75" customHeight="1" thickBot="1" x14ac:dyDescent="0.25">
      <c r="A16" s="46">
        <v>5</v>
      </c>
      <c r="B16" s="30" t="s">
        <v>88</v>
      </c>
      <c r="C16" s="100" t="s">
        <v>89</v>
      </c>
      <c r="D16" s="101"/>
      <c r="E16" s="101"/>
      <c r="F16" s="101"/>
      <c r="G16" s="102"/>
      <c r="H16" s="47" t="s">
        <v>65</v>
      </c>
      <c r="I16" s="86" t="s">
        <v>38</v>
      </c>
      <c r="J16" s="49">
        <v>2185</v>
      </c>
      <c r="K16" s="50">
        <v>4500</v>
      </c>
      <c r="L16" s="88"/>
    </row>
    <row r="17" spans="1:15" ht="45" customHeight="1" thickBot="1" x14ac:dyDescent="0.25">
      <c r="A17" s="46">
        <v>6</v>
      </c>
      <c r="B17" s="30" t="s">
        <v>88</v>
      </c>
      <c r="C17" s="100" t="s">
        <v>89</v>
      </c>
      <c r="D17" s="101"/>
      <c r="E17" s="101"/>
      <c r="F17" s="101"/>
      <c r="G17" s="102"/>
      <c r="H17" s="47" t="s">
        <v>65</v>
      </c>
      <c r="I17" s="86" t="s">
        <v>38</v>
      </c>
      <c r="J17" s="49">
        <v>2300</v>
      </c>
      <c r="K17" s="50">
        <v>1500</v>
      </c>
      <c r="L17" s="88"/>
    </row>
    <row r="18" spans="1:15" ht="51.75" customHeight="1" thickBot="1" x14ac:dyDescent="0.25">
      <c r="A18" s="46">
        <v>7</v>
      </c>
      <c r="B18" s="30" t="s">
        <v>88</v>
      </c>
      <c r="C18" s="100" t="s">
        <v>89</v>
      </c>
      <c r="D18" s="101"/>
      <c r="E18" s="101"/>
      <c r="F18" s="101"/>
      <c r="G18" s="102"/>
      <c r="H18" s="47" t="s">
        <v>65</v>
      </c>
      <c r="I18" s="48" t="s">
        <v>38</v>
      </c>
      <c r="J18" s="49">
        <v>1350</v>
      </c>
      <c r="K18" s="50">
        <v>3000</v>
      </c>
      <c r="L18" s="88"/>
      <c r="O18" s="51"/>
    </row>
    <row r="19" spans="1:15" ht="45.75" customHeight="1" thickBot="1" x14ac:dyDescent="0.25">
      <c r="A19" s="46">
        <v>8</v>
      </c>
      <c r="B19" s="30" t="s">
        <v>88</v>
      </c>
      <c r="C19" s="100" t="s">
        <v>89</v>
      </c>
      <c r="D19" s="101"/>
      <c r="E19" s="101"/>
      <c r="F19" s="101"/>
      <c r="G19" s="102"/>
      <c r="H19" s="47" t="s">
        <v>65</v>
      </c>
      <c r="I19" s="48" t="s">
        <v>38</v>
      </c>
      <c r="J19" s="49">
        <v>1350</v>
      </c>
      <c r="K19" s="50">
        <v>3000</v>
      </c>
      <c r="L19" s="88"/>
      <c r="O19" s="51"/>
    </row>
    <row r="20" spans="1:15" ht="36.75" customHeight="1" thickBot="1" x14ac:dyDescent="0.25">
      <c r="A20" s="104" t="s">
        <v>73</v>
      </c>
      <c r="B20" s="104"/>
      <c r="C20" s="104"/>
      <c r="D20" s="104"/>
      <c r="E20" s="104"/>
      <c r="F20" s="104"/>
      <c r="G20" s="104"/>
      <c r="H20" s="104"/>
      <c r="I20" s="104"/>
      <c r="J20" s="105">
        <v>47482500</v>
      </c>
      <c r="K20" s="105"/>
    </row>
  </sheetData>
  <mergeCells count="30">
    <mergeCell ref="A5:C5"/>
    <mergeCell ref="D5:K5"/>
    <mergeCell ref="A1:I1"/>
    <mergeCell ref="A3:C3"/>
    <mergeCell ref="D3:K3"/>
    <mergeCell ref="A4:C4"/>
    <mergeCell ref="D4:K4"/>
    <mergeCell ref="C14:G14"/>
    <mergeCell ref="A6:C6"/>
    <mergeCell ref="D6:K6"/>
    <mergeCell ref="A7:C7"/>
    <mergeCell ref="D7:K7"/>
    <mergeCell ref="A8:C8"/>
    <mergeCell ref="D8:K8"/>
    <mergeCell ref="C15:G15"/>
    <mergeCell ref="K10:K11"/>
    <mergeCell ref="C18:G18"/>
    <mergeCell ref="C19:G19"/>
    <mergeCell ref="A20:I20"/>
    <mergeCell ref="J20:K20"/>
    <mergeCell ref="A10:A11"/>
    <mergeCell ref="B10:B11"/>
    <mergeCell ref="C10:G11"/>
    <mergeCell ref="H10:H11"/>
    <mergeCell ref="I10:I11"/>
    <mergeCell ref="J10:J11"/>
    <mergeCell ref="C16:G16"/>
    <mergeCell ref="C17:G17"/>
    <mergeCell ref="C12:G12"/>
    <mergeCell ref="C13:G13"/>
  </mergeCells>
  <pageMargins left="0.7" right="0.7" top="0.75" bottom="0.75" header="0.3" footer="0.3"/>
  <pageSetup paperSize="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5"/>
  <sheetViews>
    <sheetView topLeftCell="A16" workbookViewId="0">
      <selection activeCell="U10" sqref="U10"/>
    </sheetView>
  </sheetViews>
  <sheetFormatPr baseColWidth="10" defaultColWidth="11" defaultRowHeight="12.75" x14ac:dyDescent="0.2"/>
  <cols>
    <col min="1" max="3" width="3.85546875" customWidth="1"/>
    <col min="4" max="5" width="4.42578125" customWidth="1"/>
    <col min="6" max="6" width="5.85546875" customWidth="1"/>
    <col min="7" max="7" width="3.85546875" style="84" customWidth="1"/>
    <col min="8" max="8" width="3.85546875" customWidth="1"/>
    <col min="9" max="9" width="3.28515625" customWidth="1"/>
    <col min="10" max="12" width="4.42578125" customWidth="1"/>
    <col min="13" max="13" width="3.42578125" customWidth="1"/>
    <col min="14" max="14" width="4" customWidth="1"/>
    <col min="15" max="15" width="14.85546875" customWidth="1"/>
    <col min="16" max="16" width="5.140625" customWidth="1"/>
    <col min="17" max="17" width="15" customWidth="1"/>
  </cols>
  <sheetData>
    <row r="1" spans="1:21" ht="15.75" thickBot="1" x14ac:dyDescent="0.3">
      <c r="A1" s="134" t="s">
        <v>3</v>
      </c>
      <c r="B1" s="134"/>
      <c r="C1" s="134"/>
      <c r="D1" s="135">
        <v>2022</v>
      </c>
      <c r="E1" s="135"/>
      <c r="F1" s="52"/>
      <c r="G1" s="52"/>
      <c r="H1" s="53"/>
      <c r="I1" s="53"/>
      <c r="J1" s="53"/>
      <c r="K1" s="53"/>
      <c r="L1" s="53"/>
      <c r="M1" s="53"/>
      <c r="N1" s="53"/>
      <c r="O1" s="54"/>
      <c r="P1" s="136" t="s">
        <v>39</v>
      </c>
      <c r="Q1" s="136"/>
    </row>
    <row r="2" spans="1:21" ht="13.5" thickBot="1" x14ac:dyDescent="0.25">
      <c r="A2" s="55"/>
      <c r="B2" s="56"/>
      <c r="C2" s="56"/>
      <c r="D2" s="56"/>
      <c r="E2" s="56"/>
      <c r="F2" s="56"/>
      <c r="G2" s="57"/>
      <c r="H2" s="58"/>
      <c r="I2" s="58"/>
      <c r="J2" s="58"/>
      <c r="K2" s="58"/>
      <c r="L2" s="58"/>
      <c r="M2" s="58"/>
      <c r="N2" s="58"/>
      <c r="O2" s="56"/>
      <c r="P2" s="136"/>
      <c r="Q2" s="136"/>
    </row>
    <row r="3" spans="1:21" ht="13.5" thickBot="1" x14ac:dyDescent="0.25">
      <c r="A3" s="55"/>
      <c r="B3" s="56"/>
      <c r="C3" s="56"/>
      <c r="D3" s="56"/>
      <c r="E3" s="56"/>
      <c r="F3" s="56"/>
      <c r="G3" s="57"/>
      <c r="H3" s="56"/>
      <c r="I3" s="56"/>
      <c r="J3" s="56"/>
      <c r="K3" s="56"/>
      <c r="L3" s="56"/>
      <c r="M3" s="56"/>
      <c r="N3" s="56"/>
      <c r="O3" s="56"/>
      <c r="P3" s="56"/>
      <c r="Q3" s="59"/>
    </row>
    <row r="4" spans="1:21" s="60" customFormat="1" ht="15" thickBot="1" x14ac:dyDescent="0.25">
      <c r="A4" s="137" t="s">
        <v>40</v>
      </c>
      <c r="B4" s="137"/>
      <c r="C4" s="137"/>
      <c r="D4" s="137"/>
      <c r="E4" s="137"/>
      <c r="F4" s="137"/>
      <c r="G4" s="126" t="s">
        <v>18</v>
      </c>
      <c r="H4" s="126"/>
      <c r="I4" s="126"/>
      <c r="J4" s="126"/>
      <c r="K4" s="126"/>
      <c r="L4" s="126"/>
      <c r="M4" s="126"/>
      <c r="N4" s="126"/>
      <c r="O4" s="126"/>
      <c r="P4" s="126"/>
      <c r="Q4" s="126"/>
    </row>
    <row r="5" spans="1:21" s="60" customFormat="1" ht="15" thickBot="1" x14ac:dyDescent="0.25">
      <c r="A5" s="125" t="s">
        <v>26</v>
      </c>
      <c r="B5" s="125"/>
      <c r="C5" s="125"/>
      <c r="D5" s="125"/>
      <c r="E5" s="125"/>
      <c r="F5" s="125"/>
      <c r="G5" s="126" t="s">
        <v>19</v>
      </c>
      <c r="H5" s="126"/>
      <c r="I5" s="126"/>
      <c r="J5" s="126"/>
      <c r="K5" s="126"/>
      <c r="L5" s="126"/>
      <c r="M5" s="126"/>
      <c r="N5" s="126"/>
      <c r="O5" s="126"/>
      <c r="P5" s="126"/>
      <c r="Q5" s="126"/>
    </row>
    <row r="6" spans="1:21" s="60" customFormat="1" ht="15" thickBot="1" x14ac:dyDescent="0.25">
      <c r="A6" s="125" t="s">
        <v>27</v>
      </c>
      <c r="B6" s="125"/>
      <c r="C6" s="125"/>
      <c r="D6" s="125"/>
      <c r="E6" s="125"/>
      <c r="F6" s="125"/>
      <c r="G6" s="126" t="s">
        <v>25</v>
      </c>
      <c r="H6" s="126"/>
      <c r="I6" s="126"/>
      <c r="J6" s="126"/>
      <c r="K6" s="126"/>
      <c r="L6" s="126"/>
      <c r="M6" s="126"/>
      <c r="N6" s="126"/>
      <c r="O6" s="126"/>
      <c r="P6" s="126"/>
      <c r="Q6" s="126"/>
    </row>
    <row r="7" spans="1:21" s="60" customFormat="1" ht="15.75" customHeight="1" thickBot="1" x14ac:dyDescent="0.25">
      <c r="A7" s="125" t="s">
        <v>28</v>
      </c>
      <c r="B7" s="125"/>
      <c r="C7" s="125"/>
      <c r="D7" s="125"/>
      <c r="E7" s="125"/>
      <c r="F7" s="125"/>
      <c r="G7" s="126" t="s">
        <v>25</v>
      </c>
      <c r="H7" s="126"/>
      <c r="I7" s="126"/>
      <c r="J7" s="126"/>
      <c r="K7" s="126"/>
      <c r="L7" s="126"/>
      <c r="M7" s="126"/>
      <c r="N7" s="126"/>
      <c r="O7" s="126"/>
      <c r="P7" s="126"/>
      <c r="Q7" s="126"/>
    </row>
    <row r="8" spans="1:21" ht="13.5" thickBot="1" x14ac:dyDescent="0.25">
      <c r="A8" s="127" t="s">
        <v>41</v>
      </c>
      <c r="B8" s="127"/>
      <c r="C8" s="127"/>
      <c r="D8" s="127"/>
      <c r="E8" s="127"/>
      <c r="F8" s="127"/>
      <c r="G8" s="127"/>
      <c r="H8" s="127"/>
      <c r="I8" s="127"/>
      <c r="J8" s="127"/>
      <c r="K8" s="127"/>
      <c r="L8" s="127"/>
      <c r="M8" s="127"/>
      <c r="N8" s="127"/>
      <c r="O8" s="127"/>
      <c r="P8" s="127"/>
      <c r="Q8" s="127"/>
    </row>
    <row r="9" spans="1:21" ht="14.25" x14ac:dyDescent="0.2">
      <c r="A9" s="128" t="s">
        <v>42</v>
      </c>
      <c r="B9" s="128"/>
      <c r="C9" s="128"/>
      <c r="D9" s="128"/>
      <c r="E9" s="128"/>
      <c r="F9" s="128"/>
      <c r="G9" s="128"/>
      <c r="H9" s="128"/>
      <c r="I9" s="128"/>
      <c r="J9" s="128"/>
      <c r="K9" s="128"/>
      <c r="L9" s="128"/>
      <c r="M9" s="128"/>
      <c r="N9" s="128"/>
      <c r="O9" s="128"/>
      <c r="P9" s="128"/>
      <c r="Q9" s="128"/>
    </row>
    <row r="10" spans="1:21" ht="83.25" customHeight="1" x14ac:dyDescent="0.2">
      <c r="A10" s="129" t="s">
        <v>71</v>
      </c>
      <c r="B10" s="129"/>
      <c r="C10" s="129"/>
      <c r="D10" s="129"/>
      <c r="E10" s="129"/>
      <c r="F10" s="129"/>
      <c r="G10" s="129"/>
      <c r="H10" s="129"/>
      <c r="I10" s="129"/>
      <c r="J10" s="129"/>
      <c r="K10" s="129"/>
      <c r="L10" s="129"/>
      <c r="M10" s="129"/>
      <c r="N10" s="129"/>
      <c r="O10" s="129"/>
      <c r="P10" s="129"/>
      <c r="Q10" s="129"/>
    </row>
    <row r="11" spans="1:21" ht="13.5" thickBot="1" x14ac:dyDescent="0.25">
      <c r="A11" s="61"/>
      <c r="B11" s="62"/>
      <c r="C11" s="62"/>
      <c r="D11" s="62"/>
      <c r="E11" s="62"/>
      <c r="F11" s="62"/>
      <c r="G11" s="63"/>
      <c r="H11" s="62"/>
      <c r="I11" s="62"/>
      <c r="J11" s="62"/>
      <c r="K11" s="62"/>
      <c r="L11" s="62"/>
      <c r="M11" s="62"/>
      <c r="N11" s="62"/>
      <c r="O11" s="62"/>
      <c r="P11" s="62"/>
      <c r="Q11" s="64"/>
    </row>
    <row r="12" spans="1:21" ht="13.5" thickBot="1" x14ac:dyDescent="0.25">
      <c r="A12" s="130" t="s">
        <v>43</v>
      </c>
      <c r="B12" s="130"/>
      <c r="C12" s="130"/>
      <c r="D12" s="130"/>
      <c r="E12" s="130"/>
      <c r="F12" s="130"/>
      <c r="G12" s="130"/>
      <c r="H12" s="130"/>
      <c r="I12" s="130"/>
      <c r="J12" s="130"/>
      <c r="K12" s="130"/>
      <c r="L12" s="130"/>
      <c r="M12" s="130"/>
      <c r="N12" s="130"/>
      <c r="O12" s="130"/>
      <c r="P12" s="130"/>
      <c r="Q12" s="130"/>
    </row>
    <row r="13" spans="1:21" ht="13.5" thickBot="1" x14ac:dyDescent="0.25">
      <c r="A13" s="131" t="s">
        <v>44</v>
      </c>
      <c r="B13" s="131"/>
      <c r="C13" s="131"/>
      <c r="D13" s="131"/>
      <c r="E13" s="131"/>
      <c r="F13" s="131"/>
      <c r="G13" s="131"/>
      <c r="H13" s="131"/>
      <c r="I13" s="131"/>
      <c r="J13" s="131"/>
      <c r="K13" s="131"/>
      <c r="L13" s="131"/>
      <c r="M13" s="131"/>
      <c r="N13" s="131"/>
      <c r="O13" s="132" t="s">
        <v>45</v>
      </c>
      <c r="P13" s="132"/>
      <c r="Q13" s="133" t="s">
        <v>46</v>
      </c>
    </row>
    <row r="14" spans="1:21" ht="33" customHeight="1" thickBot="1" x14ac:dyDescent="0.25">
      <c r="A14" s="65" t="s">
        <v>47</v>
      </c>
      <c r="B14" s="66" t="s">
        <v>48</v>
      </c>
      <c r="C14" s="66" t="s">
        <v>49</v>
      </c>
      <c r="D14" s="66" t="s">
        <v>50</v>
      </c>
      <c r="E14" s="66" t="s">
        <v>51</v>
      </c>
      <c r="F14" s="66" t="s">
        <v>52</v>
      </c>
      <c r="G14" s="67" t="s">
        <v>53</v>
      </c>
      <c r="H14" s="66" t="s">
        <v>54</v>
      </c>
      <c r="I14" s="66" t="s">
        <v>55</v>
      </c>
      <c r="J14" s="66" t="s">
        <v>56</v>
      </c>
      <c r="K14" s="66" t="s">
        <v>56</v>
      </c>
      <c r="L14" s="66" t="s">
        <v>57</v>
      </c>
      <c r="M14" s="68" t="s">
        <v>58</v>
      </c>
      <c r="N14" s="69" t="s">
        <v>59</v>
      </c>
      <c r="O14" s="132"/>
      <c r="P14" s="132"/>
      <c r="Q14" s="133"/>
      <c r="U14">
        <v>8100000</v>
      </c>
    </row>
    <row r="15" spans="1:21" x14ac:dyDescent="0.2">
      <c r="A15" s="70">
        <v>1</v>
      </c>
      <c r="B15" s="71">
        <v>0</v>
      </c>
      <c r="C15" s="71">
        <v>0</v>
      </c>
      <c r="D15" s="71">
        <v>1</v>
      </c>
      <c r="E15" s="71">
        <v>0</v>
      </c>
      <c r="F15" s="71">
        <v>4901</v>
      </c>
      <c r="G15" s="71">
        <v>3</v>
      </c>
      <c r="H15" s="71">
        <v>4</v>
      </c>
      <c r="I15" s="71">
        <v>2</v>
      </c>
      <c r="J15" s="71">
        <v>2</v>
      </c>
      <c r="K15" s="71">
        <v>2</v>
      </c>
      <c r="L15" s="71">
        <v>0</v>
      </c>
      <c r="M15" s="72">
        <v>1</v>
      </c>
      <c r="N15" s="71" t="s">
        <v>60</v>
      </c>
      <c r="O15" s="123" t="s">
        <v>64</v>
      </c>
      <c r="P15" s="124"/>
      <c r="Q15" s="73">
        <v>47482500</v>
      </c>
      <c r="U15">
        <v>39382500</v>
      </c>
    </row>
    <row r="16" spans="1:21" x14ac:dyDescent="0.2">
      <c r="A16" s="74"/>
      <c r="B16" s="75"/>
      <c r="C16" s="75"/>
      <c r="D16" s="75"/>
      <c r="E16" s="75"/>
      <c r="F16" s="75"/>
      <c r="G16" s="75"/>
      <c r="H16" s="75"/>
      <c r="I16" s="75"/>
      <c r="J16" s="75"/>
      <c r="K16" s="75"/>
      <c r="L16" s="75"/>
      <c r="M16" s="76"/>
      <c r="N16" s="77"/>
      <c r="O16" s="118"/>
      <c r="P16" s="118"/>
      <c r="Q16" s="78"/>
      <c r="U16">
        <f>SUM(U14:U15)</f>
        <v>47482500</v>
      </c>
    </row>
    <row r="17" spans="1:17" x14ac:dyDescent="0.2">
      <c r="A17" s="74"/>
      <c r="B17" s="75"/>
      <c r="C17" s="75"/>
      <c r="D17" s="75"/>
      <c r="E17" s="75"/>
      <c r="F17" s="75"/>
      <c r="G17" s="75"/>
      <c r="H17" s="75"/>
      <c r="I17" s="75"/>
      <c r="J17" s="75"/>
      <c r="K17" s="75"/>
      <c r="L17" s="75"/>
      <c r="M17" s="76"/>
      <c r="N17" s="77"/>
      <c r="O17" s="119"/>
      <c r="P17" s="119"/>
      <c r="Q17" s="78"/>
    </row>
    <row r="18" spans="1:17" x14ac:dyDescent="0.2">
      <c r="A18" s="74"/>
      <c r="B18" s="75"/>
      <c r="C18" s="75"/>
      <c r="D18" s="75"/>
      <c r="E18" s="75"/>
      <c r="F18" s="75"/>
      <c r="G18" s="75"/>
      <c r="H18" s="75"/>
      <c r="I18" s="75"/>
      <c r="J18" s="75"/>
      <c r="K18" s="75"/>
      <c r="L18" s="75"/>
      <c r="M18" s="76"/>
      <c r="N18" s="77"/>
      <c r="O18" s="120"/>
      <c r="P18" s="120"/>
      <c r="Q18" s="78"/>
    </row>
    <row r="19" spans="1:17" x14ac:dyDescent="0.2">
      <c r="A19" s="74"/>
      <c r="B19" s="75"/>
      <c r="C19" s="75"/>
      <c r="D19" s="75"/>
      <c r="E19" s="75"/>
      <c r="F19" s="75"/>
      <c r="G19" s="75"/>
      <c r="H19" s="75"/>
      <c r="I19" s="75"/>
      <c r="J19" s="75"/>
      <c r="K19" s="75"/>
      <c r="L19" s="75"/>
      <c r="M19" s="76"/>
      <c r="N19" s="77"/>
      <c r="O19" s="120"/>
      <c r="P19" s="120"/>
      <c r="Q19" s="78"/>
    </row>
    <row r="20" spans="1:17" ht="13.5" thickBot="1" x14ac:dyDescent="0.25">
      <c r="A20" s="79"/>
      <c r="B20" s="80"/>
      <c r="C20" s="80"/>
      <c r="D20" s="80"/>
      <c r="E20" s="80"/>
      <c r="F20" s="80"/>
      <c r="G20" s="80"/>
      <c r="H20" s="80"/>
      <c r="I20" s="80"/>
      <c r="J20" s="80"/>
      <c r="K20" s="80"/>
      <c r="L20" s="80"/>
      <c r="M20" s="81"/>
      <c r="N20" s="80"/>
      <c r="O20" s="121"/>
      <c r="P20" s="121"/>
      <c r="Q20" s="82"/>
    </row>
    <row r="21" spans="1:17" ht="36" customHeight="1" thickBot="1" x14ac:dyDescent="0.25">
      <c r="A21" s="122" t="s">
        <v>72</v>
      </c>
      <c r="B21" s="122"/>
      <c r="C21" s="122"/>
      <c r="D21" s="122"/>
      <c r="E21" s="122"/>
      <c r="F21" s="122"/>
      <c r="G21" s="122"/>
      <c r="H21" s="122"/>
      <c r="I21" s="122"/>
      <c r="J21" s="122"/>
      <c r="K21" s="122"/>
      <c r="L21" s="122"/>
      <c r="M21" s="122"/>
      <c r="N21" s="122"/>
      <c r="O21" s="122"/>
      <c r="P21" s="122"/>
      <c r="Q21" s="83">
        <f>SUM(Q15:Q20)</f>
        <v>47482500</v>
      </c>
    </row>
    <row r="22" spans="1:17" ht="13.5" thickBot="1" x14ac:dyDescent="0.25">
      <c r="A22" s="114"/>
      <c r="B22" s="114"/>
      <c r="C22" s="114"/>
      <c r="D22" s="114"/>
      <c r="E22" s="114"/>
      <c r="F22" s="114"/>
      <c r="G22" s="114"/>
      <c r="H22" s="114"/>
      <c r="I22" s="114"/>
      <c r="J22" s="114"/>
      <c r="K22" s="114"/>
      <c r="L22" s="114"/>
      <c r="M22" s="114"/>
      <c r="N22" s="114"/>
      <c r="O22" s="114"/>
      <c r="P22" s="114"/>
      <c r="Q22" s="114"/>
    </row>
    <row r="23" spans="1:17" ht="15.75" thickBot="1" x14ac:dyDescent="0.25">
      <c r="A23" s="115" t="s">
        <v>61</v>
      </c>
      <c r="B23" s="115"/>
      <c r="C23" s="115"/>
      <c r="D23" s="115"/>
      <c r="E23" s="115"/>
      <c r="F23" s="115"/>
      <c r="G23" s="116"/>
      <c r="H23" s="116"/>
      <c r="I23" s="116"/>
      <c r="J23" s="116"/>
      <c r="K23" s="116"/>
      <c r="L23" s="116"/>
      <c r="M23" s="116"/>
      <c r="N23" s="116"/>
      <c r="O23" s="116"/>
      <c r="P23" s="116"/>
      <c r="Q23" s="116"/>
    </row>
    <row r="24" spans="1:17" ht="13.5" thickBot="1" x14ac:dyDescent="0.25">
      <c r="A24" s="117" t="s">
        <v>86</v>
      </c>
      <c r="B24" s="117"/>
      <c r="C24" s="117"/>
      <c r="D24" s="117"/>
      <c r="E24" s="117"/>
      <c r="F24" s="117"/>
      <c r="G24" s="117"/>
      <c r="H24" s="117"/>
      <c r="I24" s="117"/>
      <c r="J24" s="117"/>
      <c r="K24" s="117"/>
      <c r="L24" s="117"/>
      <c r="M24" s="117"/>
      <c r="N24" s="117"/>
      <c r="O24" s="117"/>
      <c r="P24" s="117"/>
      <c r="Q24" s="117"/>
    </row>
    <row r="25" spans="1:17" ht="27" customHeight="1" thickBot="1" x14ac:dyDescent="0.25">
      <c r="A25" s="117"/>
      <c r="B25" s="117"/>
      <c r="C25" s="117"/>
      <c r="D25" s="117"/>
      <c r="E25" s="117"/>
      <c r="F25" s="117"/>
      <c r="G25" s="117"/>
      <c r="H25" s="117"/>
      <c r="I25" s="117"/>
      <c r="J25" s="117"/>
      <c r="K25" s="117"/>
      <c r="L25" s="117"/>
      <c r="M25" s="117"/>
      <c r="N25" s="117"/>
      <c r="O25" s="117"/>
      <c r="P25" s="117"/>
      <c r="Q25" s="117"/>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0866141732283472" right="0.70866141732283472" top="0.74803149606299213" bottom="0.74803149606299213" header="0.31496062992125984" footer="0.31496062992125984"/>
  <pageSetup paperSize="5" scale="8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2022-01-25T12:29:39Z</cp:lastPrinted>
  <dcterms:created xsi:type="dcterms:W3CDTF">2020-07-17T23:44:49Z</dcterms:created>
  <dcterms:modified xsi:type="dcterms:W3CDTF">2022-01-27T13:20:56Z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