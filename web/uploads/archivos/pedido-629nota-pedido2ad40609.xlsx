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4A63084-B5A3-4D25-9BD1-8BD49986F08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 l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<sst xmlns="http://schemas.openxmlformats.org/spreadsheetml/2006/main" count="85" uniqueCount="78">
  <si>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</si>
  <si>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</si>
  <si>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</si>
  <si>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</si>
  <si>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</si>
  <si>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</si>
  <si>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</si>
  <si>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</si>
  <si>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</si>
  <si>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</si>
  <si>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</si>
  <si>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</si>
  <si>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</si>
  <si>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</si>
  <si>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</si>
  <si>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</si>
  <si>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2.1.1-621.13</t>
  </si>
  <si>
    <t>ALIMENTOS</t>
  </si>
  <si>
    <t>2.1.1</t>
  </si>
  <si>
    <t>AVES; ESPECIE: POLLO, PRESENTACION: CAJON X 8 UN, EVISCERADO: SIN VALOR, TIPO: POLLO</t>
  </si>
  <si>
    <t>CAJON</t>
  </si>
  <si>
    <t>Especificidades:</t>
  </si>
  <si>
    <t>Para los oferentes que coticen carnes deberán presentar: CERTIFICADO DE HABILITACIÓN DEL LOCAL, DESINFECCIÓN DEL MISMO emitido por el Dpto. de Bromatología y CARNET SANITARIO del personal, en copia debidamente certificada por autoridad de Aplicación o Escribano Publico. El bien a proveer, deberá constar con la rotulación del frigorífico de origen  .-.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</si>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</sst>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b/>
      <u/>
      <sz val="10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44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8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8"/>
  <sheetViews>
    <sheetView tabSelected="1" topLeftCell="A3" zoomScale="80" zoomScaleNormal="80" workbookViewId="0">
      <selection activeCell="B15" sqref="B15:E15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94.28515625" style="1" customWidth="1"/>
    <col min="6" max="6" width="15.140625" style="1" customWidth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90" t="s">
        <v>0</v>
      </c>
      <c r="C2" s="90"/>
      <c r="D2" s="90"/>
      <c r="E2" s="90"/>
      <c r="F2" s="90"/>
      <c r="G2" s="90"/>
      <c r="H2" s="90"/>
    </row>
    <row r="4" spans="1:9" ht="18" customHeight="1" x14ac:dyDescent="0.25">
      <c r="A4" s="89" t="s">
        <v>1</v>
      </c>
      <c r="B4" s="89"/>
      <c r="C4" s="91" t="s">
        <v>2</v>
      </c>
      <c r="D4" s="91"/>
      <c r="E4" s="91"/>
      <c r="F4" s="2"/>
      <c r="G4" s="5"/>
      <c r="H4" s="2"/>
    </row>
    <row r="5" spans="1:9" ht="18" customHeight="1" x14ac:dyDescent="0.25">
      <c r="A5" s="89" t="s">
        <v>3</v>
      </c>
      <c r="B5" s="89"/>
      <c r="C5" s="91" t="s">
        <v>4</v>
      </c>
      <c r="D5" s="91"/>
      <c r="E5" s="91"/>
      <c r="F5" s="2"/>
      <c r="G5" s="5"/>
      <c r="H5" s="2"/>
    </row>
    <row r="6" spans="1:9" ht="16.5" customHeight="1" x14ac:dyDescent="0.25">
      <c r="A6" s="89" t="s">
        <v>5</v>
      </c>
      <c r="B6" s="89"/>
      <c r="C6" s="6">
        <v>2021</v>
      </c>
      <c r="D6" s="7"/>
      <c r="E6" s="7"/>
      <c r="F6" s="2"/>
      <c r="G6" s="5"/>
      <c r="H6" s="2"/>
    </row>
    <row r="7" spans="1:9" ht="16.5" customHeight="1" x14ac:dyDescent="0.25">
      <c r="A7" s="89" t="s">
        <v>6</v>
      </c>
      <c r="B7" s="89"/>
      <c r="C7" s="6">
        <v>4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3">
      <c r="A9" s="74" t="s">
        <v>7</v>
      </c>
      <c r="B9" s="60" t="s">
        <v>8</v>
      </c>
      <c r="C9" s="73" t="s">
        <v>9</v>
      </c>
      <c r="D9" s="72" t="s">
        <v>10</v>
      </c>
      <c r="E9" s="72" t="s">
        <v>11</v>
      </c>
      <c r="F9" s="72" t="s">
        <v>12</v>
      </c>
      <c r="G9" s="72" t="s">
        <v>13</v>
      </c>
      <c r="H9" s="72" t="s">
        <v>14</v>
      </c>
      <c r="I9" s="71" t="s">
        <v>15</v>
      </c>
    </row>
    <row r="10" spans="1:9" ht="28.5" customHeight="1" x14ac:dyDescent="0.25">
      <c r="A10" s="70">
        <v>1</v>
      </c>
      <c r="B10" s="69" t="s">
        <v>16</v>
      </c>
      <c r="C10" s="68" t="s">
        <v>17</v>
      </c>
      <c r="D10" s="66" t="s">
        <v>18</v>
      </c>
      <c r="E10" s="67" t="s">
        <v>19</v>
      </c>
      <c r="F10" s="66" t="s">
        <v>20</v>
      </c>
      <c r="G10" s="65">
        <v>100</v>
      </c>
      <c r="H10" s="64">
        <v>6370</v>
      </c>
      <c r="I10" s="63">
        <f t="shared" ref="I10" si="0">(G10*H10)</f>
        <v>637000</v>
      </c>
    </row>
    <row r="11" spans="1:9" ht="17.25" customHeight="1" thickBot="1" x14ac:dyDescent="0.3">
      <c r="B11" s="61"/>
      <c r="I11" s="8">
        <f>SUM(I10:I10)</f>
        <v>637000</v>
      </c>
    </row>
    <row r="12" spans="1:9" ht="17.25" customHeight="1" x14ac:dyDescent="0.25">
      <c r="B12" s="39" t="s">
        <v>21</v>
      </c>
      <c r="C12" s="40"/>
      <c r="D12" s="40"/>
      <c r="E12" s="41"/>
    </row>
    <row r="13" spans="1:9" ht="14.25" thickBot="1" x14ac:dyDescent="0.3">
      <c r="B13" s="87"/>
      <c r="C13" s="88"/>
      <c r="D13" s="42"/>
      <c r="E13" s="43"/>
    </row>
    <row r="14" spans="1:9" ht="59.25" customHeight="1" thickBot="1" x14ac:dyDescent="0.3">
      <c r="B14" s="83" t="s">
        <v>22</v>
      </c>
      <c r="C14" s="84"/>
      <c r="D14" s="84"/>
      <c r="E14" s="85"/>
    </row>
    <row r="15" spans="1:9" ht="65.25" customHeight="1" thickBot="1" x14ac:dyDescent="0.3">
      <c r="B15" s="83" t="s">
        <v>23</v>
      </c>
      <c r="C15" s="84"/>
      <c r="D15" s="84"/>
      <c r="E15" s="85"/>
    </row>
    <row r="16" spans="1:9" ht="14.25" thickBot="1" x14ac:dyDescent="0.3">
      <c r="B16" s="44"/>
      <c r="C16" s="76"/>
      <c r="D16" s="76"/>
      <c r="E16" s="76"/>
    </row>
    <row r="17" spans="2:5" ht="31.5" customHeight="1" x14ac:dyDescent="0.25">
      <c r="B17" s="45" t="s">
        <v>24</v>
      </c>
      <c r="C17" s="46"/>
      <c r="D17" s="40"/>
      <c r="E17" s="47"/>
    </row>
    <row r="18" spans="2:5" ht="150.75" customHeight="1" x14ac:dyDescent="0.25">
      <c r="B18" s="48"/>
      <c r="C18" s="81" t="s">
        <v>25</v>
      </c>
      <c r="D18" s="81"/>
      <c r="E18" s="82"/>
    </row>
    <row r="19" spans="2:5" x14ac:dyDescent="0.25">
      <c r="B19" s="48"/>
      <c r="C19" s="86"/>
      <c r="D19" s="86"/>
      <c r="E19" s="86"/>
    </row>
    <row r="20" spans="2:5" x14ac:dyDescent="0.25">
      <c r="B20" s="49" t="s">
        <v>26</v>
      </c>
      <c r="C20" s="50"/>
      <c r="D20" s="42"/>
      <c r="E20" s="75"/>
    </row>
    <row r="21" spans="2:5" x14ac:dyDescent="0.25">
      <c r="B21" s="48"/>
      <c r="C21" s="81" t="s">
        <v>27</v>
      </c>
      <c r="D21" s="81"/>
      <c r="E21" s="82"/>
    </row>
    <row r="22" spans="2:5" ht="14.25" thickBot="1" x14ac:dyDescent="0.3">
      <c r="B22" s="51"/>
      <c r="C22" s="52"/>
      <c r="D22" s="52"/>
      <c r="E22" s="53"/>
    </row>
    <row r="23" spans="2:5" ht="14.25" thickBot="1" x14ac:dyDescent="0.3">
      <c r="B23" s="42"/>
      <c r="C23" s="42"/>
      <c r="D23" s="42"/>
      <c r="E23" s="42"/>
    </row>
    <row r="24" spans="2:5" x14ac:dyDescent="0.25">
      <c r="B24" s="45" t="s">
        <v>28</v>
      </c>
      <c r="C24" s="54"/>
      <c r="D24" s="54"/>
      <c r="E24" s="55"/>
    </row>
    <row r="25" spans="2:5" x14ac:dyDescent="0.25">
      <c r="B25" s="56"/>
      <c r="C25" s="77" t="s">
        <v>29</v>
      </c>
      <c r="D25" s="77"/>
      <c r="E25" s="78"/>
    </row>
    <row r="26" spans="2:5" x14ac:dyDescent="0.25">
      <c r="B26" s="57" t="s">
        <v>30</v>
      </c>
      <c r="C26" s="42"/>
      <c r="D26" s="42"/>
      <c r="E26" s="43"/>
    </row>
    <row r="27" spans="2:5" x14ac:dyDescent="0.25">
      <c r="B27" s="58"/>
      <c r="C27" s="79" t="s">
        <v>31</v>
      </c>
      <c r="D27" s="79"/>
      <c r="E27" s="80"/>
    </row>
    <row r="28" spans="2:5" ht="14.25" thickBot="1" x14ac:dyDescent="0.3">
      <c r="B28" s="59"/>
      <c r="C28" s="52"/>
      <c r="D28" s="52"/>
      <c r="E28" s="53"/>
    </row>
  </sheetData>
  <mergeCells count="15">
    <mergeCell ref="B13:C13"/>
    <mergeCell ref="A6:B6"/>
    <mergeCell ref="A7:B7"/>
    <mergeCell ref="B2:H2"/>
    <mergeCell ref="A4:B4"/>
    <mergeCell ref="C4:E4"/>
    <mergeCell ref="A5:B5"/>
    <mergeCell ref="C5:E5"/>
    <mergeCell ref="C25:E25"/>
    <mergeCell ref="C27:E27"/>
    <mergeCell ref="C18:E18"/>
    <mergeCell ref="B14:E14"/>
    <mergeCell ref="B15:E15"/>
    <mergeCell ref="C19:E19"/>
    <mergeCell ref="C21:E2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92" t="s">
        <v>32</v>
      </c>
      <c r="B1" s="92"/>
      <c r="C1" s="92"/>
      <c r="D1" s="92"/>
      <c r="E1" s="92"/>
      <c r="F1" s="92"/>
      <c r="G1" s="92"/>
      <c r="H1" s="92"/>
      <c r="I1" s="92"/>
      <c r="J1" s="26" t="s">
        <v>33</v>
      </c>
      <c r="K1" s="27" t="s">
        <v>34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93" t="s">
        <v>35</v>
      </c>
      <c r="B3" s="93"/>
      <c r="C3" s="93"/>
      <c r="D3" s="98" t="str">
        <f>'Necesidades Trimestrales'!C4</f>
        <v>90 - Ministerio de Seguridad</v>
      </c>
      <c r="E3" s="98"/>
      <c r="F3" s="98"/>
      <c r="G3" s="98"/>
      <c r="H3" s="98"/>
      <c r="I3" s="98"/>
      <c r="J3" s="98"/>
      <c r="K3" s="98"/>
    </row>
    <row r="4" spans="1:1024" ht="18.75" customHeight="1" thickBot="1" x14ac:dyDescent="0.3">
      <c r="A4" s="97" t="s">
        <v>36</v>
      </c>
      <c r="B4" s="97"/>
      <c r="C4" s="97"/>
      <c r="D4" s="98" t="str">
        <f>'Necesidades Trimestrales'!C5</f>
        <v>7- Dirección Provincial de Administración de la Policía de la Provincia de Catamarca</v>
      </c>
      <c r="E4" s="98"/>
      <c r="F4" s="98"/>
      <c r="G4" s="98"/>
      <c r="H4" s="98"/>
      <c r="I4" s="98"/>
      <c r="J4" s="98"/>
      <c r="K4" s="98"/>
    </row>
    <row r="5" spans="1:1024" ht="18.75" customHeight="1" thickBot="1" x14ac:dyDescent="0.3">
      <c r="A5" s="97" t="s">
        <v>37</v>
      </c>
      <c r="B5" s="97"/>
      <c r="C5" s="97"/>
      <c r="D5" s="98" t="s">
        <v>38</v>
      </c>
      <c r="E5" s="98"/>
      <c r="F5" s="98"/>
      <c r="G5" s="98"/>
      <c r="H5" s="98"/>
      <c r="I5" s="98"/>
      <c r="J5" s="98"/>
      <c r="K5" s="98"/>
    </row>
    <row r="6" spans="1:1024" ht="16.5" customHeight="1" thickBot="1" x14ac:dyDescent="0.3">
      <c r="A6" s="93" t="s">
        <v>39</v>
      </c>
      <c r="B6" s="93"/>
      <c r="C6" s="93"/>
      <c r="D6" s="94" t="s">
        <v>40</v>
      </c>
      <c r="E6" s="95"/>
      <c r="F6" s="95"/>
      <c r="G6" s="95"/>
      <c r="H6" s="95"/>
      <c r="I6" s="95"/>
      <c r="J6" s="95"/>
      <c r="K6" s="96"/>
    </row>
    <row r="7" spans="1:1024" ht="16.5" customHeight="1" thickBot="1" x14ac:dyDescent="0.3">
      <c r="A7" s="97" t="s">
        <v>41</v>
      </c>
      <c r="B7" s="97"/>
      <c r="C7" s="97"/>
      <c r="D7" s="98" t="s">
        <v>42</v>
      </c>
      <c r="E7" s="98"/>
      <c r="F7" s="98"/>
      <c r="G7" s="98"/>
      <c r="H7" s="98"/>
      <c r="I7" s="98"/>
      <c r="J7" s="98"/>
      <c r="K7" s="98"/>
    </row>
    <row r="8" spans="1:1024" ht="16.5" customHeight="1" thickBot="1" x14ac:dyDescent="0.3">
      <c r="A8" s="108" t="s">
        <v>43</v>
      </c>
      <c r="B8" s="108"/>
      <c r="C8" s="108"/>
      <c r="D8" s="101" t="s">
        <v>44</v>
      </c>
      <c r="E8" s="95"/>
      <c r="F8" s="95"/>
      <c r="G8" s="95"/>
      <c r="H8" s="95"/>
      <c r="I8" s="95"/>
      <c r="J8" s="95"/>
      <c r="K8" s="96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02" t="s">
        <v>45</v>
      </c>
      <c r="B10" s="103" t="s">
        <v>46</v>
      </c>
      <c r="C10" s="104" t="s">
        <v>47</v>
      </c>
      <c r="D10" s="105"/>
      <c r="E10" s="105"/>
      <c r="F10" s="105"/>
      <c r="G10" s="106"/>
      <c r="H10" s="107" t="s">
        <v>48</v>
      </c>
      <c r="I10" s="105" t="s">
        <v>49</v>
      </c>
      <c r="J10" s="105" t="s">
        <v>50</v>
      </c>
      <c r="K10" s="106" t="s">
        <v>51</v>
      </c>
    </row>
    <row r="11" spans="1:1024" ht="14.25" customHeight="1" thickBot="1" x14ac:dyDescent="0.3">
      <c r="A11" s="102"/>
      <c r="B11" s="103"/>
      <c r="C11" s="104"/>
      <c r="D11" s="105"/>
      <c r="E11" s="105"/>
      <c r="F11" s="105"/>
      <c r="G11" s="106"/>
      <c r="H11" s="107"/>
      <c r="I11" s="105"/>
      <c r="J11" s="105"/>
      <c r="K11" s="106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09" t="e">
        <f>'Necesidades Trimestrales'!#REF!</f>
        <v>#REF!</v>
      </c>
      <c r="D12" s="110"/>
      <c r="E12" s="110"/>
      <c r="F12" s="110"/>
      <c r="G12" s="111"/>
      <c r="H12" s="34" t="s">
        <v>52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09" t="e">
        <f>'Necesidades Trimestrales'!#REF!</f>
        <v>#REF!</v>
      </c>
      <c r="D13" s="110"/>
      <c r="E13" s="110"/>
      <c r="F13" s="110"/>
      <c r="G13" s="111"/>
      <c r="H13" s="34" t="s">
        <v>52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09" t="e">
        <f>'Necesidades Trimestrales'!#REF!</f>
        <v>#REF!</v>
      </c>
      <c r="D14" s="110"/>
      <c r="E14" s="110"/>
      <c r="F14" s="110"/>
      <c r="G14" s="111"/>
      <c r="H14" s="34" t="s">
        <v>52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99" t="s">
        <v>53</v>
      </c>
      <c r="B15" s="99"/>
      <c r="C15" s="99"/>
      <c r="D15" s="99"/>
      <c r="E15" s="99"/>
      <c r="F15" s="99"/>
      <c r="G15" s="99"/>
      <c r="H15" s="99"/>
      <c r="I15" s="99"/>
      <c r="J15" s="100" t="e">
        <f>'Necesidades Trimestrales'!#REF!</f>
        <v>#REF!</v>
      </c>
      <c r="K15" s="10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12" t="s">
        <v>5</v>
      </c>
      <c r="B1" s="112"/>
      <c r="C1" s="112"/>
      <c r="D1" s="113">
        <f>'Necesidades Trimestrales'!C6</f>
        <v>2021</v>
      </c>
      <c r="E1" s="113"/>
      <c r="F1" s="9"/>
      <c r="G1" s="9"/>
      <c r="H1" s="10"/>
      <c r="I1" s="10"/>
      <c r="J1" s="10"/>
      <c r="K1" s="10"/>
      <c r="L1" s="10"/>
      <c r="M1" s="10"/>
      <c r="N1" s="10"/>
      <c r="P1" s="114" t="s">
        <v>54</v>
      </c>
      <c r="Q1" s="114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14"/>
      <c r="Q2" s="114"/>
    </row>
    <row r="4" spans="1:17" ht="18" customHeight="1" thickBot="1" x14ac:dyDescent="0.35">
      <c r="A4" s="115" t="s">
        <v>55</v>
      </c>
      <c r="B4" s="115"/>
      <c r="C4" s="115"/>
      <c r="D4" s="115"/>
      <c r="E4" s="115"/>
      <c r="F4" s="115"/>
      <c r="G4" s="116" t="str">
        <f>' NotaPedido'!D3</f>
        <v>90 - Ministerio de Seguridad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ht="18" customHeight="1" thickBot="1" x14ac:dyDescent="0.35">
      <c r="A5" s="117" t="s">
        <v>36</v>
      </c>
      <c r="B5" s="118"/>
      <c r="C5" s="118"/>
      <c r="D5" s="118"/>
      <c r="E5" s="118"/>
      <c r="F5" s="119"/>
      <c r="G5" s="116" t="str">
        <f>' NotaPedido'!D4</f>
        <v>7- Dirección Provincial de Administración de la Policía de la Provincia de Catamarca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ht="18" customHeight="1" thickBot="1" x14ac:dyDescent="0.35">
      <c r="A6" s="117" t="s">
        <v>37</v>
      </c>
      <c r="B6" s="118"/>
      <c r="C6" s="118"/>
      <c r="D6" s="118"/>
      <c r="E6" s="118"/>
      <c r="F6" s="119"/>
      <c r="G6" s="116" t="str">
        <f>' NotaPedido'!D5</f>
        <v>Policía de la Provincia de Catamarca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ht="18" customHeight="1" thickBot="1" x14ac:dyDescent="0.35">
      <c r="A7" s="117" t="s">
        <v>39</v>
      </c>
      <c r="B7" s="118"/>
      <c r="C7" s="118"/>
      <c r="D7" s="118"/>
      <c r="E7" s="118"/>
      <c r="F7" s="119"/>
      <c r="G7" s="116" t="str">
        <f>' NotaPedido'!D6</f>
        <v>División Intendencia, Departamento Logística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3">
      <c r="A8" s="120" t="s">
        <v>56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3">
      <c r="A9" s="121" t="s">
        <v>57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3"/>
      <c r="P9" s="3"/>
      <c r="Q9" s="11"/>
    </row>
    <row r="10" spans="1:17" ht="66.75" customHeight="1" x14ac:dyDescent="0.25">
      <c r="A10" s="122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23" t="s">
        <v>58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5">
      <c r="A13" s="124" t="s">
        <v>59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60</v>
      </c>
      <c r="P13" s="125"/>
      <c r="Q13" s="126" t="s">
        <v>61</v>
      </c>
    </row>
    <row r="14" spans="1:17" ht="15.75" customHeight="1" thickBot="1" x14ac:dyDescent="0.3">
      <c r="A14" s="16" t="s">
        <v>62</v>
      </c>
      <c r="B14" s="17" t="s">
        <v>63</v>
      </c>
      <c r="C14" s="17" t="s">
        <v>64</v>
      </c>
      <c r="D14" s="17" t="s">
        <v>65</v>
      </c>
      <c r="E14" s="17" t="s">
        <v>66</v>
      </c>
      <c r="F14" s="17" t="s">
        <v>67</v>
      </c>
      <c r="G14" s="18" t="s">
        <v>68</v>
      </c>
      <c r="H14" s="17" t="s">
        <v>69</v>
      </c>
      <c r="I14" s="17" t="s">
        <v>70</v>
      </c>
      <c r="J14" s="17" t="s">
        <v>71</v>
      </c>
      <c r="K14" s="17" t="s">
        <v>71</v>
      </c>
      <c r="L14" s="17" t="s">
        <v>72</v>
      </c>
      <c r="M14" s="19" t="s">
        <v>73</v>
      </c>
      <c r="N14" s="20" t="s">
        <v>74</v>
      </c>
      <c r="O14" s="125"/>
      <c r="P14" s="125"/>
      <c r="Q14" s="126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75</v>
      </c>
      <c r="O15" s="127" t="e">
        <f>'Necesidades Trimestrales'!#REF!</f>
        <v>#REF!</v>
      </c>
      <c r="P15" s="128"/>
      <c r="Q15" s="24" t="e">
        <f>' NotaPedido'!J15</f>
        <v>#REF!</v>
      </c>
    </row>
    <row r="16" spans="1:17" ht="33" customHeight="1" thickBot="1" x14ac:dyDescent="0.3">
      <c r="A16" s="140" t="s">
        <v>76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25" t="e">
        <f>Q15</f>
        <v>#REF!</v>
      </c>
    </row>
    <row r="17" spans="1:17" ht="18" customHeight="1" thickBot="1" x14ac:dyDescent="0.3">
      <c r="A17" s="141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3"/>
    </row>
    <row r="18" spans="1:17" ht="17.25" customHeight="1" thickBot="1" x14ac:dyDescent="0.3">
      <c r="A18" s="129" t="s">
        <v>77</v>
      </c>
      <c r="B18" s="130"/>
      <c r="C18" s="130"/>
      <c r="D18" s="130"/>
      <c r="E18" s="130"/>
      <c r="F18" s="131"/>
      <c r="G18" s="132"/>
      <c r="H18" s="133"/>
      <c r="I18" s="133"/>
      <c r="J18" s="133"/>
      <c r="K18" s="133"/>
      <c r="L18" s="133"/>
      <c r="M18" s="133"/>
      <c r="N18" s="133"/>
      <c r="O18" s="133"/>
      <c r="P18" s="133"/>
      <c r="Q18" s="133"/>
    </row>
    <row r="19" spans="1:17" ht="18" customHeight="1" x14ac:dyDescent="0.25">
      <c r="A19" s="134" t="str">
        <f>' NotaPedido'!D8</f>
        <v>Adquisición de Uniformes de Fajina para el personal policial.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6"/>
    </row>
    <row r="20" spans="1:17" ht="15" customHeight="1" thickBot="1" x14ac:dyDescent="0.3">
      <c r="A20" s="137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9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ELIAS QUINTAR</cp:lastModifiedBy>
  <cp:revision>2</cp:revision>
  <dcterms:created xsi:type="dcterms:W3CDTF">2020-07-17T23:44:49Z</dcterms:created>
  <dcterms:modified xsi:type="dcterms:W3CDTF">2021-11-23T15:40:24Z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