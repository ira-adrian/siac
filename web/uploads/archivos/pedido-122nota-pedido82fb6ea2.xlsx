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8_{C79D1B9C-37AD-44E5-BDA4-FC3F3DBEB71C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Trimestrales'!$A$9:$I$41</definedName>
    <definedName name="_xlnm.Print_Area" localSheetId="1">' NotaPedido'!$A$1:$K$46</definedName>
    <definedName name="_xlnm.Print_Area" localSheetId="2">'Autor Gastar'!$A$1:$Q$25</definedName>
    <definedName name="_xlnm.Print_Area" localSheetId="0">'Necesidades Trimestrales'!$E$9:$E$41</definedName>
  </definedNames>
  <calcPr calcId="181029"/>
</workbook>
</file>

<file path=xl/calcChain.xml><?xml version="1.0" encoding="utf-8"?>
<calcChain xmlns="http://schemas.openxmlformats.org/spreadsheetml/2006/main">
  <c r="K44" i="2" l="1"/>
  <c r="K45" i="2"/>
  <c r="J44" i="2"/>
  <c r="J45" i="2"/>
  <c r="I44" i="2"/>
  <c r="I45" i="2"/>
  <c r="C44" i="2"/>
  <c r="C45" i="2"/>
  <c r="B44" i="2"/>
  <c r="B45" i="2"/>
  <c r="I42" i="1"/>
  <c r="I43" i="1"/>
  <c r="I16" i="3" l="1"/>
  <c r="I15" i="3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13" i="2"/>
  <c r="B12" i="2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K26" i="2" l="1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32" i="1"/>
  <c r="I33" i="1"/>
  <c r="I34" i="1"/>
  <c r="I35" i="1"/>
  <c r="I36" i="1"/>
  <c r="I37" i="1"/>
  <c r="I38" i="1"/>
  <c r="I39" i="1"/>
  <c r="I40" i="1"/>
  <c r="I41" i="1"/>
  <c r="I30" i="1" l="1"/>
  <c r="I31" i="1"/>
  <c r="K21" i="2" l="1"/>
  <c r="K22" i="2"/>
  <c r="K23" i="2"/>
  <c r="K24" i="2"/>
  <c r="K25" i="2"/>
  <c r="J21" i="2"/>
  <c r="J22" i="2"/>
  <c r="J23" i="2"/>
  <c r="J24" i="2"/>
  <c r="J25" i="2"/>
  <c r="J26" i="2"/>
  <c r="J27" i="2"/>
  <c r="J28" i="2"/>
  <c r="J29" i="2"/>
  <c r="J30" i="2"/>
  <c r="I21" i="2"/>
  <c r="I22" i="2"/>
  <c r="I23" i="2"/>
  <c r="I24" i="2"/>
  <c r="I25" i="2"/>
  <c r="I26" i="2"/>
  <c r="I27" i="2"/>
  <c r="I28" i="2"/>
  <c r="I29" i="2"/>
  <c r="I19" i="1"/>
  <c r="I20" i="1"/>
  <c r="I21" i="1"/>
  <c r="I22" i="1"/>
  <c r="I23" i="1"/>
  <c r="I24" i="1"/>
  <c r="I25" i="1"/>
  <c r="I26" i="1"/>
  <c r="I27" i="1"/>
  <c r="I28" i="1"/>
  <c r="I29" i="1"/>
  <c r="I12" i="2" l="1"/>
  <c r="I13" i="2"/>
  <c r="I14" i="2"/>
  <c r="I15" i="2"/>
  <c r="I16" i="2"/>
  <c r="I17" i="2"/>
  <c r="I18" i="2"/>
  <c r="I19" i="2"/>
  <c r="I20" i="2"/>
  <c r="K12" i="2"/>
  <c r="K13" i="2"/>
  <c r="K14" i="2"/>
  <c r="K15" i="2"/>
  <c r="K16" i="2"/>
  <c r="K17" i="2"/>
  <c r="K18" i="2"/>
  <c r="K19" i="2"/>
  <c r="K20" i="2"/>
  <c r="J12" i="2"/>
  <c r="J46" i="2" s="1"/>
  <c r="J13" i="2"/>
  <c r="J14" i="2"/>
  <c r="J15" i="2"/>
  <c r="J16" i="2"/>
  <c r="J17" i="2"/>
  <c r="J18" i="2"/>
  <c r="J19" i="2"/>
  <c r="J20" i="2"/>
  <c r="I10" i="1"/>
  <c r="I11" i="1"/>
  <c r="I12" i="1"/>
  <c r="I13" i="1"/>
  <c r="I14" i="1"/>
  <c r="I15" i="1"/>
  <c r="I16" i="1"/>
  <c r="I17" i="1"/>
  <c r="I18" i="1"/>
  <c r="A10" i="3" l="1"/>
  <c r="G6" i="3" l="1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<sst xmlns="http://schemas.openxmlformats.org/spreadsheetml/2006/main" count="275" uniqueCount="165">
  <si>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</si>
  <si>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</si>
  <si>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</si>
  <si>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</si>
  <si>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</si>
  <si>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</si>
  <si>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</si>
  <si>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</si>
  <si>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</si>
  <si>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</si>
  <si>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</si>
  <si>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</si>
  <si>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</si>
  <si>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</si>
  <si>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</si>
  <si>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</si>
  <si>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</si>
  <si>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</si>
  <si>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</si>
  <si>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</si>
  <si>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</si>
  <si>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</si>
  <si>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</si>
  <si>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</si>
  <si>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</si>
  <si>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</si>
  <si>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</si>
  <si>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</si>
  <si>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</si>
  <si>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</si>
  <si>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</si>
  <si>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</si>
  <si>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</si>
  <si>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</si>
  <si>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</si>
  <si>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</si>
  <si>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</si>
  <si>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</si>
  <si>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</si>
  <si>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</si>
  <si>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</si>
  <si>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</si>
  <si>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</si>
  <si>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</si>
  <si>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</si>
  <si>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</si>
  <si>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</si>
  <si>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</si>
  <si>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</si>
  <si>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</si>
  <si>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</si>
  <si>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</si>
  <si>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</si>
  <si>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</si>
  <si>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</si>
  <si>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</si>
  <si>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UNIDAD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</si>
  <si>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</si>
  <si>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</si>
  <si>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CAJA</t>
  </si>
  <si>
    <r>
      <t>Mantenimiento de Oferta</t>
    </r>
    <r>
      <rPr>
        <sz val="10"/>
        <rFont val="Times New Roman"/>
        <family val="1"/>
      </rPr>
      <t xml:space="preserve">: 45 dias habiles </t>
    </r>
  </si>
  <si>
    <t>PAQUETE</t>
  </si>
  <si>
    <t>Servicio de Economato</t>
  </si>
  <si>
    <t>Trimestre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</si>
  <si>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</si>
  <si>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Especificidades Item N° 4:</t>
  </si>
  <si>
    <t>Especificidades Item N° 6:</t>
  </si>
  <si>
    <t>2.9.2-261.5</t>
  </si>
  <si>
    <t>LIBRERIA,PAP. Y UTILES OFICINA</t>
  </si>
  <si>
    <t>ABROCHADORAS DE PAPEL; P/BROCHES: 50, TIPO: PINZA, MATERIAL: METALICA, MEDIDA: 50</t>
  </si>
  <si>
    <t>2.9.2-291.3</t>
  </si>
  <si>
    <t>ALMOHADILLAS P/SELLOS; MEDIDA: 8 X 12 Cm, MATERIAL: PLASTICO</t>
  </si>
  <si>
    <t>2.9.2-700.28</t>
  </si>
  <si>
    <t>BROCHES P/ABROCHADORA; NUMERO: 10/50, PRESENTACION: CAJA X 1000 UNIDADES</t>
  </si>
  <si>
    <t>2.9.2-850.4</t>
  </si>
  <si>
    <t>CAJAS DE ARCHIVO; MATERIAL: PLASTICO CORRUGADO, COLOR: SIN VALOR, DIMENSION: 26 X 36 X 12 Cm</t>
  </si>
  <si>
    <t>2.9.2-1358.34</t>
  </si>
  <si>
    <t>CARPETAS; MATERIAL PVC - TAMAÑO OFICIO</t>
  </si>
  <si>
    <t>2.9.2-1358.35</t>
  </si>
  <si>
    <t>CARPETAS; MATERIAL PVC - TAMAÑO A4</t>
  </si>
  <si>
    <t>2.3.1-6563.882</t>
  </si>
  <si>
    <t>PAPELES EN HOJA; TIPO DE PAPEL: CARTULINA, DIMENSION: 45 X 63 Cm, GRAMAJE: 115/125 GR/M2, PRESENTACION: UNIDAD, CERTIFICADO FORESTAL (GFS): SIN, PORC. FIBRAS RECICLADAS: SIN, CERT. FIBRA ALTERNATIVA (FCA): SIN</t>
  </si>
  <si>
    <t>2.9.2-1153.239</t>
  </si>
  <si>
    <t>CINTAS ADHESIVAS; TIPO: P/EMBALAR, ANCHO: 48 mm, LARGO: 40 M, MATERIAL: POLIPROPILENO, ACCESORIO: SIN</t>
  </si>
  <si>
    <t>2.3.1-6587.283</t>
  </si>
  <si>
    <t>PAPELES ENCUADERNADOS; CANT. DE HOJAS: 84, TAMAÑO: 21 X 16 Cm, TIPO: CUADERNO, CERTIFICADO FORESTAL (GFS): SIN, PORC. FIBRAS RECICLADAS: 0 %, CERT. FIBRA ALTERNATIVA (FCA): SIN</t>
  </si>
  <si>
    <t>2.9.2-1611.18</t>
  </si>
  <si>
    <t>FOLIOS TRANSPARENTES; TAMAÑO: OFICIO, PERFORACIONES: 5, MATERIAL: PLASTICO (POLIETILENO)</t>
  </si>
  <si>
    <t>2.9.2-1611.19</t>
  </si>
  <si>
    <t>FOLIOS TRANSPARENTES; TAMAÑO: A4, PERFORACIONES: 5, MATERIAL: PLASTICO (POLIETILENO)</t>
  </si>
  <si>
    <t>2.9.2-317.31</t>
  </si>
  <si>
    <t>BOLIGRAFOS; TRAZO: MEDIO</t>
  </si>
  <si>
    <t>2.9.2-848.20</t>
  </si>
  <si>
    <t>LAPIZ; TIPO: 2HB, COLOR: NEGRO</t>
  </si>
  <si>
    <t>2.3.1-6587.361</t>
  </si>
  <si>
    <t>PAPELES ENCUADERNADOS; CANT. DE HOJAS: 200, TAMAÑO: 22,5 X 34,5 Cm, TIPO: LIBRO DE ACTAS, CERTIFICADO FORESTAL (GFS): SIN, PORC. FIBRAS RECICLADAS: 0 %, CERT. FIBRA ALTERNATIVA (FCA): SIN</t>
  </si>
  <si>
    <t>2.3.1-6587.293</t>
  </si>
  <si>
    <t>PAPELES ENCUADERNADOS; CANT. DE HOJAS: 100 HOJAS, TAMAÑO: 34,5 X 22,5 Cm, TIPO: LIBRO INDICE, CERTIFICADO FORESTAL (GFS): CON, PORC. FIBRAS RECICLADAS: 0 %, CERT. FIBRA ALTERNATIVA (FCA): SIN</t>
  </si>
  <si>
    <t>2.3.1-6563.938</t>
  </si>
  <si>
    <t>PAPELES EN HOJA; TIPO DE PAPEL: P/FORRAR, DIMENSION: 48 X 80 Cm, GRAMAJE: NO CORRESPONDE, PRESENTACION: UNIDAD, CERTIFICADO FORESTAL (GFS): SIN, PORC. FIBRAS RECICLADAS: 0 %, CERT. FIBRA ALTERNATIVA (FCA): SIN</t>
  </si>
  <si>
    <t>2.9.2-1616.147</t>
  </si>
  <si>
    <t>MARCADORES; TIPO P/PIZARRA - TRAZO FINO - PUNTA REDONDA - RECARGABLE NO</t>
  </si>
  <si>
    <t>2.9.2-1616.117</t>
  </si>
  <si>
    <t>MARCADORES; TIPO: AL ALCOHOL, TRAZO: 5 mm, PUNTA: BISELADA, COLOR: NEGRO, RECARGABLE: NO</t>
  </si>
  <si>
    <t>2.3.1-6563.109</t>
  </si>
  <si>
    <t>PAPELES EN HOJA; TIPO PAPEL: PAPEL CARBONICO, DIMENSION: OFICIO, GRAMAJE: SIN VALOR, PRESENTACION: CAJA X 100 HOJAS, TIPO DE PAPEL: PAPEL CARBONICO</t>
  </si>
  <si>
    <t>2.3.1-6563.1068</t>
  </si>
  <si>
    <t>PAPELES EN HOJA; TIPO DE PAPEL: AFICHE, DIMENSION: 70 X 100 Cm, GRAMAJE: 65 GR/M2, PRESENTACION: UNIDAD, CERTIFICADO FORESTAL (GFS): SIN, PORC. FIBRAS RECICLADAS: 0 %, CERT. FIBRA ALTERNATIVA (FCA): SIN</t>
  </si>
  <si>
    <t>2.3.1-6563.131</t>
  </si>
  <si>
    <t>PAPELES EN HOJA; TIPO PAPEL: PAPEL OBRA, DIMENSION: 21,59 X 35,56 Cm, GRAMAJE: 80 GR/M2, PRESENTACION: RESMA X 500 HOJAS, TIPO DE PAPEL: PAPEL OBRA</t>
  </si>
  <si>
    <t>RESMA</t>
  </si>
  <si>
    <t>2.3.1-6563.307</t>
  </si>
  <si>
    <t>PAPELES EN HOJA; TIPO PAPEL: PAPEL OBRA, DIMENSION: 21 X 29,7 Cm, GRAMAJE: 75 GR, PRESENTACION: RESMA X 500, TIPO DE PAPEL: PAPEL OBRA</t>
  </si>
  <si>
    <t>2.9.2-758.30</t>
  </si>
  <si>
    <t>TIJERAS P/CORTAR PAPELES; LONG.DE CUERPO: 10 Cm, MATERIAL: ACERO INOXIDABLE, CUCHILLA: REDONDEADAS, MANGO: PLASTICO</t>
  </si>
  <si>
    <t>2.9.2-1354.21</t>
  </si>
  <si>
    <t>RESALTADORES; PUNTA: BISELADA, ACCESORIO: SIN, COLOR: SIN VALOR, TIPO PUNTA: BISELADA</t>
  </si>
  <si>
    <t>2.9.2-758.18</t>
  </si>
  <si>
    <t>TIJERAS P/CORTAR PAPELES; LONG.DE CUERPO: 17 Cm, MATERIAL: ACERO INOXIDABLE, CUCHILLA: REDONDEADAS, MANGO: PLASTICO</t>
  </si>
  <si>
    <t>2.9.2-1062.12</t>
  </si>
  <si>
    <t>PAPELES ANOTADOR AUTOADHESIVOS; PRESENTACION: 100 HOJAS, LARGO X ANCHO: 76 X 76 mm</t>
  </si>
  <si>
    <t>2.3.1-6590.422</t>
  </si>
  <si>
    <t>SOBRES DE PAPEL; TIPO: BOLSA EN PAPEL MANILA, TAMAÑO: 27 X 37 Cm, GRAMAJE: 80 GR/CM2, PRESENTACION: PAQUETE X 250, CERTIFICADO FORESTAL (GFS): SIN</t>
  </si>
  <si>
    <t>2.3.1-6590.524</t>
  </si>
  <si>
    <t>SOBRES DE PAPEL; TIPO: BOLSA DE PAPEL MANILA, TAMAÑO: 20,5 X 28 Cm, GRAMAJE: 80 GR/M2, PRESENTACION: UNIDAD, CERTIFICADO FORESTAL (GFS): SIN, PORC. FIBRAS RECICLADAS: 0 %, CERT. FIBRA ALTERNATIVA (FCA): SIN</t>
  </si>
  <si>
    <t>2.9.2-274.3</t>
  </si>
  <si>
    <t>BIBLIORATOS; ANCHO 80mm - ANILLO 2 Y PALANCA - TAMAÑO OFICIO - MATERIAL CARTON</t>
  </si>
  <si>
    <t>2.9.9-7574.15</t>
  </si>
  <si>
    <t>PINCELES P/DIBUJO; TIPO: CHATO, NUMERO: 10</t>
  </si>
  <si>
    <t>2.9.2-754.15</t>
  </si>
  <si>
    <t>CHINCHES; MATERIAL: METAL, CANTIDAD PATAS: 1, DIAMETRO: 1 Cm, LONG.DE CUERPO: 8 mm, PRESENTACION: CAJA X 50 UN</t>
  </si>
  <si>
    <r>
      <t>Descripción técnica</t>
    </r>
    <r>
      <rPr>
        <sz val="10"/>
        <rFont val="Times New Roman"/>
        <family val="1"/>
      </rPr>
      <t>: TAPA TRANSPARENTE 1 MM.</t>
    </r>
  </si>
  <si>
    <r>
      <t>Descripción técnica</t>
    </r>
    <r>
      <rPr>
        <sz val="10"/>
        <rFont val="Times New Roman"/>
        <family val="1"/>
      </rPr>
      <t>: COLORES CLAROS</t>
    </r>
  </si>
  <si>
    <r>
      <t>Descripción técnica</t>
    </r>
    <r>
      <rPr>
        <sz val="10"/>
        <rFont val="Times New Roman"/>
        <family val="1"/>
      </rPr>
      <t>: COLOR AZUL TIPO BIROME</t>
    </r>
  </si>
  <si>
    <r>
      <t>Descripción técnica</t>
    </r>
    <r>
      <rPr>
        <sz val="10"/>
        <rFont val="Times New Roman"/>
        <family val="1"/>
      </rPr>
      <t>: COLOR NEGRO TIPO BIROME</t>
    </r>
  </si>
  <si>
    <r>
      <t>Descripción técnica</t>
    </r>
    <r>
      <rPr>
        <sz val="10"/>
        <rFont val="Times New Roman"/>
        <family val="1"/>
      </rPr>
      <t>: COLOR VERDE TIPO BIROME</t>
    </r>
  </si>
  <si>
    <r>
      <t>Descripción técnica</t>
    </r>
    <r>
      <rPr>
        <sz val="10"/>
        <rFont val="Times New Roman"/>
        <family val="1"/>
      </rPr>
      <t>: COLOR ROJO TIPO BIROME</t>
    </r>
  </si>
  <si>
    <r>
      <t>Descripción técnica</t>
    </r>
    <r>
      <rPr>
        <sz val="10"/>
        <rFont val="Times New Roman"/>
        <family val="1"/>
      </rPr>
      <t>: DISTINTOS COLORES</t>
    </r>
  </si>
  <si>
    <t>Especificidades Item N° 10 Y 11:</t>
  </si>
  <si>
    <t>Especificidades Item N° 5:</t>
  </si>
  <si>
    <t>Especificidades Item N° 7:</t>
  </si>
  <si>
    <t>Especificidades Item N° 30:</t>
  </si>
  <si>
    <t>Especificidades Item N° 28:</t>
  </si>
  <si>
    <t>018/2022</t>
  </si>
  <si>
    <t>Articulos de Librería</t>
  </si>
  <si>
    <t>Costo total estimado: Un Millon Ciento Veintiocho Mil Setecientos Noventa Con 00/100.</t>
  </si>
  <si>
    <t>Papel de Escritorio y Carton</t>
  </si>
  <si>
    <t>Utiles de Escritorio, Oficina y 
Enseñanaza</t>
  </si>
  <si>
    <t>TOTAL DE PESOS: UN MILLON CIENTO VEINTIOCHO MIL SETECIENTOS NOVENTA CON 00/100.</t>
  </si>
  <si>
    <t>Para la adquisición de Articulos de Libreria destinados al Servicio de Economato del Hospital Interzonal de Niños Eva Peron, para el normal funcionamiento del organismo.</t>
  </si>
  <si>
    <r>
      <t>Descripción técnica</t>
    </r>
    <r>
      <rPr>
        <sz val="10"/>
        <rFont val="Times New Roman"/>
        <family val="1"/>
      </rPr>
      <t>: RAYADO, TAPA DURA</t>
    </r>
  </si>
  <si>
    <t>Especificidades Item N° 31 Y 32:</t>
  </si>
  <si>
    <r>
      <t>Descripción técnica</t>
    </r>
    <r>
      <rPr>
        <sz val="10"/>
        <rFont val="Times New Roman"/>
        <family val="1"/>
      </rPr>
      <t>: COLOR MARRON</t>
    </r>
  </si>
  <si>
    <t>Especificidades Item N° 24 Y 25:</t>
  </si>
  <si>
    <r>
      <t>Descripción técnica</t>
    </r>
    <r>
      <rPr>
        <sz val="10"/>
        <rFont val="Times New Roman"/>
        <family val="1"/>
      </rPr>
      <t>: PAPEL BLANCO</t>
    </r>
  </si>
  <si>
    <t>Especificidades Item N° 20, 21 Y 22:</t>
  </si>
  <si>
    <t>Especificidades Item N° 19:</t>
  </si>
  <si>
    <r>
      <t>Descripción técnica</t>
    </r>
    <r>
      <rPr>
        <sz val="10"/>
        <rFont val="Times New Roman"/>
        <family val="1"/>
      </rPr>
      <t>: COLORES FLUOR CLAROS</t>
    </r>
  </si>
  <si>
    <t>Especificidades Item N° 17:</t>
  </si>
  <si>
    <r>
      <t>Descripción técnica</t>
    </r>
    <r>
      <rPr>
        <sz val="10"/>
        <rFont val="Times New Roman"/>
        <family val="1"/>
      </rPr>
      <t>: COLOR NEGRO</t>
    </r>
  </si>
  <si>
    <t>Especificidades Item N° 13:</t>
  </si>
  <si>
    <r>
      <t>Descripción técnica</t>
    </r>
    <r>
      <rPr>
        <sz val="10"/>
        <rFont val="Times New Roman"/>
        <family val="1"/>
      </rPr>
      <t>: TRANSPARENTE</t>
    </r>
  </si>
  <si>
    <t>Especificidades Item N° 9:</t>
  </si>
  <si>
    <r>
      <t>Descripción técnica</t>
    </r>
    <r>
      <rPr>
        <sz val="10"/>
        <rFont val="Times New Roman"/>
        <family val="1"/>
      </rPr>
      <t>: COLOR AZUL</t>
    </r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</si>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</sst>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&quot;$&quot;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48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0" fillId="0" borderId="53" xfId="0" applyBorder="1"/>
    <xf numFmtId="0" fontId="23" fillId="0" borderId="54" xfId="0" applyFont="1" applyBorder="1" applyAlignment="1">
      <alignment horizontal="center" vertical="center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indent="3"/>
    </xf>
    <xf numFmtId="0" fontId="25" fillId="0" borderId="7" xfId="0" applyFont="1" applyBorder="1" applyAlignment="1"/>
    <xf numFmtId="0" fontId="18" fillId="0" borderId="8" xfId="0" applyFont="1" applyBorder="1" applyAlignment="1">
      <alignment horizontal="center" wrapText="1"/>
    </xf>
    <xf numFmtId="0" fontId="18" fillId="0" borderId="8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24" fillId="0" borderId="56" xfId="0" applyFont="1" applyBorder="1" applyAlignment="1">
      <alignment horizontal="center" vertical="center" wrapText="1"/>
    </xf>
    <xf numFmtId="0" fontId="24" fillId="4" borderId="56" xfId="0" applyFont="1" applyFill="1" applyBorder="1" applyAlignment="1">
      <alignment horizontal="center" vertical="center" wrapText="1"/>
    </xf>
    <xf numFmtId="0" fontId="0" fillId="0" borderId="53" xfId="0" applyBorder="1" applyAlignment="1">
      <alignment vertical="center" wrapText="1"/>
    </xf>
    <xf numFmtId="0" fontId="24" fillId="0" borderId="53" xfId="0" applyFont="1" applyBorder="1" applyAlignment="1">
      <alignment horizontal="center" vertical="center" wrapText="1"/>
    </xf>
    <xf numFmtId="0" fontId="24" fillId="4" borderId="53" xfId="0" applyFont="1" applyFill="1" applyBorder="1" applyAlignment="1">
      <alignment horizontal="center" vertical="center" wrapText="1"/>
    </xf>
    <xf numFmtId="0" fontId="0" fillId="0" borderId="53" xfId="0" applyBorder="1" applyAlignment="1">
      <alignment wrapText="1"/>
    </xf>
    <xf numFmtId="0" fontId="0" fillId="3" borderId="57" xfId="0" applyFont="1" applyFill="1" applyBorder="1" applyAlignment="1">
      <alignment horizontal="center" vertical="center"/>
    </xf>
    <xf numFmtId="0" fontId="0" fillId="4" borderId="57" xfId="0" applyFont="1" applyFill="1" applyBorder="1" applyAlignment="1">
      <alignment horizontal="center" vertical="center"/>
    </xf>
    <xf numFmtId="0" fontId="0" fillId="4" borderId="58" xfId="0" applyFont="1" applyFill="1" applyBorder="1" applyAlignment="1">
      <alignment horizontal="center" vertical="center"/>
    </xf>
    <xf numFmtId="0" fontId="17" fillId="4" borderId="57" xfId="0" applyFont="1" applyFill="1" applyBorder="1" applyAlignment="1">
      <alignment horizontal="center" vertical="center"/>
    </xf>
    <xf numFmtId="0" fontId="0" fillId="3" borderId="28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0" fillId="4" borderId="29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25" fillId="0" borderId="2" xfId="0" applyFont="1" applyBorder="1"/>
    <xf numFmtId="0" fontId="0" fillId="0" borderId="56" xfId="0" applyBorder="1" applyAlignment="1">
      <alignment horizontal="center" vertical="center"/>
    </xf>
    <xf numFmtId="0" fontId="0" fillId="0" borderId="56" xfId="0" applyBorder="1" applyAlignment="1">
      <alignment wrapText="1"/>
    </xf>
    <xf numFmtId="0" fontId="0" fillId="0" borderId="53" xfId="0" applyBorder="1" applyAlignment="1">
      <alignment horizontal="center" vertical="center"/>
    </xf>
    <xf numFmtId="0" fontId="17" fillId="0" borderId="53" xfId="0" applyFont="1" applyBorder="1" applyAlignment="1">
      <alignment wrapText="1"/>
    </xf>
    <xf numFmtId="170" fontId="18" fillId="0" borderId="56" xfId="0" applyNumberFormat="1" applyFont="1" applyBorder="1" applyAlignment="1">
      <alignment vertical="center"/>
    </xf>
    <xf numFmtId="170" fontId="18" fillId="0" borderId="53" xfId="0" applyNumberFormat="1" applyFont="1" applyBorder="1" applyAlignment="1">
      <alignment vertical="center"/>
    </xf>
    <xf numFmtId="0" fontId="18" fillId="0" borderId="8" xfId="0" applyFont="1" applyBorder="1"/>
    <xf numFmtId="0" fontId="18" fillId="0" borderId="9" xfId="0" applyFont="1" applyBorder="1"/>
    <xf numFmtId="0" fontId="0" fillId="3" borderId="53" xfId="0" applyFill="1" applyBorder="1" applyAlignment="1">
      <alignment wrapText="1"/>
    </xf>
    <xf numFmtId="0" fontId="17" fillId="3" borderId="53" xfId="0" applyFont="1" applyFill="1" applyBorder="1" applyAlignment="1">
      <alignment wrapText="1"/>
    </xf>
    <xf numFmtId="0" fontId="20" fillId="0" borderId="0" xfId="0" applyFont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9" fillId="3" borderId="14" xfId="0" applyFont="1" applyFill="1" applyBorder="1" applyAlignment="1">
      <alignment horizontal="left" vertical="center" wrapText="1" indent="1"/>
    </xf>
    <xf numFmtId="167" fontId="10" fillId="3" borderId="14" xfId="0" applyNumberFormat="1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10" fillId="3" borderId="15" xfId="0" applyFont="1" applyFill="1" applyBorder="1" applyAlignment="1">
      <alignment horizontal="left" vertical="center" wrapText="1"/>
    </xf>
    <xf numFmtId="0" fontId="14" fillId="4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  <xf numFmtId="0" fontId="17" fillId="0" borderId="59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indent="1"/>
    </xf>
    <xf numFmtId="0" fontId="15" fillId="0" borderId="11" xfId="0" applyFont="1" applyBorder="1" applyAlignment="1">
      <alignment horizontal="left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</cellXfs>
  <cellStyles count="9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  <cellStyle name="Normal 4" xfId="8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SECRETARIA%20DE%20CONTRATACIONES%20-%20PEDIDOS/2021/ECONOMATO/LIBRERIA%20SAF%2024%20-%202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>
            <v>292</v>
          </cell>
        </row>
        <row r="11">
          <cell r="D11">
            <v>292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91"/>
  <sheetViews>
    <sheetView tabSelected="1" topLeftCell="A37" zoomScale="93" zoomScaleNormal="93" workbookViewId="0">
      <selection activeCell="E41" sqref="E41"/>
    </sheetView>
  </sheetViews>
  <sheetFormatPr baseColWidth="10" defaultColWidth="11" defaultRowHeight="12.75" x14ac:dyDescent="0.2"/>
  <cols>
    <col min="1" max="1" width="6.42578125" style="26" customWidth="1"/>
    <col min="2" max="2" width="15.7109375" style="26" customWidth="1"/>
    <col min="3" max="3" width="25.140625" style="26" customWidth="1"/>
    <col min="4" max="4" width="8.42578125" style="26" customWidth="1"/>
    <col min="5" max="5" width="59.28515625" style="26" customWidth="1"/>
    <col min="6" max="6" width="11" style="26"/>
    <col min="7" max="7" width="10.85546875" style="26" customWidth="1"/>
    <col min="8" max="8" width="13.85546875" style="45" customWidth="1"/>
    <col min="9" max="9" width="18.5703125" style="26" customWidth="1"/>
    <col min="10" max="10" width="11" style="26"/>
    <col min="11" max="11" width="12.140625" style="26" bestFit="1" customWidth="1"/>
    <col min="12" max="12" width="13.140625" style="26" customWidth="1"/>
    <col min="13" max="16384" width="11" style="26"/>
  </cols>
  <sheetData>
    <row r="2" spans="1:11" ht="27" x14ac:dyDescent="0.35">
      <c r="B2" s="101" t="s">
        <v>0</v>
      </c>
      <c r="C2" s="101"/>
      <c r="D2" s="101"/>
      <c r="E2" s="101"/>
      <c r="F2" s="101"/>
      <c r="G2" s="101"/>
      <c r="H2" s="101"/>
    </row>
    <row r="3" spans="1:11" ht="12" customHeight="1" x14ac:dyDescent="0.2"/>
    <row r="4" spans="1:11" ht="18" customHeight="1" x14ac:dyDescent="0.25">
      <c r="A4" s="97" t="s">
        <v>1</v>
      </c>
      <c r="B4" s="97"/>
      <c r="C4" s="102" t="s">
        <v>52</v>
      </c>
      <c r="D4" s="102"/>
      <c r="E4" s="102"/>
      <c r="F4" s="27"/>
      <c r="G4" s="28"/>
      <c r="H4" s="46"/>
    </row>
    <row r="5" spans="1:11" ht="18" customHeight="1" x14ac:dyDescent="0.25">
      <c r="A5" s="97" t="s">
        <v>2</v>
      </c>
      <c r="B5" s="97"/>
      <c r="C5" s="102" t="s">
        <v>51</v>
      </c>
      <c r="D5" s="102"/>
      <c r="E5" s="102"/>
      <c r="F5" s="27"/>
      <c r="G5" s="28" t="s">
        <v>55</v>
      </c>
      <c r="H5" s="46"/>
    </row>
    <row r="6" spans="1:11" ht="16.5" customHeight="1" x14ac:dyDescent="0.25">
      <c r="A6" s="97" t="s">
        <v>3</v>
      </c>
      <c r="B6" s="97"/>
      <c r="C6" s="42">
        <v>2022</v>
      </c>
      <c r="D6" s="43"/>
      <c r="E6" s="43"/>
      <c r="F6" s="27"/>
      <c r="G6" s="28"/>
      <c r="H6" s="46"/>
    </row>
    <row r="7" spans="1:11" ht="16.5" customHeight="1" x14ac:dyDescent="0.25">
      <c r="A7" s="97" t="s">
        <v>4</v>
      </c>
      <c r="B7" s="97"/>
      <c r="C7" s="42">
        <v>1</v>
      </c>
      <c r="D7" s="43"/>
      <c r="E7" s="43"/>
      <c r="F7" s="27"/>
      <c r="G7" s="28"/>
      <c r="H7" s="46"/>
    </row>
    <row r="8" spans="1:11" ht="13.5" thickBot="1" x14ac:dyDescent="0.25">
      <c r="B8" s="27"/>
      <c r="C8" s="28"/>
      <c r="D8" s="27"/>
      <c r="E8" s="27"/>
      <c r="F8" s="27"/>
      <c r="G8" s="28"/>
      <c r="H8" s="46"/>
      <c r="J8" s="44"/>
    </row>
    <row r="9" spans="1:11" ht="36.75" thickBot="1" x14ac:dyDescent="0.25">
      <c r="A9" s="65" t="s">
        <v>5</v>
      </c>
      <c r="B9" s="65" t="s">
        <v>6</v>
      </c>
      <c r="C9" s="65" t="s">
        <v>7</v>
      </c>
      <c r="D9" s="65" t="s">
        <v>8</v>
      </c>
      <c r="E9" s="65" t="s">
        <v>9</v>
      </c>
      <c r="F9" s="65" t="s">
        <v>10</v>
      </c>
      <c r="G9" s="65" t="s">
        <v>11</v>
      </c>
      <c r="H9" s="66" t="s">
        <v>12</v>
      </c>
      <c r="I9" s="65" t="s">
        <v>13</v>
      </c>
      <c r="K9" s="33"/>
    </row>
    <row r="10" spans="1:11" ht="25.5" x14ac:dyDescent="0.2">
      <c r="A10" s="57">
        <v>1</v>
      </c>
      <c r="B10" s="87" t="s">
        <v>67</v>
      </c>
      <c r="C10" s="88" t="s">
        <v>68</v>
      </c>
      <c r="D10" s="72">
        <v>292</v>
      </c>
      <c r="E10" s="88" t="s">
        <v>69</v>
      </c>
      <c r="F10" s="73" t="s">
        <v>56</v>
      </c>
      <c r="G10" s="73">
        <v>10</v>
      </c>
      <c r="H10" s="91">
        <v>2300</v>
      </c>
      <c r="I10" s="58">
        <f t="shared" ref="I10:I43" si="0">+G10*H10</f>
        <v>23000</v>
      </c>
      <c r="K10" s="33"/>
    </row>
    <row r="11" spans="1:11" ht="25.5" x14ac:dyDescent="0.2">
      <c r="A11" s="57">
        <v>2</v>
      </c>
      <c r="B11" s="89" t="s">
        <v>70</v>
      </c>
      <c r="C11" s="77" t="s">
        <v>68</v>
      </c>
      <c r="D11" s="75">
        <v>292</v>
      </c>
      <c r="E11" s="77" t="s">
        <v>71</v>
      </c>
      <c r="F11" s="76" t="s">
        <v>56</v>
      </c>
      <c r="G11" s="76">
        <v>15</v>
      </c>
      <c r="H11" s="92">
        <v>440</v>
      </c>
      <c r="I11" s="58">
        <f t="shared" si="0"/>
        <v>6600</v>
      </c>
      <c r="K11" s="33"/>
    </row>
    <row r="12" spans="1:11" ht="25.5" x14ac:dyDescent="0.2">
      <c r="A12" s="57">
        <v>3</v>
      </c>
      <c r="B12" s="89" t="s">
        <v>125</v>
      </c>
      <c r="C12" s="77" t="s">
        <v>68</v>
      </c>
      <c r="D12" s="75">
        <v>292</v>
      </c>
      <c r="E12" s="74" t="s">
        <v>126</v>
      </c>
      <c r="F12" s="76" t="s">
        <v>56</v>
      </c>
      <c r="G12" s="76">
        <v>40</v>
      </c>
      <c r="H12" s="92">
        <v>460</v>
      </c>
      <c r="I12" s="58">
        <f t="shared" si="0"/>
        <v>18400</v>
      </c>
      <c r="K12" s="33"/>
    </row>
    <row r="13" spans="1:11" ht="25.5" x14ac:dyDescent="0.2">
      <c r="A13" s="57">
        <v>4</v>
      </c>
      <c r="B13" s="89" t="s">
        <v>90</v>
      </c>
      <c r="C13" s="77" t="s">
        <v>68</v>
      </c>
      <c r="D13" s="75">
        <v>292</v>
      </c>
      <c r="E13" s="77" t="s">
        <v>91</v>
      </c>
      <c r="F13" s="76" t="s">
        <v>56</v>
      </c>
      <c r="G13" s="76">
        <v>500</v>
      </c>
      <c r="H13" s="92">
        <v>45</v>
      </c>
      <c r="I13" s="58">
        <f t="shared" si="0"/>
        <v>22500</v>
      </c>
      <c r="K13" s="33"/>
    </row>
    <row r="14" spans="1:11" ht="25.5" x14ac:dyDescent="0.2">
      <c r="A14" s="57">
        <v>5</v>
      </c>
      <c r="B14" s="89" t="s">
        <v>90</v>
      </c>
      <c r="C14" s="77" t="s">
        <v>68</v>
      </c>
      <c r="D14" s="75">
        <v>292</v>
      </c>
      <c r="E14" s="77" t="s">
        <v>91</v>
      </c>
      <c r="F14" s="76" t="s">
        <v>56</v>
      </c>
      <c r="G14" s="76">
        <v>300</v>
      </c>
      <c r="H14" s="92">
        <v>45</v>
      </c>
      <c r="I14" s="58">
        <f t="shared" si="0"/>
        <v>13500</v>
      </c>
    </row>
    <row r="15" spans="1:11" ht="25.5" x14ac:dyDescent="0.2">
      <c r="A15" s="57">
        <v>6</v>
      </c>
      <c r="B15" s="89" t="s">
        <v>90</v>
      </c>
      <c r="C15" s="77" t="s">
        <v>68</v>
      </c>
      <c r="D15" s="75">
        <v>292</v>
      </c>
      <c r="E15" s="77" t="s">
        <v>91</v>
      </c>
      <c r="F15" s="76" t="s">
        <v>56</v>
      </c>
      <c r="G15" s="76">
        <v>200</v>
      </c>
      <c r="H15" s="92">
        <v>45</v>
      </c>
      <c r="I15" s="58">
        <f t="shared" si="0"/>
        <v>9000</v>
      </c>
    </row>
    <row r="16" spans="1:11" ht="25.5" x14ac:dyDescent="0.2">
      <c r="A16" s="57">
        <v>7</v>
      </c>
      <c r="B16" s="89" t="s">
        <v>90</v>
      </c>
      <c r="C16" s="77" t="s">
        <v>68</v>
      </c>
      <c r="D16" s="75">
        <v>292</v>
      </c>
      <c r="E16" s="77" t="s">
        <v>91</v>
      </c>
      <c r="F16" s="76" t="s">
        <v>56</v>
      </c>
      <c r="G16" s="76">
        <v>200</v>
      </c>
      <c r="H16" s="92">
        <v>45</v>
      </c>
      <c r="I16" s="58">
        <f t="shared" si="0"/>
        <v>9000</v>
      </c>
    </row>
    <row r="17" spans="1:9" ht="25.5" x14ac:dyDescent="0.2">
      <c r="A17" s="57">
        <v>8</v>
      </c>
      <c r="B17" s="89" t="s">
        <v>72</v>
      </c>
      <c r="C17" s="77" t="s">
        <v>68</v>
      </c>
      <c r="D17" s="75">
        <v>292</v>
      </c>
      <c r="E17" s="77" t="s">
        <v>73</v>
      </c>
      <c r="F17" s="76" t="s">
        <v>59</v>
      </c>
      <c r="G17" s="76">
        <v>200</v>
      </c>
      <c r="H17" s="92">
        <v>120</v>
      </c>
      <c r="I17" s="58">
        <f t="shared" si="0"/>
        <v>24000</v>
      </c>
    </row>
    <row r="18" spans="1:9" ht="25.5" x14ac:dyDescent="0.2">
      <c r="A18" s="57">
        <v>9</v>
      </c>
      <c r="B18" s="89" t="s">
        <v>74</v>
      </c>
      <c r="C18" s="77" t="s">
        <v>68</v>
      </c>
      <c r="D18" s="75">
        <v>292</v>
      </c>
      <c r="E18" s="95" t="s">
        <v>75</v>
      </c>
      <c r="F18" s="76" t="s">
        <v>56</v>
      </c>
      <c r="G18" s="76">
        <v>50</v>
      </c>
      <c r="H18" s="92">
        <v>495</v>
      </c>
      <c r="I18" s="58">
        <f t="shared" si="0"/>
        <v>24750</v>
      </c>
    </row>
    <row r="19" spans="1:9" ht="25.5" x14ac:dyDescent="0.2">
      <c r="A19" s="57">
        <v>10</v>
      </c>
      <c r="B19" s="89" t="s">
        <v>78</v>
      </c>
      <c r="C19" s="77" t="s">
        <v>68</v>
      </c>
      <c r="D19" s="75">
        <v>292</v>
      </c>
      <c r="E19" s="77" t="s">
        <v>79</v>
      </c>
      <c r="F19" s="76" t="s">
        <v>56</v>
      </c>
      <c r="G19" s="76">
        <v>100</v>
      </c>
      <c r="H19" s="92">
        <v>83</v>
      </c>
      <c r="I19" s="58">
        <f t="shared" si="0"/>
        <v>8300</v>
      </c>
    </row>
    <row r="20" spans="1:9" ht="25.5" x14ac:dyDescent="0.2">
      <c r="A20" s="57">
        <v>11</v>
      </c>
      <c r="B20" s="89" t="s">
        <v>76</v>
      </c>
      <c r="C20" s="77" t="s">
        <v>68</v>
      </c>
      <c r="D20" s="75">
        <v>292</v>
      </c>
      <c r="E20" s="77" t="s">
        <v>77</v>
      </c>
      <c r="F20" s="76" t="s">
        <v>56</v>
      </c>
      <c r="G20" s="76">
        <v>100</v>
      </c>
      <c r="H20" s="92">
        <v>98</v>
      </c>
      <c r="I20" s="58">
        <f t="shared" si="0"/>
        <v>9800</v>
      </c>
    </row>
    <row r="21" spans="1:9" ht="38.25" x14ac:dyDescent="0.2">
      <c r="A21" s="57">
        <v>12</v>
      </c>
      <c r="B21" s="89" t="s">
        <v>129</v>
      </c>
      <c r="C21" s="90" t="s">
        <v>68</v>
      </c>
      <c r="D21" s="75">
        <v>292</v>
      </c>
      <c r="E21" s="77" t="s">
        <v>130</v>
      </c>
      <c r="F21" s="76" t="s">
        <v>59</v>
      </c>
      <c r="G21" s="76">
        <v>30</v>
      </c>
      <c r="H21" s="92">
        <v>108</v>
      </c>
      <c r="I21" s="58">
        <f t="shared" si="0"/>
        <v>3240</v>
      </c>
    </row>
    <row r="22" spans="1:9" ht="25.5" x14ac:dyDescent="0.2">
      <c r="A22" s="57">
        <v>13</v>
      </c>
      <c r="B22" s="89" t="s">
        <v>82</v>
      </c>
      <c r="C22" s="77" t="s">
        <v>68</v>
      </c>
      <c r="D22" s="75">
        <v>292</v>
      </c>
      <c r="E22" s="95" t="s">
        <v>83</v>
      </c>
      <c r="F22" s="76" t="s">
        <v>56</v>
      </c>
      <c r="G22" s="76">
        <v>50</v>
      </c>
      <c r="H22" s="92">
        <v>225</v>
      </c>
      <c r="I22" s="58">
        <f t="shared" si="0"/>
        <v>11250</v>
      </c>
    </row>
    <row r="23" spans="1:9" ht="25.5" x14ac:dyDescent="0.2">
      <c r="A23" s="57">
        <v>14</v>
      </c>
      <c r="B23" s="89" t="s">
        <v>88</v>
      </c>
      <c r="C23" s="77" t="s">
        <v>68</v>
      </c>
      <c r="D23" s="75">
        <v>292</v>
      </c>
      <c r="E23" s="77" t="s">
        <v>89</v>
      </c>
      <c r="F23" s="76" t="s">
        <v>56</v>
      </c>
      <c r="G23" s="76">
        <v>300</v>
      </c>
      <c r="H23" s="92">
        <v>15</v>
      </c>
      <c r="I23" s="58">
        <f t="shared" si="0"/>
        <v>4500</v>
      </c>
    </row>
    <row r="24" spans="1:9" ht="25.5" x14ac:dyDescent="0.2">
      <c r="A24" s="57">
        <v>15</v>
      </c>
      <c r="B24" s="89" t="s">
        <v>86</v>
      </c>
      <c r="C24" s="77" t="s">
        <v>68</v>
      </c>
      <c r="D24" s="75">
        <v>292</v>
      </c>
      <c r="E24" s="77" t="s">
        <v>87</v>
      </c>
      <c r="F24" s="76" t="s">
        <v>56</v>
      </c>
      <c r="G24" s="76">
        <v>300</v>
      </c>
      <c r="H24" s="92">
        <v>17</v>
      </c>
      <c r="I24" s="58">
        <f t="shared" si="0"/>
        <v>5100</v>
      </c>
    </row>
    <row r="25" spans="1:9" ht="25.5" x14ac:dyDescent="0.2">
      <c r="A25" s="57">
        <v>16</v>
      </c>
      <c r="B25" s="89" t="s">
        <v>92</v>
      </c>
      <c r="C25" s="77" t="s">
        <v>68</v>
      </c>
      <c r="D25" s="75">
        <v>292</v>
      </c>
      <c r="E25" s="77" t="s">
        <v>93</v>
      </c>
      <c r="F25" s="76" t="s">
        <v>56</v>
      </c>
      <c r="G25" s="76">
        <v>200</v>
      </c>
      <c r="H25" s="92">
        <v>48</v>
      </c>
      <c r="I25" s="58">
        <f t="shared" si="0"/>
        <v>9600</v>
      </c>
    </row>
    <row r="26" spans="1:9" ht="25.5" x14ac:dyDescent="0.2">
      <c r="A26" s="57">
        <v>17</v>
      </c>
      <c r="B26" s="89" t="s">
        <v>100</v>
      </c>
      <c r="C26" s="77" t="s">
        <v>68</v>
      </c>
      <c r="D26" s="75">
        <v>292</v>
      </c>
      <c r="E26" s="95" t="s">
        <v>101</v>
      </c>
      <c r="F26" s="76" t="s">
        <v>56</v>
      </c>
      <c r="G26" s="76">
        <v>100</v>
      </c>
      <c r="H26" s="92">
        <v>192</v>
      </c>
      <c r="I26" s="58">
        <f t="shared" si="0"/>
        <v>19200</v>
      </c>
    </row>
    <row r="27" spans="1:9" ht="25.5" x14ac:dyDescent="0.2">
      <c r="A27" s="57">
        <v>18</v>
      </c>
      <c r="B27" s="89" t="s">
        <v>102</v>
      </c>
      <c r="C27" s="77" t="s">
        <v>68</v>
      </c>
      <c r="D27" s="75">
        <v>292</v>
      </c>
      <c r="E27" s="77" t="s">
        <v>103</v>
      </c>
      <c r="F27" s="76" t="s">
        <v>56</v>
      </c>
      <c r="G27" s="76">
        <v>100</v>
      </c>
      <c r="H27" s="92">
        <v>150</v>
      </c>
      <c r="I27" s="58">
        <f t="shared" si="0"/>
        <v>15000</v>
      </c>
    </row>
    <row r="28" spans="1:9" ht="25.5" x14ac:dyDescent="0.2">
      <c r="A28" s="57">
        <v>19</v>
      </c>
      <c r="B28" s="89" t="s">
        <v>119</v>
      </c>
      <c r="C28" s="77" t="s">
        <v>68</v>
      </c>
      <c r="D28" s="75">
        <v>292</v>
      </c>
      <c r="E28" s="95" t="s">
        <v>120</v>
      </c>
      <c r="F28" s="76" t="s">
        <v>56</v>
      </c>
      <c r="G28" s="76">
        <v>50</v>
      </c>
      <c r="H28" s="92">
        <v>160</v>
      </c>
      <c r="I28" s="58">
        <f t="shared" si="0"/>
        <v>8000</v>
      </c>
    </row>
    <row r="29" spans="1:9" ht="51" x14ac:dyDescent="0.2">
      <c r="A29" s="57">
        <v>20</v>
      </c>
      <c r="B29" s="89" t="s">
        <v>106</v>
      </c>
      <c r="C29" s="77" t="s">
        <v>68</v>
      </c>
      <c r="D29" s="75">
        <v>231</v>
      </c>
      <c r="E29" s="95" t="s">
        <v>107</v>
      </c>
      <c r="F29" s="76" t="s">
        <v>56</v>
      </c>
      <c r="G29" s="76">
        <v>400</v>
      </c>
      <c r="H29" s="92">
        <v>38</v>
      </c>
      <c r="I29" s="58">
        <f t="shared" si="0"/>
        <v>15200</v>
      </c>
    </row>
    <row r="30" spans="1:9" ht="51" x14ac:dyDescent="0.2">
      <c r="A30" s="57">
        <v>21</v>
      </c>
      <c r="B30" s="89" t="s">
        <v>80</v>
      </c>
      <c r="C30" s="77" t="s">
        <v>68</v>
      </c>
      <c r="D30" s="75">
        <v>231</v>
      </c>
      <c r="E30" s="77" t="s">
        <v>81</v>
      </c>
      <c r="F30" s="76" t="s">
        <v>56</v>
      </c>
      <c r="G30" s="76">
        <v>200</v>
      </c>
      <c r="H30" s="92">
        <v>53</v>
      </c>
      <c r="I30" s="58">
        <f t="shared" si="0"/>
        <v>10600</v>
      </c>
    </row>
    <row r="31" spans="1:9" ht="51" x14ac:dyDescent="0.2">
      <c r="A31" s="57">
        <v>22</v>
      </c>
      <c r="B31" s="89" t="s">
        <v>98</v>
      </c>
      <c r="C31" s="77" t="s">
        <v>68</v>
      </c>
      <c r="D31" s="75">
        <v>231</v>
      </c>
      <c r="E31" s="95" t="s">
        <v>99</v>
      </c>
      <c r="F31" s="76" t="s">
        <v>56</v>
      </c>
      <c r="G31" s="76">
        <v>200</v>
      </c>
      <c r="H31" s="92">
        <v>90</v>
      </c>
      <c r="I31" s="58">
        <f t="shared" si="0"/>
        <v>18000</v>
      </c>
    </row>
    <row r="32" spans="1:9" ht="38.25" x14ac:dyDescent="0.2">
      <c r="A32" s="57">
        <v>23</v>
      </c>
      <c r="B32" s="89" t="s">
        <v>104</v>
      </c>
      <c r="C32" s="77" t="s">
        <v>68</v>
      </c>
      <c r="D32" s="75">
        <v>231</v>
      </c>
      <c r="E32" s="77" t="s">
        <v>105</v>
      </c>
      <c r="F32" s="76" t="s">
        <v>59</v>
      </c>
      <c r="G32" s="76">
        <v>1</v>
      </c>
      <c r="H32" s="92">
        <v>10500</v>
      </c>
      <c r="I32" s="58">
        <f t="shared" si="0"/>
        <v>10500</v>
      </c>
    </row>
    <row r="33" spans="1:9" ht="38.25" x14ac:dyDescent="0.2">
      <c r="A33" s="57">
        <v>24</v>
      </c>
      <c r="B33" s="89" t="s">
        <v>111</v>
      </c>
      <c r="C33" s="77" t="s">
        <v>68</v>
      </c>
      <c r="D33" s="75">
        <v>231</v>
      </c>
      <c r="E33" s="95" t="s">
        <v>112</v>
      </c>
      <c r="F33" s="76" t="s">
        <v>110</v>
      </c>
      <c r="G33" s="76">
        <v>400</v>
      </c>
      <c r="H33" s="92">
        <v>990</v>
      </c>
      <c r="I33" s="58">
        <f t="shared" si="0"/>
        <v>396000</v>
      </c>
    </row>
    <row r="34" spans="1:9" ht="38.25" x14ac:dyDescent="0.2">
      <c r="A34" s="57">
        <v>25</v>
      </c>
      <c r="B34" s="89" t="s">
        <v>108</v>
      </c>
      <c r="C34" s="77" t="s">
        <v>68</v>
      </c>
      <c r="D34" s="75">
        <v>231</v>
      </c>
      <c r="E34" s="96" t="s">
        <v>109</v>
      </c>
      <c r="F34" s="76" t="s">
        <v>110</v>
      </c>
      <c r="G34" s="76">
        <v>300</v>
      </c>
      <c r="H34" s="92">
        <v>990</v>
      </c>
      <c r="I34" s="58">
        <f t="shared" si="0"/>
        <v>297000</v>
      </c>
    </row>
    <row r="35" spans="1:9" ht="51" x14ac:dyDescent="0.2">
      <c r="A35" s="57">
        <v>26</v>
      </c>
      <c r="B35" s="89" t="s">
        <v>96</v>
      </c>
      <c r="C35" s="77" t="s">
        <v>68</v>
      </c>
      <c r="D35" s="75">
        <v>231</v>
      </c>
      <c r="E35" s="77" t="s">
        <v>97</v>
      </c>
      <c r="F35" s="76" t="s">
        <v>56</v>
      </c>
      <c r="G35" s="76">
        <v>20</v>
      </c>
      <c r="H35" s="92">
        <v>1880</v>
      </c>
      <c r="I35" s="58">
        <f t="shared" si="0"/>
        <v>37600</v>
      </c>
    </row>
    <row r="36" spans="1:9" ht="51" x14ac:dyDescent="0.2">
      <c r="A36" s="57">
        <v>27</v>
      </c>
      <c r="B36" s="89" t="s">
        <v>94</v>
      </c>
      <c r="C36" s="77" t="s">
        <v>68</v>
      </c>
      <c r="D36" s="75">
        <v>231</v>
      </c>
      <c r="E36" s="77" t="s">
        <v>95</v>
      </c>
      <c r="F36" s="76" t="s">
        <v>56</v>
      </c>
      <c r="G36" s="76">
        <v>20</v>
      </c>
      <c r="H36" s="92">
        <v>1150</v>
      </c>
      <c r="I36" s="58">
        <f t="shared" si="0"/>
        <v>23000</v>
      </c>
    </row>
    <row r="37" spans="1:9" ht="51" x14ac:dyDescent="0.2">
      <c r="A37" s="57">
        <v>28</v>
      </c>
      <c r="B37" s="89" t="s">
        <v>84</v>
      </c>
      <c r="C37" s="77" t="s">
        <v>68</v>
      </c>
      <c r="D37" s="75">
        <v>231</v>
      </c>
      <c r="E37" s="77" t="s">
        <v>85</v>
      </c>
      <c r="F37" s="76" t="s">
        <v>56</v>
      </c>
      <c r="G37" s="76">
        <v>50</v>
      </c>
      <c r="H37" s="92">
        <v>590</v>
      </c>
      <c r="I37" s="58">
        <f t="shared" si="0"/>
        <v>29500</v>
      </c>
    </row>
    <row r="38" spans="1:9" ht="25.5" x14ac:dyDescent="0.2">
      <c r="A38" s="57">
        <v>29</v>
      </c>
      <c r="B38" s="56" t="s">
        <v>127</v>
      </c>
      <c r="C38" s="90" t="s">
        <v>68</v>
      </c>
      <c r="D38" s="75">
        <v>292</v>
      </c>
      <c r="E38" s="56" t="s">
        <v>128</v>
      </c>
      <c r="F38" s="76" t="s">
        <v>56</v>
      </c>
      <c r="G38" s="76">
        <v>15</v>
      </c>
      <c r="H38" s="92">
        <v>120</v>
      </c>
      <c r="I38" s="58">
        <f t="shared" si="0"/>
        <v>1800</v>
      </c>
    </row>
    <row r="39" spans="1:9" ht="25.5" x14ac:dyDescent="0.2">
      <c r="A39" s="57">
        <v>30</v>
      </c>
      <c r="B39" s="89" t="s">
        <v>115</v>
      </c>
      <c r="C39" s="77" t="s">
        <v>68</v>
      </c>
      <c r="D39" s="75">
        <v>292</v>
      </c>
      <c r="E39" s="77" t="s">
        <v>116</v>
      </c>
      <c r="F39" s="76" t="s">
        <v>56</v>
      </c>
      <c r="G39" s="76">
        <v>100</v>
      </c>
      <c r="H39" s="92">
        <v>128</v>
      </c>
      <c r="I39" s="58">
        <f t="shared" si="0"/>
        <v>12800</v>
      </c>
    </row>
    <row r="40" spans="1:9" ht="51" x14ac:dyDescent="0.2">
      <c r="A40" s="57">
        <v>31</v>
      </c>
      <c r="B40" s="89" t="s">
        <v>123</v>
      </c>
      <c r="C40" s="77" t="s">
        <v>68</v>
      </c>
      <c r="D40" s="75">
        <v>231</v>
      </c>
      <c r="E40" s="95" t="s">
        <v>124</v>
      </c>
      <c r="F40" s="76" t="s">
        <v>56</v>
      </c>
      <c r="G40" s="76">
        <v>500</v>
      </c>
      <c r="H40" s="92">
        <v>15</v>
      </c>
      <c r="I40" s="58">
        <f t="shared" si="0"/>
        <v>7500</v>
      </c>
    </row>
    <row r="41" spans="1:9" ht="42.75" customHeight="1" x14ac:dyDescent="0.2">
      <c r="A41" s="57">
        <v>32</v>
      </c>
      <c r="B41" s="89" t="s">
        <v>121</v>
      </c>
      <c r="C41" s="77" t="s">
        <v>68</v>
      </c>
      <c r="D41" s="75">
        <v>231</v>
      </c>
      <c r="E41" s="95" t="s">
        <v>122</v>
      </c>
      <c r="F41" s="76" t="s">
        <v>61</v>
      </c>
      <c r="G41" s="76">
        <v>3</v>
      </c>
      <c r="H41" s="92">
        <v>3750</v>
      </c>
      <c r="I41" s="58">
        <f t="shared" si="0"/>
        <v>11250</v>
      </c>
    </row>
    <row r="42" spans="1:9" ht="42.75" customHeight="1" x14ac:dyDescent="0.2">
      <c r="A42" s="57">
        <v>33</v>
      </c>
      <c r="B42" s="89" t="s">
        <v>113</v>
      </c>
      <c r="C42" s="77" t="s">
        <v>68</v>
      </c>
      <c r="D42" s="75">
        <v>292</v>
      </c>
      <c r="E42" s="77" t="s">
        <v>114</v>
      </c>
      <c r="F42" s="76" t="s">
        <v>56</v>
      </c>
      <c r="G42" s="76">
        <v>30</v>
      </c>
      <c r="H42" s="92">
        <v>180</v>
      </c>
      <c r="I42" s="58">
        <f t="shared" si="0"/>
        <v>5400</v>
      </c>
    </row>
    <row r="43" spans="1:9" ht="42.75" customHeight="1" x14ac:dyDescent="0.2">
      <c r="A43" s="57">
        <v>34</v>
      </c>
      <c r="B43" s="89" t="s">
        <v>117</v>
      </c>
      <c r="C43" s="77" t="s">
        <v>68</v>
      </c>
      <c r="D43" s="75">
        <v>292</v>
      </c>
      <c r="E43" s="77" t="s">
        <v>118</v>
      </c>
      <c r="F43" s="76" t="s">
        <v>56</v>
      </c>
      <c r="G43" s="76">
        <v>20</v>
      </c>
      <c r="H43" s="92">
        <v>395</v>
      </c>
      <c r="I43" s="58">
        <f t="shared" si="0"/>
        <v>7900</v>
      </c>
    </row>
    <row r="44" spans="1:9" ht="13.5" thickBot="1" x14ac:dyDescent="0.25">
      <c r="I44" s="33"/>
    </row>
    <row r="45" spans="1:9" x14ac:dyDescent="0.2">
      <c r="B45" s="67" t="s">
        <v>57</v>
      </c>
      <c r="C45" s="29"/>
      <c r="D45" s="29"/>
      <c r="E45" s="30"/>
      <c r="I45" s="33"/>
    </row>
    <row r="46" spans="1:9" ht="13.5" customHeight="1" x14ac:dyDescent="0.2">
      <c r="B46" s="98" t="s">
        <v>58</v>
      </c>
      <c r="C46" s="99"/>
      <c r="D46" s="99"/>
      <c r="E46" s="100"/>
    </row>
    <row r="47" spans="1:9" ht="25.5" customHeight="1" x14ac:dyDescent="0.2">
      <c r="B47" s="98"/>
      <c r="C47" s="99"/>
      <c r="D47" s="99"/>
      <c r="E47" s="100"/>
      <c r="F47" s="31"/>
      <c r="G47" s="32"/>
    </row>
    <row r="48" spans="1:9" ht="13.5" customHeight="1" x14ac:dyDescent="0.2">
      <c r="B48" s="98" t="s">
        <v>64</v>
      </c>
      <c r="C48" s="99"/>
      <c r="D48" s="99"/>
      <c r="E48" s="100"/>
      <c r="F48" s="31"/>
      <c r="G48" s="32"/>
    </row>
    <row r="49" spans="2:7" ht="13.5" thickBot="1" x14ac:dyDescent="0.25">
      <c r="B49" s="68" t="s">
        <v>60</v>
      </c>
      <c r="C49" s="69"/>
      <c r="D49" s="70"/>
      <c r="E49" s="71"/>
      <c r="F49" s="31"/>
      <c r="G49" s="32"/>
    </row>
    <row r="50" spans="2:7" ht="12" customHeight="1" thickBot="1" x14ac:dyDescent="0.25"/>
    <row r="51" spans="2:7" x14ac:dyDescent="0.2">
      <c r="B51" s="86" t="s">
        <v>65</v>
      </c>
      <c r="C51" s="29"/>
      <c r="D51" s="29"/>
      <c r="E51" s="30"/>
    </row>
    <row r="52" spans="2:7" ht="13.5" thickBot="1" x14ac:dyDescent="0.25">
      <c r="B52" s="68" t="s">
        <v>133</v>
      </c>
      <c r="C52" s="93"/>
      <c r="D52" s="93"/>
      <c r="E52" s="94"/>
    </row>
    <row r="53" spans="2:7" ht="13.5" thickBot="1" x14ac:dyDescent="0.25"/>
    <row r="54" spans="2:7" ht="13.5" customHeight="1" x14ac:dyDescent="0.2">
      <c r="B54" s="86" t="s">
        <v>139</v>
      </c>
      <c r="C54" s="29"/>
      <c r="D54" s="29"/>
      <c r="E54" s="30"/>
    </row>
    <row r="55" spans="2:7" ht="13.5" thickBot="1" x14ac:dyDescent="0.25">
      <c r="B55" s="68" t="s">
        <v>134</v>
      </c>
      <c r="C55" s="93"/>
      <c r="D55" s="93"/>
      <c r="E55" s="94"/>
    </row>
    <row r="56" spans="2:7" ht="13.5" thickBot="1" x14ac:dyDescent="0.25"/>
    <row r="57" spans="2:7" x14ac:dyDescent="0.2">
      <c r="B57" s="86" t="s">
        <v>66</v>
      </c>
      <c r="C57" s="29"/>
      <c r="D57" s="29"/>
      <c r="E57" s="30"/>
    </row>
    <row r="58" spans="2:7" ht="13.5" thickBot="1" x14ac:dyDescent="0.25">
      <c r="B58" s="68" t="s">
        <v>135</v>
      </c>
      <c r="C58" s="93"/>
      <c r="D58" s="93"/>
      <c r="E58" s="94"/>
    </row>
    <row r="59" spans="2:7" ht="13.5" thickBot="1" x14ac:dyDescent="0.25"/>
    <row r="60" spans="2:7" x14ac:dyDescent="0.2">
      <c r="B60" s="86" t="s">
        <v>140</v>
      </c>
      <c r="C60" s="29"/>
      <c r="D60" s="29"/>
      <c r="E60" s="30"/>
    </row>
    <row r="61" spans="2:7" ht="13.5" thickBot="1" x14ac:dyDescent="0.25">
      <c r="B61" s="68" t="s">
        <v>136</v>
      </c>
      <c r="C61" s="93"/>
      <c r="D61" s="93"/>
      <c r="E61" s="94"/>
    </row>
    <row r="62" spans="2:7" ht="13.5" thickBot="1" x14ac:dyDescent="0.25"/>
    <row r="63" spans="2:7" x14ac:dyDescent="0.2">
      <c r="B63" s="86" t="s">
        <v>162</v>
      </c>
      <c r="C63" s="29"/>
      <c r="D63" s="29"/>
      <c r="E63" s="30"/>
    </row>
    <row r="64" spans="2:7" ht="13.5" thickBot="1" x14ac:dyDescent="0.25">
      <c r="B64" s="68" t="s">
        <v>163</v>
      </c>
      <c r="C64" s="93"/>
      <c r="D64" s="93"/>
      <c r="E64" s="94"/>
    </row>
    <row r="65" spans="2:5" ht="13.5" thickBot="1" x14ac:dyDescent="0.25"/>
    <row r="66" spans="2:5" x14ac:dyDescent="0.2">
      <c r="B66" s="86" t="s">
        <v>138</v>
      </c>
      <c r="C66" s="29"/>
      <c r="D66" s="29"/>
      <c r="E66" s="30"/>
    </row>
    <row r="67" spans="2:5" ht="13.5" thickBot="1" x14ac:dyDescent="0.25">
      <c r="B67" s="68" t="s">
        <v>131</v>
      </c>
      <c r="C67" s="93"/>
      <c r="D67" s="93"/>
      <c r="E67" s="94"/>
    </row>
    <row r="68" spans="2:5" ht="13.5" thickBot="1" x14ac:dyDescent="0.25"/>
    <row r="69" spans="2:5" x14ac:dyDescent="0.2">
      <c r="B69" s="86" t="s">
        <v>160</v>
      </c>
      <c r="C69" s="29"/>
      <c r="D69" s="29"/>
      <c r="E69" s="30"/>
    </row>
    <row r="70" spans="2:5" ht="13.5" thickBot="1" x14ac:dyDescent="0.25">
      <c r="B70" s="68" t="s">
        <v>161</v>
      </c>
      <c r="C70" s="93"/>
      <c r="D70" s="93"/>
      <c r="E70" s="94"/>
    </row>
    <row r="71" spans="2:5" ht="13.5" thickBot="1" x14ac:dyDescent="0.25"/>
    <row r="72" spans="2:5" x14ac:dyDescent="0.2">
      <c r="B72" s="86" t="s">
        <v>158</v>
      </c>
      <c r="C72" s="29"/>
      <c r="D72" s="29"/>
      <c r="E72" s="30"/>
    </row>
    <row r="73" spans="2:5" ht="13.5" thickBot="1" x14ac:dyDescent="0.25">
      <c r="B73" s="68" t="s">
        <v>159</v>
      </c>
      <c r="C73" s="93"/>
      <c r="D73" s="93"/>
      <c r="E73" s="94"/>
    </row>
    <row r="74" spans="2:5" ht="13.5" thickBot="1" x14ac:dyDescent="0.25"/>
    <row r="75" spans="2:5" x14ac:dyDescent="0.2">
      <c r="B75" s="86" t="s">
        <v>156</v>
      </c>
      <c r="C75" s="29"/>
      <c r="D75" s="29"/>
      <c r="E75" s="30"/>
    </row>
    <row r="76" spans="2:5" ht="13.5" thickBot="1" x14ac:dyDescent="0.25">
      <c r="B76" s="68" t="s">
        <v>157</v>
      </c>
      <c r="C76" s="93"/>
      <c r="D76" s="93"/>
      <c r="E76" s="94"/>
    </row>
    <row r="77" spans="2:5" ht="13.5" thickBot="1" x14ac:dyDescent="0.25"/>
    <row r="78" spans="2:5" x14ac:dyDescent="0.2">
      <c r="B78" s="86" t="s">
        <v>155</v>
      </c>
      <c r="C78" s="29"/>
      <c r="D78" s="29"/>
      <c r="E78" s="30"/>
    </row>
    <row r="79" spans="2:5" ht="13.5" thickBot="1" x14ac:dyDescent="0.25">
      <c r="B79" s="68" t="s">
        <v>132</v>
      </c>
      <c r="C79" s="93"/>
      <c r="D79" s="93"/>
      <c r="E79" s="94"/>
    </row>
    <row r="80" spans="2:5" ht="13.5" thickBot="1" x14ac:dyDescent="0.25">
      <c r="B80" s="29"/>
      <c r="C80" s="29"/>
      <c r="D80" s="29"/>
      <c r="E80" s="29"/>
    </row>
    <row r="81" spans="2:5" x14ac:dyDescent="0.2">
      <c r="B81" s="86" t="s">
        <v>153</v>
      </c>
      <c r="C81" s="29"/>
      <c r="D81" s="29"/>
      <c r="E81" s="30"/>
    </row>
    <row r="82" spans="2:5" ht="13.5" thickBot="1" x14ac:dyDescent="0.25">
      <c r="B82" s="68" t="s">
        <v>154</v>
      </c>
      <c r="C82" s="93"/>
      <c r="D82" s="93"/>
      <c r="E82" s="94"/>
    </row>
    <row r="83" spans="2:5" ht="13.5" thickBot="1" x14ac:dyDescent="0.25">
      <c r="B83" s="29"/>
      <c r="C83" s="29"/>
      <c r="D83" s="29"/>
      <c r="E83" s="29"/>
    </row>
    <row r="84" spans="2:5" x14ac:dyDescent="0.2">
      <c r="B84" s="86" t="s">
        <v>142</v>
      </c>
      <c r="C84" s="29"/>
      <c r="D84" s="29"/>
      <c r="E84" s="30"/>
    </row>
    <row r="85" spans="2:5" ht="13.5" thickBot="1" x14ac:dyDescent="0.25">
      <c r="B85" s="68" t="s">
        <v>150</v>
      </c>
      <c r="C85" s="93"/>
      <c r="D85" s="93"/>
      <c r="E85" s="94"/>
    </row>
    <row r="86" spans="2:5" ht="13.5" thickBot="1" x14ac:dyDescent="0.25"/>
    <row r="87" spans="2:5" x14ac:dyDescent="0.2">
      <c r="B87" s="86" t="s">
        <v>141</v>
      </c>
      <c r="C87" s="29"/>
      <c r="D87" s="29"/>
      <c r="E87" s="30"/>
    </row>
    <row r="88" spans="2:5" ht="13.5" thickBot="1" x14ac:dyDescent="0.25">
      <c r="B88" s="68" t="s">
        <v>137</v>
      </c>
      <c r="C88" s="93"/>
      <c r="D88" s="93"/>
      <c r="E88" s="94"/>
    </row>
    <row r="89" spans="2:5" ht="13.5" thickBot="1" x14ac:dyDescent="0.25"/>
    <row r="90" spans="2:5" x14ac:dyDescent="0.2">
      <c r="B90" s="86" t="s">
        <v>151</v>
      </c>
      <c r="C90" s="29"/>
      <c r="D90" s="29"/>
      <c r="E90" s="30"/>
    </row>
    <row r="91" spans="2:5" ht="13.5" thickBot="1" x14ac:dyDescent="0.25">
      <c r="B91" s="68" t="s">
        <v>152</v>
      </c>
      <c r="C91" s="93"/>
      <c r="D91" s="93"/>
      <c r="E91" s="94"/>
    </row>
  </sheetData>
  <autoFilter ref="A9:I41" xr:uid="{00000000-0009-0000-0000-000000000000}"/>
  <sortState xmlns:xlrd2="http://schemas.microsoft.com/office/spreadsheetml/2017/richdata2" ref="A10:H43">
    <sortCondition ref="E10:E43"/>
  </sortState>
  <mergeCells count="9">
    <mergeCell ref="A6:B6"/>
    <mergeCell ref="A7:B7"/>
    <mergeCell ref="B46:E47"/>
    <mergeCell ref="B48:E48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6"/>
  <sheetViews>
    <sheetView topLeftCell="A40" zoomScale="80" zoomScaleNormal="80" workbookViewId="0">
      <selection activeCell="H44" sqref="H44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11" t="s">
        <v>14</v>
      </c>
      <c r="B1" s="111"/>
      <c r="C1" s="111"/>
      <c r="D1" s="111"/>
      <c r="E1" s="111"/>
      <c r="F1" s="111"/>
      <c r="G1" s="111"/>
      <c r="H1" s="111"/>
      <c r="I1" s="111"/>
      <c r="J1" s="34" t="s">
        <v>15</v>
      </c>
      <c r="K1" s="35" t="s">
        <v>143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12" t="s">
        <v>48</v>
      </c>
      <c r="B3" s="112"/>
      <c r="C3" s="112"/>
      <c r="D3" s="103" t="str">
        <f>'Necesidades Trimestrales'!C4</f>
        <v>040 - Ministerio de Salud</v>
      </c>
      <c r="E3" s="103"/>
      <c r="F3" s="103"/>
      <c r="G3" s="103"/>
      <c r="H3" s="103"/>
      <c r="I3" s="103"/>
      <c r="J3" s="103"/>
      <c r="K3" s="103"/>
    </row>
    <row r="4" spans="1:11" ht="18.75" customHeight="1" thickBot="1" x14ac:dyDescent="0.25">
      <c r="A4" s="113" t="s">
        <v>49</v>
      </c>
      <c r="B4" s="113"/>
      <c r="C4" s="113"/>
      <c r="D4" s="103" t="str">
        <f>'Necesidades Trimestrales'!C5</f>
        <v>024 - Hospital Interzonal de Niños</v>
      </c>
      <c r="E4" s="103"/>
      <c r="F4" s="103"/>
      <c r="G4" s="103"/>
      <c r="H4" s="103"/>
      <c r="I4" s="103"/>
      <c r="J4" s="103"/>
      <c r="K4" s="103"/>
    </row>
    <row r="5" spans="1:11" ht="18.75" customHeight="1" thickBot="1" x14ac:dyDescent="0.25">
      <c r="A5" s="113" t="s">
        <v>27</v>
      </c>
      <c r="B5" s="113"/>
      <c r="C5" s="113"/>
      <c r="D5" s="103" t="s">
        <v>51</v>
      </c>
      <c r="E5" s="103"/>
      <c r="F5" s="103"/>
      <c r="G5" s="103"/>
      <c r="H5" s="103"/>
      <c r="I5" s="103"/>
      <c r="J5" s="103"/>
      <c r="K5" s="103"/>
    </row>
    <row r="6" spans="1:11" ht="16.5" customHeight="1" thickBot="1" x14ac:dyDescent="0.25">
      <c r="A6" s="112" t="s">
        <v>50</v>
      </c>
      <c r="B6" s="112"/>
      <c r="C6" s="112"/>
      <c r="D6" s="103" t="s">
        <v>62</v>
      </c>
      <c r="E6" s="103"/>
      <c r="F6" s="103"/>
      <c r="G6" s="103"/>
      <c r="H6" s="103"/>
      <c r="I6" s="103"/>
      <c r="J6" s="103"/>
      <c r="K6" s="103"/>
    </row>
    <row r="7" spans="1:11" ht="16.5" customHeight="1" x14ac:dyDescent="0.2">
      <c r="A7" s="113" t="s">
        <v>16</v>
      </c>
      <c r="B7" s="113"/>
      <c r="C7" s="113"/>
      <c r="D7" s="103" t="s">
        <v>63</v>
      </c>
      <c r="E7" s="103"/>
      <c r="F7" s="103"/>
      <c r="G7" s="103"/>
      <c r="H7" s="103"/>
      <c r="I7" s="103"/>
      <c r="J7" s="103"/>
      <c r="K7" s="103"/>
    </row>
    <row r="8" spans="1:11" ht="16.5" customHeight="1" x14ac:dyDescent="0.2">
      <c r="A8" s="110" t="s">
        <v>17</v>
      </c>
      <c r="B8" s="110"/>
      <c r="C8" s="110"/>
      <c r="D8" s="106" t="s">
        <v>144</v>
      </c>
      <c r="E8" s="106"/>
      <c r="F8" s="106"/>
      <c r="G8" s="106"/>
      <c r="H8" s="106"/>
      <c r="I8" s="106"/>
      <c r="J8" s="106"/>
      <c r="K8" s="106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07" t="s">
        <v>18</v>
      </c>
      <c r="B10" s="108" t="s">
        <v>19</v>
      </c>
      <c r="C10" s="108" t="s">
        <v>20</v>
      </c>
      <c r="D10" s="108"/>
      <c r="E10" s="108"/>
      <c r="F10" s="108"/>
      <c r="G10" s="108"/>
      <c r="H10" s="108" t="s">
        <v>21</v>
      </c>
      <c r="I10" s="108" t="s">
        <v>22</v>
      </c>
      <c r="J10" s="108" t="s">
        <v>23</v>
      </c>
      <c r="K10" s="109" t="s">
        <v>24</v>
      </c>
    </row>
    <row r="11" spans="1:11" ht="24" customHeight="1" thickBot="1" x14ac:dyDescent="0.25">
      <c r="A11" s="107"/>
      <c r="B11" s="108"/>
      <c r="C11" s="108"/>
      <c r="D11" s="108"/>
      <c r="E11" s="108"/>
      <c r="F11" s="108"/>
      <c r="G11" s="108"/>
      <c r="H11" s="108"/>
      <c r="I11" s="108"/>
      <c r="J11" s="108"/>
      <c r="K11" s="109"/>
    </row>
    <row r="12" spans="1:11" ht="27.75" customHeight="1" x14ac:dyDescent="0.2">
      <c r="A12" s="59">
        <v>1</v>
      </c>
      <c r="B12" s="60" t="str">
        <f>'Necesidades Trimestrales'!B10</f>
        <v>2.9.2-261.5</v>
      </c>
      <c r="C12" s="105" t="str">
        <f>'Necesidades Trimestrales'!E10</f>
        <v>ABROCHADORAS DE PAPEL; P/BROCHES: 50, TIPO: PINZA, MATERIAL: METALICA, MEDIDA: 50</v>
      </c>
      <c r="D12" s="105"/>
      <c r="E12" s="105"/>
      <c r="F12" s="105"/>
      <c r="G12" s="105"/>
      <c r="H12" s="63" t="s">
        <v>54</v>
      </c>
      <c r="I12" s="64" t="str">
        <f>'Necesidades Trimestrales'!F10</f>
        <v>UNIDAD</v>
      </c>
      <c r="J12" s="62">
        <f>'Necesidades Trimestrales'!H10</f>
        <v>2300</v>
      </c>
      <c r="K12" s="61">
        <f>'Necesidades Trimestrales'!G10</f>
        <v>10</v>
      </c>
    </row>
    <row r="13" spans="1:11" ht="27.75" customHeight="1" x14ac:dyDescent="0.2">
      <c r="A13" s="59">
        <v>2</v>
      </c>
      <c r="B13" s="60" t="str">
        <f>'Necesidades Trimestrales'!B11</f>
        <v>2.9.2-291.3</v>
      </c>
      <c r="C13" s="105" t="str">
        <f>'Necesidades Trimestrales'!E11</f>
        <v>ALMOHADILLAS P/SELLOS; MEDIDA: 8 X 12 Cm, MATERIAL: PLASTICO</v>
      </c>
      <c r="D13" s="105"/>
      <c r="E13" s="105"/>
      <c r="F13" s="105"/>
      <c r="G13" s="105"/>
      <c r="H13" s="63" t="s">
        <v>54</v>
      </c>
      <c r="I13" s="64" t="str">
        <f>'Necesidades Trimestrales'!F11</f>
        <v>UNIDAD</v>
      </c>
      <c r="J13" s="62">
        <f>'Necesidades Trimestrales'!H11</f>
        <v>440</v>
      </c>
      <c r="K13" s="61">
        <f>'Necesidades Trimestrales'!G11</f>
        <v>15</v>
      </c>
    </row>
    <row r="14" spans="1:11" ht="27.75" customHeight="1" x14ac:dyDescent="0.2">
      <c r="A14" s="59">
        <v>3</v>
      </c>
      <c r="B14" s="60" t="str">
        <f>'Necesidades Trimestrales'!B12</f>
        <v>2.9.2-274.3</v>
      </c>
      <c r="C14" s="105" t="str">
        <f>'Necesidades Trimestrales'!E12</f>
        <v>BIBLIORATOS; ANCHO 80mm - ANILLO 2 Y PALANCA - TAMAÑO OFICIO - MATERIAL CARTON</v>
      </c>
      <c r="D14" s="105"/>
      <c r="E14" s="105"/>
      <c r="F14" s="105"/>
      <c r="G14" s="105"/>
      <c r="H14" s="63" t="s">
        <v>54</v>
      </c>
      <c r="I14" s="64" t="str">
        <f>'Necesidades Trimestrales'!F12</f>
        <v>UNIDAD</v>
      </c>
      <c r="J14" s="62">
        <f>'Necesidades Trimestrales'!H12</f>
        <v>460</v>
      </c>
      <c r="K14" s="61">
        <f>'Necesidades Trimestrales'!G12</f>
        <v>40</v>
      </c>
    </row>
    <row r="15" spans="1:11" ht="27.75" customHeight="1" x14ac:dyDescent="0.2">
      <c r="A15" s="59">
        <v>4</v>
      </c>
      <c r="B15" s="60" t="str">
        <f>'Necesidades Trimestrales'!B13</f>
        <v>2.9.2-317.31</v>
      </c>
      <c r="C15" s="105" t="str">
        <f>'Necesidades Trimestrales'!E13</f>
        <v>BOLIGRAFOS; TRAZO: MEDIO</v>
      </c>
      <c r="D15" s="105"/>
      <c r="E15" s="105"/>
      <c r="F15" s="105"/>
      <c r="G15" s="105"/>
      <c r="H15" s="63" t="s">
        <v>164</v>
      </c>
      <c r="I15" s="64" t="str">
        <f>'Necesidades Trimestrales'!F13</f>
        <v>UNIDAD</v>
      </c>
      <c r="J15" s="62">
        <f>'Necesidades Trimestrales'!H13</f>
        <v>45</v>
      </c>
      <c r="K15" s="61">
        <f>'Necesidades Trimestrales'!G13</f>
        <v>500</v>
      </c>
    </row>
    <row r="16" spans="1:11" ht="27.75" customHeight="1" x14ac:dyDescent="0.2">
      <c r="A16" s="59">
        <v>5</v>
      </c>
      <c r="B16" s="60" t="str">
        <f>'Necesidades Trimestrales'!B14</f>
        <v>2.9.2-317.31</v>
      </c>
      <c r="C16" s="105" t="str">
        <f>'Necesidades Trimestrales'!E14</f>
        <v>BOLIGRAFOS; TRAZO: MEDIO</v>
      </c>
      <c r="D16" s="105"/>
      <c r="E16" s="105"/>
      <c r="F16" s="105"/>
      <c r="G16" s="105"/>
      <c r="H16" s="63" t="s">
        <v>164</v>
      </c>
      <c r="I16" s="64" t="str">
        <f>'Necesidades Trimestrales'!F14</f>
        <v>UNIDAD</v>
      </c>
      <c r="J16" s="62">
        <f>'Necesidades Trimestrales'!H14</f>
        <v>45</v>
      </c>
      <c r="K16" s="61">
        <f>'Necesidades Trimestrales'!G14</f>
        <v>300</v>
      </c>
    </row>
    <row r="17" spans="1:14" ht="27.75" customHeight="1" x14ac:dyDescent="0.2">
      <c r="A17" s="59">
        <v>6</v>
      </c>
      <c r="B17" s="60" t="str">
        <f>'Necesidades Trimestrales'!B15</f>
        <v>2.9.2-317.31</v>
      </c>
      <c r="C17" s="105" t="str">
        <f>'Necesidades Trimestrales'!E15</f>
        <v>BOLIGRAFOS; TRAZO: MEDIO</v>
      </c>
      <c r="D17" s="105"/>
      <c r="E17" s="105"/>
      <c r="F17" s="105"/>
      <c r="G17" s="105"/>
      <c r="H17" s="63" t="s">
        <v>164</v>
      </c>
      <c r="I17" s="64" t="str">
        <f>'Necesidades Trimestrales'!F15</f>
        <v>UNIDAD</v>
      </c>
      <c r="J17" s="62">
        <f>'Necesidades Trimestrales'!H15</f>
        <v>45</v>
      </c>
      <c r="K17" s="61">
        <f>'Necesidades Trimestrales'!G15</f>
        <v>200</v>
      </c>
    </row>
    <row r="18" spans="1:14" ht="27.75" customHeight="1" x14ac:dyDescent="0.2">
      <c r="A18" s="59">
        <v>7</v>
      </c>
      <c r="B18" s="60" t="str">
        <f>'Necesidades Trimestrales'!B16</f>
        <v>2.9.2-317.31</v>
      </c>
      <c r="C18" s="105" t="str">
        <f>'Necesidades Trimestrales'!E16</f>
        <v>BOLIGRAFOS; TRAZO: MEDIO</v>
      </c>
      <c r="D18" s="105"/>
      <c r="E18" s="105"/>
      <c r="F18" s="105"/>
      <c r="G18" s="105"/>
      <c r="H18" s="63" t="s">
        <v>164</v>
      </c>
      <c r="I18" s="64" t="str">
        <f>'Necesidades Trimestrales'!F16</f>
        <v>UNIDAD</v>
      </c>
      <c r="J18" s="62">
        <f>'Necesidades Trimestrales'!H16</f>
        <v>45</v>
      </c>
      <c r="K18" s="61">
        <f>'Necesidades Trimestrales'!G16</f>
        <v>200</v>
      </c>
    </row>
    <row r="19" spans="1:14" ht="27.75" customHeight="1" x14ac:dyDescent="0.2">
      <c r="A19" s="59">
        <v>8</v>
      </c>
      <c r="B19" s="60" t="str">
        <f>'Necesidades Trimestrales'!B17</f>
        <v>2.9.2-700.28</v>
      </c>
      <c r="C19" s="105" t="str">
        <f>'Necesidades Trimestrales'!E17</f>
        <v>BROCHES P/ABROCHADORA; NUMERO: 10/50, PRESENTACION: CAJA X 1000 UNIDADES</v>
      </c>
      <c r="D19" s="105"/>
      <c r="E19" s="105"/>
      <c r="F19" s="105"/>
      <c r="G19" s="105"/>
      <c r="H19" s="63" t="s">
        <v>54</v>
      </c>
      <c r="I19" s="64" t="str">
        <f>'Necesidades Trimestrales'!F17</f>
        <v>CAJA</v>
      </c>
      <c r="J19" s="62">
        <f>'Necesidades Trimestrales'!H17</f>
        <v>120</v>
      </c>
      <c r="K19" s="61">
        <f>'Necesidades Trimestrales'!G17</f>
        <v>200</v>
      </c>
    </row>
    <row r="20" spans="1:14" ht="27.75" customHeight="1" x14ac:dyDescent="0.2">
      <c r="A20" s="59">
        <v>9</v>
      </c>
      <c r="B20" s="60" t="str">
        <f>'Necesidades Trimestrales'!B18</f>
        <v>2.9.2-850.4</v>
      </c>
      <c r="C20" s="105" t="str">
        <f>'Necesidades Trimestrales'!E18</f>
        <v>CAJAS DE ARCHIVO; MATERIAL: PLASTICO CORRUGADO, COLOR: SIN VALOR, DIMENSION: 26 X 36 X 12 Cm</v>
      </c>
      <c r="D20" s="105"/>
      <c r="E20" s="105"/>
      <c r="F20" s="105"/>
      <c r="G20" s="105"/>
      <c r="H20" s="63" t="s">
        <v>164</v>
      </c>
      <c r="I20" s="64" t="str">
        <f>'Necesidades Trimestrales'!F18</f>
        <v>UNIDAD</v>
      </c>
      <c r="J20" s="62">
        <f>'Necesidades Trimestrales'!H18</f>
        <v>495</v>
      </c>
      <c r="K20" s="61">
        <f>'Necesidades Trimestrales'!G18</f>
        <v>50</v>
      </c>
    </row>
    <row r="21" spans="1:14" ht="27.75" customHeight="1" x14ac:dyDescent="0.2">
      <c r="A21" s="59">
        <v>10</v>
      </c>
      <c r="B21" s="60" t="str">
        <f>'Necesidades Trimestrales'!B19</f>
        <v>2.9.2-1358.35</v>
      </c>
      <c r="C21" s="105" t="str">
        <f>'Necesidades Trimestrales'!E19</f>
        <v>CARPETAS; MATERIAL PVC - TAMAÑO A4</v>
      </c>
      <c r="D21" s="105"/>
      <c r="E21" s="105"/>
      <c r="F21" s="105"/>
      <c r="G21" s="105"/>
      <c r="H21" s="63" t="s">
        <v>164</v>
      </c>
      <c r="I21" s="64" t="str">
        <f>'Necesidades Trimestrales'!F19</f>
        <v>UNIDAD</v>
      </c>
      <c r="J21" s="62">
        <f>'Necesidades Trimestrales'!H19</f>
        <v>83</v>
      </c>
      <c r="K21" s="61">
        <f>'Necesidades Trimestrales'!G19</f>
        <v>100</v>
      </c>
    </row>
    <row r="22" spans="1:14" ht="27.75" customHeight="1" x14ac:dyDescent="0.2">
      <c r="A22" s="59">
        <v>11</v>
      </c>
      <c r="B22" s="60" t="str">
        <f>'Necesidades Trimestrales'!B20</f>
        <v>2.9.2-1358.34</v>
      </c>
      <c r="C22" s="105" t="str">
        <f>'Necesidades Trimestrales'!E20</f>
        <v>CARPETAS; MATERIAL PVC - TAMAÑO OFICIO</v>
      </c>
      <c r="D22" s="105"/>
      <c r="E22" s="105"/>
      <c r="F22" s="105"/>
      <c r="G22" s="105"/>
      <c r="H22" s="63" t="s">
        <v>164</v>
      </c>
      <c r="I22" s="64" t="str">
        <f>'Necesidades Trimestrales'!F20</f>
        <v>UNIDAD</v>
      </c>
      <c r="J22" s="62">
        <f>'Necesidades Trimestrales'!H20</f>
        <v>98</v>
      </c>
      <c r="K22" s="61">
        <f>'Necesidades Trimestrales'!G20</f>
        <v>100</v>
      </c>
    </row>
    <row r="23" spans="1:14" ht="27.75" customHeight="1" x14ac:dyDescent="0.2">
      <c r="A23" s="59">
        <v>12</v>
      </c>
      <c r="B23" s="60" t="str">
        <f>'Necesidades Trimestrales'!B21</f>
        <v>2.9.2-754.15</v>
      </c>
      <c r="C23" s="105" t="str">
        <f>'Necesidades Trimestrales'!E21</f>
        <v>CHINCHES; MATERIAL: METAL, CANTIDAD PATAS: 1, DIAMETRO: 1 Cm, LONG.DE CUERPO: 8 mm, PRESENTACION: CAJA X 50 UN</v>
      </c>
      <c r="D23" s="105"/>
      <c r="E23" s="105"/>
      <c r="F23" s="105"/>
      <c r="G23" s="105"/>
      <c r="H23" s="63" t="s">
        <v>54</v>
      </c>
      <c r="I23" s="64" t="str">
        <f>'Necesidades Trimestrales'!F21</f>
        <v>CAJA</v>
      </c>
      <c r="J23" s="62">
        <f>'Necesidades Trimestrales'!H21</f>
        <v>108</v>
      </c>
      <c r="K23" s="61">
        <f>'Necesidades Trimestrales'!G21</f>
        <v>30</v>
      </c>
    </row>
    <row r="24" spans="1:14" ht="27.75" customHeight="1" x14ac:dyDescent="0.2">
      <c r="A24" s="59">
        <v>13</v>
      </c>
      <c r="B24" s="60" t="str">
        <f>'Necesidades Trimestrales'!B22</f>
        <v>2.9.2-1153.239</v>
      </c>
      <c r="C24" s="105" t="str">
        <f>'Necesidades Trimestrales'!E22</f>
        <v>CINTAS ADHESIVAS; TIPO: P/EMBALAR, ANCHO: 48 mm, LARGO: 40 M, MATERIAL: POLIPROPILENO, ACCESORIO: SIN</v>
      </c>
      <c r="D24" s="105"/>
      <c r="E24" s="105"/>
      <c r="F24" s="105"/>
      <c r="G24" s="105"/>
      <c r="H24" s="63" t="s">
        <v>164</v>
      </c>
      <c r="I24" s="64" t="str">
        <f>'Necesidades Trimestrales'!F22</f>
        <v>UNIDAD</v>
      </c>
      <c r="J24" s="62">
        <f>'Necesidades Trimestrales'!H22</f>
        <v>225</v>
      </c>
      <c r="K24" s="61">
        <f>'Necesidades Trimestrales'!G22</f>
        <v>50</v>
      </c>
    </row>
    <row r="25" spans="1:14" ht="27.75" customHeight="1" x14ac:dyDescent="0.2">
      <c r="A25" s="59">
        <v>14</v>
      </c>
      <c r="B25" s="60" t="str">
        <f>'Necesidades Trimestrales'!B23</f>
        <v>2.9.2-1611.19</v>
      </c>
      <c r="C25" s="105" t="str">
        <f>'Necesidades Trimestrales'!E23</f>
        <v>FOLIOS TRANSPARENTES; TAMAÑO: A4, PERFORACIONES: 5, MATERIAL: PLASTICO (POLIETILENO)</v>
      </c>
      <c r="D25" s="105"/>
      <c r="E25" s="105"/>
      <c r="F25" s="105"/>
      <c r="G25" s="105"/>
      <c r="H25" s="63" t="s">
        <v>54</v>
      </c>
      <c r="I25" s="64" t="str">
        <f>'Necesidades Trimestrales'!F23</f>
        <v>UNIDAD</v>
      </c>
      <c r="J25" s="62">
        <f>'Necesidades Trimestrales'!H23</f>
        <v>15</v>
      </c>
      <c r="K25" s="61">
        <f>'Necesidades Trimestrales'!G23</f>
        <v>300</v>
      </c>
    </row>
    <row r="26" spans="1:14" ht="27.75" customHeight="1" x14ac:dyDescent="0.2">
      <c r="A26" s="59">
        <v>15</v>
      </c>
      <c r="B26" s="60" t="str">
        <f>'Necesidades Trimestrales'!B24</f>
        <v>2.9.2-1611.18</v>
      </c>
      <c r="C26" s="105" t="str">
        <f>'Necesidades Trimestrales'!E24</f>
        <v>FOLIOS TRANSPARENTES; TAMAÑO: OFICIO, PERFORACIONES: 5, MATERIAL: PLASTICO (POLIETILENO)</v>
      </c>
      <c r="D26" s="105"/>
      <c r="E26" s="105"/>
      <c r="F26" s="105"/>
      <c r="G26" s="105"/>
      <c r="H26" s="63" t="s">
        <v>54</v>
      </c>
      <c r="I26" s="64" t="str">
        <f>'Necesidades Trimestrales'!F24</f>
        <v>UNIDAD</v>
      </c>
      <c r="J26" s="62">
        <f>'Necesidades Trimestrales'!H24</f>
        <v>17</v>
      </c>
      <c r="K26" s="61">
        <f>'Necesidades Trimestrales'!G24</f>
        <v>300</v>
      </c>
    </row>
    <row r="27" spans="1:14" ht="27.75" customHeight="1" x14ac:dyDescent="0.2">
      <c r="A27" s="59">
        <v>16</v>
      </c>
      <c r="B27" s="60" t="str">
        <f>'Necesidades Trimestrales'!B25</f>
        <v>2.9.2-848.20</v>
      </c>
      <c r="C27" s="105" t="str">
        <f>'Necesidades Trimestrales'!E25</f>
        <v>LAPIZ; TIPO: 2HB, COLOR: NEGRO</v>
      </c>
      <c r="D27" s="105"/>
      <c r="E27" s="105"/>
      <c r="F27" s="105"/>
      <c r="G27" s="105"/>
      <c r="H27" s="63" t="s">
        <v>54</v>
      </c>
      <c r="I27" s="64" t="str">
        <f>'Necesidades Trimestrales'!F25</f>
        <v>UNIDAD</v>
      </c>
      <c r="J27" s="62">
        <f>'Necesidades Trimestrales'!H25</f>
        <v>48</v>
      </c>
      <c r="K27" s="61">
        <f>'Necesidades Trimestrales'!G25</f>
        <v>200</v>
      </c>
    </row>
    <row r="28" spans="1:14" ht="27.75" customHeight="1" x14ac:dyDescent="0.2">
      <c r="A28" s="59">
        <v>17</v>
      </c>
      <c r="B28" s="60" t="str">
        <f>'Necesidades Trimestrales'!B26</f>
        <v>2.9.2-1616.147</v>
      </c>
      <c r="C28" s="105" t="str">
        <f>'Necesidades Trimestrales'!E26</f>
        <v>MARCADORES; TIPO P/PIZARRA - TRAZO FINO - PUNTA REDONDA - RECARGABLE NO</v>
      </c>
      <c r="D28" s="105"/>
      <c r="E28" s="105"/>
      <c r="F28" s="105"/>
      <c r="G28" s="105"/>
      <c r="H28" s="63" t="s">
        <v>164</v>
      </c>
      <c r="I28" s="64" t="str">
        <f>'Necesidades Trimestrales'!F26</f>
        <v>UNIDAD</v>
      </c>
      <c r="J28" s="62">
        <f>'Necesidades Trimestrales'!H26</f>
        <v>192</v>
      </c>
      <c r="K28" s="61">
        <f>'Necesidades Trimestrales'!G26</f>
        <v>100</v>
      </c>
    </row>
    <row r="29" spans="1:14" ht="27.75" customHeight="1" x14ac:dyDescent="0.2">
      <c r="A29" s="59">
        <v>18</v>
      </c>
      <c r="B29" s="60" t="str">
        <f>'Necesidades Trimestrales'!B27</f>
        <v>2.9.2-1616.117</v>
      </c>
      <c r="C29" s="105" t="str">
        <f>'Necesidades Trimestrales'!E27</f>
        <v>MARCADORES; TIPO: AL ALCOHOL, TRAZO: 5 mm, PUNTA: BISELADA, COLOR: NEGRO, RECARGABLE: NO</v>
      </c>
      <c r="D29" s="105"/>
      <c r="E29" s="105"/>
      <c r="F29" s="105"/>
      <c r="G29" s="105"/>
      <c r="H29" s="63" t="s">
        <v>54</v>
      </c>
      <c r="I29" s="64" t="str">
        <f>'Necesidades Trimestrales'!F27</f>
        <v>UNIDAD</v>
      </c>
      <c r="J29" s="62">
        <f>'Necesidades Trimestrales'!H27</f>
        <v>150</v>
      </c>
      <c r="K29" s="61">
        <f>'Necesidades Trimestrales'!G27</f>
        <v>100</v>
      </c>
    </row>
    <row r="30" spans="1:14" ht="27.75" customHeight="1" x14ac:dyDescent="0.2">
      <c r="A30" s="59">
        <v>19</v>
      </c>
      <c r="B30" s="60" t="str">
        <f>'Necesidades Trimestrales'!B28</f>
        <v>2.9.2-1062.12</v>
      </c>
      <c r="C30" s="105" t="str">
        <f>'Necesidades Trimestrales'!E28</f>
        <v>PAPELES ANOTADOR AUTOADHESIVOS; PRESENTACION: 100 HOJAS, LARGO X ANCHO: 76 X 76 mm</v>
      </c>
      <c r="D30" s="105"/>
      <c r="E30" s="105"/>
      <c r="F30" s="105"/>
      <c r="G30" s="105"/>
      <c r="H30" s="63" t="s">
        <v>164</v>
      </c>
      <c r="I30" s="64" t="str">
        <f>'Necesidades Trimestrales'!F28</f>
        <v>UNIDAD</v>
      </c>
      <c r="J30" s="62">
        <f>'Necesidades Trimestrales'!H28</f>
        <v>160</v>
      </c>
      <c r="K30" s="61">
        <f>'Necesidades Trimestrales'!G28</f>
        <v>50</v>
      </c>
    </row>
    <row r="31" spans="1:14" ht="38.25" customHeight="1" x14ac:dyDescent="0.2">
      <c r="A31" s="59">
        <v>20</v>
      </c>
      <c r="B31" s="60" t="str">
        <f>'Necesidades Trimestrales'!B29</f>
        <v>2.3.1-6563.1068</v>
      </c>
      <c r="C31" s="105" t="str">
        <f>'Necesidades Trimestrales'!E29</f>
        <v>PAPELES EN HOJA; TIPO DE PAPEL: AFICHE, DIMENSION: 70 X 100 Cm, GRAMAJE: 65 GR/M2, PRESENTACION: UNIDAD, CERTIFICADO FORESTAL (GFS): SIN, PORC. FIBRAS RECICLADAS: 0 %, CERT. FIBRA ALTERNATIVA (FCA): SIN</v>
      </c>
      <c r="D31" s="105"/>
      <c r="E31" s="105"/>
      <c r="F31" s="105"/>
      <c r="G31" s="105"/>
      <c r="H31" s="63" t="s">
        <v>164</v>
      </c>
      <c r="I31" s="64" t="str">
        <f>'Necesidades Trimestrales'!F29</f>
        <v>UNIDAD</v>
      </c>
      <c r="J31" s="62">
        <f>'Necesidades Trimestrales'!H29</f>
        <v>38</v>
      </c>
      <c r="K31" s="61">
        <f>'Necesidades Trimestrales'!G29</f>
        <v>400</v>
      </c>
      <c r="N31" s="36" t="s">
        <v>55</v>
      </c>
    </row>
    <row r="32" spans="1:14" ht="39" customHeight="1" x14ac:dyDescent="0.2">
      <c r="A32" s="59">
        <v>21</v>
      </c>
      <c r="B32" s="60" t="str">
        <f>'Necesidades Trimestrales'!B30</f>
        <v>2.3.1-6563.882</v>
      </c>
      <c r="C32" s="105" t="str">
        <f>'Necesidades Trimestrales'!E30</f>
        <v>PAPELES EN HOJA; TIPO DE PAPEL: CARTULINA, DIMENSION: 45 X 63 Cm, GRAMAJE: 115/125 GR/M2, PRESENTACION: UNIDAD, CERTIFICADO FORESTAL (GFS): SIN, PORC. FIBRAS RECICLADAS: SIN, CERT. FIBRA ALTERNATIVA (FCA): SIN</v>
      </c>
      <c r="D32" s="105"/>
      <c r="E32" s="105"/>
      <c r="F32" s="105"/>
      <c r="G32" s="105"/>
      <c r="H32" s="63" t="s">
        <v>164</v>
      </c>
      <c r="I32" s="64" t="str">
        <f>'Necesidades Trimestrales'!F30</f>
        <v>UNIDAD</v>
      </c>
      <c r="J32" s="62">
        <f>'Necesidades Trimestrales'!H30</f>
        <v>53</v>
      </c>
      <c r="K32" s="61">
        <f>'Necesidades Trimestrales'!G30</f>
        <v>200</v>
      </c>
    </row>
    <row r="33" spans="1:14" ht="42.75" customHeight="1" x14ac:dyDescent="0.2">
      <c r="A33" s="59">
        <v>22</v>
      </c>
      <c r="B33" s="60" t="str">
        <f>'Necesidades Trimestrales'!B31</f>
        <v>2.3.1-6563.938</v>
      </c>
      <c r="C33" s="105" t="str">
        <f>'Necesidades Trimestrales'!E31</f>
        <v>PAPELES EN HOJA; TIPO DE PAPEL: P/FORRAR, DIMENSION: 48 X 80 Cm, GRAMAJE: NO CORRESPONDE, PRESENTACION: UNIDAD, CERTIFICADO FORESTAL (GFS): SIN, PORC. FIBRAS RECICLADAS: 0 %, CERT. FIBRA ALTERNATIVA (FCA): SIN</v>
      </c>
      <c r="D33" s="105"/>
      <c r="E33" s="105"/>
      <c r="F33" s="105"/>
      <c r="G33" s="105"/>
      <c r="H33" s="63" t="s">
        <v>164</v>
      </c>
      <c r="I33" s="64" t="str">
        <f>'Necesidades Trimestrales'!F31</f>
        <v>UNIDAD</v>
      </c>
      <c r="J33" s="62">
        <f>'Necesidades Trimestrales'!H31</f>
        <v>90</v>
      </c>
      <c r="K33" s="61">
        <f>'Necesidades Trimestrales'!G31</f>
        <v>200</v>
      </c>
    </row>
    <row r="34" spans="1:14" ht="27.75" customHeight="1" x14ac:dyDescent="0.2">
      <c r="A34" s="59">
        <v>23</v>
      </c>
      <c r="B34" s="60" t="str">
        <f>'Necesidades Trimestrales'!B32</f>
        <v>2.3.1-6563.109</v>
      </c>
      <c r="C34" s="105" t="str">
        <f>'Necesidades Trimestrales'!E32</f>
        <v>PAPELES EN HOJA; TIPO PAPEL: PAPEL CARBONICO, DIMENSION: OFICIO, GRAMAJE: SIN VALOR, PRESENTACION: CAJA X 100 HOJAS, TIPO DE PAPEL: PAPEL CARBONICO</v>
      </c>
      <c r="D34" s="105"/>
      <c r="E34" s="105"/>
      <c r="F34" s="105"/>
      <c r="G34" s="105"/>
      <c r="H34" s="63" t="s">
        <v>54</v>
      </c>
      <c r="I34" s="64" t="str">
        <f>'Necesidades Trimestrales'!F32</f>
        <v>CAJA</v>
      </c>
      <c r="J34" s="62">
        <f>'Necesidades Trimestrales'!H32</f>
        <v>10500</v>
      </c>
      <c r="K34" s="61">
        <f>'Necesidades Trimestrales'!G32</f>
        <v>1</v>
      </c>
    </row>
    <row r="35" spans="1:14" ht="27.75" customHeight="1" x14ac:dyDescent="0.2">
      <c r="A35" s="59">
        <v>24</v>
      </c>
      <c r="B35" s="60" t="str">
        <f>'Necesidades Trimestrales'!B33</f>
        <v>2.3.1-6563.307</v>
      </c>
      <c r="C35" s="105" t="str">
        <f>'Necesidades Trimestrales'!E33</f>
        <v>PAPELES EN HOJA; TIPO PAPEL: PAPEL OBRA, DIMENSION: 21 X 29,7 Cm, GRAMAJE: 75 GR, PRESENTACION: RESMA X 500, TIPO DE PAPEL: PAPEL OBRA</v>
      </c>
      <c r="D35" s="105"/>
      <c r="E35" s="105"/>
      <c r="F35" s="105"/>
      <c r="G35" s="105"/>
      <c r="H35" s="63" t="s">
        <v>164</v>
      </c>
      <c r="I35" s="64" t="str">
        <f>'Necesidades Trimestrales'!F33</f>
        <v>RESMA</v>
      </c>
      <c r="J35" s="62">
        <f>'Necesidades Trimestrales'!H33</f>
        <v>990</v>
      </c>
      <c r="K35" s="61">
        <f>'Necesidades Trimestrales'!G33</f>
        <v>400</v>
      </c>
    </row>
    <row r="36" spans="1:14" ht="27.75" customHeight="1" x14ac:dyDescent="0.2">
      <c r="A36" s="59">
        <v>25</v>
      </c>
      <c r="B36" s="60" t="str">
        <f>'Necesidades Trimestrales'!B34</f>
        <v>2.3.1-6563.131</v>
      </c>
      <c r="C36" s="105" t="str">
        <f>'Necesidades Trimestrales'!E34</f>
        <v>PAPELES EN HOJA; TIPO PAPEL: PAPEL OBRA, DIMENSION: 21,59 X 35,56 Cm, GRAMAJE: 80 GR/M2, PRESENTACION: RESMA X 500 HOJAS, TIPO DE PAPEL: PAPEL OBRA</v>
      </c>
      <c r="D36" s="105"/>
      <c r="E36" s="105"/>
      <c r="F36" s="105"/>
      <c r="G36" s="105"/>
      <c r="H36" s="63" t="s">
        <v>164</v>
      </c>
      <c r="I36" s="64" t="str">
        <f>'Necesidades Trimestrales'!F34</f>
        <v>RESMA</v>
      </c>
      <c r="J36" s="62">
        <f>'Necesidades Trimestrales'!H34</f>
        <v>990</v>
      </c>
      <c r="K36" s="61">
        <f>'Necesidades Trimestrales'!G34</f>
        <v>300</v>
      </c>
    </row>
    <row r="37" spans="1:14" ht="27.75" customHeight="1" x14ac:dyDescent="0.2">
      <c r="A37" s="59">
        <v>26</v>
      </c>
      <c r="B37" s="60" t="str">
        <f>'Necesidades Trimestrales'!B35</f>
        <v>2.3.1-6587.293</v>
      </c>
      <c r="C37" s="105" t="str">
        <f>'Necesidades Trimestrales'!E35</f>
        <v>PAPELES ENCUADERNADOS; CANT. DE HOJAS: 100 HOJAS, TAMAÑO: 34,5 X 22,5 Cm, TIPO: LIBRO INDICE, CERTIFICADO FORESTAL (GFS): CON, PORC. FIBRAS RECICLADAS: 0 %, CERT. FIBRA ALTERNATIVA (FCA): SIN</v>
      </c>
      <c r="D37" s="105"/>
      <c r="E37" s="105"/>
      <c r="F37" s="105"/>
      <c r="G37" s="105"/>
      <c r="H37" s="63" t="s">
        <v>54</v>
      </c>
      <c r="I37" s="64" t="str">
        <f>'Necesidades Trimestrales'!F35</f>
        <v>UNIDAD</v>
      </c>
      <c r="J37" s="62">
        <f>'Necesidades Trimestrales'!H35</f>
        <v>1880</v>
      </c>
      <c r="K37" s="61">
        <f>'Necesidades Trimestrales'!G35</f>
        <v>20</v>
      </c>
    </row>
    <row r="38" spans="1:14" ht="27.75" customHeight="1" x14ac:dyDescent="0.2">
      <c r="A38" s="59">
        <v>27</v>
      </c>
      <c r="B38" s="60" t="str">
        <f>'Necesidades Trimestrales'!B36</f>
        <v>2.3.1-6587.361</v>
      </c>
      <c r="C38" s="105" t="str">
        <f>'Necesidades Trimestrales'!E36</f>
        <v>PAPELES ENCUADERNADOS; CANT. DE HOJAS: 200, TAMAÑO: 22,5 X 34,5 Cm, TIPO: LIBRO DE ACTAS, CERTIFICADO FORESTAL (GFS): SIN, PORC. FIBRAS RECICLADAS: 0 %, CERT. FIBRA ALTERNATIVA (FCA): SIN</v>
      </c>
      <c r="D38" s="105"/>
      <c r="E38" s="105"/>
      <c r="F38" s="105"/>
      <c r="G38" s="105"/>
      <c r="H38" s="63" t="s">
        <v>54</v>
      </c>
      <c r="I38" s="64" t="str">
        <f>'Necesidades Trimestrales'!F36</f>
        <v>UNIDAD</v>
      </c>
      <c r="J38" s="62">
        <f>'Necesidades Trimestrales'!H36</f>
        <v>1150</v>
      </c>
      <c r="K38" s="61">
        <f>'Necesidades Trimestrales'!G36</f>
        <v>20</v>
      </c>
    </row>
    <row r="39" spans="1:14" ht="27.75" customHeight="1" x14ac:dyDescent="0.2">
      <c r="A39" s="59">
        <v>28</v>
      </c>
      <c r="B39" s="60" t="str">
        <f>'Necesidades Trimestrales'!B37</f>
        <v>2.3.1-6587.283</v>
      </c>
      <c r="C39" s="105" t="str">
        <f>'Necesidades Trimestrales'!E37</f>
        <v>PAPELES ENCUADERNADOS; CANT. DE HOJAS: 84, TAMAÑO: 21 X 16 Cm, TIPO: CUADERNO, CERTIFICADO FORESTAL (GFS): SIN, PORC. FIBRAS RECICLADAS: 0 %, CERT. FIBRA ALTERNATIVA (FCA): SIN</v>
      </c>
      <c r="D39" s="105"/>
      <c r="E39" s="105"/>
      <c r="F39" s="105"/>
      <c r="G39" s="105"/>
      <c r="H39" s="63" t="s">
        <v>164</v>
      </c>
      <c r="I39" s="64" t="str">
        <f>'Necesidades Trimestrales'!F37</f>
        <v>UNIDAD</v>
      </c>
      <c r="J39" s="62">
        <f>'Necesidades Trimestrales'!H37</f>
        <v>590</v>
      </c>
      <c r="K39" s="61">
        <f>'Necesidades Trimestrales'!G37</f>
        <v>50</v>
      </c>
    </row>
    <row r="40" spans="1:14" ht="27.75" customHeight="1" x14ac:dyDescent="0.2">
      <c r="A40" s="59">
        <v>29</v>
      </c>
      <c r="B40" s="60" t="str">
        <f>'Necesidades Trimestrales'!B38</f>
        <v>2.9.9-7574.15</v>
      </c>
      <c r="C40" s="105" t="str">
        <f>'Necesidades Trimestrales'!E38</f>
        <v>PINCELES P/DIBUJO; TIPO: CHATO, NUMERO: 10</v>
      </c>
      <c r="D40" s="105"/>
      <c r="E40" s="105"/>
      <c r="F40" s="105"/>
      <c r="G40" s="105"/>
      <c r="H40" s="63" t="s">
        <v>54</v>
      </c>
      <c r="I40" s="64" t="str">
        <f>'Necesidades Trimestrales'!F38</f>
        <v>UNIDAD</v>
      </c>
      <c r="J40" s="62">
        <f>'Necesidades Trimestrales'!H38</f>
        <v>120</v>
      </c>
      <c r="K40" s="61">
        <f>'Necesidades Trimestrales'!G38</f>
        <v>15</v>
      </c>
    </row>
    <row r="41" spans="1:14" ht="27.75" customHeight="1" x14ac:dyDescent="0.2">
      <c r="A41" s="59">
        <v>30</v>
      </c>
      <c r="B41" s="60" t="str">
        <f>'Necesidades Trimestrales'!B39</f>
        <v>2.9.2-1354.21</v>
      </c>
      <c r="C41" s="105" t="str">
        <f>'Necesidades Trimestrales'!E39</f>
        <v>RESALTADORES; PUNTA: BISELADA, ACCESORIO: SIN, COLOR: SIN VALOR, TIPO PUNTA: BISELADA</v>
      </c>
      <c r="D41" s="105"/>
      <c r="E41" s="105"/>
      <c r="F41" s="105"/>
      <c r="G41" s="105"/>
      <c r="H41" s="63" t="s">
        <v>164</v>
      </c>
      <c r="I41" s="64" t="str">
        <f>'Necesidades Trimestrales'!F39</f>
        <v>UNIDAD</v>
      </c>
      <c r="J41" s="62">
        <f>'Necesidades Trimestrales'!H39</f>
        <v>128</v>
      </c>
      <c r="K41" s="61">
        <f>'Necesidades Trimestrales'!G39</f>
        <v>100</v>
      </c>
    </row>
    <row r="42" spans="1:14" ht="41.25" customHeight="1" x14ac:dyDescent="0.2">
      <c r="A42" s="59">
        <v>31</v>
      </c>
      <c r="B42" s="60" t="str">
        <f>'Necesidades Trimestrales'!B40</f>
        <v>2.3.1-6590.524</v>
      </c>
      <c r="C42" s="105" t="str">
        <f>'Necesidades Trimestrales'!E40</f>
        <v>SOBRES DE PAPEL; TIPO: BOLSA DE PAPEL MANILA, TAMAÑO: 20,5 X 28 Cm, GRAMAJE: 80 GR/M2, PRESENTACION: UNIDAD, CERTIFICADO FORESTAL (GFS): SIN, PORC. FIBRAS RECICLADAS: 0 %, CERT. FIBRA ALTERNATIVA (FCA): SIN</v>
      </c>
      <c r="D42" s="105"/>
      <c r="E42" s="105"/>
      <c r="F42" s="105"/>
      <c r="G42" s="105"/>
      <c r="H42" s="63" t="s">
        <v>164</v>
      </c>
      <c r="I42" s="64" t="str">
        <f>'Necesidades Trimestrales'!F40</f>
        <v>UNIDAD</v>
      </c>
      <c r="J42" s="62">
        <f>'Necesidades Trimestrales'!H40</f>
        <v>15</v>
      </c>
      <c r="K42" s="61">
        <f>'Necesidades Trimestrales'!G40</f>
        <v>500</v>
      </c>
    </row>
    <row r="43" spans="1:14" ht="27.75" customHeight="1" x14ac:dyDescent="0.2">
      <c r="A43" s="59">
        <v>32</v>
      </c>
      <c r="B43" s="60" t="str">
        <f>'Necesidades Trimestrales'!B41</f>
        <v>2.3.1-6590.422</v>
      </c>
      <c r="C43" s="105" t="str">
        <f>'Necesidades Trimestrales'!E41</f>
        <v>SOBRES DE PAPEL; TIPO: BOLSA EN PAPEL MANILA, TAMAÑO: 27 X 37 Cm, GRAMAJE: 80 GR/CM2, PRESENTACION: PAQUETE X 250, CERTIFICADO FORESTAL (GFS): SIN</v>
      </c>
      <c r="D43" s="105"/>
      <c r="E43" s="105"/>
      <c r="F43" s="105"/>
      <c r="G43" s="105"/>
      <c r="H43" s="63" t="s">
        <v>164</v>
      </c>
      <c r="I43" s="64" t="str">
        <f>'Necesidades Trimestrales'!F41</f>
        <v>PAQUETE</v>
      </c>
      <c r="J43" s="62">
        <f>'Necesidades Trimestrales'!H41</f>
        <v>3750</v>
      </c>
      <c r="K43" s="61">
        <f>'Necesidades Trimestrales'!G41</f>
        <v>3</v>
      </c>
    </row>
    <row r="44" spans="1:14" ht="27.75" customHeight="1" x14ac:dyDescent="0.2">
      <c r="A44" s="59">
        <v>33</v>
      </c>
      <c r="B44" s="60" t="str">
        <f>'Necesidades Trimestrales'!B42</f>
        <v>2.9.2-758.30</v>
      </c>
      <c r="C44" s="105" t="str">
        <f>'Necesidades Trimestrales'!E42</f>
        <v>TIJERAS P/CORTAR PAPELES; LONG.DE CUERPO: 10 Cm, MATERIAL: ACERO INOXIDABLE, CUCHILLA: REDONDEADAS, MANGO: PLASTICO</v>
      </c>
      <c r="D44" s="105"/>
      <c r="E44" s="105"/>
      <c r="F44" s="105"/>
      <c r="G44" s="105"/>
      <c r="H44" s="63" t="s">
        <v>54</v>
      </c>
      <c r="I44" s="64" t="str">
        <f>'Necesidades Trimestrales'!F42</f>
        <v>UNIDAD</v>
      </c>
      <c r="J44" s="62">
        <f>'Necesidades Trimestrales'!H42</f>
        <v>180</v>
      </c>
      <c r="K44" s="61">
        <f>'Necesidades Trimestrales'!G42</f>
        <v>30</v>
      </c>
    </row>
    <row r="45" spans="1:14" ht="27.75" customHeight="1" thickBot="1" x14ac:dyDescent="0.25">
      <c r="A45" s="59">
        <v>34</v>
      </c>
      <c r="B45" s="60" t="str">
        <f>'Necesidades Trimestrales'!B43</f>
        <v>2.9.2-758.18</v>
      </c>
      <c r="C45" s="105" t="str">
        <f>'Necesidades Trimestrales'!E43</f>
        <v>TIJERAS P/CORTAR PAPELES; LONG.DE CUERPO: 17 Cm, MATERIAL: ACERO INOXIDABLE, CUCHILLA: REDONDEADAS, MANGO: PLASTICO</v>
      </c>
      <c r="D45" s="105"/>
      <c r="E45" s="105"/>
      <c r="F45" s="105"/>
      <c r="G45" s="105"/>
      <c r="H45" s="63" t="s">
        <v>54</v>
      </c>
      <c r="I45" s="64" t="str">
        <f>'Necesidades Trimestrales'!F43</f>
        <v>UNIDAD</v>
      </c>
      <c r="J45" s="62">
        <f>'Necesidades Trimestrales'!H43</f>
        <v>395</v>
      </c>
      <c r="K45" s="61">
        <f>'Necesidades Trimestrales'!G43</f>
        <v>20</v>
      </c>
    </row>
    <row r="46" spans="1:14" ht="20.25" customHeight="1" thickBot="1" x14ac:dyDescent="0.25">
      <c r="A46" s="103" t="s">
        <v>145</v>
      </c>
      <c r="B46" s="103"/>
      <c r="C46" s="103"/>
      <c r="D46" s="103"/>
      <c r="E46" s="103"/>
      <c r="F46" s="103"/>
      <c r="G46" s="103"/>
      <c r="H46" s="103"/>
      <c r="I46" s="103"/>
      <c r="J46" s="104">
        <f>SUMPRODUCT(J12:J45,K12:K45)</f>
        <v>1128790</v>
      </c>
      <c r="K46" s="104"/>
      <c r="N46" s="47"/>
    </row>
  </sheetData>
  <mergeCells count="56">
    <mergeCell ref="C42:G42"/>
    <mergeCell ref="C43:G43"/>
    <mergeCell ref="C44:G44"/>
    <mergeCell ref="C45:G45"/>
    <mergeCell ref="C37:G37"/>
    <mergeCell ref="C38:G38"/>
    <mergeCell ref="C39:G39"/>
    <mergeCell ref="C40:G40"/>
    <mergeCell ref="C41:G41"/>
    <mergeCell ref="C32:G32"/>
    <mergeCell ref="C33:G33"/>
    <mergeCell ref="C34:G34"/>
    <mergeCell ref="C35:G35"/>
    <mergeCell ref="C36:G36"/>
    <mergeCell ref="C31:G31"/>
    <mergeCell ref="C25:G25"/>
    <mergeCell ref="C26:G26"/>
    <mergeCell ref="C27:G27"/>
    <mergeCell ref="C28:G28"/>
    <mergeCell ref="C29:G2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46:I46"/>
    <mergeCell ref="J46:K46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4:G24"/>
    <mergeCell ref="C21:G21"/>
    <mergeCell ref="C22:G22"/>
    <mergeCell ref="C23:G23"/>
    <mergeCell ref="C30:G30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opLeftCell="A13" zoomScale="130" zoomScaleNormal="130" workbookViewId="0">
      <selection activeCell="I26" sqref="I2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4" t="s">
        <v>3</v>
      </c>
      <c r="B1" s="144"/>
      <c r="C1" s="144"/>
      <c r="D1" s="145">
        <f>'Necesidades Trimestrales'!C6</f>
        <v>2022</v>
      </c>
      <c r="E1" s="145"/>
      <c r="F1" s="3"/>
      <c r="G1" s="3"/>
      <c r="H1" s="4"/>
      <c r="I1" s="4"/>
      <c r="J1" s="4"/>
      <c r="K1" s="4"/>
      <c r="L1" s="4"/>
      <c r="M1" s="4"/>
      <c r="N1" s="4"/>
      <c r="P1" s="146" t="s">
        <v>25</v>
      </c>
      <c r="Q1" s="14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6"/>
      <c r="Q2" s="146"/>
    </row>
    <row r="4" spans="1:17" s="5" customFormat="1" ht="18" customHeight="1" thickBot="1" x14ac:dyDescent="0.25">
      <c r="A4" s="147" t="s">
        <v>26</v>
      </c>
      <c r="B4" s="147"/>
      <c r="C4" s="147"/>
      <c r="D4" s="147"/>
      <c r="E4" s="147"/>
      <c r="F4" s="147"/>
      <c r="G4" s="142" t="str">
        <f>' NotaPedido'!D3</f>
        <v>040 - Ministerio de Salud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7" s="5" customFormat="1" ht="18" customHeight="1" thickBot="1" x14ac:dyDescent="0.25">
      <c r="A5" s="139" t="s">
        <v>49</v>
      </c>
      <c r="B5" s="140"/>
      <c r="C5" s="140"/>
      <c r="D5" s="140"/>
      <c r="E5" s="140"/>
      <c r="F5" s="141"/>
      <c r="G5" s="142" t="str">
        <f>' NotaPedido'!D4</f>
        <v>024 - Hospital Interzonal de Niños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s="5" customFormat="1" ht="18" customHeight="1" thickBot="1" x14ac:dyDescent="0.25">
      <c r="A6" s="139" t="s">
        <v>27</v>
      </c>
      <c r="B6" s="140"/>
      <c r="C6" s="140"/>
      <c r="D6" s="140"/>
      <c r="E6" s="140"/>
      <c r="F6" s="141"/>
      <c r="G6" s="142" t="str">
        <f>' NotaPedido'!D5</f>
        <v>024 - Hospital Interzonal de Niños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s="5" customFormat="1" ht="18" customHeight="1" thickBot="1" x14ac:dyDescent="0.25">
      <c r="A7" s="139" t="s">
        <v>50</v>
      </c>
      <c r="B7" s="140"/>
      <c r="C7" s="140"/>
      <c r="D7" s="140"/>
      <c r="E7" s="140"/>
      <c r="F7" s="141"/>
      <c r="G7" s="142" t="s">
        <v>62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18" customHeight="1" thickBot="1" x14ac:dyDescent="0.25">
      <c r="A8" s="143" t="s">
        <v>28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7" ht="18" customHeight="1" x14ac:dyDescent="0.2">
      <c r="A9" s="128" t="s">
        <v>29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"/>
      <c r="P9" s="1"/>
      <c r="Q9" s="6"/>
    </row>
    <row r="10" spans="1:17" ht="54.75" customHeight="1" x14ac:dyDescent="0.2">
      <c r="A10" s="12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018/2022,  afectando la erogación resultante a los créditos presupuestarios aprobados a favor de esta Unidad Ejecutora, conforme al siguiente detalle: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0" t="s">
        <v>30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</row>
    <row r="13" spans="1:17" ht="15.75" customHeight="1" thickBot="1" x14ac:dyDescent="0.25">
      <c r="A13" s="131" t="s">
        <v>31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3" t="s">
        <v>32</v>
      </c>
      <c r="P13" s="134"/>
      <c r="Q13" s="137" t="s">
        <v>33</v>
      </c>
    </row>
    <row r="14" spans="1:17" ht="15.75" customHeight="1" thickBot="1" x14ac:dyDescent="0.25">
      <c r="A14" s="50" t="s">
        <v>34</v>
      </c>
      <c r="B14" s="51" t="s">
        <v>35</v>
      </c>
      <c r="C14" s="51" t="s">
        <v>36</v>
      </c>
      <c r="D14" s="51" t="s">
        <v>37</v>
      </c>
      <c r="E14" s="51" t="s">
        <v>38</v>
      </c>
      <c r="F14" s="51" t="s">
        <v>39</v>
      </c>
      <c r="G14" s="52" t="s">
        <v>40</v>
      </c>
      <c r="H14" s="51" t="s">
        <v>41</v>
      </c>
      <c r="I14" s="51" t="s">
        <v>42</v>
      </c>
      <c r="J14" s="51" t="s">
        <v>43</v>
      </c>
      <c r="K14" s="51" t="s">
        <v>43</v>
      </c>
      <c r="L14" s="51" t="s">
        <v>44</v>
      </c>
      <c r="M14" s="53" t="s">
        <v>45</v>
      </c>
      <c r="N14" s="54" t="s">
        <v>46</v>
      </c>
      <c r="O14" s="135"/>
      <c r="P14" s="136"/>
      <c r="Q14" s="138"/>
    </row>
    <row r="15" spans="1:17" ht="26.25" customHeight="1" x14ac:dyDescent="0.2">
      <c r="A15" s="48">
        <v>36</v>
      </c>
      <c r="B15" s="49"/>
      <c r="C15" s="49"/>
      <c r="D15" s="49">
        <v>1</v>
      </c>
      <c r="E15" s="49"/>
      <c r="F15" s="49">
        <v>4901</v>
      </c>
      <c r="G15" s="49">
        <v>3</v>
      </c>
      <c r="H15" s="49">
        <v>310</v>
      </c>
      <c r="I15" s="78" t="str">
        <f>LEFT('[1]Necesidades Trimestrales'!D10,1)</f>
        <v>2</v>
      </c>
      <c r="J15" s="78">
        <v>3</v>
      </c>
      <c r="K15" s="78">
        <v>1</v>
      </c>
      <c r="L15" s="79"/>
      <c r="M15" s="80">
        <v>1</v>
      </c>
      <c r="N15" s="81" t="s">
        <v>53</v>
      </c>
      <c r="O15" s="120" t="s">
        <v>146</v>
      </c>
      <c r="P15" s="121"/>
      <c r="Q15" s="55">
        <v>856150</v>
      </c>
    </row>
    <row r="16" spans="1:17" ht="24.75" customHeight="1" x14ac:dyDescent="0.2">
      <c r="A16" s="11">
        <v>36</v>
      </c>
      <c r="B16" s="12"/>
      <c r="C16" s="12"/>
      <c r="D16" s="12">
        <v>1</v>
      </c>
      <c r="E16" s="12"/>
      <c r="F16" s="12">
        <v>4901</v>
      </c>
      <c r="G16" s="12">
        <v>3</v>
      </c>
      <c r="H16" s="12">
        <v>310</v>
      </c>
      <c r="I16" s="82" t="str">
        <f>LEFT('[1]Necesidades Trimestrales'!D11,1)</f>
        <v>2</v>
      </c>
      <c r="J16" s="82">
        <v>9</v>
      </c>
      <c r="K16" s="82">
        <v>2</v>
      </c>
      <c r="L16" s="83"/>
      <c r="M16" s="84">
        <v>1</v>
      </c>
      <c r="N16" s="85" t="s">
        <v>53</v>
      </c>
      <c r="O16" s="122" t="s">
        <v>147</v>
      </c>
      <c r="P16" s="115"/>
      <c r="Q16" s="15">
        <v>272640</v>
      </c>
    </row>
    <row r="17" spans="1:18" ht="17.25" customHeight="1" x14ac:dyDescent="0.2">
      <c r="A17" s="11"/>
      <c r="B17" s="12"/>
      <c r="C17" s="12"/>
      <c r="D17" s="12"/>
      <c r="E17" s="12"/>
      <c r="F17" s="12"/>
      <c r="G17" s="12"/>
      <c r="H17" s="12"/>
      <c r="I17" s="82"/>
      <c r="J17" s="82"/>
      <c r="K17" s="82"/>
      <c r="L17" s="83"/>
      <c r="M17" s="84"/>
      <c r="N17" s="85"/>
      <c r="O17" s="123"/>
      <c r="P17" s="115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15"/>
      <c r="P18" s="115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16"/>
      <c r="P19" s="116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17"/>
      <c r="P20" s="117"/>
      <c r="Q20" s="24"/>
    </row>
    <row r="21" spans="1:18" ht="29.25" customHeight="1" x14ac:dyDescent="0.2">
      <c r="A21" s="118" t="s">
        <v>148</v>
      </c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25">
        <f>SUM(Q15:Q20)</f>
        <v>1128790</v>
      </c>
    </row>
    <row r="22" spans="1:18" ht="18" customHeight="1" thickBot="1" x14ac:dyDescent="0.25">
      <c r="A22" s="119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</row>
    <row r="23" spans="1:18" ht="17.25" customHeight="1" thickBot="1" x14ac:dyDescent="0.25">
      <c r="A23" s="124" t="s">
        <v>47</v>
      </c>
      <c r="B23" s="125"/>
      <c r="C23" s="125"/>
      <c r="D23" s="125"/>
      <c r="E23" s="125"/>
      <c r="F23" s="126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</row>
    <row r="24" spans="1:18" ht="18" customHeight="1" thickBot="1" x14ac:dyDescent="0.25">
      <c r="A24" s="114" t="s">
        <v>149</v>
      </c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</row>
    <row r="25" spans="1:18" ht="26.25" customHeight="1" x14ac:dyDescent="0.2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RODOLFO SARTOR</cp:lastModifiedBy>
  <cp:revision>2</cp:revision>
  <cp:lastPrinted>2022-01-24T15:22:41Z</cp:lastPrinted>
  <dcterms:created xsi:type="dcterms:W3CDTF">2020-07-17T23:44:49Z</dcterms:created>
  <dcterms:modified xsi:type="dcterms:W3CDTF">2022-02-25T15:04:41Z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