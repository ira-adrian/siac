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CA74B584-3C92-4B29-8703-AB0B132A138B}" xr6:coauthVersionLast="46" xr6:coauthVersionMax="46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Trimestrales'!$A$9:$I$60</definedName>
    <definedName name="_xlnm.Print_Area" localSheetId="1">' NotaPedido'!$A$1:$K$62</definedName>
    <definedName name="_xlnm.Print_Area" localSheetId="2">'Autor Gastar'!$A$1:$Q$27</definedName>
  </definedNames>
  <calcPr calcId="181029"/>
</workbook>
</file>

<file path=xl/calcChain.xml><?xml version="1.0" encoding="utf-8"?>
<calcChain xmlns="http://schemas.openxmlformats.org/spreadsheetml/2006/main">
  <c r="A13" i="2" l="1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12" i="2"/>
  <c r="Q23" i="3"/>
  <c r="K12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J62" i="2" l="1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12" i="2"/>
  <c r="I58" i="1" l="1"/>
  <c r="I59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G6" i="3" l="1"/>
  <c r="G7" i="3"/>
  <c r="G4" i="3"/>
  <c r="G5" i="3"/>
</calcChain>
</file>

<file path=xl/sharedStrings.xml><?xml version="1.0" encoding="utf-8"?>
<sst xmlns="http://schemas.openxmlformats.org/spreadsheetml/2006/main" count="342" uniqueCount="146">
  <si>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</si>
  <si>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</si>
  <si>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</si>
  <si>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</si>
  <si>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</si>
  <si>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</si>
  <si>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</si>
  <si>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</si>
  <si>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</si>
  <si>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</si>
  <si>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</si>
  <si>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</si>
  <si>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</si>
  <si>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</si>
  <si>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</si>
  <si>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</si>
  <si>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</si>
  <si>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</si>
  <si>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</si>
  <si>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</si>
  <si>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</si>
  <si>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</si>
  <si>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</si>
  <si>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</si>
  <si>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</si>
  <si>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</si>
  <si>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</si>
  <si>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</si>
  <si>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</si>
  <si>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</si>
  <si>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</si>
  <si>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</si>
  <si>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</si>
  <si>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</si>
  <si>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</si>
  <si>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</si>
  <si>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</si>
  <si>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</si>
  <si>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</si>
  <si>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</si>
  <si>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</si>
  <si>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</si>
  <si>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</si>
  <si>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</si>
  <si>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</si>
  <si>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</si>
  <si>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</si>
  <si>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</si>
  <si>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</si>
  <si>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</si>
  <si>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</si>
  <si>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</si>
  <si>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</si>
  <si>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</si>
  <si>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</si>
  <si>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</si>
  <si>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</si>
  <si>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</si>
  <si>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</si>
  <si>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</si>
  <si>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Pedido de Necesidades Semestrales</t>
  </si>
  <si>
    <t>PROD. MEDICO/FARMACEUTICOS/LAB</t>
  </si>
  <si>
    <t>Bobina Baja Densidad 30 X 40 rollo x 200 un. Tipo Mapsa</t>
  </si>
  <si>
    <t>Rollo</t>
  </si>
  <si>
    <t>Test pack de 15 mm (viraje de color-tipo 2 Paquete de un solo uso para efectuar el test de Bowie y Dick. Detecta deficiencias en la penetración de vapor. Viraje final a negro. Presentación: Paquete de 120x 120 x 15 mm. Caja por 20 unidades.</t>
  </si>
  <si>
    <t>Caja</t>
  </si>
  <si>
    <t>Bolsas Termosellables P/bib 145 X 50 X 330mm Tipo Yellow Pack x 1000</t>
  </si>
  <si>
    <t>Bolsas Termosellables P/bib 250 X 100 X 380mm TipoYellow Pack x 1000</t>
  </si>
  <si>
    <t>Polietileno de 40 micrones 25cm. X  100 mts. Tipo MP</t>
  </si>
  <si>
    <t>Polietileno de 40 micrones 55cm. X  100 mts. Tipo MP</t>
  </si>
  <si>
    <t>Cinta Testigo p/calor humedo  (en rollo) Tipo Kims</t>
  </si>
  <si>
    <t>Cinta Testigo p/calor seco  (en rollo) Tipo Kims</t>
  </si>
  <si>
    <t>Malla Tubular de 30 cm. Ancho X 25 mts. Largo Tipo Hidrosan</t>
  </si>
  <si>
    <t>Cinta Testigo P/Sterrad NX x 6 Rollos x 55 Metros  Tipo ASP</t>
  </si>
  <si>
    <t>Cassettes P/Sterrad NX x 5 unidades Tipo ASP</t>
  </si>
  <si>
    <t>Tela verde brin de algodón rollo 50 mtrs largo (doble ancho) Indantrend</t>
  </si>
  <si>
    <t>Tela de Lienzo rollo 100 mts largo x 1,60 mts ancho</t>
  </si>
  <si>
    <t>Tela de Toalla rollo 50 mts largo ( doble ancho)</t>
  </si>
  <si>
    <t>Ropa Equipo Cirugia Universal DESCARTABLE 17 Elementos Esteril. Caja x 5 unidades</t>
  </si>
  <si>
    <t xml:space="preserve">Espuma deterg. - desinf. de dispositivos medicos.Pulverizador x 750 CC. </t>
  </si>
  <si>
    <t>Unidad</t>
  </si>
  <si>
    <t>Cinta Papel Pintor 18 mm. X 50 mts. Tipo Stiko</t>
  </si>
  <si>
    <t>Paño de micro fibra de 40 x 40 cm Tipo  Mister Trapo</t>
  </si>
  <si>
    <t>Camara Humidificadora  Descartable Tipo GGM  Modelo 4811R1V</t>
  </si>
  <si>
    <t>Camara Humidificadora Reusable Ad/Ped Tipo GGM Modelo 4809R1V</t>
  </si>
  <si>
    <t>Rollo de lienzo Ecologico x 50 mt.</t>
  </si>
  <si>
    <t>Camisolin P/Cirugia de tela verde brin con puño caña larga</t>
  </si>
  <si>
    <r>
      <t xml:space="preserve">Envoltorio para esterilización de Tela no tejida </t>
    </r>
    <r>
      <rPr>
        <b/>
        <sz val="10"/>
        <color theme="1"/>
        <rFont val="Arial"/>
        <family val="2"/>
      </rPr>
      <t>100% a base de Polipropileno</t>
    </r>
    <r>
      <rPr>
        <sz val="10"/>
        <color theme="1"/>
        <rFont val="Arial"/>
        <family val="2"/>
      </rPr>
      <t xml:space="preserve"> SMS</t>
    </r>
    <r>
      <rPr>
        <b/>
        <sz val="10"/>
        <color theme="1"/>
        <rFont val="Arial"/>
        <family val="2"/>
      </rPr>
      <t>. Gramaje 4</t>
    </r>
    <r>
      <rPr>
        <sz val="10"/>
        <color theme="1"/>
        <rFont val="Arial"/>
        <family val="2"/>
      </rPr>
      <t xml:space="preserve">5 gr/m2 </t>
    </r>
    <r>
      <rPr>
        <b/>
        <sz val="10"/>
        <color theme="1"/>
        <rFont val="Arial"/>
        <family val="2"/>
      </rPr>
      <t>Bobina x 200 metros</t>
    </r>
    <r>
      <rPr>
        <sz val="10"/>
        <color theme="1"/>
        <rFont val="Arial"/>
        <family val="2"/>
      </rPr>
      <t xml:space="preserve"> </t>
    </r>
  </si>
  <si>
    <t>Bobina</t>
  </si>
  <si>
    <t>Tyvek Rollo de 10 cm Tipo ASP/KIMS</t>
  </si>
  <si>
    <t>Tyvek Rollo de 15 cm Tipo ASP/KIMS</t>
  </si>
  <si>
    <t>Tyvek Rollo de 20 cm Tipo ASP/KIMS</t>
  </si>
  <si>
    <t>Tyvek Rollo de 35 cm Tipo ASP/KIMS</t>
  </si>
  <si>
    <t>Tyvek Rollo de 42 cm Tipo ASP/KIMS</t>
  </si>
  <si>
    <t>Tyvek Rollo de 50 cm Tipo  ASP/KIMS</t>
  </si>
  <si>
    <t>Indicador Biologico P/Sterrad NX x 30 Ampollas Tipo ASP/3M</t>
  </si>
  <si>
    <t>Indicador Quimico P/Sterrad NX x 1000 Tiras Tipo ASP</t>
  </si>
  <si>
    <t>Indicador Biologico Para Calor Humedo x 100 Ampollas</t>
  </si>
  <si>
    <t>Pouch Rollo de 100 mm x 200 mts.</t>
  </si>
  <si>
    <t>Pouch Rollo de 200 mm x 200 mt.</t>
  </si>
  <si>
    <t>Pouch Rollo de 300 mm x 200 mts.</t>
  </si>
  <si>
    <t>Pouch Rollo de 400 mm x 200 mts.</t>
  </si>
  <si>
    <t>Pouch Rollo de 450 mm x 200 mts.</t>
  </si>
  <si>
    <t>PAPEL GRADO MEDICO 120 CM X 100 MTS</t>
  </si>
  <si>
    <t>GASA COSIDA MEDISPO RADIO ESTERIL SOBRE X 5 UNIDADES</t>
  </si>
  <si>
    <t>Sobre</t>
  </si>
  <si>
    <t>GASA HIDROFILA PIEZA X 1,8 KGS. TIPO HIDROSAN</t>
  </si>
  <si>
    <t>Pieza</t>
  </si>
  <si>
    <t>Polietileno de 50 micrones 15cm. X  100 mts. Tipo MP</t>
  </si>
  <si>
    <t>Polietileno de 50 micrones 30cm. X  100 mts. Tipo MP</t>
  </si>
  <si>
    <t>Polietileno de 50 micrones 40cm. X  100 mts. Tipo MP</t>
  </si>
  <si>
    <t>ROLLO EN PAPEL TERMICO  ORIGINALES 57 mm. X 20 mts.</t>
  </si>
  <si>
    <t>ROLLO EN PAPEL TERMICO ORIGINALES 80 mm. X 45 mts.</t>
  </si>
  <si>
    <t xml:space="preserve">INDICADORES DE ESTERILIZACION; METODO DE ESTERILIZACION: AUTOCLAVE DE VAPOR, TIRAS INTEGRADORAS, CAJA X 100 UN, </t>
  </si>
  <si>
    <t>INDICADORES DE ESTERILIZACION,CALOR SECO,TIRAS INTEGRADORAS CAJA X 100</t>
  </si>
  <si>
    <t>Bolsas  de Cloruro de Sodio de 25 kg (sal gruesa seca, lavada, limpia, sin iodo, lidad del agua que alimenta los Autoclaves.</t>
  </si>
  <si>
    <t>Bolsa</t>
  </si>
  <si>
    <t>LUPAS; POTENCIA: 75 Diop, DIAMETRO: 65 mm, MATERIAL LENTE: VIDRIO, ACCESORIO: C/LUZ, ARMAZON: PLASTICO, ESTRUCTURA: PLASTICO</t>
  </si>
  <si>
    <t>PAPEL GRADO MEDICO CREPADO ROLLO X 80X 100 MTS</t>
  </si>
  <si>
    <t>NO</t>
  </si>
  <si>
    <t>SERVICIO DE ESTERILIZACION</t>
  </si>
  <si>
    <t>2.3.4</t>
  </si>
  <si>
    <t>2.9.5</t>
  </si>
  <si>
    <t>2.2.1</t>
  </si>
  <si>
    <t>2.9.1</t>
  </si>
  <si>
    <t>2.2.2</t>
  </si>
  <si>
    <t>2.5.8</t>
  </si>
  <si>
    <t>Especificidades Item N° 1 a 50:</t>
  </si>
  <si>
    <t>No deben tener vencimiento menor a un año</t>
  </si>
  <si>
    <t>10 dias desde la firma del instrumento contractual</t>
  </si>
  <si>
    <t>Servicio de esterilizacion-Maternidad Provincial 25 de Mayo- Hernando de pedraza 1.650</t>
  </si>
  <si>
    <t>30 dias</t>
  </si>
  <si>
    <t>Costo total estimado: DIECISEIS MILLONES NOVECIENTOS SESENTA MIL DOSCIENTOS CON 00/100</t>
  </si>
  <si>
    <t>2° Semestre</t>
  </si>
  <si>
    <t>2 SEMESTRE- AÑO 2021</t>
  </si>
  <si>
    <t xml:space="preserve"> Adquisición de Insumos de esterilizacion </t>
  </si>
  <si>
    <t>N° 62/2021</t>
  </si>
  <si>
    <t>Para la adquisición de Adquisición de Insumos de esterilizacion para la Maternidad Provincial 25 de Mayo.-</t>
  </si>
  <si>
    <t>"Autorizo la realización de los  trámites correspondientes, a fin de proveer a  este Organismo los bienes y/o servicios que se detallan en Nota  de Pedido N° 62/2021 ,  afectando la erogación resultante a los créditos presupuestarios aprobados a favor de esta Unidad Ejecutora, conforme al siguiente detalle:"</t>
  </si>
  <si>
    <t xml:space="preserve">HILADOS Y TELAS </t>
  </si>
  <si>
    <t xml:space="preserve">PRENDAS DE VESTIR </t>
  </si>
  <si>
    <t xml:space="preserve">PRODUCTOS DE PAPEL Y CARTON </t>
  </si>
  <si>
    <t>PRODUCTOS DE MATERIAL PLASTICO</t>
  </si>
  <si>
    <t>ELEMENTOS DE LIMPIEZA</t>
  </si>
  <si>
    <t>UTILES MENORES MEDICOS QUIRURGICOS Y DE LAB</t>
  </si>
  <si>
    <t>TOTAL DE PESOS:  DIECISEIS MILLONES NOVECIENTOS SESENTA MIL DOSCIENTOS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</si>
</sst>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auto="1"/>
      </bottom>
      <diagonal/>
    </border>
    <border>
      <left/>
      <right style="thin">
        <color auto="1"/>
      </right>
      <top style="thin">
        <color rgb="FF3D3D3D"/>
      </top>
      <bottom style="thin">
        <color auto="1"/>
      </bottom>
      <diagonal/>
    </border>
  </borders>
  <cellStyleXfs count="12">
    <xf numFmtId="0" fontId="0" fillId="0" borderId="0"/>
    <xf numFmtId="0" fontId="7" fillId="0" borderId="1" applyProtection="0"/>
    <xf numFmtId="164" fontId="8" fillId="0" borderId="0" applyBorder="0" applyProtection="0"/>
    <xf numFmtId="0" fontId="9" fillId="2" borderId="0" applyBorder="0" applyProtection="0"/>
    <xf numFmtId="165" fontId="16" fillId="0" borderId="0" applyBorder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6" fillId="6" borderId="0" applyNumberFormat="0" applyBorder="0" applyAlignment="0" applyProtection="0"/>
    <xf numFmtId="0" fontId="5" fillId="7" borderId="0" applyNumberFormat="0" applyBorder="0" applyAlignment="0" applyProtection="0"/>
    <xf numFmtId="0" fontId="3" fillId="8" borderId="0" applyNumberFormat="0" applyBorder="0" applyAlignment="0" applyProtection="0"/>
    <xf numFmtId="0" fontId="16" fillId="0" borderId="0"/>
    <xf numFmtId="0" fontId="2" fillId="0" borderId="0"/>
  </cellStyleXfs>
  <cellXfs count="185">
    <xf numFmtId="0" fontId="0" fillId="0" borderId="0" xfId="0"/>
    <xf numFmtId="0" fontId="0" fillId="0" borderId="0" xfId="0" applyBorder="1"/>
    <xf numFmtId="0" fontId="8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8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3" xfId="0" applyFont="1" applyBorder="1" applyAlignment="1">
      <alignment horizontal="left" vertical="center"/>
    </xf>
    <xf numFmtId="0" fontId="15" fillId="0" borderId="24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165" fontId="15" fillId="0" borderId="25" xfId="0" applyNumberFormat="1" applyFont="1" applyBorder="1" applyAlignment="1">
      <alignment horizontal="center" vertical="center"/>
    </xf>
    <xf numFmtId="0" fontId="17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4" xfId="2" applyNumberFormat="1" applyFont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5" fontId="16" fillId="0" borderId="0" xfId="4"/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65" fontId="0" fillId="0" borderId="37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16" fillId="0" borderId="45" xfId="0" applyFont="1" applyBorder="1" applyAlignment="1">
      <alignment horizontal="center" vertical="center"/>
    </xf>
    <xf numFmtId="168" fontId="16" fillId="0" borderId="3" xfId="0" applyNumberFormat="1" applyFont="1" applyBorder="1" applyAlignment="1">
      <alignment horizontal="center" vertical="center"/>
    </xf>
    <xf numFmtId="0" fontId="21" fillId="3" borderId="0" xfId="0" applyFont="1" applyFill="1"/>
    <xf numFmtId="0" fontId="21" fillId="3" borderId="0" xfId="0" applyFont="1" applyFill="1" applyAlignment="1">
      <alignment horizontal="left" wrapText="1"/>
    </xf>
    <xf numFmtId="0" fontId="21" fillId="3" borderId="0" xfId="0" applyFont="1" applyFill="1" applyAlignment="1">
      <alignment horizontal="center" wrapText="1"/>
    </xf>
    <xf numFmtId="0" fontId="4" fillId="3" borderId="3" xfId="7" applyFont="1" applyFill="1" applyBorder="1" applyAlignment="1">
      <alignment horizontal="center" vertical="center" wrapText="1"/>
    </xf>
    <xf numFmtId="0" fontId="4" fillId="3" borderId="3" xfId="7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/>
    </xf>
    <xf numFmtId="0" fontId="22" fillId="3" borderId="0" xfId="0" applyFont="1" applyFill="1" applyAlignment="1">
      <alignment horizontal="left" wrapText="1" indent="1"/>
    </xf>
    <xf numFmtId="0" fontId="26" fillId="3" borderId="0" xfId="0" applyFont="1" applyFill="1" applyAlignment="1">
      <alignment horizontal="left" wrapText="1"/>
    </xf>
    <xf numFmtId="0" fontId="24" fillId="3" borderId="0" xfId="0" applyFont="1" applyFill="1" applyAlignment="1"/>
    <xf numFmtId="0" fontId="17" fillId="0" borderId="49" xfId="0" applyFont="1" applyBorder="1"/>
    <xf numFmtId="0" fontId="17" fillId="0" borderId="0" xfId="0" applyFont="1" applyAlignment="1">
      <alignment horizontal="center" wrapText="1"/>
    </xf>
    <xf numFmtId="0" fontId="17" fillId="0" borderId="53" xfId="0" applyFont="1" applyBorder="1"/>
    <xf numFmtId="0" fontId="17" fillId="0" borderId="0" xfId="0" applyFont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0" fillId="0" borderId="53" xfId="0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50" xfId="0" applyFont="1" applyBorder="1" applyAlignment="1">
      <alignment vertical="center"/>
    </xf>
    <xf numFmtId="0" fontId="17" fillId="0" borderId="47" xfId="0" applyFont="1" applyBorder="1" applyAlignment="1">
      <alignment horizontal="center" vertical="center"/>
    </xf>
    <xf numFmtId="0" fontId="17" fillId="0" borderId="51" xfId="0" applyFont="1" applyBorder="1" applyAlignment="1">
      <alignment vertical="center"/>
    </xf>
    <xf numFmtId="0" fontId="28" fillId="0" borderId="47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8" fillId="0" borderId="48" xfId="0" applyFont="1" applyBorder="1" applyAlignment="1">
      <alignment horizontal="center" vertical="center"/>
    </xf>
    <xf numFmtId="0" fontId="17" fillId="0" borderId="0" xfId="0" applyFont="1" applyAlignment="1"/>
    <xf numFmtId="0" fontId="17" fillId="0" borderId="51" xfId="0" applyFont="1" applyBorder="1" applyAlignment="1"/>
    <xf numFmtId="0" fontId="17" fillId="0" borderId="0" xfId="0" applyFont="1" applyAlignment="1">
      <alignment wrapText="1"/>
    </xf>
    <xf numFmtId="0" fontId="17" fillId="0" borderId="51" xfId="0" applyFont="1" applyBorder="1" applyAlignment="1">
      <alignment wrapText="1"/>
    </xf>
    <xf numFmtId="0" fontId="30" fillId="3" borderId="5" xfId="0" applyFont="1" applyFill="1" applyBorder="1" applyAlignment="1">
      <alignment horizontal="right" vertical="center"/>
    </xf>
    <xf numFmtId="0" fontId="30" fillId="3" borderId="7" xfId="0" applyFont="1" applyFill="1" applyBorder="1" applyAlignment="1">
      <alignment vertical="center"/>
    </xf>
    <xf numFmtId="0" fontId="30" fillId="3" borderId="0" xfId="0" applyFont="1" applyFill="1" applyBorder="1" applyAlignment="1">
      <alignment vertical="center"/>
    </xf>
    <xf numFmtId="0" fontId="32" fillId="3" borderId="0" xfId="0" applyFont="1" applyFill="1" applyBorder="1" applyAlignment="1">
      <alignment horizontal="left" vertical="center"/>
    </xf>
    <xf numFmtId="0" fontId="31" fillId="3" borderId="0" xfId="0" applyFont="1" applyFill="1" applyBorder="1" applyAlignment="1">
      <alignment horizontal="left" vertical="center" wrapText="1" indent="1"/>
    </xf>
    <xf numFmtId="0" fontId="29" fillId="3" borderId="2" xfId="5" applyFont="1" applyFill="1" applyBorder="1" applyAlignment="1">
      <alignment horizontal="center" vertical="center"/>
    </xf>
    <xf numFmtId="0" fontId="29" fillId="3" borderId="3" xfId="5" applyFont="1" applyFill="1" applyBorder="1" applyAlignment="1">
      <alignment horizontal="center" vertical="center"/>
    </xf>
    <xf numFmtId="0" fontId="29" fillId="3" borderId="3" xfId="5" applyFont="1" applyFill="1" applyBorder="1" applyAlignment="1">
      <alignment horizontal="center" wrapText="1"/>
    </xf>
    <xf numFmtId="0" fontId="29" fillId="3" borderId="33" xfId="5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vertical="center"/>
    </xf>
    <xf numFmtId="0" fontId="35" fillId="3" borderId="0" xfId="0" applyFont="1" applyFill="1" applyBorder="1" applyAlignment="1">
      <alignment vertical="center"/>
    </xf>
    <xf numFmtId="0" fontId="36" fillId="3" borderId="0" xfId="0" applyFont="1" applyFill="1" applyBorder="1" applyAlignment="1">
      <alignment vertical="center"/>
    </xf>
    <xf numFmtId="166" fontId="29" fillId="3" borderId="3" xfId="6" applyNumberFormat="1" applyFont="1" applyFill="1" applyBorder="1" applyAlignment="1" applyProtection="1">
      <alignment horizontal="center" vertical="center" wrapText="1"/>
    </xf>
    <xf numFmtId="1" fontId="30" fillId="3" borderId="0" xfId="0" applyNumberFormat="1" applyFont="1" applyFill="1" applyBorder="1" applyAlignment="1">
      <alignment vertical="center"/>
    </xf>
    <xf numFmtId="1" fontId="31" fillId="3" borderId="0" xfId="0" applyNumberFormat="1" applyFont="1" applyFill="1" applyBorder="1" applyAlignment="1">
      <alignment horizontal="left" vertical="center" wrapText="1" indent="1"/>
    </xf>
    <xf numFmtId="1" fontId="29" fillId="3" borderId="4" xfId="5" applyNumberFormat="1" applyFont="1" applyFill="1" applyBorder="1" applyAlignment="1">
      <alignment horizontal="center" vertical="center"/>
    </xf>
    <xf numFmtId="1" fontId="8" fillId="3" borderId="0" xfId="0" applyNumberFormat="1" applyFont="1" applyFill="1" applyBorder="1" applyAlignment="1">
      <alignment vertical="center"/>
    </xf>
    <xf numFmtId="0" fontId="26" fillId="3" borderId="56" xfId="0" applyFont="1" applyFill="1" applyBorder="1" applyAlignment="1">
      <alignment horizontal="center" vertical="center" wrapText="1"/>
    </xf>
    <xf numFmtId="0" fontId="26" fillId="3" borderId="57" xfId="0" applyFont="1" applyFill="1" applyBorder="1" applyAlignment="1">
      <alignment horizontal="center" vertical="center" wrapText="1"/>
    </xf>
    <xf numFmtId="0" fontId="26" fillId="3" borderId="58" xfId="0" applyFont="1" applyFill="1" applyBorder="1" applyAlignment="1">
      <alignment horizontal="center" vertical="center" wrapText="1"/>
    </xf>
    <xf numFmtId="0" fontId="31" fillId="3" borderId="59" xfId="0" applyFont="1" applyFill="1" applyBorder="1" applyAlignment="1">
      <alignment horizontal="right" vertical="center"/>
    </xf>
    <xf numFmtId="169" fontId="26" fillId="3" borderId="15" xfId="0" applyNumberFormat="1" applyFont="1" applyFill="1" applyBorder="1" applyAlignment="1">
      <alignment horizontal="center" vertical="center" wrapText="1"/>
    </xf>
    <xf numFmtId="0" fontId="29" fillId="3" borderId="3" xfId="5" applyFont="1" applyFill="1" applyBorder="1" applyAlignment="1">
      <alignment horizontal="center" vertical="center"/>
    </xf>
    <xf numFmtId="170" fontId="0" fillId="0" borderId="0" xfId="0" applyNumberFormat="1" applyBorder="1" applyAlignment="1">
      <alignment horizontal="center" vertical="center"/>
    </xf>
    <xf numFmtId="0" fontId="38" fillId="3" borderId="0" xfId="0" applyFont="1" applyFill="1"/>
    <xf numFmtId="169" fontId="4" fillId="3" borderId="38" xfId="7" applyNumberFormat="1" applyFont="1" applyFill="1" applyBorder="1" applyAlignment="1">
      <alignment horizontal="center" vertical="center" wrapText="1"/>
    </xf>
    <xf numFmtId="170" fontId="27" fillId="0" borderId="60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24" fillId="3" borderId="0" xfId="0" applyFont="1" applyFill="1" applyAlignment="1">
      <alignment vertical="center"/>
    </xf>
    <xf numFmtId="0" fontId="26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1" fontId="29" fillId="3" borderId="44" xfId="5" applyNumberFormat="1" applyFont="1" applyFill="1" applyBorder="1" applyAlignment="1">
      <alignment horizontal="center" vertical="center" wrapText="1"/>
    </xf>
    <xf numFmtId="0" fontId="21" fillId="3" borderId="0" xfId="0" applyFont="1" applyFill="1" applyAlignment="1">
      <alignment vertical="center"/>
    </xf>
    <xf numFmtId="169" fontId="24" fillId="3" borderId="0" xfId="0" applyNumberFormat="1" applyFont="1" applyFill="1" applyAlignment="1">
      <alignment horizontal="center"/>
    </xf>
    <xf numFmtId="169" fontId="21" fillId="3" borderId="0" xfId="0" applyNumberFormat="1" applyFont="1" applyFill="1" applyAlignment="1">
      <alignment horizontal="center"/>
    </xf>
    <xf numFmtId="169" fontId="17" fillId="0" borderId="0" xfId="0" applyNumberFormat="1" applyFont="1" applyAlignment="1">
      <alignment horizontal="center"/>
    </xf>
    <xf numFmtId="0" fontId="21" fillId="3" borderId="0" xfId="0" applyFont="1" applyFill="1" applyAlignment="1">
      <alignment wrapText="1"/>
    </xf>
    <xf numFmtId="0" fontId="0" fillId="0" borderId="53" xfId="0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53" xfId="0" applyFont="1" applyBorder="1" applyAlignment="1">
      <alignment vertical="center" wrapText="1"/>
    </xf>
    <xf numFmtId="0" fontId="17" fillId="0" borderId="0" xfId="0" applyFont="1" applyBorder="1" applyAlignment="1">
      <alignment vertical="center" wrapText="1"/>
    </xf>
    <xf numFmtId="0" fontId="17" fillId="0" borderId="0" xfId="0" applyFont="1" applyBorder="1"/>
    <xf numFmtId="0" fontId="17" fillId="0" borderId="0" xfId="0" applyFont="1" applyBorder="1" applyAlignment="1">
      <alignment vertical="center"/>
    </xf>
    <xf numFmtId="168" fontId="0" fillId="0" borderId="3" xfId="0" applyNumberFormat="1" applyBorder="1" applyAlignment="1">
      <alignment horizontal="center" vertical="center"/>
    </xf>
    <xf numFmtId="168" fontId="0" fillId="3" borderId="3" xfId="0" applyNumberFormat="1" applyFill="1" applyBorder="1" applyAlignment="1">
      <alignment horizontal="center" vertical="center"/>
    </xf>
    <xf numFmtId="0" fontId="41" fillId="3" borderId="55" xfId="0" applyFont="1" applyFill="1" applyBorder="1" applyAlignment="1">
      <alignment horizontal="center" vertical="center"/>
    </xf>
    <xf numFmtId="0" fontId="2" fillId="3" borderId="3" xfId="8" applyFont="1" applyFill="1" applyBorder="1" applyAlignment="1">
      <alignment wrapText="1"/>
    </xf>
    <xf numFmtId="0" fontId="41" fillId="3" borderId="2" xfId="0" applyFont="1" applyFill="1" applyBorder="1" applyAlignment="1">
      <alignment horizontal="center" vertical="center"/>
    </xf>
    <xf numFmtId="0" fontId="16" fillId="3" borderId="44" xfId="10" applyFont="1" applyFill="1" applyBorder="1" applyAlignment="1">
      <alignment horizontal="left" vertical="center"/>
    </xf>
    <xf numFmtId="0" fontId="2" fillId="3" borderId="3" xfId="7" applyFont="1" applyFill="1" applyBorder="1" applyAlignment="1">
      <alignment horizontal="center" vertical="center" wrapText="1"/>
    </xf>
    <xf numFmtId="0" fontId="20" fillId="3" borderId="3" xfId="11" applyFont="1" applyFill="1" applyBorder="1" applyAlignment="1">
      <alignment vertical="center" wrapText="1"/>
    </xf>
    <xf numFmtId="0" fontId="16" fillId="3" borderId="3" xfId="10" applyFont="1" applyFill="1" applyBorder="1" applyAlignment="1">
      <alignment horizontal="left" vertical="center"/>
    </xf>
    <xf numFmtId="0" fontId="16" fillId="3" borderId="44" xfId="10" applyFont="1" applyFill="1" applyBorder="1" applyAlignment="1">
      <alignment horizontal="left" vertical="center" wrapText="1"/>
    </xf>
    <xf numFmtId="0" fontId="16" fillId="3" borderId="3" xfId="0" applyFont="1" applyFill="1" applyBorder="1" applyAlignment="1">
      <alignment vertical="center"/>
    </xf>
    <xf numFmtId="0" fontId="16" fillId="3" borderId="44" xfId="0" applyFont="1" applyFill="1" applyBorder="1" applyAlignment="1">
      <alignment horizontal="left" vertical="center"/>
    </xf>
    <xf numFmtId="0" fontId="20" fillId="3" borderId="44" xfId="11" applyFont="1" applyFill="1" applyBorder="1" applyAlignment="1">
      <alignment vertical="center" wrapText="1"/>
    </xf>
    <xf numFmtId="0" fontId="20" fillId="3" borderId="44" xfId="0" applyFont="1" applyFill="1" applyBorder="1" applyAlignment="1">
      <alignment vertical="center"/>
    </xf>
    <xf numFmtId="0" fontId="20" fillId="3" borderId="3" xfId="0" applyFont="1" applyFill="1" applyBorder="1" applyAlignment="1">
      <alignment vertical="center"/>
    </xf>
    <xf numFmtId="0" fontId="20" fillId="3" borderId="44" xfId="11" applyNumberFormat="1" applyFont="1" applyFill="1" applyBorder="1" applyAlignment="1">
      <alignment horizontal="justify" vertical="center"/>
    </xf>
    <xf numFmtId="0" fontId="20" fillId="3" borderId="3" xfId="11" applyFont="1" applyFill="1" applyBorder="1" applyAlignment="1">
      <alignment horizontal="center" vertical="center" wrapText="1"/>
    </xf>
    <xf numFmtId="0" fontId="1" fillId="3" borderId="33" xfId="6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25" fillId="3" borderId="0" xfId="0" applyFont="1" applyFill="1" applyBorder="1" applyAlignment="1">
      <alignment horizontal="left" vertical="center" wrapText="1"/>
    </xf>
    <xf numFmtId="0" fontId="22" fillId="3" borderId="0" xfId="0" applyFont="1" applyFill="1" applyAlignment="1">
      <alignment horizontal="left" wrapText="1" indent="1"/>
    </xf>
    <xf numFmtId="0" fontId="17" fillId="0" borderId="0" xfId="0" applyFont="1" applyAlignment="1">
      <alignment horizontal="center" vertical="top" wrapText="1"/>
    </xf>
    <xf numFmtId="0" fontId="17" fillId="0" borderId="51" xfId="0" applyFont="1" applyBorder="1" applyAlignment="1">
      <alignment horizontal="center" vertical="top" wrapText="1"/>
    </xf>
    <xf numFmtId="0" fontId="17" fillId="0" borderId="0" xfId="0" applyFont="1" applyAlignment="1">
      <alignment horizontal="center"/>
    </xf>
    <xf numFmtId="0" fontId="39" fillId="3" borderId="0" xfId="9" applyFont="1" applyFill="1" applyAlignment="1">
      <alignment horizontal="center" vertical="center"/>
    </xf>
    <xf numFmtId="0" fontId="30" fillId="3" borderId="0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left" vertical="center" wrapText="1"/>
    </xf>
    <xf numFmtId="0" fontId="31" fillId="3" borderId="9" xfId="0" applyFont="1" applyFill="1" applyBorder="1" applyAlignment="1">
      <alignment horizontal="left" vertical="center" wrapText="1" indent="1"/>
    </xf>
    <xf numFmtId="0" fontId="32" fillId="3" borderId="10" xfId="0" applyFont="1" applyFill="1" applyBorder="1" applyAlignment="1">
      <alignment horizontal="left" vertical="center" wrapText="1"/>
    </xf>
    <xf numFmtId="0" fontId="32" fillId="3" borderId="11" xfId="0" applyFont="1" applyFill="1" applyBorder="1" applyAlignment="1">
      <alignment horizontal="left" vertical="center"/>
    </xf>
    <xf numFmtId="0" fontId="31" fillId="3" borderId="12" xfId="0" applyFont="1" applyFill="1" applyBorder="1" applyAlignment="1">
      <alignment horizontal="left" vertical="center" wrapText="1" indent="1"/>
    </xf>
    <xf numFmtId="0" fontId="33" fillId="3" borderId="11" xfId="0" applyFont="1" applyFill="1" applyBorder="1" applyAlignment="1">
      <alignment horizontal="center" vertical="center"/>
    </xf>
    <xf numFmtId="0" fontId="33" fillId="3" borderId="29" xfId="0" applyFont="1" applyFill="1" applyBorder="1" applyAlignment="1">
      <alignment horizontal="center" vertical="center"/>
    </xf>
    <xf numFmtId="0" fontId="33" fillId="3" borderId="13" xfId="0" applyFont="1" applyFill="1" applyBorder="1" applyAlignment="1">
      <alignment horizontal="center" vertical="center" wrapText="1"/>
    </xf>
    <xf numFmtId="0" fontId="33" fillId="3" borderId="30" xfId="0" applyFont="1" applyFill="1" applyBorder="1" applyAlignment="1">
      <alignment horizontal="center" vertical="center" wrapText="1"/>
    </xf>
    <xf numFmtId="1" fontId="33" fillId="3" borderId="12" xfId="0" applyNumberFormat="1" applyFont="1" applyFill="1" applyBorder="1" applyAlignment="1">
      <alignment horizontal="center" vertical="center" wrapText="1"/>
    </xf>
    <xf numFmtId="1" fontId="33" fillId="3" borderId="31" xfId="0" applyNumberFormat="1" applyFont="1" applyFill="1" applyBorder="1" applyAlignment="1">
      <alignment horizontal="center" vertical="center" wrapText="1"/>
    </xf>
    <xf numFmtId="165" fontId="8" fillId="3" borderId="0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31" fillId="3" borderId="32" xfId="0" applyFont="1" applyFill="1" applyBorder="1" applyAlignment="1">
      <alignment horizontal="left" vertical="center" wrapText="1" indent="1"/>
    </xf>
    <xf numFmtId="0" fontId="31" fillId="3" borderId="52" xfId="0" applyFont="1" applyFill="1" applyBorder="1" applyAlignment="1">
      <alignment horizontal="left" vertical="center" wrapText="1" indent="1"/>
    </xf>
    <xf numFmtId="166" fontId="34" fillId="3" borderId="45" xfId="0" applyNumberFormat="1" applyFont="1" applyFill="1" applyBorder="1" applyAlignment="1">
      <alignment horizontal="center" vertical="center"/>
    </xf>
    <xf numFmtId="0" fontId="29" fillId="3" borderId="3" xfId="5" applyFont="1" applyFill="1" applyBorder="1" applyAlignment="1">
      <alignment horizontal="center" vertical="center" wrapText="1"/>
    </xf>
    <xf numFmtId="0" fontId="13" fillId="0" borderId="17" xfId="0" applyFont="1" applyBorder="1" applyAlignment="1"/>
    <xf numFmtId="0" fontId="13" fillId="0" borderId="18" xfId="0" applyFont="1" applyBorder="1" applyAlignment="1">
      <alignment horizontal="left" vertical="center" wrapText="1" indent="1"/>
    </xf>
    <xf numFmtId="0" fontId="15" fillId="0" borderId="16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indent="1"/>
    </xf>
    <xf numFmtId="0" fontId="14" fillId="0" borderId="6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11" fillId="0" borderId="15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 vertical="center" wrapText="1"/>
    </xf>
    <xf numFmtId="0" fontId="8" fillId="0" borderId="6" xfId="0" applyFont="1" applyBorder="1" applyAlignment="1"/>
    <xf numFmtId="0" fontId="15" fillId="0" borderId="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3" fillId="0" borderId="25" xfId="0" applyFont="1" applyFill="1" applyBorder="1" applyAlignment="1">
      <alignment horizontal="left" vertical="center" wrapText="1" indent="1"/>
    </xf>
    <xf numFmtId="0" fontId="15" fillId="0" borderId="25" xfId="0" applyFont="1" applyBorder="1" applyAlignment="1">
      <alignment horizontal="left" vertical="center" wrapText="1"/>
    </xf>
    <xf numFmtId="0" fontId="16" fillId="0" borderId="16" xfId="0" applyFont="1" applyBorder="1" applyAlignment="1"/>
    <xf numFmtId="0" fontId="0" fillId="0" borderId="16" xfId="0" applyBorder="1" applyAlignment="1"/>
    <xf numFmtId="0" fontId="16" fillId="0" borderId="39" xfId="0" applyFont="1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16" fillId="0" borderId="36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 wrapText="1"/>
    </xf>
    <xf numFmtId="0" fontId="11" fillId="0" borderId="14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6" fillId="0" borderId="61" xfId="0" applyFont="1" applyBorder="1" applyAlignment="1">
      <alignment horizontal="center" vertical="center" wrapText="1"/>
    </xf>
    <xf numFmtId="0" fontId="16" fillId="0" borderId="62" xfId="0" applyFont="1" applyBorder="1" applyAlignment="1">
      <alignment horizontal="center" vertical="center" wrapText="1"/>
    </xf>
  </cellXfs>
  <cellStyles count="12">
    <cellStyle name="20% - Énfasis1" xfId="8" builtinId="30"/>
    <cellStyle name="20% - Énfasis2" xfId="7" builtinId="34"/>
    <cellStyle name="20% - Énfasis5" xfId="9" builtinId="46"/>
    <cellStyle name="Bueno" xfId="5" builtinId="26"/>
    <cellStyle name="Encabezado 1" xfId="1" xr:uid="{00000000-0005-0000-0000-000004000000}"/>
    <cellStyle name="Incorrecto" xfId="6" builtinId="27"/>
    <cellStyle name="Moneda 2" xfId="4" xr:uid="{00000000-0005-0000-0000-000006000000}"/>
    <cellStyle name="Moneda_AUTORIZACION Y NOTA DE PEDIDO" xfId="2" xr:uid="{00000000-0005-0000-0000-000007000000}"/>
    <cellStyle name="Neutral 1" xfId="3" xr:uid="{00000000-0005-0000-0000-000008000000}"/>
    <cellStyle name="Normal" xfId="0" builtinId="0"/>
    <cellStyle name="Normal 2" xfId="10" xr:uid="{00000000-0005-0000-0000-00000A000000}"/>
    <cellStyle name="Normal 4" xfId="11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01"/>
  <sheetViews>
    <sheetView topLeftCell="A55" zoomScale="80" zoomScaleNormal="80" workbookViewId="0">
      <selection activeCell="E13" sqref="E13"/>
    </sheetView>
  </sheetViews>
  <sheetFormatPr baseColWidth="10" defaultColWidth="11" defaultRowHeight="12.75" x14ac:dyDescent="0.2"/>
  <cols>
    <col min="1" max="1" width="7" style="95" customWidth="1"/>
    <col min="2" max="2" width="16.85546875" style="35" customWidth="1"/>
    <col min="3" max="3" width="23.5703125" style="99" customWidth="1"/>
    <col min="4" max="4" width="12.140625" style="35" customWidth="1"/>
    <col min="5" max="5" width="79" style="40" customWidth="1"/>
    <col min="6" max="6" width="11" style="35"/>
    <col min="7" max="7" width="12.7109375" style="95" customWidth="1"/>
    <col min="8" max="8" width="13.85546875" style="86" customWidth="1"/>
    <col min="9" max="9" width="27" style="97" customWidth="1"/>
    <col min="10" max="16384" width="11" style="18"/>
  </cols>
  <sheetData>
    <row r="2" spans="1:9" ht="27" x14ac:dyDescent="0.35">
      <c r="E2" s="43" t="s">
        <v>60</v>
      </c>
      <c r="F2" s="43"/>
      <c r="G2" s="91"/>
      <c r="I2" s="96"/>
    </row>
    <row r="4" spans="1:9" ht="18" customHeight="1" x14ac:dyDescent="0.25">
      <c r="A4" s="126" t="s">
        <v>0</v>
      </c>
      <c r="B4" s="126"/>
      <c r="C4" s="126"/>
      <c r="D4" s="126"/>
      <c r="E4" s="127" t="s">
        <v>56</v>
      </c>
      <c r="F4" s="127"/>
      <c r="G4" s="127"/>
    </row>
    <row r="5" spans="1:9" ht="18" customHeight="1" x14ac:dyDescent="0.25">
      <c r="A5" s="126" t="s">
        <v>1</v>
      </c>
      <c r="B5" s="126"/>
      <c r="C5" s="126"/>
      <c r="D5" s="126"/>
      <c r="E5" s="127" t="s">
        <v>51</v>
      </c>
      <c r="F5" s="127"/>
      <c r="G5" s="127"/>
    </row>
    <row r="6" spans="1:9" ht="16.5" customHeight="1" x14ac:dyDescent="0.25">
      <c r="A6" s="126" t="s">
        <v>2</v>
      </c>
      <c r="B6" s="126"/>
      <c r="C6" s="126"/>
      <c r="D6" s="126"/>
      <c r="E6" s="41">
        <v>2021</v>
      </c>
      <c r="F6" s="42"/>
      <c r="G6" s="92"/>
    </row>
    <row r="7" spans="1:9" ht="16.5" customHeight="1" x14ac:dyDescent="0.25">
      <c r="A7" s="126" t="s">
        <v>3</v>
      </c>
      <c r="B7" s="126"/>
      <c r="C7" s="126"/>
      <c r="D7" s="126"/>
      <c r="E7" s="41" t="s">
        <v>133</v>
      </c>
      <c r="F7" s="42"/>
      <c r="G7" s="92"/>
    </row>
    <row r="8" spans="1:9" ht="13.5" thickBot="1" x14ac:dyDescent="0.25">
      <c r="E8" s="37"/>
      <c r="F8" s="36"/>
      <c r="G8" s="93"/>
    </row>
    <row r="9" spans="1:9" ht="39" thickBot="1" x14ac:dyDescent="0.25">
      <c r="A9" s="80" t="s">
        <v>4</v>
      </c>
      <c r="B9" s="81" t="s">
        <v>5</v>
      </c>
      <c r="C9" s="81" t="s">
        <v>49</v>
      </c>
      <c r="D9" s="81" t="s">
        <v>50</v>
      </c>
      <c r="E9" s="81" t="s">
        <v>6</v>
      </c>
      <c r="F9" s="81" t="s">
        <v>7</v>
      </c>
      <c r="G9" s="82" t="s">
        <v>8</v>
      </c>
      <c r="H9" s="89" t="s">
        <v>9</v>
      </c>
      <c r="I9" s="84" t="s">
        <v>10</v>
      </c>
    </row>
    <row r="10" spans="1:9" ht="42" customHeight="1" thickBot="1" x14ac:dyDescent="0.3">
      <c r="A10" s="108">
        <v>1</v>
      </c>
      <c r="B10" s="38"/>
      <c r="C10" s="109" t="s">
        <v>61</v>
      </c>
      <c r="D10" s="123" t="s">
        <v>121</v>
      </c>
      <c r="E10" s="111" t="s">
        <v>62</v>
      </c>
      <c r="F10" s="112" t="s">
        <v>63</v>
      </c>
      <c r="G10" s="94">
        <v>60</v>
      </c>
      <c r="H10" s="106">
        <v>850</v>
      </c>
      <c r="I10" s="88">
        <f>G10*H10</f>
        <v>51000</v>
      </c>
    </row>
    <row r="11" spans="1:9" ht="42" customHeight="1" thickBot="1" x14ac:dyDescent="0.3">
      <c r="A11" s="110">
        <v>2</v>
      </c>
      <c r="B11" s="38"/>
      <c r="C11" s="109" t="s">
        <v>61</v>
      </c>
      <c r="D11" s="123" t="s">
        <v>122</v>
      </c>
      <c r="E11" s="113" t="s">
        <v>64</v>
      </c>
      <c r="F11" s="112" t="s">
        <v>65</v>
      </c>
      <c r="G11" s="94">
        <v>20</v>
      </c>
      <c r="H11" s="106">
        <v>5600</v>
      </c>
      <c r="I11" s="88">
        <f t="shared" ref="I11:I59" si="0">G11*H11</f>
        <v>112000</v>
      </c>
    </row>
    <row r="12" spans="1:9" s="27" customFormat="1" ht="42" customHeight="1" thickBot="1" x14ac:dyDescent="0.3">
      <c r="A12" s="108">
        <v>3</v>
      </c>
      <c r="B12" s="38"/>
      <c r="C12" s="109" t="s">
        <v>61</v>
      </c>
      <c r="D12" s="123" t="s">
        <v>126</v>
      </c>
      <c r="E12" s="111" t="s">
        <v>66</v>
      </c>
      <c r="F12" s="112" t="s">
        <v>65</v>
      </c>
      <c r="G12" s="94">
        <v>24</v>
      </c>
      <c r="H12" s="106">
        <v>18900</v>
      </c>
      <c r="I12" s="88">
        <f t="shared" si="0"/>
        <v>453600</v>
      </c>
    </row>
    <row r="13" spans="1:9" s="27" customFormat="1" ht="42" customHeight="1" thickBot="1" x14ac:dyDescent="0.3">
      <c r="A13" s="110">
        <v>4</v>
      </c>
      <c r="B13" s="38"/>
      <c r="C13" s="109" t="s">
        <v>61</v>
      </c>
      <c r="D13" s="123" t="s">
        <v>126</v>
      </c>
      <c r="E13" s="111" t="s">
        <v>67</v>
      </c>
      <c r="F13" s="112" t="s">
        <v>65</v>
      </c>
      <c r="G13" s="94">
        <v>45</v>
      </c>
      <c r="H13" s="106">
        <v>27730</v>
      </c>
      <c r="I13" s="88">
        <f t="shared" si="0"/>
        <v>1247850</v>
      </c>
    </row>
    <row r="14" spans="1:9" s="27" customFormat="1" ht="42" customHeight="1" thickBot="1" x14ac:dyDescent="0.3">
      <c r="A14" s="108">
        <v>5</v>
      </c>
      <c r="B14" s="38"/>
      <c r="C14" s="109" t="s">
        <v>61</v>
      </c>
      <c r="D14" s="123" t="s">
        <v>126</v>
      </c>
      <c r="E14" s="114" t="s">
        <v>68</v>
      </c>
      <c r="F14" s="112" t="s">
        <v>63</v>
      </c>
      <c r="G14" s="94">
        <v>12</v>
      </c>
      <c r="H14" s="106">
        <v>3900</v>
      </c>
      <c r="I14" s="88">
        <f t="shared" si="0"/>
        <v>46800</v>
      </c>
    </row>
    <row r="15" spans="1:9" s="27" customFormat="1" ht="42" customHeight="1" thickBot="1" x14ac:dyDescent="0.3">
      <c r="A15" s="110">
        <v>6</v>
      </c>
      <c r="B15" s="38"/>
      <c r="C15" s="109" t="s">
        <v>61</v>
      </c>
      <c r="D15" s="123" t="s">
        <v>126</v>
      </c>
      <c r="E15" s="114" t="s">
        <v>69</v>
      </c>
      <c r="F15" s="112" t="s">
        <v>63</v>
      </c>
      <c r="G15" s="94">
        <v>12</v>
      </c>
      <c r="H15" s="106">
        <v>6800</v>
      </c>
      <c r="I15" s="88">
        <f t="shared" si="0"/>
        <v>81600</v>
      </c>
    </row>
    <row r="16" spans="1:9" s="27" customFormat="1" ht="42" customHeight="1" thickBot="1" x14ac:dyDescent="0.3">
      <c r="A16" s="108">
        <v>7</v>
      </c>
      <c r="B16" s="38"/>
      <c r="C16" s="109" t="s">
        <v>61</v>
      </c>
      <c r="D16" s="123" t="s">
        <v>122</v>
      </c>
      <c r="E16" s="115" t="s">
        <v>70</v>
      </c>
      <c r="F16" s="112" t="s">
        <v>63</v>
      </c>
      <c r="G16" s="94">
        <v>120</v>
      </c>
      <c r="H16" s="106">
        <v>390</v>
      </c>
      <c r="I16" s="88">
        <f t="shared" si="0"/>
        <v>46800</v>
      </c>
    </row>
    <row r="17" spans="1:9" s="27" customFormat="1" ht="42" customHeight="1" thickBot="1" x14ac:dyDescent="0.3">
      <c r="A17" s="110">
        <v>8</v>
      </c>
      <c r="B17" s="38"/>
      <c r="C17" s="109" t="s">
        <v>61</v>
      </c>
      <c r="D17" s="123" t="s">
        <v>122</v>
      </c>
      <c r="E17" s="111" t="s">
        <v>71</v>
      </c>
      <c r="F17" s="112" t="s">
        <v>63</v>
      </c>
      <c r="G17" s="94">
        <v>60</v>
      </c>
      <c r="H17" s="106">
        <v>290</v>
      </c>
      <c r="I17" s="88">
        <f t="shared" si="0"/>
        <v>17400</v>
      </c>
    </row>
    <row r="18" spans="1:9" s="27" customFormat="1" ht="42" customHeight="1" thickBot="1" x14ac:dyDescent="0.3">
      <c r="A18" s="108">
        <v>9</v>
      </c>
      <c r="B18" s="38"/>
      <c r="C18" s="109" t="s">
        <v>61</v>
      </c>
      <c r="D18" s="123" t="s">
        <v>122</v>
      </c>
      <c r="E18" s="114" t="s">
        <v>72</v>
      </c>
      <c r="F18" s="112" t="s">
        <v>63</v>
      </c>
      <c r="G18" s="94">
        <v>15</v>
      </c>
      <c r="H18" s="107">
        <v>1950</v>
      </c>
      <c r="I18" s="88">
        <f t="shared" si="0"/>
        <v>29250</v>
      </c>
    </row>
    <row r="19" spans="1:9" s="27" customFormat="1" ht="42" customHeight="1" thickBot="1" x14ac:dyDescent="0.3">
      <c r="A19" s="110">
        <v>10</v>
      </c>
      <c r="B19" s="38"/>
      <c r="C19" s="109" t="s">
        <v>61</v>
      </c>
      <c r="D19" s="123" t="s">
        <v>122</v>
      </c>
      <c r="E19" s="111" t="s">
        <v>73</v>
      </c>
      <c r="F19" s="112" t="s">
        <v>65</v>
      </c>
      <c r="G19" s="94">
        <v>10</v>
      </c>
      <c r="H19" s="106">
        <v>28500</v>
      </c>
      <c r="I19" s="88">
        <f t="shared" si="0"/>
        <v>285000</v>
      </c>
    </row>
    <row r="20" spans="1:9" s="27" customFormat="1" ht="42" customHeight="1" thickBot="1" x14ac:dyDescent="0.3">
      <c r="A20" s="108">
        <v>11</v>
      </c>
      <c r="B20" s="38"/>
      <c r="C20" s="109" t="s">
        <v>61</v>
      </c>
      <c r="D20" s="123" t="s">
        <v>122</v>
      </c>
      <c r="E20" s="111" t="s">
        <v>74</v>
      </c>
      <c r="F20" s="112" t="s">
        <v>65</v>
      </c>
      <c r="G20" s="94">
        <v>50</v>
      </c>
      <c r="H20" s="106">
        <v>82500</v>
      </c>
      <c r="I20" s="88">
        <f t="shared" si="0"/>
        <v>4125000</v>
      </c>
    </row>
    <row r="21" spans="1:9" s="27" customFormat="1" ht="42" customHeight="1" thickBot="1" x14ac:dyDescent="0.3">
      <c r="A21" s="110">
        <v>12</v>
      </c>
      <c r="B21" s="39"/>
      <c r="C21" s="109" t="s">
        <v>61</v>
      </c>
      <c r="D21" s="123" t="s">
        <v>123</v>
      </c>
      <c r="E21" s="114" t="s">
        <v>75</v>
      </c>
      <c r="F21" s="112" t="s">
        <v>63</v>
      </c>
      <c r="G21" s="94">
        <v>15</v>
      </c>
      <c r="H21" s="106">
        <v>22500</v>
      </c>
      <c r="I21" s="88">
        <f t="shared" si="0"/>
        <v>337500</v>
      </c>
    </row>
    <row r="22" spans="1:9" s="27" customFormat="1" ht="42" customHeight="1" thickBot="1" x14ac:dyDescent="0.3">
      <c r="A22" s="108">
        <v>13</v>
      </c>
      <c r="B22" s="38"/>
      <c r="C22" s="109" t="s">
        <v>61</v>
      </c>
      <c r="D22" s="123" t="s">
        <v>123</v>
      </c>
      <c r="E22" s="114" t="s">
        <v>76</v>
      </c>
      <c r="F22" s="112" t="s">
        <v>63</v>
      </c>
      <c r="G22" s="94">
        <v>8</v>
      </c>
      <c r="H22" s="106">
        <v>28000</v>
      </c>
      <c r="I22" s="88">
        <f t="shared" si="0"/>
        <v>224000</v>
      </c>
    </row>
    <row r="23" spans="1:9" s="27" customFormat="1" ht="42" customHeight="1" thickBot="1" x14ac:dyDescent="0.3">
      <c r="A23" s="110">
        <v>14</v>
      </c>
      <c r="B23" s="38"/>
      <c r="C23" s="109" t="s">
        <v>61</v>
      </c>
      <c r="D23" s="123" t="s">
        <v>123</v>
      </c>
      <c r="E23" s="114" t="s">
        <v>77</v>
      </c>
      <c r="F23" s="112" t="s">
        <v>63</v>
      </c>
      <c r="G23" s="94">
        <v>10</v>
      </c>
      <c r="H23" s="106">
        <v>11000</v>
      </c>
      <c r="I23" s="88">
        <f t="shared" si="0"/>
        <v>110000</v>
      </c>
    </row>
    <row r="24" spans="1:9" s="27" customFormat="1" ht="42" customHeight="1" thickBot="1" x14ac:dyDescent="0.3">
      <c r="A24" s="108">
        <v>15</v>
      </c>
      <c r="B24" s="38"/>
      <c r="C24" s="109" t="s">
        <v>61</v>
      </c>
      <c r="D24" s="123" t="s">
        <v>122</v>
      </c>
      <c r="E24" s="114" t="s">
        <v>78</v>
      </c>
      <c r="F24" s="112" t="s">
        <v>65</v>
      </c>
      <c r="G24" s="94">
        <v>40</v>
      </c>
      <c r="H24" s="106">
        <v>15900</v>
      </c>
      <c r="I24" s="88">
        <f t="shared" si="0"/>
        <v>636000</v>
      </c>
    </row>
    <row r="25" spans="1:9" s="27" customFormat="1" ht="42" customHeight="1" thickBot="1" x14ac:dyDescent="0.3">
      <c r="A25" s="110">
        <v>16</v>
      </c>
      <c r="B25" s="38"/>
      <c r="C25" s="109" t="s">
        <v>61</v>
      </c>
      <c r="D25" s="123" t="s">
        <v>124</v>
      </c>
      <c r="E25" s="111" t="s">
        <v>79</v>
      </c>
      <c r="F25" s="112" t="s">
        <v>80</v>
      </c>
      <c r="G25" s="94">
        <v>60</v>
      </c>
      <c r="H25" s="106">
        <v>2900</v>
      </c>
      <c r="I25" s="88">
        <f t="shared" si="0"/>
        <v>174000</v>
      </c>
    </row>
    <row r="26" spans="1:9" s="27" customFormat="1" ht="42" customHeight="1" thickBot="1" x14ac:dyDescent="0.3">
      <c r="A26" s="108">
        <v>17</v>
      </c>
      <c r="B26" s="38"/>
      <c r="C26" s="109" t="s">
        <v>61</v>
      </c>
      <c r="D26" s="123" t="s">
        <v>121</v>
      </c>
      <c r="E26" s="111" t="s">
        <v>81</v>
      </c>
      <c r="F26" s="112" t="s">
        <v>80</v>
      </c>
      <c r="G26" s="94">
        <v>80</v>
      </c>
      <c r="H26" s="106">
        <v>190</v>
      </c>
      <c r="I26" s="88">
        <f t="shared" si="0"/>
        <v>15200</v>
      </c>
    </row>
    <row r="27" spans="1:9" s="27" customFormat="1" ht="42" customHeight="1" thickBot="1" x14ac:dyDescent="0.3">
      <c r="A27" s="110">
        <v>18</v>
      </c>
      <c r="B27" s="38"/>
      <c r="C27" s="109" t="s">
        <v>61</v>
      </c>
      <c r="D27" s="123" t="s">
        <v>124</v>
      </c>
      <c r="E27" s="114" t="s">
        <v>82</v>
      </c>
      <c r="F27" s="112" t="s">
        <v>80</v>
      </c>
      <c r="G27" s="94">
        <v>60</v>
      </c>
      <c r="H27" s="106">
        <v>380</v>
      </c>
      <c r="I27" s="88">
        <f t="shared" si="0"/>
        <v>22800</v>
      </c>
    </row>
    <row r="28" spans="1:9" s="27" customFormat="1" ht="42" customHeight="1" thickBot="1" x14ac:dyDescent="0.3">
      <c r="A28" s="108">
        <v>19</v>
      </c>
      <c r="B28" s="38"/>
      <c r="C28" s="109" t="s">
        <v>61</v>
      </c>
      <c r="D28" s="123" t="s">
        <v>122</v>
      </c>
      <c r="E28" s="117" t="s">
        <v>83</v>
      </c>
      <c r="F28" s="112" t="s">
        <v>80</v>
      </c>
      <c r="G28" s="94">
        <v>120</v>
      </c>
      <c r="H28" s="106">
        <v>4100</v>
      </c>
      <c r="I28" s="88">
        <f t="shared" si="0"/>
        <v>492000</v>
      </c>
    </row>
    <row r="29" spans="1:9" s="27" customFormat="1" ht="42" customHeight="1" thickBot="1" x14ac:dyDescent="0.3">
      <c r="A29" s="110">
        <v>20</v>
      </c>
      <c r="B29" s="38"/>
      <c r="C29" s="109" t="s">
        <v>61</v>
      </c>
      <c r="D29" s="123" t="s">
        <v>122</v>
      </c>
      <c r="E29" s="111" t="s">
        <v>84</v>
      </c>
      <c r="F29" s="112" t="s">
        <v>80</v>
      </c>
      <c r="G29" s="94">
        <v>60</v>
      </c>
      <c r="H29" s="106">
        <v>11200</v>
      </c>
      <c r="I29" s="88">
        <f t="shared" si="0"/>
        <v>672000</v>
      </c>
    </row>
    <row r="30" spans="1:9" s="27" customFormat="1" ht="42" customHeight="1" thickBot="1" x14ac:dyDescent="0.3">
      <c r="A30" s="108">
        <v>21</v>
      </c>
      <c r="B30" s="38"/>
      <c r="C30" s="109" t="s">
        <v>61</v>
      </c>
      <c r="D30" s="123" t="s">
        <v>123</v>
      </c>
      <c r="E30" s="114" t="s">
        <v>85</v>
      </c>
      <c r="F30" s="112" t="s">
        <v>63</v>
      </c>
      <c r="G30" s="94">
        <v>20</v>
      </c>
      <c r="H30" s="106">
        <v>2900</v>
      </c>
      <c r="I30" s="88">
        <f t="shared" si="0"/>
        <v>58000</v>
      </c>
    </row>
    <row r="31" spans="1:9" s="27" customFormat="1" ht="42" customHeight="1" thickBot="1" x14ac:dyDescent="0.3">
      <c r="A31" s="110">
        <v>22</v>
      </c>
      <c r="B31" s="38"/>
      <c r="C31" s="109" t="s">
        <v>61</v>
      </c>
      <c r="D31" s="123" t="s">
        <v>125</v>
      </c>
      <c r="E31" s="111" t="s">
        <v>86</v>
      </c>
      <c r="F31" s="112" t="s">
        <v>80</v>
      </c>
      <c r="G31" s="94">
        <v>400</v>
      </c>
      <c r="H31" s="107">
        <v>1300</v>
      </c>
      <c r="I31" s="88">
        <f t="shared" si="0"/>
        <v>520000</v>
      </c>
    </row>
    <row r="32" spans="1:9" s="27" customFormat="1" ht="42" customHeight="1" thickBot="1" x14ac:dyDescent="0.3">
      <c r="A32" s="108">
        <v>23</v>
      </c>
      <c r="B32" s="38"/>
      <c r="C32" s="109" t="s">
        <v>61</v>
      </c>
      <c r="D32" s="123" t="s">
        <v>122</v>
      </c>
      <c r="E32" s="118" t="s">
        <v>87</v>
      </c>
      <c r="F32" s="112" t="s">
        <v>88</v>
      </c>
      <c r="G32" s="94">
        <v>6</v>
      </c>
      <c r="H32" s="106">
        <v>22400</v>
      </c>
      <c r="I32" s="88">
        <f t="shared" si="0"/>
        <v>134400</v>
      </c>
    </row>
    <row r="33" spans="1:9" s="27" customFormat="1" ht="42" customHeight="1" thickBot="1" x14ac:dyDescent="0.3">
      <c r="A33" s="110">
        <v>24</v>
      </c>
      <c r="B33" s="38"/>
      <c r="C33" s="109" t="s">
        <v>61</v>
      </c>
      <c r="D33" s="123" t="s">
        <v>122</v>
      </c>
      <c r="E33" s="114" t="s">
        <v>89</v>
      </c>
      <c r="F33" s="112" t="s">
        <v>63</v>
      </c>
      <c r="G33" s="94">
        <v>20</v>
      </c>
      <c r="H33" s="107">
        <v>6680</v>
      </c>
      <c r="I33" s="88">
        <f t="shared" si="0"/>
        <v>133600</v>
      </c>
    </row>
    <row r="34" spans="1:9" s="27" customFormat="1" ht="42" customHeight="1" thickBot="1" x14ac:dyDescent="0.3">
      <c r="A34" s="108">
        <v>25</v>
      </c>
      <c r="B34" s="38"/>
      <c r="C34" s="109" t="s">
        <v>61</v>
      </c>
      <c r="D34" s="123" t="s">
        <v>122</v>
      </c>
      <c r="E34" s="114" t="s">
        <v>90</v>
      </c>
      <c r="F34" s="112" t="s">
        <v>63</v>
      </c>
      <c r="G34" s="94">
        <v>20</v>
      </c>
      <c r="H34" s="106">
        <v>10420</v>
      </c>
      <c r="I34" s="88">
        <f t="shared" si="0"/>
        <v>208400</v>
      </c>
    </row>
    <row r="35" spans="1:9" s="27" customFormat="1" ht="42" customHeight="1" thickBot="1" x14ac:dyDescent="0.3">
      <c r="A35" s="110">
        <v>26</v>
      </c>
      <c r="B35" s="38"/>
      <c r="C35" s="109" t="s">
        <v>61</v>
      </c>
      <c r="D35" s="123" t="s">
        <v>122</v>
      </c>
      <c r="E35" s="114" t="s">
        <v>91</v>
      </c>
      <c r="F35" s="112" t="s">
        <v>63</v>
      </c>
      <c r="G35" s="94">
        <v>40</v>
      </c>
      <c r="H35" s="106">
        <v>13560</v>
      </c>
      <c r="I35" s="88">
        <f t="shared" si="0"/>
        <v>542400</v>
      </c>
    </row>
    <row r="36" spans="1:9" s="27" customFormat="1" ht="42" customHeight="1" thickBot="1" x14ac:dyDescent="0.3">
      <c r="A36" s="108">
        <v>27</v>
      </c>
      <c r="B36" s="38"/>
      <c r="C36" s="109" t="s">
        <v>61</v>
      </c>
      <c r="D36" s="123" t="s">
        <v>122</v>
      </c>
      <c r="E36" s="114" t="s">
        <v>92</v>
      </c>
      <c r="F36" s="112" t="s">
        <v>63</v>
      </c>
      <c r="G36" s="94">
        <v>16</v>
      </c>
      <c r="H36" s="106">
        <v>18630</v>
      </c>
      <c r="I36" s="88">
        <f t="shared" si="0"/>
        <v>298080</v>
      </c>
    </row>
    <row r="37" spans="1:9" s="27" customFormat="1" ht="42" customHeight="1" thickBot="1" x14ac:dyDescent="0.3">
      <c r="A37" s="110">
        <v>28</v>
      </c>
      <c r="B37" s="38"/>
      <c r="C37" s="109" t="s">
        <v>61</v>
      </c>
      <c r="D37" s="123" t="s">
        <v>122</v>
      </c>
      <c r="E37" s="114" t="s">
        <v>93</v>
      </c>
      <c r="F37" s="112" t="s">
        <v>63</v>
      </c>
      <c r="G37" s="94">
        <v>16</v>
      </c>
      <c r="H37" s="106">
        <v>20690</v>
      </c>
      <c r="I37" s="88">
        <f t="shared" si="0"/>
        <v>331040</v>
      </c>
    </row>
    <row r="38" spans="1:9" ht="42" customHeight="1" thickBot="1" x14ac:dyDescent="0.3">
      <c r="A38" s="108">
        <v>29</v>
      </c>
      <c r="B38" s="38"/>
      <c r="C38" s="109" t="s">
        <v>61</v>
      </c>
      <c r="D38" s="123" t="s">
        <v>122</v>
      </c>
      <c r="E38" s="114" t="s">
        <v>94</v>
      </c>
      <c r="F38" s="112" t="s">
        <v>63</v>
      </c>
      <c r="G38" s="94">
        <v>12</v>
      </c>
      <c r="H38" s="106">
        <v>23620</v>
      </c>
      <c r="I38" s="88">
        <f t="shared" si="0"/>
        <v>283440</v>
      </c>
    </row>
    <row r="39" spans="1:9" ht="42" customHeight="1" thickBot="1" x14ac:dyDescent="0.3">
      <c r="A39" s="110">
        <v>30</v>
      </c>
      <c r="B39" s="38"/>
      <c r="C39" s="109" t="s">
        <v>61</v>
      </c>
      <c r="D39" s="123" t="s">
        <v>122</v>
      </c>
      <c r="E39" s="114" t="s">
        <v>95</v>
      </c>
      <c r="F39" s="112" t="s">
        <v>65</v>
      </c>
      <c r="G39" s="94">
        <v>12</v>
      </c>
      <c r="H39" s="106">
        <v>28050</v>
      </c>
      <c r="I39" s="88">
        <f t="shared" si="0"/>
        <v>336600</v>
      </c>
    </row>
    <row r="40" spans="1:9" ht="42" customHeight="1" thickBot="1" x14ac:dyDescent="0.3">
      <c r="A40" s="108">
        <v>31</v>
      </c>
      <c r="B40" s="38"/>
      <c r="C40" s="109" t="s">
        <v>61</v>
      </c>
      <c r="D40" s="123" t="s">
        <v>122</v>
      </c>
      <c r="E40" s="114" t="s">
        <v>96</v>
      </c>
      <c r="F40" s="112" t="s">
        <v>65</v>
      </c>
      <c r="G40" s="94">
        <v>12</v>
      </c>
      <c r="H40" s="106">
        <v>26500</v>
      </c>
      <c r="I40" s="88">
        <f t="shared" si="0"/>
        <v>318000</v>
      </c>
    </row>
    <row r="41" spans="1:9" ht="42" customHeight="1" thickBot="1" x14ac:dyDescent="0.3">
      <c r="A41" s="110">
        <v>32</v>
      </c>
      <c r="B41" s="38"/>
      <c r="C41" s="109" t="s">
        <v>61</v>
      </c>
      <c r="D41" s="123" t="s">
        <v>122</v>
      </c>
      <c r="E41" s="114" t="s">
        <v>97</v>
      </c>
      <c r="F41" s="112" t="s">
        <v>65</v>
      </c>
      <c r="G41" s="94">
        <v>6</v>
      </c>
      <c r="H41" s="106">
        <v>9600</v>
      </c>
      <c r="I41" s="88">
        <f t="shared" si="0"/>
        <v>57600</v>
      </c>
    </row>
    <row r="42" spans="1:9" ht="42" customHeight="1" thickBot="1" x14ac:dyDescent="0.3">
      <c r="A42" s="108">
        <v>33</v>
      </c>
      <c r="B42" s="38"/>
      <c r="C42" s="109" t="s">
        <v>61</v>
      </c>
      <c r="D42" s="123" t="s">
        <v>122</v>
      </c>
      <c r="E42" s="114" t="s">
        <v>98</v>
      </c>
      <c r="F42" s="112" t="s">
        <v>63</v>
      </c>
      <c r="G42" s="94">
        <v>12</v>
      </c>
      <c r="H42" s="106">
        <v>4300</v>
      </c>
      <c r="I42" s="88">
        <f t="shared" si="0"/>
        <v>51600</v>
      </c>
    </row>
    <row r="43" spans="1:9" ht="42" customHeight="1" thickBot="1" x14ac:dyDescent="0.3">
      <c r="A43" s="110">
        <v>34</v>
      </c>
      <c r="B43" s="38"/>
      <c r="C43" s="109" t="s">
        <v>61</v>
      </c>
      <c r="D43" s="123" t="s">
        <v>122</v>
      </c>
      <c r="E43" s="114" t="s">
        <v>99</v>
      </c>
      <c r="F43" s="112" t="s">
        <v>63</v>
      </c>
      <c r="G43" s="94">
        <v>30</v>
      </c>
      <c r="H43" s="106">
        <v>5800</v>
      </c>
      <c r="I43" s="88">
        <f t="shared" si="0"/>
        <v>174000</v>
      </c>
    </row>
    <row r="44" spans="1:9" ht="42" customHeight="1" thickBot="1" x14ac:dyDescent="0.3">
      <c r="A44" s="108">
        <v>35</v>
      </c>
      <c r="B44" s="38"/>
      <c r="C44" s="109" t="s">
        <v>61</v>
      </c>
      <c r="D44" s="123" t="s">
        <v>122</v>
      </c>
      <c r="E44" s="114" t="s">
        <v>100</v>
      </c>
      <c r="F44" s="112" t="s">
        <v>63</v>
      </c>
      <c r="G44" s="94">
        <v>24</v>
      </c>
      <c r="H44" s="106">
        <v>8200</v>
      </c>
      <c r="I44" s="88">
        <f t="shared" si="0"/>
        <v>196800</v>
      </c>
    </row>
    <row r="45" spans="1:9" ht="42" customHeight="1" thickBot="1" x14ac:dyDescent="0.3">
      <c r="A45" s="110">
        <v>36</v>
      </c>
      <c r="B45" s="38"/>
      <c r="C45" s="109" t="s">
        <v>61</v>
      </c>
      <c r="D45" s="123" t="s">
        <v>122</v>
      </c>
      <c r="E45" s="114" t="s">
        <v>101</v>
      </c>
      <c r="F45" s="112" t="s">
        <v>63</v>
      </c>
      <c r="G45" s="94">
        <v>18</v>
      </c>
      <c r="H45" s="106">
        <v>11500</v>
      </c>
      <c r="I45" s="88">
        <f t="shared" si="0"/>
        <v>207000</v>
      </c>
    </row>
    <row r="46" spans="1:9" ht="42" customHeight="1" thickBot="1" x14ac:dyDescent="0.3">
      <c r="A46" s="108">
        <v>37</v>
      </c>
      <c r="B46" s="38"/>
      <c r="C46" s="109" t="s">
        <v>61</v>
      </c>
      <c r="D46" s="123" t="s">
        <v>122</v>
      </c>
      <c r="E46" s="114" t="s">
        <v>102</v>
      </c>
      <c r="F46" s="112" t="s">
        <v>63</v>
      </c>
      <c r="G46" s="94">
        <v>15</v>
      </c>
      <c r="H46" s="106">
        <v>13200</v>
      </c>
      <c r="I46" s="88">
        <f t="shared" si="0"/>
        <v>198000</v>
      </c>
    </row>
    <row r="47" spans="1:9" ht="42" customHeight="1" thickBot="1" x14ac:dyDescent="0.3">
      <c r="A47" s="110">
        <v>38</v>
      </c>
      <c r="B47" s="38"/>
      <c r="C47" s="109" t="s">
        <v>61</v>
      </c>
      <c r="D47" s="123" t="s">
        <v>121</v>
      </c>
      <c r="E47" s="114" t="s">
        <v>103</v>
      </c>
      <c r="F47" s="112" t="s">
        <v>63</v>
      </c>
      <c r="G47" s="94">
        <v>160</v>
      </c>
      <c r="H47" s="106">
        <v>4500</v>
      </c>
      <c r="I47" s="88">
        <f t="shared" si="0"/>
        <v>720000</v>
      </c>
    </row>
    <row r="48" spans="1:9" ht="42" customHeight="1" thickBot="1" x14ac:dyDescent="0.3">
      <c r="A48" s="108">
        <v>39</v>
      </c>
      <c r="B48" s="38"/>
      <c r="C48" s="109" t="s">
        <v>61</v>
      </c>
      <c r="D48" s="123" t="s">
        <v>122</v>
      </c>
      <c r="E48" s="119" t="s">
        <v>104</v>
      </c>
      <c r="F48" s="112" t="s">
        <v>105</v>
      </c>
      <c r="G48" s="94">
        <v>300</v>
      </c>
      <c r="H48" s="106">
        <v>444.8</v>
      </c>
      <c r="I48" s="88">
        <f t="shared" si="0"/>
        <v>133440</v>
      </c>
    </row>
    <row r="49" spans="1:9" ht="42" customHeight="1" thickBot="1" x14ac:dyDescent="0.3">
      <c r="A49" s="110">
        <v>40</v>
      </c>
      <c r="B49" s="38"/>
      <c r="C49" s="109" t="s">
        <v>61</v>
      </c>
      <c r="D49" s="123" t="s">
        <v>122</v>
      </c>
      <c r="E49" s="119" t="s">
        <v>106</v>
      </c>
      <c r="F49" s="112" t="s">
        <v>107</v>
      </c>
      <c r="G49" s="94">
        <v>800</v>
      </c>
      <c r="H49" s="106">
        <v>2950</v>
      </c>
      <c r="I49" s="88">
        <f t="shared" si="0"/>
        <v>2360000</v>
      </c>
    </row>
    <row r="50" spans="1:9" ht="42" customHeight="1" thickBot="1" x14ac:dyDescent="0.3">
      <c r="A50" s="108">
        <v>41</v>
      </c>
      <c r="B50" s="38"/>
      <c r="C50" s="109" t="s">
        <v>61</v>
      </c>
      <c r="D50" s="123" t="s">
        <v>126</v>
      </c>
      <c r="E50" s="114" t="s">
        <v>108</v>
      </c>
      <c r="F50" s="112" t="s">
        <v>63</v>
      </c>
      <c r="G50" s="94">
        <v>12</v>
      </c>
      <c r="H50" s="106">
        <v>4800</v>
      </c>
      <c r="I50" s="88">
        <f t="shared" si="0"/>
        <v>57600</v>
      </c>
    </row>
    <row r="51" spans="1:9" ht="42" customHeight="1" thickBot="1" x14ac:dyDescent="0.3">
      <c r="A51" s="110">
        <v>42</v>
      </c>
      <c r="B51" s="38"/>
      <c r="C51" s="109" t="s">
        <v>61</v>
      </c>
      <c r="D51" s="123" t="s">
        <v>126</v>
      </c>
      <c r="E51" s="114" t="s">
        <v>109</v>
      </c>
      <c r="F51" s="112" t="s">
        <v>63</v>
      </c>
      <c r="G51" s="94">
        <v>16</v>
      </c>
      <c r="H51" s="106">
        <v>8900</v>
      </c>
      <c r="I51" s="88">
        <f t="shared" si="0"/>
        <v>142400</v>
      </c>
    </row>
    <row r="52" spans="1:9" ht="42" customHeight="1" thickBot="1" x14ac:dyDescent="0.3">
      <c r="A52" s="108">
        <v>43</v>
      </c>
      <c r="B52" s="38"/>
      <c r="C52" s="109" t="s">
        <v>61</v>
      </c>
      <c r="D52" s="123" t="s">
        <v>126</v>
      </c>
      <c r="E52" s="114" t="s">
        <v>110</v>
      </c>
      <c r="F52" s="112" t="s">
        <v>63</v>
      </c>
      <c r="G52" s="94">
        <v>12</v>
      </c>
      <c r="H52" s="106">
        <v>9500</v>
      </c>
      <c r="I52" s="88">
        <f t="shared" si="0"/>
        <v>114000</v>
      </c>
    </row>
    <row r="53" spans="1:9" ht="42" customHeight="1" thickBot="1" x14ac:dyDescent="0.3">
      <c r="A53" s="110">
        <v>44</v>
      </c>
      <c r="B53" s="38"/>
      <c r="C53" s="109" t="s">
        <v>61</v>
      </c>
      <c r="D53" s="123" t="s">
        <v>121</v>
      </c>
      <c r="E53" s="120" t="s">
        <v>111</v>
      </c>
      <c r="F53" s="112" t="s">
        <v>63</v>
      </c>
      <c r="G53" s="94">
        <v>24</v>
      </c>
      <c r="H53" s="106">
        <v>220</v>
      </c>
      <c r="I53" s="88">
        <f t="shared" si="0"/>
        <v>5280</v>
      </c>
    </row>
    <row r="54" spans="1:9" ht="42" customHeight="1" thickBot="1" x14ac:dyDescent="0.3">
      <c r="A54" s="108">
        <v>45</v>
      </c>
      <c r="B54" s="38"/>
      <c r="C54" s="109" t="s">
        <v>61</v>
      </c>
      <c r="D54" s="123" t="s">
        <v>121</v>
      </c>
      <c r="E54" s="120" t="s">
        <v>112</v>
      </c>
      <c r="F54" s="112" t="s">
        <v>63</v>
      </c>
      <c r="G54" s="94">
        <v>24</v>
      </c>
      <c r="H54" s="106">
        <v>380</v>
      </c>
      <c r="I54" s="88">
        <f t="shared" si="0"/>
        <v>9120</v>
      </c>
    </row>
    <row r="55" spans="1:9" ht="42" customHeight="1" thickBot="1" x14ac:dyDescent="0.3">
      <c r="A55" s="110">
        <v>46</v>
      </c>
      <c r="B55" s="38"/>
      <c r="C55" s="109" t="s">
        <v>61</v>
      </c>
      <c r="D55" s="123" t="s">
        <v>122</v>
      </c>
      <c r="E55" s="113" t="s">
        <v>113</v>
      </c>
      <c r="F55" s="112" t="s">
        <v>65</v>
      </c>
      <c r="G55" s="94">
        <v>24</v>
      </c>
      <c r="H55" s="106">
        <v>540</v>
      </c>
      <c r="I55" s="88">
        <f t="shared" si="0"/>
        <v>12960</v>
      </c>
    </row>
    <row r="56" spans="1:9" ht="42" customHeight="1" thickBot="1" x14ac:dyDescent="0.3">
      <c r="A56" s="108">
        <v>47</v>
      </c>
      <c r="B56" s="38"/>
      <c r="C56" s="109" t="s">
        <v>61</v>
      </c>
      <c r="D56" s="123" t="s">
        <v>122</v>
      </c>
      <c r="E56" s="116" t="s">
        <v>114</v>
      </c>
      <c r="F56" s="112" t="s">
        <v>65</v>
      </c>
      <c r="G56" s="94">
        <v>18</v>
      </c>
      <c r="H56" s="106">
        <v>380</v>
      </c>
      <c r="I56" s="88">
        <f t="shared" si="0"/>
        <v>6840</v>
      </c>
    </row>
    <row r="57" spans="1:9" ht="42" customHeight="1" thickBot="1" x14ac:dyDescent="0.3">
      <c r="A57" s="110">
        <v>48</v>
      </c>
      <c r="B57" s="38"/>
      <c r="C57" s="109" t="s">
        <v>61</v>
      </c>
      <c r="D57" s="123" t="s">
        <v>122</v>
      </c>
      <c r="E57" s="121" t="s">
        <v>115</v>
      </c>
      <c r="F57" s="112" t="s">
        <v>116</v>
      </c>
      <c r="G57" s="94">
        <v>6</v>
      </c>
      <c r="H57" s="106">
        <v>1800</v>
      </c>
      <c r="I57" s="88">
        <f t="shared" si="0"/>
        <v>10800</v>
      </c>
    </row>
    <row r="58" spans="1:9" ht="42" customHeight="1" thickBot="1" x14ac:dyDescent="0.3">
      <c r="A58" s="108">
        <v>49</v>
      </c>
      <c r="B58" s="38"/>
      <c r="C58" s="109" t="s">
        <v>61</v>
      </c>
      <c r="D58" s="123" t="s">
        <v>122</v>
      </c>
      <c r="E58" s="122" t="s">
        <v>117</v>
      </c>
      <c r="F58" s="112" t="s">
        <v>80</v>
      </c>
      <c r="G58" s="94">
        <v>2</v>
      </c>
      <c r="H58" s="106">
        <v>11500</v>
      </c>
      <c r="I58" s="88">
        <f t="shared" si="0"/>
        <v>23000</v>
      </c>
    </row>
    <row r="59" spans="1:9" ht="42" customHeight="1" x14ac:dyDescent="0.25">
      <c r="A59" s="110">
        <v>50</v>
      </c>
      <c r="B59" s="39"/>
      <c r="C59" s="109" t="s">
        <v>61</v>
      </c>
      <c r="D59" s="123" t="s">
        <v>121</v>
      </c>
      <c r="E59" s="116" t="s">
        <v>118</v>
      </c>
      <c r="F59" s="112" t="s">
        <v>63</v>
      </c>
      <c r="G59" s="94">
        <v>20</v>
      </c>
      <c r="H59" s="106">
        <v>6800</v>
      </c>
      <c r="I59" s="88">
        <f t="shared" si="0"/>
        <v>136000</v>
      </c>
    </row>
    <row r="60" spans="1:9" ht="15.75" x14ac:dyDescent="0.25">
      <c r="A60" s="50"/>
      <c r="B60" s="87"/>
      <c r="E60" s="35"/>
      <c r="I60" s="98"/>
    </row>
    <row r="61" spans="1:9" x14ac:dyDescent="0.2">
      <c r="A61" s="50"/>
      <c r="B61" s="18"/>
      <c r="D61" s="18"/>
      <c r="E61" s="18"/>
      <c r="F61" s="18"/>
      <c r="I61" s="98"/>
    </row>
    <row r="62" spans="1:9" ht="13.5" customHeight="1" thickBot="1" x14ac:dyDescent="0.25">
      <c r="A62" s="50"/>
      <c r="B62" s="90"/>
      <c r="C62" s="100"/>
      <c r="D62" s="49"/>
      <c r="E62"/>
      <c r="F62" s="18"/>
      <c r="G62" s="131"/>
      <c r="H62" s="18"/>
      <c r="I62" s="18"/>
    </row>
    <row r="63" spans="1:9" ht="15" customHeight="1" x14ac:dyDescent="0.2">
      <c r="A63" s="50"/>
      <c r="B63" s="58" t="s">
        <v>127</v>
      </c>
      <c r="C63" s="101"/>
      <c r="D63" s="44"/>
      <c r="E63" s="51"/>
      <c r="F63" s="18"/>
      <c r="G63" s="131"/>
      <c r="H63" s="18"/>
      <c r="I63" s="18"/>
    </row>
    <row r="64" spans="1:9" ht="15" customHeight="1" x14ac:dyDescent="0.2">
      <c r="A64" s="50"/>
      <c r="B64" s="52"/>
      <c r="C64" s="101"/>
      <c r="D64" s="18"/>
      <c r="E64" s="53"/>
      <c r="F64" s="18"/>
      <c r="G64" s="131"/>
      <c r="H64" s="18"/>
      <c r="I64" s="18"/>
    </row>
    <row r="65" spans="1:9" ht="15" customHeight="1" x14ac:dyDescent="0.2">
      <c r="A65" s="50"/>
      <c r="B65" s="54" t="s">
        <v>52</v>
      </c>
      <c r="C65" s="101"/>
      <c r="D65" s="18"/>
      <c r="E65" s="53"/>
      <c r="F65" s="18"/>
      <c r="G65" s="131"/>
      <c r="H65" s="18"/>
      <c r="I65" s="18"/>
    </row>
    <row r="66" spans="1:9" ht="24" customHeight="1" x14ac:dyDescent="0.2">
      <c r="A66" s="50"/>
      <c r="B66" s="54"/>
      <c r="C66" s="128" t="s">
        <v>128</v>
      </c>
      <c r="D66" s="128"/>
      <c r="E66" s="129"/>
      <c r="F66" s="18"/>
      <c r="G66" s="131"/>
      <c r="H66" s="18"/>
      <c r="I66" s="18"/>
    </row>
    <row r="67" spans="1:9" ht="15" customHeight="1" x14ac:dyDescent="0.2">
      <c r="A67" s="50"/>
      <c r="B67" s="55" t="s">
        <v>58</v>
      </c>
      <c r="C67" s="124" t="s">
        <v>129</v>
      </c>
      <c r="D67" s="124"/>
      <c r="E67" s="124"/>
      <c r="F67" s="18"/>
      <c r="G67" s="131"/>
      <c r="H67" s="18"/>
      <c r="I67" s="18"/>
    </row>
    <row r="68" spans="1:9" ht="15" customHeight="1" x14ac:dyDescent="0.2">
      <c r="A68" s="50"/>
      <c r="B68" s="130"/>
      <c r="C68" s="130"/>
      <c r="D68" s="130"/>
      <c r="E68" s="130"/>
      <c r="F68" s="18"/>
      <c r="G68" s="131"/>
      <c r="H68" s="18"/>
      <c r="I68" s="18"/>
    </row>
    <row r="69" spans="1:9" ht="24.75" customHeight="1" x14ac:dyDescent="0.2">
      <c r="A69" s="50"/>
      <c r="B69" s="52" t="s">
        <v>59</v>
      </c>
      <c r="C69" s="124" t="s">
        <v>130</v>
      </c>
      <c r="D69" s="124"/>
      <c r="E69" s="125"/>
      <c r="F69" s="18"/>
      <c r="G69" s="131"/>
      <c r="H69" s="18"/>
      <c r="I69" s="18"/>
    </row>
    <row r="70" spans="1:9" ht="15" customHeight="1" x14ac:dyDescent="0.2">
      <c r="A70" s="50"/>
      <c r="B70" s="52"/>
      <c r="C70" s="61"/>
      <c r="D70" s="59"/>
      <c r="E70" s="60"/>
      <c r="F70" s="18"/>
      <c r="G70" s="131"/>
      <c r="H70" s="18"/>
      <c r="I70" s="18"/>
    </row>
    <row r="71" spans="1:9" ht="12.75" customHeight="1" x14ac:dyDescent="0.2">
      <c r="A71" s="50"/>
      <c r="B71" s="54" t="s">
        <v>53</v>
      </c>
      <c r="C71" s="124"/>
      <c r="D71" s="124"/>
      <c r="E71" s="125"/>
      <c r="F71" s="18"/>
      <c r="G71" s="131"/>
      <c r="H71" s="18"/>
      <c r="I71" s="18"/>
    </row>
    <row r="72" spans="1:9" ht="12.75" customHeight="1" x14ac:dyDescent="0.2">
      <c r="A72" s="50"/>
      <c r="B72" s="52"/>
      <c r="C72" s="61"/>
      <c r="D72" s="61"/>
      <c r="E72" s="62"/>
      <c r="F72" s="18"/>
      <c r="G72" s="131"/>
      <c r="H72" s="18"/>
      <c r="I72" s="18"/>
    </row>
    <row r="73" spans="1:9" ht="15" customHeight="1" x14ac:dyDescent="0.2">
      <c r="A73" s="50"/>
      <c r="B73" s="54" t="s">
        <v>54</v>
      </c>
      <c r="C73" s="47"/>
      <c r="D73" s="45"/>
      <c r="E73" s="48"/>
      <c r="F73" s="18"/>
      <c r="G73" s="131"/>
      <c r="H73" s="18"/>
      <c r="I73" s="18"/>
    </row>
    <row r="74" spans="1:9" ht="15" customHeight="1" x14ac:dyDescent="0.2">
      <c r="A74" s="50"/>
      <c r="B74" s="52"/>
      <c r="C74" s="61"/>
      <c r="D74" s="61"/>
      <c r="E74" s="62" t="s">
        <v>131</v>
      </c>
      <c r="F74" s="18"/>
      <c r="G74" s="131"/>
      <c r="H74" s="18"/>
      <c r="I74" s="18"/>
    </row>
    <row r="75" spans="1:9" ht="15" customHeight="1" x14ac:dyDescent="0.2">
      <c r="A75" s="50"/>
      <c r="B75" s="54" t="s">
        <v>55</v>
      </c>
      <c r="C75" s="101"/>
      <c r="D75" s="18"/>
      <c r="E75" s="53"/>
      <c r="F75" s="18"/>
      <c r="G75" s="131"/>
      <c r="H75" s="18"/>
      <c r="I75" s="18"/>
    </row>
    <row r="76" spans="1:9" ht="15" customHeight="1" x14ac:dyDescent="0.2">
      <c r="A76" s="50"/>
      <c r="B76" s="54"/>
      <c r="C76" s="61"/>
      <c r="D76" s="59"/>
      <c r="E76" s="60"/>
      <c r="F76" s="18"/>
      <c r="G76" s="131"/>
      <c r="H76" s="18"/>
      <c r="I76" s="18"/>
    </row>
    <row r="77" spans="1:9" ht="12.75" customHeight="1" thickBot="1" x14ac:dyDescent="0.25">
      <c r="A77" s="50"/>
      <c r="B77" s="56"/>
      <c r="C77" s="102"/>
      <c r="D77" s="46"/>
      <c r="E77" s="57"/>
      <c r="F77" s="18"/>
      <c r="G77" s="131"/>
      <c r="H77" s="18"/>
      <c r="I77" s="18"/>
    </row>
    <row r="78" spans="1:9" ht="12.75" customHeight="1" x14ac:dyDescent="0.2">
      <c r="A78" s="50"/>
      <c r="B78" s="90"/>
      <c r="C78" s="103"/>
      <c r="D78" s="104"/>
      <c r="E78" s="105"/>
      <c r="F78" s="18"/>
      <c r="G78" s="131"/>
      <c r="H78" s="18"/>
      <c r="I78" s="18"/>
    </row>
    <row r="79" spans="1:9" ht="12.75" customHeight="1" x14ac:dyDescent="0.2">
      <c r="H79" s="98"/>
      <c r="I79" s="18"/>
    </row>
    <row r="80" spans="1:9" x14ac:dyDescent="0.2">
      <c r="I80" s="98"/>
    </row>
    <row r="81" spans="9:9" x14ac:dyDescent="0.2">
      <c r="I81" s="98"/>
    </row>
    <row r="82" spans="9:9" x14ac:dyDescent="0.2">
      <c r="I82" s="98"/>
    </row>
    <row r="83" spans="9:9" x14ac:dyDescent="0.2">
      <c r="I83" s="98"/>
    </row>
    <row r="84" spans="9:9" x14ac:dyDescent="0.2">
      <c r="I84" s="98"/>
    </row>
    <row r="85" spans="9:9" ht="27" customHeight="1" x14ac:dyDescent="0.2">
      <c r="I85" s="98"/>
    </row>
    <row r="86" spans="9:9" x14ac:dyDescent="0.2">
      <c r="I86" s="98"/>
    </row>
    <row r="87" spans="9:9" x14ac:dyDescent="0.2">
      <c r="I87" s="98"/>
    </row>
    <row r="88" spans="9:9" x14ac:dyDescent="0.2">
      <c r="I88" s="98"/>
    </row>
    <row r="89" spans="9:9" x14ac:dyDescent="0.2">
      <c r="I89" s="98"/>
    </row>
    <row r="90" spans="9:9" x14ac:dyDescent="0.2">
      <c r="I90" s="98"/>
    </row>
    <row r="91" spans="9:9" x14ac:dyDescent="0.2">
      <c r="I91" s="98"/>
    </row>
    <row r="92" spans="9:9" x14ac:dyDescent="0.2">
      <c r="I92" s="98"/>
    </row>
    <row r="93" spans="9:9" x14ac:dyDescent="0.2">
      <c r="I93" s="98"/>
    </row>
    <row r="94" spans="9:9" x14ac:dyDescent="0.2">
      <c r="I94" s="98"/>
    </row>
    <row r="95" spans="9:9" x14ac:dyDescent="0.2">
      <c r="I95" s="98"/>
    </row>
    <row r="96" spans="9:9" x14ac:dyDescent="0.2">
      <c r="I96" s="98"/>
    </row>
    <row r="97" spans="9:9" x14ac:dyDescent="0.2">
      <c r="I97" s="98"/>
    </row>
    <row r="98" spans="9:9" x14ac:dyDescent="0.2">
      <c r="I98" s="98"/>
    </row>
    <row r="99" spans="9:9" x14ac:dyDescent="0.2">
      <c r="I99" s="98"/>
    </row>
    <row r="100" spans="9:9" x14ac:dyDescent="0.2">
      <c r="I100" s="98"/>
    </row>
    <row r="101" spans="9:9" x14ac:dyDescent="0.2">
      <c r="I101" s="98"/>
    </row>
    <row r="102" spans="9:9" x14ac:dyDescent="0.2">
      <c r="I102" s="98"/>
    </row>
    <row r="103" spans="9:9" x14ac:dyDescent="0.2">
      <c r="I103" s="98"/>
    </row>
    <row r="104" spans="9:9" x14ac:dyDescent="0.2">
      <c r="I104" s="98"/>
    </row>
    <row r="105" spans="9:9" x14ac:dyDescent="0.2">
      <c r="I105" s="98"/>
    </row>
    <row r="106" spans="9:9" x14ac:dyDescent="0.2">
      <c r="I106" s="98"/>
    </row>
    <row r="107" spans="9:9" x14ac:dyDescent="0.2">
      <c r="I107" s="98"/>
    </row>
    <row r="108" spans="9:9" x14ac:dyDescent="0.2">
      <c r="I108" s="98"/>
    </row>
    <row r="109" spans="9:9" x14ac:dyDescent="0.2">
      <c r="I109" s="98"/>
    </row>
    <row r="110" spans="9:9" x14ac:dyDescent="0.2">
      <c r="I110" s="98"/>
    </row>
    <row r="111" spans="9:9" x14ac:dyDescent="0.2">
      <c r="I111" s="98"/>
    </row>
    <row r="112" spans="9:9" x14ac:dyDescent="0.2">
      <c r="I112" s="98"/>
    </row>
    <row r="113" spans="9:9" x14ac:dyDescent="0.2">
      <c r="I113" s="98"/>
    </row>
    <row r="114" spans="9:9" x14ac:dyDescent="0.2">
      <c r="I114" s="98"/>
    </row>
    <row r="115" spans="9:9" x14ac:dyDescent="0.2">
      <c r="I115" s="98"/>
    </row>
    <row r="116" spans="9:9" x14ac:dyDescent="0.2">
      <c r="I116" s="98"/>
    </row>
    <row r="117" spans="9:9" x14ac:dyDescent="0.2">
      <c r="I117" s="98"/>
    </row>
    <row r="118" spans="9:9" x14ac:dyDescent="0.2">
      <c r="I118" s="98"/>
    </row>
    <row r="119" spans="9:9" x14ac:dyDescent="0.2">
      <c r="I119" s="98"/>
    </row>
    <row r="120" spans="9:9" x14ac:dyDescent="0.2">
      <c r="I120" s="98"/>
    </row>
    <row r="121" spans="9:9" x14ac:dyDescent="0.2">
      <c r="I121" s="98"/>
    </row>
    <row r="122" spans="9:9" x14ac:dyDescent="0.2">
      <c r="I122" s="98"/>
    </row>
    <row r="123" spans="9:9" x14ac:dyDescent="0.2">
      <c r="I123" s="98"/>
    </row>
    <row r="124" spans="9:9" x14ac:dyDescent="0.2">
      <c r="I124" s="98"/>
    </row>
    <row r="125" spans="9:9" x14ac:dyDescent="0.2">
      <c r="I125" s="98"/>
    </row>
    <row r="126" spans="9:9" x14ac:dyDescent="0.2">
      <c r="I126" s="98"/>
    </row>
    <row r="127" spans="9:9" x14ac:dyDescent="0.2">
      <c r="I127" s="98"/>
    </row>
    <row r="128" spans="9:9" x14ac:dyDescent="0.2">
      <c r="I128" s="98"/>
    </row>
    <row r="129" spans="9:9" x14ac:dyDescent="0.2">
      <c r="I129" s="98"/>
    </row>
    <row r="130" spans="9:9" x14ac:dyDescent="0.2">
      <c r="I130" s="98"/>
    </row>
    <row r="131" spans="9:9" x14ac:dyDescent="0.2">
      <c r="I131" s="98"/>
    </row>
    <row r="132" spans="9:9" x14ac:dyDescent="0.2">
      <c r="I132" s="98"/>
    </row>
    <row r="133" spans="9:9" x14ac:dyDescent="0.2">
      <c r="I133" s="98"/>
    </row>
    <row r="134" spans="9:9" x14ac:dyDescent="0.2">
      <c r="I134" s="98"/>
    </row>
    <row r="135" spans="9:9" x14ac:dyDescent="0.2">
      <c r="I135" s="98"/>
    </row>
    <row r="136" spans="9:9" x14ac:dyDescent="0.2">
      <c r="I136" s="98"/>
    </row>
    <row r="137" spans="9:9" x14ac:dyDescent="0.2">
      <c r="I137" s="98"/>
    </row>
    <row r="138" spans="9:9" x14ac:dyDescent="0.2">
      <c r="I138" s="98"/>
    </row>
    <row r="139" spans="9:9" x14ac:dyDescent="0.2">
      <c r="I139" s="98"/>
    </row>
    <row r="140" spans="9:9" x14ac:dyDescent="0.2">
      <c r="I140" s="98"/>
    </row>
    <row r="141" spans="9:9" x14ac:dyDescent="0.2">
      <c r="I141" s="98"/>
    </row>
    <row r="142" spans="9:9" x14ac:dyDescent="0.2">
      <c r="I142" s="98"/>
    </row>
    <row r="143" spans="9:9" x14ac:dyDescent="0.2">
      <c r="I143" s="98"/>
    </row>
    <row r="144" spans="9:9" x14ac:dyDescent="0.2">
      <c r="I144" s="98"/>
    </row>
    <row r="145" spans="9:9" x14ac:dyDescent="0.2">
      <c r="I145" s="98"/>
    </row>
    <row r="146" spans="9:9" x14ac:dyDescent="0.2">
      <c r="I146" s="98"/>
    </row>
    <row r="147" spans="9:9" x14ac:dyDescent="0.2">
      <c r="I147" s="98"/>
    </row>
    <row r="148" spans="9:9" x14ac:dyDescent="0.2">
      <c r="I148" s="98"/>
    </row>
    <row r="149" spans="9:9" x14ac:dyDescent="0.2">
      <c r="I149" s="98"/>
    </row>
    <row r="150" spans="9:9" x14ac:dyDescent="0.2">
      <c r="I150" s="98"/>
    </row>
    <row r="151" spans="9:9" x14ac:dyDescent="0.2">
      <c r="I151" s="98"/>
    </row>
    <row r="152" spans="9:9" x14ac:dyDescent="0.2">
      <c r="I152" s="98"/>
    </row>
    <row r="153" spans="9:9" x14ac:dyDescent="0.2">
      <c r="I153" s="98"/>
    </row>
    <row r="154" spans="9:9" x14ac:dyDescent="0.2">
      <c r="I154" s="98"/>
    </row>
    <row r="155" spans="9:9" x14ac:dyDescent="0.2">
      <c r="I155" s="98"/>
    </row>
    <row r="156" spans="9:9" x14ac:dyDescent="0.2">
      <c r="I156" s="98"/>
    </row>
    <row r="157" spans="9:9" x14ac:dyDescent="0.2">
      <c r="I157" s="98"/>
    </row>
    <row r="158" spans="9:9" x14ac:dyDescent="0.2">
      <c r="I158" s="98"/>
    </row>
    <row r="159" spans="9:9" x14ac:dyDescent="0.2">
      <c r="I159" s="98"/>
    </row>
    <row r="160" spans="9:9" x14ac:dyDescent="0.2">
      <c r="I160" s="98"/>
    </row>
    <row r="161" spans="9:9" x14ac:dyDescent="0.2">
      <c r="I161" s="98"/>
    </row>
    <row r="162" spans="9:9" x14ac:dyDescent="0.2">
      <c r="I162" s="98"/>
    </row>
    <row r="163" spans="9:9" x14ac:dyDescent="0.2">
      <c r="I163" s="98"/>
    </row>
    <row r="164" spans="9:9" x14ac:dyDescent="0.2">
      <c r="I164" s="98"/>
    </row>
    <row r="165" spans="9:9" x14ac:dyDescent="0.2">
      <c r="I165" s="98"/>
    </row>
    <row r="166" spans="9:9" x14ac:dyDescent="0.2">
      <c r="I166" s="98"/>
    </row>
    <row r="167" spans="9:9" x14ac:dyDescent="0.2">
      <c r="I167" s="98"/>
    </row>
    <row r="168" spans="9:9" x14ac:dyDescent="0.2">
      <c r="I168" s="98"/>
    </row>
    <row r="169" spans="9:9" x14ac:dyDescent="0.2">
      <c r="I169" s="98"/>
    </row>
    <row r="170" spans="9:9" x14ac:dyDescent="0.2">
      <c r="I170" s="98"/>
    </row>
    <row r="171" spans="9:9" x14ac:dyDescent="0.2">
      <c r="I171" s="98"/>
    </row>
    <row r="172" spans="9:9" x14ac:dyDescent="0.2">
      <c r="I172" s="98"/>
    </row>
    <row r="173" spans="9:9" x14ac:dyDescent="0.2">
      <c r="I173" s="98"/>
    </row>
    <row r="174" spans="9:9" x14ac:dyDescent="0.2">
      <c r="I174" s="98"/>
    </row>
    <row r="175" spans="9:9" x14ac:dyDescent="0.2">
      <c r="I175" s="98"/>
    </row>
    <row r="176" spans="9:9" x14ac:dyDescent="0.2">
      <c r="I176" s="98"/>
    </row>
    <row r="177" spans="9:9" x14ac:dyDescent="0.2">
      <c r="I177" s="98"/>
    </row>
    <row r="178" spans="9:9" x14ac:dyDescent="0.2">
      <c r="I178" s="98"/>
    </row>
    <row r="179" spans="9:9" x14ac:dyDescent="0.2">
      <c r="I179" s="98"/>
    </row>
    <row r="180" spans="9:9" x14ac:dyDescent="0.2">
      <c r="I180" s="98"/>
    </row>
    <row r="181" spans="9:9" x14ac:dyDescent="0.2">
      <c r="I181" s="98"/>
    </row>
    <row r="182" spans="9:9" x14ac:dyDescent="0.2">
      <c r="I182" s="98"/>
    </row>
    <row r="183" spans="9:9" x14ac:dyDescent="0.2">
      <c r="I183" s="98"/>
    </row>
    <row r="184" spans="9:9" x14ac:dyDescent="0.2">
      <c r="I184" s="98"/>
    </row>
    <row r="185" spans="9:9" x14ac:dyDescent="0.2">
      <c r="I185" s="98"/>
    </row>
    <row r="186" spans="9:9" x14ac:dyDescent="0.2">
      <c r="I186" s="98"/>
    </row>
    <row r="187" spans="9:9" x14ac:dyDescent="0.2">
      <c r="I187" s="98"/>
    </row>
    <row r="188" spans="9:9" x14ac:dyDescent="0.2">
      <c r="I188" s="98"/>
    </row>
    <row r="189" spans="9:9" x14ac:dyDescent="0.2">
      <c r="I189" s="98"/>
    </row>
    <row r="190" spans="9:9" x14ac:dyDescent="0.2">
      <c r="I190" s="98"/>
    </row>
    <row r="191" spans="9:9" x14ac:dyDescent="0.2">
      <c r="I191" s="98"/>
    </row>
    <row r="192" spans="9:9" x14ac:dyDescent="0.2">
      <c r="I192" s="98"/>
    </row>
    <row r="193" spans="9:9" x14ac:dyDescent="0.2">
      <c r="I193" s="98"/>
    </row>
    <row r="194" spans="9:9" x14ac:dyDescent="0.2">
      <c r="I194" s="98"/>
    </row>
    <row r="195" spans="9:9" x14ac:dyDescent="0.2">
      <c r="I195" s="98"/>
    </row>
    <row r="196" spans="9:9" x14ac:dyDescent="0.2">
      <c r="I196" s="98"/>
    </row>
    <row r="197" spans="9:9" x14ac:dyDescent="0.2">
      <c r="I197" s="98"/>
    </row>
    <row r="198" spans="9:9" x14ac:dyDescent="0.2">
      <c r="I198" s="98"/>
    </row>
    <row r="199" spans="9:9" x14ac:dyDescent="0.2">
      <c r="I199" s="98"/>
    </row>
    <row r="200" spans="9:9" x14ac:dyDescent="0.2">
      <c r="I200" s="98"/>
    </row>
    <row r="201" spans="9:9" x14ac:dyDescent="0.2">
      <c r="I201" s="98"/>
    </row>
  </sheetData>
  <autoFilter ref="A9:I60" xr:uid="{00000000-0009-0000-0000-000000000000}"/>
  <mergeCells count="12">
    <mergeCell ref="C71:E71"/>
    <mergeCell ref="A4:D4"/>
    <mergeCell ref="A5:D5"/>
    <mergeCell ref="A6:D6"/>
    <mergeCell ref="A7:D7"/>
    <mergeCell ref="E4:G4"/>
    <mergeCell ref="E5:G5"/>
    <mergeCell ref="C66:E66"/>
    <mergeCell ref="C67:E67"/>
    <mergeCell ref="C69:E69"/>
    <mergeCell ref="B68:E68"/>
    <mergeCell ref="G62:G78"/>
  </mergeCells>
  <phoneticPr fontId="23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Y69"/>
  <sheetViews>
    <sheetView topLeftCell="A52" zoomScale="68" zoomScaleNormal="68" workbookViewId="0">
      <selection activeCell="A62" sqref="A62:I62"/>
    </sheetView>
  </sheetViews>
  <sheetFormatPr baseColWidth="10" defaultColWidth="9.140625" defaultRowHeight="12.75" x14ac:dyDescent="0.2"/>
  <cols>
    <col min="1" max="1" width="13.140625" style="72" customWidth="1"/>
    <col min="2" max="2" width="19.5703125" style="72" customWidth="1"/>
    <col min="3" max="3" width="14.140625" style="72" customWidth="1"/>
    <col min="4" max="4" width="26" style="72" customWidth="1"/>
    <col min="5" max="5" width="8" style="72" customWidth="1"/>
    <col min="6" max="6" width="7.85546875" style="72" customWidth="1"/>
    <col min="7" max="7" width="42" style="72" customWidth="1"/>
    <col min="8" max="8" width="9.28515625" style="72" customWidth="1"/>
    <col min="9" max="9" width="15.5703125" style="72" customWidth="1"/>
    <col min="10" max="10" width="20.42578125" style="72" customWidth="1"/>
    <col min="11" max="11" width="30.42578125" style="79" customWidth="1"/>
    <col min="12" max="1013" width="9.140625" style="2"/>
  </cols>
  <sheetData>
    <row r="1" spans="1:1013" ht="18" customHeight="1" x14ac:dyDescent="0.2">
      <c r="A1" s="132" t="s">
        <v>11</v>
      </c>
      <c r="B1" s="132"/>
      <c r="C1" s="132"/>
      <c r="D1" s="132"/>
      <c r="E1" s="132"/>
      <c r="F1" s="132"/>
      <c r="G1" s="132"/>
      <c r="H1" s="132"/>
      <c r="I1" s="132"/>
      <c r="J1" s="63"/>
      <c r="K1" s="83" t="s">
        <v>136</v>
      </c>
    </row>
    <row r="2" spans="1:1013" ht="18.75" customHeight="1" thickBot="1" x14ac:dyDescent="0.25">
      <c r="A2" s="64"/>
      <c r="B2" s="64"/>
      <c r="C2" s="64"/>
      <c r="D2" s="65"/>
      <c r="E2" s="65"/>
      <c r="F2" s="65"/>
      <c r="G2" s="65"/>
      <c r="H2" s="65"/>
      <c r="I2" s="65"/>
      <c r="J2" s="65"/>
      <c r="K2" s="76"/>
    </row>
    <row r="3" spans="1:1013" ht="18.75" customHeight="1" thickBot="1" x14ac:dyDescent="0.25">
      <c r="A3" s="133" t="s">
        <v>12</v>
      </c>
      <c r="B3" s="133"/>
      <c r="C3" s="133"/>
      <c r="D3" s="134" t="s">
        <v>57</v>
      </c>
      <c r="E3" s="134"/>
      <c r="F3" s="134"/>
      <c r="G3" s="134"/>
      <c r="H3" s="134"/>
      <c r="I3" s="134"/>
      <c r="J3" s="134"/>
      <c r="K3" s="134"/>
    </row>
    <row r="4" spans="1:1013" ht="18.75" customHeight="1" thickBot="1" x14ac:dyDescent="0.25">
      <c r="A4" s="135" t="s">
        <v>13</v>
      </c>
      <c r="B4" s="135"/>
      <c r="C4" s="135"/>
      <c r="D4" s="134" t="s">
        <v>51</v>
      </c>
      <c r="E4" s="134"/>
      <c r="F4" s="134"/>
      <c r="G4" s="134"/>
      <c r="H4" s="134"/>
      <c r="I4" s="134"/>
      <c r="J4" s="134"/>
      <c r="K4" s="134"/>
    </row>
    <row r="5" spans="1:1013" ht="18.75" customHeight="1" thickBot="1" x14ac:dyDescent="0.25">
      <c r="A5" s="135" t="s">
        <v>14</v>
      </c>
      <c r="B5" s="135"/>
      <c r="C5" s="135"/>
      <c r="D5" s="134" t="s">
        <v>48</v>
      </c>
      <c r="E5" s="134"/>
      <c r="F5" s="134"/>
      <c r="G5" s="134"/>
      <c r="H5" s="134"/>
      <c r="I5" s="134"/>
      <c r="J5" s="134"/>
      <c r="K5" s="134"/>
    </row>
    <row r="6" spans="1:1013" ht="16.5" customHeight="1" thickBot="1" x14ac:dyDescent="0.25">
      <c r="A6" s="133" t="s">
        <v>15</v>
      </c>
      <c r="B6" s="133"/>
      <c r="C6" s="133"/>
      <c r="D6" s="134" t="s">
        <v>120</v>
      </c>
      <c r="E6" s="134"/>
      <c r="F6" s="134"/>
      <c r="G6" s="134"/>
      <c r="H6" s="134"/>
      <c r="I6" s="134"/>
      <c r="J6" s="134"/>
      <c r="K6" s="134"/>
    </row>
    <row r="7" spans="1:1013" ht="16.5" customHeight="1" thickBot="1" x14ac:dyDescent="0.25">
      <c r="A7" s="135" t="s">
        <v>16</v>
      </c>
      <c r="B7" s="135"/>
      <c r="C7" s="135"/>
      <c r="D7" s="134" t="s">
        <v>134</v>
      </c>
      <c r="E7" s="134"/>
      <c r="F7" s="134"/>
      <c r="G7" s="134"/>
      <c r="H7" s="134"/>
      <c r="I7" s="134"/>
      <c r="J7" s="134"/>
      <c r="K7" s="134"/>
    </row>
    <row r="8" spans="1:1013" ht="16.5" customHeight="1" thickBot="1" x14ac:dyDescent="0.25">
      <c r="A8" s="136" t="s">
        <v>17</v>
      </c>
      <c r="B8" s="136"/>
      <c r="C8" s="136"/>
      <c r="D8" s="137" t="s">
        <v>135</v>
      </c>
      <c r="E8" s="137"/>
      <c r="F8" s="137"/>
      <c r="G8" s="137"/>
      <c r="H8" s="137"/>
      <c r="I8" s="137"/>
      <c r="J8" s="137"/>
      <c r="K8" s="137"/>
    </row>
    <row r="9" spans="1:1013" ht="16.5" thickBot="1" x14ac:dyDescent="0.25">
      <c r="A9" s="66"/>
      <c r="B9" s="66"/>
      <c r="C9" s="66"/>
      <c r="D9" s="67"/>
      <c r="E9" s="67"/>
      <c r="F9" s="67"/>
      <c r="G9" s="67"/>
      <c r="H9" s="67"/>
      <c r="I9" s="67"/>
      <c r="J9" s="67"/>
      <c r="K9" s="77"/>
    </row>
    <row r="10" spans="1:1013" ht="18.75" customHeight="1" thickBot="1" x14ac:dyDescent="0.25">
      <c r="A10" s="138" t="s">
        <v>18</v>
      </c>
      <c r="B10" s="140" t="s">
        <v>19</v>
      </c>
      <c r="C10" s="140" t="s">
        <v>20</v>
      </c>
      <c r="D10" s="140"/>
      <c r="E10" s="140"/>
      <c r="F10" s="140"/>
      <c r="G10" s="140"/>
      <c r="H10" s="140" t="s">
        <v>21</v>
      </c>
      <c r="I10" s="140" t="s">
        <v>22</v>
      </c>
      <c r="J10" s="140" t="s">
        <v>23</v>
      </c>
      <c r="K10" s="142" t="s">
        <v>24</v>
      </c>
    </row>
    <row r="11" spans="1:1013" ht="24" customHeight="1" thickBot="1" x14ac:dyDescent="0.25">
      <c r="A11" s="139"/>
      <c r="B11" s="141"/>
      <c r="C11" s="141"/>
      <c r="D11" s="141"/>
      <c r="E11" s="141"/>
      <c r="F11" s="141"/>
      <c r="G11" s="141"/>
      <c r="H11" s="141"/>
      <c r="I11" s="141"/>
      <c r="J11" s="141"/>
      <c r="K11" s="143"/>
      <c r="ALW11"/>
      <c r="ALX11"/>
      <c r="ALY11"/>
    </row>
    <row r="12" spans="1:1013" ht="43.5" customHeight="1" thickBot="1" x14ac:dyDescent="0.3">
      <c r="A12" s="68">
        <f>'Necesidades Trimestrales'!A10</f>
        <v>1</v>
      </c>
      <c r="B12" s="71">
        <f>'Necesidades Trimestrales'!B10</f>
        <v>0</v>
      </c>
      <c r="C12" s="149" t="str">
        <f>'Necesidades Trimestrales'!E10</f>
        <v>Bobina Baja Densidad 30 X 40 rollo x 200 un. Tipo Mapsa</v>
      </c>
      <c r="D12" s="149"/>
      <c r="E12" s="149"/>
      <c r="F12" s="149"/>
      <c r="G12" s="149"/>
      <c r="H12" s="69" t="s">
        <v>119</v>
      </c>
      <c r="I12" s="70" t="str">
        <f>'Necesidades Trimestrales'!F10</f>
        <v>Rollo</v>
      </c>
      <c r="J12" s="75">
        <f>'Necesidades Trimestrales'!H10</f>
        <v>850</v>
      </c>
      <c r="K12" s="78">
        <f>'Necesidades Trimestrales'!G10</f>
        <v>60</v>
      </c>
    </row>
    <row r="13" spans="1:1013" ht="43.5" customHeight="1" thickBot="1" x14ac:dyDescent="0.3">
      <c r="A13" s="68">
        <f>'Necesidades Trimestrales'!A11</f>
        <v>2</v>
      </c>
      <c r="B13" s="71">
        <f>'Necesidades Trimestrales'!B11</f>
        <v>0</v>
      </c>
      <c r="C13" s="149" t="str">
        <f>'Necesidades Trimestrales'!E11</f>
        <v>Test pack de 15 mm (viraje de color-tipo 2 Paquete de un solo uso para efectuar el test de Bowie y Dick. Detecta deficiencias en la penetración de vapor. Viraje final a negro. Presentación: Paquete de 120x 120 x 15 mm. Caja por 20 unidades.</v>
      </c>
      <c r="D13" s="149"/>
      <c r="E13" s="149"/>
      <c r="F13" s="149"/>
      <c r="G13" s="149"/>
      <c r="H13" s="85" t="s">
        <v>119</v>
      </c>
      <c r="I13" s="70" t="str">
        <f>'Necesidades Trimestrales'!F11</f>
        <v>Caja</v>
      </c>
      <c r="J13" s="75">
        <f>'Necesidades Trimestrales'!H11</f>
        <v>5600</v>
      </c>
      <c r="K13" s="78">
        <f>'Necesidades Trimestrales'!G11</f>
        <v>20</v>
      </c>
    </row>
    <row r="14" spans="1:1013" ht="43.5" customHeight="1" thickBot="1" x14ac:dyDescent="0.3">
      <c r="A14" s="68">
        <f>'Necesidades Trimestrales'!A12</f>
        <v>3</v>
      </c>
      <c r="B14" s="71">
        <f>'Necesidades Trimestrales'!B12</f>
        <v>0</v>
      </c>
      <c r="C14" s="149" t="str">
        <f>'Necesidades Trimestrales'!E12</f>
        <v>Bolsas Termosellables P/bib 145 X 50 X 330mm Tipo Yellow Pack x 1000</v>
      </c>
      <c r="D14" s="149"/>
      <c r="E14" s="149"/>
      <c r="F14" s="149"/>
      <c r="G14" s="149"/>
      <c r="H14" s="85" t="s">
        <v>119</v>
      </c>
      <c r="I14" s="70" t="str">
        <f>'Necesidades Trimestrales'!F12</f>
        <v>Caja</v>
      </c>
      <c r="J14" s="75">
        <f>'Necesidades Trimestrales'!H12</f>
        <v>18900</v>
      </c>
      <c r="K14" s="78">
        <f>'Necesidades Trimestrales'!G12</f>
        <v>24</v>
      </c>
    </row>
    <row r="15" spans="1:1013" ht="43.5" customHeight="1" thickBot="1" x14ac:dyDescent="0.3">
      <c r="A15" s="68">
        <f>'Necesidades Trimestrales'!A13</f>
        <v>4</v>
      </c>
      <c r="B15" s="71">
        <f>'Necesidades Trimestrales'!B13</f>
        <v>0</v>
      </c>
      <c r="C15" s="149" t="str">
        <f>'Necesidades Trimestrales'!E13</f>
        <v>Bolsas Termosellables P/bib 250 X 100 X 380mm TipoYellow Pack x 1000</v>
      </c>
      <c r="D15" s="149"/>
      <c r="E15" s="149"/>
      <c r="F15" s="149"/>
      <c r="G15" s="149"/>
      <c r="H15" s="85" t="s">
        <v>119</v>
      </c>
      <c r="I15" s="70" t="str">
        <f>'Necesidades Trimestrales'!F13</f>
        <v>Caja</v>
      </c>
      <c r="J15" s="75">
        <f>'Necesidades Trimestrales'!H13</f>
        <v>27730</v>
      </c>
      <c r="K15" s="78">
        <f>'Necesidades Trimestrales'!G13</f>
        <v>45</v>
      </c>
    </row>
    <row r="16" spans="1:1013" ht="43.5" customHeight="1" thickBot="1" x14ac:dyDescent="0.3">
      <c r="A16" s="68">
        <f>'Necesidades Trimestrales'!A14</f>
        <v>5</v>
      </c>
      <c r="B16" s="71">
        <f>'Necesidades Trimestrales'!B14</f>
        <v>0</v>
      </c>
      <c r="C16" s="149" t="str">
        <f>'Necesidades Trimestrales'!E14</f>
        <v>Polietileno de 40 micrones 25cm. X  100 mts. Tipo MP</v>
      </c>
      <c r="D16" s="149"/>
      <c r="E16" s="149"/>
      <c r="F16" s="149"/>
      <c r="G16" s="149"/>
      <c r="H16" s="85" t="s">
        <v>119</v>
      </c>
      <c r="I16" s="70" t="str">
        <f>'Necesidades Trimestrales'!F14</f>
        <v>Rollo</v>
      </c>
      <c r="J16" s="75">
        <f>'Necesidades Trimestrales'!H14</f>
        <v>3900</v>
      </c>
      <c r="K16" s="78">
        <f>'Necesidades Trimestrales'!G14</f>
        <v>12</v>
      </c>
    </row>
    <row r="17" spans="1:11" ht="43.5" customHeight="1" thickBot="1" x14ac:dyDescent="0.3">
      <c r="A17" s="68">
        <f>'Necesidades Trimestrales'!A15</f>
        <v>6</v>
      </c>
      <c r="B17" s="71">
        <f>'Necesidades Trimestrales'!B15</f>
        <v>0</v>
      </c>
      <c r="C17" s="149" t="str">
        <f>'Necesidades Trimestrales'!E15</f>
        <v>Polietileno de 40 micrones 55cm. X  100 mts. Tipo MP</v>
      </c>
      <c r="D17" s="149"/>
      <c r="E17" s="149"/>
      <c r="F17" s="149"/>
      <c r="G17" s="149"/>
      <c r="H17" s="85" t="s">
        <v>119</v>
      </c>
      <c r="I17" s="70" t="str">
        <f>'Necesidades Trimestrales'!F15</f>
        <v>Rollo</v>
      </c>
      <c r="J17" s="75">
        <f>'Necesidades Trimestrales'!H15</f>
        <v>6800</v>
      </c>
      <c r="K17" s="78">
        <f>'Necesidades Trimestrales'!G15</f>
        <v>12</v>
      </c>
    </row>
    <row r="18" spans="1:11" ht="43.5" customHeight="1" thickBot="1" x14ac:dyDescent="0.3">
      <c r="A18" s="68">
        <f>'Necesidades Trimestrales'!A16</f>
        <v>7</v>
      </c>
      <c r="B18" s="71">
        <f>'Necesidades Trimestrales'!B16</f>
        <v>0</v>
      </c>
      <c r="C18" s="149" t="str">
        <f>'Necesidades Trimestrales'!E16</f>
        <v>Cinta Testigo p/calor humedo  (en rollo) Tipo Kims</v>
      </c>
      <c r="D18" s="149"/>
      <c r="E18" s="149"/>
      <c r="F18" s="149"/>
      <c r="G18" s="149"/>
      <c r="H18" s="85" t="s">
        <v>119</v>
      </c>
      <c r="I18" s="70" t="str">
        <f>'Necesidades Trimestrales'!F16</f>
        <v>Rollo</v>
      </c>
      <c r="J18" s="75">
        <f>'Necesidades Trimestrales'!H16</f>
        <v>390</v>
      </c>
      <c r="K18" s="78">
        <f>'Necesidades Trimestrales'!G16</f>
        <v>120</v>
      </c>
    </row>
    <row r="19" spans="1:11" ht="43.5" customHeight="1" thickBot="1" x14ac:dyDescent="0.3">
      <c r="A19" s="68">
        <f>'Necesidades Trimestrales'!A17</f>
        <v>8</v>
      </c>
      <c r="B19" s="71">
        <f>'Necesidades Trimestrales'!B17</f>
        <v>0</v>
      </c>
      <c r="C19" s="149" t="str">
        <f>'Necesidades Trimestrales'!E17</f>
        <v>Cinta Testigo p/calor seco  (en rollo) Tipo Kims</v>
      </c>
      <c r="D19" s="149"/>
      <c r="E19" s="149"/>
      <c r="F19" s="149"/>
      <c r="G19" s="149"/>
      <c r="H19" s="85" t="s">
        <v>119</v>
      </c>
      <c r="I19" s="70" t="str">
        <f>'Necesidades Trimestrales'!F17</f>
        <v>Rollo</v>
      </c>
      <c r="J19" s="75">
        <f>'Necesidades Trimestrales'!H17</f>
        <v>290</v>
      </c>
      <c r="K19" s="78">
        <f>'Necesidades Trimestrales'!G17</f>
        <v>60</v>
      </c>
    </row>
    <row r="20" spans="1:11" ht="43.5" customHeight="1" thickBot="1" x14ac:dyDescent="0.3">
      <c r="A20" s="68">
        <f>'Necesidades Trimestrales'!A18</f>
        <v>9</v>
      </c>
      <c r="B20" s="71">
        <f>'Necesidades Trimestrales'!B18</f>
        <v>0</v>
      </c>
      <c r="C20" s="149" t="str">
        <f>'Necesidades Trimestrales'!E18</f>
        <v>Malla Tubular de 30 cm. Ancho X 25 mts. Largo Tipo Hidrosan</v>
      </c>
      <c r="D20" s="149"/>
      <c r="E20" s="149"/>
      <c r="F20" s="149"/>
      <c r="G20" s="149"/>
      <c r="H20" s="85" t="s">
        <v>119</v>
      </c>
      <c r="I20" s="70" t="str">
        <f>'Necesidades Trimestrales'!F18</f>
        <v>Rollo</v>
      </c>
      <c r="J20" s="75">
        <f>'Necesidades Trimestrales'!H18</f>
        <v>1950</v>
      </c>
      <c r="K20" s="78">
        <f>'Necesidades Trimestrales'!G18</f>
        <v>15</v>
      </c>
    </row>
    <row r="21" spans="1:11" ht="43.5" customHeight="1" thickBot="1" x14ac:dyDescent="0.3">
      <c r="A21" s="68">
        <f>'Necesidades Trimestrales'!A19</f>
        <v>10</v>
      </c>
      <c r="B21" s="71">
        <f>'Necesidades Trimestrales'!B19</f>
        <v>0</v>
      </c>
      <c r="C21" s="149" t="str">
        <f>'Necesidades Trimestrales'!E19</f>
        <v>Cinta Testigo P/Sterrad NX x 6 Rollos x 55 Metros  Tipo ASP</v>
      </c>
      <c r="D21" s="149"/>
      <c r="E21" s="149"/>
      <c r="F21" s="149"/>
      <c r="G21" s="149"/>
      <c r="H21" s="85" t="s">
        <v>119</v>
      </c>
      <c r="I21" s="70" t="str">
        <f>'Necesidades Trimestrales'!F19</f>
        <v>Caja</v>
      </c>
      <c r="J21" s="75">
        <f>'Necesidades Trimestrales'!H19</f>
        <v>28500</v>
      </c>
      <c r="K21" s="78">
        <f>'Necesidades Trimestrales'!G19</f>
        <v>10</v>
      </c>
    </row>
    <row r="22" spans="1:11" ht="43.5" customHeight="1" thickBot="1" x14ac:dyDescent="0.3">
      <c r="A22" s="68">
        <f>'Necesidades Trimestrales'!A20</f>
        <v>11</v>
      </c>
      <c r="B22" s="71">
        <f>'Necesidades Trimestrales'!B20</f>
        <v>0</v>
      </c>
      <c r="C22" s="149" t="str">
        <f>'Necesidades Trimestrales'!E20</f>
        <v>Cassettes P/Sterrad NX x 5 unidades Tipo ASP</v>
      </c>
      <c r="D22" s="149"/>
      <c r="E22" s="149"/>
      <c r="F22" s="149"/>
      <c r="G22" s="149"/>
      <c r="H22" s="85" t="s">
        <v>119</v>
      </c>
      <c r="I22" s="70" t="str">
        <f>'Necesidades Trimestrales'!F20</f>
        <v>Caja</v>
      </c>
      <c r="J22" s="75">
        <f>'Necesidades Trimestrales'!H20</f>
        <v>82500</v>
      </c>
      <c r="K22" s="78">
        <f>'Necesidades Trimestrales'!G20</f>
        <v>50</v>
      </c>
    </row>
    <row r="23" spans="1:11" ht="43.5" customHeight="1" thickBot="1" x14ac:dyDescent="0.3">
      <c r="A23" s="68">
        <f>'Necesidades Trimestrales'!A21</f>
        <v>12</v>
      </c>
      <c r="B23" s="71">
        <f>'Necesidades Trimestrales'!B21</f>
        <v>0</v>
      </c>
      <c r="C23" s="149" t="str">
        <f>'Necesidades Trimestrales'!E21</f>
        <v>Tela verde brin de algodón rollo 50 mtrs largo (doble ancho) Indantrend</v>
      </c>
      <c r="D23" s="149"/>
      <c r="E23" s="149"/>
      <c r="F23" s="149"/>
      <c r="G23" s="149"/>
      <c r="H23" s="85" t="s">
        <v>119</v>
      </c>
      <c r="I23" s="70" t="str">
        <f>'Necesidades Trimestrales'!F21</f>
        <v>Rollo</v>
      </c>
      <c r="J23" s="75">
        <f>'Necesidades Trimestrales'!H21</f>
        <v>22500</v>
      </c>
      <c r="K23" s="78">
        <f>'Necesidades Trimestrales'!G21</f>
        <v>15</v>
      </c>
    </row>
    <row r="24" spans="1:11" ht="43.5" customHeight="1" thickBot="1" x14ac:dyDescent="0.3">
      <c r="A24" s="68">
        <f>'Necesidades Trimestrales'!A22</f>
        <v>13</v>
      </c>
      <c r="B24" s="71">
        <f>'Necesidades Trimestrales'!B22</f>
        <v>0</v>
      </c>
      <c r="C24" s="149" t="str">
        <f>'Necesidades Trimestrales'!E22</f>
        <v>Tela de Lienzo rollo 100 mts largo x 1,60 mts ancho</v>
      </c>
      <c r="D24" s="149"/>
      <c r="E24" s="149"/>
      <c r="F24" s="149"/>
      <c r="G24" s="149"/>
      <c r="H24" s="85" t="s">
        <v>119</v>
      </c>
      <c r="I24" s="70" t="str">
        <f>'Necesidades Trimestrales'!F22</f>
        <v>Rollo</v>
      </c>
      <c r="J24" s="75">
        <f>'Necesidades Trimestrales'!H22</f>
        <v>28000</v>
      </c>
      <c r="K24" s="78">
        <f>'Necesidades Trimestrales'!G22</f>
        <v>8</v>
      </c>
    </row>
    <row r="25" spans="1:11" ht="43.5" customHeight="1" thickBot="1" x14ac:dyDescent="0.3">
      <c r="A25" s="68">
        <f>'Necesidades Trimestrales'!A23</f>
        <v>14</v>
      </c>
      <c r="B25" s="71">
        <f>'Necesidades Trimestrales'!B23</f>
        <v>0</v>
      </c>
      <c r="C25" s="149" t="str">
        <f>'Necesidades Trimestrales'!E23</f>
        <v>Tela de Toalla rollo 50 mts largo ( doble ancho)</v>
      </c>
      <c r="D25" s="149"/>
      <c r="E25" s="149"/>
      <c r="F25" s="149"/>
      <c r="G25" s="149"/>
      <c r="H25" s="85" t="s">
        <v>119</v>
      </c>
      <c r="I25" s="70" t="str">
        <f>'Necesidades Trimestrales'!F23</f>
        <v>Rollo</v>
      </c>
      <c r="J25" s="75">
        <f>'Necesidades Trimestrales'!H23</f>
        <v>11000</v>
      </c>
      <c r="K25" s="78">
        <f>'Necesidades Trimestrales'!G23</f>
        <v>10</v>
      </c>
    </row>
    <row r="26" spans="1:11" ht="43.5" customHeight="1" thickBot="1" x14ac:dyDescent="0.3">
      <c r="A26" s="68">
        <f>'Necesidades Trimestrales'!A24</f>
        <v>15</v>
      </c>
      <c r="B26" s="71">
        <f>'Necesidades Trimestrales'!B24</f>
        <v>0</v>
      </c>
      <c r="C26" s="149" t="str">
        <f>'Necesidades Trimestrales'!E24</f>
        <v>Ropa Equipo Cirugia Universal DESCARTABLE 17 Elementos Esteril. Caja x 5 unidades</v>
      </c>
      <c r="D26" s="149"/>
      <c r="E26" s="149"/>
      <c r="F26" s="149"/>
      <c r="G26" s="149"/>
      <c r="H26" s="85" t="s">
        <v>119</v>
      </c>
      <c r="I26" s="70" t="str">
        <f>'Necesidades Trimestrales'!F24</f>
        <v>Caja</v>
      </c>
      <c r="J26" s="75">
        <f>'Necesidades Trimestrales'!H24</f>
        <v>15900</v>
      </c>
      <c r="K26" s="78">
        <f>'Necesidades Trimestrales'!G24</f>
        <v>40</v>
      </c>
    </row>
    <row r="27" spans="1:11" ht="43.5" customHeight="1" thickBot="1" x14ac:dyDescent="0.3">
      <c r="A27" s="68">
        <f>'Necesidades Trimestrales'!A25</f>
        <v>16</v>
      </c>
      <c r="B27" s="71">
        <f>'Necesidades Trimestrales'!B25</f>
        <v>0</v>
      </c>
      <c r="C27" s="149" t="str">
        <f>'Necesidades Trimestrales'!E25</f>
        <v xml:space="preserve">Espuma deterg. - desinf. de dispositivos medicos.Pulverizador x 750 CC. </v>
      </c>
      <c r="D27" s="149"/>
      <c r="E27" s="149"/>
      <c r="F27" s="149"/>
      <c r="G27" s="149"/>
      <c r="H27" s="85" t="s">
        <v>119</v>
      </c>
      <c r="I27" s="70" t="str">
        <f>'Necesidades Trimestrales'!F25</f>
        <v>Unidad</v>
      </c>
      <c r="J27" s="75">
        <f>'Necesidades Trimestrales'!H25</f>
        <v>2900</v>
      </c>
      <c r="K27" s="78">
        <f>'Necesidades Trimestrales'!G25</f>
        <v>60</v>
      </c>
    </row>
    <row r="28" spans="1:11" ht="43.5" customHeight="1" thickBot="1" x14ac:dyDescent="0.3">
      <c r="A28" s="68">
        <f>'Necesidades Trimestrales'!A26</f>
        <v>17</v>
      </c>
      <c r="B28" s="71">
        <f>'Necesidades Trimestrales'!B26</f>
        <v>0</v>
      </c>
      <c r="C28" s="149" t="str">
        <f>'Necesidades Trimestrales'!E26</f>
        <v>Cinta Papel Pintor 18 mm. X 50 mts. Tipo Stiko</v>
      </c>
      <c r="D28" s="149"/>
      <c r="E28" s="149"/>
      <c r="F28" s="149"/>
      <c r="G28" s="149"/>
      <c r="H28" s="85" t="s">
        <v>119</v>
      </c>
      <c r="I28" s="70" t="str">
        <f>'Necesidades Trimestrales'!F26</f>
        <v>Unidad</v>
      </c>
      <c r="J28" s="75">
        <f>'Necesidades Trimestrales'!H26</f>
        <v>190</v>
      </c>
      <c r="K28" s="78">
        <f>'Necesidades Trimestrales'!G26</f>
        <v>80</v>
      </c>
    </row>
    <row r="29" spans="1:11" ht="43.5" customHeight="1" thickBot="1" x14ac:dyDescent="0.3">
      <c r="A29" s="68">
        <f>'Necesidades Trimestrales'!A27</f>
        <v>18</v>
      </c>
      <c r="B29" s="71">
        <f>'Necesidades Trimestrales'!B27</f>
        <v>0</v>
      </c>
      <c r="C29" s="149" t="str">
        <f>'Necesidades Trimestrales'!E27</f>
        <v>Paño de micro fibra de 40 x 40 cm Tipo  Mister Trapo</v>
      </c>
      <c r="D29" s="149"/>
      <c r="E29" s="149"/>
      <c r="F29" s="149"/>
      <c r="G29" s="149"/>
      <c r="H29" s="85" t="s">
        <v>119</v>
      </c>
      <c r="I29" s="70" t="str">
        <f>'Necesidades Trimestrales'!F27</f>
        <v>Unidad</v>
      </c>
      <c r="J29" s="75">
        <f>'Necesidades Trimestrales'!H27</f>
        <v>380</v>
      </c>
      <c r="K29" s="78">
        <f>'Necesidades Trimestrales'!G27</f>
        <v>60</v>
      </c>
    </row>
    <row r="30" spans="1:11" ht="43.5" customHeight="1" thickBot="1" x14ac:dyDescent="0.3">
      <c r="A30" s="68">
        <f>'Necesidades Trimestrales'!A28</f>
        <v>19</v>
      </c>
      <c r="B30" s="71">
        <f>'Necesidades Trimestrales'!B28</f>
        <v>0</v>
      </c>
      <c r="C30" s="149" t="str">
        <f>'Necesidades Trimestrales'!E28</f>
        <v>Camara Humidificadora  Descartable Tipo GGM  Modelo 4811R1V</v>
      </c>
      <c r="D30" s="149"/>
      <c r="E30" s="149"/>
      <c r="F30" s="149"/>
      <c r="G30" s="149"/>
      <c r="H30" s="85" t="s">
        <v>119</v>
      </c>
      <c r="I30" s="70" t="str">
        <f>'Necesidades Trimestrales'!F28</f>
        <v>Unidad</v>
      </c>
      <c r="J30" s="75">
        <f>'Necesidades Trimestrales'!H28</f>
        <v>4100</v>
      </c>
      <c r="K30" s="78">
        <f>'Necesidades Trimestrales'!G28</f>
        <v>120</v>
      </c>
    </row>
    <row r="31" spans="1:11" ht="43.5" customHeight="1" thickBot="1" x14ac:dyDescent="0.3">
      <c r="A31" s="68">
        <f>'Necesidades Trimestrales'!A29</f>
        <v>20</v>
      </c>
      <c r="B31" s="71">
        <f>'Necesidades Trimestrales'!B29</f>
        <v>0</v>
      </c>
      <c r="C31" s="149" t="str">
        <f>'Necesidades Trimestrales'!E29</f>
        <v>Camara Humidificadora Reusable Ad/Ped Tipo GGM Modelo 4809R1V</v>
      </c>
      <c r="D31" s="149"/>
      <c r="E31" s="149"/>
      <c r="F31" s="149"/>
      <c r="G31" s="149"/>
      <c r="H31" s="85" t="s">
        <v>119</v>
      </c>
      <c r="I31" s="70" t="str">
        <f>'Necesidades Trimestrales'!F29</f>
        <v>Unidad</v>
      </c>
      <c r="J31" s="75">
        <f>'Necesidades Trimestrales'!H29</f>
        <v>11200</v>
      </c>
      <c r="K31" s="78">
        <f>'Necesidades Trimestrales'!G29</f>
        <v>60</v>
      </c>
    </row>
    <row r="32" spans="1:11" ht="43.5" customHeight="1" thickBot="1" x14ac:dyDescent="0.3">
      <c r="A32" s="68">
        <f>'Necesidades Trimestrales'!A30</f>
        <v>21</v>
      </c>
      <c r="B32" s="71">
        <f>'Necesidades Trimestrales'!B30</f>
        <v>0</v>
      </c>
      <c r="C32" s="149" t="str">
        <f>'Necesidades Trimestrales'!E30</f>
        <v>Rollo de lienzo Ecologico x 50 mt.</v>
      </c>
      <c r="D32" s="149"/>
      <c r="E32" s="149"/>
      <c r="F32" s="149"/>
      <c r="G32" s="149"/>
      <c r="H32" s="85" t="s">
        <v>119</v>
      </c>
      <c r="I32" s="70" t="str">
        <f>'Necesidades Trimestrales'!F30</f>
        <v>Rollo</v>
      </c>
      <c r="J32" s="75">
        <f>'Necesidades Trimestrales'!H30</f>
        <v>2900</v>
      </c>
      <c r="K32" s="78">
        <f>'Necesidades Trimestrales'!G30</f>
        <v>20</v>
      </c>
    </row>
    <row r="33" spans="1:11" ht="43.5" customHeight="1" thickBot="1" x14ac:dyDescent="0.3">
      <c r="A33" s="68">
        <f>'Necesidades Trimestrales'!A31</f>
        <v>22</v>
      </c>
      <c r="B33" s="71">
        <f>'Necesidades Trimestrales'!B31</f>
        <v>0</v>
      </c>
      <c r="C33" s="149" t="str">
        <f>'Necesidades Trimestrales'!E31</f>
        <v>Camisolin P/Cirugia de tela verde brin con puño caña larga</v>
      </c>
      <c r="D33" s="149"/>
      <c r="E33" s="149"/>
      <c r="F33" s="149"/>
      <c r="G33" s="149"/>
      <c r="H33" s="85" t="s">
        <v>119</v>
      </c>
      <c r="I33" s="70" t="str">
        <f>'Necesidades Trimestrales'!F31</f>
        <v>Unidad</v>
      </c>
      <c r="J33" s="75">
        <f>'Necesidades Trimestrales'!H31</f>
        <v>1300</v>
      </c>
      <c r="K33" s="78">
        <f>'Necesidades Trimestrales'!G31</f>
        <v>400</v>
      </c>
    </row>
    <row r="34" spans="1:11" ht="43.5" customHeight="1" thickBot="1" x14ac:dyDescent="0.3">
      <c r="A34" s="68">
        <f>'Necesidades Trimestrales'!A32</f>
        <v>23</v>
      </c>
      <c r="B34" s="71">
        <f>'Necesidades Trimestrales'!B32</f>
        <v>0</v>
      </c>
      <c r="C34" s="149" t="str">
        <f>'Necesidades Trimestrales'!E32</f>
        <v xml:space="preserve">Envoltorio para esterilización de Tela no tejida 100% a base de Polipropileno SMS. Gramaje 45 gr/m2 Bobina x 200 metros </v>
      </c>
      <c r="D34" s="149"/>
      <c r="E34" s="149"/>
      <c r="F34" s="149"/>
      <c r="G34" s="149"/>
      <c r="H34" s="85" t="s">
        <v>119</v>
      </c>
      <c r="I34" s="70" t="str">
        <f>'Necesidades Trimestrales'!F32</f>
        <v>Bobina</v>
      </c>
      <c r="J34" s="75">
        <f>'Necesidades Trimestrales'!H32</f>
        <v>22400</v>
      </c>
      <c r="K34" s="78">
        <f>'Necesidades Trimestrales'!G32</f>
        <v>6</v>
      </c>
    </row>
    <row r="35" spans="1:11" ht="43.5" customHeight="1" thickBot="1" x14ac:dyDescent="0.3">
      <c r="A35" s="68">
        <f>'Necesidades Trimestrales'!A33</f>
        <v>24</v>
      </c>
      <c r="B35" s="71">
        <f>'Necesidades Trimestrales'!B33</f>
        <v>0</v>
      </c>
      <c r="C35" s="149" t="str">
        <f>'Necesidades Trimestrales'!E33</f>
        <v>Tyvek Rollo de 10 cm Tipo ASP/KIMS</v>
      </c>
      <c r="D35" s="149"/>
      <c r="E35" s="149"/>
      <c r="F35" s="149"/>
      <c r="G35" s="149"/>
      <c r="H35" s="85" t="s">
        <v>119</v>
      </c>
      <c r="I35" s="70" t="str">
        <f>'Necesidades Trimestrales'!F33</f>
        <v>Rollo</v>
      </c>
      <c r="J35" s="75">
        <f>'Necesidades Trimestrales'!H33</f>
        <v>6680</v>
      </c>
      <c r="K35" s="78">
        <f>'Necesidades Trimestrales'!G33</f>
        <v>20</v>
      </c>
    </row>
    <row r="36" spans="1:11" ht="43.5" customHeight="1" thickBot="1" x14ac:dyDescent="0.3">
      <c r="A36" s="68">
        <f>'Necesidades Trimestrales'!A34</f>
        <v>25</v>
      </c>
      <c r="B36" s="71">
        <f>'Necesidades Trimestrales'!B34</f>
        <v>0</v>
      </c>
      <c r="C36" s="149" t="str">
        <f>'Necesidades Trimestrales'!E34</f>
        <v>Tyvek Rollo de 15 cm Tipo ASP/KIMS</v>
      </c>
      <c r="D36" s="149"/>
      <c r="E36" s="149"/>
      <c r="F36" s="149"/>
      <c r="G36" s="149"/>
      <c r="H36" s="85" t="s">
        <v>119</v>
      </c>
      <c r="I36" s="70" t="str">
        <f>'Necesidades Trimestrales'!F34</f>
        <v>Rollo</v>
      </c>
      <c r="J36" s="75">
        <f>'Necesidades Trimestrales'!H34</f>
        <v>10420</v>
      </c>
      <c r="K36" s="78">
        <f>'Necesidades Trimestrales'!G34</f>
        <v>20</v>
      </c>
    </row>
    <row r="37" spans="1:11" ht="43.5" customHeight="1" thickBot="1" x14ac:dyDescent="0.3">
      <c r="A37" s="68">
        <f>'Necesidades Trimestrales'!A35</f>
        <v>26</v>
      </c>
      <c r="B37" s="71">
        <f>'Necesidades Trimestrales'!B35</f>
        <v>0</v>
      </c>
      <c r="C37" s="149" t="str">
        <f>'Necesidades Trimestrales'!E35</f>
        <v>Tyvek Rollo de 20 cm Tipo ASP/KIMS</v>
      </c>
      <c r="D37" s="149"/>
      <c r="E37" s="149"/>
      <c r="F37" s="149"/>
      <c r="G37" s="149"/>
      <c r="H37" s="85" t="s">
        <v>119</v>
      </c>
      <c r="I37" s="70" t="str">
        <f>'Necesidades Trimestrales'!F35</f>
        <v>Rollo</v>
      </c>
      <c r="J37" s="75">
        <f>'Necesidades Trimestrales'!H35</f>
        <v>13560</v>
      </c>
      <c r="K37" s="78">
        <f>'Necesidades Trimestrales'!G35</f>
        <v>40</v>
      </c>
    </row>
    <row r="38" spans="1:11" ht="43.5" customHeight="1" thickBot="1" x14ac:dyDescent="0.3">
      <c r="A38" s="68">
        <f>'Necesidades Trimestrales'!A36</f>
        <v>27</v>
      </c>
      <c r="B38" s="71">
        <f>'Necesidades Trimestrales'!B36</f>
        <v>0</v>
      </c>
      <c r="C38" s="149" t="str">
        <f>'Necesidades Trimestrales'!E36</f>
        <v>Tyvek Rollo de 35 cm Tipo ASP/KIMS</v>
      </c>
      <c r="D38" s="149"/>
      <c r="E38" s="149"/>
      <c r="F38" s="149"/>
      <c r="G38" s="149"/>
      <c r="H38" s="85" t="s">
        <v>119</v>
      </c>
      <c r="I38" s="70" t="str">
        <f>'Necesidades Trimestrales'!F36</f>
        <v>Rollo</v>
      </c>
      <c r="J38" s="75">
        <f>'Necesidades Trimestrales'!H36</f>
        <v>18630</v>
      </c>
      <c r="K38" s="78">
        <f>'Necesidades Trimestrales'!G36</f>
        <v>16</v>
      </c>
    </row>
    <row r="39" spans="1:11" ht="43.5" customHeight="1" thickBot="1" x14ac:dyDescent="0.3">
      <c r="A39" s="68">
        <f>'Necesidades Trimestrales'!A37</f>
        <v>28</v>
      </c>
      <c r="B39" s="71">
        <f>'Necesidades Trimestrales'!B37</f>
        <v>0</v>
      </c>
      <c r="C39" s="149" t="str">
        <f>'Necesidades Trimestrales'!E37</f>
        <v>Tyvek Rollo de 42 cm Tipo ASP/KIMS</v>
      </c>
      <c r="D39" s="149"/>
      <c r="E39" s="149"/>
      <c r="F39" s="149"/>
      <c r="G39" s="149"/>
      <c r="H39" s="85" t="s">
        <v>119</v>
      </c>
      <c r="I39" s="70" t="str">
        <f>'Necesidades Trimestrales'!F37</f>
        <v>Rollo</v>
      </c>
      <c r="J39" s="75">
        <f>'Necesidades Trimestrales'!H37</f>
        <v>20690</v>
      </c>
      <c r="K39" s="78">
        <f>'Necesidades Trimestrales'!G37</f>
        <v>16</v>
      </c>
    </row>
    <row r="40" spans="1:11" ht="43.5" customHeight="1" thickBot="1" x14ac:dyDescent="0.3">
      <c r="A40" s="68">
        <f>'Necesidades Trimestrales'!A38</f>
        <v>29</v>
      </c>
      <c r="B40" s="71">
        <f>'Necesidades Trimestrales'!B38</f>
        <v>0</v>
      </c>
      <c r="C40" s="149" t="str">
        <f>'Necesidades Trimestrales'!E38</f>
        <v>Tyvek Rollo de 50 cm Tipo  ASP/KIMS</v>
      </c>
      <c r="D40" s="149"/>
      <c r="E40" s="149"/>
      <c r="F40" s="149"/>
      <c r="G40" s="149"/>
      <c r="H40" s="85" t="s">
        <v>119</v>
      </c>
      <c r="I40" s="70" t="str">
        <f>'Necesidades Trimestrales'!F38</f>
        <v>Rollo</v>
      </c>
      <c r="J40" s="75">
        <f>'Necesidades Trimestrales'!H38</f>
        <v>23620</v>
      </c>
      <c r="K40" s="78">
        <f>'Necesidades Trimestrales'!G38</f>
        <v>12</v>
      </c>
    </row>
    <row r="41" spans="1:11" ht="43.5" customHeight="1" thickBot="1" x14ac:dyDescent="0.3">
      <c r="A41" s="68">
        <f>'Necesidades Trimestrales'!A39</f>
        <v>30</v>
      </c>
      <c r="B41" s="71">
        <f>'Necesidades Trimestrales'!B39</f>
        <v>0</v>
      </c>
      <c r="C41" s="149" t="str">
        <f>'Necesidades Trimestrales'!E39</f>
        <v>Indicador Biologico P/Sterrad NX x 30 Ampollas Tipo ASP/3M</v>
      </c>
      <c r="D41" s="149"/>
      <c r="E41" s="149"/>
      <c r="F41" s="149"/>
      <c r="G41" s="149"/>
      <c r="H41" s="85" t="s">
        <v>119</v>
      </c>
      <c r="I41" s="70" t="str">
        <f>'Necesidades Trimestrales'!F39</f>
        <v>Caja</v>
      </c>
      <c r="J41" s="75">
        <f>'Necesidades Trimestrales'!H39</f>
        <v>28050</v>
      </c>
      <c r="K41" s="78">
        <f>'Necesidades Trimestrales'!G39</f>
        <v>12</v>
      </c>
    </row>
    <row r="42" spans="1:11" ht="43.5" customHeight="1" thickBot="1" x14ac:dyDescent="0.3">
      <c r="A42" s="68">
        <f>'Necesidades Trimestrales'!A40</f>
        <v>31</v>
      </c>
      <c r="B42" s="71">
        <f>'Necesidades Trimestrales'!B40</f>
        <v>0</v>
      </c>
      <c r="C42" s="149" t="str">
        <f>'Necesidades Trimestrales'!E40</f>
        <v>Indicador Quimico P/Sterrad NX x 1000 Tiras Tipo ASP</v>
      </c>
      <c r="D42" s="149"/>
      <c r="E42" s="149"/>
      <c r="F42" s="149"/>
      <c r="G42" s="149"/>
      <c r="H42" s="85" t="s">
        <v>119</v>
      </c>
      <c r="I42" s="70" t="str">
        <f>'Necesidades Trimestrales'!F40</f>
        <v>Caja</v>
      </c>
      <c r="J42" s="75">
        <f>'Necesidades Trimestrales'!H40</f>
        <v>26500</v>
      </c>
      <c r="K42" s="78">
        <f>'Necesidades Trimestrales'!G40</f>
        <v>12</v>
      </c>
    </row>
    <row r="43" spans="1:11" ht="43.5" customHeight="1" thickBot="1" x14ac:dyDescent="0.3">
      <c r="A43" s="68">
        <f>'Necesidades Trimestrales'!A41</f>
        <v>32</v>
      </c>
      <c r="B43" s="71">
        <f>'Necesidades Trimestrales'!B41</f>
        <v>0</v>
      </c>
      <c r="C43" s="149" t="str">
        <f>'Necesidades Trimestrales'!E41</f>
        <v>Indicador Biologico Para Calor Humedo x 100 Ampollas</v>
      </c>
      <c r="D43" s="149"/>
      <c r="E43" s="149"/>
      <c r="F43" s="149"/>
      <c r="G43" s="149"/>
      <c r="H43" s="85" t="s">
        <v>119</v>
      </c>
      <c r="I43" s="70" t="str">
        <f>'Necesidades Trimestrales'!F41</f>
        <v>Caja</v>
      </c>
      <c r="J43" s="75">
        <f>'Necesidades Trimestrales'!H41</f>
        <v>9600</v>
      </c>
      <c r="K43" s="78">
        <f>'Necesidades Trimestrales'!G41</f>
        <v>6</v>
      </c>
    </row>
    <row r="44" spans="1:11" ht="43.5" customHeight="1" thickBot="1" x14ac:dyDescent="0.3">
      <c r="A44" s="68">
        <f>'Necesidades Trimestrales'!A42</f>
        <v>33</v>
      </c>
      <c r="B44" s="71">
        <f>'Necesidades Trimestrales'!B42</f>
        <v>0</v>
      </c>
      <c r="C44" s="149" t="str">
        <f>'Necesidades Trimestrales'!E42</f>
        <v>Pouch Rollo de 100 mm x 200 mts.</v>
      </c>
      <c r="D44" s="149"/>
      <c r="E44" s="149"/>
      <c r="F44" s="149"/>
      <c r="G44" s="149"/>
      <c r="H44" s="85" t="s">
        <v>119</v>
      </c>
      <c r="I44" s="70" t="str">
        <f>'Necesidades Trimestrales'!F42</f>
        <v>Rollo</v>
      </c>
      <c r="J44" s="75">
        <f>'Necesidades Trimestrales'!H42</f>
        <v>4300</v>
      </c>
      <c r="K44" s="78">
        <f>'Necesidades Trimestrales'!G42</f>
        <v>12</v>
      </c>
    </row>
    <row r="45" spans="1:11" ht="43.5" customHeight="1" thickBot="1" x14ac:dyDescent="0.3">
      <c r="A45" s="68">
        <f>'Necesidades Trimestrales'!A43</f>
        <v>34</v>
      </c>
      <c r="B45" s="71">
        <f>'Necesidades Trimestrales'!B43</f>
        <v>0</v>
      </c>
      <c r="C45" s="149" t="str">
        <f>'Necesidades Trimestrales'!E43</f>
        <v>Pouch Rollo de 200 mm x 200 mt.</v>
      </c>
      <c r="D45" s="149"/>
      <c r="E45" s="149"/>
      <c r="F45" s="149"/>
      <c r="G45" s="149"/>
      <c r="H45" s="85" t="s">
        <v>119</v>
      </c>
      <c r="I45" s="70" t="str">
        <f>'Necesidades Trimestrales'!F43</f>
        <v>Rollo</v>
      </c>
      <c r="J45" s="75">
        <f>'Necesidades Trimestrales'!H43</f>
        <v>5800</v>
      </c>
      <c r="K45" s="78">
        <f>'Necesidades Trimestrales'!G43</f>
        <v>30</v>
      </c>
    </row>
    <row r="46" spans="1:11" ht="43.5" customHeight="1" thickBot="1" x14ac:dyDescent="0.3">
      <c r="A46" s="68">
        <f>'Necesidades Trimestrales'!A44</f>
        <v>35</v>
      </c>
      <c r="B46" s="71">
        <f>'Necesidades Trimestrales'!B44</f>
        <v>0</v>
      </c>
      <c r="C46" s="149" t="str">
        <f>'Necesidades Trimestrales'!E44</f>
        <v>Pouch Rollo de 300 mm x 200 mts.</v>
      </c>
      <c r="D46" s="149"/>
      <c r="E46" s="149"/>
      <c r="F46" s="149"/>
      <c r="G46" s="149"/>
      <c r="H46" s="85" t="s">
        <v>119</v>
      </c>
      <c r="I46" s="70" t="str">
        <f>'Necesidades Trimestrales'!F44</f>
        <v>Rollo</v>
      </c>
      <c r="J46" s="75">
        <f>'Necesidades Trimestrales'!H44</f>
        <v>8200</v>
      </c>
      <c r="K46" s="78">
        <f>'Necesidades Trimestrales'!G44</f>
        <v>24</v>
      </c>
    </row>
    <row r="47" spans="1:11" ht="43.5" customHeight="1" thickBot="1" x14ac:dyDescent="0.3">
      <c r="A47" s="68">
        <f>'Necesidades Trimestrales'!A45</f>
        <v>36</v>
      </c>
      <c r="B47" s="71">
        <f>'Necesidades Trimestrales'!B45</f>
        <v>0</v>
      </c>
      <c r="C47" s="149" t="str">
        <f>'Necesidades Trimestrales'!E45</f>
        <v>Pouch Rollo de 400 mm x 200 mts.</v>
      </c>
      <c r="D47" s="149"/>
      <c r="E47" s="149"/>
      <c r="F47" s="149"/>
      <c r="G47" s="149"/>
      <c r="H47" s="85" t="s">
        <v>119</v>
      </c>
      <c r="I47" s="70" t="str">
        <f>'Necesidades Trimestrales'!F45</f>
        <v>Rollo</v>
      </c>
      <c r="J47" s="75">
        <f>'Necesidades Trimestrales'!H45</f>
        <v>11500</v>
      </c>
      <c r="K47" s="78">
        <f>'Necesidades Trimestrales'!G45</f>
        <v>18</v>
      </c>
    </row>
    <row r="48" spans="1:11" ht="43.5" customHeight="1" thickBot="1" x14ac:dyDescent="0.3">
      <c r="A48" s="68">
        <f>'Necesidades Trimestrales'!A46</f>
        <v>37</v>
      </c>
      <c r="B48" s="71">
        <f>'Necesidades Trimestrales'!B46</f>
        <v>0</v>
      </c>
      <c r="C48" s="149" t="str">
        <f>'Necesidades Trimestrales'!E46</f>
        <v>Pouch Rollo de 450 mm x 200 mts.</v>
      </c>
      <c r="D48" s="149"/>
      <c r="E48" s="149"/>
      <c r="F48" s="149"/>
      <c r="G48" s="149"/>
      <c r="H48" s="85" t="s">
        <v>119</v>
      </c>
      <c r="I48" s="70" t="str">
        <f>'Necesidades Trimestrales'!F46</f>
        <v>Rollo</v>
      </c>
      <c r="J48" s="75">
        <f>'Necesidades Trimestrales'!H46</f>
        <v>13200</v>
      </c>
      <c r="K48" s="78">
        <f>'Necesidades Trimestrales'!G46</f>
        <v>15</v>
      </c>
    </row>
    <row r="49" spans="1:11" ht="43.5" customHeight="1" thickBot="1" x14ac:dyDescent="0.3">
      <c r="A49" s="68">
        <f>'Necesidades Trimestrales'!A47</f>
        <v>38</v>
      </c>
      <c r="B49" s="71">
        <f>'Necesidades Trimestrales'!B47</f>
        <v>0</v>
      </c>
      <c r="C49" s="149" t="str">
        <f>'Necesidades Trimestrales'!E47</f>
        <v>PAPEL GRADO MEDICO 120 CM X 100 MTS</v>
      </c>
      <c r="D49" s="149"/>
      <c r="E49" s="149"/>
      <c r="F49" s="149"/>
      <c r="G49" s="149"/>
      <c r="H49" s="85" t="s">
        <v>119</v>
      </c>
      <c r="I49" s="70" t="str">
        <f>'Necesidades Trimestrales'!F47</f>
        <v>Rollo</v>
      </c>
      <c r="J49" s="75">
        <f>'Necesidades Trimestrales'!H47</f>
        <v>4500</v>
      </c>
      <c r="K49" s="78">
        <f>'Necesidades Trimestrales'!G47</f>
        <v>160</v>
      </c>
    </row>
    <row r="50" spans="1:11" ht="43.5" customHeight="1" thickBot="1" x14ac:dyDescent="0.3">
      <c r="A50" s="68">
        <f>'Necesidades Trimestrales'!A48</f>
        <v>39</v>
      </c>
      <c r="B50" s="71">
        <f>'Necesidades Trimestrales'!B48</f>
        <v>0</v>
      </c>
      <c r="C50" s="149" t="str">
        <f>'Necesidades Trimestrales'!E48</f>
        <v>GASA COSIDA MEDISPO RADIO ESTERIL SOBRE X 5 UNIDADES</v>
      </c>
      <c r="D50" s="149"/>
      <c r="E50" s="149"/>
      <c r="F50" s="149"/>
      <c r="G50" s="149"/>
      <c r="H50" s="85" t="s">
        <v>119</v>
      </c>
      <c r="I50" s="70" t="str">
        <f>'Necesidades Trimestrales'!F48</f>
        <v>Sobre</v>
      </c>
      <c r="J50" s="75">
        <f>'Necesidades Trimestrales'!H48</f>
        <v>444.8</v>
      </c>
      <c r="K50" s="78">
        <f>'Necesidades Trimestrales'!G48</f>
        <v>300</v>
      </c>
    </row>
    <row r="51" spans="1:11" ht="43.5" customHeight="1" thickBot="1" x14ac:dyDescent="0.3">
      <c r="A51" s="68">
        <f>'Necesidades Trimestrales'!A49</f>
        <v>40</v>
      </c>
      <c r="B51" s="71">
        <f>'Necesidades Trimestrales'!B49</f>
        <v>0</v>
      </c>
      <c r="C51" s="149" t="str">
        <f>'Necesidades Trimestrales'!E49</f>
        <v>GASA HIDROFILA PIEZA X 1,8 KGS. TIPO HIDROSAN</v>
      </c>
      <c r="D51" s="149"/>
      <c r="E51" s="149"/>
      <c r="F51" s="149"/>
      <c r="G51" s="149"/>
      <c r="H51" s="85" t="s">
        <v>119</v>
      </c>
      <c r="I51" s="70" t="str">
        <f>'Necesidades Trimestrales'!F49</f>
        <v>Pieza</v>
      </c>
      <c r="J51" s="75">
        <f>'Necesidades Trimestrales'!H49</f>
        <v>2950</v>
      </c>
      <c r="K51" s="78">
        <f>'Necesidades Trimestrales'!G49</f>
        <v>800</v>
      </c>
    </row>
    <row r="52" spans="1:11" ht="43.5" customHeight="1" thickBot="1" x14ac:dyDescent="0.3">
      <c r="A52" s="68">
        <f>'Necesidades Trimestrales'!A50</f>
        <v>41</v>
      </c>
      <c r="B52" s="71">
        <f>'Necesidades Trimestrales'!B50</f>
        <v>0</v>
      </c>
      <c r="C52" s="149" t="str">
        <f>'Necesidades Trimestrales'!E50</f>
        <v>Polietileno de 50 micrones 15cm. X  100 mts. Tipo MP</v>
      </c>
      <c r="D52" s="149"/>
      <c r="E52" s="149"/>
      <c r="F52" s="149"/>
      <c r="G52" s="149"/>
      <c r="H52" s="85" t="s">
        <v>119</v>
      </c>
      <c r="I52" s="70" t="str">
        <f>'Necesidades Trimestrales'!F50</f>
        <v>Rollo</v>
      </c>
      <c r="J52" s="75">
        <f>'Necesidades Trimestrales'!H50</f>
        <v>4800</v>
      </c>
      <c r="K52" s="78">
        <f>'Necesidades Trimestrales'!G50</f>
        <v>12</v>
      </c>
    </row>
    <row r="53" spans="1:11" ht="43.5" customHeight="1" thickBot="1" x14ac:dyDescent="0.3">
      <c r="A53" s="68">
        <f>'Necesidades Trimestrales'!A51</f>
        <v>42</v>
      </c>
      <c r="B53" s="71">
        <f>'Necesidades Trimestrales'!B51</f>
        <v>0</v>
      </c>
      <c r="C53" s="149" t="str">
        <f>'Necesidades Trimestrales'!E51</f>
        <v>Polietileno de 50 micrones 30cm. X  100 mts. Tipo MP</v>
      </c>
      <c r="D53" s="149"/>
      <c r="E53" s="149"/>
      <c r="F53" s="149"/>
      <c r="G53" s="149"/>
      <c r="H53" s="85" t="s">
        <v>119</v>
      </c>
      <c r="I53" s="70" t="str">
        <f>'Necesidades Trimestrales'!F51</f>
        <v>Rollo</v>
      </c>
      <c r="J53" s="75">
        <f>'Necesidades Trimestrales'!H51</f>
        <v>8900</v>
      </c>
      <c r="K53" s="78">
        <f>'Necesidades Trimestrales'!G51</f>
        <v>16</v>
      </c>
    </row>
    <row r="54" spans="1:11" ht="43.5" customHeight="1" thickBot="1" x14ac:dyDescent="0.3">
      <c r="A54" s="68">
        <f>'Necesidades Trimestrales'!A52</f>
        <v>43</v>
      </c>
      <c r="B54" s="71">
        <f>'Necesidades Trimestrales'!B52</f>
        <v>0</v>
      </c>
      <c r="C54" s="149" t="str">
        <f>'Necesidades Trimestrales'!E52</f>
        <v>Polietileno de 50 micrones 40cm. X  100 mts. Tipo MP</v>
      </c>
      <c r="D54" s="149"/>
      <c r="E54" s="149"/>
      <c r="F54" s="149"/>
      <c r="G54" s="149"/>
      <c r="H54" s="85" t="s">
        <v>119</v>
      </c>
      <c r="I54" s="70" t="str">
        <f>'Necesidades Trimestrales'!F52</f>
        <v>Rollo</v>
      </c>
      <c r="J54" s="75">
        <f>'Necesidades Trimestrales'!H52</f>
        <v>9500</v>
      </c>
      <c r="K54" s="78">
        <f>'Necesidades Trimestrales'!G52</f>
        <v>12</v>
      </c>
    </row>
    <row r="55" spans="1:11" ht="43.5" customHeight="1" thickBot="1" x14ac:dyDescent="0.3">
      <c r="A55" s="68">
        <f>'Necesidades Trimestrales'!A53</f>
        <v>44</v>
      </c>
      <c r="B55" s="71">
        <f>'Necesidades Trimestrales'!B53</f>
        <v>0</v>
      </c>
      <c r="C55" s="149" t="str">
        <f>'Necesidades Trimestrales'!E53</f>
        <v>ROLLO EN PAPEL TERMICO  ORIGINALES 57 mm. X 20 mts.</v>
      </c>
      <c r="D55" s="149"/>
      <c r="E55" s="149"/>
      <c r="F55" s="149"/>
      <c r="G55" s="149"/>
      <c r="H55" s="85" t="s">
        <v>119</v>
      </c>
      <c r="I55" s="70" t="str">
        <f>'Necesidades Trimestrales'!F53</f>
        <v>Rollo</v>
      </c>
      <c r="J55" s="75">
        <f>'Necesidades Trimestrales'!H53</f>
        <v>220</v>
      </c>
      <c r="K55" s="78">
        <f>'Necesidades Trimestrales'!G53</f>
        <v>24</v>
      </c>
    </row>
    <row r="56" spans="1:11" ht="43.5" customHeight="1" thickBot="1" x14ac:dyDescent="0.3">
      <c r="A56" s="68">
        <f>'Necesidades Trimestrales'!A54</f>
        <v>45</v>
      </c>
      <c r="B56" s="71">
        <f>'Necesidades Trimestrales'!B54</f>
        <v>0</v>
      </c>
      <c r="C56" s="149" t="str">
        <f>'Necesidades Trimestrales'!E54</f>
        <v>ROLLO EN PAPEL TERMICO ORIGINALES 80 mm. X 45 mts.</v>
      </c>
      <c r="D56" s="149"/>
      <c r="E56" s="149"/>
      <c r="F56" s="149"/>
      <c r="G56" s="149"/>
      <c r="H56" s="85" t="s">
        <v>119</v>
      </c>
      <c r="I56" s="70" t="str">
        <f>'Necesidades Trimestrales'!F54</f>
        <v>Rollo</v>
      </c>
      <c r="J56" s="75">
        <f>'Necesidades Trimestrales'!H54</f>
        <v>380</v>
      </c>
      <c r="K56" s="78">
        <f>'Necesidades Trimestrales'!G54</f>
        <v>24</v>
      </c>
    </row>
    <row r="57" spans="1:11" ht="43.5" customHeight="1" thickBot="1" x14ac:dyDescent="0.3">
      <c r="A57" s="68">
        <f>'Necesidades Trimestrales'!A55</f>
        <v>46</v>
      </c>
      <c r="B57" s="71">
        <f>'Necesidades Trimestrales'!B55</f>
        <v>0</v>
      </c>
      <c r="C57" s="149" t="str">
        <f>'Necesidades Trimestrales'!E55</f>
        <v xml:space="preserve">INDICADORES DE ESTERILIZACION; METODO DE ESTERILIZACION: AUTOCLAVE DE VAPOR, TIRAS INTEGRADORAS, CAJA X 100 UN, </v>
      </c>
      <c r="D57" s="149"/>
      <c r="E57" s="149"/>
      <c r="F57" s="149"/>
      <c r="G57" s="149"/>
      <c r="H57" s="85" t="s">
        <v>119</v>
      </c>
      <c r="I57" s="70" t="str">
        <f>'Necesidades Trimestrales'!F55</f>
        <v>Caja</v>
      </c>
      <c r="J57" s="75">
        <f>'Necesidades Trimestrales'!H55</f>
        <v>540</v>
      </c>
      <c r="K57" s="78">
        <f>'Necesidades Trimestrales'!G55</f>
        <v>24</v>
      </c>
    </row>
    <row r="58" spans="1:11" ht="43.5" customHeight="1" thickBot="1" x14ac:dyDescent="0.3">
      <c r="A58" s="68">
        <f>'Necesidades Trimestrales'!A56</f>
        <v>47</v>
      </c>
      <c r="B58" s="71">
        <f>'Necesidades Trimestrales'!B56</f>
        <v>0</v>
      </c>
      <c r="C58" s="149" t="str">
        <f>'Necesidades Trimestrales'!E56</f>
        <v>INDICADORES DE ESTERILIZACION,CALOR SECO,TIRAS INTEGRADORAS CAJA X 100</v>
      </c>
      <c r="D58" s="149"/>
      <c r="E58" s="149"/>
      <c r="F58" s="149"/>
      <c r="G58" s="149"/>
      <c r="H58" s="85" t="s">
        <v>119</v>
      </c>
      <c r="I58" s="70" t="str">
        <f>'Necesidades Trimestrales'!F56</f>
        <v>Caja</v>
      </c>
      <c r="J58" s="75">
        <f>'Necesidades Trimestrales'!H56</f>
        <v>380</v>
      </c>
      <c r="K58" s="78">
        <f>'Necesidades Trimestrales'!G56</f>
        <v>18</v>
      </c>
    </row>
    <row r="59" spans="1:11" ht="43.5" customHeight="1" thickBot="1" x14ac:dyDescent="0.3">
      <c r="A59" s="68">
        <f>'Necesidades Trimestrales'!A57</f>
        <v>48</v>
      </c>
      <c r="B59" s="71">
        <f>'Necesidades Trimestrales'!B57</f>
        <v>0</v>
      </c>
      <c r="C59" s="149" t="str">
        <f>'Necesidades Trimestrales'!E57</f>
        <v>Bolsas  de Cloruro de Sodio de 25 kg (sal gruesa seca, lavada, limpia, sin iodo, lidad del agua que alimenta los Autoclaves.</v>
      </c>
      <c r="D59" s="149"/>
      <c r="E59" s="149"/>
      <c r="F59" s="149"/>
      <c r="G59" s="149"/>
      <c r="H59" s="85" t="s">
        <v>119</v>
      </c>
      <c r="I59" s="70" t="str">
        <f>'Necesidades Trimestrales'!F57</f>
        <v>Bolsa</v>
      </c>
      <c r="J59" s="75">
        <f>'Necesidades Trimestrales'!H57</f>
        <v>1800</v>
      </c>
      <c r="K59" s="78">
        <f>'Necesidades Trimestrales'!G57</f>
        <v>6</v>
      </c>
    </row>
    <row r="60" spans="1:11" ht="43.5" customHeight="1" thickBot="1" x14ac:dyDescent="0.3">
      <c r="A60" s="68">
        <f>'Necesidades Trimestrales'!A58</f>
        <v>49</v>
      </c>
      <c r="B60" s="71">
        <f>'Necesidades Trimestrales'!B58</f>
        <v>0</v>
      </c>
      <c r="C60" s="149" t="str">
        <f>'Necesidades Trimestrales'!E58</f>
        <v>LUPAS; POTENCIA: 75 Diop, DIAMETRO: 65 mm, MATERIAL LENTE: VIDRIO, ACCESORIO: C/LUZ, ARMAZON: PLASTICO, ESTRUCTURA: PLASTICO</v>
      </c>
      <c r="D60" s="149"/>
      <c r="E60" s="149"/>
      <c r="F60" s="149"/>
      <c r="G60" s="149"/>
      <c r="H60" s="85" t="s">
        <v>119</v>
      </c>
      <c r="I60" s="70" t="str">
        <f>'Necesidades Trimestrales'!F58</f>
        <v>Unidad</v>
      </c>
      <c r="J60" s="75">
        <f>'Necesidades Trimestrales'!H58</f>
        <v>11500</v>
      </c>
      <c r="K60" s="78">
        <f>'Necesidades Trimestrales'!G58</f>
        <v>2</v>
      </c>
    </row>
    <row r="61" spans="1:11" ht="43.5" customHeight="1" x14ac:dyDescent="0.25">
      <c r="A61" s="68">
        <f>'Necesidades Trimestrales'!A59</f>
        <v>50</v>
      </c>
      <c r="B61" s="71">
        <f>'Necesidades Trimestrales'!B59</f>
        <v>0</v>
      </c>
      <c r="C61" s="149" t="str">
        <f>'Necesidades Trimestrales'!E59</f>
        <v>PAPEL GRADO MEDICO CREPADO ROLLO X 80X 100 MTS</v>
      </c>
      <c r="D61" s="149"/>
      <c r="E61" s="149"/>
      <c r="F61" s="149"/>
      <c r="G61" s="149"/>
      <c r="H61" s="85" t="s">
        <v>119</v>
      </c>
      <c r="I61" s="70" t="str">
        <f>'Necesidades Trimestrales'!F59</f>
        <v>Rollo</v>
      </c>
      <c r="J61" s="75">
        <f>'Necesidades Trimestrales'!H59</f>
        <v>6800</v>
      </c>
      <c r="K61" s="78">
        <f>'Necesidades Trimestrales'!G59</f>
        <v>20</v>
      </c>
    </row>
    <row r="62" spans="1:11" ht="41.25" customHeight="1" thickBot="1" x14ac:dyDescent="0.25">
      <c r="A62" s="146" t="s">
        <v>132</v>
      </c>
      <c r="B62" s="146"/>
      <c r="C62" s="146"/>
      <c r="D62" s="146"/>
      <c r="E62" s="146"/>
      <c r="F62" s="146"/>
      <c r="G62" s="146"/>
      <c r="H62" s="146"/>
      <c r="I62" s="147"/>
      <c r="J62" s="148">
        <f>SUMPRODUCT(J12:J61*K12:K61)</f>
        <v>16960200</v>
      </c>
      <c r="K62" s="148"/>
    </row>
    <row r="65" spans="4:11" x14ac:dyDescent="0.2">
      <c r="J65" s="144"/>
      <c r="K65" s="145"/>
    </row>
    <row r="66" spans="4:11" ht="15" x14ac:dyDescent="0.2">
      <c r="D66" s="73"/>
      <c r="E66" s="73"/>
      <c r="F66" s="73"/>
      <c r="G66" s="73"/>
      <c r="H66" s="73"/>
      <c r="I66" s="73"/>
    </row>
    <row r="67" spans="4:11" ht="15" x14ac:dyDescent="0.2">
      <c r="D67" s="73"/>
      <c r="E67" s="73"/>
      <c r="F67" s="73"/>
      <c r="G67" s="73"/>
      <c r="H67" s="73"/>
      <c r="I67" s="73"/>
    </row>
    <row r="68" spans="4:11" ht="15" x14ac:dyDescent="0.2">
      <c r="D68" s="73"/>
      <c r="E68" s="73"/>
      <c r="F68" s="73"/>
      <c r="G68" s="73"/>
      <c r="H68" s="73"/>
      <c r="I68" s="73"/>
    </row>
    <row r="69" spans="4:11" ht="15.75" x14ac:dyDescent="0.2">
      <c r="D69" s="74"/>
      <c r="E69" s="73"/>
      <c r="F69" s="73"/>
      <c r="G69" s="73"/>
      <c r="H69" s="73"/>
      <c r="I69" s="73"/>
    </row>
  </sheetData>
  <mergeCells count="73">
    <mergeCell ref="C59:G59"/>
    <mergeCell ref="C60:G60"/>
    <mergeCell ref="C61:G61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45:G45"/>
    <mergeCell ref="C46:G46"/>
    <mergeCell ref="C47:G47"/>
    <mergeCell ref="C48:G48"/>
    <mergeCell ref="C39:G39"/>
    <mergeCell ref="C40:G40"/>
    <mergeCell ref="C41:G41"/>
    <mergeCell ref="C42:G42"/>
    <mergeCell ref="C43:G43"/>
    <mergeCell ref="C30:G30"/>
    <mergeCell ref="C31:G31"/>
    <mergeCell ref="C32:G32"/>
    <mergeCell ref="C33:G33"/>
    <mergeCell ref="C44:G44"/>
    <mergeCell ref="C12:G12"/>
    <mergeCell ref="C13:G13"/>
    <mergeCell ref="C24:G24"/>
    <mergeCell ref="C25:G25"/>
    <mergeCell ref="C26:G26"/>
    <mergeCell ref="C19:G19"/>
    <mergeCell ref="C20:G20"/>
    <mergeCell ref="C21:G21"/>
    <mergeCell ref="C22:G22"/>
    <mergeCell ref="C23:G23"/>
    <mergeCell ref="J65:K65"/>
    <mergeCell ref="A62:I62"/>
    <mergeCell ref="J62:K62"/>
    <mergeCell ref="C14:G14"/>
    <mergeCell ref="C15:G15"/>
    <mergeCell ref="C16:G16"/>
    <mergeCell ref="C17:G17"/>
    <mergeCell ref="C18:G18"/>
    <mergeCell ref="C27:G27"/>
    <mergeCell ref="C28:G28"/>
    <mergeCell ref="C34:G34"/>
    <mergeCell ref="C35:G35"/>
    <mergeCell ref="C36:G36"/>
    <mergeCell ref="C37:G37"/>
    <mergeCell ref="C38:G38"/>
    <mergeCell ref="C29:G29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honeticPr fontId="37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tabSelected="1" workbookViewId="0">
      <selection activeCell="N21" sqref="N21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58" t="s">
        <v>2</v>
      </c>
      <c r="B1" s="158"/>
      <c r="C1" s="158"/>
      <c r="D1" s="159">
        <v>2021</v>
      </c>
      <c r="E1" s="159"/>
      <c r="F1" s="4"/>
      <c r="G1" s="4"/>
      <c r="H1" s="5"/>
      <c r="I1" s="5"/>
      <c r="J1" s="5"/>
      <c r="K1" s="5"/>
      <c r="L1" s="5"/>
      <c r="M1" s="5"/>
      <c r="N1" s="5"/>
      <c r="P1" s="160" t="s">
        <v>25</v>
      </c>
      <c r="Q1" s="160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60"/>
      <c r="Q2" s="160"/>
    </row>
    <row r="4" spans="1:17" s="6" customFormat="1" ht="18" customHeight="1" thickBot="1" x14ac:dyDescent="0.25">
      <c r="A4" s="161" t="s">
        <v>26</v>
      </c>
      <c r="B4" s="161"/>
      <c r="C4" s="161"/>
      <c r="D4" s="161"/>
      <c r="E4" s="161"/>
      <c r="F4" s="161"/>
      <c r="G4" s="156" t="str">
        <f>' NotaPedido'!D3</f>
        <v>40- Ministerio de Salud</v>
      </c>
      <c r="H4" s="156"/>
      <c r="I4" s="156"/>
      <c r="J4" s="156"/>
      <c r="K4" s="156"/>
      <c r="L4" s="156"/>
      <c r="M4" s="156"/>
      <c r="N4" s="156"/>
      <c r="O4" s="156"/>
      <c r="P4" s="156"/>
      <c r="Q4" s="156"/>
    </row>
    <row r="5" spans="1:17" s="6" customFormat="1" ht="18" customHeight="1" thickBot="1" x14ac:dyDescent="0.25">
      <c r="A5" s="153" t="s">
        <v>13</v>
      </c>
      <c r="B5" s="154"/>
      <c r="C5" s="154"/>
      <c r="D5" s="154"/>
      <c r="E5" s="154"/>
      <c r="F5" s="155"/>
      <c r="G5" s="156" t="str">
        <f>' NotaPedido'!D4</f>
        <v>28- Maternidad Provincial 25 de Mayo</v>
      </c>
      <c r="H5" s="156"/>
      <c r="I5" s="156"/>
      <c r="J5" s="156"/>
      <c r="K5" s="156"/>
      <c r="L5" s="156"/>
      <c r="M5" s="156"/>
      <c r="N5" s="156"/>
      <c r="O5" s="156"/>
      <c r="P5" s="156"/>
      <c r="Q5" s="156"/>
    </row>
    <row r="6" spans="1:17" s="6" customFormat="1" ht="18" customHeight="1" thickBot="1" x14ac:dyDescent="0.25">
      <c r="A6" s="153" t="s">
        <v>14</v>
      </c>
      <c r="B6" s="154"/>
      <c r="C6" s="154"/>
      <c r="D6" s="154"/>
      <c r="E6" s="154"/>
      <c r="F6" s="155"/>
      <c r="G6" s="156" t="str">
        <f>' NotaPedido'!D5</f>
        <v xml:space="preserve">169- Direccion Asistencial </v>
      </c>
      <c r="H6" s="156"/>
      <c r="I6" s="156"/>
      <c r="J6" s="156"/>
      <c r="K6" s="156"/>
      <c r="L6" s="156"/>
      <c r="M6" s="156"/>
      <c r="N6" s="156"/>
      <c r="O6" s="156"/>
      <c r="P6" s="156"/>
      <c r="Q6" s="156"/>
    </row>
    <row r="7" spans="1:17" s="6" customFormat="1" ht="18" customHeight="1" thickBot="1" x14ac:dyDescent="0.25">
      <c r="A7" s="153" t="s">
        <v>15</v>
      </c>
      <c r="B7" s="154"/>
      <c r="C7" s="154"/>
      <c r="D7" s="154"/>
      <c r="E7" s="154"/>
      <c r="F7" s="155"/>
      <c r="G7" s="156" t="str">
        <f>' NotaPedido'!D6</f>
        <v>SERVICIO DE ESTERILIZACION</v>
      </c>
      <c r="H7" s="156"/>
      <c r="I7" s="156"/>
      <c r="J7" s="156"/>
      <c r="K7" s="156"/>
      <c r="L7" s="156"/>
      <c r="M7" s="156"/>
      <c r="N7" s="156"/>
      <c r="O7" s="156"/>
      <c r="P7" s="156"/>
      <c r="Q7" s="156"/>
    </row>
    <row r="8" spans="1:17" ht="18" customHeight="1" thickBot="1" x14ac:dyDescent="0.25">
      <c r="A8" s="157" t="s">
        <v>27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</row>
    <row r="9" spans="1:17" ht="18" customHeight="1" x14ac:dyDescent="0.2">
      <c r="A9" s="150" t="s">
        <v>28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"/>
      <c r="P9" s="1"/>
      <c r="Q9" s="7"/>
    </row>
    <row r="10" spans="1:17" ht="54.75" customHeight="1" x14ac:dyDescent="0.2">
      <c r="A10" s="151" t="s">
        <v>138</v>
      </c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52" t="s">
        <v>29</v>
      </c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</row>
    <row r="13" spans="1:17" ht="15.75" customHeight="1" thickBot="1" x14ac:dyDescent="0.25">
      <c r="A13" s="162" t="s">
        <v>30</v>
      </c>
      <c r="B13" s="162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3" t="s">
        <v>31</v>
      </c>
      <c r="P13" s="163"/>
      <c r="Q13" s="164" t="s">
        <v>32</v>
      </c>
    </row>
    <row r="14" spans="1:17" ht="15.75" customHeight="1" x14ac:dyDescent="0.2">
      <c r="A14" s="12" t="s">
        <v>33</v>
      </c>
      <c r="B14" s="13" t="s">
        <v>34</v>
      </c>
      <c r="C14" s="13" t="s">
        <v>35</v>
      </c>
      <c r="D14" s="13" t="s">
        <v>36</v>
      </c>
      <c r="E14" s="13" t="s">
        <v>37</v>
      </c>
      <c r="F14" s="13" t="s">
        <v>38</v>
      </c>
      <c r="G14" s="14" t="s">
        <v>39</v>
      </c>
      <c r="H14" s="13" t="s">
        <v>40</v>
      </c>
      <c r="I14" s="13" t="s">
        <v>41</v>
      </c>
      <c r="J14" s="13" t="s">
        <v>42</v>
      </c>
      <c r="K14" s="13" t="s">
        <v>42</v>
      </c>
      <c r="L14" s="13" t="s">
        <v>43</v>
      </c>
      <c r="M14" s="15" t="s">
        <v>44</v>
      </c>
      <c r="N14" s="16" t="s">
        <v>45</v>
      </c>
      <c r="O14" s="163"/>
      <c r="P14" s="163"/>
      <c r="Q14" s="164"/>
    </row>
    <row r="15" spans="1:17" ht="15.75" customHeight="1" x14ac:dyDescent="0.2">
      <c r="A15" s="23">
        <v>42</v>
      </c>
      <c r="B15" s="23"/>
      <c r="C15" s="23"/>
      <c r="D15" s="23">
        <v>2</v>
      </c>
      <c r="E15" s="23"/>
      <c r="F15" s="23">
        <v>4901</v>
      </c>
      <c r="G15" s="23">
        <v>3</v>
      </c>
      <c r="H15" s="23">
        <v>1</v>
      </c>
      <c r="I15" s="23">
        <v>2</v>
      </c>
      <c r="J15" s="23">
        <v>2</v>
      </c>
      <c r="K15" s="23">
        <v>1</v>
      </c>
      <c r="L15" s="23"/>
      <c r="M15" s="23">
        <v>1</v>
      </c>
      <c r="N15" s="23" t="s">
        <v>46</v>
      </c>
      <c r="O15" s="166" t="s">
        <v>139</v>
      </c>
      <c r="P15" s="166"/>
      <c r="Q15" s="34">
        <v>729500</v>
      </c>
    </row>
    <row r="16" spans="1:17" ht="15.75" customHeight="1" thickBot="1" x14ac:dyDescent="0.25">
      <c r="A16" s="33">
        <v>42</v>
      </c>
      <c r="B16" s="33"/>
      <c r="C16" s="33"/>
      <c r="D16" s="33">
        <v>2</v>
      </c>
      <c r="E16" s="33"/>
      <c r="F16" s="33">
        <v>4901</v>
      </c>
      <c r="G16" s="33">
        <v>3</v>
      </c>
      <c r="H16" s="33">
        <v>1</v>
      </c>
      <c r="I16" s="33">
        <v>2</v>
      </c>
      <c r="J16" s="33">
        <v>2</v>
      </c>
      <c r="K16" s="33">
        <v>2</v>
      </c>
      <c r="L16" s="33"/>
      <c r="M16" s="33">
        <v>1</v>
      </c>
      <c r="N16" s="33" t="s">
        <v>46</v>
      </c>
      <c r="O16" s="165" t="s">
        <v>140</v>
      </c>
      <c r="P16" s="165"/>
      <c r="Q16" s="34">
        <v>520000</v>
      </c>
    </row>
    <row r="17" spans="1:17" ht="27" customHeight="1" x14ac:dyDescent="0.2">
      <c r="A17" s="24">
        <v>42</v>
      </c>
      <c r="B17" s="25"/>
      <c r="C17" s="25"/>
      <c r="D17" s="25">
        <v>2</v>
      </c>
      <c r="E17" s="25"/>
      <c r="F17" s="25">
        <v>4901</v>
      </c>
      <c r="G17" s="25">
        <v>3</v>
      </c>
      <c r="H17" s="25">
        <v>1</v>
      </c>
      <c r="I17" s="25">
        <v>2</v>
      </c>
      <c r="J17" s="25">
        <v>3</v>
      </c>
      <c r="K17" s="25">
        <v>4</v>
      </c>
      <c r="L17" s="25"/>
      <c r="M17" s="26">
        <v>1</v>
      </c>
      <c r="N17" s="25" t="s">
        <v>46</v>
      </c>
      <c r="O17" s="173" t="s">
        <v>141</v>
      </c>
      <c r="P17" s="174"/>
      <c r="Q17" s="32">
        <v>936600</v>
      </c>
    </row>
    <row r="18" spans="1:17" ht="27" customHeight="1" x14ac:dyDescent="0.2">
      <c r="A18" s="24">
        <v>42</v>
      </c>
      <c r="B18" s="25"/>
      <c r="C18" s="25"/>
      <c r="D18" s="25">
        <v>2</v>
      </c>
      <c r="E18" s="25"/>
      <c r="F18" s="25">
        <v>4901</v>
      </c>
      <c r="G18" s="25">
        <v>3</v>
      </c>
      <c r="H18" s="25">
        <v>1</v>
      </c>
      <c r="I18" s="25">
        <v>2</v>
      </c>
      <c r="J18" s="25">
        <v>5</v>
      </c>
      <c r="K18" s="25">
        <v>8</v>
      </c>
      <c r="L18" s="25"/>
      <c r="M18" s="26">
        <v>1</v>
      </c>
      <c r="N18" s="25" t="s">
        <v>46</v>
      </c>
      <c r="O18" s="183" t="s">
        <v>142</v>
      </c>
      <c r="P18" s="184"/>
      <c r="Q18" s="32">
        <v>2143850</v>
      </c>
    </row>
    <row r="19" spans="1:17" ht="27" customHeight="1" x14ac:dyDescent="0.2">
      <c r="A19" s="24">
        <v>42</v>
      </c>
      <c r="B19" s="25"/>
      <c r="C19" s="25"/>
      <c r="D19" s="25">
        <v>2</v>
      </c>
      <c r="E19" s="25"/>
      <c r="F19" s="25">
        <v>4901</v>
      </c>
      <c r="G19" s="25">
        <v>3</v>
      </c>
      <c r="H19" s="25">
        <v>1</v>
      </c>
      <c r="I19" s="25">
        <v>2</v>
      </c>
      <c r="J19" s="25">
        <v>9</v>
      </c>
      <c r="K19" s="25">
        <v>1</v>
      </c>
      <c r="L19" s="25"/>
      <c r="M19" s="26">
        <v>1</v>
      </c>
      <c r="N19" s="25" t="s">
        <v>46</v>
      </c>
      <c r="O19" s="183" t="s">
        <v>143</v>
      </c>
      <c r="P19" s="184"/>
      <c r="Q19" s="32">
        <v>196800</v>
      </c>
    </row>
    <row r="20" spans="1:17" ht="28.5" customHeight="1" x14ac:dyDescent="0.2">
      <c r="A20" s="22">
        <v>42</v>
      </c>
      <c r="B20" s="19"/>
      <c r="C20" s="19"/>
      <c r="D20" s="19">
        <v>2</v>
      </c>
      <c r="E20" s="19"/>
      <c r="F20" s="19">
        <v>4901</v>
      </c>
      <c r="G20" s="19">
        <v>3</v>
      </c>
      <c r="H20" s="19">
        <v>1</v>
      </c>
      <c r="I20" s="19">
        <v>2</v>
      </c>
      <c r="J20" s="19">
        <v>9</v>
      </c>
      <c r="K20" s="19">
        <v>5</v>
      </c>
      <c r="L20" s="19"/>
      <c r="M20" s="19">
        <v>1</v>
      </c>
      <c r="N20" s="20" t="s">
        <v>46</v>
      </c>
      <c r="O20" s="175" t="s">
        <v>144</v>
      </c>
      <c r="P20" s="176"/>
      <c r="Q20" s="21">
        <v>12433450</v>
      </c>
    </row>
    <row r="21" spans="1:17" ht="28.5" customHeight="1" x14ac:dyDescent="0.2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30"/>
      <c r="O21" s="177"/>
      <c r="P21" s="178"/>
      <c r="Q21" s="31"/>
    </row>
    <row r="22" spans="1:17" ht="28.5" customHeight="1" x14ac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23"/>
      <c r="O22" s="167"/>
      <c r="P22" s="168"/>
      <c r="Q22" s="32"/>
    </row>
    <row r="23" spans="1:17" ht="31.5" customHeight="1" thickBot="1" x14ac:dyDescent="0.25">
      <c r="A23" s="170" t="s">
        <v>145</v>
      </c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">
        <f>SUM(Q15:Q21)</f>
        <v>16960200</v>
      </c>
    </row>
    <row r="24" spans="1:17" ht="18" customHeight="1" thickBot="1" x14ac:dyDescent="0.25">
      <c r="A24" s="171"/>
      <c r="B24" s="172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</row>
    <row r="25" spans="1:17" ht="17.25" customHeight="1" thickBot="1" x14ac:dyDescent="0.25">
      <c r="A25" s="179" t="s">
        <v>47</v>
      </c>
      <c r="B25" s="180"/>
      <c r="C25" s="180"/>
      <c r="D25" s="180"/>
      <c r="E25" s="180"/>
      <c r="F25" s="181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</row>
    <row r="26" spans="1:17" ht="18" customHeight="1" thickBot="1" x14ac:dyDescent="0.25">
      <c r="A26" s="169" t="s">
        <v>137</v>
      </c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</row>
    <row r="27" spans="1:17" ht="26.25" customHeight="1" thickBot="1" x14ac:dyDescent="0.25">
      <c r="A27" s="169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</row>
  </sheetData>
  <mergeCells count="31">
    <mergeCell ref="O22:P22"/>
    <mergeCell ref="A26:Q27"/>
    <mergeCell ref="A23:P23"/>
    <mergeCell ref="A24:Q24"/>
    <mergeCell ref="O17:P17"/>
    <mergeCell ref="O20:P20"/>
    <mergeCell ref="O21:P21"/>
    <mergeCell ref="A25:F25"/>
    <mergeCell ref="G25:Q25"/>
    <mergeCell ref="O18:P18"/>
    <mergeCell ref="O19:P19"/>
    <mergeCell ref="A13:N13"/>
    <mergeCell ref="O13:P14"/>
    <mergeCell ref="Q13:Q14"/>
    <mergeCell ref="O16:P16"/>
    <mergeCell ref="O15:P15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</mergeCells>
  <phoneticPr fontId="40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2021-02-26T14:25:47Z</cp:lastPrinted>
  <dcterms:created xsi:type="dcterms:W3CDTF">2020-07-17T23:44:49Z</dcterms:created>
  <dcterms:modified xsi:type="dcterms:W3CDTF">2021-08-13T13:36:11Z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