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\Desktop\Mis Documentos\Secretaria de compras\PAC 2021\3° trimestre 2021\Desiertos del 2º trimestre\Quimicos desiertos\"/>
    </mc:Choice>
  </mc:AlternateContent>
  <bookViews>
    <workbookView xWindow="0" yWindow="0" windowWidth="28800" windowHeight="12435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Trimestrales'!$A$9:$I$16</definedName>
    <definedName name="_xlnm.Print_Area" localSheetId="1">' NotaPedido'!$A$1:$K$19</definedName>
    <definedName name="_xlnm.Print_Area" localSheetId="2">'Autor Gastar'!$A$1:$Q$23</definedName>
  </definedNames>
  <calcPr calcId="152511"/>
</workbook>
</file>

<file path=xl/calcChain.xml><?xml version="1.0" encoding="utf-8"?>
<calcChain xmlns="http://schemas.openxmlformats.org/spreadsheetml/2006/main">
  <c r="K18" i="2" l="1"/>
  <c r="J18" i="2"/>
  <c r="I18" i="2"/>
  <c r="C18" i="2"/>
  <c r="B18" i="2"/>
  <c r="A18" i="2"/>
  <c r="Q19" i="3" l="1"/>
  <c r="K17" i="2" l="1"/>
  <c r="J17" i="2"/>
  <c r="I17" i="2"/>
  <c r="C17" i="2"/>
  <c r="B17" i="2"/>
  <c r="A17" i="2"/>
  <c r="K16" i="2"/>
  <c r="J16" i="2"/>
  <c r="I16" i="2"/>
  <c r="C16" i="2"/>
  <c r="B16" i="2"/>
  <c r="A16" i="2"/>
  <c r="K15" i="2"/>
  <c r="J15" i="2"/>
  <c r="I15" i="2"/>
  <c r="C15" i="2"/>
  <c r="B15" i="2"/>
  <c r="A15" i="2"/>
  <c r="K14" i="2" l="1"/>
  <c r="J14" i="2"/>
  <c r="I14" i="2"/>
  <c r="C14" i="2"/>
  <c r="B14" i="2"/>
  <c r="A14" i="2"/>
  <c r="I16" i="1" l="1"/>
  <c r="I15" i="1"/>
  <c r="I14" i="1"/>
  <c r="I13" i="1"/>
  <c r="I12" i="1"/>
  <c r="I11" i="1"/>
  <c r="I10" i="1"/>
  <c r="K12" i="2" l="1"/>
  <c r="J12" i="2"/>
  <c r="I12" i="2"/>
  <c r="C12" i="2"/>
  <c r="B12" i="2"/>
  <c r="A12" i="2"/>
  <c r="A13" i="2" l="1"/>
  <c r="B13" i="2"/>
  <c r="J13" i="2"/>
  <c r="C13" i="2"/>
  <c r="K13" i="2" l="1"/>
  <c r="J19" i="2" l="1"/>
  <c r="I13" i="2"/>
  <c r="G6" i="3" l="1"/>
  <c r="G7" i="3"/>
  <c r="G4" i="3"/>
  <c r="G5" i="3"/>
</calcChain>
</file>

<file path=xl/sharedStrings.xml><?xml version="1.0" encoding="utf-8"?>
<sst xmlns="http://schemas.openxmlformats.org/spreadsheetml/2006/main" count="121" uniqueCount="94">
  <si>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</si>
  <si>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</si>
  <si>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</si>
  <si>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</si>
  <si>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</si>
  <si>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</si>
  <si>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</si>
  <si>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</si>
  <si>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</si>
  <si>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</si>
  <si>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</si>
  <si>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</si>
  <si>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</si>
  <si>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</si>
  <si>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</si>
  <si>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</si>
  <si>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</si>
  <si>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</si>
  <si>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</si>
  <si>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</si>
  <si>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</si>
  <si>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</si>
  <si>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</si>
  <si>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</si>
  <si>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</si>
  <si>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</si>
  <si>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</si>
  <si>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</si>
  <si>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</si>
  <si>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</si>
  <si>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</si>
  <si>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</si>
  <si>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</si>
  <si>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</si>
  <si>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</si>
  <si>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</si>
  <si>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</si>
  <si>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</si>
  <si>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</si>
  <si>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</si>
  <si>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</si>
  <si>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</si>
  <si>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</si>
  <si>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</si>
  <si>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</si>
  <si>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</si>
  <si>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</si>
  <si>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</si>
  <si>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</si>
  <si>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</si>
  <si>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</si>
  <si>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</si>
  <si>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RUBRO DE COMPRA</t>
  </si>
  <si>
    <t xml:space="preserve">I.P.P. 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</si>
  <si>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</si>
  <si>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</si>
  <si>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</si>
  <si>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</si>
  <si>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</si>
  <si>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</si>
  <si>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</si>
  <si>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</si>
  <si>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</si>
  <si>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</si>
  <si>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2.9.5</t>
  </si>
  <si>
    <t>20 dias corridos desde la firma del instrumento contractual</t>
  </si>
  <si>
    <t xml:space="preserve">30 dias </t>
  </si>
  <si>
    <t xml:space="preserve">Compuestos Quimicos </t>
  </si>
  <si>
    <t>horario: de 08:00 a 12:00</t>
  </si>
  <si>
    <t>2.5.1</t>
  </si>
  <si>
    <t>QUIMICOS</t>
  </si>
  <si>
    <t>ALERE DETERMINE SYPHILIS TP X 20 DET</t>
  </si>
  <si>
    <t>CEPILLOS PARA TUBOS DE 1,5 X 25 CM</t>
  </si>
  <si>
    <t>CUBETAS PARA COAGULOMETRO SIEMENS BFT II X 100 UNIDADES X 5 PLANCHAS</t>
  </si>
  <si>
    <t>CAJA</t>
  </si>
  <si>
    <t>PLACA DE AGAR MUELLER HINTON SANGRE OVINA  X 10 U</t>
  </si>
  <si>
    <t xml:space="preserve"> Adquisición Quimicos </t>
  </si>
  <si>
    <t>N° 111/2021</t>
  </si>
  <si>
    <t>"Autorizo la realización de los  trámites correspondientes, a fin de proveer a  este Organismo los bienes y/o servicios que se detallan en Nota  de Pedido N°111 /2021 ,  afectando la erogación resultante a los créditos presupuestarios aprobados a favor de esta Unidad Ejecutora, conforme al siguiente detalle:"</t>
  </si>
  <si>
    <t>Para la adquisición de Adquisición de Quimicos desiertos del 2º trimestre 2021 para ser destinados Servicio de Farmacia, de  la Maternidad Provincial 25 de Mayo.-</t>
  </si>
  <si>
    <t>Servicio de Laboratorio</t>
  </si>
  <si>
    <t xml:space="preserve">CAJA </t>
  </si>
  <si>
    <t>TRIMETOPRIMA + SULFAMETOXAZOL 25 UGR PRESENTACION FRASCO DISCOX 50 UN</t>
  </si>
  <si>
    <t>FRASCO</t>
  </si>
  <si>
    <t>Utiles menores medicos, quirurgicos y de Laboratorio</t>
  </si>
  <si>
    <t>KIT PARA RETICULOCITOS (AZUL DE CRESIL BRILLANTE) X 50 TUBOS DELTALAB</t>
  </si>
  <si>
    <t>SERODIA  TPPA  ( 4  X 55 )</t>
  </si>
  <si>
    <t>3° trimestre</t>
  </si>
  <si>
    <t>Costo total estimado:  DOSCIENTOS NOVENTA Y SEIS MIL SEISCIENTOS CINCUENTA CON 00/100</t>
  </si>
  <si>
    <t>,</t>
  </si>
  <si>
    <t>3º TRIMESTRE- AÑO 2021</t>
  </si>
  <si>
    <t>Especificidades Item N° : 1 a 7</t>
  </si>
  <si>
    <t xml:space="preserve">
</t>
  </si>
  <si>
    <t>TOTAL DE PESOS: DOSCIENTOS NOVENTA Y SEIS MIL SEISCIENTOS CINCUENTA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</si>
</sst>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  <font>
      <sz val="9"/>
      <color rgb="FF000000"/>
      <name val="Arial"/>
      <family val="2"/>
    </font>
    <font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5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1">
    <xf numFmtId="0" fontId="0" fillId="0" borderId="0"/>
    <xf numFmtId="0" fontId="9" fillId="0" borderId="1" applyProtection="0"/>
    <xf numFmtId="164" fontId="10" fillId="0" borderId="0" applyBorder="0" applyProtection="0"/>
    <xf numFmtId="0" fontId="11" fillId="2" borderId="0" applyBorder="0" applyProtection="0"/>
    <xf numFmtId="165" fontId="18" fillId="0" borderId="0" applyBorder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8" fillId="6" borderId="0" applyNumberFormat="0" applyBorder="0" applyAlignment="0" applyProtection="0"/>
    <xf numFmtId="0" fontId="6" fillId="7" borderId="0" applyNumberFormat="0" applyBorder="0" applyAlignment="0" applyProtection="0"/>
    <xf numFmtId="0" fontId="18" fillId="0" borderId="0"/>
    <xf numFmtId="0" fontId="3" fillId="0" borderId="0"/>
  </cellStyleXfs>
  <cellXfs count="159">
    <xf numFmtId="0" fontId="0" fillId="0" borderId="0" xfId="0"/>
    <xf numFmtId="0" fontId="0" fillId="0" borderId="0" xfId="0" applyBorder="1"/>
    <xf numFmtId="0" fontId="10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3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10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5" fontId="17" fillId="0" borderId="25" xfId="0" applyNumberFormat="1" applyFont="1" applyBorder="1" applyAlignment="1">
      <alignment horizontal="center" vertical="center"/>
    </xf>
    <xf numFmtId="0" fontId="19" fillId="0" borderId="0" xfId="0" applyFont="1"/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5" fontId="18" fillId="0" borderId="0" xfId="4"/>
    <xf numFmtId="165" fontId="0" fillId="0" borderId="3" xfId="2" applyNumberFormat="1" applyFont="1" applyBorder="1" applyAlignment="1" applyProtection="1">
      <alignment horizontal="center" vertical="center"/>
    </xf>
    <xf numFmtId="0" fontId="22" fillId="3" borderId="0" xfId="0" applyFont="1" applyFill="1"/>
    <xf numFmtId="0" fontId="22" fillId="3" borderId="0" xfId="0" applyFont="1" applyFill="1" applyAlignment="1">
      <alignment horizontal="left" wrapText="1"/>
    </xf>
    <xf numFmtId="0" fontId="7" fillId="3" borderId="3" xfId="7" applyFont="1" applyFill="1" applyBorder="1" applyAlignment="1">
      <alignment horizontal="center" vertical="center" wrapText="1"/>
    </xf>
    <xf numFmtId="0" fontId="27" fillId="3" borderId="0" xfId="0" applyFont="1" applyFill="1" applyAlignment="1">
      <alignment horizontal="left" wrapText="1"/>
    </xf>
    <xf numFmtId="0" fontId="25" fillId="3" borderId="0" xfId="0" applyFont="1" applyFill="1" applyAlignment="1"/>
    <xf numFmtId="0" fontId="19" fillId="0" borderId="45" xfId="0" applyFont="1" applyBorder="1"/>
    <xf numFmtId="0" fontId="19" fillId="0" borderId="0" xfId="0" applyFont="1" applyAlignment="1">
      <alignment horizontal="center" wrapText="1"/>
    </xf>
    <xf numFmtId="0" fontId="19" fillId="0" borderId="49" xfId="0" applyFont="1" applyBorder="1"/>
    <xf numFmtId="0" fontId="0" fillId="0" borderId="49" xfId="0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43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19" fillId="0" borderId="0" xfId="0" applyFont="1" applyAlignment="1"/>
    <xf numFmtId="0" fontId="19" fillId="0" borderId="0" xfId="0" applyFont="1" applyAlignment="1">
      <alignment wrapText="1"/>
    </xf>
    <xf numFmtId="0" fontId="32" fillId="3" borderId="5" xfId="0" applyFont="1" applyFill="1" applyBorder="1" applyAlignment="1">
      <alignment horizontal="right" vertical="center"/>
    </xf>
    <xf numFmtId="0" fontId="32" fillId="3" borderId="7" xfId="0" applyFont="1" applyFill="1" applyBorder="1" applyAlignment="1">
      <alignment vertical="center"/>
    </xf>
    <xf numFmtId="0" fontId="32" fillId="3" borderId="0" xfId="0" applyFont="1" applyFill="1" applyBorder="1" applyAlignment="1">
      <alignment vertical="center"/>
    </xf>
    <xf numFmtId="0" fontId="34" fillId="3" borderId="0" xfId="0" applyFont="1" applyFill="1" applyBorder="1" applyAlignment="1">
      <alignment horizontal="left" vertical="center"/>
    </xf>
    <xf numFmtId="0" fontId="33" fillId="3" borderId="0" xfId="0" applyFont="1" applyFill="1" applyBorder="1" applyAlignment="1">
      <alignment horizontal="left" vertical="center" wrapText="1" indent="1"/>
    </xf>
    <xf numFmtId="0" fontId="31" fillId="3" borderId="2" xfId="5" applyFont="1" applyFill="1" applyBorder="1" applyAlignment="1">
      <alignment horizontal="center" vertical="center"/>
    </xf>
    <xf numFmtId="0" fontId="31" fillId="3" borderId="3" xfId="5" applyFont="1" applyFill="1" applyBorder="1" applyAlignment="1">
      <alignment horizontal="center" vertical="center"/>
    </xf>
    <xf numFmtId="0" fontId="31" fillId="3" borderId="3" xfId="5" applyFont="1" applyFill="1" applyBorder="1" applyAlignment="1">
      <alignment horizontal="center" wrapText="1"/>
    </xf>
    <xf numFmtId="0" fontId="31" fillId="3" borderId="33" xfId="5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vertical="center"/>
    </xf>
    <xf numFmtId="0" fontId="37" fillId="3" borderId="0" xfId="0" applyFont="1" applyFill="1" applyBorder="1" applyAlignment="1">
      <alignment vertical="center"/>
    </xf>
    <xf numFmtId="0" fontId="38" fillId="3" borderId="0" xfId="0" applyFont="1" applyFill="1" applyBorder="1" applyAlignment="1">
      <alignment vertical="center"/>
    </xf>
    <xf numFmtId="166" fontId="31" fillId="3" borderId="3" xfId="6" applyNumberFormat="1" applyFont="1" applyFill="1" applyBorder="1" applyAlignment="1" applyProtection="1">
      <alignment horizontal="center" vertical="center" wrapText="1"/>
    </xf>
    <xf numFmtId="1" fontId="32" fillId="3" borderId="0" xfId="0" applyNumberFormat="1" applyFont="1" applyFill="1" applyBorder="1" applyAlignment="1">
      <alignment vertical="center"/>
    </xf>
    <xf numFmtId="1" fontId="33" fillId="3" borderId="0" xfId="0" applyNumberFormat="1" applyFont="1" applyFill="1" applyBorder="1" applyAlignment="1">
      <alignment horizontal="left" vertical="center" wrapText="1" indent="1"/>
    </xf>
    <xf numFmtId="1" fontId="31" fillId="3" borderId="4" xfId="5" applyNumberFormat="1" applyFont="1" applyFill="1" applyBorder="1" applyAlignment="1">
      <alignment horizontal="center" vertical="center"/>
    </xf>
    <xf numFmtId="1" fontId="10" fillId="3" borderId="0" xfId="0" applyNumberFormat="1" applyFont="1" applyFill="1" applyBorder="1" applyAlignment="1">
      <alignment vertical="center"/>
    </xf>
    <xf numFmtId="0" fontId="27" fillId="3" borderId="52" xfId="0" applyFont="1" applyFill="1" applyBorder="1" applyAlignment="1">
      <alignment horizontal="center" vertical="center" wrapText="1"/>
    </xf>
    <xf numFmtId="0" fontId="27" fillId="3" borderId="53" xfId="0" applyFont="1" applyFill="1" applyBorder="1" applyAlignment="1">
      <alignment horizontal="center" vertical="center" wrapText="1"/>
    </xf>
    <xf numFmtId="0" fontId="27" fillId="3" borderId="54" xfId="0" applyFont="1" applyFill="1" applyBorder="1" applyAlignment="1">
      <alignment horizontal="center" vertical="center" wrapText="1"/>
    </xf>
    <xf numFmtId="169" fontId="27" fillId="3" borderId="15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0" fontId="40" fillId="3" borderId="0" xfId="0" applyFont="1" applyFill="1"/>
    <xf numFmtId="169" fontId="7" fillId="3" borderId="35" xfId="7" applyNumberFormat="1" applyFont="1" applyFill="1" applyBorder="1" applyAlignment="1">
      <alignment horizontal="center" vertical="center" wrapText="1"/>
    </xf>
    <xf numFmtId="170" fontId="29" fillId="0" borderId="56" xfId="0" applyNumberFormat="1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25" fillId="3" borderId="0" xfId="0" applyFont="1" applyFill="1" applyAlignment="1">
      <alignment vertical="center"/>
    </xf>
    <xf numFmtId="0" fontId="27" fillId="3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1" fontId="31" fillId="3" borderId="40" xfId="5" applyNumberFormat="1" applyFont="1" applyFill="1" applyBorder="1" applyAlignment="1">
      <alignment horizontal="center" vertical="center" wrapText="1"/>
    </xf>
    <xf numFmtId="0" fontId="22" fillId="3" borderId="0" xfId="0" applyFont="1" applyFill="1" applyAlignment="1">
      <alignment vertical="center"/>
    </xf>
    <xf numFmtId="0" fontId="28" fillId="3" borderId="51" xfId="0" applyFont="1" applyFill="1" applyBorder="1" applyAlignment="1">
      <alignment horizontal="center" vertical="center"/>
    </xf>
    <xf numFmtId="169" fontId="25" fillId="3" borderId="0" xfId="0" applyNumberFormat="1" applyFont="1" applyFill="1" applyAlignment="1">
      <alignment horizontal="center"/>
    </xf>
    <xf numFmtId="169" fontId="22" fillId="3" borderId="0" xfId="0" applyNumberFormat="1" applyFont="1" applyFill="1" applyAlignment="1">
      <alignment horizontal="center"/>
    </xf>
    <xf numFmtId="169" fontId="19" fillId="0" borderId="0" xfId="0" applyNumberFormat="1" applyFont="1" applyAlignment="1">
      <alignment horizontal="center"/>
    </xf>
    <xf numFmtId="0" fontId="22" fillId="3" borderId="0" xfId="0" applyFont="1" applyFill="1" applyAlignment="1">
      <alignment wrapText="1"/>
    </xf>
    <xf numFmtId="0" fontId="0" fillId="0" borderId="49" xfId="0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49" xfId="0" applyFont="1" applyBorder="1" applyAlignment="1">
      <alignment vertical="center" wrapText="1"/>
    </xf>
    <xf numFmtId="0" fontId="19" fillId="0" borderId="0" xfId="0" applyFont="1" applyBorder="1" applyAlignment="1">
      <alignment vertical="center" wrapText="1"/>
    </xf>
    <xf numFmtId="0" fontId="19" fillId="0" borderId="0" xfId="0" applyFont="1" applyBorder="1"/>
    <xf numFmtId="168" fontId="0" fillId="0" borderId="3" xfId="0" applyNumberFormat="1" applyBorder="1" applyAlignment="1">
      <alignment horizontal="center" vertical="center"/>
    </xf>
    <xf numFmtId="0" fontId="5" fillId="3" borderId="33" xfId="6" applyFont="1" applyFill="1" applyBorder="1" applyAlignment="1">
      <alignment horizontal="center" vertical="center" wrapText="1"/>
    </xf>
    <xf numFmtId="0" fontId="25" fillId="0" borderId="0" xfId="0" applyFont="1" applyFill="1" applyAlignment="1"/>
    <xf numFmtId="0" fontId="23" fillId="0" borderId="0" xfId="0" applyFont="1" applyFill="1" applyAlignment="1">
      <alignment horizontal="left" wrapText="1" indent="1"/>
    </xf>
    <xf numFmtId="0" fontId="22" fillId="0" borderId="0" xfId="0" applyFont="1" applyFill="1" applyAlignment="1">
      <alignment horizontal="center" wrapText="1"/>
    </xf>
    <xf numFmtId="0" fontId="27" fillId="0" borderId="53" xfId="0" applyFont="1" applyFill="1" applyBorder="1" applyAlignment="1">
      <alignment horizontal="center" vertical="center" wrapText="1"/>
    </xf>
    <xf numFmtId="0" fontId="22" fillId="0" borderId="0" xfId="0" applyFont="1" applyFill="1"/>
    <xf numFmtId="0" fontId="19" fillId="0" borderId="0" xfId="0" applyFont="1" applyFill="1"/>
    <xf numFmtId="0" fontId="0" fillId="0" borderId="0" xfId="0" applyFill="1"/>
    <xf numFmtId="0" fontId="19" fillId="0" borderId="46" xfId="0" applyFont="1" applyFill="1" applyBorder="1" applyAlignment="1">
      <alignment vertical="center"/>
    </xf>
    <xf numFmtId="0" fontId="19" fillId="0" borderId="47" xfId="0" applyFont="1" applyFill="1" applyBorder="1" applyAlignment="1">
      <alignment vertical="center"/>
    </xf>
    <xf numFmtId="0" fontId="19" fillId="0" borderId="47" xfId="0" applyFont="1" applyFill="1" applyBorder="1" applyAlignment="1"/>
    <xf numFmtId="0" fontId="19" fillId="0" borderId="47" xfId="0" applyFont="1" applyFill="1" applyBorder="1" applyAlignment="1">
      <alignment wrapText="1"/>
    </xf>
    <xf numFmtId="0" fontId="19" fillId="0" borderId="47" xfId="0" applyFont="1" applyFill="1" applyBorder="1" applyAlignment="1">
      <alignment horizontal="center" vertical="center" wrapText="1"/>
    </xf>
    <xf numFmtId="0" fontId="19" fillId="0" borderId="50" xfId="0" applyFont="1" applyFill="1" applyBorder="1" applyAlignment="1">
      <alignment vertical="center"/>
    </xf>
    <xf numFmtId="0" fontId="19" fillId="0" borderId="0" xfId="0" applyFont="1" applyFill="1" applyBorder="1" applyAlignment="1">
      <alignment vertical="center"/>
    </xf>
    <xf numFmtId="0" fontId="22" fillId="0" borderId="0" xfId="0" applyFont="1" applyFill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7" fillId="0" borderId="3" xfId="7" applyFont="1" applyFill="1" applyBorder="1" applyAlignment="1">
      <alignment horizontal="center" vertical="center" wrapText="1"/>
    </xf>
    <xf numFmtId="0" fontId="33" fillId="0" borderId="55" xfId="0" applyFont="1" applyFill="1" applyBorder="1" applyAlignment="1">
      <alignment horizontal="right" vertical="center"/>
    </xf>
    <xf numFmtId="0" fontId="4" fillId="0" borderId="3" xfId="7" applyFont="1" applyFill="1" applyBorder="1" applyAlignment="1">
      <alignment horizontal="center" vertical="center" wrapText="1"/>
    </xf>
    <xf numFmtId="0" fontId="2" fillId="3" borderId="3" xfId="7" applyFont="1" applyFill="1" applyBorder="1" applyAlignment="1">
      <alignment horizontal="center" vertical="center" wrapText="1"/>
    </xf>
    <xf numFmtId="0" fontId="44" fillId="0" borderId="9" xfId="0" applyFont="1" applyBorder="1" applyAlignment="1">
      <alignment horizontal="left" vertical="center" wrapText="1"/>
    </xf>
    <xf numFmtId="0" fontId="45" fillId="0" borderId="9" xfId="5" applyFont="1" applyFill="1" applyBorder="1" applyAlignment="1">
      <alignment horizontal="left" vertical="center" wrapText="1"/>
    </xf>
    <xf numFmtId="0" fontId="1" fillId="3" borderId="3" xfId="7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top" wrapText="1"/>
    </xf>
    <xf numFmtId="0" fontId="19" fillId="0" borderId="47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47" xfId="0" applyFont="1" applyBorder="1" applyAlignment="1">
      <alignment horizontal="center" vertical="center" wrapText="1"/>
    </xf>
    <xf numFmtId="0" fontId="41" fillId="3" borderId="0" xfId="8" applyFont="1" applyFill="1" applyAlignment="1">
      <alignment horizontal="center" vertical="center"/>
    </xf>
    <xf numFmtId="0" fontId="26" fillId="3" borderId="0" xfId="0" applyFont="1" applyFill="1" applyBorder="1" applyAlignment="1">
      <alignment horizontal="left" vertical="center" wrapText="1"/>
    </xf>
    <xf numFmtId="0" fontId="23" fillId="3" borderId="0" xfId="0" applyFont="1" applyFill="1" applyAlignment="1">
      <alignment horizontal="left" wrapText="1" indent="1"/>
    </xf>
    <xf numFmtId="0" fontId="31" fillId="3" borderId="3" xfId="5" applyFont="1" applyFill="1" applyBorder="1" applyAlignment="1">
      <alignment horizontal="center" vertical="center" wrapText="1"/>
    </xf>
    <xf numFmtId="165" fontId="10" fillId="3" borderId="0" xfId="0" applyNumberFormat="1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33" fillId="3" borderId="32" xfId="0" applyFont="1" applyFill="1" applyBorder="1" applyAlignment="1">
      <alignment horizontal="left" vertical="center" wrapText="1" indent="1"/>
    </xf>
    <xf numFmtId="0" fontId="33" fillId="3" borderId="48" xfId="0" applyFont="1" applyFill="1" applyBorder="1" applyAlignment="1">
      <alignment horizontal="left" vertical="center" wrapText="1" indent="1"/>
    </xf>
    <xf numFmtId="166" fontId="36" fillId="3" borderId="41" xfId="0" applyNumberFormat="1" applyFont="1" applyFill="1" applyBorder="1" applyAlignment="1">
      <alignment horizontal="center" vertical="center"/>
    </xf>
    <xf numFmtId="0" fontId="33" fillId="3" borderId="12" xfId="0" applyFont="1" applyFill="1" applyBorder="1" applyAlignment="1">
      <alignment horizontal="left" vertical="center" wrapText="1" indent="1"/>
    </xf>
    <xf numFmtId="0" fontId="35" fillId="3" borderId="13" xfId="0" applyFont="1" applyFill="1" applyBorder="1" applyAlignment="1">
      <alignment horizontal="center" vertical="center" wrapText="1"/>
    </xf>
    <xf numFmtId="0" fontId="35" fillId="3" borderId="30" xfId="0" applyFont="1" applyFill="1" applyBorder="1" applyAlignment="1">
      <alignment horizontal="center" vertical="center" wrapText="1"/>
    </xf>
    <xf numFmtId="1" fontId="35" fillId="3" borderId="12" xfId="0" applyNumberFormat="1" applyFont="1" applyFill="1" applyBorder="1" applyAlignment="1">
      <alignment horizontal="center" vertical="center" wrapText="1"/>
    </xf>
    <xf numFmtId="1" fontId="35" fillId="3" borderId="31" xfId="0" applyNumberFormat="1" applyFont="1" applyFill="1" applyBorder="1" applyAlignment="1">
      <alignment horizontal="center" vertical="center" wrapText="1"/>
    </xf>
    <xf numFmtId="0" fontId="34" fillId="3" borderId="11" xfId="0" applyFont="1" applyFill="1" applyBorder="1" applyAlignment="1">
      <alignment horizontal="left" vertical="center"/>
    </xf>
    <xf numFmtId="0" fontId="35" fillId="3" borderId="11" xfId="0" applyFont="1" applyFill="1" applyBorder="1" applyAlignment="1">
      <alignment horizontal="center" vertical="center"/>
    </xf>
    <xf numFmtId="0" fontId="35" fillId="3" borderId="29" xfId="0" applyFont="1" applyFill="1" applyBorder="1" applyAlignment="1">
      <alignment horizontal="center" vertical="center"/>
    </xf>
    <xf numFmtId="0" fontId="32" fillId="3" borderId="0" xfId="0" applyFont="1" applyFill="1" applyBorder="1" applyAlignment="1">
      <alignment horizontal="center" vertical="center"/>
    </xf>
    <xf numFmtId="0" fontId="34" fillId="3" borderId="8" xfId="0" applyFont="1" applyFill="1" applyBorder="1" applyAlignment="1">
      <alignment horizontal="left" vertical="center" wrapText="1"/>
    </xf>
    <xf numFmtId="0" fontId="33" fillId="3" borderId="9" xfId="0" applyFont="1" applyFill="1" applyBorder="1" applyAlignment="1">
      <alignment horizontal="left" vertical="center" wrapText="1" indent="1"/>
    </xf>
    <xf numFmtId="0" fontId="34" fillId="3" borderId="10" xfId="0" applyFont="1" applyFill="1" applyBorder="1" applyAlignment="1">
      <alignment horizontal="left" vertical="center" wrapText="1"/>
    </xf>
    <xf numFmtId="0" fontId="17" fillId="0" borderId="6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/>
    </xf>
    <xf numFmtId="0" fontId="18" fillId="0" borderId="36" xfId="0" applyFont="1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15" fillId="0" borderId="25" xfId="0" applyFont="1" applyFill="1" applyBorder="1" applyAlignment="1">
      <alignment horizontal="left" vertical="center" wrapText="1" indent="1"/>
    </xf>
    <xf numFmtId="0" fontId="43" fillId="0" borderId="25" xfId="0" applyFont="1" applyBorder="1" applyAlignment="1">
      <alignment horizontal="left" vertical="center" wrapText="1"/>
    </xf>
    <xf numFmtId="0" fontId="18" fillId="0" borderId="16" xfId="0" applyFont="1" applyBorder="1" applyAlignment="1"/>
    <xf numFmtId="0" fontId="0" fillId="0" borderId="16" xfId="0" applyBorder="1" applyAlignment="1"/>
    <xf numFmtId="0" fontId="13" fillId="0" borderId="14" xfId="0" applyFont="1" applyBorder="1" applyAlignment="1">
      <alignment vertical="center" wrapText="1"/>
    </xf>
    <xf numFmtId="0" fontId="13" fillId="0" borderId="26" xfId="0" applyFont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0" fontId="15" fillId="0" borderId="21" xfId="0" applyFont="1" applyBorder="1" applyAlignment="1">
      <alignment vertical="center" wrapText="1"/>
    </xf>
    <xf numFmtId="0" fontId="0" fillId="0" borderId="14" xfId="0" applyFont="1" applyBorder="1" applyAlignment="1">
      <alignment horizontal="center"/>
    </xf>
    <xf numFmtId="3" fontId="13" fillId="0" borderId="15" xfId="0" applyNumberFormat="1" applyFont="1" applyBorder="1" applyAlignment="1">
      <alignment horizontal="center"/>
    </xf>
    <xf numFmtId="0" fontId="14" fillId="0" borderId="6" xfId="0" applyFont="1" applyBorder="1" applyAlignment="1">
      <alignment horizontal="center" vertical="center" wrapText="1"/>
    </xf>
    <xf numFmtId="0" fontId="10" fillId="0" borderId="6" xfId="0" applyFont="1" applyBorder="1" applyAlignment="1"/>
    <xf numFmtId="0" fontId="15" fillId="0" borderId="6" xfId="0" applyFont="1" applyBorder="1" applyAlignment="1">
      <alignment horizontal="left" indent="1"/>
    </xf>
    <xf numFmtId="0" fontId="15" fillId="0" borderId="17" xfId="0" applyFont="1" applyBorder="1" applyAlignment="1"/>
    <xf numFmtId="0" fontId="15" fillId="0" borderId="18" xfId="0" applyFont="1" applyFill="1" applyBorder="1" applyAlignment="1">
      <alignment horizontal="left" vertical="center" wrapText="1" indent="1"/>
    </xf>
    <xf numFmtId="0" fontId="17" fillId="0" borderId="16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/>
    </xf>
    <xf numFmtId="0" fontId="44" fillId="0" borderId="9" xfId="0" applyFont="1" applyBorder="1" applyAlignment="1">
      <alignment horizontal="center" vertical="center" wrapText="1"/>
    </xf>
  </cellXfs>
  <cellStyles count="11">
    <cellStyle name="20% - Énfasis2" xfId="7" builtinId="34"/>
    <cellStyle name="20% - Énfasis5" xfId="8" builtinId="46"/>
    <cellStyle name="Buena" xfId="5" builtinId="26"/>
    <cellStyle name="Encabezado 1" xfId="1"/>
    <cellStyle name="Incorrecto" xfId="6" builtinId="27"/>
    <cellStyle name="Moneda 2" xfId="4"/>
    <cellStyle name="Moneda_AUTORIZACION Y NOTA DE PEDIDO" xfId="2"/>
    <cellStyle name="Neutral 1" xfId="3"/>
    <cellStyle name="Normal" xfId="0" builtinId="0"/>
    <cellStyle name="Normal 2" xfId="9"/>
    <cellStyle name="Normal 4" xfId="1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47"/>
  <sheetViews>
    <sheetView tabSelected="1" topLeftCell="A4" zoomScale="110" zoomScaleNormal="110" workbookViewId="0">
      <selection activeCell="E13" sqref="E13"/>
    </sheetView>
  </sheetViews>
  <sheetFormatPr baseColWidth="10" defaultColWidth="11" defaultRowHeight="12.75" x14ac:dyDescent="0.2"/>
  <cols>
    <col min="1" max="1" width="7" style="71" customWidth="1"/>
    <col min="2" max="2" width="16.85546875" style="24" customWidth="1"/>
    <col min="3" max="3" width="23.5703125" style="76" customWidth="1"/>
    <col min="4" max="4" width="12.140625" style="24" customWidth="1"/>
    <col min="5" max="5" width="79" style="98" customWidth="1"/>
    <col min="6" max="6" width="11" style="24"/>
    <col min="7" max="7" width="12.7109375" style="71" customWidth="1"/>
    <col min="8" max="8" width="13.85546875" style="62" customWidth="1"/>
    <col min="9" max="9" width="27" style="74" customWidth="1"/>
    <col min="10" max="16384" width="11" style="18"/>
  </cols>
  <sheetData>
    <row r="2" spans="1:11" ht="27" x14ac:dyDescent="0.35">
      <c r="E2" s="84" t="s">
        <v>0</v>
      </c>
      <c r="F2" s="28"/>
      <c r="G2" s="67"/>
      <c r="I2" s="73"/>
    </row>
    <row r="4" spans="1:11" ht="18" customHeight="1" x14ac:dyDescent="0.25">
      <c r="A4" s="113" t="s">
        <v>1</v>
      </c>
      <c r="B4" s="113"/>
      <c r="C4" s="113"/>
      <c r="D4" s="113"/>
      <c r="E4" s="114" t="s">
        <v>59</v>
      </c>
      <c r="F4" s="114"/>
      <c r="G4" s="114"/>
    </row>
    <row r="5" spans="1:11" ht="18" customHeight="1" x14ac:dyDescent="0.25">
      <c r="A5" s="113" t="s">
        <v>2</v>
      </c>
      <c r="B5" s="113"/>
      <c r="C5" s="113"/>
      <c r="D5" s="113"/>
      <c r="E5" s="114" t="s">
        <v>54</v>
      </c>
      <c r="F5" s="114"/>
      <c r="G5" s="114"/>
    </row>
    <row r="6" spans="1:11" ht="16.5" customHeight="1" x14ac:dyDescent="0.25">
      <c r="A6" s="113" t="s">
        <v>3</v>
      </c>
      <c r="B6" s="113"/>
      <c r="C6" s="113"/>
      <c r="D6" s="113"/>
      <c r="E6" s="85">
        <v>2021</v>
      </c>
      <c r="F6" s="27"/>
      <c r="G6" s="68"/>
    </row>
    <row r="7" spans="1:11" ht="16.5" customHeight="1" x14ac:dyDescent="0.25">
      <c r="A7" s="113" t="s">
        <v>4</v>
      </c>
      <c r="B7" s="113"/>
      <c r="C7" s="113"/>
      <c r="D7" s="113"/>
      <c r="E7" s="85" t="s">
        <v>87</v>
      </c>
      <c r="F7" s="27"/>
      <c r="G7" s="68"/>
    </row>
    <row r="8" spans="1:11" ht="13.5" thickBot="1" x14ac:dyDescent="0.25">
      <c r="E8" s="86"/>
      <c r="F8" s="25"/>
      <c r="G8" s="69"/>
    </row>
    <row r="9" spans="1:11" ht="39" thickBot="1" x14ac:dyDescent="0.25">
      <c r="A9" s="58" t="s">
        <v>5</v>
      </c>
      <c r="B9" s="59" t="s">
        <v>6</v>
      </c>
      <c r="C9" s="59" t="s">
        <v>52</v>
      </c>
      <c r="D9" s="59" t="s">
        <v>53</v>
      </c>
      <c r="E9" s="87" t="s">
        <v>7</v>
      </c>
      <c r="F9" s="59" t="s">
        <v>8</v>
      </c>
      <c r="G9" s="60" t="s">
        <v>9</v>
      </c>
      <c r="H9" s="65" t="s">
        <v>10</v>
      </c>
      <c r="I9" s="61" t="s">
        <v>11</v>
      </c>
    </row>
    <row r="10" spans="1:11" s="22" customFormat="1" ht="42" customHeight="1" thickBot="1" x14ac:dyDescent="0.25">
      <c r="A10" s="72">
        <v>1</v>
      </c>
      <c r="B10" s="26"/>
      <c r="C10" s="102" t="s">
        <v>70</v>
      </c>
      <c r="D10" s="83" t="s">
        <v>69</v>
      </c>
      <c r="E10" s="100" t="s">
        <v>71</v>
      </c>
      <c r="F10" s="26" t="s">
        <v>12</v>
      </c>
      <c r="G10" s="70">
        <v>8</v>
      </c>
      <c r="H10" s="82">
        <v>10500</v>
      </c>
      <c r="I10" s="64">
        <f t="shared" ref="I10:I16" si="0">G10*H10</f>
        <v>84000</v>
      </c>
    </row>
    <row r="11" spans="1:11" customFormat="1" ht="42" customHeight="1" thickBot="1" x14ac:dyDescent="0.25">
      <c r="A11" s="72">
        <v>2</v>
      </c>
      <c r="B11" s="26"/>
      <c r="C11" s="102" t="s">
        <v>70</v>
      </c>
      <c r="D11" s="83" t="s">
        <v>64</v>
      </c>
      <c r="E11" s="100" t="s">
        <v>72</v>
      </c>
      <c r="F11" s="26" t="s">
        <v>12</v>
      </c>
      <c r="G11" s="70">
        <v>10</v>
      </c>
      <c r="H11" s="82">
        <v>240</v>
      </c>
      <c r="I11" s="64">
        <f t="shared" si="0"/>
        <v>2400</v>
      </c>
      <c r="J11" s="22"/>
      <c r="K11" s="22"/>
    </row>
    <row r="12" spans="1:11" ht="42" customHeight="1" thickBot="1" x14ac:dyDescent="0.25">
      <c r="A12" s="72">
        <v>3</v>
      </c>
      <c r="B12" s="26"/>
      <c r="C12" s="102" t="s">
        <v>70</v>
      </c>
      <c r="D12" s="83" t="s">
        <v>69</v>
      </c>
      <c r="E12" s="100" t="s">
        <v>73</v>
      </c>
      <c r="F12" s="26" t="s">
        <v>74</v>
      </c>
      <c r="G12" s="70">
        <v>6</v>
      </c>
      <c r="H12" s="82">
        <v>21500</v>
      </c>
      <c r="I12" s="64">
        <f t="shared" si="0"/>
        <v>129000</v>
      </c>
      <c r="J12" s="22"/>
      <c r="K12" s="22"/>
    </row>
    <row r="13" spans="1:11" ht="42" customHeight="1" thickBot="1" x14ac:dyDescent="0.25">
      <c r="A13" s="72">
        <v>4</v>
      </c>
      <c r="B13" s="26"/>
      <c r="C13" s="102" t="s">
        <v>70</v>
      </c>
      <c r="D13" s="83" t="s">
        <v>69</v>
      </c>
      <c r="E13" s="105" t="s">
        <v>85</v>
      </c>
      <c r="F13" s="106" t="s">
        <v>74</v>
      </c>
      <c r="G13" s="70">
        <v>1</v>
      </c>
      <c r="H13" s="82">
        <v>8500</v>
      </c>
      <c r="I13" s="64">
        <f t="shared" si="0"/>
        <v>8500</v>
      </c>
      <c r="J13" s="22"/>
      <c r="K13" s="22"/>
    </row>
    <row r="14" spans="1:11" ht="42" customHeight="1" thickBot="1" x14ac:dyDescent="0.25">
      <c r="A14" s="72">
        <v>5</v>
      </c>
      <c r="B14" s="26"/>
      <c r="C14" s="102" t="s">
        <v>70</v>
      </c>
      <c r="D14" s="83" t="s">
        <v>69</v>
      </c>
      <c r="E14" s="100" t="s">
        <v>75</v>
      </c>
      <c r="F14" s="103" t="s">
        <v>81</v>
      </c>
      <c r="G14" s="70">
        <v>10</v>
      </c>
      <c r="H14" s="82">
        <v>2050</v>
      </c>
      <c r="I14" s="64">
        <f t="shared" si="0"/>
        <v>20500</v>
      </c>
      <c r="J14" s="22"/>
      <c r="K14" s="22"/>
    </row>
    <row r="15" spans="1:11" ht="42" customHeight="1" thickBot="1" x14ac:dyDescent="0.25">
      <c r="A15" s="72">
        <v>6</v>
      </c>
      <c r="B15" s="26"/>
      <c r="C15" s="102" t="s">
        <v>70</v>
      </c>
      <c r="D15" s="83" t="s">
        <v>69</v>
      </c>
      <c r="E15" s="158" t="s">
        <v>86</v>
      </c>
      <c r="F15" s="106" t="s">
        <v>12</v>
      </c>
      <c r="G15" s="70">
        <v>2</v>
      </c>
      <c r="H15" s="82">
        <v>24000</v>
      </c>
      <c r="I15" s="64">
        <f t="shared" si="0"/>
        <v>48000</v>
      </c>
      <c r="J15" s="22"/>
      <c r="K15" s="22"/>
    </row>
    <row r="16" spans="1:11" ht="42" customHeight="1" thickBot="1" x14ac:dyDescent="0.25">
      <c r="A16" s="72">
        <v>7</v>
      </c>
      <c r="B16" s="26"/>
      <c r="C16" s="102" t="s">
        <v>70</v>
      </c>
      <c r="D16" s="83" t="s">
        <v>69</v>
      </c>
      <c r="E16" s="104" t="s">
        <v>82</v>
      </c>
      <c r="F16" s="103" t="s">
        <v>83</v>
      </c>
      <c r="G16" s="70">
        <v>5</v>
      </c>
      <c r="H16" s="82">
        <v>850</v>
      </c>
      <c r="I16" s="64">
        <f t="shared" si="0"/>
        <v>4250</v>
      </c>
      <c r="J16" s="22"/>
      <c r="K16" s="22"/>
    </row>
    <row r="17" spans="1:9" ht="15.75" x14ac:dyDescent="0.25">
      <c r="A17" s="33"/>
      <c r="B17" s="63"/>
      <c r="E17" s="88"/>
      <c r="I17" s="75"/>
    </row>
    <row r="18" spans="1:9" ht="15.75" x14ac:dyDescent="0.25">
      <c r="A18" s="33"/>
      <c r="B18" s="63"/>
      <c r="E18" s="88"/>
      <c r="I18" s="75"/>
    </row>
    <row r="19" spans="1:9" ht="15.75" x14ac:dyDescent="0.25">
      <c r="A19" s="33"/>
      <c r="B19" s="63"/>
      <c r="E19" s="88"/>
      <c r="I19" s="75"/>
    </row>
    <row r="20" spans="1:9" ht="15.75" x14ac:dyDescent="0.25">
      <c r="A20" s="33"/>
      <c r="B20" s="63"/>
      <c r="E20" s="88"/>
      <c r="I20" s="75"/>
    </row>
    <row r="21" spans="1:9" ht="15.75" x14ac:dyDescent="0.25">
      <c r="A21" s="33"/>
      <c r="B21" s="63"/>
      <c r="E21" s="88"/>
      <c r="I21" s="75"/>
    </row>
    <row r="22" spans="1:9" ht="15.75" x14ac:dyDescent="0.25">
      <c r="A22" s="33"/>
      <c r="B22" s="63"/>
      <c r="E22" s="88"/>
      <c r="I22" s="75"/>
    </row>
    <row r="23" spans="1:9" x14ac:dyDescent="0.2">
      <c r="A23" s="33"/>
      <c r="B23" s="18"/>
      <c r="D23" s="18"/>
      <c r="E23" s="89"/>
      <c r="F23" s="18"/>
      <c r="I23" s="75"/>
    </row>
    <row r="24" spans="1:9" ht="13.5" customHeight="1" thickBot="1" x14ac:dyDescent="0.25">
      <c r="A24" s="33"/>
      <c r="B24" s="66"/>
      <c r="C24" s="77"/>
      <c r="D24" s="32"/>
      <c r="E24" s="90"/>
      <c r="F24" s="18"/>
      <c r="G24" s="112"/>
      <c r="H24" s="18"/>
      <c r="I24" s="18"/>
    </row>
    <row r="25" spans="1:9" ht="12.75" customHeight="1" thickBot="1" x14ac:dyDescent="0.25">
      <c r="A25" s="33"/>
      <c r="B25" s="66"/>
      <c r="C25" s="80"/>
      <c r="D25" s="81"/>
      <c r="E25" s="97"/>
      <c r="F25" s="18"/>
      <c r="G25" s="112"/>
      <c r="H25" s="18"/>
      <c r="I25" s="18"/>
    </row>
    <row r="26" spans="1:9" x14ac:dyDescent="0.2">
      <c r="B26" s="38" t="s">
        <v>91</v>
      </c>
      <c r="C26" s="78"/>
      <c r="D26" s="29"/>
      <c r="E26" s="91"/>
      <c r="I26" s="75"/>
    </row>
    <row r="27" spans="1:9" x14ac:dyDescent="0.2">
      <c r="B27" s="34"/>
      <c r="C27" s="78"/>
      <c r="D27" s="18"/>
      <c r="E27" s="92"/>
      <c r="I27" s="75"/>
    </row>
    <row r="28" spans="1:9" x14ac:dyDescent="0.2">
      <c r="B28" s="35" t="s">
        <v>55</v>
      </c>
      <c r="C28" s="78"/>
      <c r="D28" s="18"/>
      <c r="E28" s="92"/>
      <c r="I28" s="75"/>
    </row>
    <row r="29" spans="1:9" ht="18.75" customHeight="1" x14ac:dyDescent="0.2">
      <c r="B29" s="35"/>
      <c r="C29" s="107" t="s">
        <v>92</v>
      </c>
      <c r="D29" s="107"/>
      <c r="E29" s="108"/>
      <c r="I29" s="75"/>
    </row>
    <row r="30" spans="1:9" x14ac:dyDescent="0.2">
      <c r="B30" s="36" t="s">
        <v>61</v>
      </c>
      <c r="C30" s="109" t="s">
        <v>65</v>
      </c>
      <c r="D30" s="109"/>
      <c r="E30" s="109"/>
      <c r="I30" s="75"/>
    </row>
    <row r="31" spans="1:9" ht="27" customHeight="1" x14ac:dyDescent="0.2">
      <c r="B31" s="110"/>
      <c r="C31" s="110"/>
      <c r="D31" s="110"/>
      <c r="E31" s="110"/>
      <c r="I31" s="75"/>
    </row>
    <row r="32" spans="1:9" x14ac:dyDescent="0.2">
      <c r="B32" s="34" t="s">
        <v>62</v>
      </c>
      <c r="C32" s="109" t="s">
        <v>63</v>
      </c>
      <c r="D32" s="109"/>
      <c r="E32" s="111"/>
      <c r="I32" s="75"/>
    </row>
    <row r="33" spans="2:9" x14ac:dyDescent="0.2">
      <c r="B33" s="34"/>
      <c r="C33" s="40"/>
      <c r="D33" s="39" t="s">
        <v>68</v>
      </c>
      <c r="E33" s="93"/>
      <c r="I33" s="75"/>
    </row>
    <row r="34" spans="2:9" x14ac:dyDescent="0.2">
      <c r="B34" s="35" t="s">
        <v>56</v>
      </c>
      <c r="C34" s="109"/>
      <c r="D34" s="109"/>
      <c r="E34" s="111"/>
      <c r="I34" s="75"/>
    </row>
    <row r="35" spans="2:9" x14ac:dyDescent="0.2">
      <c r="B35" s="34"/>
      <c r="C35" s="40"/>
      <c r="D35" s="40"/>
      <c r="E35" s="94"/>
      <c r="I35" s="75"/>
    </row>
    <row r="36" spans="2:9" x14ac:dyDescent="0.2">
      <c r="B36" s="35" t="s">
        <v>57</v>
      </c>
      <c r="C36" s="99"/>
      <c r="D36" s="30"/>
      <c r="E36" s="95"/>
      <c r="I36" s="75"/>
    </row>
    <row r="37" spans="2:9" x14ac:dyDescent="0.2">
      <c r="B37" s="34"/>
      <c r="C37" s="40"/>
      <c r="D37" s="40"/>
      <c r="E37" s="94" t="s">
        <v>66</v>
      </c>
      <c r="I37" s="75"/>
    </row>
    <row r="38" spans="2:9" x14ac:dyDescent="0.2">
      <c r="B38" s="35" t="s">
        <v>58</v>
      </c>
      <c r="C38" s="78"/>
      <c r="D38" s="18"/>
      <c r="E38" s="92"/>
      <c r="I38" s="75"/>
    </row>
    <row r="39" spans="2:9" x14ac:dyDescent="0.2">
      <c r="B39" s="35"/>
      <c r="C39" s="40"/>
      <c r="D39" s="39"/>
      <c r="E39" s="93"/>
      <c r="I39" s="75"/>
    </row>
    <row r="40" spans="2:9" ht="13.5" thickBot="1" x14ac:dyDescent="0.25">
      <c r="B40" s="37"/>
      <c r="C40" s="79"/>
      <c r="D40" s="31"/>
      <c r="E40" s="96"/>
      <c r="I40" s="75"/>
    </row>
    <row r="41" spans="2:9" x14ac:dyDescent="0.2">
      <c r="I41" s="75"/>
    </row>
    <row r="42" spans="2:9" x14ac:dyDescent="0.2">
      <c r="I42" s="75"/>
    </row>
    <row r="43" spans="2:9" x14ac:dyDescent="0.2">
      <c r="I43" s="75"/>
    </row>
    <row r="44" spans="2:9" x14ac:dyDescent="0.2">
      <c r="I44" s="75"/>
    </row>
    <row r="45" spans="2:9" x14ac:dyDescent="0.2">
      <c r="I45" s="75"/>
    </row>
    <row r="46" spans="2:9" x14ac:dyDescent="0.2">
      <c r="I46" s="75"/>
    </row>
    <row r="47" spans="2:9" x14ac:dyDescent="0.2">
      <c r="I47" s="75"/>
    </row>
    <row r="48" spans="2:9" x14ac:dyDescent="0.2">
      <c r="I48" s="75"/>
    </row>
    <row r="49" spans="9:9" x14ac:dyDescent="0.2">
      <c r="I49" s="75"/>
    </row>
    <row r="50" spans="9:9" x14ac:dyDescent="0.2">
      <c r="I50" s="75"/>
    </row>
    <row r="51" spans="9:9" x14ac:dyDescent="0.2">
      <c r="I51" s="75"/>
    </row>
    <row r="52" spans="9:9" x14ac:dyDescent="0.2">
      <c r="I52" s="75"/>
    </row>
    <row r="53" spans="9:9" x14ac:dyDescent="0.2">
      <c r="I53" s="75"/>
    </row>
    <row r="54" spans="9:9" x14ac:dyDescent="0.2">
      <c r="I54" s="75"/>
    </row>
    <row r="55" spans="9:9" x14ac:dyDescent="0.2">
      <c r="I55" s="75"/>
    </row>
    <row r="56" spans="9:9" x14ac:dyDescent="0.2">
      <c r="I56" s="75"/>
    </row>
    <row r="57" spans="9:9" x14ac:dyDescent="0.2">
      <c r="I57" s="75"/>
    </row>
    <row r="58" spans="9:9" x14ac:dyDescent="0.2">
      <c r="I58" s="75"/>
    </row>
    <row r="59" spans="9:9" x14ac:dyDescent="0.2">
      <c r="I59" s="75"/>
    </row>
    <row r="60" spans="9:9" x14ac:dyDescent="0.2">
      <c r="I60" s="75"/>
    </row>
    <row r="61" spans="9:9" x14ac:dyDescent="0.2">
      <c r="I61" s="75"/>
    </row>
    <row r="62" spans="9:9" x14ac:dyDescent="0.2">
      <c r="I62" s="75"/>
    </row>
    <row r="63" spans="9:9" x14ac:dyDescent="0.2">
      <c r="I63" s="75"/>
    </row>
    <row r="64" spans="9:9" x14ac:dyDescent="0.2">
      <c r="I64" s="75"/>
    </row>
    <row r="65" spans="9:9" x14ac:dyDescent="0.2">
      <c r="I65" s="75"/>
    </row>
    <row r="66" spans="9:9" x14ac:dyDescent="0.2">
      <c r="I66" s="75"/>
    </row>
    <row r="67" spans="9:9" x14ac:dyDescent="0.2">
      <c r="I67" s="75"/>
    </row>
    <row r="68" spans="9:9" x14ac:dyDescent="0.2">
      <c r="I68" s="75"/>
    </row>
    <row r="69" spans="9:9" x14ac:dyDescent="0.2">
      <c r="I69" s="75"/>
    </row>
    <row r="70" spans="9:9" x14ac:dyDescent="0.2">
      <c r="I70" s="75"/>
    </row>
    <row r="71" spans="9:9" x14ac:dyDescent="0.2">
      <c r="I71" s="75"/>
    </row>
    <row r="72" spans="9:9" x14ac:dyDescent="0.2">
      <c r="I72" s="75"/>
    </row>
    <row r="73" spans="9:9" x14ac:dyDescent="0.2">
      <c r="I73" s="75"/>
    </row>
    <row r="74" spans="9:9" x14ac:dyDescent="0.2">
      <c r="I74" s="75"/>
    </row>
    <row r="75" spans="9:9" x14ac:dyDescent="0.2">
      <c r="I75" s="75"/>
    </row>
    <row r="76" spans="9:9" x14ac:dyDescent="0.2">
      <c r="I76" s="75"/>
    </row>
    <row r="77" spans="9:9" x14ac:dyDescent="0.2">
      <c r="I77" s="75"/>
    </row>
    <row r="78" spans="9:9" x14ac:dyDescent="0.2">
      <c r="I78" s="75"/>
    </row>
    <row r="79" spans="9:9" x14ac:dyDescent="0.2">
      <c r="I79" s="75"/>
    </row>
    <row r="80" spans="9:9" x14ac:dyDescent="0.2">
      <c r="I80" s="75"/>
    </row>
    <row r="81" spans="9:9" x14ac:dyDescent="0.2">
      <c r="I81" s="75"/>
    </row>
    <row r="82" spans="9:9" x14ac:dyDescent="0.2">
      <c r="I82" s="75"/>
    </row>
    <row r="83" spans="9:9" x14ac:dyDescent="0.2">
      <c r="I83" s="75"/>
    </row>
    <row r="84" spans="9:9" x14ac:dyDescent="0.2">
      <c r="I84" s="75"/>
    </row>
    <row r="85" spans="9:9" x14ac:dyDescent="0.2">
      <c r="I85" s="75"/>
    </row>
    <row r="86" spans="9:9" x14ac:dyDescent="0.2">
      <c r="I86" s="75"/>
    </row>
    <row r="87" spans="9:9" x14ac:dyDescent="0.2">
      <c r="I87" s="75"/>
    </row>
    <row r="88" spans="9:9" x14ac:dyDescent="0.2">
      <c r="I88" s="75"/>
    </row>
    <row r="89" spans="9:9" x14ac:dyDescent="0.2">
      <c r="I89" s="75"/>
    </row>
    <row r="90" spans="9:9" x14ac:dyDescent="0.2">
      <c r="I90" s="75"/>
    </row>
    <row r="91" spans="9:9" x14ac:dyDescent="0.2">
      <c r="I91" s="75"/>
    </row>
    <row r="92" spans="9:9" x14ac:dyDescent="0.2">
      <c r="I92" s="75"/>
    </row>
    <row r="93" spans="9:9" x14ac:dyDescent="0.2">
      <c r="I93" s="75"/>
    </row>
    <row r="94" spans="9:9" x14ac:dyDescent="0.2">
      <c r="I94" s="75"/>
    </row>
    <row r="95" spans="9:9" x14ac:dyDescent="0.2">
      <c r="I95" s="75"/>
    </row>
    <row r="96" spans="9:9" x14ac:dyDescent="0.2">
      <c r="I96" s="75"/>
    </row>
    <row r="97" spans="9:9" x14ac:dyDescent="0.2">
      <c r="I97" s="75"/>
    </row>
    <row r="98" spans="9:9" x14ac:dyDescent="0.2">
      <c r="I98" s="75"/>
    </row>
    <row r="99" spans="9:9" x14ac:dyDescent="0.2">
      <c r="I99" s="75"/>
    </row>
    <row r="100" spans="9:9" x14ac:dyDescent="0.2">
      <c r="I100" s="75"/>
    </row>
    <row r="101" spans="9:9" x14ac:dyDescent="0.2">
      <c r="I101" s="75"/>
    </row>
    <row r="102" spans="9:9" x14ac:dyDescent="0.2">
      <c r="I102" s="75"/>
    </row>
    <row r="103" spans="9:9" x14ac:dyDescent="0.2">
      <c r="I103" s="75"/>
    </row>
    <row r="104" spans="9:9" x14ac:dyDescent="0.2">
      <c r="I104" s="75"/>
    </row>
    <row r="105" spans="9:9" x14ac:dyDescent="0.2">
      <c r="I105" s="75"/>
    </row>
    <row r="106" spans="9:9" x14ac:dyDescent="0.2">
      <c r="I106" s="75"/>
    </row>
    <row r="107" spans="9:9" x14ac:dyDescent="0.2">
      <c r="I107" s="75"/>
    </row>
    <row r="108" spans="9:9" x14ac:dyDescent="0.2">
      <c r="I108" s="75"/>
    </row>
    <row r="109" spans="9:9" x14ac:dyDescent="0.2">
      <c r="I109" s="75"/>
    </row>
    <row r="110" spans="9:9" x14ac:dyDescent="0.2">
      <c r="I110" s="75"/>
    </row>
    <row r="111" spans="9:9" x14ac:dyDescent="0.2">
      <c r="I111" s="75"/>
    </row>
    <row r="112" spans="9:9" x14ac:dyDescent="0.2">
      <c r="I112" s="75"/>
    </row>
    <row r="113" spans="9:9" x14ac:dyDescent="0.2">
      <c r="I113" s="75"/>
    </row>
    <row r="114" spans="9:9" x14ac:dyDescent="0.2">
      <c r="I114" s="75"/>
    </row>
    <row r="115" spans="9:9" x14ac:dyDescent="0.2">
      <c r="I115" s="75"/>
    </row>
    <row r="116" spans="9:9" x14ac:dyDescent="0.2">
      <c r="I116" s="75"/>
    </row>
    <row r="117" spans="9:9" x14ac:dyDescent="0.2">
      <c r="I117" s="75"/>
    </row>
    <row r="118" spans="9:9" x14ac:dyDescent="0.2">
      <c r="I118" s="75"/>
    </row>
    <row r="119" spans="9:9" x14ac:dyDescent="0.2">
      <c r="I119" s="75"/>
    </row>
    <row r="120" spans="9:9" x14ac:dyDescent="0.2">
      <c r="I120" s="75"/>
    </row>
    <row r="121" spans="9:9" x14ac:dyDescent="0.2">
      <c r="I121" s="75"/>
    </row>
    <row r="122" spans="9:9" x14ac:dyDescent="0.2">
      <c r="I122" s="75"/>
    </row>
    <row r="123" spans="9:9" x14ac:dyDescent="0.2">
      <c r="I123" s="75"/>
    </row>
    <row r="124" spans="9:9" x14ac:dyDescent="0.2">
      <c r="I124" s="75"/>
    </row>
    <row r="125" spans="9:9" x14ac:dyDescent="0.2">
      <c r="I125" s="75"/>
    </row>
    <row r="126" spans="9:9" x14ac:dyDescent="0.2">
      <c r="I126" s="75"/>
    </row>
    <row r="127" spans="9:9" x14ac:dyDescent="0.2">
      <c r="I127" s="75"/>
    </row>
    <row r="128" spans="9:9" x14ac:dyDescent="0.2">
      <c r="I128" s="75"/>
    </row>
    <row r="129" spans="9:9" x14ac:dyDescent="0.2">
      <c r="I129" s="75"/>
    </row>
    <row r="130" spans="9:9" x14ac:dyDescent="0.2">
      <c r="I130" s="75"/>
    </row>
    <row r="131" spans="9:9" x14ac:dyDescent="0.2">
      <c r="I131" s="75"/>
    </row>
    <row r="132" spans="9:9" x14ac:dyDescent="0.2">
      <c r="I132" s="75"/>
    </row>
    <row r="133" spans="9:9" x14ac:dyDescent="0.2">
      <c r="I133" s="75"/>
    </row>
    <row r="134" spans="9:9" x14ac:dyDescent="0.2">
      <c r="I134" s="75"/>
    </row>
    <row r="135" spans="9:9" x14ac:dyDescent="0.2">
      <c r="I135" s="75"/>
    </row>
    <row r="136" spans="9:9" x14ac:dyDescent="0.2">
      <c r="I136" s="75"/>
    </row>
    <row r="137" spans="9:9" x14ac:dyDescent="0.2">
      <c r="I137" s="75"/>
    </row>
    <row r="138" spans="9:9" x14ac:dyDescent="0.2">
      <c r="I138" s="75"/>
    </row>
    <row r="139" spans="9:9" x14ac:dyDescent="0.2">
      <c r="I139" s="75"/>
    </row>
    <row r="140" spans="9:9" x14ac:dyDescent="0.2">
      <c r="I140" s="75"/>
    </row>
    <row r="141" spans="9:9" x14ac:dyDescent="0.2">
      <c r="I141" s="75"/>
    </row>
    <row r="142" spans="9:9" x14ac:dyDescent="0.2">
      <c r="I142" s="75"/>
    </row>
    <row r="143" spans="9:9" x14ac:dyDescent="0.2">
      <c r="I143" s="75"/>
    </row>
    <row r="144" spans="9:9" x14ac:dyDescent="0.2">
      <c r="I144" s="75"/>
    </row>
    <row r="145" spans="9:9" x14ac:dyDescent="0.2">
      <c r="I145" s="75"/>
    </row>
    <row r="146" spans="9:9" x14ac:dyDescent="0.2">
      <c r="I146" s="75"/>
    </row>
    <row r="147" spans="9:9" x14ac:dyDescent="0.2">
      <c r="I147" s="75"/>
    </row>
  </sheetData>
  <mergeCells count="12">
    <mergeCell ref="G24:G25"/>
    <mergeCell ref="A4:D4"/>
    <mergeCell ref="A5:D5"/>
    <mergeCell ref="A6:D6"/>
    <mergeCell ref="A7:D7"/>
    <mergeCell ref="E4:G4"/>
    <mergeCell ref="E5:G5"/>
    <mergeCell ref="C29:E29"/>
    <mergeCell ref="C30:E30"/>
    <mergeCell ref="B31:E31"/>
    <mergeCell ref="C32:E32"/>
    <mergeCell ref="C34:E34"/>
  </mergeCells>
  <phoneticPr fontId="24" type="noConversion"/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Y26"/>
  <sheetViews>
    <sheetView zoomScale="68" zoomScaleNormal="68" workbookViewId="0">
      <selection activeCell="I18" sqref="I18"/>
    </sheetView>
  </sheetViews>
  <sheetFormatPr baseColWidth="10" defaultColWidth="9.140625" defaultRowHeight="12.75" x14ac:dyDescent="0.2"/>
  <cols>
    <col min="1" max="1" width="13.140625" style="50" customWidth="1"/>
    <col min="2" max="2" width="19.5703125" style="50" customWidth="1"/>
    <col min="3" max="3" width="14.140625" style="50" customWidth="1"/>
    <col min="4" max="4" width="26" style="50" customWidth="1"/>
    <col min="5" max="5" width="8" style="50" customWidth="1"/>
    <col min="6" max="6" width="7.85546875" style="50" customWidth="1"/>
    <col min="7" max="7" width="42" style="50" customWidth="1"/>
    <col min="8" max="8" width="9.28515625" style="50" customWidth="1"/>
    <col min="9" max="9" width="15.5703125" style="50" customWidth="1"/>
    <col min="10" max="10" width="20.42578125" style="50" customWidth="1"/>
    <col min="11" max="11" width="30.42578125" style="57" customWidth="1"/>
    <col min="12" max="1013" width="9.140625" style="2"/>
  </cols>
  <sheetData>
    <row r="1" spans="1:1013" ht="18" customHeight="1" x14ac:dyDescent="0.2">
      <c r="A1" s="129" t="s">
        <v>13</v>
      </c>
      <c r="B1" s="129"/>
      <c r="C1" s="129"/>
      <c r="D1" s="129"/>
      <c r="E1" s="129"/>
      <c r="F1" s="129"/>
      <c r="G1" s="129"/>
      <c r="H1" s="129"/>
      <c r="I1" s="129"/>
      <c r="J1" s="41"/>
      <c r="K1" s="101" t="s">
        <v>77</v>
      </c>
    </row>
    <row r="2" spans="1:1013" ht="18.75" customHeight="1" thickBot="1" x14ac:dyDescent="0.25">
      <c r="A2" s="42"/>
      <c r="B2" s="42"/>
      <c r="C2" s="42"/>
      <c r="D2" s="43"/>
      <c r="E2" s="43"/>
      <c r="F2" s="43"/>
      <c r="G2" s="43"/>
      <c r="H2" s="43"/>
      <c r="I2" s="43"/>
      <c r="J2" s="43"/>
      <c r="K2" s="54"/>
    </row>
    <row r="3" spans="1:1013" ht="18.75" customHeight="1" thickBot="1" x14ac:dyDescent="0.25">
      <c r="A3" s="130" t="s">
        <v>14</v>
      </c>
      <c r="B3" s="130"/>
      <c r="C3" s="130"/>
      <c r="D3" s="131" t="s">
        <v>60</v>
      </c>
      <c r="E3" s="131"/>
      <c r="F3" s="131"/>
      <c r="G3" s="131"/>
      <c r="H3" s="131"/>
      <c r="I3" s="131"/>
      <c r="J3" s="131"/>
      <c r="K3" s="131"/>
    </row>
    <row r="4" spans="1:1013" ht="18.75" customHeight="1" thickBot="1" x14ac:dyDescent="0.25">
      <c r="A4" s="132" t="s">
        <v>15</v>
      </c>
      <c r="B4" s="132"/>
      <c r="C4" s="132"/>
      <c r="D4" s="131" t="s">
        <v>54</v>
      </c>
      <c r="E4" s="131"/>
      <c r="F4" s="131"/>
      <c r="G4" s="131"/>
      <c r="H4" s="131"/>
      <c r="I4" s="131"/>
      <c r="J4" s="131"/>
      <c r="K4" s="131"/>
    </row>
    <row r="5" spans="1:1013" ht="18.75" customHeight="1" thickBot="1" x14ac:dyDescent="0.25">
      <c r="A5" s="132" t="s">
        <v>16</v>
      </c>
      <c r="B5" s="132"/>
      <c r="C5" s="132"/>
      <c r="D5" s="131" t="s">
        <v>51</v>
      </c>
      <c r="E5" s="131"/>
      <c r="F5" s="131"/>
      <c r="G5" s="131"/>
      <c r="H5" s="131"/>
      <c r="I5" s="131"/>
      <c r="J5" s="131"/>
      <c r="K5" s="131"/>
    </row>
    <row r="6" spans="1:1013" ht="16.5" customHeight="1" thickBot="1" x14ac:dyDescent="0.25">
      <c r="A6" s="130" t="s">
        <v>17</v>
      </c>
      <c r="B6" s="130"/>
      <c r="C6" s="130"/>
      <c r="D6" s="131" t="s">
        <v>80</v>
      </c>
      <c r="E6" s="131"/>
      <c r="F6" s="131"/>
      <c r="G6" s="131"/>
      <c r="H6" s="131"/>
      <c r="I6" s="131"/>
      <c r="J6" s="131"/>
      <c r="K6" s="131"/>
    </row>
    <row r="7" spans="1:1013" ht="16.5" customHeight="1" thickBot="1" x14ac:dyDescent="0.25">
      <c r="A7" s="132" t="s">
        <v>18</v>
      </c>
      <c r="B7" s="132"/>
      <c r="C7" s="132"/>
      <c r="D7" s="131" t="s">
        <v>90</v>
      </c>
      <c r="E7" s="131"/>
      <c r="F7" s="131"/>
      <c r="G7" s="131"/>
      <c r="H7" s="131"/>
      <c r="I7" s="131"/>
      <c r="J7" s="131"/>
      <c r="K7" s="131"/>
    </row>
    <row r="8" spans="1:1013" ht="16.5" customHeight="1" thickBot="1" x14ac:dyDescent="0.25">
      <c r="A8" s="126" t="s">
        <v>19</v>
      </c>
      <c r="B8" s="126"/>
      <c r="C8" s="126"/>
      <c r="D8" s="121" t="s">
        <v>76</v>
      </c>
      <c r="E8" s="121"/>
      <c r="F8" s="121"/>
      <c r="G8" s="121"/>
      <c r="H8" s="121"/>
      <c r="I8" s="121"/>
      <c r="J8" s="121"/>
      <c r="K8" s="121"/>
    </row>
    <row r="9" spans="1:1013" ht="16.5" thickBot="1" x14ac:dyDescent="0.25">
      <c r="A9" s="44"/>
      <c r="B9" s="44"/>
      <c r="C9" s="44"/>
      <c r="D9" s="45"/>
      <c r="E9" s="45"/>
      <c r="F9" s="45"/>
      <c r="G9" s="45"/>
      <c r="H9" s="45"/>
      <c r="I9" s="45"/>
      <c r="J9" s="45"/>
      <c r="K9" s="55"/>
    </row>
    <row r="10" spans="1:1013" ht="18.75" customHeight="1" thickBot="1" x14ac:dyDescent="0.25">
      <c r="A10" s="127" t="s">
        <v>20</v>
      </c>
      <c r="B10" s="122" t="s">
        <v>21</v>
      </c>
      <c r="C10" s="122" t="s">
        <v>22</v>
      </c>
      <c r="D10" s="122"/>
      <c r="E10" s="122"/>
      <c r="F10" s="122"/>
      <c r="G10" s="122"/>
      <c r="H10" s="122" t="s">
        <v>23</v>
      </c>
      <c r="I10" s="122" t="s">
        <v>24</v>
      </c>
      <c r="J10" s="122" t="s">
        <v>25</v>
      </c>
      <c r="K10" s="124" t="s">
        <v>26</v>
      </c>
    </row>
    <row r="11" spans="1:1013" ht="24" customHeight="1" thickBot="1" x14ac:dyDescent="0.25">
      <c r="A11" s="128"/>
      <c r="B11" s="123"/>
      <c r="C11" s="123"/>
      <c r="D11" s="123"/>
      <c r="E11" s="123"/>
      <c r="F11" s="123"/>
      <c r="G11" s="123"/>
      <c r="H11" s="123"/>
      <c r="I11" s="123"/>
      <c r="J11" s="123"/>
      <c r="K11" s="125"/>
      <c r="ALW11"/>
      <c r="ALX11"/>
      <c r="ALY11"/>
    </row>
    <row r="12" spans="1:1013" ht="43.5" customHeight="1" thickBot="1" x14ac:dyDescent="0.3">
      <c r="A12" s="46">
        <f>'Necesidades Trimestrales'!A10</f>
        <v>1</v>
      </c>
      <c r="B12" s="49">
        <f>'Necesidades Trimestrales'!B10</f>
        <v>0</v>
      </c>
      <c r="C12" s="115" t="str">
        <f>'Necesidades Trimestrales'!E10</f>
        <v>ALERE DETERMINE SYPHILIS TP X 20 DET</v>
      </c>
      <c r="D12" s="115"/>
      <c r="E12" s="115"/>
      <c r="F12" s="115"/>
      <c r="G12" s="115"/>
      <c r="H12" s="47" t="s">
        <v>27</v>
      </c>
      <c r="I12" s="48" t="str">
        <f>'Necesidades Trimestrales'!F10</f>
        <v>UNIDAD</v>
      </c>
      <c r="J12" s="53">
        <f>'Necesidades Trimestrales'!H10</f>
        <v>10500</v>
      </c>
      <c r="K12" s="56">
        <f>'Necesidades Trimestrales'!G10</f>
        <v>8</v>
      </c>
    </row>
    <row r="13" spans="1:1013" ht="43.5" customHeight="1" thickBot="1" x14ac:dyDescent="0.3">
      <c r="A13" s="46">
        <f>'Necesidades Trimestrales'!A11</f>
        <v>2</v>
      </c>
      <c r="B13" s="49">
        <f>'Necesidades Trimestrales'!B11</f>
        <v>0</v>
      </c>
      <c r="C13" s="115" t="str">
        <f>'Necesidades Trimestrales'!E11</f>
        <v>CEPILLOS PARA TUBOS DE 1,5 X 25 CM</v>
      </c>
      <c r="D13" s="115"/>
      <c r="E13" s="115"/>
      <c r="F13" s="115"/>
      <c r="G13" s="115"/>
      <c r="H13" s="47" t="s">
        <v>27</v>
      </c>
      <c r="I13" s="48" t="str">
        <f>'Necesidades Trimestrales'!F11</f>
        <v>UNIDAD</v>
      </c>
      <c r="J13" s="53">
        <f>'Necesidades Trimestrales'!H11</f>
        <v>240</v>
      </c>
      <c r="K13" s="56">
        <f>'Necesidades Trimestrales'!G11</f>
        <v>10</v>
      </c>
    </row>
    <row r="14" spans="1:1013" ht="43.5" customHeight="1" thickBot="1" x14ac:dyDescent="0.3">
      <c r="A14" s="46">
        <f>'Necesidades Trimestrales'!A12</f>
        <v>3</v>
      </c>
      <c r="B14" s="49">
        <f>'Necesidades Trimestrales'!B12</f>
        <v>0</v>
      </c>
      <c r="C14" s="115" t="str">
        <f>'Necesidades Trimestrales'!E12</f>
        <v>CUBETAS PARA COAGULOMETRO SIEMENS BFT II X 100 UNIDADES X 5 PLANCHAS</v>
      </c>
      <c r="D14" s="115"/>
      <c r="E14" s="115"/>
      <c r="F14" s="115"/>
      <c r="G14" s="115"/>
      <c r="H14" s="47" t="s">
        <v>27</v>
      </c>
      <c r="I14" s="48" t="str">
        <f>'Necesidades Trimestrales'!F12</f>
        <v>CAJA</v>
      </c>
      <c r="J14" s="53">
        <f>'Necesidades Trimestrales'!H12</f>
        <v>21500</v>
      </c>
      <c r="K14" s="56">
        <f>'Necesidades Trimestrales'!G12</f>
        <v>6</v>
      </c>
    </row>
    <row r="15" spans="1:1013" ht="43.5" customHeight="1" thickBot="1" x14ac:dyDescent="0.3">
      <c r="A15" s="46">
        <f>'Necesidades Trimestrales'!A13</f>
        <v>4</v>
      </c>
      <c r="B15" s="49">
        <f>'Necesidades Trimestrales'!B13</f>
        <v>0</v>
      </c>
      <c r="C15" s="115" t="str">
        <f>'Necesidades Trimestrales'!E13</f>
        <v>KIT PARA RETICULOCITOS (AZUL DE CRESIL BRILLANTE) X 50 TUBOS DELTALAB</v>
      </c>
      <c r="D15" s="115"/>
      <c r="E15" s="115"/>
      <c r="F15" s="115"/>
      <c r="G15" s="115"/>
      <c r="H15" s="47" t="s">
        <v>27</v>
      </c>
      <c r="I15" s="48" t="str">
        <f>'Necesidades Trimestrales'!F13</f>
        <v>CAJA</v>
      </c>
      <c r="J15" s="53">
        <f>'Necesidades Trimestrales'!H13</f>
        <v>8500</v>
      </c>
      <c r="K15" s="56">
        <f>'Necesidades Trimestrales'!G13</f>
        <v>1</v>
      </c>
    </row>
    <row r="16" spans="1:1013" ht="43.5" customHeight="1" thickBot="1" x14ac:dyDescent="0.3">
      <c r="A16" s="46">
        <f>'Necesidades Trimestrales'!A14</f>
        <v>5</v>
      </c>
      <c r="B16" s="49">
        <f>'Necesidades Trimestrales'!B14</f>
        <v>0</v>
      </c>
      <c r="C16" s="115" t="str">
        <f>'Necesidades Trimestrales'!E14</f>
        <v>PLACA DE AGAR MUELLER HINTON SANGRE OVINA  X 10 U</v>
      </c>
      <c r="D16" s="115"/>
      <c r="E16" s="115"/>
      <c r="F16" s="115"/>
      <c r="G16" s="115"/>
      <c r="H16" s="47" t="s">
        <v>27</v>
      </c>
      <c r="I16" s="48" t="str">
        <f>'Necesidades Trimestrales'!F14</f>
        <v xml:space="preserve">CAJA </v>
      </c>
      <c r="J16" s="53">
        <f>'Necesidades Trimestrales'!H14</f>
        <v>2050</v>
      </c>
      <c r="K16" s="56">
        <f>'Necesidades Trimestrales'!G14</f>
        <v>10</v>
      </c>
    </row>
    <row r="17" spans="1:11" ht="43.5" customHeight="1" thickBot="1" x14ac:dyDescent="0.3">
      <c r="A17" s="46">
        <f>'Necesidades Trimestrales'!A15</f>
        <v>6</v>
      </c>
      <c r="B17" s="49">
        <f>'Necesidades Trimestrales'!B15</f>
        <v>0</v>
      </c>
      <c r="C17" s="115" t="str">
        <f>'Necesidades Trimestrales'!E15</f>
        <v>SERODIA  TPPA  ( 4  X 55 )</v>
      </c>
      <c r="D17" s="115"/>
      <c r="E17" s="115"/>
      <c r="F17" s="115"/>
      <c r="G17" s="115"/>
      <c r="H17" s="47" t="s">
        <v>27</v>
      </c>
      <c r="I17" s="48" t="str">
        <f>'Necesidades Trimestrales'!F15</f>
        <v>UNIDAD</v>
      </c>
      <c r="J17" s="53">
        <f>'Necesidades Trimestrales'!H15</f>
        <v>24000</v>
      </c>
      <c r="K17" s="56">
        <f>'Necesidades Trimestrales'!G15</f>
        <v>2</v>
      </c>
    </row>
    <row r="18" spans="1:11" ht="43.5" customHeight="1" x14ac:dyDescent="0.25">
      <c r="A18" s="46">
        <f>'Necesidades Trimestrales'!A16</f>
        <v>7</v>
      </c>
      <c r="B18" s="49">
        <f>'Necesidades Trimestrales'!B16</f>
        <v>0</v>
      </c>
      <c r="C18" s="115" t="str">
        <f>'Necesidades Trimestrales'!E16</f>
        <v>TRIMETOPRIMA + SULFAMETOXAZOL 25 UGR PRESENTACION FRASCO DISCOX 50 UN</v>
      </c>
      <c r="D18" s="115"/>
      <c r="E18" s="115"/>
      <c r="F18" s="115"/>
      <c r="G18" s="115"/>
      <c r="H18" s="47" t="s">
        <v>27</v>
      </c>
      <c r="I18" s="48" t="str">
        <f>'Necesidades Trimestrales'!F16</f>
        <v>FRASCO</v>
      </c>
      <c r="J18" s="53">
        <f>'Necesidades Trimestrales'!H16</f>
        <v>850</v>
      </c>
      <c r="K18" s="56">
        <f>'Necesidades Trimestrales'!G16</f>
        <v>5</v>
      </c>
    </row>
    <row r="19" spans="1:11" ht="41.25" customHeight="1" thickBot="1" x14ac:dyDescent="0.25">
      <c r="A19" s="118" t="s">
        <v>88</v>
      </c>
      <c r="B19" s="118"/>
      <c r="C19" s="118"/>
      <c r="D19" s="118"/>
      <c r="E19" s="118"/>
      <c r="F19" s="118"/>
      <c r="G19" s="118"/>
      <c r="H19" s="118"/>
      <c r="I19" s="119"/>
      <c r="J19" s="120">
        <f>SUMPRODUCT(J12:J18*K12:K18)</f>
        <v>296650</v>
      </c>
      <c r="K19" s="120"/>
    </row>
    <row r="20" spans="1:11" x14ac:dyDescent="0.2">
      <c r="A20" s="50" t="s">
        <v>89</v>
      </c>
    </row>
    <row r="22" spans="1:11" x14ac:dyDescent="0.2">
      <c r="J22" s="116"/>
      <c r="K22" s="117"/>
    </row>
    <row r="23" spans="1:11" ht="15" x14ac:dyDescent="0.2">
      <c r="D23" s="51"/>
      <c r="E23" s="51"/>
      <c r="F23" s="51"/>
      <c r="G23" s="51"/>
      <c r="H23" s="51"/>
      <c r="I23" s="51"/>
    </row>
    <row r="24" spans="1:11" ht="15" x14ac:dyDescent="0.2">
      <c r="D24" s="51"/>
      <c r="E24" s="51"/>
      <c r="F24" s="51"/>
      <c r="G24" s="51"/>
      <c r="H24" s="51"/>
      <c r="I24" s="51"/>
    </row>
    <row r="25" spans="1:11" ht="15" x14ac:dyDescent="0.2">
      <c r="D25" s="51"/>
      <c r="E25" s="51"/>
      <c r="F25" s="51"/>
      <c r="G25" s="51"/>
      <c r="H25" s="51"/>
      <c r="I25" s="51"/>
    </row>
    <row r="26" spans="1:11" ht="15.75" x14ac:dyDescent="0.2">
      <c r="D26" s="52"/>
      <c r="E26" s="51"/>
      <c r="F26" s="51"/>
      <c r="G26" s="51"/>
      <c r="H26" s="51"/>
      <c r="I26" s="51"/>
    </row>
  </sheetData>
  <mergeCells count="30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D8:K8"/>
    <mergeCell ref="J10:J11"/>
    <mergeCell ref="K10:K11"/>
    <mergeCell ref="A8:C8"/>
    <mergeCell ref="A10:A11"/>
    <mergeCell ref="B10:B11"/>
    <mergeCell ref="C10:G11"/>
    <mergeCell ref="H10:H11"/>
    <mergeCell ref="I10:I11"/>
    <mergeCell ref="C15:G15"/>
    <mergeCell ref="C16:G16"/>
    <mergeCell ref="C12:G12"/>
    <mergeCell ref="J22:K22"/>
    <mergeCell ref="A19:I19"/>
    <mergeCell ref="J19:K19"/>
    <mergeCell ref="C13:G13"/>
    <mergeCell ref="C14:G14"/>
    <mergeCell ref="C17:G17"/>
    <mergeCell ref="C18:G18"/>
  </mergeCells>
  <phoneticPr fontId="39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selection activeCell="L24" sqref="L24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46" t="s">
        <v>3</v>
      </c>
      <c r="B1" s="146"/>
      <c r="C1" s="146"/>
      <c r="D1" s="147">
        <v>2021</v>
      </c>
      <c r="E1" s="147"/>
      <c r="F1" s="4"/>
      <c r="G1" s="4"/>
      <c r="H1" s="5"/>
      <c r="I1" s="5"/>
      <c r="J1" s="5"/>
      <c r="K1" s="5"/>
      <c r="L1" s="5"/>
      <c r="M1" s="5"/>
      <c r="N1" s="5"/>
      <c r="P1" s="148" t="s">
        <v>28</v>
      </c>
      <c r="Q1" s="148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48"/>
      <c r="Q2" s="148"/>
    </row>
    <row r="4" spans="1:17" s="6" customFormat="1" ht="18" customHeight="1" thickBot="1" x14ac:dyDescent="0.25">
      <c r="A4" s="149" t="s">
        <v>29</v>
      </c>
      <c r="B4" s="149"/>
      <c r="C4" s="149"/>
      <c r="D4" s="149"/>
      <c r="E4" s="149"/>
      <c r="F4" s="149"/>
      <c r="G4" s="150" t="str">
        <f>' NotaPedido'!D3</f>
        <v>40- Ministerio de Salud</v>
      </c>
      <c r="H4" s="150"/>
      <c r="I4" s="150"/>
      <c r="J4" s="150"/>
      <c r="K4" s="150"/>
      <c r="L4" s="150"/>
      <c r="M4" s="150"/>
      <c r="N4" s="150"/>
      <c r="O4" s="150"/>
      <c r="P4" s="150"/>
      <c r="Q4" s="150"/>
    </row>
    <row r="5" spans="1:17" s="6" customFormat="1" ht="18" customHeight="1" thickBot="1" x14ac:dyDescent="0.25">
      <c r="A5" s="154" t="s">
        <v>15</v>
      </c>
      <c r="B5" s="155"/>
      <c r="C5" s="155"/>
      <c r="D5" s="155"/>
      <c r="E5" s="155"/>
      <c r="F5" s="156"/>
      <c r="G5" s="150" t="str">
        <f>' NotaPedido'!D4</f>
        <v>28- Maternidad Provincial 25 de Mayo</v>
      </c>
      <c r="H5" s="150"/>
      <c r="I5" s="150"/>
      <c r="J5" s="150"/>
      <c r="K5" s="150"/>
      <c r="L5" s="150"/>
      <c r="M5" s="150"/>
      <c r="N5" s="150"/>
      <c r="O5" s="150"/>
      <c r="P5" s="150"/>
      <c r="Q5" s="150"/>
    </row>
    <row r="6" spans="1:17" s="6" customFormat="1" ht="18" customHeight="1" thickBot="1" x14ac:dyDescent="0.25">
      <c r="A6" s="154" t="s">
        <v>16</v>
      </c>
      <c r="B6" s="155"/>
      <c r="C6" s="155"/>
      <c r="D6" s="155"/>
      <c r="E6" s="155"/>
      <c r="F6" s="156"/>
      <c r="G6" s="150" t="str">
        <f>' NotaPedido'!D5</f>
        <v xml:space="preserve">169- Direccion Asistencial </v>
      </c>
      <c r="H6" s="150"/>
      <c r="I6" s="150"/>
      <c r="J6" s="150"/>
      <c r="K6" s="150"/>
      <c r="L6" s="150"/>
      <c r="M6" s="150"/>
      <c r="N6" s="150"/>
      <c r="O6" s="150"/>
      <c r="P6" s="150"/>
      <c r="Q6" s="150"/>
    </row>
    <row r="7" spans="1:17" s="6" customFormat="1" ht="18" customHeight="1" thickBot="1" x14ac:dyDescent="0.25">
      <c r="A7" s="154" t="s">
        <v>17</v>
      </c>
      <c r="B7" s="155"/>
      <c r="C7" s="155"/>
      <c r="D7" s="155"/>
      <c r="E7" s="155"/>
      <c r="F7" s="156"/>
      <c r="G7" s="150" t="str">
        <f>' NotaPedido'!D6</f>
        <v>Servicio de Laboratorio</v>
      </c>
      <c r="H7" s="150"/>
      <c r="I7" s="150"/>
      <c r="J7" s="150"/>
      <c r="K7" s="150"/>
      <c r="L7" s="150"/>
      <c r="M7" s="150"/>
      <c r="N7" s="150"/>
      <c r="O7" s="150"/>
      <c r="P7" s="150"/>
      <c r="Q7" s="150"/>
    </row>
    <row r="8" spans="1:17" ht="18" customHeight="1" thickBot="1" x14ac:dyDescent="0.25">
      <c r="A8" s="157" t="s">
        <v>30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</row>
    <row r="9" spans="1:17" ht="18" customHeight="1" x14ac:dyDescent="0.2">
      <c r="A9" s="151" t="s">
        <v>31</v>
      </c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"/>
      <c r="P9" s="1"/>
      <c r="Q9" s="7"/>
    </row>
    <row r="10" spans="1:17" ht="54.75" customHeight="1" x14ac:dyDescent="0.2">
      <c r="A10" s="152" t="s">
        <v>78</v>
      </c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53" t="s">
        <v>32</v>
      </c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</row>
    <row r="13" spans="1:17" ht="15.75" customHeight="1" thickBot="1" x14ac:dyDescent="0.25">
      <c r="A13" s="133" t="s">
        <v>33</v>
      </c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4" t="s">
        <v>34</v>
      </c>
      <c r="P13" s="134"/>
      <c r="Q13" s="135" t="s">
        <v>35</v>
      </c>
    </row>
    <row r="14" spans="1:17" ht="15.75" customHeight="1" thickBot="1" x14ac:dyDescent="0.25">
      <c r="A14" s="12" t="s">
        <v>36</v>
      </c>
      <c r="B14" s="13" t="s">
        <v>37</v>
      </c>
      <c r="C14" s="13" t="s">
        <v>38</v>
      </c>
      <c r="D14" s="13" t="s">
        <v>39</v>
      </c>
      <c r="E14" s="13" t="s">
        <v>40</v>
      </c>
      <c r="F14" s="13" t="s">
        <v>41</v>
      </c>
      <c r="G14" s="14" t="s">
        <v>42</v>
      </c>
      <c r="H14" s="13" t="s">
        <v>43</v>
      </c>
      <c r="I14" s="13" t="s">
        <v>44</v>
      </c>
      <c r="J14" s="13" t="s">
        <v>45</v>
      </c>
      <c r="K14" s="13" t="s">
        <v>45</v>
      </c>
      <c r="L14" s="13" t="s">
        <v>46</v>
      </c>
      <c r="M14" s="15" t="s">
        <v>47</v>
      </c>
      <c r="N14" s="16" t="s">
        <v>48</v>
      </c>
      <c r="O14" s="134"/>
      <c r="P14" s="134"/>
      <c r="Q14" s="135"/>
    </row>
    <row r="15" spans="1:17" ht="28.5" customHeight="1" thickBot="1" x14ac:dyDescent="0.25">
      <c r="A15" s="19">
        <v>42</v>
      </c>
      <c r="B15" s="20"/>
      <c r="C15" s="20"/>
      <c r="D15" s="20">
        <v>2</v>
      </c>
      <c r="E15" s="20"/>
      <c r="F15" s="20">
        <v>4901</v>
      </c>
      <c r="G15" s="20">
        <v>3</v>
      </c>
      <c r="H15" s="20">
        <v>1</v>
      </c>
      <c r="I15" s="20">
        <v>2</v>
      </c>
      <c r="J15" s="20">
        <v>5</v>
      </c>
      <c r="K15" s="20">
        <v>1</v>
      </c>
      <c r="L15" s="20"/>
      <c r="M15" s="21">
        <v>1</v>
      </c>
      <c r="N15" s="20" t="s">
        <v>49</v>
      </c>
      <c r="O15" s="136" t="s">
        <v>67</v>
      </c>
      <c r="P15" s="137"/>
      <c r="Q15" s="23">
        <v>294250</v>
      </c>
    </row>
    <row r="16" spans="1:17" ht="28.5" customHeight="1" thickBot="1" x14ac:dyDescent="0.25">
      <c r="A16" s="19">
        <v>42</v>
      </c>
      <c r="B16" s="20"/>
      <c r="C16" s="20"/>
      <c r="D16" s="20">
        <v>2</v>
      </c>
      <c r="E16" s="20"/>
      <c r="F16" s="20">
        <v>4901</v>
      </c>
      <c r="G16" s="20">
        <v>3</v>
      </c>
      <c r="H16" s="20">
        <v>1</v>
      </c>
      <c r="I16" s="20">
        <v>2</v>
      </c>
      <c r="J16" s="20">
        <v>9</v>
      </c>
      <c r="K16" s="20">
        <v>5</v>
      </c>
      <c r="L16" s="20"/>
      <c r="M16" s="21">
        <v>1</v>
      </c>
      <c r="N16" s="20" t="s">
        <v>49</v>
      </c>
      <c r="O16" s="136" t="s">
        <v>84</v>
      </c>
      <c r="P16" s="137"/>
      <c r="Q16" s="23">
        <v>2400</v>
      </c>
    </row>
    <row r="17" spans="1:17" ht="28.5" customHeight="1" thickBot="1" x14ac:dyDescent="0.25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1"/>
      <c r="N17" s="20"/>
      <c r="O17" s="136"/>
      <c r="P17" s="137"/>
      <c r="Q17" s="23"/>
    </row>
    <row r="18" spans="1:17" ht="28.5" customHeight="1" x14ac:dyDescent="0.2">
      <c r="A18" s="19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1"/>
      <c r="N18" s="20"/>
      <c r="O18" s="136"/>
      <c r="P18" s="137"/>
      <c r="Q18" s="23"/>
    </row>
    <row r="19" spans="1:17" ht="31.5" customHeight="1" thickBot="1" x14ac:dyDescent="0.25">
      <c r="A19" s="139" t="s">
        <v>93</v>
      </c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7">
        <f>SUM(Q15:Q18)</f>
        <v>296650</v>
      </c>
    </row>
    <row r="20" spans="1:17" ht="18" customHeight="1" thickBot="1" x14ac:dyDescent="0.25">
      <c r="A20" s="140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</row>
    <row r="21" spans="1:17" ht="17.25" customHeight="1" thickBot="1" x14ac:dyDescent="0.25">
      <c r="A21" s="142" t="s">
        <v>50</v>
      </c>
      <c r="B21" s="143"/>
      <c r="C21" s="143"/>
      <c r="D21" s="143"/>
      <c r="E21" s="143"/>
      <c r="F21" s="144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</row>
    <row r="22" spans="1:17" ht="18" customHeight="1" thickBot="1" x14ac:dyDescent="0.25">
      <c r="A22" s="138" t="s">
        <v>79</v>
      </c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</row>
    <row r="23" spans="1:17" ht="26.25" customHeight="1" thickBot="1" x14ac:dyDescent="0.25">
      <c r="A23" s="138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</row>
  </sheetData>
  <mergeCells count="27"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  <mergeCell ref="A13:N13"/>
    <mergeCell ref="O13:P14"/>
    <mergeCell ref="Q13:Q14"/>
    <mergeCell ref="O18:P18"/>
    <mergeCell ref="A22:Q23"/>
    <mergeCell ref="A19:P19"/>
    <mergeCell ref="A20:Q20"/>
    <mergeCell ref="O17:P17"/>
    <mergeCell ref="A21:F21"/>
    <mergeCell ref="G21:Q21"/>
    <mergeCell ref="O15:P15"/>
    <mergeCell ref="O16:P16"/>
  </mergeCells>
  <phoneticPr fontId="42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ARIEL</cp:lastModifiedBy>
  <cp:revision>2</cp:revision>
  <cp:lastPrinted>2021-02-26T14:25:47Z</cp:lastPrinted>
  <dcterms:created xsi:type="dcterms:W3CDTF">2020-07-17T23:44:49Z</dcterms:created>
  <dcterms:modified xsi:type="dcterms:W3CDTF">2021-07-13T14:05:02Z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