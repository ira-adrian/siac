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A1B338A5-BEE3-495E-8C9A-14B08C94E54C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Trimestrales'!$A$9:$I$9</definedName>
    <definedName name="_xlnm.Print_Area" localSheetId="1">' NotaPedido'!$A$1:$K$37</definedName>
    <definedName name="_xlnm.Print_Area" localSheetId="2">'Autor Gastar'!$A$1:$Q$25</definedName>
    <definedName name="_xlnm.Print_Area" localSheetId="0">'Necesidades Trimestrales'!$E$9:$E$9</definedName>
  </definedNames>
  <calcPr calcId="181029"/>
</workbook>
</file>

<file path=xl/calcChain.xml><?xml version="1.0" encoding="utf-8"?>
<calcChain xmlns="http://schemas.openxmlformats.org/spreadsheetml/2006/main">
  <c r="K36" i="2" l="1"/>
  <c r="J36" i="2"/>
  <c r="I36" i="2"/>
  <c r="C36" i="2"/>
  <c r="K35" i="2"/>
  <c r="J35" i="2"/>
  <c r="I35" i="2"/>
  <c r="C35" i="2"/>
  <c r="I34" i="1"/>
  <c r="I33" i="1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J37" i="2" l="1"/>
  <c r="A10" i="3"/>
  <c r="G6" i="3" l="1"/>
  <c r="D7" i="2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<sst xmlns="http://schemas.openxmlformats.org/spreadsheetml/2006/main" count="176" uniqueCount="97">
  <si>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</si>
  <si>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</si>
  <si>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</si>
  <si>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</si>
  <si>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</si>
  <si>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</si>
  <si>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</si>
  <si>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</si>
  <si>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</si>
  <si>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</si>
  <si>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</si>
  <si>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</si>
  <si>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</si>
  <si>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</si>
  <si>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</si>
  <si>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</si>
  <si>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</si>
  <si>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</si>
  <si>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</si>
  <si>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</si>
  <si>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</si>
  <si>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</si>
  <si>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</si>
  <si>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</si>
  <si>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</si>
  <si>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</si>
  <si>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</si>
  <si>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</si>
  <si>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</si>
  <si>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</si>
  <si>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</si>
  <si>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</si>
  <si>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</si>
  <si>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</si>
  <si>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</si>
  <si>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</si>
  <si>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</si>
  <si>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</si>
  <si>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</si>
  <si>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</si>
  <si>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</si>
  <si>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</si>
  <si>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</si>
  <si>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</si>
  <si>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</si>
  <si>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</si>
  <si>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</si>
  <si>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</si>
  <si>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</si>
  <si>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</si>
  <si>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</si>
  <si>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</si>
  <si>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</si>
  <si>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</si>
  <si>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</si>
  <si>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</si>
  <si>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</si>
  <si>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</si>
  <si>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</si>
  <si>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</si>
  <si>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</si>
  <si>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</si>
  <si>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Mantenimiento de Oferta:</t>
  </si>
  <si>
    <t xml:space="preserve">45 dias habiles </t>
  </si>
  <si>
    <t>CARBAMAZEPINA SUSPENSION ORAL 2%</t>
  </si>
  <si>
    <t>ACIDO VALPROICO 500MG/5ML AMPOLLA</t>
  </si>
  <si>
    <t>ACIDO POLIACRILICO0,02% GEL</t>
  </si>
  <si>
    <t xml:space="preserve">CICLOPENTOLATO 1%X 5ML </t>
  </si>
  <si>
    <t>APOSITO HIDROCOLOIDE CUADRADO 10 X 10 CM</t>
  </si>
  <si>
    <t>APOSITO HIDROCOLIDE OVALADO 14 X 17 CM</t>
  </si>
  <si>
    <t>APOSITO HIDROCOLOIDE FINO 7 X 9 CM</t>
  </si>
  <si>
    <t>ACIDO AMINOCAPROICO 2G AMPOLLA</t>
  </si>
  <si>
    <t>DIGOXINA 0,25 MG AMPOLLA</t>
  </si>
  <si>
    <t>ADENOSINA 6 MG AMPOLLA</t>
  </si>
  <si>
    <t>CLONIDINA AMPOLLAS</t>
  </si>
  <si>
    <t>SILDENAFIL 50 MG COMPRIDOS</t>
  </si>
  <si>
    <t>HIDROCLOROTIAZIDA 25 MG COMPRIMIDO</t>
  </si>
  <si>
    <t>CARVEDILOL 3,125 MG COMPRIMIDO</t>
  </si>
  <si>
    <t>ENALAPRIL 1,25 MG/ML AMPOLLA</t>
  </si>
  <si>
    <t>FLUCONAZOL 50MG/5ML SUSENSION X 35 ML</t>
  </si>
  <si>
    <t>ALUMINIO HIDROXIDO + MAGNESIO HIDROXIDO SUSPENSIÓN x160 ML</t>
  </si>
  <si>
    <t>RANITIDINA 50 MG AMPOLLA</t>
  </si>
  <si>
    <t>DOMPERIDONA 1%GOTAS x 20 ML</t>
  </si>
  <si>
    <t>DOMPERIDONA 4MG AMPOLLAS X 3 ML</t>
  </si>
  <si>
    <t>VASELINA LIQUIDA X 1 LITRO</t>
  </si>
  <si>
    <t>CARBON ACTIVADO POLVO x 1 kg</t>
  </si>
  <si>
    <t>GLUCONATO DE POTASIO 150 ML JBE</t>
  </si>
  <si>
    <t>Unidad</t>
  </si>
  <si>
    <t>Para la adquisición de MEDICAMENTOS destinados al Servicio de Farmacia del Hospital Interzonal de Niños Eva Peron, para el normal funcionamiento del organismo.</t>
  </si>
  <si>
    <t>093/2021</t>
  </si>
  <si>
    <t xml:space="preserve">MEDICAMENTOS 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</si>
  <si>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12 meses.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</si>
  <si>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</t>
    </r>
  </si>
  <si>
    <t>MEBENDAZOL 100 MG COMPRIMIDO</t>
  </si>
  <si>
    <t>METOCLOPRAMIDA 0,2 % GOTAS x 20 ML</t>
  </si>
  <si>
    <t>Costo total estimado: Un millom Trescientos cincuenta y un mil seis Con 10/100.</t>
  </si>
  <si>
    <t>TOTAL DE PESOS: Un millom Trescientos cincuenta y un mil seis Con 10/100.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</si>
</sst>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FF00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67" fontId="15" fillId="0" borderId="0" applyBorder="0" applyProtection="0"/>
    <xf numFmtId="0" fontId="2" fillId="0" borderId="1" applyProtection="0"/>
    <xf numFmtId="166" fontId="3" fillId="0" borderId="0" applyBorder="0" applyProtection="0"/>
    <xf numFmtId="0" fontId="4" fillId="2" borderId="0" applyBorder="0" applyProtection="0"/>
    <xf numFmtId="0" fontId="15" fillId="0" borderId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8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8" fontId="0" fillId="0" borderId="37" xfId="3" applyNumberFormat="1" applyFont="1" applyBorder="1" applyAlignment="1" applyProtection="1">
      <alignment horizontal="center" vertical="center"/>
    </xf>
    <xf numFmtId="168" fontId="14" fillId="0" borderId="3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9" xfId="0" applyFont="1" applyBorder="1" applyAlignment="1">
      <alignment horizontal="left" indent="3"/>
    </xf>
    <xf numFmtId="0" fontId="16" fillId="0" borderId="10" xfId="0" applyFont="1" applyBorder="1"/>
    <xf numFmtId="0" fontId="16" fillId="0" borderId="11" xfId="0" applyFont="1" applyBorder="1"/>
    <xf numFmtId="168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71" fontId="21" fillId="0" borderId="0" xfId="0" applyNumberFormat="1" applyFont="1"/>
    <xf numFmtId="171" fontId="22" fillId="0" borderId="0" xfId="0" applyNumberFormat="1" applyFont="1" applyAlignment="1">
      <alignment horizontal="left" wrapText="1"/>
    </xf>
    <xf numFmtId="169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8" fontId="0" fillId="0" borderId="53" xfId="3" applyNumberFormat="1" applyFont="1" applyBorder="1" applyAlignment="1" applyProtection="1">
      <alignment horizontal="center" vertical="center"/>
    </xf>
    <xf numFmtId="0" fontId="16" fillId="0" borderId="7" xfId="0" applyFont="1" applyBorder="1" applyAlignment="1">
      <alignment horizontal="left" indent="3"/>
    </xf>
    <xf numFmtId="0" fontId="15" fillId="0" borderId="32" xfId="0" applyFont="1" applyBorder="1" applyAlignment="1">
      <alignment horizontal="center" vertical="center"/>
    </xf>
    <xf numFmtId="0" fontId="5" fillId="3" borderId="56" xfId="0" applyFont="1" applyFill="1" applyBorder="1" applyAlignment="1">
      <alignment horizontal="left" vertical="center"/>
    </xf>
    <xf numFmtId="0" fontId="5" fillId="4" borderId="56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171" fontId="25" fillId="0" borderId="16" xfId="0" applyNumberFormat="1" applyFont="1" applyBorder="1" applyAlignment="1">
      <alignment horizontal="center" vertical="center" wrapText="1"/>
    </xf>
    <xf numFmtId="0" fontId="5" fillId="3" borderId="59" xfId="0" applyFont="1" applyFill="1" applyBorder="1" applyAlignment="1">
      <alignment horizontal="left" vertical="center"/>
    </xf>
    <xf numFmtId="0" fontId="15" fillId="0" borderId="56" xfId="0" applyFont="1" applyFill="1" applyBorder="1" applyAlignment="1">
      <alignment horizontal="left" vertical="center"/>
    </xf>
    <xf numFmtId="0" fontId="0" fillId="0" borderId="60" xfId="0" applyFill="1" applyBorder="1" applyAlignment="1">
      <alignment horizontal="center" vertical="top" wrapText="1"/>
    </xf>
    <xf numFmtId="0" fontId="0" fillId="0" borderId="56" xfId="0" applyFill="1" applyBorder="1" applyAlignment="1">
      <alignment horizontal="center" vertical="center" wrapText="1"/>
    </xf>
    <xf numFmtId="165" fontId="15" fillId="0" borderId="56" xfId="6" applyNumberFormat="1" applyFont="1" applyFill="1" applyBorder="1" applyAlignment="1">
      <alignment horizontal="left" vertical="center"/>
    </xf>
    <xf numFmtId="0" fontId="15" fillId="0" borderId="56" xfId="0" applyFont="1" applyFill="1" applyBorder="1" applyAlignment="1">
      <alignment horizontal="left" vertical="center" wrapText="1"/>
    </xf>
    <xf numFmtId="0" fontId="0" fillId="0" borderId="56" xfId="0" applyFill="1" applyBorder="1" applyAlignment="1">
      <alignment horizontal="left"/>
    </xf>
    <xf numFmtId="0" fontId="0" fillId="0" borderId="56" xfId="0" applyFill="1" applyBorder="1" applyAlignment="1">
      <alignment horizontal="center"/>
    </xf>
    <xf numFmtId="0" fontId="23" fillId="0" borderId="4" xfId="0" applyFont="1" applyBorder="1" applyAlignment="1">
      <alignment horizontal="left" indent="3"/>
    </xf>
    <xf numFmtId="0" fontId="16" fillId="0" borderId="0" xfId="0" applyFont="1" applyAlignment="1">
      <alignment vertical="center"/>
    </xf>
    <xf numFmtId="0" fontId="23" fillId="0" borderId="7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21" fillId="0" borderId="57" xfId="0" applyFont="1" applyFill="1" applyBorder="1" applyAlignment="1">
      <alignment horizontal="center" vertical="center"/>
    </xf>
    <xf numFmtId="0" fontId="0" fillId="0" borderId="56" xfId="0" applyFill="1" applyBorder="1"/>
    <xf numFmtId="0" fontId="15" fillId="0" borderId="56" xfId="0" applyFont="1" applyFill="1" applyBorder="1" applyAlignment="1">
      <alignment wrapText="1"/>
    </xf>
    <xf numFmtId="0" fontId="22" fillId="0" borderId="56" xfId="0" applyFont="1" applyFill="1" applyBorder="1" applyAlignment="1">
      <alignment horizontal="center" vertical="center" wrapText="1"/>
    </xf>
    <xf numFmtId="0" fontId="0" fillId="0" borderId="59" xfId="0" applyFill="1" applyBorder="1"/>
    <xf numFmtId="0" fontId="0" fillId="0" borderId="56" xfId="0" applyFill="1" applyBorder="1" applyAlignment="1">
      <alignment wrapText="1"/>
    </xf>
    <xf numFmtId="0" fontId="0" fillId="0" borderId="60" xfId="0" applyFill="1" applyBorder="1" applyAlignment="1">
      <alignment horizontal="center"/>
    </xf>
    <xf numFmtId="0" fontId="0" fillId="0" borderId="60" xfId="0" applyFill="1" applyBorder="1" applyAlignment="1">
      <alignment horizontal="center" vertical="center" wrapText="1"/>
    </xf>
    <xf numFmtId="0" fontId="27" fillId="0" borderId="60" xfId="0" applyFont="1" applyFill="1" applyBorder="1" applyAlignment="1">
      <alignment horizontal="center" vertical="center" wrapText="1"/>
    </xf>
    <xf numFmtId="0" fontId="27" fillId="0" borderId="56" xfId="0" applyFont="1" applyFill="1" applyBorder="1" applyAlignment="1">
      <alignment horizontal="center" vertical="center" wrapText="1"/>
    </xf>
    <xf numFmtId="0" fontId="27" fillId="0" borderId="56" xfId="0" applyFont="1" applyFill="1" applyBorder="1" applyAlignment="1">
      <alignment horizontal="left"/>
    </xf>
    <xf numFmtId="0" fontId="15" fillId="0" borderId="56" xfId="0" applyFont="1" applyFill="1" applyBorder="1" applyAlignment="1">
      <alignment horizontal="left" wrapText="1"/>
    </xf>
    <xf numFmtId="0" fontId="15" fillId="0" borderId="60" xfId="0" applyFont="1" applyFill="1" applyBorder="1" applyAlignment="1">
      <alignment vertical="center" wrapText="1"/>
    </xf>
    <xf numFmtId="0" fontId="0" fillId="0" borderId="62" xfId="0" applyFill="1" applyBorder="1" applyAlignment="1">
      <alignment horizontal="center" vertical="center" wrapText="1"/>
    </xf>
    <xf numFmtId="0" fontId="27" fillId="0" borderId="61" xfId="0" applyFont="1" applyFill="1" applyBorder="1" applyAlignment="1">
      <alignment horizontal="left" wrapText="1"/>
    </xf>
    <xf numFmtId="164" fontId="0" fillId="0" borderId="56" xfId="1" applyNumberFormat="1" applyFont="1" applyFill="1" applyBorder="1" applyAlignment="1">
      <alignment vertical="center" wrapText="1"/>
    </xf>
    <xf numFmtId="164" fontId="21" fillId="0" borderId="58" xfId="1" applyNumberFormat="1" applyFont="1" applyFill="1" applyBorder="1" applyAlignment="1" applyProtection="1">
      <alignment horizontal="right" vertical="center" wrapText="1"/>
    </xf>
    <xf numFmtId="164" fontId="0" fillId="0" borderId="56" xfId="1" applyNumberFormat="1" applyFont="1" applyFill="1" applyBorder="1" applyAlignment="1"/>
    <xf numFmtId="164" fontId="27" fillId="0" borderId="56" xfId="1" applyNumberFormat="1" applyFont="1" applyFill="1" applyBorder="1" applyAlignment="1">
      <alignment vertical="center" wrapText="1"/>
    </xf>
    <xf numFmtId="164" fontId="0" fillId="0" borderId="56" xfId="0" applyNumberFormat="1" applyFill="1" applyBorder="1"/>
    <xf numFmtId="164" fontId="5" fillId="3" borderId="2" xfId="1" applyNumberFormat="1" applyFont="1" applyFill="1" applyBorder="1" applyAlignment="1" applyProtection="1">
      <alignment horizontal="right" vertical="center" wrapText="1"/>
    </xf>
    <xf numFmtId="0" fontId="0" fillId="0" borderId="0" xfId="0" applyNumberFormat="1"/>
    <xf numFmtId="0" fontId="15" fillId="5" borderId="56" xfId="0" applyFont="1" applyFill="1" applyBorder="1" applyAlignment="1">
      <alignment horizontal="left" vertical="center" wrapText="1"/>
    </xf>
    <xf numFmtId="0" fontId="0" fillId="5" borderId="60" xfId="0" applyFill="1" applyBorder="1" applyAlignment="1">
      <alignment horizontal="center" vertical="center" wrapText="1"/>
    </xf>
    <xf numFmtId="0" fontId="0" fillId="5" borderId="56" xfId="0" applyFill="1" applyBorder="1" applyAlignment="1">
      <alignment horizontal="center" vertical="center" wrapText="1"/>
    </xf>
    <xf numFmtId="168" fontId="21" fillId="6" borderId="58" xfId="1" applyNumberFormat="1" applyFont="1" applyFill="1" applyBorder="1" applyAlignment="1" applyProtection="1">
      <alignment horizontal="right" vertical="center" wrapText="1"/>
    </xf>
    <xf numFmtId="0" fontId="15" fillId="5" borderId="60" xfId="0" applyFont="1" applyFill="1" applyBorder="1" applyAlignment="1">
      <alignment vertical="center" wrapText="1"/>
    </xf>
    <xf numFmtId="164" fontId="0" fillId="7" borderId="56" xfId="0" applyNumberFormat="1" applyFill="1" applyBorder="1"/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4" borderId="0" xfId="0" applyFont="1" applyFill="1" applyBorder="1" applyAlignment="1">
      <alignment horizontal="left" wrapText="1" indent="1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16" fillId="4" borderId="8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left" vertical="center"/>
    </xf>
    <xf numFmtId="164" fontId="8" fillId="3" borderId="16" xfId="0" applyNumberFormat="1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12" fillId="0" borderId="13" xfId="0" applyFont="1" applyBorder="1" applyAlignment="1">
      <alignment horizontal="left" indent="1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26" fillId="0" borderId="30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4" borderId="24" xfId="0" applyFont="1" applyFill="1" applyBorder="1" applyAlignment="1">
      <alignment vertical="center" wrapText="1"/>
    </xf>
    <xf numFmtId="0" fontId="12" fillId="4" borderId="0" xfId="0" applyFont="1" applyFill="1" applyBorder="1" applyAlignment="1">
      <alignment vertical="center" wrapText="1"/>
    </xf>
    <xf numFmtId="0" fontId="12" fillId="4" borderId="12" xfId="0" applyFont="1" applyFill="1" applyBorder="1" applyAlignment="1">
      <alignment vertical="center" wrapText="1"/>
    </xf>
    <xf numFmtId="0" fontId="12" fillId="4" borderId="26" xfId="0" applyFont="1" applyFill="1" applyBorder="1" applyAlignment="1">
      <alignment vertical="center" wrapText="1"/>
    </xf>
    <xf numFmtId="0" fontId="12" fillId="4" borderId="14" xfId="0" applyFont="1" applyFill="1" applyBorder="1" applyAlignment="1">
      <alignment vertical="center" wrapText="1"/>
    </xf>
    <xf numFmtId="0" fontId="12" fillId="4" borderId="27" xfId="0" applyFont="1" applyFill="1" applyBorder="1" applyAlignment="1">
      <alignment vertical="center" wrapTex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0" borderId="38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 wrapText="1"/>
    </xf>
    <xf numFmtId="0" fontId="0" fillId="0" borderId="23" xfId="0" applyBorder="1"/>
  </cellXfs>
  <cellStyles count="7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5"/>
  <sheetViews>
    <sheetView tabSelected="1" topLeftCell="A7" zoomScale="93" zoomScaleNormal="93" workbookViewId="0">
      <selection activeCell="I34" sqref="I10:I34"/>
    </sheetView>
  </sheetViews>
  <sheetFormatPr baseColWidth="10" defaultColWidth="11" defaultRowHeight="12.75" x14ac:dyDescent="0.2"/>
  <cols>
    <col min="1" max="1" width="6.42578125" style="26" customWidth="1"/>
    <col min="2" max="2" width="8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48" customWidth="1"/>
    <col min="9" max="9" width="18.5703125" style="26" customWidth="1"/>
    <col min="10" max="10" width="11" style="26"/>
    <col min="11" max="11" width="13.140625" style="26" customWidth="1"/>
    <col min="12" max="16384" width="11" style="26"/>
  </cols>
  <sheetData>
    <row r="2" spans="1:9" ht="27" x14ac:dyDescent="0.35">
      <c r="B2" s="110" t="s">
        <v>0</v>
      </c>
      <c r="C2" s="110"/>
      <c r="D2" s="110"/>
      <c r="E2" s="110"/>
      <c r="F2" s="110"/>
      <c r="G2" s="110"/>
      <c r="H2" s="110"/>
    </row>
    <row r="3" spans="1:9" ht="12" customHeight="1" x14ac:dyDescent="0.2"/>
    <row r="4" spans="1:9" ht="35.25" customHeight="1" x14ac:dyDescent="0.25">
      <c r="A4" s="111" t="s">
        <v>1</v>
      </c>
      <c r="B4" s="111"/>
      <c r="C4" s="112" t="s">
        <v>52</v>
      </c>
      <c r="D4" s="112"/>
      <c r="E4" s="112"/>
      <c r="F4" s="27"/>
      <c r="G4" s="28"/>
      <c r="H4" s="49"/>
    </row>
    <row r="5" spans="1:9" ht="18" customHeight="1" x14ac:dyDescent="0.25">
      <c r="A5" s="111" t="s">
        <v>2</v>
      </c>
      <c r="B5" s="111"/>
      <c r="C5" s="112" t="s">
        <v>51</v>
      </c>
      <c r="D5" s="112"/>
      <c r="E5" s="112"/>
      <c r="F5" s="27"/>
      <c r="G5" s="28" t="s">
        <v>55</v>
      </c>
      <c r="H5" s="49"/>
    </row>
    <row r="6" spans="1:9" ht="16.5" customHeight="1" x14ac:dyDescent="0.25">
      <c r="A6" s="111" t="s">
        <v>3</v>
      </c>
      <c r="B6" s="111"/>
      <c r="C6" s="43">
        <v>2021</v>
      </c>
      <c r="D6" s="44"/>
      <c r="E6" s="44"/>
      <c r="F6" s="27"/>
      <c r="G6" s="28"/>
      <c r="H6" s="49"/>
    </row>
    <row r="7" spans="1:9" ht="16.5" customHeight="1" x14ac:dyDescent="0.25">
      <c r="A7" s="111" t="s">
        <v>4</v>
      </c>
      <c r="B7" s="111"/>
      <c r="C7" s="43">
        <v>2</v>
      </c>
      <c r="D7" s="44"/>
      <c r="E7" s="44"/>
      <c r="F7" s="27"/>
      <c r="G7" s="28"/>
      <c r="H7" s="49"/>
    </row>
    <row r="8" spans="1:9" ht="13.5" thickBot="1" x14ac:dyDescent="0.25">
      <c r="B8" s="27"/>
      <c r="C8" s="28"/>
      <c r="D8" s="27"/>
      <c r="E8" s="27"/>
      <c r="F8" s="27"/>
      <c r="G8" s="28"/>
      <c r="H8" s="49"/>
    </row>
    <row r="9" spans="1:9" ht="36.75" thickBot="1" x14ac:dyDescent="0.25">
      <c r="A9" s="66" t="s">
        <v>5</v>
      </c>
      <c r="B9" s="66" t="s">
        <v>6</v>
      </c>
      <c r="C9" s="66" t="s">
        <v>7</v>
      </c>
      <c r="D9" s="66" t="s">
        <v>8</v>
      </c>
      <c r="E9" s="66" t="s">
        <v>9</v>
      </c>
      <c r="F9" s="66" t="s">
        <v>10</v>
      </c>
      <c r="G9" s="66" t="s">
        <v>11</v>
      </c>
      <c r="H9" s="67" t="s">
        <v>12</v>
      </c>
      <c r="I9" s="66" t="s">
        <v>13</v>
      </c>
    </row>
    <row r="10" spans="1:9" ht="25.5" x14ac:dyDescent="0.2">
      <c r="A10" s="82">
        <v>1</v>
      </c>
      <c r="B10" s="83"/>
      <c r="C10" s="84" t="s">
        <v>58</v>
      </c>
      <c r="D10" s="85">
        <v>252</v>
      </c>
      <c r="E10" s="73" t="s">
        <v>64</v>
      </c>
      <c r="F10" s="70" t="s">
        <v>59</v>
      </c>
      <c r="G10" s="71">
        <v>10</v>
      </c>
      <c r="H10" s="97">
        <v>457</v>
      </c>
      <c r="I10" s="98">
        <f t="shared" ref="I10:I34" si="0">+G10*H10</f>
        <v>4570</v>
      </c>
    </row>
    <row r="11" spans="1:9" ht="25.5" x14ac:dyDescent="0.2">
      <c r="A11" s="82">
        <v>2</v>
      </c>
      <c r="B11" s="83"/>
      <c r="C11" s="84" t="s">
        <v>58</v>
      </c>
      <c r="D11" s="85">
        <v>252</v>
      </c>
      <c r="E11" s="73" t="s">
        <v>65</v>
      </c>
      <c r="F11" s="70" t="s">
        <v>59</v>
      </c>
      <c r="G11" s="71">
        <v>60</v>
      </c>
      <c r="H11" s="97">
        <v>848</v>
      </c>
      <c r="I11" s="98">
        <f t="shared" si="0"/>
        <v>50880</v>
      </c>
    </row>
    <row r="12" spans="1:9" ht="25.5" x14ac:dyDescent="0.2">
      <c r="A12" s="82">
        <v>3</v>
      </c>
      <c r="B12" s="86"/>
      <c r="C12" s="84" t="s">
        <v>58</v>
      </c>
      <c r="D12" s="85">
        <v>252</v>
      </c>
      <c r="E12" s="73" t="s">
        <v>66</v>
      </c>
      <c r="F12" s="70" t="s">
        <v>59</v>
      </c>
      <c r="G12" s="71">
        <v>20</v>
      </c>
      <c r="H12" s="97">
        <v>1088.3900000000001</v>
      </c>
      <c r="I12" s="98">
        <f t="shared" si="0"/>
        <v>21767.800000000003</v>
      </c>
    </row>
    <row r="13" spans="1:9" ht="25.5" x14ac:dyDescent="0.2">
      <c r="A13" s="82">
        <v>4</v>
      </c>
      <c r="B13" s="86"/>
      <c r="C13" s="84" t="s">
        <v>58</v>
      </c>
      <c r="D13" s="85">
        <v>252</v>
      </c>
      <c r="E13" s="73" t="s">
        <v>67</v>
      </c>
      <c r="F13" s="70" t="s">
        <v>59</v>
      </c>
      <c r="G13" s="71">
        <v>20</v>
      </c>
      <c r="H13" s="97">
        <v>583.44000000000005</v>
      </c>
      <c r="I13" s="98">
        <f t="shared" si="0"/>
        <v>11668.800000000001</v>
      </c>
    </row>
    <row r="14" spans="1:9" ht="25.5" x14ac:dyDescent="0.2">
      <c r="A14" s="82">
        <v>5</v>
      </c>
      <c r="B14" s="83"/>
      <c r="C14" s="84" t="s">
        <v>58</v>
      </c>
      <c r="D14" s="85">
        <v>252</v>
      </c>
      <c r="E14" s="87" t="s">
        <v>68</v>
      </c>
      <c r="F14" s="88" t="s">
        <v>59</v>
      </c>
      <c r="G14" s="75">
        <v>200</v>
      </c>
      <c r="H14" s="99">
        <v>350</v>
      </c>
      <c r="I14" s="98">
        <f t="shared" si="0"/>
        <v>70000</v>
      </c>
    </row>
    <row r="15" spans="1:9" ht="25.5" x14ac:dyDescent="0.2">
      <c r="A15" s="82">
        <v>6</v>
      </c>
      <c r="B15" s="83"/>
      <c r="C15" s="84" t="s">
        <v>58</v>
      </c>
      <c r="D15" s="85">
        <v>252</v>
      </c>
      <c r="E15" s="87" t="s">
        <v>69</v>
      </c>
      <c r="F15" s="88" t="s">
        <v>59</v>
      </c>
      <c r="G15" s="75">
        <v>200</v>
      </c>
      <c r="H15" s="99">
        <v>415</v>
      </c>
      <c r="I15" s="98">
        <f t="shared" si="0"/>
        <v>83000</v>
      </c>
    </row>
    <row r="16" spans="1:9" ht="25.5" x14ac:dyDescent="0.2">
      <c r="A16" s="82">
        <v>7</v>
      </c>
      <c r="B16" s="83"/>
      <c r="C16" s="84" t="s">
        <v>58</v>
      </c>
      <c r="D16" s="85">
        <v>252</v>
      </c>
      <c r="E16" s="87" t="s">
        <v>70</v>
      </c>
      <c r="F16" s="88" t="s">
        <v>59</v>
      </c>
      <c r="G16" s="75">
        <v>200</v>
      </c>
      <c r="H16" s="99">
        <v>280</v>
      </c>
      <c r="I16" s="98">
        <f t="shared" si="0"/>
        <v>56000</v>
      </c>
    </row>
    <row r="17" spans="1:9" ht="25.5" x14ac:dyDescent="0.2">
      <c r="A17" s="82">
        <v>8</v>
      </c>
      <c r="B17" s="83"/>
      <c r="C17" s="84" t="s">
        <v>58</v>
      </c>
      <c r="D17" s="85">
        <v>252</v>
      </c>
      <c r="E17" s="69" t="s">
        <v>71</v>
      </c>
      <c r="F17" s="89" t="s">
        <v>59</v>
      </c>
      <c r="G17" s="71">
        <v>100</v>
      </c>
      <c r="H17" s="97">
        <v>145.78</v>
      </c>
      <c r="I17" s="98">
        <f t="shared" si="0"/>
        <v>14578</v>
      </c>
    </row>
    <row r="18" spans="1:9" ht="25.5" x14ac:dyDescent="0.2">
      <c r="A18" s="82">
        <v>9</v>
      </c>
      <c r="B18" s="83"/>
      <c r="C18" s="84" t="s">
        <v>58</v>
      </c>
      <c r="D18" s="85">
        <v>252</v>
      </c>
      <c r="E18" s="73" t="s">
        <v>72</v>
      </c>
      <c r="F18" s="90" t="s">
        <v>59</v>
      </c>
      <c r="G18" s="91">
        <v>200</v>
      </c>
      <c r="H18" s="100">
        <v>178.25</v>
      </c>
      <c r="I18" s="98">
        <f t="shared" si="0"/>
        <v>35650</v>
      </c>
    </row>
    <row r="19" spans="1:9" ht="25.5" x14ac:dyDescent="0.2">
      <c r="A19" s="82">
        <v>10</v>
      </c>
      <c r="B19" s="83"/>
      <c r="C19" s="84" t="s">
        <v>58</v>
      </c>
      <c r="D19" s="85">
        <v>252</v>
      </c>
      <c r="E19" s="92" t="s">
        <v>73</v>
      </c>
      <c r="F19" s="90" t="s">
        <v>59</v>
      </c>
      <c r="G19" s="91">
        <v>300</v>
      </c>
      <c r="H19" s="100">
        <v>353</v>
      </c>
      <c r="I19" s="98">
        <f t="shared" si="0"/>
        <v>105900</v>
      </c>
    </row>
    <row r="20" spans="1:9" ht="25.5" x14ac:dyDescent="0.2">
      <c r="A20" s="82">
        <v>11</v>
      </c>
      <c r="B20" s="83"/>
      <c r="C20" s="84" t="s">
        <v>58</v>
      </c>
      <c r="D20" s="85">
        <v>252</v>
      </c>
      <c r="E20" s="73" t="s">
        <v>74</v>
      </c>
      <c r="F20" s="90" t="s">
        <v>59</v>
      </c>
      <c r="G20" s="91">
        <v>300</v>
      </c>
      <c r="H20" s="100">
        <v>85</v>
      </c>
      <c r="I20" s="98">
        <f t="shared" si="0"/>
        <v>25500</v>
      </c>
    </row>
    <row r="21" spans="1:9" ht="25.5" x14ac:dyDescent="0.2">
      <c r="A21" s="82">
        <v>12</v>
      </c>
      <c r="B21" s="86"/>
      <c r="C21" s="84" t="s">
        <v>58</v>
      </c>
      <c r="D21" s="85">
        <v>252</v>
      </c>
      <c r="E21" s="83" t="s">
        <v>75</v>
      </c>
      <c r="F21" s="88" t="s">
        <v>59</v>
      </c>
      <c r="G21" s="75">
        <v>20</v>
      </c>
      <c r="H21" s="99">
        <v>117</v>
      </c>
      <c r="I21" s="98">
        <f t="shared" si="0"/>
        <v>2340</v>
      </c>
    </row>
    <row r="22" spans="1:9" ht="25.5" x14ac:dyDescent="0.2">
      <c r="A22" s="82">
        <v>13</v>
      </c>
      <c r="B22" s="86"/>
      <c r="C22" s="84" t="s">
        <v>58</v>
      </c>
      <c r="D22" s="85">
        <v>252</v>
      </c>
      <c r="E22" s="92" t="s">
        <v>76</v>
      </c>
      <c r="F22" s="90" t="s">
        <v>59</v>
      </c>
      <c r="G22" s="91">
        <v>100</v>
      </c>
      <c r="H22" s="100">
        <v>4.62</v>
      </c>
      <c r="I22" s="98">
        <f t="shared" si="0"/>
        <v>462</v>
      </c>
    </row>
    <row r="23" spans="1:9" ht="25.5" x14ac:dyDescent="0.2">
      <c r="A23" s="82">
        <v>14</v>
      </c>
      <c r="B23" s="86"/>
      <c r="C23" s="84" t="s">
        <v>58</v>
      </c>
      <c r="D23" s="85">
        <v>252</v>
      </c>
      <c r="E23" s="92" t="s">
        <v>77</v>
      </c>
      <c r="F23" s="90" t="s">
        <v>59</v>
      </c>
      <c r="G23" s="91">
        <v>100</v>
      </c>
      <c r="H23" s="100">
        <v>13.7</v>
      </c>
      <c r="I23" s="98">
        <f t="shared" si="0"/>
        <v>1370</v>
      </c>
    </row>
    <row r="24" spans="1:9" ht="25.5" x14ac:dyDescent="0.2">
      <c r="A24" s="82">
        <v>15</v>
      </c>
      <c r="B24" s="86"/>
      <c r="C24" s="84" t="s">
        <v>58</v>
      </c>
      <c r="D24" s="85">
        <v>252</v>
      </c>
      <c r="E24" s="83" t="s">
        <v>78</v>
      </c>
      <c r="F24" s="90" t="s">
        <v>59</v>
      </c>
      <c r="G24" s="91">
        <v>50</v>
      </c>
      <c r="H24" s="100">
        <v>275</v>
      </c>
      <c r="I24" s="98">
        <f t="shared" si="0"/>
        <v>13750</v>
      </c>
    </row>
    <row r="25" spans="1:9" ht="25.5" x14ac:dyDescent="0.2">
      <c r="A25" s="82">
        <v>16</v>
      </c>
      <c r="B25" s="86"/>
      <c r="C25" s="84" t="s">
        <v>58</v>
      </c>
      <c r="D25" s="85">
        <v>252</v>
      </c>
      <c r="E25" s="87" t="s">
        <v>79</v>
      </c>
      <c r="F25" s="89" t="s">
        <v>59</v>
      </c>
      <c r="G25" s="71">
        <v>10</v>
      </c>
      <c r="H25" s="97">
        <v>2030</v>
      </c>
      <c r="I25" s="98">
        <f t="shared" si="0"/>
        <v>20300</v>
      </c>
    </row>
    <row r="26" spans="1:9" ht="25.5" x14ac:dyDescent="0.2">
      <c r="A26" s="82">
        <v>17</v>
      </c>
      <c r="B26" s="83"/>
      <c r="C26" s="84" t="s">
        <v>58</v>
      </c>
      <c r="D26" s="85">
        <v>252</v>
      </c>
      <c r="E26" s="93" t="s">
        <v>80</v>
      </c>
      <c r="F26" s="89" t="s">
        <v>59</v>
      </c>
      <c r="G26" s="71">
        <v>250</v>
      </c>
      <c r="H26" s="101">
        <v>728</v>
      </c>
      <c r="I26" s="98">
        <f t="shared" si="0"/>
        <v>182000</v>
      </c>
    </row>
    <row r="27" spans="1:9" ht="25.5" x14ac:dyDescent="0.2">
      <c r="A27" s="82">
        <v>18</v>
      </c>
      <c r="B27" s="83"/>
      <c r="C27" s="84" t="s">
        <v>58</v>
      </c>
      <c r="D27" s="85">
        <v>252</v>
      </c>
      <c r="E27" s="72" t="s">
        <v>81</v>
      </c>
      <c r="F27" s="89" t="s">
        <v>59</v>
      </c>
      <c r="G27" s="71">
        <v>5000</v>
      </c>
      <c r="H27" s="101">
        <v>30</v>
      </c>
      <c r="I27" s="98">
        <f t="shared" si="0"/>
        <v>150000</v>
      </c>
    </row>
    <row r="28" spans="1:9" ht="25.5" x14ac:dyDescent="0.2">
      <c r="A28" s="82">
        <v>19</v>
      </c>
      <c r="B28" s="83"/>
      <c r="C28" s="84" t="s">
        <v>58</v>
      </c>
      <c r="D28" s="85">
        <v>252</v>
      </c>
      <c r="E28" s="94" t="s">
        <v>82</v>
      </c>
      <c r="F28" s="89" t="s">
        <v>59</v>
      </c>
      <c r="G28" s="71">
        <v>300</v>
      </c>
      <c r="H28" s="101">
        <v>378</v>
      </c>
      <c r="I28" s="98">
        <f t="shared" si="0"/>
        <v>113400</v>
      </c>
    </row>
    <row r="29" spans="1:9" ht="25.5" x14ac:dyDescent="0.2">
      <c r="A29" s="82">
        <v>20</v>
      </c>
      <c r="B29" s="83"/>
      <c r="C29" s="84" t="s">
        <v>58</v>
      </c>
      <c r="D29" s="85">
        <v>252</v>
      </c>
      <c r="E29" s="94" t="s">
        <v>83</v>
      </c>
      <c r="F29" s="89" t="s">
        <v>59</v>
      </c>
      <c r="G29" s="71">
        <v>2000</v>
      </c>
      <c r="H29" s="101">
        <v>90.42</v>
      </c>
      <c r="I29" s="98">
        <f t="shared" si="0"/>
        <v>180840</v>
      </c>
    </row>
    <row r="30" spans="1:9" ht="25.5" x14ac:dyDescent="0.2">
      <c r="A30" s="82">
        <v>21</v>
      </c>
      <c r="B30" s="83"/>
      <c r="C30" s="84" t="s">
        <v>58</v>
      </c>
      <c r="D30" s="85">
        <v>252</v>
      </c>
      <c r="E30" s="74" t="s">
        <v>84</v>
      </c>
      <c r="F30" s="95" t="s">
        <v>59</v>
      </c>
      <c r="G30" s="71">
        <v>60</v>
      </c>
      <c r="H30" s="101">
        <v>450</v>
      </c>
      <c r="I30" s="98">
        <f t="shared" si="0"/>
        <v>27000</v>
      </c>
    </row>
    <row r="31" spans="1:9" ht="25.5" x14ac:dyDescent="0.2">
      <c r="A31" s="82">
        <v>22</v>
      </c>
      <c r="B31" s="83"/>
      <c r="C31" s="84" t="s">
        <v>58</v>
      </c>
      <c r="D31" s="85">
        <v>252</v>
      </c>
      <c r="E31" s="96" t="s">
        <v>85</v>
      </c>
      <c r="F31" s="95" t="s">
        <v>59</v>
      </c>
      <c r="G31" s="71">
        <v>3</v>
      </c>
      <c r="H31" s="101">
        <v>1000</v>
      </c>
      <c r="I31" s="98">
        <f t="shared" si="0"/>
        <v>3000</v>
      </c>
    </row>
    <row r="32" spans="1:9" ht="25.5" x14ac:dyDescent="0.2">
      <c r="A32" s="82">
        <v>23</v>
      </c>
      <c r="B32" s="83"/>
      <c r="C32" s="84" t="s">
        <v>58</v>
      </c>
      <c r="D32" s="85">
        <v>252</v>
      </c>
      <c r="E32" s="96" t="s">
        <v>86</v>
      </c>
      <c r="F32" s="89" t="s">
        <v>87</v>
      </c>
      <c r="G32" s="71">
        <v>100</v>
      </c>
      <c r="H32" s="101">
        <v>255.85</v>
      </c>
      <c r="I32" s="98">
        <f t="shared" si="0"/>
        <v>25585</v>
      </c>
    </row>
    <row r="33" spans="1:9" ht="25.5" x14ac:dyDescent="0.2">
      <c r="A33" s="82">
        <v>24</v>
      </c>
      <c r="B33" s="83"/>
      <c r="C33" s="84" t="s">
        <v>58</v>
      </c>
      <c r="D33" s="85">
        <v>252</v>
      </c>
      <c r="E33" s="104" t="s">
        <v>93</v>
      </c>
      <c r="F33" s="105" t="s">
        <v>59</v>
      </c>
      <c r="G33" s="106">
        <v>50</v>
      </c>
      <c r="H33" s="101">
        <v>28.89</v>
      </c>
      <c r="I33" s="107">
        <f t="shared" si="0"/>
        <v>1444.5</v>
      </c>
    </row>
    <row r="34" spans="1:9" ht="25.5" x14ac:dyDescent="0.2">
      <c r="A34" s="82">
        <v>25</v>
      </c>
      <c r="B34" s="83"/>
      <c r="C34" s="84" t="s">
        <v>58</v>
      </c>
      <c r="D34" s="85">
        <v>252</v>
      </c>
      <c r="E34" s="108" t="s">
        <v>94</v>
      </c>
      <c r="F34" s="105" t="s">
        <v>59</v>
      </c>
      <c r="G34" s="106">
        <v>500</v>
      </c>
      <c r="H34" s="109">
        <v>300</v>
      </c>
      <c r="I34" s="107">
        <f t="shared" si="0"/>
        <v>150000</v>
      </c>
    </row>
    <row r="35" spans="1:9" x14ac:dyDescent="0.2">
      <c r="I35" s="34"/>
    </row>
    <row r="36" spans="1:9" ht="13.5" thickBot="1" x14ac:dyDescent="0.25"/>
    <row r="37" spans="1:9" x14ac:dyDescent="0.2">
      <c r="B37" s="76" t="s">
        <v>60</v>
      </c>
      <c r="C37" s="29"/>
      <c r="D37" s="29"/>
      <c r="E37" s="30"/>
      <c r="F37" s="77"/>
      <c r="G37" s="51"/>
      <c r="H37" s="26"/>
    </row>
    <row r="38" spans="1:9" ht="12.75" customHeight="1" x14ac:dyDescent="0.2">
      <c r="B38" s="113" t="s">
        <v>61</v>
      </c>
      <c r="C38" s="114"/>
      <c r="D38" s="114"/>
      <c r="E38" s="115"/>
      <c r="F38" s="77"/>
      <c r="G38" s="51"/>
      <c r="H38" s="26"/>
    </row>
    <row r="39" spans="1:9" ht="57.75" customHeight="1" x14ac:dyDescent="0.2">
      <c r="B39" s="113"/>
      <c r="C39" s="114"/>
      <c r="D39" s="114"/>
      <c r="E39" s="115"/>
      <c r="F39" s="77"/>
      <c r="G39" s="51"/>
      <c r="H39" s="26"/>
    </row>
    <row r="40" spans="1:9" x14ac:dyDescent="0.2">
      <c r="B40" s="113" t="s">
        <v>91</v>
      </c>
      <c r="C40" s="114"/>
      <c r="D40" s="114"/>
      <c r="E40" s="115"/>
      <c r="F40" s="77"/>
      <c r="G40" s="51"/>
      <c r="H40" s="26"/>
    </row>
    <row r="41" spans="1:9" x14ac:dyDescent="0.2">
      <c r="B41" s="113" t="s">
        <v>92</v>
      </c>
      <c r="C41" s="114"/>
      <c r="D41" s="114"/>
      <c r="E41" s="115"/>
      <c r="F41" s="77"/>
      <c r="G41" s="51"/>
      <c r="H41" s="26"/>
    </row>
    <row r="42" spans="1:9" x14ac:dyDescent="0.2">
      <c r="B42" s="78" t="s">
        <v>62</v>
      </c>
      <c r="C42" s="79"/>
      <c r="D42" s="80"/>
      <c r="E42" s="81"/>
      <c r="F42" s="77"/>
      <c r="G42" s="51"/>
      <c r="H42" s="26"/>
    </row>
    <row r="43" spans="1:9" x14ac:dyDescent="0.2">
      <c r="B43" s="62"/>
      <c r="C43" s="116" t="s">
        <v>63</v>
      </c>
      <c r="D43" s="116"/>
      <c r="E43" s="116"/>
      <c r="F43" s="77"/>
      <c r="G43" s="51"/>
      <c r="H43" s="26"/>
    </row>
    <row r="44" spans="1:9" ht="13.5" thickBot="1" x14ac:dyDescent="0.25">
      <c r="B44" s="31"/>
      <c r="C44" s="32"/>
      <c r="D44" s="32"/>
      <c r="E44" s="33"/>
      <c r="F44" s="77"/>
      <c r="G44" s="51"/>
      <c r="H44" s="26"/>
    </row>
    <row r="45" spans="1:9" x14ac:dyDescent="0.2">
      <c r="E45" s="26" t="s">
        <v>55</v>
      </c>
    </row>
  </sheetData>
  <autoFilter ref="A9:I9" xr:uid="{00000000-0009-0000-0000-000000000000}"/>
  <mergeCells count="11">
    <mergeCell ref="B38:E39"/>
    <mergeCell ref="B40:E40"/>
    <mergeCell ref="B41:E41"/>
    <mergeCell ref="C43:E43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topLeftCell="A21" zoomScale="80" zoomScaleNormal="80" workbookViewId="0">
      <selection activeCell="A37" sqref="A37:I37"/>
    </sheetView>
  </sheetViews>
  <sheetFormatPr baseColWidth="10" defaultColWidth="9.140625" defaultRowHeight="12.75" x14ac:dyDescent="0.2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48.5703125" style="37" customWidth="1"/>
    <col min="8" max="8" width="9.28515625" style="37" customWidth="1"/>
    <col min="9" max="9" width="15.5703125" style="37" customWidth="1"/>
    <col min="10" max="10" width="14.7109375" style="37" customWidth="1"/>
    <col min="11" max="11" width="15.5703125" style="37" customWidth="1"/>
    <col min="12" max="13" width="5.85546875" style="37" customWidth="1"/>
    <col min="14" max="14" width="14.140625" style="37" customWidth="1"/>
    <col min="15" max="15" width="12.5703125" style="37" customWidth="1"/>
    <col min="16" max="1024" width="9.140625" style="37"/>
    <col min="1025" max="16384" width="9.140625" style="38"/>
  </cols>
  <sheetData>
    <row r="1" spans="1:11" ht="18" customHeight="1" x14ac:dyDescent="0.2">
      <c r="A1" s="118" t="s">
        <v>14</v>
      </c>
      <c r="B1" s="118"/>
      <c r="C1" s="118"/>
      <c r="D1" s="118"/>
      <c r="E1" s="118"/>
      <c r="F1" s="118"/>
      <c r="G1" s="118"/>
      <c r="H1" s="118"/>
      <c r="I1" s="118"/>
      <c r="J1" s="35" t="s">
        <v>15</v>
      </c>
      <c r="K1" s="36" t="s">
        <v>89</v>
      </c>
    </row>
    <row r="2" spans="1:11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1" ht="18.75" customHeight="1" thickBot="1" x14ac:dyDescent="0.25">
      <c r="A3" s="119" t="s">
        <v>48</v>
      </c>
      <c r="B3" s="119"/>
      <c r="C3" s="119"/>
      <c r="D3" s="120" t="str">
        <f>'Necesidades Trimestrales'!C4</f>
        <v>040 - Ministerio de Salud</v>
      </c>
      <c r="E3" s="120"/>
      <c r="F3" s="120"/>
      <c r="G3" s="120"/>
      <c r="H3" s="120"/>
      <c r="I3" s="120"/>
      <c r="J3" s="120"/>
      <c r="K3" s="120"/>
    </row>
    <row r="4" spans="1:11" ht="18.75" customHeight="1" thickBot="1" x14ac:dyDescent="0.25">
      <c r="A4" s="121" t="s">
        <v>49</v>
      </c>
      <c r="B4" s="121"/>
      <c r="C4" s="121"/>
      <c r="D4" s="120" t="str">
        <f>'Necesidades Trimestrales'!C5</f>
        <v>024 - Hospital Interzonal de Niños</v>
      </c>
      <c r="E4" s="120"/>
      <c r="F4" s="120"/>
      <c r="G4" s="120"/>
      <c r="H4" s="120"/>
      <c r="I4" s="120"/>
      <c r="J4" s="120"/>
      <c r="K4" s="120"/>
    </row>
    <row r="5" spans="1:11" ht="18.75" customHeight="1" thickBot="1" x14ac:dyDescent="0.25">
      <c r="A5" s="121" t="s">
        <v>27</v>
      </c>
      <c r="B5" s="121"/>
      <c r="C5" s="121"/>
      <c r="D5" s="120" t="s">
        <v>51</v>
      </c>
      <c r="E5" s="120"/>
      <c r="F5" s="120"/>
      <c r="G5" s="120"/>
      <c r="H5" s="120"/>
      <c r="I5" s="120"/>
      <c r="J5" s="120"/>
      <c r="K5" s="120"/>
    </row>
    <row r="6" spans="1:11" ht="16.5" customHeight="1" thickBot="1" x14ac:dyDescent="0.25">
      <c r="A6" s="119" t="s">
        <v>50</v>
      </c>
      <c r="B6" s="119"/>
      <c r="C6" s="119"/>
      <c r="D6" s="120" t="s">
        <v>57</v>
      </c>
      <c r="E6" s="120"/>
      <c r="F6" s="120"/>
      <c r="G6" s="120"/>
      <c r="H6" s="120"/>
      <c r="I6" s="120"/>
      <c r="J6" s="120"/>
      <c r="K6" s="120"/>
    </row>
    <row r="7" spans="1:11" ht="16.5" customHeight="1" x14ac:dyDescent="0.2">
      <c r="A7" s="121" t="s">
        <v>16</v>
      </c>
      <c r="B7" s="121"/>
      <c r="C7" s="121"/>
      <c r="D7" s="120" t="str">
        <f>'Necesidades Trimestrales'!C7 &amp; "° Trimestre - Año " &amp; 'Necesidades Trimestrales'!C6</f>
        <v>2° Trimestre - Año 2021</v>
      </c>
      <c r="E7" s="120"/>
      <c r="F7" s="120"/>
      <c r="G7" s="120"/>
      <c r="H7" s="120"/>
      <c r="I7" s="120"/>
      <c r="J7" s="120"/>
      <c r="K7" s="120"/>
    </row>
    <row r="8" spans="1:11" ht="16.5" customHeight="1" x14ac:dyDescent="0.2">
      <c r="A8" s="126" t="s">
        <v>17</v>
      </c>
      <c r="B8" s="126"/>
      <c r="C8" s="126"/>
      <c r="D8" s="122" t="s">
        <v>90</v>
      </c>
      <c r="E8" s="122"/>
      <c r="F8" s="122"/>
      <c r="G8" s="122"/>
      <c r="H8" s="122"/>
      <c r="I8" s="122"/>
      <c r="J8" s="122"/>
      <c r="K8" s="122"/>
    </row>
    <row r="9" spans="1:11" ht="15.75" x14ac:dyDescent="0.2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1" ht="18.75" customHeight="1" x14ac:dyDescent="0.2">
      <c r="A10" s="123" t="s">
        <v>18</v>
      </c>
      <c r="B10" s="124" t="s">
        <v>19</v>
      </c>
      <c r="C10" s="124" t="s">
        <v>20</v>
      </c>
      <c r="D10" s="124"/>
      <c r="E10" s="124"/>
      <c r="F10" s="124"/>
      <c r="G10" s="124"/>
      <c r="H10" s="124" t="s">
        <v>21</v>
      </c>
      <c r="I10" s="124" t="s">
        <v>22</v>
      </c>
      <c r="J10" s="124" t="s">
        <v>23</v>
      </c>
      <c r="K10" s="125" t="s">
        <v>24</v>
      </c>
    </row>
    <row r="11" spans="1:11" ht="24" customHeight="1" thickBot="1" x14ac:dyDescent="0.25">
      <c r="A11" s="123"/>
      <c r="B11" s="124"/>
      <c r="C11" s="124"/>
      <c r="D11" s="124"/>
      <c r="E11" s="124"/>
      <c r="F11" s="124"/>
      <c r="G11" s="124"/>
      <c r="H11" s="124"/>
      <c r="I11" s="124"/>
      <c r="J11" s="124"/>
      <c r="K11" s="125"/>
    </row>
    <row r="12" spans="1:11" ht="27.75" customHeight="1" thickBot="1" x14ac:dyDescent="0.25">
      <c r="A12" s="45">
        <v>1</v>
      </c>
      <c r="B12" s="64"/>
      <c r="C12" s="117" t="str">
        <f>+'Necesidades Trimestrales'!E10</f>
        <v>CARBAMAZEPINA SUSPENSION ORAL 2%</v>
      </c>
      <c r="D12" s="117"/>
      <c r="E12" s="117"/>
      <c r="F12" s="117"/>
      <c r="G12" s="117"/>
      <c r="H12" s="65" t="s">
        <v>54</v>
      </c>
      <c r="I12" s="46" t="str">
        <f>+'Necesidades Trimestrales'!F10</f>
        <v>unidad</v>
      </c>
      <c r="J12" s="102">
        <f>+'Necesidades Trimestrales'!H10</f>
        <v>457</v>
      </c>
      <c r="K12" s="47">
        <f>+'Necesidades Trimestrales'!G10</f>
        <v>10</v>
      </c>
    </row>
    <row r="13" spans="1:11" ht="27.75" customHeight="1" thickBot="1" x14ac:dyDescent="0.25">
      <c r="A13" s="45">
        <v>2</v>
      </c>
      <c r="B13" s="64"/>
      <c r="C13" s="117" t="str">
        <f>+'Necesidades Trimestrales'!E11</f>
        <v>ACIDO VALPROICO 500MG/5ML AMPOLLA</v>
      </c>
      <c r="D13" s="117"/>
      <c r="E13" s="117"/>
      <c r="F13" s="117"/>
      <c r="G13" s="117"/>
      <c r="H13" s="65" t="s">
        <v>54</v>
      </c>
      <c r="I13" s="46" t="str">
        <f>+'Necesidades Trimestrales'!F11</f>
        <v>unidad</v>
      </c>
      <c r="J13" s="102">
        <f>+'Necesidades Trimestrales'!H11</f>
        <v>848</v>
      </c>
      <c r="K13" s="47">
        <f>+'Necesidades Trimestrales'!G11</f>
        <v>60</v>
      </c>
    </row>
    <row r="14" spans="1:11" ht="27.75" customHeight="1" thickBot="1" x14ac:dyDescent="0.25">
      <c r="A14" s="45">
        <v>3</v>
      </c>
      <c r="B14" s="64"/>
      <c r="C14" s="117" t="str">
        <f>+'Necesidades Trimestrales'!E12</f>
        <v>ACIDO POLIACRILICO0,02% GEL</v>
      </c>
      <c r="D14" s="117"/>
      <c r="E14" s="117"/>
      <c r="F14" s="117"/>
      <c r="G14" s="117"/>
      <c r="H14" s="65" t="s">
        <v>54</v>
      </c>
      <c r="I14" s="46" t="str">
        <f>+'Necesidades Trimestrales'!F12</f>
        <v>unidad</v>
      </c>
      <c r="J14" s="102">
        <f>+'Necesidades Trimestrales'!H12</f>
        <v>1088.3900000000001</v>
      </c>
      <c r="K14" s="47">
        <f>+'Necesidades Trimestrales'!G12</f>
        <v>20</v>
      </c>
    </row>
    <row r="15" spans="1:11" ht="27.75" customHeight="1" thickBot="1" x14ac:dyDescent="0.25">
      <c r="A15" s="45">
        <v>4</v>
      </c>
      <c r="B15" s="64"/>
      <c r="C15" s="117" t="str">
        <f>+'Necesidades Trimestrales'!E13</f>
        <v xml:space="preserve">CICLOPENTOLATO 1%X 5ML </v>
      </c>
      <c r="D15" s="117"/>
      <c r="E15" s="117"/>
      <c r="F15" s="117"/>
      <c r="G15" s="117"/>
      <c r="H15" s="65" t="s">
        <v>54</v>
      </c>
      <c r="I15" s="46" t="str">
        <f>+'Necesidades Trimestrales'!F13</f>
        <v>unidad</v>
      </c>
      <c r="J15" s="102">
        <f>+'Necesidades Trimestrales'!H13</f>
        <v>583.44000000000005</v>
      </c>
      <c r="K15" s="47">
        <f>+'Necesidades Trimestrales'!G13</f>
        <v>20</v>
      </c>
    </row>
    <row r="16" spans="1:11" ht="27.75" customHeight="1" thickBot="1" x14ac:dyDescent="0.25">
      <c r="A16" s="45">
        <v>5</v>
      </c>
      <c r="B16" s="64"/>
      <c r="C16" s="117" t="str">
        <f>+'Necesidades Trimestrales'!E14</f>
        <v>APOSITO HIDROCOLOIDE CUADRADO 10 X 10 CM</v>
      </c>
      <c r="D16" s="117"/>
      <c r="E16" s="117"/>
      <c r="F16" s="117"/>
      <c r="G16" s="117"/>
      <c r="H16" s="65" t="s">
        <v>54</v>
      </c>
      <c r="I16" s="46" t="str">
        <f>+'Necesidades Trimestrales'!F14</f>
        <v>unidad</v>
      </c>
      <c r="J16" s="102">
        <f>+'Necesidades Trimestrales'!H14</f>
        <v>350</v>
      </c>
      <c r="K16" s="47">
        <f>+'Necesidades Trimestrales'!G14</f>
        <v>200</v>
      </c>
    </row>
    <row r="17" spans="1:11" ht="27.75" customHeight="1" thickBot="1" x14ac:dyDescent="0.25">
      <c r="A17" s="45">
        <v>6</v>
      </c>
      <c r="B17" s="64"/>
      <c r="C17" s="117" t="str">
        <f>+'Necesidades Trimestrales'!E15</f>
        <v>APOSITO HIDROCOLIDE OVALADO 14 X 17 CM</v>
      </c>
      <c r="D17" s="117"/>
      <c r="E17" s="117"/>
      <c r="F17" s="117"/>
      <c r="G17" s="117"/>
      <c r="H17" s="65" t="s">
        <v>54</v>
      </c>
      <c r="I17" s="46" t="str">
        <f>+'Necesidades Trimestrales'!F15</f>
        <v>unidad</v>
      </c>
      <c r="J17" s="102">
        <f>+'Necesidades Trimestrales'!H15</f>
        <v>415</v>
      </c>
      <c r="K17" s="47">
        <f>+'Necesidades Trimestrales'!G15</f>
        <v>200</v>
      </c>
    </row>
    <row r="18" spans="1:11" ht="27.75" customHeight="1" thickBot="1" x14ac:dyDescent="0.25">
      <c r="A18" s="45">
        <v>7</v>
      </c>
      <c r="B18" s="64"/>
      <c r="C18" s="117" t="str">
        <f>+'Necesidades Trimestrales'!E16</f>
        <v>APOSITO HIDROCOLOIDE FINO 7 X 9 CM</v>
      </c>
      <c r="D18" s="117"/>
      <c r="E18" s="117"/>
      <c r="F18" s="117"/>
      <c r="G18" s="117"/>
      <c r="H18" s="65" t="s">
        <v>54</v>
      </c>
      <c r="I18" s="46" t="str">
        <f>+'Necesidades Trimestrales'!F16</f>
        <v>unidad</v>
      </c>
      <c r="J18" s="102">
        <f>+'Necesidades Trimestrales'!H16</f>
        <v>280</v>
      </c>
      <c r="K18" s="47">
        <f>+'Necesidades Trimestrales'!G16</f>
        <v>200</v>
      </c>
    </row>
    <row r="19" spans="1:11" ht="27.75" customHeight="1" thickBot="1" x14ac:dyDescent="0.25">
      <c r="A19" s="45">
        <v>8</v>
      </c>
      <c r="B19" s="64"/>
      <c r="C19" s="117" t="str">
        <f>+'Necesidades Trimestrales'!E17</f>
        <v>ACIDO AMINOCAPROICO 2G AMPOLLA</v>
      </c>
      <c r="D19" s="117"/>
      <c r="E19" s="117"/>
      <c r="F19" s="117"/>
      <c r="G19" s="117"/>
      <c r="H19" s="65" t="s">
        <v>54</v>
      </c>
      <c r="I19" s="46" t="str">
        <f>+'Necesidades Trimestrales'!F17</f>
        <v>unidad</v>
      </c>
      <c r="J19" s="102">
        <f>+'Necesidades Trimestrales'!H17</f>
        <v>145.78</v>
      </c>
      <c r="K19" s="47">
        <f>+'Necesidades Trimestrales'!G17</f>
        <v>100</v>
      </c>
    </row>
    <row r="20" spans="1:11" ht="27.75" customHeight="1" thickBot="1" x14ac:dyDescent="0.25">
      <c r="A20" s="45">
        <v>9</v>
      </c>
      <c r="B20" s="64"/>
      <c r="C20" s="117" t="str">
        <f>+'Necesidades Trimestrales'!E18</f>
        <v>DIGOXINA 0,25 MG AMPOLLA</v>
      </c>
      <c r="D20" s="117"/>
      <c r="E20" s="117"/>
      <c r="F20" s="117"/>
      <c r="G20" s="117"/>
      <c r="H20" s="65" t="s">
        <v>54</v>
      </c>
      <c r="I20" s="46" t="str">
        <f>+'Necesidades Trimestrales'!F18</f>
        <v>unidad</v>
      </c>
      <c r="J20" s="102">
        <f>+'Necesidades Trimestrales'!H18</f>
        <v>178.25</v>
      </c>
      <c r="K20" s="47">
        <f>+'Necesidades Trimestrales'!G18</f>
        <v>200</v>
      </c>
    </row>
    <row r="21" spans="1:11" ht="27.75" customHeight="1" thickBot="1" x14ac:dyDescent="0.25">
      <c r="A21" s="45">
        <v>10</v>
      </c>
      <c r="B21" s="64"/>
      <c r="C21" s="117" t="str">
        <f>+'Necesidades Trimestrales'!E19</f>
        <v>ADENOSINA 6 MG AMPOLLA</v>
      </c>
      <c r="D21" s="117"/>
      <c r="E21" s="117"/>
      <c r="F21" s="117"/>
      <c r="G21" s="117"/>
      <c r="H21" s="65" t="s">
        <v>54</v>
      </c>
      <c r="I21" s="46" t="str">
        <f>+'Necesidades Trimestrales'!F19</f>
        <v>unidad</v>
      </c>
      <c r="J21" s="102">
        <f>+'Necesidades Trimestrales'!H19</f>
        <v>353</v>
      </c>
      <c r="K21" s="47">
        <f>+'Necesidades Trimestrales'!G19</f>
        <v>300</v>
      </c>
    </row>
    <row r="22" spans="1:11" ht="27.75" customHeight="1" thickBot="1" x14ac:dyDescent="0.25">
      <c r="A22" s="45">
        <v>11</v>
      </c>
      <c r="B22" s="64"/>
      <c r="C22" s="117" t="str">
        <f>+'Necesidades Trimestrales'!E20</f>
        <v>CLONIDINA AMPOLLAS</v>
      </c>
      <c r="D22" s="117"/>
      <c r="E22" s="117"/>
      <c r="F22" s="117"/>
      <c r="G22" s="117"/>
      <c r="H22" s="65" t="s">
        <v>54</v>
      </c>
      <c r="I22" s="46" t="str">
        <f>+'Necesidades Trimestrales'!F20</f>
        <v>unidad</v>
      </c>
      <c r="J22" s="102">
        <f>+'Necesidades Trimestrales'!H20</f>
        <v>85</v>
      </c>
      <c r="K22" s="47">
        <f>+'Necesidades Trimestrales'!G20</f>
        <v>300</v>
      </c>
    </row>
    <row r="23" spans="1:11" ht="27.75" customHeight="1" thickBot="1" x14ac:dyDescent="0.25">
      <c r="A23" s="45">
        <v>12</v>
      </c>
      <c r="B23" s="64"/>
      <c r="C23" s="117" t="str">
        <f>+'Necesidades Trimestrales'!E21</f>
        <v>SILDENAFIL 50 MG COMPRIDOS</v>
      </c>
      <c r="D23" s="117"/>
      <c r="E23" s="117"/>
      <c r="F23" s="117"/>
      <c r="G23" s="117"/>
      <c r="H23" s="65" t="s">
        <v>54</v>
      </c>
      <c r="I23" s="46" t="str">
        <f>+'Necesidades Trimestrales'!F21</f>
        <v>unidad</v>
      </c>
      <c r="J23" s="102">
        <f>+'Necesidades Trimestrales'!H21</f>
        <v>117</v>
      </c>
      <c r="K23" s="47">
        <f>+'Necesidades Trimestrales'!G21</f>
        <v>20</v>
      </c>
    </row>
    <row r="24" spans="1:11" ht="27.75" customHeight="1" thickBot="1" x14ac:dyDescent="0.25">
      <c r="A24" s="45">
        <v>13</v>
      </c>
      <c r="B24" s="64"/>
      <c r="C24" s="117" t="str">
        <f>+'Necesidades Trimestrales'!E22</f>
        <v>HIDROCLOROTIAZIDA 25 MG COMPRIMIDO</v>
      </c>
      <c r="D24" s="117"/>
      <c r="E24" s="117"/>
      <c r="F24" s="117"/>
      <c r="G24" s="117"/>
      <c r="H24" s="65" t="s">
        <v>54</v>
      </c>
      <c r="I24" s="46" t="str">
        <f>+'Necesidades Trimestrales'!F22</f>
        <v>unidad</v>
      </c>
      <c r="J24" s="102">
        <f>+'Necesidades Trimestrales'!H22</f>
        <v>4.62</v>
      </c>
      <c r="K24" s="47">
        <f>+'Necesidades Trimestrales'!G22</f>
        <v>100</v>
      </c>
    </row>
    <row r="25" spans="1:11" ht="27.75" customHeight="1" thickBot="1" x14ac:dyDescent="0.25">
      <c r="A25" s="45">
        <v>14</v>
      </c>
      <c r="B25" s="68"/>
      <c r="C25" s="117" t="str">
        <f>+'Necesidades Trimestrales'!E23</f>
        <v>CARVEDILOL 3,125 MG COMPRIMIDO</v>
      </c>
      <c r="D25" s="117"/>
      <c r="E25" s="117"/>
      <c r="F25" s="117"/>
      <c r="G25" s="117"/>
      <c r="H25" s="65" t="s">
        <v>54</v>
      </c>
      <c r="I25" s="46" t="str">
        <f>+'Necesidades Trimestrales'!F23</f>
        <v>unidad</v>
      </c>
      <c r="J25" s="102">
        <f>+'Necesidades Trimestrales'!H23</f>
        <v>13.7</v>
      </c>
      <c r="K25" s="47">
        <f>+'Necesidades Trimestrales'!G23</f>
        <v>100</v>
      </c>
    </row>
    <row r="26" spans="1:11" ht="27.75" customHeight="1" thickBot="1" x14ac:dyDescent="0.25">
      <c r="A26" s="45">
        <v>15</v>
      </c>
      <c r="B26" s="68"/>
      <c r="C26" s="117" t="str">
        <f>+'Necesidades Trimestrales'!E24</f>
        <v>ENALAPRIL 1,25 MG/ML AMPOLLA</v>
      </c>
      <c r="D26" s="117"/>
      <c r="E26" s="117"/>
      <c r="F26" s="117"/>
      <c r="G26" s="117"/>
      <c r="H26" s="65" t="s">
        <v>54</v>
      </c>
      <c r="I26" s="46" t="str">
        <f>+'Necesidades Trimestrales'!F24</f>
        <v>unidad</v>
      </c>
      <c r="J26" s="102">
        <f>+'Necesidades Trimestrales'!H24</f>
        <v>275</v>
      </c>
      <c r="K26" s="47">
        <f>+'Necesidades Trimestrales'!G24</f>
        <v>50</v>
      </c>
    </row>
    <row r="27" spans="1:11" ht="27.75" customHeight="1" thickBot="1" x14ac:dyDescent="0.25">
      <c r="A27" s="45">
        <v>16</v>
      </c>
      <c r="B27" s="68"/>
      <c r="C27" s="117" t="str">
        <f>+'Necesidades Trimestrales'!E25</f>
        <v>FLUCONAZOL 50MG/5ML SUSENSION X 35 ML</v>
      </c>
      <c r="D27" s="117"/>
      <c r="E27" s="117"/>
      <c r="F27" s="117"/>
      <c r="G27" s="117"/>
      <c r="H27" s="65" t="s">
        <v>54</v>
      </c>
      <c r="I27" s="46" t="str">
        <f>+'Necesidades Trimestrales'!F25</f>
        <v>unidad</v>
      </c>
      <c r="J27" s="102">
        <f>+'Necesidades Trimestrales'!H25</f>
        <v>2030</v>
      </c>
      <c r="K27" s="47">
        <f>+'Necesidades Trimestrales'!G25</f>
        <v>10</v>
      </c>
    </row>
    <row r="28" spans="1:11" ht="27.75" customHeight="1" thickBot="1" x14ac:dyDescent="0.25">
      <c r="A28" s="45">
        <v>17</v>
      </c>
      <c r="B28" s="68"/>
      <c r="C28" s="117" t="str">
        <f>+'Necesidades Trimestrales'!E26</f>
        <v>ALUMINIO HIDROXIDO + MAGNESIO HIDROXIDO SUSPENSIÓN x160 ML</v>
      </c>
      <c r="D28" s="117"/>
      <c r="E28" s="117"/>
      <c r="F28" s="117"/>
      <c r="G28" s="117"/>
      <c r="H28" s="65" t="s">
        <v>54</v>
      </c>
      <c r="I28" s="46" t="str">
        <f>+'Necesidades Trimestrales'!F26</f>
        <v>unidad</v>
      </c>
      <c r="J28" s="102">
        <f>+'Necesidades Trimestrales'!H26</f>
        <v>728</v>
      </c>
      <c r="K28" s="47">
        <f>+'Necesidades Trimestrales'!G26</f>
        <v>250</v>
      </c>
    </row>
    <row r="29" spans="1:11" ht="27.75" customHeight="1" thickBot="1" x14ac:dyDescent="0.25">
      <c r="A29" s="45">
        <v>18</v>
      </c>
      <c r="B29" s="68"/>
      <c r="C29" s="117" t="str">
        <f>+'Necesidades Trimestrales'!E27</f>
        <v>RANITIDINA 50 MG AMPOLLA</v>
      </c>
      <c r="D29" s="117"/>
      <c r="E29" s="117"/>
      <c r="F29" s="117"/>
      <c r="G29" s="117"/>
      <c r="H29" s="65" t="s">
        <v>54</v>
      </c>
      <c r="I29" s="46" t="str">
        <f>+'Necesidades Trimestrales'!F27</f>
        <v>unidad</v>
      </c>
      <c r="J29" s="102">
        <f>+'Necesidades Trimestrales'!H27</f>
        <v>30</v>
      </c>
      <c r="K29" s="47">
        <f>+'Necesidades Trimestrales'!G27</f>
        <v>5000</v>
      </c>
    </row>
    <row r="30" spans="1:11" ht="27.75" customHeight="1" thickBot="1" x14ac:dyDescent="0.25">
      <c r="A30" s="45">
        <v>19</v>
      </c>
      <c r="B30" s="68"/>
      <c r="C30" s="117" t="str">
        <f>+'Necesidades Trimestrales'!E28</f>
        <v>DOMPERIDONA 1%GOTAS x 20 ML</v>
      </c>
      <c r="D30" s="117"/>
      <c r="E30" s="117"/>
      <c r="F30" s="117"/>
      <c r="G30" s="117"/>
      <c r="H30" s="65" t="s">
        <v>54</v>
      </c>
      <c r="I30" s="46" t="str">
        <f>+'Necesidades Trimestrales'!F28</f>
        <v>unidad</v>
      </c>
      <c r="J30" s="102">
        <f>+'Necesidades Trimestrales'!H28</f>
        <v>378</v>
      </c>
      <c r="K30" s="47">
        <f>+'Necesidades Trimestrales'!G28</f>
        <v>300</v>
      </c>
    </row>
    <row r="31" spans="1:11" ht="27.75" customHeight="1" thickBot="1" x14ac:dyDescent="0.25">
      <c r="A31" s="45">
        <v>20</v>
      </c>
      <c r="B31" s="68"/>
      <c r="C31" s="117" t="str">
        <f>+'Necesidades Trimestrales'!E29</f>
        <v>DOMPERIDONA 4MG AMPOLLAS X 3 ML</v>
      </c>
      <c r="D31" s="117"/>
      <c r="E31" s="117"/>
      <c r="F31" s="117"/>
      <c r="G31" s="117"/>
      <c r="H31" s="65" t="s">
        <v>54</v>
      </c>
      <c r="I31" s="46" t="str">
        <f>+'Necesidades Trimestrales'!F29</f>
        <v>unidad</v>
      </c>
      <c r="J31" s="102">
        <f>+'Necesidades Trimestrales'!H29</f>
        <v>90.42</v>
      </c>
      <c r="K31" s="47">
        <f>+'Necesidades Trimestrales'!G29</f>
        <v>2000</v>
      </c>
    </row>
    <row r="32" spans="1:11" ht="27.75" customHeight="1" thickBot="1" x14ac:dyDescent="0.25">
      <c r="A32" s="45">
        <v>21</v>
      </c>
      <c r="B32" s="68"/>
      <c r="C32" s="117" t="str">
        <f>+'Necesidades Trimestrales'!E30</f>
        <v>VASELINA LIQUIDA X 1 LITRO</v>
      </c>
      <c r="D32" s="117"/>
      <c r="E32" s="117"/>
      <c r="F32" s="117"/>
      <c r="G32" s="117"/>
      <c r="H32" s="65" t="s">
        <v>54</v>
      </c>
      <c r="I32" s="46" t="str">
        <f>+'Necesidades Trimestrales'!F30</f>
        <v>unidad</v>
      </c>
      <c r="J32" s="102">
        <f>+'Necesidades Trimestrales'!H30</f>
        <v>450</v>
      </c>
      <c r="K32" s="47">
        <f>+'Necesidades Trimestrales'!G30</f>
        <v>60</v>
      </c>
    </row>
    <row r="33" spans="1:14" ht="27.75" customHeight="1" thickBot="1" x14ac:dyDescent="0.25">
      <c r="A33" s="45">
        <v>22</v>
      </c>
      <c r="B33" s="68"/>
      <c r="C33" s="117" t="str">
        <f>+'Necesidades Trimestrales'!E31</f>
        <v>CARBON ACTIVADO POLVO x 1 kg</v>
      </c>
      <c r="D33" s="117"/>
      <c r="E33" s="117"/>
      <c r="F33" s="117"/>
      <c r="G33" s="117"/>
      <c r="H33" s="65" t="s">
        <v>54</v>
      </c>
      <c r="I33" s="46" t="str">
        <f>+'Necesidades Trimestrales'!F31</f>
        <v>unidad</v>
      </c>
      <c r="J33" s="102">
        <f>+'Necesidades Trimestrales'!H31</f>
        <v>1000</v>
      </c>
      <c r="K33" s="47">
        <f>+'Necesidades Trimestrales'!G31</f>
        <v>3</v>
      </c>
    </row>
    <row r="34" spans="1:14" ht="23.25" customHeight="1" thickBot="1" x14ac:dyDescent="0.25">
      <c r="A34" s="45">
        <v>23</v>
      </c>
      <c r="B34" s="68"/>
      <c r="C34" s="117" t="str">
        <f>+'Necesidades Trimestrales'!E32</f>
        <v>GLUCONATO DE POTASIO 150 ML JBE</v>
      </c>
      <c r="D34" s="117"/>
      <c r="E34" s="117"/>
      <c r="F34" s="117"/>
      <c r="G34" s="117"/>
      <c r="H34" s="65" t="s">
        <v>54</v>
      </c>
      <c r="I34" s="46" t="str">
        <f>+'Necesidades Trimestrales'!F32</f>
        <v>Unidad</v>
      </c>
      <c r="J34" s="102">
        <f>+'Necesidades Trimestrales'!H32</f>
        <v>255.85</v>
      </c>
      <c r="K34" s="47">
        <f>+'Necesidades Trimestrales'!G32</f>
        <v>100</v>
      </c>
    </row>
    <row r="35" spans="1:14" ht="27.75" customHeight="1" thickBot="1" x14ac:dyDescent="0.25">
      <c r="A35" s="45">
        <v>22</v>
      </c>
      <c r="B35" s="68"/>
      <c r="C35" s="117" t="str">
        <f>+'Necesidades Trimestrales'!E33</f>
        <v>MEBENDAZOL 100 MG COMPRIMIDO</v>
      </c>
      <c r="D35" s="117"/>
      <c r="E35" s="117"/>
      <c r="F35" s="117"/>
      <c r="G35" s="117"/>
      <c r="H35" s="65" t="s">
        <v>54</v>
      </c>
      <c r="I35" s="46" t="str">
        <f>+'Necesidades Trimestrales'!F33</f>
        <v>unidad</v>
      </c>
      <c r="J35" s="102">
        <f>+'Necesidades Trimestrales'!H33</f>
        <v>28.89</v>
      </c>
      <c r="K35" s="47">
        <f>+'Necesidades Trimestrales'!G33</f>
        <v>50</v>
      </c>
    </row>
    <row r="36" spans="1:14" ht="23.25" customHeight="1" thickBot="1" x14ac:dyDescent="0.25">
      <c r="A36" s="45">
        <v>23</v>
      </c>
      <c r="B36" s="68"/>
      <c r="C36" s="117" t="str">
        <f>+'Necesidades Trimestrales'!E34</f>
        <v>METOCLOPRAMIDA 0,2 % GOTAS x 20 ML</v>
      </c>
      <c r="D36" s="117"/>
      <c r="E36" s="117"/>
      <c r="F36" s="117"/>
      <c r="G36" s="117"/>
      <c r="H36" s="65" t="s">
        <v>54</v>
      </c>
      <c r="I36" s="46" t="str">
        <f>+'Necesidades Trimestrales'!F34</f>
        <v>unidad</v>
      </c>
      <c r="J36" s="102">
        <f>+'Necesidades Trimestrales'!H34</f>
        <v>300</v>
      </c>
      <c r="K36" s="47">
        <f>+'Necesidades Trimestrales'!G34</f>
        <v>500</v>
      </c>
    </row>
    <row r="37" spans="1:14" ht="20.25" customHeight="1" thickBot="1" x14ac:dyDescent="0.25">
      <c r="A37" s="120" t="s">
        <v>95</v>
      </c>
      <c r="B37" s="120"/>
      <c r="C37" s="120"/>
      <c r="D37" s="120"/>
      <c r="E37" s="120"/>
      <c r="F37" s="120"/>
      <c r="G37" s="120"/>
      <c r="H37" s="120"/>
      <c r="I37" s="120"/>
      <c r="J37" s="127">
        <f>SUMPRODUCT(J12:J36,K12:K36)</f>
        <v>1351006.1</v>
      </c>
      <c r="K37" s="127"/>
      <c r="N37" s="50"/>
    </row>
  </sheetData>
  <mergeCells count="47">
    <mergeCell ref="A37:I37"/>
    <mergeCell ref="J37:K37"/>
    <mergeCell ref="C12:G12"/>
    <mergeCell ref="C13:G13"/>
    <mergeCell ref="C14:G14"/>
    <mergeCell ref="C15:G15"/>
    <mergeCell ref="C16:G16"/>
    <mergeCell ref="C17:G17"/>
    <mergeCell ref="C18:G18"/>
    <mergeCell ref="C19:G19"/>
    <mergeCell ref="C28:G28"/>
    <mergeCell ref="C29:G29"/>
    <mergeCell ref="C25:G25"/>
    <mergeCell ref="C26:G26"/>
    <mergeCell ref="C27:G27"/>
    <mergeCell ref="C24:G24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20:G20"/>
    <mergeCell ref="C21:G21"/>
    <mergeCell ref="C22:G22"/>
    <mergeCell ref="C23:G23"/>
    <mergeCell ref="C31:G31"/>
    <mergeCell ref="C36:G36"/>
    <mergeCell ref="C32:G32"/>
    <mergeCell ref="C33:G33"/>
    <mergeCell ref="C34:G34"/>
    <mergeCell ref="C30:G30"/>
    <mergeCell ref="C35:G3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zoomScale="130" zoomScaleNormal="130" workbookViewId="0">
      <selection activeCell="R10" sqref="R1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8" ht="15.75" customHeight="1" x14ac:dyDescent="0.25">
      <c r="A1" s="128" t="s">
        <v>3</v>
      </c>
      <c r="B1" s="128"/>
      <c r="C1" s="128"/>
      <c r="D1" s="129">
        <f>'Necesidades Trimestrales'!C6</f>
        <v>2021</v>
      </c>
      <c r="E1" s="129"/>
      <c r="F1" s="3"/>
      <c r="G1" s="3"/>
      <c r="H1" s="4"/>
      <c r="I1" s="4"/>
      <c r="J1" s="4"/>
      <c r="K1" s="4"/>
      <c r="L1" s="4"/>
      <c r="M1" s="4"/>
      <c r="N1" s="4"/>
      <c r="P1" s="130" t="s">
        <v>25</v>
      </c>
      <c r="Q1" s="130"/>
    </row>
    <row r="2" spans="1:18" ht="15.75" customHeight="1" x14ac:dyDescent="0.2">
      <c r="H2" s="4"/>
      <c r="I2" s="4"/>
      <c r="J2" s="4"/>
      <c r="K2" s="4"/>
      <c r="L2" s="4"/>
      <c r="M2" s="4"/>
      <c r="N2" s="4"/>
      <c r="P2" s="130"/>
      <c r="Q2" s="130"/>
    </row>
    <row r="4" spans="1:18" s="5" customFormat="1" ht="18" customHeight="1" thickBot="1" x14ac:dyDescent="0.25">
      <c r="A4" s="131" t="s">
        <v>26</v>
      </c>
      <c r="B4" s="131"/>
      <c r="C4" s="131"/>
      <c r="D4" s="131"/>
      <c r="E4" s="131"/>
      <c r="F4" s="131"/>
      <c r="G4" s="132" t="str">
        <f>' NotaPedido'!D3</f>
        <v>040 - Ministerio de Salud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18" s="5" customFormat="1" ht="18" customHeight="1" thickBot="1" x14ac:dyDescent="0.25">
      <c r="A5" s="133" t="s">
        <v>49</v>
      </c>
      <c r="B5" s="134"/>
      <c r="C5" s="134"/>
      <c r="D5" s="134"/>
      <c r="E5" s="134"/>
      <c r="F5" s="135"/>
      <c r="G5" s="132" t="str">
        <f>' NotaPedido'!D4</f>
        <v>024 - Hospital Interzonal de Niños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1:18" s="5" customFormat="1" ht="18" customHeight="1" thickBot="1" x14ac:dyDescent="0.25">
      <c r="A6" s="133" t="s">
        <v>27</v>
      </c>
      <c r="B6" s="134"/>
      <c r="C6" s="134"/>
      <c r="D6" s="134"/>
      <c r="E6" s="134"/>
      <c r="F6" s="135"/>
      <c r="G6" s="132" t="str">
        <f>' NotaPedido'!D5</f>
        <v>024 - Hospital Interzonal de Niños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</row>
    <row r="7" spans="1:18" s="5" customFormat="1" ht="18" customHeight="1" thickBot="1" x14ac:dyDescent="0.25">
      <c r="A7" s="133" t="s">
        <v>50</v>
      </c>
      <c r="B7" s="134"/>
      <c r="C7" s="134"/>
      <c r="D7" s="134"/>
      <c r="E7" s="134"/>
      <c r="F7" s="135"/>
      <c r="G7" s="132" t="s">
        <v>57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8" spans="1:18" ht="18" customHeight="1" thickBot="1" x14ac:dyDescent="0.25">
      <c r="A8" s="136" t="s">
        <v>28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8" ht="18" customHeight="1" x14ac:dyDescent="0.2">
      <c r="A9" s="137" t="s">
        <v>29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"/>
      <c r="P9" s="1"/>
      <c r="Q9" s="6"/>
    </row>
    <row r="10" spans="1:18" ht="54.75" customHeight="1" x14ac:dyDescent="0.2">
      <c r="A10" s="13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093/2021,  afectando la erogación resultante a los créditos presupuestarios aprobados a favor de esta Unidad Ejecutora, conforme al siguiente detalle: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8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8" ht="15.75" customHeight="1" thickBot="1" x14ac:dyDescent="0.25">
      <c r="A12" s="139" t="s">
        <v>30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</row>
    <row r="13" spans="1:18" ht="15.75" customHeight="1" thickBot="1" x14ac:dyDescent="0.25">
      <c r="A13" s="140" t="s">
        <v>31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2" t="s">
        <v>32</v>
      </c>
      <c r="P13" s="143"/>
      <c r="Q13" s="146" t="s">
        <v>33</v>
      </c>
    </row>
    <row r="14" spans="1:18" ht="15.75" customHeight="1" thickBot="1" x14ac:dyDescent="0.25">
      <c r="A14" s="56" t="s">
        <v>34</v>
      </c>
      <c r="B14" s="57" t="s">
        <v>35</v>
      </c>
      <c r="C14" s="57" t="s">
        <v>36</v>
      </c>
      <c r="D14" s="57" t="s">
        <v>37</v>
      </c>
      <c r="E14" s="57" t="s">
        <v>38</v>
      </c>
      <c r="F14" s="57" t="s">
        <v>39</v>
      </c>
      <c r="G14" s="58" t="s">
        <v>40</v>
      </c>
      <c r="H14" s="57" t="s">
        <v>41</v>
      </c>
      <c r="I14" s="57" t="s">
        <v>42</v>
      </c>
      <c r="J14" s="57" t="s">
        <v>43</v>
      </c>
      <c r="K14" s="57" t="s">
        <v>43</v>
      </c>
      <c r="L14" s="57" t="s">
        <v>44</v>
      </c>
      <c r="M14" s="59" t="s">
        <v>45</v>
      </c>
      <c r="N14" s="60" t="s">
        <v>46</v>
      </c>
      <c r="O14" s="144"/>
      <c r="P14" s="145"/>
      <c r="Q14" s="147"/>
    </row>
    <row r="15" spans="1:18" ht="26.25" customHeight="1" x14ac:dyDescent="0.2">
      <c r="A15" s="52">
        <v>36</v>
      </c>
      <c r="B15" s="53"/>
      <c r="C15" s="53"/>
      <c r="D15" s="53">
        <v>1</v>
      </c>
      <c r="E15" s="53"/>
      <c r="F15" s="53">
        <v>4901</v>
      </c>
      <c r="G15" s="53">
        <v>3</v>
      </c>
      <c r="H15" s="53">
        <v>310</v>
      </c>
      <c r="I15" s="53">
        <v>2</v>
      </c>
      <c r="J15" s="53">
        <v>5</v>
      </c>
      <c r="K15" s="53">
        <v>2</v>
      </c>
      <c r="L15" s="53"/>
      <c r="M15" s="54">
        <v>1</v>
      </c>
      <c r="N15" s="55" t="s">
        <v>53</v>
      </c>
      <c r="O15" s="148" t="s">
        <v>56</v>
      </c>
      <c r="P15" s="148"/>
      <c r="Q15" s="61">
        <v>1351006.1</v>
      </c>
      <c r="R15" s="103"/>
    </row>
    <row r="16" spans="1:18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3"/>
      <c r="O16" s="149"/>
      <c r="P16" s="150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50"/>
      <c r="P17" s="150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50"/>
      <c r="P18" s="150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61"/>
      <c r="P19" s="161"/>
      <c r="Q19" s="15"/>
      <c r="R19" s="1"/>
    </row>
    <row r="20" spans="1:18" ht="17.25" customHeight="1" thickBot="1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62"/>
      <c r="P20" s="162"/>
      <c r="Q20" s="24"/>
    </row>
    <row r="21" spans="1:18" ht="29.25" customHeight="1" thickBot="1" x14ac:dyDescent="0.25">
      <c r="A21" s="163" t="s">
        <v>96</v>
      </c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/>
      <c r="Q21" s="25">
        <f>SUM(Q15:Q20)</f>
        <v>1351006.1</v>
      </c>
    </row>
    <row r="22" spans="1:18" ht="18" customHeight="1" thickBot="1" x14ac:dyDescent="0.25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</row>
    <row r="23" spans="1:18" ht="17.25" customHeight="1" thickBot="1" x14ac:dyDescent="0.25">
      <c r="A23" s="151" t="s">
        <v>47</v>
      </c>
      <c r="B23" s="152"/>
      <c r="C23" s="152"/>
      <c r="D23" s="152"/>
      <c r="E23" s="152"/>
      <c r="F23" s="153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</row>
    <row r="24" spans="1:18" ht="18" customHeight="1" x14ac:dyDescent="0.2">
      <c r="A24" s="155" t="s">
        <v>88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7"/>
    </row>
    <row r="25" spans="1:18" ht="26.25" customHeight="1" thickBot="1" x14ac:dyDescent="0.25">
      <c r="A25" s="158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60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2021-06-02T13:14:13Z</cp:lastPrinted>
  <dcterms:created xsi:type="dcterms:W3CDTF">2020-07-17T23:44:49Z</dcterms:created>
  <dcterms:modified xsi:type="dcterms:W3CDTF">2021-08-12T12:40:02Z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