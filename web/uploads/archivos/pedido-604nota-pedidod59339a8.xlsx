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OC\AÑO 2021\Adq.Ropa de Trabajo\NOTA 2\"/>
    </mc:Choice>
  </mc:AlternateContent>
  <xr:revisionPtr revIDLastSave="0" documentId="13_ncr:1_{8C7135BC-9F34-447E-A4D4-1AF13F42BD07}" xr6:coauthVersionLast="47" xr6:coauthVersionMax="47" xr10:uidLastSave="{00000000-0000-0000-0000-000000000000}"/>
  <bookViews>
    <workbookView xWindow="-120" yWindow="-120" windowWidth="20730" windowHeight="11160" xr2:uid="{22FFD4D2-877A-4ECE-9346-FD77CEB2DE75}"/>
  </bookViews>
  <sheets>
    <sheet name="Control Ítems" sheetId="1" r:id="rId1"/>
    <sheet name="Anexos" sheetId="2" r:id="rId2"/>
    <sheet name="Solic.Gasto" sheetId="3" r:id="rId3"/>
    <sheet name="Hoja1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7" i="1"/>
  <c r="I6" i="1"/>
  <c r="I5" i="1"/>
  <c r="D39" i="4"/>
  <c r="G25" i="4"/>
  <c r="F25" i="4"/>
  <c r="C25" i="4"/>
  <c r="B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25" i="4" s="1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25" i="4" s="1"/>
  <c r="H7" i="4"/>
  <c r="I8" i="1"/>
</calcChain>
</file>

<file path=xl/sharedStrings.xml><?xml version="1.0" encoding="utf-8"?>
<sst xmlns="http://schemas.openxmlformats.org/spreadsheetml/2006/main" count="55" uniqueCount="46">
  <si>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</si>
  <si>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</si>
  <si>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</si>
  <si>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</si>
  <si>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</si>
  <si>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</si>
  <si>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</si>
  <si>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</si>
  <si>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</si>
  <si>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INDUMENT TEXTIL Y CONFECCIONES</t>
  </si>
  <si>
    <t>2.2.2</t>
  </si>
  <si>
    <t>2.2.2-6731.27</t>
  </si>
  <si>
    <t xml:space="preserve">UNIDAD </t>
  </si>
  <si>
    <t>CAMISAS; TIPO: DE TRABAJO, TELA: GRAFA, MANGA: LARGA, COSTURA: REFORZADA, BOLSILLO: 2 .</t>
  </si>
  <si>
    <t xml:space="preserve">2.2.2-6738.186 </t>
  </si>
  <si>
    <t>PANTALONES; TIPO: CARGO, TELA: GRAFA, SEXO: MASCULINO, CRITERIO SOCIAL: SIN, CRITERIO DE SEGURIDAD: SELLO DE SEGURIDAD.</t>
  </si>
  <si>
    <t xml:space="preserve">2.2.2-6728.26 </t>
  </si>
  <si>
    <t>CALZADO DE SEGURIDAD; TIPO: BOTIN, SUELA: POLIURETANO, PUNTERA: ACERO, MATERIAL: CUERO FLOR</t>
  </si>
  <si>
    <t xml:space="preserve">PAR </t>
  </si>
  <si>
    <t>Plazos y lugares de entrega</t>
  </si>
  <si>
    <t xml:space="preserve">Mantenimiento: </t>
  </si>
  <si>
    <r>
      <rPr>
        <b/>
        <u/>
        <sz val="11"/>
        <color theme="1"/>
        <rFont val="Calibri"/>
        <family val="2"/>
        <scheme val="minor"/>
      </rPr>
      <t>Plazo de Entrega:</t>
    </r>
    <r>
      <rPr>
        <sz val="11"/>
        <color theme="1"/>
        <rFont val="Calibri"/>
        <family val="2"/>
        <scheme val="minor"/>
      </rPr>
      <t xml:space="preserve"> Dentro de los 30 dias de recepcionada la Orden de Compra.-</t>
    </r>
  </si>
  <si>
    <r>
      <rPr>
        <b/>
        <u/>
        <sz val="11"/>
        <color theme="1"/>
        <rFont val="Calibri"/>
        <family val="2"/>
        <scheme val="minor"/>
      </rPr>
      <t>Lugar de Entrega:</t>
    </r>
    <r>
      <rPr>
        <sz val="11"/>
        <color theme="1"/>
        <rFont val="Calibri"/>
        <family val="2"/>
        <scheme val="minor"/>
      </rPr>
      <t xml:space="preserve"> Dirección de Recursos Humanos, Higiene y Seguridad, dependiente de la Secretaría de Administración y Contratos - MIOC -Avda. Venezuela S/N- C.A.P.E. Pab. 1-San Fernando del Valle de Catamarca.-</t>
    </r>
  </si>
  <si>
    <r>
      <rPr>
        <b/>
        <u/>
        <sz val="11"/>
        <color theme="1"/>
        <rFont val="Calibri"/>
        <family val="2"/>
        <scheme val="minor"/>
      </rPr>
      <t>Calidad Mínima esperada:</t>
    </r>
    <r>
      <rPr>
        <sz val="11"/>
        <color theme="1"/>
        <rFont val="Calibri"/>
        <family val="2"/>
        <scheme val="minor"/>
      </rPr>
      <t xml:space="preserve"> Según Especificaciones Técnicas.-</t>
    </r>
  </si>
  <si>
    <r>
      <rPr>
        <b/>
        <u/>
        <sz val="11"/>
        <color theme="1"/>
        <rFont val="Calibri"/>
        <family val="2"/>
        <scheme val="minor"/>
      </rPr>
      <t>Mantenimiento de la Oferta:</t>
    </r>
    <r>
      <rPr>
        <sz val="11"/>
        <color theme="1"/>
        <rFont val="Calibri"/>
        <family val="2"/>
        <scheme val="minor"/>
      </rPr>
      <t xml:space="preserve"> 45 dias.-</t>
    </r>
  </si>
  <si>
    <t xml:space="preserve">Especificidades Item N° 1: </t>
  </si>
  <si>
    <t xml:space="preserve">Especificidades Item N° 2: </t>
  </si>
  <si>
    <t xml:space="preserve">Especificidades Item N° 3: </t>
  </si>
  <si>
    <t>ANEXO I - TELA GRAFA,SARGA 2/1, 100% ALGODÓN, TRIPLE COSTURA. COLOR BEIGE Y AZUL ,CON LOGO ESTAMPADO EN ESPALDA Y BOLSILLO DELANTERO IZQUIERDO, SEGÚN TABLA DE TALLES (ANEXO II).-</t>
  </si>
  <si>
    <t>ANEXO I - BOTIN MEDIA CAÑA: CUERO, COLOR NEGRO, PLANTA EN POLIURETANO BIDENSIDAD, HORMA AMPLIA, PUNTERA DE ACERO, SEGÚN TABLA DE TALLES (ANEXO II).-</t>
  </si>
  <si>
    <t>Código</t>
  </si>
  <si>
    <t>DESCRIPCION S/CATALOGO COMPR.AR</t>
  </si>
  <si>
    <t>CAMISAS; TIPO: DE TRABAJO, TELA: GRAFA, MANGA: LARGA, COSTURA: REFORZADA, BOLSILLO: 2</t>
  </si>
  <si>
    <t>PANTALONES; TIPO: CARGO, TELA: GRAFA, SEXO: MASCULINO, CRITERIO SOCIAL: SIN, CRITERIO DE SEGURIDAD: SELLO DE SEGURIDAD</t>
  </si>
  <si>
    <t>ANEXO I</t>
  </si>
  <si>
    <t>ANEXO II</t>
  </si>
  <si>
    <t>PANTALONES</t>
  </si>
  <si>
    <t>CAMISAS</t>
  </si>
  <si>
    <t>BOTINES</t>
  </si>
  <si>
    <t>ANEXO I - TELA GRAFA,100% ALGODÓN,CONFECCIÓN CON TRIPLE COSTURA, BOLSILLOS 2 DELANTEROS, 2 TRASEROS Y 2 BOLSILLOS LATERALES CON FUELLES Y VELCRO, COLOR BEIGE Y AZUL, CON CINTA REFRACTARIA COLOR VERDE FLUOR, SEGÚN TABLA DE TALLES (ANEXO II).-</t>
  </si>
  <si>
    <t>SOLICITUD DE GASTO</t>
  </si>
  <si>
    <t>DESAFECTACION DE PREVENTIVA</t>
  </si>
  <si>
    <t>CONTROL SUMATORIA DE TALLES</t>
  </si>
  <si>
    <r>
      <rPr>
        <b/>
        <u/>
        <sz val="14"/>
        <color theme="1"/>
        <rFont val="Calibri"/>
        <family val="2"/>
        <scheme val="minor"/>
      </rPr>
      <t>NO-2021-01718194-CAT-MIOC</t>
    </r>
    <r>
      <rPr>
        <b/>
        <sz val="14"/>
        <color theme="1"/>
        <rFont val="Calibri"/>
        <family val="2"/>
        <scheme val="minor"/>
      </rPr>
      <t xml:space="preserve"> (Adq.de Ropa de Trabajo - MIOC)</t>
    </r>
  </si>
  <si>
    <t>Control Suma</t>
  </si>
  <si>
    <r>
      <t>$14.394.813,10 (Sol.Gasto)</t>
    </r>
    <r>
      <rPr>
        <sz val="14"/>
        <color rgb="FFFF0000"/>
        <rFont val="Calibri"/>
        <family val="2"/>
        <scheme val="minor"/>
      </rPr>
      <t xml:space="preserve"> - $10,18 (Desaf.Prev.)</t>
    </r>
    <r>
      <rPr>
        <sz val="14"/>
        <color theme="1"/>
        <rFont val="Calibri"/>
        <family val="2"/>
        <scheme val="minor"/>
      </rPr>
      <t xml:space="preserve"> = </t>
    </r>
    <r>
      <rPr>
        <b/>
        <sz val="14"/>
        <color theme="1"/>
        <rFont val="Calibri"/>
        <family val="2"/>
        <scheme val="minor"/>
      </rPr>
      <t>$ 14.394.802,92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</si>
</sst>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44" fontId="2" fillId="2" borderId="1" xfId="0" applyNumberFormat="1" applyFont="1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3" fillId="0" borderId="0" xfId="0" applyFont="1"/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8" fontId="0" fillId="0" borderId="10" xfId="1" applyNumberFormat="1" applyFon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7" fillId="0" borderId="16" xfId="0" applyFont="1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9" fillId="0" borderId="0" xfId="0" applyFont="1"/>
    <xf numFmtId="0" fontId="0" fillId="6" borderId="7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center" wrapText="1"/>
    </xf>
    <xf numFmtId="3" fontId="0" fillId="6" borderId="3" xfId="0" applyNumberFormat="1" applyFill="1" applyBorder="1" applyAlignment="1">
      <alignment horizontal="center" vertical="center"/>
    </xf>
    <xf numFmtId="8" fontId="0" fillId="6" borderId="3" xfId="1" applyNumberFormat="1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left" vertical="center" wrapText="1"/>
    </xf>
    <xf numFmtId="0" fontId="7" fillId="6" borderId="16" xfId="0" applyFont="1" applyFill="1" applyBorder="1" applyAlignment="1">
      <alignment wrapText="1"/>
    </xf>
    <xf numFmtId="0" fontId="2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 wrapText="1"/>
    </xf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7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8" fillId="5" borderId="0" xfId="0" applyFont="1" applyFill="1" applyAlignment="1">
      <alignment horizontal="center"/>
    </xf>
    <xf numFmtId="0" fontId="8" fillId="5" borderId="0" xfId="0" applyFont="1" applyFill="1" applyBorder="1" applyAlignment="1">
      <alignment horizontal="center"/>
    </xf>
    <xf numFmtId="8" fontId="10" fillId="0" borderId="17" xfId="1" applyNumberFormat="1" applyFont="1" applyBorder="1" applyAlignment="1">
      <alignment horizontal="center" vertical="center"/>
    </xf>
    <xf numFmtId="8" fontId="0" fillId="0" borderId="13" xfId="1" applyNumberFormat="1" applyFont="1" applyFill="1" applyBorder="1" applyAlignment="1">
      <alignment horizontal="center" vertical="center"/>
    </xf>
    <xf numFmtId="0" fontId="4" fillId="0" borderId="0" xfId="0" applyFont="1"/>
    <xf numFmtId="0" fontId="11" fillId="5" borderId="2" xfId="0" applyFont="1" applyFill="1" applyBorder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6" xfId="0" applyFont="1" applyFill="1" applyBorder="1" applyAlignment="1">
      <alignment horizontal="center"/>
    </xf>
    <xf numFmtId="0" fontId="4" fillId="7" borderId="0" xfId="0" applyFont="1" applyFill="1"/>
    <xf numFmtId="0" fontId="0" fillId="7" borderId="0" xfId="0" applyFill="1"/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44" fontId="2" fillId="0" borderId="1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28575</xdr:rowOff>
    </xdr:from>
    <xdr:to>
      <xdr:col>8</xdr:col>
      <xdr:colOff>134710</xdr:colOff>
      <xdr:row>53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68BF5E-B55D-47E5-BAA8-A313016E8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19075"/>
          <a:ext cx="610688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55</xdr:row>
      <xdr:rowOff>9525</xdr:rowOff>
    </xdr:from>
    <xdr:to>
      <xdr:col>8</xdr:col>
      <xdr:colOff>153760</xdr:colOff>
      <xdr:row>107</xdr:row>
      <xdr:rowOff>161925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1140F8-99DA-44CF-AD6B-3CD4FDF65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0563225"/>
          <a:ext cx="6106885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295275</xdr:colOff>
      <xdr:row>1</xdr:row>
      <xdr:rowOff>38100</xdr:rowOff>
    </xdr:from>
    <xdr:to>
      <xdr:col>18</xdr:col>
      <xdr:colOff>548913</xdr:colOff>
      <xdr:row>54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C40F8E9-EF38-4C5E-B81D-8D9CF2758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304800"/>
          <a:ext cx="7111638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2</xdr:row>
      <xdr:rowOff>180974</xdr:rowOff>
    </xdr:from>
    <xdr:to>
      <xdr:col>11</xdr:col>
      <xdr:colOff>400050</xdr:colOff>
      <xdr:row>67</xdr:row>
      <xdr:rowOff>100211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F9B9BB-52D9-4AB4-BD4C-C8FCA71CA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609599"/>
          <a:ext cx="8686800" cy="12301737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2</xdr:row>
      <xdr:rowOff>180974</xdr:rowOff>
    </xdr:from>
    <xdr:to>
      <xdr:col>23</xdr:col>
      <xdr:colOff>358447</xdr:colOff>
      <xdr:row>67</xdr:row>
      <xdr:rowOff>95249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31BCA4B-3023-4319-8ED5-D541EAD25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6400" y="628649"/>
          <a:ext cx="8683297" cy="12296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885825</xdr:colOff>
      <xdr:row>0</xdr:row>
      <xdr:rowOff>0</xdr:rowOff>
    </xdr:from>
    <xdr:to>
      <xdr:col>17</xdr:col>
      <xdr:colOff>577488</xdr:colOff>
      <xdr:row>52</xdr:row>
      <xdr:rowOff>47625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223A65F-4119-40C5-B776-A56BB54A8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8775" y="0"/>
          <a:ext cx="7111638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5E27-4B85-4470-8CA2-DF4EF01EA15A}">
  <dimension ref="A2:N19"/>
  <sheetViews>
    <sheetView tabSelected="1" workbookViewId="0">
      <selection activeCell="B2" sqref="B2"/>
    </sheetView>
  </sheetViews>
  <sheetFormatPr baseColWidth="10" defaultRowHeight="15" x14ac:dyDescent="0.25"/>
  <cols>
    <col min="1" max="1" width="2.85546875" bestFit="1" customWidth="1"/>
    <col min="2" max="2" width="14.28515625" customWidth="1"/>
    <col min="3" max="3" width="16.5703125" customWidth="1"/>
    <col min="4" max="4" width="6" bestFit="1" customWidth="1"/>
    <col min="5" max="5" width="63.85546875" customWidth="1"/>
    <col min="8" max="8" width="11.5703125" bestFit="1" customWidth="1"/>
    <col min="9" max="9" width="15.42578125" customWidth="1"/>
    <col min="10" max="10" width="14" bestFit="1" customWidth="1"/>
    <col min="11" max="11" width="47.42578125" customWidth="1"/>
    <col min="12" max="12" width="7.7109375" customWidth="1"/>
    <col min="14" max="14" width="64.85546875" customWidth="1"/>
  </cols>
  <sheetData>
    <row r="2" spans="1:14" ht="18.75" x14ac:dyDescent="0.3">
      <c r="B2" s="10" t="s">
        <v>43</v>
      </c>
    </row>
    <row r="3" spans="1:14" ht="15.75" thickBot="1" x14ac:dyDescent="0.3"/>
    <row r="4" spans="1:14" ht="45.75" thickBot="1" x14ac:dyDescent="0.3">
      <c r="A4" s="11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3" t="s">
        <v>8</v>
      </c>
      <c r="J4" s="39"/>
      <c r="M4" s="25" t="s">
        <v>30</v>
      </c>
      <c r="N4" s="26" t="s">
        <v>31</v>
      </c>
    </row>
    <row r="5" spans="1:14" ht="48.75" thickBot="1" x14ac:dyDescent="0.3">
      <c r="A5" s="6">
        <v>1</v>
      </c>
      <c r="B5" s="7" t="s">
        <v>11</v>
      </c>
      <c r="C5" s="8" t="s">
        <v>9</v>
      </c>
      <c r="D5" s="7" t="s">
        <v>10</v>
      </c>
      <c r="E5" s="9" t="s">
        <v>13</v>
      </c>
      <c r="F5" s="7" t="s">
        <v>12</v>
      </c>
      <c r="G5" s="15">
        <v>1317</v>
      </c>
      <c r="H5" s="59">
        <v>2306.7600000000002</v>
      </c>
      <c r="I5" s="58">
        <f>G5*H5</f>
        <v>3038002.9200000004</v>
      </c>
      <c r="J5" s="17" t="s">
        <v>25</v>
      </c>
      <c r="K5" s="18" t="s">
        <v>28</v>
      </c>
      <c r="M5" s="19" t="s">
        <v>11</v>
      </c>
      <c r="N5" s="22" t="s">
        <v>32</v>
      </c>
    </row>
    <row r="6" spans="1:14" ht="66" customHeight="1" thickBot="1" x14ac:dyDescent="0.3">
      <c r="A6" s="28">
        <v>2</v>
      </c>
      <c r="B6" s="29" t="s">
        <v>14</v>
      </c>
      <c r="C6" s="30" t="s">
        <v>9</v>
      </c>
      <c r="D6" s="29" t="s">
        <v>10</v>
      </c>
      <c r="E6" s="31" t="s">
        <v>15</v>
      </c>
      <c r="F6" s="29" t="s">
        <v>12</v>
      </c>
      <c r="G6" s="32">
        <v>1317</v>
      </c>
      <c r="H6" s="33">
        <v>2520</v>
      </c>
      <c r="I6" s="58">
        <f t="shared" ref="I6:I7" si="0">G6*H6</f>
        <v>3318840</v>
      </c>
      <c r="J6" s="34" t="s">
        <v>26</v>
      </c>
      <c r="K6" s="35" t="s">
        <v>39</v>
      </c>
      <c r="M6" s="20" t="s">
        <v>14</v>
      </c>
      <c r="N6" s="23" t="s">
        <v>33</v>
      </c>
    </row>
    <row r="7" spans="1:14" ht="45.75" thickBot="1" x14ac:dyDescent="0.3">
      <c r="A7" s="1">
        <v>3</v>
      </c>
      <c r="B7" s="2" t="s">
        <v>16</v>
      </c>
      <c r="C7" s="3" t="s">
        <v>9</v>
      </c>
      <c r="D7" s="2" t="s">
        <v>10</v>
      </c>
      <c r="E7" s="4" t="s">
        <v>17</v>
      </c>
      <c r="F7" s="2" t="s">
        <v>18</v>
      </c>
      <c r="G7" s="16">
        <v>1367</v>
      </c>
      <c r="H7" s="14">
        <v>5880</v>
      </c>
      <c r="I7" s="58">
        <f t="shared" si="0"/>
        <v>8037960</v>
      </c>
      <c r="J7" s="17" t="s">
        <v>27</v>
      </c>
      <c r="K7" s="18" t="s">
        <v>29</v>
      </c>
      <c r="M7" s="21" t="s">
        <v>16</v>
      </c>
      <c r="N7" s="24" t="s">
        <v>17</v>
      </c>
    </row>
    <row r="8" spans="1:14" ht="15.75" thickBot="1" x14ac:dyDescent="0.3">
      <c r="I8" s="5">
        <f>SUM(I5:I7)</f>
        <v>14394802.92</v>
      </c>
    </row>
    <row r="9" spans="1:14" ht="15.75" thickBot="1" x14ac:dyDescent="0.3"/>
    <row r="10" spans="1:14" ht="15.75" thickBot="1" x14ac:dyDescent="0.3">
      <c r="B10" s="47" t="s">
        <v>19</v>
      </c>
      <c r="C10" s="48"/>
      <c r="D10" s="48"/>
      <c r="E10" s="48"/>
      <c r="F10" s="48"/>
      <c r="G10" s="49"/>
      <c r="I10" s="77">
        <f>SUMPRODUCT(G5:G7*H5:H7)</f>
        <v>14394802.92</v>
      </c>
      <c r="J10" t="s">
        <v>44</v>
      </c>
    </row>
    <row r="11" spans="1:14" x14ac:dyDescent="0.25">
      <c r="B11" s="50" t="s">
        <v>21</v>
      </c>
      <c r="C11" s="51"/>
      <c r="D11" s="51"/>
      <c r="E11" s="51"/>
      <c r="F11" s="51"/>
      <c r="G11" s="52"/>
    </row>
    <row r="12" spans="1:14" x14ac:dyDescent="0.25">
      <c r="B12" s="44" t="s">
        <v>22</v>
      </c>
      <c r="C12" s="45"/>
      <c r="D12" s="45"/>
      <c r="E12" s="45"/>
      <c r="F12" s="45"/>
      <c r="G12" s="46"/>
    </row>
    <row r="13" spans="1:14" x14ac:dyDescent="0.25">
      <c r="B13" s="44"/>
      <c r="C13" s="45"/>
      <c r="D13" s="45"/>
      <c r="E13" s="45"/>
      <c r="F13" s="45"/>
      <c r="G13" s="46"/>
    </row>
    <row r="14" spans="1:14" x14ac:dyDescent="0.25">
      <c r="B14" s="44"/>
      <c r="C14" s="45"/>
      <c r="D14" s="45"/>
      <c r="E14" s="45"/>
      <c r="F14" s="45"/>
      <c r="G14" s="46"/>
    </row>
    <row r="15" spans="1:14" x14ac:dyDescent="0.25">
      <c r="B15" s="50" t="s">
        <v>23</v>
      </c>
      <c r="C15" s="51"/>
      <c r="D15" s="51"/>
      <c r="E15" s="51"/>
      <c r="F15" s="51"/>
      <c r="G15" s="52"/>
    </row>
    <row r="16" spans="1:14" x14ac:dyDescent="0.25">
      <c r="B16" s="53" t="s">
        <v>20</v>
      </c>
      <c r="C16" s="54"/>
      <c r="D16" s="54"/>
      <c r="E16" s="54"/>
      <c r="F16" s="54"/>
      <c r="G16" s="55"/>
    </row>
    <row r="17" spans="2:7" ht="15.75" thickBot="1" x14ac:dyDescent="0.3">
      <c r="B17" s="40" t="s">
        <v>24</v>
      </c>
      <c r="C17" s="41"/>
      <c r="D17" s="41"/>
      <c r="E17" s="41"/>
      <c r="F17" s="41"/>
      <c r="G17" s="42"/>
    </row>
    <row r="18" spans="2:7" x14ac:dyDescent="0.25">
      <c r="B18" s="43"/>
      <c r="C18" s="43"/>
      <c r="D18" s="43"/>
      <c r="E18" s="43"/>
      <c r="F18" s="43"/>
      <c r="G18" s="43"/>
    </row>
    <row r="19" spans="2:7" x14ac:dyDescent="0.25">
      <c r="B19" s="43"/>
      <c r="C19" s="43"/>
      <c r="D19" s="43"/>
      <c r="E19" s="43"/>
      <c r="F19" s="43"/>
      <c r="G19" s="43"/>
    </row>
  </sheetData>
  <mergeCells count="8">
    <mergeCell ref="B17:G17"/>
    <mergeCell ref="B18:G18"/>
    <mergeCell ref="B19:G19"/>
    <mergeCell ref="B12:G14"/>
    <mergeCell ref="B10:G10"/>
    <mergeCell ref="B11:G11"/>
    <mergeCell ref="B15:G15"/>
    <mergeCell ref="B16:G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3C5A-D9DE-4995-9558-9A2A0AA614F1}">
  <dimension ref="C1:O1"/>
  <sheetViews>
    <sheetView workbookViewId="0">
      <selection activeCell="K3" sqref="K3"/>
    </sheetView>
  </sheetViews>
  <sheetFormatPr baseColWidth="10" defaultRowHeight="15" x14ac:dyDescent="0.25"/>
  <cols>
    <col min="9" max="9" width="8.28515625" customWidth="1"/>
  </cols>
  <sheetData>
    <row r="1" spans="3:15" ht="21" x14ac:dyDescent="0.35">
      <c r="C1" s="56" t="s">
        <v>34</v>
      </c>
      <c r="D1" s="56"/>
      <c r="E1" s="56"/>
      <c r="F1" s="27"/>
      <c r="G1" s="27"/>
      <c r="H1" s="27"/>
      <c r="I1" s="27"/>
      <c r="J1" s="27"/>
      <c r="K1" s="27"/>
      <c r="L1" s="27"/>
      <c r="M1" s="57" t="s">
        <v>35</v>
      </c>
      <c r="N1" s="57"/>
      <c r="O1" s="57"/>
    </row>
  </sheetData>
  <mergeCells count="2">
    <mergeCell ref="C1:E1"/>
    <mergeCell ref="M1:O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E4D5-63E2-4274-9D86-16789F95F0BE}">
  <dimension ref="B1:Q2"/>
  <sheetViews>
    <sheetView workbookViewId="0">
      <selection activeCell="A2" sqref="A2"/>
    </sheetView>
  </sheetViews>
  <sheetFormatPr baseColWidth="10" defaultRowHeight="15" x14ac:dyDescent="0.25"/>
  <cols>
    <col min="12" max="12" width="12.85546875" customWidth="1"/>
  </cols>
  <sheetData>
    <row r="1" spans="2:17" ht="15.75" thickBot="1" x14ac:dyDescent="0.3"/>
    <row r="2" spans="2:17" ht="19.5" thickBot="1" x14ac:dyDescent="0.35">
      <c r="B2" s="64" t="s">
        <v>40</v>
      </c>
      <c r="C2" s="65"/>
      <c r="D2" s="65"/>
      <c r="F2" s="61" t="s">
        <v>45</v>
      </c>
      <c r="G2" s="62"/>
      <c r="H2" s="62"/>
      <c r="I2" s="62"/>
      <c r="J2" s="62"/>
      <c r="K2" s="62"/>
      <c r="L2" s="63"/>
      <c r="N2" s="64" t="s">
        <v>41</v>
      </c>
      <c r="O2" s="65"/>
      <c r="P2" s="65"/>
      <c r="Q2" s="65"/>
    </row>
  </sheetData>
  <mergeCells count="1">
    <mergeCell ref="F2:L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6A41-923E-4A44-B257-65BAAC5294AA}">
  <dimension ref="B2:H39"/>
  <sheetViews>
    <sheetView workbookViewId="0">
      <selection activeCell="B3" sqref="B3"/>
    </sheetView>
  </sheetViews>
  <sheetFormatPr baseColWidth="10" defaultRowHeight="15" x14ac:dyDescent="0.25"/>
  <cols>
    <col min="1" max="1" width="2.85546875" bestFit="1" customWidth="1"/>
    <col min="2" max="2" width="7.5703125" customWidth="1"/>
    <col min="3" max="3" width="12.85546875" customWidth="1"/>
    <col min="4" max="4" width="6" bestFit="1" customWidth="1"/>
    <col min="5" max="5" width="11.85546875" customWidth="1"/>
    <col min="6" max="6" width="9.28515625" customWidth="1"/>
    <col min="7" max="7" width="10" customWidth="1"/>
    <col min="8" max="8" width="7.85546875" customWidth="1"/>
    <col min="9" max="9" width="15.42578125" customWidth="1"/>
    <col min="10" max="10" width="15.85546875" customWidth="1"/>
  </cols>
  <sheetData>
    <row r="2" spans="2:8" ht="18.75" x14ac:dyDescent="0.3">
      <c r="C2" s="60" t="s">
        <v>42</v>
      </c>
    </row>
    <row r="6" spans="2:8" ht="15.75" thickBot="1" x14ac:dyDescent="0.3">
      <c r="C6" s="66" t="s">
        <v>36</v>
      </c>
      <c r="G6" s="66" t="s">
        <v>37</v>
      </c>
    </row>
    <row r="7" spans="2:8" x14ac:dyDescent="0.25">
      <c r="B7" s="38">
        <v>0</v>
      </c>
      <c r="C7" s="38">
        <v>0</v>
      </c>
      <c r="D7" s="68">
        <f>SUM(B7:C7)</f>
        <v>0</v>
      </c>
      <c r="F7" s="38">
        <v>1</v>
      </c>
      <c r="G7" s="38">
        <v>0</v>
      </c>
      <c r="H7" s="73">
        <f>SUM(F7:G7)</f>
        <v>1</v>
      </c>
    </row>
    <row r="8" spans="2:8" x14ac:dyDescent="0.25">
      <c r="B8" s="38">
        <v>5</v>
      </c>
      <c r="C8" s="38">
        <v>0</v>
      </c>
      <c r="D8" s="72">
        <f t="shared" ref="D8:D24" si="0">SUM(B8:C8)</f>
        <v>5</v>
      </c>
      <c r="F8" s="38">
        <v>19</v>
      </c>
      <c r="G8" s="38">
        <v>1</v>
      </c>
      <c r="H8" s="74">
        <f t="shared" ref="H8:H24" si="1">SUM(F8:G8)</f>
        <v>20</v>
      </c>
    </row>
    <row r="9" spans="2:8" x14ac:dyDescent="0.25">
      <c r="B9" s="38">
        <v>35</v>
      </c>
      <c r="C9" s="38">
        <v>5</v>
      </c>
      <c r="D9" s="69">
        <f t="shared" si="0"/>
        <v>40</v>
      </c>
      <c r="F9" s="38">
        <v>60</v>
      </c>
      <c r="G9" s="38">
        <v>6</v>
      </c>
      <c r="H9" s="74">
        <f t="shared" si="1"/>
        <v>66</v>
      </c>
    </row>
    <row r="10" spans="2:8" x14ac:dyDescent="0.25">
      <c r="B10" s="38">
        <v>108</v>
      </c>
      <c r="C10" s="38">
        <v>12</v>
      </c>
      <c r="D10" s="69">
        <f t="shared" si="0"/>
        <v>120</v>
      </c>
      <c r="F10" s="38">
        <v>165</v>
      </c>
      <c r="G10" s="38">
        <v>25</v>
      </c>
      <c r="H10" s="74">
        <f t="shared" si="1"/>
        <v>190</v>
      </c>
    </row>
    <row r="11" spans="2:8" x14ac:dyDescent="0.25">
      <c r="B11" s="38">
        <v>183</v>
      </c>
      <c r="C11" s="38">
        <v>26</v>
      </c>
      <c r="D11" s="69">
        <f t="shared" si="0"/>
        <v>209</v>
      </c>
      <c r="F11" s="38">
        <v>241</v>
      </c>
      <c r="G11" s="38">
        <v>37</v>
      </c>
      <c r="H11" s="74">
        <f t="shared" si="1"/>
        <v>278</v>
      </c>
    </row>
    <row r="12" spans="2:8" x14ac:dyDescent="0.25">
      <c r="B12" s="38">
        <v>236</v>
      </c>
      <c r="C12" s="38">
        <v>27</v>
      </c>
      <c r="D12" s="69">
        <f t="shared" si="0"/>
        <v>263</v>
      </c>
      <c r="F12" s="38">
        <v>259</v>
      </c>
      <c r="G12" s="38">
        <v>48</v>
      </c>
      <c r="H12" s="74">
        <f t="shared" si="1"/>
        <v>307</v>
      </c>
    </row>
    <row r="13" spans="2:8" x14ac:dyDescent="0.25">
      <c r="B13" s="38">
        <v>255</v>
      </c>
      <c r="C13" s="38">
        <v>38</v>
      </c>
      <c r="D13" s="69">
        <f t="shared" si="0"/>
        <v>293</v>
      </c>
      <c r="F13" s="38">
        <v>240</v>
      </c>
      <c r="G13" s="38">
        <v>21</v>
      </c>
      <c r="H13" s="74">
        <f t="shared" si="1"/>
        <v>261</v>
      </c>
    </row>
    <row r="14" spans="2:8" x14ac:dyDescent="0.25">
      <c r="B14" s="38">
        <v>119</v>
      </c>
      <c r="C14" s="38">
        <v>29</v>
      </c>
      <c r="D14" s="69">
        <f t="shared" si="0"/>
        <v>148</v>
      </c>
      <c r="F14" s="38">
        <v>77</v>
      </c>
      <c r="G14" s="38">
        <v>12</v>
      </c>
      <c r="H14" s="74">
        <f t="shared" si="1"/>
        <v>89</v>
      </c>
    </row>
    <row r="15" spans="2:8" x14ac:dyDescent="0.25">
      <c r="B15" s="38">
        <v>77</v>
      </c>
      <c r="C15" s="38">
        <v>10</v>
      </c>
      <c r="D15" s="69">
        <f t="shared" si="0"/>
        <v>87</v>
      </c>
      <c r="F15" s="38">
        <v>33</v>
      </c>
      <c r="G15" s="38">
        <v>6</v>
      </c>
      <c r="H15" s="74">
        <f t="shared" si="1"/>
        <v>39</v>
      </c>
    </row>
    <row r="16" spans="2:8" x14ac:dyDescent="0.25">
      <c r="B16" s="38">
        <v>59</v>
      </c>
      <c r="C16" s="38">
        <v>8</v>
      </c>
      <c r="D16" s="69">
        <f t="shared" si="0"/>
        <v>67</v>
      </c>
      <c r="F16" s="38">
        <v>24</v>
      </c>
      <c r="G16" s="38">
        <v>6</v>
      </c>
      <c r="H16" s="74">
        <f t="shared" si="1"/>
        <v>30</v>
      </c>
    </row>
    <row r="17" spans="2:8" x14ac:dyDescent="0.25">
      <c r="B17" s="38">
        <v>35</v>
      </c>
      <c r="C17" s="38">
        <v>4</v>
      </c>
      <c r="D17" s="69">
        <f t="shared" si="0"/>
        <v>39</v>
      </c>
      <c r="F17" s="38">
        <v>18</v>
      </c>
      <c r="G17" s="38">
        <v>2</v>
      </c>
      <c r="H17" s="74">
        <f t="shared" si="1"/>
        <v>20</v>
      </c>
    </row>
    <row r="18" spans="2:8" x14ac:dyDescent="0.25">
      <c r="B18" s="38">
        <v>18</v>
      </c>
      <c r="C18" s="38">
        <v>4</v>
      </c>
      <c r="D18" s="69">
        <f t="shared" si="0"/>
        <v>22</v>
      </c>
      <c r="F18" s="38">
        <v>8</v>
      </c>
      <c r="G18" s="38">
        <v>2</v>
      </c>
      <c r="H18" s="74">
        <f t="shared" si="1"/>
        <v>10</v>
      </c>
    </row>
    <row r="19" spans="2:8" x14ac:dyDescent="0.25">
      <c r="B19" s="38">
        <v>12</v>
      </c>
      <c r="C19" s="38">
        <v>2</v>
      </c>
      <c r="D19" s="69">
        <f t="shared" si="0"/>
        <v>14</v>
      </c>
      <c r="F19" s="38">
        <v>4</v>
      </c>
      <c r="G19" s="38">
        <v>0</v>
      </c>
      <c r="H19" s="74">
        <f t="shared" si="1"/>
        <v>4</v>
      </c>
    </row>
    <row r="20" spans="2:8" x14ac:dyDescent="0.25">
      <c r="B20" s="38">
        <v>4</v>
      </c>
      <c r="C20" s="38">
        <v>1</v>
      </c>
      <c r="D20" s="69">
        <f t="shared" si="0"/>
        <v>5</v>
      </c>
      <c r="F20" s="38">
        <v>1</v>
      </c>
      <c r="G20" s="38">
        <v>0</v>
      </c>
      <c r="H20" s="74">
        <f t="shared" si="1"/>
        <v>1</v>
      </c>
    </row>
    <row r="21" spans="2:8" x14ac:dyDescent="0.25">
      <c r="B21" s="38">
        <v>4</v>
      </c>
      <c r="C21" s="38">
        <v>0</v>
      </c>
      <c r="D21" s="69">
        <f t="shared" si="0"/>
        <v>4</v>
      </c>
      <c r="F21" s="38">
        <v>0</v>
      </c>
      <c r="G21" s="38">
        <v>0</v>
      </c>
      <c r="H21" s="74">
        <f t="shared" si="1"/>
        <v>0</v>
      </c>
    </row>
    <row r="22" spans="2:8" x14ac:dyDescent="0.25">
      <c r="B22" s="38">
        <v>0</v>
      </c>
      <c r="C22" s="38">
        <v>0</v>
      </c>
      <c r="D22" s="69">
        <f t="shared" si="0"/>
        <v>0</v>
      </c>
      <c r="F22" s="38">
        <v>1</v>
      </c>
      <c r="G22" s="38">
        <v>0</v>
      </c>
      <c r="H22" s="74">
        <f t="shared" si="1"/>
        <v>1</v>
      </c>
    </row>
    <row r="23" spans="2:8" x14ac:dyDescent="0.25">
      <c r="B23" s="38">
        <v>0</v>
      </c>
      <c r="C23" s="38">
        <v>0</v>
      </c>
      <c r="D23" s="69">
        <f t="shared" si="0"/>
        <v>0</v>
      </c>
      <c r="F23" s="38">
        <v>0</v>
      </c>
      <c r="G23" s="38">
        <v>0</v>
      </c>
      <c r="H23" s="74">
        <f t="shared" si="1"/>
        <v>0</v>
      </c>
    </row>
    <row r="24" spans="2:8" ht="15.75" thickBot="1" x14ac:dyDescent="0.3">
      <c r="B24" s="38">
        <v>1</v>
      </c>
      <c r="C24" s="38">
        <v>0</v>
      </c>
      <c r="D24" s="70">
        <f t="shared" si="0"/>
        <v>1</v>
      </c>
      <c r="F24" s="38">
        <v>0</v>
      </c>
      <c r="G24" s="38">
        <v>0</v>
      </c>
      <c r="H24" s="75">
        <f t="shared" si="1"/>
        <v>0</v>
      </c>
    </row>
    <row r="25" spans="2:8" ht="15.75" thickBot="1" x14ac:dyDescent="0.3">
      <c r="B25" s="37">
        <f>SUM(B7:B24)</f>
        <v>1151</v>
      </c>
      <c r="C25" s="76">
        <f>SUM(C7:C24)</f>
        <v>166</v>
      </c>
      <c r="D25" s="71">
        <f>SUM(D7:D24)</f>
        <v>1317</v>
      </c>
      <c r="E25" s="36"/>
      <c r="F25" s="37">
        <f>SUM(F7:F24)</f>
        <v>1151</v>
      </c>
      <c r="G25" s="76">
        <f>SUM(G7:G24)</f>
        <v>166</v>
      </c>
      <c r="H25" s="71">
        <f>SUM(H7:H24)</f>
        <v>1317</v>
      </c>
    </row>
    <row r="27" spans="2:8" ht="15.75" thickBot="1" x14ac:dyDescent="0.3">
      <c r="D27" s="67" t="s">
        <v>38</v>
      </c>
    </row>
    <row r="28" spans="2:8" x14ac:dyDescent="0.25">
      <c r="D28" s="68">
        <v>2</v>
      </c>
    </row>
    <row r="29" spans="2:8" x14ac:dyDescent="0.25">
      <c r="D29" s="69">
        <v>25</v>
      </c>
    </row>
    <row r="30" spans="2:8" x14ac:dyDescent="0.25">
      <c r="D30" s="69">
        <v>36</v>
      </c>
    </row>
    <row r="31" spans="2:8" x14ac:dyDescent="0.25">
      <c r="D31" s="69">
        <v>72</v>
      </c>
    </row>
    <row r="32" spans="2:8" x14ac:dyDescent="0.25">
      <c r="D32" s="69">
        <v>192</v>
      </c>
    </row>
    <row r="33" spans="4:4" x14ac:dyDescent="0.25">
      <c r="D33" s="69">
        <v>317</v>
      </c>
    </row>
    <row r="34" spans="4:4" x14ac:dyDescent="0.25">
      <c r="D34" s="69">
        <v>404</v>
      </c>
    </row>
    <row r="35" spans="4:4" x14ac:dyDescent="0.25">
      <c r="D35" s="69">
        <v>216</v>
      </c>
    </row>
    <row r="36" spans="4:4" x14ac:dyDescent="0.25">
      <c r="D36" s="69">
        <v>65</v>
      </c>
    </row>
    <row r="37" spans="4:4" x14ac:dyDescent="0.25">
      <c r="D37" s="69">
        <v>38</v>
      </c>
    </row>
    <row r="38" spans="4:4" ht="15.75" thickBot="1" x14ac:dyDescent="0.3">
      <c r="D38" s="70">
        <v>0</v>
      </c>
    </row>
    <row r="39" spans="4:4" ht="15.75" thickBot="1" x14ac:dyDescent="0.3">
      <c r="D39" s="71">
        <f>SUM(D28:D38)</f>
        <v>1367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Control Ítems</vt:lpstr>
      <vt:lpstr>Anexos</vt:lpstr>
      <vt:lpstr>Solic.Gasto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2021-11-04T12:24:23Z</dcterms:created>
  <dcterms:modified xsi:type="dcterms:W3CDTF">2021-11-11T14:18:48Z</dcterms:modified>
</cp:coreProperties>
</file>