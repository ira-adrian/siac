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7DDFD2F-209D-4F9F-8E26-B6A803F869E2}" xr6:coauthVersionLast="46" xr6:coauthVersionMax="46" xr10:uidLastSave="{00000000-0000-0000-0000-000000000000}"/>
  <bookViews>
    <workbookView xWindow="-120" yWindow="-120" windowWidth="29040" windowHeight="15840" xr2:uid="{ABBDFF30-6669-42A7-A64C-976F495FBDFE}"/>
  </bookViews>
  <sheets>
    <sheet name="MINISTERIO SALU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AQ10" i="1"/>
  <c r="AS10" i="1"/>
  <c r="AS22" i="1" s="1"/>
  <c r="R11" i="1"/>
  <c r="AQ11" i="1"/>
  <c r="AS11" i="1"/>
  <c r="R12" i="1"/>
  <c r="AQ12" i="1"/>
  <c r="AS12" i="1"/>
  <c r="R13" i="1"/>
  <c r="AQ13" i="1"/>
  <c r="AS13" i="1"/>
  <c r="R14" i="1"/>
  <c r="R22" i="1" s="1"/>
  <c r="AS14" i="1"/>
  <c r="R15" i="1"/>
  <c r="AS15" i="1"/>
  <c r="R16" i="1"/>
  <c r="AS16" i="1"/>
  <c r="R17" i="1"/>
  <c r="AS17" i="1"/>
  <c r="R18" i="1"/>
  <c r="AS18" i="1"/>
  <c r="R19" i="1"/>
  <c r="AS19" i="1"/>
  <c r="R20" i="1"/>
  <c r="AS20" i="1"/>
  <c r="R21" i="1"/>
  <c r="AS21" i="1"/>
  <c r="X22" i="1"/>
</calcChain>
</file>

<file path=xl/sharedStrings.xml><?xml version="1.0" encoding="utf-8"?>
<sst xmlns="http://schemas.openxmlformats.org/spreadsheetml/2006/main" count="109" uniqueCount="76">
  <si>
    <t>DIR. PROV. DE FARMACIA E INSUMOS - CHACABUCO N° 169 - en el horario de 8:00hs a 12:00hs de lunes a viernes</t>
  </si>
  <si>
    <t>Lugar de Entrega:</t>
  </si>
  <si>
    <t>veinte (20) dias habiles</t>
  </si>
  <si>
    <t>Plazos de entrega</t>
  </si>
  <si>
    <t>Descripción técnica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</si>
  <si>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</si>
  <si>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 xml:space="preserve">Especificidades </t>
  </si>
  <si>
    <t>TOTAL</t>
  </si>
  <si>
    <t>UNIDAD</t>
  </si>
  <si>
    <t>SONDA PARA NUTRICION ENTERAL TIPO K108 DE RIVERO</t>
  </si>
  <si>
    <t>2.9.5</t>
  </si>
  <si>
    <t>PROD. MEDICO/FARMACEUTICOS/LAB</t>
  </si>
  <si>
    <t>SONDA PARA MUESTRA DE SECRECION TRAQUEAL B-2941 TIPO TUBO DE LUKEN</t>
  </si>
  <si>
    <t>SET DE VIA CENTRAL SIMPLE LUMEN 7 FRENCH TIPO ARROW</t>
  </si>
  <si>
    <t>SET DE VIA CENTRAL DOBLE LUMEN 7 FRENCH TIPO ARROW</t>
  </si>
  <si>
    <t>CANULA PARA TRAQUEOTOMIA N° 9</t>
  </si>
  <si>
    <t>CANULA PARA TRAQUEOSTOMIA Nº 8</t>
  </si>
  <si>
    <t>CANULA PARA TRAQUEOSTOMIA Nº 7 1/2</t>
  </si>
  <si>
    <t>CANULA PARA TRAQUEOSTOMIA Nº 7</t>
  </si>
  <si>
    <t>CANAULA NASAL ADULTO PARA AIRVOX  INTERF OPTIFLOW AD LARGE TIPO  F&amp;P</t>
  </si>
  <si>
    <t>CANULA NASAL ADULTO 6 M P/ HUMIDOFLO 4823R1V TIPO GGM</t>
  </si>
  <si>
    <t>CIRCUITO +CAM OPTI ADULTO PARA AIRVOX TIPO  F&amp;P</t>
  </si>
  <si>
    <t>CIRCUITO DESC. ADULTO P/ HUMIDOFLO 4823R1V TIPO GGM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</si>
  <si>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</si>
  <si>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</si>
  <si>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</si>
  <si>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</si>
  <si>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</si>
  <si>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</si>
  <si>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</si>
  <si>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</si>
  <si>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</si>
  <si>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</si>
  <si>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</si>
  <si>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</si>
  <si>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</si>
  <si>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</si>
  <si>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</si>
  <si>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</si>
  <si>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</si>
  <si>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</si>
  <si>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</si>
  <si>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</si>
  <si>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</si>
  <si>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</si>
  <si>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</si>
  <si>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</si>
  <si>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</si>
  <si>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</si>
  <si>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</si>
  <si>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</si>
  <si>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</si>
  <si>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</si>
  <si>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</si>
  <si>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</si>
  <si>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</si>
  <si>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</si>
  <si>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</si>
  <si>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</si>
  <si>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</si>
  <si>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</si>
  <si>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</si>
  <si>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</si>
  <si>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</si>
  <si>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</si>
  <si>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</si>
  <si>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</si>
  <si>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</si>
  <si>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</si>
  <si>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</si>
  <si>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</si>
  <si>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DIR. PROV DE ADMINISTRACION - MINISTERIO DE SALUD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</si>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</sst>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_ [$$-2C0A]\ * #,##0.00_ ;_ [$$-2C0A]\ * \-#,##0.00_ ;_ [$$-2C0A]\ * &quot;-&quot;??_ ;_ @_ "/>
    <numFmt numFmtId="167" formatCode="[$$-2C0A]\ #,##0.00;[$$-2C0A]&quot; -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0" fontId="8" fillId="0" borderId="0"/>
  </cellStyleXfs>
  <cellXfs count="68">
    <xf numFmtId="0" fontId="0" fillId="0" borderId="0" xfId="0"/>
    <xf numFmtId="164" fontId="2" fillId="0" borderId="0" xfId="0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6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7" fontId="7" fillId="2" borderId="1" xfId="0" applyNumberFormat="1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2" applyFill="1" applyBorder="1" applyAlignment="1">
      <alignment vertical="center" wrapText="1"/>
    </xf>
    <xf numFmtId="165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center"/>
    </xf>
    <xf numFmtId="165" fontId="3" fillId="0" borderId="1" xfId="1" applyNumberFormat="1" applyFont="1" applyFill="1" applyBorder="1" applyAlignment="1">
      <alignment horizontal="right"/>
    </xf>
    <xf numFmtId="3" fontId="3" fillId="0" borderId="1" xfId="3" applyNumberFormat="1" applyFont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164" fontId="9" fillId="0" borderId="1" xfId="0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" fontId="10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4">
    <cellStyle name="Moneda" xfId="1" builtinId="4"/>
    <cellStyle name="Normal" xfId="0" builtinId="0"/>
    <cellStyle name="Normal 2 2" xfId="2" xr:uid="{16471096-B75A-4778-88CB-B04609A69EF9}"/>
    <cellStyle name="Normal 2 3" xfId="3" xr:uid="{2E43C668-5BA3-49F2-88BD-CBB132F1624F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4385-9588-49F6-B11D-9207B11FB2ED}">
  <dimension ref="A1:AS32"/>
  <sheetViews>
    <sheetView tabSelected="1" workbookViewId="0">
      <selection activeCell="A9" sqref="A9"/>
    </sheetView>
  </sheetViews>
  <sheetFormatPr baseColWidth="10" defaultRowHeight="15" x14ac:dyDescent="0.25"/>
  <cols>
    <col min="1" max="1" width="6.42578125" customWidth="1"/>
    <col min="2" max="2" width="16" customWidth="1"/>
    <col min="3" max="3" width="36.28515625" customWidth="1"/>
    <col min="4" max="4" width="8.42578125" customWidth="1"/>
    <col min="5" max="5" width="84.42578125" customWidth="1"/>
    <col min="6" max="6" width="16.42578125" customWidth="1"/>
    <col min="7" max="42" width="0" hidden="1" customWidth="1"/>
    <col min="43" max="43" width="16.42578125" customWidth="1"/>
    <col min="44" max="44" width="24.5703125" customWidth="1"/>
    <col min="45" max="45" width="22.5703125" customWidth="1"/>
  </cols>
  <sheetData>
    <row r="1" spans="1:45" x14ac:dyDescent="0.25">
      <c r="A1" s="38">
        <v>2021</v>
      </c>
      <c r="B1" s="7"/>
      <c r="C1" s="8"/>
      <c r="D1" s="4"/>
      <c r="E1" s="11"/>
      <c r="F1" s="4"/>
      <c r="G1" s="4"/>
      <c r="H1" s="4"/>
      <c r="I1" s="4"/>
      <c r="J1" s="4"/>
      <c r="K1" s="9"/>
      <c r="L1" s="10"/>
      <c r="M1" s="5"/>
      <c r="N1" s="4"/>
      <c r="O1" s="9"/>
      <c r="P1" s="4"/>
      <c r="Q1" s="5"/>
      <c r="R1" s="4"/>
      <c r="S1" s="9"/>
      <c r="T1" s="4"/>
      <c r="U1" s="5"/>
      <c r="V1" s="4"/>
      <c r="W1" s="5"/>
      <c r="X1" s="4"/>
      <c r="Y1" s="5"/>
      <c r="Z1" s="4"/>
      <c r="AA1" s="5"/>
      <c r="AB1" s="4"/>
      <c r="AC1" s="5"/>
      <c r="AD1" s="4"/>
      <c r="AE1" s="5"/>
      <c r="AF1" s="4"/>
      <c r="AG1" s="5"/>
      <c r="AH1" s="4"/>
      <c r="AI1" s="5"/>
      <c r="AJ1" s="4"/>
      <c r="AK1" s="5"/>
      <c r="AL1" s="4"/>
      <c r="AM1" s="5"/>
      <c r="AN1" s="4"/>
      <c r="AO1" s="5"/>
      <c r="AP1" s="4"/>
      <c r="AQ1" s="3"/>
      <c r="AR1" s="2"/>
      <c r="AS1" s="1"/>
    </row>
    <row r="2" spans="1:45" ht="25.5" x14ac:dyDescent="0.35">
      <c r="A2" s="8"/>
      <c r="B2" s="67" t="s">
        <v>75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6"/>
      <c r="AR2" s="65"/>
      <c r="AS2" s="1"/>
    </row>
    <row r="3" spans="1:45" x14ac:dyDescent="0.25">
      <c r="A3" s="8"/>
      <c r="B3" s="7"/>
      <c r="C3" s="8"/>
      <c r="D3" s="4"/>
      <c r="E3" s="11"/>
      <c r="F3" s="4"/>
      <c r="G3" s="4"/>
      <c r="H3" s="4"/>
      <c r="I3" s="4"/>
      <c r="J3" s="4"/>
      <c r="K3" s="9"/>
      <c r="L3" s="10"/>
      <c r="M3" s="5"/>
      <c r="N3" s="4"/>
      <c r="O3" s="9"/>
      <c r="P3" s="4"/>
      <c r="Q3" s="5"/>
      <c r="R3" s="4"/>
      <c r="S3" s="9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  <c r="AJ3" s="4"/>
      <c r="AK3" s="5"/>
      <c r="AL3" s="4"/>
      <c r="AM3" s="5"/>
      <c r="AN3" s="4"/>
      <c r="AO3" s="5"/>
      <c r="AP3" s="4"/>
      <c r="AQ3" s="3"/>
      <c r="AR3" s="2"/>
      <c r="AS3" s="1"/>
    </row>
    <row r="4" spans="1:45" ht="15.75" x14ac:dyDescent="0.25">
      <c r="A4" s="63" t="s">
        <v>74</v>
      </c>
      <c r="B4" s="63"/>
      <c r="C4" s="64" t="s">
        <v>73</v>
      </c>
      <c r="D4" s="64"/>
      <c r="E4" s="64"/>
      <c r="F4" s="54"/>
      <c r="G4" s="54"/>
      <c r="H4" s="54"/>
      <c r="I4" s="54"/>
      <c r="J4" s="54"/>
      <c r="K4" s="56"/>
      <c r="L4" s="57"/>
      <c r="M4" s="55"/>
      <c r="N4" s="54"/>
      <c r="O4" s="56"/>
      <c r="P4" s="54"/>
      <c r="Q4" s="55"/>
      <c r="R4" s="54"/>
      <c r="S4" s="56"/>
      <c r="T4" s="54"/>
      <c r="U4" s="55"/>
      <c r="V4" s="54"/>
      <c r="W4" s="55"/>
      <c r="X4" s="54"/>
      <c r="Y4" s="55"/>
      <c r="Z4" s="54"/>
      <c r="AA4" s="55"/>
      <c r="AB4" s="54"/>
      <c r="AC4" s="55"/>
      <c r="AD4" s="54"/>
      <c r="AE4" s="55"/>
      <c r="AF4" s="54"/>
      <c r="AG4" s="55"/>
      <c r="AH4" s="54"/>
      <c r="AI4" s="55"/>
      <c r="AJ4" s="54"/>
      <c r="AK4" s="55"/>
      <c r="AL4" s="54"/>
      <c r="AM4" s="55"/>
      <c r="AN4" s="54"/>
      <c r="AO4" s="55"/>
      <c r="AP4" s="54"/>
      <c r="AQ4" s="53"/>
      <c r="AR4" s="2"/>
      <c r="AS4" s="1"/>
    </row>
    <row r="5" spans="1:45" ht="15.75" x14ac:dyDescent="0.25">
      <c r="A5" s="63" t="s">
        <v>72</v>
      </c>
      <c r="B5" s="63"/>
      <c r="C5" s="64" t="s">
        <v>71</v>
      </c>
      <c r="D5" s="64"/>
      <c r="E5" s="64"/>
      <c r="F5" s="54"/>
      <c r="G5" s="54"/>
      <c r="H5" s="54"/>
      <c r="I5" s="54"/>
      <c r="J5" s="54"/>
      <c r="K5" s="56"/>
      <c r="L5" s="57"/>
      <c r="M5" s="55"/>
      <c r="N5" s="54"/>
      <c r="O5" s="56"/>
      <c r="P5" s="54"/>
      <c r="Q5" s="55"/>
      <c r="R5" s="54"/>
      <c r="S5" s="56"/>
      <c r="T5" s="54"/>
      <c r="U5" s="55"/>
      <c r="V5" s="54"/>
      <c r="W5" s="55"/>
      <c r="X5" s="54"/>
      <c r="Y5" s="55"/>
      <c r="Z5" s="54"/>
      <c r="AA5" s="55"/>
      <c r="AB5" s="54"/>
      <c r="AC5" s="55"/>
      <c r="AD5" s="54"/>
      <c r="AE5" s="55"/>
      <c r="AF5" s="54"/>
      <c r="AG5" s="55"/>
      <c r="AH5" s="54"/>
      <c r="AI5" s="55"/>
      <c r="AJ5" s="54"/>
      <c r="AK5" s="55"/>
      <c r="AL5" s="54"/>
      <c r="AM5" s="55"/>
      <c r="AN5" s="54"/>
      <c r="AO5" s="55"/>
      <c r="AP5" s="54"/>
      <c r="AQ5" s="53"/>
      <c r="AR5" s="2"/>
      <c r="AS5" s="1"/>
    </row>
    <row r="6" spans="1:45" ht="15.75" x14ac:dyDescent="0.25">
      <c r="A6" s="63" t="s">
        <v>70</v>
      </c>
      <c r="B6" s="63"/>
      <c r="C6" s="62">
        <v>2021</v>
      </c>
      <c r="D6" s="61"/>
      <c r="E6" s="60"/>
      <c r="F6" s="54"/>
      <c r="G6" s="54"/>
      <c r="H6" s="54"/>
      <c r="I6" s="54"/>
      <c r="J6" s="54"/>
      <c r="K6" s="56"/>
      <c r="L6" s="57"/>
      <c r="M6" s="55"/>
      <c r="N6" s="54"/>
      <c r="O6" s="56"/>
      <c r="P6" s="54"/>
      <c r="Q6" s="55"/>
      <c r="R6" s="54"/>
      <c r="S6" s="56"/>
      <c r="T6" s="54"/>
      <c r="U6" s="55"/>
      <c r="V6" s="54"/>
      <c r="W6" s="55"/>
      <c r="X6" s="54"/>
      <c r="Y6" s="55"/>
      <c r="Z6" s="54"/>
      <c r="AA6" s="55"/>
      <c r="AB6" s="54"/>
      <c r="AC6" s="55"/>
      <c r="AD6" s="54"/>
      <c r="AE6" s="55"/>
      <c r="AF6" s="54"/>
      <c r="AG6" s="55"/>
      <c r="AH6" s="54"/>
      <c r="AI6" s="55"/>
      <c r="AJ6" s="54"/>
      <c r="AK6" s="55"/>
      <c r="AL6" s="54"/>
      <c r="AM6" s="55"/>
      <c r="AN6" s="54"/>
      <c r="AO6" s="55"/>
      <c r="AP6" s="54"/>
      <c r="AQ6" s="53"/>
      <c r="AR6" s="2"/>
      <c r="AS6" s="1"/>
    </row>
    <row r="7" spans="1:45" ht="15.75" x14ac:dyDescent="0.25">
      <c r="A7" s="63" t="s">
        <v>69</v>
      </c>
      <c r="B7" s="63"/>
      <c r="C7" s="62" t="s">
        <v>68</v>
      </c>
      <c r="D7" s="61"/>
      <c r="E7" s="60"/>
      <c r="F7" s="54"/>
      <c r="G7" s="54"/>
      <c r="H7" s="54"/>
      <c r="I7" s="54"/>
      <c r="J7" s="54"/>
      <c r="K7" s="56"/>
      <c r="L7" s="57"/>
      <c r="M7" s="55"/>
      <c r="N7" s="54"/>
      <c r="O7" s="56"/>
      <c r="P7" s="54"/>
      <c r="Q7" s="55"/>
      <c r="R7" s="54"/>
      <c r="S7" s="56"/>
      <c r="T7" s="54"/>
      <c r="U7" s="55"/>
      <c r="V7" s="54"/>
      <c r="W7" s="55"/>
      <c r="X7" s="54"/>
      <c r="Y7" s="55"/>
      <c r="Z7" s="54"/>
      <c r="AA7" s="55"/>
      <c r="AB7" s="54"/>
      <c r="AC7" s="55"/>
      <c r="AD7" s="54"/>
      <c r="AE7" s="55"/>
      <c r="AF7" s="54"/>
      <c r="AG7" s="55"/>
      <c r="AH7" s="54"/>
      <c r="AI7" s="55"/>
      <c r="AJ7" s="54"/>
      <c r="AK7" s="55"/>
      <c r="AL7" s="54"/>
      <c r="AM7" s="55"/>
      <c r="AN7" s="54"/>
      <c r="AO7" s="55"/>
      <c r="AP7" s="54"/>
      <c r="AQ7" s="53"/>
      <c r="AR7" s="2"/>
      <c r="AS7" s="1"/>
    </row>
    <row r="8" spans="1:45" x14ac:dyDescent="0.25">
      <c r="A8" s="8"/>
      <c r="B8" s="59"/>
      <c r="C8" s="58"/>
      <c r="D8" s="54"/>
      <c r="E8" s="58"/>
      <c r="F8" s="54"/>
      <c r="G8" s="54"/>
      <c r="H8" s="54"/>
      <c r="I8" s="54"/>
      <c r="J8" s="54"/>
      <c r="K8" s="56"/>
      <c r="L8" s="57"/>
      <c r="M8" s="55"/>
      <c r="N8" s="54"/>
      <c r="O8" s="56"/>
      <c r="P8" s="54"/>
      <c r="Q8" s="55"/>
      <c r="R8" s="54"/>
      <c r="S8" s="56"/>
      <c r="T8" s="54"/>
      <c r="U8" s="55"/>
      <c r="V8" s="54"/>
      <c r="W8" s="55"/>
      <c r="X8" s="54"/>
      <c r="Y8" s="55"/>
      <c r="Z8" s="54"/>
      <c r="AA8" s="55"/>
      <c r="AB8" s="54"/>
      <c r="AC8" s="55"/>
      <c r="AD8" s="54"/>
      <c r="AE8" s="55"/>
      <c r="AF8" s="54"/>
      <c r="AG8" s="55"/>
      <c r="AH8" s="54"/>
      <c r="AI8" s="55"/>
      <c r="AJ8" s="54"/>
      <c r="AK8" s="55"/>
      <c r="AL8" s="54"/>
      <c r="AM8" s="55"/>
      <c r="AN8" s="54"/>
      <c r="AO8" s="55"/>
      <c r="AP8" s="54"/>
      <c r="AQ8" s="53"/>
      <c r="AR8" s="2"/>
      <c r="AS8" s="1"/>
    </row>
    <row r="9" spans="1:45" ht="57" x14ac:dyDescent="0.25">
      <c r="A9" s="52" t="s">
        <v>67</v>
      </c>
      <c r="B9" s="52" t="s">
        <v>66</v>
      </c>
      <c r="C9" s="29" t="s">
        <v>65</v>
      </c>
      <c r="D9" s="51" t="s">
        <v>64</v>
      </c>
      <c r="E9" s="29" t="s">
        <v>63</v>
      </c>
      <c r="F9" s="48" t="s">
        <v>62</v>
      </c>
      <c r="G9" s="48" t="s">
        <v>61</v>
      </c>
      <c r="H9" s="48" t="s">
        <v>60</v>
      </c>
      <c r="I9" s="48" t="s">
        <v>59</v>
      </c>
      <c r="J9" s="48" t="s">
        <v>58</v>
      </c>
      <c r="K9" s="49" t="s">
        <v>57</v>
      </c>
      <c r="L9" s="50" t="s">
        <v>56</v>
      </c>
      <c r="M9" s="47" t="s">
        <v>55</v>
      </c>
      <c r="N9" s="48" t="s">
        <v>54</v>
      </c>
      <c r="O9" s="49" t="s">
        <v>53</v>
      </c>
      <c r="P9" s="48" t="s">
        <v>52</v>
      </c>
      <c r="Q9" s="47" t="s">
        <v>51</v>
      </c>
      <c r="R9" s="48" t="s">
        <v>50</v>
      </c>
      <c r="S9" s="49" t="s">
        <v>49</v>
      </c>
      <c r="T9" s="48" t="s">
        <v>48</v>
      </c>
      <c r="U9" s="47" t="s">
        <v>47</v>
      </c>
      <c r="V9" s="48" t="s">
        <v>46</v>
      </c>
      <c r="W9" s="47" t="s">
        <v>45</v>
      </c>
      <c r="X9" s="48" t="s">
        <v>44</v>
      </c>
      <c r="Y9" s="47" t="s">
        <v>43</v>
      </c>
      <c r="Z9" s="48" t="s">
        <v>42</v>
      </c>
      <c r="AA9" s="47" t="s">
        <v>41</v>
      </c>
      <c r="AB9" s="48" t="s">
        <v>40</v>
      </c>
      <c r="AC9" s="47" t="s">
        <v>39</v>
      </c>
      <c r="AD9" s="48" t="s">
        <v>38</v>
      </c>
      <c r="AE9" s="47" t="s">
        <v>37</v>
      </c>
      <c r="AF9" s="48" t="s">
        <v>36</v>
      </c>
      <c r="AG9" s="47" t="s">
        <v>35</v>
      </c>
      <c r="AH9" s="48" t="s">
        <v>34</v>
      </c>
      <c r="AI9" s="47" t="s">
        <v>33</v>
      </c>
      <c r="AJ9" s="48" t="s">
        <v>32</v>
      </c>
      <c r="AK9" s="47" t="s">
        <v>31</v>
      </c>
      <c r="AL9" s="48" t="s">
        <v>30</v>
      </c>
      <c r="AM9" s="47" t="s">
        <v>29</v>
      </c>
      <c r="AN9" s="48" t="s">
        <v>28</v>
      </c>
      <c r="AO9" s="47" t="s">
        <v>27</v>
      </c>
      <c r="AP9" s="48" t="s">
        <v>26</v>
      </c>
      <c r="AQ9" s="47" t="s">
        <v>25</v>
      </c>
      <c r="AR9" s="46" t="s">
        <v>24</v>
      </c>
      <c r="AS9" s="45" t="s">
        <v>23</v>
      </c>
    </row>
    <row r="10" spans="1:45" x14ac:dyDescent="0.25">
      <c r="A10" s="31">
        <v>1</v>
      </c>
      <c r="B10" s="39"/>
      <c r="C10" s="30" t="s">
        <v>11</v>
      </c>
      <c r="D10" s="29" t="s">
        <v>10</v>
      </c>
      <c r="E10" s="44" t="s">
        <v>22</v>
      </c>
      <c r="F10" s="42" t="s">
        <v>8</v>
      </c>
      <c r="G10" s="39"/>
      <c r="H10" s="39"/>
      <c r="I10" s="39"/>
      <c r="J10" s="39"/>
      <c r="K10" s="40"/>
      <c r="L10" s="41"/>
      <c r="M10" s="38"/>
      <c r="N10" s="39"/>
      <c r="O10" s="40"/>
      <c r="P10" s="39"/>
      <c r="Q10" s="38">
        <v>60</v>
      </c>
      <c r="R10" s="37">
        <f>+Q10*AR10</f>
        <v>303900</v>
      </c>
      <c r="S10" s="40"/>
      <c r="T10" s="39"/>
      <c r="U10" s="38"/>
      <c r="V10" s="39"/>
      <c r="W10" s="5"/>
      <c r="X10" s="4"/>
      <c r="Y10" s="38"/>
      <c r="Z10" s="39"/>
      <c r="AA10" s="38"/>
      <c r="AB10" s="39"/>
      <c r="AC10" s="38"/>
      <c r="AD10" s="39"/>
      <c r="AE10" s="38"/>
      <c r="AF10" s="39"/>
      <c r="AG10" s="38"/>
      <c r="AH10" s="39"/>
      <c r="AI10" s="38"/>
      <c r="AJ10" s="37"/>
      <c r="AK10" s="38"/>
      <c r="AL10" s="37"/>
      <c r="AM10" s="38"/>
      <c r="AN10" s="37"/>
      <c r="AO10" s="38"/>
      <c r="AP10" s="37"/>
      <c r="AQ10" s="36">
        <f>+Q10</f>
        <v>60</v>
      </c>
      <c r="AR10" s="35">
        <v>5065</v>
      </c>
      <c r="AS10" s="26">
        <f>+AR10*AQ10</f>
        <v>303900</v>
      </c>
    </row>
    <row r="11" spans="1:45" x14ac:dyDescent="0.25">
      <c r="A11" s="31">
        <v>2</v>
      </c>
      <c r="B11" s="39"/>
      <c r="C11" s="30" t="s">
        <v>11</v>
      </c>
      <c r="D11" s="29" t="s">
        <v>10</v>
      </c>
      <c r="E11" s="44" t="s">
        <v>21</v>
      </c>
      <c r="F11" s="42" t="s">
        <v>8</v>
      </c>
      <c r="G11" s="39"/>
      <c r="H11" s="39"/>
      <c r="I11" s="39"/>
      <c r="J11" s="39"/>
      <c r="K11" s="40"/>
      <c r="L11" s="41"/>
      <c r="M11" s="38"/>
      <c r="N11" s="39"/>
      <c r="O11" s="40"/>
      <c r="P11" s="39"/>
      <c r="Q11" s="38">
        <v>60</v>
      </c>
      <c r="R11" s="37">
        <f>+Q11*AR11</f>
        <v>1157580</v>
      </c>
      <c r="S11" s="40"/>
      <c r="T11" s="39"/>
      <c r="U11" s="38"/>
      <c r="V11" s="39"/>
      <c r="W11" s="5"/>
      <c r="X11" s="4"/>
      <c r="Y11" s="38"/>
      <c r="Z11" s="39"/>
      <c r="AA11" s="38"/>
      <c r="AB11" s="39"/>
      <c r="AC11" s="38"/>
      <c r="AD11" s="39"/>
      <c r="AE11" s="38"/>
      <c r="AF11" s="39"/>
      <c r="AG11" s="38"/>
      <c r="AH11" s="39"/>
      <c r="AI11" s="38"/>
      <c r="AJ11" s="37"/>
      <c r="AK11" s="38"/>
      <c r="AL11" s="37"/>
      <c r="AM11" s="38"/>
      <c r="AN11" s="37"/>
      <c r="AO11" s="38"/>
      <c r="AP11" s="37"/>
      <c r="AQ11" s="36">
        <f>+Q11</f>
        <v>60</v>
      </c>
      <c r="AR11" s="35">
        <v>19293</v>
      </c>
      <c r="AS11" s="26">
        <f>+AR11*AQ11</f>
        <v>1157580</v>
      </c>
    </row>
    <row r="12" spans="1:45" x14ac:dyDescent="0.25">
      <c r="A12" s="31">
        <v>3</v>
      </c>
      <c r="B12" s="39"/>
      <c r="C12" s="30" t="s">
        <v>11</v>
      </c>
      <c r="D12" s="29" t="s">
        <v>10</v>
      </c>
      <c r="E12" s="44" t="s">
        <v>20</v>
      </c>
      <c r="F12" s="42" t="s">
        <v>8</v>
      </c>
      <c r="G12" s="39"/>
      <c r="H12" s="39"/>
      <c r="I12" s="39"/>
      <c r="J12" s="39"/>
      <c r="K12" s="40"/>
      <c r="L12" s="41"/>
      <c r="M12" s="38"/>
      <c r="N12" s="39"/>
      <c r="O12" s="40"/>
      <c r="P12" s="39"/>
      <c r="Q12" s="38">
        <v>30</v>
      </c>
      <c r="R12" s="37">
        <f>+Q12*AR12</f>
        <v>95100</v>
      </c>
      <c r="S12" s="40"/>
      <c r="T12" s="39"/>
      <c r="U12" s="38"/>
      <c r="V12" s="39"/>
      <c r="W12" s="5"/>
      <c r="X12" s="4"/>
      <c r="Y12" s="38"/>
      <c r="Z12" s="39"/>
      <c r="AA12" s="38"/>
      <c r="AB12" s="39"/>
      <c r="AC12" s="38"/>
      <c r="AD12" s="39"/>
      <c r="AE12" s="38"/>
      <c r="AF12" s="39"/>
      <c r="AG12" s="38"/>
      <c r="AH12" s="39"/>
      <c r="AI12" s="38"/>
      <c r="AJ12" s="37"/>
      <c r="AK12" s="38"/>
      <c r="AL12" s="37"/>
      <c r="AM12" s="38"/>
      <c r="AN12" s="37"/>
      <c r="AO12" s="38"/>
      <c r="AP12" s="37"/>
      <c r="AQ12" s="36">
        <f>+Q12</f>
        <v>30</v>
      </c>
      <c r="AR12" s="35">
        <v>3170</v>
      </c>
      <c r="AS12" s="26">
        <f>+AR12*AQ12</f>
        <v>95100</v>
      </c>
    </row>
    <row r="13" spans="1:45" x14ac:dyDescent="0.25">
      <c r="A13" s="31">
        <v>4</v>
      </c>
      <c r="B13" s="39"/>
      <c r="C13" s="30" t="s">
        <v>11</v>
      </c>
      <c r="D13" s="29" t="s">
        <v>10</v>
      </c>
      <c r="E13" s="43" t="s">
        <v>19</v>
      </c>
      <c r="F13" s="42" t="s">
        <v>8</v>
      </c>
      <c r="G13" s="39"/>
      <c r="H13" s="39"/>
      <c r="I13" s="39"/>
      <c r="J13" s="39"/>
      <c r="K13" s="40"/>
      <c r="L13" s="41"/>
      <c r="M13" s="38"/>
      <c r="N13" s="39"/>
      <c r="O13" s="40"/>
      <c r="P13" s="39"/>
      <c r="Q13" s="38">
        <v>30</v>
      </c>
      <c r="R13" s="37">
        <f>+Q13*AR13</f>
        <v>173700</v>
      </c>
      <c r="S13" s="40"/>
      <c r="T13" s="39"/>
      <c r="U13" s="38"/>
      <c r="V13" s="39"/>
      <c r="W13" s="5"/>
      <c r="X13" s="4"/>
      <c r="Y13" s="38"/>
      <c r="Z13" s="39"/>
      <c r="AA13" s="38"/>
      <c r="AB13" s="39"/>
      <c r="AC13" s="38"/>
      <c r="AD13" s="39"/>
      <c r="AE13" s="38"/>
      <c r="AF13" s="39"/>
      <c r="AG13" s="38"/>
      <c r="AH13" s="39"/>
      <c r="AI13" s="38"/>
      <c r="AJ13" s="37"/>
      <c r="AK13" s="38"/>
      <c r="AL13" s="37"/>
      <c r="AM13" s="38"/>
      <c r="AN13" s="37"/>
      <c r="AO13" s="38"/>
      <c r="AP13" s="37"/>
      <c r="AQ13" s="36">
        <f>+Q13</f>
        <v>30</v>
      </c>
      <c r="AR13" s="35">
        <v>5790</v>
      </c>
      <c r="AS13" s="26">
        <f>+AR13*AQ13</f>
        <v>173700</v>
      </c>
    </row>
    <row r="14" spans="1:45" x14ac:dyDescent="0.25">
      <c r="A14" s="31">
        <v>5</v>
      </c>
      <c r="B14" s="25"/>
      <c r="C14" s="30" t="s">
        <v>11</v>
      </c>
      <c r="D14" s="29" t="s">
        <v>10</v>
      </c>
      <c r="E14" s="28" t="s">
        <v>18</v>
      </c>
      <c r="F14" s="17" t="s">
        <v>8</v>
      </c>
      <c r="G14" s="17"/>
      <c r="H14" s="17"/>
      <c r="I14" s="17"/>
      <c r="J14" s="17"/>
      <c r="K14" s="20"/>
      <c r="L14" s="22"/>
      <c r="M14" s="18"/>
      <c r="N14" s="17"/>
      <c r="O14" s="20"/>
      <c r="P14" s="17"/>
      <c r="Q14" s="34">
        <v>100</v>
      </c>
      <c r="R14" s="21">
        <f>+Q14*AR14</f>
        <v>58100</v>
      </c>
      <c r="S14" s="20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D14" s="17"/>
      <c r="AE14" s="18"/>
      <c r="AF14" s="17"/>
      <c r="AG14" s="18"/>
      <c r="AH14" s="17"/>
      <c r="AI14" s="18"/>
      <c r="AJ14" s="17"/>
      <c r="AK14" s="18"/>
      <c r="AL14" s="17"/>
      <c r="AM14" s="18"/>
      <c r="AN14" s="17"/>
      <c r="AO14" s="18"/>
      <c r="AP14" s="17"/>
      <c r="AQ14" s="34">
        <v>100</v>
      </c>
      <c r="AR14" s="33">
        <v>581</v>
      </c>
      <c r="AS14" s="26">
        <f>+AR14*AQ14</f>
        <v>58100</v>
      </c>
    </row>
    <row r="15" spans="1:45" x14ac:dyDescent="0.25">
      <c r="A15" s="31">
        <v>6</v>
      </c>
      <c r="B15" s="25"/>
      <c r="C15" s="30" t="s">
        <v>11</v>
      </c>
      <c r="D15" s="29" t="s">
        <v>10</v>
      </c>
      <c r="E15" s="28" t="s">
        <v>17</v>
      </c>
      <c r="F15" s="17" t="s">
        <v>8</v>
      </c>
      <c r="G15" s="17"/>
      <c r="H15" s="17"/>
      <c r="I15" s="17"/>
      <c r="J15" s="17"/>
      <c r="K15" s="20"/>
      <c r="L15" s="22"/>
      <c r="M15" s="18"/>
      <c r="N15" s="17"/>
      <c r="O15" s="20"/>
      <c r="P15" s="17"/>
      <c r="Q15" s="34">
        <v>50</v>
      </c>
      <c r="R15" s="21">
        <f>+Q15*AR15</f>
        <v>29050</v>
      </c>
      <c r="S15" s="20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D15" s="17"/>
      <c r="AE15" s="18"/>
      <c r="AF15" s="17"/>
      <c r="AG15" s="18"/>
      <c r="AH15" s="17"/>
      <c r="AI15" s="18"/>
      <c r="AJ15" s="17"/>
      <c r="AK15" s="18"/>
      <c r="AL15" s="17"/>
      <c r="AM15" s="18"/>
      <c r="AN15" s="17"/>
      <c r="AO15" s="18"/>
      <c r="AP15" s="17"/>
      <c r="AQ15" s="34">
        <v>50</v>
      </c>
      <c r="AR15" s="33">
        <v>581</v>
      </c>
      <c r="AS15" s="26">
        <f>+AR15*AQ15</f>
        <v>29050</v>
      </c>
    </row>
    <row r="16" spans="1:45" x14ac:dyDescent="0.25">
      <c r="A16" s="31">
        <v>7</v>
      </c>
      <c r="B16" s="25"/>
      <c r="C16" s="30" t="s">
        <v>11</v>
      </c>
      <c r="D16" s="29" t="s">
        <v>10</v>
      </c>
      <c r="E16" s="28" t="s">
        <v>16</v>
      </c>
      <c r="F16" s="17" t="s">
        <v>8</v>
      </c>
      <c r="G16" s="17"/>
      <c r="H16" s="17"/>
      <c r="I16" s="17"/>
      <c r="J16" s="17"/>
      <c r="K16" s="20"/>
      <c r="L16" s="22"/>
      <c r="M16" s="18"/>
      <c r="N16" s="17"/>
      <c r="O16" s="20"/>
      <c r="P16" s="17"/>
      <c r="Q16" s="34">
        <v>100</v>
      </c>
      <c r="R16" s="21">
        <f>+Q16*AR16</f>
        <v>58100</v>
      </c>
      <c r="S16" s="20"/>
      <c r="T16" s="17"/>
      <c r="U16" s="18"/>
      <c r="V16" s="17"/>
      <c r="W16" s="18"/>
      <c r="X16" s="17"/>
      <c r="Y16" s="18"/>
      <c r="Z16" s="17"/>
      <c r="AA16" s="18"/>
      <c r="AB16" s="17"/>
      <c r="AC16" s="18"/>
      <c r="AD16" s="17"/>
      <c r="AE16" s="18"/>
      <c r="AF16" s="17"/>
      <c r="AG16" s="18"/>
      <c r="AH16" s="17"/>
      <c r="AI16" s="18"/>
      <c r="AJ16" s="17"/>
      <c r="AK16" s="18"/>
      <c r="AL16" s="17"/>
      <c r="AM16" s="18"/>
      <c r="AN16" s="17"/>
      <c r="AO16" s="18"/>
      <c r="AP16" s="17"/>
      <c r="AQ16" s="34">
        <v>100</v>
      </c>
      <c r="AR16" s="33">
        <v>581</v>
      </c>
      <c r="AS16" s="26">
        <f>+AR16*AQ16</f>
        <v>58100</v>
      </c>
    </row>
    <row r="17" spans="1:45" x14ac:dyDescent="0.25">
      <c r="A17" s="31">
        <v>8</v>
      </c>
      <c r="B17" s="25"/>
      <c r="C17" s="30" t="s">
        <v>11</v>
      </c>
      <c r="D17" s="29" t="s">
        <v>10</v>
      </c>
      <c r="E17" s="28" t="s">
        <v>15</v>
      </c>
      <c r="F17" s="17" t="s">
        <v>8</v>
      </c>
      <c r="G17" s="17"/>
      <c r="H17" s="17"/>
      <c r="I17" s="17"/>
      <c r="J17" s="17"/>
      <c r="K17" s="20"/>
      <c r="L17" s="22"/>
      <c r="M17" s="18"/>
      <c r="N17" s="17"/>
      <c r="O17" s="20"/>
      <c r="P17" s="17"/>
      <c r="Q17" s="18">
        <v>20</v>
      </c>
      <c r="R17" s="21">
        <f>+Q17*AR17</f>
        <v>11620</v>
      </c>
      <c r="S17" s="20"/>
      <c r="T17" s="17"/>
      <c r="U17" s="18"/>
      <c r="V17" s="17"/>
      <c r="W17" s="18"/>
      <c r="X17" s="17"/>
      <c r="Y17" s="18"/>
      <c r="Z17" s="17"/>
      <c r="AA17" s="18"/>
      <c r="AB17" s="17"/>
      <c r="AC17" s="18"/>
      <c r="AD17" s="17"/>
      <c r="AE17" s="18"/>
      <c r="AF17" s="17"/>
      <c r="AG17" s="18"/>
      <c r="AH17" s="17"/>
      <c r="AI17" s="18"/>
      <c r="AJ17" s="17"/>
      <c r="AK17" s="18"/>
      <c r="AL17" s="17"/>
      <c r="AM17" s="18"/>
      <c r="AN17" s="17"/>
      <c r="AO17" s="18"/>
      <c r="AP17" s="17"/>
      <c r="AQ17" s="18">
        <v>20</v>
      </c>
      <c r="AR17" s="33">
        <v>581</v>
      </c>
      <c r="AS17" s="26">
        <f>+AR17*AQ17</f>
        <v>11620</v>
      </c>
    </row>
    <row r="18" spans="1:45" x14ac:dyDescent="0.25">
      <c r="A18" s="31">
        <v>9</v>
      </c>
      <c r="B18" s="25"/>
      <c r="C18" s="30" t="s">
        <v>11</v>
      </c>
      <c r="D18" s="29" t="s">
        <v>10</v>
      </c>
      <c r="E18" s="28" t="s">
        <v>14</v>
      </c>
      <c r="F18" s="17" t="s">
        <v>8</v>
      </c>
      <c r="G18" s="17"/>
      <c r="H18" s="17"/>
      <c r="I18" s="17"/>
      <c r="J18" s="17"/>
      <c r="K18" s="20"/>
      <c r="L18" s="22"/>
      <c r="M18" s="18"/>
      <c r="N18" s="17"/>
      <c r="O18" s="20"/>
      <c r="P18" s="17"/>
      <c r="Q18" s="34">
        <v>200</v>
      </c>
      <c r="R18" s="21">
        <f>+Q18*AR18</f>
        <v>635200</v>
      </c>
      <c r="S18" s="20"/>
      <c r="T18" s="17"/>
      <c r="U18" s="18"/>
      <c r="V18" s="17"/>
      <c r="W18" s="18"/>
      <c r="X18" s="17"/>
      <c r="Y18" s="18"/>
      <c r="Z18" s="17"/>
      <c r="AA18" s="18"/>
      <c r="AB18" s="17"/>
      <c r="AC18" s="18"/>
      <c r="AD18" s="17"/>
      <c r="AE18" s="18"/>
      <c r="AF18" s="17"/>
      <c r="AG18" s="18"/>
      <c r="AH18" s="17"/>
      <c r="AI18" s="18"/>
      <c r="AJ18" s="17"/>
      <c r="AK18" s="18"/>
      <c r="AL18" s="17"/>
      <c r="AM18" s="18"/>
      <c r="AN18" s="17"/>
      <c r="AO18" s="18"/>
      <c r="AP18" s="17"/>
      <c r="AQ18" s="34">
        <v>200</v>
      </c>
      <c r="AR18" s="33">
        <v>3176</v>
      </c>
      <c r="AS18" s="26">
        <f>+AR18*AQ18</f>
        <v>635200</v>
      </c>
    </row>
    <row r="19" spans="1:45" x14ac:dyDescent="0.25">
      <c r="A19" s="31">
        <v>10</v>
      </c>
      <c r="B19" s="25"/>
      <c r="C19" s="30" t="s">
        <v>11</v>
      </c>
      <c r="D19" s="29" t="s">
        <v>10</v>
      </c>
      <c r="E19" s="28" t="s">
        <v>13</v>
      </c>
      <c r="F19" s="17" t="s">
        <v>8</v>
      </c>
      <c r="G19" s="17"/>
      <c r="H19" s="17"/>
      <c r="I19" s="17"/>
      <c r="J19" s="17"/>
      <c r="K19" s="20"/>
      <c r="L19" s="22"/>
      <c r="M19" s="18"/>
      <c r="N19" s="17"/>
      <c r="O19" s="20"/>
      <c r="P19" s="17"/>
      <c r="Q19" s="18">
        <v>400</v>
      </c>
      <c r="R19" s="21">
        <f>+Q19*AR19</f>
        <v>1099200</v>
      </c>
      <c r="S19" s="20"/>
      <c r="T19" s="17"/>
      <c r="U19" s="18"/>
      <c r="V19" s="17"/>
      <c r="W19" s="18"/>
      <c r="X19" s="17"/>
      <c r="Y19" s="18"/>
      <c r="Z19" s="17"/>
      <c r="AA19" s="18"/>
      <c r="AB19" s="17"/>
      <c r="AC19" s="18"/>
      <c r="AD19" s="17"/>
      <c r="AE19" s="18"/>
      <c r="AF19" s="17"/>
      <c r="AG19" s="18"/>
      <c r="AH19" s="17"/>
      <c r="AI19" s="18"/>
      <c r="AJ19" s="17"/>
      <c r="AK19" s="18"/>
      <c r="AL19" s="17"/>
      <c r="AM19" s="18"/>
      <c r="AN19" s="17"/>
      <c r="AO19" s="18"/>
      <c r="AP19" s="17"/>
      <c r="AQ19" s="18">
        <v>400</v>
      </c>
      <c r="AR19" s="33">
        <v>2748</v>
      </c>
      <c r="AS19" s="26">
        <f>+AR19*AQ19</f>
        <v>1099200</v>
      </c>
    </row>
    <row r="20" spans="1:45" x14ac:dyDescent="0.25">
      <c r="A20" s="31">
        <v>11</v>
      </c>
      <c r="B20" s="25"/>
      <c r="C20" s="30" t="s">
        <v>11</v>
      </c>
      <c r="D20" s="29" t="s">
        <v>10</v>
      </c>
      <c r="E20" s="32" t="s">
        <v>12</v>
      </c>
      <c r="F20" s="17" t="s">
        <v>8</v>
      </c>
      <c r="G20" s="17"/>
      <c r="H20" s="17"/>
      <c r="I20" s="17"/>
      <c r="J20" s="17"/>
      <c r="K20" s="20"/>
      <c r="L20" s="22"/>
      <c r="M20" s="18"/>
      <c r="N20" s="17"/>
      <c r="O20" s="20"/>
      <c r="P20" s="17"/>
      <c r="Q20" s="18">
        <v>200</v>
      </c>
      <c r="R20" s="21">
        <f>+Q20*AR20</f>
        <v>93000</v>
      </c>
      <c r="S20" s="20"/>
      <c r="T20" s="17"/>
      <c r="U20" s="18"/>
      <c r="V20" s="17"/>
      <c r="W20" s="18"/>
      <c r="X20" s="17"/>
      <c r="Y20" s="18"/>
      <c r="Z20" s="17"/>
      <c r="AA20" s="18"/>
      <c r="AB20" s="17"/>
      <c r="AC20" s="18"/>
      <c r="AD20" s="17"/>
      <c r="AE20" s="18"/>
      <c r="AF20" s="17"/>
      <c r="AG20" s="18"/>
      <c r="AH20" s="17"/>
      <c r="AI20" s="18"/>
      <c r="AJ20" s="17"/>
      <c r="AK20" s="18"/>
      <c r="AL20" s="17"/>
      <c r="AM20" s="18"/>
      <c r="AN20" s="17"/>
      <c r="AO20" s="18"/>
      <c r="AP20" s="17"/>
      <c r="AQ20" s="18">
        <v>200</v>
      </c>
      <c r="AR20" s="27">
        <v>465</v>
      </c>
      <c r="AS20" s="26">
        <f>+AR20*AQ20</f>
        <v>93000</v>
      </c>
    </row>
    <row r="21" spans="1:45" x14ac:dyDescent="0.25">
      <c r="A21" s="31">
        <v>12</v>
      </c>
      <c r="B21" s="25"/>
      <c r="C21" s="30" t="s">
        <v>11</v>
      </c>
      <c r="D21" s="29" t="s">
        <v>10</v>
      </c>
      <c r="E21" s="28" t="s">
        <v>9</v>
      </c>
      <c r="F21" s="17" t="s">
        <v>8</v>
      </c>
      <c r="G21" s="17"/>
      <c r="H21" s="17"/>
      <c r="I21" s="17"/>
      <c r="J21" s="17"/>
      <c r="K21" s="20"/>
      <c r="L21" s="22"/>
      <c r="M21" s="18"/>
      <c r="N21" s="17"/>
      <c r="O21" s="20"/>
      <c r="P21" s="17"/>
      <c r="Q21" s="18">
        <v>100</v>
      </c>
      <c r="R21" s="21">
        <f>+Q21*AR21</f>
        <v>35000</v>
      </c>
      <c r="S21" s="20"/>
      <c r="T21" s="17"/>
      <c r="U21" s="18"/>
      <c r="V21" s="17"/>
      <c r="W21" s="18"/>
      <c r="X21" s="17"/>
      <c r="Y21" s="18"/>
      <c r="Z21" s="17"/>
      <c r="AA21" s="18"/>
      <c r="AB21" s="17"/>
      <c r="AC21" s="18"/>
      <c r="AD21" s="17"/>
      <c r="AE21" s="18"/>
      <c r="AF21" s="17"/>
      <c r="AG21" s="18"/>
      <c r="AH21" s="17"/>
      <c r="AI21" s="18"/>
      <c r="AJ21" s="17"/>
      <c r="AK21" s="18"/>
      <c r="AL21" s="17"/>
      <c r="AM21" s="18"/>
      <c r="AN21" s="17"/>
      <c r="AO21" s="18"/>
      <c r="AP21" s="17"/>
      <c r="AQ21" s="18">
        <v>100</v>
      </c>
      <c r="AR21" s="27">
        <v>350</v>
      </c>
      <c r="AS21" s="26">
        <f>+AR21*AQ21</f>
        <v>35000</v>
      </c>
    </row>
    <row r="22" spans="1:45" ht="15.75" x14ac:dyDescent="0.25">
      <c r="A22" s="24"/>
      <c r="B22" s="25"/>
      <c r="C22" s="24"/>
      <c r="D22" s="17"/>
      <c r="E22" s="23" t="s">
        <v>7</v>
      </c>
      <c r="F22" s="17"/>
      <c r="G22" s="17"/>
      <c r="H22" s="17"/>
      <c r="I22" s="17"/>
      <c r="J22" s="17"/>
      <c r="K22" s="20"/>
      <c r="L22" s="22"/>
      <c r="M22" s="18"/>
      <c r="N22" s="17"/>
      <c r="O22" s="20"/>
      <c r="P22" s="17"/>
      <c r="Q22" s="18"/>
      <c r="R22" s="21">
        <f>SUM(R14:R21)</f>
        <v>2019270</v>
      </c>
      <c r="S22" s="20"/>
      <c r="T22" s="17"/>
      <c r="U22" s="18"/>
      <c r="V22" s="17"/>
      <c r="W22" s="18"/>
      <c r="X22" s="19">
        <f>SUM(X10:X21)</f>
        <v>0</v>
      </c>
      <c r="Y22" s="18"/>
      <c r="Z22" s="17"/>
      <c r="AA22" s="18"/>
      <c r="AB22" s="17"/>
      <c r="AC22" s="18"/>
      <c r="AD22" s="17"/>
      <c r="AE22" s="18"/>
      <c r="AF22" s="17"/>
      <c r="AG22" s="18"/>
      <c r="AH22" s="17"/>
      <c r="AI22" s="18"/>
      <c r="AJ22" s="17"/>
      <c r="AK22" s="18"/>
      <c r="AL22" s="17"/>
      <c r="AM22" s="18"/>
      <c r="AN22" s="17"/>
      <c r="AO22" s="18"/>
      <c r="AP22" s="17"/>
      <c r="AQ22" s="16"/>
      <c r="AR22" s="15"/>
      <c r="AS22" s="14">
        <f>SUM(AS10:AS21)</f>
        <v>3749550</v>
      </c>
    </row>
    <row r="23" spans="1:45" x14ac:dyDescent="0.25">
      <c r="A23" s="8"/>
      <c r="B23" s="7"/>
      <c r="C23" s="8"/>
      <c r="D23" s="4"/>
      <c r="E23" s="11"/>
      <c r="F23" s="4"/>
      <c r="G23" s="4"/>
      <c r="H23" s="4"/>
      <c r="I23" s="4"/>
      <c r="J23" s="4"/>
      <c r="K23" s="9"/>
      <c r="L23" s="10"/>
      <c r="M23" s="5"/>
      <c r="N23" s="4"/>
      <c r="O23" s="9"/>
      <c r="P23" s="4"/>
      <c r="Q23" s="5"/>
      <c r="R23" s="4"/>
      <c r="S23" s="9"/>
      <c r="T23" s="4"/>
      <c r="U23" s="5"/>
      <c r="V23" s="4"/>
      <c r="W23" s="5"/>
      <c r="X23" s="4"/>
      <c r="Y23" s="5"/>
      <c r="Z23" s="4"/>
      <c r="AA23" s="5"/>
      <c r="AB23" s="4"/>
      <c r="AC23" s="5"/>
      <c r="AD23" s="4"/>
      <c r="AE23" s="5"/>
      <c r="AF23" s="4"/>
      <c r="AG23" s="5"/>
      <c r="AH23" s="4"/>
      <c r="AI23" s="5"/>
      <c r="AJ23" s="4"/>
      <c r="AK23" s="5"/>
      <c r="AL23" s="4"/>
      <c r="AM23" s="5"/>
      <c r="AN23" s="4"/>
      <c r="AO23" s="5"/>
      <c r="AP23" s="4"/>
      <c r="AQ23" s="3"/>
      <c r="AR23" s="2"/>
      <c r="AS23" s="1"/>
    </row>
    <row r="24" spans="1:45" x14ac:dyDescent="0.25">
      <c r="A24" s="8"/>
      <c r="B24" s="13" t="s">
        <v>6</v>
      </c>
      <c r="C24" s="12" t="s">
        <v>5</v>
      </c>
      <c r="D24" s="12"/>
      <c r="E24" s="12"/>
      <c r="F24" s="12"/>
      <c r="G24" s="4"/>
      <c r="H24" s="4"/>
      <c r="I24" s="4"/>
      <c r="J24" s="4"/>
      <c r="K24" s="9"/>
      <c r="L24" s="10"/>
      <c r="M24" s="5"/>
      <c r="N24" s="4"/>
      <c r="O24" s="9"/>
      <c r="P24" s="4"/>
      <c r="Q24" s="5"/>
      <c r="R24" s="4"/>
      <c r="S24" s="9"/>
      <c r="T24" s="4"/>
      <c r="U24" s="5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3"/>
      <c r="AR24" s="2"/>
      <c r="AS24" s="1"/>
    </row>
    <row r="25" spans="1:45" x14ac:dyDescent="0.25">
      <c r="A25" s="8"/>
      <c r="B25" s="7"/>
      <c r="C25" s="8"/>
      <c r="D25" s="4"/>
      <c r="E25" s="11"/>
      <c r="F25" s="4"/>
      <c r="G25" s="4"/>
      <c r="H25" s="4"/>
      <c r="I25" s="4"/>
      <c r="J25" s="4"/>
      <c r="K25" s="9"/>
      <c r="L25" s="10"/>
      <c r="M25" s="5"/>
      <c r="N25" s="4"/>
      <c r="O25" s="9"/>
      <c r="P25" s="4"/>
      <c r="Q25" s="5"/>
      <c r="R25" s="4"/>
      <c r="S25" s="9"/>
      <c r="T25" s="4"/>
      <c r="U25" s="5"/>
      <c r="V25" s="4"/>
      <c r="W25" s="5"/>
      <c r="X25" s="4"/>
      <c r="Y25" s="5"/>
      <c r="Z25" s="4"/>
      <c r="AA25" s="5"/>
      <c r="AB25" s="4"/>
      <c r="AC25" s="5"/>
      <c r="AD25" s="4"/>
      <c r="AE25" s="5"/>
      <c r="AF25" s="4"/>
      <c r="AG25" s="5"/>
      <c r="AH25" s="4"/>
      <c r="AI25" s="5"/>
      <c r="AJ25" s="4"/>
      <c r="AK25" s="5"/>
      <c r="AL25" s="4"/>
      <c r="AM25" s="5"/>
      <c r="AN25" s="4"/>
      <c r="AO25" s="5"/>
      <c r="AP25" s="4"/>
      <c r="AQ25" s="3"/>
      <c r="AR25" s="2"/>
      <c r="AS25" s="1"/>
    </row>
    <row r="26" spans="1:45" ht="30" x14ac:dyDescent="0.25">
      <c r="A26" s="8"/>
      <c r="B26" s="7" t="s">
        <v>4</v>
      </c>
      <c r="C26" s="8"/>
      <c r="D26" s="4"/>
      <c r="E26" s="11"/>
      <c r="F26" s="4"/>
      <c r="G26" s="4"/>
      <c r="H26" s="4"/>
      <c r="I26" s="4"/>
      <c r="J26" s="4"/>
      <c r="K26" s="9"/>
      <c r="L26" s="10"/>
      <c r="M26" s="5"/>
      <c r="N26" s="4"/>
      <c r="O26" s="9"/>
      <c r="P26" s="4"/>
      <c r="Q26" s="5"/>
      <c r="R26" s="4"/>
      <c r="S26" s="9"/>
      <c r="T26" s="4"/>
      <c r="U26" s="5"/>
      <c r="V26" s="4"/>
      <c r="W26" s="5"/>
      <c r="X26" s="4"/>
      <c r="Y26" s="5"/>
      <c r="Z26" s="4"/>
      <c r="AA26" s="5"/>
      <c r="AB26" s="4"/>
      <c r="AC26" s="5"/>
      <c r="AD26" s="4"/>
      <c r="AE26" s="5"/>
      <c r="AF26" s="4"/>
      <c r="AG26" s="5"/>
      <c r="AH26" s="4"/>
      <c r="AI26" s="5"/>
      <c r="AJ26" s="4"/>
      <c r="AK26" s="5"/>
      <c r="AL26" s="4"/>
      <c r="AM26" s="5"/>
      <c r="AN26" s="4"/>
      <c r="AO26" s="5"/>
      <c r="AP26" s="4"/>
      <c r="AQ26" s="3"/>
      <c r="AR26" s="2"/>
      <c r="AS26" s="1"/>
    </row>
    <row r="27" spans="1:45" x14ac:dyDescent="0.25">
      <c r="A27" s="8"/>
      <c r="B27" s="7"/>
      <c r="C27" s="8"/>
      <c r="D27" s="4"/>
      <c r="E27" s="11"/>
      <c r="F27" s="4"/>
      <c r="G27" s="4"/>
      <c r="H27" s="4"/>
      <c r="I27" s="4"/>
      <c r="J27" s="4"/>
      <c r="K27" s="9"/>
      <c r="L27" s="10"/>
      <c r="M27" s="5"/>
      <c r="N27" s="4"/>
      <c r="O27" s="9"/>
      <c r="P27" s="4"/>
      <c r="Q27" s="5"/>
      <c r="R27" s="4"/>
      <c r="S27" s="9"/>
      <c r="T27" s="4"/>
      <c r="U27" s="5"/>
      <c r="V27" s="4"/>
      <c r="W27" s="5"/>
      <c r="X27" s="4"/>
      <c r="Y27" s="5"/>
      <c r="Z27" s="4"/>
      <c r="AA27" s="5"/>
      <c r="AB27" s="4"/>
      <c r="AC27" s="5"/>
      <c r="AD27" s="4"/>
      <c r="AE27" s="5"/>
      <c r="AF27" s="4"/>
      <c r="AG27" s="5"/>
      <c r="AH27" s="4"/>
      <c r="AI27" s="5"/>
      <c r="AJ27" s="4"/>
      <c r="AK27" s="5"/>
      <c r="AL27" s="4"/>
      <c r="AM27" s="5"/>
      <c r="AN27" s="4"/>
      <c r="AO27" s="5"/>
      <c r="AP27" s="4"/>
      <c r="AQ27" s="3"/>
      <c r="AR27" s="2"/>
      <c r="AS27" s="1"/>
    </row>
    <row r="28" spans="1:45" x14ac:dyDescent="0.25">
      <c r="A28" s="8"/>
      <c r="B28" s="7" t="s">
        <v>3</v>
      </c>
      <c r="C28" s="8" t="s">
        <v>2</v>
      </c>
      <c r="D28" s="4"/>
      <c r="E28" s="11"/>
      <c r="F28" s="4"/>
      <c r="G28" s="4"/>
      <c r="H28" s="4"/>
      <c r="I28" s="4"/>
      <c r="J28" s="4"/>
      <c r="K28" s="9"/>
      <c r="L28" s="10"/>
      <c r="M28" s="5"/>
      <c r="N28" s="4"/>
      <c r="O28" s="9"/>
      <c r="P28" s="4"/>
      <c r="Q28" s="5"/>
      <c r="R28" s="4"/>
      <c r="S28" s="9"/>
      <c r="T28" s="4"/>
      <c r="U28" s="5"/>
      <c r="V28" s="4"/>
      <c r="W28" s="5"/>
      <c r="X28" s="4"/>
      <c r="Y28" s="5"/>
      <c r="Z28" s="4"/>
      <c r="AA28" s="5"/>
      <c r="AB28" s="4"/>
      <c r="AC28" s="5"/>
      <c r="AD28" s="4"/>
      <c r="AE28" s="5"/>
      <c r="AF28" s="4"/>
      <c r="AG28" s="5"/>
      <c r="AH28" s="4"/>
      <c r="AI28" s="5"/>
      <c r="AJ28" s="4"/>
      <c r="AK28" s="5"/>
      <c r="AL28" s="4"/>
      <c r="AM28" s="5"/>
      <c r="AN28" s="4"/>
      <c r="AO28" s="5"/>
      <c r="AP28" s="4"/>
      <c r="AQ28" s="3"/>
      <c r="AR28" s="2"/>
      <c r="AS28" s="1"/>
    </row>
    <row r="29" spans="1:45" x14ac:dyDescent="0.25">
      <c r="A29" s="8"/>
      <c r="B29" s="7"/>
      <c r="C29" s="8"/>
      <c r="D29" s="4"/>
      <c r="E29" s="11"/>
      <c r="F29" s="4"/>
      <c r="G29" s="4"/>
      <c r="H29" s="4"/>
      <c r="I29" s="4"/>
      <c r="J29" s="4"/>
      <c r="K29" s="9"/>
      <c r="L29" s="10"/>
      <c r="M29" s="5"/>
      <c r="N29" s="4"/>
      <c r="O29" s="9"/>
      <c r="P29" s="4"/>
      <c r="Q29" s="5"/>
      <c r="R29" s="4"/>
      <c r="S29" s="9"/>
      <c r="T29" s="4"/>
      <c r="U29" s="5"/>
      <c r="V29" s="4"/>
      <c r="W29" s="5"/>
      <c r="X29" s="4"/>
      <c r="Y29" s="5"/>
      <c r="Z29" s="4"/>
      <c r="AA29" s="5"/>
      <c r="AB29" s="4"/>
      <c r="AC29" s="5"/>
      <c r="AD29" s="4"/>
      <c r="AE29" s="5"/>
      <c r="AF29" s="4"/>
      <c r="AG29" s="5"/>
      <c r="AH29" s="4"/>
      <c r="AI29" s="5"/>
      <c r="AJ29" s="4"/>
      <c r="AK29" s="5"/>
      <c r="AL29" s="4"/>
      <c r="AM29" s="5"/>
      <c r="AN29" s="4"/>
      <c r="AO29" s="5"/>
      <c r="AP29" s="4"/>
      <c r="AQ29" s="3"/>
      <c r="AR29" s="2"/>
      <c r="AS29" s="1"/>
    </row>
    <row r="30" spans="1:45" ht="30" x14ac:dyDescent="0.25">
      <c r="A30" s="8"/>
      <c r="B30" s="7" t="s">
        <v>1</v>
      </c>
      <c r="C30" s="6" t="s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4"/>
      <c r="AG30" s="5"/>
      <c r="AH30" s="4"/>
      <c r="AI30" s="5"/>
      <c r="AJ30" s="4"/>
      <c r="AK30" s="5"/>
      <c r="AL30" s="4"/>
      <c r="AM30" s="5"/>
      <c r="AN30" s="4"/>
      <c r="AO30" s="5"/>
      <c r="AP30" s="4"/>
      <c r="AQ30" s="3"/>
      <c r="AR30" s="2"/>
      <c r="AS30" s="1"/>
    </row>
    <row r="31" spans="1:45" x14ac:dyDescent="0.25">
      <c r="A31" s="8"/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4"/>
      <c r="AG31" s="5"/>
      <c r="AH31" s="4"/>
      <c r="AI31" s="5"/>
      <c r="AJ31" s="4"/>
      <c r="AK31" s="5"/>
      <c r="AL31" s="4"/>
      <c r="AM31" s="5"/>
      <c r="AN31" s="4"/>
      <c r="AO31" s="5"/>
      <c r="AP31" s="4"/>
      <c r="AQ31" s="3"/>
      <c r="AR31" s="2"/>
      <c r="AS31" s="1"/>
    </row>
    <row r="32" spans="1:45" x14ac:dyDescent="0.25">
      <c r="A32" s="8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4"/>
      <c r="AG32" s="5"/>
      <c r="AH32" s="4"/>
      <c r="AI32" s="5"/>
      <c r="AJ32" s="4"/>
      <c r="AK32" s="5"/>
      <c r="AL32" s="4"/>
      <c r="AM32" s="5"/>
      <c r="AN32" s="4"/>
      <c r="AO32" s="5"/>
      <c r="AP32" s="4"/>
      <c r="AQ32" s="3"/>
      <c r="AR32" s="2"/>
      <c r="AS32" s="1"/>
    </row>
  </sheetData>
  <mergeCells count="11">
    <mergeCell ref="A7:B7"/>
    <mergeCell ref="C24:F24"/>
    <mergeCell ref="C30:AE30"/>
    <mergeCell ref="C31:AE31"/>
    <mergeCell ref="C32:AE32"/>
    <mergeCell ref="A6:B6"/>
    <mergeCell ref="B2:AR2"/>
    <mergeCell ref="A4:B4"/>
    <mergeCell ref="C4:E4"/>
    <mergeCell ref="A5:B5"/>
    <mergeCell ref="C5:E5"/>
  </mergeCells>
  <conditionalFormatting sqref="B1:B32">
    <cfRule type="duplicateValues" dxfId="12" priority="8"/>
  </conditionalFormatting>
  <conditionalFormatting sqref="E1:E9 E22:E23 E25:E32">
    <cfRule type="duplicateValues" dxfId="11" priority="9"/>
    <cfRule type="duplicateValues" dxfId="10" priority="10"/>
  </conditionalFormatting>
  <conditionalFormatting sqref="E23 E25:E32">
    <cfRule type="duplicateValues" dxfId="9" priority="11"/>
  </conditionalFormatting>
  <conditionalFormatting sqref="E1:E12 E22:E23 E25:E32">
    <cfRule type="duplicateValues" dxfId="8" priority="12"/>
  </conditionalFormatting>
  <conditionalFormatting sqref="B1:B32 E1:E9 E22:E23 E25:E32">
    <cfRule type="duplicateValues" dxfId="7" priority="13"/>
  </conditionalFormatting>
  <conditionalFormatting sqref="B24:B32">
    <cfRule type="duplicateValues" dxfId="6" priority="7"/>
  </conditionalFormatting>
  <conditionalFormatting sqref="E25:E29">
    <cfRule type="duplicateValues" dxfId="5" priority="6"/>
  </conditionalFormatting>
  <conditionalFormatting sqref="B24:B32 E25:E29">
    <cfRule type="duplicateValues" dxfId="4" priority="5"/>
  </conditionalFormatting>
  <conditionalFormatting sqref="B24:B32">
    <cfRule type="duplicateValues" dxfId="3" priority="4"/>
  </conditionalFormatting>
  <conditionalFormatting sqref="B24:B32 E25:E29">
    <cfRule type="duplicateValues" dxfId="2" priority="3"/>
  </conditionalFormatting>
  <conditionalFormatting sqref="E25:E2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2021-08-12T14:26:37Z</dcterms:created>
  <dcterms:modified xsi:type="dcterms:W3CDTF">2021-08-12T14:29:18Z</dcterms:modified>
</cp:coreProperties>
</file>