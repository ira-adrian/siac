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NotaPedido!$A$1:$K$28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2" l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K17" i="2"/>
  <c r="K18" i="2"/>
  <c r="K19" i="2"/>
  <c r="K20" i="2"/>
  <c r="K21" i="2"/>
  <c r="K22" i="2"/>
  <c r="K23" i="2"/>
  <c r="K24" i="2"/>
  <c r="K25" i="2"/>
  <c r="K26" i="2"/>
  <c r="K27" i="2"/>
  <c r="C16" i="2"/>
  <c r="C17" i="2"/>
  <c r="C18" i="2"/>
  <c r="C19" i="2"/>
  <c r="C20" i="2"/>
  <c r="C21" i="2"/>
  <c r="C22" i="2"/>
  <c r="C23" i="2"/>
  <c r="C24" i="2"/>
  <c r="C25" i="2"/>
  <c r="C26" i="2"/>
  <c r="C27" i="2"/>
  <c r="J18" i="2"/>
  <c r="J19" i="2"/>
  <c r="J20" i="2"/>
  <c r="J21" i="2"/>
  <c r="J22" i="2"/>
  <c r="J23" i="2"/>
  <c r="J24" i="2"/>
  <c r="J25" i="2"/>
  <c r="J26" i="2"/>
  <c r="J27" i="2"/>
  <c r="I17" i="2"/>
  <c r="I18" i="2"/>
  <c r="I19" i="2"/>
  <c r="I20" i="2"/>
  <c r="I21" i="2"/>
  <c r="I22" i="2"/>
  <c r="I23" i="2"/>
  <c r="I24" i="2"/>
  <c r="I25" i="2"/>
  <c r="I26" i="2"/>
  <c r="I27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J28" i="2" l="1"/>
  <c r="G6" i="3" l="1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<sst xmlns="http://schemas.openxmlformats.org/spreadsheetml/2006/main" count="152" uniqueCount="103">
  <si>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</si>
  <si>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</si>
  <si>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</si>
  <si>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</si>
  <si>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</si>
  <si>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</si>
  <si>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</si>
  <si>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</si>
  <si>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</si>
  <si>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</si>
  <si>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</si>
  <si>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</si>
  <si>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</si>
  <si>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</si>
  <si>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</si>
  <si>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</si>
  <si>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</si>
  <si>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</si>
  <si>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</si>
  <si>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</si>
  <si>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</si>
  <si>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</si>
  <si>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</si>
  <si>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</si>
  <si>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</si>
  <si>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</si>
  <si>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</si>
  <si>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</si>
  <si>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</si>
  <si>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</si>
  <si>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</si>
  <si>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</si>
  <si>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</si>
  <si>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</si>
  <si>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</si>
  <si>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</si>
  <si>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</si>
  <si>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</si>
  <si>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</si>
  <si>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</si>
  <si>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</si>
  <si>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</si>
  <si>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</si>
  <si>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</si>
  <si>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</si>
  <si>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</si>
  <si>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</si>
  <si>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</si>
  <si>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</si>
  <si>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</si>
  <si>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</si>
  <si>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</si>
  <si>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</si>
  <si>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</si>
  <si>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</si>
  <si>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3.1</t>
  </si>
  <si>
    <t>1.1</t>
  </si>
  <si>
    <t>Utiles Menores Med. Quir. y de Lab.</t>
  </si>
  <si>
    <t xml:space="preserve">SEMESTRAL </t>
  </si>
  <si>
    <t xml:space="preserve">Adquisición de Descartables comunes </t>
  </si>
  <si>
    <t>2.9.5-2505.4</t>
  </si>
  <si>
    <t>PROD. MEDICO/FARMACEUTICOS/LAB</t>
  </si>
  <si>
    <t>BOLSAS COLECTORAS; TIPO: DE ORINA, USO: P/RECOLECTAR DRENAJES, CAPACIDAD: 500 CM3</t>
  </si>
  <si>
    <t>UNIDAD</t>
  </si>
  <si>
    <t>2.9.5-2161.7</t>
  </si>
  <si>
    <t>CATÉTER INTRAVENOSO Nº 14; TIPO: INTRAVENOSO/CANALIZACIÓN</t>
  </si>
  <si>
    <t>2.9.5-2161.557</t>
  </si>
  <si>
    <t>CATÉTER INTRAVENOSO Nº 20; TIPO: INTRAVENOSO/CANALIZACIÓN</t>
  </si>
  <si>
    <t>2.9.5-2204.58</t>
  </si>
  <si>
    <t>GUÍA DE SUERO; USO: ADMINISTRACIÓN DE SOLUCIONES, MODELO CON BURETRA VOLUMÉTRICA; TIPO: MACROGOTERO</t>
  </si>
  <si>
    <t>2.9.5-2204.42</t>
  </si>
  <si>
    <t>GUÍAS DE SUERO; USO: ADMINISTRACIÓN DE SOLUCIONES; AGUJA: SIN; MODELO: V14, TIPO: MACROGOTERO CON ROLLER LUER SLIP</t>
  </si>
  <si>
    <t>2.9.5-2204.25</t>
  </si>
  <si>
    <t>GUÍAS DE SUERO; USO: ADMINISTRACIÓN DE SOLUCIONES; AGUJA: CON; MODELO: V13; TIPO: FOTOSENSIBLE; MACROGOTERO CON CONEXIÓN ROLLER LUER SLIP</t>
  </si>
  <si>
    <t>2.9.5-2204.55</t>
  </si>
  <si>
    <t>GUIAS DE SUERO; USO: ADMINISTRACION DE SOLUCIONES, AGUJA: SIN, MODELO: P/EQUIPO, TIPO: PARA BOMBA INFUSORA</t>
  </si>
  <si>
    <t>2.9.5-2161.562</t>
  </si>
  <si>
    <t>CATÉTERES/SONDAS; NÚMERO: 16; TIPO: FOLEY DOBLE VÍA, 100% DE SILICONA</t>
  </si>
  <si>
    <t>2.9.5-2161.563</t>
  </si>
  <si>
    <t>CATÉTERES/SONDAS; NÚMERO: 18; TIPO: FOLEY DOBLE VÍA, 100% DE SILICONA</t>
  </si>
  <si>
    <t>2.9.5-2161.224</t>
  </si>
  <si>
    <t>CATETERES/SONDAS; NUMERO: 14, TIPO: FOLEY DOBLE VIA</t>
  </si>
  <si>
    <t>2.9.5-2161.221</t>
  </si>
  <si>
    <t>CATETERES/SONDAS; NUMERO: 16, TIPO: FOLEY DOBLE VIA</t>
  </si>
  <si>
    <t>2.9.5-2161.222</t>
  </si>
  <si>
    <t>CATETERES/SONDAS; NUMERO: 18, TIPO: FOLEY DOBLE VIA</t>
  </si>
  <si>
    <t>2.9.5-2161.217</t>
  </si>
  <si>
    <t>CATETERES/SONDAS; NUMERO: K-31, TIPO: ASP. MUCUS Y ADMINISTRAC. OXIG</t>
  </si>
  <si>
    <t>2.9.5-2161.156</t>
  </si>
  <si>
    <t>CATETERES/SONDAS; NUMERO: K10, TIPO: NASOGASTRICA</t>
  </si>
  <si>
    <t>2.9.5-2161.179</t>
  </si>
  <si>
    <t>CATETERES/SONDAS; NUMERO: K-9, TIPO: NASOGASTRICA</t>
  </si>
  <si>
    <t>2.9.5-2161.157</t>
  </si>
  <si>
    <t>CATETERES/SONDAS; NUMERO: K11, TIPO: NASOGASTRICA</t>
  </si>
  <si>
    <t>Costo total estimado: CUATRO MILLONES CIENTO SESENTA Y OCHO MIL NOVECIENTOS CON 00/100.---</t>
  </si>
  <si>
    <t>TOTAL DE PESOS: CUATRO MILLONES CIENTO SESENTA Y OCHO MIL NOVECIENTOS CON 00/100.---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</si>
  <si>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</si>
  <si>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</si>
  <si>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ADVA. ILLIA Y MARIANO MORENO - DE LUNES A VIERNES DE 08:00 A 11:00 HORAS DEBIENDO CORRER LOS GASTOS DE FLETES, ACARREO, CARGA, DESCARGA Y SEGURO A CARGO DEL ADJUDICATARIO.</t>
  </si>
  <si>
    <r>
      <t xml:space="preserve">Especificidades Ítem 07: </t>
    </r>
    <r>
      <rPr>
        <b/>
        <u/>
        <sz val="10"/>
        <rFont val="Times New Roman"/>
        <family val="1"/>
      </rPr>
      <t>GUIA UNIVERSAL TIPO MP 1000</t>
    </r>
  </si>
  <si>
    <t>SI</t>
  </si>
  <si>
    <t>NOTA DE PEDIDO 106</t>
  </si>
  <si>
    <t>DOCFI-2022-01384210-CAT-DASIS#HSJB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</si>
</sst>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  <numFmt numFmtId="170" formatCode="_-&quot;$&quot;* #,##0.00_-;\-&quot;$&quot;* #,##0.00_-;_-&quot;$&quot;* &quot;-&quot;??_-;_-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  <charset val="1"/>
    </font>
    <font>
      <b/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3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0" fontId="14" fillId="0" borderId="40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3" fontId="14" fillId="0" borderId="40" xfId="0" applyNumberFormat="1" applyFont="1" applyBorder="1" applyAlignment="1">
      <alignment horizontal="center" vertical="center"/>
    </xf>
    <xf numFmtId="169" fontId="14" fillId="0" borderId="40" xfId="0" applyNumberFormat="1" applyFont="1" applyBorder="1" applyAlignment="1">
      <alignment horizontal="center" vertical="center"/>
    </xf>
    <xf numFmtId="170" fontId="14" fillId="0" borderId="40" xfId="0" applyNumberFormat="1" applyFont="1" applyBorder="1" applyAlignment="1">
      <alignment horizontal="center" vertical="center" wrapText="1"/>
    </xf>
    <xf numFmtId="0" fontId="22" fillId="5" borderId="41" xfId="0" applyFont="1" applyFill="1" applyBorder="1" applyAlignment="1">
      <alignment vertical="center"/>
    </xf>
    <xf numFmtId="0" fontId="15" fillId="5" borderId="42" xfId="0" applyFont="1" applyFill="1" applyBorder="1" applyAlignment="1">
      <alignment vertical="center"/>
    </xf>
    <xf numFmtId="0" fontId="15" fillId="5" borderId="43" xfId="0" applyFont="1" applyFill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 wrapText="1" indent="1"/>
    </xf>
    <xf numFmtId="0" fontId="21" fillId="5" borderId="12" xfId="0" applyFont="1" applyFill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1" fillId="0" borderId="3" xfId="0" applyFont="1" applyBorder="1" applyAlignment="1">
      <alignment horizontal="left" indent="1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5" fillId="0" borderId="36" xfId="0" applyFont="1" applyBorder="1" applyAlignment="1">
      <alignment horizontal="left" vertical="center" wrapText="1"/>
    </xf>
    <xf numFmtId="0" fontId="0" fillId="0" borderId="14" xfId="0" applyBorder="1"/>
    <xf numFmtId="0" fontId="20" fillId="4" borderId="6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left" vertical="center"/>
    </xf>
    <xf numFmtId="0" fontId="14" fillId="4" borderId="40" xfId="0" applyFont="1" applyFill="1" applyBorder="1" applyAlignment="1">
      <alignment horizontal="left" vertical="center" wrapText="1"/>
    </xf>
    <xf numFmtId="0" fontId="0" fillId="4" borderId="40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/>
    </xf>
    <xf numFmtId="3" fontId="14" fillId="4" borderId="40" xfId="0" applyNumberFormat="1" applyFont="1" applyFill="1" applyBorder="1" applyAlignment="1">
      <alignment horizontal="center" vertical="center"/>
    </xf>
    <xf numFmtId="169" fontId="14" fillId="4" borderId="40" xfId="0" applyNumberFormat="1" applyFont="1" applyFill="1" applyBorder="1" applyAlignment="1">
      <alignment horizontal="center" vertical="center"/>
    </xf>
    <xf numFmtId="170" fontId="14" fillId="4" borderId="40" xfId="0" applyNumberFormat="1" applyFont="1" applyFill="1" applyBorder="1" applyAlignment="1">
      <alignment horizontal="center" vertical="center" wrapText="1"/>
    </xf>
    <xf numFmtId="0" fontId="15" fillId="4" borderId="0" xfId="0" applyFont="1" applyFill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4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0" t="s">
        <v>0</v>
      </c>
      <c r="C2" s="70"/>
      <c r="D2" s="70"/>
      <c r="E2" s="70"/>
      <c r="F2" s="70"/>
      <c r="G2" s="70"/>
      <c r="H2" s="70"/>
    </row>
    <row r="4" spans="1:9" ht="18" customHeight="1" x14ac:dyDescent="0.25">
      <c r="A4" s="71" t="s">
        <v>1</v>
      </c>
      <c r="B4" s="71"/>
      <c r="C4" s="72" t="s">
        <v>51</v>
      </c>
      <c r="D4" s="72"/>
      <c r="E4" s="72"/>
      <c r="F4" s="40"/>
      <c r="G4" s="41"/>
      <c r="H4" s="40"/>
    </row>
    <row r="5" spans="1:9" ht="18" customHeight="1" x14ac:dyDescent="0.25">
      <c r="A5" s="71" t="s">
        <v>2</v>
      </c>
      <c r="B5" s="71"/>
      <c r="C5" s="72" t="s">
        <v>52</v>
      </c>
      <c r="D5" s="72"/>
      <c r="E5" s="72"/>
      <c r="F5" s="40"/>
      <c r="G5" s="41"/>
      <c r="H5" s="40"/>
    </row>
    <row r="6" spans="1:9" ht="16.5" customHeight="1" x14ac:dyDescent="0.25">
      <c r="A6" s="71" t="s">
        <v>3</v>
      </c>
      <c r="B6" s="71"/>
      <c r="C6" s="44">
        <v>2022</v>
      </c>
      <c r="D6" s="45"/>
      <c r="E6" s="45"/>
      <c r="F6" s="40"/>
      <c r="G6" s="41"/>
      <c r="H6" s="40"/>
    </row>
    <row r="7" spans="1:9" ht="16.5" customHeight="1" x14ac:dyDescent="0.25">
      <c r="A7" s="71" t="s">
        <v>4</v>
      </c>
      <c r="B7" s="71"/>
      <c r="C7" s="44">
        <v>3</v>
      </c>
      <c r="D7" s="45"/>
      <c r="E7" s="45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s="130" customFormat="1" ht="31.9" customHeight="1" thickBot="1" x14ac:dyDescent="0.25">
      <c r="A10" s="122">
        <v>1</v>
      </c>
      <c r="B10" s="123" t="s">
        <v>60</v>
      </c>
      <c r="C10" s="124" t="s">
        <v>61</v>
      </c>
      <c r="D10" s="125">
        <v>295</v>
      </c>
      <c r="E10" s="124" t="s">
        <v>62</v>
      </c>
      <c r="F10" s="126" t="s">
        <v>63</v>
      </c>
      <c r="G10" s="127">
        <v>1000</v>
      </c>
      <c r="H10" s="128">
        <v>151</v>
      </c>
      <c r="I10" s="129">
        <v>151000</v>
      </c>
    </row>
    <row r="11" spans="1:9" s="130" customFormat="1" ht="31.9" customHeight="1" thickBot="1" x14ac:dyDescent="0.25">
      <c r="A11" s="122">
        <v>2</v>
      </c>
      <c r="B11" s="123" t="s">
        <v>64</v>
      </c>
      <c r="C11" s="124" t="s">
        <v>61</v>
      </c>
      <c r="D11" s="125">
        <v>295</v>
      </c>
      <c r="E11" s="123" t="s">
        <v>65</v>
      </c>
      <c r="F11" s="126" t="s">
        <v>63</v>
      </c>
      <c r="G11" s="127">
        <v>300</v>
      </c>
      <c r="H11" s="128">
        <v>45</v>
      </c>
      <c r="I11" s="129">
        <v>13500</v>
      </c>
    </row>
    <row r="12" spans="1:9" s="130" customFormat="1" ht="31.9" customHeight="1" thickBot="1" x14ac:dyDescent="0.25">
      <c r="A12" s="122">
        <v>3</v>
      </c>
      <c r="B12" s="123" t="s">
        <v>66</v>
      </c>
      <c r="C12" s="124" t="s">
        <v>61</v>
      </c>
      <c r="D12" s="125">
        <v>295</v>
      </c>
      <c r="E12" s="123" t="s">
        <v>67</v>
      </c>
      <c r="F12" s="126" t="s">
        <v>63</v>
      </c>
      <c r="G12" s="127">
        <v>15000</v>
      </c>
      <c r="H12" s="128">
        <v>85</v>
      </c>
      <c r="I12" s="129">
        <v>1275000</v>
      </c>
    </row>
    <row r="13" spans="1:9" s="130" customFormat="1" ht="35.25" customHeight="1" thickBot="1" x14ac:dyDescent="0.25">
      <c r="A13" s="122">
        <v>4</v>
      </c>
      <c r="B13" s="124" t="s">
        <v>68</v>
      </c>
      <c r="C13" s="124" t="s">
        <v>61</v>
      </c>
      <c r="D13" s="125">
        <v>295</v>
      </c>
      <c r="E13" s="124" t="s">
        <v>69</v>
      </c>
      <c r="F13" s="126" t="s">
        <v>63</v>
      </c>
      <c r="G13" s="127">
        <v>600</v>
      </c>
      <c r="H13" s="128">
        <v>1220</v>
      </c>
      <c r="I13" s="129">
        <v>732000</v>
      </c>
    </row>
    <row r="14" spans="1:9" s="130" customFormat="1" ht="36" customHeight="1" thickBot="1" x14ac:dyDescent="0.25">
      <c r="A14" s="122">
        <v>5</v>
      </c>
      <c r="B14" s="123" t="s">
        <v>70</v>
      </c>
      <c r="C14" s="124" t="s">
        <v>61</v>
      </c>
      <c r="D14" s="125">
        <v>295</v>
      </c>
      <c r="E14" s="124" t="s">
        <v>71</v>
      </c>
      <c r="F14" s="126" t="s">
        <v>63</v>
      </c>
      <c r="G14" s="127">
        <v>30000</v>
      </c>
      <c r="H14" s="128">
        <v>45</v>
      </c>
      <c r="I14" s="129">
        <v>1350000</v>
      </c>
    </row>
    <row r="15" spans="1:9" s="130" customFormat="1" ht="37.5" customHeight="1" thickBot="1" x14ac:dyDescent="0.25">
      <c r="A15" s="122">
        <v>6</v>
      </c>
      <c r="B15" s="123" t="s">
        <v>72</v>
      </c>
      <c r="C15" s="124" t="s">
        <v>61</v>
      </c>
      <c r="D15" s="125">
        <v>295</v>
      </c>
      <c r="E15" s="124" t="s">
        <v>73</v>
      </c>
      <c r="F15" s="126" t="s">
        <v>63</v>
      </c>
      <c r="G15" s="127">
        <v>400</v>
      </c>
      <c r="H15" s="128">
        <v>99</v>
      </c>
      <c r="I15" s="129">
        <v>39600</v>
      </c>
    </row>
    <row r="16" spans="1:9" s="130" customFormat="1" ht="31.9" customHeight="1" thickBot="1" x14ac:dyDescent="0.25">
      <c r="A16" s="122">
        <v>7</v>
      </c>
      <c r="B16" s="123" t="s">
        <v>74</v>
      </c>
      <c r="C16" s="124" t="s">
        <v>61</v>
      </c>
      <c r="D16" s="125">
        <v>295</v>
      </c>
      <c r="E16" s="124" t="s">
        <v>75</v>
      </c>
      <c r="F16" s="126" t="s">
        <v>63</v>
      </c>
      <c r="G16" s="127">
        <v>300</v>
      </c>
      <c r="H16" s="128">
        <v>255</v>
      </c>
      <c r="I16" s="129">
        <v>76500</v>
      </c>
    </row>
    <row r="17" spans="1:9" s="130" customFormat="1" ht="31.9" customHeight="1" thickBot="1" x14ac:dyDescent="0.25">
      <c r="A17" s="122">
        <v>8</v>
      </c>
      <c r="B17" s="123" t="s">
        <v>76</v>
      </c>
      <c r="C17" s="124" t="s">
        <v>61</v>
      </c>
      <c r="D17" s="125">
        <v>295</v>
      </c>
      <c r="E17" s="123" t="s">
        <v>77</v>
      </c>
      <c r="F17" s="126" t="s">
        <v>63</v>
      </c>
      <c r="G17" s="127">
        <v>100</v>
      </c>
      <c r="H17" s="128">
        <v>380</v>
      </c>
      <c r="I17" s="129">
        <v>38000</v>
      </c>
    </row>
    <row r="18" spans="1:9" s="130" customFormat="1" ht="31.9" customHeight="1" thickBot="1" x14ac:dyDescent="0.25">
      <c r="A18" s="122">
        <v>9</v>
      </c>
      <c r="B18" s="123" t="s">
        <v>78</v>
      </c>
      <c r="C18" s="124" t="s">
        <v>61</v>
      </c>
      <c r="D18" s="125">
        <v>295</v>
      </c>
      <c r="E18" s="123" t="s">
        <v>79</v>
      </c>
      <c r="F18" s="126" t="s">
        <v>63</v>
      </c>
      <c r="G18" s="127">
        <v>200</v>
      </c>
      <c r="H18" s="128">
        <v>380</v>
      </c>
      <c r="I18" s="129">
        <v>76000</v>
      </c>
    </row>
    <row r="19" spans="1:9" s="130" customFormat="1" ht="31.9" customHeight="1" thickBot="1" x14ac:dyDescent="0.25">
      <c r="A19" s="122">
        <v>10</v>
      </c>
      <c r="B19" s="123" t="s">
        <v>80</v>
      </c>
      <c r="C19" s="124" t="s">
        <v>61</v>
      </c>
      <c r="D19" s="125">
        <v>295</v>
      </c>
      <c r="E19" s="123" t="s">
        <v>81</v>
      </c>
      <c r="F19" s="126" t="s">
        <v>63</v>
      </c>
      <c r="G19" s="127">
        <v>50</v>
      </c>
      <c r="H19" s="128">
        <v>98</v>
      </c>
      <c r="I19" s="129">
        <v>4900</v>
      </c>
    </row>
    <row r="20" spans="1:9" s="130" customFormat="1" ht="31.9" customHeight="1" thickBot="1" x14ac:dyDescent="0.25">
      <c r="A20" s="122">
        <v>11</v>
      </c>
      <c r="B20" s="123" t="s">
        <v>82</v>
      </c>
      <c r="C20" s="124" t="s">
        <v>61</v>
      </c>
      <c r="D20" s="125">
        <v>295</v>
      </c>
      <c r="E20" s="123" t="s">
        <v>83</v>
      </c>
      <c r="F20" s="126" t="s">
        <v>63</v>
      </c>
      <c r="G20" s="127">
        <v>1200</v>
      </c>
      <c r="H20" s="128">
        <v>98</v>
      </c>
      <c r="I20" s="129">
        <v>117600</v>
      </c>
    </row>
    <row r="21" spans="1:9" s="130" customFormat="1" ht="31.9" customHeight="1" thickBot="1" x14ac:dyDescent="0.25">
      <c r="A21" s="122">
        <v>12</v>
      </c>
      <c r="B21" s="123" t="s">
        <v>84</v>
      </c>
      <c r="C21" s="124" t="s">
        <v>61</v>
      </c>
      <c r="D21" s="125">
        <v>295</v>
      </c>
      <c r="E21" s="123" t="s">
        <v>85</v>
      </c>
      <c r="F21" s="126" t="s">
        <v>63</v>
      </c>
      <c r="G21" s="127">
        <v>1800</v>
      </c>
      <c r="H21" s="128">
        <v>98</v>
      </c>
      <c r="I21" s="129">
        <v>176400</v>
      </c>
    </row>
    <row r="22" spans="1:9" ht="31.9" customHeight="1" thickBot="1" x14ac:dyDescent="0.25">
      <c r="A22" s="43">
        <v>13</v>
      </c>
      <c r="B22" s="60" t="s">
        <v>86</v>
      </c>
      <c r="C22" s="61" t="s">
        <v>61</v>
      </c>
      <c r="D22" s="62">
        <v>295</v>
      </c>
      <c r="E22" s="60" t="s">
        <v>87</v>
      </c>
      <c r="F22" s="63" t="s">
        <v>63</v>
      </c>
      <c r="G22" s="64">
        <v>50</v>
      </c>
      <c r="H22" s="65">
        <v>48</v>
      </c>
      <c r="I22" s="66">
        <v>2400</v>
      </c>
    </row>
    <row r="23" spans="1:9" ht="31.9" customHeight="1" thickBot="1" x14ac:dyDescent="0.25">
      <c r="A23" s="43">
        <v>14</v>
      </c>
      <c r="B23" s="60" t="s">
        <v>88</v>
      </c>
      <c r="C23" s="61" t="s">
        <v>61</v>
      </c>
      <c r="D23" s="62">
        <v>295</v>
      </c>
      <c r="E23" s="60" t="s">
        <v>89</v>
      </c>
      <c r="F23" s="63" t="s">
        <v>63</v>
      </c>
      <c r="G23" s="64">
        <v>1200</v>
      </c>
      <c r="H23" s="65">
        <v>58</v>
      </c>
      <c r="I23" s="66">
        <v>69600</v>
      </c>
    </row>
    <row r="24" spans="1:9" ht="31.9" customHeight="1" thickBot="1" x14ac:dyDescent="0.25">
      <c r="A24" s="43">
        <v>15</v>
      </c>
      <c r="B24" s="60" t="s">
        <v>90</v>
      </c>
      <c r="C24" s="61" t="s">
        <v>61</v>
      </c>
      <c r="D24" s="62">
        <v>295</v>
      </c>
      <c r="E24" s="60" t="s">
        <v>91</v>
      </c>
      <c r="F24" s="63" t="s">
        <v>63</v>
      </c>
      <c r="G24" s="64">
        <v>200</v>
      </c>
      <c r="H24" s="65">
        <v>58</v>
      </c>
      <c r="I24" s="66">
        <v>11600</v>
      </c>
    </row>
    <row r="25" spans="1:9" ht="31.9" customHeight="1" thickBot="1" x14ac:dyDescent="0.25">
      <c r="A25" s="43">
        <v>16</v>
      </c>
      <c r="B25" s="60" t="s">
        <v>92</v>
      </c>
      <c r="C25" s="61" t="s">
        <v>61</v>
      </c>
      <c r="D25" s="62">
        <v>295</v>
      </c>
      <c r="E25" s="60" t="s">
        <v>93</v>
      </c>
      <c r="F25" s="63" t="s">
        <v>63</v>
      </c>
      <c r="G25" s="64">
        <v>600</v>
      </c>
      <c r="H25" s="65">
        <v>58</v>
      </c>
      <c r="I25" s="66">
        <v>34800</v>
      </c>
    </row>
    <row r="27" spans="1:9" ht="13.5" thickBot="1" x14ac:dyDescent="0.25"/>
    <row r="28" spans="1:9" ht="65.25" customHeight="1" thickBot="1" x14ac:dyDescent="0.25">
      <c r="B28" s="73" t="s">
        <v>96</v>
      </c>
      <c r="C28" s="74"/>
      <c r="D28" s="74"/>
      <c r="E28" s="75"/>
    </row>
    <row r="29" spans="1:9" ht="24" customHeight="1" thickBot="1" x14ac:dyDescent="0.25">
      <c r="B29" s="76" t="s">
        <v>97</v>
      </c>
      <c r="C29" s="77"/>
      <c r="D29" s="77"/>
      <c r="E29" s="78"/>
    </row>
    <row r="30" spans="1:9" ht="45" customHeight="1" thickBot="1" x14ac:dyDescent="0.25">
      <c r="B30" s="79" t="s">
        <v>98</v>
      </c>
      <c r="C30" s="80"/>
      <c r="D30" s="80"/>
      <c r="E30" s="81"/>
    </row>
    <row r="33" spans="2:5" ht="13.5" thickBot="1" x14ac:dyDescent="0.25"/>
    <row r="34" spans="2:5" ht="27" customHeight="1" thickBot="1" x14ac:dyDescent="0.25">
      <c r="B34" s="67" t="s">
        <v>99</v>
      </c>
      <c r="C34" s="68"/>
      <c r="D34" s="68"/>
      <c r="E34" s="69"/>
    </row>
  </sheetData>
  <mergeCells count="10">
    <mergeCell ref="B28:E28"/>
    <mergeCell ref="B29:E29"/>
    <mergeCell ref="B30:E30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7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2" t="s">
        <v>101</v>
      </c>
      <c r="B1" s="82"/>
      <c r="C1" s="82"/>
      <c r="D1" s="82"/>
      <c r="E1" s="82"/>
      <c r="F1" s="82"/>
      <c r="G1" s="82"/>
      <c r="H1" s="82"/>
      <c r="I1" s="82"/>
      <c r="J1" s="3" t="s">
        <v>14</v>
      </c>
      <c r="K1" s="46" t="s">
        <v>102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3" t="s">
        <v>47</v>
      </c>
      <c r="B3" s="83"/>
      <c r="C3" s="83"/>
      <c r="D3" s="84" t="str">
        <f>'Necesidades Trimestrales'!C4</f>
        <v>40 - Ministerio de Salud</v>
      </c>
      <c r="E3" s="84"/>
      <c r="F3" s="84"/>
      <c r="G3" s="84"/>
      <c r="H3" s="84"/>
      <c r="I3" s="84"/>
      <c r="J3" s="84"/>
      <c r="K3" s="84"/>
    </row>
    <row r="4" spans="1:11" ht="18.75" customHeight="1" thickBot="1" x14ac:dyDescent="0.25">
      <c r="A4" s="85" t="s">
        <v>48</v>
      </c>
      <c r="B4" s="85"/>
      <c r="C4" s="85"/>
      <c r="D4" s="84" t="str">
        <f>'Necesidades Trimestrales'!C5</f>
        <v>23 - Hospital Interzonal San Juan Bautista</v>
      </c>
      <c r="E4" s="84"/>
      <c r="F4" s="84"/>
      <c r="G4" s="84"/>
      <c r="H4" s="84"/>
      <c r="I4" s="84"/>
      <c r="J4" s="84"/>
      <c r="K4" s="84"/>
    </row>
    <row r="5" spans="1:11" ht="18.75" customHeight="1" thickBot="1" x14ac:dyDescent="0.25">
      <c r="A5" s="85" t="s">
        <v>26</v>
      </c>
      <c r="B5" s="85"/>
      <c r="C5" s="85"/>
      <c r="D5" s="84" t="s">
        <v>53</v>
      </c>
      <c r="E5" s="84"/>
      <c r="F5" s="84"/>
      <c r="G5" s="84"/>
      <c r="H5" s="84"/>
      <c r="I5" s="84"/>
      <c r="J5" s="84"/>
      <c r="K5" s="84"/>
    </row>
    <row r="6" spans="1:11" ht="16.5" customHeight="1" thickBot="1" x14ac:dyDescent="0.25">
      <c r="A6" s="83" t="s">
        <v>49</v>
      </c>
      <c r="B6" s="83"/>
      <c r="C6" s="83"/>
      <c r="D6" s="84" t="s">
        <v>54</v>
      </c>
      <c r="E6" s="84"/>
      <c r="F6" s="84"/>
      <c r="G6" s="84"/>
      <c r="H6" s="84"/>
      <c r="I6" s="84"/>
      <c r="J6" s="84"/>
      <c r="K6" s="84"/>
    </row>
    <row r="7" spans="1:11" ht="16.5" customHeight="1" x14ac:dyDescent="0.2">
      <c r="A7" s="85" t="s">
        <v>15</v>
      </c>
      <c r="B7" s="85"/>
      <c r="C7" s="85"/>
      <c r="D7" s="84" t="s">
        <v>58</v>
      </c>
      <c r="E7" s="84"/>
      <c r="F7" s="84"/>
      <c r="G7" s="84"/>
      <c r="H7" s="84"/>
      <c r="I7" s="84"/>
      <c r="J7" s="84"/>
      <c r="K7" s="84"/>
    </row>
    <row r="8" spans="1:11" ht="16.5" customHeight="1" x14ac:dyDescent="0.2">
      <c r="A8" s="88" t="s">
        <v>16</v>
      </c>
      <c r="B8" s="88"/>
      <c r="C8" s="88"/>
      <c r="D8" s="89" t="s">
        <v>59</v>
      </c>
      <c r="E8" s="89"/>
      <c r="F8" s="89"/>
      <c r="G8" s="89"/>
      <c r="H8" s="89"/>
      <c r="I8" s="89"/>
      <c r="J8" s="89"/>
      <c r="K8" s="89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0" t="s">
        <v>17</v>
      </c>
      <c r="B10" s="91" t="s">
        <v>18</v>
      </c>
      <c r="C10" s="91" t="s">
        <v>19</v>
      </c>
      <c r="D10" s="91"/>
      <c r="E10" s="91"/>
      <c r="F10" s="91"/>
      <c r="G10" s="91"/>
      <c r="H10" s="91" t="s">
        <v>20</v>
      </c>
      <c r="I10" s="91" t="s">
        <v>21</v>
      </c>
      <c r="J10" s="91" t="s">
        <v>22</v>
      </c>
      <c r="K10" s="92" t="s">
        <v>23</v>
      </c>
    </row>
    <row r="11" spans="1:11" ht="24" customHeight="1" thickBot="1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2"/>
    </row>
    <row r="12" spans="1:11" ht="20.25" customHeight="1" thickBot="1" x14ac:dyDescent="0.25">
      <c r="A12" s="8">
        <v>1</v>
      </c>
      <c r="B12" s="47" t="str">
        <f>'Necesidades Trimestrales'!B10</f>
        <v>2.9.5-2505.4</v>
      </c>
      <c r="C12" s="93" t="str">
        <f>'Necesidades Trimestrales'!E10</f>
        <v>BOLSAS COLECTORAS; TIPO: DE ORINA, USO: P/RECOLECTAR DRENAJES, CAPACIDAD: 500 CM3</v>
      </c>
      <c r="D12" s="93"/>
      <c r="E12" s="93"/>
      <c r="F12" s="93"/>
      <c r="G12" s="93"/>
      <c r="H12" s="48" t="s">
        <v>50</v>
      </c>
      <c r="I12" s="49" t="str">
        <f>'Necesidades Trimestrales'!F10</f>
        <v>UNIDAD</v>
      </c>
      <c r="J12" s="50">
        <f>'Necesidades Trimestrales'!H10</f>
        <v>151</v>
      </c>
      <c r="K12" s="51">
        <f>'Necesidades Trimestrales'!G10</f>
        <v>1000</v>
      </c>
    </row>
    <row r="13" spans="1:11" ht="20.25" customHeight="1" thickBot="1" x14ac:dyDescent="0.25">
      <c r="A13" s="8">
        <v>2</v>
      </c>
      <c r="B13" s="47" t="str">
        <f>'Necesidades Trimestrales'!B11</f>
        <v>2.9.5-2161.7</v>
      </c>
      <c r="C13" s="93" t="str">
        <f>'Necesidades Trimestrales'!E11</f>
        <v>CATÉTER INTRAVENOSO Nº 14; TIPO: INTRAVENOSO/CANALIZACIÓN</v>
      </c>
      <c r="D13" s="93"/>
      <c r="E13" s="93"/>
      <c r="F13" s="93"/>
      <c r="G13" s="93"/>
      <c r="H13" s="48" t="s">
        <v>50</v>
      </c>
      <c r="I13" s="49" t="str">
        <f>'Necesidades Trimestrales'!F11</f>
        <v>UNIDAD</v>
      </c>
      <c r="J13" s="50">
        <f>'Necesidades Trimestrales'!H11</f>
        <v>45</v>
      </c>
      <c r="K13" s="51">
        <f>'Necesidades Trimestrales'!G11</f>
        <v>300</v>
      </c>
    </row>
    <row r="14" spans="1:11" ht="28.5" customHeight="1" thickBot="1" x14ac:dyDescent="0.25">
      <c r="A14" s="8">
        <v>3</v>
      </c>
      <c r="B14" s="47" t="str">
        <f>'Necesidades Trimestrales'!B12</f>
        <v>2.9.5-2161.557</v>
      </c>
      <c r="C14" s="93" t="str">
        <f>'Necesidades Trimestrales'!E12</f>
        <v>CATÉTER INTRAVENOSO Nº 20; TIPO: INTRAVENOSO/CANALIZACIÓN</v>
      </c>
      <c r="D14" s="93"/>
      <c r="E14" s="93"/>
      <c r="F14" s="93"/>
      <c r="G14" s="93"/>
      <c r="H14" s="48" t="s">
        <v>50</v>
      </c>
      <c r="I14" s="49" t="str">
        <f>'Necesidades Trimestrales'!F12</f>
        <v>UNIDAD</v>
      </c>
      <c r="J14" s="50">
        <f>'Necesidades Trimestrales'!H12</f>
        <v>85</v>
      </c>
      <c r="K14" s="51">
        <f>'Necesidades Trimestrales'!G12</f>
        <v>15000</v>
      </c>
    </row>
    <row r="15" spans="1:11" ht="36" customHeight="1" thickBot="1" x14ac:dyDescent="0.25">
      <c r="A15" s="8">
        <v>4</v>
      </c>
      <c r="B15" s="47" t="str">
        <f>'Necesidades Trimestrales'!B13</f>
        <v>2.9.5-2204.58</v>
      </c>
      <c r="C15" s="93" t="str">
        <f>'Necesidades Trimestrales'!E13</f>
        <v>GUÍA DE SUERO; USO: ADMINISTRACIÓN DE SOLUCIONES, MODELO CON BURETRA VOLUMÉTRICA; TIPO: MACROGOTERO</v>
      </c>
      <c r="D15" s="93"/>
      <c r="E15" s="93"/>
      <c r="F15" s="93"/>
      <c r="G15" s="93"/>
      <c r="H15" s="48" t="s">
        <v>50</v>
      </c>
      <c r="I15" s="49" t="str">
        <f>'Necesidades Trimestrales'!F13</f>
        <v>UNIDAD</v>
      </c>
      <c r="J15" s="50">
        <f>'Necesidades Trimestrales'!H13</f>
        <v>1220</v>
      </c>
      <c r="K15" s="51">
        <f>'Necesidades Trimestrales'!G13</f>
        <v>600</v>
      </c>
    </row>
    <row r="16" spans="1:11" ht="40.5" customHeight="1" thickBot="1" x14ac:dyDescent="0.25">
      <c r="A16" s="8">
        <v>5</v>
      </c>
      <c r="B16" s="47" t="str">
        <f>'Necesidades Trimestrales'!B14</f>
        <v>2.9.5-2204.42</v>
      </c>
      <c r="C16" s="93" t="str">
        <f>'Necesidades Trimestrales'!E14</f>
        <v>GUÍAS DE SUERO; USO: ADMINISTRACIÓN DE SOLUCIONES; AGUJA: SIN; MODELO: V14, TIPO: MACROGOTERO CON ROLLER LUER SLIP</v>
      </c>
      <c r="D16" s="93"/>
      <c r="E16" s="93"/>
      <c r="F16" s="93"/>
      <c r="G16" s="93"/>
      <c r="H16" s="48" t="s">
        <v>50</v>
      </c>
      <c r="I16" s="49" t="str">
        <f>'Necesidades Trimestrales'!F14</f>
        <v>UNIDAD</v>
      </c>
      <c r="J16" s="50">
        <f>'Necesidades Trimestrales'!H14</f>
        <v>45</v>
      </c>
      <c r="K16" s="51">
        <f>'Necesidades Trimestrales'!G14</f>
        <v>30000</v>
      </c>
    </row>
    <row r="17" spans="1:1024" ht="37.5" customHeight="1" thickBot="1" x14ac:dyDescent="0.25">
      <c r="A17" s="8">
        <v>6</v>
      </c>
      <c r="B17" s="47" t="str">
        <f>'Necesidades Trimestrales'!B15</f>
        <v>2.9.5-2204.25</v>
      </c>
      <c r="C17" s="93" t="str">
        <f>'Necesidades Trimestrales'!E15</f>
        <v>GUÍAS DE SUERO; USO: ADMINISTRACIÓN DE SOLUCIONES; AGUJA: CON; MODELO: V13; TIPO: FOTOSENSIBLE; MACROGOTERO CON CONEXIÓN ROLLER LUER SLIP</v>
      </c>
      <c r="D17" s="93"/>
      <c r="E17" s="93"/>
      <c r="F17" s="93"/>
      <c r="G17" s="93"/>
      <c r="H17" s="48" t="s">
        <v>50</v>
      </c>
      <c r="I17" s="49" t="str">
        <f>'Necesidades Trimestrales'!F15</f>
        <v>UNIDAD</v>
      </c>
      <c r="J17" s="50">
        <f>'Necesidades Trimestrales'!H15</f>
        <v>99</v>
      </c>
      <c r="K17" s="51">
        <f>'Necesidades Trimestrales'!G15</f>
        <v>400</v>
      </c>
    </row>
    <row r="18" spans="1:1024" ht="32.25" customHeight="1" thickBot="1" x14ac:dyDescent="0.25">
      <c r="A18" s="8">
        <v>7</v>
      </c>
      <c r="B18" s="47" t="str">
        <f>'Necesidades Trimestrales'!B16</f>
        <v>2.9.5-2204.55</v>
      </c>
      <c r="C18" s="93" t="str">
        <f>'Necesidades Trimestrales'!E16</f>
        <v>GUIAS DE SUERO; USO: ADMINISTRACION DE SOLUCIONES, AGUJA: SIN, MODELO: P/EQUIPO, TIPO: PARA BOMBA INFUSORA</v>
      </c>
      <c r="D18" s="93"/>
      <c r="E18" s="93"/>
      <c r="F18" s="93"/>
      <c r="G18" s="93"/>
      <c r="H18" s="48" t="s">
        <v>100</v>
      </c>
      <c r="I18" s="49" t="str">
        <f>'Necesidades Trimestrales'!F16</f>
        <v>UNIDAD</v>
      </c>
      <c r="J18" s="50">
        <f>'Necesidades Trimestrales'!H16</f>
        <v>255</v>
      </c>
      <c r="K18" s="51">
        <f>'Necesidades Trimestrales'!G16</f>
        <v>300</v>
      </c>
    </row>
    <row r="19" spans="1:1024" ht="20.25" customHeight="1" thickBot="1" x14ac:dyDescent="0.25">
      <c r="A19" s="8">
        <v>8</v>
      </c>
      <c r="B19" s="47" t="str">
        <f>'Necesidades Trimestrales'!B17</f>
        <v>2.9.5-2161.562</v>
      </c>
      <c r="C19" s="93" t="str">
        <f>'Necesidades Trimestrales'!E17</f>
        <v>CATÉTERES/SONDAS; NÚMERO: 16; TIPO: FOLEY DOBLE VÍA, 100% DE SILICONA</v>
      </c>
      <c r="D19" s="93"/>
      <c r="E19" s="93"/>
      <c r="F19" s="93"/>
      <c r="G19" s="93"/>
      <c r="H19" s="48" t="s">
        <v>50</v>
      </c>
      <c r="I19" s="49" t="str">
        <f>'Necesidades Trimestrales'!F17</f>
        <v>UNIDAD</v>
      </c>
      <c r="J19" s="50">
        <f>'Necesidades Trimestrales'!H17</f>
        <v>380</v>
      </c>
      <c r="K19" s="51">
        <f>'Necesidades Trimestrales'!G17</f>
        <v>100</v>
      </c>
    </row>
    <row r="20" spans="1:1024" ht="20.25" customHeight="1" thickBot="1" x14ac:dyDescent="0.25">
      <c r="A20" s="8">
        <v>9</v>
      </c>
      <c r="B20" s="47" t="str">
        <f>'Necesidades Trimestrales'!B18</f>
        <v>2.9.5-2161.563</v>
      </c>
      <c r="C20" s="93" t="str">
        <f>'Necesidades Trimestrales'!E18</f>
        <v>CATÉTERES/SONDAS; NÚMERO: 18; TIPO: FOLEY DOBLE VÍA, 100% DE SILICONA</v>
      </c>
      <c r="D20" s="93"/>
      <c r="E20" s="93"/>
      <c r="F20" s="93"/>
      <c r="G20" s="93"/>
      <c r="H20" s="48" t="s">
        <v>50</v>
      </c>
      <c r="I20" s="49" t="str">
        <f>'Necesidades Trimestrales'!F18</f>
        <v>UNIDAD</v>
      </c>
      <c r="J20" s="50">
        <f>'Necesidades Trimestrales'!H18</f>
        <v>380</v>
      </c>
      <c r="K20" s="51">
        <f>'Necesidades Trimestrales'!G18</f>
        <v>200</v>
      </c>
    </row>
    <row r="21" spans="1:1024" ht="20.25" customHeight="1" thickBot="1" x14ac:dyDescent="0.25">
      <c r="A21" s="8">
        <v>10</v>
      </c>
      <c r="B21" s="47" t="str">
        <f>'Necesidades Trimestrales'!B19</f>
        <v>2.9.5-2161.224</v>
      </c>
      <c r="C21" s="93" t="str">
        <f>'Necesidades Trimestrales'!E19</f>
        <v>CATETERES/SONDAS; NUMERO: 14, TIPO: FOLEY DOBLE VIA</v>
      </c>
      <c r="D21" s="93"/>
      <c r="E21" s="93"/>
      <c r="F21" s="93"/>
      <c r="G21" s="93"/>
      <c r="H21" s="48" t="s">
        <v>50</v>
      </c>
      <c r="I21" s="49" t="str">
        <f>'Necesidades Trimestrales'!F19</f>
        <v>UNIDAD</v>
      </c>
      <c r="J21" s="50">
        <f>'Necesidades Trimestrales'!H19</f>
        <v>98</v>
      </c>
      <c r="K21" s="51">
        <f>'Necesidades Trimestrales'!G19</f>
        <v>50</v>
      </c>
    </row>
    <row r="22" spans="1:1024" ht="20.25" customHeight="1" thickBot="1" x14ac:dyDescent="0.25">
      <c r="A22" s="8">
        <v>11</v>
      </c>
      <c r="B22" s="47" t="str">
        <f>'Necesidades Trimestrales'!B20</f>
        <v>2.9.5-2161.221</v>
      </c>
      <c r="C22" s="93" t="str">
        <f>'Necesidades Trimestrales'!E20</f>
        <v>CATETERES/SONDAS; NUMERO: 16, TIPO: FOLEY DOBLE VIA</v>
      </c>
      <c r="D22" s="93"/>
      <c r="E22" s="93"/>
      <c r="F22" s="93"/>
      <c r="G22" s="93"/>
      <c r="H22" s="48" t="s">
        <v>50</v>
      </c>
      <c r="I22" s="49" t="str">
        <f>'Necesidades Trimestrales'!F20</f>
        <v>UNIDAD</v>
      </c>
      <c r="J22" s="50">
        <f>'Necesidades Trimestrales'!H20</f>
        <v>98</v>
      </c>
      <c r="K22" s="51">
        <f>'Necesidades Trimestrales'!G20</f>
        <v>1200</v>
      </c>
    </row>
    <row r="23" spans="1:1024" ht="20.25" customHeight="1" thickBot="1" x14ac:dyDescent="0.25">
      <c r="A23" s="8">
        <v>12</v>
      </c>
      <c r="B23" s="47" t="str">
        <f>'Necesidades Trimestrales'!B21</f>
        <v>2.9.5-2161.222</v>
      </c>
      <c r="C23" s="93" t="str">
        <f>'Necesidades Trimestrales'!E21</f>
        <v>CATETERES/SONDAS; NUMERO: 18, TIPO: FOLEY DOBLE VIA</v>
      </c>
      <c r="D23" s="93"/>
      <c r="E23" s="93"/>
      <c r="F23" s="93"/>
      <c r="G23" s="93"/>
      <c r="H23" s="48" t="s">
        <v>50</v>
      </c>
      <c r="I23" s="49" t="str">
        <f>'Necesidades Trimestrales'!F21</f>
        <v>UNIDAD</v>
      </c>
      <c r="J23" s="50">
        <f>'Necesidades Trimestrales'!H21</f>
        <v>98</v>
      </c>
      <c r="K23" s="51">
        <f>'Necesidades Trimestrales'!G21</f>
        <v>1800</v>
      </c>
    </row>
    <row r="24" spans="1:1024" ht="20.25" customHeight="1" thickBot="1" x14ac:dyDescent="0.25">
      <c r="A24" s="8">
        <v>13</v>
      </c>
      <c r="B24" s="47" t="str">
        <f>'Necesidades Trimestrales'!B22</f>
        <v>2.9.5-2161.217</v>
      </c>
      <c r="C24" s="93" t="str">
        <f>'Necesidades Trimestrales'!E22</f>
        <v>CATETERES/SONDAS; NUMERO: K-31, TIPO: ASP. MUCUS Y ADMINISTRAC. OXIG</v>
      </c>
      <c r="D24" s="93"/>
      <c r="E24" s="93"/>
      <c r="F24" s="93"/>
      <c r="G24" s="93"/>
      <c r="H24" s="48" t="s">
        <v>50</v>
      </c>
      <c r="I24" s="49" t="str">
        <f>'Necesidades Trimestrales'!F22</f>
        <v>UNIDAD</v>
      </c>
      <c r="J24" s="50">
        <f>'Necesidades Trimestrales'!H22</f>
        <v>48</v>
      </c>
      <c r="K24" s="51">
        <f>'Necesidades Trimestrales'!G22</f>
        <v>50</v>
      </c>
    </row>
    <row r="25" spans="1:1024" ht="20.25" customHeight="1" thickBot="1" x14ac:dyDescent="0.25">
      <c r="A25" s="8">
        <v>14</v>
      </c>
      <c r="B25" s="47" t="str">
        <f>'Necesidades Trimestrales'!B23</f>
        <v>2.9.5-2161.156</v>
      </c>
      <c r="C25" s="93" t="str">
        <f>'Necesidades Trimestrales'!E23</f>
        <v>CATETERES/SONDAS; NUMERO: K10, TIPO: NASOGASTRICA</v>
      </c>
      <c r="D25" s="93"/>
      <c r="E25" s="93"/>
      <c r="F25" s="93"/>
      <c r="G25" s="93"/>
      <c r="H25" s="48" t="s">
        <v>50</v>
      </c>
      <c r="I25" s="49" t="str">
        <f>'Necesidades Trimestrales'!F23</f>
        <v>UNIDAD</v>
      </c>
      <c r="J25" s="50">
        <f>'Necesidades Trimestrales'!H23</f>
        <v>58</v>
      </c>
      <c r="K25" s="51">
        <f>'Necesidades Trimestrales'!G23</f>
        <v>1200</v>
      </c>
    </row>
    <row r="26" spans="1:1024" ht="20.25" customHeight="1" thickBot="1" x14ac:dyDescent="0.25">
      <c r="A26" s="8">
        <v>15</v>
      </c>
      <c r="B26" s="47" t="str">
        <f>'Necesidades Trimestrales'!B24</f>
        <v>2.9.5-2161.179</v>
      </c>
      <c r="C26" s="93" t="str">
        <f>'Necesidades Trimestrales'!E24</f>
        <v>CATETERES/SONDAS; NUMERO: K-9, TIPO: NASOGASTRICA</v>
      </c>
      <c r="D26" s="93"/>
      <c r="E26" s="93"/>
      <c r="F26" s="93"/>
      <c r="G26" s="93"/>
      <c r="H26" s="48" t="s">
        <v>50</v>
      </c>
      <c r="I26" s="49" t="str">
        <f>'Necesidades Trimestrales'!F24</f>
        <v>UNIDAD</v>
      </c>
      <c r="J26" s="50">
        <f>'Necesidades Trimestrales'!H24</f>
        <v>58</v>
      </c>
      <c r="K26" s="51">
        <f>'Necesidades Trimestrales'!G24</f>
        <v>200</v>
      </c>
    </row>
    <row r="27" spans="1:1024" ht="20.25" customHeight="1" thickBot="1" x14ac:dyDescent="0.25">
      <c r="A27" s="8">
        <v>16</v>
      </c>
      <c r="B27" s="47" t="str">
        <f>'Necesidades Trimestrales'!B25</f>
        <v>2.9.5-2161.157</v>
      </c>
      <c r="C27" s="93" t="str">
        <f>'Necesidades Trimestrales'!E25</f>
        <v>CATETERES/SONDAS; NUMERO: K11, TIPO: NASOGASTRICA</v>
      </c>
      <c r="D27" s="93"/>
      <c r="E27" s="93"/>
      <c r="F27" s="93"/>
      <c r="G27" s="93"/>
      <c r="H27" s="48" t="s">
        <v>50</v>
      </c>
      <c r="I27" s="49" t="str">
        <f>'Necesidades Trimestrales'!F25</f>
        <v>UNIDAD</v>
      </c>
      <c r="J27" s="50">
        <f>'Necesidades Trimestrales'!H25</f>
        <v>58</v>
      </c>
      <c r="K27" s="51">
        <f>'Necesidades Trimestrales'!G25</f>
        <v>600</v>
      </c>
    </row>
    <row r="28" spans="1:1024" ht="20.25" customHeight="1" thickBot="1" x14ac:dyDescent="0.25">
      <c r="A28" s="86" t="s">
        <v>94</v>
      </c>
      <c r="B28" s="86"/>
      <c r="C28" s="86"/>
      <c r="D28" s="86"/>
      <c r="E28" s="86"/>
      <c r="F28" s="86"/>
      <c r="G28" s="86"/>
      <c r="H28" s="86"/>
      <c r="I28" s="86"/>
      <c r="J28" s="87">
        <f>SUMPRODUCT(J12:J27,K12:K27)</f>
        <v>4168900</v>
      </c>
      <c r="K28" s="87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</sheetData>
  <mergeCells count="38">
    <mergeCell ref="C25:G25"/>
    <mergeCell ref="C20:G20"/>
    <mergeCell ref="C21:G21"/>
    <mergeCell ref="C22:G22"/>
    <mergeCell ref="C23:G23"/>
    <mergeCell ref="C24:G24"/>
    <mergeCell ref="C15:G15"/>
    <mergeCell ref="C16:G16"/>
    <mergeCell ref="C17:G17"/>
    <mergeCell ref="C18:G18"/>
    <mergeCell ref="C19:G19"/>
    <mergeCell ref="A28:I28"/>
    <mergeCell ref="J28:K2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12:G12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4" t="s">
        <v>3</v>
      </c>
      <c r="B1" s="94"/>
      <c r="C1" s="94"/>
      <c r="D1" s="95">
        <f>'Necesidades Trimestrales'!C6</f>
        <v>2022</v>
      </c>
      <c r="E1" s="95"/>
      <c r="F1" s="10"/>
      <c r="G1" s="10"/>
      <c r="H1" s="11"/>
      <c r="I1" s="11"/>
      <c r="J1" s="11"/>
      <c r="K1" s="11"/>
      <c r="L1" s="11"/>
      <c r="M1" s="11"/>
      <c r="N1" s="11"/>
      <c r="P1" s="96" t="s">
        <v>24</v>
      </c>
      <c r="Q1" s="9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96"/>
      <c r="Q2" s="96"/>
    </row>
    <row r="4" spans="1:17" s="12" customFormat="1" ht="18" customHeight="1" thickBot="1" x14ac:dyDescent="0.25">
      <c r="A4" s="97" t="s">
        <v>25</v>
      </c>
      <c r="B4" s="97"/>
      <c r="C4" s="97"/>
      <c r="D4" s="97"/>
      <c r="E4" s="97"/>
      <c r="F4" s="97"/>
      <c r="G4" s="98" t="str">
        <f>NotaPedido!D3</f>
        <v>40 - Ministerio de Salud</v>
      </c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s="12" customFormat="1" ht="18" customHeight="1" thickBot="1" x14ac:dyDescent="0.25">
      <c r="A5" s="99" t="s">
        <v>48</v>
      </c>
      <c r="B5" s="100"/>
      <c r="C5" s="100"/>
      <c r="D5" s="100"/>
      <c r="E5" s="100"/>
      <c r="F5" s="101"/>
      <c r="G5" s="98" t="str">
        <f>NotaPedido!D4</f>
        <v>23 - Hospital Interzonal San Juan Bautista</v>
      </c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 s="12" customFormat="1" ht="18" customHeight="1" thickBot="1" x14ac:dyDescent="0.25">
      <c r="A6" s="99" t="s">
        <v>26</v>
      </c>
      <c r="B6" s="100"/>
      <c r="C6" s="100"/>
      <c r="D6" s="100"/>
      <c r="E6" s="100"/>
      <c r="F6" s="101"/>
      <c r="G6" s="98" t="str">
        <f>NotaPedido!D5</f>
        <v>168 - Direccion Asistencial</v>
      </c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s="12" customFormat="1" ht="18" customHeight="1" thickBot="1" x14ac:dyDescent="0.25">
      <c r="A7" s="99" t="s">
        <v>49</v>
      </c>
      <c r="B7" s="100"/>
      <c r="C7" s="100"/>
      <c r="D7" s="100"/>
      <c r="E7" s="100"/>
      <c r="F7" s="101"/>
      <c r="G7" s="98" t="str">
        <f>NotaPedido!D6</f>
        <v>Servicio de Farmacia</v>
      </c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18" customHeight="1" thickBot="1" x14ac:dyDescent="0.25">
      <c r="A8" s="102" t="s">
        <v>27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</row>
    <row r="9" spans="1:17" ht="18" customHeight="1" x14ac:dyDescent="0.2">
      <c r="A9" s="103" t="s">
        <v>28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"/>
      <c r="P9" s="1"/>
      <c r="Q9" s="13"/>
    </row>
    <row r="10" spans="1:17" ht="54.75" customHeight="1" x14ac:dyDescent="0.2">
      <c r="A10" s="10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DOCFI-2022-01384210-CAT-DASIS#HSJB,  afectando la erogación resultante a los créditos presupuestarios aprobados a favor de esta Unidad Ejecutora, conforme al siguiente detalle: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5" t="s">
        <v>29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15.75" customHeight="1" x14ac:dyDescent="0.2">
      <c r="A13" s="106" t="s">
        <v>30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7" t="s">
        <v>31</v>
      </c>
      <c r="P13" s="107"/>
      <c r="Q13" s="108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07"/>
      <c r="P14" s="107"/>
      <c r="Q14" s="108"/>
    </row>
    <row r="15" spans="1:17" ht="17.25" customHeight="1" x14ac:dyDescent="0.2">
      <c r="A15" s="54">
        <v>33</v>
      </c>
      <c r="B15" s="55"/>
      <c r="C15" s="55"/>
      <c r="D15" s="55">
        <v>2</v>
      </c>
      <c r="E15" s="55"/>
      <c r="F15" s="55">
        <v>4901</v>
      </c>
      <c r="G15" s="55">
        <v>3</v>
      </c>
      <c r="H15" s="56" t="s">
        <v>55</v>
      </c>
      <c r="I15" s="57">
        <v>2</v>
      </c>
      <c r="J15" s="57">
        <v>9</v>
      </c>
      <c r="K15" s="57">
        <v>5</v>
      </c>
      <c r="L15" s="55"/>
      <c r="M15" s="58">
        <v>1</v>
      </c>
      <c r="N15" s="56" t="s">
        <v>56</v>
      </c>
      <c r="O15" s="109" t="s">
        <v>57</v>
      </c>
      <c r="P15" s="109"/>
      <c r="Q15" s="23">
        <v>4168900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2"/>
      <c r="I16" s="25"/>
      <c r="J16" s="25"/>
      <c r="K16" s="25"/>
      <c r="L16" s="25"/>
      <c r="M16" s="26"/>
      <c r="N16" s="53"/>
      <c r="O16" s="110"/>
      <c r="P16" s="11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2"/>
      <c r="I17" s="25"/>
      <c r="J17" s="25"/>
      <c r="K17" s="25"/>
      <c r="L17" s="25"/>
      <c r="M17" s="26"/>
      <c r="N17" s="53"/>
      <c r="O17" s="110"/>
      <c r="P17" s="110"/>
      <c r="Q17" s="28"/>
      <c r="S17" s="59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2"/>
      <c r="I18" s="25"/>
      <c r="J18" s="25"/>
      <c r="K18" s="25"/>
      <c r="L18" s="25"/>
      <c r="M18" s="26"/>
      <c r="N18" s="53"/>
      <c r="O18" s="111"/>
      <c r="P18" s="112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18"/>
      <c r="P19" s="118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19"/>
      <c r="P20" s="119"/>
      <c r="Q20" s="37"/>
    </row>
    <row r="21" spans="1:19" ht="20.25" customHeight="1" x14ac:dyDescent="0.2">
      <c r="A21" s="120" t="s">
        <v>95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38">
        <f>SUM(Q15:Q20)</f>
        <v>4168900</v>
      </c>
    </row>
    <row r="22" spans="1:19" ht="18" customHeight="1" thickBot="1" x14ac:dyDescent="0.25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</row>
    <row r="23" spans="1:19" ht="17.25" customHeight="1" thickBot="1" x14ac:dyDescent="0.25">
      <c r="A23" s="113" t="s">
        <v>46</v>
      </c>
      <c r="B23" s="114"/>
      <c r="C23" s="114"/>
      <c r="D23" s="114"/>
      <c r="E23" s="114"/>
      <c r="F23" s="115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  <row r="24" spans="1:19" ht="18" customHeight="1" thickBot="1" x14ac:dyDescent="0.25">
      <c r="A24" s="117" t="str">
        <f>"Para la "&amp; NotaPedido!D8 &amp;" para ser destinados al " &amp; NotaPedido!D6 &amp;"  del HISJB del Ministerio de Salud."</f>
        <v>Para la Adquisición de Descartables comunes  para ser destinados al Servicio de Farmacia  del HISJB del Ministerio de Salud.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9" ht="15" customHeight="1" x14ac:dyDescent="0.2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2022-08-03T13:22:24Z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