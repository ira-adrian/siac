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E:\MHPnuevo\COMPR.AR\COMPRA ABIERTA\NEUMATICOS POLICIA DE CATAMARCA\"/>
    </mc:Choice>
  </mc:AlternateContent>
  <xr:revisionPtr revIDLastSave="0" documentId="8_{3CAB7BC2-C811-47B1-8EB6-736997A091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2" i="2" l="1"/>
  <c r="M22" i="2"/>
</calcChain>
</file>

<file path=xl/sharedStrings.xml><?xml version="1.0" encoding="utf-8"?>
<sst xmlns="http://schemas.openxmlformats.org/spreadsheetml/2006/main" count="102" uniqueCount="72">
  <si>
    <t>Número expediente:</t>
  </si>
  <si>
    <t>EX-2022-02319560-   -CAT-DPCBS#MEC</t>
  </si>
  <si>
    <t>Número proceso de compra:</t>
  </si>
  <si>
    <t>100-0227-CDI22</t>
  </si>
  <si>
    <t>Nombre descriptivo proceso de compra:</t>
  </si>
  <si>
    <t>ADQUISICION DE NEUMATICOS PARA LA POLICIA DE CATAMARCA</t>
  </si>
  <si>
    <t>Unidad Operativa de Compras:</t>
  </si>
  <si>
    <t>Secretaria de Compras y Abastecimiento</t>
  </si>
  <si>
    <t>Fecha de Apertura:</t>
  </si>
  <si>
    <t>06/12/2022</t>
  </si>
  <si>
    <t>Renglón</t>
  </si>
  <si>
    <t>LUIS ALBERTO FERNANDEZ</t>
  </si>
  <si>
    <t>SARAKO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</si>
  <si>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</si>
  <si>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</si>
  <si>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</si>
  <si>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</si>
  <si>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</si>
  <si>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</si>
  <si>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</si>
  <si>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</si>
  <si>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</si>
  <si>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</si>
  <si>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2.4.4-6818.744 </t>
  </si>
  <si>
    <t xml:space="preserve">NEUMATICOS; VEHICULO: CAMIONETA, CONSTRUCCION: RADIAL, ARMADO: S/CAMARA, MEDIDA: 235/70R16 </t>
  </si>
  <si>
    <t xml:space="preserve">UNIDAD </t>
  </si>
  <si>
    <t xml:space="preserve">Cubierta marca Triangle. </t>
  </si>
  <si>
    <t xml:space="preserve">MARCA: FATE - MODELO: RANGE RUNNER HT.- </t>
  </si>
  <si>
    <t xml:space="preserve">2 </t>
  </si>
  <si>
    <t xml:space="preserve">2.4.4-6818.891 </t>
  </si>
  <si>
    <t xml:space="preserve">NEUMATICOS; VEHICULO: MINIBUS, CONSTRUCCION: RADIAL, ARMADO: SIN CAMARA, MEDIDA: 195/75R16 
</t>
  </si>
  <si>
    <t xml:space="preserve">Cubierta triangle. </t>
  </si>
  <si>
    <t xml:space="preserve">MARCA: FATE - MODELO: AVANTIA AR-410.- </t>
  </si>
  <si>
    <t xml:space="preserve">3 </t>
  </si>
  <si>
    <t xml:space="preserve">2.4.4-6818.810 </t>
  </si>
  <si>
    <t xml:space="preserve">NEUMATICOS; VEHICULO: MINIBUS, CONSTRUCCION: RADIAL, ARMADO: S/CAMARA, MEDIDA: 225/75R16 </t>
  </si>
  <si>
    <t xml:space="preserve">Cubierta Triangle. </t>
  </si>
  <si>
    <t xml:space="preserve">4 </t>
  </si>
  <si>
    <t xml:space="preserve">2.4.4-6818.989 </t>
  </si>
  <si>
    <t xml:space="preserve">NEUMATICOS; VEHICULO: CAMIONETA, CONSTRUCCION: RADIAL, ARMADO: S/CAMARA, MEDIDA: 225/70 R17 
</t>
  </si>
  <si>
    <t xml:space="preserve">MARCA: FATE - MODELO: RANGE RUNNER ATR.- </t>
  </si>
  <si>
    <t xml:space="preserve">5 </t>
  </si>
  <si>
    <t xml:space="preserve">2.4.4-6818.148 </t>
  </si>
  <si>
    <t xml:space="preserve">NEUMATICOS; VEHICULO: MOTO, CONSTRUCCION: RADIAL, ARMADO: SIN VALOR, MEDIDA: 120/90R18 
</t>
  </si>
  <si>
    <t xml:space="preserve">6 </t>
  </si>
  <si>
    <t xml:space="preserve">2.4.4-6818.1028 </t>
  </si>
  <si>
    <t xml:space="preserve">NEUMATICOS; VEHICULO: MOTO, CONSTRUCCION: RADIAL, ARMADO: S/CAMARA, MEDIDA: 110/90-17 </t>
  </si>
  <si>
    <t xml:space="preserve">Cubierta Wanda. </t>
  </si>
  <si>
    <t xml:space="preserve">7 </t>
  </si>
  <si>
    <t xml:space="preserve">2.4.4-6818.1027 </t>
  </si>
  <si>
    <t xml:space="preserve">NEUMATICOS; VEHICULO: MOTO, CONSTRUCCION: RADIAL, ARMADO: S/CAMARA, MEDIDA: 90/90-19 </t>
  </si>
  <si>
    <t xml:space="preserve">Cubeirta Wanda.- </t>
  </si>
  <si>
    <t xml:space="preserve">8 </t>
  </si>
  <si>
    <t xml:space="preserve">2.4.4-6818.510 </t>
  </si>
  <si>
    <t xml:space="preserve">NEUMATICOS; VEHICULO: MOTO, CONSTRUCCION: RADIAL, ARMADO: S/CAMARA, MEDIDA: 160/60R17 </t>
  </si>
  <si>
    <t xml:space="preserve">Cubierta Kenda. </t>
  </si>
  <si>
    <t xml:space="preserve">9 </t>
  </si>
  <si>
    <t xml:space="preserve">2.4.4-6818.683 </t>
  </si>
  <si>
    <t xml:space="preserve">NEUMATICOS; VEHICULO: MOTO, CONSTRUCCION: RADIAL, ARMADO: S/CAMARA, MEDIDA: 120/70R17 </t>
  </si>
  <si>
    <t xml:space="preserve">10 </t>
  </si>
  <si>
    <t xml:space="preserve">2.4.4-6818.631 </t>
  </si>
  <si>
    <t xml:space="preserve">NEUMATICOS; VEHICULO: MOTO, CONSTRUCCION: RADIAL, ARMADO: C/CAMARA, MEDIDA: 90/90-21 </t>
  </si>
  <si>
    <t xml:space="preserve">Cubeirta Kenda- </t>
  </si>
  <si>
    <t xml:space="preserve">11 </t>
  </si>
  <si>
    <t xml:space="preserve">2.4.4-6818.395 </t>
  </si>
  <si>
    <t xml:space="preserve">NEUMATICOS; VEHICULO: MOTO, CONSTRUCCION: RADIAL, ARMADO: S/CAMARA, MEDIDA: 130/80-17 </t>
  </si>
  <si>
    <t xml:space="preserve">Cubeirta Kenda. </t>
  </si>
  <si>
    <t xml:space="preserve">12 </t>
  </si>
  <si>
    <t xml:space="preserve">2.4.4-6818.1033 </t>
  </si>
  <si>
    <t xml:space="preserve">NEUMATICOS; VEHICULO: CAMION, CONSTRUCCION: RADIAL, ARMADO: S/CAMARA, MEDIDA: 235/75R17.5 </t>
  </si>
  <si>
    <t xml:space="preserve">Cubeirta Triangle.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</si>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</sst>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95.28515625" customWidth="1"/>
    <col min="5" max="5" width="59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22.7109375" customWidth="1"/>
    <col min="11" max="11" width="14.28515625" customWidth="1"/>
    <col min="12" max="12" width="17.28515625" customWidth="1"/>
    <col min="13" max="13" width="16.5703125" customWidth="1"/>
    <col min="14" max="14" width="42.855468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x14ac:dyDescent="0.25">
      <c r="A10" t="s">
        <v>22</v>
      </c>
      <c r="B10" t="s">
        <v>22</v>
      </c>
      <c r="C10" t="s">
        <v>23</v>
      </c>
      <c r="D10" t="s">
        <v>24</v>
      </c>
      <c r="E10">
        <v>35</v>
      </c>
      <c r="F10" t="s">
        <v>25</v>
      </c>
      <c r="G10" s="3">
        <v>179550</v>
      </c>
      <c r="H10" s="3">
        <v>35</v>
      </c>
      <c r="I10" s="4">
        <v>6284250</v>
      </c>
      <c r="J10" t="s">
        <v>26</v>
      </c>
      <c r="K10" s="3">
        <v>99750</v>
      </c>
      <c r="L10" s="3">
        <v>35</v>
      </c>
      <c r="M10" s="4">
        <v>3491250</v>
      </c>
      <c r="N10" t="s">
        <v>27</v>
      </c>
    </row>
    <row r="11" spans="1:14" ht="45" x14ac:dyDescent="0.25">
      <c r="A11" t="s">
        <v>28</v>
      </c>
      <c r="B11" t="s">
        <v>22</v>
      </c>
      <c r="C11" t="s">
        <v>29</v>
      </c>
      <c r="D11" s="5" t="s">
        <v>30</v>
      </c>
      <c r="E11">
        <v>4</v>
      </c>
      <c r="F11" t="s">
        <v>25</v>
      </c>
      <c r="G11" s="3">
        <v>92040</v>
      </c>
      <c r="H11" s="3">
        <v>4</v>
      </c>
      <c r="I11" s="4">
        <v>368160</v>
      </c>
      <c r="J11" t="s">
        <v>31</v>
      </c>
      <c r="K11" s="3">
        <v>65250</v>
      </c>
      <c r="L11" s="3">
        <v>4</v>
      </c>
      <c r="M11" s="4">
        <v>261000</v>
      </c>
      <c r="N11" t="s">
        <v>32</v>
      </c>
    </row>
    <row r="12" spans="1:14" x14ac:dyDescent="0.25">
      <c r="A12" t="s">
        <v>33</v>
      </c>
      <c r="B12" t="s">
        <v>22</v>
      </c>
      <c r="C12" t="s">
        <v>34</v>
      </c>
      <c r="D12" t="s">
        <v>35</v>
      </c>
      <c r="E12">
        <v>4</v>
      </c>
      <c r="F12" t="s">
        <v>25</v>
      </c>
      <c r="G12" s="3">
        <v>231000</v>
      </c>
      <c r="H12" s="3">
        <v>4</v>
      </c>
      <c r="I12" s="4">
        <v>924000</v>
      </c>
      <c r="J12" t="s">
        <v>36</v>
      </c>
      <c r="K12" s="3">
        <v>76900</v>
      </c>
      <c r="L12" s="3">
        <v>4</v>
      </c>
      <c r="M12" s="4">
        <v>307600</v>
      </c>
      <c r="N12" t="s">
        <v>32</v>
      </c>
    </row>
    <row r="13" spans="1:14" ht="45" x14ac:dyDescent="0.25">
      <c r="A13" t="s">
        <v>37</v>
      </c>
      <c r="B13" t="s">
        <v>22</v>
      </c>
      <c r="C13" t="s">
        <v>38</v>
      </c>
      <c r="D13" s="5" t="s">
        <v>39</v>
      </c>
      <c r="E13">
        <v>18</v>
      </c>
      <c r="F13" t="s">
        <v>25</v>
      </c>
      <c r="G13" s="3"/>
      <c r="H13" s="3"/>
      <c r="I13" s="4"/>
      <c r="K13" s="3">
        <v>99000</v>
      </c>
      <c r="L13" s="3">
        <v>18</v>
      </c>
      <c r="M13" s="4">
        <v>1782000</v>
      </c>
      <c r="N13" t="s">
        <v>40</v>
      </c>
    </row>
    <row r="14" spans="1:14" ht="30" x14ac:dyDescent="0.25">
      <c r="A14" t="s">
        <v>41</v>
      </c>
      <c r="B14" t="s">
        <v>22</v>
      </c>
      <c r="C14" t="s">
        <v>42</v>
      </c>
      <c r="D14" s="5" t="s">
        <v>43</v>
      </c>
      <c r="E14">
        <v>18</v>
      </c>
      <c r="F14" t="s">
        <v>25</v>
      </c>
      <c r="G14" s="3"/>
      <c r="H14" s="3"/>
      <c r="I14" s="4"/>
      <c r="K14" s="3"/>
      <c r="L14" s="3"/>
      <c r="M14" s="4"/>
    </row>
    <row r="15" spans="1:14" x14ac:dyDescent="0.25">
      <c r="A15" t="s">
        <v>44</v>
      </c>
      <c r="B15" t="s">
        <v>22</v>
      </c>
      <c r="C15" t="s">
        <v>45</v>
      </c>
      <c r="D15" t="s">
        <v>46</v>
      </c>
      <c r="E15">
        <v>25</v>
      </c>
      <c r="F15" t="s">
        <v>25</v>
      </c>
      <c r="G15" s="3">
        <v>25840</v>
      </c>
      <c r="H15" s="3">
        <v>12</v>
      </c>
      <c r="I15" s="4">
        <v>310080</v>
      </c>
      <c r="J15" t="s">
        <v>47</v>
      </c>
      <c r="K15" s="3"/>
      <c r="L15" s="3"/>
      <c r="M15" s="4"/>
    </row>
    <row r="16" spans="1:14" x14ac:dyDescent="0.25">
      <c r="A16" t="s">
        <v>48</v>
      </c>
      <c r="B16" t="s">
        <v>22</v>
      </c>
      <c r="C16" t="s">
        <v>49</v>
      </c>
      <c r="D16" t="s">
        <v>50</v>
      </c>
      <c r="E16">
        <v>29</v>
      </c>
      <c r="F16" t="s">
        <v>25</v>
      </c>
      <c r="G16" s="3">
        <v>18900</v>
      </c>
      <c r="H16" s="3">
        <v>12</v>
      </c>
      <c r="I16" s="4">
        <v>226800</v>
      </c>
      <c r="J16" t="s">
        <v>51</v>
      </c>
      <c r="K16" s="3"/>
      <c r="L16" s="3"/>
      <c r="M16" s="4"/>
    </row>
    <row r="17" spans="1:13" x14ac:dyDescent="0.25">
      <c r="A17" t="s">
        <v>52</v>
      </c>
      <c r="B17" t="s">
        <v>22</v>
      </c>
      <c r="C17" t="s">
        <v>53</v>
      </c>
      <c r="D17" t="s">
        <v>54</v>
      </c>
      <c r="E17">
        <v>2</v>
      </c>
      <c r="F17" t="s">
        <v>25</v>
      </c>
      <c r="G17" s="3">
        <v>80750</v>
      </c>
      <c r="H17" s="3">
        <v>2</v>
      </c>
      <c r="I17" s="4">
        <v>161500</v>
      </c>
      <c r="J17" t="s">
        <v>55</v>
      </c>
      <c r="K17" s="3"/>
      <c r="L17" s="3"/>
      <c r="M17" s="4"/>
    </row>
    <row r="18" spans="1:13" x14ac:dyDescent="0.25">
      <c r="A18" t="s">
        <v>56</v>
      </c>
      <c r="B18" t="s">
        <v>22</v>
      </c>
      <c r="C18" t="s">
        <v>57</v>
      </c>
      <c r="D18" t="s">
        <v>58</v>
      </c>
      <c r="E18">
        <v>2</v>
      </c>
      <c r="F18" t="s">
        <v>25</v>
      </c>
      <c r="G18" s="3">
        <v>66700</v>
      </c>
      <c r="H18" s="3">
        <v>2</v>
      </c>
      <c r="I18" s="4">
        <v>133400</v>
      </c>
      <c r="J18" t="s">
        <v>55</v>
      </c>
      <c r="K18" s="3"/>
      <c r="L18" s="3"/>
      <c r="M18" s="4"/>
    </row>
    <row r="19" spans="1:13" x14ac:dyDescent="0.25">
      <c r="A19" t="s">
        <v>59</v>
      </c>
      <c r="B19" t="s">
        <v>22</v>
      </c>
      <c r="C19" t="s">
        <v>60</v>
      </c>
      <c r="D19" t="s">
        <v>61</v>
      </c>
      <c r="E19">
        <v>30</v>
      </c>
      <c r="F19" t="s">
        <v>25</v>
      </c>
      <c r="G19" s="3">
        <v>47500</v>
      </c>
      <c r="H19" s="3">
        <v>10</v>
      </c>
      <c r="I19" s="4">
        <v>475000</v>
      </c>
      <c r="J19" t="s">
        <v>62</v>
      </c>
      <c r="K19" s="3"/>
      <c r="L19" s="3"/>
      <c r="M19" s="4"/>
    </row>
    <row r="20" spans="1:13" x14ac:dyDescent="0.25">
      <c r="A20" t="s">
        <v>63</v>
      </c>
      <c r="B20" t="s">
        <v>22</v>
      </c>
      <c r="C20" t="s">
        <v>64</v>
      </c>
      <c r="D20" t="s">
        <v>65</v>
      </c>
      <c r="E20">
        <v>3</v>
      </c>
      <c r="F20" t="s">
        <v>25</v>
      </c>
      <c r="G20" s="3">
        <v>65200</v>
      </c>
      <c r="H20" s="3">
        <v>3</v>
      </c>
      <c r="I20" s="4">
        <v>195600</v>
      </c>
      <c r="J20" t="s">
        <v>66</v>
      </c>
      <c r="K20" s="3"/>
      <c r="L20" s="3"/>
      <c r="M20" s="4"/>
    </row>
    <row r="21" spans="1:13" x14ac:dyDescent="0.25">
      <c r="A21" t="s">
        <v>67</v>
      </c>
      <c r="B21" t="s">
        <v>22</v>
      </c>
      <c r="C21" t="s">
        <v>68</v>
      </c>
      <c r="D21" t="s">
        <v>69</v>
      </c>
      <c r="E21">
        <v>3</v>
      </c>
      <c r="F21" t="s">
        <v>25</v>
      </c>
      <c r="G21" s="3">
        <v>260000</v>
      </c>
      <c r="H21" s="3">
        <v>3</v>
      </c>
      <c r="I21" s="4">
        <v>780000</v>
      </c>
      <c r="J21" t="s">
        <v>70</v>
      </c>
      <c r="K21" s="3"/>
      <c r="L21" s="3"/>
      <c r="M21" s="4"/>
    </row>
    <row r="22" spans="1:13" x14ac:dyDescent="0.25">
      <c r="C22" t="s">
        <v>71</v>
      </c>
      <c r="G22" s="3"/>
      <c r="H22" s="3"/>
      <c r="I22" s="4">
        <f>SUBTOTAL(109,Table2[Total por renglón])</f>
        <v>9858790</v>
      </c>
      <c r="K22" s="3"/>
      <c r="L22" s="3"/>
      <c r="M22" s="4">
        <f>SUBTOTAL(109,Table3[Total por renglón])</f>
        <v>5841850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compras</dc:creator>
  <cp:lastModifiedBy>mhpdp</cp:lastModifiedBy>
  <dcterms:created xsi:type="dcterms:W3CDTF">2022-12-13T14:06:43Z</dcterms:created>
  <dcterms:modified xsi:type="dcterms:W3CDTF">2022-12-13T14:07:43Z</dcterms:modified>
</cp:coreProperties>
</file>