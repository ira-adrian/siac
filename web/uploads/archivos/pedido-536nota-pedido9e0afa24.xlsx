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DSD\Chapa Zinc\"/>
    </mc:Choice>
  </mc:AlternateContent>
  <xr:revisionPtr revIDLastSave="0" documentId="13_ncr:1_{45FD8C85-F3F8-476A-9312-47E3EB1243C4}" xr6:coauthVersionLast="46" xr6:coauthVersionMax="46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NotaPedido'!$A$1:$K$18</definedName>
    <definedName name="_xlnm.Print_Area" localSheetId="2">'Autor Gastar'!$A$1:$Q$26</definedName>
  </definedNames>
  <calcPr calcId="181029"/>
</workbook>
</file>

<file path=xl/calcChain.xml><?xml version="1.0" encoding="utf-8"?>
<calcChain xmlns="http://schemas.openxmlformats.org/spreadsheetml/2006/main">
  <c r="M12" i="2" l="1"/>
  <c r="K10" i="1"/>
  <c r="K12" i="2"/>
  <c r="J12" i="2"/>
  <c r="I10" i="1"/>
  <c r="Q22" i="3" l="1"/>
  <c r="D7" i="2" l="1"/>
  <c r="D3" i="2"/>
  <c r="G4" i="3" s="1"/>
  <c r="D4" i="2"/>
  <c r="G5" i="3" s="1"/>
  <c r="A10" i="3" l="1"/>
  <c r="D1" i="3"/>
  <c r="I12" i="2"/>
  <c r="C12" i="2"/>
  <c r="B12" i="2"/>
  <c r="J18" i="2" l="1"/>
</calcChain>
</file>

<file path=xl/sharedStrings.xml><?xml version="1.0" encoding="utf-8"?>
<sst xmlns="http://schemas.openxmlformats.org/spreadsheetml/2006/main" count="86" uniqueCount="78">
  <si>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</si>
  <si>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</si>
  <si>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</si>
  <si>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</si>
  <si>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</si>
  <si>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</si>
  <si>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</si>
  <si>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</si>
  <si>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</si>
  <si>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</si>
  <si>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</si>
  <si>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</si>
  <si>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</si>
  <si>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</si>
  <si>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</si>
  <si>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</si>
  <si>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</si>
  <si>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</si>
  <si>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</si>
  <si>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</si>
  <si>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</si>
  <si>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</si>
  <si>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</si>
  <si>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</si>
  <si>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</si>
  <si>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</si>
  <si>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</si>
  <si>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</si>
  <si>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</si>
  <si>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</si>
  <si>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</si>
  <si>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</si>
  <si>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</si>
  <si>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</si>
  <si>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</si>
  <si>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</si>
  <si>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</si>
  <si>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</si>
  <si>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</si>
  <si>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</si>
  <si>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</si>
  <si>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</si>
  <si>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</si>
  <si>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</si>
  <si>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</si>
  <si>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</si>
  <si>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</si>
  <si>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</si>
  <si>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</si>
  <si>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</si>
  <si>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</si>
  <si>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</si>
  <si>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</si>
  <si>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</si>
  <si>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</si>
  <si>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</si>
  <si>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</si>
  <si>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</si>
  <si>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25- Direccion Provincial de Gestion Administrativa y RRHH</t>
  </si>
  <si>
    <t>Media</t>
  </si>
  <si>
    <t>NO</t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</si>
  <si>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Dentro de los 05 (cinco) dias de Notificada la Orden de Compra</t>
    </r>
  </si>
  <si>
    <t>MATERIALES DE CONSTRUCCION</t>
  </si>
  <si>
    <t>2.7.2</t>
  </si>
  <si>
    <t>UNIDADES</t>
  </si>
  <si>
    <t>2.7.2-2722.25</t>
  </si>
  <si>
    <t>CHAPAS DE ZINC; LARGO: 3 M, ANCHO: 1,05 M, ESPESOR: 0,40 mm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</si>
  <si>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el DEPOSITO AREA EL PANTANILLO- San Fernando del Valle de Catamarca (CP 4700) Ministerio de Desarrollo Social y Deporte. </t>
    </r>
  </si>
  <si>
    <t>PRODUCTOS NO FERROSOS</t>
  </si>
  <si>
    <t>Plazo de Mantinimiento 60 dias</t>
  </si>
  <si>
    <t>16- Direccion Provincial de Accion Social Directa</t>
  </si>
  <si>
    <t>02- Programa Vivir Mejor (PRO.VI.ME)</t>
  </si>
  <si>
    <t>Adquisición de chapas de zinc para asistir a personas de escaso recursos- ProViMe- Ministerio de Desarrollo Social y Deporte.</t>
  </si>
  <si>
    <t>Costo total estimado:  TRES MILLONES NOVECIENTOS NOVENTA Y SEIS MIL CON 00/100.-</t>
  </si>
  <si>
    <t>TOTAL DE PESOS: TRES MILLONES NOVECIENTOS NOVENTA Y SEIS MIL CON 00/100.-</t>
  </si>
  <si>
    <t>16-Direccion Provincial de Accion Social Directa</t>
  </si>
  <si>
    <t>01-Programa Vivir Mejor (PRO.VI.ME)</t>
  </si>
  <si>
    <t>728/21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</si>
</sst>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 style="thin">
        <color indexed="64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indexed="64"/>
      </top>
      <bottom style="thin">
        <color rgb="FF3D3D3D"/>
      </bottom>
      <diagonal/>
    </border>
    <border>
      <left style="thin">
        <color rgb="FF3D3D3D"/>
      </left>
      <right/>
      <top style="thin">
        <color indexed="64"/>
      </top>
      <bottom style="thin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3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4" xfId="0" applyBorder="1"/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7" xfId="0" applyFont="1" applyBorder="1" applyAlignment="1">
      <alignment horizontal="left" vertical="center"/>
    </xf>
    <xf numFmtId="0" fontId="14" fillId="0" borderId="38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6" fontId="0" fillId="0" borderId="47" xfId="3" applyNumberFormat="1" applyFont="1" applyBorder="1" applyAlignment="1" applyProtection="1">
      <alignment horizontal="center" vertical="center"/>
    </xf>
    <xf numFmtId="0" fontId="16" fillId="0" borderId="0" xfId="0" applyFont="1"/>
    <xf numFmtId="0" fontId="0" fillId="0" borderId="64" xfId="0" applyFont="1" applyFill="1" applyBorder="1" applyAlignment="1">
      <alignment horizontal="center" vertical="center"/>
    </xf>
    <xf numFmtId="0" fontId="0" fillId="0" borderId="65" xfId="0" applyFont="1" applyFill="1" applyBorder="1" applyAlignment="1">
      <alignment horizontal="center" vertical="center"/>
    </xf>
    <xf numFmtId="0" fontId="0" fillId="0" borderId="6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22" fillId="0" borderId="5" xfId="0" applyFont="1" applyFill="1" applyBorder="1" applyAlignment="1">
      <alignment horizontal="center" vertical="center" wrapText="1"/>
    </xf>
    <xf numFmtId="0" fontId="0" fillId="0" borderId="5" xfId="0" applyFill="1" applyBorder="1"/>
    <xf numFmtId="0" fontId="19" fillId="0" borderId="5" xfId="0" applyFont="1" applyFill="1" applyBorder="1" applyAlignment="1">
      <alignment horizontal="center" wrapText="1"/>
    </xf>
    <xf numFmtId="166" fontId="21" fillId="0" borderId="5" xfId="1" applyNumberFormat="1" applyFont="1" applyFill="1" applyBorder="1" applyAlignment="1" applyProtection="1">
      <alignment horizontal="right" vertical="center" wrapText="1"/>
    </xf>
    <xf numFmtId="0" fontId="0" fillId="0" borderId="53" xfId="0" applyFill="1" applyBorder="1"/>
    <xf numFmtId="0" fontId="22" fillId="0" borderId="54" xfId="0" applyFont="1" applyFill="1" applyBorder="1" applyAlignment="1">
      <alignment horizontal="center" vertical="center" wrapText="1"/>
    </xf>
    <xf numFmtId="166" fontId="21" fillId="0" borderId="6" xfId="1" applyNumberFormat="1" applyFont="1" applyFill="1" applyBorder="1" applyAlignment="1" applyProtection="1">
      <alignment horizontal="right" vertical="center" wrapText="1"/>
    </xf>
    <xf numFmtId="0" fontId="19" fillId="0" borderId="52" xfId="0" applyFont="1" applyFill="1" applyBorder="1" applyAlignment="1">
      <alignment horizontal="center" wrapText="1"/>
    </xf>
    <xf numFmtId="0" fontId="0" fillId="0" borderId="59" xfId="0" applyFill="1" applyBorder="1"/>
    <xf numFmtId="0" fontId="0" fillId="0" borderId="8" xfId="0" applyFill="1" applyBorder="1"/>
    <xf numFmtId="0" fontId="22" fillId="0" borderId="55" xfId="0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wrapText="1"/>
    </xf>
    <xf numFmtId="166" fontId="21" fillId="0" borderId="62" xfId="1" applyNumberFormat="1" applyFont="1" applyFill="1" applyBorder="1" applyAlignment="1" applyProtection="1">
      <alignment horizontal="right" vertical="center" wrapText="1"/>
    </xf>
    <xf numFmtId="166" fontId="21" fillId="0" borderId="63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9" fillId="0" borderId="27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0" fillId="0" borderId="9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20" fillId="0" borderId="68" xfId="0" applyFont="1" applyFill="1" applyBorder="1" applyAlignment="1">
      <alignment horizontal="center" vertical="center" wrapText="1"/>
    </xf>
    <xf numFmtId="0" fontId="20" fillId="0" borderId="56" xfId="0" applyFont="1" applyFill="1" applyBorder="1" applyAlignment="1">
      <alignment horizontal="center" vertical="center" wrapText="1"/>
    </xf>
    <xf numFmtId="0" fontId="20" fillId="0" borderId="57" xfId="0" applyFont="1" applyFill="1" applyBorder="1" applyAlignment="1">
      <alignment horizontal="center" vertical="center" wrapText="1"/>
    </xf>
    <xf numFmtId="0" fontId="20" fillId="0" borderId="58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left"/>
    </xf>
    <xf numFmtId="0" fontId="16" fillId="0" borderId="13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16" fillId="0" borderId="14" xfId="0" applyFont="1" applyFill="1" applyBorder="1" applyAlignment="1">
      <alignment horizontal="left" indent="3"/>
    </xf>
    <xf numFmtId="0" fontId="16" fillId="0" borderId="15" xfId="0" applyFont="1" applyFill="1" applyBorder="1"/>
    <xf numFmtId="0" fontId="16" fillId="0" borderId="16" xfId="0" applyFont="1" applyFill="1" applyBorder="1"/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left"/>
    </xf>
    <xf numFmtId="0" fontId="16" fillId="0" borderId="13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 vertical="center" wrapText="1"/>
    </xf>
    <xf numFmtId="0" fontId="16" fillId="0" borderId="13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left" vertical="center" wrapText="1"/>
    </xf>
    <xf numFmtId="0" fontId="0" fillId="0" borderId="28" xfId="0" applyFont="1" applyBorder="1" applyAlignment="1">
      <alignment horizontal="center"/>
    </xf>
    <xf numFmtId="3" fontId="10" fillId="0" borderId="29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12" fillId="0" borderId="31" xfId="0" applyFont="1" applyBorder="1"/>
    <xf numFmtId="0" fontId="12" fillId="0" borderId="32" xfId="0" applyFont="1" applyBorder="1" applyAlignment="1">
      <alignment horizontal="left" vertical="center" wrapText="1" indent="1"/>
    </xf>
    <xf numFmtId="0" fontId="14" fillId="0" borderId="3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0" fillId="0" borderId="42" xfId="0" applyFont="1" applyBorder="1" applyAlignment="1">
      <alignment horizontal="left" vertical="center"/>
    </xf>
    <xf numFmtId="0" fontId="10" fillId="0" borderId="28" xfId="0" applyFont="1" applyBorder="1" applyAlignment="1">
      <alignment vertical="center" wrapText="1"/>
    </xf>
    <xf numFmtId="0" fontId="10" fillId="0" borderId="49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0" fillId="0" borderId="42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30" xfId="0" applyBorder="1"/>
    <xf numFmtId="0" fontId="0" fillId="3" borderId="65" xfId="0" applyFont="1" applyFill="1" applyBorder="1" applyAlignment="1">
      <alignment horizontal="center" vertical="center"/>
    </xf>
    <xf numFmtId="0" fontId="26" fillId="3" borderId="65" xfId="0" applyFont="1" applyFill="1" applyBorder="1" applyAlignment="1">
      <alignment horizontal="left" vertical="center" wrapText="1"/>
    </xf>
    <xf numFmtId="166" fontId="0" fillId="3" borderId="43" xfId="3" applyNumberFormat="1" applyFont="1" applyFill="1" applyBorder="1" applyAlignment="1" applyProtection="1">
      <alignment horizontal="center" vertical="center"/>
    </xf>
    <xf numFmtId="0" fontId="10" fillId="3" borderId="48" xfId="0" applyFont="1" applyFill="1" applyBorder="1" applyAlignment="1">
      <alignment horizontal="left" vertical="center" wrapText="1"/>
    </xf>
    <xf numFmtId="166" fontId="14" fillId="3" borderId="48" xfId="0" applyNumberFormat="1" applyFont="1" applyFill="1" applyBorder="1" applyAlignment="1">
      <alignment horizontal="center" vertical="center"/>
    </xf>
    <xf numFmtId="0" fontId="12" fillId="3" borderId="48" xfId="0" applyFont="1" applyFill="1" applyBorder="1" applyAlignment="1">
      <alignment horizontal="left" vertical="center" wrapText="1" indent="1"/>
    </xf>
    <xf numFmtId="0" fontId="6" fillId="3" borderId="24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left" vertical="center" wrapText="1" indent="1"/>
    </xf>
    <xf numFmtId="167" fontId="25" fillId="3" borderId="21" xfId="0" applyNumberFormat="1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0" fillId="3" borderId="67" xfId="0" applyFill="1" applyBorder="1"/>
    <xf numFmtId="0" fontId="0" fillId="3" borderId="5" xfId="0" applyFill="1" applyBorder="1" applyAlignment="1">
      <alignment horizontal="center"/>
    </xf>
    <xf numFmtId="0" fontId="22" fillId="3" borderId="5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166" fontId="21" fillId="3" borderId="60" xfId="1" applyNumberFormat="1" applyFont="1" applyFill="1" applyBorder="1" applyAlignment="1" applyProtection="1">
      <alignment horizontal="right" vertical="center" wrapText="1"/>
    </xf>
    <xf numFmtId="166" fontId="21" fillId="3" borderId="61" xfId="1" applyNumberFormat="1" applyFont="1" applyFill="1" applyBorder="1" applyAlignment="1" applyProtection="1">
      <alignment horizontal="right" vertical="center" wrapText="1"/>
    </xf>
    <xf numFmtId="0" fontId="4" fillId="3" borderId="26" xfId="0" applyFont="1" applyFill="1" applyBorder="1" applyAlignment="1">
      <alignment horizontal="left" vertical="center"/>
    </xf>
    <xf numFmtId="0" fontId="4" fillId="3" borderId="26" xfId="0" applyFont="1" applyFill="1" applyBorder="1" applyAlignment="1">
      <alignment horizontal="left" vertical="center" wrapText="1"/>
    </xf>
    <xf numFmtId="0" fontId="0" fillId="3" borderId="0" xfId="0" applyFill="1"/>
    <xf numFmtId="0" fontId="2" fillId="3" borderId="0" xfId="0" applyFont="1" applyFill="1" applyBorder="1" applyAlignment="1">
      <alignment vertical="center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38100</xdr:rowOff>
    </xdr:from>
    <xdr:to>
      <xdr:col>9</xdr:col>
      <xdr:colOff>350309</xdr:colOff>
      <xdr:row>84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CD5FFD-734A-4717-9854-35788106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9525"/>
          <a:ext cx="13885334" cy="781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zoomScaleNormal="100" workbookViewId="0">
      <selection activeCell="J10" sqref="J10"/>
    </sheetView>
  </sheetViews>
  <sheetFormatPr baseColWidth="10" defaultColWidth="11" defaultRowHeight="12.75" x14ac:dyDescent="0.2"/>
  <cols>
    <col min="1" max="1" width="4.5703125" style="31" customWidth="1"/>
    <col min="2" max="2" width="21.7109375" style="31" customWidth="1"/>
    <col min="3" max="3" width="32.42578125" style="31" customWidth="1"/>
    <col min="4" max="4" width="8.42578125" style="31" customWidth="1"/>
    <col min="5" max="5" width="88.28515625" style="31" bestFit="1" customWidth="1"/>
    <col min="6" max="6" width="11" style="31"/>
    <col min="7" max="8" width="10.42578125" style="31" bestFit="1" customWidth="1"/>
    <col min="9" max="9" width="15.7109375" style="31" bestFit="1" customWidth="1"/>
    <col min="10" max="10" width="18.28515625" style="31" customWidth="1"/>
    <col min="11" max="11" width="11.7109375" style="31" bestFit="1" customWidth="1"/>
    <col min="12" max="16384" width="11" style="31"/>
  </cols>
  <sheetData>
    <row r="1" spans="1:11" x14ac:dyDescent="0.2">
      <c r="A1" s="63"/>
      <c r="B1" s="63"/>
      <c r="C1" s="63"/>
      <c r="D1" s="63"/>
      <c r="E1" s="63"/>
      <c r="F1" s="63"/>
      <c r="G1" s="63"/>
      <c r="H1" s="63"/>
      <c r="I1" s="63"/>
    </row>
    <row r="2" spans="1:11" ht="27" x14ac:dyDescent="0.35">
      <c r="A2" s="63"/>
      <c r="B2" s="92" t="s">
        <v>0</v>
      </c>
      <c r="C2" s="92"/>
      <c r="D2" s="92"/>
      <c r="E2" s="92"/>
      <c r="F2" s="92"/>
      <c r="G2" s="92"/>
      <c r="H2" s="92"/>
      <c r="I2" s="63"/>
    </row>
    <row r="3" spans="1:11" x14ac:dyDescent="0.2">
      <c r="A3" s="63"/>
      <c r="B3" s="63"/>
      <c r="C3" s="63"/>
      <c r="D3" s="63"/>
      <c r="E3" s="63"/>
      <c r="F3" s="63"/>
      <c r="G3" s="63"/>
      <c r="H3" s="63"/>
      <c r="I3" s="63"/>
    </row>
    <row r="4" spans="1:11" ht="18" customHeight="1" x14ac:dyDescent="0.25">
      <c r="A4" s="93" t="s">
        <v>1</v>
      </c>
      <c r="B4" s="93"/>
      <c r="C4" s="94" t="s">
        <v>57</v>
      </c>
      <c r="D4" s="94"/>
      <c r="E4" s="94"/>
      <c r="F4" s="64"/>
      <c r="G4" s="65"/>
      <c r="H4" s="64"/>
      <c r="I4" s="63"/>
    </row>
    <row r="5" spans="1:11" ht="18" customHeight="1" x14ac:dyDescent="0.25">
      <c r="A5" s="93" t="s">
        <v>2</v>
      </c>
      <c r="B5" s="93"/>
      <c r="C5" s="94" t="s">
        <v>58</v>
      </c>
      <c r="D5" s="94"/>
      <c r="E5" s="94"/>
      <c r="F5" s="64"/>
      <c r="G5" s="65"/>
      <c r="H5" s="64"/>
      <c r="I5" s="63"/>
    </row>
    <row r="6" spans="1:11" ht="16.5" customHeight="1" x14ac:dyDescent="0.25">
      <c r="A6" s="93" t="s">
        <v>3</v>
      </c>
      <c r="B6" s="93"/>
      <c r="C6" s="66">
        <v>2021</v>
      </c>
      <c r="D6" s="67"/>
      <c r="E6" s="67"/>
      <c r="F6" s="64"/>
      <c r="G6" s="65"/>
      <c r="H6" s="64"/>
      <c r="I6" s="63"/>
    </row>
    <row r="7" spans="1:11" ht="16.5" customHeight="1" x14ac:dyDescent="0.25">
      <c r="A7" s="93" t="s">
        <v>4</v>
      </c>
      <c r="B7" s="93"/>
      <c r="C7" s="66">
        <v>3</v>
      </c>
      <c r="D7" s="67"/>
      <c r="E7" s="67"/>
      <c r="F7" s="64"/>
      <c r="G7" s="65"/>
      <c r="H7" s="64"/>
      <c r="I7" s="63"/>
    </row>
    <row r="8" spans="1:11" ht="13.5" thickBot="1" x14ac:dyDescent="0.25">
      <c r="A8" s="63"/>
      <c r="B8" s="64"/>
      <c r="C8" s="65"/>
      <c r="D8" s="64"/>
      <c r="E8" s="64"/>
      <c r="F8" s="64"/>
      <c r="G8" s="65"/>
      <c r="H8" s="64"/>
      <c r="I8" s="63"/>
    </row>
    <row r="9" spans="1:11" ht="39" thickBot="1" x14ac:dyDescent="0.25">
      <c r="A9" s="68" t="s">
        <v>5</v>
      </c>
      <c r="B9" s="69" t="s">
        <v>6</v>
      </c>
      <c r="C9" s="69" t="s">
        <v>7</v>
      </c>
      <c r="D9" s="70" t="s">
        <v>8</v>
      </c>
      <c r="E9" s="69" t="s">
        <v>9</v>
      </c>
      <c r="F9" s="71" t="s">
        <v>10</v>
      </c>
      <c r="G9" s="72" t="s">
        <v>11</v>
      </c>
      <c r="H9" s="72" t="s">
        <v>12</v>
      </c>
      <c r="I9" s="73" t="s">
        <v>13</v>
      </c>
    </row>
    <row r="10" spans="1:11" x14ac:dyDescent="0.2">
      <c r="A10" s="74">
        <v>1</v>
      </c>
      <c r="B10" s="143" t="s">
        <v>65</v>
      </c>
      <c r="C10" s="143" t="s">
        <v>62</v>
      </c>
      <c r="D10" s="144" t="s">
        <v>63</v>
      </c>
      <c r="E10" s="143" t="s">
        <v>66</v>
      </c>
      <c r="F10" s="145" t="s">
        <v>64</v>
      </c>
      <c r="G10" s="146">
        <v>720</v>
      </c>
      <c r="H10" s="147">
        <v>5550</v>
      </c>
      <c r="I10" s="148">
        <f>+G10*H10</f>
        <v>3996000</v>
      </c>
      <c r="J10" t="s">
        <v>66</v>
      </c>
      <c r="K10" s="31" t="b">
        <f>J10=E10</f>
        <v>1</v>
      </c>
    </row>
    <row r="11" spans="1:11" x14ac:dyDescent="0.2">
      <c r="A11" s="75"/>
      <c r="B11" s="42"/>
      <c r="C11" s="42"/>
      <c r="D11" s="40"/>
      <c r="E11" s="42"/>
      <c r="F11" s="41"/>
      <c r="G11" s="43"/>
      <c r="H11" s="44"/>
      <c r="I11" s="44"/>
    </row>
    <row r="12" spans="1:11" x14ac:dyDescent="0.2">
      <c r="A12" s="75"/>
      <c r="B12" s="42"/>
      <c r="C12" s="42"/>
      <c r="D12" s="40"/>
      <c r="E12" s="42"/>
      <c r="F12" s="41"/>
      <c r="G12" s="43"/>
      <c r="H12" s="44"/>
      <c r="I12" s="44"/>
    </row>
    <row r="13" spans="1:11" x14ac:dyDescent="0.2">
      <c r="A13" s="75"/>
      <c r="B13" s="45"/>
      <c r="C13" s="42"/>
      <c r="D13" s="46"/>
      <c r="E13" s="42"/>
      <c r="F13" s="41"/>
      <c r="G13" s="43"/>
      <c r="H13" s="44"/>
      <c r="I13" s="47"/>
    </row>
    <row r="14" spans="1:11" x14ac:dyDescent="0.2">
      <c r="A14" s="75"/>
      <c r="B14" s="45"/>
      <c r="C14" s="42"/>
      <c r="D14" s="46"/>
      <c r="E14" s="42"/>
      <c r="F14" s="41"/>
      <c r="G14" s="48"/>
      <c r="H14" s="44"/>
      <c r="I14" s="47"/>
    </row>
    <row r="15" spans="1:11" ht="13.5" thickBot="1" x14ac:dyDescent="0.25">
      <c r="A15" s="76"/>
      <c r="B15" s="49"/>
      <c r="C15" s="50"/>
      <c r="D15" s="51"/>
      <c r="E15" s="50"/>
      <c r="F15" s="52"/>
      <c r="G15" s="53"/>
      <c r="H15" s="54"/>
      <c r="I15" s="55"/>
    </row>
    <row r="16" spans="1:11" x14ac:dyDescent="0.2">
      <c r="A16" s="63"/>
      <c r="B16" s="63"/>
      <c r="C16" s="63"/>
      <c r="D16" s="63"/>
      <c r="E16" s="63"/>
      <c r="F16" s="63"/>
      <c r="G16" s="63"/>
      <c r="H16" s="63"/>
      <c r="I16" s="63"/>
    </row>
    <row r="17" spans="1:9" ht="13.5" thickBot="1" x14ac:dyDescent="0.25">
      <c r="A17" s="63"/>
      <c r="B17" s="63"/>
      <c r="C17" s="63"/>
      <c r="D17" s="63"/>
      <c r="E17" s="63"/>
      <c r="F17" s="63"/>
    </row>
    <row r="18" spans="1:9" x14ac:dyDescent="0.2">
      <c r="A18" s="63"/>
      <c r="B18" s="77" t="s">
        <v>14</v>
      </c>
      <c r="C18" s="78"/>
      <c r="D18" s="78"/>
      <c r="E18" s="79"/>
      <c r="F18" s="63"/>
      <c r="G18" s="63"/>
      <c r="H18" s="63"/>
      <c r="I18" s="63"/>
    </row>
    <row r="19" spans="1:9" ht="5.25" customHeight="1" x14ac:dyDescent="0.2">
      <c r="A19" s="63"/>
      <c r="B19" s="80"/>
      <c r="C19" s="81"/>
      <c r="D19" s="81"/>
      <c r="E19" s="82"/>
      <c r="F19" s="63"/>
      <c r="G19" s="63"/>
      <c r="H19" s="63"/>
      <c r="I19" s="63"/>
    </row>
    <row r="20" spans="1:9" x14ac:dyDescent="0.2">
      <c r="A20" s="63"/>
      <c r="B20" s="83" t="s">
        <v>15</v>
      </c>
      <c r="C20" s="81"/>
      <c r="D20" s="81"/>
      <c r="E20" s="82"/>
      <c r="F20" s="63"/>
      <c r="G20" s="63"/>
      <c r="H20" s="63"/>
      <c r="I20" s="63"/>
    </row>
    <row r="21" spans="1:9" ht="41.25" customHeight="1" x14ac:dyDescent="0.2">
      <c r="A21" s="63"/>
      <c r="B21" s="83"/>
      <c r="C21" s="95"/>
      <c r="D21" s="95"/>
      <c r="E21" s="95"/>
      <c r="F21" s="63"/>
      <c r="G21" s="63"/>
      <c r="H21" s="63"/>
      <c r="I21" s="63"/>
    </row>
    <row r="22" spans="1:9" x14ac:dyDescent="0.2">
      <c r="A22" s="63"/>
      <c r="B22" s="83" t="s">
        <v>16</v>
      </c>
      <c r="C22" s="81"/>
      <c r="D22" s="81"/>
      <c r="E22" s="82"/>
      <c r="F22" s="63"/>
      <c r="G22" s="63"/>
      <c r="H22" s="63"/>
      <c r="I22" s="63"/>
    </row>
    <row r="23" spans="1:9" x14ac:dyDescent="0.2">
      <c r="A23" s="63"/>
      <c r="B23" s="84"/>
      <c r="C23" s="97" t="s">
        <v>61</v>
      </c>
      <c r="D23" s="97"/>
      <c r="E23" s="98"/>
      <c r="F23" s="63"/>
      <c r="G23" s="63"/>
      <c r="H23" s="63"/>
      <c r="I23" s="63"/>
    </row>
    <row r="24" spans="1:9" ht="32.25" customHeight="1" x14ac:dyDescent="0.2">
      <c r="A24" s="63"/>
      <c r="B24" s="84"/>
      <c r="C24" s="99" t="s">
        <v>67</v>
      </c>
      <c r="D24" s="99"/>
      <c r="E24" s="100"/>
      <c r="F24" s="63"/>
      <c r="G24" s="63"/>
      <c r="H24" s="63"/>
      <c r="I24" s="63"/>
    </row>
    <row r="25" spans="1:9" x14ac:dyDescent="0.2">
      <c r="A25" s="63"/>
      <c r="B25" s="84"/>
      <c r="C25" s="85"/>
      <c r="D25" s="85"/>
      <c r="E25" s="86"/>
      <c r="F25" s="63"/>
      <c r="G25" s="63"/>
      <c r="H25" s="63"/>
      <c r="I25" s="63"/>
    </row>
    <row r="26" spans="1:9" x14ac:dyDescent="0.2">
      <c r="A26" s="63"/>
      <c r="B26" s="83" t="s">
        <v>17</v>
      </c>
      <c r="C26" s="81"/>
      <c r="D26" s="81"/>
      <c r="E26" s="82"/>
      <c r="F26" s="63"/>
      <c r="G26" s="63"/>
      <c r="H26" s="63"/>
      <c r="I26" s="63"/>
    </row>
    <row r="27" spans="1:9" ht="26.25" customHeight="1" x14ac:dyDescent="0.2">
      <c r="A27" s="63"/>
      <c r="B27" s="84"/>
      <c r="C27" s="95" t="s">
        <v>59</v>
      </c>
      <c r="D27" s="95"/>
      <c r="E27" s="95"/>
      <c r="F27" s="63"/>
      <c r="G27" s="63"/>
      <c r="H27" s="63"/>
      <c r="I27" s="63"/>
    </row>
    <row r="28" spans="1:9" x14ac:dyDescent="0.2">
      <c r="A28" s="63"/>
      <c r="B28" s="83" t="s">
        <v>18</v>
      </c>
      <c r="C28" s="87"/>
      <c r="D28" s="87"/>
      <c r="E28" s="88"/>
      <c r="F28" s="63"/>
      <c r="G28" s="63"/>
      <c r="H28" s="63"/>
      <c r="I28" s="63"/>
    </row>
    <row r="29" spans="1:9" ht="26.25" customHeight="1" x14ac:dyDescent="0.2">
      <c r="A29" s="63"/>
      <c r="B29" s="84"/>
      <c r="C29" s="95" t="s">
        <v>69</v>
      </c>
      <c r="D29" s="95"/>
      <c r="E29" s="95"/>
      <c r="F29" s="63"/>
      <c r="G29" s="63"/>
      <c r="H29" s="63"/>
      <c r="I29" s="63"/>
    </row>
    <row r="30" spans="1:9" x14ac:dyDescent="0.2">
      <c r="A30" s="63"/>
      <c r="B30" s="83" t="s">
        <v>19</v>
      </c>
      <c r="C30" s="81"/>
      <c r="D30" s="81"/>
      <c r="E30" s="82"/>
      <c r="F30" s="63"/>
      <c r="G30" s="63"/>
      <c r="H30" s="63"/>
      <c r="I30" s="63"/>
    </row>
    <row r="31" spans="1:9" ht="23.25" customHeight="1" x14ac:dyDescent="0.2">
      <c r="A31" s="63"/>
      <c r="B31" s="83"/>
      <c r="C31" s="96"/>
      <c r="D31" s="96"/>
      <c r="E31" s="96"/>
      <c r="F31" s="63"/>
      <c r="G31" s="63"/>
      <c r="H31" s="63"/>
      <c r="I31" s="63"/>
    </row>
    <row r="32" spans="1:9" x14ac:dyDescent="0.2">
      <c r="A32" s="63"/>
      <c r="B32" s="89"/>
      <c r="C32" s="90"/>
      <c r="D32" s="90"/>
      <c r="E32" s="91"/>
      <c r="F32" s="63"/>
      <c r="G32" s="63"/>
      <c r="H32" s="63"/>
      <c r="I32" s="63"/>
    </row>
  </sheetData>
  <mergeCells count="13">
    <mergeCell ref="C27:E27"/>
    <mergeCell ref="C29:E29"/>
    <mergeCell ref="C31:E31"/>
    <mergeCell ref="A6:B6"/>
    <mergeCell ref="A7:B7"/>
    <mergeCell ref="C21:E21"/>
    <mergeCell ref="C23:E23"/>
    <mergeCell ref="C24:E24"/>
    <mergeCell ref="B2:H2"/>
    <mergeCell ref="A4:B4"/>
    <mergeCell ref="C4:E4"/>
    <mergeCell ref="A5:B5"/>
    <mergeCell ref="C5:E5"/>
  </mergeCells>
  <pageMargins left="0" right="0" top="0.74803149606299213" bottom="0" header="0.51181102362204722" footer="0.51181102362204722"/>
  <pageSetup paperSize="5" scale="85" firstPageNumber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8"/>
  <sheetViews>
    <sheetView zoomScale="110" zoomScaleNormal="110" workbookViewId="0">
      <selection activeCell="L12" activeCellId="1" sqref="B12:G12 L12:M1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2" width="8.140625" style="2" bestFit="1" customWidth="1"/>
    <col min="13" max="13" width="13.140625" style="2" bestFit="1" customWidth="1"/>
    <col min="14" max="14" width="5.85546875" style="2" customWidth="1"/>
    <col min="15" max="15" width="12.5703125" style="2" customWidth="1"/>
    <col min="16" max="1024" width="9.140625" style="2"/>
  </cols>
  <sheetData>
    <row r="1" spans="1:13" ht="18" customHeight="1" x14ac:dyDescent="0.2">
      <c r="A1" s="101" t="s">
        <v>20</v>
      </c>
      <c r="B1" s="101"/>
      <c r="C1" s="101"/>
      <c r="D1" s="101"/>
      <c r="E1" s="101"/>
      <c r="F1" s="101"/>
      <c r="G1" s="101"/>
      <c r="H1" s="101"/>
      <c r="I1" s="101"/>
      <c r="J1" s="56" t="s">
        <v>21</v>
      </c>
      <c r="K1" s="57" t="s">
        <v>77</v>
      </c>
    </row>
    <row r="2" spans="1:13" ht="18.75" customHeight="1" thickBot="1" x14ac:dyDescent="0.25">
      <c r="A2" s="58"/>
      <c r="B2" s="58"/>
      <c r="C2" s="58"/>
      <c r="D2" s="59"/>
      <c r="E2" s="59"/>
      <c r="F2" s="59"/>
      <c r="G2" s="59"/>
      <c r="H2" s="59"/>
      <c r="I2" s="59"/>
      <c r="J2" s="59"/>
      <c r="K2" s="59"/>
    </row>
    <row r="3" spans="1:13" ht="18.75" customHeight="1" thickBot="1" x14ac:dyDescent="0.25">
      <c r="A3" s="102" t="s">
        <v>54</v>
      </c>
      <c r="B3" s="102"/>
      <c r="C3" s="102"/>
      <c r="D3" s="103" t="str">
        <f>'Necesidades Trimestrales'!C4</f>
        <v>45- Ministerio de Desarrollo Social y Deporte</v>
      </c>
      <c r="E3" s="103"/>
      <c r="F3" s="103"/>
      <c r="G3" s="103"/>
      <c r="H3" s="103"/>
      <c r="I3" s="103"/>
      <c r="J3" s="103"/>
      <c r="K3" s="103"/>
    </row>
    <row r="4" spans="1:13" ht="18.75" customHeight="1" thickBot="1" x14ac:dyDescent="0.25">
      <c r="A4" s="104" t="s">
        <v>55</v>
      </c>
      <c r="B4" s="104"/>
      <c r="C4" s="104"/>
      <c r="D4" s="103" t="str">
        <f>'Necesidades Trimestrales'!C5</f>
        <v>25- Direccion Provincial de Gestion Administrativa y RRHH</v>
      </c>
      <c r="E4" s="103"/>
      <c r="F4" s="103"/>
      <c r="G4" s="103"/>
      <c r="H4" s="103"/>
      <c r="I4" s="103"/>
      <c r="J4" s="103"/>
      <c r="K4" s="103"/>
    </row>
    <row r="5" spans="1:13" ht="18.75" customHeight="1" thickBot="1" x14ac:dyDescent="0.25">
      <c r="A5" s="104" t="s">
        <v>33</v>
      </c>
      <c r="B5" s="104"/>
      <c r="C5" s="104"/>
      <c r="D5" s="103" t="s">
        <v>70</v>
      </c>
      <c r="E5" s="103"/>
      <c r="F5" s="103"/>
      <c r="G5" s="103"/>
      <c r="H5" s="103"/>
      <c r="I5" s="103"/>
      <c r="J5" s="103"/>
      <c r="K5" s="103"/>
    </row>
    <row r="6" spans="1:13" ht="16.5" customHeight="1" thickBot="1" x14ac:dyDescent="0.25">
      <c r="A6" s="102" t="s">
        <v>56</v>
      </c>
      <c r="B6" s="102"/>
      <c r="C6" s="102"/>
      <c r="D6" s="103" t="s">
        <v>71</v>
      </c>
      <c r="E6" s="103"/>
      <c r="F6" s="103"/>
      <c r="G6" s="103"/>
      <c r="H6" s="103"/>
      <c r="I6" s="103"/>
      <c r="J6" s="103"/>
      <c r="K6" s="103"/>
    </row>
    <row r="7" spans="1:13" ht="16.5" customHeight="1" x14ac:dyDescent="0.2">
      <c r="A7" s="104" t="s">
        <v>22</v>
      </c>
      <c r="B7" s="104"/>
      <c r="C7" s="104"/>
      <c r="D7" s="103" t="str">
        <f>'Necesidades Trimestrales'!C7 &amp; "° Trimestre - Año " &amp; 'Necesidades Trimestrales'!C6</f>
        <v>3° Trimestre - Año 2021</v>
      </c>
      <c r="E7" s="103"/>
      <c r="F7" s="103"/>
      <c r="G7" s="103"/>
      <c r="H7" s="103"/>
      <c r="I7" s="103"/>
      <c r="J7" s="103"/>
      <c r="K7" s="103"/>
    </row>
    <row r="8" spans="1:13" ht="35.25" customHeight="1" x14ac:dyDescent="0.2">
      <c r="A8" s="105" t="s">
        <v>23</v>
      </c>
      <c r="B8" s="105"/>
      <c r="C8" s="105"/>
      <c r="D8" s="139" t="s">
        <v>72</v>
      </c>
      <c r="E8" s="139"/>
      <c r="F8" s="139"/>
      <c r="G8" s="139"/>
      <c r="H8" s="139"/>
      <c r="I8" s="139"/>
      <c r="J8" s="139"/>
      <c r="K8" s="139"/>
    </row>
    <row r="9" spans="1:13" ht="15.75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</row>
    <row r="10" spans="1:13" ht="18.75" customHeight="1" x14ac:dyDescent="0.2">
      <c r="A10" s="106" t="s">
        <v>24</v>
      </c>
      <c r="B10" s="107" t="s">
        <v>25</v>
      </c>
      <c r="C10" s="107" t="s">
        <v>26</v>
      </c>
      <c r="D10" s="107"/>
      <c r="E10" s="107"/>
      <c r="F10" s="107"/>
      <c r="G10" s="107"/>
      <c r="H10" s="107" t="s">
        <v>27</v>
      </c>
      <c r="I10" s="107" t="s">
        <v>28</v>
      </c>
      <c r="J10" s="107" t="s">
        <v>29</v>
      </c>
      <c r="K10" s="108" t="s">
        <v>30</v>
      </c>
    </row>
    <row r="11" spans="1:13" ht="24" customHeight="1" x14ac:dyDescent="0.2">
      <c r="A11" s="106"/>
      <c r="B11" s="107"/>
      <c r="C11" s="107"/>
      <c r="D11" s="107"/>
      <c r="E11" s="107"/>
      <c r="F11" s="107"/>
      <c r="G11" s="107"/>
      <c r="H11" s="107"/>
      <c r="I11" s="107"/>
      <c r="J11" s="107"/>
      <c r="K11" s="108"/>
    </row>
    <row r="12" spans="1:13" ht="31.5" customHeight="1" thickBot="1" x14ac:dyDescent="0.25">
      <c r="A12" s="36">
        <v>1</v>
      </c>
      <c r="B12" s="149" t="str">
        <f>'Necesidades Trimestrales'!B10</f>
        <v>2.7.2-2722.25</v>
      </c>
      <c r="C12" s="150" t="str">
        <f>'Necesidades Trimestrales'!E10</f>
        <v>CHAPAS DE ZINC; LARGO: 3 M, ANCHO: 1,05 M, ESPESOR: 0,40 mm</v>
      </c>
      <c r="D12" s="150"/>
      <c r="E12" s="150"/>
      <c r="F12" s="150"/>
      <c r="G12" s="150"/>
      <c r="H12" s="142" t="s">
        <v>60</v>
      </c>
      <c r="I12" s="37" t="str">
        <f>'Necesidades Trimestrales'!F10</f>
        <v>UNIDADES</v>
      </c>
      <c r="J12" s="38">
        <f>+'Necesidades Trimestrales'!H10</f>
        <v>5550</v>
      </c>
      <c r="K12" s="39">
        <f>+'Necesidades Trimestrales'!G10</f>
        <v>720</v>
      </c>
      <c r="L12" s="151" t="s">
        <v>66</v>
      </c>
      <c r="M12" s="152" t="b">
        <f>C12=L12</f>
        <v>1</v>
      </c>
    </row>
    <row r="13" spans="1:13" ht="36" customHeight="1" thickBot="1" x14ac:dyDescent="0.25">
      <c r="A13" s="62"/>
      <c r="B13" s="35"/>
      <c r="C13" s="109"/>
      <c r="D13" s="109"/>
      <c r="E13" s="109"/>
      <c r="F13" s="109"/>
      <c r="G13" s="109"/>
      <c r="H13" s="36"/>
      <c r="I13" s="37"/>
      <c r="J13" s="38"/>
      <c r="K13" s="39"/>
    </row>
    <row r="14" spans="1:13" ht="33.75" customHeight="1" thickBot="1" x14ac:dyDescent="0.25">
      <c r="A14" s="62"/>
      <c r="B14" s="35"/>
      <c r="C14" s="109"/>
      <c r="D14" s="109"/>
      <c r="E14" s="109"/>
      <c r="F14" s="109"/>
      <c r="G14" s="109"/>
      <c r="H14" s="36"/>
      <c r="I14" s="37"/>
      <c r="J14" s="38"/>
      <c r="K14" s="39"/>
    </row>
    <row r="15" spans="1:13" ht="20.25" customHeight="1" thickBot="1" x14ac:dyDescent="0.25">
      <c r="A15" s="62"/>
      <c r="B15" s="35"/>
      <c r="C15" s="109"/>
      <c r="D15" s="109"/>
      <c r="E15" s="109"/>
      <c r="F15" s="109"/>
      <c r="G15" s="109"/>
      <c r="H15" s="36"/>
      <c r="I15" s="37"/>
      <c r="J15" s="38"/>
      <c r="K15" s="39"/>
    </row>
    <row r="16" spans="1:13" ht="26.25" customHeight="1" thickBot="1" x14ac:dyDescent="0.25">
      <c r="A16" s="62"/>
      <c r="B16" s="35"/>
      <c r="C16" s="109"/>
      <c r="D16" s="109"/>
      <c r="E16" s="109"/>
      <c r="F16" s="109"/>
      <c r="G16" s="109"/>
      <c r="H16" s="36"/>
      <c r="I16" s="37"/>
      <c r="J16" s="38"/>
      <c r="K16" s="39"/>
    </row>
    <row r="17" spans="1:11" ht="27.75" customHeight="1" thickBot="1" x14ac:dyDescent="0.25">
      <c r="A17" s="62"/>
      <c r="B17" s="35"/>
      <c r="C17" s="109"/>
      <c r="D17" s="109"/>
      <c r="E17" s="109"/>
      <c r="F17" s="109"/>
      <c r="G17" s="109"/>
      <c r="H17" s="36"/>
      <c r="I17" s="37"/>
      <c r="J17" s="38"/>
      <c r="K17" s="39"/>
    </row>
    <row r="18" spans="1:11" ht="26.25" customHeight="1" thickBot="1" x14ac:dyDescent="0.25">
      <c r="A18" s="140" t="s">
        <v>73</v>
      </c>
      <c r="B18" s="140"/>
      <c r="C18" s="140"/>
      <c r="D18" s="140"/>
      <c r="E18" s="140"/>
      <c r="F18" s="140"/>
      <c r="G18" s="140"/>
      <c r="H18" s="140"/>
      <c r="I18" s="140"/>
      <c r="J18" s="141">
        <f>+J12*K12+J13*K13+J14*K14</f>
        <v>3996000</v>
      </c>
      <c r="K18" s="141"/>
    </row>
  </sheetData>
  <mergeCells count="28">
    <mergeCell ref="A18:I18"/>
    <mergeCell ref="J18:K18"/>
    <mergeCell ref="C12:G12"/>
    <mergeCell ref="C13:G13"/>
    <mergeCell ref="C14:G14"/>
    <mergeCell ref="C15:G15"/>
    <mergeCell ref="C16:G16"/>
    <mergeCell ref="C17:G1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abSelected="1" zoomScale="130" zoomScaleNormal="130" workbookViewId="0">
      <selection activeCell="R13" sqref="R13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3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7" ht="15.75" customHeight="1" x14ac:dyDescent="0.25">
      <c r="A1" s="110" t="s">
        <v>3</v>
      </c>
      <c r="B1" s="110"/>
      <c r="C1" s="110"/>
      <c r="D1" s="111">
        <f>'Necesidades Trimestrales'!C6</f>
        <v>2021</v>
      </c>
      <c r="E1" s="111"/>
      <c r="F1" s="4"/>
      <c r="G1" s="4"/>
      <c r="H1" s="5"/>
      <c r="I1" s="5"/>
      <c r="J1" s="5"/>
      <c r="K1" s="5"/>
      <c r="L1" s="5"/>
      <c r="M1" s="5"/>
      <c r="N1" s="5"/>
      <c r="P1" s="112" t="s">
        <v>31</v>
      </c>
      <c r="Q1" s="112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12"/>
      <c r="Q2" s="112"/>
    </row>
    <row r="4" spans="1:17" s="6" customFormat="1" ht="18" customHeight="1" thickBot="1" x14ac:dyDescent="0.25">
      <c r="A4" s="113" t="s">
        <v>32</v>
      </c>
      <c r="B4" s="113"/>
      <c r="C4" s="113"/>
      <c r="D4" s="113"/>
      <c r="E4" s="113"/>
      <c r="F4" s="113"/>
      <c r="G4" s="114" t="str">
        <f>' NotaPedido'!D3</f>
        <v>45- Ministerio de Desarrollo Social y Deporte</v>
      </c>
      <c r="H4" s="114"/>
      <c r="I4" s="114"/>
      <c r="J4" s="114"/>
      <c r="K4" s="114"/>
      <c r="L4" s="114"/>
      <c r="M4" s="114"/>
      <c r="N4" s="114"/>
      <c r="O4" s="114"/>
      <c r="P4" s="114"/>
      <c r="Q4" s="114"/>
    </row>
    <row r="5" spans="1:17" s="6" customFormat="1" ht="18" customHeight="1" thickBot="1" x14ac:dyDescent="0.25">
      <c r="A5" s="115" t="s">
        <v>55</v>
      </c>
      <c r="B5" s="116"/>
      <c r="C5" s="116"/>
      <c r="D5" s="116"/>
      <c r="E5" s="116"/>
      <c r="F5" s="117"/>
      <c r="G5" s="114" t="str">
        <f>' NotaPedido'!D4</f>
        <v>25- Direccion Provincial de Gestion Administrativa y RRHH</v>
      </c>
      <c r="H5" s="114"/>
      <c r="I5" s="114"/>
      <c r="J5" s="114"/>
      <c r="K5" s="114"/>
      <c r="L5" s="114"/>
      <c r="M5" s="114"/>
      <c r="N5" s="114"/>
      <c r="O5" s="114"/>
      <c r="P5" s="114"/>
      <c r="Q5" s="114"/>
    </row>
    <row r="6" spans="1:17" s="6" customFormat="1" ht="18" customHeight="1" thickBot="1" x14ac:dyDescent="0.25">
      <c r="A6" s="115" t="s">
        <v>33</v>
      </c>
      <c r="B6" s="116"/>
      <c r="C6" s="116"/>
      <c r="D6" s="116"/>
      <c r="E6" s="116"/>
      <c r="F6" s="117"/>
      <c r="G6" s="114" t="s">
        <v>75</v>
      </c>
      <c r="H6" s="114"/>
      <c r="I6" s="114"/>
      <c r="J6" s="114"/>
      <c r="K6" s="114"/>
      <c r="L6" s="114"/>
      <c r="M6" s="114"/>
      <c r="N6" s="114"/>
      <c r="O6" s="114"/>
      <c r="P6" s="114"/>
      <c r="Q6" s="114"/>
    </row>
    <row r="7" spans="1:17" s="6" customFormat="1" ht="18" customHeight="1" thickBot="1" x14ac:dyDescent="0.25">
      <c r="A7" s="115" t="s">
        <v>56</v>
      </c>
      <c r="B7" s="116"/>
      <c r="C7" s="116"/>
      <c r="D7" s="116"/>
      <c r="E7" s="116"/>
      <c r="F7" s="117"/>
      <c r="G7" s="114" t="s">
        <v>76</v>
      </c>
      <c r="H7" s="114"/>
      <c r="I7" s="114"/>
      <c r="J7" s="114"/>
      <c r="K7" s="114"/>
      <c r="L7" s="114"/>
      <c r="M7" s="114"/>
      <c r="N7" s="114"/>
      <c r="O7" s="114"/>
      <c r="P7" s="114"/>
      <c r="Q7" s="114"/>
    </row>
    <row r="8" spans="1:17" ht="18" customHeight="1" thickBot="1" x14ac:dyDescent="0.25">
      <c r="A8" s="118" t="s">
        <v>34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</row>
    <row r="9" spans="1:17" ht="18" customHeight="1" x14ac:dyDescent="0.2">
      <c r="A9" s="119" t="s">
        <v>35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"/>
      <c r="P9" s="1"/>
      <c r="Q9" s="7"/>
    </row>
    <row r="10" spans="1:17" ht="54.75" customHeight="1" x14ac:dyDescent="0.2">
      <c r="A10" s="12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728/21,  afectando la erogación resultante a los créditos presupuestarios aprobados a favor de esta Unidad Ejecutora, conforme al siguiente detalle: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21" t="s">
        <v>36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</row>
    <row r="13" spans="1:17" ht="15.75" customHeight="1" x14ac:dyDescent="0.2">
      <c r="A13" s="122" t="s">
        <v>37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3" t="s">
        <v>38</v>
      </c>
      <c r="P13" s="123"/>
      <c r="Q13" s="124" t="s">
        <v>39</v>
      </c>
    </row>
    <row r="14" spans="1:17" ht="15.75" customHeight="1" x14ac:dyDescent="0.2">
      <c r="A14" s="12" t="s">
        <v>40</v>
      </c>
      <c r="B14" s="13" t="s">
        <v>41</v>
      </c>
      <c r="C14" s="13" t="s">
        <v>42</v>
      </c>
      <c r="D14" s="13" t="s">
        <v>43</v>
      </c>
      <c r="E14" s="13" t="s">
        <v>44</v>
      </c>
      <c r="F14" s="13" t="s">
        <v>45</v>
      </c>
      <c r="G14" s="14" t="s">
        <v>46</v>
      </c>
      <c r="H14" s="13" t="s">
        <v>47</v>
      </c>
      <c r="I14" s="13" t="s">
        <v>48</v>
      </c>
      <c r="J14" s="13" t="s">
        <v>49</v>
      </c>
      <c r="K14" s="13" t="s">
        <v>49</v>
      </c>
      <c r="L14" s="13" t="s">
        <v>50</v>
      </c>
      <c r="M14" s="15" t="s">
        <v>51</v>
      </c>
      <c r="N14" s="16" t="s">
        <v>52</v>
      </c>
      <c r="O14" s="123"/>
      <c r="P14" s="123"/>
      <c r="Q14" s="124"/>
    </row>
    <row r="15" spans="1:17" ht="17.25" customHeight="1" x14ac:dyDescent="0.2">
      <c r="A15" s="32">
        <v>16</v>
      </c>
      <c r="B15" s="33"/>
      <c r="C15" s="33"/>
      <c r="D15" s="33">
        <v>2</v>
      </c>
      <c r="E15" s="33"/>
      <c r="F15" s="33">
        <v>4901</v>
      </c>
      <c r="G15" s="33">
        <v>1</v>
      </c>
      <c r="H15" s="33">
        <v>4</v>
      </c>
      <c r="I15" s="133">
        <v>2</v>
      </c>
      <c r="J15" s="133">
        <v>7</v>
      </c>
      <c r="K15" s="133">
        <v>2</v>
      </c>
      <c r="L15" s="33"/>
      <c r="M15" s="34">
        <v>1</v>
      </c>
      <c r="N15" s="33">
        <v>1.1000000000000001</v>
      </c>
      <c r="O15" s="134" t="s">
        <v>68</v>
      </c>
      <c r="P15" s="134"/>
      <c r="Q15" s="135">
        <v>3996000</v>
      </c>
    </row>
    <row r="16" spans="1:17" ht="17.25" customHeight="1" x14ac:dyDescent="0.2">
      <c r="A16" s="17"/>
      <c r="B16" s="18"/>
      <c r="C16" s="18"/>
      <c r="D16" s="18"/>
      <c r="E16" s="18"/>
      <c r="F16" s="20"/>
      <c r="G16" s="18"/>
      <c r="H16" s="18"/>
      <c r="I16" s="18"/>
      <c r="J16" s="18"/>
      <c r="K16" s="18"/>
      <c r="L16" s="18"/>
      <c r="M16" s="19"/>
      <c r="N16" s="20"/>
      <c r="O16" s="125"/>
      <c r="P16" s="125"/>
      <c r="Q16" s="21"/>
    </row>
    <row r="17" spans="1:18" ht="17.25" customHeight="1" x14ac:dyDescent="0.2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  <c r="N17" s="20"/>
      <c r="O17" s="125"/>
      <c r="P17" s="125"/>
      <c r="Q17" s="21"/>
    </row>
    <row r="18" spans="1:18" ht="17.25" customHeight="1" x14ac:dyDescent="0.2">
      <c r="A18" s="17"/>
      <c r="B18" s="18"/>
      <c r="C18" s="18"/>
      <c r="D18" s="18"/>
      <c r="E18" s="18"/>
      <c r="F18" s="20"/>
      <c r="G18" s="18"/>
      <c r="H18" s="18"/>
      <c r="I18" s="18"/>
      <c r="J18" s="18"/>
      <c r="K18" s="18"/>
      <c r="L18" s="18"/>
      <c r="M18" s="19"/>
      <c r="N18" s="20"/>
      <c r="O18" s="125"/>
      <c r="P18" s="125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25"/>
      <c r="P19" s="125"/>
      <c r="Q19" s="21"/>
    </row>
    <row r="20" spans="1:18" ht="17.25" customHeight="1" x14ac:dyDescent="0.2">
      <c r="A20" s="22"/>
      <c r="B20" s="23"/>
      <c r="C20" s="23"/>
      <c r="D20" s="23"/>
      <c r="E20" s="23"/>
      <c r="F20" s="24"/>
      <c r="G20" s="23"/>
      <c r="H20" s="23"/>
      <c r="I20" s="23"/>
      <c r="J20" s="23"/>
      <c r="K20" s="23"/>
      <c r="L20" s="23"/>
      <c r="M20" s="25"/>
      <c r="N20" s="26"/>
      <c r="O20" s="130"/>
      <c r="P20" s="130"/>
      <c r="Q20" s="21"/>
      <c r="R20" s="1"/>
    </row>
    <row r="21" spans="1:18" ht="17.25" customHeight="1" x14ac:dyDescent="0.2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28"/>
      <c r="O21" s="131"/>
      <c r="P21" s="131"/>
      <c r="Q21" s="30"/>
    </row>
    <row r="22" spans="1:18" ht="20.25" customHeight="1" x14ac:dyDescent="0.2">
      <c r="A22" s="136" t="s">
        <v>74</v>
      </c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7">
        <f>SUM(Q15:Q21)</f>
        <v>3996000</v>
      </c>
    </row>
    <row r="23" spans="1:18" ht="18" customHeight="1" thickBot="1" x14ac:dyDescent="0.25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</row>
    <row r="24" spans="1:18" ht="17.25" customHeight="1" thickBot="1" x14ac:dyDescent="0.25">
      <c r="A24" s="126" t="s">
        <v>53</v>
      </c>
      <c r="B24" s="127"/>
      <c r="C24" s="127"/>
      <c r="D24" s="127"/>
      <c r="E24" s="127"/>
      <c r="F24" s="128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</row>
    <row r="25" spans="1:18" ht="18" customHeight="1" thickBot="1" x14ac:dyDescent="0.25">
      <c r="A25" s="138" t="s">
        <v>72</v>
      </c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</row>
    <row r="26" spans="1:18" ht="15" customHeight="1" x14ac:dyDescent="0.2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</row>
  </sheetData>
  <mergeCells count="30"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24:F24"/>
    <mergeCell ref="G24:Q24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2021-07-26T12:25:42Z</cp:lastPrinted>
  <dcterms:created xsi:type="dcterms:W3CDTF">2020-07-17T23:44:49Z</dcterms:created>
  <dcterms:modified xsi:type="dcterms:W3CDTF">2021-08-30T16:05:58Z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