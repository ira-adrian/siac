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Protesis\"/>
    </mc:Choice>
  </mc:AlternateContent>
  <xr:revisionPtr revIDLastSave="0" documentId="13_ncr:1_{6ABE2FB8-CD59-4666-BBC2-3CF9BAB4B0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011'!$A$9:$I$9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C208" i="1" l="1"/>
  <c r="C205" i="1"/>
  <c r="C202" i="1"/>
  <c r="C199" i="1"/>
  <c r="C196" i="1"/>
  <c r="C193" i="1"/>
  <c r="C190" i="1"/>
  <c r="C187" i="1"/>
  <c r="C184" i="1"/>
  <c r="C181" i="1"/>
  <c r="C178" i="1"/>
  <c r="C175" i="1"/>
  <c r="C172" i="1"/>
  <c r="C169" i="1"/>
  <c r="C166" i="1"/>
  <c r="C163" i="1"/>
  <c r="C160" i="1"/>
  <c r="C157" i="1"/>
  <c r="C154" i="1"/>
  <c r="C151" i="1"/>
  <c r="C148" i="1"/>
  <c r="C145" i="1"/>
  <c r="C142" i="1"/>
  <c r="C139" i="1"/>
  <c r="C136" i="1"/>
  <c r="C133" i="1"/>
  <c r="C130" i="1"/>
  <c r="C127" i="1"/>
  <c r="C124" i="1"/>
  <c r="C121" i="1"/>
  <c r="C109" i="1"/>
  <c r="I47" i="1"/>
  <c r="I45" i="1"/>
  <c r="I43" i="1"/>
  <c r="I41" i="1"/>
  <c r="I39" i="1"/>
  <c r="I26" i="1"/>
  <c r="G4" i="3" l="1"/>
  <c r="B12" i="2" l="1"/>
  <c r="C118" i="1"/>
  <c r="C115" i="1"/>
  <c r="C112" i="1"/>
  <c r="C106" i="1"/>
  <c r="C103" i="1"/>
  <c r="C100" i="1"/>
  <c r="C97" i="1"/>
  <c r="C94" i="1"/>
  <c r="C91" i="1"/>
  <c r="C88" i="1"/>
  <c r="C85" i="1"/>
  <c r="C82" i="1"/>
  <c r="C79" i="1"/>
  <c r="C76" i="1"/>
  <c r="A41" i="3"/>
  <c r="G6" i="3" l="1"/>
  <c r="K12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18" i="1"/>
  <c r="I17" i="1"/>
  <c r="I37" i="1"/>
  <c r="I35" i="1"/>
  <c r="I31" i="1" l="1"/>
  <c r="I29" i="1"/>
  <c r="I30" i="1"/>
  <c r="I16" i="1"/>
  <c r="I15" i="1"/>
  <c r="I54" i="1"/>
  <c r="I53" i="1"/>
  <c r="I27" i="1"/>
  <c r="I28" i="1"/>
  <c r="I25" i="1"/>
  <c r="I14" i="1"/>
  <c r="I13" i="1"/>
  <c r="I12" i="1"/>
  <c r="I10" i="1"/>
  <c r="I11" i="1"/>
  <c r="I52" i="1"/>
  <c r="I33" i="1"/>
  <c r="I32" i="1"/>
  <c r="I49" i="1"/>
  <c r="I48" i="1"/>
  <c r="I21" i="1"/>
  <c r="I20" i="1"/>
  <c r="I36" i="1"/>
  <c r="I34" i="1"/>
  <c r="I22" i="1"/>
  <c r="I19" i="1"/>
  <c r="I51" i="1"/>
  <c r="I50" i="1"/>
  <c r="J12" i="2" l="1"/>
  <c r="J57" i="2" s="1"/>
  <c r="I13" i="2"/>
  <c r="I14" i="2"/>
  <c r="I15" i="2"/>
  <c r="I16" i="2"/>
  <c r="I17" i="2"/>
  <c r="I18" i="2"/>
  <c r="I12" i="2"/>
  <c r="C12" i="2"/>
  <c r="G5" i="3"/>
  <c r="G7" i="3"/>
  <c r="M12" i="2" l="1"/>
  <c r="M16" i="2"/>
  <c r="M15" i="2"/>
  <c r="M18" i="2"/>
  <c r="M14" i="2"/>
  <c r="M17" i="2"/>
  <c r="M13" i="2"/>
  <c r="I23" i="1"/>
  <c r="I24" i="1"/>
  <c r="I38" i="1"/>
  <c r="I40" i="1"/>
  <c r="I42" i="1"/>
  <c r="I44" i="1"/>
  <c r="I46" i="1"/>
  <c r="I56" i="1" l="1"/>
  <c r="M57" i="2"/>
  <c r="Q38" i="3" l="1"/>
</calcChain>
</file>

<file path=xl/sharedStrings.xml><?xml version="1.0" encoding="utf-8"?>
<sst xmlns="http://schemas.openxmlformats.org/spreadsheetml/2006/main" count="447" uniqueCount="220">
  <si>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</si>
  <si>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</si>
  <si>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</si>
  <si>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</si>
  <si>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</si>
  <si>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</si>
  <si>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</si>
  <si>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</si>
  <si>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</si>
  <si>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</si>
  <si>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</si>
  <si>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</si>
  <si>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</si>
  <si>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</si>
  <si>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011 - DIRECCION PROVINCIAL DE ADMINISTRACION - MINISTERIO DE SALUD</t>
  </si>
  <si>
    <t>040 - MINISTERIO DE SALUD</t>
  </si>
  <si>
    <t>ESPECIFICACION TECNICA</t>
  </si>
  <si>
    <t>Plazos de entrega:</t>
  </si>
  <si>
    <t>Lugar de entrega:</t>
  </si>
  <si>
    <t>Calidad Minima esperada:</t>
  </si>
  <si>
    <t>Mantenimiento:</t>
  </si>
  <si>
    <t>CUARENTA Y CINCO (45) DIAS</t>
  </si>
  <si>
    <t>Garantia:</t>
  </si>
  <si>
    <t>NOTA DE PEDIDO</t>
  </si>
  <si>
    <t xml:space="preserve">JURISDICCIÓN: </t>
  </si>
  <si>
    <t>40 - MINISTERIO DE SALUD</t>
  </si>
  <si>
    <t>SAF:</t>
  </si>
  <si>
    <t>011 - DIRECCION PROVINCIAL DE ADMINISTRACION - M.S.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</si>
  <si>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</si>
  <si>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</si>
  <si>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</si>
  <si>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</si>
  <si>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</si>
  <si>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</si>
  <si>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</si>
  <si>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</si>
  <si>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</si>
  <si>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</si>
  <si>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</si>
  <si>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</si>
  <si>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</si>
  <si>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</si>
  <si>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</si>
  <si>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</si>
  <si>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</si>
  <si>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</si>
  <si>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</si>
  <si>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</si>
  <si>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</si>
  <si>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</si>
  <si>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</si>
  <si>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</si>
  <si>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</si>
  <si>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</si>
  <si>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</si>
  <si>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</si>
  <si>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</si>
  <si>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</si>
  <si>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</si>
  <si>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</si>
  <si>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</si>
  <si>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</si>
  <si>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 xml:space="preserve">JUSTIFICACIÓN: </t>
  </si>
  <si>
    <t>2.9.5-9948.18</t>
  </si>
  <si>
    <t>2.9.5-9948.19</t>
  </si>
  <si>
    <t>2.9.5-391.75</t>
  </si>
  <si>
    <t>2.9.5-391.80</t>
  </si>
  <si>
    <t>2.9.5-391.74</t>
  </si>
  <si>
    <t>2.9.5-9948.2</t>
  </si>
  <si>
    <t>2.9.5-9948.20</t>
  </si>
  <si>
    <t>2.9.5-391.77</t>
  </si>
  <si>
    <t>2.9.5-9948.7</t>
  </si>
  <si>
    <t>2.9.5-9948.8</t>
  </si>
  <si>
    <t>2.9.5-391.62</t>
  </si>
  <si>
    <t>2.9.5-391.8</t>
  </si>
  <si>
    <t>2.9.5-6292.12</t>
  </si>
  <si>
    <t>2.9.5-391.16</t>
  </si>
  <si>
    <t>2.9.5-391.3</t>
  </si>
  <si>
    <t>2.9.5-6292.16</t>
  </si>
  <si>
    <t>2.9.5-391.1</t>
  </si>
  <si>
    <t>2.9.5-391.2</t>
  </si>
  <si>
    <t>PROD. MEDICO/FARMACEUTICOS/LAB</t>
  </si>
  <si>
    <t>2.9.5.</t>
  </si>
  <si>
    <t>PLACAS P/TRAUMATOLOGIA; TIPO: TERCIO DE TUBO BLOQUEADA, MEDIDA: 3,5 mm, USO: TOBILLO, MATERIAL: ACERO</t>
  </si>
  <si>
    <t>PLACAS P/TRAUMATOLOGIA; TIPO: TERCIO DE TUBO BLOQUEADA, MEDIDA: 3,5 mm, USO: TOBILLO, MATERIAL: TITANIO</t>
  </si>
  <si>
    <t>PROTESIS ORTOPEDICA; COMPONENTES: PLACAS DE RECONSTRUCCION, USO: OSTEOSINTESIS</t>
  </si>
  <si>
    <t>PROTESIS ORTOPEDICA; COMPONENTES: PLACAS LC-DCP, USO: OSTEOSINTESIS</t>
  </si>
  <si>
    <t>PROTESIS ORTOPEDICA; COMPONENTES: PLACAS MICROFRAGMENTADAS, USO: OSTEOSINTESIS</t>
  </si>
  <si>
    <t>PLACAS P/TRAUMATOLOGIA; TIPO: BLOQUEADA DOBLE HILERA, MEDIDA: 2,7 mm, USO: MUÑECA, MATERIAL: TITANIO</t>
  </si>
  <si>
    <t>PLACAS P/TRAUMATOLOGIA; TIPO: BLOQUEDAD, MEDIDA: VARIABLE, USO: CLAVICULA, MATERIAL: TITANIO</t>
  </si>
  <si>
    <t>PROTESIS ORTOPEDICA; COMPONENTES: PLACAS BLOQUEADAS P/TIBIA, USO: OSTEOSINTESIS</t>
  </si>
  <si>
    <t>PLACAS P/TRAUMATOLOGIA; TIPO: BLOQUEADA EN T Y L, MEDIDA: 4,5 mm, USO: PLATILLO TIBIAL, MATERIAL: ACERO</t>
  </si>
  <si>
    <t>PLACAS P/TRAUMATOLOGIA; TIPO: BLOQUEADA EN T Y L, MEDIDA: 4,5 mm, USO: PLATILLO TIBIAL, MATERIAL: TITANIO</t>
  </si>
  <si>
    <t>PROTESIS ORTOPEDICA; COMPONENTES: PLACA P/FEMUR DISTAL, USO:  CIRUGIA ORTOPEDIA</t>
  </si>
  <si>
    <t>PROTESIS ORTOPEDICA; COMPONENTES: TORNILLOS, USO: IMPLANTES P/FIJACION INT.</t>
  </si>
  <si>
    <t>CLAVOS P/TRAUMATOLOGIA; TIPO: ENDOMEDULAR TIBIA, MATERIAL: TITANIO, MEDIDA: VARIABLE</t>
  </si>
  <si>
    <t>PROTESIS ORTOPEDICA; COMPONENTES: CLAVO, USO: CIRUGIA</t>
  </si>
  <si>
    <t>PROTESIS ORTOPEDICA; COMPONENTES: FEMORALES, USO: REEMPLAZO PARCIAL CADERA</t>
  </si>
  <si>
    <t>CLAVOS P/TRAUMATOLOGIA; TIPO: SCHANZ TUTORES EXTERNOS, MATERIAL: ACERO, MEDIDA: VARIABLE</t>
  </si>
  <si>
    <t>PROTESIS ORTOPEDICA; COMPONENTES: FEMORALES, USO: REEMPLAZO TOTAL CADERA</t>
  </si>
  <si>
    <t>PROTESIS ORTOPEDICA; COMPONENTES: FEMORALES, USO: REEMPLAZO TOTAL RODILLA</t>
  </si>
  <si>
    <t>TOTAL RUBRO PROD. MEDICO/FARMACEUTICOS/LAB</t>
  </si>
  <si>
    <t xml:space="preserve">3º </t>
  </si>
  <si>
    <t>EJERCICIO: 2022</t>
  </si>
  <si>
    <t xml:space="preserve"> PLACAS 1/3 TUBO BLOQUEADA DE 3.5 MM Y RESPECTIVOS TORNILLOS EN ACERO. </t>
  </si>
  <si>
    <t xml:space="preserve">PLACAS 1/3 TUBO BLOQUEADA DE 3.5 MM Y RESPECTIVOS TORNILLOS EN TITANIO. </t>
  </si>
  <si>
    <t xml:space="preserve">PLACAS DE LCDCP  BLOQUEADA DE 3.5 MM Y SUS RESPECTIVOS TORNILLOS EN TITANIO. </t>
  </si>
  <si>
    <t>PLACAS BLOQUEADA ANATOMICA PARA CLAVICULA DE 3.5 MM Y RESPECTIVOS TORNILLOS EN TITANIO.</t>
  </si>
  <si>
    <t>PLACA BLOQUEADA PARA PLATILLO TIBIAL EN T L Y PALO DE HOCHEY Y RESPECTIVOS TORNILLOS EN ACERO 4,5 MM.</t>
  </si>
  <si>
    <t>PLACA BLOQUEADA PARA PLATILLO TIBIAL EN T L Y PALO DE HOCHEY Y RESPECTIVOS TORNILLOS EN TITANIO 4,5 MM.</t>
  </si>
  <si>
    <t>SISTEMA  DCS/DHS DE 4.5 MM CON ALTERNATIVAS</t>
  </si>
  <si>
    <t>CLAVO ENDOMEDULAR ACERROJADO DINAMICO Y ESTATICOS PARA TIBIA, SET DE COLOCACION Y ALTERNATIVAS EN ACERO.</t>
  </si>
  <si>
    <t>CLAVO ENDOMEDULAR ACERROJADO DINAMICO Y ESTATICOS PARA TIBIA, SET DE COLOCACION Y ALTERNATIVAS EN TITANIO.</t>
  </si>
  <si>
    <t>CLAVO ENDOMEDULAR ACERROJADO DINAMICO Y ESTATICOS PARA FEMUR, SET DE COLOCACION Y ALTERNATIVAS EN ACERO.</t>
  </si>
  <si>
    <t>CLAVO ENDOMEDULAR ACERROJADO DINAMICO Y ESTATICOS PARA FEMUR, SET DE COLOCACION Y ALTERNATIVAS EN TITANIO.</t>
  </si>
  <si>
    <t>CLAVO ENDOMEDULAR ACERROJADO DINAMICO Y ESTATICOS PARA HUMERO, SET DE COLOCACION Y ALTERNATIVAS EN TITANIO.</t>
  </si>
  <si>
    <t>PROTESIS REEMPLAZO PARCIAL DE CADERA TIPO BIPOLAR MODULAR, CABEZA 22 MM Y 28 MM, CUELLO LARGO, MEDIO Y CORTO, CON 2 DOSIS DE CEMENTO QUIRURGICO .</t>
  </si>
  <si>
    <t>CLAVO TEN CON ALTERNATIVAS</t>
  </si>
  <si>
    <t xml:space="preserve">ROTULA TUBO-TUBO PARA TUTOR EXTERNO </t>
  </si>
  <si>
    <t xml:space="preserve">ROTULA TUBO-SHANTZ PARA TUTOR EXTERNO </t>
  </si>
  <si>
    <t>PROTESIS PARA REEMPLAZO TOTAL DE CADERA CEMENTADO. 1 (UNA) PROTESIS PARA REEMPLAZO TOTAL DE CADERA CEMENTADO MODULAR TALLO PULIDO ESPEJO ESTÁNDAR RECTO FINO Y REFORZADO, CABEZA MODULAR 28MM LARGO ESTANDAR Y CORTA. COTILO CEMENTADO CON REFUERZO POSTERIOR. 2 (DOS) DOSIS DE CEMENTO. SET DE COLOCACIÓN Y ALTERNATIVAS.</t>
  </si>
  <si>
    <t>PROTESIS PARA REEMPLAZO PARCIAL DE CADERA. 1 (UNA)PROTESIS PARA REEMPLAZO PARCIAL DE CADERA TIPO BIPOLAR, TALLO ESTANDAR RECTO FINO Y REFORZADO, CABEZA MODULAR, COTILO. 2 (DOS) DOSIS DE CEMENTO.</t>
  </si>
  <si>
    <t>PLACAS PARA RADIO DISTAL DOBLE HILERA DE 2.7 MM Y RESPECTIVOS TORNILLOS EN TITANIO.</t>
  </si>
  <si>
    <t xml:space="preserve"> PLACAS  BLOQUEADAS ANATOMICA PARA TIBIA DISTAL DE 3.5 MM  Y RESPECTIVOS TORNILLOS EN ACERO.</t>
  </si>
  <si>
    <t xml:space="preserve"> PLACAS  BLOQUEADAS ANATOMICA PARA TIBIA DISTAL DE 4.5 MM  Y RESPECTIVOS TORNILLOS EN ACERO.</t>
  </si>
  <si>
    <t xml:space="preserve"> PLACAS  BLOQUEADAS ANATOMICA PARA TIBIA DISTAL DE 3.5 MM  Y RESPECTIVOS TORNILLOS EN TITANIO.</t>
  </si>
  <si>
    <t xml:space="preserve"> PLACAS  BLOQUEADAS ANATOMICA PARA TIBIA DISTAL DE 4.5 MM  Y RESPECTIVOS TORNILLOS EN TITANIO.</t>
  </si>
  <si>
    <t xml:space="preserve">SHANTZ CONICO DE 4 MM PARA TUTOR EXTERNO </t>
  </si>
  <si>
    <t xml:space="preserve">SHANTZ CONICO DE 5 MM PARA TUTOR EXTERNO </t>
  </si>
  <si>
    <t xml:space="preserve">SHANTZ CONICO DE 6 MM PARA TUTOR EXTERNO </t>
  </si>
  <si>
    <t>UTILES MENORES MEDICO, QUIRURGICO Y DE LABORATORIO</t>
  </si>
  <si>
    <t>131 - DIRECCION PROVINCIAL DE MEDICINA SOCIAL INTEGRAL</t>
  </si>
  <si>
    <t>3º TRIMESTRE</t>
  </si>
  <si>
    <t>UNIDAD</t>
  </si>
  <si>
    <t>DETALLE TECNICO Y ESPECIFICACIONES</t>
  </si>
  <si>
    <t xml:space="preserve">Dirección Provincial Medicina Social Integral, Chacabuco N° 169. Debiendo correr los gastos de flete, acarreo, carga, descarga y seguro a cargo del adjudicatario. </t>
  </si>
  <si>
    <t>Costo total estimado: PESOS DIECINUEVE MILLONES QUINIENTOS VEINTE MIL  CON 00/100.-</t>
  </si>
  <si>
    <t>CONTRATACION PARA LA PROVISION DE PROTESIS DE TRAUMA PARA PERSONAS DE ESCASOS RECURSOS PERTENECIENTES A LA DIRECCION PROVINCIAL DE MEDICINA SOCIAL INTEGRAL.</t>
  </si>
  <si>
    <t>ITEM 1:</t>
  </si>
  <si>
    <t>ITEM 2:</t>
  </si>
  <si>
    <t>ITEM 3:</t>
  </si>
  <si>
    <t>ITEM 4:</t>
  </si>
  <si>
    <t>ITEM 5:</t>
  </si>
  <si>
    <t>ITEM 6:</t>
  </si>
  <si>
    <t>ITEM 7:</t>
  </si>
  <si>
    <t>ITEM 8:</t>
  </si>
  <si>
    <t>ITEM 9:</t>
  </si>
  <si>
    <t>ITEM 10:</t>
  </si>
  <si>
    <t>ITEM 11:</t>
  </si>
  <si>
    <t>ITEM 12:</t>
  </si>
  <si>
    <t>ITEM 13:</t>
  </si>
  <si>
    <t>ITEM 14:</t>
  </si>
  <si>
    <t>ITEM 15:</t>
  </si>
  <si>
    <t>ITEM 16:</t>
  </si>
  <si>
    <t>ITEM 17:</t>
  </si>
  <si>
    <t>ITEM 18:</t>
  </si>
  <si>
    <t>ITEM 19:</t>
  </si>
  <si>
    <t>ITEM 20:</t>
  </si>
  <si>
    <t>ITEM 21:</t>
  </si>
  <si>
    <t>ITEM 22:</t>
  </si>
  <si>
    <t>ITEM 23:</t>
  </si>
  <si>
    <t>ITEM 24:</t>
  </si>
  <si>
    <t>ITEM 25:</t>
  </si>
  <si>
    <t>ITEM 26:</t>
  </si>
  <si>
    <t>ITEM 27:</t>
  </si>
  <si>
    <t>ITEM 28:</t>
  </si>
  <si>
    <t>ITEM 29:</t>
  </si>
  <si>
    <t>ITEM 30:</t>
  </si>
  <si>
    <t>ITEM 31:</t>
  </si>
  <si>
    <t>ITEM 32:</t>
  </si>
  <si>
    <t>ITEM 33:</t>
  </si>
  <si>
    <t>ITEM 34:</t>
  </si>
  <si>
    <t>ITEM 35:</t>
  </si>
  <si>
    <t>ITEM 36:</t>
  </si>
  <si>
    <t>ITEM 37:</t>
  </si>
  <si>
    <t>ITEM 38:</t>
  </si>
  <si>
    <t>ITEM 39:</t>
  </si>
  <si>
    <t>TOTAL DE PESOS: DIECINUEVE MILLONES QUINIENTOS VEINTE MIL CON 00/100.-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</si>
  <si>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 Deberán contar con presencia en la Provincia de Catamarca.
3-No se aceptarán ofertas de productos no registrados y autorizada su venta por ANMAT. Se deberá especificar en cada ítem de la propuesta, marca y número de certificado otorgado por dicho ente regulador, en caso de corresponder.-
4-Los productos deberán tener un vencimiento posterior a doce (12) meses a partir de la fecha de su recepción.                                                                                                                                                 5- Prótesis en Stock disponible para entrega inmediata según requerimiento.                                                                                                                                                                                 6- Al momento de la entrega de cada prótesis, la misma debe venir acompañada de la correspondiente caja de instrumental quirúrgico solicitada por el profesional médico.</t>
  </si>
  <si>
    <t>Autorizo la realización de los  trámites correspondientes, a fin de proveer a  este Organismo los bienes que se detallan en Nota  de Pedido, afectando la erogación resultante a los créditos presupuestarios aprobados a favor de esta Unidad Ejecutora, conforme al siguiente detalle:</t>
  </si>
  <si>
    <t>2.9.5-6292.11</t>
  </si>
  <si>
    <t>CLAVOS P/TRAUMATOLOGIA; TIPO: ENDOMEDULAR TIBIA, MATERIAL: ACERO, MEDIDA: VARIABLE</t>
  </si>
  <si>
    <t>2.9.5-6292.9</t>
  </si>
  <si>
    <t>CLAVOS P/TRAUMATOLOGIA; TIPO: ENDOMEDULAR FEMUR, MATERIAL: ACERO, MEDIDA: VARIABLE</t>
  </si>
  <si>
    <t>2.9.5-6292.8</t>
  </si>
  <si>
    <t>CLAVOS P/TRAUMATOLOGIA; TIPO: ENDOMEDULAR HUMERO, MATERIAL: TITANIO, MEDIDA: VARIABLE</t>
  </si>
  <si>
    <t>2.9.5-6292.10</t>
  </si>
  <si>
    <t>CLAVOS P/TRAUMATOLOGIA; TIPO: ENDOMEDULAR FEMUR, MATERIAL: TITANIO, MEDIDA: VARIABLE</t>
  </si>
  <si>
    <t>2.9.5-10015.1</t>
  </si>
  <si>
    <t>COMPONENTES P/TUTOR EXT. DE TRAUMATOLOGIA; TIPO: ROTULA TUBO-SHANTZ P/TUTOR EXTERNO, MATERIAL: ACERO; MEDIDA: VARIABLE</t>
  </si>
  <si>
    <t xml:space="preserve">TUBO PARA TUTOR EXTERNO </t>
  </si>
  <si>
    <t>2.9.5-10015.2</t>
  </si>
  <si>
    <t>COMPONENTES P/TUTOR EXT. DE TRAUMATOLOGIA; TIPO: TUBO PARA TUTOR EXTERNO, MATERIAL: ACERO; MEDIDA: VARIABLE</t>
  </si>
  <si>
    <t>2.9.5-10015.3</t>
  </si>
  <si>
    <t>COMPONENTES P/TUTOR EXT. DE TRAUMATOLOGIA; TIPO: ROTULA TUBO-TUBO PARA TUTOR EXTERNO, MATERIAL: ACERO; MEDIDA: VARIABLE</t>
  </si>
  <si>
    <t>CLAVO GAMMA CORTO CON TORNILLO CEFALOMEDULAR, SET DE COLOCACION Y ALTERNATIVAS EN TITANIO.</t>
  </si>
  <si>
    <t>CLAVO GAMMA LARGO CON TORNILLO CEFALOMEDULAR, SET DE COLOCACION Y ALTERNATIVAS EN TITANIO.</t>
  </si>
  <si>
    <t>PROTESIS PARA REEMPLAZO DE RODILLA. 1 (UNA) PROTESIS PARA REEMPLAZO DE RODILLA MODULAR CEMENTADO ANATOMICA, LINER DE PRUEBA Y DEFINITIVOS EN TODAS SUS MEDIDAS. 2 (DOS) DOSIS DE CEMENTO. SET DE COLOCACION Y ALTERNATIVAS PARA LA RESPECTIVA CIRUGIA.</t>
  </si>
  <si>
    <t>PLACA BLOQUEADA ANATOMICA PARA FEMUR DISTALY RESPECTIVOS TORNILLOS EN ACERO 32 CM.</t>
  </si>
  <si>
    <t>PLACA BLOQUEADA ANATOMICA PARA FEMUR DISTALY RESPECTIVOS TORNILLOS EN TITANIO 32 CM.</t>
  </si>
  <si>
    <t xml:space="preserve">PLACAS DE RECONSTRUCCION CURVAS BLOQUEADA DE 3.5 MM Y SUS RESPECTIVOS TORNILLOS EN ACERO. </t>
  </si>
  <si>
    <t xml:space="preserve">PLACAS DE RECONSTRUCCION RECTAS BLOQUEADA DE 3.5 MM Y SUS RESPECTIVOS TORNILLOS EN ACERO. </t>
  </si>
  <si>
    <t xml:space="preserve">PLACAS DE RECONSTRUCCION CURVAS BLOQUEADA DE 3.5 MM Y SUS RESPECTIVOS TORNILLOS EN TITANIO. </t>
  </si>
  <si>
    <t xml:space="preserve">PLACAS DE RECONSTRUCCION RECTAS BLOQUEADA DE 4.5 MM Y SUS RESPECTIVOS TORNILLOS EN ACERO. </t>
  </si>
  <si>
    <t xml:space="preserve">PLACAS DE RECONSTRUCCION RECTAS BLOQUEADA DE 3.5 MM Y SUS RESPECTIVOS TORNILLOS EN TITANIO. </t>
  </si>
  <si>
    <t xml:space="preserve">PLACAS DE RECONSTRUCCION CURVAS BLOQUEADA DE 4.5 MM Y SUS RESPECTIVOS TORNILLOS EN ACERO. </t>
  </si>
  <si>
    <t xml:space="preserve">PLACAS DE RECONSTRUCCION CURVAS BLOQUEADA DE 4.5 MM Y SUS RESPECTIVOS TORNILLOS EN TITANIO. </t>
  </si>
  <si>
    <t xml:space="preserve">PLACAS DE RECONSTRUCCION RECTAS  BLOQUEADA DE 4.5 MM Y SUS RESPECTIVOS TORNILLOS EN TITANIO. </t>
  </si>
  <si>
    <t xml:space="preserve">PLACAS DE LCDCP  ESTRECHAS BLOQUEADA DE 3.5 MM Y SUS RESPECTIVOS TORNILLOS EN ACERO. </t>
  </si>
  <si>
    <t xml:space="preserve">PLACAS DE LCDCP AMPLIAS BLOQUEADA DE 3.5 MM Y SUS RESPECTIVOS TORNILLOS EN ACERO. </t>
  </si>
  <si>
    <t>TORNILLOS COMPRESIVO HERBERT CON ALTERNATIVAS 3,5 DIAMETRO</t>
  </si>
  <si>
    <t>ITEM 40:</t>
  </si>
  <si>
    <t>ITEM 42:</t>
  </si>
  <si>
    <t>ITEM 43:</t>
  </si>
  <si>
    <t>ITEM 44:</t>
  </si>
  <si>
    <t>ITEM 45:</t>
  </si>
  <si>
    <t>ITEM 41:</t>
  </si>
  <si>
    <t>PLACAS PARA MINIFRAGMENTOS DE 2,7 MM BLOQUEADA Y RESPECTIVOS TORNILLOS EN TITANIO.</t>
  </si>
  <si>
    <t>PLACA BLOQUEADA ANATOMICA PARA PERONE DISTAL Y RESPECTIVOS TORNILLOS EN TITANIO.</t>
  </si>
  <si>
    <r>
      <t xml:space="preserve">A partir de la notificacion de la </t>
    </r>
    <r>
      <rPr>
        <b/>
        <sz val="10"/>
        <rFont val="Times New Roman"/>
        <family val="1"/>
      </rPr>
      <t>ORDEN DE COMPRA</t>
    </r>
    <r>
      <rPr>
        <sz val="10"/>
        <rFont val="Times New Roman"/>
        <family val="1"/>
      </rPr>
      <t xml:space="preserve">. Se realizarán pedidos a requerimiento de acuerdo a las necesidades de la Dirección Provincial de Medicina Social Integral, los cuales deberán ser provistos en un plazo de 2 (dos) días.- durante el lapso de duración del contrato y al precio unitario adjudicado, hasta el límite del monto adjudicado. </t>
    </r>
    <r>
      <rPr>
        <b/>
        <sz val="10"/>
        <rFont val="Times New Roman"/>
        <family val="1"/>
      </rPr>
      <t>CON OPCION A PRORROGA POR IGUAL PERIODO.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</si>
</sst>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5" formatCode="[$$-2C0A]\ #,##0.00"/>
    <numFmt numFmtId="166" formatCode="_-[$$-2C0A]\ * #,##0.00_-;\-[$$-2C0A]\ * #,##0.00_-;_-[$$-2C0A]\ * &quot;-&quot;??_-;_-@_-"/>
    <numFmt numFmtId="167" formatCode="_ &quot;$&quot;\ * #,##0.00_ ;_ &quot;$&quot;\ * \-#,##0.00_ ;_ &quot;$&quot;\ * &quot;-&quot;??_ ;_ @_ "/>
    <numFmt numFmtId="168" formatCode="dd\-mm\-yy;@"/>
    <numFmt numFmtId="169" formatCode="_(\$* #,##0.00_);_(\$* \(#,##0.00\);_(\$* \-??_);_(@_)"/>
    <numFmt numFmtId="170" formatCode="[$$-2C0A]\ #,##0.00;[$$-2C0A]&quot; -&quot;#,##0.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name val="Times New Roman"/>
      <family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Arial"/>
      <family val="2"/>
    </font>
    <font>
      <sz val="11"/>
      <name val="Arial"/>
      <family val="2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Times New Roman"/>
      <family val="1"/>
    </font>
    <font>
      <sz val="10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auto="1"/>
      </right>
      <top style="medium">
        <color indexed="64"/>
      </top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0" fontId="3" fillId="0" borderId="0"/>
    <xf numFmtId="167" fontId="3" fillId="0" borderId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169" fontId="25" fillId="0" borderId="0" applyBorder="0" applyProtection="0"/>
  </cellStyleXfs>
  <cellXfs count="18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6" fontId="2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6" fontId="6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6" fontId="0" fillId="0" borderId="0" xfId="0" applyNumberFormat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4" fontId="0" fillId="0" borderId="0" xfId="1" applyFont="1"/>
    <xf numFmtId="0" fontId="0" fillId="0" borderId="0" xfId="0" applyAlignment="1">
      <alignment horizontal="left" vertical="center" wrapText="1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166" fontId="9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2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6" xfId="0" applyFont="1" applyBorder="1" applyAlignment="1">
      <alignment vertical="center"/>
    </xf>
    <xf numFmtId="0" fontId="18" fillId="0" borderId="5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 indent="1"/>
    </xf>
    <xf numFmtId="0" fontId="15" fillId="0" borderId="6" xfId="0" applyFont="1" applyBorder="1" applyAlignment="1">
      <alignment horizontal="left" vertical="center" wrapText="1" indent="1"/>
    </xf>
    <xf numFmtId="3" fontId="23" fillId="0" borderId="3" xfId="5" applyNumberFormat="1" applyFont="1" applyBorder="1"/>
    <xf numFmtId="168" fontId="3" fillId="0" borderId="3" xfId="5" applyNumberFormat="1" applyBorder="1" applyAlignment="1">
      <alignment horizontal="left"/>
    </xf>
    <xf numFmtId="0" fontId="3" fillId="0" borderId="3" xfId="5" applyBorder="1"/>
    <xf numFmtId="0" fontId="3" fillId="0" borderId="5" xfId="5" applyBorder="1"/>
    <xf numFmtId="0" fontId="3" fillId="0" borderId="0" xfId="5"/>
    <xf numFmtId="0" fontId="3" fillId="0" borderId="0" xfId="5" applyAlignment="1">
      <alignment horizontal="left"/>
    </xf>
    <xf numFmtId="168" fontId="3" fillId="0" borderId="0" xfId="5" applyNumberFormat="1" applyAlignment="1">
      <alignment horizontal="left"/>
    </xf>
    <xf numFmtId="0" fontId="3" fillId="0" borderId="6" xfId="5" applyBorder="1"/>
    <xf numFmtId="0" fontId="3" fillId="0" borderId="12" xfId="5" applyBorder="1"/>
    <xf numFmtId="0" fontId="3" fillId="0" borderId="13" xfId="5" applyBorder="1"/>
    <xf numFmtId="0" fontId="3" fillId="0" borderId="13" xfId="5" applyBorder="1" applyAlignment="1">
      <alignment horizontal="left"/>
    </xf>
    <xf numFmtId="0" fontId="3" fillId="0" borderId="36" xfId="5" applyBorder="1"/>
    <xf numFmtId="0" fontId="28" fillId="0" borderId="39" xfId="5" applyFont="1" applyBorder="1" applyAlignment="1">
      <alignment horizontal="center" vertical="center"/>
    </xf>
    <xf numFmtId="0" fontId="28" fillId="0" borderId="40" xfId="5" applyFont="1" applyBorder="1" applyAlignment="1">
      <alignment horizontal="center" vertical="center"/>
    </xf>
    <xf numFmtId="0" fontId="28" fillId="0" borderId="40" xfId="5" applyFont="1" applyBorder="1" applyAlignment="1">
      <alignment horizontal="left" vertical="center"/>
    </xf>
    <xf numFmtId="0" fontId="28" fillId="0" borderId="41" xfId="5" applyFont="1" applyBorder="1" applyAlignment="1">
      <alignment horizontal="center" vertical="center"/>
    </xf>
    <xf numFmtId="0" fontId="28" fillId="0" borderId="42" xfId="5" applyFont="1" applyBorder="1" applyAlignment="1">
      <alignment horizontal="center" vertical="center"/>
    </xf>
    <xf numFmtId="0" fontId="3" fillId="0" borderId="43" xfId="5" applyBorder="1" applyAlignment="1">
      <alignment horizontal="center" vertical="center"/>
    </xf>
    <xf numFmtId="0" fontId="3" fillId="0" borderId="44" xfId="5" applyBorder="1" applyAlignment="1">
      <alignment horizontal="center" vertical="center"/>
    </xf>
    <xf numFmtId="0" fontId="3" fillId="0" borderId="45" xfId="5" applyBorder="1" applyAlignment="1">
      <alignment horizontal="center" vertical="center"/>
    </xf>
    <xf numFmtId="170" fontId="0" fillId="0" borderId="47" xfId="8" applyNumberFormat="1" applyFont="1" applyBorder="1" applyAlignment="1" applyProtection="1">
      <alignment horizontal="center" vertical="center"/>
    </xf>
    <xf numFmtId="0" fontId="3" fillId="0" borderId="48" xfId="5" applyBorder="1" applyAlignment="1">
      <alignment horizontal="center" vertical="center"/>
    </xf>
    <xf numFmtId="0" fontId="3" fillId="0" borderId="49" xfId="5" applyBorder="1" applyAlignment="1">
      <alignment horizontal="center" vertical="center"/>
    </xf>
    <xf numFmtId="0" fontId="3" fillId="0" borderId="50" xfId="5" applyBorder="1" applyAlignment="1">
      <alignment horizontal="center" vertical="center"/>
    </xf>
    <xf numFmtId="0" fontId="3" fillId="0" borderId="51" xfId="5" applyBorder="1" applyAlignment="1">
      <alignment horizontal="center" vertical="center"/>
    </xf>
    <xf numFmtId="170" fontId="0" fillId="0" borderId="52" xfId="8" applyNumberFormat="1" applyFont="1" applyBorder="1" applyAlignment="1" applyProtection="1">
      <alignment horizontal="center" vertical="center"/>
    </xf>
    <xf numFmtId="0" fontId="26" fillId="0" borderId="48" xfId="5" applyFont="1" applyBorder="1" applyAlignment="1">
      <alignment horizontal="center" vertical="center"/>
    </xf>
    <xf numFmtId="0" fontId="26" fillId="0" borderId="49" xfId="5" applyFont="1" applyBorder="1" applyAlignment="1">
      <alignment horizontal="center" vertical="center"/>
    </xf>
    <xf numFmtId="0" fontId="26" fillId="0" borderId="50" xfId="5" applyFont="1" applyBorder="1" applyAlignment="1">
      <alignment horizontal="center" vertical="center"/>
    </xf>
    <xf numFmtId="0" fontId="26" fillId="0" borderId="51" xfId="5" applyFont="1" applyBorder="1" applyAlignment="1">
      <alignment horizontal="center" vertical="center"/>
    </xf>
    <xf numFmtId="0" fontId="3" fillId="0" borderId="53" xfId="5" applyBorder="1" applyAlignment="1">
      <alignment horizontal="center" vertical="center"/>
    </xf>
    <xf numFmtId="0" fontId="3" fillId="0" borderId="54" xfId="5" applyBorder="1" applyAlignment="1">
      <alignment horizontal="center" vertical="center"/>
    </xf>
    <xf numFmtId="0" fontId="3" fillId="0" borderId="55" xfId="5" applyBorder="1" applyAlignment="1">
      <alignment horizontal="center" vertical="center"/>
    </xf>
    <xf numFmtId="170" fontId="0" fillId="0" borderId="56" xfId="8" applyNumberFormat="1" applyFont="1" applyBorder="1" applyAlignment="1" applyProtection="1">
      <alignment horizontal="center" vertical="center"/>
    </xf>
    <xf numFmtId="170" fontId="28" fillId="0" borderId="58" xfId="5" applyNumberFormat="1" applyFont="1" applyBorder="1" applyAlignment="1">
      <alignment horizontal="center" vertical="center"/>
    </xf>
    <xf numFmtId="166" fontId="0" fillId="0" borderId="0" xfId="0" applyNumberFormat="1"/>
    <xf numFmtId="166" fontId="11" fillId="0" borderId="0" xfId="0" applyNumberFormat="1" applyFont="1"/>
    <xf numFmtId="0" fontId="5" fillId="0" borderId="5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wrapText="1"/>
    </xf>
    <xf numFmtId="166" fontId="9" fillId="0" borderId="1" xfId="0" applyNumberFormat="1" applyFont="1" applyBorder="1" applyAlignment="1">
      <alignment horizontal="center" vertical="center" wrapText="1"/>
    </xf>
    <xf numFmtId="166" fontId="9" fillId="0" borderId="59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166" fontId="10" fillId="0" borderId="1" xfId="1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2" fillId="0" borderId="6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4" fontId="2" fillId="0" borderId="60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15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30" fillId="0" borderId="1" xfId="0" applyFont="1" applyBorder="1" applyAlignment="1">
      <alignment wrapText="1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6" fillId="0" borderId="18" xfId="0" applyFont="1" applyBorder="1" applyAlignment="1">
      <alignment horizontal="left" vertical="center" wrapText="1"/>
    </xf>
    <xf numFmtId="0" fontId="17" fillId="0" borderId="14" xfId="5" applyFont="1" applyBorder="1" applyAlignment="1">
      <alignment horizontal="left" wrapText="1" indent="1"/>
    </xf>
    <xf numFmtId="0" fontId="17" fillId="0" borderId="19" xfId="5" applyFont="1" applyBorder="1" applyAlignment="1">
      <alignment horizontal="left" wrapText="1" indent="1"/>
    </xf>
    <xf numFmtId="0" fontId="17" fillId="0" borderId="20" xfId="5" applyFont="1" applyBorder="1" applyAlignment="1">
      <alignment horizontal="left" wrapText="1" indent="1"/>
    </xf>
    <xf numFmtId="0" fontId="13" fillId="0" borderId="2" xfId="0" applyFont="1" applyBorder="1" applyAlignment="1">
      <alignment horizontal="center" vertical="center"/>
    </xf>
    <xf numFmtId="0" fontId="16" fillId="0" borderId="14" xfId="0" applyFont="1" applyBorder="1" applyAlignment="1">
      <alignment horizontal="left" vertical="center" wrapText="1"/>
    </xf>
    <xf numFmtId="0" fontId="17" fillId="0" borderId="15" xfId="5" applyFont="1" applyBorder="1" applyAlignment="1">
      <alignment horizontal="left" wrapText="1" indent="1"/>
    </xf>
    <xf numFmtId="0" fontId="17" fillId="0" borderId="16" xfId="5" applyFont="1" applyBorder="1" applyAlignment="1">
      <alignment horizontal="left" wrapText="1" indent="1"/>
    </xf>
    <xf numFmtId="0" fontId="17" fillId="0" borderId="17" xfId="5" applyFont="1" applyBorder="1" applyAlignment="1">
      <alignment horizontal="left" wrapText="1" indent="1"/>
    </xf>
    <xf numFmtId="0" fontId="17" fillId="0" borderId="21" xfId="0" applyFont="1" applyBorder="1" applyAlignment="1">
      <alignment horizontal="left" vertical="center" wrapText="1" indent="1"/>
    </xf>
    <xf numFmtId="0" fontId="16" fillId="0" borderId="22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 wrapText="1" indent="1"/>
    </xf>
    <xf numFmtId="0" fontId="20" fillId="0" borderId="7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 wrapText="1"/>
    </xf>
    <xf numFmtId="165" fontId="21" fillId="0" borderId="62" xfId="0" applyNumberFormat="1" applyFont="1" applyBorder="1" applyAlignment="1">
      <alignment horizontal="center" vertical="center"/>
    </xf>
    <xf numFmtId="165" fontId="21" fillId="0" borderId="63" xfId="0" applyNumberFormat="1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2" fillId="0" borderId="60" xfId="0" applyFont="1" applyBorder="1" applyAlignment="1">
      <alignment vertical="center" wrapText="1"/>
    </xf>
    <xf numFmtId="0" fontId="19" fillId="0" borderId="24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61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26" fillId="0" borderId="34" xfId="5" applyFont="1" applyBorder="1" applyAlignment="1">
      <alignment horizontal="left"/>
    </xf>
    <xf numFmtId="0" fontId="22" fillId="0" borderId="27" xfId="5" applyFont="1" applyBorder="1" applyAlignment="1">
      <alignment horizontal="center"/>
    </xf>
    <xf numFmtId="0" fontId="22" fillId="0" borderId="29" xfId="5" applyFont="1" applyBorder="1" applyAlignment="1">
      <alignment horizontal="center"/>
    </xf>
    <xf numFmtId="0" fontId="22" fillId="0" borderId="30" xfId="5" applyFont="1" applyBorder="1" applyAlignment="1">
      <alignment horizontal="center"/>
    </xf>
    <xf numFmtId="0" fontId="24" fillId="0" borderId="11" xfId="5" applyFont="1" applyBorder="1" applyAlignment="1">
      <alignment horizontal="center" vertical="center" wrapText="1"/>
    </xf>
    <xf numFmtId="0" fontId="2" fillId="0" borderId="31" xfId="5" applyFont="1" applyBorder="1"/>
    <xf numFmtId="0" fontId="29" fillId="0" borderId="32" xfId="5" applyFont="1" applyBorder="1" applyAlignment="1">
      <alignment horizontal="left" indent="1"/>
    </xf>
    <xf numFmtId="0" fontId="2" fillId="0" borderId="31" xfId="5" applyFont="1" applyBorder="1" applyAlignment="1">
      <alignment horizontal="left" vertical="center" wrapText="1"/>
    </xf>
    <xf numFmtId="0" fontId="27" fillId="0" borderId="33" xfId="5" applyFont="1" applyBorder="1" applyAlignment="1">
      <alignment horizontal="left"/>
    </xf>
    <xf numFmtId="0" fontId="3" fillId="0" borderId="51" xfId="5" applyBorder="1" applyAlignment="1">
      <alignment horizontal="center" vertical="center"/>
    </xf>
    <xf numFmtId="49" fontId="26" fillId="0" borderId="35" xfId="5" applyNumberFormat="1" applyFont="1" applyBorder="1" applyAlignment="1">
      <alignment horizontal="justify" vertical="center" wrapText="1"/>
    </xf>
    <xf numFmtId="0" fontId="28" fillId="0" borderId="34" xfId="5" applyFont="1" applyBorder="1" applyAlignment="1">
      <alignment horizontal="center" vertical="center"/>
    </xf>
    <xf numFmtId="0" fontId="28" fillId="0" borderId="31" xfId="5" applyFont="1" applyBorder="1" applyAlignment="1">
      <alignment horizontal="center" vertical="center"/>
    </xf>
    <xf numFmtId="0" fontId="28" fillId="0" borderId="37" xfId="5" applyFont="1" applyBorder="1" applyAlignment="1">
      <alignment horizontal="center" vertical="center" wrapText="1"/>
    </xf>
    <xf numFmtId="0" fontId="28" fillId="0" borderId="38" xfId="5" applyFont="1" applyBorder="1" applyAlignment="1">
      <alignment horizontal="center" vertical="center"/>
    </xf>
    <xf numFmtId="0" fontId="3" fillId="0" borderId="45" xfId="5" applyBorder="1" applyAlignment="1">
      <alignment horizontal="center" vertical="center" wrapText="1"/>
    </xf>
    <xf numFmtId="0" fontId="3" fillId="0" borderId="46" xfId="5" applyBorder="1" applyAlignment="1">
      <alignment horizontal="center" vertical="center" wrapText="1"/>
    </xf>
    <xf numFmtId="0" fontId="3" fillId="0" borderId="51" xfId="5" applyBorder="1" applyAlignment="1">
      <alignment horizontal="left" vertical="center"/>
    </xf>
    <xf numFmtId="0" fontId="3" fillId="0" borderId="51" xfId="5" applyBorder="1" applyAlignment="1">
      <alignment horizontal="center"/>
    </xf>
    <xf numFmtId="0" fontId="23" fillId="0" borderId="5" xfId="5" applyFont="1" applyBorder="1" applyAlignment="1">
      <alignment horizontal="left" vertical="top" wrapText="1"/>
    </xf>
    <xf numFmtId="0" fontId="23" fillId="0" borderId="0" xfId="5" applyFont="1" applyAlignment="1">
      <alignment horizontal="left" vertical="top" wrapText="1"/>
    </xf>
    <xf numFmtId="0" fontId="23" fillId="0" borderId="6" xfId="5" applyFont="1" applyBorder="1" applyAlignment="1">
      <alignment horizontal="left" vertical="top" wrapText="1"/>
    </xf>
    <xf numFmtId="0" fontId="23" fillId="0" borderId="5" xfId="5" applyFont="1" applyBorder="1" applyAlignment="1">
      <alignment horizontal="left" vertical="center" wrapText="1"/>
    </xf>
    <xf numFmtId="0" fontId="23" fillId="0" borderId="0" xfId="5" applyFont="1" applyAlignment="1">
      <alignment horizontal="left" vertical="center" wrapText="1"/>
    </xf>
    <xf numFmtId="0" fontId="23" fillId="0" borderId="6" xfId="5" applyFont="1" applyBorder="1" applyAlignment="1">
      <alignment horizontal="left" vertical="center" wrapText="1"/>
    </xf>
    <xf numFmtId="0" fontId="23" fillId="0" borderId="7" xfId="5" applyFont="1" applyBorder="1" applyAlignment="1">
      <alignment horizontal="left" vertical="center" wrapText="1"/>
    </xf>
    <xf numFmtId="0" fontId="23" fillId="0" borderId="8" xfId="5" applyFont="1" applyBorder="1" applyAlignment="1">
      <alignment horizontal="left" vertical="center" wrapText="1"/>
    </xf>
    <xf numFmtId="0" fontId="23" fillId="0" borderId="9" xfId="5" applyFont="1" applyBorder="1" applyAlignment="1">
      <alignment horizontal="left" vertical="center" wrapText="1"/>
    </xf>
    <xf numFmtId="0" fontId="3" fillId="0" borderId="54" xfId="5" applyBorder="1" applyAlignment="1">
      <alignment horizontal="left" vertical="center"/>
    </xf>
    <xf numFmtId="0" fontId="23" fillId="0" borderId="57" xfId="5" applyFont="1" applyBorder="1" applyAlignment="1">
      <alignment horizontal="left" vertical="center" wrapText="1"/>
    </xf>
    <xf numFmtId="0" fontId="3" fillId="0" borderId="34" xfId="5" applyBorder="1"/>
    <xf numFmtId="0" fontId="9" fillId="0" borderId="0" xfId="0" applyFon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 wrapText="1"/>
    </xf>
  </cellXfs>
  <cellStyles count="9">
    <cellStyle name="Moneda" xfId="1" builtinId="4"/>
    <cellStyle name="Moneda 2" xfId="3" xr:uid="{00000000-0005-0000-0000-000001000000}"/>
    <cellStyle name="Moneda_AUTORIZACION Y NOTA DE PEDIDO" xfId="8" xr:uid="{00000000-0005-0000-0000-000002000000}"/>
    <cellStyle name="Normal" xfId="0" builtinId="0"/>
    <cellStyle name="Normal 2" xfId="2" xr:uid="{00000000-0005-0000-0000-000004000000}"/>
    <cellStyle name="Normal 2 2" xfId="5" xr:uid="{00000000-0005-0000-0000-000005000000}"/>
    <cellStyle name="Normal 3" xfId="7" xr:uid="{00000000-0005-0000-0000-000006000000}"/>
    <cellStyle name="Normal 4" xfId="6" xr:uid="{00000000-0005-0000-0000-000007000000}"/>
    <cellStyle name="Normal 5" xfId="4" xr:uid="{00000000-0005-0000-0000-000008000000}"/>
  </cellStyles>
  <dxfs count="12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208"/>
  <sheetViews>
    <sheetView tabSelected="1" topLeftCell="D3" zoomScaleNormal="100" workbookViewId="0">
      <selection activeCell="E13" sqref="E13"/>
    </sheetView>
  </sheetViews>
  <sheetFormatPr baseColWidth="10" defaultRowHeight="15" x14ac:dyDescent="0.25"/>
  <cols>
    <col min="1" max="1" width="6.85546875" style="14" customWidth="1"/>
    <col min="2" max="2" width="14.42578125" style="14" bestFit="1" customWidth="1"/>
    <col min="3" max="3" width="37" style="14" bestFit="1" customWidth="1"/>
    <col min="4" max="4" width="7.28515625" style="14" customWidth="1"/>
    <col min="5" max="5" width="90" style="23" customWidth="1"/>
    <col min="6" max="6" width="17.28515625" style="14" customWidth="1"/>
    <col min="7" max="7" width="18.42578125" style="29" bestFit="1" customWidth="1"/>
    <col min="8" max="8" width="13.85546875" style="18" customWidth="1"/>
    <col min="9" max="9" width="17.28515625" style="18" bestFit="1" customWidth="1"/>
    <col min="10" max="10" width="53.28515625" customWidth="1"/>
  </cols>
  <sheetData>
    <row r="1" spans="1:14" x14ac:dyDescent="0.25">
      <c r="A1" s="7">
        <v>2022</v>
      </c>
      <c r="B1" s="2"/>
      <c r="C1" s="1"/>
      <c r="D1" s="1"/>
      <c r="E1" s="15"/>
      <c r="F1" s="1"/>
      <c r="G1" s="3"/>
      <c r="H1" s="11"/>
      <c r="I1" s="20"/>
    </row>
    <row r="2" spans="1:14" x14ac:dyDescent="0.25">
      <c r="A2" s="1"/>
      <c r="B2" s="120" t="s">
        <v>0</v>
      </c>
      <c r="C2" s="120"/>
      <c r="D2" s="120"/>
      <c r="E2" s="120"/>
      <c r="F2" s="120"/>
      <c r="G2" s="120"/>
      <c r="H2" s="120"/>
      <c r="I2" s="20"/>
    </row>
    <row r="3" spans="1:14" x14ac:dyDescent="0.25">
      <c r="A3" s="1"/>
      <c r="B3" s="2"/>
      <c r="C3" s="1"/>
      <c r="D3" s="1"/>
      <c r="E3" s="15"/>
      <c r="F3" s="1"/>
      <c r="G3" s="3"/>
      <c r="H3" s="11"/>
      <c r="I3" s="20"/>
    </row>
    <row r="4" spans="1:14" x14ac:dyDescent="0.25">
      <c r="A4" s="119" t="s">
        <v>1</v>
      </c>
      <c r="B4" s="119"/>
      <c r="C4" s="121" t="s">
        <v>15</v>
      </c>
      <c r="D4" s="121"/>
      <c r="E4" s="121"/>
      <c r="F4" s="6"/>
      <c r="G4" s="4"/>
      <c r="H4" s="11"/>
      <c r="I4" s="20"/>
    </row>
    <row r="5" spans="1:14" x14ac:dyDescent="0.25">
      <c r="A5" s="119" t="s">
        <v>2</v>
      </c>
      <c r="B5" s="119"/>
      <c r="C5" s="122" t="s">
        <v>14</v>
      </c>
      <c r="D5" s="122"/>
      <c r="E5" s="122"/>
      <c r="F5" s="6"/>
      <c r="G5" s="4"/>
      <c r="H5" s="11"/>
      <c r="I5" s="20"/>
    </row>
    <row r="6" spans="1:14" x14ac:dyDescent="0.25">
      <c r="A6" s="119" t="s">
        <v>3</v>
      </c>
      <c r="B6" s="119"/>
      <c r="C6" s="5">
        <v>2022</v>
      </c>
      <c r="D6" s="12"/>
      <c r="E6" s="5"/>
      <c r="F6" s="6"/>
      <c r="G6" s="4"/>
      <c r="H6" s="11"/>
      <c r="I6" s="20"/>
    </row>
    <row r="7" spans="1:14" x14ac:dyDescent="0.25">
      <c r="A7" s="119" t="s">
        <v>4</v>
      </c>
      <c r="B7" s="119"/>
      <c r="C7" s="5" t="s">
        <v>102</v>
      </c>
      <c r="D7" s="12"/>
      <c r="E7" s="5"/>
      <c r="F7" s="6"/>
      <c r="G7" s="4"/>
      <c r="H7" s="11"/>
      <c r="I7" s="20"/>
    </row>
    <row r="8" spans="1:14" x14ac:dyDescent="0.25">
      <c r="A8" s="1"/>
      <c r="B8" s="6"/>
      <c r="C8" s="6"/>
      <c r="D8" s="6"/>
      <c r="E8" s="16"/>
      <c r="F8" s="6"/>
      <c r="G8" s="4"/>
      <c r="H8" s="11"/>
      <c r="I8" s="20"/>
    </row>
    <row r="9" spans="1:14" ht="38.25" x14ac:dyDescent="0.25">
      <c r="A9" s="76" t="s">
        <v>5</v>
      </c>
      <c r="B9" s="8" t="s">
        <v>6</v>
      </c>
      <c r="C9" s="9" t="s">
        <v>7</v>
      </c>
      <c r="D9" s="8" t="s">
        <v>8</v>
      </c>
      <c r="E9" s="17" t="s">
        <v>9</v>
      </c>
      <c r="F9" s="9" t="s">
        <v>10</v>
      </c>
      <c r="G9" s="10" t="s">
        <v>11</v>
      </c>
      <c r="H9" s="13" t="s">
        <v>12</v>
      </c>
      <c r="I9" s="19" t="s">
        <v>13</v>
      </c>
      <c r="J9" s="21" t="s">
        <v>16</v>
      </c>
    </row>
    <row r="10" spans="1:14" s="81" customFormat="1" ht="25.5" x14ac:dyDescent="0.25">
      <c r="A10" s="79">
        <v>1</v>
      </c>
      <c r="B10" s="77" t="s">
        <v>75</v>
      </c>
      <c r="C10" s="78" t="s">
        <v>81</v>
      </c>
      <c r="D10" s="79" t="s">
        <v>82</v>
      </c>
      <c r="E10" s="78" t="s">
        <v>95</v>
      </c>
      <c r="F10" s="79" t="s">
        <v>133</v>
      </c>
      <c r="G10" s="79">
        <v>7</v>
      </c>
      <c r="H10" s="82">
        <v>83000</v>
      </c>
      <c r="I10" s="82">
        <f t="shared" ref="I10:I54" si="0">+G10*H10</f>
        <v>581000</v>
      </c>
      <c r="J10" s="78" t="s">
        <v>112</v>
      </c>
      <c r="K10" s="80"/>
      <c r="L10" s="80"/>
      <c r="M10" s="80"/>
      <c r="N10" s="80"/>
    </row>
    <row r="11" spans="1:14" s="81" customFormat="1" ht="25.5" x14ac:dyDescent="0.25">
      <c r="A11" s="79">
        <v>2</v>
      </c>
      <c r="B11" s="79" t="s">
        <v>180</v>
      </c>
      <c r="C11" s="104" t="s">
        <v>81</v>
      </c>
      <c r="D11" s="104" t="s">
        <v>82</v>
      </c>
      <c r="E11" s="104" t="s">
        <v>181</v>
      </c>
      <c r="F11" s="79" t="s">
        <v>133</v>
      </c>
      <c r="G11" s="79">
        <v>15</v>
      </c>
      <c r="H11" s="82">
        <v>73000</v>
      </c>
      <c r="I11" s="82">
        <f t="shared" si="0"/>
        <v>1095000</v>
      </c>
      <c r="J11" s="78" t="s">
        <v>111</v>
      </c>
      <c r="K11" s="80"/>
      <c r="L11" s="80"/>
      <c r="M11" s="80"/>
      <c r="N11" s="80"/>
    </row>
    <row r="12" spans="1:14" s="81" customFormat="1" ht="25.5" x14ac:dyDescent="0.25">
      <c r="A12" s="79">
        <v>3</v>
      </c>
      <c r="B12" s="79" t="s">
        <v>182</v>
      </c>
      <c r="C12" s="104" t="s">
        <v>81</v>
      </c>
      <c r="D12" s="104" t="s">
        <v>82</v>
      </c>
      <c r="E12" s="104" t="s">
        <v>183</v>
      </c>
      <c r="F12" s="79" t="s">
        <v>133</v>
      </c>
      <c r="G12" s="79">
        <v>10</v>
      </c>
      <c r="H12" s="82">
        <v>79000</v>
      </c>
      <c r="I12" s="82">
        <f t="shared" si="0"/>
        <v>790000</v>
      </c>
      <c r="J12" s="78" t="s">
        <v>113</v>
      </c>
      <c r="K12" s="80"/>
      <c r="L12" s="80"/>
      <c r="M12" s="80"/>
      <c r="N12" s="80"/>
    </row>
    <row r="13" spans="1:14" s="81" customFormat="1" ht="25.5" x14ac:dyDescent="0.25">
      <c r="A13" s="79">
        <v>4</v>
      </c>
      <c r="B13" s="79" t="s">
        <v>186</v>
      </c>
      <c r="C13" s="104" t="s">
        <v>81</v>
      </c>
      <c r="D13" s="104" t="s">
        <v>82</v>
      </c>
      <c r="E13" s="104" t="s">
        <v>187</v>
      </c>
      <c r="F13" s="79" t="s">
        <v>133</v>
      </c>
      <c r="G13" s="79">
        <v>5</v>
      </c>
      <c r="H13" s="82">
        <v>94000</v>
      </c>
      <c r="I13" s="82">
        <f t="shared" si="0"/>
        <v>470000</v>
      </c>
      <c r="J13" s="78" t="s">
        <v>114</v>
      </c>
      <c r="K13" s="80"/>
      <c r="L13" s="80"/>
      <c r="M13" s="80"/>
      <c r="N13" s="80"/>
    </row>
    <row r="14" spans="1:14" s="81" customFormat="1" ht="25.5" x14ac:dyDescent="0.25">
      <c r="A14" s="79">
        <v>5</v>
      </c>
      <c r="B14" s="79" t="s">
        <v>184</v>
      </c>
      <c r="C14" s="104" t="s">
        <v>81</v>
      </c>
      <c r="D14" s="104" t="s">
        <v>82</v>
      </c>
      <c r="E14" s="104" t="s">
        <v>185</v>
      </c>
      <c r="F14" s="79" t="s">
        <v>133</v>
      </c>
      <c r="G14" s="79">
        <v>3</v>
      </c>
      <c r="H14" s="82">
        <v>126000</v>
      </c>
      <c r="I14" s="82">
        <f t="shared" si="0"/>
        <v>378000</v>
      </c>
      <c r="J14" s="78" t="s">
        <v>115</v>
      </c>
      <c r="K14" s="80"/>
      <c r="L14" s="80"/>
      <c r="M14" s="80"/>
      <c r="N14" s="80"/>
    </row>
    <row r="15" spans="1:14" s="81" customFormat="1" ht="25.5" x14ac:dyDescent="0.25">
      <c r="A15" s="79">
        <v>6</v>
      </c>
      <c r="B15" s="109" t="s">
        <v>188</v>
      </c>
      <c r="C15" s="105" t="s">
        <v>81</v>
      </c>
      <c r="D15" s="79" t="s">
        <v>82</v>
      </c>
      <c r="E15" s="78" t="s">
        <v>189</v>
      </c>
      <c r="F15" s="79" t="s">
        <v>133</v>
      </c>
      <c r="G15" s="79">
        <v>10</v>
      </c>
      <c r="H15" s="82">
        <v>20500</v>
      </c>
      <c r="I15" s="82">
        <f t="shared" si="0"/>
        <v>205000</v>
      </c>
      <c r="J15" s="78" t="s">
        <v>119</v>
      </c>
      <c r="K15" s="80"/>
      <c r="L15" s="80"/>
      <c r="M15" s="80"/>
      <c r="N15" s="80"/>
    </row>
    <row r="16" spans="1:14" s="81" customFormat="1" x14ac:dyDescent="0.25">
      <c r="A16" s="79">
        <v>7</v>
      </c>
      <c r="B16" s="77" t="s">
        <v>78</v>
      </c>
      <c r="C16" s="78" t="s">
        <v>81</v>
      </c>
      <c r="D16" s="79" t="s">
        <v>82</v>
      </c>
      <c r="E16" s="78" t="s">
        <v>98</v>
      </c>
      <c r="F16" s="79" t="s">
        <v>133</v>
      </c>
      <c r="G16" s="79">
        <v>4</v>
      </c>
      <c r="H16" s="82">
        <v>13500</v>
      </c>
      <c r="I16" s="82">
        <f t="shared" si="0"/>
        <v>54000</v>
      </c>
      <c r="J16" s="78" t="s">
        <v>127</v>
      </c>
      <c r="K16" s="80"/>
      <c r="L16" s="80"/>
      <c r="M16" s="80"/>
      <c r="N16" s="80"/>
    </row>
    <row r="17" spans="1:14" s="81" customFormat="1" x14ac:dyDescent="0.25">
      <c r="A17" s="79">
        <v>8</v>
      </c>
      <c r="B17" s="77" t="s">
        <v>78</v>
      </c>
      <c r="C17" s="78" t="s">
        <v>81</v>
      </c>
      <c r="D17" s="79" t="s">
        <v>82</v>
      </c>
      <c r="E17" s="78" t="s">
        <v>98</v>
      </c>
      <c r="F17" s="79" t="s">
        <v>133</v>
      </c>
      <c r="G17" s="79">
        <v>3</v>
      </c>
      <c r="H17" s="82">
        <v>13500</v>
      </c>
      <c r="I17" s="82">
        <f t="shared" si="0"/>
        <v>40500</v>
      </c>
      <c r="J17" s="78" t="s">
        <v>128</v>
      </c>
      <c r="K17" s="80"/>
      <c r="L17" s="80"/>
      <c r="M17" s="80"/>
      <c r="N17" s="80"/>
    </row>
    <row r="18" spans="1:14" s="81" customFormat="1" x14ac:dyDescent="0.25">
      <c r="A18" s="79">
        <v>9</v>
      </c>
      <c r="B18" s="77" t="s">
        <v>78</v>
      </c>
      <c r="C18" s="78" t="s">
        <v>81</v>
      </c>
      <c r="D18" s="79" t="s">
        <v>82</v>
      </c>
      <c r="E18" s="78" t="s">
        <v>98</v>
      </c>
      <c r="F18" s="79" t="s">
        <v>133</v>
      </c>
      <c r="G18" s="79">
        <v>3</v>
      </c>
      <c r="H18" s="82">
        <v>13500</v>
      </c>
      <c r="I18" s="82">
        <f t="shared" si="0"/>
        <v>40500</v>
      </c>
      <c r="J18" s="78" t="s">
        <v>129</v>
      </c>
      <c r="K18" s="80"/>
      <c r="L18" s="80"/>
      <c r="M18" s="80"/>
      <c r="N18" s="80"/>
    </row>
    <row r="19" spans="1:14" s="81" customFormat="1" ht="25.5" x14ac:dyDescent="0.25">
      <c r="A19" s="79">
        <v>10</v>
      </c>
      <c r="B19" s="77" t="s">
        <v>68</v>
      </c>
      <c r="C19" s="78" t="s">
        <v>81</v>
      </c>
      <c r="D19" s="79" t="s">
        <v>82</v>
      </c>
      <c r="E19" s="78" t="s">
        <v>88</v>
      </c>
      <c r="F19" s="79" t="s">
        <v>133</v>
      </c>
      <c r="G19" s="79">
        <v>10</v>
      </c>
      <c r="H19" s="82">
        <v>51000</v>
      </c>
      <c r="I19" s="82">
        <f t="shared" si="0"/>
        <v>510000</v>
      </c>
      <c r="J19" s="78" t="s">
        <v>122</v>
      </c>
      <c r="K19" s="80"/>
      <c r="L19" s="80"/>
      <c r="M19" s="80"/>
      <c r="N19" s="80"/>
    </row>
    <row r="20" spans="1:14" s="81" customFormat="1" ht="25.5" x14ac:dyDescent="0.25">
      <c r="A20" s="79">
        <v>11</v>
      </c>
      <c r="B20" s="77" t="s">
        <v>71</v>
      </c>
      <c r="C20" s="78" t="s">
        <v>81</v>
      </c>
      <c r="D20" s="79" t="s">
        <v>82</v>
      </c>
      <c r="E20" s="78" t="s">
        <v>91</v>
      </c>
      <c r="F20" s="79" t="s">
        <v>133</v>
      </c>
      <c r="G20" s="79">
        <v>15</v>
      </c>
      <c r="H20" s="82">
        <v>49000</v>
      </c>
      <c r="I20" s="82">
        <f t="shared" si="0"/>
        <v>735000</v>
      </c>
      <c r="J20" s="78" t="s">
        <v>108</v>
      </c>
      <c r="K20" s="80"/>
      <c r="L20" s="80"/>
      <c r="M20" s="80"/>
      <c r="N20" s="80"/>
    </row>
    <row r="21" spans="1:14" s="81" customFormat="1" ht="25.5" x14ac:dyDescent="0.25">
      <c r="A21" s="79">
        <v>12</v>
      </c>
      <c r="B21" s="77" t="s">
        <v>72</v>
      </c>
      <c r="C21" s="78" t="s">
        <v>81</v>
      </c>
      <c r="D21" s="79" t="s">
        <v>82</v>
      </c>
      <c r="E21" s="78" t="s">
        <v>92</v>
      </c>
      <c r="F21" s="79" t="s">
        <v>133</v>
      </c>
      <c r="G21" s="79">
        <v>7</v>
      </c>
      <c r="H21" s="82">
        <v>83000</v>
      </c>
      <c r="I21" s="82">
        <f t="shared" si="0"/>
        <v>581000</v>
      </c>
      <c r="J21" s="78" t="s">
        <v>109</v>
      </c>
      <c r="K21" s="80"/>
      <c r="L21" s="80"/>
      <c r="M21" s="80"/>
      <c r="N21" s="80"/>
    </row>
    <row r="22" spans="1:14" s="81" customFormat="1" ht="25.5" x14ac:dyDescent="0.25">
      <c r="A22" s="79">
        <v>13</v>
      </c>
      <c r="B22" s="77" t="s">
        <v>69</v>
      </c>
      <c r="C22" s="78" t="s">
        <v>81</v>
      </c>
      <c r="D22" s="79" t="s">
        <v>82</v>
      </c>
      <c r="E22" s="78" t="s">
        <v>89</v>
      </c>
      <c r="F22" s="79" t="s">
        <v>133</v>
      </c>
      <c r="G22" s="79">
        <v>15</v>
      </c>
      <c r="H22" s="82">
        <v>51000</v>
      </c>
      <c r="I22" s="82">
        <f t="shared" si="0"/>
        <v>765000</v>
      </c>
      <c r="J22" s="78" t="s">
        <v>107</v>
      </c>
      <c r="K22" s="80"/>
      <c r="L22" s="80"/>
      <c r="M22" s="80"/>
      <c r="N22" s="80"/>
    </row>
    <row r="23" spans="1:14" s="81" customFormat="1" ht="25.5" x14ac:dyDescent="0.25">
      <c r="A23" s="79">
        <v>14</v>
      </c>
      <c r="B23" s="77" t="s">
        <v>63</v>
      </c>
      <c r="C23" s="78" t="s">
        <v>81</v>
      </c>
      <c r="D23" s="79" t="s">
        <v>82</v>
      </c>
      <c r="E23" s="78" t="s">
        <v>83</v>
      </c>
      <c r="F23" s="79" t="s">
        <v>133</v>
      </c>
      <c r="G23" s="79">
        <v>30</v>
      </c>
      <c r="H23" s="82">
        <v>41000</v>
      </c>
      <c r="I23" s="82">
        <f t="shared" si="0"/>
        <v>1230000</v>
      </c>
      <c r="J23" s="78" t="s">
        <v>104</v>
      </c>
      <c r="K23" s="80"/>
      <c r="L23" s="80"/>
      <c r="M23" s="80"/>
      <c r="N23" s="80"/>
    </row>
    <row r="24" spans="1:14" s="81" customFormat="1" ht="25.5" x14ac:dyDescent="0.25">
      <c r="A24" s="79">
        <v>15</v>
      </c>
      <c r="B24" s="77" t="s">
        <v>64</v>
      </c>
      <c r="C24" s="78" t="s">
        <v>81</v>
      </c>
      <c r="D24" s="79" t="s">
        <v>82</v>
      </c>
      <c r="E24" s="78" t="s">
        <v>84</v>
      </c>
      <c r="F24" s="79" t="s">
        <v>133</v>
      </c>
      <c r="G24" s="79">
        <v>15</v>
      </c>
      <c r="H24" s="82">
        <v>46000</v>
      </c>
      <c r="I24" s="82">
        <f t="shared" si="0"/>
        <v>690000</v>
      </c>
      <c r="J24" s="78" t="s">
        <v>105</v>
      </c>
      <c r="K24" s="80"/>
      <c r="L24" s="80"/>
      <c r="M24" s="80"/>
      <c r="N24" s="80"/>
    </row>
    <row r="25" spans="1:14" s="81" customFormat="1" ht="35.25" customHeight="1" x14ac:dyDescent="0.25">
      <c r="A25" s="79">
        <v>16</v>
      </c>
      <c r="B25" s="77" t="s">
        <v>76</v>
      </c>
      <c r="C25" s="78" t="s">
        <v>81</v>
      </c>
      <c r="D25" s="79" t="s">
        <v>82</v>
      </c>
      <c r="E25" s="78" t="s">
        <v>96</v>
      </c>
      <c r="F25" s="79" t="s">
        <v>133</v>
      </c>
      <c r="G25" s="79">
        <v>3</v>
      </c>
      <c r="H25" s="82">
        <v>94000</v>
      </c>
      <c r="I25" s="82">
        <f t="shared" si="0"/>
        <v>282000</v>
      </c>
      <c r="J25" s="78" t="s">
        <v>195</v>
      </c>
      <c r="K25" s="80"/>
      <c r="L25" s="80"/>
      <c r="M25" s="80"/>
      <c r="N25" s="80"/>
    </row>
    <row r="26" spans="1:14" s="81" customFormat="1" ht="28.5" customHeight="1" x14ac:dyDescent="0.25">
      <c r="A26" s="79">
        <v>17</v>
      </c>
      <c r="B26" s="77" t="s">
        <v>76</v>
      </c>
      <c r="C26" s="78" t="s">
        <v>81</v>
      </c>
      <c r="D26" s="79" t="s">
        <v>82</v>
      </c>
      <c r="E26" s="78" t="s">
        <v>96</v>
      </c>
      <c r="F26" s="79" t="s">
        <v>133</v>
      </c>
      <c r="G26" s="79">
        <v>2</v>
      </c>
      <c r="H26" s="82">
        <v>94000</v>
      </c>
      <c r="I26" s="82">
        <f t="shared" si="0"/>
        <v>188000</v>
      </c>
      <c r="J26" s="78" t="s">
        <v>196</v>
      </c>
      <c r="K26" s="80"/>
      <c r="L26" s="80"/>
      <c r="M26" s="80"/>
      <c r="N26" s="80"/>
    </row>
    <row r="27" spans="1:14" s="81" customFormat="1" x14ac:dyDescent="0.25">
      <c r="A27" s="79">
        <v>18</v>
      </c>
      <c r="B27" s="77" t="s">
        <v>76</v>
      </c>
      <c r="C27" s="78" t="s">
        <v>81</v>
      </c>
      <c r="D27" s="79" t="s">
        <v>82</v>
      </c>
      <c r="E27" s="78" t="s">
        <v>96</v>
      </c>
      <c r="F27" s="79" t="s">
        <v>133</v>
      </c>
      <c r="G27" s="79">
        <v>10</v>
      </c>
      <c r="H27" s="82">
        <v>30000</v>
      </c>
      <c r="I27" s="82">
        <f t="shared" si="0"/>
        <v>300000</v>
      </c>
      <c r="J27" s="78" t="s">
        <v>117</v>
      </c>
      <c r="K27" s="80"/>
      <c r="L27" s="80"/>
      <c r="M27" s="80"/>
      <c r="N27" s="80"/>
    </row>
    <row r="28" spans="1:14" s="81" customFormat="1" ht="38.25" x14ac:dyDescent="0.25">
      <c r="A28" s="79">
        <v>19</v>
      </c>
      <c r="B28" s="77" t="s">
        <v>77</v>
      </c>
      <c r="C28" s="78" t="s">
        <v>81</v>
      </c>
      <c r="D28" s="79" t="s">
        <v>82</v>
      </c>
      <c r="E28" s="78" t="s">
        <v>97</v>
      </c>
      <c r="F28" s="79" t="s">
        <v>133</v>
      </c>
      <c r="G28" s="79">
        <v>3</v>
      </c>
      <c r="H28" s="82">
        <v>125000</v>
      </c>
      <c r="I28" s="82">
        <f t="shared" si="0"/>
        <v>375000</v>
      </c>
      <c r="J28" s="78" t="s">
        <v>116</v>
      </c>
      <c r="K28" s="80"/>
      <c r="L28" s="80"/>
      <c r="M28" s="80"/>
      <c r="N28" s="80"/>
    </row>
    <row r="29" spans="1:14" s="81" customFormat="1" ht="51" x14ac:dyDescent="0.25">
      <c r="A29" s="79">
        <v>20</v>
      </c>
      <c r="B29" s="77" t="s">
        <v>77</v>
      </c>
      <c r="C29" s="78" t="s">
        <v>81</v>
      </c>
      <c r="D29" s="79" t="s">
        <v>82</v>
      </c>
      <c r="E29" s="78" t="s">
        <v>97</v>
      </c>
      <c r="F29" s="79" t="s">
        <v>133</v>
      </c>
      <c r="G29" s="79">
        <v>2</v>
      </c>
      <c r="H29" s="82">
        <v>125000</v>
      </c>
      <c r="I29" s="82">
        <f t="shared" si="0"/>
        <v>250000</v>
      </c>
      <c r="J29" s="78" t="s">
        <v>121</v>
      </c>
      <c r="K29" s="80"/>
      <c r="L29" s="80"/>
      <c r="M29" s="80"/>
      <c r="N29" s="80"/>
    </row>
    <row r="30" spans="1:14" s="81" customFormat="1" ht="76.5" x14ac:dyDescent="0.25">
      <c r="A30" s="79">
        <v>21</v>
      </c>
      <c r="B30" s="77" t="s">
        <v>79</v>
      </c>
      <c r="C30" s="78" t="s">
        <v>81</v>
      </c>
      <c r="D30" s="79" t="s">
        <v>82</v>
      </c>
      <c r="E30" s="78" t="s">
        <v>99</v>
      </c>
      <c r="F30" s="79" t="s">
        <v>133</v>
      </c>
      <c r="G30" s="79">
        <v>2</v>
      </c>
      <c r="H30" s="82">
        <v>388000</v>
      </c>
      <c r="I30" s="82">
        <f t="shared" si="0"/>
        <v>776000</v>
      </c>
      <c r="J30" s="78" t="s">
        <v>120</v>
      </c>
      <c r="K30" s="80"/>
      <c r="L30" s="80"/>
      <c r="M30" s="80"/>
      <c r="N30" s="80"/>
    </row>
    <row r="31" spans="1:14" s="81" customFormat="1" ht="63.75" x14ac:dyDescent="0.25">
      <c r="A31" s="79">
        <v>22</v>
      </c>
      <c r="B31" s="77" t="s">
        <v>80</v>
      </c>
      <c r="C31" s="78" t="s">
        <v>81</v>
      </c>
      <c r="D31" s="79" t="s">
        <v>82</v>
      </c>
      <c r="E31" s="78" t="s">
        <v>100</v>
      </c>
      <c r="F31" s="79" t="s">
        <v>133</v>
      </c>
      <c r="G31" s="79">
        <v>2</v>
      </c>
      <c r="H31" s="82">
        <v>284000</v>
      </c>
      <c r="I31" s="82">
        <f t="shared" si="0"/>
        <v>568000</v>
      </c>
      <c r="J31" s="78" t="s">
        <v>197</v>
      </c>
      <c r="K31" s="80"/>
      <c r="L31" s="80"/>
      <c r="M31" s="80"/>
      <c r="N31" s="80"/>
    </row>
    <row r="32" spans="1:14" s="81" customFormat="1" ht="44.25" customHeight="1" x14ac:dyDescent="0.25">
      <c r="A32" s="79">
        <v>23</v>
      </c>
      <c r="B32" s="77" t="s">
        <v>73</v>
      </c>
      <c r="C32" s="78" t="s">
        <v>81</v>
      </c>
      <c r="D32" s="79" t="s">
        <v>82</v>
      </c>
      <c r="E32" s="78" t="s">
        <v>93</v>
      </c>
      <c r="F32" s="79" t="s">
        <v>133</v>
      </c>
      <c r="G32" s="79">
        <v>5</v>
      </c>
      <c r="H32" s="82">
        <v>73000</v>
      </c>
      <c r="I32" s="82">
        <f t="shared" si="0"/>
        <v>365000</v>
      </c>
      <c r="J32" s="78" t="s">
        <v>198</v>
      </c>
      <c r="K32" s="80"/>
      <c r="L32" s="80"/>
      <c r="M32" s="80"/>
      <c r="N32" s="80"/>
    </row>
    <row r="33" spans="1:14" s="81" customFormat="1" ht="25.5" x14ac:dyDescent="0.25">
      <c r="A33" s="79">
        <v>24</v>
      </c>
      <c r="B33" s="77" t="s">
        <v>73</v>
      </c>
      <c r="C33" s="78" t="s">
        <v>81</v>
      </c>
      <c r="D33" s="79" t="s">
        <v>82</v>
      </c>
      <c r="E33" s="78" t="s">
        <v>93</v>
      </c>
      <c r="F33" s="79" t="s">
        <v>133</v>
      </c>
      <c r="G33" s="79">
        <v>2</v>
      </c>
      <c r="H33" s="82">
        <v>83000</v>
      </c>
      <c r="I33" s="82">
        <f t="shared" si="0"/>
        <v>166000</v>
      </c>
      <c r="J33" s="78" t="s">
        <v>199</v>
      </c>
      <c r="K33" s="80"/>
      <c r="L33" s="80"/>
      <c r="M33" s="80"/>
      <c r="N33" s="80"/>
    </row>
    <row r="34" spans="1:14" s="81" customFormat="1" ht="25.5" x14ac:dyDescent="0.25">
      <c r="A34" s="79">
        <v>25</v>
      </c>
      <c r="B34" s="77" t="s">
        <v>70</v>
      </c>
      <c r="C34" s="78" t="s">
        <v>81</v>
      </c>
      <c r="D34" s="79" t="s">
        <v>82</v>
      </c>
      <c r="E34" s="78" t="s">
        <v>90</v>
      </c>
      <c r="F34" s="79" t="s">
        <v>133</v>
      </c>
      <c r="G34" s="79">
        <v>5</v>
      </c>
      <c r="H34" s="82">
        <v>62000</v>
      </c>
      <c r="I34" s="82">
        <f t="shared" si="0"/>
        <v>310000</v>
      </c>
      <c r="J34" s="78" t="s">
        <v>123</v>
      </c>
      <c r="K34" s="80"/>
      <c r="L34" s="80"/>
      <c r="M34" s="80"/>
      <c r="N34" s="80"/>
    </row>
    <row r="35" spans="1:14" s="81" customFormat="1" ht="25.5" x14ac:dyDescent="0.25">
      <c r="A35" s="79">
        <v>26</v>
      </c>
      <c r="B35" s="77" t="s">
        <v>70</v>
      </c>
      <c r="C35" s="78" t="s">
        <v>81</v>
      </c>
      <c r="D35" s="79" t="s">
        <v>82</v>
      </c>
      <c r="E35" s="78" t="s">
        <v>90</v>
      </c>
      <c r="F35" s="79" t="s">
        <v>133</v>
      </c>
      <c r="G35" s="79">
        <v>5</v>
      </c>
      <c r="H35" s="82">
        <v>62000</v>
      </c>
      <c r="I35" s="82">
        <f t="shared" si="0"/>
        <v>310000</v>
      </c>
      <c r="J35" s="78" t="s">
        <v>124</v>
      </c>
      <c r="K35" s="80"/>
      <c r="L35" s="80"/>
      <c r="M35" s="80"/>
      <c r="N35" s="80"/>
    </row>
    <row r="36" spans="1:14" s="81" customFormat="1" ht="25.5" x14ac:dyDescent="0.25">
      <c r="A36" s="79">
        <v>27</v>
      </c>
      <c r="B36" s="77" t="s">
        <v>70</v>
      </c>
      <c r="C36" s="78" t="s">
        <v>81</v>
      </c>
      <c r="D36" s="79" t="s">
        <v>82</v>
      </c>
      <c r="E36" s="78" t="s">
        <v>90</v>
      </c>
      <c r="F36" s="79" t="s">
        <v>133</v>
      </c>
      <c r="G36" s="79">
        <v>3</v>
      </c>
      <c r="H36" s="82">
        <v>66000</v>
      </c>
      <c r="I36" s="82">
        <f t="shared" si="0"/>
        <v>198000</v>
      </c>
      <c r="J36" s="78" t="s">
        <v>125</v>
      </c>
      <c r="K36" s="80"/>
      <c r="L36" s="80"/>
      <c r="M36" s="80"/>
      <c r="N36" s="80"/>
    </row>
    <row r="37" spans="1:14" s="81" customFormat="1" ht="25.5" x14ac:dyDescent="0.25">
      <c r="A37" s="79">
        <v>28</v>
      </c>
      <c r="B37" s="77" t="s">
        <v>70</v>
      </c>
      <c r="C37" s="78" t="s">
        <v>81</v>
      </c>
      <c r="D37" s="79" t="s">
        <v>82</v>
      </c>
      <c r="E37" s="78" t="s">
        <v>90</v>
      </c>
      <c r="F37" s="79" t="s">
        <v>133</v>
      </c>
      <c r="G37" s="79">
        <v>2</v>
      </c>
      <c r="H37" s="82">
        <v>66000</v>
      </c>
      <c r="I37" s="82">
        <f t="shared" si="0"/>
        <v>132000</v>
      </c>
      <c r="J37" s="78" t="s">
        <v>126</v>
      </c>
      <c r="K37" s="80"/>
      <c r="L37" s="80"/>
      <c r="M37" s="80"/>
      <c r="N37" s="80"/>
    </row>
    <row r="38" spans="1:14" s="81" customFormat="1" ht="25.5" x14ac:dyDescent="0.25">
      <c r="A38" s="79">
        <v>29</v>
      </c>
      <c r="B38" s="77" t="s">
        <v>65</v>
      </c>
      <c r="C38" s="78" t="s">
        <v>81</v>
      </c>
      <c r="D38" s="79" t="s">
        <v>82</v>
      </c>
      <c r="E38" s="78" t="s">
        <v>85</v>
      </c>
      <c r="F38" s="79" t="s">
        <v>133</v>
      </c>
      <c r="G38" s="79">
        <v>15</v>
      </c>
      <c r="H38" s="82">
        <v>40000</v>
      </c>
      <c r="I38" s="82">
        <f t="shared" si="0"/>
        <v>600000</v>
      </c>
      <c r="J38" s="78" t="s">
        <v>200</v>
      </c>
      <c r="K38" s="80"/>
      <c r="L38" s="80"/>
      <c r="M38" s="80"/>
      <c r="N38" s="80"/>
    </row>
    <row r="39" spans="1:14" s="81" customFormat="1" ht="30.75" customHeight="1" x14ac:dyDescent="0.25">
      <c r="A39" s="79">
        <v>30</v>
      </c>
      <c r="B39" s="77" t="s">
        <v>65</v>
      </c>
      <c r="C39" s="78" t="s">
        <v>81</v>
      </c>
      <c r="D39" s="79" t="s">
        <v>82</v>
      </c>
      <c r="E39" s="78" t="s">
        <v>85</v>
      </c>
      <c r="F39" s="79" t="s">
        <v>133</v>
      </c>
      <c r="G39" s="79">
        <v>15</v>
      </c>
      <c r="H39" s="82">
        <v>40000</v>
      </c>
      <c r="I39" s="82">
        <f t="shared" si="0"/>
        <v>600000</v>
      </c>
      <c r="J39" s="78" t="s">
        <v>201</v>
      </c>
      <c r="K39" s="80"/>
      <c r="L39" s="80"/>
      <c r="M39" s="80"/>
      <c r="N39" s="80"/>
    </row>
    <row r="40" spans="1:14" s="81" customFormat="1" ht="25.5" x14ac:dyDescent="0.25">
      <c r="A40" s="79">
        <v>31</v>
      </c>
      <c r="B40" s="77" t="s">
        <v>65</v>
      </c>
      <c r="C40" s="78" t="s">
        <v>81</v>
      </c>
      <c r="D40" s="79" t="s">
        <v>82</v>
      </c>
      <c r="E40" s="78" t="s">
        <v>85</v>
      </c>
      <c r="F40" s="79" t="s">
        <v>133</v>
      </c>
      <c r="G40" s="79">
        <v>8</v>
      </c>
      <c r="H40" s="82">
        <v>44000</v>
      </c>
      <c r="I40" s="82">
        <f t="shared" si="0"/>
        <v>352000</v>
      </c>
      <c r="J40" s="78" t="s">
        <v>202</v>
      </c>
      <c r="K40" s="80"/>
      <c r="L40" s="80"/>
      <c r="M40" s="80"/>
      <c r="N40" s="80"/>
    </row>
    <row r="41" spans="1:14" s="81" customFormat="1" ht="37.5" customHeight="1" x14ac:dyDescent="0.25">
      <c r="A41" s="79">
        <v>32</v>
      </c>
      <c r="B41" s="77" t="s">
        <v>65</v>
      </c>
      <c r="C41" s="78" t="s">
        <v>81</v>
      </c>
      <c r="D41" s="79" t="s">
        <v>82</v>
      </c>
      <c r="E41" s="78" t="s">
        <v>85</v>
      </c>
      <c r="F41" s="79" t="s">
        <v>133</v>
      </c>
      <c r="G41" s="79">
        <v>7</v>
      </c>
      <c r="H41" s="82">
        <v>44000</v>
      </c>
      <c r="I41" s="82">
        <f t="shared" si="0"/>
        <v>308000</v>
      </c>
      <c r="J41" s="78" t="s">
        <v>204</v>
      </c>
      <c r="K41" s="80"/>
      <c r="L41" s="80"/>
      <c r="M41" s="80"/>
      <c r="N41" s="80"/>
    </row>
    <row r="42" spans="1:14" s="81" customFormat="1" ht="25.5" x14ac:dyDescent="0.25">
      <c r="A42" s="79">
        <v>33</v>
      </c>
      <c r="B42" s="77" t="s">
        <v>65</v>
      </c>
      <c r="C42" s="78" t="s">
        <v>81</v>
      </c>
      <c r="D42" s="79" t="s">
        <v>82</v>
      </c>
      <c r="E42" s="78" t="s">
        <v>85</v>
      </c>
      <c r="F42" s="79" t="s">
        <v>133</v>
      </c>
      <c r="G42" s="79">
        <v>8</v>
      </c>
      <c r="H42" s="82">
        <v>41000</v>
      </c>
      <c r="I42" s="82">
        <f t="shared" si="0"/>
        <v>328000</v>
      </c>
      <c r="J42" s="78" t="s">
        <v>205</v>
      </c>
      <c r="K42" s="80"/>
      <c r="L42" s="80"/>
      <c r="M42" s="80"/>
      <c r="N42" s="80"/>
    </row>
    <row r="43" spans="1:14" s="81" customFormat="1" ht="25.5" x14ac:dyDescent="0.25">
      <c r="A43" s="79">
        <v>34</v>
      </c>
      <c r="B43" s="77" t="s">
        <v>65</v>
      </c>
      <c r="C43" s="78" t="s">
        <v>81</v>
      </c>
      <c r="D43" s="79" t="s">
        <v>82</v>
      </c>
      <c r="E43" s="78" t="s">
        <v>85</v>
      </c>
      <c r="F43" s="79" t="s">
        <v>133</v>
      </c>
      <c r="G43" s="79">
        <v>7</v>
      </c>
      <c r="H43" s="82">
        <v>41000</v>
      </c>
      <c r="I43" s="82">
        <f t="shared" si="0"/>
        <v>287000</v>
      </c>
      <c r="J43" s="78" t="s">
        <v>203</v>
      </c>
      <c r="K43" s="80"/>
      <c r="L43" s="80"/>
      <c r="M43" s="80"/>
      <c r="N43" s="80"/>
    </row>
    <row r="44" spans="1:14" s="81" customFormat="1" ht="25.5" x14ac:dyDescent="0.25">
      <c r="A44" s="79">
        <v>35</v>
      </c>
      <c r="B44" s="77" t="s">
        <v>65</v>
      </c>
      <c r="C44" s="78" t="s">
        <v>81</v>
      </c>
      <c r="D44" s="79" t="s">
        <v>82</v>
      </c>
      <c r="E44" s="78" t="s">
        <v>85</v>
      </c>
      <c r="F44" s="79" t="s">
        <v>133</v>
      </c>
      <c r="G44" s="79">
        <v>4</v>
      </c>
      <c r="H44" s="82">
        <v>51000</v>
      </c>
      <c r="I44" s="82">
        <f t="shared" si="0"/>
        <v>204000</v>
      </c>
      <c r="J44" s="78" t="s">
        <v>206</v>
      </c>
      <c r="K44" s="80"/>
      <c r="L44" s="80"/>
      <c r="M44" s="80"/>
      <c r="N44" s="80"/>
    </row>
    <row r="45" spans="1:14" s="81" customFormat="1" ht="25.5" x14ac:dyDescent="0.25">
      <c r="A45" s="79">
        <v>36</v>
      </c>
      <c r="B45" s="77" t="s">
        <v>65</v>
      </c>
      <c r="C45" s="78" t="s">
        <v>81</v>
      </c>
      <c r="D45" s="79" t="s">
        <v>82</v>
      </c>
      <c r="E45" s="78" t="s">
        <v>85</v>
      </c>
      <c r="F45" s="79" t="s">
        <v>133</v>
      </c>
      <c r="G45" s="79">
        <v>3</v>
      </c>
      <c r="H45" s="82">
        <v>51000</v>
      </c>
      <c r="I45" s="82">
        <f t="shared" si="0"/>
        <v>153000</v>
      </c>
      <c r="J45" s="78" t="s">
        <v>207</v>
      </c>
      <c r="K45" s="80"/>
      <c r="L45" s="80"/>
      <c r="M45" s="80"/>
      <c r="N45" s="80"/>
    </row>
    <row r="46" spans="1:14" s="111" customFormat="1" ht="25.5" x14ac:dyDescent="0.25">
      <c r="A46" s="79">
        <v>37</v>
      </c>
      <c r="B46" s="79" t="s">
        <v>66</v>
      </c>
      <c r="C46" s="110" t="s">
        <v>81</v>
      </c>
      <c r="D46" s="110" t="s">
        <v>82</v>
      </c>
      <c r="E46" s="110" t="s">
        <v>86</v>
      </c>
      <c r="F46" s="79" t="s">
        <v>133</v>
      </c>
      <c r="G46" s="79">
        <v>15</v>
      </c>
      <c r="H46" s="82">
        <v>46000</v>
      </c>
      <c r="I46" s="82">
        <f t="shared" si="0"/>
        <v>690000</v>
      </c>
      <c r="J46" s="78" t="s">
        <v>208</v>
      </c>
      <c r="K46" s="80"/>
      <c r="L46" s="80"/>
      <c r="M46" s="80"/>
      <c r="N46" s="80"/>
    </row>
    <row r="47" spans="1:14" s="111" customFormat="1" ht="25.5" x14ac:dyDescent="0.25">
      <c r="A47" s="79">
        <v>38</v>
      </c>
      <c r="B47" s="79" t="s">
        <v>66</v>
      </c>
      <c r="C47" s="110" t="s">
        <v>81</v>
      </c>
      <c r="D47" s="110" t="s">
        <v>82</v>
      </c>
      <c r="E47" s="110" t="s">
        <v>86</v>
      </c>
      <c r="F47" s="79" t="s">
        <v>133</v>
      </c>
      <c r="G47" s="79">
        <v>15</v>
      </c>
      <c r="H47" s="82">
        <v>46000</v>
      </c>
      <c r="I47" s="82">
        <f t="shared" si="0"/>
        <v>690000</v>
      </c>
      <c r="J47" s="78" t="s">
        <v>209</v>
      </c>
      <c r="K47" s="80"/>
      <c r="L47" s="80"/>
      <c r="M47" s="80"/>
      <c r="N47" s="80"/>
    </row>
    <row r="48" spans="1:14" s="81" customFormat="1" ht="25.5" x14ac:dyDescent="0.25">
      <c r="A48" s="79">
        <v>39</v>
      </c>
      <c r="B48" s="77" t="s">
        <v>65</v>
      </c>
      <c r="C48" s="78" t="s">
        <v>81</v>
      </c>
      <c r="D48" s="79" t="s">
        <v>82</v>
      </c>
      <c r="E48" s="78" t="s">
        <v>85</v>
      </c>
      <c r="F48" s="79" t="s">
        <v>133</v>
      </c>
      <c r="G48" s="79">
        <v>15</v>
      </c>
      <c r="H48" s="82">
        <v>69000</v>
      </c>
      <c r="I48" s="82">
        <f t="shared" si="0"/>
        <v>1035000</v>
      </c>
      <c r="J48" s="78" t="s">
        <v>218</v>
      </c>
      <c r="K48" s="80"/>
      <c r="L48" s="80"/>
      <c r="M48" s="80"/>
      <c r="N48" s="80"/>
    </row>
    <row r="49" spans="1:14" s="81" customFormat="1" x14ac:dyDescent="0.25">
      <c r="A49" s="79">
        <v>40</v>
      </c>
      <c r="B49" s="77" t="s">
        <v>65</v>
      </c>
      <c r="C49" s="78" t="s">
        <v>81</v>
      </c>
      <c r="D49" s="79" t="s">
        <v>82</v>
      </c>
      <c r="E49" s="78" t="s">
        <v>85</v>
      </c>
      <c r="F49" s="79" t="s">
        <v>133</v>
      </c>
      <c r="G49" s="79">
        <v>2</v>
      </c>
      <c r="H49" s="82">
        <v>79000</v>
      </c>
      <c r="I49" s="82">
        <f t="shared" si="0"/>
        <v>158000</v>
      </c>
      <c r="J49" s="78" t="s">
        <v>110</v>
      </c>
      <c r="K49" s="80"/>
      <c r="L49" s="80"/>
      <c r="M49" s="80"/>
      <c r="N49" s="80"/>
    </row>
    <row r="50" spans="1:14" s="81" customFormat="1" ht="25.5" x14ac:dyDescent="0.25">
      <c r="A50" s="79">
        <v>41</v>
      </c>
      <c r="B50" s="77" t="s">
        <v>66</v>
      </c>
      <c r="C50" s="78" t="s">
        <v>81</v>
      </c>
      <c r="D50" s="79" t="s">
        <v>82</v>
      </c>
      <c r="E50" s="78" t="s">
        <v>86</v>
      </c>
      <c r="F50" s="79" t="s">
        <v>133</v>
      </c>
      <c r="G50" s="79">
        <v>15</v>
      </c>
      <c r="H50" s="82">
        <v>51000</v>
      </c>
      <c r="I50" s="82">
        <f t="shared" si="0"/>
        <v>765000</v>
      </c>
      <c r="J50" s="78" t="s">
        <v>106</v>
      </c>
      <c r="K50" s="80"/>
      <c r="L50" s="80"/>
      <c r="M50" s="80"/>
      <c r="N50" s="80"/>
    </row>
    <row r="51" spans="1:14" s="81" customFormat="1" ht="25.5" x14ac:dyDescent="0.25">
      <c r="A51" s="79">
        <v>42</v>
      </c>
      <c r="B51" s="77" t="s">
        <v>67</v>
      </c>
      <c r="C51" s="78" t="s">
        <v>81</v>
      </c>
      <c r="D51" s="79" t="s">
        <v>82</v>
      </c>
      <c r="E51" s="78" t="s">
        <v>87</v>
      </c>
      <c r="F51" s="79" t="s">
        <v>133</v>
      </c>
      <c r="G51" s="79">
        <v>10</v>
      </c>
      <c r="H51" s="82">
        <v>45000</v>
      </c>
      <c r="I51" s="82">
        <f t="shared" si="0"/>
        <v>450000</v>
      </c>
      <c r="J51" s="78" t="s">
        <v>217</v>
      </c>
      <c r="K51" s="80"/>
      <c r="L51" s="80"/>
      <c r="M51" s="80"/>
      <c r="N51" s="80"/>
    </row>
    <row r="52" spans="1:14" s="81" customFormat="1" ht="25.5" x14ac:dyDescent="0.25">
      <c r="A52" s="79">
        <v>43</v>
      </c>
      <c r="B52" s="77" t="s">
        <v>74</v>
      </c>
      <c r="C52" s="78" t="s">
        <v>81</v>
      </c>
      <c r="D52" s="79" t="s">
        <v>82</v>
      </c>
      <c r="E52" s="78" t="s">
        <v>94</v>
      </c>
      <c r="F52" s="79" t="s">
        <v>133</v>
      </c>
      <c r="G52" s="79">
        <v>5</v>
      </c>
      <c r="H52" s="82">
        <v>35000</v>
      </c>
      <c r="I52" s="82">
        <f t="shared" si="0"/>
        <v>175000</v>
      </c>
      <c r="J52" s="78" t="s">
        <v>210</v>
      </c>
      <c r="K52" s="80"/>
      <c r="L52" s="80"/>
      <c r="M52" s="80"/>
      <c r="N52" s="80"/>
    </row>
    <row r="53" spans="1:14" s="81" customFormat="1" ht="26.25" x14ac:dyDescent="0.25">
      <c r="A53" s="79">
        <v>44</v>
      </c>
      <c r="B53" s="109" t="s">
        <v>191</v>
      </c>
      <c r="C53" s="78" t="s">
        <v>81</v>
      </c>
      <c r="D53" s="79" t="s">
        <v>82</v>
      </c>
      <c r="E53" s="105" t="s">
        <v>192</v>
      </c>
      <c r="F53" s="79" t="s">
        <v>133</v>
      </c>
      <c r="G53" s="79">
        <v>10</v>
      </c>
      <c r="H53" s="82">
        <v>13500</v>
      </c>
      <c r="I53" s="82">
        <f t="shared" si="0"/>
        <v>135000</v>
      </c>
      <c r="J53" s="78" t="s">
        <v>190</v>
      </c>
      <c r="K53" s="80"/>
      <c r="L53" s="80"/>
      <c r="M53" s="80"/>
      <c r="N53" s="80"/>
    </row>
    <row r="54" spans="1:14" s="81" customFormat="1" ht="25.5" x14ac:dyDescent="0.25">
      <c r="A54" s="79">
        <v>45</v>
      </c>
      <c r="B54" s="109" t="s">
        <v>193</v>
      </c>
      <c r="C54" s="78" t="s">
        <v>81</v>
      </c>
      <c r="D54" s="79" t="s">
        <v>82</v>
      </c>
      <c r="E54" s="78" t="s">
        <v>194</v>
      </c>
      <c r="F54" s="79" t="s">
        <v>133</v>
      </c>
      <c r="G54" s="79">
        <v>10</v>
      </c>
      <c r="H54" s="82">
        <v>20500</v>
      </c>
      <c r="I54" s="82">
        <f t="shared" si="0"/>
        <v>205000</v>
      </c>
      <c r="J54" s="78" t="s">
        <v>118</v>
      </c>
      <c r="K54" s="80"/>
      <c r="L54" s="80"/>
      <c r="M54" s="80"/>
      <c r="N54" s="80"/>
    </row>
    <row r="55" spans="1:14" s="81" customFormat="1" x14ac:dyDescent="0.25">
      <c r="A55" s="79"/>
      <c r="B55" s="77"/>
      <c r="C55" s="78"/>
      <c r="D55" s="79"/>
      <c r="E55" s="78"/>
      <c r="F55" s="79"/>
      <c r="G55" s="79"/>
      <c r="H55" s="82"/>
      <c r="I55" s="83"/>
      <c r="J55" s="78"/>
      <c r="K55" s="80"/>
      <c r="L55" s="80"/>
      <c r="M55" s="80"/>
      <c r="N55" s="80"/>
    </row>
    <row r="56" spans="1:14" s="81" customFormat="1" ht="15.75" thickBot="1" x14ac:dyDescent="0.3">
      <c r="A56" s="84"/>
      <c r="B56" s="77"/>
      <c r="C56" s="77"/>
      <c r="D56" s="77"/>
      <c r="E56" s="89" t="s">
        <v>101</v>
      </c>
      <c r="F56" s="85"/>
      <c r="G56" s="87"/>
      <c r="H56" s="88"/>
      <c r="I56" s="86">
        <f>SUM(I10:I54)</f>
        <v>19520000</v>
      </c>
      <c r="J56" s="104"/>
    </row>
    <row r="57" spans="1:14" ht="15.75" thickBot="1" x14ac:dyDescent="0.3">
      <c r="A57" s="25"/>
      <c r="B57" s="25"/>
      <c r="C57" s="25"/>
      <c r="D57" s="25"/>
      <c r="E57" s="26"/>
      <c r="F57" s="25"/>
      <c r="G57" s="28"/>
      <c r="H57" s="27"/>
      <c r="I57" s="27"/>
      <c r="J57" s="24"/>
    </row>
    <row r="58" spans="1:14" ht="147" customHeight="1" x14ac:dyDescent="0.25">
      <c r="A58" s="25"/>
      <c r="B58" s="25"/>
      <c r="C58" s="93" t="s">
        <v>134</v>
      </c>
      <c r="D58" s="113" t="s">
        <v>178</v>
      </c>
      <c r="E58" s="113"/>
      <c r="F58" s="114"/>
      <c r="G58" s="28"/>
      <c r="H58" s="27"/>
      <c r="I58" s="27"/>
      <c r="J58" s="24"/>
    </row>
    <row r="59" spans="1:14" x14ac:dyDescent="0.25">
      <c r="A59" s="25"/>
      <c r="B59" s="25"/>
      <c r="C59" s="94"/>
      <c r="D59" s="95"/>
      <c r="E59" s="15"/>
      <c r="F59" s="96"/>
      <c r="G59" s="28"/>
      <c r="H59" s="27"/>
      <c r="I59" s="27"/>
      <c r="J59" s="24"/>
    </row>
    <row r="60" spans="1:14" x14ac:dyDescent="0.25">
      <c r="A60" s="25"/>
      <c r="B60" s="25"/>
      <c r="C60" s="97"/>
      <c r="D60" s="95"/>
      <c r="E60" s="15"/>
      <c r="F60" s="96"/>
      <c r="G60" s="28"/>
      <c r="H60" s="27"/>
      <c r="I60" s="27"/>
      <c r="J60" s="24"/>
    </row>
    <row r="61" spans="1:14" x14ac:dyDescent="0.25">
      <c r="A61" s="25"/>
      <c r="B61" s="25"/>
      <c r="C61" s="97"/>
      <c r="D61" s="115"/>
      <c r="E61" s="115"/>
      <c r="F61" s="116"/>
      <c r="G61" s="28"/>
      <c r="H61" s="27"/>
      <c r="I61" s="27"/>
      <c r="J61" s="24"/>
    </row>
    <row r="62" spans="1:14" ht="50.25" customHeight="1" x14ac:dyDescent="0.25">
      <c r="A62" s="25"/>
      <c r="B62" s="25"/>
      <c r="C62" s="97" t="s">
        <v>17</v>
      </c>
      <c r="D62" s="115" t="s">
        <v>219</v>
      </c>
      <c r="E62" s="115"/>
      <c r="F62" s="116"/>
      <c r="G62" s="28"/>
      <c r="H62" s="27"/>
      <c r="I62" s="27"/>
      <c r="J62" s="24"/>
    </row>
    <row r="63" spans="1:14" x14ac:dyDescent="0.25">
      <c r="A63" s="25"/>
      <c r="B63" s="25"/>
      <c r="C63" s="94"/>
      <c r="D63" s="98"/>
      <c r="E63" s="98"/>
      <c r="F63" s="99"/>
      <c r="G63" s="28"/>
      <c r="H63" s="27"/>
      <c r="I63" s="27"/>
      <c r="J63" s="24"/>
    </row>
    <row r="64" spans="1:14" ht="30.75" customHeight="1" x14ac:dyDescent="0.25">
      <c r="A64" s="25"/>
      <c r="B64" s="25"/>
      <c r="C64" s="97" t="s">
        <v>18</v>
      </c>
      <c r="D64" s="115" t="s">
        <v>135</v>
      </c>
      <c r="E64" s="115"/>
      <c r="F64" s="116"/>
      <c r="G64" s="28"/>
      <c r="H64" s="27"/>
      <c r="I64" s="27"/>
      <c r="J64" s="24"/>
    </row>
    <row r="65" spans="1:10" x14ac:dyDescent="0.25">
      <c r="A65" s="25"/>
      <c r="B65" s="25"/>
      <c r="C65" s="94"/>
      <c r="D65" s="95"/>
      <c r="E65" s="15"/>
      <c r="F65" s="96"/>
      <c r="G65" s="28"/>
      <c r="H65" s="27"/>
      <c r="I65" s="27"/>
      <c r="J65" s="24"/>
    </row>
    <row r="66" spans="1:10" x14ac:dyDescent="0.25">
      <c r="A66" s="25"/>
      <c r="B66" s="25"/>
      <c r="C66" s="97" t="s">
        <v>19</v>
      </c>
      <c r="D66" s="95"/>
      <c r="E66" s="15"/>
      <c r="F66" s="96"/>
      <c r="G66" s="28"/>
      <c r="H66" s="27"/>
      <c r="I66" s="27"/>
      <c r="J66" s="24"/>
    </row>
    <row r="67" spans="1:10" x14ac:dyDescent="0.25">
      <c r="A67" s="25"/>
      <c r="B67" s="25"/>
      <c r="C67" s="94"/>
      <c r="D67" s="115"/>
      <c r="E67" s="115"/>
      <c r="F67" s="116"/>
      <c r="G67" s="28"/>
      <c r="H67" s="27"/>
      <c r="I67" s="27"/>
      <c r="J67" s="24"/>
    </row>
    <row r="68" spans="1:10" ht="15" customHeight="1" x14ac:dyDescent="0.25">
      <c r="A68" s="25"/>
      <c r="B68" s="25"/>
      <c r="C68" s="97" t="s">
        <v>20</v>
      </c>
      <c r="D68" s="115" t="s">
        <v>21</v>
      </c>
      <c r="E68" s="115"/>
      <c r="F68" s="116"/>
      <c r="G68" s="28"/>
      <c r="H68" s="27"/>
      <c r="I68" s="27"/>
      <c r="J68" s="24"/>
    </row>
    <row r="69" spans="1:10" x14ac:dyDescent="0.25">
      <c r="A69" s="25"/>
      <c r="B69" s="25"/>
      <c r="C69" s="94"/>
      <c r="D69" s="115"/>
      <c r="E69" s="115"/>
      <c r="F69" s="116"/>
      <c r="G69" s="28"/>
      <c r="H69" s="27"/>
      <c r="I69" s="27"/>
      <c r="J69" s="24"/>
    </row>
    <row r="70" spans="1:10" x14ac:dyDescent="0.25">
      <c r="A70" s="25"/>
      <c r="B70" s="25"/>
      <c r="C70" s="97" t="s">
        <v>22</v>
      </c>
      <c r="D70" s="95"/>
      <c r="E70" s="15"/>
      <c r="F70" s="96"/>
      <c r="G70" s="28"/>
      <c r="H70" s="27"/>
      <c r="I70" s="27"/>
      <c r="J70" s="24"/>
    </row>
    <row r="71" spans="1:10" x14ac:dyDescent="0.25">
      <c r="A71" s="25"/>
      <c r="B71" s="25"/>
      <c r="C71" s="97"/>
      <c r="D71" s="117"/>
      <c r="E71" s="117"/>
      <c r="F71" s="118"/>
      <c r="G71" s="28"/>
      <c r="H71" s="27"/>
      <c r="I71" s="27"/>
      <c r="J71" s="24"/>
    </row>
    <row r="72" spans="1:10" ht="15.75" thickBot="1" x14ac:dyDescent="0.3">
      <c r="A72" s="25"/>
      <c r="B72" s="25"/>
      <c r="C72" s="100"/>
      <c r="D72" s="101"/>
      <c r="E72" s="108"/>
      <c r="F72" s="102"/>
      <c r="G72" s="28"/>
      <c r="H72" s="27"/>
      <c r="I72" s="27"/>
      <c r="J72" s="24"/>
    </row>
    <row r="73" spans="1:10" x14ac:dyDescent="0.25">
      <c r="A73" s="25"/>
      <c r="B73" s="25"/>
      <c r="C73" s="25"/>
      <c r="D73" s="25"/>
      <c r="E73" s="26"/>
      <c r="F73" s="25"/>
      <c r="G73" s="28"/>
      <c r="H73" s="27"/>
      <c r="I73" s="27"/>
      <c r="J73" s="24"/>
    </row>
    <row r="74" spans="1:10" x14ac:dyDescent="0.25">
      <c r="A74" s="25"/>
      <c r="B74" s="25"/>
      <c r="C74" s="25"/>
      <c r="D74" s="25"/>
      <c r="E74" s="26"/>
      <c r="F74" s="25"/>
      <c r="G74" s="28"/>
      <c r="H74" s="27"/>
      <c r="I74" s="27"/>
      <c r="J74" s="24"/>
    </row>
    <row r="75" spans="1:10" x14ac:dyDescent="0.25">
      <c r="A75" s="25"/>
      <c r="B75" s="25"/>
      <c r="C75" s="112" t="s">
        <v>138</v>
      </c>
      <c r="D75" s="112"/>
      <c r="E75" s="112"/>
      <c r="F75" s="112"/>
      <c r="G75" s="28"/>
      <c r="H75" s="27"/>
      <c r="I75" s="27"/>
      <c r="J75" s="24"/>
    </row>
    <row r="76" spans="1:10" x14ac:dyDescent="0.25">
      <c r="A76" s="25"/>
      <c r="B76" s="25"/>
      <c r="C76" s="112" t="str">
        <f>J10</f>
        <v>CLAVO ENDOMEDULAR ACERROJADO DINAMICO Y ESTATICOS PARA TIBIA, SET DE COLOCACION Y ALTERNATIVAS EN TITANIO.</v>
      </c>
      <c r="D76" s="112"/>
      <c r="E76" s="112"/>
      <c r="F76" s="112"/>
      <c r="G76" s="28"/>
      <c r="H76" s="27"/>
      <c r="I76" s="27"/>
      <c r="J76" s="24"/>
    </row>
    <row r="77" spans="1:10" x14ac:dyDescent="0.25">
      <c r="A77" s="25"/>
      <c r="B77" s="25"/>
      <c r="C77" s="25"/>
      <c r="D77" s="25"/>
      <c r="E77" s="26"/>
      <c r="F77" s="25"/>
      <c r="G77" s="28"/>
      <c r="H77" s="27"/>
      <c r="I77" s="27"/>
      <c r="J77" s="24"/>
    </row>
    <row r="78" spans="1:10" x14ac:dyDescent="0.25">
      <c r="A78" s="25"/>
      <c r="B78" s="25"/>
      <c r="C78" s="112" t="s">
        <v>139</v>
      </c>
      <c r="D78" s="112"/>
      <c r="E78" s="112"/>
      <c r="F78" s="112"/>
      <c r="G78" s="28"/>
      <c r="H78" s="27"/>
      <c r="I78" s="27"/>
      <c r="J78" s="24"/>
    </row>
    <row r="79" spans="1:10" x14ac:dyDescent="0.25">
      <c r="A79" s="25"/>
      <c r="B79" s="25"/>
      <c r="C79" s="112" t="str">
        <f>J11</f>
        <v>CLAVO ENDOMEDULAR ACERROJADO DINAMICO Y ESTATICOS PARA TIBIA, SET DE COLOCACION Y ALTERNATIVAS EN ACERO.</v>
      </c>
      <c r="D79" s="112"/>
      <c r="E79" s="112"/>
      <c r="F79" s="112"/>
      <c r="G79" s="28"/>
      <c r="H79" s="27"/>
      <c r="I79" s="27"/>
      <c r="J79" s="24"/>
    </row>
    <row r="80" spans="1:10" x14ac:dyDescent="0.25">
      <c r="A80" s="25"/>
      <c r="B80" s="25"/>
      <c r="C80" s="25"/>
      <c r="D80" s="25"/>
      <c r="E80" s="26"/>
      <c r="F80" s="25"/>
      <c r="G80" s="28"/>
      <c r="H80" s="27"/>
      <c r="I80" s="27"/>
      <c r="J80" s="24"/>
    </row>
    <row r="81" spans="1:10" x14ac:dyDescent="0.25">
      <c r="A81" s="25"/>
      <c r="B81" s="25"/>
      <c r="C81" s="112" t="s">
        <v>140</v>
      </c>
      <c r="D81" s="112"/>
      <c r="E81" s="112"/>
      <c r="F81" s="112"/>
      <c r="G81" s="28"/>
      <c r="H81" s="27"/>
      <c r="I81" s="27"/>
      <c r="J81" s="24"/>
    </row>
    <row r="82" spans="1:10" x14ac:dyDescent="0.25">
      <c r="A82" s="25"/>
      <c r="B82" s="25"/>
      <c r="C82" s="112" t="str">
        <f>J12</f>
        <v>CLAVO ENDOMEDULAR ACERROJADO DINAMICO Y ESTATICOS PARA FEMUR, SET DE COLOCACION Y ALTERNATIVAS EN ACERO.</v>
      </c>
      <c r="D82" s="112"/>
      <c r="E82" s="112"/>
      <c r="F82" s="112"/>
      <c r="G82" s="28"/>
      <c r="H82" s="27"/>
      <c r="I82" s="27"/>
      <c r="J82" s="24"/>
    </row>
    <row r="83" spans="1:10" x14ac:dyDescent="0.25">
      <c r="A83" s="25"/>
      <c r="B83" s="25"/>
      <c r="C83" s="25"/>
      <c r="D83" s="25"/>
      <c r="E83" s="26"/>
      <c r="F83" s="25"/>
      <c r="G83" s="28"/>
      <c r="H83" s="27"/>
      <c r="I83" s="27"/>
      <c r="J83" s="24"/>
    </row>
    <row r="84" spans="1:10" x14ac:dyDescent="0.25">
      <c r="A84" s="25"/>
      <c r="B84" s="25"/>
      <c r="C84" s="112" t="s">
        <v>141</v>
      </c>
      <c r="D84" s="112"/>
      <c r="E84" s="112"/>
      <c r="F84" s="112"/>
      <c r="G84" s="28"/>
      <c r="H84" s="27"/>
      <c r="I84" s="27"/>
      <c r="J84" s="24"/>
    </row>
    <row r="85" spans="1:10" x14ac:dyDescent="0.25">
      <c r="A85" s="25"/>
      <c r="B85" s="25"/>
      <c r="C85" s="112" t="str">
        <f>J13</f>
        <v>CLAVO ENDOMEDULAR ACERROJADO DINAMICO Y ESTATICOS PARA FEMUR, SET DE COLOCACION Y ALTERNATIVAS EN TITANIO.</v>
      </c>
      <c r="D85" s="112"/>
      <c r="E85" s="112"/>
      <c r="F85" s="112"/>
      <c r="G85" s="28"/>
      <c r="H85" s="27"/>
      <c r="I85" s="27"/>
      <c r="J85" s="24"/>
    </row>
    <row r="86" spans="1:10" x14ac:dyDescent="0.25">
      <c r="A86" s="25"/>
      <c r="B86" s="25"/>
      <c r="C86" s="25"/>
      <c r="D86" s="25"/>
      <c r="E86" s="26"/>
      <c r="F86" s="25"/>
      <c r="G86" s="28"/>
      <c r="H86" s="27"/>
      <c r="I86" s="27"/>
      <c r="J86" s="24"/>
    </row>
    <row r="87" spans="1:10" x14ac:dyDescent="0.25">
      <c r="A87" s="25"/>
      <c r="B87" s="25"/>
      <c r="C87" s="112" t="s">
        <v>142</v>
      </c>
      <c r="D87" s="112"/>
      <c r="E87" s="112"/>
      <c r="F87" s="112"/>
      <c r="G87" s="28"/>
      <c r="H87" s="27"/>
      <c r="I87" s="27"/>
      <c r="J87" s="24"/>
    </row>
    <row r="88" spans="1:10" x14ac:dyDescent="0.25">
      <c r="A88" s="25"/>
      <c r="B88" s="25"/>
      <c r="C88" s="112" t="str">
        <f>J14</f>
        <v>CLAVO ENDOMEDULAR ACERROJADO DINAMICO Y ESTATICOS PARA HUMERO, SET DE COLOCACION Y ALTERNATIVAS EN TITANIO.</v>
      </c>
      <c r="D88" s="112"/>
      <c r="E88" s="112"/>
      <c r="F88" s="112"/>
      <c r="G88" s="28"/>
      <c r="H88" s="27"/>
      <c r="I88" s="27"/>
      <c r="J88" s="24"/>
    </row>
    <row r="89" spans="1:10" x14ac:dyDescent="0.25">
      <c r="A89" s="25"/>
      <c r="B89" s="25"/>
      <c r="C89" s="25"/>
      <c r="D89" s="25"/>
      <c r="E89" s="26"/>
      <c r="F89" s="25"/>
      <c r="G89" s="28"/>
      <c r="H89" s="27"/>
      <c r="I89" s="27"/>
      <c r="J89" s="24"/>
    </row>
    <row r="90" spans="1:10" x14ac:dyDescent="0.25">
      <c r="A90" s="25"/>
      <c r="B90" s="25"/>
      <c r="C90" s="112" t="s">
        <v>143</v>
      </c>
      <c r="D90" s="112"/>
      <c r="E90" s="112"/>
      <c r="F90" s="112"/>
      <c r="G90" s="28"/>
      <c r="H90" s="27"/>
      <c r="I90" s="27"/>
      <c r="J90" s="24"/>
    </row>
    <row r="91" spans="1:10" x14ac:dyDescent="0.25">
      <c r="A91" s="25"/>
      <c r="B91" s="25"/>
      <c r="C91" s="112" t="str">
        <f>J15</f>
        <v xml:space="preserve">ROTULA TUBO-SHANTZ PARA TUTOR EXTERNO </v>
      </c>
      <c r="D91" s="112"/>
      <c r="E91" s="112"/>
      <c r="F91" s="112"/>
      <c r="G91" s="28"/>
      <c r="H91" s="27"/>
      <c r="I91" s="27"/>
      <c r="J91" s="24"/>
    </row>
    <row r="92" spans="1:10" x14ac:dyDescent="0.25">
      <c r="A92" s="25"/>
      <c r="B92" s="25"/>
      <c r="C92" s="25"/>
      <c r="D92" s="25"/>
      <c r="E92" s="26"/>
      <c r="F92" s="25"/>
      <c r="G92" s="28"/>
      <c r="H92" s="27"/>
      <c r="I92" s="27"/>
      <c r="J92" s="24"/>
    </row>
    <row r="93" spans="1:10" x14ac:dyDescent="0.25">
      <c r="A93" s="25"/>
      <c r="B93" s="25"/>
      <c r="C93" s="112" t="s">
        <v>144</v>
      </c>
      <c r="D93" s="112"/>
      <c r="E93" s="112"/>
      <c r="F93" s="112"/>
      <c r="G93" s="28"/>
      <c r="H93" s="27"/>
      <c r="I93" s="27"/>
      <c r="J93" s="24"/>
    </row>
    <row r="94" spans="1:10" x14ac:dyDescent="0.25">
      <c r="A94" s="25"/>
      <c r="B94" s="25"/>
      <c r="C94" s="112" t="str">
        <f>J16</f>
        <v xml:space="preserve">SHANTZ CONICO DE 4 MM PARA TUTOR EXTERNO </v>
      </c>
      <c r="D94" s="112"/>
      <c r="E94" s="112"/>
      <c r="F94" s="112"/>
      <c r="G94" s="28"/>
      <c r="H94" s="27"/>
      <c r="I94" s="27"/>
      <c r="J94" s="24"/>
    </row>
    <row r="95" spans="1:10" x14ac:dyDescent="0.25">
      <c r="A95" s="25"/>
      <c r="B95" s="25"/>
      <c r="C95" s="25"/>
      <c r="D95" s="25"/>
      <c r="E95" s="26"/>
      <c r="F95" s="25"/>
      <c r="G95" s="28"/>
      <c r="H95" s="27"/>
      <c r="I95" s="27"/>
      <c r="J95" s="24"/>
    </row>
    <row r="96" spans="1:10" x14ac:dyDescent="0.25">
      <c r="A96" s="25"/>
      <c r="B96" s="25"/>
      <c r="C96" s="112" t="s">
        <v>145</v>
      </c>
      <c r="D96" s="112"/>
      <c r="E96" s="112"/>
      <c r="F96" s="112"/>
      <c r="G96" s="28"/>
      <c r="H96" s="27"/>
      <c r="I96" s="27"/>
      <c r="J96" s="24"/>
    </row>
    <row r="97" spans="1:10" x14ac:dyDescent="0.25">
      <c r="A97" s="25"/>
      <c r="B97" s="25"/>
      <c r="C97" s="112" t="str">
        <f>J17</f>
        <v xml:space="preserve">SHANTZ CONICO DE 5 MM PARA TUTOR EXTERNO </v>
      </c>
      <c r="D97" s="112"/>
      <c r="E97" s="112"/>
      <c r="F97" s="112"/>
      <c r="G97" s="28"/>
      <c r="H97" s="27"/>
      <c r="I97" s="27"/>
      <c r="J97" s="24"/>
    </row>
    <row r="98" spans="1:10" x14ac:dyDescent="0.25">
      <c r="A98" s="25"/>
      <c r="B98" s="25"/>
      <c r="C98" s="25"/>
      <c r="D98" s="25"/>
      <c r="E98" s="26"/>
      <c r="F98" s="25"/>
      <c r="G98" s="28"/>
      <c r="H98" s="27"/>
      <c r="I98" s="27"/>
      <c r="J98" s="24"/>
    </row>
    <row r="99" spans="1:10" x14ac:dyDescent="0.25">
      <c r="A99" s="25"/>
      <c r="B99" s="25"/>
      <c r="C99" s="112" t="s">
        <v>146</v>
      </c>
      <c r="D99" s="112"/>
      <c r="E99" s="112"/>
      <c r="F99" s="112"/>
      <c r="G99" s="28"/>
      <c r="H99" s="27"/>
      <c r="I99" s="27"/>
      <c r="J99" s="24"/>
    </row>
    <row r="100" spans="1:10" x14ac:dyDescent="0.25">
      <c r="A100" s="25"/>
      <c r="B100" s="25"/>
      <c r="C100" s="112" t="str">
        <f>J18</f>
        <v xml:space="preserve">SHANTZ CONICO DE 6 MM PARA TUTOR EXTERNO </v>
      </c>
      <c r="D100" s="112"/>
      <c r="E100" s="112"/>
      <c r="F100" s="112"/>
      <c r="G100" s="28"/>
      <c r="H100" s="27"/>
      <c r="I100" s="27"/>
      <c r="J100" s="24"/>
    </row>
    <row r="101" spans="1:10" x14ac:dyDescent="0.25">
      <c r="A101" s="25"/>
      <c r="B101" s="25"/>
      <c r="C101" s="25"/>
      <c r="D101" s="25"/>
      <c r="E101" s="26"/>
      <c r="F101" s="25"/>
      <c r="G101" s="28"/>
      <c r="H101" s="27"/>
      <c r="I101" s="27"/>
      <c r="J101" s="24"/>
    </row>
    <row r="102" spans="1:10" x14ac:dyDescent="0.25">
      <c r="A102" s="25"/>
      <c r="B102" s="25"/>
      <c r="C102" s="112" t="s">
        <v>147</v>
      </c>
      <c r="D102" s="112"/>
      <c r="E102" s="112"/>
      <c r="F102" s="112"/>
      <c r="G102" s="28"/>
      <c r="H102" s="27"/>
      <c r="I102" s="27"/>
      <c r="J102" s="24"/>
    </row>
    <row r="103" spans="1:10" x14ac:dyDescent="0.25">
      <c r="A103" s="25"/>
      <c r="B103" s="25"/>
      <c r="C103" s="112" t="str">
        <f>J19</f>
        <v>PLACAS PARA RADIO DISTAL DOBLE HILERA DE 2.7 MM Y RESPECTIVOS TORNILLOS EN TITANIO.</v>
      </c>
      <c r="D103" s="112"/>
      <c r="E103" s="112"/>
      <c r="F103" s="112"/>
      <c r="G103" s="28"/>
      <c r="H103" s="27"/>
      <c r="I103" s="27"/>
      <c r="J103" s="24"/>
    </row>
    <row r="104" spans="1:10" x14ac:dyDescent="0.25">
      <c r="A104" s="25"/>
      <c r="B104" s="25"/>
      <c r="C104" s="25"/>
      <c r="D104" s="25"/>
      <c r="E104" s="26"/>
      <c r="F104" s="25"/>
      <c r="G104" s="28"/>
      <c r="H104" s="27"/>
      <c r="I104" s="27"/>
      <c r="J104" s="24"/>
    </row>
    <row r="105" spans="1:10" x14ac:dyDescent="0.25">
      <c r="A105" s="25"/>
      <c r="B105" s="25"/>
      <c r="C105" s="112" t="s">
        <v>148</v>
      </c>
      <c r="D105" s="112"/>
      <c r="E105" s="112"/>
      <c r="F105" s="112"/>
      <c r="G105" s="28"/>
      <c r="H105" s="27"/>
      <c r="I105" s="27"/>
      <c r="J105" s="24"/>
    </row>
    <row r="106" spans="1:10" x14ac:dyDescent="0.25">
      <c r="A106" s="25"/>
      <c r="B106" s="25"/>
      <c r="C106" s="112" t="str">
        <f>J20</f>
        <v>PLACA BLOQUEADA PARA PLATILLO TIBIAL EN T L Y PALO DE HOCHEY Y RESPECTIVOS TORNILLOS EN ACERO 4,5 MM.</v>
      </c>
      <c r="D106" s="112"/>
      <c r="E106" s="112"/>
      <c r="F106" s="112"/>
      <c r="G106" s="28"/>
      <c r="H106" s="27"/>
      <c r="I106" s="27"/>
      <c r="J106" s="24"/>
    </row>
    <row r="107" spans="1:10" x14ac:dyDescent="0.25">
      <c r="A107" s="25"/>
      <c r="B107" s="25"/>
      <c r="C107" s="25"/>
      <c r="D107" s="25"/>
      <c r="E107" s="26"/>
      <c r="F107" s="25"/>
      <c r="G107" s="28"/>
      <c r="H107" s="27"/>
      <c r="I107" s="27"/>
      <c r="J107" s="24"/>
    </row>
    <row r="108" spans="1:10" x14ac:dyDescent="0.25">
      <c r="A108" s="25"/>
      <c r="B108" s="25"/>
      <c r="C108" s="112" t="s">
        <v>149</v>
      </c>
      <c r="D108" s="112"/>
      <c r="E108" s="112"/>
      <c r="F108" s="112"/>
      <c r="G108" s="28"/>
      <c r="H108" s="27"/>
      <c r="I108" s="27"/>
      <c r="J108" s="24"/>
    </row>
    <row r="109" spans="1:10" x14ac:dyDescent="0.25">
      <c r="A109" s="25"/>
      <c r="B109" s="25"/>
      <c r="C109" s="112" t="str">
        <f>J21</f>
        <v>PLACA BLOQUEADA PARA PLATILLO TIBIAL EN T L Y PALO DE HOCHEY Y RESPECTIVOS TORNILLOS EN TITANIO 4,5 MM.</v>
      </c>
      <c r="D109" s="112"/>
      <c r="E109" s="112"/>
      <c r="F109" s="112"/>
      <c r="G109" s="28"/>
      <c r="H109" s="27"/>
      <c r="I109" s="27"/>
      <c r="J109" s="24"/>
    </row>
    <row r="110" spans="1:10" x14ac:dyDescent="0.25">
      <c r="A110" s="25"/>
      <c r="B110" s="25"/>
      <c r="C110" s="25"/>
      <c r="D110" s="25"/>
      <c r="E110" s="26"/>
      <c r="F110" s="25"/>
      <c r="G110" s="28"/>
      <c r="H110" s="27"/>
      <c r="I110" s="27"/>
      <c r="J110" s="24"/>
    </row>
    <row r="111" spans="1:10" x14ac:dyDescent="0.25">
      <c r="A111" s="25"/>
      <c r="B111" s="25"/>
      <c r="C111" s="112" t="s">
        <v>150</v>
      </c>
      <c r="D111" s="112"/>
      <c r="E111" s="112"/>
      <c r="F111" s="112"/>
      <c r="G111" s="28"/>
      <c r="H111" s="27"/>
      <c r="I111" s="27"/>
      <c r="J111" s="24"/>
    </row>
    <row r="112" spans="1:10" x14ac:dyDescent="0.25">
      <c r="A112" s="25"/>
      <c r="B112" s="25"/>
      <c r="C112" s="112" t="str">
        <f>J22</f>
        <v>PLACAS BLOQUEADA ANATOMICA PARA CLAVICULA DE 3.5 MM Y RESPECTIVOS TORNILLOS EN TITANIO.</v>
      </c>
      <c r="D112" s="112"/>
      <c r="E112" s="112"/>
      <c r="F112" s="112"/>
      <c r="G112" s="28"/>
      <c r="H112" s="27"/>
      <c r="I112" s="27"/>
      <c r="J112" s="24"/>
    </row>
    <row r="113" spans="1:10" x14ac:dyDescent="0.25">
      <c r="A113" s="25"/>
      <c r="B113" s="25"/>
      <c r="C113" s="25"/>
      <c r="D113" s="25"/>
      <c r="E113" s="26"/>
      <c r="F113" s="25"/>
      <c r="G113" s="28"/>
      <c r="H113" s="27"/>
      <c r="I113" s="27"/>
      <c r="J113" s="24"/>
    </row>
    <row r="114" spans="1:10" x14ac:dyDescent="0.25">
      <c r="A114" s="25"/>
      <c r="B114" s="25"/>
      <c r="C114" s="112" t="s">
        <v>151</v>
      </c>
      <c r="D114" s="112"/>
      <c r="E114" s="112"/>
      <c r="F114" s="112"/>
      <c r="G114" s="28"/>
      <c r="H114" s="27"/>
      <c r="I114" s="27"/>
      <c r="J114" s="24"/>
    </row>
    <row r="115" spans="1:10" x14ac:dyDescent="0.25">
      <c r="A115" s="25"/>
      <c r="B115" s="25"/>
      <c r="C115" s="112" t="str">
        <f>J23</f>
        <v xml:space="preserve"> PLACAS 1/3 TUBO BLOQUEADA DE 3.5 MM Y RESPECTIVOS TORNILLOS EN ACERO. </v>
      </c>
      <c r="D115" s="112"/>
      <c r="E115" s="112"/>
      <c r="F115" s="112"/>
      <c r="G115" s="28"/>
      <c r="H115" s="27"/>
      <c r="I115" s="27"/>
      <c r="J115" s="24"/>
    </row>
    <row r="116" spans="1:10" x14ac:dyDescent="0.25">
      <c r="A116" s="25"/>
      <c r="B116" s="25"/>
      <c r="C116" s="25"/>
      <c r="D116" s="25"/>
      <c r="E116" s="26"/>
      <c r="F116" s="25"/>
      <c r="G116" s="28"/>
      <c r="H116" s="27"/>
      <c r="I116" s="27"/>
      <c r="J116" s="24"/>
    </row>
    <row r="117" spans="1:10" x14ac:dyDescent="0.25">
      <c r="A117" s="25"/>
      <c r="B117" s="25"/>
      <c r="C117" s="112" t="s">
        <v>152</v>
      </c>
      <c r="D117" s="112"/>
      <c r="E117" s="112"/>
      <c r="F117" s="112"/>
      <c r="G117" s="28"/>
      <c r="H117" s="27"/>
      <c r="I117" s="27"/>
      <c r="J117" s="24"/>
    </row>
    <row r="118" spans="1:10" x14ac:dyDescent="0.25">
      <c r="A118" s="25"/>
      <c r="B118" s="25"/>
      <c r="C118" s="112" t="str">
        <f>J24</f>
        <v xml:space="preserve">PLACAS 1/3 TUBO BLOQUEADA DE 3.5 MM Y RESPECTIVOS TORNILLOS EN TITANIO. </v>
      </c>
      <c r="D118" s="112"/>
      <c r="E118" s="112"/>
      <c r="F118" s="112"/>
      <c r="G118" s="28"/>
      <c r="H118" s="27"/>
      <c r="I118" s="27"/>
      <c r="J118" s="24"/>
    </row>
    <row r="119" spans="1:10" x14ac:dyDescent="0.25">
      <c r="A119" s="25"/>
      <c r="B119" s="25"/>
      <c r="C119" s="25"/>
      <c r="D119" s="25"/>
      <c r="E119" s="26"/>
      <c r="F119" s="25"/>
      <c r="G119" s="28"/>
      <c r="H119" s="27"/>
      <c r="I119" s="27"/>
      <c r="J119" s="24"/>
    </row>
    <row r="120" spans="1:10" x14ac:dyDescent="0.25">
      <c r="A120" s="25"/>
      <c r="B120" s="25"/>
      <c r="C120" s="112" t="s">
        <v>153</v>
      </c>
      <c r="D120" s="112"/>
      <c r="E120" s="112"/>
      <c r="F120" s="112"/>
      <c r="G120" s="28"/>
      <c r="H120" s="27"/>
      <c r="I120" s="27"/>
      <c r="J120" s="24"/>
    </row>
    <row r="121" spans="1:10" x14ac:dyDescent="0.25">
      <c r="A121" s="25"/>
      <c r="B121" s="25"/>
      <c r="C121" s="112" t="str">
        <f>J25</f>
        <v>CLAVO GAMMA CORTO CON TORNILLO CEFALOMEDULAR, SET DE COLOCACION Y ALTERNATIVAS EN TITANIO.</v>
      </c>
      <c r="D121" s="112"/>
      <c r="E121" s="112"/>
      <c r="F121" s="112"/>
      <c r="G121" s="28"/>
      <c r="H121" s="27"/>
      <c r="I121" s="27"/>
      <c r="J121" s="24"/>
    </row>
    <row r="122" spans="1:10" x14ac:dyDescent="0.25">
      <c r="A122" s="25"/>
      <c r="B122" s="25"/>
      <c r="C122" s="25"/>
      <c r="D122" s="25"/>
      <c r="E122" s="26"/>
      <c r="F122" s="25"/>
      <c r="G122" s="28"/>
      <c r="H122" s="27"/>
      <c r="I122" s="27"/>
      <c r="J122" s="24"/>
    </row>
    <row r="123" spans="1:10" x14ac:dyDescent="0.25">
      <c r="A123" s="25"/>
      <c r="B123" s="25"/>
      <c r="C123" s="112" t="s">
        <v>154</v>
      </c>
      <c r="D123" s="112"/>
      <c r="E123" s="112"/>
      <c r="F123" s="112"/>
      <c r="G123" s="28"/>
      <c r="H123" s="27"/>
      <c r="I123" s="27"/>
      <c r="J123" s="24"/>
    </row>
    <row r="124" spans="1:10" x14ac:dyDescent="0.25">
      <c r="A124" s="25"/>
      <c r="B124" s="25"/>
      <c r="C124" s="112" t="str">
        <f>J26</f>
        <v>CLAVO GAMMA LARGO CON TORNILLO CEFALOMEDULAR, SET DE COLOCACION Y ALTERNATIVAS EN TITANIO.</v>
      </c>
      <c r="D124" s="112"/>
      <c r="E124" s="112"/>
      <c r="F124" s="112"/>
      <c r="G124" s="28"/>
      <c r="H124" s="27"/>
      <c r="I124" s="27"/>
      <c r="J124" s="24"/>
    </row>
    <row r="125" spans="1:10" x14ac:dyDescent="0.25">
      <c r="A125" s="25"/>
      <c r="B125" s="25"/>
      <c r="C125" s="25"/>
      <c r="D125" s="25"/>
      <c r="E125" s="26"/>
      <c r="F125" s="25"/>
      <c r="G125" s="28"/>
      <c r="H125" s="27"/>
      <c r="I125" s="27"/>
      <c r="J125" s="24"/>
    </row>
    <row r="126" spans="1:10" x14ac:dyDescent="0.25">
      <c r="A126" s="25"/>
      <c r="B126" s="25"/>
      <c r="C126" s="112" t="s">
        <v>155</v>
      </c>
      <c r="D126" s="112"/>
      <c r="E126" s="112"/>
      <c r="F126" s="112"/>
      <c r="G126" s="28"/>
      <c r="H126" s="27"/>
      <c r="I126" s="27"/>
      <c r="J126" s="24"/>
    </row>
    <row r="127" spans="1:10" x14ac:dyDescent="0.25">
      <c r="A127" s="25"/>
      <c r="B127" s="25"/>
      <c r="C127" s="112" t="str">
        <f>J27</f>
        <v>CLAVO TEN CON ALTERNATIVAS</v>
      </c>
      <c r="D127" s="112"/>
      <c r="E127" s="112"/>
      <c r="F127" s="112"/>
      <c r="G127" s="28"/>
      <c r="H127" s="27"/>
      <c r="I127" s="27"/>
      <c r="J127" s="24"/>
    </row>
    <row r="128" spans="1:10" x14ac:dyDescent="0.25">
      <c r="A128" s="25"/>
      <c r="B128" s="25"/>
      <c r="C128" s="25"/>
      <c r="D128" s="25"/>
      <c r="E128" s="26"/>
      <c r="F128" s="25"/>
      <c r="G128" s="28"/>
      <c r="H128" s="27"/>
      <c r="I128" s="27"/>
      <c r="J128" s="24"/>
    </row>
    <row r="129" spans="1:10" x14ac:dyDescent="0.25">
      <c r="A129" s="25"/>
      <c r="B129" s="25"/>
      <c r="C129" s="112" t="s">
        <v>156</v>
      </c>
      <c r="D129" s="112"/>
      <c r="E129" s="112"/>
      <c r="F129" s="112"/>
      <c r="G129" s="28"/>
      <c r="H129" s="27"/>
      <c r="I129" s="27"/>
      <c r="J129" s="24"/>
    </row>
    <row r="130" spans="1:10" x14ac:dyDescent="0.25">
      <c r="C130" s="112" t="str">
        <f>J28</f>
        <v>PROTESIS REEMPLAZO PARCIAL DE CADERA TIPO BIPOLAR MODULAR, CABEZA 22 MM Y 28 MM, CUELLO LARGO, MEDIO Y CORTO, CON 2 DOSIS DE CEMENTO QUIRURGICO .</v>
      </c>
      <c r="D130" s="112"/>
      <c r="E130" s="112"/>
      <c r="F130" s="112"/>
    </row>
    <row r="132" spans="1:10" x14ac:dyDescent="0.25">
      <c r="C132" s="112" t="s">
        <v>157</v>
      </c>
      <c r="D132" s="112"/>
      <c r="E132" s="112"/>
      <c r="F132" s="112"/>
    </row>
    <row r="133" spans="1:10" x14ac:dyDescent="0.25">
      <c r="C133" s="183" t="str">
        <f>J29</f>
        <v>PROTESIS PARA REEMPLAZO PARCIAL DE CADERA. 1 (UNA)PROTESIS PARA REEMPLAZO PARCIAL DE CADERA TIPO BIPOLAR, TALLO ESTANDAR RECTO FINO Y REFORZADO, CABEZA MODULAR, COTILO. 2 (DOS) DOSIS DE CEMENTO.</v>
      </c>
      <c r="D133" s="183"/>
      <c r="E133" s="183"/>
      <c r="F133" s="183"/>
    </row>
    <row r="134" spans="1:10" x14ac:dyDescent="0.25">
      <c r="C134" s="184"/>
      <c r="D134" s="184"/>
      <c r="E134" s="185"/>
      <c r="F134" s="184"/>
    </row>
    <row r="135" spans="1:10" x14ac:dyDescent="0.25">
      <c r="C135" s="183" t="s">
        <v>158</v>
      </c>
      <c r="D135" s="183"/>
      <c r="E135" s="183"/>
      <c r="F135" s="183"/>
    </row>
    <row r="136" spans="1:10" x14ac:dyDescent="0.25">
      <c r="C136" s="183" t="str">
        <f>J30</f>
        <v>PROTESIS PARA REEMPLAZO TOTAL DE CADERA CEMENTADO. 1 (UNA) PROTESIS PARA REEMPLAZO TOTAL DE CADERA CEMENTADO MODULAR TALLO PULIDO ESPEJO ESTÁNDAR RECTO FINO Y REFORZADO, CABEZA MODULAR 28MM LARGO ESTANDAR Y CORTA. COTILO CEMENTADO CON REFUERZO POSTERIOR. 2 (DOS) DOSIS DE CEMENTO. SET DE COLOCACIÓN Y ALTERNATIVAS.</v>
      </c>
      <c r="D136" s="183"/>
      <c r="E136" s="183"/>
      <c r="F136" s="183"/>
    </row>
    <row r="137" spans="1:10" x14ac:dyDescent="0.25">
      <c r="C137" s="184"/>
      <c r="D137" s="184"/>
      <c r="E137" s="185"/>
      <c r="F137" s="184"/>
    </row>
    <row r="138" spans="1:10" x14ac:dyDescent="0.25">
      <c r="C138" s="183" t="s">
        <v>159</v>
      </c>
      <c r="D138" s="183"/>
      <c r="E138" s="183"/>
      <c r="F138" s="183"/>
    </row>
    <row r="139" spans="1:10" x14ac:dyDescent="0.25">
      <c r="C139" s="183" t="str">
        <f>J31</f>
        <v>PROTESIS PARA REEMPLAZO DE RODILLA. 1 (UNA) PROTESIS PARA REEMPLAZO DE RODILLA MODULAR CEMENTADO ANATOMICA, LINER DE PRUEBA Y DEFINITIVOS EN TODAS SUS MEDIDAS. 2 (DOS) DOSIS DE CEMENTO. SET DE COLOCACION Y ALTERNATIVAS PARA LA RESPECTIVA CIRUGIA.</v>
      </c>
      <c r="D139" s="183"/>
      <c r="E139" s="183"/>
      <c r="F139" s="183"/>
    </row>
    <row r="141" spans="1:10" x14ac:dyDescent="0.25">
      <c r="C141" s="112" t="s">
        <v>160</v>
      </c>
      <c r="D141" s="112"/>
      <c r="E141" s="112"/>
      <c r="F141" s="112"/>
    </row>
    <row r="142" spans="1:10" x14ac:dyDescent="0.25">
      <c r="C142" s="112" t="str">
        <f>J32</f>
        <v>PLACA BLOQUEADA ANATOMICA PARA FEMUR DISTALY RESPECTIVOS TORNILLOS EN ACERO 32 CM.</v>
      </c>
      <c r="D142" s="112"/>
      <c r="E142" s="112"/>
      <c r="F142" s="112"/>
    </row>
    <row r="144" spans="1:10" x14ac:dyDescent="0.25">
      <c r="C144" s="112" t="s">
        <v>161</v>
      </c>
      <c r="D144" s="112"/>
      <c r="E144" s="112"/>
      <c r="F144" s="112"/>
    </row>
    <row r="145" spans="3:6" x14ac:dyDescent="0.25">
      <c r="C145" s="112" t="str">
        <f>J33</f>
        <v>PLACA BLOQUEADA ANATOMICA PARA FEMUR DISTALY RESPECTIVOS TORNILLOS EN TITANIO 32 CM.</v>
      </c>
      <c r="D145" s="112"/>
      <c r="E145" s="112"/>
      <c r="F145" s="112"/>
    </row>
    <row r="147" spans="3:6" x14ac:dyDescent="0.25">
      <c r="C147" s="112" t="s">
        <v>162</v>
      </c>
      <c r="D147" s="112"/>
      <c r="E147" s="112"/>
      <c r="F147" s="112"/>
    </row>
    <row r="148" spans="3:6" x14ac:dyDescent="0.25">
      <c r="C148" s="112" t="str">
        <f>J34</f>
        <v xml:space="preserve"> PLACAS  BLOQUEADAS ANATOMICA PARA TIBIA DISTAL DE 3.5 MM  Y RESPECTIVOS TORNILLOS EN ACERO.</v>
      </c>
      <c r="D148" s="112"/>
      <c r="E148" s="112"/>
      <c r="F148" s="112"/>
    </row>
    <row r="150" spans="3:6" x14ac:dyDescent="0.25">
      <c r="C150" s="112" t="s">
        <v>163</v>
      </c>
      <c r="D150" s="112"/>
      <c r="E150" s="112"/>
      <c r="F150" s="112"/>
    </row>
    <row r="151" spans="3:6" x14ac:dyDescent="0.25">
      <c r="C151" s="112" t="str">
        <f>J35</f>
        <v xml:space="preserve"> PLACAS  BLOQUEADAS ANATOMICA PARA TIBIA DISTAL DE 4.5 MM  Y RESPECTIVOS TORNILLOS EN ACERO.</v>
      </c>
      <c r="D151" s="112"/>
      <c r="E151" s="112"/>
      <c r="F151" s="112"/>
    </row>
    <row r="153" spans="3:6" x14ac:dyDescent="0.25">
      <c r="C153" s="112" t="s">
        <v>164</v>
      </c>
      <c r="D153" s="112"/>
      <c r="E153" s="112"/>
      <c r="F153" s="112"/>
    </row>
    <row r="154" spans="3:6" x14ac:dyDescent="0.25">
      <c r="C154" s="112" t="str">
        <f>J36</f>
        <v xml:space="preserve"> PLACAS  BLOQUEADAS ANATOMICA PARA TIBIA DISTAL DE 3.5 MM  Y RESPECTIVOS TORNILLOS EN TITANIO.</v>
      </c>
      <c r="D154" s="112"/>
      <c r="E154" s="112"/>
      <c r="F154" s="112"/>
    </row>
    <row r="156" spans="3:6" x14ac:dyDescent="0.25">
      <c r="C156" s="112" t="s">
        <v>165</v>
      </c>
      <c r="D156" s="112"/>
      <c r="E156" s="112"/>
      <c r="F156" s="112"/>
    </row>
    <row r="157" spans="3:6" x14ac:dyDescent="0.25">
      <c r="C157" s="112" t="str">
        <f>J37</f>
        <v xml:space="preserve"> PLACAS  BLOQUEADAS ANATOMICA PARA TIBIA DISTAL DE 4.5 MM  Y RESPECTIVOS TORNILLOS EN TITANIO.</v>
      </c>
      <c r="D157" s="112"/>
      <c r="E157" s="112"/>
      <c r="F157" s="112"/>
    </row>
    <row r="159" spans="3:6" x14ac:dyDescent="0.25">
      <c r="C159" s="112" t="s">
        <v>166</v>
      </c>
      <c r="D159" s="112"/>
      <c r="E159" s="112"/>
      <c r="F159" s="112"/>
    </row>
    <row r="160" spans="3:6" x14ac:dyDescent="0.25">
      <c r="C160" s="112" t="str">
        <f>J38</f>
        <v xml:space="preserve">PLACAS DE RECONSTRUCCION CURVAS BLOQUEADA DE 3.5 MM Y SUS RESPECTIVOS TORNILLOS EN ACERO. </v>
      </c>
      <c r="D160" s="112"/>
      <c r="E160" s="112"/>
      <c r="F160" s="112"/>
    </row>
    <row r="162" spans="3:6" x14ac:dyDescent="0.25">
      <c r="C162" s="112" t="s">
        <v>167</v>
      </c>
      <c r="D162" s="112"/>
      <c r="E162" s="112"/>
      <c r="F162" s="112"/>
    </row>
    <row r="163" spans="3:6" x14ac:dyDescent="0.25">
      <c r="C163" s="112" t="str">
        <f>J39</f>
        <v xml:space="preserve">PLACAS DE RECONSTRUCCION RECTAS BLOQUEADA DE 3.5 MM Y SUS RESPECTIVOS TORNILLOS EN ACERO. </v>
      </c>
      <c r="D163" s="112"/>
      <c r="E163" s="112"/>
      <c r="F163" s="112"/>
    </row>
    <row r="165" spans="3:6" x14ac:dyDescent="0.25">
      <c r="C165" s="112" t="s">
        <v>168</v>
      </c>
      <c r="D165" s="112"/>
      <c r="E165" s="112"/>
      <c r="F165" s="112"/>
    </row>
    <row r="166" spans="3:6" x14ac:dyDescent="0.25">
      <c r="C166" s="112" t="str">
        <f>J40</f>
        <v xml:space="preserve">PLACAS DE RECONSTRUCCION CURVAS BLOQUEADA DE 3.5 MM Y SUS RESPECTIVOS TORNILLOS EN TITANIO. </v>
      </c>
      <c r="D166" s="112"/>
      <c r="E166" s="112"/>
      <c r="F166" s="112"/>
    </row>
    <row r="168" spans="3:6" x14ac:dyDescent="0.25">
      <c r="C168" s="112" t="s">
        <v>169</v>
      </c>
      <c r="D168" s="112"/>
      <c r="E168" s="112"/>
      <c r="F168" s="112"/>
    </row>
    <row r="169" spans="3:6" x14ac:dyDescent="0.25">
      <c r="C169" s="112" t="str">
        <f>J41</f>
        <v xml:space="preserve">PLACAS DE RECONSTRUCCION RECTAS BLOQUEADA DE 3.5 MM Y SUS RESPECTIVOS TORNILLOS EN TITANIO. </v>
      </c>
      <c r="D169" s="112"/>
      <c r="E169" s="112"/>
      <c r="F169" s="112"/>
    </row>
    <row r="171" spans="3:6" x14ac:dyDescent="0.25">
      <c r="C171" s="112" t="s">
        <v>170</v>
      </c>
      <c r="D171" s="112"/>
      <c r="E171" s="112"/>
      <c r="F171" s="112"/>
    </row>
    <row r="172" spans="3:6" x14ac:dyDescent="0.25">
      <c r="C172" s="112" t="str">
        <f>J42</f>
        <v xml:space="preserve">PLACAS DE RECONSTRUCCION CURVAS BLOQUEADA DE 4.5 MM Y SUS RESPECTIVOS TORNILLOS EN ACERO. </v>
      </c>
      <c r="D172" s="112"/>
      <c r="E172" s="112"/>
      <c r="F172" s="112"/>
    </row>
    <row r="174" spans="3:6" x14ac:dyDescent="0.25">
      <c r="C174" s="112" t="s">
        <v>171</v>
      </c>
      <c r="D174" s="112"/>
      <c r="E174" s="112"/>
      <c r="F174" s="112"/>
    </row>
    <row r="175" spans="3:6" x14ac:dyDescent="0.25">
      <c r="C175" s="112" t="str">
        <f>J43</f>
        <v xml:space="preserve">PLACAS DE RECONSTRUCCION RECTAS BLOQUEADA DE 4.5 MM Y SUS RESPECTIVOS TORNILLOS EN ACERO. </v>
      </c>
      <c r="D175" s="112"/>
      <c r="E175" s="112"/>
      <c r="F175" s="112"/>
    </row>
    <row r="177" spans="3:6" x14ac:dyDescent="0.25">
      <c r="C177" s="112" t="s">
        <v>172</v>
      </c>
      <c r="D177" s="112"/>
      <c r="E177" s="112"/>
      <c r="F177" s="112"/>
    </row>
    <row r="178" spans="3:6" x14ac:dyDescent="0.25">
      <c r="C178" s="112" t="str">
        <f>J44</f>
        <v xml:space="preserve">PLACAS DE RECONSTRUCCION CURVAS BLOQUEADA DE 4.5 MM Y SUS RESPECTIVOS TORNILLOS EN TITANIO. </v>
      </c>
      <c r="D178" s="112"/>
      <c r="E178" s="112"/>
      <c r="F178" s="112"/>
    </row>
    <row r="180" spans="3:6" x14ac:dyDescent="0.25">
      <c r="C180" s="112" t="s">
        <v>173</v>
      </c>
      <c r="D180" s="112"/>
      <c r="E180" s="112"/>
      <c r="F180" s="112"/>
    </row>
    <row r="181" spans="3:6" x14ac:dyDescent="0.25">
      <c r="C181" s="112" t="str">
        <f>J45</f>
        <v xml:space="preserve">PLACAS DE RECONSTRUCCION RECTAS  BLOQUEADA DE 4.5 MM Y SUS RESPECTIVOS TORNILLOS EN TITANIO. </v>
      </c>
      <c r="D181" s="112"/>
      <c r="E181" s="112"/>
      <c r="F181" s="112"/>
    </row>
    <row r="183" spans="3:6" x14ac:dyDescent="0.25">
      <c r="C183" s="112" t="s">
        <v>174</v>
      </c>
      <c r="D183" s="112"/>
      <c r="E183" s="112"/>
      <c r="F183" s="112"/>
    </row>
    <row r="184" spans="3:6" x14ac:dyDescent="0.25">
      <c r="C184" s="112" t="str">
        <f>J46</f>
        <v xml:space="preserve">PLACAS DE LCDCP  ESTRECHAS BLOQUEADA DE 3.5 MM Y SUS RESPECTIVOS TORNILLOS EN ACERO. </v>
      </c>
      <c r="D184" s="112"/>
      <c r="E184" s="112"/>
      <c r="F184" s="112"/>
    </row>
    <row r="186" spans="3:6" x14ac:dyDescent="0.25">
      <c r="C186" s="112" t="s">
        <v>175</v>
      </c>
      <c r="D186" s="112"/>
      <c r="E186" s="112"/>
      <c r="F186" s="112"/>
    </row>
    <row r="187" spans="3:6" x14ac:dyDescent="0.25">
      <c r="C187" s="112" t="str">
        <f>J47</f>
        <v xml:space="preserve">PLACAS DE LCDCP AMPLIAS BLOQUEADA DE 3.5 MM Y SUS RESPECTIVOS TORNILLOS EN ACERO. </v>
      </c>
      <c r="D187" s="112"/>
      <c r="E187" s="112"/>
      <c r="F187" s="112"/>
    </row>
    <row r="189" spans="3:6" x14ac:dyDescent="0.25">
      <c r="C189" s="112" t="s">
        <v>176</v>
      </c>
      <c r="D189" s="112"/>
      <c r="E189" s="112"/>
      <c r="F189" s="112"/>
    </row>
    <row r="190" spans="3:6" x14ac:dyDescent="0.25">
      <c r="C190" s="112" t="str">
        <f>J48</f>
        <v>PLACA BLOQUEADA ANATOMICA PARA PERONE DISTAL Y RESPECTIVOS TORNILLOS EN TITANIO.</v>
      </c>
      <c r="D190" s="112"/>
      <c r="E190" s="112"/>
      <c r="F190" s="112"/>
    </row>
    <row r="192" spans="3:6" x14ac:dyDescent="0.25">
      <c r="C192" s="106" t="s">
        <v>211</v>
      </c>
    </row>
    <row r="193" spans="3:3" x14ac:dyDescent="0.25">
      <c r="C193" s="107" t="str">
        <f>J49</f>
        <v>SISTEMA  DCS/DHS DE 4.5 MM CON ALTERNATIVAS</v>
      </c>
    </row>
    <row r="195" spans="3:3" x14ac:dyDescent="0.25">
      <c r="C195" s="106" t="s">
        <v>216</v>
      </c>
    </row>
    <row r="196" spans="3:3" x14ac:dyDescent="0.25">
      <c r="C196" s="106" t="str">
        <f>J50</f>
        <v xml:space="preserve">PLACAS DE LCDCP  BLOQUEADA DE 3.5 MM Y SUS RESPECTIVOS TORNILLOS EN TITANIO. </v>
      </c>
    </row>
    <row r="197" spans="3:3" x14ac:dyDescent="0.25">
      <c r="C197" s="106"/>
    </row>
    <row r="198" spans="3:3" x14ac:dyDescent="0.25">
      <c r="C198" s="106" t="s">
        <v>212</v>
      </c>
    </row>
    <row r="199" spans="3:3" x14ac:dyDescent="0.25">
      <c r="C199" s="106" t="str">
        <f>J51</f>
        <v>PLACAS PARA MINIFRAGMENTOS DE 2,7 MM BLOQUEADA Y RESPECTIVOS TORNILLOS EN TITANIO.</v>
      </c>
    </row>
    <row r="200" spans="3:3" x14ac:dyDescent="0.25">
      <c r="C200" s="106"/>
    </row>
    <row r="201" spans="3:3" x14ac:dyDescent="0.25">
      <c r="C201" s="106" t="s">
        <v>213</v>
      </c>
    </row>
    <row r="202" spans="3:3" x14ac:dyDescent="0.25">
      <c r="C202" s="106" t="str">
        <f>J52</f>
        <v>TORNILLOS COMPRESIVO HERBERT CON ALTERNATIVAS 3,5 DIAMETRO</v>
      </c>
    </row>
    <row r="203" spans="3:3" x14ac:dyDescent="0.25">
      <c r="C203" s="106"/>
    </row>
    <row r="204" spans="3:3" x14ac:dyDescent="0.25">
      <c r="C204" s="106" t="s">
        <v>214</v>
      </c>
    </row>
    <row r="205" spans="3:3" x14ac:dyDescent="0.25">
      <c r="C205" s="106" t="str">
        <f>J53</f>
        <v xml:space="preserve">TUBO PARA TUTOR EXTERNO </v>
      </c>
    </row>
    <row r="206" spans="3:3" x14ac:dyDescent="0.25">
      <c r="C206" s="106"/>
    </row>
    <row r="207" spans="3:3" x14ac:dyDescent="0.25">
      <c r="C207" s="106" t="s">
        <v>215</v>
      </c>
    </row>
    <row r="208" spans="3:3" x14ac:dyDescent="0.25">
      <c r="C208" s="107" t="str">
        <f>J54</f>
        <v xml:space="preserve">ROTULA TUBO-TUBO PARA TUTOR EXTERNO </v>
      </c>
    </row>
  </sheetData>
  <sortState xmlns:xlrd2="http://schemas.microsoft.com/office/spreadsheetml/2017/richdata2" ref="A10:J48">
    <sortCondition ref="E10"/>
  </sortState>
  <mergeCells count="93">
    <mergeCell ref="A7:B7"/>
    <mergeCell ref="B2:H2"/>
    <mergeCell ref="A4:B4"/>
    <mergeCell ref="C4:E4"/>
    <mergeCell ref="A5:B5"/>
    <mergeCell ref="C5:E5"/>
    <mergeCell ref="A6:B6"/>
    <mergeCell ref="D58:F58"/>
    <mergeCell ref="C76:F76"/>
    <mergeCell ref="C75:F75"/>
    <mergeCell ref="C78:F78"/>
    <mergeCell ref="C79:F79"/>
    <mergeCell ref="D69:F69"/>
    <mergeCell ref="D71:F71"/>
    <mergeCell ref="D61:F61"/>
    <mergeCell ref="D62:F62"/>
    <mergeCell ref="D64:F64"/>
    <mergeCell ref="D67:F67"/>
    <mergeCell ref="D68:F68"/>
    <mergeCell ref="C81:F81"/>
    <mergeCell ref="C82:F82"/>
    <mergeCell ref="C84:F84"/>
    <mergeCell ref="C85:F85"/>
    <mergeCell ref="C87:F87"/>
    <mergeCell ref="C96:F96"/>
    <mergeCell ref="C97:F97"/>
    <mergeCell ref="C99:F99"/>
    <mergeCell ref="C88:F88"/>
    <mergeCell ref="C90:F90"/>
    <mergeCell ref="C91:F91"/>
    <mergeCell ref="C93:F93"/>
    <mergeCell ref="C94:F94"/>
    <mergeCell ref="C100:F100"/>
    <mergeCell ref="C102:F102"/>
    <mergeCell ref="C103:F103"/>
    <mergeCell ref="C105:F105"/>
    <mergeCell ref="C106:F106"/>
    <mergeCell ref="C108:F108"/>
    <mergeCell ref="C109:F109"/>
    <mergeCell ref="C111:F111"/>
    <mergeCell ref="C112:F112"/>
    <mergeCell ref="C114:F114"/>
    <mergeCell ref="C115:F115"/>
    <mergeCell ref="C117:F117"/>
    <mergeCell ref="C118:F118"/>
    <mergeCell ref="C120:F120"/>
    <mergeCell ref="C121:F121"/>
    <mergeCell ref="C123:F123"/>
    <mergeCell ref="C124:F124"/>
    <mergeCell ref="C126:F126"/>
    <mergeCell ref="C127:F127"/>
    <mergeCell ref="C129:F129"/>
    <mergeCell ref="C130:F130"/>
    <mergeCell ref="C132:F132"/>
    <mergeCell ref="C133:F133"/>
    <mergeCell ref="C135:F135"/>
    <mergeCell ref="C136:F136"/>
    <mergeCell ref="C138:F138"/>
    <mergeCell ref="C139:F139"/>
    <mergeCell ref="C141:F141"/>
    <mergeCell ref="C142:F142"/>
    <mergeCell ref="C144:F144"/>
    <mergeCell ref="C145:F145"/>
    <mergeCell ref="C147:F147"/>
    <mergeCell ref="C148:F148"/>
    <mergeCell ref="C150:F150"/>
    <mergeCell ref="C151:F151"/>
    <mergeCell ref="C153:F153"/>
    <mergeCell ref="C154:F154"/>
    <mergeCell ref="C156:F156"/>
    <mergeCell ref="C157:F157"/>
    <mergeCell ref="C159:F159"/>
    <mergeCell ref="C160:F160"/>
    <mergeCell ref="C162:F162"/>
    <mergeCell ref="C163:F163"/>
    <mergeCell ref="C165:F165"/>
    <mergeCell ref="C166:F166"/>
    <mergeCell ref="C168:F168"/>
    <mergeCell ref="C169:F169"/>
    <mergeCell ref="C171:F171"/>
    <mergeCell ref="C172:F172"/>
    <mergeCell ref="C174:F174"/>
    <mergeCell ref="C175:F175"/>
    <mergeCell ref="C177:F177"/>
    <mergeCell ref="C178:F178"/>
    <mergeCell ref="C180:F180"/>
    <mergeCell ref="C181:F181"/>
    <mergeCell ref="C190:F190"/>
    <mergeCell ref="C183:F183"/>
    <mergeCell ref="C184:F184"/>
    <mergeCell ref="C186:F186"/>
    <mergeCell ref="C187:F187"/>
    <mergeCell ref="C189:F189"/>
  </mergeCells>
  <conditionalFormatting sqref="B1:B9 E1:E9">
    <cfRule type="duplicateValues" dxfId="11" priority="1002"/>
  </conditionalFormatting>
  <conditionalFormatting sqref="E1:E9 B1:B9">
    <cfRule type="duplicateValues" dxfId="10" priority="1004"/>
  </conditionalFormatting>
  <conditionalFormatting sqref="B1:B9">
    <cfRule type="duplicateValues" dxfId="9" priority="1009"/>
  </conditionalFormatting>
  <conditionalFormatting sqref="E1:E9">
    <cfRule type="duplicateValues" dxfId="8" priority="1010"/>
  </conditionalFormatting>
  <conditionalFormatting sqref="E1:E9">
    <cfRule type="duplicateValues" dxfId="7" priority="1011"/>
    <cfRule type="duplicateValues" dxfId="6" priority="1012"/>
  </conditionalFormatting>
  <conditionalFormatting sqref="B56">
    <cfRule type="duplicateValues" dxfId="5" priority="1013"/>
  </conditionalFormatting>
  <conditionalFormatting sqref="E56">
    <cfRule type="duplicateValues" dxfId="4" priority="1014"/>
  </conditionalFormatting>
  <conditionalFormatting sqref="E56">
    <cfRule type="duplicateValues" dxfId="3" priority="1015"/>
    <cfRule type="duplicateValues" dxfId="2" priority="1016"/>
  </conditionalFormatting>
  <conditionalFormatting sqref="E56 B56">
    <cfRule type="duplicateValues" dxfId="1" priority="1017"/>
  </conditionalFormatting>
  <conditionalFormatting sqref="E56">
    <cfRule type="duplicateValues" dxfId="0" priority="1019"/>
  </conditionalFormatting>
  <pageMargins left="0.7" right="0.7" top="0.75" bottom="0.75" header="0.3" footer="0.3"/>
  <pageSetup paperSize="9" scale="47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7"/>
  <sheetViews>
    <sheetView topLeftCell="A5" zoomScaleNormal="100" workbookViewId="0">
      <selection activeCell="J57" sqref="J57:K57"/>
    </sheetView>
  </sheetViews>
  <sheetFormatPr baseColWidth="10" defaultRowHeight="15" x14ac:dyDescent="0.25"/>
  <cols>
    <col min="1" max="1" width="5.5703125" style="22" customWidth="1"/>
    <col min="2" max="2" width="15.140625" customWidth="1"/>
    <col min="3" max="3" width="14.140625" style="22" customWidth="1"/>
    <col min="4" max="4" width="26" customWidth="1"/>
    <col min="5" max="5" width="8" customWidth="1"/>
    <col min="6" max="6" width="7.85546875" customWidth="1"/>
    <col min="7" max="7" width="33.5703125" customWidth="1"/>
    <col min="8" max="8" width="9.28515625" customWidth="1"/>
    <col min="9" max="9" width="15.5703125" customWidth="1"/>
    <col min="10" max="10" width="16.42578125" customWidth="1"/>
    <col min="11" max="11" width="15.5703125" customWidth="1"/>
    <col min="13" max="13" width="15.42578125" style="74" bestFit="1" customWidth="1"/>
  </cols>
  <sheetData>
    <row r="1" spans="1:13" ht="30.75" thickBot="1" x14ac:dyDescent="0.3">
      <c r="A1" s="128" t="s">
        <v>23</v>
      </c>
      <c r="B1" s="128"/>
      <c r="C1" s="128"/>
      <c r="D1" s="128"/>
      <c r="E1" s="128"/>
      <c r="F1" s="128"/>
      <c r="G1" s="128"/>
      <c r="H1" s="128"/>
      <c r="I1" s="128"/>
      <c r="J1" s="30"/>
      <c r="K1" s="103"/>
    </row>
    <row r="2" spans="1:13" ht="16.5" thickBot="1" x14ac:dyDescent="0.3">
      <c r="A2" s="31"/>
      <c r="B2" s="32"/>
      <c r="C2" s="32"/>
      <c r="D2" s="33"/>
      <c r="E2" s="33"/>
      <c r="F2" s="33"/>
      <c r="G2" s="33"/>
      <c r="H2" s="33"/>
      <c r="I2" s="33"/>
      <c r="J2" s="33"/>
      <c r="K2" s="34"/>
    </row>
    <row r="3" spans="1:13" ht="16.5" thickBot="1" x14ac:dyDescent="0.3">
      <c r="A3" s="129" t="s">
        <v>24</v>
      </c>
      <c r="B3" s="129"/>
      <c r="C3" s="129"/>
      <c r="D3" s="130" t="s">
        <v>25</v>
      </c>
      <c r="E3" s="131"/>
      <c r="F3" s="131"/>
      <c r="G3" s="131"/>
      <c r="H3" s="131"/>
      <c r="I3" s="131"/>
      <c r="J3" s="131"/>
      <c r="K3" s="132"/>
    </row>
    <row r="4" spans="1:13" ht="16.5" thickBot="1" x14ac:dyDescent="0.3">
      <c r="A4" s="124" t="s">
        <v>26</v>
      </c>
      <c r="B4" s="124"/>
      <c r="C4" s="124"/>
      <c r="D4" s="125" t="s">
        <v>27</v>
      </c>
      <c r="E4" s="126"/>
      <c r="F4" s="126"/>
      <c r="G4" s="126"/>
      <c r="H4" s="126"/>
      <c r="I4" s="126"/>
      <c r="J4" s="126"/>
      <c r="K4" s="127"/>
    </row>
    <row r="5" spans="1:13" ht="16.5" thickBot="1" x14ac:dyDescent="0.3">
      <c r="A5" s="124" t="s">
        <v>28</v>
      </c>
      <c r="B5" s="124"/>
      <c r="C5" s="124"/>
      <c r="D5" s="125" t="s">
        <v>131</v>
      </c>
      <c r="E5" s="126"/>
      <c r="F5" s="126"/>
      <c r="G5" s="126"/>
      <c r="H5" s="126"/>
      <c r="I5" s="126"/>
      <c r="J5" s="126"/>
      <c r="K5" s="127"/>
    </row>
    <row r="6" spans="1:13" ht="15.75" thickBot="1" x14ac:dyDescent="0.3">
      <c r="A6" s="129" t="s">
        <v>29</v>
      </c>
      <c r="B6" s="129"/>
      <c r="C6" s="129"/>
      <c r="D6" s="133" t="s">
        <v>131</v>
      </c>
      <c r="E6" s="133"/>
      <c r="F6" s="133"/>
      <c r="G6" s="133"/>
      <c r="H6" s="133"/>
      <c r="I6" s="133"/>
      <c r="J6" s="133"/>
      <c r="K6" s="133"/>
    </row>
    <row r="7" spans="1:13" ht="15.75" thickBot="1" x14ac:dyDescent="0.3">
      <c r="A7" s="124" t="s">
        <v>30</v>
      </c>
      <c r="B7" s="124"/>
      <c r="C7" s="124"/>
      <c r="D7" s="133" t="s">
        <v>132</v>
      </c>
      <c r="E7" s="133"/>
      <c r="F7" s="133"/>
      <c r="G7" s="133"/>
      <c r="H7" s="133"/>
      <c r="I7" s="133"/>
      <c r="J7" s="133"/>
      <c r="K7" s="133"/>
    </row>
    <row r="8" spans="1:13" ht="30.75" customHeight="1" thickBot="1" x14ac:dyDescent="0.3">
      <c r="A8" s="134" t="s">
        <v>31</v>
      </c>
      <c r="B8" s="134"/>
      <c r="C8" s="134"/>
      <c r="D8" s="135" t="s">
        <v>137</v>
      </c>
      <c r="E8" s="135"/>
      <c r="F8" s="135"/>
      <c r="G8" s="135"/>
      <c r="H8" s="135"/>
      <c r="I8" s="135"/>
      <c r="J8" s="135"/>
      <c r="K8" s="135"/>
    </row>
    <row r="9" spans="1:13" ht="16.5" thickBot="1" x14ac:dyDescent="0.3">
      <c r="A9" s="35"/>
      <c r="B9" s="36"/>
      <c r="C9" s="36"/>
      <c r="D9" s="37"/>
      <c r="E9" s="37"/>
      <c r="F9" s="37"/>
      <c r="G9" s="37"/>
      <c r="H9" s="37"/>
      <c r="I9" s="37"/>
      <c r="J9" s="37"/>
      <c r="K9" s="38"/>
    </row>
    <row r="10" spans="1:13" ht="15.75" thickBot="1" x14ac:dyDescent="0.3">
      <c r="A10" s="144" t="s">
        <v>32</v>
      </c>
      <c r="B10" s="141" t="s">
        <v>33</v>
      </c>
      <c r="C10" s="146" t="s">
        <v>34</v>
      </c>
      <c r="D10" s="147"/>
      <c r="E10" s="147"/>
      <c r="F10" s="147"/>
      <c r="G10" s="148"/>
      <c r="H10" s="141" t="s">
        <v>35</v>
      </c>
      <c r="I10" s="141" t="s">
        <v>36</v>
      </c>
      <c r="J10" s="141" t="s">
        <v>37</v>
      </c>
      <c r="K10" s="141" t="s">
        <v>38</v>
      </c>
    </row>
    <row r="11" spans="1:13" ht="31.5" customHeight="1" thickBot="1" x14ac:dyDescent="0.3">
      <c r="A11" s="145"/>
      <c r="B11" s="142"/>
      <c r="C11" s="149"/>
      <c r="D11" s="150"/>
      <c r="E11" s="150"/>
      <c r="F11" s="150"/>
      <c r="G11" s="151"/>
      <c r="H11" s="142"/>
      <c r="I11" s="142"/>
      <c r="J11" s="142"/>
      <c r="K11" s="142"/>
    </row>
    <row r="12" spans="1:13" ht="24.95" customHeight="1" x14ac:dyDescent="0.25">
      <c r="A12" s="90">
        <v>1</v>
      </c>
      <c r="B12" s="90" t="str">
        <f>'SAF 011'!B10</f>
        <v>2.9.5-6292.12</v>
      </c>
      <c r="C12" s="143" t="str">
        <f>'SAF 011'!E10</f>
        <v>CLAVOS P/TRAUMATOLOGIA; TIPO: ENDOMEDULAR TIBIA, MATERIAL: TITANIO, MEDIDA: VARIABLE</v>
      </c>
      <c r="D12" s="143"/>
      <c r="E12" s="143"/>
      <c r="F12" s="143"/>
      <c r="G12" s="143"/>
      <c r="H12" s="90" t="s">
        <v>39</v>
      </c>
      <c r="I12" s="90" t="str">
        <f>'SAF 011'!F10</f>
        <v>UNIDAD</v>
      </c>
      <c r="J12" s="92">
        <f>'SAF 011'!H10</f>
        <v>83000</v>
      </c>
      <c r="K12" s="90">
        <f>'SAF 011'!G10</f>
        <v>7</v>
      </c>
      <c r="M12" s="75">
        <f>+J12*K12</f>
        <v>581000</v>
      </c>
    </row>
    <row r="13" spans="1:13" ht="24.95" customHeight="1" x14ac:dyDescent="0.25">
      <c r="A13" s="91">
        <v>2</v>
      </c>
      <c r="B13" s="90" t="str">
        <f>'SAF 011'!B11</f>
        <v>2.9.5-6292.11</v>
      </c>
      <c r="C13" s="123" t="str">
        <f>'SAF 011'!E11</f>
        <v>CLAVOS P/TRAUMATOLOGIA; TIPO: ENDOMEDULAR TIBIA, MATERIAL: ACERO, MEDIDA: VARIABLE</v>
      </c>
      <c r="D13" s="123"/>
      <c r="E13" s="123"/>
      <c r="F13" s="123"/>
      <c r="G13" s="123"/>
      <c r="H13" s="91" t="s">
        <v>39</v>
      </c>
      <c r="I13" s="91" t="str">
        <f>'SAF 011'!F11</f>
        <v>UNIDAD</v>
      </c>
      <c r="J13" s="92">
        <f>'SAF 011'!H11</f>
        <v>73000</v>
      </c>
      <c r="K13" s="90">
        <f>'SAF 011'!G11</f>
        <v>15</v>
      </c>
      <c r="M13" s="75">
        <f t="shared" ref="M13:M18" si="0">+J13*K13</f>
        <v>1095000</v>
      </c>
    </row>
    <row r="14" spans="1:13" ht="20.100000000000001" customHeight="1" x14ac:dyDescent="0.25">
      <c r="A14" s="91">
        <v>3</v>
      </c>
      <c r="B14" s="90" t="str">
        <f>'SAF 011'!B12</f>
        <v>2.9.5-6292.9</v>
      </c>
      <c r="C14" s="123" t="str">
        <f>'SAF 011'!E12</f>
        <v>CLAVOS P/TRAUMATOLOGIA; TIPO: ENDOMEDULAR FEMUR, MATERIAL: ACERO, MEDIDA: VARIABLE</v>
      </c>
      <c r="D14" s="123"/>
      <c r="E14" s="123"/>
      <c r="F14" s="123"/>
      <c r="G14" s="123"/>
      <c r="H14" s="91" t="s">
        <v>39</v>
      </c>
      <c r="I14" s="91" t="str">
        <f>'SAF 011'!F12</f>
        <v>UNIDAD</v>
      </c>
      <c r="J14" s="92">
        <f>'SAF 011'!H12</f>
        <v>79000</v>
      </c>
      <c r="K14" s="90">
        <f>'SAF 011'!G12</f>
        <v>10</v>
      </c>
      <c r="M14" s="75">
        <f t="shared" si="0"/>
        <v>790000</v>
      </c>
    </row>
    <row r="15" spans="1:13" ht="20.100000000000001" customHeight="1" x14ac:dyDescent="0.25">
      <c r="A15" s="91">
        <v>4</v>
      </c>
      <c r="B15" s="90" t="str">
        <f>'SAF 011'!B13</f>
        <v>2.9.5-6292.10</v>
      </c>
      <c r="C15" s="123" t="str">
        <f>'SAF 011'!E13</f>
        <v>CLAVOS P/TRAUMATOLOGIA; TIPO: ENDOMEDULAR FEMUR, MATERIAL: TITANIO, MEDIDA: VARIABLE</v>
      </c>
      <c r="D15" s="123"/>
      <c r="E15" s="123"/>
      <c r="F15" s="123"/>
      <c r="G15" s="123"/>
      <c r="H15" s="91" t="s">
        <v>39</v>
      </c>
      <c r="I15" s="91" t="str">
        <f>'SAF 011'!F13</f>
        <v>UNIDAD</v>
      </c>
      <c r="J15" s="92">
        <f>'SAF 011'!H13</f>
        <v>94000</v>
      </c>
      <c r="K15" s="90">
        <f>'SAF 011'!G13</f>
        <v>5</v>
      </c>
      <c r="M15" s="75">
        <f t="shared" si="0"/>
        <v>470000</v>
      </c>
    </row>
    <row r="16" spans="1:13" ht="20.100000000000001" customHeight="1" x14ac:dyDescent="0.25">
      <c r="A16" s="91">
        <v>5</v>
      </c>
      <c r="B16" s="90" t="str">
        <f>'SAF 011'!B14</f>
        <v>2.9.5-6292.8</v>
      </c>
      <c r="C16" s="123" t="str">
        <f>'SAF 011'!E14</f>
        <v>CLAVOS P/TRAUMATOLOGIA; TIPO: ENDOMEDULAR HUMERO, MATERIAL: TITANIO, MEDIDA: VARIABLE</v>
      </c>
      <c r="D16" s="123"/>
      <c r="E16" s="123"/>
      <c r="F16" s="123"/>
      <c r="G16" s="123"/>
      <c r="H16" s="91" t="s">
        <v>39</v>
      </c>
      <c r="I16" s="91" t="str">
        <f>'SAF 011'!F14</f>
        <v>UNIDAD</v>
      </c>
      <c r="J16" s="92">
        <f>'SAF 011'!H14</f>
        <v>126000</v>
      </c>
      <c r="K16" s="90">
        <f>'SAF 011'!G14</f>
        <v>3</v>
      </c>
      <c r="M16" s="75">
        <f t="shared" si="0"/>
        <v>378000</v>
      </c>
    </row>
    <row r="17" spans="1:13" ht="20.100000000000001" customHeight="1" x14ac:dyDescent="0.25">
      <c r="A17" s="91">
        <v>6</v>
      </c>
      <c r="B17" s="90" t="str">
        <f>'SAF 011'!B15</f>
        <v>2.9.5-10015.1</v>
      </c>
      <c r="C17" s="123" t="str">
        <f>'SAF 011'!E15</f>
        <v>COMPONENTES P/TUTOR EXT. DE TRAUMATOLOGIA; TIPO: ROTULA TUBO-SHANTZ P/TUTOR EXTERNO, MATERIAL: ACERO; MEDIDA: VARIABLE</v>
      </c>
      <c r="D17" s="123"/>
      <c r="E17" s="123"/>
      <c r="F17" s="123"/>
      <c r="G17" s="123"/>
      <c r="H17" s="91" t="s">
        <v>39</v>
      </c>
      <c r="I17" s="91" t="str">
        <f>'SAF 011'!F15</f>
        <v>UNIDAD</v>
      </c>
      <c r="J17" s="92">
        <f>'SAF 011'!H15</f>
        <v>20500</v>
      </c>
      <c r="K17" s="90">
        <f>'SAF 011'!G15</f>
        <v>10</v>
      </c>
      <c r="M17" s="75">
        <f t="shared" si="0"/>
        <v>205000</v>
      </c>
    </row>
    <row r="18" spans="1:13" ht="20.100000000000001" customHeight="1" x14ac:dyDescent="0.25">
      <c r="A18" s="91">
        <v>7</v>
      </c>
      <c r="B18" s="90" t="str">
        <f>'SAF 011'!B16</f>
        <v>2.9.5-6292.16</v>
      </c>
      <c r="C18" s="123" t="str">
        <f>'SAF 011'!E16</f>
        <v>CLAVOS P/TRAUMATOLOGIA; TIPO: SCHANZ TUTORES EXTERNOS, MATERIAL: ACERO, MEDIDA: VARIABLE</v>
      </c>
      <c r="D18" s="123"/>
      <c r="E18" s="123"/>
      <c r="F18" s="123"/>
      <c r="G18" s="123"/>
      <c r="H18" s="91" t="s">
        <v>39</v>
      </c>
      <c r="I18" s="91" t="str">
        <f>'SAF 011'!F16</f>
        <v>UNIDAD</v>
      </c>
      <c r="J18" s="92">
        <f>'SAF 011'!H16</f>
        <v>13500</v>
      </c>
      <c r="K18" s="90">
        <f>'SAF 011'!G16</f>
        <v>4</v>
      </c>
      <c r="M18" s="75">
        <f t="shared" si="0"/>
        <v>54000</v>
      </c>
    </row>
    <row r="19" spans="1:13" ht="20.100000000000001" customHeight="1" x14ac:dyDescent="0.25">
      <c r="A19" s="91">
        <v>8</v>
      </c>
      <c r="B19" s="90" t="str">
        <f>'SAF 011'!B17</f>
        <v>2.9.5-6292.16</v>
      </c>
      <c r="C19" s="123" t="str">
        <f>'SAF 011'!E17</f>
        <v>CLAVOS P/TRAUMATOLOGIA; TIPO: SCHANZ TUTORES EXTERNOS, MATERIAL: ACERO, MEDIDA: VARIABLE</v>
      </c>
      <c r="D19" s="123"/>
      <c r="E19" s="123"/>
      <c r="F19" s="123"/>
      <c r="G19" s="123"/>
      <c r="H19" s="91" t="s">
        <v>39</v>
      </c>
      <c r="I19" s="91" t="str">
        <f>'SAF 011'!F17</f>
        <v>UNIDAD</v>
      </c>
      <c r="J19" s="92">
        <f>'SAF 011'!H17</f>
        <v>13500</v>
      </c>
      <c r="K19" s="90">
        <f>'SAF 011'!G17</f>
        <v>3</v>
      </c>
      <c r="M19" s="75"/>
    </row>
    <row r="20" spans="1:13" ht="20.100000000000001" customHeight="1" x14ac:dyDescent="0.25">
      <c r="A20" s="91">
        <v>9</v>
      </c>
      <c r="B20" s="90" t="str">
        <f>'SAF 011'!B18</f>
        <v>2.9.5-6292.16</v>
      </c>
      <c r="C20" s="123" t="str">
        <f>'SAF 011'!E18</f>
        <v>CLAVOS P/TRAUMATOLOGIA; TIPO: SCHANZ TUTORES EXTERNOS, MATERIAL: ACERO, MEDIDA: VARIABLE</v>
      </c>
      <c r="D20" s="123"/>
      <c r="E20" s="123"/>
      <c r="F20" s="123"/>
      <c r="G20" s="123"/>
      <c r="H20" s="91" t="s">
        <v>39</v>
      </c>
      <c r="I20" s="91" t="str">
        <f>'SAF 011'!F18</f>
        <v>UNIDAD</v>
      </c>
      <c r="J20" s="92">
        <f>'SAF 011'!H18</f>
        <v>13500</v>
      </c>
      <c r="K20" s="90">
        <f>'SAF 011'!G18</f>
        <v>3</v>
      </c>
      <c r="M20" s="75"/>
    </row>
    <row r="21" spans="1:13" ht="24.95" customHeight="1" x14ac:dyDescent="0.25">
      <c r="A21" s="91">
        <v>10</v>
      </c>
      <c r="B21" s="90" t="str">
        <f>'SAF 011'!B19</f>
        <v>2.9.5-9948.2</v>
      </c>
      <c r="C21" s="123" t="str">
        <f>'SAF 011'!E19</f>
        <v>PLACAS P/TRAUMATOLOGIA; TIPO: BLOQUEADA DOBLE HILERA, MEDIDA: 2,7 mm, USO: MUÑECA, MATERIAL: TITANIO</v>
      </c>
      <c r="D21" s="123"/>
      <c r="E21" s="123"/>
      <c r="F21" s="123"/>
      <c r="G21" s="123"/>
      <c r="H21" s="91" t="s">
        <v>39</v>
      </c>
      <c r="I21" s="91" t="str">
        <f>'SAF 011'!F19</f>
        <v>UNIDAD</v>
      </c>
      <c r="J21" s="92">
        <f>'SAF 011'!H19</f>
        <v>51000</v>
      </c>
      <c r="K21" s="90">
        <f>'SAF 011'!G19</f>
        <v>10</v>
      </c>
      <c r="M21" s="75"/>
    </row>
    <row r="22" spans="1:13" ht="24.95" customHeight="1" x14ac:dyDescent="0.25">
      <c r="A22" s="91">
        <v>11</v>
      </c>
      <c r="B22" s="90" t="str">
        <f>'SAF 011'!B20</f>
        <v>2.9.5-9948.7</v>
      </c>
      <c r="C22" s="123" t="str">
        <f>'SAF 011'!E20</f>
        <v>PLACAS P/TRAUMATOLOGIA; TIPO: BLOQUEADA EN T Y L, MEDIDA: 4,5 mm, USO: PLATILLO TIBIAL, MATERIAL: ACERO</v>
      </c>
      <c r="D22" s="123"/>
      <c r="E22" s="123"/>
      <c r="F22" s="123"/>
      <c r="G22" s="123"/>
      <c r="H22" s="91" t="s">
        <v>39</v>
      </c>
      <c r="I22" s="91" t="str">
        <f>'SAF 011'!F20</f>
        <v>UNIDAD</v>
      </c>
      <c r="J22" s="92">
        <f>'SAF 011'!H20</f>
        <v>49000</v>
      </c>
      <c r="K22" s="90">
        <f>'SAF 011'!G20</f>
        <v>15</v>
      </c>
      <c r="M22" s="75"/>
    </row>
    <row r="23" spans="1:13" ht="20.100000000000001" customHeight="1" x14ac:dyDescent="0.25">
      <c r="A23" s="91">
        <v>12</v>
      </c>
      <c r="B23" s="90" t="str">
        <f>'SAF 011'!B21</f>
        <v>2.9.5-9948.8</v>
      </c>
      <c r="C23" s="123" t="str">
        <f>'SAF 011'!E21</f>
        <v>PLACAS P/TRAUMATOLOGIA; TIPO: BLOQUEADA EN T Y L, MEDIDA: 4,5 mm, USO: PLATILLO TIBIAL, MATERIAL: TITANIO</v>
      </c>
      <c r="D23" s="123"/>
      <c r="E23" s="123"/>
      <c r="F23" s="123"/>
      <c r="G23" s="123"/>
      <c r="H23" s="91" t="s">
        <v>39</v>
      </c>
      <c r="I23" s="91" t="str">
        <f>'SAF 011'!F21</f>
        <v>UNIDAD</v>
      </c>
      <c r="J23" s="92">
        <f>'SAF 011'!H21</f>
        <v>83000</v>
      </c>
      <c r="K23" s="90">
        <f>'SAF 011'!G21</f>
        <v>7</v>
      </c>
      <c r="M23" s="75"/>
    </row>
    <row r="24" spans="1:13" ht="20.100000000000001" customHeight="1" x14ac:dyDescent="0.25">
      <c r="A24" s="91">
        <v>13</v>
      </c>
      <c r="B24" s="90" t="str">
        <f>'SAF 011'!B22</f>
        <v>2.9.5-9948.20</v>
      </c>
      <c r="C24" s="123" t="str">
        <f>'SAF 011'!E22</f>
        <v>PLACAS P/TRAUMATOLOGIA; TIPO: BLOQUEDAD, MEDIDA: VARIABLE, USO: CLAVICULA, MATERIAL: TITANIO</v>
      </c>
      <c r="D24" s="123"/>
      <c r="E24" s="123"/>
      <c r="F24" s="123"/>
      <c r="G24" s="123"/>
      <c r="H24" s="91" t="s">
        <v>39</v>
      </c>
      <c r="I24" s="91" t="str">
        <f>'SAF 011'!F22</f>
        <v>UNIDAD</v>
      </c>
      <c r="J24" s="92">
        <f>'SAF 011'!H22</f>
        <v>51000</v>
      </c>
      <c r="K24" s="90">
        <f>'SAF 011'!G22</f>
        <v>15</v>
      </c>
      <c r="M24" s="75"/>
    </row>
    <row r="25" spans="1:13" ht="20.100000000000001" customHeight="1" x14ac:dyDescent="0.25">
      <c r="A25" s="91">
        <v>14</v>
      </c>
      <c r="B25" s="90" t="str">
        <f>'SAF 011'!B23</f>
        <v>2.9.5-9948.18</v>
      </c>
      <c r="C25" s="123" t="str">
        <f>'SAF 011'!E23</f>
        <v>PLACAS P/TRAUMATOLOGIA; TIPO: TERCIO DE TUBO BLOQUEADA, MEDIDA: 3,5 mm, USO: TOBILLO, MATERIAL: ACERO</v>
      </c>
      <c r="D25" s="123"/>
      <c r="E25" s="123"/>
      <c r="F25" s="123"/>
      <c r="G25" s="123"/>
      <c r="H25" s="91" t="s">
        <v>39</v>
      </c>
      <c r="I25" s="91" t="str">
        <f>'SAF 011'!F23</f>
        <v>UNIDAD</v>
      </c>
      <c r="J25" s="92">
        <f>'SAF 011'!H23</f>
        <v>41000</v>
      </c>
      <c r="K25" s="90">
        <f>'SAF 011'!G23</f>
        <v>30</v>
      </c>
      <c r="M25" s="75"/>
    </row>
    <row r="26" spans="1:13" ht="20.100000000000001" customHeight="1" x14ac:dyDescent="0.25">
      <c r="A26" s="91">
        <v>15</v>
      </c>
      <c r="B26" s="90" t="str">
        <f>'SAF 011'!B24</f>
        <v>2.9.5-9948.19</v>
      </c>
      <c r="C26" s="123" t="str">
        <f>'SAF 011'!E24</f>
        <v>PLACAS P/TRAUMATOLOGIA; TIPO: TERCIO DE TUBO BLOQUEADA, MEDIDA: 3,5 mm, USO: TOBILLO, MATERIAL: TITANIO</v>
      </c>
      <c r="D26" s="123"/>
      <c r="E26" s="123"/>
      <c r="F26" s="123"/>
      <c r="G26" s="123"/>
      <c r="H26" s="91" t="s">
        <v>39</v>
      </c>
      <c r="I26" s="91" t="str">
        <f>'SAF 011'!F24</f>
        <v>UNIDAD</v>
      </c>
      <c r="J26" s="92">
        <f>'SAF 011'!H24</f>
        <v>46000</v>
      </c>
      <c r="K26" s="90">
        <f>'SAF 011'!G24</f>
        <v>15</v>
      </c>
      <c r="M26" s="75"/>
    </row>
    <row r="27" spans="1:13" ht="24.95" customHeight="1" x14ac:dyDescent="0.25">
      <c r="A27" s="91">
        <v>16</v>
      </c>
      <c r="B27" s="90" t="str">
        <f>'SAF 011'!B25</f>
        <v>2.9.5-391.16</v>
      </c>
      <c r="C27" s="123" t="str">
        <f>'SAF 011'!E25</f>
        <v>PROTESIS ORTOPEDICA; COMPONENTES: CLAVO, USO: CIRUGIA</v>
      </c>
      <c r="D27" s="123"/>
      <c r="E27" s="123"/>
      <c r="F27" s="123"/>
      <c r="G27" s="123"/>
      <c r="H27" s="91" t="s">
        <v>39</v>
      </c>
      <c r="I27" s="91" t="str">
        <f>'SAF 011'!F25</f>
        <v>UNIDAD</v>
      </c>
      <c r="J27" s="92">
        <f>'SAF 011'!H25</f>
        <v>94000</v>
      </c>
      <c r="K27" s="90">
        <f>'SAF 011'!G25</f>
        <v>3</v>
      </c>
      <c r="M27" s="75"/>
    </row>
    <row r="28" spans="1:13" ht="24.95" customHeight="1" x14ac:dyDescent="0.25">
      <c r="A28" s="91">
        <v>17</v>
      </c>
      <c r="B28" s="90" t="str">
        <f>'SAF 011'!B26</f>
        <v>2.9.5-391.16</v>
      </c>
      <c r="C28" s="123" t="str">
        <f>'SAF 011'!E26</f>
        <v>PROTESIS ORTOPEDICA; COMPONENTES: CLAVO, USO: CIRUGIA</v>
      </c>
      <c r="D28" s="123"/>
      <c r="E28" s="123"/>
      <c r="F28" s="123"/>
      <c r="G28" s="123"/>
      <c r="H28" s="91" t="s">
        <v>39</v>
      </c>
      <c r="I28" s="91" t="str">
        <f>'SAF 011'!F27</f>
        <v>UNIDAD</v>
      </c>
      <c r="J28" s="92">
        <f>'SAF 011'!H26</f>
        <v>94000</v>
      </c>
      <c r="K28" s="90">
        <f>'SAF 011'!G26</f>
        <v>2</v>
      </c>
      <c r="M28" s="75"/>
    </row>
    <row r="29" spans="1:13" ht="20.100000000000001" customHeight="1" x14ac:dyDescent="0.25">
      <c r="A29" s="91">
        <v>18</v>
      </c>
      <c r="B29" s="90" t="str">
        <f>'SAF 011'!B27</f>
        <v>2.9.5-391.16</v>
      </c>
      <c r="C29" s="123" t="str">
        <f>'SAF 011'!E27</f>
        <v>PROTESIS ORTOPEDICA; COMPONENTES: CLAVO, USO: CIRUGIA</v>
      </c>
      <c r="D29" s="123"/>
      <c r="E29" s="123"/>
      <c r="F29" s="123"/>
      <c r="G29" s="123"/>
      <c r="H29" s="91" t="s">
        <v>39</v>
      </c>
      <c r="I29" s="91" t="str">
        <f>'SAF 011'!F28</f>
        <v>UNIDAD</v>
      </c>
      <c r="J29" s="92">
        <f>'SAF 011'!H27</f>
        <v>30000</v>
      </c>
      <c r="K29" s="90">
        <f>'SAF 011'!G27</f>
        <v>10</v>
      </c>
      <c r="M29" s="75"/>
    </row>
    <row r="30" spans="1:13" ht="20.100000000000001" customHeight="1" x14ac:dyDescent="0.25">
      <c r="A30" s="91">
        <v>19</v>
      </c>
      <c r="B30" s="90" t="str">
        <f>'SAF 011'!B28</f>
        <v>2.9.5-391.3</v>
      </c>
      <c r="C30" s="123" t="str">
        <f>'SAF 011'!E28</f>
        <v>PROTESIS ORTOPEDICA; COMPONENTES: FEMORALES, USO: REEMPLAZO PARCIAL CADERA</v>
      </c>
      <c r="D30" s="123"/>
      <c r="E30" s="123"/>
      <c r="F30" s="123"/>
      <c r="G30" s="123"/>
      <c r="H30" s="91" t="s">
        <v>39</v>
      </c>
      <c r="I30" s="91" t="str">
        <f>'SAF 011'!F29</f>
        <v>UNIDAD</v>
      </c>
      <c r="J30" s="92">
        <f>'SAF 011'!H28</f>
        <v>125000</v>
      </c>
      <c r="K30" s="90">
        <f>'SAF 011'!G28</f>
        <v>3</v>
      </c>
      <c r="M30" s="75"/>
    </row>
    <row r="31" spans="1:13" ht="20.100000000000001" customHeight="1" x14ac:dyDescent="0.25">
      <c r="A31" s="91">
        <v>20</v>
      </c>
      <c r="B31" s="90" t="str">
        <f>'SAF 011'!B29</f>
        <v>2.9.5-391.3</v>
      </c>
      <c r="C31" s="123" t="str">
        <f>'SAF 011'!E29</f>
        <v>PROTESIS ORTOPEDICA; COMPONENTES: FEMORALES, USO: REEMPLAZO PARCIAL CADERA</v>
      </c>
      <c r="D31" s="123"/>
      <c r="E31" s="123"/>
      <c r="F31" s="123"/>
      <c r="G31" s="123"/>
      <c r="H31" s="91" t="s">
        <v>39</v>
      </c>
      <c r="I31" s="91" t="str">
        <f>'SAF 011'!F30</f>
        <v>UNIDAD</v>
      </c>
      <c r="J31" s="92">
        <f>'SAF 011'!H29</f>
        <v>125000</v>
      </c>
      <c r="K31" s="90">
        <f>'SAF 011'!G29</f>
        <v>2</v>
      </c>
      <c r="M31" s="75"/>
    </row>
    <row r="32" spans="1:13" ht="20.100000000000001" customHeight="1" x14ac:dyDescent="0.25">
      <c r="A32" s="91">
        <v>21</v>
      </c>
      <c r="B32" s="90" t="str">
        <f>'SAF 011'!B30</f>
        <v>2.9.5-391.1</v>
      </c>
      <c r="C32" s="123" t="str">
        <f>'SAF 011'!E30</f>
        <v>PROTESIS ORTOPEDICA; COMPONENTES: FEMORALES, USO: REEMPLAZO TOTAL CADERA</v>
      </c>
      <c r="D32" s="123"/>
      <c r="E32" s="123"/>
      <c r="F32" s="123"/>
      <c r="G32" s="123"/>
      <c r="H32" s="91" t="s">
        <v>39</v>
      </c>
      <c r="I32" s="91" t="str">
        <f>'SAF 011'!F31</f>
        <v>UNIDAD</v>
      </c>
      <c r="J32" s="92">
        <f>'SAF 011'!H30</f>
        <v>388000</v>
      </c>
      <c r="K32" s="90">
        <f>'SAF 011'!G30</f>
        <v>2</v>
      </c>
      <c r="M32" s="75"/>
    </row>
    <row r="33" spans="1:13" ht="20.100000000000001" customHeight="1" x14ac:dyDescent="0.25">
      <c r="A33" s="91">
        <v>22</v>
      </c>
      <c r="B33" s="90" t="str">
        <f>'SAF 011'!B31</f>
        <v>2.9.5-391.2</v>
      </c>
      <c r="C33" s="123" t="str">
        <f>'SAF 011'!E31</f>
        <v>PROTESIS ORTOPEDICA; COMPONENTES: FEMORALES, USO: REEMPLAZO TOTAL RODILLA</v>
      </c>
      <c r="D33" s="123"/>
      <c r="E33" s="123"/>
      <c r="F33" s="123"/>
      <c r="G33" s="123"/>
      <c r="H33" s="91" t="s">
        <v>39</v>
      </c>
      <c r="I33" s="91" t="str">
        <f>'SAF 011'!F32</f>
        <v>UNIDAD</v>
      </c>
      <c r="J33" s="92">
        <f>'SAF 011'!H31</f>
        <v>284000</v>
      </c>
      <c r="K33" s="90">
        <f>'SAF 011'!G31</f>
        <v>2</v>
      </c>
      <c r="M33" s="75"/>
    </row>
    <row r="34" spans="1:13" ht="24.95" customHeight="1" x14ac:dyDescent="0.25">
      <c r="A34" s="91">
        <v>23</v>
      </c>
      <c r="B34" s="90" t="str">
        <f>'SAF 011'!B32</f>
        <v>2.9.5-391.62</v>
      </c>
      <c r="C34" s="123" t="str">
        <f>'SAF 011'!E32</f>
        <v>PROTESIS ORTOPEDICA; COMPONENTES: PLACA P/FEMUR DISTAL, USO:  CIRUGIA ORTOPEDIA</v>
      </c>
      <c r="D34" s="123"/>
      <c r="E34" s="123"/>
      <c r="F34" s="123"/>
      <c r="G34" s="123"/>
      <c r="H34" s="91" t="s">
        <v>39</v>
      </c>
      <c r="I34" s="91" t="str">
        <f>'SAF 011'!F33</f>
        <v>UNIDAD</v>
      </c>
      <c r="J34" s="92">
        <f>'SAF 011'!H32</f>
        <v>73000</v>
      </c>
      <c r="K34" s="90">
        <f>'SAF 011'!G32</f>
        <v>5</v>
      </c>
      <c r="M34" s="75"/>
    </row>
    <row r="35" spans="1:13" ht="24.95" customHeight="1" x14ac:dyDescent="0.25">
      <c r="A35" s="91">
        <v>24</v>
      </c>
      <c r="B35" s="90" t="str">
        <f>'SAF 011'!B33</f>
        <v>2.9.5-391.62</v>
      </c>
      <c r="C35" s="123" t="str">
        <f>'SAF 011'!E33</f>
        <v>PROTESIS ORTOPEDICA; COMPONENTES: PLACA P/FEMUR DISTAL, USO:  CIRUGIA ORTOPEDIA</v>
      </c>
      <c r="D35" s="123"/>
      <c r="E35" s="123"/>
      <c r="F35" s="123"/>
      <c r="G35" s="123"/>
      <c r="H35" s="91" t="s">
        <v>39</v>
      </c>
      <c r="I35" s="91" t="str">
        <f>'SAF 011'!F34</f>
        <v>UNIDAD</v>
      </c>
      <c r="J35" s="92">
        <f>'SAF 011'!H33</f>
        <v>83000</v>
      </c>
      <c r="K35" s="90">
        <f>'SAF 011'!G33</f>
        <v>2</v>
      </c>
      <c r="M35" s="75"/>
    </row>
    <row r="36" spans="1:13" ht="24.95" customHeight="1" x14ac:dyDescent="0.25">
      <c r="A36" s="91">
        <v>25</v>
      </c>
      <c r="B36" s="90" t="str">
        <f>'SAF 011'!B34</f>
        <v>2.9.5-391.77</v>
      </c>
      <c r="C36" s="123" t="str">
        <f>'SAF 011'!E34</f>
        <v>PROTESIS ORTOPEDICA; COMPONENTES: PLACAS BLOQUEADAS P/TIBIA, USO: OSTEOSINTESIS</v>
      </c>
      <c r="D36" s="123"/>
      <c r="E36" s="123"/>
      <c r="F36" s="123"/>
      <c r="G36" s="123"/>
      <c r="H36" s="91" t="s">
        <v>39</v>
      </c>
      <c r="I36" s="91" t="str">
        <f>'SAF 011'!F35</f>
        <v>UNIDAD</v>
      </c>
      <c r="J36" s="92">
        <f>'SAF 011'!H34</f>
        <v>62000</v>
      </c>
      <c r="K36" s="90">
        <f>'SAF 011'!G34</f>
        <v>5</v>
      </c>
      <c r="M36" s="75"/>
    </row>
    <row r="37" spans="1:13" ht="24.95" customHeight="1" x14ac:dyDescent="0.25">
      <c r="A37" s="91">
        <v>26</v>
      </c>
      <c r="B37" s="90" t="str">
        <f>'SAF 011'!B35</f>
        <v>2.9.5-391.77</v>
      </c>
      <c r="C37" s="123" t="str">
        <f>'SAF 011'!E35</f>
        <v>PROTESIS ORTOPEDICA; COMPONENTES: PLACAS BLOQUEADAS P/TIBIA, USO: OSTEOSINTESIS</v>
      </c>
      <c r="D37" s="123"/>
      <c r="E37" s="123"/>
      <c r="F37" s="123"/>
      <c r="G37" s="123"/>
      <c r="H37" s="91" t="s">
        <v>39</v>
      </c>
      <c r="I37" s="91" t="str">
        <f>'SAF 011'!F36</f>
        <v>UNIDAD</v>
      </c>
      <c r="J37" s="92">
        <f>'SAF 011'!H35</f>
        <v>62000</v>
      </c>
      <c r="K37" s="90">
        <f>'SAF 011'!G35</f>
        <v>5</v>
      </c>
      <c r="M37" s="75"/>
    </row>
    <row r="38" spans="1:13" ht="24.95" customHeight="1" x14ac:dyDescent="0.25">
      <c r="A38" s="91">
        <v>27</v>
      </c>
      <c r="B38" s="90" t="str">
        <f>'SAF 011'!B36</f>
        <v>2.9.5-391.77</v>
      </c>
      <c r="C38" s="123" t="str">
        <f>'SAF 011'!E36</f>
        <v>PROTESIS ORTOPEDICA; COMPONENTES: PLACAS BLOQUEADAS P/TIBIA, USO: OSTEOSINTESIS</v>
      </c>
      <c r="D38" s="123"/>
      <c r="E38" s="123"/>
      <c r="F38" s="123"/>
      <c r="G38" s="123"/>
      <c r="H38" s="91" t="s">
        <v>39</v>
      </c>
      <c r="I38" s="91" t="str">
        <f>'SAF 011'!F37</f>
        <v>UNIDAD</v>
      </c>
      <c r="J38" s="92">
        <f>'SAF 011'!H36</f>
        <v>66000</v>
      </c>
      <c r="K38" s="90">
        <f>'SAF 011'!G36</f>
        <v>3</v>
      </c>
      <c r="M38" s="75"/>
    </row>
    <row r="39" spans="1:13" ht="20.100000000000001" customHeight="1" x14ac:dyDescent="0.25">
      <c r="A39" s="91">
        <v>28</v>
      </c>
      <c r="B39" s="90" t="str">
        <f>'SAF 011'!B37</f>
        <v>2.9.5-391.77</v>
      </c>
      <c r="C39" s="123" t="str">
        <f>'SAF 011'!E37</f>
        <v>PROTESIS ORTOPEDICA; COMPONENTES: PLACAS BLOQUEADAS P/TIBIA, USO: OSTEOSINTESIS</v>
      </c>
      <c r="D39" s="123"/>
      <c r="E39" s="123"/>
      <c r="F39" s="123"/>
      <c r="G39" s="123"/>
      <c r="H39" s="91" t="s">
        <v>39</v>
      </c>
      <c r="I39" s="91" t="str">
        <f>'SAF 011'!F38</f>
        <v>UNIDAD</v>
      </c>
      <c r="J39" s="92">
        <f>'SAF 011'!H37</f>
        <v>66000</v>
      </c>
      <c r="K39" s="90">
        <f>'SAF 011'!G37</f>
        <v>2</v>
      </c>
      <c r="M39" s="75"/>
    </row>
    <row r="40" spans="1:13" ht="20.100000000000001" customHeight="1" x14ac:dyDescent="0.25">
      <c r="A40" s="91">
        <v>29</v>
      </c>
      <c r="B40" s="90" t="str">
        <f>'SAF 011'!B38</f>
        <v>2.9.5-391.75</v>
      </c>
      <c r="C40" s="123" t="str">
        <f>'SAF 011'!E38</f>
        <v>PROTESIS ORTOPEDICA; COMPONENTES: PLACAS DE RECONSTRUCCION, USO: OSTEOSINTESIS</v>
      </c>
      <c r="D40" s="123"/>
      <c r="E40" s="123"/>
      <c r="F40" s="123"/>
      <c r="G40" s="123"/>
      <c r="H40" s="91" t="s">
        <v>39</v>
      </c>
      <c r="I40" s="91" t="str">
        <f>'SAF 011'!F40</f>
        <v>UNIDAD</v>
      </c>
      <c r="J40" s="92">
        <f>'SAF 011'!H38</f>
        <v>40000</v>
      </c>
      <c r="K40" s="90">
        <f>'SAF 011'!G38</f>
        <v>15</v>
      </c>
      <c r="M40" s="75"/>
    </row>
    <row r="41" spans="1:13" ht="20.100000000000001" customHeight="1" x14ac:dyDescent="0.25">
      <c r="A41" s="91">
        <v>30</v>
      </c>
      <c r="B41" s="90" t="str">
        <f>'SAF 011'!B39</f>
        <v>2.9.5-391.75</v>
      </c>
      <c r="C41" s="123" t="str">
        <f>'SAF 011'!E39</f>
        <v>PROTESIS ORTOPEDICA; COMPONENTES: PLACAS DE RECONSTRUCCION, USO: OSTEOSINTESIS</v>
      </c>
      <c r="D41" s="123"/>
      <c r="E41" s="123"/>
      <c r="F41" s="123"/>
      <c r="G41" s="123"/>
      <c r="H41" s="91" t="s">
        <v>39</v>
      </c>
      <c r="I41" s="91" t="str">
        <f>'SAF 011'!F42</f>
        <v>UNIDAD</v>
      </c>
      <c r="J41" s="92">
        <f>'SAF 011'!H39</f>
        <v>40000</v>
      </c>
      <c r="K41" s="90">
        <f>'SAF 011'!G39</f>
        <v>15</v>
      </c>
      <c r="M41" s="75"/>
    </row>
    <row r="42" spans="1:13" ht="20.100000000000001" customHeight="1" x14ac:dyDescent="0.25">
      <c r="A42" s="91">
        <v>31</v>
      </c>
      <c r="B42" s="90" t="str">
        <f>'SAF 011'!B40</f>
        <v>2.9.5-391.75</v>
      </c>
      <c r="C42" s="123" t="str">
        <f>'SAF 011'!E40</f>
        <v>PROTESIS ORTOPEDICA; COMPONENTES: PLACAS DE RECONSTRUCCION, USO: OSTEOSINTESIS</v>
      </c>
      <c r="D42" s="123"/>
      <c r="E42" s="123"/>
      <c r="F42" s="123"/>
      <c r="G42" s="123"/>
      <c r="H42" s="91" t="s">
        <v>39</v>
      </c>
      <c r="I42" s="91" t="str">
        <f>'SAF 011'!F44</f>
        <v>UNIDAD</v>
      </c>
      <c r="J42" s="92">
        <f>'SAF 011'!H40</f>
        <v>44000</v>
      </c>
      <c r="K42" s="90">
        <f>'SAF 011'!G40</f>
        <v>8</v>
      </c>
      <c r="M42" s="75"/>
    </row>
    <row r="43" spans="1:13" ht="20.100000000000001" customHeight="1" x14ac:dyDescent="0.25">
      <c r="A43" s="91">
        <v>32</v>
      </c>
      <c r="B43" s="90" t="str">
        <f>'SAF 011'!B41</f>
        <v>2.9.5-391.75</v>
      </c>
      <c r="C43" s="123" t="str">
        <f>'SAF 011'!E41</f>
        <v>PROTESIS ORTOPEDICA; COMPONENTES: PLACAS DE RECONSTRUCCION, USO: OSTEOSINTESIS</v>
      </c>
      <c r="D43" s="123"/>
      <c r="E43" s="123"/>
      <c r="F43" s="123"/>
      <c r="G43" s="123"/>
      <c r="H43" s="91" t="s">
        <v>39</v>
      </c>
      <c r="I43" s="91" t="str">
        <f>'SAF 011'!F46</f>
        <v>UNIDAD</v>
      </c>
      <c r="J43" s="92">
        <f>'SAF 011'!H41</f>
        <v>44000</v>
      </c>
      <c r="K43" s="90">
        <f>'SAF 011'!G41</f>
        <v>7</v>
      </c>
      <c r="M43" s="75"/>
    </row>
    <row r="44" spans="1:13" ht="24.95" customHeight="1" x14ac:dyDescent="0.25">
      <c r="A44" s="91">
        <v>33</v>
      </c>
      <c r="B44" s="90" t="str">
        <f>'SAF 011'!B42</f>
        <v>2.9.5-391.75</v>
      </c>
      <c r="C44" s="123" t="str">
        <f>'SAF 011'!E42</f>
        <v>PROTESIS ORTOPEDICA; COMPONENTES: PLACAS DE RECONSTRUCCION, USO: OSTEOSINTESIS</v>
      </c>
      <c r="D44" s="123"/>
      <c r="E44" s="123"/>
      <c r="F44" s="123"/>
      <c r="G44" s="123"/>
      <c r="H44" s="91" t="s">
        <v>39</v>
      </c>
      <c r="I44" s="91" t="str">
        <f>'SAF 011'!F48</f>
        <v>UNIDAD</v>
      </c>
      <c r="J44" s="92">
        <f>'SAF 011'!H42</f>
        <v>41000</v>
      </c>
      <c r="K44" s="90">
        <f>'SAF 011'!G42</f>
        <v>8</v>
      </c>
      <c r="M44" s="75"/>
    </row>
    <row r="45" spans="1:13" ht="24.95" customHeight="1" x14ac:dyDescent="0.25">
      <c r="A45" s="91">
        <v>34</v>
      </c>
      <c r="B45" s="90" t="str">
        <f>'SAF 011'!B43</f>
        <v>2.9.5-391.75</v>
      </c>
      <c r="C45" s="123" t="str">
        <f>'SAF 011'!E43</f>
        <v>PROTESIS ORTOPEDICA; COMPONENTES: PLACAS DE RECONSTRUCCION, USO: OSTEOSINTESIS</v>
      </c>
      <c r="D45" s="123"/>
      <c r="E45" s="123"/>
      <c r="F45" s="123"/>
      <c r="G45" s="123"/>
      <c r="H45" s="91" t="s">
        <v>39</v>
      </c>
      <c r="I45" s="91" t="str">
        <f>'SAF 011'!F49</f>
        <v>UNIDAD</v>
      </c>
      <c r="J45" s="92">
        <f>'SAF 011'!H43</f>
        <v>41000</v>
      </c>
      <c r="K45" s="90">
        <f>'SAF 011'!G43</f>
        <v>7</v>
      </c>
      <c r="M45" s="75"/>
    </row>
    <row r="46" spans="1:13" ht="24.95" customHeight="1" x14ac:dyDescent="0.25">
      <c r="A46" s="91">
        <v>35</v>
      </c>
      <c r="B46" s="90" t="str">
        <f>'SAF 011'!B44</f>
        <v>2.9.5-391.75</v>
      </c>
      <c r="C46" s="123" t="str">
        <f>'SAF 011'!E44</f>
        <v>PROTESIS ORTOPEDICA; COMPONENTES: PLACAS DE RECONSTRUCCION, USO: OSTEOSINTESIS</v>
      </c>
      <c r="D46" s="123"/>
      <c r="E46" s="123"/>
      <c r="F46" s="123"/>
      <c r="G46" s="123"/>
      <c r="H46" s="91" t="s">
        <v>39</v>
      </c>
      <c r="I46" s="91" t="str">
        <f>'SAF 011'!F50</f>
        <v>UNIDAD</v>
      </c>
      <c r="J46" s="92">
        <f>'SAF 011'!H44</f>
        <v>51000</v>
      </c>
      <c r="K46" s="90">
        <f>'SAF 011'!G44</f>
        <v>4</v>
      </c>
      <c r="M46" s="75"/>
    </row>
    <row r="47" spans="1:13" ht="24.95" customHeight="1" x14ac:dyDescent="0.25">
      <c r="A47" s="91">
        <v>36</v>
      </c>
      <c r="B47" s="90" t="str">
        <f>'SAF 011'!B45</f>
        <v>2.9.5-391.75</v>
      </c>
      <c r="C47" s="123" t="str">
        <f>'SAF 011'!E45</f>
        <v>PROTESIS ORTOPEDICA; COMPONENTES: PLACAS DE RECONSTRUCCION, USO: OSTEOSINTESIS</v>
      </c>
      <c r="D47" s="123"/>
      <c r="E47" s="123"/>
      <c r="F47" s="123"/>
      <c r="G47" s="123"/>
      <c r="H47" s="91" t="s">
        <v>39</v>
      </c>
      <c r="I47" s="91" t="str">
        <f>'SAF 011'!F51</f>
        <v>UNIDAD</v>
      </c>
      <c r="J47" s="92">
        <f>'SAF 011'!H45</f>
        <v>51000</v>
      </c>
      <c r="K47" s="90">
        <f>'SAF 011'!G45</f>
        <v>3</v>
      </c>
      <c r="M47" s="75"/>
    </row>
    <row r="48" spans="1:13" ht="20.100000000000001" customHeight="1" x14ac:dyDescent="0.25">
      <c r="A48" s="91">
        <v>37</v>
      </c>
      <c r="B48" s="90" t="str">
        <f>'SAF 011'!B46</f>
        <v>2.9.5-391.80</v>
      </c>
      <c r="C48" s="123" t="str">
        <f>'SAF 011'!E46</f>
        <v>PROTESIS ORTOPEDICA; COMPONENTES: PLACAS LC-DCP, USO: OSTEOSINTESIS</v>
      </c>
      <c r="D48" s="123"/>
      <c r="E48" s="123"/>
      <c r="F48" s="123"/>
      <c r="G48" s="123"/>
      <c r="H48" s="91" t="s">
        <v>39</v>
      </c>
      <c r="I48" s="91" t="str">
        <f>'SAF 011'!F52</f>
        <v>UNIDAD</v>
      </c>
      <c r="J48" s="92">
        <f>'SAF 011'!H46</f>
        <v>46000</v>
      </c>
      <c r="K48" s="90">
        <f>'SAF 011'!G46</f>
        <v>15</v>
      </c>
      <c r="M48" s="75"/>
    </row>
    <row r="49" spans="1:13" ht="20.100000000000001" customHeight="1" x14ac:dyDescent="0.25">
      <c r="A49" s="91">
        <v>38</v>
      </c>
      <c r="B49" s="90" t="str">
        <f>'SAF 011'!B47</f>
        <v>2.9.5-391.80</v>
      </c>
      <c r="C49" s="123" t="str">
        <f>'SAF 011'!E47</f>
        <v>PROTESIS ORTOPEDICA; COMPONENTES: PLACAS LC-DCP, USO: OSTEOSINTESIS</v>
      </c>
      <c r="D49" s="123"/>
      <c r="E49" s="123"/>
      <c r="F49" s="123"/>
      <c r="G49" s="123"/>
      <c r="H49" s="91" t="s">
        <v>39</v>
      </c>
      <c r="I49" s="91" t="str">
        <f>'SAF 011'!F53</f>
        <v>UNIDAD</v>
      </c>
      <c r="J49" s="92">
        <f>'SAF 011'!H47</f>
        <v>46000</v>
      </c>
      <c r="K49" s="90">
        <f>'SAF 011'!G47</f>
        <v>15</v>
      </c>
      <c r="M49" s="75"/>
    </row>
    <row r="50" spans="1:13" ht="20.100000000000001" customHeight="1" x14ac:dyDescent="0.25">
      <c r="A50" s="91">
        <v>39</v>
      </c>
      <c r="B50" s="90" t="str">
        <f>'SAF 011'!B48</f>
        <v>2.9.5-391.75</v>
      </c>
      <c r="C50" s="123" t="str">
        <f>'SAF 011'!E48</f>
        <v>PROTESIS ORTOPEDICA; COMPONENTES: PLACAS DE RECONSTRUCCION, USO: OSTEOSINTESIS</v>
      </c>
      <c r="D50" s="123"/>
      <c r="E50" s="123"/>
      <c r="F50" s="123"/>
      <c r="G50" s="123"/>
      <c r="H50" s="91" t="s">
        <v>39</v>
      </c>
      <c r="I50" s="91" t="str">
        <f>'SAF 011'!F54</f>
        <v>UNIDAD</v>
      </c>
      <c r="J50" s="92">
        <f>'SAF 011'!H48</f>
        <v>69000</v>
      </c>
      <c r="K50" s="90">
        <f>'SAF 011'!G48</f>
        <v>15</v>
      </c>
      <c r="M50" s="75"/>
    </row>
    <row r="51" spans="1:13" ht="20.100000000000001" customHeight="1" x14ac:dyDescent="0.25">
      <c r="A51" s="91">
        <v>40</v>
      </c>
      <c r="B51" s="90" t="str">
        <f>'SAF 011'!B49</f>
        <v>2.9.5-391.75</v>
      </c>
      <c r="C51" s="123" t="str">
        <f>'SAF 011'!E49</f>
        <v>PROTESIS ORTOPEDICA; COMPONENTES: PLACAS DE RECONSTRUCCION, USO: OSTEOSINTESIS</v>
      </c>
      <c r="D51" s="123"/>
      <c r="E51" s="123"/>
      <c r="F51" s="123"/>
      <c r="G51" s="123"/>
      <c r="H51" s="91" t="s">
        <v>39</v>
      </c>
      <c r="I51" s="91" t="s">
        <v>133</v>
      </c>
      <c r="J51" s="92">
        <f>'SAF 011'!H49</f>
        <v>79000</v>
      </c>
      <c r="K51" s="90">
        <f>'SAF 011'!G49</f>
        <v>2</v>
      </c>
      <c r="M51" s="75"/>
    </row>
    <row r="52" spans="1:13" ht="20.100000000000001" customHeight="1" x14ac:dyDescent="0.25">
      <c r="A52" s="91">
        <v>41</v>
      </c>
      <c r="B52" s="90" t="str">
        <f>'SAF 011'!B50</f>
        <v>2.9.5-391.80</v>
      </c>
      <c r="C52" s="123" t="str">
        <f>'SAF 011'!E50</f>
        <v>PROTESIS ORTOPEDICA; COMPONENTES: PLACAS LC-DCP, USO: OSTEOSINTESIS</v>
      </c>
      <c r="D52" s="123"/>
      <c r="E52" s="123"/>
      <c r="F52" s="123"/>
      <c r="G52" s="123"/>
      <c r="H52" s="91" t="s">
        <v>39</v>
      </c>
      <c r="I52" s="91" t="s">
        <v>133</v>
      </c>
      <c r="J52" s="92">
        <f>'SAF 011'!H50</f>
        <v>51000</v>
      </c>
      <c r="K52" s="90">
        <f>'SAF 011'!G50</f>
        <v>15</v>
      </c>
      <c r="M52" s="75"/>
    </row>
    <row r="53" spans="1:13" ht="20.100000000000001" customHeight="1" x14ac:dyDescent="0.25">
      <c r="A53" s="91">
        <v>42</v>
      </c>
      <c r="B53" s="90" t="str">
        <f>'SAF 011'!B51</f>
        <v>2.9.5-391.74</v>
      </c>
      <c r="C53" s="123" t="str">
        <f>'SAF 011'!E51</f>
        <v>PROTESIS ORTOPEDICA; COMPONENTES: PLACAS MICROFRAGMENTADAS, USO: OSTEOSINTESIS</v>
      </c>
      <c r="D53" s="123"/>
      <c r="E53" s="123"/>
      <c r="F53" s="123"/>
      <c r="G53" s="123"/>
      <c r="H53" s="91" t="s">
        <v>39</v>
      </c>
      <c r="I53" s="91" t="s">
        <v>133</v>
      </c>
      <c r="J53" s="92">
        <f>'SAF 011'!H51</f>
        <v>45000</v>
      </c>
      <c r="K53" s="90">
        <f>'SAF 011'!G51</f>
        <v>10</v>
      </c>
      <c r="M53" s="75"/>
    </row>
    <row r="54" spans="1:13" ht="20.100000000000001" customHeight="1" x14ac:dyDescent="0.25">
      <c r="A54" s="91">
        <v>43</v>
      </c>
      <c r="B54" s="90" t="str">
        <f>'SAF 011'!B52</f>
        <v>2.9.5-391.8</v>
      </c>
      <c r="C54" s="123" t="str">
        <f>'SAF 011'!E52</f>
        <v>PROTESIS ORTOPEDICA; COMPONENTES: TORNILLOS, USO: IMPLANTES P/FIJACION INT.</v>
      </c>
      <c r="D54" s="123"/>
      <c r="E54" s="123"/>
      <c r="F54" s="123"/>
      <c r="G54" s="123"/>
      <c r="H54" s="91" t="s">
        <v>39</v>
      </c>
      <c r="I54" s="91" t="s">
        <v>133</v>
      </c>
      <c r="J54" s="92">
        <f>'SAF 011'!H52</f>
        <v>35000</v>
      </c>
      <c r="K54" s="90">
        <f>'SAF 011'!G52</f>
        <v>5</v>
      </c>
      <c r="M54" s="75"/>
    </row>
    <row r="55" spans="1:13" ht="30" customHeight="1" x14ac:dyDescent="0.25">
      <c r="A55" s="91">
        <v>44</v>
      </c>
      <c r="B55" s="90" t="str">
        <f>'SAF 011'!B53</f>
        <v>2.9.5-10015.2</v>
      </c>
      <c r="C55" s="123" t="str">
        <f>'SAF 011'!E53</f>
        <v>COMPONENTES P/TUTOR EXT. DE TRAUMATOLOGIA; TIPO: TUBO PARA TUTOR EXTERNO, MATERIAL: ACERO; MEDIDA: VARIABLE</v>
      </c>
      <c r="D55" s="123"/>
      <c r="E55" s="123"/>
      <c r="F55" s="123"/>
      <c r="G55" s="123"/>
      <c r="H55" s="91" t="s">
        <v>39</v>
      </c>
      <c r="I55" s="91" t="s">
        <v>133</v>
      </c>
      <c r="J55" s="92">
        <f>'SAF 011'!H53</f>
        <v>13500</v>
      </c>
      <c r="K55" s="90">
        <f>'SAF 011'!G53</f>
        <v>10</v>
      </c>
      <c r="M55" s="75"/>
    </row>
    <row r="56" spans="1:13" ht="29.25" customHeight="1" x14ac:dyDescent="0.25">
      <c r="A56" s="91">
        <v>45</v>
      </c>
      <c r="B56" s="90" t="str">
        <f>'SAF 011'!B54</f>
        <v>2.9.5-10015.3</v>
      </c>
      <c r="C56" s="123" t="str">
        <f>'SAF 011'!E54</f>
        <v>COMPONENTES P/TUTOR EXT. DE TRAUMATOLOGIA; TIPO: ROTULA TUBO-TUBO PARA TUTOR EXTERNO, MATERIAL: ACERO; MEDIDA: VARIABLE</v>
      </c>
      <c r="D56" s="123"/>
      <c r="E56" s="123"/>
      <c r="F56" s="123"/>
      <c r="G56" s="123"/>
      <c r="H56" s="91" t="s">
        <v>39</v>
      </c>
      <c r="I56" s="91" t="s">
        <v>133</v>
      </c>
      <c r="J56" s="92">
        <f>'SAF 011'!H54</f>
        <v>20500</v>
      </c>
      <c r="K56" s="90">
        <f>'SAF 011'!G54</f>
        <v>10</v>
      </c>
      <c r="M56" s="75"/>
    </row>
    <row r="57" spans="1:13" ht="45.75" customHeight="1" thickBot="1" x14ac:dyDescent="0.3">
      <c r="A57" s="136" t="s">
        <v>136</v>
      </c>
      <c r="B57" s="137"/>
      <c r="C57" s="137"/>
      <c r="D57" s="137"/>
      <c r="E57" s="137"/>
      <c r="F57" s="137"/>
      <c r="G57" s="137"/>
      <c r="H57" s="137"/>
      <c r="I57" s="138"/>
      <c r="J57" s="139">
        <f>SUMPRODUCT(J12:J56,K12:K56)</f>
        <v>19520000</v>
      </c>
      <c r="K57" s="140"/>
      <c r="M57" s="75">
        <f>SUM(M12:M18)</f>
        <v>3573000</v>
      </c>
    </row>
  </sheetData>
  <mergeCells count="67">
    <mergeCell ref="C51:G51"/>
    <mergeCell ref="C56:G56"/>
    <mergeCell ref="C55:G55"/>
    <mergeCell ref="C54:G54"/>
    <mergeCell ref="C53:G53"/>
    <mergeCell ref="C52:G52"/>
    <mergeCell ref="C17:G17"/>
    <mergeCell ref="C18:G18"/>
    <mergeCell ref="A57:I57"/>
    <mergeCell ref="J57:K57"/>
    <mergeCell ref="K10:K11"/>
    <mergeCell ref="C12:G12"/>
    <mergeCell ref="C13:G13"/>
    <mergeCell ref="C14:G14"/>
    <mergeCell ref="C15:G15"/>
    <mergeCell ref="C16:G16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9:G49"/>
    <mergeCell ref="C50:G50"/>
    <mergeCell ref="C44:G44"/>
    <mergeCell ref="C45:G45"/>
    <mergeCell ref="C46:G46"/>
    <mergeCell ref="C47:G47"/>
    <mergeCell ref="C48:G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workbookViewId="0">
      <selection activeCell="Q15" sqref="Q15"/>
    </sheetView>
  </sheetViews>
  <sheetFormatPr baseColWidth="10" defaultRowHeight="15" x14ac:dyDescent="0.25"/>
  <cols>
    <col min="1" max="5" width="5" customWidth="1"/>
    <col min="6" max="6" width="6.42578125" customWidth="1"/>
    <col min="7" max="14" width="5" customWidth="1"/>
    <col min="17" max="17" width="17" bestFit="1" customWidth="1"/>
  </cols>
  <sheetData>
    <row r="1" spans="1:17" ht="15.75" thickBot="1" x14ac:dyDescent="0.3">
      <c r="A1" s="153" t="s">
        <v>103</v>
      </c>
      <c r="B1" s="154"/>
      <c r="C1" s="154"/>
      <c r="D1" s="154"/>
      <c r="E1" s="155"/>
      <c r="F1" s="39"/>
      <c r="G1" s="39"/>
      <c r="H1" s="40"/>
      <c r="I1" s="40"/>
      <c r="J1" s="40"/>
      <c r="K1" s="40"/>
      <c r="L1" s="40"/>
      <c r="M1" s="40"/>
      <c r="N1" s="40"/>
      <c r="O1" s="41"/>
      <c r="P1" s="156" t="s">
        <v>40</v>
      </c>
      <c r="Q1" s="156"/>
    </row>
    <row r="2" spans="1:17" ht="15.75" thickBot="1" x14ac:dyDescent="0.3">
      <c r="A2" s="42"/>
      <c r="B2" s="43"/>
      <c r="C2" s="43"/>
      <c r="D2" s="43"/>
      <c r="E2" s="43"/>
      <c r="F2" s="43"/>
      <c r="G2" s="44"/>
      <c r="H2" s="45"/>
      <c r="I2" s="45"/>
      <c r="J2" s="45"/>
      <c r="K2" s="45"/>
      <c r="L2" s="45"/>
      <c r="M2" s="45"/>
      <c r="N2" s="45"/>
      <c r="O2" s="43"/>
      <c r="P2" s="156"/>
      <c r="Q2" s="156"/>
    </row>
    <row r="3" spans="1:17" ht="15.75" thickBot="1" x14ac:dyDescent="0.3">
      <c r="A3" s="42"/>
      <c r="B3" s="43"/>
      <c r="C3" s="43"/>
      <c r="D3" s="43"/>
      <c r="E3" s="43"/>
      <c r="F3" s="43"/>
      <c r="G3" s="44"/>
      <c r="H3" s="43"/>
      <c r="I3" s="43"/>
      <c r="J3" s="43"/>
      <c r="K3" s="43"/>
      <c r="L3" s="43"/>
      <c r="M3" s="43"/>
      <c r="N3" s="43"/>
      <c r="O3" s="43"/>
      <c r="P3" s="43"/>
      <c r="Q3" s="46"/>
    </row>
    <row r="4" spans="1:17" ht="15.75" thickBot="1" x14ac:dyDescent="0.3">
      <c r="A4" s="157" t="s">
        <v>41</v>
      </c>
      <c r="B4" s="157"/>
      <c r="C4" s="157"/>
      <c r="D4" s="157"/>
      <c r="E4" s="157"/>
      <c r="F4" s="157"/>
      <c r="G4" s="158" t="str">
        <f>NP!D3</f>
        <v>40 - MINISTERIO DE SALUD</v>
      </c>
      <c r="H4" s="158"/>
      <c r="I4" s="158"/>
      <c r="J4" s="158"/>
      <c r="K4" s="158"/>
      <c r="L4" s="158"/>
      <c r="M4" s="158"/>
      <c r="N4" s="158"/>
      <c r="O4" s="158"/>
      <c r="P4" s="158"/>
      <c r="Q4" s="158"/>
    </row>
    <row r="5" spans="1:17" ht="19.5" customHeight="1" thickBot="1" x14ac:dyDescent="0.3">
      <c r="A5" s="159" t="s">
        <v>26</v>
      </c>
      <c r="B5" s="159"/>
      <c r="C5" s="159"/>
      <c r="D5" s="159"/>
      <c r="E5" s="159"/>
      <c r="F5" s="159"/>
      <c r="G5" s="158" t="str">
        <f>NP!D4</f>
        <v>011 - DIRECCION PROVINCIAL DE ADMINISTRACION - M.S.</v>
      </c>
      <c r="H5" s="158"/>
      <c r="I5" s="158"/>
      <c r="J5" s="158"/>
      <c r="K5" s="158"/>
      <c r="L5" s="158"/>
      <c r="M5" s="158"/>
      <c r="N5" s="158"/>
      <c r="O5" s="158"/>
      <c r="P5" s="158"/>
      <c r="Q5" s="158"/>
    </row>
    <row r="6" spans="1:17" ht="18.75" customHeight="1" thickBot="1" x14ac:dyDescent="0.3">
      <c r="A6" s="159" t="s">
        <v>28</v>
      </c>
      <c r="B6" s="159"/>
      <c r="C6" s="159"/>
      <c r="D6" s="159"/>
      <c r="E6" s="159"/>
      <c r="F6" s="159"/>
      <c r="G6" s="158" t="str">
        <f>NP!D5</f>
        <v>131 - DIRECCION PROVINCIAL DE MEDICINA SOCIAL INTEGRAL</v>
      </c>
      <c r="H6" s="158"/>
      <c r="I6" s="158"/>
      <c r="J6" s="158"/>
      <c r="K6" s="158"/>
      <c r="L6" s="158"/>
      <c r="M6" s="158"/>
      <c r="N6" s="158"/>
      <c r="O6" s="158"/>
      <c r="P6" s="158"/>
      <c r="Q6" s="158"/>
    </row>
    <row r="7" spans="1:17" ht="23.25" customHeight="1" thickBot="1" x14ac:dyDescent="0.3">
      <c r="A7" s="159" t="s">
        <v>29</v>
      </c>
      <c r="B7" s="159"/>
      <c r="C7" s="159"/>
      <c r="D7" s="159"/>
      <c r="E7" s="159"/>
      <c r="F7" s="159"/>
      <c r="G7" s="158" t="str">
        <f>NP!D6</f>
        <v>131 - DIRECCION PROVINCIAL DE MEDICINA SOCIAL INTEGRAL</v>
      </c>
      <c r="H7" s="158"/>
      <c r="I7" s="158"/>
      <c r="J7" s="158"/>
      <c r="K7" s="158"/>
      <c r="L7" s="158"/>
      <c r="M7" s="158"/>
      <c r="N7" s="158"/>
      <c r="O7" s="158"/>
      <c r="P7" s="158"/>
      <c r="Q7" s="158"/>
    </row>
    <row r="8" spans="1:17" ht="15.75" thickBot="1" x14ac:dyDescent="0.3">
      <c r="A8" s="160" t="s">
        <v>42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</row>
    <row r="9" spans="1:17" x14ac:dyDescent="0.25">
      <c r="A9" s="152" t="s">
        <v>43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</row>
    <row r="10" spans="1:17" ht="50.25" customHeight="1" x14ac:dyDescent="0.25">
      <c r="A10" s="162" t="s">
        <v>179</v>
      </c>
      <c r="B10" s="162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</row>
    <row r="11" spans="1:17" ht="15.75" thickBot="1" x14ac:dyDescent="0.3">
      <c r="A11" s="47"/>
      <c r="B11" s="48"/>
      <c r="C11" s="48"/>
      <c r="D11" s="48"/>
      <c r="E11" s="48"/>
      <c r="F11" s="48"/>
      <c r="G11" s="49"/>
      <c r="H11" s="48"/>
      <c r="I11" s="48"/>
      <c r="J11" s="48"/>
      <c r="K11" s="48"/>
      <c r="L11" s="48"/>
      <c r="M11" s="48"/>
      <c r="N11" s="48"/>
      <c r="O11" s="48"/>
      <c r="P11" s="48"/>
      <c r="Q11" s="50"/>
    </row>
    <row r="12" spans="1:17" ht="15.75" thickBot="1" x14ac:dyDescent="0.3">
      <c r="A12" s="163" t="s">
        <v>44</v>
      </c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</row>
    <row r="13" spans="1:17" ht="15.75" thickBot="1" x14ac:dyDescent="0.3">
      <c r="A13" s="164" t="s">
        <v>45</v>
      </c>
      <c r="B13" s="164"/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5" t="s">
        <v>46</v>
      </c>
      <c r="P13" s="165"/>
      <c r="Q13" s="166" t="s">
        <v>47</v>
      </c>
    </row>
    <row r="14" spans="1:17" ht="33" customHeight="1" thickBot="1" x14ac:dyDescent="0.3">
      <c r="A14" s="51" t="s">
        <v>48</v>
      </c>
      <c r="B14" s="52" t="s">
        <v>49</v>
      </c>
      <c r="C14" s="52" t="s">
        <v>50</v>
      </c>
      <c r="D14" s="52" t="s">
        <v>51</v>
      </c>
      <c r="E14" s="52" t="s">
        <v>52</v>
      </c>
      <c r="F14" s="52" t="s">
        <v>53</v>
      </c>
      <c r="G14" s="53" t="s">
        <v>54</v>
      </c>
      <c r="H14" s="52" t="s">
        <v>55</v>
      </c>
      <c r="I14" s="52" t="s">
        <v>56</v>
      </c>
      <c r="J14" s="52" t="s">
        <v>57</v>
      </c>
      <c r="K14" s="52" t="s">
        <v>57</v>
      </c>
      <c r="L14" s="52" t="s">
        <v>58</v>
      </c>
      <c r="M14" s="54" t="s">
        <v>59</v>
      </c>
      <c r="N14" s="55" t="s">
        <v>60</v>
      </c>
      <c r="O14" s="165"/>
      <c r="P14" s="165"/>
      <c r="Q14" s="166"/>
    </row>
    <row r="15" spans="1:17" ht="36.75" customHeight="1" x14ac:dyDescent="0.25">
      <c r="A15" s="56">
        <v>41</v>
      </c>
      <c r="B15" s="57"/>
      <c r="C15" s="57"/>
      <c r="D15" s="57">
        <v>1</v>
      </c>
      <c r="E15" s="57"/>
      <c r="F15" s="57">
        <v>4901</v>
      </c>
      <c r="G15" s="57">
        <v>3</v>
      </c>
      <c r="H15" s="57">
        <v>2</v>
      </c>
      <c r="I15" s="57">
        <v>2</v>
      </c>
      <c r="J15" s="57">
        <v>9</v>
      </c>
      <c r="K15" s="57">
        <v>5</v>
      </c>
      <c r="L15" s="57"/>
      <c r="M15" s="58">
        <v>1</v>
      </c>
      <c r="N15" s="57" t="s">
        <v>61</v>
      </c>
      <c r="O15" s="167" t="s">
        <v>130</v>
      </c>
      <c r="P15" s="168"/>
      <c r="Q15" s="59">
        <v>19520000</v>
      </c>
    </row>
    <row r="16" spans="1:17" x14ac:dyDescent="0.25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2"/>
      <c r="N16" s="63"/>
      <c r="O16" s="169"/>
      <c r="P16" s="169"/>
      <c r="Q16" s="64"/>
    </row>
    <row r="17" spans="1:17" x14ac:dyDescent="0.25">
      <c r="A17" s="60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2"/>
      <c r="N17" s="63"/>
      <c r="O17" s="170"/>
      <c r="P17" s="170"/>
      <c r="Q17" s="64"/>
    </row>
    <row r="18" spans="1:17" x14ac:dyDescent="0.25">
      <c r="A18" s="60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2"/>
      <c r="N18" s="63"/>
      <c r="O18" s="161"/>
      <c r="P18" s="161"/>
      <c r="Q18" s="64"/>
    </row>
    <row r="19" spans="1:17" x14ac:dyDescent="0.25">
      <c r="A19" s="60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2"/>
      <c r="N19" s="63"/>
      <c r="O19" s="161"/>
      <c r="P19" s="161"/>
      <c r="Q19" s="64"/>
    </row>
    <row r="20" spans="1:17" x14ac:dyDescent="0.25">
      <c r="A20" s="60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2"/>
      <c r="N20" s="63"/>
      <c r="O20" s="161"/>
      <c r="P20" s="161"/>
      <c r="Q20" s="64"/>
    </row>
    <row r="21" spans="1:17" x14ac:dyDescent="0.25">
      <c r="A21" s="60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2"/>
      <c r="N21" s="63"/>
      <c r="O21" s="161"/>
      <c r="P21" s="161"/>
      <c r="Q21" s="64"/>
    </row>
    <row r="22" spans="1:17" x14ac:dyDescent="0.25">
      <c r="A22" s="60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2"/>
      <c r="N22" s="63"/>
      <c r="O22" s="161"/>
      <c r="P22" s="161"/>
      <c r="Q22" s="64"/>
    </row>
    <row r="23" spans="1:17" x14ac:dyDescent="0.25">
      <c r="A23" s="60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2"/>
      <c r="N23" s="63"/>
      <c r="O23" s="161"/>
      <c r="P23" s="161"/>
      <c r="Q23" s="64"/>
    </row>
    <row r="24" spans="1:17" x14ac:dyDescent="0.25">
      <c r="A24" s="60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2"/>
      <c r="N24" s="63"/>
      <c r="O24" s="161"/>
      <c r="P24" s="161"/>
      <c r="Q24" s="64"/>
    </row>
    <row r="25" spans="1:17" x14ac:dyDescent="0.25">
      <c r="A25" s="60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2"/>
      <c r="N25" s="63"/>
      <c r="O25" s="161"/>
      <c r="P25" s="161"/>
      <c r="Q25" s="64"/>
    </row>
    <row r="26" spans="1:17" x14ac:dyDescent="0.25">
      <c r="A26" s="60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2"/>
      <c r="N26" s="63"/>
      <c r="O26" s="161"/>
      <c r="P26" s="161"/>
      <c r="Q26" s="64"/>
    </row>
    <row r="27" spans="1:17" x14ac:dyDescent="0.25">
      <c r="A27" s="60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2"/>
      <c r="N27" s="63"/>
      <c r="O27" s="161"/>
      <c r="P27" s="161"/>
      <c r="Q27" s="64"/>
    </row>
    <row r="28" spans="1:17" x14ac:dyDescent="0.25">
      <c r="A28" s="60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2"/>
      <c r="N28" s="63"/>
      <c r="O28" s="161"/>
      <c r="P28" s="161"/>
      <c r="Q28" s="64"/>
    </row>
    <row r="29" spans="1:17" x14ac:dyDescent="0.25">
      <c r="A29" s="60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2"/>
      <c r="N29" s="63"/>
      <c r="O29" s="161"/>
      <c r="P29" s="161"/>
      <c r="Q29" s="64"/>
    </row>
    <row r="30" spans="1:17" x14ac:dyDescent="0.25">
      <c r="A30" s="60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2"/>
      <c r="N30" s="63"/>
      <c r="O30" s="161"/>
      <c r="P30" s="161"/>
      <c r="Q30" s="64"/>
    </row>
    <row r="31" spans="1:17" x14ac:dyDescent="0.25">
      <c r="A31" s="60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2"/>
      <c r="N31" s="63"/>
      <c r="O31" s="161"/>
      <c r="P31" s="161"/>
      <c r="Q31" s="64"/>
    </row>
    <row r="32" spans="1:17" x14ac:dyDescent="0.25">
      <c r="A32" s="60"/>
      <c r="B32" s="61"/>
      <c r="C32" s="61"/>
      <c r="D32" s="61"/>
      <c r="E32" s="61"/>
      <c r="F32" s="63"/>
      <c r="G32" s="61"/>
      <c r="H32" s="61"/>
      <c r="I32" s="61"/>
      <c r="J32" s="61"/>
      <c r="K32" s="61"/>
      <c r="L32" s="61"/>
      <c r="M32" s="62"/>
      <c r="N32" s="63"/>
      <c r="O32" s="169"/>
      <c r="P32" s="169"/>
      <c r="Q32" s="64"/>
    </row>
    <row r="33" spans="1:17" x14ac:dyDescent="0.25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2"/>
      <c r="N33" s="63"/>
      <c r="O33" s="169"/>
      <c r="P33" s="169"/>
      <c r="Q33" s="64"/>
    </row>
    <row r="34" spans="1:17" x14ac:dyDescent="0.25">
      <c r="A34" s="60"/>
      <c r="B34" s="61"/>
      <c r="C34" s="61"/>
      <c r="D34" s="61"/>
      <c r="E34" s="61"/>
      <c r="F34" s="63"/>
      <c r="G34" s="61"/>
      <c r="H34" s="61"/>
      <c r="I34" s="61"/>
      <c r="J34" s="61"/>
      <c r="K34" s="61"/>
      <c r="L34" s="61"/>
      <c r="M34" s="62"/>
      <c r="N34" s="63"/>
      <c r="O34" s="169"/>
      <c r="P34" s="169"/>
      <c r="Q34" s="64"/>
    </row>
    <row r="35" spans="1:17" x14ac:dyDescent="0.25">
      <c r="A35" s="60"/>
      <c r="B35" s="61"/>
      <c r="C35" s="61"/>
      <c r="D35" s="61"/>
      <c r="E35" s="61"/>
      <c r="F35" s="63"/>
      <c r="G35" s="61"/>
      <c r="H35" s="61"/>
      <c r="I35" s="61"/>
      <c r="J35" s="61"/>
      <c r="K35" s="61"/>
      <c r="L35" s="61"/>
      <c r="M35" s="62"/>
      <c r="N35" s="63"/>
      <c r="O35" s="169"/>
      <c r="P35" s="169"/>
      <c r="Q35" s="64"/>
    </row>
    <row r="36" spans="1:17" x14ac:dyDescent="0.25">
      <c r="A36" s="65"/>
      <c r="B36" s="66"/>
      <c r="C36" s="66"/>
      <c r="D36" s="66"/>
      <c r="E36" s="66"/>
      <c r="F36" s="63"/>
      <c r="G36" s="66"/>
      <c r="H36" s="66"/>
      <c r="I36" s="66"/>
      <c r="J36" s="66"/>
      <c r="K36" s="66"/>
      <c r="L36" s="66"/>
      <c r="M36" s="67"/>
      <c r="N36" s="68"/>
      <c r="O36" s="169"/>
      <c r="P36" s="169"/>
      <c r="Q36" s="64"/>
    </row>
    <row r="37" spans="1:17" ht="15.75" thickBot="1" x14ac:dyDescent="0.3">
      <c r="A37" s="69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1"/>
      <c r="N37" s="70"/>
      <c r="O37" s="180"/>
      <c r="P37" s="180"/>
      <c r="Q37" s="72"/>
    </row>
    <row r="38" spans="1:17" ht="39" customHeight="1" thickBot="1" x14ac:dyDescent="0.3">
      <c r="A38" s="181" t="s">
        <v>177</v>
      </c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73">
        <f>+Q15</f>
        <v>19520000</v>
      </c>
    </row>
    <row r="39" spans="1:17" x14ac:dyDescent="0.25">
      <c r="A39" s="182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</row>
    <row r="40" spans="1:17" ht="15" customHeight="1" x14ac:dyDescent="0.25">
      <c r="A40" s="171" t="s">
        <v>62</v>
      </c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3"/>
    </row>
    <row r="41" spans="1:17" x14ac:dyDescent="0.25">
      <c r="A41" s="174" t="str">
        <f>NP!D8</f>
        <v>CONTRATACION PARA LA PROVISION DE PROTESIS DE TRAUMA PARA PERSONAS DE ESCASOS RECURSOS PERTENECIENTES A LA DIRECCION PROVINCIAL DE MEDICINA SOCIAL INTEGRAL.</v>
      </c>
      <c r="B41" s="175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6"/>
    </row>
    <row r="42" spans="1:17" ht="37.5" customHeight="1" thickBot="1" x14ac:dyDescent="0.3">
      <c r="A42" s="177"/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9"/>
    </row>
  </sheetData>
  <mergeCells count="44">
    <mergeCell ref="A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</dc:creator>
  <cp:lastModifiedBy>COMPRAR</cp:lastModifiedBy>
  <cp:lastPrinted>2022-08-23T21:15:51Z</cp:lastPrinted>
  <dcterms:created xsi:type="dcterms:W3CDTF">2021-08-30T13:24:26Z</dcterms:created>
  <dcterms:modified xsi:type="dcterms:W3CDTF">2022-08-24T11:46:21Z</dcterms:modified>
</cp:coreProperties>
</file>