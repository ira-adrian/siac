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1 TRIMESTRE 2022\DESARROLLO SOCIAL\porotos\"/>
    </mc:Choice>
  </mc:AlternateContent>
  <xr:revisionPtr revIDLastSave="0" documentId="8_{8E6B2B86-162F-4F92-B5F1-61BD46D2E406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Print_Area" localSheetId="1">' NotaPedido'!$A$1:$K$15</definedName>
    <definedName name="_xlnm.Print_Area" localSheetId="2">'Autor Gastar'!$A$1:$Q$27</definedName>
    <definedName name="_xlnm.Print_Area" localSheetId="0">'Necesidades Trimestrales'!$A$1:$J$27</definedName>
  </definedNames>
  <calcPr calcId="181029"/>
</workbook>
</file>

<file path=xl/calcChain.xml><?xml version="1.0" encoding="utf-8"?>
<calcChain xmlns="http://schemas.openxmlformats.org/spreadsheetml/2006/main">
  <c r="I10" i="1" l="1"/>
  <c r="J12" i="2" l="1"/>
  <c r="J13" i="2" s="1"/>
  <c r="B12" i="2"/>
  <c r="C12" i="2"/>
  <c r="I15" i="3" l="1"/>
  <c r="Q23" i="3" l="1"/>
  <c r="D7" i="2" l="1"/>
  <c r="D3" i="2"/>
  <c r="G4" i="3" s="1"/>
  <c r="D4" i="2"/>
  <c r="G5" i="3" s="1"/>
  <c r="A10" i="3" l="1"/>
  <c r="D1" i="3"/>
</calcChain>
</file>

<file path=xl/sharedStrings.xml><?xml version="1.0" encoding="utf-8"?>
<sst xmlns="http://schemas.openxmlformats.org/spreadsheetml/2006/main" count="86" uniqueCount="78">
  <si>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</si>
  <si>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</si>
  <si>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</si>
  <si>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</si>
  <si>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</si>
  <si>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</si>
  <si>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</si>
  <si>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</si>
  <si>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</si>
  <si>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</si>
  <si>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</si>
  <si>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</si>
  <si>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</si>
  <si>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</si>
  <si>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</si>
  <si>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</si>
  <si>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</si>
  <si>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</si>
  <si>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</si>
  <si>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</si>
  <si>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</si>
  <si>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</si>
  <si>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</si>
  <si>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</si>
  <si>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</si>
  <si>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</si>
  <si>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</si>
  <si>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</si>
  <si>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</si>
  <si>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</si>
  <si>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</si>
  <si>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</si>
  <si>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</si>
  <si>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</si>
  <si>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</si>
  <si>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</si>
  <si>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</si>
  <si>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</si>
  <si>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</si>
  <si>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</si>
  <si>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</si>
  <si>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</si>
  <si>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</si>
  <si>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</si>
  <si>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</si>
  <si>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</si>
  <si>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</si>
  <si>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</si>
  <si>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</si>
  <si>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</si>
  <si>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</si>
  <si>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</si>
  <si>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</si>
  <si>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</si>
  <si>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</si>
  <si>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</si>
  <si>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</si>
  <si>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ALIMENTOS</t>
  </si>
  <si>
    <t>Alimentos para Personas</t>
  </si>
  <si>
    <t>25- Direccion Provincial de Gestion Administracion y RRHH</t>
  </si>
  <si>
    <t>S/E</t>
  </si>
  <si>
    <t>MEDIA</t>
  </si>
  <si>
    <t>2.1.1</t>
  </si>
  <si>
    <t>60DIAS</t>
  </si>
  <si>
    <t>Adquisición de Alimentos  que seran destinadas a personas de escasos recursos, en el armado de modulos alimentarios, en el Marco del Programa Vivir Mejor</t>
  </si>
  <si>
    <t>16- Direccion Provincial de Accion Social Directa</t>
  </si>
  <si>
    <t>02- Programa Vivir Mejor PRO.VI.ME.</t>
  </si>
  <si>
    <t>02- PRO.VI.ME. Programa Vivir Mejor</t>
  </si>
  <si>
    <t>SI</t>
  </si>
  <si>
    <t>Especificidades Item N° 1:</t>
  </si>
  <si>
    <r>
      <rPr>
        <u/>
        <sz val="12"/>
        <rFont val="Times New Roman"/>
        <family val="1"/>
      </rPr>
      <t>Lugar y Forma de Entrega</t>
    </r>
    <r>
      <rPr>
        <sz val="12"/>
        <rFont val="Times New Roman"/>
        <family val="1"/>
      </rPr>
      <t>: Se Entregara en el Area Industrial El Pantanillo Deposito perteneciente al Ministerio de Desarrollo Social y Deporte- San Fernando del Valle de Catamarca (CP 4700) , corriendo los gastos de flete, acarreo, carga, descarga y seguros por cuenta del adjudicatario.-</t>
    </r>
  </si>
  <si>
    <t>45- Ministerio de Desarrollo Social.-</t>
  </si>
  <si>
    <t>LEGUMBRES; VARIEDAD: POROTO, ESTADO: EN CONSERVA, PRESENTACION: LATA, PESO: 350 GR, MATERIAL ENVASE: METAL, ELEM. TRANSPORTE: SIN, MATERIAL ELEM. TRANSPORTE: SIN</t>
  </si>
  <si>
    <t>2.1.1-6547.92</t>
  </si>
  <si>
    <t>Costo total estimado: CINCO MILLONES CIENTO OCHENTA MIL  CON 00/100.-</t>
  </si>
  <si>
    <t>TOTAL DE PESOS: CINCO MILLONES CIENTO OCHENTA MIL CON 00/100.-</t>
  </si>
  <si>
    <r>
      <rPr>
        <u/>
        <sz val="12"/>
        <rFont val="Times New Roman"/>
        <family val="1"/>
      </rPr>
      <t>PRIMERA ENTREGA (50.000 UNIDADES)</t>
    </r>
    <r>
      <rPr>
        <sz val="12"/>
        <rFont val="Times New Roman"/>
        <family val="1"/>
      </rPr>
      <t xml:space="preserve">: DENTRO DE LOS 5 (CINCO) DIAS HABILES DE NOTIFICADA LA ORDEN DE COMPRA. - </t>
    </r>
    <r>
      <rPr>
        <u/>
        <sz val="12"/>
        <rFont val="Times New Roman"/>
        <family val="1"/>
      </rPr>
      <t>SEGUNDA ENTREGA (50.000 UNIDADES):</t>
    </r>
    <r>
      <rPr>
        <sz val="12"/>
        <rFont val="Times New Roman"/>
        <family val="1"/>
      </rPr>
      <t xml:space="preserve"> A LOS 20 (VEINTE) DIAS HABILES DE NOTIFICADA LA ORDEN DE COMPRA.-</t>
    </r>
  </si>
  <si>
    <t>163/2022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</si>
</sst>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2"/>
      <color rgb="FF000000"/>
      <name val="Times New Roman"/>
      <family val="1"/>
    </font>
    <font>
      <sz val="12"/>
      <name val="Times New Roman"/>
      <family val="1"/>
    </font>
    <font>
      <u/>
      <sz val="12"/>
      <name val="Times New Roman"/>
      <family val="1"/>
    </font>
    <font>
      <b/>
      <sz val="14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1" xfId="0" applyBorder="1"/>
    <xf numFmtId="0" fontId="0" fillId="0" borderId="27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8" xfId="0" applyBorder="1"/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1" xfId="0" applyFont="1" applyBorder="1" applyAlignment="1">
      <alignment horizontal="left" vertical="center"/>
    </xf>
    <xf numFmtId="0" fontId="14" fillId="0" borderId="32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6" fontId="0" fillId="0" borderId="41" xfId="3" applyNumberFormat="1" applyFont="1" applyBorder="1" applyAlignment="1" applyProtection="1">
      <alignment horizontal="center" vertical="center"/>
    </xf>
    <xf numFmtId="166" fontId="14" fillId="0" borderId="42" xfId="0" applyNumberFormat="1" applyFont="1" applyBorder="1" applyAlignment="1">
      <alignment horizontal="center" vertical="center"/>
    </xf>
    <xf numFmtId="0" fontId="16" fillId="0" borderId="0" xfId="0" applyFont="1"/>
    <xf numFmtId="166" fontId="0" fillId="0" borderId="46" xfId="3" applyNumberFormat="1" applyFont="1" applyBorder="1" applyAlignment="1" applyProtection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0" fillId="0" borderId="0" xfId="0"/>
    <xf numFmtId="0" fontId="0" fillId="0" borderId="47" xfId="0" applyFont="1" applyFill="1" applyBorder="1" applyAlignment="1">
      <alignment horizontal="center" vertical="center"/>
    </xf>
    <xf numFmtId="0" fontId="0" fillId="0" borderId="48" xfId="0" applyFont="1" applyFill="1" applyBorder="1" applyAlignment="1">
      <alignment horizontal="center" vertical="center"/>
    </xf>
    <xf numFmtId="0" fontId="22" fillId="0" borderId="48" xfId="0" applyFont="1" applyFill="1" applyBorder="1" applyAlignment="1">
      <alignment horizontal="center" vertical="center"/>
    </xf>
    <xf numFmtId="0" fontId="0" fillId="0" borderId="49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20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left" vertical="center"/>
    </xf>
    <xf numFmtId="3" fontId="4" fillId="0" borderId="20" xfId="0" applyNumberFormat="1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4" fillId="0" borderId="51" xfId="0" applyFont="1" applyFill="1" applyBorder="1" applyAlignment="1">
      <alignment horizontal="center" vertical="center" wrapText="1"/>
    </xf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0" fillId="0" borderId="0" xfId="0" applyFont="1" applyFill="1" applyAlignment="1">
      <alignment horizontal="left" wrapText="1" indent="1"/>
    </xf>
    <xf numFmtId="165" fontId="15" fillId="0" borderId="0" xfId="1" applyBorder="1"/>
    <xf numFmtId="166" fontId="4" fillId="0" borderId="20" xfId="1" applyNumberFormat="1" applyFont="1" applyFill="1" applyBorder="1" applyAlignment="1" applyProtection="1">
      <alignment horizontal="center" vertical="center" wrapText="1"/>
    </xf>
    <xf numFmtId="165" fontId="15" fillId="0" borderId="0" xfId="1"/>
    <xf numFmtId="0" fontId="24" fillId="0" borderId="0" xfId="0" applyFont="1" applyFill="1" applyAlignment="1">
      <alignment horizontal="left" wrapText="1"/>
    </xf>
    <xf numFmtId="0" fontId="24" fillId="0" borderId="0" xfId="0" applyFont="1" applyFill="1" applyAlignment="1">
      <alignment horizontal="center" wrapText="1"/>
    </xf>
    <xf numFmtId="0" fontId="25" fillId="0" borderId="0" xfId="0" applyFont="1"/>
    <xf numFmtId="0" fontId="20" fillId="0" borderId="0" xfId="0" applyFont="1" applyFill="1" applyAlignment="1">
      <alignment horizontal="left" wrapText="1"/>
    </xf>
    <xf numFmtId="0" fontId="25" fillId="0" borderId="0" xfId="0" applyFont="1" applyFill="1"/>
    <xf numFmtId="0" fontId="20" fillId="0" borderId="22" xfId="0" applyFont="1" applyFill="1" applyBorder="1" applyAlignment="1">
      <alignment horizontal="center" vertical="center" wrapText="1"/>
    </xf>
    <xf numFmtId="0" fontId="20" fillId="0" borderId="15" xfId="0" applyFont="1" applyFill="1" applyBorder="1" applyAlignment="1">
      <alignment horizontal="center" vertical="center" wrapText="1"/>
    </xf>
    <xf numFmtId="0" fontId="20" fillId="0" borderId="23" xfId="0" applyFont="1" applyFill="1" applyBorder="1" applyAlignment="1">
      <alignment horizontal="center" vertical="center" wrapText="1"/>
    </xf>
    <xf numFmtId="0" fontId="20" fillId="0" borderId="52" xfId="0" applyFont="1" applyFill="1" applyBorder="1" applyAlignment="1">
      <alignment horizontal="center" vertical="center" wrapText="1"/>
    </xf>
    <xf numFmtId="0" fontId="20" fillId="0" borderId="53" xfId="0" applyFont="1" applyFill="1" applyBorder="1" applyAlignment="1">
      <alignment horizontal="center" vertical="center" wrapText="1"/>
    </xf>
    <xf numFmtId="0" fontId="25" fillId="0" borderId="0" xfId="0" applyFont="1" applyFill="1" applyBorder="1"/>
    <xf numFmtId="166" fontId="25" fillId="0" borderId="0" xfId="0" applyNumberFormat="1" applyFont="1"/>
    <xf numFmtId="166" fontId="25" fillId="0" borderId="0" xfId="0" applyNumberFormat="1" applyFont="1" applyFill="1"/>
    <xf numFmtId="0" fontId="26" fillId="0" borderId="3" xfId="0" applyFont="1" applyFill="1" applyBorder="1"/>
    <xf numFmtId="0" fontId="25" fillId="0" borderId="4" xfId="0" applyFont="1" applyFill="1" applyBorder="1"/>
    <xf numFmtId="0" fontId="25" fillId="0" borderId="5" xfId="0" applyFont="1" applyFill="1" applyBorder="1"/>
    <xf numFmtId="166" fontId="25" fillId="0" borderId="2" xfId="1" applyNumberFormat="1" applyFont="1" applyFill="1" applyBorder="1" applyAlignment="1" applyProtection="1">
      <alignment horizontal="right" vertical="center" wrapText="1"/>
    </xf>
    <xf numFmtId="167" fontId="25" fillId="0" borderId="0" xfId="0" applyNumberFormat="1" applyFont="1"/>
    <xf numFmtId="0" fontId="25" fillId="0" borderId="6" xfId="0" applyFont="1" applyFill="1" applyBorder="1"/>
    <xf numFmtId="0" fontId="25" fillId="0" borderId="7" xfId="0" applyFont="1" applyFill="1" applyBorder="1"/>
    <xf numFmtId="0" fontId="26" fillId="0" borderId="6" xfId="0" applyFont="1" applyFill="1" applyBorder="1" applyAlignment="1">
      <alignment horizontal="left" indent="3"/>
    </xf>
    <xf numFmtId="0" fontId="25" fillId="0" borderId="6" xfId="0" applyFont="1" applyFill="1" applyBorder="1" applyAlignment="1">
      <alignment horizontal="left" indent="3"/>
    </xf>
    <xf numFmtId="0" fontId="25" fillId="0" borderId="0" xfId="0" applyFont="1" applyFill="1" applyBorder="1" applyAlignment="1">
      <alignment horizontal="center" wrapText="1"/>
    </xf>
    <xf numFmtId="0" fontId="25" fillId="0" borderId="7" xfId="0" applyFont="1" applyFill="1" applyBorder="1" applyAlignment="1">
      <alignment horizontal="center" wrapText="1"/>
    </xf>
    <xf numFmtId="0" fontId="25" fillId="0" borderId="8" xfId="0" applyFont="1" applyFill="1" applyBorder="1" applyAlignment="1">
      <alignment horizontal="left" indent="3"/>
    </xf>
    <xf numFmtId="0" fontId="25" fillId="0" borderId="9" xfId="0" applyFont="1" applyFill="1" applyBorder="1"/>
    <xf numFmtId="0" fontId="25" fillId="0" borderId="10" xfId="0" applyFont="1" applyFill="1" applyBorder="1"/>
    <xf numFmtId="0" fontId="25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wrapText="1"/>
    </xf>
    <xf numFmtId="169" fontId="25" fillId="0" borderId="0" xfId="1" applyNumberFormat="1" applyFont="1" applyFill="1" applyBorder="1" applyAlignment="1" applyProtection="1">
      <alignment horizontal="right" vertical="center" wrapText="1"/>
    </xf>
    <xf numFmtId="169" fontId="25" fillId="0" borderId="0" xfId="0" applyNumberFormat="1" applyFont="1" applyFill="1" applyBorder="1"/>
    <xf numFmtId="165" fontId="15" fillId="0" borderId="0" xfId="1" applyFill="1"/>
    <xf numFmtId="0" fontId="25" fillId="0" borderId="55" xfId="0" applyFont="1" applyFill="1" applyBorder="1" applyAlignment="1">
      <alignment horizontal="center" vertical="center"/>
    </xf>
    <xf numFmtId="0" fontId="25" fillId="0" borderId="56" xfId="0" applyFont="1" applyFill="1" applyBorder="1" applyAlignment="1">
      <alignment horizontal="center" vertical="center"/>
    </xf>
    <xf numFmtId="0" fontId="25" fillId="0" borderId="57" xfId="0" applyFont="1" applyFill="1" applyBorder="1" applyAlignment="1">
      <alignment horizontal="center" vertical="center"/>
    </xf>
    <xf numFmtId="0" fontId="24" fillId="0" borderId="57" xfId="0" applyFont="1" applyFill="1" applyBorder="1" applyAlignment="1">
      <alignment horizontal="center" vertical="center" wrapText="1"/>
    </xf>
    <xf numFmtId="0" fontId="25" fillId="0" borderId="56" xfId="0" applyFont="1" applyFill="1" applyBorder="1" applyAlignment="1">
      <alignment wrapText="1"/>
    </xf>
    <xf numFmtId="169" fontId="25" fillId="0" borderId="56" xfId="0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 indent="1"/>
    </xf>
    <xf numFmtId="0" fontId="20" fillId="0" borderId="0" xfId="0" applyFont="1" applyFill="1" applyBorder="1" applyAlignment="1">
      <alignment horizontal="left" vertical="center" wrapText="1"/>
    </xf>
    <xf numFmtId="0" fontId="25" fillId="0" borderId="7" xfId="0" applyFont="1" applyFill="1" applyBorder="1" applyAlignment="1">
      <alignment horizontal="center" wrapText="1"/>
    </xf>
    <xf numFmtId="0" fontId="25" fillId="0" borderId="7" xfId="0" applyFont="1" applyFill="1" applyBorder="1" applyAlignment="1">
      <alignment horizontal="center"/>
    </xf>
    <xf numFmtId="0" fontId="25" fillId="0" borderId="7" xfId="0" applyFont="1" applyFill="1" applyBorder="1" applyAlignment="1">
      <alignment horizontal="left" wrapText="1"/>
    </xf>
    <xf numFmtId="0" fontId="25" fillId="0" borderId="0" xfId="0" applyFont="1" applyFill="1" applyBorder="1" applyAlignment="1">
      <alignment horizontal="center" vertical="center" wrapText="1"/>
    </xf>
    <xf numFmtId="0" fontId="25" fillId="0" borderId="7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left" vertical="center" wrapText="1"/>
    </xf>
    <xf numFmtId="0" fontId="27" fillId="0" borderId="15" xfId="0" applyFont="1" applyFill="1" applyBorder="1" applyAlignment="1">
      <alignment horizontal="left" vertical="center" wrapText="1" indent="1"/>
    </xf>
    <xf numFmtId="0" fontId="7" fillId="0" borderId="16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 indent="1"/>
    </xf>
    <xf numFmtId="167" fontId="21" fillId="0" borderId="15" xfId="0" applyNumberFormat="1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left" vertical="center" wrapText="1"/>
    </xf>
    <xf numFmtId="0" fontId="4" fillId="0" borderId="54" xfId="0" applyFont="1" applyFill="1" applyBorder="1" applyAlignment="1">
      <alignment horizontal="left" vertical="center" wrapText="1"/>
    </xf>
    <xf numFmtId="0" fontId="4" fillId="0" borderId="23" xfId="0" applyFont="1" applyFill="1" applyBorder="1" applyAlignment="1">
      <alignment horizontal="left" vertical="center" wrapText="1"/>
    </xf>
    <xf numFmtId="0" fontId="7" fillId="0" borderId="17" xfId="0" applyFont="1" applyFill="1" applyBorder="1" applyAlignment="1">
      <alignment horizontal="left" vertical="center"/>
    </xf>
    <xf numFmtId="0" fontId="27" fillId="0" borderId="18" xfId="0" applyFont="1" applyFill="1" applyBorder="1" applyAlignment="1">
      <alignment horizontal="left" vertical="center" wrapText="1" indent="1"/>
    </xf>
    <xf numFmtId="0" fontId="8" fillId="0" borderId="17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 wrapText="1"/>
    </xf>
    <xf numFmtId="0" fontId="8" fillId="0" borderId="18" xfId="0" applyFont="1" applyFill="1" applyBorder="1" applyAlignment="1">
      <alignment horizontal="center" vertical="center" wrapText="1"/>
    </xf>
    <xf numFmtId="0" fontId="0" fillId="0" borderId="22" xfId="0" applyFont="1" applyBorder="1" applyAlignment="1">
      <alignment horizontal="center"/>
    </xf>
    <xf numFmtId="3" fontId="10" fillId="0" borderId="23" xfId="0" applyNumberFormat="1" applyFont="1" applyBorder="1" applyAlignment="1">
      <alignment horizontal="center"/>
    </xf>
    <xf numFmtId="0" fontId="11" fillId="0" borderId="12" xfId="0" applyFont="1" applyBorder="1" applyAlignment="1">
      <alignment horizontal="center" vertical="center" wrapText="1"/>
    </xf>
    <xf numFmtId="0" fontId="2" fillId="0" borderId="12" xfId="0" applyFont="1" applyBorder="1"/>
    <xf numFmtId="0" fontId="12" fillId="0" borderId="12" xfId="0" applyFont="1" applyBorder="1" applyAlignment="1">
      <alignment horizontal="left" indent="1"/>
    </xf>
    <xf numFmtId="0" fontId="4" fillId="0" borderId="14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/>
    </xf>
    <xf numFmtId="0" fontId="12" fillId="0" borderId="25" xfId="0" applyFont="1" applyBorder="1"/>
    <xf numFmtId="0" fontId="12" fillId="0" borderId="26" xfId="0" applyFont="1" applyBorder="1" applyAlignment="1">
      <alignment horizontal="left" vertical="center" wrapText="1" indent="1"/>
    </xf>
    <xf numFmtId="0" fontId="14" fillId="0" borderId="24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/>
    </xf>
    <xf numFmtId="0" fontId="22" fillId="0" borderId="48" xfId="0" applyFont="1" applyBorder="1" applyAlignment="1">
      <alignment horizontal="left" vertical="center" wrapText="1"/>
    </xf>
    <xf numFmtId="0" fontId="0" fillId="0" borderId="48" xfId="0" applyFont="1" applyBorder="1" applyAlignment="1">
      <alignment horizontal="left" vertical="center" wrapText="1"/>
    </xf>
    <xf numFmtId="0" fontId="0" fillId="0" borderId="34" xfId="0" applyFont="1" applyBorder="1" applyAlignment="1">
      <alignment horizontal="left" vertical="center"/>
    </xf>
    <xf numFmtId="0" fontId="0" fillId="0" borderId="36" xfId="0" applyFont="1" applyBorder="1" applyAlignment="1">
      <alignment horizontal="left" vertical="center"/>
    </xf>
    <xf numFmtId="0" fontId="10" fillId="0" borderId="22" xfId="0" applyFont="1" applyBorder="1" applyAlignment="1">
      <alignment vertical="center" wrapText="1"/>
    </xf>
    <xf numFmtId="0" fontId="10" fillId="0" borderId="43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0" fontId="12" fillId="0" borderId="42" xfId="0" applyFont="1" applyFill="1" applyBorder="1" applyAlignment="1">
      <alignment horizontal="left" vertical="center" wrapText="1" indent="1"/>
    </xf>
    <xf numFmtId="0" fontId="0" fillId="0" borderId="36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23" fillId="0" borderId="42" xfId="0" applyFont="1" applyBorder="1" applyAlignment="1">
      <alignment horizontal="left" vertical="center" wrapText="1"/>
    </xf>
    <xf numFmtId="0" fontId="10" fillId="0" borderId="42" xfId="0" applyFont="1" applyBorder="1" applyAlignment="1">
      <alignment horizontal="left" vertical="center" wrapText="1"/>
    </xf>
    <xf numFmtId="0" fontId="0" fillId="0" borderId="24" xfId="0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uario\Downloads\2021%20DESCARGAS\COMBUSTIBLE\NecesidadesTrimestrales-NP-APG%20Combusti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D10" t="str">
            <v>2.5.6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opLeftCell="A10" zoomScale="90" zoomScaleNormal="90" workbookViewId="0">
      <selection activeCell="E17" sqref="E17"/>
    </sheetView>
  </sheetViews>
  <sheetFormatPr baseColWidth="10" defaultColWidth="11" defaultRowHeight="12.75" x14ac:dyDescent="0.2"/>
  <cols>
    <col min="1" max="1" width="3.7109375" style="32" customWidth="1"/>
    <col min="2" max="2" width="15" style="32" customWidth="1"/>
    <col min="3" max="3" width="17.7109375" style="32" customWidth="1"/>
    <col min="4" max="4" width="8.42578125" style="32" customWidth="1"/>
    <col min="5" max="5" width="163.42578125" style="32" customWidth="1"/>
    <col min="6" max="6" width="12.140625" style="32" customWidth="1"/>
    <col min="7" max="7" width="13.85546875" style="32" customWidth="1"/>
    <col min="8" max="8" width="17.7109375" style="32" bestFit="1" customWidth="1"/>
    <col min="9" max="9" width="18.85546875" style="32" bestFit="1" customWidth="1"/>
    <col min="10" max="10" width="15" style="32" customWidth="1"/>
    <col min="11" max="11" width="11" style="32"/>
    <col min="12" max="12" width="17.5703125" style="32" bestFit="1" customWidth="1"/>
    <col min="13" max="16384" width="11" style="32"/>
  </cols>
  <sheetData>
    <row r="1" spans="1:12" x14ac:dyDescent="0.2">
      <c r="A1" s="51"/>
      <c r="B1" s="51"/>
      <c r="C1" s="51"/>
      <c r="D1" s="51"/>
      <c r="E1" s="51"/>
      <c r="F1" s="51"/>
      <c r="G1" s="51"/>
      <c r="H1" s="51"/>
    </row>
    <row r="2" spans="1:12" ht="27" x14ac:dyDescent="0.35">
      <c r="A2" s="51"/>
      <c r="B2" s="97" t="s">
        <v>0</v>
      </c>
      <c r="C2" s="97"/>
      <c r="D2" s="97"/>
      <c r="E2" s="97"/>
      <c r="F2" s="97"/>
      <c r="G2" s="97"/>
      <c r="H2" s="97"/>
    </row>
    <row r="3" spans="1:12" x14ac:dyDescent="0.2">
      <c r="A3" s="51"/>
      <c r="B3" s="51"/>
      <c r="C3" s="51"/>
      <c r="D3" s="51"/>
      <c r="E3" s="51"/>
      <c r="F3" s="51"/>
      <c r="G3" s="51"/>
      <c r="H3" s="51"/>
    </row>
    <row r="4" spans="1:12" ht="18" customHeight="1" x14ac:dyDescent="0.25">
      <c r="A4" s="98" t="s">
        <v>1</v>
      </c>
      <c r="B4" s="98"/>
      <c r="C4" s="99" t="s">
        <v>71</v>
      </c>
      <c r="D4" s="99"/>
      <c r="E4" s="99"/>
      <c r="F4" s="52"/>
      <c r="G4" s="53"/>
      <c r="H4" s="52"/>
    </row>
    <row r="5" spans="1:12" ht="18" customHeight="1" x14ac:dyDescent="0.25">
      <c r="A5" s="100" t="s">
        <v>2</v>
      </c>
      <c r="B5" s="100"/>
      <c r="C5" s="99" t="s">
        <v>59</v>
      </c>
      <c r="D5" s="99"/>
      <c r="E5" s="99"/>
      <c r="F5" s="58"/>
      <c r="G5" s="59"/>
      <c r="H5" s="58"/>
      <c r="I5" s="60"/>
      <c r="J5" s="60"/>
    </row>
    <row r="6" spans="1:12" ht="16.5" customHeight="1" x14ac:dyDescent="0.25">
      <c r="A6" s="100" t="s">
        <v>3</v>
      </c>
      <c r="B6" s="100"/>
      <c r="C6" s="54">
        <v>2022</v>
      </c>
      <c r="D6" s="61"/>
      <c r="E6" s="61"/>
      <c r="F6" s="58"/>
      <c r="G6" s="59"/>
      <c r="H6" s="58"/>
      <c r="I6" s="60"/>
      <c r="J6" s="60"/>
    </row>
    <row r="7" spans="1:12" ht="16.5" customHeight="1" x14ac:dyDescent="0.25">
      <c r="A7" s="100" t="s">
        <v>4</v>
      </c>
      <c r="B7" s="100"/>
      <c r="C7" s="54">
        <v>1</v>
      </c>
      <c r="D7" s="61"/>
      <c r="E7" s="61"/>
      <c r="F7" s="58"/>
      <c r="G7" s="59"/>
      <c r="H7" s="58"/>
      <c r="I7" s="60"/>
      <c r="J7" s="60"/>
    </row>
    <row r="8" spans="1:12" ht="16.5" thickBot="1" x14ac:dyDescent="0.3">
      <c r="A8" s="62"/>
      <c r="B8" s="58"/>
      <c r="C8" s="59"/>
      <c r="D8" s="58"/>
      <c r="E8" s="58"/>
      <c r="F8" s="58"/>
      <c r="G8" s="59"/>
      <c r="H8" s="58"/>
      <c r="I8" s="60"/>
      <c r="J8" s="60"/>
    </row>
    <row r="9" spans="1:12" ht="48" thickBot="1" x14ac:dyDescent="0.3">
      <c r="A9" s="63" t="s">
        <v>5</v>
      </c>
      <c r="B9" s="64" t="s">
        <v>6</v>
      </c>
      <c r="C9" s="64" t="s">
        <v>7</v>
      </c>
      <c r="D9" s="65" t="s">
        <v>8</v>
      </c>
      <c r="E9" s="64" t="s">
        <v>9</v>
      </c>
      <c r="F9" s="63" t="s">
        <v>10</v>
      </c>
      <c r="G9" s="64" t="s">
        <v>11</v>
      </c>
      <c r="H9" s="66" t="s">
        <v>12</v>
      </c>
      <c r="I9" s="67" t="s">
        <v>13</v>
      </c>
      <c r="J9" s="60"/>
    </row>
    <row r="10" spans="1:12" s="51" customFormat="1" ht="31.5" x14ac:dyDescent="0.25">
      <c r="A10" s="91">
        <v>1</v>
      </c>
      <c r="B10" s="92" t="s">
        <v>73</v>
      </c>
      <c r="C10" s="93" t="s">
        <v>57</v>
      </c>
      <c r="D10" s="94" t="s">
        <v>62</v>
      </c>
      <c r="E10" s="95" t="s">
        <v>72</v>
      </c>
      <c r="F10" s="92" t="s">
        <v>14</v>
      </c>
      <c r="G10" s="92">
        <v>100000</v>
      </c>
      <c r="H10" s="96">
        <v>51.8</v>
      </c>
      <c r="I10" s="96">
        <f>+G10*H10</f>
        <v>5180000</v>
      </c>
      <c r="J10" s="62"/>
      <c r="L10" s="90"/>
    </row>
    <row r="11" spans="1:12" ht="15.75" x14ac:dyDescent="0.25">
      <c r="A11" s="85"/>
      <c r="B11" s="68"/>
      <c r="C11" s="68"/>
      <c r="D11" s="86"/>
      <c r="E11" s="68"/>
      <c r="F11" s="86"/>
      <c r="G11" s="87"/>
      <c r="H11" s="88"/>
      <c r="I11" s="89"/>
      <c r="J11" s="60"/>
      <c r="L11" s="57"/>
    </row>
    <row r="12" spans="1:12" ht="16.5" thickBot="1" x14ac:dyDescent="0.3">
      <c r="A12" s="62"/>
      <c r="B12" s="62"/>
      <c r="C12" s="62"/>
      <c r="D12" s="62"/>
      <c r="E12" s="62"/>
      <c r="F12" s="62"/>
      <c r="G12" s="62"/>
      <c r="H12" s="70"/>
      <c r="I12" s="60"/>
      <c r="J12" s="69"/>
    </row>
    <row r="13" spans="1:12" ht="15.75" x14ac:dyDescent="0.25">
      <c r="A13" s="62"/>
      <c r="B13" s="71" t="s">
        <v>69</v>
      </c>
      <c r="C13" s="72"/>
      <c r="D13" s="72"/>
      <c r="E13" s="73"/>
      <c r="F13" s="62"/>
      <c r="G13" s="62"/>
      <c r="H13" s="74"/>
      <c r="I13" s="75"/>
      <c r="J13" s="60"/>
    </row>
    <row r="14" spans="1:12" ht="5.25" customHeight="1" x14ac:dyDescent="0.25">
      <c r="A14" s="62"/>
      <c r="B14" s="76"/>
      <c r="C14" s="68"/>
      <c r="D14" s="68"/>
      <c r="E14" s="77"/>
      <c r="F14" s="62"/>
      <c r="G14" s="62"/>
      <c r="H14" s="62"/>
      <c r="I14" s="60"/>
      <c r="J14" s="60"/>
    </row>
    <row r="15" spans="1:12" ht="15.75" x14ac:dyDescent="0.25">
      <c r="A15" s="62"/>
      <c r="B15" s="78" t="s">
        <v>15</v>
      </c>
      <c r="C15" s="68"/>
      <c r="D15" s="68"/>
      <c r="E15" s="77"/>
      <c r="F15" s="62"/>
      <c r="G15" s="62"/>
      <c r="H15" s="62"/>
      <c r="I15" s="60"/>
      <c r="J15" s="60"/>
    </row>
    <row r="16" spans="1:12" ht="41.25" customHeight="1" x14ac:dyDescent="0.25">
      <c r="A16" s="62"/>
      <c r="B16" s="78"/>
      <c r="C16" s="101"/>
      <c r="D16" s="101"/>
      <c r="E16" s="101"/>
      <c r="F16" s="62"/>
      <c r="G16" s="62"/>
      <c r="H16" s="62"/>
      <c r="I16" s="60"/>
      <c r="J16" s="60"/>
    </row>
    <row r="17" spans="1:10" ht="15.75" x14ac:dyDescent="0.25">
      <c r="A17" s="62"/>
      <c r="B17" s="78" t="s">
        <v>16</v>
      </c>
      <c r="C17" s="68"/>
      <c r="D17" s="68"/>
      <c r="E17" s="77"/>
      <c r="F17" s="62"/>
      <c r="G17" s="62"/>
      <c r="H17" s="62"/>
      <c r="I17" s="60"/>
      <c r="J17" s="60"/>
    </row>
    <row r="18" spans="1:10" ht="31.5" customHeight="1" x14ac:dyDescent="0.25">
      <c r="A18" s="62"/>
      <c r="B18" s="79"/>
      <c r="C18" s="104" t="s">
        <v>76</v>
      </c>
      <c r="D18" s="104"/>
      <c r="E18" s="105"/>
      <c r="F18" s="62"/>
      <c r="G18" s="62"/>
      <c r="H18" s="62"/>
      <c r="I18" s="60"/>
      <c r="J18" s="60"/>
    </row>
    <row r="19" spans="1:10" ht="31.5" customHeight="1" x14ac:dyDescent="0.25">
      <c r="A19" s="62"/>
      <c r="B19" s="79"/>
      <c r="C19" s="103" t="s">
        <v>70</v>
      </c>
      <c r="D19" s="103"/>
      <c r="E19" s="103"/>
      <c r="F19" s="62"/>
      <c r="G19" s="62"/>
      <c r="H19" s="62"/>
      <c r="I19" s="60"/>
      <c r="J19" s="60"/>
    </row>
    <row r="20" spans="1:10" ht="15.75" x14ac:dyDescent="0.25">
      <c r="A20" s="62"/>
      <c r="B20" s="78" t="s">
        <v>17</v>
      </c>
      <c r="C20" s="68"/>
      <c r="D20" s="68"/>
      <c r="E20" s="77"/>
      <c r="F20" s="62"/>
      <c r="G20" s="62"/>
      <c r="H20" s="62"/>
      <c r="I20" s="60"/>
      <c r="J20" s="60"/>
    </row>
    <row r="21" spans="1:10" ht="26.25" customHeight="1" x14ac:dyDescent="0.25">
      <c r="A21" s="62"/>
      <c r="B21" s="79"/>
      <c r="C21" s="101" t="s">
        <v>61</v>
      </c>
      <c r="D21" s="101"/>
      <c r="E21" s="101"/>
      <c r="F21" s="62"/>
      <c r="G21" s="62"/>
      <c r="H21" s="62"/>
      <c r="I21" s="60"/>
      <c r="J21" s="60"/>
    </row>
    <row r="22" spans="1:10" ht="15.75" x14ac:dyDescent="0.25">
      <c r="A22" s="62"/>
      <c r="B22" s="78" t="s">
        <v>18</v>
      </c>
      <c r="C22" s="80"/>
      <c r="D22" s="80"/>
      <c r="E22" s="81"/>
      <c r="F22" s="62"/>
      <c r="G22" s="62"/>
      <c r="H22" s="62"/>
      <c r="I22" s="60"/>
      <c r="J22" s="60"/>
    </row>
    <row r="23" spans="1:10" ht="26.25" customHeight="1" x14ac:dyDescent="0.25">
      <c r="A23" s="62"/>
      <c r="B23" s="79"/>
      <c r="C23" s="101" t="s">
        <v>63</v>
      </c>
      <c r="D23" s="101"/>
      <c r="E23" s="101"/>
      <c r="F23" s="62"/>
      <c r="G23" s="62"/>
      <c r="H23" s="62"/>
      <c r="I23" s="60"/>
      <c r="J23" s="60"/>
    </row>
    <row r="24" spans="1:10" ht="15.75" x14ac:dyDescent="0.25">
      <c r="A24" s="62"/>
      <c r="B24" s="78" t="s">
        <v>19</v>
      </c>
      <c r="C24" s="68"/>
      <c r="D24" s="68"/>
      <c r="E24" s="77"/>
      <c r="F24" s="62"/>
      <c r="G24" s="62"/>
      <c r="H24" s="62"/>
      <c r="I24" s="60"/>
      <c r="J24" s="60"/>
    </row>
    <row r="25" spans="1:10" ht="23.25" customHeight="1" x14ac:dyDescent="0.25">
      <c r="A25" s="62"/>
      <c r="B25" s="78"/>
      <c r="C25" s="102" t="s">
        <v>60</v>
      </c>
      <c r="D25" s="102"/>
      <c r="E25" s="102"/>
      <c r="F25" s="62"/>
      <c r="G25" s="62"/>
      <c r="H25" s="62"/>
      <c r="I25" s="60"/>
      <c r="J25" s="60"/>
    </row>
    <row r="26" spans="1:10" ht="16.5" thickBot="1" x14ac:dyDescent="0.3">
      <c r="A26" s="62"/>
      <c r="B26" s="82"/>
      <c r="C26" s="83"/>
      <c r="D26" s="83"/>
      <c r="E26" s="84"/>
      <c r="F26" s="62"/>
      <c r="G26" s="62"/>
      <c r="H26" s="62"/>
      <c r="I26" s="60"/>
      <c r="J26" s="60"/>
    </row>
    <row r="27" spans="1:10" ht="15.75" x14ac:dyDescent="0.25">
      <c r="A27" s="62"/>
      <c r="B27" s="62"/>
      <c r="C27" s="62"/>
      <c r="D27" s="62"/>
      <c r="E27" s="62"/>
      <c r="F27" s="62"/>
      <c r="G27" s="62"/>
      <c r="H27" s="62"/>
      <c r="I27" s="60"/>
      <c r="J27" s="60"/>
    </row>
  </sheetData>
  <mergeCells count="13">
    <mergeCell ref="C21:E21"/>
    <mergeCell ref="C23:E23"/>
    <mergeCell ref="C25:E25"/>
    <mergeCell ref="A6:B6"/>
    <mergeCell ref="A7:B7"/>
    <mergeCell ref="C16:E16"/>
    <mergeCell ref="C19:E19"/>
    <mergeCell ref="C18:E18"/>
    <mergeCell ref="B2:H2"/>
    <mergeCell ref="A4:B4"/>
    <mergeCell ref="C4:E4"/>
    <mergeCell ref="A5:B5"/>
    <mergeCell ref="C5:E5"/>
  </mergeCells>
  <pageMargins left="0" right="0" top="0.74803149606299213" bottom="0" header="0.51181102362204722" footer="0.51181102362204722"/>
  <pageSetup paperSize="5" scale="60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G15"/>
  <sheetViews>
    <sheetView tabSelected="1" topLeftCell="A7" zoomScaleNormal="100" workbookViewId="0">
      <selection activeCell="N13" sqref="N12:N13"/>
    </sheetView>
  </sheetViews>
  <sheetFormatPr baseColWidth="10" defaultColWidth="9.140625" defaultRowHeight="28.5" customHeight="1" x14ac:dyDescent="0.2"/>
  <cols>
    <col min="1" max="1" width="5.28515625" style="2" customWidth="1"/>
    <col min="2" max="2" width="14" style="2" customWidth="1"/>
    <col min="3" max="3" width="14.140625" style="2" customWidth="1"/>
    <col min="4" max="4" width="26" style="2" customWidth="1"/>
    <col min="5" max="5" width="13" style="2" customWidth="1"/>
    <col min="6" max="6" width="7.85546875" style="2" customWidth="1"/>
    <col min="7" max="7" width="66.42578125" style="2" customWidth="1"/>
    <col min="8" max="8" width="9.28515625" style="2" customWidth="1"/>
    <col min="9" max="9" width="15.5703125" style="2" customWidth="1"/>
    <col min="10" max="10" width="24.7109375" style="2" customWidth="1"/>
    <col min="11" max="11" width="15.5703125" style="2" customWidth="1"/>
    <col min="12" max="12" width="5.85546875" style="2" customWidth="1"/>
    <col min="13" max="1021" width="9.140625" style="2"/>
  </cols>
  <sheetData>
    <row r="1" spans="1:1021" ht="28.5" customHeight="1" thickBot="1" x14ac:dyDescent="0.25">
      <c r="A1" s="106" t="s">
        <v>20</v>
      </c>
      <c r="B1" s="106"/>
      <c r="C1" s="106"/>
      <c r="D1" s="106"/>
      <c r="E1" s="106"/>
      <c r="F1" s="106"/>
      <c r="G1" s="106"/>
      <c r="H1" s="106"/>
      <c r="I1" s="106"/>
      <c r="J1" s="40" t="s">
        <v>21</v>
      </c>
      <c r="K1" s="41" t="s">
        <v>77</v>
      </c>
    </row>
    <row r="2" spans="1:1021" ht="28.5" customHeight="1" thickBot="1" x14ac:dyDescent="0.25">
      <c r="A2" s="42"/>
      <c r="B2" s="42"/>
      <c r="C2" s="42"/>
      <c r="D2" s="43"/>
      <c r="E2" s="43"/>
      <c r="F2" s="43"/>
      <c r="G2" s="43"/>
      <c r="H2" s="43"/>
      <c r="I2" s="43"/>
      <c r="J2" s="43"/>
      <c r="K2" s="43"/>
    </row>
    <row r="3" spans="1:1021" ht="28.5" customHeight="1" thickBot="1" x14ac:dyDescent="0.25">
      <c r="A3" s="107" t="s">
        <v>54</v>
      </c>
      <c r="B3" s="107"/>
      <c r="C3" s="107"/>
      <c r="D3" s="108" t="str">
        <f>'Necesidades Trimestrales'!C4</f>
        <v>45- Ministerio de Desarrollo Social.-</v>
      </c>
      <c r="E3" s="108"/>
      <c r="F3" s="108"/>
      <c r="G3" s="108"/>
      <c r="H3" s="108"/>
      <c r="I3" s="108"/>
      <c r="J3" s="108"/>
      <c r="K3" s="108"/>
    </row>
    <row r="4" spans="1:1021" ht="28.5" customHeight="1" thickBot="1" x14ac:dyDescent="0.25">
      <c r="A4" s="109" t="s">
        <v>55</v>
      </c>
      <c r="B4" s="109"/>
      <c r="C4" s="109"/>
      <c r="D4" s="108" t="str">
        <f>'Necesidades Trimestrales'!C5</f>
        <v>25- Direccion Provincial de Gestion Administracion y RRHH</v>
      </c>
      <c r="E4" s="108"/>
      <c r="F4" s="108"/>
      <c r="G4" s="108"/>
      <c r="H4" s="108"/>
      <c r="I4" s="108"/>
      <c r="J4" s="108"/>
      <c r="K4" s="108"/>
    </row>
    <row r="5" spans="1:1021" ht="28.5" customHeight="1" thickBot="1" x14ac:dyDescent="0.25">
      <c r="A5" s="109" t="s">
        <v>33</v>
      </c>
      <c r="B5" s="109"/>
      <c r="C5" s="109"/>
      <c r="D5" s="108" t="s">
        <v>65</v>
      </c>
      <c r="E5" s="108"/>
      <c r="F5" s="108"/>
      <c r="G5" s="108"/>
      <c r="H5" s="108"/>
      <c r="I5" s="108"/>
      <c r="J5" s="108"/>
      <c r="K5" s="108"/>
    </row>
    <row r="6" spans="1:1021" ht="28.5" customHeight="1" thickBot="1" x14ac:dyDescent="0.25">
      <c r="A6" s="107" t="s">
        <v>56</v>
      </c>
      <c r="B6" s="107"/>
      <c r="C6" s="107"/>
      <c r="D6" s="108" t="s">
        <v>66</v>
      </c>
      <c r="E6" s="108"/>
      <c r="F6" s="108"/>
      <c r="G6" s="108"/>
      <c r="H6" s="108"/>
      <c r="I6" s="108"/>
      <c r="J6" s="108"/>
      <c r="K6" s="108"/>
    </row>
    <row r="7" spans="1:1021" ht="28.5" customHeight="1" thickBot="1" x14ac:dyDescent="0.25">
      <c r="A7" s="109" t="s">
        <v>22</v>
      </c>
      <c r="B7" s="109"/>
      <c r="C7" s="109"/>
      <c r="D7" s="108" t="str">
        <f>'Necesidades Trimestrales'!C7 &amp; "° Trimestre - Año " &amp; 'Necesidades Trimestrales'!C6</f>
        <v>1° Trimestre - Año 2022</v>
      </c>
      <c r="E7" s="108"/>
      <c r="F7" s="108"/>
      <c r="G7" s="108"/>
      <c r="H7" s="108"/>
      <c r="I7" s="108"/>
      <c r="J7" s="108"/>
      <c r="K7" s="108"/>
    </row>
    <row r="8" spans="1:1021" ht="42" customHeight="1" thickBot="1" x14ac:dyDescent="0.25">
      <c r="A8" s="115" t="s">
        <v>23</v>
      </c>
      <c r="B8" s="115"/>
      <c r="C8" s="115"/>
      <c r="D8" s="116" t="s">
        <v>64</v>
      </c>
      <c r="E8" s="116"/>
      <c r="F8" s="116"/>
      <c r="G8" s="116"/>
      <c r="H8" s="116"/>
      <c r="I8" s="116"/>
      <c r="J8" s="116"/>
      <c r="K8" s="116"/>
    </row>
    <row r="9" spans="1:1021" ht="28.5" customHeight="1" thickBot="1" x14ac:dyDescent="0.25">
      <c r="A9" s="44"/>
      <c r="B9" s="44"/>
      <c r="C9" s="44"/>
      <c r="D9" s="45"/>
      <c r="E9" s="45"/>
      <c r="F9" s="45"/>
      <c r="G9" s="45"/>
      <c r="H9" s="45"/>
      <c r="I9" s="45"/>
      <c r="J9" s="45"/>
      <c r="K9" s="45"/>
    </row>
    <row r="10" spans="1:1021" ht="28.5" customHeight="1" thickBot="1" x14ac:dyDescent="0.25">
      <c r="A10" s="117" t="s">
        <v>24</v>
      </c>
      <c r="B10" s="118" t="s">
        <v>25</v>
      </c>
      <c r="C10" s="118" t="s">
        <v>26</v>
      </c>
      <c r="D10" s="118"/>
      <c r="E10" s="118"/>
      <c r="F10" s="118"/>
      <c r="G10" s="118"/>
      <c r="H10" s="118" t="s">
        <v>27</v>
      </c>
      <c r="I10" s="118" t="s">
        <v>28</v>
      </c>
      <c r="J10" s="118" t="s">
        <v>29</v>
      </c>
      <c r="K10" s="119" t="s">
        <v>30</v>
      </c>
    </row>
    <row r="11" spans="1:1021" ht="28.5" customHeight="1" thickBot="1" x14ac:dyDescent="0.25">
      <c r="A11" s="117"/>
      <c r="B11" s="118"/>
      <c r="C11" s="118"/>
      <c r="D11" s="118"/>
      <c r="E11" s="118"/>
      <c r="F11" s="118"/>
      <c r="G11" s="118"/>
      <c r="H11" s="118"/>
      <c r="I11" s="118"/>
      <c r="J11" s="118"/>
      <c r="K11" s="119"/>
    </row>
    <row r="12" spans="1:1021" s="35" customFormat="1" ht="28.5" customHeight="1" thickBot="1" x14ac:dyDescent="0.25">
      <c r="A12" s="49">
        <v>1</v>
      </c>
      <c r="B12" s="47" t="str">
        <f>+'Necesidades Trimestrales'!B10</f>
        <v>2.1.1-6547.92</v>
      </c>
      <c r="C12" s="112" t="str">
        <f>+'Necesidades Trimestrales'!E10</f>
        <v>LEGUMBRES; VARIEDAD: POROTO, ESTADO: EN CONSERVA, PRESENTACION: LATA, PESO: 350 GR, MATERIAL ENVASE: METAL, ELEM. TRANSPORTE: SIN, MATERIAL ELEM. TRANSPORTE: SIN</v>
      </c>
      <c r="D12" s="113"/>
      <c r="E12" s="113"/>
      <c r="F12" s="113"/>
      <c r="G12" s="114"/>
      <c r="H12" s="46" t="s">
        <v>68</v>
      </c>
      <c r="I12" s="50" t="s">
        <v>14</v>
      </c>
      <c r="J12" s="56">
        <f>+'Necesidades Trimestrales'!H10</f>
        <v>51.8</v>
      </c>
      <c r="K12" s="48">
        <v>100000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/>
      <c r="AHA12" s="2"/>
      <c r="AHB12" s="2"/>
      <c r="AHC12" s="2"/>
      <c r="AHD12" s="2"/>
      <c r="AHE12" s="2"/>
      <c r="AHF12" s="2"/>
      <c r="AHG12" s="2"/>
      <c r="AHH12" s="2"/>
      <c r="AHI12" s="2"/>
      <c r="AHJ12" s="2"/>
      <c r="AHK12" s="2"/>
      <c r="AHL12" s="2"/>
      <c r="AHM12" s="2"/>
      <c r="AHN12" s="2"/>
      <c r="AHO12" s="2"/>
      <c r="AHP12" s="2"/>
      <c r="AHQ12" s="2"/>
      <c r="AHR12" s="2"/>
      <c r="AHS12" s="2"/>
      <c r="AHT12" s="2"/>
      <c r="AHU12" s="2"/>
      <c r="AHV12" s="2"/>
      <c r="AHW12" s="2"/>
      <c r="AHX12" s="2"/>
      <c r="AHY12" s="2"/>
      <c r="AHZ12" s="2"/>
      <c r="AIA12" s="2"/>
      <c r="AIB12" s="2"/>
      <c r="AIC12" s="2"/>
      <c r="AID12" s="2"/>
      <c r="AIE12" s="2"/>
      <c r="AIF12" s="2"/>
      <c r="AIG12" s="2"/>
      <c r="AIH12" s="2"/>
      <c r="AII12" s="2"/>
      <c r="AIJ12" s="2"/>
      <c r="AIK12" s="2"/>
      <c r="AIL12" s="2"/>
      <c r="AIM12" s="2"/>
      <c r="AIN12" s="2"/>
      <c r="AIO12" s="2"/>
      <c r="AIP12" s="2"/>
      <c r="AIQ12" s="2"/>
      <c r="AIR12" s="2"/>
      <c r="AIS12" s="2"/>
      <c r="AIT12" s="2"/>
      <c r="AIU12" s="2"/>
      <c r="AIV12" s="2"/>
      <c r="AIW12" s="2"/>
      <c r="AIX12" s="2"/>
      <c r="AIY12" s="2"/>
      <c r="AIZ12" s="2"/>
      <c r="AJA12" s="2"/>
      <c r="AJB12" s="2"/>
      <c r="AJC12" s="2"/>
      <c r="AJD12" s="2"/>
      <c r="AJE12" s="2"/>
      <c r="AJF12" s="2"/>
      <c r="AJG12" s="2"/>
      <c r="AJH12" s="2"/>
      <c r="AJI12" s="2"/>
      <c r="AJJ12" s="2"/>
      <c r="AJK12" s="2"/>
      <c r="AJL12" s="2"/>
      <c r="AJM12" s="2"/>
      <c r="AJN12" s="2"/>
      <c r="AJO12" s="2"/>
      <c r="AJP12" s="2"/>
      <c r="AJQ12" s="2"/>
      <c r="AJR12" s="2"/>
      <c r="AJS12" s="2"/>
      <c r="AJT12" s="2"/>
      <c r="AJU12" s="2"/>
      <c r="AJV12" s="2"/>
      <c r="AJW12" s="2"/>
      <c r="AJX12" s="2"/>
      <c r="AJY12" s="2"/>
      <c r="AJZ12" s="2"/>
      <c r="AKA12" s="2"/>
      <c r="AKB12" s="2"/>
      <c r="AKC12" s="2"/>
      <c r="AKD12" s="2"/>
      <c r="AKE12" s="2"/>
      <c r="AKF12" s="2"/>
      <c r="AKG12" s="2"/>
      <c r="AKH12" s="2"/>
      <c r="AKI12" s="2"/>
      <c r="AKJ12" s="2"/>
      <c r="AKK12" s="2"/>
      <c r="AKL12" s="2"/>
      <c r="AKM12" s="2"/>
      <c r="AKN12" s="2"/>
      <c r="AKO12" s="2"/>
      <c r="AKP12" s="2"/>
      <c r="AKQ12" s="2"/>
      <c r="AKR12" s="2"/>
      <c r="AKS12" s="2"/>
      <c r="AKT12" s="2"/>
      <c r="AKU12" s="2"/>
      <c r="AKV12" s="2"/>
      <c r="AKW12" s="2"/>
      <c r="AKX12" s="2"/>
      <c r="AKY12" s="2"/>
      <c r="AKZ12" s="2"/>
      <c r="ALA12" s="2"/>
      <c r="ALB12" s="2"/>
      <c r="ALC12" s="2"/>
      <c r="ALD12" s="2"/>
      <c r="ALE12" s="2"/>
      <c r="ALF12" s="2"/>
      <c r="ALG12" s="2"/>
      <c r="ALH12" s="2"/>
      <c r="ALI12" s="2"/>
      <c r="ALJ12" s="2"/>
      <c r="ALK12" s="2"/>
      <c r="ALL12" s="2"/>
      <c r="ALM12" s="2"/>
      <c r="ALN12" s="2"/>
      <c r="ALO12" s="2"/>
      <c r="ALP12" s="2"/>
      <c r="ALQ12" s="2"/>
      <c r="ALR12" s="2"/>
      <c r="ALS12" s="2"/>
      <c r="ALT12" s="2"/>
      <c r="ALU12" s="2"/>
      <c r="ALV12" s="2"/>
      <c r="ALW12" s="2"/>
      <c r="ALX12" s="2"/>
      <c r="ALY12" s="2"/>
      <c r="ALZ12" s="2"/>
      <c r="AMA12" s="2"/>
      <c r="AMB12" s="2"/>
      <c r="AMC12" s="2"/>
      <c r="AMD12" s="2"/>
      <c r="AME12" s="2"/>
      <c r="AMF12" s="2"/>
      <c r="AMG12" s="2"/>
    </row>
    <row r="13" spans="1:1021" ht="28.5" customHeight="1" thickBot="1" x14ac:dyDescent="0.25">
      <c r="A13" s="110" t="s">
        <v>74</v>
      </c>
      <c r="B13" s="110"/>
      <c r="C13" s="110"/>
      <c r="D13" s="110"/>
      <c r="E13" s="110"/>
      <c r="F13" s="110"/>
      <c r="G13" s="110"/>
      <c r="H13" s="110"/>
      <c r="I13" s="110"/>
      <c r="J13" s="111">
        <f>+J12*K12</f>
        <v>5180000</v>
      </c>
      <c r="K13" s="111"/>
    </row>
    <row r="15" spans="1:1021" ht="28.5" customHeight="1" x14ac:dyDescent="0.2">
      <c r="J15" s="55"/>
    </row>
  </sheetData>
  <mergeCells count="23"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" right="0" top="1.1399999999999999" bottom="0" header="2.13" footer="0.51181102362204722"/>
  <pageSetup paperSize="5" scale="75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zoomScale="130" zoomScaleNormal="130" workbookViewId="0">
      <selection activeCell="U23" sqref="U23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1" width="4.42578125" customWidth="1"/>
    <col min="12" max="12" width="5.42578125" customWidth="1"/>
    <col min="13" max="14" width="4.42578125" customWidth="1"/>
    <col min="15" max="16" width="14.85546875" customWidth="1"/>
    <col min="17" max="17" width="15.28515625" bestFit="1" customWidth="1"/>
  </cols>
  <sheetData>
    <row r="1" spans="1:17" ht="15.75" customHeight="1" x14ac:dyDescent="0.25">
      <c r="A1" s="120" t="s">
        <v>3</v>
      </c>
      <c r="B1" s="120"/>
      <c r="C1" s="120"/>
      <c r="D1" s="121">
        <f>'Necesidades Trimestrales'!C6</f>
        <v>2022</v>
      </c>
      <c r="E1" s="121"/>
      <c r="F1" s="4"/>
      <c r="G1" s="4"/>
      <c r="H1" s="5"/>
      <c r="I1" s="5"/>
      <c r="J1" s="5"/>
      <c r="K1" s="5"/>
      <c r="L1" s="5"/>
      <c r="M1" s="5"/>
      <c r="N1" s="5"/>
      <c r="P1" s="122" t="s">
        <v>31</v>
      </c>
      <c r="Q1" s="122"/>
    </row>
    <row r="2" spans="1:17" ht="15.75" customHeight="1" x14ac:dyDescent="0.2">
      <c r="H2" s="5"/>
      <c r="I2" s="5"/>
      <c r="J2" s="5"/>
      <c r="K2" s="5"/>
      <c r="L2" s="5"/>
      <c r="M2" s="5"/>
      <c r="N2" s="5"/>
      <c r="P2" s="122"/>
      <c r="Q2" s="122"/>
    </row>
    <row r="4" spans="1:17" s="6" customFormat="1" ht="18" customHeight="1" thickBot="1" x14ac:dyDescent="0.25">
      <c r="A4" s="123" t="s">
        <v>32</v>
      </c>
      <c r="B4" s="123"/>
      <c r="C4" s="123"/>
      <c r="D4" s="123"/>
      <c r="E4" s="123"/>
      <c r="F4" s="123"/>
      <c r="G4" s="124" t="str">
        <f>' NotaPedido'!D3</f>
        <v>45- Ministerio de Desarrollo Social.-</v>
      </c>
      <c r="H4" s="124"/>
      <c r="I4" s="124"/>
      <c r="J4" s="124"/>
      <c r="K4" s="124"/>
      <c r="L4" s="124"/>
      <c r="M4" s="124"/>
      <c r="N4" s="124"/>
      <c r="O4" s="124"/>
      <c r="P4" s="124"/>
      <c r="Q4" s="124"/>
    </row>
    <row r="5" spans="1:17" s="6" customFormat="1" ht="18" customHeight="1" thickBot="1" x14ac:dyDescent="0.25">
      <c r="A5" s="125" t="s">
        <v>55</v>
      </c>
      <c r="B5" s="126"/>
      <c r="C5" s="126"/>
      <c r="D5" s="126"/>
      <c r="E5" s="126"/>
      <c r="F5" s="127"/>
      <c r="G5" s="124" t="str">
        <f>' NotaPedido'!D4</f>
        <v>25- Direccion Provincial de Gestion Administracion y RRHH</v>
      </c>
      <c r="H5" s="124"/>
      <c r="I5" s="124"/>
      <c r="J5" s="124"/>
      <c r="K5" s="124"/>
      <c r="L5" s="124"/>
      <c r="M5" s="124"/>
      <c r="N5" s="124"/>
      <c r="O5" s="124"/>
      <c r="P5" s="124"/>
      <c r="Q5" s="124"/>
    </row>
    <row r="6" spans="1:17" s="6" customFormat="1" ht="18" customHeight="1" thickBot="1" x14ac:dyDescent="0.25">
      <c r="A6" s="125" t="s">
        <v>33</v>
      </c>
      <c r="B6" s="126"/>
      <c r="C6" s="126"/>
      <c r="D6" s="126"/>
      <c r="E6" s="126"/>
      <c r="F6" s="127"/>
      <c r="G6" s="124" t="s">
        <v>65</v>
      </c>
      <c r="H6" s="124"/>
      <c r="I6" s="124"/>
      <c r="J6" s="124"/>
      <c r="K6" s="124"/>
      <c r="L6" s="124"/>
      <c r="M6" s="124"/>
      <c r="N6" s="124"/>
      <c r="O6" s="124"/>
      <c r="P6" s="124"/>
      <c r="Q6" s="124"/>
    </row>
    <row r="7" spans="1:17" s="6" customFormat="1" ht="18" customHeight="1" thickBot="1" x14ac:dyDescent="0.25">
      <c r="A7" s="125" t="s">
        <v>56</v>
      </c>
      <c r="B7" s="126"/>
      <c r="C7" s="126"/>
      <c r="D7" s="126"/>
      <c r="E7" s="126"/>
      <c r="F7" s="127"/>
      <c r="G7" s="124" t="s">
        <v>67</v>
      </c>
      <c r="H7" s="124"/>
      <c r="I7" s="124"/>
      <c r="J7" s="124"/>
      <c r="K7" s="124"/>
      <c r="L7" s="124"/>
      <c r="M7" s="124"/>
      <c r="N7" s="124"/>
      <c r="O7" s="124"/>
      <c r="P7" s="124"/>
      <c r="Q7" s="124"/>
    </row>
    <row r="8" spans="1:17" ht="18" customHeight="1" thickBot="1" x14ac:dyDescent="0.25">
      <c r="A8" s="128" t="s">
        <v>34</v>
      </c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</row>
    <row r="9" spans="1:17" ht="18" customHeight="1" x14ac:dyDescent="0.2">
      <c r="A9" s="129" t="s">
        <v>35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"/>
      <c r="P9" s="1"/>
      <c r="Q9" s="7"/>
    </row>
    <row r="10" spans="1:17" ht="54.75" customHeight="1" x14ac:dyDescent="0.2">
      <c r="A10" s="13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163/2022,  afectando la erogación resultante a los créditos presupuestarios aprobados a favor de esta Unidad Ejecutora, conforme al siguiente detalle: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</row>
    <row r="11" spans="1:17" ht="9" customHeight="1" x14ac:dyDescent="0.2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x14ac:dyDescent="0.2">
      <c r="A12" s="131" t="s">
        <v>36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</row>
    <row r="13" spans="1:17" ht="15.75" customHeight="1" x14ac:dyDescent="0.2">
      <c r="A13" s="132" t="s">
        <v>37</v>
      </c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3" t="s">
        <v>38</v>
      </c>
      <c r="P13" s="133"/>
      <c r="Q13" s="134" t="s">
        <v>39</v>
      </c>
    </row>
    <row r="14" spans="1:17" ht="15.75" customHeight="1" x14ac:dyDescent="0.2">
      <c r="A14" s="12" t="s">
        <v>40</v>
      </c>
      <c r="B14" s="13" t="s">
        <v>41</v>
      </c>
      <c r="C14" s="13" t="s">
        <v>42</v>
      </c>
      <c r="D14" s="13" t="s">
        <v>43</v>
      </c>
      <c r="E14" s="13" t="s">
        <v>44</v>
      </c>
      <c r="F14" s="13" t="s">
        <v>45</v>
      </c>
      <c r="G14" s="14" t="s">
        <v>46</v>
      </c>
      <c r="H14" s="13" t="s">
        <v>47</v>
      </c>
      <c r="I14" s="13" t="s">
        <v>48</v>
      </c>
      <c r="J14" s="13" t="s">
        <v>49</v>
      </c>
      <c r="K14" s="13" t="s">
        <v>49</v>
      </c>
      <c r="L14" s="13" t="s">
        <v>50</v>
      </c>
      <c r="M14" s="15" t="s">
        <v>51</v>
      </c>
      <c r="N14" s="16" t="s">
        <v>52</v>
      </c>
      <c r="O14" s="133"/>
      <c r="P14" s="133"/>
      <c r="Q14" s="134"/>
    </row>
    <row r="15" spans="1:17" ht="17.25" customHeight="1" x14ac:dyDescent="0.2">
      <c r="A15" s="36">
        <v>16</v>
      </c>
      <c r="B15" s="37"/>
      <c r="C15" s="37"/>
      <c r="D15" s="37">
        <v>2</v>
      </c>
      <c r="E15" s="37"/>
      <c r="F15" s="37">
        <v>4901</v>
      </c>
      <c r="G15" s="38">
        <v>3</v>
      </c>
      <c r="H15" s="38">
        <v>2</v>
      </c>
      <c r="I15" s="37" t="str">
        <f>LEFT('[1]Necesidades Trimestrales'!D10,1)</f>
        <v>2</v>
      </c>
      <c r="J15" s="37">
        <v>1</v>
      </c>
      <c r="K15" s="37">
        <v>1</v>
      </c>
      <c r="L15" s="37"/>
      <c r="M15" s="39">
        <v>1</v>
      </c>
      <c r="N15" s="37">
        <v>1.1000000000000001</v>
      </c>
      <c r="O15" s="135" t="s">
        <v>58</v>
      </c>
      <c r="P15" s="136"/>
      <c r="Q15" s="34">
        <v>5180000</v>
      </c>
    </row>
    <row r="16" spans="1:17" ht="17.25" customHeight="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18"/>
      <c r="O16" s="137"/>
      <c r="P16" s="137"/>
      <c r="Q16" s="33"/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38"/>
      <c r="P17" s="138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38"/>
      <c r="P18" s="138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38"/>
      <c r="P19" s="138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38"/>
      <c r="P20" s="138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44"/>
      <c r="P21" s="144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45"/>
      <c r="P22" s="145"/>
      <c r="Q22" s="30"/>
    </row>
    <row r="23" spans="1:18" ht="32.25" customHeight="1" x14ac:dyDescent="0.2">
      <c r="A23" s="146" t="s">
        <v>75</v>
      </c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31">
        <f>SUM(Q15:Q22)</f>
        <v>5180000</v>
      </c>
    </row>
    <row r="24" spans="1:18" ht="18" customHeight="1" thickBot="1" x14ac:dyDescent="0.25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</row>
    <row r="25" spans="1:18" ht="17.25" customHeight="1" thickBot="1" x14ac:dyDescent="0.25">
      <c r="A25" s="139" t="s">
        <v>53</v>
      </c>
      <c r="B25" s="140"/>
      <c r="C25" s="140"/>
      <c r="D25" s="140"/>
      <c r="E25" s="140"/>
      <c r="F25" s="141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</row>
    <row r="26" spans="1:18" ht="18" customHeight="1" thickBot="1" x14ac:dyDescent="0.25">
      <c r="A26" s="143" t="s">
        <v>64</v>
      </c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</row>
    <row r="27" spans="1:18" ht="15" customHeight="1" x14ac:dyDescent="0.2">
      <c r="A27" s="143"/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2022-03-28T13:24:46Z</cp:lastPrinted>
  <dcterms:created xsi:type="dcterms:W3CDTF">2020-07-17T23:44:49Z</dcterms:created>
  <dcterms:modified xsi:type="dcterms:W3CDTF">2022-03-29T12:09:44Z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