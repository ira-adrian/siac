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-120" yWindow="-60" windowWidth="20640" windowHeight="11100" tabRatio="500"/>
  </bookViews>
  <sheets>
    <sheet name="Necesidades Trimestrales" sheetId="1" r:id="rId1"/>
    <sheet name=" NotaPedido" sheetId="2" state="hidden" r:id="rId2"/>
    <sheet name="Autor Gastar" sheetId="3" state="hidden" r:id="rId3"/>
  </sheets>
  <definedNames>
    <definedName name="_xlnm.Print_Area" localSheetId="1">' NotaPedido'!$A$1:$K$15</definedName>
    <definedName name="_xlnm.Print_Area" localSheetId="2">'Autor Gastar'!$A$1:$Q$20</definedName>
  </definedNam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0" i="1" l="1"/>
  <c r="I31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0" i="1" l="1"/>
  <c r="I12" i="1" l="1"/>
  <c r="I13" i="1"/>
  <c r="I11" i="1"/>
  <c r="I32" i="1" l="1"/>
  <c r="I13" i="2"/>
  <c r="J13" i="2"/>
  <c r="K13" i="2"/>
  <c r="I14" i="2"/>
  <c r="J14" i="2"/>
  <c r="K14" i="2"/>
  <c r="C13" i="2"/>
  <c r="C14" i="2"/>
  <c r="B13" i="2"/>
  <c r="B14" i="2"/>
  <c r="K12" i="2"/>
  <c r="I12" i="2"/>
  <c r="J12" i="2"/>
  <c r="C12" i="2"/>
  <c r="B12" i="2"/>
  <c r="O15" i="3" l="1"/>
  <c r="A19" i="3"/>
  <c r="A10" i="3"/>
  <c r="J15" i="2" l="1"/>
  <c r="Q15" i="3" l="1"/>
  <c r="Q16" i="3" s="1"/>
  <c r="G6" i="3" l="1"/>
  <c r="G7" i="3"/>
  <c r="D3" i="2"/>
  <c r="G4" i="3" s="1"/>
  <c r="D4" i="2"/>
  <c r="G5" i="3" s="1"/>
  <c r="D1" i="3" l="1"/>
</calcChain>
</file>

<file path=xl/sharedStrings.xml><?xml version="1.0" encoding="utf-8"?>
<sst xmlns="http://schemas.openxmlformats.org/spreadsheetml/2006/main" count="207" uniqueCount="144">
  <si>
    <t>Pedido de Necesidades Trimestrales</t>
  </si>
  <si>
    <t>JURISDICCION:</t>
  </si>
  <si>
    <t>90 - Ministerio de Seguridad</t>
  </si>
  <si>
    <t xml:space="preserve">SAF N°: </t>
  </si>
  <si>
    <t>7- Dirección Provincial de Administración de la Policía de la Provincia de Catamarca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</si>
  <si>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</si>
  <si>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</si>
  <si>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</si>
  <si>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</si>
  <si>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</si>
  <si>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</si>
  <si>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</si>
  <si>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</si>
  <si>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</si>
  <si>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</si>
  <si>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</si>
  <si>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2.1.1-542.236</t>
  </si>
  <si>
    <t>ALIMENTOS</t>
  </si>
  <si>
    <t>2.1.1</t>
  </si>
  <si>
    <t>QUESOS; TIPO: CREMOSO, PRESENTACION: AL PESO, ELEM. TRANSPORTE: SIN, MATERIAL ELEM. TRANSPORTE: SIN, MATERIAL ENVASE: SIN, CERTIFICADO FORESTAL (GFS): SIN, LIBRE DE GLUTEN: A DEFINIR</t>
  </si>
  <si>
    <t>UNIDAD</t>
  </si>
  <si>
    <t>2.1.1-541.176</t>
  </si>
  <si>
    <t>CARNES; TIPO: VACUNA, CORTE: CUARTO TRASERO</t>
  </si>
  <si>
    <t>2.1.1-541.7</t>
  </si>
  <si>
    <t>CARNES; ESPECIE: VACUNA, CORTE: PICADA ESPECIAL, TIPO: VACUNA</t>
  </si>
  <si>
    <t>2.1.1-621.13</t>
  </si>
  <si>
    <t>AVES; ESPECIE: POLLO, PRESENTACION: CAJON X 8 UN, EVISCERADO: SIN VALOR, TIPO: POLLO</t>
  </si>
  <si>
    <t>2.1.1-456.22</t>
  </si>
  <si>
    <t>YOGHURT; CAPACIDAD: 1 L, SABOR: FRUTILLA, TIPO: ENTERO, ENVASE: SACHET, AGREGADO: SIN VALOR, CONSISTENCIA: BEBIBLE, PRESENTACION: SACHET X 1 L</t>
  </si>
  <si>
    <t>2.1.1-6546.112</t>
  </si>
  <si>
    <t>VERDURAS Y HORTALIZAS;ESTADO: NATURAL,  PESO: 25 Kg, VARIEDAD: PAPA NEGRA,  PRESENTACION: BOLSA</t>
  </si>
  <si>
    <t>2.1.1-6546.236</t>
  </si>
  <si>
    <t>VERDURAS Y HORTALIZAS; VARIEDAD: CEBOLLA, ESTADO: NATURAL, PRESENTACION: BOLSA, PESO: 20 Kg</t>
  </si>
  <si>
    <t>2.1.1-6546.167</t>
  </si>
  <si>
    <t>VERDURAS Y HORTALIZAS; VARIEDAD: ZANAHORIA, PRESENTACION: BOLSA, ESTADO: NATURAL, PESO: 20 Kg</t>
  </si>
  <si>
    <t>2.1.1-6546.390</t>
  </si>
  <si>
    <t>VERDURAS Y HORTALIZAS; VARIEDAD: TOMATE REDONDO, ESTADO: NATURAL, PRESENTACION: CAJON, PESO: 17 A 22 Kg, ELEM. TRANSPORTE: SIN, MATERIAL ELEM. TRANSPORTE: SIN, LIBRE DE GLUTEN: SI, ORGANICO: NO</t>
  </si>
  <si>
    <t>2.1.1-6546.95</t>
  </si>
  <si>
    <t>VERDURAS Y HORTALIZAS; VARIEDAD: MORRON VERDE, ESTADO: NATURAL, PRESENTACION: GRANEL, PESO: SIN VALOR</t>
  </si>
  <si>
    <t>2.1.1-6546.162</t>
  </si>
  <si>
    <t>VERDURAS Y HORTALIZAS; VARIEDAD: ZAPALLO CRIOLLO, ESTADO: NATURAL, PRESENTACION: UNIDAD, PESO: SIN VALOR</t>
  </si>
  <si>
    <t>2.1.1-6546.151</t>
  </si>
  <si>
    <t>VERDURAS Y HORTALIZAS; VARIEDAD: ZAPALLITO REDONDO, ESTADO: NATURAL, PRESENTACION: CAJON, PESO: SIN VALOR</t>
  </si>
  <si>
    <t>2.1.1-6546.153</t>
  </si>
  <si>
    <t>VERDURAS Y HORTALIZAS; VARIEDAD: AJO, ESTADO: NATURAL, PRESENTACION: RISTRA, PESO: SIN VALOR</t>
  </si>
  <si>
    <t>2.1.1-6546.47</t>
  </si>
  <si>
    <t>VERDURAS Y HORTALIZAS; VARIEDAD: CEBOLLA DE VERDEO, ESTADO: NATURAL, PRESENTACION: GRANEL, PESO: SIN VALOR</t>
  </si>
  <si>
    <t>2.1.1-6546.132</t>
  </si>
  <si>
    <t>VERDURAS Y HORTALIZAS; VARIEDAD: PEREJIL, ESTADO: NATURAL, PRESENTACION: GRANEL, PESO: SIN VALOR</t>
  </si>
  <si>
    <t>2.1.1-6546.34</t>
  </si>
  <si>
    <t>VERDURAS Y HORTALIZAS; VARIEDAD: ACELGA, ESTADO: EN HOJA, PRESENTACION: ATADO, PESO: SIN VALOR</t>
  </si>
  <si>
    <t>2.1.1-483.37</t>
  </si>
  <si>
    <t>HUEVO DE GALLINA; TAMAÑO: GRANDE, COLOR: COLOR, PRESENTACION: 30 UN</t>
  </si>
  <si>
    <t>MAPLE</t>
  </si>
  <si>
    <t>2.1.1-6539.170</t>
  </si>
  <si>
    <t>FRUTAS; VARIEDAD: MANZANA RED DELICIOSA, ESTADO: NATURAL, PRESENTACION: ENVASE X 15 Kg, ELEM. TRANSPORTE: CAJON, MATERIAL ELEM. TRANSPORTE: CARTON</t>
  </si>
  <si>
    <t>2.1.1-6539.30</t>
  </si>
  <si>
    <t>FRUTAS; VARIEDAD: BANANA, PRESENTACION: CAJON, ESTADO: NATURAL, PESO: SIN VALOR</t>
  </si>
  <si>
    <t>2.1.1-6539.157</t>
  </si>
  <si>
    <t>FRUTAS; VARIEDAD: PERA, ESTADO: NATURAL, PRESENTACION: ENVASE X 20 Kg</t>
  </si>
  <si>
    <t>2.1.1-6539.8</t>
  </si>
  <si>
    <t>Especificidades:</t>
  </si>
  <si>
    <t>Para los oferentes que coticen carnes, frutas y verduras deberán presentar: CERTIFICADO DE HABILITACIÓN DEL LOCAL, DESINFECCIÓN DEL MISMO emitido por el Dpto. de Bromatología y CARNET SANITARIO del personal, en copia debidamente certificada por autoridad de Aplicación o Escribano Publico. Para los  ITEMS: 02 Y 03 se  deberá constar con la rotulación del frigorífico de origen.</t>
  </si>
  <si>
    <r>
      <t xml:space="preserve">Para los distintos tipos de </t>
    </r>
    <r>
      <rPr>
        <b/>
        <u/>
        <sz val="10"/>
        <rFont val="Century Gothic"/>
        <family val="2"/>
      </rPr>
      <t>Carnes:</t>
    </r>
    <r>
      <rPr>
        <sz val="10"/>
        <rFont val="Century Gothic"/>
        <family val="2"/>
      </rPr>
      <t xml:space="preserve"> Sin exceso de grasas, sin elementos extraños y en óptimas condiciones de higiene. Los oferentes deberán contar con la Habilitación del Local para la venta, expedida por Bromatología Municipal y Certificado de Transporte Alimenticio expedido por el Dpto. de Bromatología de la Provincia de Catamarca o Habilitación de Transporte Alimenticio según normas SENASA. Si el oferente no posee transporte propio, deberá presentar Acta Convenio, en cual se encuentre establecido el periodo de prestación del servicio y los datos del vehículo a utilizar.</t>
    </r>
  </si>
  <si>
    <t>Plazos y lugares de entrega</t>
  </si>
  <si>
    <t>Calidad Minima esperada</t>
  </si>
  <si>
    <t>Mantenimiento</t>
  </si>
  <si>
    <t>30 días</t>
  </si>
  <si>
    <t>Garantia</t>
  </si>
  <si>
    <t>*</t>
  </si>
  <si>
    <t>NOTA DE PEDIDO</t>
  </si>
  <si>
    <t>N°</t>
  </si>
  <si>
    <t>81/2021</t>
  </si>
  <si>
    <t xml:space="preserve">JURISDICCIÓN: </t>
  </si>
  <si>
    <t>SAF:</t>
  </si>
  <si>
    <t>UNIDAD EJECUTORA:</t>
  </si>
  <si>
    <t>Policía de la Provincia de Catamarca</t>
  </si>
  <si>
    <t xml:space="preserve">DEPENDENCIA SOLICITANTE: </t>
  </si>
  <si>
    <t>División Intendencia, Departamento Logística</t>
  </si>
  <si>
    <t>PERIODO UTILIZACIÓN:</t>
  </si>
  <si>
    <t>3er trimestre Año 2021.-</t>
  </si>
  <si>
    <t>OBJETO:</t>
  </si>
  <si>
    <t>Adquisición de Uniformes de Fajina para el personal policial.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</si>
  <si>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</si>
  <si>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</si>
  <si>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</si>
  <si>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</si>
  <si>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</si>
  <si>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</si>
  <si>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</si>
  <si>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SI</t>
  </si>
  <si>
    <t>Costo total estimado: Pesos Cinco Millones Doscientos Mil con 00/100.-</t>
  </si>
  <si>
    <t>AUTORIZACION PARA GASTAR</t>
  </si>
  <si>
    <t>JURISDICCIÓN:</t>
  </si>
  <si>
    <r>
      <t>AUTORIZACIÓN</t>
    </r>
    <r>
      <rPr>
        <b/>
        <sz val="10"/>
        <rFont val="Century Gothic"/>
        <family val="2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</si>
  <si>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</si>
  <si>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</si>
  <si>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</si>
  <si>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</si>
  <si>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</si>
  <si>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</si>
  <si>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</si>
  <si>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</si>
  <si>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</si>
  <si>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</si>
  <si>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</si>
  <si>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</si>
  <si>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</si>
  <si>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</si>
  <si>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</si>
  <si>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</si>
  <si>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</si>
  <si>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</si>
  <si>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1.1</t>
  </si>
  <si>
    <t>TOTAL DE PESOS:   Treinta y Cuatro Mil Novecientos Cincuenta con 00/100.-</t>
  </si>
  <si>
    <t>JUSTIFICACIÓN:</t>
  </si>
  <si>
    <t xml:space="preserve">No sera necesario la presentacion de  muestras.- </t>
  </si>
  <si>
    <t xml:space="preserve">Condición de Calidad:
CARNES
• La carne no deberá presentar ninguna modificación esencial en sus características principales y presenta color, olor y consistencia característicos.
• La carne fresca que ingrese al establecimiento debe mantenerse a una temperatura no mayor de 5º C.
• Las carnes estarán limpias, exentas de piel y vísceras.
• La carne tiene que ser de color rojo brillante, de color oscuro no se aceptará ya que se deterioran más rápido.
AVES
• La temperatura de la carne de pollo en el momento de la recepción deberá estar entre -2º C y 2ºC para las aves enfriadas y no deberá ser mayor de -15º C para las aves congeladas. Sus caracteres organolépticos (color, olor, aspecto y consistencia), deben ser característicos.
• El envase del POLLO trozado deberá ofrecer garantías de seguridad en su cierre y cada unidad de venta será identificada adecuadamente.
• Todos los productos encuadrados en esta clasificación deben ajustarse a la definición y requisitos, de rotulado y embalaje, establecidos en los artículos 256 y 257 – Capítulo VI (“alimentos carnes y afines”) del CODIGO ALIMENTARIO ARGENTINO (C.A.A).
FRUTAS Y VERDURAS
• Las frutas y verduras que ingresen al establecimiento deben ser de 1ra calidad, frescas, limpias, enteras, en especial la papa debe venir sin exceso de tierra lo más limpia posible y conservando sus caracteres organolépticos característicos.
• Uniformidad: tamaño, forma, color y madurez característicos.
• No debe tener ningún tipo de contaminación física, química o biológica.
• Sanas, se excluyen en todos los casos los productos afectados por podredumbre o por alteraciones, que le hagan impropio para el consumo.
• Exentas de olor y/o sabor extraño.
• La lechuga y cualquier otra hortaliza de hojas debe estar verde, compacta, fresca (sin indicios de marchitez), limpia y sin tejido oxidado ni hojas dañadas por insectos u otros daños.
QUESOS, YOGURT Y HUEVOS
• El queso fresco y el yogurt deben conservarse durante el transporte hasta la recepción a una temperatura no mayor de 5º C.
• En el caso de los huevos deben conservarse a una temperatura no mayor de 6º C, la cascara debe estar integra, firme y limpia.
• Se controlará el origen del producto alimenticio (ROTULADO), la presencia de la numeración correspondiente, RNE (Registro Nacional del Establecimiento), RNPA (Registro Nacional del Producto Alimenticio) y numero de SENASA (para productos derivados de origen animal).
La fecha de elaboración y vencimiento, teniendo en cuenta que el lapso de aptitud sea lo suficientemente amplio.
</t>
  </si>
  <si>
    <t>DE CORRESPONDER PRESENTAR LA SIGUIENTE DOCUMENTACION:
• Registro de habilitación bromatológica del establecimiento.
• Habilitación bromatológica del vehículo que transporta los alimentos. Debe venir en vehículo refrigerado aprobado por Senasa. El proveedor debe presentar la documentación del vehículo habilitada.
• Certificado de desinfección.</t>
  </si>
  <si>
    <t>a) LUGAR DE ENTREGA: En la Escuela de Cadetes de Policía– sito en Av. Acosta Villafañez al 1.500 de la ciudad de San Fernando del Valle de Catamarca. 
b) FORMA DE LA ENTREGA: Libre de flete, acarreo y embalaje, como así también, de todo riesgo de pérdida o destrucción total o parcial, por causas ajenas a la Institución.
c)  PLAZO DE ENTREGA:Las entregas se realizarán a requerimiento de acuerdo, a las Solicitudes de Provisión que se realicen. Se estima emitir una cantidad aproximada de 3 (Tres) Solicitudes de Provisión de 1/3 aprox. de la cantidad solicitada, en un plazo de 3 (Tres) meses: 1° Solic.de Provisión: aprox.a los 2 (Dos) dias hábiles de la firma del instrumento contractual. 2° Solic.de Provisión: Aprox.  a los 30 días de la firma del instrumento contractual; y la 3° Solic.de Provisión: Aprox. a los 30 días de emitida la anterior. Plazo de cumplimiento de cada Solicitud de Provisión: a los 5 días hábiles de notificada la misma, según necesidades del Organismo solicitante. Forma de Pago: Se solicita Pagos parciales por cada Solicitud de Provisión emitida, una vez finalizada la entrega de las cantidades contenidas en la misma.</t>
  </si>
  <si>
    <t>ITEM 04:                   PESO:    CAJON DE 20KG APROX.</t>
  </si>
  <si>
    <t>FRUTAS; VARIEDAD: NARANJA ESPECIAL, ESTADO: NATURAL, PRESENTACION: CAJON, PESO: SIN VALOR</t>
  </si>
  <si>
    <t>2.1.1-590.26</t>
  </si>
  <si>
    <t>PESCADOS Y FRUTOS CONGELADOS; TIPO: FILET DE MERLUZA, ENVASE: BANDEJA, PRESENTACION: ENVASE X 10 Kg, ELEM. TRANSPORTE: PALLET RETORNABLE, MATERIAL ELEM. TRANSPORTE: MADERA</t>
  </si>
  <si>
    <t xml:space="preserve">ITEM 10:                    PESO:  CAJÓN DE 20 KG. APROX. </t>
  </si>
  <si>
    <t>ITEM 11:                     PESO:   CAJON DE 10 KG. APROX.</t>
  </si>
  <si>
    <t>ITEM 13:                    PESO:   CAJÓN DE 15 KG. APROX.</t>
  </si>
  <si>
    <t>ITEM 14:                    RISTRA DE 50 BULBOS APROX.</t>
  </si>
  <si>
    <t>ITEM 18:                    MAPLE DE 30 UNIDADES</t>
  </si>
  <si>
    <t>ITEM 19:                    PESO:    Cajon de  15 KG Aprox.</t>
  </si>
  <si>
    <t>ITEM 20:                   PESO:    Cajon de 20 KG Aprox.</t>
  </si>
  <si>
    <t>ITEM 21:                    PESO:    Cajon de 20 KG Aprox.</t>
  </si>
  <si>
    <t>ITEM 22:                   PESO:   Cajon de  20 KG Aprox.</t>
  </si>
  <si>
    <t>KG</t>
  </si>
  <si>
    <t>CAJON</t>
  </si>
  <si>
    <t>BANDEJA</t>
  </si>
  <si>
    <t>LITROS</t>
  </si>
  <si>
    <t>BOLSA</t>
  </si>
  <si>
    <t>RISTRA</t>
  </si>
  <si>
    <t xml:space="preserve">ITEM 01:                    PRESENTACION EN HORMA CON ENVASE CERRADO. CADA HORMA DE ENTRE 4 Y 5 KG CADA UNA. LA DIFERENCIA QUE RESULTE SE ENTREGARA DE MANERA SUELTA EN SU CORRESPONDIENTE ENVOLTORIO CON LOS RECAUDOS NECESARIOS. </t>
  </si>
  <si>
    <t>ITEM 12:                    PESO:   POR UNIDAD  DE  KG. 10 KG. APROX.  C/U</t>
  </si>
  <si>
    <t>ITEM 15:                    PRESENTACION DE ATADITOS DE 200 GR. APROX.</t>
  </si>
  <si>
    <t>ITEM 16:                    PRESENTACION DE ATADITOS DE 200 GR. APROX.</t>
  </si>
  <si>
    <t>ITEM 17:                    PRESENTACION DE ATADITOS DE 200 GR. APROX.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</si>
</sst>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4" formatCode="_ &quot;$&quot;\ * #,##0.00_ ;_ &quot;$&quot;\ * \-#,##0.00_ ;_ &quot;$&quot;\ * &quot;-&quot;??_ ;_ @_ "/>
    <numFmt numFmtId="165" formatCode="_-&quot;$&quot;\ * #,##0.00_-;\-&quot;$&quot;\ * #,##0.00_-;_-&quot;$&quot;\ * &quot;-&quot;??_-;_-@_-"/>
    <numFmt numFmtId="166" formatCode="_(\$* #,##0.00_);_(\$* \(#,##0.00\);_(\$* \-??_);_(@_)"/>
    <numFmt numFmtId="167" formatCode="_-* #,##0.00&quot; €&quot;_-;\-* #,##0.00&quot; €&quot;_-;_-* \-??&quot; €&quot;_-;_-@_-"/>
    <numFmt numFmtId="168" formatCode="[$$-2C0A]\ #,##0.00;[$$-2C0A]&quot; -&quot;#,##0.00"/>
    <numFmt numFmtId="169" formatCode="[$$-2C0A]\ #,##0.00"/>
    <numFmt numFmtId="170" formatCode="dd\-mm\-yy;@"/>
    <numFmt numFmtId="171" formatCode="_ [$$-2C0A]\ * #,##0.00_ ;_ [$$-2C0A]\ * \-#,##0.00_ ;_ [$$-2C0A]\ * &quot;-&quot;??_ ;_ @_ "/>
    <numFmt numFmtId="172" formatCode="&quot;$&quot;\ #,##0.00"/>
  </numFmts>
  <fonts count="27" x14ac:knownFonts="1">
    <font>
      <sz val="10"/>
      <name val="Arial"/>
      <charset val="1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Arial"/>
      <family val="2"/>
    </font>
    <font>
      <sz val="10"/>
      <name val="Century Gothic"/>
      <family val="2"/>
    </font>
    <font>
      <b/>
      <sz val="10"/>
      <name val="Century Gothic"/>
      <family val="2"/>
    </font>
    <font>
      <b/>
      <sz val="10"/>
      <color rgb="FF000000"/>
      <name val="Century Gothic"/>
      <family val="2"/>
    </font>
    <font>
      <sz val="10"/>
      <color rgb="FF000000"/>
      <name val="Century Gothic"/>
      <family val="2"/>
    </font>
    <font>
      <u/>
      <sz val="10"/>
      <name val="Century Gothic"/>
      <family val="2"/>
    </font>
    <font>
      <b/>
      <u/>
      <sz val="10"/>
      <name val="Century Gothic"/>
      <family val="2"/>
    </font>
    <font>
      <b/>
      <u/>
      <sz val="12"/>
      <name val="Century Gothic"/>
      <family val="2"/>
    </font>
    <font>
      <b/>
      <sz val="12"/>
      <name val="Century Gothic"/>
      <family val="2"/>
    </font>
    <font>
      <sz val="12"/>
      <name val="Century Gothic"/>
      <family val="2"/>
    </font>
    <font>
      <b/>
      <sz val="11"/>
      <name val="Century Gothic"/>
      <family val="2"/>
    </font>
    <font>
      <sz val="9"/>
      <name val="Century Gothic"/>
      <family val="2"/>
    </font>
    <font>
      <sz val="11"/>
      <name val="Century Gothic"/>
      <family val="2"/>
    </font>
    <font>
      <b/>
      <sz val="11"/>
      <color rgb="FF000000"/>
      <name val="Century Gothic"/>
      <family val="2"/>
    </font>
    <font>
      <b/>
      <sz val="22"/>
      <name val="Century Gothic"/>
      <family val="2"/>
    </font>
    <font>
      <b/>
      <sz val="12"/>
      <color rgb="FF000000"/>
      <name val="Century Gothic"/>
      <family val="2"/>
    </font>
    <font>
      <b/>
      <sz val="11"/>
      <name val="Times New Roman"/>
      <family val="1"/>
      <charset val="1"/>
    </font>
    <font>
      <sz val="10"/>
      <color theme="1"/>
      <name val="Century Gothic"/>
      <family val="2"/>
    </font>
    <font>
      <sz val="11"/>
      <color theme="1"/>
      <name val="Calibri"/>
      <family val="2"/>
    </font>
    <font>
      <sz val="8"/>
      <name val="Arial"/>
      <family val="2"/>
    </font>
    <font>
      <sz val="11"/>
      <color rgb="FF333333"/>
      <name val="Arial"/>
      <family val="2"/>
    </font>
    <font>
      <sz val="10"/>
      <color rgb="FFFF0000"/>
      <name val="Century Gothic"/>
      <family val="2"/>
    </font>
    <font>
      <sz val="1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00"/>
      </patternFill>
    </fill>
    <fill>
      <patternFill patternType="solid">
        <fgColor rgb="FFFFFFFF"/>
        <bgColor rgb="FF000000"/>
      </patternFill>
    </fill>
    <fill>
      <patternFill patternType="solid">
        <fgColor rgb="FFFFFFFF"/>
        <bgColor indexed="64"/>
      </patternFill>
    </fill>
  </fills>
  <borders count="59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medium">
        <color rgb="FF3D3D3D"/>
      </top>
      <bottom style="thin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/>
      <right/>
      <top style="medium">
        <color rgb="FF3D3D3D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medium">
        <color auto="1"/>
      </left>
      <right style="medium">
        <color rgb="FF3D3D3D"/>
      </right>
      <top style="medium">
        <color auto="1"/>
      </top>
      <bottom/>
      <diagonal/>
    </border>
    <border>
      <left/>
      <right style="medium">
        <color rgb="FF3D3D3D"/>
      </right>
      <top style="medium">
        <color auto="1"/>
      </top>
      <bottom/>
      <diagonal/>
    </border>
    <border>
      <left/>
      <right style="medium">
        <color rgb="FF3D3D3D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ck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auto="1"/>
      </left>
      <right style="thick">
        <color auto="1"/>
      </right>
      <top style="medium">
        <color indexed="64"/>
      </top>
      <bottom style="medium">
        <color indexed="64"/>
      </bottom>
      <diagonal/>
    </border>
    <border>
      <left/>
      <right style="thick">
        <color auto="1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/>
      <diagonal/>
    </border>
  </borders>
  <cellStyleXfs count="6">
    <xf numFmtId="0" fontId="0" fillId="0" borderId="0"/>
    <xf numFmtId="167" fontId="4" fillId="0" borderId="0" applyBorder="0" applyProtection="0"/>
    <xf numFmtId="0" fontId="1" fillId="0" borderId="1" applyProtection="0"/>
    <xf numFmtId="166" fontId="2" fillId="0" borderId="0" applyBorder="0" applyProtection="0"/>
    <xf numFmtId="0" fontId="3" fillId="2" borderId="0" applyBorder="0" applyProtection="0"/>
    <xf numFmtId="0" fontId="4" fillId="0" borderId="0"/>
  </cellStyleXfs>
  <cellXfs count="165">
    <xf numFmtId="0" fontId="0" fillId="0" borderId="0" xfId="0"/>
    <xf numFmtId="0" fontId="5" fillId="3" borderId="0" xfId="0" applyFont="1" applyFill="1"/>
    <xf numFmtId="0" fontId="8" fillId="3" borderId="0" xfId="0" applyFont="1" applyFill="1" applyAlignment="1">
      <alignment horizontal="left" wrapText="1"/>
    </xf>
    <xf numFmtId="0" fontId="5" fillId="3" borderId="0" xfId="0" applyFont="1" applyFill="1" applyBorder="1"/>
    <xf numFmtId="0" fontId="5" fillId="3" borderId="0" xfId="0" applyFont="1" applyFill="1" applyAlignment="1">
      <alignment horizontal="left"/>
    </xf>
    <xf numFmtId="0" fontId="8" fillId="3" borderId="0" xfId="0" applyFont="1" applyFill="1" applyAlignment="1">
      <alignment horizontal="center" wrapText="1"/>
    </xf>
    <xf numFmtId="0" fontId="19" fillId="4" borderId="0" xfId="0" applyFont="1" applyFill="1" applyAlignment="1">
      <alignment horizontal="left" wrapText="1" indent="1"/>
    </xf>
    <xf numFmtId="0" fontId="7" fillId="3" borderId="0" xfId="0" applyFont="1" applyFill="1" applyAlignment="1">
      <alignment horizontal="left" wrapText="1"/>
    </xf>
    <xf numFmtId="172" fontId="6" fillId="3" borderId="38" xfId="0" applyNumberFormat="1" applyFont="1" applyFill="1" applyBorder="1"/>
    <xf numFmtId="3" fontId="14" fillId="3" borderId="0" xfId="0" applyNumberFormat="1" applyFont="1" applyFill="1" applyBorder="1" applyAlignment="1"/>
    <xf numFmtId="170" fontId="5" fillId="3" borderId="0" xfId="0" applyNumberFormat="1" applyFont="1" applyFill="1" applyAlignment="1">
      <alignment horizontal="left"/>
    </xf>
    <xf numFmtId="0" fontId="5" fillId="3" borderId="10" xfId="0" applyFont="1" applyFill="1" applyBorder="1"/>
    <xf numFmtId="0" fontId="5" fillId="3" borderId="24" xfId="0" applyFont="1" applyFill="1" applyBorder="1"/>
    <xf numFmtId="0" fontId="5" fillId="3" borderId="12" xfId="0" applyFont="1" applyFill="1" applyBorder="1"/>
    <xf numFmtId="0" fontId="5" fillId="3" borderId="12" xfId="0" applyFont="1" applyFill="1" applyBorder="1" applyAlignment="1">
      <alignment horizontal="left"/>
    </xf>
    <xf numFmtId="0" fontId="5" fillId="3" borderId="25" xfId="0" applyFont="1" applyFill="1" applyBorder="1"/>
    <xf numFmtId="0" fontId="6" fillId="3" borderId="27" xfId="0" applyFont="1" applyFill="1" applyBorder="1" applyAlignment="1">
      <alignment horizontal="center" vertical="center"/>
    </xf>
    <xf numFmtId="0" fontId="6" fillId="3" borderId="28" xfId="0" applyFont="1" applyFill="1" applyBorder="1" applyAlignment="1">
      <alignment horizontal="center" vertical="center"/>
    </xf>
    <xf numFmtId="0" fontId="6" fillId="3" borderId="28" xfId="0" applyFont="1" applyFill="1" applyBorder="1" applyAlignment="1">
      <alignment horizontal="left" vertical="center"/>
    </xf>
    <xf numFmtId="0" fontId="6" fillId="3" borderId="29" xfId="0" applyFont="1" applyFill="1" applyBorder="1" applyAlignment="1">
      <alignment horizontal="center" vertical="center"/>
    </xf>
    <xf numFmtId="0" fontId="6" fillId="3" borderId="23" xfId="0" applyFont="1" applyFill="1" applyBorder="1" applyAlignment="1">
      <alignment horizontal="center" vertical="center"/>
    </xf>
    <xf numFmtId="0" fontId="5" fillId="3" borderId="30" xfId="0" applyFont="1" applyFill="1" applyBorder="1" applyAlignment="1">
      <alignment horizontal="center" vertical="center"/>
    </xf>
    <xf numFmtId="0" fontId="5" fillId="3" borderId="31" xfId="0" applyFont="1" applyFill="1" applyBorder="1" applyAlignment="1">
      <alignment horizontal="center" vertical="center"/>
    </xf>
    <xf numFmtId="0" fontId="5" fillId="3" borderId="32" xfId="0" applyFont="1" applyFill="1" applyBorder="1" applyAlignment="1">
      <alignment horizontal="center" vertical="center"/>
    </xf>
    <xf numFmtId="168" fontId="5" fillId="3" borderId="33" xfId="3" applyNumberFormat="1" applyFont="1" applyFill="1" applyBorder="1" applyAlignment="1" applyProtection="1">
      <alignment horizontal="center" vertical="center"/>
    </xf>
    <xf numFmtId="168" fontId="6" fillId="3" borderId="34" xfId="0" applyNumberFormat="1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right" vertical="center"/>
    </xf>
    <xf numFmtId="0" fontId="12" fillId="3" borderId="11" xfId="0" applyFont="1" applyFill="1" applyBorder="1" applyAlignment="1">
      <alignment horizontal="center" vertical="center"/>
    </xf>
    <xf numFmtId="0" fontId="5" fillId="3" borderId="0" xfId="0" applyFont="1" applyFill="1" applyBorder="1" applyAlignment="1">
      <alignment vertical="center"/>
    </xf>
    <xf numFmtId="0" fontId="11" fillId="3" borderId="12" xfId="0" applyFont="1" applyFill="1" applyBorder="1" applyAlignment="1">
      <alignment vertical="center"/>
    </xf>
    <xf numFmtId="0" fontId="11" fillId="3" borderId="0" xfId="0" applyFont="1" applyFill="1" applyBorder="1" applyAlignment="1">
      <alignment vertical="center"/>
    </xf>
    <xf numFmtId="0" fontId="13" fillId="3" borderId="0" xfId="0" applyFont="1" applyFill="1" applyBorder="1" applyAlignment="1">
      <alignment horizontal="left" vertical="center"/>
    </xf>
    <xf numFmtId="0" fontId="12" fillId="3" borderId="0" xfId="0" applyFont="1" applyFill="1" applyBorder="1" applyAlignment="1">
      <alignment horizontal="left" vertical="center" wrapText="1" indent="1"/>
    </xf>
    <xf numFmtId="0" fontId="5" fillId="3" borderId="41" xfId="0" applyFont="1" applyFill="1" applyBorder="1" applyAlignment="1">
      <alignment horizontal="center" vertical="center" wrapText="1"/>
    </xf>
    <xf numFmtId="0" fontId="5" fillId="3" borderId="42" xfId="0" applyFont="1" applyFill="1" applyBorder="1" applyAlignment="1">
      <alignment horizontal="center" vertical="center"/>
    </xf>
    <xf numFmtId="0" fontId="5" fillId="3" borderId="42" xfId="0" applyFont="1" applyFill="1" applyBorder="1" applyAlignment="1">
      <alignment horizontal="center" vertical="center" wrapText="1"/>
    </xf>
    <xf numFmtId="171" fontId="5" fillId="3" borderId="42" xfId="1" applyNumberFormat="1" applyFont="1" applyFill="1" applyBorder="1" applyAlignment="1" applyProtection="1">
      <alignment horizontal="center" vertical="center"/>
    </xf>
    <xf numFmtId="3" fontId="5" fillId="3" borderId="42" xfId="0" applyNumberFormat="1" applyFont="1" applyFill="1" applyBorder="1" applyAlignment="1">
      <alignment horizontal="center" vertical="center"/>
    </xf>
    <xf numFmtId="171" fontId="5" fillId="3" borderId="0" xfId="0" applyNumberFormat="1" applyFont="1" applyFill="1" applyBorder="1" applyAlignment="1">
      <alignment vertical="center"/>
    </xf>
    <xf numFmtId="0" fontId="9" fillId="5" borderId="2" xfId="0" applyFont="1" applyFill="1" applyBorder="1" applyAlignment="1">
      <alignment horizontal="left"/>
    </xf>
    <xf numFmtId="0" fontId="5" fillId="5" borderId="3" xfId="0" applyFont="1" applyFill="1" applyBorder="1"/>
    <xf numFmtId="0" fontId="5" fillId="5" borderId="4" xfId="0" applyFont="1" applyFill="1" applyBorder="1"/>
    <xf numFmtId="0" fontId="5" fillId="5" borderId="0" xfId="0" applyFont="1" applyFill="1" applyBorder="1"/>
    <xf numFmtId="0" fontId="5" fillId="5" borderId="6" xfId="0" applyFont="1" applyFill="1" applyBorder="1"/>
    <xf numFmtId="0" fontId="9" fillId="5" borderId="0" xfId="0" applyFont="1" applyFill="1" applyBorder="1" applyAlignment="1"/>
    <xf numFmtId="0" fontId="10" fillId="5" borderId="2" xfId="0" applyFont="1" applyFill="1" applyBorder="1" applyAlignment="1">
      <alignment horizontal="left" vertical="center"/>
    </xf>
    <xf numFmtId="0" fontId="5" fillId="5" borderId="3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left"/>
    </xf>
    <xf numFmtId="0" fontId="5" fillId="5" borderId="5" xfId="0" applyFont="1" applyFill="1" applyBorder="1" applyAlignment="1">
      <alignment horizontal="center" vertical="center"/>
    </xf>
    <xf numFmtId="0" fontId="10" fillId="5" borderId="5" xfId="0" applyFont="1" applyFill="1" applyBorder="1" applyAlignment="1">
      <alignment horizontal="left" vertical="center"/>
    </xf>
    <xf numFmtId="0" fontId="5" fillId="5" borderId="0" xfId="0" applyFont="1" applyFill="1" applyBorder="1" applyAlignment="1">
      <alignment horizontal="center" vertical="center"/>
    </xf>
    <xf numFmtId="0" fontId="5" fillId="5" borderId="7" xfId="0" applyFont="1" applyFill="1" applyBorder="1"/>
    <xf numFmtId="0" fontId="5" fillId="5" borderId="8" xfId="0" applyFont="1" applyFill="1" applyBorder="1"/>
    <xf numFmtId="0" fontId="5" fillId="5" borderId="9" xfId="0" applyFont="1" applyFill="1" applyBorder="1"/>
    <xf numFmtId="0" fontId="5" fillId="5" borderId="3" xfId="0" applyFont="1" applyFill="1" applyBorder="1" applyAlignment="1">
      <alignment horizontal="center" wrapText="1"/>
    </xf>
    <xf numFmtId="0" fontId="5" fillId="5" borderId="4" xfId="0" applyFont="1" applyFill="1" applyBorder="1" applyAlignment="1">
      <alignment horizontal="center" wrapText="1"/>
    </xf>
    <xf numFmtId="0" fontId="5" fillId="5" borderId="5" xfId="0" applyFont="1" applyFill="1" applyBorder="1" applyAlignment="1">
      <alignment horizontal="left" indent="3"/>
    </xf>
    <xf numFmtId="0" fontId="10" fillId="5" borderId="5" xfId="0" applyFont="1" applyFill="1" applyBorder="1" applyAlignment="1"/>
    <xf numFmtId="0" fontId="9" fillId="5" borderId="5" xfId="0" applyFont="1" applyFill="1" applyBorder="1" applyAlignment="1">
      <alignment horizontal="left" indent="3"/>
    </xf>
    <xf numFmtId="0" fontId="5" fillId="5" borderId="7" xfId="0" applyFont="1" applyFill="1" applyBorder="1" applyAlignment="1">
      <alignment horizontal="left" indent="3"/>
    </xf>
    <xf numFmtId="0" fontId="7" fillId="3" borderId="14" xfId="0" applyFont="1" applyFill="1" applyBorder="1" applyAlignment="1">
      <alignment horizontal="center" vertical="center" wrapText="1"/>
    </xf>
    <xf numFmtId="0" fontId="20" fillId="0" borderId="0" xfId="0" applyFont="1" applyBorder="1" applyAlignment="1">
      <alignment vertical="center" wrapText="1"/>
    </xf>
    <xf numFmtId="49" fontId="5" fillId="3" borderId="50" xfId="0" applyNumberFormat="1" applyFont="1" applyFill="1" applyBorder="1"/>
    <xf numFmtId="168" fontId="5" fillId="3" borderId="42" xfId="1" applyNumberFormat="1" applyFont="1" applyFill="1" applyBorder="1" applyAlignment="1" applyProtection="1">
      <alignment horizontal="right" vertical="center" wrapText="1"/>
    </xf>
    <xf numFmtId="164" fontId="21" fillId="0" borderId="42" xfId="1" applyNumberFormat="1" applyFont="1" applyBorder="1" applyAlignment="1">
      <alignment horizontal="center" vertical="center"/>
    </xf>
    <xf numFmtId="0" fontId="21" fillId="0" borderId="42" xfId="0" applyFont="1" applyBorder="1" applyAlignment="1">
      <alignment horizontal="center" vertical="center" wrapText="1"/>
    </xf>
    <xf numFmtId="0" fontId="8" fillId="3" borderId="42" xfId="0" applyFont="1" applyFill="1" applyBorder="1" applyAlignment="1">
      <alignment horizontal="center" vertical="center" wrapText="1"/>
    </xf>
    <xf numFmtId="0" fontId="22" fillId="0" borderId="42" xfId="0" applyFont="1" applyBorder="1" applyAlignment="1">
      <alignment wrapText="1"/>
    </xf>
    <xf numFmtId="49" fontId="21" fillId="0" borderId="42" xfId="0" applyNumberFormat="1" applyFont="1" applyBorder="1" applyAlignment="1">
      <alignment vertical="center" wrapText="1"/>
    </xf>
    <xf numFmtId="0" fontId="21" fillId="0" borderId="42" xfId="0" applyFont="1" applyBorder="1" applyAlignment="1">
      <alignment horizontal="center" vertical="center"/>
    </xf>
    <xf numFmtId="0" fontId="7" fillId="3" borderId="51" xfId="0" applyFont="1" applyFill="1" applyBorder="1" applyAlignment="1">
      <alignment horizontal="center" vertical="center" wrapText="1"/>
    </xf>
    <xf numFmtId="0" fontId="7" fillId="3" borderId="52" xfId="0" applyFont="1" applyFill="1" applyBorder="1" applyAlignment="1">
      <alignment horizontal="center" vertical="center" wrapText="1"/>
    </xf>
    <xf numFmtId="0" fontId="7" fillId="3" borderId="53" xfId="0" applyFont="1" applyFill="1" applyBorder="1" applyAlignment="1">
      <alignment horizontal="center" vertical="center" wrapText="1"/>
    </xf>
    <xf numFmtId="0" fontId="7" fillId="3" borderId="19" xfId="0" applyFont="1" applyFill="1" applyBorder="1" applyAlignment="1">
      <alignment horizontal="center" vertical="center" wrapText="1"/>
    </xf>
    <xf numFmtId="0" fontId="22" fillId="0" borderId="55" xfId="0" applyFont="1" applyBorder="1" applyAlignment="1">
      <alignment wrapText="1"/>
    </xf>
    <xf numFmtId="0" fontId="24" fillId="6" borderId="56" xfId="0" applyFont="1" applyFill="1" applyBorder="1" applyAlignment="1">
      <alignment vertical="center" wrapText="1"/>
    </xf>
    <xf numFmtId="0" fontId="24" fillId="3" borderId="54" xfId="0" applyFont="1" applyFill="1" applyBorder="1" applyAlignment="1">
      <alignment vertical="center" wrapText="1"/>
    </xf>
    <xf numFmtId="0" fontId="8" fillId="3" borderId="54" xfId="0" applyFont="1" applyFill="1" applyBorder="1" applyAlignment="1">
      <alignment horizontal="center" vertical="center" wrapText="1"/>
    </xf>
    <xf numFmtId="0" fontId="22" fillId="0" borderId="54" xfId="0" applyFont="1" applyBorder="1" applyAlignment="1">
      <alignment wrapText="1"/>
    </xf>
    <xf numFmtId="164" fontId="21" fillId="0" borderId="54" xfId="1" applyNumberFormat="1" applyFont="1" applyBorder="1" applyAlignment="1">
      <alignment horizontal="center" vertical="center"/>
    </xf>
    <xf numFmtId="0" fontId="24" fillId="3" borderId="54" xfId="0" applyFont="1" applyFill="1" applyBorder="1" applyAlignment="1">
      <alignment horizontal="center" vertical="top" wrapText="1"/>
    </xf>
    <xf numFmtId="165" fontId="5" fillId="3" borderId="0" xfId="0" applyNumberFormat="1" applyFont="1" applyFill="1"/>
    <xf numFmtId="0" fontId="25" fillId="3" borderId="0" xfId="0" applyFont="1" applyFill="1"/>
    <xf numFmtId="0" fontId="22" fillId="3" borderId="42" xfId="0" applyFont="1" applyFill="1" applyBorder="1" applyAlignment="1">
      <alignment wrapText="1"/>
    </xf>
    <xf numFmtId="0" fontId="26" fillId="0" borderId="42" xfId="0" applyFont="1" applyBorder="1" applyAlignment="1">
      <alignment wrapText="1"/>
    </xf>
    <xf numFmtId="0" fontId="5" fillId="0" borderId="42" xfId="0" applyFont="1" applyBorder="1" applyAlignment="1">
      <alignment horizontal="center" vertical="center" wrapText="1"/>
    </xf>
    <xf numFmtId="164" fontId="5" fillId="0" borderId="42" xfId="1" applyNumberFormat="1" applyFont="1" applyBorder="1" applyAlignment="1">
      <alignment horizontal="center" vertical="center"/>
    </xf>
    <xf numFmtId="0" fontId="9" fillId="5" borderId="5" xfId="0" applyFont="1" applyFill="1" applyBorder="1" applyAlignment="1">
      <alignment horizontal="left"/>
    </xf>
    <xf numFmtId="0" fontId="5" fillId="5" borderId="0" xfId="0" applyFont="1" applyFill="1" applyBorder="1" applyAlignment="1">
      <alignment horizontal="left" vertical="center" wrapText="1"/>
    </xf>
    <xf numFmtId="0" fontId="9" fillId="5" borderId="5" xfId="0" applyFont="1" applyFill="1" applyBorder="1" applyAlignment="1">
      <alignment horizontal="left"/>
    </xf>
    <xf numFmtId="0" fontId="5" fillId="5" borderId="6" xfId="0" applyFont="1" applyFill="1" applyBorder="1" applyAlignment="1">
      <alignment horizontal="left"/>
    </xf>
    <xf numFmtId="49" fontId="5" fillId="0" borderId="57" xfId="0" applyNumberFormat="1" applyFont="1" applyBorder="1" applyAlignment="1">
      <alignment vertical="center"/>
    </xf>
    <xf numFmtId="0" fontId="5" fillId="3" borderId="58" xfId="0" applyFont="1" applyFill="1" applyBorder="1"/>
    <xf numFmtId="164" fontId="21" fillId="0" borderId="42" xfId="1" applyNumberFormat="1" applyFont="1" applyBorder="1" applyAlignment="1">
      <alignment horizontal="center" vertical="center" wrapText="1"/>
    </xf>
    <xf numFmtId="0" fontId="9" fillId="5" borderId="5" xfId="0" applyFont="1" applyFill="1" applyBorder="1" applyAlignment="1">
      <alignment horizontal="left"/>
    </xf>
    <xf numFmtId="0" fontId="9" fillId="5" borderId="0" xfId="0" applyFont="1" applyFill="1" applyBorder="1" applyAlignment="1">
      <alignment horizontal="left"/>
    </xf>
    <xf numFmtId="0" fontId="5" fillId="5" borderId="0" xfId="0" applyFont="1" applyFill="1" applyAlignment="1">
      <alignment horizontal="left" vertical="center" wrapText="1"/>
    </xf>
    <xf numFmtId="0" fontId="5" fillId="5" borderId="58" xfId="0" applyFont="1" applyFill="1" applyBorder="1" applyAlignment="1">
      <alignment horizontal="left" vertical="center" wrapText="1"/>
    </xf>
    <xf numFmtId="0" fontId="17" fillId="3" borderId="0" xfId="0" applyFont="1" applyFill="1" applyBorder="1" applyAlignment="1">
      <alignment horizontal="left" vertical="center" wrapText="1"/>
    </xf>
    <xf numFmtId="0" fontId="18" fillId="3" borderId="0" xfId="0" applyFont="1" applyFill="1" applyBorder="1" applyAlignment="1">
      <alignment horizontal="center"/>
    </xf>
    <xf numFmtId="0" fontId="19" fillId="4" borderId="0" xfId="0" applyFont="1" applyFill="1" applyBorder="1" applyAlignment="1">
      <alignment horizontal="left" wrapText="1" indent="1"/>
    </xf>
    <xf numFmtId="0" fontId="5" fillId="5" borderId="0" xfId="0" applyFont="1" applyFill="1" applyBorder="1" applyAlignment="1">
      <alignment horizontal="left" wrapText="1"/>
    </xf>
    <xf numFmtId="0" fontId="5" fillId="5" borderId="6" xfId="0" applyFont="1" applyFill="1" applyBorder="1" applyAlignment="1">
      <alignment horizontal="left" wrapText="1"/>
    </xf>
    <xf numFmtId="0" fontId="5" fillId="5" borderId="0" xfId="0" applyFont="1" applyFill="1" applyBorder="1" applyAlignment="1">
      <alignment horizontal="left"/>
    </xf>
    <xf numFmtId="0" fontId="5" fillId="5" borderId="6" xfId="0" applyFont="1" applyFill="1" applyBorder="1" applyAlignment="1">
      <alignment horizontal="left"/>
    </xf>
    <xf numFmtId="0" fontId="5" fillId="5" borderId="0" xfId="0" applyFont="1" applyFill="1" applyBorder="1" applyAlignment="1">
      <alignment horizontal="left" vertical="center" wrapText="1"/>
    </xf>
    <xf numFmtId="0" fontId="5" fillId="5" borderId="6" xfId="0" applyFont="1" applyFill="1" applyBorder="1" applyAlignment="1">
      <alignment horizontal="left" vertical="center" wrapText="1"/>
    </xf>
    <xf numFmtId="0" fontId="5" fillId="5" borderId="6" xfId="0" applyFont="1" applyFill="1" applyBorder="1" applyAlignment="1">
      <alignment horizontal="center"/>
    </xf>
    <xf numFmtId="0" fontId="5" fillId="5" borderId="8" xfId="0" applyFont="1" applyFill="1" applyBorder="1" applyAlignment="1">
      <alignment horizontal="left" vertical="center" wrapText="1"/>
    </xf>
    <xf numFmtId="0" fontId="5" fillId="5" borderId="9" xfId="0" applyFont="1" applyFill="1" applyBorder="1" applyAlignment="1">
      <alignment horizontal="left" vertical="center" wrapText="1"/>
    </xf>
    <xf numFmtId="0" fontId="5" fillId="5" borderId="19" xfId="0" applyFont="1" applyFill="1" applyBorder="1" applyAlignment="1">
      <alignment horizontal="left" vertical="center" wrapText="1"/>
    </xf>
    <xf numFmtId="0" fontId="5" fillId="5" borderId="43" xfId="0" applyFont="1" applyFill="1" applyBorder="1" applyAlignment="1">
      <alignment horizontal="left" vertical="center" wrapText="1"/>
    </xf>
    <xf numFmtId="0" fontId="5" fillId="5" borderId="20" xfId="0" applyFont="1" applyFill="1" applyBorder="1" applyAlignment="1">
      <alignment horizontal="left" vertical="center" wrapText="1"/>
    </xf>
    <xf numFmtId="0" fontId="12" fillId="3" borderId="38" xfId="0" applyFont="1" applyFill="1" applyBorder="1" applyAlignment="1">
      <alignment horizontal="left" vertical="center" wrapText="1" indent="1"/>
    </xf>
    <xf numFmtId="169" fontId="12" fillId="3" borderId="38" xfId="0" applyNumberFormat="1" applyFont="1" applyFill="1" applyBorder="1" applyAlignment="1">
      <alignment horizontal="center" vertical="center"/>
    </xf>
    <xf numFmtId="0" fontId="12" fillId="3" borderId="35" xfId="0" applyFont="1" applyFill="1" applyBorder="1" applyAlignment="1">
      <alignment horizontal="left" vertical="center" wrapText="1" indent="1"/>
    </xf>
    <xf numFmtId="0" fontId="12" fillId="3" borderId="43" xfId="0" applyFont="1" applyFill="1" applyBorder="1" applyAlignment="1">
      <alignment horizontal="left" vertical="center" wrapText="1" indent="1"/>
    </xf>
    <xf numFmtId="0" fontId="12" fillId="3" borderId="20" xfId="0" applyFont="1" applyFill="1" applyBorder="1" applyAlignment="1">
      <alignment horizontal="left" vertical="center" wrapText="1" indent="1"/>
    </xf>
    <xf numFmtId="0" fontId="14" fillId="3" borderId="19" xfId="0" applyFont="1" applyFill="1" applyBorder="1" applyAlignment="1">
      <alignment horizontal="center" vertical="center"/>
    </xf>
    <xf numFmtId="0" fontId="20" fillId="0" borderId="14" xfId="0" applyFont="1" applyBorder="1" applyAlignment="1">
      <alignment horizontal="center" vertical="center" wrapText="1"/>
    </xf>
    <xf numFmtId="0" fontId="14" fillId="3" borderId="16" xfId="0" applyFont="1" applyFill="1" applyBorder="1" applyAlignment="1">
      <alignment horizontal="center" vertical="center" wrapText="1"/>
    </xf>
    <xf numFmtId="0" fontId="14" fillId="3" borderId="18" xfId="0" applyFont="1" applyFill="1" applyBorder="1" applyAlignment="1">
      <alignment horizontal="center" vertical="center" wrapText="1"/>
    </xf>
    <xf numFmtId="0" fontId="14" fillId="3" borderId="17" xfId="0" applyFont="1" applyFill="1" applyBorder="1" applyAlignment="1">
      <alignment horizontal="center" vertical="center" wrapText="1"/>
    </xf>
    <xf numFmtId="0" fontId="14" fillId="3" borderId="47" xfId="0" applyFont="1" applyFill="1" applyBorder="1" applyAlignment="1">
      <alignment horizontal="center" vertical="center" wrapText="1"/>
    </xf>
    <xf numFmtId="0" fontId="13" fillId="3" borderId="16" xfId="0" applyFont="1" applyFill="1" applyBorder="1" applyAlignment="1">
      <alignment horizontal="left" vertical="center"/>
    </xf>
    <xf numFmtId="49" fontId="15" fillId="3" borderId="44" xfId="0" applyNumberFormat="1" applyFont="1" applyFill="1" applyBorder="1" applyAlignment="1">
      <alignment horizontal="left" vertical="center" wrapText="1"/>
    </xf>
    <xf numFmtId="0" fontId="15" fillId="3" borderId="49" xfId="0" applyFont="1" applyFill="1" applyBorder="1" applyAlignment="1">
      <alignment horizontal="left" vertical="center" wrapText="1"/>
    </xf>
    <xf numFmtId="0" fontId="15" fillId="3" borderId="48" xfId="0" applyFont="1" applyFill="1" applyBorder="1" applyAlignment="1">
      <alignment horizontal="left" vertical="center" wrapText="1"/>
    </xf>
    <xf numFmtId="0" fontId="11" fillId="3" borderId="0" xfId="0" applyFont="1" applyFill="1" applyBorder="1" applyAlignment="1">
      <alignment horizontal="center" vertical="center"/>
    </xf>
    <xf numFmtId="0" fontId="13" fillId="3" borderId="13" xfId="0" applyFont="1" applyFill="1" applyBorder="1" applyAlignment="1">
      <alignment horizontal="left" vertical="center" wrapText="1"/>
    </xf>
    <xf numFmtId="0" fontId="12" fillId="3" borderId="19" xfId="0" applyFont="1" applyFill="1" applyBorder="1" applyAlignment="1">
      <alignment horizontal="left" vertical="center" wrapText="1" indent="1"/>
    </xf>
    <xf numFmtId="0" fontId="13" fillId="3" borderId="15" xfId="0" applyFont="1" applyFill="1" applyBorder="1" applyAlignment="1">
      <alignment horizontal="left" vertical="center" wrapText="1"/>
    </xf>
    <xf numFmtId="0" fontId="12" fillId="3" borderId="14" xfId="0" applyFont="1" applyFill="1" applyBorder="1" applyAlignment="1">
      <alignment horizontal="left" vertical="center" wrapText="1" indent="1"/>
    </xf>
    <xf numFmtId="0" fontId="5" fillId="3" borderId="32" xfId="0" applyFont="1" applyFill="1" applyBorder="1" applyAlignment="1">
      <alignment horizontal="left" vertical="center" wrapText="1"/>
    </xf>
    <xf numFmtId="0" fontId="5" fillId="3" borderId="39" xfId="0" applyFont="1" applyFill="1" applyBorder="1" applyAlignment="1">
      <alignment horizontal="left" vertical="center" wrapText="1"/>
    </xf>
    <xf numFmtId="0" fontId="14" fillId="3" borderId="19" xfId="0" applyFont="1" applyFill="1" applyBorder="1" applyAlignment="1">
      <alignment vertical="center" wrapText="1"/>
    </xf>
    <xf numFmtId="0" fontId="14" fillId="3" borderId="35" xfId="0" applyFont="1" applyFill="1" applyBorder="1" applyAlignment="1">
      <alignment vertical="center" wrapText="1"/>
    </xf>
    <xf numFmtId="0" fontId="14" fillId="3" borderId="17" xfId="0" applyFont="1" applyFill="1" applyBorder="1" applyAlignment="1">
      <alignment vertical="center" wrapText="1"/>
    </xf>
    <xf numFmtId="0" fontId="16" fillId="3" borderId="45" xfId="0" applyFont="1" applyFill="1" applyBorder="1" applyAlignment="1">
      <alignment vertical="center" wrapText="1"/>
    </xf>
    <xf numFmtId="0" fontId="16" fillId="3" borderId="46" xfId="0" applyFont="1" applyFill="1" applyBorder="1" applyAlignment="1">
      <alignment vertical="center" wrapText="1"/>
    </xf>
    <xf numFmtId="0" fontId="16" fillId="3" borderId="22" xfId="0" applyFont="1" applyFill="1" applyBorder="1" applyAlignment="1">
      <alignment horizontal="left" vertical="center" wrapText="1"/>
    </xf>
    <xf numFmtId="0" fontId="16" fillId="3" borderId="0" xfId="0" applyFont="1" applyFill="1" applyBorder="1" applyAlignment="1">
      <alignment horizontal="left" vertical="center" wrapText="1"/>
    </xf>
    <xf numFmtId="0" fontId="16" fillId="3" borderId="10" xfId="0" applyFont="1" applyFill="1" applyBorder="1" applyAlignment="1">
      <alignment horizontal="left" vertical="center" wrapText="1"/>
    </xf>
    <xf numFmtId="0" fontId="16" fillId="3" borderId="24" xfId="0" applyFont="1" applyFill="1" applyBorder="1" applyAlignment="1">
      <alignment horizontal="left" vertical="center" wrapText="1"/>
    </xf>
    <xf numFmtId="0" fontId="16" fillId="3" borderId="12" xfId="0" applyFont="1" applyFill="1" applyBorder="1" applyAlignment="1">
      <alignment horizontal="left" vertical="center" wrapText="1"/>
    </xf>
    <xf numFmtId="0" fontId="16" fillId="3" borderId="25" xfId="0" applyFont="1" applyFill="1" applyBorder="1" applyAlignment="1">
      <alignment horizontal="left" vertical="center" wrapText="1"/>
    </xf>
    <xf numFmtId="0" fontId="14" fillId="3" borderId="34" xfId="0" applyFont="1" applyFill="1" applyBorder="1" applyAlignment="1">
      <alignment horizontal="left" vertical="center" wrapText="1"/>
    </xf>
    <xf numFmtId="0" fontId="6" fillId="3" borderId="15" xfId="0" applyFont="1" applyFill="1" applyBorder="1" applyAlignment="1">
      <alignment vertical="center"/>
    </xf>
    <xf numFmtId="0" fontId="6" fillId="3" borderId="40" xfId="0" applyFont="1" applyFill="1" applyBorder="1" applyAlignment="1">
      <alignment vertical="center"/>
    </xf>
    <xf numFmtId="0" fontId="6" fillId="3" borderId="26" xfId="0" applyFont="1" applyFill="1" applyBorder="1" applyAlignment="1">
      <alignment vertical="center"/>
    </xf>
    <xf numFmtId="0" fontId="16" fillId="3" borderId="22" xfId="0" applyFont="1" applyFill="1" applyBorder="1" applyAlignment="1"/>
    <xf numFmtId="0" fontId="16" fillId="3" borderId="23" xfId="0" applyFont="1" applyFill="1" applyBorder="1" applyAlignment="1">
      <alignment horizontal="left" vertical="center" wrapText="1" indent="1"/>
    </xf>
    <xf numFmtId="0" fontId="6" fillId="3" borderId="21" xfId="0" applyFont="1" applyFill="1" applyBorder="1" applyAlignment="1">
      <alignment horizontal="center" vertical="center"/>
    </xf>
    <xf numFmtId="0" fontId="6" fillId="3" borderId="11" xfId="0" applyFont="1" applyFill="1" applyBorder="1" applyAlignment="1">
      <alignment horizontal="center" vertical="center"/>
    </xf>
    <xf numFmtId="0" fontId="6" fillId="3" borderId="21" xfId="0" applyFont="1" applyFill="1" applyBorder="1" applyAlignment="1">
      <alignment horizontal="center" vertical="center" wrapText="1"/>
    </xf>
    <xf numFmtId="0" fontId="6" fillId="3" borderId="26" xfId="0" applyFont="1" applyFill="1" applyBorder="1" applyAlignment="1">
      <alignment horizontal="center" vertical="center"/>
    </xf>
    <xf numFmtId="0" fontId="5" fillId="3" borderId="13" xfId="0" applyFont="1" applyFill="1" applyBorder="1" applyAlignment="1">
      <alignment horizontal="left" vertical="center" wrapText="1"/>
    </xf>
    <xf numFmtId="0" fontId="5" fillId="3" borderId="36" xfId="0" applyFont="1" applyFill="1" applyBorder="1" applyAlignment="1">
      <alignment horizontal="left" vertical="center" wrapText="1"/>
    </xf>
    <xf numFmtId="0" fontId="5" fillId="3" borderId="37" xfId="0" applyFont="1" applyFill="1" applyBorder="1" applyAlignment="1">
      <alignment horizontal="left" vertical="center" wrapText="1"/>
    </xf>
    <xf numFmtId="0" fontId="16" fillId="3" borderId="11" xfId="0" applyFont="1" applyFill="1" applyBorder="1" applyAlignment="1">
      <alignment horizontal="left" indent="1"/>
    </xf>
    <xf numFmtId="0" fontId="10" fillId="3" borderId="11" xfId="0" applyFont="1" applyFill="1" applyBorder="1" applyAlignment="1">
      <alignment horizontal="left"/>
    </xf>
    <xf numFmtId="0" fontId="5" fillId="3" borderId="19" xfId="0" applyFont="1" applyFill="1" applyBorder="1" applyAlignment="1">
      <alignment horizontal="center"/>
    </xf>
    <xf numFmtId="3" fontId="14" fillId="3" borderId="20" xfId="0" applyNumberFormat="1" applyFont="1" applyFill="1" applyBorder="1" applyAlignment="1">
      <alignment horizontal="center"/>
    </xf>
    <xf numFmtId="0" fontId="12" fillId="3" borderId="11" xfId="0" applyFont="1" applyFill="1" applyBorder="1" applyAlignment="1">
      <alignment horizontal="center" vertical="center" wrapText="1"/>
    </xf>
    <xf numFmtId="0" fontId="5" fillId="3" borderId="11" xfId="0" applyFont="1" applyFill="1" applyBorder="1" applyAlignment="1"/>
  </cellXfs>
  <cellStyles count="6">
    <cellStyle name="Encabezado 1" xfId="2"/>
    <cellStyle name="Moneda" xfId="1" builtinId="4"/>
    <cellStyle name="Moneda_AUTORIZACION Y NOTA DE PEDIDO" xfId="3"/>
    <cellStyle name="Neutral 1" xfId="4"/>
    <cellStyle name="Normal" xfId="0" builtinId="0"/>
    <cellStyle name="Normal 8" xf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xmlns="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xmlns="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xmlns="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xmlns="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L67"/>
  <sheetViews>
    <sheetView tabSelected="1" zoomScale="70" zoomScaleNormal="70" workbookViewId="0">
      <selection activeCell="B2" sqref="B2:H2"/>
    </sheetView>
  </sheetViews>
  <sheetFormatPr baseColWidth="10" defaultColWidth="11" defaultRowHeight="13.5" x14ac:dyDescent="0.25"/>
  <cols>
    <col min="1" max="1" width="4.5703125" style="1" customWidth="1"/>
    <col min="2" max="2" width="17.140625" style="1" customWidth="1"/>
    <col min="3" max="3" width="25.85546875" style="1" customWidth="1"/>
    <col min="4" max="4" width="8.42578125" style="1" customWidth="1"/>
    <col min="5" max="5" width="133.7109375" style="1" bestFit="1" customWidth="1"/>
    <col min="6" max="6" width="15.140625" style="1" customWidth="1"/>
    <col min="7" max="7" width="15.7109375" style="1" customWidth="1"/>
    <col min="8" max="8" width="13.85546875" style="1" customWidth="1"/>
    <col min="9" max="9" width="18.5703125" style="1" customWidth="1"/>
    <col min="10" max="10" width="11" style="1"/>
    <col min="11" max="11" width="12" style="1" bestFit="1" customWidth="1"/>
    <col min="12" max="16384" width="11" style="1"/>
  </cols>
  <sheetData>
    <row r="2" spans="1:10" ht="28.5" x14ac:dyDescent="0.4">
      <c r="B2" s="99" t="s">
        <v>0</v>
      </c>
      <c r="C2" s="99"/>
      <c r="D2" s="99"/>
      <c r="E2" s="99"/>
      <c r="F2" s="99"/>
      <c r="G2" s="99"/>
      <c r="H2" s="99"/>
    </row>
    <row r="4" spans="1:10" ht="18" customHeight="1" x14ac:dyDescent="0.25">
      <c r="A4" s="98" t="s">
        <v>1</v>
      </c>
      <c r="B4" s="98"/>
      <c r="C4" s="100" t="s">
        <v>2</v>
      </c>
      <c r="D4" s="100"/>
      <c r="E4" s="100"/>
      <c r="F4" s="2"/>
      <c r="G4" s="5"/>
      <c r="H4" s="2"/>
    </row>
    <row r="5" spans="1:10" ht="18" customHeight="1" x14ac:dyDescent="0.25">
      <c r="A5" s="98" t="s">
        <v>3</v>
      </c>
      <c r="B5" s="98"/>
      <c r="C5" s="100" t="s">
        <v>4</v>
      </c>
      <c r="D5" s="100"/>
      <c r="E5" s="100"/>
      <c r="F5" s="2"/>
      <c r="G5" s="5"/>
      <c r="H5" s="2"/>
    </row>
    <row r="6" spans="1:10" ht="16.5" customHeight="1" x14ac:dyDescent="0.25">
      <c r="A6" s="98" t="s">
        <v>5</v>
      </c>
      <c r="B6" s="98"/>
      <c r="C6" s="6">
        <v>2022</v>
      </c>
      <c r="D6" s="7"/>
      <c r="E6" s="7"/>
      <c r="F6" s="2"/>
      <c r="G6" s="5"/>
      <c r="H6" s="2"/>
    </row>
    <row r="7" spans="1:10" ht="16.5" customHeight="1" x14ac:dyDescent="0.25">
      <c r="A7" s="98" t="s">
        <v>6</v>
      </c>
      <c r="B7" s="98"/>
      <c r="C7" s="6">
        <v>4</v>
      </c>
      <c r="D7" s="7"/>
      <c r="E7" s="7"/>
      <c r="F7" s="2"/>
      <c r="G7" s="5"/>
      <c r="H7" s="2"/>
    </row>
    <row r="8" spans="1:10" ht="14.25" thickBot="1" x14ac:dyDescent="0.3">
      <c r="B8" s="2"/>
      <c r="C8" s="5"/>
      <c r="D8" s="2"/>
      <c r="E8" s="2"/>
      <c r="F8" s="2"/>
      <c r="G8" s="5"/>
      <c r="H8" s="2"/>
    </row>
    <row r="9" spans="1:10" ht="39" thickBot="1" x14ac:dyDescent="0.3">
      <c r="A9" s="73" t="s">
        <v>7</v>
      </c>
      <c r="B9" s="60" t="s">
        <v>8</v>
      </c>
      <c r="C9" s="72" t="s">
        <v>9</v>
      </c>
      <c r="D9" s="71" t="s">
        <v>10</v>
      </c>
      <c r="E9" s="71" t="s">
        <v>11</v>
      </c>
      <c r="F9" s="71" t="s">
        <v>12</v>
      </c>
      <c r="G9" s="71" t="s">
        <v>13</v>
      </c>
      <c r="H9" s="71" t="s">
        <v>14</v>
      </c>
      <c r="I9" s="70" t="s">
        <v>15</v>
      </c>
    </row>
    <row r="10" spans="1:10" ht="30" x14ac:dyDescent="0.25">
      <c r="A10" s="69">
        <v>1</v>
      </c>
      <c r="B10" s="91" t="s">
        <v>16</v>
      </c>
      <c r="C10" s="68" t="s">
        <v>17</v>
      </c>
      <c r="D10" s="66" t="s">
        <v>18</v>
      </c>
      <c r="E10" s="67" t="s">
        <v>19</v>
      </c>
      <c r="F10" s="66" t="s">
        <v>133</v>
      </c>
      <c r="G10" s="65">
        <v>1000</v>
      </c>
      <c r="H10" s="64">
        <v>1250</v>
      </c>
      <c r="I10" s="63">
        <f t="shared" ref="I10:I11" si="0">(G10*H10)</f>
        <v>1250000</v>
      </c>
    </row>
    <row r="11" spans="1:10" ht="15" x14ac:dyDescent="0.25">
      <c r="A11" s="69">
        <v>2</v>
      </c>
      <c r="B11" s="91" t="s">
        <v>21</v>
      </c>
      <c r="C11" s="68" t="s">
        <v>17</v>
      </c>
      <c r="D11" s="66" t="s">
        <v>18</v>
      </c>
      <c r="E11" s="67" t="s">
        <v>22</v>
      </c>
      <c r="F11" s="66" t="s">
        <v>133</v>
      </c>
      <c r="G11" s="65">
        <v>1500</v>
      </c>
      <c r="H11" s="64">
        <v>1490</v>
      </c>
      <c r="I11" s="63">
        <f t="shared" si="0"/>
        <v>2235000</v>
      </c>
    </row>
    <row r="12" spans="1:10" ht="15" x14ac:dyDescent="0.25">
      <c r="A12" s="69">
        <v>3</v>
      </c>
      <c r="B12" s="91" t="s">
        <v>23</v>
      </c>
      <c r="C12" s="68" t="s">
        <v>17</v>
      </c>
      <c r="D12" s="66" t="s">
        <v>18</v>
      </c>
      <c r="E12" s="67" t="s">
        <v>24</v>
      </c>
      <c r="F12" s="66" t="s">
        <v>133</v>
      </c>
      <c r="G12" s="65">
        <v>1500</v>
      </c>
      <c r="H12" s="64">
        <v>1490</v>
      </c>
      <c r="I12" s="63">
        <f t="shared" ref="I12" si="1">(G12*H12)</f>
        <v>2235000</v>
      </c>
    </row>
    <row r="13" spans="1:10" ht="28.5" customHeight="1" x14ac:dyDescent="0.25">
      <c r="A13" s="69">
        <v>4</v>
      </c>
      <c r="B13" s="91" t="s">
        <v>25</v>
      </c>
      <c r="C13" s="68" t="s">
        <v>17</v>
      </c>
      <c r="D13" s="66" t="s">
        <v>18</v>
      </c>
      <c r="E13" s="74" t="s">
        <v>26</v>
      </c>
      <c r="F13" s="66" t="s">
        <v>134</v>
      </c>
      <c r="G13" s="65">
        <v>300</v>
      </c>
      <c r="H13" s="64">
        <v>12200</v>
      </c>
      <c r="I13" s="63">
        <f>(G13*H13)</f>
        <v>3660000</v>
      </c>
    </row>
    <row r="14" spans="1:10" ht="48.75" customHeight="1" x14ac:dyDescent="0.25">
      <c r="A14" s="69">
        <v>5</v>
      </c>
      <c r="B14" s="91" t="s">
        <v>122</v>
      </c>
      <c r="C14" s="68" t="s">
        <v>17</v>
      </c>
      <c r="D14" s="66" t="s">
        <v>18</v>
      </c>
      <c r="E14" s="75" t="s">
        <v>123</v>
      </c>
      <c r="F14" s="66" t="s">
        <v>135</v>
      </c>
      <c r="G14" s="65">
        <v>100</v>
      </c>
      <c r="H14" s="93">
        <v>15000</v>
      </c>
      <c r="I14" s="63">
        <f>(G14*H14)</f>
        <v>1500000</v>
      </c>
    </row>
    <row r="15" spans="1:10" ht="36.75" customHeight="1" x14ac:dyDescent="0.25">
      <c r="A15" s="69">
        <v>6</v>
      </c>
      <c r="B15" s="91" t="s">
        <v>27</v>
      </c>
      <c r="C15" s="68" t="s">
        <v>17</v>
      </c>
      <c r="D15" s="66" t="s">
        <v>18</v>
      </c>
      <c r="E15" s="76" t="s">
        <v>28</v>
      </c>
      <c r="F15" s="80" t="s">
        <v>136</v>
      </c>
      <c r="G15" s="65">
        <v>1000</v>
      </c>
      <c r="H15" s="64">
        <v>290</v>
      </c>
      <c r="I15" s="63">
        <f t="shared" ref="I15:I31" si="2">(G15*H15)</f>
        <v>290000</v>
      </c>
    </row>
    <row r="16" spans="1:10" ht="15" x14ac:dyDescent="0.25">
      <c r="A16" s="69">
        <v>7</v>
      </c>
      <c r="B16" s="91" t="s">
        <v>29</v>
      </c>
      <c r="C16" s="68" t="s">
        <v>17</v>
      </c>
      <c r="D16" s="66" t="s">
        <v>18</v>
      </c>
      <c r="E16" s="83" t="s">
        <v>30</v>
      </c>
      <c r="F16" s="66" t="s">
        <v>137</v>
      </c>
      <c r="G16" s="35">
        <v>300</v>
      </c>
      <c r="H16" s="64">
        <v>2650</v>
      </c>
      <c r="I16" s="63">
        <f t="shared" si="2"/>
        <v>795000</v>
      </c>
      <c r="J16" s="82"/>
    </row>
    <row r="17" spans="1:12" ht="15" x14ac:dyDescent="0.25">
      <c r="A17" s="69">
        <v>8</v>
      </c>
      <c r="B17" s="91" t="s">
        <v>31</v>
      </c>
      <c r="C17" s="68" t="s">
        <v>17</v>
      </c>
      <c r="D17" s="66" t="s">
        <v>18</v>
      </c>
      <c r="E17" s="67" t="s">
        <v>32</v>
      </c>
      <c r="F17" s="66" t="s">
        <v>137</v>
      </c>
      <c r="G17" s="65">
        <v>300</v>
      </c>
      <c r="H17" s="64">
        <v>2475</v>
      </c>
      <c r="I17" s="63">
        <f t="shared" si="2"/>
        <v>742500</v>
      </c>
      <c r="J17" s="82"/>
    </row>
    <row r="18" spans="1:12" ht="15" x14ac:dyDescent="0.25">
      <c r="A18" s="69">
        <v>9</v>
      </c>
      <c r="B18" s="91" t="s">
        <v>33</v>
      </c>
      <c r="C18" s="68" t="s">
        <v>17</v>
      </c>
      <c r="D18" s="66" t="s">
        <v>18</v>
      </c>
      <c r="E18" s="67" t="s">
        <v>34</v>
      </c>
      <c r="F18" s="66" t="s">
        <v>137</v>
      </c>
      <c r="G18" s="65">
        <v>300</v>
      </c>
      <c r="H18" s="64">
        <v>1600</v>
      </c>
      <c r="I18" s="63">
        <f>(G18*H18)</f>
        <v>480000</v>
      </c>
      <c r="J18" s="82"/>
    </row>
    <row r="19" spans="1:12" ht="44.25" customHeight="1" x14ac:dyDescent="0.25">
      <c r="A19" s="69">
        <v>10</v>
      </c>
      <c r="B19" s="91" t="s">
        <v>35</v>
      </c>
      <c r="C19" s="68" t="s">
        <v>17</v>
      </c>
      <c r="D19" s="66" t="s">
        <v>18</v>
      </c>
      <c r="E19" s="84" t="s">
        <v>36</v>
      </c>
      <c r="F19" s="66" t="s">
        <v>134</v>
      </c>
      <c r="G19" s="65">
        <v>300</v>
      </c>
      <c r="H19" s="64">
        <v>2600</v>
      </c>
      <c r="I19" s="63">
        <f t="shared" si="2"/>
        <v>780000</v>
      </c>
      <c r="J19" s="82"/>
    </row>
    <row r="20" spans="1:12" ht="25.9" customHeight="1" x14ac:dyDescent="0.25">
      <c r="A20" s="69">
        <v>11</v>
      </c>
      <c r="B20" s="91" t="s">
        <v>37</v>
      </c>
      <c r="C20" s="68" t="s">
        <v>17</v>
      </c>
      <c r="D20" s="66" t="s">
        <v>18</v>
      </c>
      <c r="E20" s="67" t="s">
        <v>38</v>
      </c>
      <c r="F20" s="66" t="s">
        <v>134</v>
      </c>
      <c r="G20" s="85">
        <v>300</v>
      </c>
      <c r="H20" s="86">
        <v>5127</v>
      </c>
      <c r="I20" s="63">
        <f t="shared" si="2"/>
        <v>1538100</v>
      </c>
      <c r="J20" s="81"/>
      <c r="K20" s="81"/>
    </row>
    <row r="21" spans="1:12" ht="15" x14ac:dyDescent="0.25">
      <c r="A21" s="69">
        <v>12</v>
      </c>
      <c r="B21" s="91" t="s">
        <v>39</v>
      </c>
      <c r="C21" s="68" t="s">
        <v>17</v>
      </c>
      <c r="D21" s="66" t="s">
        <v>18</v>
      </c>
      <c r="E21" s="67" t="s">
        <v>40</v>
      </c>
      <c r="F21" s="66" t="s">
        <v>20</v>
      </c>
      <c r="G21" s="65">
        <v>500</v>
      </c>
      <c r="H21" s="64">
        <v>1500</v>
      </c>
      <c r="I21" s="63">
        <f t="shared" si="2"/>
        <v>750000</v>
      </c>
    </row>
    <row r="22" spans="1:12" ht="32.25" customHeight="1" x14ac:dyDescent="0.25">
      <c r="A22" s="69">
        <v>13</v>
      </c>
      <c r="B22" s="91" t="s">
        <v>41</v>
      </c>
      <c r="C22" s="68" t="s">
        <v>17</v>
      </c>
      <c r="D22" s="66" t="s">
        <v>18</v>
      </c>
      <c r="E22" s="67" t="s">
        <v>42</v>
      </c>
      <c r="F22" s="66" t="s">
        <v>134</v>
      </c>
      <c r="G22" s="85">
        <v>300</v>
      </c>
      <c r="H22" s="86">
        <v>3000</v>
      </c>
      <c r="I22" s="63">
        <f t="shared" si="2"/>
        <v>900000</v>
      </c>
      <c r="J22" s="81"/>
      <c r="K22" s="81"/>
      <c r="L22" s="82"/>
    </row>
    <row r="23" spans="1:12" ht="28.5" customHeight="1" x14ac:dyDescent="0.25">
      <c r="A23" s="69">
        <v>14</v>
      </c>
      <c r="B23" s="91" t="s">
        <v>43</v>
      </c>
      <c r="C23" s="68" t="s">
        <v>17</v>
      </c>
      <c r="D23" s="66" t="s">
        <v>18</v>
      </c>
      <c r="E23" s="67" t="s">
        <v>44</v>
      </c>
      <c r="F23" s="66" t="s">
        <v>138</v>
      </c>
      <c r="G23" s="65">
        <v>50</v>
      </c>
      <c r="H23" s="64">
        <v>4200</v>
      </c>
      <c r="I23" s="63">
        <f>(G23*H23)</f>
        <v>210000</v>
      </c>
      <c r="J23" s="82"/>
    </row>
    <row r="24" spans="1:12" ht="28.5" customHeight="1" x14ac:dyDescent="0.25">
      <c r="A24" s="69">
        <v>15</v>
      </c>
      <c r="B24" s="91" t="s">
        <v>45</v>
      </c>
      <c r="C24" s="68" t="s">
        <v>17</v>
      </c>
      <c r="D24" s="66" t="s">
        <v>18</v>
      </c>
      <c r="E24" s="67" t="s">
        <v>46</v>
      </c>
      <c r="F24" s="66" t="s">
        <v>133</v>
      </c>
      <c r="G24" s="65">
        <v>50</v>
      </c>
      <c r="H24" s="64">
        <v>180</v>
      </c>
      <c r="I24" s="63">
        <f t="shared" ref="I24:I25" si="3">+H24*G24</f>
        <v>9000</v>
      </c>
    </row>
    <row r="25" spans="1:12" ht="29.25" customHeight="1" x14ac:dyDescent="0.25">
      <c r="A25" s="69">
        <v>16</v>
      </c>
      <c r="B25" s="91" t="s">
        <v>47</v>
      </c>
      <c r="C25" s="68" t="s">
        <v>17</v>
      </c>
      <c r="D25" s="66" t="s">
        <v>18</v>
      </c>
      <c r="E25" s="67" t="s">
        <v>48</v>
      </c>
      <c r="F25" s="66" t="s">
        <v>133</v>
      </c>
      <c r="G25" s="65">
        <v>50</v>
      </c>
      <c r="H25" s="64">
        <v>180</v>
      </c>
      <c r="I25" s="63">
        <f t="shared" si="3"/>
        <v>9000</v>
      </c>
    </row>
    <row r="26" spans="1:12" ht="44.25" customHeight="1" x14ac:dyDescent="0.25">
      <c r="A26" s="69">
        <v>17</v>
      </c>
      <c r="B26" s="91" t="s">
        <v>49</v>
      </c>
      <c r="C26" s="68" t="s">
        <v>17</v>
      </c>
      <c r="D26" s="66" t="s">
        <v>18</v>
      </c>
      <c r="E26" s="67" t="s">
        <v>50</v>
      </c>
      <c r="F26" s="66" t="s">
        <v>133</v>
      </c>
      <c r="G26" s="65">
        <v>50</v>
      </c>
      <c r="H26" s="64">
        <v>180</v>
      </c>
      <c r="I26" s="63">
        <f t="shared" ref="I26" si="4">(G26*H26)</f>
        <v>9000</v>
      </c>
    </row>
    <row r="27" spans="1:12" ht="28.5" customHeight="1" x14ac:dyDescent="0.25">
      <c r="A27" s="69">
        <v>18</v>
      </c>
      <c r="B27" s="91" t="s">
        <v>51</v>
      </c>
      <c r="C27" s="68" t="s">
        <v>17</v>
      </c>
      <c r="D27" s="66" t="s">
        <v>18</v>
      </c>
      <c r="E27" s="67" t="s">
        <v>52</v>
      </c>
      <c r="F27" s="77" t="s">
        <v>53</v>
      </c>
      <c r="G27" s="65">
        <v>400</v>
      </c>
      <c r="H27" s="64">
        <v>1100</v>
      </c>
      <c r="I27" s="63">
        <f t="shared" si="2"/>
        <v>440000</v>
      </c>
    </row>
    <row r="28" spans="1:12" ht="36" customHeight="1" x14ac:dyDescent="0.25">
      <c r="A28" s="69">
        <v>19</v>
      </c>
      <c r="B28" s="91" t="s">
        <v>54</v>
      </c>
      <c r="C28" s="68" t="s">
        <v>17</v>
      </c>
      <c r="D28" s="66" t="s">
        <v>18</v>
      </c>
      <c r="E28" s="67" t="s">
        <v>55</v>
      </c>
      <c r="F28" s="77" t="s">
        <v>134</v>
      </c>
      <c r="G28" s="65">
        <v>150</v>
      </c>
      <c r="H28" s="64">
        <v>6718</v>
      </c>
      <c r="I28" s="63">
        <f t="shared" si="2"/>
        <v>1007700</v>
      </c>
    </row>
    <row r="29" spans="1:12" ht="36" customHeight="1" x14ac:dyDescent="0.25">
      <c r="A29" s="69">
        <v>20</v>
      </c>
      <c r="B29" s="91" t="s">
        <v>56</v>
      </c>
      <c r="C29" s="68" t="s">
        <v>17</v>
      </c>
      <c r="D29" s="66" t="s">
        <v>18</v>
      </c>
      <c r="E29" s="78" t="s">
        <v>57</v>
      </c>
      <c r="F29" s="77" t="s">
        <v>134</v>
      </c>
      <c r="G29" s="65">
        <v>150</v>
      </c>
      <c r="H29" s="64">
        <v>6895</v>
      </c>
      <c r="I29" s="63">
        <f t="shared" si="2"/>
        <v>1034250</v>
      </c>
    </row>
    <row r="30" spans="1:12" ht="36" customHeight="1" x14ac:dyDescent="0.25">
      <c r="A30" s="69">
        <v>21</v>
      </c>
      <c r="B30" s="91" t="s">
        <v>58</v>
      </c>
      <c r="C30" s="68" t="s">
        <v>17</v>
      </c>
      <c r="D30" s="66" t="s">
        <v>18</v>
      </c>
      <c r="E30" s="78" t="s">
        <v>59</v>
      </c>
      <c r="F30" s="77" t="s">
        <v>134</v>
      </c>
      <c r="G30" s="65">
        <v>150</v>
      </c>
      <c r="H30" s="64">
        <v>6895</v>
      </c>
      <c r="I30" s="63">
        <f t="shared" ref="I30" si="5">(G30*H30)</f>
        <v>1034250</v>
      </c>
    </row>
    <row r="31" spans="1:12" ht="36" customHeight="1" x14ac:dyDescent="0.25">
      <c r="A31" s="69">
        <v>22</v>
      </c>
      <c r="B31" s="91" t="s">
        <v>60</v>
      </c>
      <c r="C31" s="68" t="s">
        <v>17</v>
      </c>
      <c r="D31" s="66" t="s">
        <v>18</v>
      </c>
      <c r="E31" s="78" t="s">
        <v>121</v>
      </c>
      <c r="F31" s="77" t="s">
        <v>134</v>
      </c>
      <c r="G31" s="65">
        <v>150</v>
      </c>
      <c r="H31" s="79">
        <v>3500</v>
      </c>
      <c r="I31" s="63">
        <f t="shared" si="2"/>
        <v>525000</v>
      </c>
    </row>
    <row r="32" spans="1:12" ht="17.25" customHeight="1" thickBot="1" x14ac:dyDescent="0.3">
      <c r="B32" s="61"/>
      <c r="I32" s="8">
        <f>SUM(I10:I31)</f>
        <v>21433800</v>
      </c>
    </row>
    <row r="33" spans="2:5" ht="17.25" customHeight="1" x14ac:dyDescent="0.25">
      <c r="B33" s="39" t="s">
        <v>61</v>
      </c>
      <c r="C33" s="40"/>
      <c r="D33" s="40"/>
      <c r="E33" s="41"/>
    </row>
    <row r="34" spans="2:5" x14ac:dyDescent="0.25">
      <c r="B34" s="94"/>
      <c r="C34" s="95"/>
      <c r="D34" s="42"/>
      <c r="E34" s="43"/>
    </row>
    <row r="35" spans="2:5" ht="34.5" customHeight="1" x14ac:dyDescent="0.25">
      <c r="B35" s="87"/>
      <c r="C35" s="96" t="s">
        <v>139</v>
      </c>
      <c r="D35" s="96"/>
      <c r="E35" s="97"/>
    </row>
    <row r="36" spans="2:5" ht="13.5" customHeight="1" x14ac:dyDescent="0.25">
      <c r="B36" s="87"/>
      <c r="C36" s="96" t="s">
        <v>120</v>
      </c>
      <c r="D36" s="96"/>
      <c r="E36" s="97"/>
    </row>
    <row r="37" spans="2:5" x14ac:dyDescent="0.25">
      <c r="B37" s="87"/>
      <c r="C37" s="1" t="s">
        <v>124</v>
      </c>
      <c r="E37" s="92"/>
    </row>
    <row r="38" spans="2:5" ht="13.5" customHeight="1" x14ac:dyDescent="0.25">
      <c r="B38" s="87"/>
      <c r="C38" s="96" t="s">
        <v>125</v>
      </c>
      <c r="D38" s="96"/>
      <c r="E38" s="97"/>
    </row>
    <row r="39" spans="2:5" ht="13.5" customHeight="1" x14ac:dyDescent="0.25">
      <c r="B39" s="87"/>
      <c r="C39" s="96" t="s">
        <v>140</v>
      </c>
      <c r="D39" s="96"/>
      <c r="E39" s="97"/>
    </row>
    <row r="40" spans="2:5" ht="13.5" customHeight="1" x14ac:dyDescent="0.25">
      <c r="B40" s="87"/>
      <c r="C40" s="96" t="s">
        <v>126</v>
      </c>
      <c r="D40" s="96"/>
      <c r="E40" s="97"/>
    </row>
    <row r="41" spans="2:5" ht="13.5" customHeight="1" x14ac:dyDescent="0.25">
      <c r="B41" s="87"/>
      <c r="C41" s="96" t="s">
        <v>127</v>
      </c>
      <c r="D41" s="96"/>
      <c r="E41" s="97"/>
    </row>
    <row r="42" spans="2:5" ht="13.5" customHeight="1" x14ac:dyDescent="0.25">
      <c r="B42" s="87"/>
      <c r="C42" s="96" t="s">
        <v>141</v>
      </c>
      <c r="D42" s="96"/>
      <c r="E42" s="97"/>
    </row>
    <row r="43" spans="2:5" ht="13.5" customHeight="1" x14ac:dyDescent="0.25">
      <c r="B43" s="87"/>
      <c r="C43" s="96" t="s">
        <v>142</v>
      </c>
      <c r="D43" s="96"/>
      <c r="E43" s="97"/>
    </row>
    <row r="44" spans="2:5" ht="13.5" customHeight="1" x14ac:dyDescent="0.25">
      <c r="B44" s="87"/>
      <c r="C44" s="96" t="s">
        <v>143</v>
      </c>
      <c r="D44" s="96"/>
      <c r="E44" s="97"/>
    </row>
    <row r="45" spans="2:5" ht="13.5" customHeight="1" x14ac:dyDescent="0.25">
      <c r="B45" s="87"/>
      <c r="C45" s="96" t="s">
        <v>128</v>
      </c>
      <c r="D45" s="96"/>
      <c r="E45" s="97"/>
    </row>
    <row r="46" spans="2:5" ht="13.5" customHeight="1" x14ac:dyDescent="0.25">
      <c r="B46" s="87"/>
      <c r="C46" s="96" t="s">
        <v>129</v>
      </c>
      <c r="D46" s="96"/>
      <c r="E46" s="97"/>
    </row>
    <row r="47" spans="2:5" ht="13.5" customHeight="1" x14ac:dyDescent="0.25">
      <c r="B47" s="87"/>
      <c r="C47" s="96" t="s">
        <v>130</v>
      </c>
      <c r="D47" s="96"/>
      <c r="E47" s="97"/>
    </row>
    <row r="48" spans="2:5" ht="13.5" customHeight="1" x14ac:dyDescent="0.25">
      <c r="B48" s="87"/>
      <c r="C48" s="96" t="s">
        <v>131</v>
      </c>
      <c r="D48" s="96"/>
      <c r="E48" s="97"/>
    </row>
    <row r="49" spans="2:5" ht="13.5" customHeight="1" x14ac:dyDescent="0.25">
      <c r="B49" s="87"/>
      <c r="C49" s="96" t="s">
        <v>132</v>
      </c>
      <c r="D49" s="96"/>
      <c r="E49" s="97"/>
    </row>
    <row r="50" spans="2:5" x14ac:dyDescent="0.25">
      <c r="B50" s="87"/>
    </row>
    <row r="51" spans="2:5" ht="14.25" thickBot="1" x14ac:dyDescent="0.3">
      <c r="B51" s="89"/>
    </row>
    <row r="52" spans="2:5" ht="59.25" customHeight="1" thickBot="1" x14ac:dyDescent="0.3">
      <c r="B52" s="110" t="s">
        <v>62</v>
      </c>
      <c r="C52" s="111"/>
      <c r="D52" s="111"/>
      <c r="E52" s="112"/>
    </row>
    <row r="53" spans="2:5" ht="65.25" customHeight="1" thickBot="1" x14ac:dyDescent="0.3">
      <c r="B53" s="110" t="s">
        <v>63</v>
      </c>
      <c r="C53" s="111"/>
      <c r="D53" s="111"/>
      <c r="E53" s="112"/>
    </row>
    <row r="54" spans="2:5" ht="14.25" thickBot="1" x14ac:dyDescent="0.3">
      <c r="B54" s="44"/>
      <c r="C54" s="88"/>
      <c r="D54" s="88"/>
      <c r="E54" s="88"/>
    </row>
    <row r="55" spans="2:5" x14ac:dyDescent="0.25">
      <c r="B55" s="45" t="s">
        <v>64</v>
      </c>
      <c r="C55" s="46"/>
      <c r="D55" s="40"/>
      <c r="E55" s="47"/>
    </row>
    <row r="56" spans="2:5" ht="108.75" customHeight="1" x14ac:dyDescent="0.25">
      <c r="B56" s="48"/>
      <c r="C56" s="105" t="s">
        <v>119</v>
      </c>
      <c r="D56" s="105"/>
      <c r="E56" s="106"/>
    </row>
    <row r="57" spans="2:5" x14ac:dyDescent="0.25">
      <c r="B57" s="48"/>
      <c r="C57" s="107"/>
      <c r="D57" s="107"/>
      <c r="E57" s="107"/>
    </row>
    <row r="58" spans="2:5" x14ac:dyDescent="0.25">
      <c r="B58" s="49" t="s">
        <v>65</v>
      </c>
      <c r="C58" s="50"/>
      <c r="D58" s="42"/>
      <c r="E58" s="90"/>
    </row>
    <row r="59" spans="2:5" ht="18.75" customHeight="1" x14ac:dyDescent="0.25">
      <c r="B59" s="48"/>
      <c r="C59" s="105" t="s">
        <v>116</v>
      </c>
      <c r="D59" s="105"/>
      <c r="E59" s="106"/>
    </row>
    <row r="60" spans="2:5" ht="372" customHeight="1" x14ac:dyDescent="0.25">
      <c r="B60" s="48"/>
      <c r="C60" s="105" t="s">
        <v>117</v>
      </c>
      <c r="D60" s="105"/>
      <c r="E60" s="106"/>
    </row>
    <row r="61" spans="2:5" ht="69" customHeight="1" thickBot="1" x14ac:dyDescent="0.3">
      <c r="B61" s="51"/>
      <c r="C61" s="108" t="s">
        <v>118</v>
      </c>
      <c r="D61" s="108"/>
      <c r="E61" s="109"/>
    </row>
    <row r="62" spans="2:5" ht="14.25" thickBot="1" x14ac:dyDescent="0.3">
      <c r="B62" s="42"/>
      <c r="C62" s="42"/>
      <c r="D62" s="42"/>
      <c r="E62" s="42"/>
    </row>
    <row r="63" spans="2:5" x14ac:dyDescent="0.25">
      <c r="B63" s="45" t="s">
        <v>66</v>
      </c>
      <c r="C63" s="54"/>
      <c r="D63" s="54"/>
      <c r="E63" s="55"/>
    </row>
    <row r="64" spans="2:5" x14ac:dyDescent="0.25">
      <c r="B64" s="56"/>
      <c r="C64" s="101" t="s">
        <v>67</v>
      </c>
      <c r="D64" s="101"/>
      <c r="E64" s="102"/>
    </row>
    <row r="65" spans="2:5" x14ac:dyDescent="0.25">
      <c r="B65" s="57" t="s">
        <v>68</v>
      </c>
      <c r="C65" s="42"/>
      <c r="D65" s="42"/>
      <c r="E65" s="43"/>
    </row>
    <row r="66" spans="2:5" x14ac:dyDescent="0.25">
      <c r="B66" s="58"/>
      <c r="C66" s="103" t="s">
        <v>69</v>
      </c>
      <c r="D66" s="103"/>
      <c r="E66" s="104"/>
    </row>
    <row r="67" spans="2:5" ht="14.25" thickBot="1" x14ac:dyDescent="0.3">
      <c r="B67" s="59"/>
      <c r="C67" s="52"/>
      <c r="D67" s="52"/>
      <c r="E67" s="53"/>
    </row>
  </sheetData>
  <mergeCells count="31">
    <mergeCell ref="B53:E53"/>
    <mergeCell ref="B52:E52"/>
    <mergeCell ref="C48:E48"/>
    <mergeCell ref="C41:E41"/>
    <mergeCell ref="C42:E42"/>
    <mergeCell ref="C43:E43"/>
    <mergeCell ref="C44:E44"/>
    <mergeCell ref="C45:E45"/>
    <mergeCell ref="C49:E49"/>
    <mergeCell ref="C46:E46"/>
    <mergeCell ref="C47:E47"/>
    <mergeCell ref="C64:E64"/>
    <mergeCell ref="C66:E66"/>
    <mergeCell ref="C56:E56"/>
    <mergeCell ref="C57:E57"/>
    <mergeCell ref="C59:E59"/>
    <mergeCell ref="C60:E60"/>
    <mergeCell ref="C61:E61"/>
    <mergeCell ref="A6:B6"/>
    <mergeCell ref="A7:B7"/>
    <mergeCell ref="B2:H2"/>
    <mergeCell ref="A4:B4"/>
    <mergeCell ref="C4:E4"/>
    <mergeCell ref="A5:B5"/>
    <mergeCell ref="C5:E5"/>
    <mergeCell ref="B34:C34"/>
    <mergeCell ref="C35:E35"/>
    <mergeCell ref="C40:E40"/>
    <mergeCell ref="C36:E36"/>
    <mergeCell ref="C38:E38"/>
    <mergeCell ref="C39:E39"/>
  </mergeCells>
  <phoneticPr fontId="23" type="noConversion"/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J16"/>
  <sheetViews>
    <sheetView zoomScale="85" zoomScaleNormal="85" workbookViewId="0">
      <selection activeCell="K2" sqref="K2"/>
    </sheetView>
  </sheetViews>
  <sheetFormatPr baseColWidth="10" defaultColWidth="9.140625" defaultRowHeight="13.5" x14ac:dyDescent="0.25"/>
  <cols>
    <col min="1" max="1" width="5.42578125" style="28" customWidth="1"/>
    <col min="2" max="2" width="12.28515625" style="28" customWidth="1"/>
    <col min="3" max="3" width="14.140625" style="28" customWidth="1"/>
    <col min="4" max="4" width="26" style="28" customWidth="1"/>
    <col min="5" max="5" width="8" style="28" customWidth="1"/>
    <col min="6" max="6" width="7.85546875" style="28" customWidth="1"/>
    <col min="7" max="7" width="77.42578125" style="28" customWidth="1"/>
    <col min="8" max="8" width="8.42578125" style="28" customWidth="1"/>
    <col min="9" max="9" width="12" style="28" customWidth="1"/>
    <col min="10" max="10" width="11.42578125" style="28" customWidth="1"/>
    <col min="11" max="11" width="10.85546875" style="28" customWidth="1"/>
    <col min="12" max="14" width="5.85546875" style="28" customWidth="1"/>
    <col min="15" max="15" width="12.5703125" style="28" customWidth="1"/>
    <col min="16" max="1024" width="9.140625" style="28"/>
    <col min="1025" max="16384" width="9.140625" style="1"/>
  </cols>
  <sheetData>
    <row r="1" spans="1:1024" ht="18" customHeight="1" x14ac:dyDescent="0.25">
      <c r="A1" s="128" t="s">
        <v>70</v>
      </c>
      <c r="B1" s="128"/>
      <c r="C1" s="128"/>
      <c r="D1" s="128"/>
      <c r="E1" s="128"/>
      <c r="F1" s="128"/>
      <c r="G1" s="128"/>
      <c r="H1" s="128"/>
      <c r="I1" s="128"/>
      <c r="J1" s="26" t="s">
        <v>71</v>
      </c>
      <c r="K1" s="27" t="s">
        <v>72</v>
      </c>
    </row>
    <row r="2" spans="1:1024" ht="18.75" customHeight="1" thickBot="1" x14ac:dyDescent="0.3">
      <c r="A2" s="29"/>
      <c r="B2" s="29"/>
      <c r="C2" s="29"/>
      <c r="D2" s="30"/>
      <c r="E2" s="30"/>
      <c r="F2" s="30"/>
      <c r="G2" s="30"/>
      <c r="H2" s="30"/>
      <c r="I2" s="30"/>
      <c r="J2" s="30"/>
      <c r="K2" s="30"/>
    </row>
    <row r="3" spans="1:1024" ht="18.75" customHeight="1" thickBot="1" x14ac:dyDescent="0.3">
      <c r="A3" s="129" t="s">
        <v>73</v>
      </c>
      <c r="B3" s="129"/>
      <c r="C3" s="129"/>
      <c r="D3" s="132" t="str">
        <f>'Necesidades Trimestrales'!C4</f>
        <v>90 - Ministerio de Seguridad</v>
      </c>
      <c r="E3" s="132"/>
      <c r="F3" s="132"/>
      <c r="G3" s="132"/>
      <c r="H3" s="132"/>
      <c r="I3" s="132"/>
      <c r="J3" s="132"/>
      <c r="K3" s="132"/>
    </row>
    <row r="4" spans="1:1024" ht="18.75" customHeight="1" thickBot="1" x14ac:dyDescent="0.3">
      <c r="A4" s="131" t="s">
        <v>74</v>
      </c>
      <c r="B4" s="131"/>
      <c r="C4" s="131"/>
      <c r="D4" s="132" t="str">
        <f>'Necesidades Trimestrales'!C5</f>
        <v>7- Dirección Provincial de Administración de la Policía de la Provincia de Catamarca</v>
      </c>
      <c r="E4" s="132"/>
      <c r="F4" s="132"/>
      <c r="G4" s="132"/>
      <c r="H4" s="132"/>
      <c r="I4" s="132"/>
      <c r="J4" s="132"/>
      <c r="K4" s="132"/>
    </row>
    <row r="5" spans="1:1024" ht="18.75" customHeight="1" thickBot="1" x14ac:dyDescent="0.3">
      <c r="A5" s="131" t="s">
        <v>75</v>
      </c>
      <c r="B5" s="131"/>
      <c r="C5" s="131"/>
      <c r="D5" s="132" t="s">
        <v>76</v>
      </c>
      <c r="E5" s="132"/>
      <c r="F5" s="132"/>
      <c r="G5" s="132"/>
      <c r="H5" s="132"/>
      <c r="I5" s="132"/>
      <c r="J5" s="132"/>
      <c r="K5" s="132"/>
    </row>
    <row r="6" spans="1:1024" ht="16.5" customHeight="1" thickBot="1" x14ac:dyDescent="0.3">
      <c r="A6" s="129" t="s">
        <v>77</v>
      </c>
      <c r="B6" s="129"/>
      <c r="C6" s="129"/>
      <c r="D6" s="130" t="s">
        <v>78</v>
      </c>
      <c r="E6" s="116"/>
      <c r="F6" s="116"/>
      <c r="G6" s="116"/>
      <c r="H6" s="116"/>
      <c r="I6" s="116"/>
      <c r="J6" s="116"/>
      <c r="K6" s="117"/>
    </row>
    <row r="7" spans="1:1024" ht="16.5" customHeight="1" thickBot="1" x14ac:dyDescent="0.3">
      <c r="A7" s="131" t="s">
        <v>79</v>
      </c>
      <c r="B7" s="131"/>
      <c r="C7" s="131"/>
      <c r="D7" s="132" t="s">
        <v>80</v>
      </c>
      <c r="E7" s="132"/>
      <c r="F7" s="132"/>
      <c r="G7" s="132"/>
      <c r="H7" s="132"/>
      <c r="I7" s="132"/>
      <c r="J7" s="132"/>
      <c r="K7" s="132"/>
    </row>
    <row r="8" spans="1:1024" ht="16.5" customHeight="1" thickBot="1" x14ac:dyDescent="0.3">
      <c r="A8" s="124" t="s">
        <v>81</v>
      </c>
      <c r="B8" s="124"/>
      <c r="C8" s="124"/>
      <c r="D8" s="115" t="s">
        <v>82</v>
      </c>
      <c r="E8" s="116"/>
      <c r="F8" s="116"/>
      <c r="G8" s="116"/>
      <c r="H8" s="116"/>
      <c r="I8" s="116"/>
      <c r="J8" s="116"/>
      <c r="K8" s="117"/>
    </row>
    <row r="9" spans="1:1024" ht="18" thickBot="1" x14ac:dyDescent="0.3">
      <c r="A9" s="31"/>
      <c r="B9" s="31"/>
      <c r="C9" s="31"/>
      <c r="D9" s="32"/>
      <c r="E9" s="32"/>
      <c r="F9" s="32"/>
      <c r="G9" s="32"/>
      <c r="H9" s="32"/>
      <c r="I9" s="32"/>
      <c r="J9" s="32"/>
      <c r="K9" s="32"/>
    </row>
    <row r="10" spans="1:1024" ht="14.25" customHeight="1" thickBot="1" x14ac:dyDescent="0.3">
      <c r="A10" s="118" t="s">
        <v>83</v>
      </c>
      <c r="B10" s="119" t="s">
        <v>84</v>
      </c>
      <c r="C10" s="120" t="s">
        <v>85</v>
      </c>
      <c r="D10" s="121"/>
      <c r="E10" s="121"/>
      <c r="F10" s="121"/>
      <c r="G10" s="122"/>
      <c r="H10" s="123" t="s">
        <v>86</v>
      </c>
      <c r="I10" s="121" t="s">
        <v>87</v>
      </c>
      <c r="J10" s="121" t="s">
        <v>88</v>
      </c>
      <c r="K10" s="122" t="s">
        <v>89</v>
      </c>
    </row>
    <row r="11" spans="1:1024" ht="14.25" customHeight="1" thickBot="1" x14ac:dyDescent="0.3">
      <c r="A11" s="118"/>
      <c r="B11" s="119"/>
      <c r="C11" s="120"/>
      <c r="D11" s="121"/>
      <c r="E11" s="121"/>
      <c r="F11" s="121"/>
      <c r="G11" s="122"/>
      <c r="H11" s="123"/>
      <c r="I11" s="121"/>
      <c r="J11" s="121"/>
      <c r="K11" s="122"/>
    </row>
    <row r="12" spans="1:1024" ht="22.5" customHeight="1" thickBot="1" x14ac:dyDescent="0.3">
      <c r="A12" s="33">
        <v>1</v>
      </c>
      <c r="B12" s="62" t="e">
        <f>'Necesidades Trimestrales'!#REF!</f>
        <v>#REF!</v>
      </c>
      <c r="C12" s="125" t="e">
        <f>'Necesidades Trimestrales'!#REF!</f>
        <v>#REF!</v>
      </c>
      <c r="D12" s="126"/>
      <c r="E12" s="126"/>
      <c r="F12" s="126"/>
      <c r="G12" s="127"/>
      <c r="H12" s="34" t="s">
        <v>90</v>
      </c>
      <c r="I12" s="35" t="e">
        <f>'Necesidades Trimestrales'!#REF!</f>
        <v>#REF!</v>
      </c>
      <c r="J12" s="36" t="e">
        <f>'Necesidades Trimestrales'!#REF!</f>
        <v>#REF!</v>
      </c>
      <c r="K12" s="37" t="e">
        <f>'Necesidades Trimestrales'!#REF!</f>
        <v>#REF!</v>
      </c>
    </row>
    <row r="13" spans="1:1024" ht="22.5" customHeight="1" thickBot="1" x14ac:dyDescent="0.3">
      <c r="A13" s="33"/>
      <c r="B13" s="62" t="e">
        <f>'Necesidades Trimestrales'!#REF!</f>
        <v>#REF!</v>
      </c>
      <c r="C13" s="125" t="e">
        <f>'Necesidades Trimestrales'!#REF!</f>
        <v>#REF!</v>
      </c>
      <c r="D13" s="126"/>
      <c r="E13" s="126"/>
      <c r="F13" s="126"/>
      <c r="G13" s="127"/>
      <c r="H13" s="34" t="s">
        <v>90</v>
      </c>
      <c r="I13" s="35" t="e">
        <f>'Necesidades Trimestrales'!#REF!</f>
        <v>#REF!</v>
      </c>
      <c r="J13" s="36" t="e">
        <f>'Necesidades Trimestrales'!#REF!</f>
        <v>#REF!</v>
      </c>
      <c r="K13" s="37" t="e">
        <f>'Necesidades Trimestrales'!#REF!</f>
        <v>#REF!</v>
      </c>
    </row>
    <row r="14" spans="1:1024" ht="19.5" customHeight="1" x14ac:dyDescent="0.25">
      <c r="A14" s="33">
        <v>3</v>
      </c>
      <c r="B14" s="62" t="e">
        <f>'Necesidades Trimestrales'!#REF!</f>
        <v>#REF!</v>
      </c>
      <c r="C14" s="125" t="e">
        <f>'Necesidades Trimestrales'!#REF!</f>
        <v>#REF!</v>
      </c>
      <c r="D14" s="126"/>
      <c r="E14" s="126"/>
      <c r="F14" s="126"/>
      <c r="G14" s="127"/>
      <c r="H14" s="34" t="s">
        <v>90</v>
      </c>
      <c r="I14" s="35" t="e">
        <f>'Necesidades Trimestrales'!#REF!</f>
        <v>#REF!</v>
      </c>
      <c r="J14" s="36" t="e">
        <f>'Necesidades Trimestrales'!#REF!</f>
        <v>#REF!</v>
      </c>
      <c r="K14" s="37" t="e">
        <f>'Necesidades Trimestrales'!#REF!</f>
        <v>#REF!</v>
      </c>
    </row>
    <row r="15" spans="1:1024" ht="15.75" thickBot="1" x14ac:dyDescent="0.3">
      <c r="A15" s="113" t="s">
        <v>91</v>
      </c>
      <c r="B15" s="113"/>
      <c r="C15" s="113"/>
      <c r="D15" s="113"/>
      <c r="E15" s="113"/>
      <c r="F15" s="113"/>
      <c r="G15" s="113"/>
      <c r="H15" s="113"/>
      <c r="I15" s="113"/>
      <c r="J15" s="114">
        <f>'Necesidades Trimestrales'!I18</f>
        <v>480000</v>
      </c>
      <c r="K15" s="114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1"/>
      <c r="HK15" s="1"/>
      <c r="HL15" s="1"/>
      <c r="HM15" s="1"/>
      <c r="HN15" s="1"/>
      <c r="HO15" s="1"/>
      <c r="HP15" s="1"/>
      <c r="HQ15" s="1"/>
      <c r="HR15" s="1"/>
      <c r="HS15" s="1"/>
      <c r="HT15" s="1"/>
      <c r="HU15" s="1"/>
      <c r="HV15" s="1"/>
      <c r="HW15" s="1"/>
      <c r="HX15" s="1"/>
      <c r="HY15" s="1"/>
      <c r="HZ15" s="1"/>
      <c r="IA15" s="1"/>
      <c r="IB15" s="1"/>
      <c r="IC15" s="1"/>
      <c r="ID15" s="1"/>
      <c r="IE15" s="1"/>
      <c r="IF15" s="1"/>
      <c r="IG15" s="1"/>
      <c r="IH15" s="1"/>
      <c r="II15" s="1"/>
      <c r="IJ15" s="1"/>
      <c r="IK15" s="1"/>
      <c r="IL15" s="1"/>
      <c r="IM15" s="1"/>
      <c r="IN15" s="1"/>
      <c r="IO15" s="1"/>
      <c r="IP15" s="1"/>
      <c r="IQ15" s="1"/>
      <c r="IR15" s="1"/>
      <c r="IS15" s="1"/>
      <c r="IT15" s="1"/>
      <c r="IU15" s="1"/>
      <c r="IV15" s="1"/>
      <c r="IW15" s="1"/>
      <c r="IX15" s="1"/>
      <c r="IY15" s="1"/>
      <c r="IZ15" s="1"/>
      <c r="JA15" s="1"/>
      <c r="JB15" s="1"/>
      <c r="JC15" s="1"/>
      <c r="JD15" s="1"/>
      <c r="JE15" s="1"/>
      <c r="JF15" s="1"/>
      <c r="JG15" s="1"/>
      <c r="JH15" s="1"/>
      <c r="JI15" s="1"/>
      <c r="JJ15" s="1"/>
      <c r="JK15" s="1"/>
      <c r="JL15" s="1"/>
      <c r="JM15" s="1"/>
      <c r="JN15" s="1"/>
      <c r="JO15" s="1"/>
      <c r="JP15" s="1"/>
      <c r="JQ15" s="1"/>
      <c r="JR15" s="1"/>
      <c r="JS15" s="1"/>
      <c r="JT15" s="1"/>
      <c r="JU15" s="1"/>
      <c r="JV15" s="1"/>
      <c r="JW15" s="1"/>
      <c r="JX15" s="1"/>
      <c r="JY15" s="1"/>
      <c r="JZ15" s="1"/>
      <c r="KA15" s="1"/>
      <c r="KB15" s="1"/>
      <c r="KC15" s="1"/>
      <c r="KD15" s="1"/>
      <c r="KE15" s="1"/>
      <c r="KF15" s="1"/>
      <c r="KG15" s="1"/>
      <c r="KH15" s="1"/>
      <c r="KI15" s="1"/>
      <c r="KJ15" s="1"/>
      <c r="KK15" s="1"/>
      <c r="KL15" s="1"/>
      <c r="KM15" s="1"/>
      <c r="KN15" s="1"/>
      <c r="KO15" s="1"/>
      <c r="KP15" s="1"/>
      <c r="KQ15" s="1"/>
      <c r="KR15" s="1"/>
      <c r="KS15" s="1"/>
      <c r="KT15" s="1"/>
      <c r="KU15" s="1"/>
      <c r="KV15" s="1"/>
      <c r="KW15" s="1"/>
      <c r="KX15" s="1"/>
      <c r="KY15" s="1"/>
      <c r="KZ15" s="1"/>
      <c r="LA15" s="1"/>
      <c r="LB15" s="1"/>
      <c r="LC15" s="1"/>
      <c r="LD15" s="1"/>
      <c r="LE15" s="1"/>
      <c r="LF15" s="1"/>
      <c r="LG15" s="1"/>
      <c r="LH15" s="1"/>
      <c r="LI15" s="1"/>
      <c r="LJ15" s="1"/>
      <c r="LK15" s="1"/>
      <c r="LL15" s="1"/>
      <c r="LM15" s="1"/>
      <c r="LN15" s="1"/>
      <c r="LO15" s="1"/>
      <c r="LP15" s="1"/>
      <c r="LQ15" s="1"/>
      <c r="LR15" s="1"/>
      <c r="LS15" s="1"/>
      <c r="LT15" s="1"/>
      <c r="LU15" s="1"/>
      <c r="LV15" s="1"/>
      <c r="LW15" s="1"/>
      <c r="LX15" s="1"/>
      <c r="LY15" s="1"/>
      <c r="LZ15" s="1"/>
      <c r="MA15" s="1"/>
      <c r="MB15" s="1"/>
      <c r="MC15" s="1"/>
      <c r="MD15" s="1"/>
      <c r="ME15" s="1"/>
      <c r="MF15" s="1"/>
      <c r="MG15" s="1"/>
      <c r="MH15" s="1"/>
      <c r="MI15" s="1"/>
      <c r="MJ15" s="1"/>
      <c r="MK15" s="1"/>
      <c r="ML15" s="1"/>
      <c r="MM15" s="1"/>
      <c r="MN15" s="1"/>
      <c r="MO15" s="1"/>
      <c r="MP15" s="1"/>
      <c r="MQ15" s="1"/>
      <c r="MR15" s="1"/>
      <c r="MS15" s="1"/>
      <c r="MT15" s="1"/>
      <c r="MU15" s="1"/>
      <c r="MV15" s="1"/>
      <c r="MW15" s="1"/>
      <c r="MX15" s="1"/>
      <c r="MY15" s="1"/>
      <c r="MZ15" s="1"/>
      <c r="NA15" s="1"/>
      <c r="NB15" s="1"/>
      <c r="NC15" s="1"/>
      <c r="ND15" s="1"/>
      <c r="NE15" s="1"/>
      <c r="NF15" s="1"/>
      <c r="NG15" s="1"/>
      <c r="NH15" s="1"/>
      <c r="NI15" s="1"/>
      <c r="NJ15" s="1"/>
      <c r="NK15" s="1"/>
      <c r="NL15" s="1"/>
      <c r="NM15" s="1"/>
      <c r="NN15" s="1"/>
      <c r="NO15" s="1"/>
      <c r="NP15" s="1"/>
      <c r="NQ15" s="1"/>
      <c r="NR15" s="1"/>
      <c r="NS15" s="1"/>
      <c r="NT15" s="1"/>
      <c r="NU15" s="1"/>
      <c r="NV15" s="1"/>
      <c r="NW15" s="1"/>
      <c r="NX15" s="1"/>
      <c r="NY15" s="1"/>
      <c r="NZ15" s="1"/>
      <c r="OA15" s="1"/>
      <c r="OB15" s="1"/>
      <c r="OC15" s="1"/>
      <c r="OD15" s="1"/>
      <c r="OE15" s="1"/>
      <c r="OF15" s="1"/>
      <c r="OG15" s="1"/>
      <c r="OH15" s="1"/>
      <c r="OI15" s="1"/>
      <c r="OJ15" s="1"/>
      <c r="OK15" s="1"/>
      <c r="OL15" s="1"/>
      <c r="OM15" s="1"/>
      <c r="ON15" s="1"/>
      <c r="OO15" s="1"/>
      <c r="OP15" s="1"/>
      <c r="OQ15" s="1"/>
      <c r="OR15" s="1"/>
      <c r="OS15" s="1"/>
      <c r="OT15" s="1"/>
      <c r="OU15" s="1"/>
      <c r="OV15" s="1"/>
      <c r="OW15" s="1"/>
      <c r="OX15" s="1"/>
      <c r="OY15" s="1"/>
      <c r="OZ15" s="1"/>
      <c r="PA15" s="1"/>
      <c r="PB15" s="1"/>
      <c r="PC15" s="1"/>
      <c r="PD15" s="1"/>
      <c r="PE15" s="1"/>
      <c r="PF15" s="1"/>
      <c r="PG15" s="1"/>
      <c r="PH15" s="1"/>
      <c r="PI15" s="1"/>
      <c r="PJ15" s="1"/>
      <c r="PK15" s="1"/>
      <c r="PL15" s="1"/>
      <c r="PM15" s="1"/>
      <c r="PN15" s="1"/>
      <c r="PO15" s="1"/>
      <c r="PP15" s="1"/>
      <c r="PQ15" s="1"/>
      <c r="PR15" s="1"/>
      <c r="PS15" s="1"/>
      <c r="PT15" s="1"/>
      <c r="PU15" s="1"/>
      <c r="PV15" s="1"/>
      <c r="PW15" s="1"/>
      <c r="PX15" s="1"/>
      <c r="PY15" s="1"/>
      <c r="PZ15" s="1"/>
      <c r="QA15" s="1"/>
      <c r="QB15" s="1"/>
      <c r="QC15" s="1"/>
      <c r="QD15" s="1"/>
      <c r="QE15" s="1"/>
      <c r="QF15" s="1"/>
      <c r="QG15" s="1"/>
      <c r="QH15" s="1"/>
      <c r="QI15" s="1"/>
      <c r="QJ15" s="1"/>
      <c r="QK15" s="1"/>
      <c r="QL15" s="1"/>
      <c r="QM15" s="1"/>
      <c r="QN15" s="1"/>
      <c r="QO15" s="1"/>
      <c r="QP15" s="1"/>
      <c r="QQ15" s="1"/>
      <c r="QR15" s="1"/>
      <c r="QS15" s="1"/>
      <c r="QT15" s="1"/>
      <c r="QU15" s="1"/>
      <c r="QV15" s="1"/>
      <c r="QW15" s="1"/>
      <c r="QX15" s="1"/>
      <c r="QY15" s="1"/>
      <c r="QZ15" s="1"/>
      <c r="RA15" s="1"/>
      <c r="RB15" s="1"/>
      <c r="RC15" s="1"/>
      <c r="RD15" s="1"/>
      <c r="RE15" s="1"/>
      <c r="RF15" s="1"/>
      <c r="RG15" s="1"/>
      <c r="RH15" s="1"/>
      <c r="RI15" s="1"/>
      <c r="RJ15" s="1"/>
      <c r="RK15" s="1"/>
      <c r="RL15" s="1"/>
      <c r="RM15" s="1"/>
      <c r="RN15" s="1"/>
      <c r="RO15" s="1"/>
      <c r="RP15" s="1"/>
      <c r="RQ15" s="1"/>
      <c r="RR15" s="1"/>
      <c r="RS15" s="1"/>
      <c r="RT15" s="1"/>
      <c r="RU15" s="1"/>
      <c r="RV15" s="1"/>
      <c r="RW15" s="1"/>
      <c r="RX15" s="1"/>
      <c r="RY15" s="1"/>
      <c r="RZ15" s="1"/>
      <c r="SA15" s="1"/>
      <c r="SB15" s="1"/>
      <c r="SC15" s="1"/>
      <c r="SD15" s="1"/>
      <c r="SE15" s="1"/>
      <c r="SF15" s="1"/>
      <c r="SG15" s="1"/>
      <c r="SH15" s="1"/>
      <c r="SI15" s="1"/>
      <c r="SJ15" s="1"/>
      <c r="SK15" s="1"/>
      <c r="SL15" s="1"/>
      <c r="SM15" s="1"/>
      <c r="SN15" s="1"/>
      <c r="SO15" s="1"/>
      <c r="SP15" s="1"/>
      <c r="SQ15" s="1"/>
      <c r="SR15" s="1"/>
      <c r="SS15" s="1"/>
      <c r="ST15" s="1"/>
      <c r="SU15" s="1"/>
      <c r="SV15" s="1"/>
      <c r="SW15" s="1"/>
      <c r="SX15" s="1"/>
      <c r="SY15" s="1"/>
      <c r="SZ15" s="1"/>
      <c r="TA15" s="1"/>
      <c r="TB15" s="1"/>
      <c r="TC15" s="1"/>
      <c r="TD15" s="1"/>
      <c r="TE15" s="1"/>
      <c r="TF15" s="1"/>
      <c r="TG15" s="1"/>
      <c r="TH15" s="1"/>
      <c r="TI15" s="1"/>
      <c r="TJ15" s="1"/>
      <c r="TK15" s="1"/>
      <c r="TL15" s="1"/>
      <c r="TM15" s="1"/>
      <c r="TN15" s="1"/>
      <c r="TO15" s="1"/>
      <c r="TP15" s="1"/>
      <c r="TQ15" s="1"/>
      <c r="TR15" s="1"/>
      <c r="TS15" s="1"/>
      <c r="TT15" s="1"/>
      <c r="TU15" s="1"/>
      <c r="TV15" s="1"/>
      <c r="TW15" s="1"/>
      <c r="TX15" s="1"/>
      <c r="TY15" s="1"/>
      <c r="TZ15" s="1"/>
      <c r="UA15" s="1"/>
      <c r="UB15" s="1"/>
      <c r="UC15" s="1"/>
      <c r="UD15" s="1"/>
      <c r="UE15" s="1"/>
      <c r="UF15" s="1"/>
      <c r="UG15" s="1"/>
      <c r="UH15" s="1"/>
      <c r="UI15" s="1"/>
      <c r="UJ15" s="1"/>
      <c r="UK15" s="1"/>
      <c r="UL15" s="1"/>
      <c r="UM15" s="1"/>
      <c r="UN15" s="1"/>
      <c r="UO15" s="1"/>
      <c r="UP15" s="1"/>
      <c r="UQ15" s="1"/>
      <c r="UR15" s="1"/>
      <c r="US15" s="1"/>
      <c r="UT15" s="1"/>
      <c r="UU15" s="1"/>
      <c r="UV15" s="1"/>
      <c r="UW15" s="1"/>
      <c r="UX15" s="1"/>
      <c r="UY15" s="1"/>
      <c r="UZ15" s="1"/>
      <c r="VA15" s="1"/>
      <c r="VB15" s="1"/>
      <c r="VC15" s="1"/>
      <c r="VD15" s="1"/>
      <c r="VE15" s="1"/>
      <c r="VF15" s="1"/>
      <c r="VG15" s="1"/>
      <c r="VH15" s="1"/>
      <c r="VI15" s="1"/>
      <c r="VJ15" s="1"/>
      <c r="VK15" s="1"/>
      <c r="VL15" s="1"/>
      <c r="VM15" s="1"/>
      <c r="VN15" s="1"/>
      <c r="VO15" s="1"/>
      <c r="VP15" s="1"/>
      <c r="VQ15" s="1"/>
      <c r="VR15" s="1"/>
      <c r="VS15" s="1"/>
      <c r="VT15" s="1"/>
      <c r="VU15" s="1"/>
      <c r="VV15" s="1"/>
      <c r="VW15" s="1"/>
      <c r="VX15" s="1"/>
      <c r="VY15" s="1"/>
      <c r="VZ15" s="1"/>
      <c r="WA15" s="1"/>
      <c r="WB15" s="1"/>
      <c r="WC15" s="1"/>
      <c r="WD15" s="1"/>
      <c r="WE15" s="1"/>
      <c r="WF15" s="1"/>
      <c r="WG15" s="1"/>
      <c r="WH15" s="1"/>
      <c r="WI15" s="1"/>
      <c r="WJ15" s="1"/>
      <c r="WK15" s="1"/>
      <c r="WL15" s="1"/>
      <c r="WM15" s="1"/>
      <c r="WN15" s="1"/>
      <c r="WO15" s="1"/>
      <c r="WP15" s="1"/>
      <c r="WQ15" s="1"/>
      <c r="WR15" s="1"/>
      <c r="WS15" s="1"/>
      <c r="WT15" s="1"/>
      <c r="WU15" s="1"/>
      <c r="WV15" s="1"/>
      <c r="WW15" s="1"/>
      <c r="WX15" s="1"/>
      <c r="WY15" s="1"/>
      <c r="WZ15" s="1"/>
      <c r="XA15" s="1"/>
      <c r="XB15" s="1"/>
      <c r="XC15" s="1"/>
      <c r="XD15" s="1"/>
      <c r="XE15" s="1"/>
      <c r="XF15" s="1"/>
      <c r="XG15" s="1"/>
      <c r="XH15" s="1"/>
      <c r="XI15" s="1"/>
      <c r="XJ15" s="1"/>
      <c r="XK15" s="1"/>
      <c r="XL15" s="1"/>
      <c r="XM15" s="1"/>
      <c r="XN15" s="1"/>
      <c r="XO15" s="1"/>
      <c r="XP15" s="1"/>
      <c r="XQ15" s="1"/>
      <c r="XR15" s="1"/>
      <c r="XS15" s="1"/>
      <c r="XT15" s="1"/>
      <c r="XU15" s="1"/>
      <c r="XV15" s="1"/>
      <c r="XW15" s="1"/>
      <c r="XX15" s="1"/>
      <c r="XY15" s="1"/>
      <c r="XZ15" s="1"/>
      <c r="YA15" s="1"/>
      <c r="YB15" s="1"/>
      <c r="YC15" s="1"/>
      <c r="YD15" s="1"/>
      <c r="YE15" s="1"/>
      <c r="YF15" s="1"/>
      <c r="YG15" s="1"/>
      <c r="YH15" s="1"/>
      <c r="YI15" s="1"/>
      <c r="YJ15" s="1"/>
      <c r="YK15" s="1"/>
      <c r="YL15" s="1"/>
      <c r="YM15" s="1"/>
      <c r="YN15" s="1"/>
      <c r="YO15" s="1"/>
      <c r="YP15" s="1"/>
      <c r="YQ15" s="1"/>
      <c r="YR15" s="1"/>
      <c r="YS15" s="1"/>
      <c r="YT15" s="1"/>
      <c r="YU15" s="1"/>
      <c r="YV15" s="1"/>
      <c r="YW15" s="1"/>
      <c r="YX15" s="1"/>
      <c r="YY15" s="1"/>
      <c r="YZ15" s="1"/>
      <c r="ZA15" s="1"/>
      <c r="ZB15" s="1"/>
      <c r="ZC15" s="1"/>
      <c r="ZD15" s="1"/>
      <c r="ZE15" s="1"/>
      <c r="ZF15" s="1"/>
      <c r="ZG15" s="1"/>
      <c r="ZH15" s="1"/>
      <c r="ZI15" s="1"/>
      <c r="ZJ15" s="1"/>
      <c r="ZK15" s="1"/>
      <c r="ZL15" s="1"/>
      <c r="ZM15" s="1"/>
      <c r="ZN15" s="1"/>
      <c r="ZO15" s="1"/>
      <c r="ZP15" s="1"/>
      <c r="ZQ15" s="1"/>
      <c r="ZR15" s="1"/>
      <c r="ZS15" s="1"/>
      <c r="ZT15" s="1"/>
      <c r="ZU15" s="1"/>
      <c r="ZV15" s="1"/>
      <c r="ZW15" s="1"/>
      <c r="ZX15" s="1"/>
      <c r="ZY15" s="1"/>
      <c r="ZZ15" s="1"/>
      <c r="AAA15" s="1"/>
      <c r="AAB15" s="1"/>
      <c r="AAC15" s="1"/>
      <c r="AAD15" s="1"/>
      <c r="AAE15" s="1"/>
      <c r="AAF15" s="1"/>
      <c r="AAG15" s="1"/>
      <c r="AAH15" s="1"/>
      <c r="AAI15" s="1"/>
      <c r="AAJ15" s="1"/>
      <c r="AAK15" s="1"/>
      <c r="AAL15" s="1"/>
      <c r="AAM15" s="1"/>
      <c r="AAN15" s="1"/>
      <c r="AAO15" s="1"/>
      <c r="AAP15" s="1"/>
      <c r="AAQ15" s="1"/>
      <c r="AAR15" s="1"/>
      <c r="AAS15" s="1"/>
      <c r="AAT15" s="1"/>
      <c r="AAU15" s="1"/>
      <c r="AAV15" s="1"/>
      <c r="AAW15" s="1"/>
      <c r="AAX15" s="1"/>
      <c r="AAY15" s="1"/>
      <c r="AAZ15" s="1"/>
      <c r="ABA15" s="1"/>
      <c r="ABB15" s="1"/>
      <c r="ABC15" s="1"/>
      <c r="ABD15" s="1"/>
      <c r="ABE15" s="1"/>
      <c r="ABF15" s="1"/>
      <c r="ABG15" s="1"/>
      <c r="ABH15" s="1"/>
      <c r="ABI15" s="1"/>
      <c r="ABJ15" s="1"/>
      <c r="ABK15" s="1"/>
      <c r="ABL15" s="1"/>
      <c r="ABM15" s="1"/>
      <c r="ABN15" s="1"/>
      <c r="ABO15" s="1"/>
      <c r="ABP15" s="1"/>
      <c r="ABQ15" s="1"/>
      <c r="ABR15" s="1"/>
      <c r="ABS15" s="1"/>
      <c r="ABT15" s="1"/>
      <c r="ABU15" s="1"/>
      <c r="ABV15" s="1"/>
      <c r="ABW15" s="1"/>
      <c r="ABX15" s="1"/>
      <c r="ABY15" s="1"/>
      <c r="ABZ15" s="1"/>
      <c r="ACA15" s="1"/>
      <c r="ACB15" s="1"/>
      <c r="ACC15" s="1"/>
      <c r="ACD15" s="1"/>
      <c r="ACE15" s="1"/>
      <c r="ACF15" s="1"/>
      <c r="ACG15" s="1"/>
      <c r="ACH15" s="1"/>
      <c r="ACI15" s="1"/>
      <c r="ACJ15" s="1"/>
      <c r="ACK15" s="1"/>
      <c r="ACL15" s="1"/>
      <c r="ACM15" s="1"/>
      <c r="ACN15" s="1"/>
      <c r="ACO15" s="1"/>
      <c r="ACP15" s="1"/>
      <c r="ACQ15" s="1"/>
      <c r="ACR15" s="1"/>
      <c r="ACS15" s="1"/>
      <c r="ACT15" s="1"/>
      <c r="ACU15" s="1"/>
      <c r="ACV15" s="1"/>
      <c r="ACW15" s="1"/>
      <c r="ACX15" s="1"/>
      <c r="ACY15" s="1"/>
      <c r="ACZ15" s="1"/>
      <c r="ADA15" s="1"/>
      <c r="ADB15" s="1"/>
      <c r="ADC15" s="1"/>
      <c r="ADD15" s="1"/>
      <c r="ADE15" s="1"/>
      <c r="ADF15" s="1"/>
      <c r="ADG15" s="1"/>
      <c r="ADH15" s="1"/>
      <c r="ADI15" s="1"/>
      <c r="ADJ15" s="1"/>
      <c r="ADK15" s="1"/>
      <c r="ADL15" s="1"/>
      <c r="ADM15" s="1"/>
      <c r="ADN15" s="1"/>
      <c r="ADO15" s="1"/>
      <c r="ADP15" s="1"/>
      <c r="ADQ15" s="1"/>
      <c r="ADR15" s="1"/>
      <c r="ADS15" s="1"/>
      <c r="ADT15" s="1"/>
      <c r="ADU15" s="1"/>
      <c r="ADV15" s="1"/>
      <c r="ADW15" s="1"/>
      <c r="ADX15" s="1"/>
      <c r="ADY15" s="1"/>
      <c r="ADZ15" s="1"/>
      <c r="AEA15" s="1"/>
      <c r="AEB15" s="1"/>
      <c r="AEC15" s="1"/>
      <c r="AED15" s="1"/>
      <c r="AEE15" s="1"/>
      <c r="AEF15" s="1"/>
      <c r="AEG15" s="1"/>
      <c r="AEH15" s="1"/>
      <c r="AEI15" s="1"/>
      <c r="AEJ15" s="1"/>
      <c r="AEK15" s="1"/>
      <c r="AEL15" s="1"/>
      <c r="AEM15" s="1"/>
      <c r="AEN15" s="1"/>
      <c r="AEO15" s="1"/>
      <c r="AEP15" s="1"/>
      <c r="AEQ15" s="1"/>
      <c r="AER15" s="1"/>
      <c r="AES15" s="1"/>
      <c r="AET15" s="1"/>
      <c r="AEU15" s="1"/>
      <c r="AEV15" s="1"/>
      <c r="AEW15" s="1"/>
      <c r="AEX15" s="1"/>
      <c r="AEY15" s="1"/>
      <c r="AEZ15" s="1"/>
      <c r="AFA15" s="1"/>
      <c r="AFB15" s="1"/>
      <c r="AFC15" s="1"/>
      <c r="AFD15" s="1"/>
      <c r="AFE15" s="1"/>
      <c r="AFF15" s="1"/>
      <c r="AFG15" s="1"/>
      <c r="AFH15" s="1"/>
      <c r="AFI15" s="1"/>
      <c r="AFJ15" s="1"/>
      <c r="AFK15" s="1"/>
      <c r="AFL15" s="1"/>
      <c r="AFM15" s="1"/>
      <c r="AFN15" s="1"/>
      <c r="AFO15" s="1"/>
      <c r="AFP15" s="1"/>
      <c r="AFQ15" s="1"/>
      <c r="AFR15" s="1"/>
      <c r="AFS15" s="1"/>
      <c r="AFT15" s="1"/>
      <c r="AFU15" s="1"/>
      <c r="AFV15" s="1"/>
      <c r="AFW15" s="1"/>
      <c r="AFX15" s="1"/>
      <c r="AFY15" s="1"/>
      <c r="AFZ15" s="1"/>
      <c r="AGA15" s="1"/>
      <c r="AGB15" s="1"/>
      <c r="AGC15" s="1"/>
      <c r="AGD15" s="1"/>
      <c r="AGE15" s="1"/>
      <c r="AGF15" s="1"/>
      <c r="AGG15" s="1"/>
      <c r="AGH15" s="1"/>
      <c r="AGI15" s="1"/>
      <c r="AGJ15" s="1"/>
      <c r="AGK15" s="1"/>
      <c r="AGL15" s="1"/>
      <c r="AGM15" s="1"/>
      <c r="AGN15" s="1"/>
      <c r="AGO15" s="1"/>
      <c r="AGP15" s="1"/>
      <c r="AGQ15" s="1"/>
      <c r="AGR15" s="1"/>
      <c r="AGS15" s="1"/>
      <c r="AGT15" s="1"/>
      <c r="AGU15" s="1"/>
      <c r="AGV15" s="1"/>
      <c r="AGW15" s="1"/>
      <c r="AGX15" s="1"/>
      <c r="AGY15" s="1"/>
      <c r="AGZ15" s="1"/>
      <c r="AHA15" s="1"/>
      <c r="AHB15" s="1"/>
      <c r="AHC15" s="1"/>
      <c r="AHD15" s="1"/>
      <c r="AHE15" s="1"/>
      <c r="AHF15" s="1"/>
      <c r="AHG15" s="1"/>
      <c r="AHH15" s="1"/>
      <c r="AHI15" s="1"/>
      <c r="AHJ15" s="1"/>
      <c r="AHK15" s="1"/>
      <c r="AHL15" s="1"/>
      <c r="AHM15" s="1"/>
      <c r="AHN15" s="1"/>
      <c r="AHO15" s="1"/>
      <c r="AHP15" s="1"/>
      <c r="AHQ15" s="1"/>
      <c r="AHR15" s="1"/>
      <c r="AHS15" s="1"/>
      <c r="AHT15" s="1"/>
      <c r="AHU15" s="1"/>
      <c r="AHV15" s="1"/>
      <c r="AHW15" s="1"/>
      <c r="AHX15" s="1"/>
      <c r="AHY15" s="1"/>
      <c r="AHZ15" s="1"/>
      <c r="AIA15" s="1"/>
      <c r="AIB15" s="1"/>
      <c r="AIC15" s="1"/>
      <c r="AID15" s="1"/>
      <c r="AIE15" s="1"/>
      <c r="AIF15" s="1"/>
      <c r="AIG15" s="1"/>
      <c r="AIH15" s="1"/>
      <c r="AII15" s="1"/>
      <c r="AIJ15" s="1"/>
      <c r="AIK15" s="1"/>
      <c r="AIL15" s="1"/>
      <c r="AIM15" s="1"/>
      <c r="AIN15" s="1"/>
      <c r="AIO15" s="1"/>
      <c r="AIP15" s="1"/>
      <c r="AIQ15" s="1"/>
      <c r="AIR15" s="1"/>
      <c r="AIS15" s="1"/>
      <c r="AIT15" s="1"/>
      <c r="AIU15" s="1"/>
      <c r="AIV15" s="1"/>
      <c r="AIW15" s="1"/>
      <c r="AIX15" s="1"/>
      <c r="AIY15" s="1"/>
      <c r="AIZ15" s="1"/>
      <c r="AJA15" s="1"/>
      <c r="AJB15" s="1"/>
      <c r="AJC15" s="1"/>
      <c r="AJD15" s="1"/>
      <c r="AJE15" s="1"/>
      <c r="AJF15" s="1"/>
      <c r="AJG15" s="1"/>
      <c r="AJH15" s="1"/>
      <c r="AJI15" s="1"/>
      <c r="AJJ15" s="1"/>
      <c r="AJK15" s="1"/>
      <c r="AJL15" s="1"/>
      <c r="AJM15" s="1"/>
      <c r="AJN15" s="1"/>
      <c r="AJO15" s="1"/>
      <c r="AJP15" s="1"/>
      <c r="AJQ15" s="1"/>
      <c r="AJR15" s="1"/>
      <c r="AJS15" s="1"/>
      <c r="AJT15" s="1"/>
      <c r="AJU15" s="1"/>
      <c r="AJV15" s="1"/>
      <c r="AJW15" s="1"/>
      <c r="AJX15" s="1"/>
      <c r="AJY15" s="1"/>
      <c r="AJZ15" s="1"/>
      <c r="AKA15" s="1"/>
      <c r="AKB15" s="1"/>
      <c r="AKC15" s="1"/>
      <c r="AKD15" s="1"/>
      <c r="AKE15" s="1"/>
      <c r="AKF15" s="1"/>
      <c r="AKG15" s="1"/>
      <c r="AKH15" s="1"/>
      <c r="AKI15" s="1"/>
      <c r="AKJ15" s="1"/>
      <c r="AKK15" s="1"/>
      <c r="AKL15" s="1"/>
      <c r="AKM15" s="1"/>
      <c r="AKN15" s="1"/>
      <c r="AKO15" s="1"/>
      <c r="AKP15" s="1"/>
      <c r="AKQ15" s="1"/>
      <c r="AKR15" s="1"/>
      <c r="AKS15" s="1"/>
      <c r="AKT15" s="1"/>
      <c r="AKU15" s="1"/>
      <c r="AKV15" s="1"/>
      <c r="AKW15" s="1"/>
      <c r="AKX15" s="1"/>
      <c r="AKY15" s="1"/>
      <c r="AKZ15" s="1"/>
      <c r="ALA15" s="1"/>
      <c r="ALB15" s="1"/>
      <c r="ALC15" s="1"/>
      <c r="ALD15" s="1"/>
      <c r="ALE15" s="1"/>
      <c r="ALF15" s="1"/>
      <c r="ALG15" s="1"/>
      <c r="ALH15" s="1"/>
      <c r="ALI15" s="1"/>
      <c r="ALJ15" s="1"/>
      <c r="ALK15" s="1"/>
      <c r="ALL15" s="1"/>
      <c r="ALM15" s="1"/>
      <c r="ALN15" s="1"/>
      <c r="ALO15" s="1"/>
      <c r="ALP15" s="1"/>
      <c r="ALQ15" s="1"/>
      <c r="ALR15" s="1"/>
      <c r="ALS15" s="1"/>
      <c r="ALT15" s="1"/>
      <c r="ALU15" s="1"/>
      <c r="ALV15" s="1"/>
      <c r="ALW15" s="1"/>
      <c r="ALX15" s="1"/>
      <c r="ALY15" s="1"/>
      <c r="ALZ15" s="1"/>
      <c r="AMA15" s="1"/>
      <c r="AMB15" s="1"/>
      <c r="AMC15" s="1"/>
      <c r="AMD15" s="1"/>
      <c r="AME15" s="1"/>
      <c r="AMF15" s="1"/>
      <c r="AMG15" s="1"/>
      <c r="AMH15" s="1"/>
      <c r="AMI15" s="1"/>
      <c r="AMJ15" s="1"/>
    </row>
    <row r="16" spans="1:1024" x14ac:dyDescent="0.25">
      <c r="J16" s="38"/>
    </row>
  </sheetData>
  <mergeCells count="25"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  <mergeCell ref="A15:I15"/>
    <mergeCell ref="J15:K15"/>
    <mergeCell ref="D8:K8"/>
    <mergeCell ref="A10:A11"/>
    <mergeCell ref="B10:B11"/>
    <mergeCell ref="C10:G11"/>
    <mergeCell ref="H10:H11"/>
    <mergeCell ref="I10:I11"/>
    <mergeCell ref="J10:J11"/>
    <mergeCell ref="K10:K11"/>
    <mergeCell ref="A8:C8"/>
    <mergeCell ref="C14:G14"/>
    <mergeCell ref="C12:G12"/>
    <mergeCell ref="C13:G13"/>
  </mergeCells>
  <printOptions horizontalCentered="1"/>
  <pageMargins left="0.196527777777778" right="0.196527777777778" top="0.98402777777777795" bottom="0.98402777777777795" header="0.51180555555555496" footer="0.51180555555555496"/>
  <pageSetup paperSize="9" scale="90" firstPageNumber="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0"/>
  <sheetViews>
    <sheetView topLeftCell="A7" workbookViewId="0">
      <selection activeCell="O15" sqref="O15:P15"/>
    </sheetView>
  </sheetViews>
  <sheetFormatPr baseColWidth="10" defaultColWidth="11" defaultRowHeight="13.5" x14ac:dyDescent="0.25"/>
  <cols>
    <col min="1" max="6" width="4.42578125" style="1" customWidth="1"/>
    <col min="7" max="7" width="4.42578125" style="4" customWidth="1"/>
    <col min="8" max="14" width="4.42578125" style="1" customWidth="1"/>
    <col min="15" max="16" width="14.85546875" style="1" customWidth="1"/>
    <col min="17" max="17" width="26.42578125" style="1" customWidth="1"/>
    <col min="18" max="16384" width="11" style="1"/>
  </cols>
  <sheetData>
    <row r="1" spans="1:17" ht="15.75" customHeight="1" x14ac:dyDescent="0.25">
      <c r="A1" s="161" t="s">
        <v>5</v>
      </c>
      <c r="B1" s="161"/>
      <c r="C1" s="161"/>
      <c r="D1" s="162">
        <f>'Necesidades Trimestrales'!C6</f>
        <v>2022</v>
      </c>
      <c r="E1" s="162"/>
      <c r="F1" s="9"/>
      <c r="G1" s="9"/>
      <c r="H1" s="10"/>
      <c r="I1" s="10"/>
      <c r="J1" s="10"/>
      <c r="K1" s="10"/>
      <c r="L1" s="10"/>
      <c r="M1" s="10"/>
      <c r="N1" s="10"/>
      <c r="P1" s="163" t="s">
        <v>92</v>
      </c>
      <c r="Q1" s="163"/>
    </row>
    <row r="2" spans="1:17" ht="15.75" customHeight="1" x14ac:dyDescent="0.25">
      <c r="H2" s="10"/>
      <c r="I2" s="10"/>
      <c r="J2" s="10"/>
      <c r="K2" s="10"/>
      <c r="L2" s="10"/>
      <c r="M2" s="10"/>
      <c r="N2" s="10"/>
      <c r="P2" s="163"/>
      <c r="Q2" s="163"/>
    </row>
    <row r="4" spans="1:17" ht="18" customHeight="1" thickBot="1" x14ac:dyDescent="0.35">
      <c r="A4" s="164" t="s">
        <v>93</v>
      </c>
      <c r="B4" s="164"/>
      <c r="C4" s="164"/>
      <c r="D4" s="164"/>
      <c r="E4" s="164"/>
      <c r="F4" s="164"/>
      <c r="G4" s="159" t="str">
        <f>' NotaPedido'!D3</f>
        <v>90 - Ministerio de Seguridad</v>
      </c>
      <c r="H4" s="159"/>
      <c r="I4" s="159"/>
      <c r="J4" s="159"/>
      <c r="K4" s="159"/>
      <c r="L4" s="159"/>
      <c r="M4" s="159"/>
      <c r="N4" s="159"/>
      <c r="O4" s="159"/>
      <c r="P4" s="159"/>
      <c r="Q4" s="159"/>
    </row>
    <row r="5" spans="1:17" ht="18" customHeight="1" thickBot="1" x14ac:dyDescent="0.35">
      <c r="A5" s="156" t="s">
        <v>74</v>
      </c>
      <c r="B5" s="157"/>
      <c r="C5" s="157"/>
      <c r="D5" s="157"/>
      <c r="E5" s="157"/>
      <c r="F5" s="158"/>
      <c r="G5" s="159" t="str">
        <f>' NotaPedido'!D4</f>
        <v>7- Dirección Provincial de Administración de la Policía de la Provincia de Catamarca</v>
      </c>
      <c r="H5" s="159"/>
      <c r="I5" s="159"/>
      <c r="J5" s="159"/>
      <c r="K5" s="159"/>
      <c r="L5" s="159"/>
      <c r="M5" s="159"/>
      <c r="N5" s="159"/>
      <c r="O5" s="159"/>
      <c r="P5" s="159"/>
      <c r="Q5" s="159"/>
    </row>
    <row r="6" spans="1:17" ht="18" customHeight="1" thickBot="1" x14ac:dyDescent="0.35">
      <c r="A6" s="156" t="s">
        <v>75</v>
      </c>
      <c r="B6" s="157"/>
      <c r="C6" s="157"/>
      <c r="D6" s="157"/>
      <c r="E6" s="157"/>
      <c r="F6" s="158"/>
      <c r="G6" s="159" t="str">
        <f>' NotaPedido'!D5</f>
        <v>Policía de la Provincia de Catamarca</v>
      </c>
      <c r="H6" s="159"/>
      <c r="I6" s="159"/>
      <c r="J6" s="159"/>
      <c r="K6" s="159"/>
      <c r="L6" s="159"/>
      <c r="M6" s="159"/>
      <c r="N6" s="159"/>
      <c r="O6" s="159"/>
      <c r="P6" s="159"/>
      <c r="Q6" s="159"/>
    </row>
    <row r="7" spans="1:17" ht="18" customHeight="1" thickBot="1" x14ac:dyDescent="0.35">
      <c r="A7" s="156" t="s">
        <v>77</v>
      </c>
      <c r="B7" s="157"/>
      <c r="C7" s="157"/>
      <c r="D7" s="157"/>
      <c r="E7" s="157"/>
      <c r="F7" s="158"/>
      <c r="G7" s="159" t="str">
        <f>' NotaPedido'!D6</f>
        <v>División Intendencia, Departamento Logística</v>
      </c>
      <c r="H7" s="159"/>
      <c r="I7" s="159"/>
      <c r="J7" s="159"/>
      <c r="K7" s="159"/>
      <c r="L7" s="159"/>
      <c r="M7" s="159"/>
      <c r="N7" s="159"/>
      <c r="O7" s="159"/>
      <c r="P7" s="159"/>
      <c r="Q7" s="159"/>
    </row>
    <row r="8" spans="1:17" ht="18" customHeight="1" thickBot="1" x14ac:dyDescent="0.3">
      <c r="A8" s="160" t="s">
        <v>94</v>
      </c>
      <c r="B8" s="160"/>
      <c r="C8" s="160"/>
      <c r="D8" s="160"/>
      <c r="E8" s="160"/>
      <c r="F8" s="160"/>
      <c r="G8" s="160"/>
      <c r="H8" s="160"/>
      <c r="I8" s="160"/>
      <c r="J8" s="160"/>
      <c r="K8" s="160"/>
      <c r="L8" s="160"/>
      <c r="M8" s="160"/>
      <c r="N8" s="160"/>
      <c r="O8" s="160"/>
      <c r="P8" s="160"/>
      <c r="Q8" s="160"/>
    </row>
    <row r="9" spans="1:17" ht="18" customHeight="1" x14ac:dyDescent="0.3">
      <c r="A9" s="150" t="s">
        <v>95</v>
      </c>
      <c r="B9" s="150"/>
      <c r="C9" s="150"/>
      <c r="D9" s="150"/>
      <c r="E9" s="150"/>
      <c r="F9" s="150"/>
      <c r="G9" s="150"/>
      <c r="H9" s="150"/>
      <c r="I9" s="150"/>
      <c r="J9" s="150"/>
      <c r="K9" s="150"/>
      <c r="L9" s="150"/>
      <c r="M9" s="150"/>
      <c r="N9" s="150"/>
      <c r="O9" s="3"/>
      <c r="P9" s="3"/>
      <c r="Q9" s="11"/>
    </row>
    <row r="10" spans="1:17" ht="66.75" customHeight="1" x14ac:dyDescent="0.25">
      <c r="A10" s="151" t="str">
        <f>"Autorizo la realización de los  trámites correspondientes, a fin de proveer a  este Organismo los bienes y/o servicios que se detallan en Nota  de Pedido N° " &amp;' NotaPedido'!K1&amp;",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 de Pedido N° 81/2021,  afectando la erogación resultante a los créditos presupuestarios aprobados a favor de esta Unidad Ejecutora, conforme al siguiente detalle:</v>
      </c>
      <c r="B10" s="151"/>
      <c r="C10" s="151"/>
      <c r="D10" s="151"/>
      <c r="E10" s="151"/>
      <c r="F10" s="151"/>
      <c r="G10" s="151"/>
      <c r="H10" s="151"/>
      <c r="I10" s="151"/>
      <c r="J10" s="151"/>
      <c r="K10" s="151"/>
      <c r="L10" s="151"/>
      <c r="M10" s="151"/>
      <c r="N10" s="151"/>
      <c r="O10" s="151"/>
      <c r="P10" s="151"/>
      <c r="Q10" s="151"/>
    </row>
    <row r="11" spans="1:17" ht="9" customHeight="1" x14ac:dyDescent="0.25">
      <c r="A11" s="12"/>
      <c r="B11" s="13"/>
      <c r="C11" s="13"/>
      <c r="D11" s="13"/>
      <c r="E11" s="13"/>
      <c r="F11" s="13"/>
      <c r="G11" s="14"/>
      <c r="H11" s="13"/>
      <c r="I11" s="13"/>
      <c r="J11" s="13"/>
      <c r="K11" s="13"/>
      <c r="L11" s="13"/>
      <c r="M11" s="13"/>
      <c r="N11" s="13"/>
      <c r="O11" s="13"/>
      <c r="P11" s="13"/>
      <c r="Q11" s="15"/>
    </row>
    <row r="12" spans="1:17" ht="15.75" customHeight="1" x14ac:dyDescent="0.25">
      <c r="A12" s="152" t="s">
        <v>96</v>
      </c>
      <c r="B12" s="152"/>
      <c r="C12" s="152"/>
      <c r="D12" s="152"/>
      <c r="E12" s="152"/>
      <c r="F12" s="152"/>
      <c r="G12" s="152"/>
      <c r="H12" s="152"/>
      <c r="I12" s="152"/>
      <c r="J12" s="152"/>
      <c r="K12" s="152"/>
      <c r="L12" s="152"/>
      <c r="M12" s="152"/>
      <c r="N12" s="152"/>
      <c r="O12" s="152"/>
      <c r="P12" s="152"/>
      <c r="Q12" s="152"/>
    </row>
    <row r="13" spans="1:17" ht="15.75" customHeight="1" x14ac:dyDescent="0.25">
      <c r="A13" s="153" t="s">
        <v>97</v>
      </c>
      <c r="B13" s="153"/>
      <c r="C13" s="153"/>
      <c r="D13" s="153"/>
      <c r="E13" s="153"/>
      <c r="F13" s="153"/>
      <c r="G13" s="153"/>
      <c r="H13" s="153"/>
      <c r="I13" s="153"/>
      <c r="J13" s="153"/>
      <c r="K13" s="153"/>
      <c r="L13" s="153"/>
      <c r="M13" s="153"/>
      <c r="N13" s="153"/>
      <c r="O13" s="154" t="s">
        <v>98</v>
      </c>
      <c r="P13" s="154"/>
      <c r="Q13" s="155" t="s">
        <v>99</v>
      </c>
    </row>
    <row r="14" spans="1:17" ht="15.75" customHeight="1" thickBot="1" x14ac:dyDescent="0.3">
      <c r="A14" s="16" t="s">
        <v>100</v>
      </c>
      <c r="B14" s="17" t="s">
        <v>101</v>
      </c>
      <c r="C14" s="17" t="s">
        <v>102</v>
      </c>
      <c r="D14" s="17" t="s">
        <v>103</v>
      </c>
      <c r="E14" s="17" t="s">
        <v>104</v>
      </c>
      <c r="F14" s="17" t="s">
        <v>105</v>
      </c>
      <c r="G14" s="18" t="s">
        <v>106</v>
      </c>
      <c r="H14" s="17" t="s">
        <v>107</v>
      </c>
      <c r="I14" s="17" t="s">
        <v>108</v>
      </c>
      <c r="J14" s="17" t="s">
        <v>109</v>
      </c>
      <c r="K14" s="17" t="s">
        <v>109</v>
      </c>
      <c r="L14" s="17" t="s">
        <v>110</v>
      </c>
      <c r="M14" s="19" t="s">
        <v>111</v>
      </c>
      <c r="N14" s="20" t="s">
        <v>112</v>
      </c>
      <c r="O14" s="154"/>
      <c r="P14" s="154"/>
      <c r="Q14" s="155"/>
    </row>
    <row r="15" spans="1:17" ht="26.25" customHeight="1" x14ac:dyDescent="0.25">
      <c r="A15" s="21">
        <v>16</v>
      </c>
      <c r="B15" s="22">
        <v>0</v>
      </c>
      <c r="C15" s="22">
        <v>0</v>
      </c>
      <c r="D15" s="22">
        <v>1</v>
      </c>
      <c r="E15" s="22">
        <v>0</v>
      </c>
      <c r="F15" s="22">
        <v>10</v>
      </c>
      <c r="G15" s="22">
        <v>2</v>
      </c>
      <c r="H15" s="22">
        <v>210</v>
      </c>
      <c r="I15" s="22">
        <v>2</v>
      </c>
      <c r="J15" s="22">
        <v>9</v>
      </c>
      <c r="K15" s="22">
        <v>1</v>
      </c>
      <c r="L15" s="22">
        <v>0</v>
      </c>
      <c r="M15" s="23">
        <v>1</v>
      </c>
      <c r="N15" s="22" t="s">
        <v>113</v>
      </c>
      <c r="O15" s="133" t="e">
        <f>'Necesidades Trimestrales'!#REF!</f>
        <v>#REF!</v>
      </c>
      <c r="P15" s="134"/>
      <c r="Q15" s="24">
        <f>' NotaPedido'!J15</f>
        <v>480000</v>
      </c>
    </row>
    <row r="16" spans="1:17" ht="33" customHeight="1" thickBot="1" x14ac:dyDescent="0.3">
      <c r="A16" s="146" t="s">
        <v>114</v>
      </c>
      <c r="B16" s="146"/>
      <c r="C16" s="146"/>
      <c r="D16" s="146"/>
      <c r="E16" s="146"/>
      <c r="F16" s="146"/>
      <c r="G16" s="146"/>
      <c r="H16" s="146"/>
      <c r="I16" s="146"/>
      <c r="J16" s="146"/>
      <c r="K16" s="146"/>
      <c r="L16" s="146"/>
      <c r="M16" s="146"/>
      <c r="N16" s="146"/>
      <c r="O16" s="146"/>
      <c r="P16" s="146"/>
      <c r="Q16" s="25">
        <f>Q15</f>
        <v>480000</v>
      </c>
    </row>
    <row r="17" spans="1:17" ht="18" customHeight="1" thickBot="1" x14ac:dyDescent="0.3">
      <c r="A17" s="147"/>
      <c r="B17" s="148"/>
      <c r="C17" s="148"/>
      <c r="D17" s="148"/>
      <c r="E17" s="148"/>
      <c r="F17" s="148"/>
      <c r="G17" s="148"/>
      <c r="H17" s="148"/>
      <c r="I17" s="148"/>
      <c r="J17" s="148"/>
      <c r="K17" s="148"/>
      <c r="L17" s="148"/>
      <c r="M17" s="148"/>
      <c r="N17" s="148"/>
      <c r="O17" s="148"/>
      <c r="P17" s="148"/>
      <c r="Q17" s="149"/>
    </row>
    <row r="18" spans="1:17" ht="17.25" customHeight="1" thickBot="1" x14ac:dyDescent="0.3">
      <c r="A18" s="135" t="s">
        <v>115</v>
      </c>
      <c r="B18" s="136"/>
      <c r="C18" s="136"/>
      <c r="D18" s="136"/>
      <c r="E18" s="136"/>
      <c r="F18" s="137"/>
      <c r="G18" s="138"/>
      <c r="H18" s="139"/>
      <c r="I18" s="139"/>
      <c r="J18" s="139"/>
      <c r="K18" s="139"/>
      <c r="L18" s="139"/>
      <c r="M18" s="139"/>
      <c r="N18" s="139"/>
      <c r="O18" s="139"/>
      <c r="P18" s="139"/>
      <c r="Q18" s="139"/>
    </row>
    <row r="19" spans="1:17" ht="18" customHeight="1" x14ac:dyDescent="0.25">
      <c r="A19" s="140" t="str">
        <f>' NotaPedido'!D8</f>
        <v>Adquisición de Uniformes de Fajina para el personal policial.</v>
      </c>
      <c r="B19" s="141"/>
      <c r="C19" s="141"/>
      <c r="D19" s="141"/>
      <c r="E19" s="141"/>
      <c r="F19" s="141"/>
      <c r="G19" s="141"/>
      <c r="H19" s="141"/>
      <c r="I19" s="141"/>
      <c r="J19" s="141"/>
      <c r="K19" s="141"/>
      <c r="L19" s="141"/>
      <c r="M19" s="141"/>
      <c r="N19" s="141"/>
      <c r="O19" s="141"/>
      <c r="P19" s="141"/>
      <c r="Q19" s="142"/>
    </row>
    <row r="20" spans="1:17" ht="15" customHeight="1" thickBot="1" x14ac:dyDescent="0.3">
      <c r="A20" s="143"/>
      <c r="B20" s="144"/>
      <c r="C20" s="144"/>
      <c r="D20" s="144"/>
      <c r="E20" s="144"/>
      <c r="F20" s="144"/>
      <c r="G20" s="144"/>
      <c r="H20" s="144"/>
      <c r="I20" s="144"/>
      <c r="J20" s="144"/>
      <c r="K20" s="144"/>
      <c r="L20" s="144"/>
      <c r="M20" s="144"/>
      <c r="N20" s="144"/>
      <c r="O20" s="144"/>
      <c r="P20" s="144"/>
      <c r="Q20" s="145"/>
    </row>
  </sheetData>
  <mergeCells count="24">
    <mergeCell ref="A1:C1"/>
    <mergeCell ref="D1:E1"/>
    <mergeCell ref="P1:Q2"/>
    <mergeCell ref="A4:F4"/>
    <mergeCell ref="G4:Q4"/>
    <mergeCell ref="A5:F5"/>
    <mergeCell ref="G5:Q5"/>
    <mergeCell ref="A8:Q8"/>
    <mergeCell ref="A6:F6"/>
    <mergeCell ref="G6:Q6"/>
    <mergeCell ref="A7:F7"/>
    <mergeCell ref="G7:Q7"/>
    <mergeCell ref="A9:N9"/>
    <mergeCell ref="A10:Q10"/>
    <mergeCell ref="A12:Q12"/>
    <mergeCell ref="A13:N13"/>
    <mergeCell ref="O13:P14"/>
    <mergeCell ref="Q13:Q14"/>
    <mergeCell ref="O15:P15"/>
    <mergeCell ref="A18:F18"/>
    <mergeCell ref="G18:Q18"/>
    <mergeCell ref="A19:Q20"/>
    <mergeCell ref="A16:P16"/>
    <mergeCell ref="A17:Q17"/>
  </mergeCells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Necesidades Trimestrales</vt:lpstr>
      <vt:lpstr> NotaPedido</vt:lpstr>
      <vt:lpstr>Autor Gastar</vt:lpstr>
      <vt:lpstr>' NotaPedido'!Área_de_impresión</vt:lpstr>
      <vt:lpstr>'Autor Gastar'!Área_de_impresión</vt:lpstr>
    </vt:vector>
  </TitlesOfParts>
  <Manager/>
  <Company/>
  <LinksUpToDate>false</LinksUpToDate>
  <SharedDoc>false</SharedDoc>
  <HyperlinkBase/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Policia</dc:creator>
  <cp:keywords/>
  <dc:description/>
  <cp:lastModifiedBy>Contaduria</cp:lastModifiedBy>
  <cp:revision>2</cp:revision>
  <dcterms:created xsi:type="dcterms:W3CDTF">2020-07-17T23:44:49Z</dcterms:created>
  <dcterms:modified xsi:type="dcterms:W3CDTF">2022-10-11T15:14:42Z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