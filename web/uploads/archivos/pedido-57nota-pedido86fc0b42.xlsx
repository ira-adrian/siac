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LIBRERIA 2022\HSJB NUEVO\CORRECCION\"/>
    </mc:Choice>
  </mc:AlternateContent>
  <xr:revisionPtr revIDLastSave="0" documentId="8_{4370856B-BCB1-44FA-96F3-629B3574191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Trimestrales'!$A$9:$I$50</definedName>
    <definedName name="_xlnm.Print_Area" localSheetId="2">'Autor Gastar'!$A$1:$Q$27</definedName>
    <definedName name="_xlnm.Print_Area" localSheetId="1">NotaPedido!$A$1:$K$53</definedName>
  </definedNames>
  <calcPr calcId="181029"/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50" i="1"/>
  <c r="J5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<sst xmlns="http://schemas.openxmlformats.org/spreadsheetml/2006/main" count="317" uniqueCount="167">
  <si>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</si>
  <si>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</si>
  <si>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</si>
  <si>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</si>
  <si>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</si>
  <si>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</si>
  <si>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</si>
  <si>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</si>
  <si>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</si>
  <si>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</si>
  <si>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</si>
  <si>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</si>
  <si>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</si>
  <si>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</si>
  <si>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</si>
  <si>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</si>
  <si>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</si>
  <si>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</si>
  <si>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</si>
  <si>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</si>
  <si>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</si>
  <si>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</si>
  <si>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</si>
  <si>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</si>
  <si>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</si>
  <si>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</si>
  <si>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</si>
  <si>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</si>
  <si>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</si>
  <si>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</si>
  <si>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</si>
  <si>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</si>
  <si>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</si>
  <si>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</si>
  <si>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</si>
  <si>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</si>
  <si>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</si>
  <si>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</si>
  <si>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</si>
  <si>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</si>
  <si>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</si>
  <si>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</si>
  <si>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</si>
  <si>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</si>
  <si>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</si>
  <si>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</si>
  <si>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</si>
  <si>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</si>
  <si>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</si>
  <si>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</si>
  <si>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</si>
  <si>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</si>
  <si>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</si>
  <si>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</si>
  <si>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</si>
  <si>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</si>
  <si>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</si>
  <si>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</si>
  <si>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</si>
  <si>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</si>
  <si>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</si>
  <si>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</si>
  <si>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2.9.2-261.14</t>
  </si>
  <si>
    <t>2.9.2-262.4</t>
  </si>
  <si>
    <t>2.9.2-700.28</t>
  </si>
  <si>
    <t>2.9.2-1358.359</t>
  </si>
  <si>
    <t>2.9.2-2766.9</t>
  </si>
  <si>
    <t>2.9.2-2766.11</t>
  </si>
  <si>
    <t>2.3.1-6563.814</t>
  </si>
  <si>
    <t>2.3.1-6587.298</t>
  </si>
  <si>
    <t>2.9.2-1611.11</t>
  </si>
  <si>
    <t>2.9.2-1611.10</t>
  </si>
  <si>
    <t>2.9.2-4984.6</t>
  </si>
  <si>
    <t>2.9.2-323.4</t>
  </si>
  <si>
    <t>2.9.2-848.5</t>
  </si>
  <si>
    <t>2.3.1-6587.324</t>
  </si>
  <si>
    <t>2.9.2-1616.80</t>
  </si>
  <si>
    <t>2.9.2-1616.137</t>
  </si>
  <si>
    <t>2.3.1-6563.968</t>
  </si>
  <si>
    <t>2.3.1-6563.1009</t>
  </si>
  <si>
    <t>2.9.2-660.4</t>
  </si>
  <si>
    <t>2.9.2-858.16</t>
  </si>
  <si>
    <t>2.3.1-6590.484</t>
  </si>
  <si>
    <t>2.3.1-6590.541</t>
  </si>
  <si>
    <t>2.3.1-6590.465</t>
  </si>
  <si>
    <t>2.3.1-6590.531</t>
  </si>
  <si>
    <t>2.9.2-1450.36</t>
  </si>
  <si>
    <t>2.9.2-1354.28</t>
  </si>
  <si>
    <t>2.9.2-1354.4</t>
  </si>
  <si>
    <t>2.9.2-661.25</t>
  </si>
  <si>
    <t>2.9.2-850.201</t>
  </si>
  <si>
    <t>2.9.2-1153.89</t>
  </si>
  <si>
    <t>2.9.2-291.18</t>
  </si>
  <si>
    <t>2.9.2-5042.31</t>
  </si>
  <si>
    <t>2.9.2-8819.1</t>
  </si>
  <si>
    <t>2.9.2-1620.1</t>
  </si>
  <si>
    <t>CARPETAS P/ENCUADERNACION; TAMAÑO: OFICIO, PEGAMENTO: SIN, MATERIAL LOMO: PLASTICO TRANPARENTE, ESPESOR: 9 mm, TAPA: TRANSPARENTE</t>
  </si>
  <si>
    <t>CINTAS ADHESIVAS; TIPO: TRANSPARENTE,  ANCHO: 1,2 Cm, LARGO ROLLO: 50 M, MATERIAL: POLIPROPILENO, ACCESORIO: SIN, LARGO: 50 M</t>
  </si>
  <si>
    <t>ALMOHADILLA P/SELLO; MEDIDA: 11 X 8 Cm, MATERIAL: METAL</t>
  </si>
  <si>
    <t>TIJERA; USO: P/PAPEL, MATERIAL: ACERO INOXIDABLE, LONG: DE CUERPO: 22 CM</t>
  </si>
  <si>
    <t>ABROCHADORAS DE PAPEL; TIPO: PINZA, P/BROCHES: 10/50, MATERIAL: METALICA, MEDIDA: 10/50</t>
  </si>
  <si>
    <t>ADHESIVOS P/PAPEL; PRESENTACION: 250 GR, TIPO: COLA VINILICA</t>
  </si>
  <si>
    <t>BROCHES P/ABROCHADORA; NUMERO: 10/50, PRESENTACION: CAJA X 1000 UNIDADES</t>
  </si>
  <si>
    <t>CARPETAS; MATERIAL: FIBRA, TAMAÑO: OFICIO</t>
  </si>
  <si>
    <t>CARPETAS P/ENCUADERNACION; TAMAÑO: A4, PEGAMENTO: SIN, MATERIAL LOMO: PLASTICO TRANPARENTE, ESPESOR: 9 mm, TAPA: TRANSPARENTE</t>
  </si>
  <si>
    <t>PAPELES EN HOJA; TIPO DE PAPEL: CARTULINA, DIMENSION: 63 X 44,5 Cm, GRAMAJE: 125, PRESENTACION: UNIDAD, CERTIFICADO FORESTAL (GFS): CON</t>
  </si>
  <si>
    <t>PAPELES ENCUADERNADOS; CANT. DE HOJAS: 100, TAMAÑO: 21 X 16 Cm, TIPO: CUADERNO, CERTIFICADO FORESTAL (GFS): CON, PORC. FIBRAS RECICLADAS: 0 %, CERT. FIBRA ALTERNATIVA (FCA): SIN</t>
  </si>
  <si>
    <t>FOLIOS TRANSPARENTES; TAMAÑO: OFICIO, PERFORACIONES: 5, MATERIAL: POLIPROPILENO</t>
  </si>
  <si>
    <t>FOLIOS TRANSPARENTES; TAMAÑO: A-4, PERFORACIONES: 5, MATERIAL: POLIPROPILENO</t>
  </si>
  <si>
    <t>LAPICERAS ESTILOGRAFICAS; TIPO: TRAZO GRUESO, MATERIAL: PLASTICO Y METAL , RECARGABLE: NO</t>
  </si>
  <si>
    <t>CORRECTORES DE ESCRITURA; CAPACIDAD: 7 mL, ENVASE: LAPIZ (PUNTA METAL), PRESENTACION: LAPIZ (PUNTA METAL) X 7 mL</t>
  </si>
  <si>
    <t>LAPIZ; TIPO: COMUN NRO 2, COLOR: NEGRO</t>
  </si>
  <si>
    <t>PAPELES ENCUADERNADOS; CANT. DE HOJAS: 400, TAMAÑO: 21 X 33 Cm, TIPO: LIBRO DE ACTAS, CERTIFICADO FORESTAL (GFS): SIN, PORC. FIBRAS RECICLADAS: 0 %, CERT. FIBRA ALTERNATIVA (FCA): SIN</t>
  </si>
  <si>
    <t>MARCADORES; TIPO AL AGUA - TRAZO GRUESO - PUNTA REDONDA - RECARGABLE NO</t>
  </si>
  <si>
    <t>MARCADORES; TIPO: INDELEBLE, TRAZO: GRUESO, PUNTA: REDONDA, COLOR: NEGRO, RECARGABLE: NO</t>
  </si>
  <si>
    <t>PAPELES EN HOJA; TIPO DE PAPEL: EXTRA BLANCO, DIMENSION: A4, GRAMAJE: 80 GR, PRESENTACION: RESMA X 500 HOJAS, CERTIFICADO FORESTAL (GFS): SIN, PORC. FIBRAS RECICLADAS: 0 %, CERT. FIBRA ALTERNATIVA (FCA): CON</t>
  </si>
  <si>
    <t>PAPELES EN HOJA; TIPO DE PAPEL: BLANCO, DIMENSION: OFICIO, GRAMAJE: 80 GR, PRESENTACION: ENVASE X 500 HOJAS, CERTIFICADO FORESTAL (GFS): SIN, PORC. FIBRAS RECICLADAS: 0 %, CERT. FIBRA ALTERNATIVA (FCA): SIN</t>
  </si>
  <si>
    <t>CLIPS P/PAPEL; MATERIAL: METAL, NUMERO: 4, CANT. X CAJA: 100, PRESENTACION: CAJA X 100</t>
  </si>
  <si>
    <t>SOBRES DE PAPEL; TIPO: MANILA, TAMAÑO: 19 X 24 Cm, GRAMAJE: 80 GR/M2, PRESENTACION: UNIDAD UN, CERTIFICADO FORESTAL (GFS): SIN, PORC. FIBRAS RECICLADAS: SIN VALOR</t>
  </si>
  <si>
    <t>SOBRES DE PAPEL; TIPO: BOLSA DE PAPEL MANILA, TAMAÑO: 24 X 30 Cm, GRAMAJE: 80 GR/M2, PRESENTACION: ENVASE X 100 UN, CERTIFICADO FORESTAL (GFS): SIN, PORC. FIBRAS RECICLADAS: 0 %, CERT. FIBRA ALTERNATIVA (FCA): SIN</t>
  </si>
  <si>
    <t>SOBRES DE PAPEL; TIPO: BOLSA MANILA, TAMAÑO: 30 X 40 Cm, GRAMAJE: 90 GR/M2, PRESENTACION: UNIDAD, CERTIFICADO FORESTAL (GFS): SIN, PORC. FIBRAS RECICLADAS: 0 %</t>
  </si>
  <si>
    <t xml:space="preserve">TINTAS P/SELLOS; TIPO DE SELLO: DE GOMA, PRESENTACION: ENVASE X 28 CM3  </t>
  </si>
  <si>
    <t>RESALTADORES; PUNTA: FINA, ACCESORIO: SIN, COLOR: AMARILLO, TIPO PUNTA: FINA</t>
  </si>
  <si>
    <t>RESALTADORES; ACCESORIO: CON CLIPS, COLOR: ROJO, PUNTA: 5 (CHANFLEADA) mm, TIPO PUNTA: 5 (CHANFLEADA) mm</t>
  </si>
  <si>
    <t>CAJAS DE ARCHIVO; MATERIAL: CARTON, DIMENSION: 45 X 35 X 25 Cm</t>
  </si>
  <si>
    <t>UNIDAD</t>
  </si>
  <si>
    <t>CAJA</t>
  </si>
  <si>
    <t>PLIEGO</t>
  </si>
  <si>
    <t>LIBRERIA,PAP. Y UTILES OFICINA</t>
  </si>
  <si>
    <t>2.9.2-274.26</t>
  </si>
  <si>
    <t>BIBLIORATOS; ANCHO: 80 mm, ANILLO: ANILLO Y PALANCA, TAMAÑO: OFICIO, LOMO: CARTON, TAPAS: CARTON FORRADO PLASTICO, COLOR: NEGRO AZUL, MATERIAL: CARTON</t>
  </si>
  <si>
    <t>2.9.2-1153.189</t>
  </si>
  <si>
    <t>CINTAS ADHESIVAS; TIPO: EMBALAR, ANCHO: 50 mm, LARGO: 50 M, MATERIAL: POLIPROPILENO, ACCESORIO: SIN</t>
  </si>
  <si>
    <t>PERFORADORAS; TAMAÑO: MEDIANA, N° PERFORACIONES: 2, DIST. ENTRE AGUJ.: SIN VALOR, GUIA POSICION PAPEL: SIN VALOR, MATERIAL ESTRUCTURA: MADERA, MATERIAL: MADERA</t>
  </si>
  <si>
    <t>SOBRES DE PAPEL; TIPO: MANILA, TAMAÑO: 37 X 45 Cm, GRAMAJE: 80 GR/M2, PRESENTACION: ENVASE X 100 UN, CERTIFICADO FORESTAL (GFS): SIN, PORC. FIBRAS RECICLADAS: 0 %, CERT. FIBRA ALTERNATIVA (FCA): SIN</t>
  </si>
  <si>
    <t>2.3.3-861.325</t>
  </si>
  <si>
    <t>SOBRES C/MEMBRETE; IMPRESION: 1 COLOR, TAMAÑO: 16 X 22 Cm, TIPO DE PAPEL: BLANCO, GRAMAJE: 80 GR/M2, CERTIFICADO FORESTAL (GFS): SIN, PORC. FIBRAS RECICLADAS: SIN %</t>
  </si>
  <si>
    <t>2.3.1-6587.292</t>
  </si>
  <si>
    <t>PAPELES ENCUADERNADOS; CANT. DE HOJAS: 196, TAMAÑO: 21 X 16 Cm, TIPO: CUADERNO, CERTIFICADO FORESTAL (GFS): SIN, PORC. FIBRAS RECICLADAS: 0 %, CERT. FIBRA ALTERNATIVA (FCA): SIN</t>
  </si>
  <si>
    <t>HERRAMIENTAS</t>
  </si>
  <si>
    <t>DISCO VERSATIL DIGITAL (DVD) ; CAPACIDAD: 4,7 Gb, TIPO: GRABABLE</t>
  </si>
  <si>
    <t>INFORMATICA</t>
  </si>
  <si>
    <t>DISCO COMPACTO; TIPO: VIRGEN, CAPACIDAD: 700 MB</t>
  </si>
  <si>
    <t>2.3.1-6590.432</t>
  </si>
  <si>
    <t>SOBRES DE PAPEL; TIPO: P/DISCO COMPACTO, TAMAÑO: 12,7 X 12,7 Cm, GRAMAJE: 80 GR/M2, PRESENTACION: UNIDAD, CERTIFICADO FORESTAL (GFS): SIN</t>
  </si>
  <si>
    <t>LAPICERA TRAZO GRUESO COLOR NEGRA, TIPO BIC.-</t>
  </si>
  <si>
    <t>LAPICERA TRAZO GRUESO COLOR AZUL, TIPO BIC.-</t>
  </si>
  <si>
    <t>Especificidades Item N°14 :</t>
  </si>
  <si>
    <t>LAPICERA TRAZO GRUESO COLOR ROJO, TIPO BIC.-</t>
  </si>
  <si>
    <t>Mantenimiento de Oferta: 45 dias habiles</t>
  </si>
  <si>
    <t>Plazo de entrega: 15 dias corridos</t>
  </si>
  <si>
    <t>Especificidades Item N° 9:</t>
  </si>
  <si>
    <t>Especificidades Item N°13:</t>
  </si>
  <si>
    <t>Especificidades Item N°15 :</t>
  </si>
  <si>
    <t>CINTA DE EMBALAR TRANSPARENTE</t>
  </si>
  <si>
    <t>Papel de Escritorio y Cartón</t>
  </si>
  <si>
    <t>Productos de Artes Gráficas</t>
  </si>
  <si>
    <t>237 - Direccion de Mantenimiento</t>
  </si>
  <si>
    <t>Adquisición de Articulos de Librería</t>
  </si>
  <si>
    <t>Costo total estimado: PESOS UN MILLON SETECIENTOS DOS MIL CIENTO OCHENTA Y SIETE CON 50/100</t>
  </si>
  <si>
    <t xml:space="preserve">Lugar de entrega: Sección Deposito Central - Avda. Illia y Mariano Moreno </t>
  </si>
  <si>
    <t xml:space="preserve">Sección Deposito Central - Avda. Illia y Mariano Moreno </t>
  </si>
  <si>
    <t>TOTAL DE PESOS: UN MILLON SETECIENTOS DOS MIL CIENTO OCHENTA Y SIETE CON 50/100.----</t>
  </si>
  <si>
    <t>Sección Deposito Central</t>
  </si>
  <si>
    <t>002 - 2022</t>
  </si>
  <si>
    <t>GOMAS DE BORRAR; USO: LAPIZ Y TINTA, DIMENSION: 55 X 17 mm, MATERIAL: CAUCHO, CANT. X CAJA: UNIDAD, PRESENTACION: UNIDAD</t>
  </si>
  <si>
    <t>Utiles de Escritorio, Oficina y Enseñanza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</si>
</sst>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6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3" borderId="6" xfId="0" applyFont="1" applyFill="1" applyBorder="1" applyAlignment="1">
      <alignment horizontal="center"/>
    </xf>
    <xf numFmtId="0" fontId="26" fillId="6" borderId="20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4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4"/>
  <sheetViews>
    <sheetView topLeftCell="A34" zoomScale="85" zoomScaleNormal="85" workbookViewId="0">
      <selection activeCell="B42" sqref="B4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91" t="s">
        <v>1</v>
      </c>
      <c r="B4" s="91"/>
      <c r="C4" s="92" t="s">
        <v>57</v>
      </c>
      <c r="D4" s="92"/>
      <c r="E4" s="92"/>
      <c r="F4" s="40"/>
      <c r="G4" s="41"/>
      <c r="H4" s="40"/>
    </row>
    <row r="5" spans="1:9" ht="18" customHeight="1" x14ac:dyDescent="0.25">
      <c r="A5" s="91" t="s">
        <v>2</v>
      </c>
      <c r="B5" s="91"/>
      <c r="C5" s="92" t="s">
        <v>58</v>
      </c>
      <c r="D5" s="92"/>
      <c r="E5" s="92"/>
      <c r="F5" s="40"/>
      <c r="G5" s="41"/>
      <c r="H5" s="40"/>
    </row>
    <row r="6" spans="1:9" ht="16.5" customHeight="1" x14ac:dyDescent="0.25">
      <c r="A6" s="91" t="s">
        <v>3</v>
      </c>
      <c r="B6" s="91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91" t="s">
        <v>4</v>
      </c>
      <c r="B7" s="91"/>
      <c r="C7" s="63">
        <v>1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62</v>
      </c>
      <c r="C10" s="57" t="s">
        <v>128</v>
      </c>
      <c r="D10" s="58" t="str">
        <f>LEFT(B10,5)</f>
        <v>2.9.2</v>
      </c>
      <c r="E10" s="59" t="s">
        <v>100</v>
      </c>
      <c r="F10" s="60" t="s">
        <v>125</v>
      </c>
      <c r="G10" s="60">
        <v>15</v>
      </c>
      <c r="H10" s="61">
        <v>1999</v>
      </c>
      <c r="I10" s="62">
        <f t="shared" ref="I10:I50" si="0">G10*H10</f>
        <v>29985</v>
      </c>
    </row>
    <row r="11" spans="1:9" ht="31.9" customHeight="1" thickBot="1" x14ac:dyDescent="0.25">
      <c r="A11" s="56">
        <v>2</v>
      </c>
      <c r="B11" s="60" t="s">
        <v>63</v>
      </c>
      <c r="C11" s="57" t="s">
        <v>128</v>
      </c>
      <c r="D11" s="58" t="str">
        <f t="shared" ref="D11:D50" si="1">LEFT(B11,5)</f>
        <v>2.9.2</v>
      </c>
      <c r="E11" s="59" t="s">
        <v>101</v>
      </c>
      <c r="F11" s="60" t="s">
        <v>125</v>
      </c>
      <c r="G11" s="60">
        <v>50</v>
      </c>
      <c r="H11" s="61">
        <v>125.45</v>
      </c>
      <c r="I11" s="62">
        <f t="shared" si="0"/>
        <v>6272.5</v>
      </c>
    </row>
    <row r="12" spans="1:9" ht="31.9" customHeight="1" thickBot="1" x14ac:dyDescent="0.25">
      <c r="A12" s="56">
        <v>3</v>
      </c>
      <c r="B12" s="60" t="s">
        <v>64</v>
      </c>
      <c r="C12" s="57" t="s">
        <v>128</v>
      </c>
      <c r="D12" s="58" t="str">
        <f t="shared" si="1"/>
        <v>2.9.2</v>
      </c>
      <c r="E12" s="59" t="s">
        <v>102</v>
      </c>
      <c r="F12" s="60" t="s">
        <v>126</v>
      </c>
      <c r="G12" s="60">
        <v>300</v>
      </c>
      <c r="H12" s="61">
        <v>110</v>
      </c>
      <c r="I12" s="62">
        <f t="shared" si="0"/>
        <v>33000</v>
      </c>
    </row>
    <row r="13" spans="1:9" ht="31.9" customHeight="1" thickBot="1" x14ac:dyDescent="0.25">
      <c r="A13" s="56">
        <v>4</v>
      </c>
      <c r="B13" s="60" t="s">
        <v>65</v>
      </c>
      <c r="C13" s="57" t="s">
        <v>128</v>
      </c>
      <c r="D13" s="58" t="str">
        <f t="shared" si="1"/>
        <v>2.9.2</v>
      </c>
      <c r="E13" s="59" t="s">
        <v>103</v>
      </c>
      <c r="F13" s="60" t="s">
        <v>125</v>
      </c>
      <c r="G13" s="60">
        <v>75</v>
      </c>
      <c r="H13" s="61">
        <v>265</v>
      </c>
      <c r="I13" s="62">
        <f t="shared" si="0"/>
        <v>19875</v>
      </c>
    </row>
    <row r="14" spans="1:9" ht="31.9" customHeight="1" thickBot="1" x14ac:dyDescent="0.25">
      <c r="A14" s="56">
        <v>5</v>
      </c>
      <c r="B14" s="60" t="s">
        <v>66</v>
      </c>
      <c r="C14" s="57" t="s">
        <v>128</v>
      </c>
      <c r="D14" s="58" t="str">
        <f t="shared" si="1"/>
        <v>2.9.2</v>
      </c>
      <c r="E14" s="59" t="s">
        <v>104</v>
      </c>
      <c r="F14" s="60" t="s">
        <v>125</v>
      </c>
      <c r="G14" s="60">
        <v>200</v>
      </c>
      <c r="H14" s="61">
        <v>68</v>
      </c>
      <c r="I14" s="62">
        <f t="shared" si="0"/>
        <v>13600</v>
      </c>
    </row>
    <row r="15" spans="1:9" ht="31.9" customHeight="1" thickBot="1" x14ac:dyDescent="0.25">
      <c r="A15" s="56">
        <v>6</v>
      </c>
      <c r="B15" s="60" t="s">
        <v>67</v>
      </c>
      <c r="C15" s="57" t="s">
        <v>128</v>
      </c>
      <c r="D15" s="58" t="str">
        <f t="shared" si="1"/>
        <v>2.9.2</v>
      </c>
      <c r="E15" s="59" t="s">
        <v>96</v>
      </c>
      <c r="F15" s="60" t="s">
        <v>125</v>
      </c>
      <c r="G15" s="60">
        <v>200</v>
      </c>
      <c r="H15" s="61">
        <v>85.5</v>
      </c>
      <c r="I15" s="62">
        <f t="shared" si="0"/>
        <v>17100</v>
      </c>
    </row>
    <row r="16" spans="1:9" ht="31.9" customHeight="1" thickBot="1" x14ac:dyDescent="0.25">
      <c r="A16" s="56">
        <v>7</v>
      </c>
      <c r="B16" s="60" t="s">
        <v>129</v>
      </c>
      <c r="C16" s="57" t="s">
        <v>128</v>
      </c>
      <c r="D16" s="58" t="str">
        <f t="shared" si="1"/>
        <v>2.9.2</v>
      </c>
      <c r="E16" s="59" t="s">
        <v>130</v>
      </c>
      <c r="F16" s="60" t="s">
        <v>125</v>
      </c>
      <c r="G16" s="60">
        <v>100</v>
      </c>
      <c r="H16" s="61">
        <v>329</v>
      </c>
      <c r="I16" s="62">
        <f t="shared" si="0"/>
        <v>32900</v>
      </c>
    </row>
    <row r="17" spans="1:9" ht="31.9" customHeight="1" thickBot="1" x14ac:dyDescent="0.25">
      <c r="A17" s="56">
        <v>8</v>
      </c>
      <c r="B17" s="60" t="s">
        <v>68</v>
      </c>
      <c r="C17" s="57" t="s">
        <v>128</v>
      </c>
      <c r="D17" s="58" t="str">
        <f t="shared" si="1"/>
        <v>2.3.1</v>
      </c>
      <c r="E17" s="59" t="s">
        <v>105</v>
      </c>
      <c r="F17" s="60" t="s">
        <v>127</v>
      </c>
      <c r="G17" s="60">
        <v>3000</v>
      </c>
      <c r="H17" s="61">
        <v>35</v>
      </c>
      <c r="I17" s="62">
        <f t="shared" si="0"/>
        <v>105000</v>
      </c>
    </row>
    <row r="18" spans="1:9" ht="31.9" customHeight="1" thickBot="1" x14ac:dyDescent="0.25">
      <c r="A18" s="56">
        <v>9</v>
      </c>
      <c r="B18" s="60" t="s">
        <v>131</v>
      </c>
      <c r="C18" s="57" t="s">
        <v>128</v>
      </c>
      <c r="D18" s="58" t="str">
        <f t="shared" si="1"/>
        <v>2.9.2</v>
      </c>
      <c r="E18" s="59" t="s">
        <v>132</v>
      </c>
      <c r="F18" s="60" t="s">
        <v>125</v>
      </c>
      <c r="G18" s="60">
        <v>150</v>
      </c>
      <c r="H18" s="61">
        <v>163</v>
      </c>
      <c r="I18" s="62">
        <f t="shared" si="0"/>
        <v>24450</v>
      </c>
    </row>
    <row r="19" spans="1:9" ht="31.9" customHeight="1" thickBot="1" x14ac:dyDescent="0.25">
      <c r="A19" s="56">
        <v>10</v>
      </c>
      <c r="B19" s="60" t="s">
        <v>69</v>
      </c>
      <c r="C19" s="57" t="s">
        <v>128</v>
      </c>
      <c r="D19" s="58" t="str">
        <f t="shared" si="1"/>
        <v>2.3.1</v>
      </c>
      <c r="E19" s="59" t="s">
        <v>106</v>
      </c>
      <c r="F19" s="60" t="s">
        <v>125</v>
      </c>
      <c r="G19" s="60">
        <v>100</v>
      </c>
      <c r="H19" s="61">
        <v>735</v>
      </c>
      <c r="I19" s="62">
        <f t="shared" si="0"/>
        <v>73500</v>
      </c>
    </row>
    <row r="20" spans="1:9" ht="31.9" customHeight="1" thickBot="1" x14ac:dyDescent="0.25">
      <c r="A20" s="56">
        <v>11</v>
      </c>
      <c r="B20" s="60" t="s">
        <v>70</v>
      </c>
      <c r="C20" s="57" t="s">
        <v>128</v>
      </c>
      <c r="D20" s="58" t="str">
        <f t="shared" si="1"/>
        <v>2.9.2</v>
      </c>
      <c r="E20" s="59" t="s">
        <v>107</v>
      </c>
      <c r="F20" s="60" t="s">
        <v>125</v>
      </c>
      <c r="G20" s="60">
        <v>300</v>
      </c>
      <c r="H20" s="61">
        <v>12</v>
      </c>
      <c r="I20" s="62">
        <f t="shared" si="0"/>
        <v>3600</v>
      </c>
    </row>
    <row r="21" spans="1:9" ht="31.9" customHeight="1" thickBot="1" x14ac:dyDescent="0.25">
      <c r="A21" s="56">
        <v>12</v>
      </c>
      <c r="B21" s="60" t="s">
        <v>71</v>
      </c>
      <c r="C21" s="57" t="s">
        <v>128</v>
      </c>
      <c r="D21" s="58" t="str">
        <f t="shared" si="1"/>
        <v>2.9.2</v>
      </c>
      <c r="E21" s="59" t="s">
        <v>108</v>
      </c>
      <c r="F21" s="60" t="s">
        <v>125</v>
      </c>
      <c r="G21" s="60">
        <v>300</v>
      </c>
      <c r="H21" s="61">
        <v>10</v>
      </c>
      <c r="I21" s="62">
        <f t="shared" si="0"/>
        <v>3000</v>
      </c>
    </row>
    <row r="22" spans="1:9" ht="31.9" customHeight="1" thickBot="1" x14ac:dyDescent="0.25">
      <c r="A22" s="56">
        <v>13</v>
      </c>
      <c r="B22" s="60" t="s">
        <v>72</v>
      </c>
      <c r="C22" s="57" t="s">
        <v>128</v>
      </c>
      <c r="D22" s="58" t="str">
        <f t="shared" si="1"/>
        <v>2.9.2</v>
      </c>
      <c r="E22" s="59" t="s">
        <v>109</v>
      </c>
      <c r="F22" s="60" t="s">
        <v>125</v>
      </c>
      <c r="G22" s="60">
        <v>800</v>
      </c>
      <c r="H22" s="61">
        <v>29</v>
      </c>
      <c r="I22" s="62">
        <f t="shared" si="0"/>
        <v>23200</v>
      </c>
    </row>
    <row r="23" spans="1:9" ht="31.9" customHeight="1" thickBot="1" x14ac:dyDescent="0.25">
      <c r="A23" s="56">
        <v>14</v>
      </c>
      <c r="B23" s="60" t="s">
        <v>72</v>
      </c>
      <c r="C23" s="57" t="s">
        <v>128</v>
      </c>
      <c r="D23" s="58" t="str">
        <f t="shared" si="1"/>
        <v>2.9.2</v>
      </c>
      <c r="E23" s="59" t="s">
        <v>109</v>
      </c>
      <c r="F23" s="60" t="s">
        <v>125</v>
      </c>
      <c r="G23" s="60">
        <v>800</v>
      </c>
      <c r="H23" s="61">
        <v>29</v>
      </c>
      <c r="I23" s="62">
        <f t="shared" si="0"/>
        <v>23200</v>
      </c>
    </row>
    <row r="24" spans="1:9" ht="31.9" customHeight="1" thickBot="1" x14ac:dyDescent="0.25">
      <c r="A24" s="56">
        <v>15</v>
      </c>
      <c r="B24" s="60" t="s">
        <v>72</v>
      </c>
      <c r="C24" s="57" t="s">
        <v>128</v>
      </c>
      <c r="D24" s="58" t="str">
        <f t="shared" si="1"/>
        <v>2.9.2</v>
      </c>
      <c r="E24" s="59" t="s">
        <v>109</v>
      </c>
      <c r="F24" s="60" t="s">
        <v>125</v>
      </c>
      <c r="G24" s="60">
        <v>300</v>
      </c>
      <c r="H24" s="61">
        <v>29</v>
      </c>
      <c r="I24" s="62">
        <f t="shared" si="0"/>
        <v>8700</v>
      </c>
    </row>
    <row r="25" spans="1:9" ht="31.9" customHeight="1" thickBot="1" x14ac:dyDescent="0.25">
      <c r="A25" s="56">
        <v>16</v>
      </c>
      <c r="B25" s="60" t="s">
        <v>73</v>
      </c>
      <c r="C25" s="57" t="s">
        <v>128</v>
      </c>
      <c r="D25" s="58" t="str">
        <f t="shared" si="1"/>
        <v>2.9.2</v>
      </c>
      <c r="E25" s="59" t="s">
        <v>110</v>
      </c>
      <c r="F25" s="60" t="s">
        <v>125</v>
      </c>
      <c r="G25" s="60">
        <v>250</v>
      </c>
      <c r="H25" s="61">
        <v>120</v>
      </c>
      <c r="I25" s="62">
        <f t="shared" si="0"/>
        <v>30000</v>
      </c>
    </row>
    <row r="26" spans="1:9" ht="31.9" customHeight="1" thickBot="1" x14ac:dyDescent="0.25">
      <c r="A26" s="56">
        <v>17</v>
      </c>
      <c r="B26" s="60" t="s">
        <v>74</v>
      </c>
      <c r="C26" s="57" t="s">
        <v>128</v>
      </c>
      <c r="D26" s="58" t="str">
        <f t="shared" si="1"/>
        <v>2.9.2</v>
      </c>
      <c r="E26" s="59" t="s">
        <v>111</v>
      </c>
      <c r="F26" s="60" t="s">
        <v>125</v>
      </c>
      <c r="G26" s="60">
        <v>100</v>
      </c>
      <c r="H26" s="61">
        <v>33</v>
      </c>
      <c r="I26" s="62">
        <f t="shared" si="0"/>
        <v>3300</v>
      </c>
    </row>
    <row r="27" spans="1:9" ht="31.9" customHeight="1" thickBot="1" x14ac:dyDescent="0.25">
      <c r="A27" s="56">
        <v>18</v>
      </c>
      <c r="B27" s="60" t="s">
        <v>75</v>
      </c>
      <c r="C27" s="57" t="s">
        <v>128</v>
      </c>
      <c r="D27" s="58" t="str">
        <f t="shared" si="1"/>
        <v>2.3.1</v>
      </c>
      <c r="E27" s="59" t="s">
        <v>112</v>
      </c>
      <c r="F27" s="60" t="s">
        <v>125</v>
      </c>
      <c r="G27" s="60">
        <v>30</v>
      </c>
      <c r="H27" s="61">
        <v>765</v>
      </c>
      <c r="I27" s="62">
        <f t="shared" si="0"/>
        <v>22950</v>
      </c>
    </row>
    <row r="28" spans="1:9" ht="31.9" customHeight="1" thickBot="1" x14ac:dyDescent="0.25">
      <c r="A28" s="56">
        <v>19</v>
      </c>
      <c r="B28" s="60" t="s">
        <v>76</v>
      </c>
      <c r="C28" s="57" t="s">
        <v>128</v>
      </c>
      <c r="D28" s="58" t="str">
        <f t="shared" si="1"/>
        <v>2.9.2</v>
      </c>
      <c r="E28" s="59" t="s">
        <v>113</v>
      </c>
      <c r="F28" s="60" t="s">
        <v>125</v>
      </c>
      <c r="G28" s="60">
        <v>150</v>
      </c>
      <c r="H28" s="61">
        <v>90</v>
      </c>
      <c r="I28" s="62">
        <f t="shared" si="0"/>
        <v>13500</v>
      </c>
    </row>
    <row r="29" spans="1:9" ht="31.9" customHeight="1" thickBot="1" x14ac:dyDescent="0.25">
      <c r="A29" s="56">
        <v>20</v>
      </c>
      <c r="B29" s="60" t="s">
        <v>77</v>
      </c>
      <c r="C29" s="57" t="s">
        <v>128</v>
      </c>
      <c r="D29" s="58" t="str">
        <f t="shared" si="1"/>
        <v>2.9.2</v>
      </c>
      <c r="E29" s="59" t="s">
        <v>114</v>
      </c>
      <c r="F29" s="60" t="s">
        <v>125</v>
      </c>
      <c r="G29" s="60">
        <v>250</v>
      </c>
      <c r="H29" s="61">
        <v>125</v>
      </c>
      <c r="I29" s="62">
        <f t="shared" si="0"/>
        <v>31250</v>
      </c>
    </row>
    <row r="30" spans="1:9" ht="31.9" customHeight="1" thickBot="1" x14ac:dyDescent="0.25">
      <c r="A30" s="56">
        <v>21</v>
      </c>
      <c r="B30" s="60" t="s">
        <v>78</v>
      </c>
      <c r="C30" s="57" t="s">
        <v>128</v>
      </c>
      <c r="D30" s="58" t="str">
        <f t="shared" si="1"/>
        <v>2.3.1</v>
      </c>
      <c r="E30" s="59" t="s">
        <v>115</v>
      </c>
      <c r="F30" s="60" t="s">
        <v>125</v>
      </c>
      <c r="G30" s="60">
        <v>450</v>
      </c>
      <c r="H30" s="61">
        <v>645</v>
      </c>
      <c r="I30" s="62">
        <f t="shared" si="0"/>
        <v>290250</v>
      </c>
    </row>
    <row r="31" spans="1:9" ht="31.9" customHeight="1" thickBot="1" x14ac:dyDescent="0.25">
      <c r="A31" s="56">
        <v>22</v>
      </c>
      <c r="B31" s="60" t="s">
        <v>79</v>
      </c>
      <c r="C31" s="57" t="s">
        <v>128</v>
      </c>
      <c r="D31" s="58" t="str">
        <f t="shared" si="1"/>
        <v>2.3.1</v>
      </c>
      <c r="E31" s="59" t="s">
        <v>116</v>
      </c>
      <c r="F31" s="60" t="s">
        <v>125</v>
      </c>
      <c r="G31" s="60">
        <v>500</v>
      </c>
      <c r="H31" s="61">
        <v>780</v>
      </c>
      <c r="I31" s="62">
        <f t="shared" si="0"/>
        <v>390000</v>
      </c>
    </row>
    <row r="32" spans="1:9" ht="31.9" customHeight="1" thickBot="1" x14ac:dyDescent="0.25">
      <c r="A32" s="56">
        <v>23</v>
      </c>
      <c r="B32" s="60" t="s">
        <v>80</v>
      </c>
      <c r="C32" s="57" t="s">
        <v>128</v>
      </c>
      <c r="D32" s="58" t="str">
        <f t="shared" si="1"/>
        <v>2.9.2</v>
      </c>
      <c r="E32" s="59" t="s">
        <v>117</v>
      </c>
      <c r="F32" s="60" t="s">
        <v>126</v>
      </c>
      <c r="G32" s="60">
        <v>30</v>
      </c>
      <c r="H32" s="61">
        <v>65</v>
      </c>
      <c r="I32" s="62">
        <f t="shared" si="0"/>
        <v>1950</v>
      </c>
    </row>
    <row r="33" spans="1:9" ht="31.9" customHeight="1" thickBot="1" x14ac:dyDescent="0.25">
      <c r="A33" s="56">
        <v>24</v>
      </c>
      <c r="B33" s="60" t="s">
        <v>81</v>
      </c>
      <c r="C33" s="57" t="s">
        <v>128</v>
      </c>
      <c r="D33" s="58" t="str">
        <f t="shared" si="1"/>
        <v>2.9.2</v>
      </c>
      <c r="E33" s="59" t="s">
        <v>133</v>
      </c>
      <c r="F33" s="60" t="s">
        <v>125</v>
      </c>
      <c r="G33" s="60">
        <v>10</v>
      </c>
      <c r="H33" s="61">
        <v>3701</v>
      </c>
      <c r="I33" s="62">
        <f t="shared" si="0"/>
        <v>37010</v>
      </c>
    </row>
    <row r="34" spans="1:9" ht="31.9" customHeight="1" thickBot="1" x14ac:dyDescent="0.25">
      <c r="A34" s="56">
        <v>25</v>
      </c>
      <c r="B34" s="60" t="s">
        <v>82</v>
      </c>
      <c r="C34" s="57" t="s">
        <v>128</v>
      </c>
      <c r="D34" s="58" t="str">
        <f t="shared" si="1"/>
        <v>2.3.1</v>
      </c>
      <c r="E34" s="59" t="s">
        <v>118</v>
      </c>
      <c r="F34" s="60" t="s">
        <v>125</v>
      </c>
      <c r="G34" s="60">
        <v>1500</v>
      </c>
      <c r="H34" s="61">
        <v>7.5</v>
      </c>
      <c r="I34" s="62">
        <f t="shared" si="0"/>
        <v>11250</v>
      </c>
    </row>
    <row r="35" spans="1:9" ht="31.9" customHeight="1" thickBot="1" x14ac:dyDescent="0.25">
      <c r="A35" s="56">
        <v>26</v>
      </c>
      <c r="B35" s="60" t="s">
        <v>83</v>
      </c>
      <c r="C35" s="57" t="s">
        <v>128</v>
      </c>
      <c r="D35" s="58" t="str">
        <f t="shared" si="1"/>
        <v>2.3.1</v>
      </c>
      <c r="E35" s="59" t="s">
        <v>119</v>
      </c>
      <c r="F35" s="60" t="s">
        <v>125</v>
      </c>
      <c r="G35" s="60">
        <v>18</v>
      </c>
      <c r="H35" s="61">
        <v>930</v>
      </c>
      <c r="I35" s="62">
        <f t="shared" si="0"/>
        <v>16740</v>
      </c>
    </row>
    <row r="36" spans="1:9" ht="31.9" customHeight="1" thickBot="1" x14ac:dyDescent="0.25">
      <c r="A36" s="56">
        <v>27</v>
      </c>
      <c r="B36" s="60" t="s">
        <v>84</v>
      </c>
      <c r="C36" s="57" t="s">
        <v>128</v>
      </c>
      <c r="D36" s="58" t="str">
        <f t="shared" si="1"/>
        <v>2.3.1</v>
      </c>
      <c r="E36" s="59" t="s">
        <v>120</v>
      </c>
      <c r="F36" s="60" t="s">
        <v>125</v>
      </c>
      <c r="G36" s="60">
        <v>1700</v>
      </c>
      <c r="H36" s="61">
        <v>16</v>
      </c>
      <c r="I36" s="62">
        <f t="shared" si="0"/>
        <v>27200</v>
      </c>
    </row>
    <row r="37" spans="1:9" ht="31.9" customHeight="1" thickBot="1" x14ac:dyDescent="0.25">
      <c r="A37" s="56">
        <v>28</v>
      </c>
      <c r="B37" s="60" t="s">
        <v>85</v>
      </c>
      <c r="C37" s="57" t="s">
        <v>128</v>
      </c>
      <c r="D37" s="58" t="str">
        <f t="shared" si="1"/>
        <v>2.3.1</v>
      </c>
      <c r="E37" s="59" t="s">
        <v>134</v>
      </c>
      <c r="F37" s="60" t="s">
        <v>125</v>
      </c>
      <c r="G37" s="60">
        <v>10</v>
      </c>
      <c r="H37" s="61">
        <v>2300</v>
      </c>
      <c r="I37" s="62">
        <f t="shared" si="0"/>
        <v>23000</v>
      </c>
    </row>
    <row r="38" spans="1:9" ht="31.9" customHeight="1" thickBot="1" x14ac:dyDescent="0.25">
      <c r="A38" s="56">
        <v>29</v>
      </c>
      <c r="B38" s="60" t="s">
        <v>135</v>
      </c>
      <c r="C38" s="57" t="s">
        <v>128</v>
      </c>
      <c r="D38" s="58" t="str">
        <f t="shared" si="1"/>
        <v>2.3.3</v>
      </c>
      <c r="E38" s="59" t="s">
        <v>136</v>
      </c>
      <c r="F38" s="60" t="s">
        <v>125</v>
      </c>
      <c r="G38" s="60">
        <v>3000</v>
      </c>
      <c r="H38" s="61">
        <v>4</v>
      </c>
      <c r="I38" s="62">
        <f t="shared" si="0"/>
        <v>12000</v>
      </c>
    </row>
    <row r="39" spans="1:9" ht="31.9" customHeight="1" thickBot="1" x14ac:dyDescent="0.25">
      <c r="A39" s="56">
        <v>30</v>
      </c>
      <c r="B39" s="60" t="s">
        <v>86</v>
      </c>
      <c r="C39" s="57" t="s">
        <v>128</v>
      </c>
      <c r="D39" s="58" t="str">
        <f t="shared" si="1"/>
        <v>2.9.2</v>
      </c>
      <c r="E39" s="59" t="s">
        <v>121</v>
      </c>
      <c r="F39" s="60" t="s">
        <v>125</v>
      </c>
      <c r="G39" s="60">
        <v>25</v>
      </c>
      <c r="H39" s="61">
        <v>179</v>
      </c>
      <c r="I39" s="62">
        <f t="shared" si="0"/>
        <v>4475</v>
      </c>
    </row>
    <row r="40" spans="1:9" ht="31.9" customHeight="1" thickBot="1" x14ac:dyDescent="0.25">
      <c r="A40" s="56">
        <v>31</v>
      </c>
      <c r="B40" s="60" t="s">
        <v>87</v>
      </c>
      <c r="C40" s="57" t="s">
        <v>128</v>
      </c>
      <c r="D40" s="58" t="str">
        <f t="shared" si="1"/>
        <v>2.9.2</v>
      </c>
      <c r="E40" s="59" t="s">
        <v>122</v>
      </c>
      <c r="F40" s="60" t="s">
        <v>125</v>
      </c>
      <c r="G40" s="60">
        <v>200</v>
      </c>
      <c r="H40" s="61">
        <v>51</v>
      </c>
      <c r="I40" s="62">
        <f t="shared" si="0"/>
        <v>10200</v>
      </c>
    </row>
    <row r="41" spans="1:9" ht="31.9" customHeight="1" thickBot="1" x14ac:dyDescent="0.25">
      <c r="A41" s="56">
        <v>32</v>
      </c>
      <c r="B41" s="60" t="s">
        <v>88</v>
      </c>
      <c r="C41" s="57" t="s">
        <v>128</v>
      </c>
      <c r="D41" s="58" t="str">
        <f t="shared" si="1"/>
        <v>2.9.2</v>
      </c>
      <c r="E41" s="59" t="s">
        <v>123</v>
      </c>
      <c r="F41" s="60" t="s">
        <v>125</v>
      </c>
      <c r="G41" s="60">
        <v>200</v>
      </c>
      <c r="H41" s="61">
        <v>51</v>
      </c>
      <c r="I41" s="62">
        <f t="shared" si="0"/>
        <v>10200</v>
      </c>
    </row>
    <row r="42" spans="1:9" ht="31.9" customHeight="1" thickBot="1" x14ac:dyDescent="0.25">
      <c r="A42" s="56">
        <v>33</v>
      </c>
      <c r="B42" s="60" t="s">
        <v>89</v>
      </c>
      <c r="C42" s="57" t="s">
        <v>128</v>
      </c>
      <c r="D42" s="58" t="str">
        <f t="shared" si="1"/>
        <v>2.9.2</v>
      </c>
      <c r="E42" s="59" t="s">
        <v>165</v>
      </c>
      <c r="F42" s="60" t="s">
        <v>125</v>
      </c>
      <c r="G42" s="60">
        <v>200</v>
      </c>
      <c r="H42" s="61">
        <v>45</v>
      </c>
      <c r="I42" s="62">
        <f t="shared" si="0"/>
        <v>9000</v>
      </c>
    </row>
    <row r="43" spans="1:9" ht="31.9" customHeight="1" thickBot="1" x14ac:dyDescent="0.25">
      <c r="A43" s="56">
        <v>34</v>
      </c>
      <c r="B43" s="60" t="s">
        <v>90</v>
      </c>
      <c r="C43" s="57" t="s">
        <v>128</v>
      </c>
      <c r="D43" s="58" t="str">
        <f t="shared" si="1"/>
        <v>2.9.2</v>
      </c>
      <c r="E43" s="59" t="s">
        <v>124</v>
      </c>
      <c r="F43" s="60" t="s">
        <v>125</v>
      </c>
      <c r="G43" s="60">
        <v>50</v>
      </c>
      <c r="H43" s="61">
        <v>513</v>
      </c>
      <c r="I43" s="62">
        <f t="shared" si="0"/>
        <v>25650</v>
      </c>
    </row>
    <row r="44" spans="1:9" ht="31.9" customHeight="1" thickBot="1" x14ac:dyDescent="0.25">
      <c r="A44" s="56">
        <v>35</v>
      </c>
      <c r="B44" s="60" t="s">
        <v>91</v>
      </c>
      <c r="C44" s="57" t="s">
        <v>128</v>
      </c>
      <c r="D44" s="58" t="str">
        <f t="shared" si="1"/>
        <v>2.9.2</v>
      </c>
      <c r="E44" s="59" t="s">
        <v>97</v>
      </c>
      <c r="F44" s="60" t="s">
        <v>125</v>
      </c>
      <c r="G44" s="60">
        <v>100</v>
      </c>
      <c r="H44" s="61">
        <v>95</v>
      </c>
      <c r="I44" s="62">
        <f t="shared" si="0"/>
        <v>9500</v>
      </c>
    </row>
    <row r="45" spans="1:9" ht="31.9" customHeight="1" thickBot="1" x14ac:dyDescent="0.25">
      <c r="A45" s="56">
        <v>36</v>
      </c>
      <c r="B45" s="60" t="s">
        <v>92</v>
      </c>
      <c r="C45" s="57" t="s">
        <v>128</v>
      </c>
      <c r="D45" s="58" t="str">
        <f t="shared" si="1"/>
        <v>2.9.2</v>
      </c>
      <c r="E45" s="59" t="s">
        <v>98</v>
      </c>
      <c r="F45" s="60" t="s">
        <v>125</v>
      </c>
      <c r="G45" s="60">
        <v>10</v>
      </c>
      <c r="H45" s="61">
        <v>373</v>
      </c>
      <c r="I45" s="62">
        <f t="shared" si="0"/>
        <v>3730</v>
      </c>
    </row>
    <row r="46" spans="1:9" ht="31.9" customHeight="1" thickBot="1" x14ac:dyDescent="0.25">
      <c r="A46" s="56">
        <v>37</v>
      </c>
      <c r="B46" s="60" t="s">
        <v>137</v>
      </c>
      <c r="C46" s="57" t="s">
        <v>128</v>
      </c>
      <c r="D46" s="58" t="str">
        <f t="shared" si="1"/>
        <v>2.3.1</v>
      </c>
      <c r="E46" s="59" t="s">
        <v>138</v>
      </c>
      <c r="F46" s="60" t="s">
        <v>125</v>
      </c>
      <c r="G46" s="60">
        <v>120</v>
      </c>
      <c r="H46" s="61">
        <v>1160</v>
      </c>
      <c r="I46" s="62">
        <f t="shared" si="0"/>
        <v>139200</v>
      </c>
    </row>
    <row r="47" spans="1:9" ht="31.9" customHeight="1" thickBot="1" x14ac:dyDescent="0.25">
      <c r="A47" s="56">
        <v>38</v>
      </c>
      <c r="B47" s="60" t="s">
        <v>93</v>
      </c>
      <c r="C47" s="57" t="s">
        <v>139</v>
      </c>
      <c r="D47" s="58" t="str">
        <f t="shared" si="1"/>
        <v>2.9.2</v>
      </c>
      <c r="E47" s="59" t="s">
        <v>99</v>
      </c>
      <c r="F47" s="60" t="s">
        <v>125</v>
      </c>
      <c r="G47" s="60">
        <v>30</v>
      </c>
      <c r="H47" s="61">
        <v>365</v>
      </c>
      <c r="I47" s="62">
        <f t="shared" si="0"/>
        <v>10950</v>
      </c>
    </row>
    <row r="48" spans="1:9" ht="31.9" customHeight="1" thickBot="1" x14ac:dyDescent="0.25">
      <c r="A48" s="56">
        <v>39</v>
      </c>
      <c r="B48" s="60" t="s">
        <v>94</v>
      </c>
      <c r="C48" s="57" t="s">
        <v>141</v>
      </c>
      <c r="D48" s="58" t="str">
        <f t="shared" si="1"/>
        <v>2.9.2</v>
      </c>
      <c r="E48" s="59" t="s">
        <v>140</v>
      </c>
      <c r="F48" s="60" t="s">
        <v>125</v>
      </c>
      <c r="G48" s="60">
        <v>300</v>
      </c>
      <c r="H48" s="61">
        <v>40</v>
      </c>
      <c r="I48" s="62">
        <f t="shared" si="0"/>
        <v>12000</v>
      </c>
    </row>
    <row r="49" spans="1:9" ht="31.9" customHeight="1" thickBot="1" x14ac:dyDescent="0.25">
      <c r="A49" s="56">
        <v>40</v>
      </c>
      <c r="B49" s="60" t="s">
        <v>95</v>
      </c>
      <c r="C49" s="57" t="s">
        <v>141</v>
      </c>
      <c r="D49" s="58" t="str">
        <f t="shared" si="1"/>
        <v>2.9.2</v>
      </c>
      <c r="E49" s="59" t="s">
        <v>142</v>
      </c>
      <c r="F49" s="60" t="s">
        <v>125</v>
      </c>
      <c r="G49" s="60">
        <v>3100</v>
      </c>
      <c r="H49" s="61">
        <v>40</v>
      </c>
      <c r="I49" s="62">
        <f t="shared" si="0"/>
        <v>124000</v>
      </c>
    </row>
    <row r="50" spans="1:9" ht="31.9" customHeight="1" thickBot="1" x14ac:dyDescent="0.25">
      <c r="A50" s="56">
        <v>41</v>
      </c>
      <c r="B50" s="60" t="s">
        <v>143</v>
      </c>
      <c r="C50" s="57" t="s">
        <v>128</v>
      </c>
      <c r="D50" s="58" t="str">
        <f t="shared" si="1"/>
        <v>2.3.1</v>
      </c>
      <c r="E50" s="59" t="s">
        <v>144</v>
      </c>
      <c r="F50" s="60" t="s">
        <v>125</v>
      </c>
      <c r="G50" s="60">
        <v>3100</v>
      </c>
      <c r="H50" s="61">
        <v>5</v>
      </c>
      <c r="I50" s="62">
        <f t="shared" si="0"/>
        <v>15500</v>
      </c>
    </row>
    <row r="51" spans="1:9" ht="13.5" thickBot="1" x14ac:dyDescent="0.25"/>
    <row r="52" spans="1:9" ht="29.25" customHeight="1" thickBot="1" x14ac:dyDescent="0.25">
      <c r="B52" s="81" t="s">
        <v>150</v>
      </c>
      <c r="C52" s="82"/>
      <c r="D52" s="82"/>
      <c r="E52" s="83"/>
      <c r="I52" s="79"/>
    </row>
    <row r="53" spans="1:9" ht="31.5" customHeight="1" thickBot="1" x14ac:dyDescent="0.25">
      <c r="B53" s="81" t="s">
        <v>160</v>
      </c>
      <c r="C53" s="82"/>
      <c r="D53" s="82"/>
      <c r="E53" s="83"/>
      <c r="I53" s="79"/>
    </row>
    <row r="54" spans="1:9" ht="35.25" customHeight="1" thickBot="1" x14ac:dyDescent="0.25">
      <c r="B54" s="81" t="s">
        <v>149</v>
      </c>
      <c r="C54" s="82"/>
      <c r="D54" s="82"/>
      <c r="E54" s="83"/>
      <c r="I54" s="79"/>
    </row>
    <row r="55" spans="1:9" ht="13.5" thickBot="1" x14ac:dyDescent="0.25"/>
    <row r="56" spans="1:9" x14ac:dyDescent="0.2">
      <c r="B56" s="42" t="s">
        <v>151</v>
      </c>
      <c r="C56" s="43"/>
      <c r="D56" s="43"/>
      <c r="E56" s="44"/>
    </row>
    <row r="57" spans="1:9" ht="5.25" customHeight="1" x14ac:dyDescent="0.2">
      <c r="B57" s="45"/>
      <c r="C57" s="46"/>
      <c r="D57" s="46"/>
      <c r="E57" s="47"/>
    </row>
    <row r="58" spans="1:9" x14ac:dyDescent="0.2">
      <c r="B58" s="48" t="s">
        <v>14</v>
      </c>
      <c r="C58" s="46"/>
      <c r="D58" s="46"/>
      <c r="E58" s="47"/>
    </row>
    <row r="59" spans="1:9" ht="18" customHeight="1" x14ac:dyDescent="0.2">
      <c r="B59" s="48"/>
      <c r="C59" s="87" t="s">
        <v>154</v>
      </c>
      <c r="D59" s="87"/>
      <c r="E59" s="87"/>
    </row>
    <row r="60" spans="1:9" x14ac:dyDescent="0.2">
      <c r="B60" s="48" t="s">
        <v>15</v>
      </c>
      <c r="C60" s="46"/>
      <c r="D60" s="46"/>
      <c r="E60" s="47"/>
    </row>
    <row r="61" spans="1:9" ht="26.25" customHeight="1" x14ac:dyDescent="0.2">
      <c r="B61" s="49"/>
      <c r="C61" s="85" t="s">
        <v>161</v>
      </c>
      <c r="D61" s="85"/>
      <c r="E61" s="86"/>
    </row>
    <row r="62" spans="1:9" x14ac:dyDescent="0.2">
      <c r="B62" s="49"/>
      <c r="C62" s="93"/>
      <c r="D62" s="93"/>
      <c r="E62" s="93"/>
    </row>
    <row r="63" spans="1:9" x14ac:dyDescent="0.2">
      <c r="B63" s="48" t="s">
        <v>16</v>
      </c>
      <c r="C63" s="46"/>
      <c r="D63" s="46"/>
      <c r="E63" s="47"/>
    </row>
    <row r="64" spans="1:9" ht="26.25" customHeight="1" x14ac:dyDescent="0.2">
      <c r="B64" s="49"/>
      <c r="C64" s="87"/>
      <c r="D64" s="87"/>
      <c r="E64" s="87"/>
    </row>
    <row r="65" spans="2:5" x14ac:dyDescent="0.2">
      <c r="B65" s="48" t="s">
        <v>17</v>
      </c>
      <c r="C65" s="50"/>
      <c r="D65" s="50"/>
      <c r="E65" s="51"/>
    </row>
    <row r="66" spans="2:5" ht="26.25" customHeight="1" x14ac:dyDescent="0.2">
      <c r="B66" s="49"/>
      <c r="C66" s="88" t="s">
        <v>59</v>
      </c>
      <c r="D66" s="88"/>
      <c r="E66" s="89"/>
    </row>
    <row r="67" spans="2:5" x14ac:dyDescent="0.2">
      <c r="B67" s="48" t="s">
        <v>18</v>
      </c>
      <c r="C67" s="46"/>
      <c r="D67" s="46"/>
      <c r="E67" s="47"/>
    </row>
    <row r="68" spans="2:5" ht="23.25" customHeight="1" x14ac:dyDescent="0.2">
      <c r="B68" s="48"/>
      <c r="C68" s="80"/>
      <c r="D68" s="80"/>
      <c r="E68" s="80"/>
    </row>
    <row r="69" spans="2:5" x14ac:dyDescent="0.2">
      <c r="B69" s="52"/>
      <c r="C69" s="53"/>
      <c r="D69" s="53"/>
      <c r="E69" s="54"/>
    </row>
    <row r="70" spans="2:5" ht="13.5" thickBot="1" x14ac:dyDescent="0.25"/>
    <row r="71" spans="2:5" x14ac:dyDescent="0.2">
      <c r="B71" s="42" t="s">
        <v>152</v>
      </c>
      <c r="C71" s="43"/>
      <c r="D71" s="43"/>
      <c r="E71" s="44"/>
    </row>
    <row r="72" spans="2:5" x14ac:dyDescent="0.2">
      <c r="B72" s="45"/>
      <c r="C72" s="46"/>
      <c r="D72" s="46"/>
      <c r="E72" s="47"/>
    </row>
    <row r="73" spans="2:5" x14ac:dyDescent="0.2">
      <c r="B73" s="48" t="s">
        <v>14</v>
      </c>
      <c r="C73" s="46"/>
      <c r="D73" s="46"/>
      <c r="E73" s="47"/>
    </row>
    <row r="74" spans="2:5" x14ac:dyDescent="0.2">
      <c r="B74" s="48"/>
      <c r="C74" s="94" t="s">
        <v>145</v>
      </c>
      <c r="D74" s="94"/>
      <c r="E74" s="87"/>
    </row>
    <row r="75" spans="2:5" x14ac:dyDescent="0.2">
      <c r="B75" s="48" t="s">
        <v>15</v>
      </c>
      <c r="C75" s="46"/>
      <c r="D75" s="46"/>
      <c r="E75" s="47"/>
    </row>
    <row r="76" spans="2:5" ht="22.5" customHeight="1" x14ac:dyDescent="0.2">
      <c r="B76" s="49"/>
      <c r="C76" s="85" t="s">
        <v>161</v>
      </c>
      <c r="D76" s="85"/>
      <c r="E76" s="86"/>
    </row>
    <row r="77" spans="2:5" x14ac:dyDescent="0.2">
      <c r="B77" s="49"/>
      <c r="C77" s="80"/>
      <c r="D77" s="80"/>
      <c r="E77" s="80"/>
    </row>
    <row r="78" spans="2:5" x14ac:dyDescent="0.2">
      <c r="B78" s="48" t="s">
        <v>16</v>
      </c>
      <c r="C78" s="46"/>
      <c r="D78" s="46"/>
      <c r="E78" s="47"/>
    </row>
    <row r="79" spans="2:5" x14ac:dyDescent="0.2">
      <c r="B79" s="49"/>
      <c r="C79" s="87"/>
      <c r="D79" s="87"/>
      <c r="E79" s="87"/>
    </row>
    <row r="80" spans="2:5" x14ac:dyDescent="0.2">
      <c r="B80" s="48" t="s">
        <v>17</v>
      </c>
      <c r="C80" s="50"/>
      <c r="D80" s="50"/>
      <c r="E80" s="51"/>
    </row>
    <row r="81" spans="2:5" ht="24" customHeight="1" x14ac:dyDescent="0.2">
      <c r="B81" s="49"/>
      <c r="C81" s="88" t="s">
        <v>59</v>
      </c>
      <c r="D81" s="88"/>
      <c r="E81" s="89"/>
    </row>
    <row r="82" spans="2:5" x14ac:dyDescent="0.2">
      <c r="B82" s="48" t="s">
        <v>18</v>
      </c>
      <c r="C82" s="46"/>
      <c r="D82" s="46"/>
      <c r="E82" s="47"/>
    </row>
    <row r="83" spans="2:5" x14ac:dyDescent="0.2">
      <c r="B83" s="48"/>
      <c r="C83" s="80"/>
      <c r="D83" s="80"/>
      <c r="E83" s="80"/>
    </row>
    <row r="84" spans="2:5" ht="13.5" thickBot="1" x14ac:dyDescent="0.25">
      <c r="B84" s="52"/>
      <c r="C84" s="53"/>
      <c r="D84" s="53"/>
      <c r="E84" s="54"/>
    </row>
    <row r="85" spans="2:5" ht="13.5" thickBot="1" x14ac:dyDescent="0.25"/>
    <row r="86" spans="2:5" x14ac:dyDescent="0.2">
      <c r="B86" s="42" t="s">
        <v>147</v>
      </c>
      <c r="C86" s="43"/>
      <c r="D86" s="43"/>
      <c r="E86" s="44"/>
    </row>
    <row r="87" spans="2:5" x14ac:dyDescent="0.2">
      <c r="B87" s="45"/>
      <c r="C87" s="46"/>
      <c r="D87" s="46"/>
      <c r="E87" s="47"/>
    </row>
    <row r="88" spans="2:5" x14ac:dyDescent="0.2">
      <c r="B88" s="48" t="s">
        <v>14</v>
      </c>
      <c r="C88" s="46"/>
      <c r="D88" s="46"/>
      <c r="E88" s="47"/>
    </row>
    <row r="89" spans="2:5" x14ac:dyDescent="0.2">
      <c r="B89" s="48"/>
      <c r="C89" s="84" t="s">
        <v>146</v>
      </c>
      <c r="D89" s="84"/>
      <c r="E89" s="80"/>
    </row>
    <row r="90" spans="2:5" x14ac:dyDescent="0.2">
      <c r="B90" s="48" t="s">
        <v>15</v>
      </c>
      <c r="C90" s="46"/>
      <c r="D90" s="46"/>
      <c r="E90" s="47"/>
    </row>
    <row r="91" spans="2:5" ht="22.5" customHeight="1" x14ac:dyDescent="0.2">
      <c r="B91" s="49"/>
      <c r="C91" s="85" t="s">
        <v>161</v>
      </c>
      <c r="D91" s="85"/>
      <c r="E91" s="86"/>
    </row>
    <row r="92" spans="2:5" x14ac:dyDescent="0.2">
      <c r="B92" s="49"/>
      <c r="C92" s="80"/>
      <c r="D92" s="80"/>
      <c r="E92" s="80"/>
    </row>
    <row r="93" spans="2:5" x14ac:dyDescent="0.2">
      <c r="B93" s="48" t="s">
        <v>16</v>
      </c>
      <c r="C93" s="46"/>
      <c r="D93" s="46"/>
      <c r="E93" s="47"/>
    </row>
    <row r="94" spans="2:5" x14ac:dyDescent="0.2">
      <c r="B94" s="49"/>
      <c r="C94" s="87"/>
      <c r="D94" s="87"/>
      <c r="E94" s="87"/>
    </row>
    <row r="95" spans="2:5" x14ac:dyDescent="0.2">
      <c r="B95" s="48" t="s">
        <v>17</v>
      </c>
      <c r="C95" s="50"/>
      <c r="D95" s="50"/>
      <c r="E95" s="51"/>
    </row>
    <row r="96" spans="2:5" ht="31.5" customHeight="1" x14ac:dyDescent="0.2">
      <c r="B96" s="49"/>
      <c r="C96" s="88" t="s">
        <v>59</v>
      </c>
      <c r="D96" s="88"/>
      <c r="E96" s="89"/>
    </row>
    <row r="97" spans="2:5" x14ac:dyDescent="0.2">
      <c r="B97" s="48" t="s">
        <v>18</v>
      </c>
      <c r="C97" s="46"/>
      <c r="D97" s="46"/>
      <c r="E97" s="47"/>
    </row>
    <row r="98" spans="2:5" x14ac:dyDescent="0.2">
      <c r="B98" s="48"/>
      <c r="C98" s="80"/>
      <c r="D98" s="80"/>
      <c r="E98" s="80"/>
    </row>
    <row r="99" spans="2:5" ht="13.5" thickBot="1" x14ac:dyDescent="0.25">
      <c r="B99" s="52"/>
      <c r="C99" s="53"/>
      <c r="D99" s="53"/>
      <c r="E99" s="54"/>
    </row>
    <row r="100" spans="2:5" ht="13.5" thickBot="1" x14ac:dyDescent="0.25"/>
    <row r="101" spans="2:5" x14ac:dyDescent="0.2">
      <c r="B101" s="42" t="s">
        <v>153</v>
      </c>
      <c r="C101" s="43"/>
      <c r="D101" s="43"/>
      <c r="E101" s="44"/>
    </row>
    <row r="102" spans="2:5" x14ac:dyDescent="0.2">
      <c r="B102" s="45"/>
      <c r="C102" s="46"/>
      <c r="D102" s="46"/>
      <c r="E102" s="47"/>
    </row>
    <row r="103" spans="2:5" x14ac:dyDescent="0.2">
      <c r="B103" s="48" t="s">
        <v>14</v>
      </c>
      <c r="C103" s="46"/>
      <c r="D103" s="46"/>
      <c r="E103" s="47"/>
    </row>
    <row r="104" spans="2:5" x14ac:dyDescent="0.2">
      <c r="B104" s="48"/>
      <c r="C104" s="84" t="s">
        <v>148</v>
      </c>
      <c r="D104" s="84"/>
      <c r="E104" s="80"/>
    </row>
    <row r="105" spans="2:5" x14ac:dyDescent="0.2">
      <c r="B105" s="48" t="s">
        <v>15</v>
      </c>
      <c r="C105" s="46"/>
      <c r="D105" s="46"/>
      <c r="E105" s="47"/>
    </row>
    <row r="106" spans="2:5" ht="24" customHeight="1" x14ac:dyDescent="0.2">
      <c r="B106" s="49"/>
      <c r="C106" s="85" t="s">
        <v>161</v>
      </c>
      <c r="D106" s="85"/>
      <c r="E106" s="86"/>
    </row>
    <row r="107" spans="2:5" x14ac:dyDescent="0.2">
      <c r="B107" s="49"/>
      <c r="C107" s="80"/>
      <c r="D107" s="80"/>
      <c r="E107" s="80"/>
    </row>
    <row r="108" spans="2:5" x14ac:dyDescent="0.2">
      <c r="B108" s="48" t="s">
        <v>16</v>
      </c>
      <c r="C108" s="46"/>
      <c r="D108" s="46"/>
      <c r="E108" s="47"/>
    </row>
    <row r="109" spans="2:5" x14ac:dyDescent="0.2">
      <c r="B109" s="49"/>
      <c r="C109" s="87"/>
      <c r="D109" s="87"/>
      <c r="E109" s="87"/>
    </row>
    <row r="110" spans="2:5" x14ac:dyDescent="0.2">
      <c r="B110" s="48" t="s">
        <v>17</v>
      </c>
      <c r="C110" s="50"/>
      <c r="D110" s="50"/>
      <c r="E110" s="51"/>
    </row>
    <row r="111" spans="2:5" ht="27" customHeight="1" x14ac:dyDescent="0.2">
      <c r="B111" s="49"/>
      <c r="C111" s="88" t="s">
        <v>59</v>
      </c>
      <c r="D111" s="88"/>
      <c r="E111" s="89"/>
    </row>
    <row r="112" spans="2:5" x14ac:dyDescent="0.2">
      <c r="B112" s="48" t="s">
        <v>18</v>
      </c>
      <c r="C112" s="46"/>
      <c r="D112" s="46"/>
      <c r="E112" s="47"/>
    </row>
    <row r="113" spans="2:5" x14ac:dyDescent="0.2">
      <c r="B113" s="48"/>
      <c r="C113" s="80"/>
      <c r="D113" s="80"/>
      <c r="E113" s="80"/>
    </row>
    <row r="114" spans="2:5" ht="13.5" thickBot="1" x14ac:dyDescent="0.25">
      <c r="B114" s="52"/>
      <c r="C114" s="53"/>
      <c r="D114" s="53"/>
      <c r="E114" s="54"/>
    </row>
  </sheetData>
  <mergeCells count="34">
    <mergeCell ref="C79:E79"/>
    <mergeCell ref="C81:E81"/>
    <mergeCell ref="C83:E83"/>
    <mergeCell ref="C64:E64"/>
    <mergeCell ref="C66:E66"/>
    <mergeCell ref="C68:E68"/>
    <mergeCell ref="C74:E74"/>
    <mergeCell ref="C76:E76"/>
    <mergeCell ref="A6:B6"/>
    <mergeCell ref="A7:B7"/>
    <mergeCell ref="C59:E59"/>
    <mergeCell ref="C61:E61"/>
    <mergeCell ref="C62:E62"/>
    <mergeCell ref="B2:H2"/>
    <mergeCell ref="A4:B4"/>
    <mergeCell ref="C4:E4"/>
    <mergeCell ref="A5:B5"/>
    <mergeCell ref="C5:E5"/>
    <mergeCell ref="C113:E113"/>
    <mergeCell ref="B52:E52"/>
    <mergeCell ref="B53:E53"/>
    <mergeCell ref="B54:E54"/>
    <mergeCell ref="C104:E104"/>
    <mergeCell ref="C106:E106"/>
    <mergeCell ref="C107:E107"/>
    <mergeCell ref="C109:E109"/>
    <mergeCell ref="C111:E111"/>
    <mergeCell ref="C91:E91"/>
    <mergeCell ref="C92:E92"/>
    <mergeCell ref="C94:E94"/>
    <mergeCell ref="C96:E96"/>
    <mergeCell ref="C98:E98"/>
    <mergeCell ref="C89:E89"/>
    <mergeCell ref="C77:E7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3"/>
  <sheetViews>
    <sheetView tabSelected="1" topLeftCell="A28" zoomScale="70" zoomScaleNormal="70" workbookViewId="0">
      <selection activeCell="C41" sqref="C41:G4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19</v>
      </c>
      <c r="B1" s="95"/>
      <c r="C1" s="95"/>
      <c r="D1" s="95"/>
      <c r="E1" s="95"/>
      <c r="F1" s="95"/>
      <c r="G1" s="95"/>
      <c r="H1" s="95"/>
      <c r="I1" s="95"/>
      <c r="J1" s="3" t="s">
        <v>20</v>
      </c>
      <c r="K1" s="65" t="s">
        <v>164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6" t="s">
        <v>53</v>
      </c>
      <c r="B3" s="96"/>
      <c r="C3" s="96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54</v>
      </c>
      <c r="B4" s="98"/>
      <c r="C4" s="98"/>
      <c r="D4" s="97" t="str">
        <f>'Necesidades Trimestrales'!C5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32</v>
      </c>
      <c r="B5" s="98"/>
      <c r="C5" s="98"/>
      <c r="D5" s="97" t="s">
        <v>157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55</v>
      </c>
      <c r="B6" s="96"/>
      <c r="C6" s="96"/>
      <c r="D6" s="97" t="s">
        <v>163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21</v>
      </c>
      <c r="B7" s="98"/>
      <c r="C7" s="98"/>
      <c r="D7" s="97" t="str">
        <f>'Necesidades Trimestrales'!C7 &amp; "° Trimestre - Año " &amp; 'Necesidades Trimestrales'!C6</f>
        <v>1° Trimestre - Año 2022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99" t="s">
        <v>22</v>
      </c>
      <c r="B8" s="99"/>
      <c r="C8" s="99"/>
      <c r="D8" s="100" t="s">
        <v>158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43.9" customHeight="1" thickBot="1" x14ac:dyDescent="0.25">
      <c r="A12" s="8">
        <v>1</v>
      </c>
      <c r="B12" s="66" t="str">
        <f>'Necesidades Trimestrales'!B10</f>
        <v>2.9.2-261.14</v>
      </c>
      <c r="C12" s="106" t="str">
        <f>'Necesidades Trimestrales'!E10</f>
        <v>ABROCHADORAS DE PAPEL; TIPO: PINZA, P/BROCHES: 10/50, MATERIAL: METALICA, MEDIDA: 10/50</v>
      </c>
      <c r="D12" s="106"/>
      <c r="E12" s="106"/>
      <c r="F12" s="106"/>
      <c r="G12" s="106"/>
      <c r="H12" s="67" t="s">
        <v>56</v>
      </c>
      <c r="I12" s="68" t="str">
        <f>'Necesidades Trimestrales'!F10</f>
        <v>UNIDAD</v>
      </c>
      <c r="J12" s="69">
        <f>'Necesidades Trimestrales'!H10</f>
        <v>1999</v>
      </c>
      <c r="K12" s="70">
        <f>'Necesidades Trimestrales'!G10</f>
        <v>15</v>
      </c>
    </row>
    <row r="13" spans="1:11" ht="43.9" customHeight="1" thickBot="1" x14ac:dyDescent="0.25">
      <c r="A13" s="8">
        <v>2</v>
      </c>
      <c r="B13" s="66" t="str">
        <f>'Necesidades Trimestrales'!B11</f>
        <v>2.9.2-262.4</v>
      </c>
      <c r="C13" s="106" t="str">
        <f>'Necesidades Trimestrales'!E11</f>
        <v>ADHESIVOS P/PAPEL; PRESENTACION: 250 GR, TIPO: COLA VINILICA</v>
      </c>
      <c r="D13" s="106"/>
      <c r="E13" s="106"/>
      <c r="F13" s="106"/>
      <c r="G13" s="106"/>
      <c r="H13" s="67" t="s">
        <v>56</v>
      </c>
      <c r="I13" s="68" t="str">
        <f>'Necesidades Trimestrales'!F11</f>
        <v>UNIDAD</v>
      </c>
      <c r="J13" s="69">
        <f>'Necesidades Trimestrales'!H11</f>
        <v>125.45</v>
      </c>
      <c r="K13" s="70">
        <f>'Necesidades Trimestrales'!G11</f>
        <v>50</v>
      </c>
    </row>
    <row r="14" spans="1:11" ht="43.9" customHeight="1" thickBot="1" x14ac:dyDescent="0.25">
      <c r="A14" s="8">
        <v>3</v>
      </c>
      <c r="B14" s="66" t="str">
        <f>'Necesidades Trimestrales'!B12</f>
        <v>2.9.2-700.28</v>
      </c>
      <c r="C14" s="106" t="str">
        <f>'Necesidades Trimestrales'!E12</f>
        <v>BROCHES P/ABROCHADORA; NUMERO: 10/50, PRESENTACION: CAJA X 1000 UNIDADES</v>
      </c>
      <c r="D14" s="106"/>
      <c r="E14" s="106"/>
      <c r="F14" s="106"/>
      <c r="G14" s="106"/>
      <c r="H14" s="67" t="s">
        <v>56</v>
      </c>
      <c r="I14" s="68" t="str">
        <f>'Necesidades Trimestrales'!F12</f>
        <v>CAJA</v>
      </c>
      <c r="J14" s="69">
        <f>'Necesidades Trimestrales'!H12</f>
        <v>110</v>
      </c>
      <c r="K14" s="70">
        <f>'Necesidades Trimestrales'!G12</f>
        <v>300</v>
      </c>
    </row>
    <row r="15" spans="1:11" ht="43.9" customHeight="1" thickBot="1" x14ac:dyDescent="0.25">
      <c r="A15" s="8">
        <v>4</v>
      </c>
      <c r="B15" s="66" t="str">
        <f>'Necesidades Trimestrales'!B13</f>
        <v>2.9.2-1358.359</v>
      </c>
      <c r="C15" s="106" t="str">
        <f>'Necesidades Trimestrales'!E13</f>
        <v>CARPETAS; MATERIAL: FIBRA, TAMAÑO: OFICIO</v>
      </c>
      <c r="D15" s="106"/>
      <c r="E15" s="106"/>
      <c r="F15" s="106"/>
      <c r="G15" s="106"/>
      <c r="H15" s="67" t="s">
        <v>56</v>
      </c>
      <c r="I15" s="68" t="str">
        <f>'Necesidades Trimestrales'!F13</f>
        <v>UNIDAD</v>
      </c>
      <c r="J15" s="69">
        <f>'Necesidades Trimestrales'!H13</f>
        <v>265</v>
      </c>
      <c r="K15" s="70">
        <f>'Necesidades Trimestrales'!G13</f>
        <v>75</v>
      </c>
    </row>
    <row r="16" spans="1:11" ht="43.9" customHeight="1" thickBot="1" x14ac:dyDescent="0.25">
      <c r="A16" s="8">
        <v>5</v>
      </c>
      <c r="B16" s="66" t="str">
        <f>'Necesidades Trimestrales'!B14</f>
        <v>2.9.2-2766.9</v>
      </c>
      <c r="C16" s="106" t="str">
        <f>'Necesidades Trimestrales'!E14</f>
        <v>CARPETAS P/ENCUADERNACION; TAMAÑO: A4, PEGAMENTO: SIN, MATERIAL LOMO: PLASTICO TRANPARENTE, ESPESOR: 9 mm, TAPA: TRANSPARENTE</v>
      </c>
      <c r="D16" s="106"/>
      <c r="E16" s="106"/>
      <c r="F16" s="106"/>
      <c r="G16" s="106"/>
      <c r="H16" s="67" t="s">
        <v>56</v>
      </c>
      <c r="I16" s="68" t="str">
        <f>'Necesidades Trimestrales'!F14</f>
        <v>UNIDAD</v>
      </c>
      <c r="J16" s="69">
        <f>'Necesidades Trimestrales'!H14</f>
        <v>68</v>
      </c>
      <c r="K16" s="70">
        <f>'Necesidades Trimestrales'!G14</f>
        <v>200</v>
      </c>
    </row>
    <row r="17" spans="1:11" ht="43.9" customHeight="1" thickBot="1" x14ac:dyDescent="0.25">
      <c r="A17" s="8">
        <v>6</v>
      </c>
      <c r="B17" s="66" t="str">
        <f>'Necesidades Trimestrales'!B15</f>
        <v>2.9.2-2766.11</v>
      </c>
      <c r="C17" s="106" t="str">
        <f>'Necesidades Trimestrales'!E15</f>
        <v>CARPETAS P/ENCUADERNACION; TAMAÑO: OFICIO, PEGAMENTO: SIN, MATERIAL LOMO: PLASTICO TRANPARENTE, ESPESOR: 9 mm, TAPA: TRANSPARENTE</v>
      </c>
      <c r="D17" s="106"/>
      <c r="E17" s="106"/>
      <c r="F17" s="106"/>
      <c r="G17" s="106"/>
      <c r="H17" s="67" t="s">
        <v>56</v>
      </c>
      <c r="I17" s="68" t="str">
        <f>'Necesidades Trimestrales'!F15</f>
        <v>UNIDAD</v>
      </c>
      <c r="J17" s="69">
        <f>'Necesidades Trimestrales'!H15</f>
        <v>85.5</v>
      </c>
      <c r="K17" s="70">
        <f>'Necesidades Trimestrales'!G15</f>
        <v>200</v>
      </c>
    </row>
    <row r="18" spans="1:11" ht="43.9" customHeight="1" thickBot="1" x14ac:dyDescent="0.25">
      <c r="A18" s="8">
        <v>7</v>
      </c>
      <c r="B18" s="66" t="str">
        <f>'Necesidades Trimestrales'!B16</f>
        <v>2.9.2-274.26</v>
      </c>
      <c r="C18" s="106" t="str">
        <f>'Necesidades Trimestrales'!E16</f>
        <v>BIBLIORATOS; ANCHO: 80 mm, ANILLO: ANILLO Y PALANCA, TAMAÑO: OFICIO, LOMO: CARTON, TAPAS: CARTON FORRADO PLASTICO, COLOR: NEGRO AZUL, MATERIAL: CARTON</v>
      </c>
      <c r="D18" s="106"/>
      <c r="E18" s="106"/>
      <c r="F18" s="106"/>
      <c r="G18" s="106"/>
      <c r="H18" s="67" t="s">
        <v>56</v>
      </c>
      <c r="I18" s="68" t="str">
        <f>'Necesidades Trimestrales'!F16</f>
        <v>UNIDAD</v>
      </c>
      <c r="J18" s="69">
        <f>'Necesidades Trimestrales'!H16</f>
        <v>329</v>
      </c>
      <c r="K18" s="70">
        <f>'Necesidades Trimestrales'!G16</f>
        <v>100</v>
      </c>
    </row>
    <row r="19" spans="1:11" ht="43.9" customHeight="1" thickBot="1" x14ac:dyDescent="0.25">
      <c r="A19" s="8">
        <v>8</v>
      </c>
      <c r="B19" s="66" t="str">
        <f>'Necesidades Trimestrales'!B17</f>
        <v>2.3.1-6563.814</v>
      </c>
      <c r="C19" s="106" t="str">
        <f>'Necesidades Trimestrales'!E17</f>
        <v>PAPELES EN HOJA; TIPO DE PAPEL: CARTULINA, DIMENSION: 63 X 44,5 Cm, GRAMAJE: 125, PRESENTACION: UNIDAD, CERTIFICADO FORESTAL (GFS): CON</v>
      </c>
      <c r="D19" s="106"/>
      <c r="E19" s="106"/>
      <c r="F19" s="106"/>
      <c r="G19" s="106"/>
      <c r="H19" s="67" t="s">
        <v>56</v>
      </c>
      <c r="I19" s="68" t="str">
        <f>'Necesidades Trimestrales'!F17</f>
        <v>PLIEGO</v>
      </c>
      <c r="J19" s="69">
        <f>'Necesidades Trimestrales'!H17</f>
        <v>35</v>
      </c>
      <c r="K19" s="70">
        <f>'Necesidades Trimestrales'!G17</f>
        <v>3000</v>
      </c>
    </row>
    <row r="20" spans="1:11" ht="43.9" customHeight="1" thickBot="1" x14ac:dyDescent="0.25">
      <c r="A20" s="8">
        <v>9</v>
      </c>
      <c r="B20" s="66" t="str">
        <f>'Necesidades Trimestrales'!B18</f>
        <v>2.9.2-1153.189</v>
      </c>
      <c r="C20" s="106" t="str">
        <f>'Necesidades Trimestrales'!E18</f>
        <v>CINTAS ADHESIVAS; TIPO: EMBALAR, ANCHO: 50 mm, LARGO: 50 M, MATERIAL: POLIPROPILENO, ACCESORIO: SIN</v>
      </c>
      <c r="D20" s="106"/>
      <c r="E20" s="106"/>
      <c r="F20" s="106"/>
      <c r="G20" s="106"/>
      <c r="H20" s="67" t="s">
        <v>56</v>
      </c>
      <c r="I20" s="68" t="str">
        <f>'Necesidades Trimestrales'!F18</f>
        <v>UNIDAD</v>
      </c>
      <c r="J20" s="69">
        <f>'Necesidades Trimestrales'!H18</f>
        <v>163</v>
      </c>
      <c r="K20" s="70">
        <f>'Necesidades Trimestrales'!G18</f>
        <v>150</v>
      </c>
    </row>
    <row r="21" spans="1:11" ht="43.9" customHeight="1" thickBot="1" x14ac:dyDescent="0.25">
      <c r="A21" s="8">
        <v>10</v>
      </c>
      <c r="B21" s="66" t="str">
        <f>'Necesidades Trimestrales'!B19</f>
        <v>2.3.1-6587.298</v>
      </c>
      <c r="C21" s="106" t="str">
        <f>'Necesidades Trimestrales'!E19</f>
        <v>PAPELES ENCUADERNADOS; CANT. DE HOJAS: 100, TAMAÑO: 21 X 16 Cm, TIPO: CUADERNO, CERTIFICADO FORESTAL (GFS): CON, PORC. FIBRAS RECICLADAS: 0 %, CERT. FIBRA ALTERNATIVA (FCA): SIN</v>
      </c>
      <c r="D21" s="106"/>
      <c r="E21" s="106"/>
      <c r="F21" s="106"/>
      <c r="G21" s="106"/>
      <c r="H21" s="67" t="s">
        <v>56</v>
      </c>
      <c r="I21" s="68" t="str">
        <f>'Necesidades Trimestrales'!F19</f>
        <v>UNIDAD</v>
      </c>
      <c r="J21" s="69">
        <f>'Necesidades Trimestrales'!H19</f>
        <v>735</v>
      </c>
      <c r="K21" s="70">
        <f>'Necesidades Trimestrales'!G19</f>
        <v>100</v>
      </c>
    </row>
    <row r="22" spans="1:11" ht="43.9" customHeight="1" thickBot="1" x14ac:dyDescent="0.25">
      <c r="A22" s="8">
        <v>11</v>
      </c>
      <c r="B22" s="66" t="str">
        <f>'Necesidades Trimestrales'!B20</f>
        <v>2.9.2-1611.11</v>
      </c>
      <c r="C22" s="106" t="str">
        <f>'Necesidades Trimestrales'!E20</f>
        <v>FOLIOS TRANSPARENTES; TAMAÑO: OFICIO, PERFORACIONES: 5, MATERIAL: POLIPROPILENO</v>
      </c>
      <c r="D22" s="106"/>
      <c r="E22" s="106"/>
      <c r="F22" s="106"/>
      <c r="G22" s="106"/>
      <c r="H22" s="67" t="s">
        <v>56</v>
      </c>
      <c r="I22" s="68" t="str">
        <f>'Necesidades Trimestrales'!F20</f>
        <v>UNIDAD</v>
      </c>
      <c r="J22" s="69">
        <f>'Necesidades Trimestrales'!H20</f>
        <v>12</v>
      </c>
      <c r="K22" s="70">
        <f>'Necesidades Trimestrales'!G20</f>
        <v>300</v>
      </c>
    </row>
    <row r="23" spans="1:11" ht="43.9" customHeight="1" thickBot="1" x14ac:dyDescent="0.25">
      <c r="A23" s="8">
        <v>12</v>
      </c>
      <c r="B23" s="66" t="str">
        <f>'Necesidades Trimestrales'!B21</f>
        <v>2.9.2-1611.10</v>
      </c>
      <c r="C23" s="106" t="str">
        <f>'Necesidades Trimestrales'!E21</f>
        <v>FOLIOS TRANSPARENTES; TAMAÑO: A-4, PERFORACIONES: 5, MATERIAL: POLIPROPILENO</v>
      </c>
      <c r="D23" s="106"/>
      <c r="E23" s="106"/>
      <c r="F23" s="106"/>
      <c r="G23" s="106"/>
      <c r="H23" s="67" t="s">
        <v>56</v>
      </c>
      <c r="I23" s="68" t="str">
        <f>'Necesidades Trimestrales'!F21</f>
        <v>UNIDAD</v>
      </c>
      <c r="J23" s="69">
        <f>'Necesidades Trimestrales'!H21</f>
        <v>10</v>
      </c>
      <c r="K23" s="70">
        <f>'Necesidades Trimestrales'!G21</f>
        <v>300</v>
      </c>
    </row>
    <row r="24" spans="1:11" ht="43.9" customHeight="1" thickBot="1" x14ac:dyDescent="0.25">
      <c r="A24" s="8">
        <v>13</v>
      </c>
      <c r="B24" s="66" t="str">
        <f>'Necesidades Trimestrales'!B22</f>
        <v>2.9.2-4984.6</v>
      </c>
      <c r="C24" s="106" t="str">
        <f>'Necesidades Trimestrales'!E22</f>
        <v>LAPICERAS ESTILOGRAFICAS; TIPO: TRAZO GRUESO, MATERIAL: PLASTICO Y METAL , RECARGABLE: NO</v>
      </c>
      <c r="D24" s="106"/>
      <c r="E24" s="106"/>
      <c r="F24" s="106"/>
      <c r="G24" s="106"/>
      <c r="H24" s="67" t="s">
        <v>56</v>
      </c>
      <c r="I24" s="68" t="str">
        <f>'Necesidades Trimestrales'!F22</f>
        <v>UNIDAD</v>
      </c>
      <c r="J24" s="69">
        <f>'Necesidades Trimestrales'!H22</f>
        <v>29</v>
      </c>
      <c r="K24" s="70">
        <f>'Necesidades Trimestrales'!G22</f>
        <v>800</v>
      </c>
    </row>
    <row r="25" spans="1:11" ht="43.9" customHeight="1" thickBot="1" x14ac:dyDescent="0.25">
      <c r="A25" s="8">
        <v>14</v>
      </c>
      <c r="B25" s="66" t="str">
        <f>'Necesidades Trimestrales'!B23</f>
        <v>2.9.2-4984.6</v>
      </c>
      <c r="C25" s="106" t="str">
        <f>'Necesidades Trimestrales'!E23</f>
        <v>LAPICERAS ESTILOGRAFICAS; TIPO: TRAZO GRUESO, MATERIAL: PLASTICO Y METAL , RECARGABLE: NO</v>
      </c>
      <c r="D25" s="106"/>
      <c r="E25" s="106"/>
      <c r="F25" s="106"/>
      <c r="G25" s="106"/>
      <c r="H25" s="67" t="s">
        <v>56</v>
      </c>
      <c r="I25" s="68" t="str">
        <f>'Necesidades Trimestrales'!F23</f>
        <v>UNIDAD</v>
      </c>
      <c r="J25" s="69">
        <f>'Necesidades Trimestrales'!H23</f>
        <v>29</v>
      </c>
      <c r="K25" s="70">
        <f>'Necesidades Trimestrales'!G23</f>
        <v>800</v>
      </c>
    </row>
    <row r="26" spans="1:11" ht="43.9" customHeight="1" thickBot="1" x14ac:dyDescent="0.25">
      <c r="A26" s="8">
        <v>15</v>
      </c>
      <c r="B26" s="66" t="str">
        <f>'Necesidades Trimestrales'!B24</f>
        <v>2.9.2-4984.6</v>
      </c>
      <c r="C26" s="106" t="str">
        <f>'Necesidades Trimestrales'!E24</f>
        <v>LAPICERAS ESTILOGRAFICAS; TIPO: TRAZO GRUESO, MATERIAL: PLASTICO Y METAL , RECARGABLE: NO</v>
      </c>
      <c r="D26" s="106"/>
      <c r="E26" s="106"/>
      <c r="F26" s="106"/>
      <c r="G26" s="106"/>
      <c r="H26" s="67" t="s">
        <v>56</v>
      </c>
      <c r="I26" s="68" t="str">
        <f>'Necesidades Trimestrales'!F24</f>
        <v>UNIDAD</v>
      </c>
      <c r="J26" s="69">
        <f>'Necesidades Trimestrales'!H24</f>
        <v>29</v>
      </c>
      <c r="K26" s="70">
        <f>'Necesidades Trimestrales'!G24</f>
        <v>300</v>
      </c>
    </row>
    <row r="27" spans="1:11" ht="43.9" customHeight="1" thickBot="1" x14ac:dyDescent="0.25">
      <c r="A27" s="8">
        <v>16</v>
      </c>
      <c r="B27" s="66" t="str">
        <f>'Necesidades Trimestrales'!B25</f>
        <v>2.9.2-323.4</v>
      </c>
      <c r="C27" s="106" t="str">
        <f>'Necesidades Trimestrales'!E25</f>
        <v>CORRECTORES DE ESCRITURA; CAPACIDAD: 7 mL, ENVASE: LAPIZ (PUNTA METAL), PRESENTACION: LAPIZ (PUNTA METAL) X 7 mL</v>
      </c>
      <c r="D27" s="106"/>
      <c r="E27" s="106"/>
      <c r="F27" s="106"/>
      <c r="G27" s="106"/>
      <c r="H27" s="67" t="s">
        <v>56</v>
      </c>
      <c r="I27" s="68" t="str">
        <f>'Necesidades Trimestrales'!F25</f>
        <v>UNIDAD</v>
      </c>
      <c r="J27" s="69">
        <f>'Necesidades Trimestrales'!H25</f>
        <v>120</v>
      </c>
      <c r="K27" s="70">
        <f>'Necesidades Trimestrales'!G25</f>
        <v>250</v>
      </c>
    </row>
    <row r="28" spans="1:11" ht="43.9" customHeight="1" thickBot="1" x14ac:dyDescent="0.25">
      <c r="A28" s="8">
        <v>17</v>
      </c>
      <c r="B28" s="66" t="str">
        <f>'Necesidades Trimestrales'!B26</f>
        <v>2.9.2-848.5</v>
      </c>
      <c r="C28" s="106" t="str">
        <f>'Necesidades Trimestrales'!E26</f>
        <v>LAPIZ; TIPO: COMUN NRO 2, COLOR: NEGRO</v>
      </c>
      <c r="D28" s="106"/>
      <c r="E28" s="106"/>
      <c r="F28" s="106"/>
      <c r="G28" s="106"/>
      <c r="H28" s="67" t="s">
        <v>56</v>
      </c>
      <c r="I28" s="68" t="str">
        <f>'Necesidades Trimestrales'!F26</f>
        <v>UNIDAD</v>
      </c>
      <c r="J28" s="69">
        <f>'Necesidades Trimestrales'!H26</f>
        <v>33</v>
      </c>
      <c r="K28" s="70">
        <f>'Necesidades Trimestrales'!G26</f>
        <v>100</v>
      </c>
    </row>
    <row r="29" spans="1:11" ht="43.9" customHeight="1" thickBot="1" x14ac:dyDescent="0.25">
      <c r="A29" s="8">
        <v>18</v>
      </c>
      <c r="B29" s="66" t="str">
        <f>'Necesidades Trimestrales'!B27</f>
        <v>2.3.1-6587.324</v>
      </c>
      <c r="C29" s="106" t="str">
        <f>'Necesidades Trimestrales'!E27</f>
        <v>PAPELES ENCUADERNADOS; CANT. DE HOJAS: 400, TAMAÑO: 21 X 33 Cm, TIPO: LIBRO DE ACTAS, CERTIFICADO FORESTAL (GFS): SIN, PORC. FIBRAS RECICLADAS: 0 %, CERT. FIBRA ALTERNATIVA (FCA): SIN</v>
      </c>
      <c r="D29" s="106"/>
      <c r="E29" s="106"/>
      <c r="F29" s="106"/>
      <c r="G29" s="106"/>
      <c r="H29" s="67" t="s">
        <v>56</v>
      </c>
      <c r="I29" s="68" t="str">
        <f>'Necesidades Trimestrales'!F27</f>
        <v>UNIDAD</v>
      </c>
      <c r="J29" s="69">
        <f>'Necesidades Trimestrales'!H27</f>
        <v>765</v>
      </c>
      <c r="K29" s="70">
        <f>'Necesidades Trimestrales'!G27</f>
        <v>30</v>
      </c>
    </row>
    <row r="30" spans="1:11" ht="43.9" customHeight="1" thickBot="1" x14ac:dyDescent="0.25">
      <c r="A30" s="8">
        <v>19</v>
      </c>
      <c r="B30" s="66" t="str">
        <f>'Necesidades Trimestrales'!B28</f>
        <v>2.9.2-1616.80</v>
      </c>
      <c r="C30" s="106" t="str">
        <f>'Necesidades Trimestrales'!E28</f>
        <v>MARCADORES; TIPO AL AGUA - TRAZO GRUESO - PUNTA REDONDA - RECARGABLE NO</v>
      </c>
      <c r="D30" s="106"/>
      <c r="E30" s="106"/>
      <c r="F30" s="106"/>
      <c r="G30" s="106"/>
      <c r="H30" s="67" t="s">
        <v>56</v>
      </c>
      <c r="I30" s="68" t="str">
        <f>'Necesidades Trimestrales'!F28</f>
        <v>UNIDAD</v>
      </c>
      <c r="J30" s="69">
        <f>'Necesidades Trimestrales'!H28</f>
        <v>90</v>
      </c>
      <c r="K30" s="70">
        <f>'Necesidades Trimestrales'!G28</f>
        <v>150</v>
      </c>
    </row>
    <row r="31" spans="1:11" ht="43.9" customHeight="1" thickBot="1" x14ac:dyDescent="0.25">
      <c r="A31" s="8">
        <v>20</v>
      </c>
      <c r="B31" s="66" t="str">
        <f>'Necesidades Trimestrales'!B29</f>
        <v>2.9.2-1616.137</v>
      </c>
      <c r="C31" s="106" t="str">
        <f>'Necesidades Trimestrales'!E29</f>
        <v>MARCADORES; TIPO: INDELEBLE, TRAZO: GRUESO, PUNTA: REDONDA, COLOR: NEGRO, RECARGABLE: NO</v>
      </c>
      <c r="D31" s="106"/>
      <c r="E31" s="106"/>
      <c r="F31" s="106"/>
      <c r="G31" s="106"/>
      <c r="H31" s="67" t="s">
        <v>56</v>
      </c>
      <c r="I31" s="68" t="str">
        <f>'Necesidades Trimestrales'!F29</f>
        <v>UNIDAD</v>
      </c>
      <c r="J31" s="69">
        <f>'Necesidades Trimestrales'!H29</f>
        <v>125</v>
      </c>
      <c r="K31" s="70">
        <f>'Necesidades Trimestrales'!G29</f>
        <v>250</v>
      </c>
    </row>
    <row r="32" spans="1:11" ht="43.9" customHeight="1" thickBot="1" x14ac:dyDescent="0.25">
      <c r="A32" s="8">
        <v>21</v>
      </c>
      <c r="B32" s="66" t="str">
        <f>'Necesidades Trimestrales'!B30</f>
        <v>2.3.1-6563.968</v>
      </c>
      <c r="C32" s="106" t="str">
        <f>'Necesidades Trimestrales'!E30</f>
        <v>PAPELES EN HOJA; TIPO DE PAPEL: EXTRA BLANCO, DIMENSION: A4, GRAMAJE: 80 GR, PRESENTACION: RESMA X 500 HOJAS, CERTIFICADO FORESTAL (GFS): SIN, PORC. FIBRAS RECICLADAS: 0 %, CERT. FIBRA ALTERNATIVA (FCA): CON</v>
      </c>
      <c r="D32" s="106"/>
      <c r="E32" s="106"/>
      <c r="F32" s="106"/>
      <c r="G32" s="106"/>
      <c r="H32" s="67" t="s">
        <v>56</v>
      </c>
      <c r="I32" s="68" t="str">
        <f>'Necesidades Trimestrales'!F30</f>
        <v>UNIDAD</v>
      </c>
      <c r="J32" s="69">
        <f>'Necesidades Trimestrales'!H30</f>
        <v>645</v>
      </c>
      <c r="K32" s="70">
        <f>'Necesidades Trimestrales'!G30</f>
        <v>450</v>
      </c>
    </row>
    <row r="33" spans="1:11" ht="43.9" customHeight="1" thickBot="1" x14ac:dyDescent="0.25">
      <c r="A33" s="8">
        <v>22</v>
      </c>
      <c r="B33" s="66" t="str">
        <f>'Necesidades Trimestrales'!B31</f>
        <v>2.3.1-6563.1009</v>
      </c>
      <c r="C33" s="106" t="str">
        <f>'Necesidades Trimestrales'!E31</f>
        <v>PAPELES EN HOJA; TIPO DE PAPEL: BLANCO, DIMENSION: OFICIO, GRAMAJE: 80 GR, PRESENTACION: ENVASE X 500 HOJAS, CERTIFICADO FORESTAL (GFS): SIN, PORC. FIBRAS RECICLADAS: 0 %, CERT. FIBRA ALTERNATIVA (FCA): SIN</v>
      </c>
      <c r="D33" s="106"/>
      <c r="E33" s="106"/>
      <c r="F33" s="106"/>
      <c r="G33" s="106"/>
      <c r="H33" s="67" t="s">
        <v>56</v>
      </c>
      <c r="I33" s="68" t="str">
        <f>'Necesidades Trimestrales'!F31</f>
        <v>UNIDAD</v>
      </c>
      <c r="J33" s="69">
        <f>'Necesidades Trimestrales'!H31</f>
        <v>780</v>
      </c>
      <c r="K33" s="70">
        <f>'Necesidades Trimestrales'!G31</f>
        <v>500</v>
      </c>
    </row>
    <row r="34" spans="1:11" ht="43.9" customHeight="1" thickBot="1" x14ac:dyDescent="0.25">
      <c r="A34" s="8">
        <v>23</v>
      </c>
      <c r="B34" s="66" t="str">
        <f>'Necesidades Trimestrales'!B32</f>
        <v>2.9.2-660.4</v>
      </c>
      <c r="C34" s="106" t="str">
        <f>'Necesidades Trimestrales'!E32</f>
        <v>CLIPS P/PAPEL; MATERIAL: METAL, NUMERO: 4, CANT. X CAJA: 100, PRESENTACION: CAJA X 100</v>
      </c>
      <c r="D34" s="106"/>
      <c r="E34" s="106"/>
      <c r="F34" s="106"/>
      <c r="G34" s="106"/>
      <c r="H34" s="67" t="s">
        <v>56</v>
      </c>
      <c r="I34" s="68" t="str">
        <f>'Necesidades Trimestrales'!F32</f>
        <v>CAJA</v>
      </c>
      <c r="J34" s="69">
        <f>'Necesidades Trimestrales'!H32</f>
        <v>65</v>
      </c>
      <c r="K34" s="70">
        <f>'Necesidades Trimestrales'!G32</f>
        <v>30</v>
      </c>
    </row>
    <row r="35" spans="1:11" ht="43.9" customHeight="1" thickBot="1" x14ac:dyDescent="0.25">
      <c r="A35" s="8">
        <v>24</v>
      </c>
      <c r="B35" s="66" t="str">
        <f>'Necesidades Trimestrales'!B33</f>
        <v>2.9.2-858.16</v>
      </c>
      <c r="C35" s="106" t="str">
        <f>'Necesidades Trimestrales'!E33</f>
        <v>PERFORADORAS; TAMAÑO: MEDIANA, N° PERFORACIONES: 2, DIST. ENTRE AGUJ.: SIN VALOR, GUIA POSICION PAPEL: SIN VALOR, MATERIAL ESTRUCTURA: MADERA, MATERIAL: MADERA</v>
      </c>
      <c r="D35" s="106"/>
      <c r="E35" s="106"/>
      <c r="F35" s="106"/>
      <c r="G35" s="106"/>
      <c r="H35" s="67" t="s">
        <v>56</v>
      </c>
      <c r="I35" s="68" t="str">
        <f>'Necesidades Trimestrales'!F33</f>
        <v>UNIDAD</v>
      </c>
      <c r="J35" s="69">
        <f>'Necesidades Trimestrales'!H33</f>
        <v>3701</v>
      </c>
      <c r="K35" s="70">
        <f>'Necesidades Trimestrales'!G33</f>
        <v>10</v>
      </c>
    </row>
    <row r="36" spans="1:11" ht="43.9" customHeight="1" thickBot="1" x14ac:dyDescent="0.25">
      <c r="A36" s="8">
        <v>25</v>
      </c>
      <c r="B36" s="66" t="str">
        <f>'Necesidades Trimestrales'!B34</f>
        <v>2.3.1-6590.484</v>
      </c>
      <c r="C36" s="106" t="str">
        <f>'Necesidades Trimestrales'!E34</f>
        <v>SOBRES DE PAPEL; TIPO: MANILA, TAMAÑO: 19 X 24 Cm, GRAMAJE: 80 GR/M2, PRESENTACION: UNIDAD UN, CERTIFICADO FORESTAL (GFS): SIN, PORC. FIBRAS RECICLADAS: SIN VALOR</v>
      </c>
      <c r="D36" s="106"/>
      <c r="E36" s="106"/>
      <c r="F36" s="106"/>
      <c r="G36" s="106"/>
      <c r="H36" s="67" t="s">
        <v>56</v>
      </c>
      <c r="I36" s="68" t="str">
        <f>'Necesidades Trimestrales'!F34</f>
        <v>UNIDAD</v>
      </c>
      <c r="J36" s="69">
        <f>'Necesidades Trimestrales'!H34</f>
        <v>7.5</v>
      </c>
      <c r="K36" s="70">
        <f>'Necesidades Trimestrales'!G34</f>
        <v>1500</v>
      </c>
    </row>
    <row r="37" spans="1:11" ht="43.9" customHeight="1" thickBot="1" x14ac:dyDescent="0.25">
      <c r="A37" s="8">
        <v>26</v>
      </c>
      <c r="B37" s="66" t="str">
        <f>'Necesidades Trimestrales'!B35</f>
        <v>2.3.1-6590.541</v>
      </c>
      <c r="C37" s="106" t="str">
        <f>'Necesidades Trimestrales'!E35</f>
        <v>SOBRES DE PAPEL; TIPO: BOLSA DE PAPEL MANILA, TAMAÑO: 24 X 30 Cm, GRAMAJE: 80 GR/M2, PRESENTACION: ENVASE X 100 UN, CERTIFICADO FORESTAL (GFS): SIN, PORC. FIBRAS RECICLADAS: 0 %, CERT. FIBRA ALTERNATIVA (FCA): SIN</v>
      </c>
      <c r="D37" s="106"/>
      <c r="E37" s="106"/>
      <c r="F37" s="106"/>
      <c r="G37" s="106"/>
      <c r="H37" s="67" t="s">
        <v>56</v>
      </c>
      <c r="I37" s="68" t="str">
        <f>'Necesidades Trimestrales'!F35</f>
        <v>UNIDAD</v>
      </c>
      <c r="J37" s="69">
        <f>'Necesidades Trimestrales'!H35</f>
        <v>930</v>
      </c>
      <c r="K37" s="70">
        <f>'Necesidades Trimestrales'!G35</f>
        <v>18</v>
      </c>
    </row>
    <row r="38" spans="1:11" ht="43.9" customHeight="1" thickBot="1" x14ac:dyDescent="0.25">
      <c r="A38" s="8">
        <v>27</v>
      </c>
      <c r="B38" s="66" t="str">
        <f>'Necesidades Trimestrales'!B36</f>
        <v>2.3.1-6590.465</v>
      </c>
      <c r="C38" s="106" t="str">
        <f>'Necesidades Trimestrales'!E36</f>
        <v>SOBRES DE PAPEL; TIPO: BOLSA MANILA, TAMAÑO: 30 X 40 Cm, GRAMAJE: 90 GR/M2, PRESENTACION: UNIDAD, CERTIFICADO FORESTAL (GFS): SIN, PORC. FIBRAS RECICLADAS: 0 %</v>
      </c>
      <c r="D38" s="106"/>
      <c r="E38" s="106"/>
      <c r="F38" s="106"/>
      <c r="G38" s="106"/>
      <c r="H38" s="67" t="s">
        <v>56</v>
      </c>
      <c r="I38" s="68" t="str">
        <f>'Necesidades Trimestrales'!F36</f>
        <v>UNIDAD</v>
      </c>
      <c r="J38" s="69">
        <f>'Necesidades Trimestrales'!H36</f>
        <v>16</v>
      </c>
      <c r="K38" s="70">
        <f>'Necesidades Trimestrales'!G36</f>
        <v>1700</v>
      </c>
    </row>
    <row r="39" spans="1:11" ht="43.9" customHeight="1" thickBot="1" x14ac:dyDescent="0.25">
      <c r="A39" s="8">
        <v>28</v>
      </c>
      <c r="B39" s="66" t="str">
        <f>'Necesidades Trimestrales'!B37</f>
        <v>2.3.1-6590.531</v>
      </c>
      <c r="C39" s="106" t="str">
        <f>'Necesidades Trimestrales'!E37</f>
        <v>SOBRES DE PAPEL; TIPO: MANILA, TAMAÑO: 37 X 45 Cm, GRAMAJE: 80 GR/M2, PRESENTACION: ENVASE X 100 UN, CERTIFICADO FORESTAL (GFS): SIN, PORC. FIBRAS RECICLADAS: 0 %, CERT. FIBRA ALTERNATIVA (FCA): SIN</v>
      </c>
      <c r="D39" s="106"/>
      <c r="E39" s="106"/>
      <c r="F39" s="106"/>
      <c r="G39" s="106"/>
      <c r="H39" s="67" t="s">
        <v>56</v>
      </c>
      <c r="I39" s="68" t="str">
        <f>'Necesidades Trimestrales'!F37</f>
        <v>UNIDAD</v>
      </c>
      <c r="J39" s="69">
        <f>'Necesidades Trimestrales'!H37</f>
        <v>2300</v>
      </c>
      <c r="K39" s="70">
        <f>'Necesidades Trimestrales'!G37</f>
        <v>10</v>
      </c>
    </row>
    <row r="40" spans="1:11" ht="43.9" customHeight="1" thickBot="1" x14ac:dyDescent="0.25">
      <c r="A40" s="8">
        <v>29</v>
      </c>
      <c r="B40" s="66" t="str">
        <f>'Necesidades Trimestrales'!B38</f>
        <v>2.3.3-861.325</v>
      </c>
      <c r="C40" s="106" t="str">
        <f>'Necesidades Trimestrales'!E38</f>
        <v>SOBRES C/MEMBRETE; IMPRESION: 1 COLOR, TAMAÑO: 16 X 22 Cm, TIPO DE PAPEL: BLANCO, GRAMAJE: 80 GR/M2, CERTIFICADO FORESTAL (GFS): SIN, PORC. FIBRAS RECICLADAS: SIN %</v>
      </c>
      <c r="D40" s="106"/>
      <c r="E40" s="106"/>
      <c r="F40" s="106"/>
      <c r="G40" s="106"/>
      <c r="H40" s="67" t="s">
        <v>56</v>
      </c>
      <c r="I40" s="68" t="str">
        <f>'Necesidades Trimestrales'!F38</f>
        <v>UNIDAD</v>
      </c>
      <c r="J40" s="69">
        <f>'Necesidades Trimestrales'!H38</f>
        <v>4</v>
      </c>
      <c r="K40" s="70">
        <f>'Necesidades Trimestrales'!G38</f>
        <v>3000</v>
      </c>
    </row>
    <row r="41" spans="1:11" ht="43.9" customHeight="1" thickBot="1" x14ac:dyDescent="0.25">
      <c r="A41" s="8">
        <v>30</v>
      </c>
      <c r="B41" s="66" t="str">
        <f>'Necesidades Trimestrales'!B39</f>
        <v>2.9.2-1450.36</v>
      </c>
      <c r="C41" s="106" t="str">
        <f>'Necesidades Trimestrales'!E39</f>
        <v xml:space="preserve">TINTAS P/SELLOS; TIPO DE SELLO: DE GOMA, PRESENTACION: ENVASE X 28 CM3  </v>
      </c>
      <c r="D41" s="106"/>
      <c r="E41" s="106"/>
      <c r="F41" s="106"/>
      <c r="G41" s="106"/>
      <c r="H41" s="67" t="s">
        <v>56</v>
      </c>
      <c r="I41" s="68" t="str">
        <f>'Necesidades Trimestrales'!F39</f>
        <v>UNIDAD</v>
      </c>
      <c r="J41" s="69">
        <f>'Necesidades Trimestrales'!H39</f>
        <v>179</v>
      </c>
      <c r="K41" s="70">
        <f>'Necesidades Trimestrales'!G39</f>
        <v>25</v>
      </c>
    </row>
    <row r="42" spans="1:11" ht="43.9" customHeight="1" thickBot="1" x14ac:dyDescent="0.25">
      <c r="A42" s="8">
        <v>31</v>
      </c>
      <c r="B42" s="66" t="str">
        <f>'Necesidades Trimestrales'!B40</f>
        <v>2.9.2-1354.28</v>
      </c>
      <c r="C42" s="106" t="str">
        <f>'Necesidades Trimestrales'!E40</f>
        <v>RESALTADORES; PUNTA: FINA, ACCESORIO: SIN, COLOR: AMARILLO, TIPO PUNTA: FINA</v>
      </c>
      <c r="D42" s="106"/>
      <c r="E42" s="106"/>
      <c r="F42" s="106"/>
      <c r="G42" s="106"/>
      <c r="H42" s="67" t="s">
        <v>56</v>
      </c>
      <c r="I42" s="68" t="str">
        <f>'Necesidades Trimestrales'!F40</f>
        <v>UNIDAD</v>
      </c>
      <c r="J42" s="69">
        <f>'Necesidades Trimestrales'!H40</f>
        <v>51</v>
      </c>
      <c r="K42" s="70">
        <f>'Necesidades Trimestrales'!G40</f>
        <v>200</v>
      </c>
    </row>
    <row r="43" spans="1:11" ht="43.9" customHeight="1" thickBot="1" x14ac:dyDescent="0.25">
      <c r="A43" s="8">
        <v>32</v>
      </c>
      <c r="B43" s="66" t="str">
        <f>'Necesidades Trimestrales'!B41</f>
        <v>2.9.2-1354.4</v>
      </c>
      <c r="C43" s="106" t="str">
        <f>'Necesidades Trimestrales'!E41</f>
        <v>RESALTADORES; ACCESORIO: CON CLIPS, COLOR: ROJO, PUNTA: 5 (CHANFLEADA) mm, TIPO PUNTA: 5 (CHANFLEADA) mm</v>
      </c>
      <c r="D43" s="106"/>
      <c r="E43" s="106"/>
      <c r="F43" s="106"/>
      <c r="G43" s="106"/>
      <c r="H43" s="67" t="s">
        <v>56</v>
      </c>
      <c r="I43" s="68" t="str">
        <f>'Necesidades Trimestrales'!F41</f>
        <v>UNIDAD</v>
      </c>
      <c r="J43" s="69">
        <f>'Necesidades Trimestrales'!H41</f>
        <v>51</v>
      </c>
      <c r="K43" s="70">
        <f>'Necesidades Trimestrales'!G41</f>
        <v>200</v>
      </c>
    </row>
    <row r="44" spans="1:11" ht="43.9" customHeight="1" thickBot="1" x14ac:dyDescent="0.25">
      <c r="A44" s="8">
        <v>33</v>
      </c>
      <c r="B44" s="66" t="str">
        <f>'Necesidades Trimestrales'!B42</f>
        <v>2.9.2-661.25</v>
      </c>
      <c r="C44" s="106" t="str">
        <f>'Necesidades Trimestrales'!E42</f>
        <v>GOMAS DE BORRAR; USO: LAPIZ Y TINTA, DIMENSION: 55 X 17 mm, MATERIAL: CAUCHO, CANT. X CAJA: UNIDAD, PRESENTACION: UNIDAD</v>
      </c>
      <c r="D44" s="106"/>
      <c r="E44" s="106"/>
      <c r="F44" s="106"/>
      <c r="G44" s="106"/>
      <c r="H44" s="67" t="s">
        <v>56</v>
      </c>
      <c r="I44" s="68" t="str">
        <f>'Necesidades Trimestrales'!F42</f>
        <v>UNIDAD</v>
      </c>
      <c r="J44" s="69">
        <f>'Necesidades Trimestrales'!H42</f>
        <v>45</v>
      </c>
      <c r="K44" s="70">
        <f>'Necesidades Trimestrales'!G42</f>
        <v>200</v>
      </c>
    </row>
    <row r="45" spans="1:11" ht="43.9" customHeight="1" thickBot="1" x14ac:dyDescent="0.25">
      <c r="A45" s="8">
        <v>34</v>
      </c>
      <c r="B45" s="66" t="str">
        <f>'Necesidades Trimestrales'!B43</f>
        <v>2.9.2-850.201</v>
      </c>
      <c r="C45" s="106" t="str">
        <f>'Necesidades Trimestrales'!E43</f>
        <v>CAJAS DE ARCHIVO; MATERIAL: CARTON, DIMENSION: 45 X 35 X 25 Cm</v>
      </c>
      <c r="D45" s="106"/>
      <c r="E45" s="106"/>
      <c r="F45" s="106"/>
      <c r="G45" s="106"/>
      <c r="H45" s="67" t="s">
        <v>56</v>
      </c>
      <c r="I45" s="68" t="str">
        <f>'Necesidades Trimestrales'!F43</f>
        <v>UNIDAD</v>
      </c>
      <c r="J45" s="69">
        <f>'Necesidades Trimestrales'!H43</f>
        <v>513</v>
      </c>
      <c r="K45" s="70">
        <f>'Necesidades Trimestrales'!G43</f>
        <v>50</v>
      </c>
    </row>
    <row r="46" spans="1:11" ht="43.9" customHeight="1" thickBot="1" x14ac:dyDescent="0.25">
      <c r="A46" s="8">
        <v>35</v>
      </c>
      <c r="B46" s="66" t="str">
        <f>'Necesidades Trimestrales'!B44</f>
        <v>2.9.2-1153.89</v>
      </c>
      <c r="C46" s="106" t="str">
        <f>'Necesidades Trimestrales'!E44</f>
        <v>CINTAS ADHESIVAS; TIPO: TRANSPARENTE,  ANCHO: 1,2 Cm, LARGO ROLLO: 50 M, MATERIAL: POLIPROPILENO, ACCESORIO: SIN, LARGO: 50 M</v>
      </c>
      <c r="D46" s="106"/>
      <c r="E46" s="106"/>
      <c r="F46" s="106"/>
      <c r="G46" s="106"/>
      <c r="H46" s="67" t="s">
        <v>56</v>
      </c>
      <c r="I46" s="68" t="str">
        <f>'Necesidades Trimestrales'!F44</f>
        <v>UNIDAD</v>
      </c>
      <c r="J46" s="69">
        <f>'Necesidades Trimestrales'!H44</f>
        <v>95</v>
      </c>
      <c r="K46" s="70">
        <f>'Necesidades Trimestrales'!G44</f>
        <v>100</v>
      </c>
    </row>
    <row r="47" spans="1:11" ht="43.9" customHeight="1" thickBot="1" x14ac:dyDescent="0.25">
      <c r="A47" s="8">
        <v>36</v>
      </c>
      <c r="B47" s="66" t="str">
        <f>'Necesidades Trimestrales'!B45</f>
        <v>2.9.2-291.18</v>
      </c>
      <c r="C47" s="106" t="str">
        <f>'Necesidades Trimestrales'!E45</f>
        <v>ALMOHADILLA P/SELLO; MEDIDA: 11 X 8 Cm, MATERIAL: METAL</v>
      </c>
      <c r="D47" s="106"/>
      <c r="E47" s="106"/>
      <c r="F47" s="106"/>
      <c r="G47" s="106"/>
      <c r="H47" s="67" t="s">
        <v>56</v>
      </c>
      <c r="I47" s="68" t="str">
        <f>'Necesidades Trimestrales'!F45</f>
        <v>UNIDAD</v>
      </c>
      <c r="J47" s="69">
        <f>'Necesidades Trimestrales'!H45</f>
        <v>373</v>
      </c>
      <c r="K47" s="70">
        <f>'Necesidades Trimestrales'!G45</f>
        <v>10</v>
      </c>
    </row>
    <row r="48" spans="1:11" ht="43.9" customHeight="1" thickBot="1" x14ac:dyDescent="0.25">
      <c r="A48" s="8">
        <v>37</v>
      </c>
      <c r="B48" s="66" t="str">
        <f>'Necesidades Trimestrales'!B46</f>
        <v>2.3.1-6587.292</v>
      </c>
      <c r="C48" s="106" t="str">
        <f>'Necesidades Trimestrales'!E46</f>
        <v>PAPELES ENCUADERNADOS; CANT. DE HOJAS: 196, TAMAÑO: 21 X 16 Cm, TIPO: CUADERNO, CERTIFICADO FORESTAL (GFS): SIN, PORC. FIBRAS RECICLADAS: 0 %, CERT. FIBRA ALTERNATIVA (FCA): SIN</v>
      </c>
      <c r="D48" s="106"/>
      <c r="E48" s="106"/>
      <c r="F48" s="106"/>
      <c r="G48" s="106"/>
      <c r="H48" s="67" t="s">
        <v>56</v>
      </c>
      <c r="I48" s="68" t="str">
        <f>'Necesidades Trimestrales'!F46</f>
        <v>UNIDAD</v>
      </c>
      <c r="J48" s="69">
        <f>'Necesidades Trimestrales'!H46</f>
        <v>1160</v>
      </c>
      <c r="K48" s="70">
        <f>'Necesidades Trimestrales'!G46</f>
        <v>120</v>
      </c>
    </row>
    <row r="49" spans="1:1024" ht="43.9" customHeight="1" thickBot="1" x14ac:dyDescent="0.25">
      <c r="A49" s="8">
        <v>38</v>
      </c>
      <c r="B49" s="66" t="str">
        <f>'Necesidades Trimestrales'!B47</f>
        <v>2.9.2-5042.31</v>
      </c>
      <c r="C49" s="106" t="str">
        <f>'Necesidades Trimestrales'!E47</f>
        <v>TIJERA; USO: P/PAPEL, MATERIAL: ACERO INOXIDABLE, LONG: DE CUERPO: 22 CM</v>
      </c>
      <c r="D49" s="106"/>
      <c r="E49" s="106"/>
      <c r="F49" s="106"/>
      <c r="G49" s="106"/>
      <c r="H49" s="67" t="s">
        <v>56</v>
      </c>
      <c r="I49" s="68" t="str">
        <f>'Necesidades Trimestrales'!F47</f>
        <v>UNIDAD</v>
      </c>
      <c r="J49" s="69">
        <f>'Necesidades Trimestrales'!H47</f>
        <v>365</v>
      </c>
      <c r="K49" s="70">
        <f>'Necesidades Trimestrales'!G47</f>
        <v>30</v>
      </c>
    </row>
    <row r="50" spans="1:1024" ht="43.9" customHeight="1" thickBot="1" x14ac:dyDescent="0.25">
      <c r="A50" s="8">
        <v>39</v>
      </c>
      <c r="B50" s="66" t="str">
        <f>'Necesidades Trimestrales'!B48</f>
        <v>2.9.2-8819.1</v>
      </c>
      <c r="C50" s="106" t="str">
        <f>'Necesidades Trimestrales'!E48</f>
        <v>DISCO VERSATIL DIGITAL (DVD) ; CAPACIDAD: 4,7 Gb, TIPO: GRABABLE</v>
      </c>
      <c r="D50" s="106"/>
      <c r="E50" s="106"/>
      <c r="F50" s="106"/>
      <c r="G50" s="106"/>
      <c r="H50" s="67" t="s">
        <v>56</v>
      </c>
      <c r="I50" s="68" t="str">
        <f>'Necesidades Trimestrales'!F48</f>
        <v>UNIDAD</v>
      </c>
      <c r="J50" s="69">
        <f>'Necesidades Trimestrales'!H48</f>
        <v>40</v>
      </c>
      <c r="K50" s="70">
        <f>'Necesidades Trimestrales'!G48</f>
        <v>300</v>
      </c>
    </row>
    <row r="51" spans="1:1024" ht="43.9" customHeight="1" thickBot="1" x14ac:dyDescent="0.25">
      <c r="A51" s="8">
        <v>40</v>
      </c>
      <c r="B51" s="66" t="str">
        <f>'Necesidades Trimestrales'!B49</f>
        <v>2.9.2-1620.1</v>
      </c>
      <c r="C51" s="106" t="str">
        <f>'Necesidades Trimestrales'!E49</f>
        <v>DISCO COMPACTO; TIPO: VIRGEN, CAPACIDAD: 700 MB</v>
      </c>
      <c r="D51" s="106"/>
      <c r="E51" s="106"/>
      <c r="F51" s="106"/>
      <c r="G51" s="106"/>
      <c r="H51" s="67" t="s">
        <v>56</v>
      </c>
      <c r="I51" s="68" t="str">
        <f>'Necesidades Trimestrales'!F49</f>
        <v>UNIDAD</v>
      </c>
      <c r="J51" s="69">
        <f>'Necesidades Trimestrales'!H49</f>
        <v>40</v>
      </c>
      <c r="K51" s="70">
        <f>'Necesidades Trimestrales'!G49</f>
        <v>3100</v>
      </c>
    </row>
    <row r="52" spans="1:1024" ht="43.9" customHeight="1" thickBot="1" x14ac:dyDescent="0.25">
      <c r="A52" s="8">
        <v>41</v>
      </c>
      <c r="B52" s="66" t="str">
        <f>'Necesidades Trimestrales'!B50</f>
        <v>2.3.1-6590.432</v>
      </c>
      <c r="C52" s="106" t="str">
        <f>'Necesidades Trimestrales'!E50</f>
        <v>SOBRES DE PAPEL; TIPO: P/DISCO COMPACTO, TAMAÑO: 12,7 X 12,7 Cm, GRAMAJE: 80 GR/M2, PRESENTACION: UNIDAD, CERTIFICADO FORESTAL (GFS): SIN</v>
      </c>
      <c r="D52" s="106"/>
      <c r="E52" s="106"/>
      <c r="F52" s="106"/>
      <c r="G52" s="106"/>
      <c r="H52" s="67" t="s">
        <v>56</v>
      </c>
      <c r="I52" s="68" t="str">
        <f>'Necesidades Trimestrales'!F50</f>
        <v>UNIDAD</v>
      </c>
      <c r="J52" s="69">
        <f>'Necesidades Trimestrales'!H50</f>
        <v>5</v>
      </c>
      <c r="K52" s="70">
        <f>'Necesidades Trimestrales'!G50</f>
        <v>3100</v>
      </c>
    </row>
    <row r="53" spans="1:1024" ht="20.25" customHeight="1" thickBot="1" x14ac:dyDescent="0.25">
      <c r="A53" s="104" t="s">
        <v>159</v>
      </c>
      <c r="B53" s="104"/>
      <c r="C53" s="104"/>
      <c r="D53" s="104"/>
      <c r="E53" s="104"/>
      <c r="F53" s="104"/>
      <c r="G53" s="104"/>
      <c r="H53" s="104"/>
      <c r="I53" s="104"/>
      <c r="J53" s="105">
        <f>SUMPRODUCT(J12:J52,K12:K52)</f>
        <v>1702187.5</v>
      </c>
      <c r="K53" s="105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</sheetData>
  <mergeCells count="63">
    <mergeCell ref="C51:G51"/>
    <mergeCell ref="C52:G52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53:I53"/>
    <mergeCell ref="J53:K5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0" zoomScale="130" zoomScaleNormal="130" workbookViewId="0">
      <selection activeCell="O21" sqref="O21:P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7" t="s">
        <v>3</v>
      </c>
      <c r="B1" s="107"/>
      <c r="C1" s="107"/>
      <c r="D1" s="108">
        <f>'Necesidades Trimestrales'!C6</f>
        <v>2022</v>
      </c>
      <c r="E1" s="108"/>
      <c r="F1" s="10"/>
      <c r="G1" s="10"/>
      <c r="H1" s="11"/>
      <c r="I1" s="11"/>
      <c r="J1" s="11"/>
      <c r="K1" s="11"/>
      <c r="L1" s="11"/>
      <c r="M1" s="11"/>
      <c r="N1" s="11"/>
      <c r="P1" s="109" t="s">
        <v>30</v>
      </c>
      <c r="Q1" s="10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9"/>
      <c r="Q2" s="109"/>
    </row>
    <row r="4" spans="1:17" s="12" customFormat="1" ht="18" customHeight="1" thickBot="1" x14ac:dyDescent="0.25">
      <c r="A4" s="110" t="s">
        <v>31</v>
      </c>
      <c r="B4" s="110"/>
      <c r="C4" s="110"/>
      <c r="D4" s="110"/>
      <c r="E4" s="110"/>
      <c r="F4" s="110"/>
      <c r="G4" s="111" t="str">
        <f>NotaPedido!D3</f>
        <v>40 - Ministerio de Salud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spans="1:17" s="12" customFormat="1" ht="18" customHeight="1" thickBot="1" x14ac:dyDescent="0.25">
      <c r="A5" s="112" t="s">
        <v>54</v>
      </c>
      <c r="B5" s="113"/>
      <c r="C5" s="113"/>
      <c r="D5" s="113"/>
      <c r="E5" s="113"/>
      <c r="F5" s="114"/>
      <c r="G5" s="111" t="str">
        <f>NotaPedido!D4</f>
        <v>23 - Hospital Interzonal San Juan Bautista</v>
      </c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pans="1:17" s="12" customFormat="1" ht="18" customHeight="1" thickBot="1" x14ac:dyDescent="0.25">
      <c r="A6" s="112" t="s">
        <v>32</v>
      </c>
      <c r="B6" s="113"/>
      <c r="C6" s="113"/>
      <c r="D6" s="113"/>
      <c r="E6" s="113"/>
      <c r="F6" s="114"/>
      <c r="G6" s="111" t="str">
        <f>NotaPedido!D5</f>
        <v>237 - Direccion de Mantenimiento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spans="1:17" s="12" customFormat="1" ht="18" customHeight="1" thickBot="1" x14ac:dyDescent="0.25">
      <c r="A7" s="112" t="s">
        <v>55</v>
      </c>
      <c r="B7" s="113"/>
      <c r="C7" s="113"/>
      <c r="D7" s="113"/>
      <c r="E7" s="113"/>
      <c r="F7" s="114"/>
      <c r="G7" s="111" t="str">
        <f>NotaPedido!D6</f>
        <v>Sección Deposito Central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18" customHeight="1" thickBot="1" x14ac:dyDescent="0.25">
      <c r="A8" s="115" t="s">
        <v>33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8" customHeight="1" x14ac:dyDescent="0.2">
      <c r="A9" s="116" t="s">
        <v>34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13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002 - 2022,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8" t="s">
        <v>35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36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37</v>
      </c>
      <c r="P13" s="120"/>
      <c r="Q13" s="121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0"/>
      <c r="P14" s="120"/>
      <c r="Q14" s="121"/>
    </row>
    <row r="15" spans="1:17" ht="17.25" customHeight="1" x14ac:dyDescent="0.2">
      <c r="A15" s="73">
        <v>33</v>
      </c>
      <c r="B15" s="74"/>
      <c r="C15" s="74"/>
      <c r="D15" s="74">
        <v>4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3</v>
      </c>
      <c r="K15" s="76">
        <v>1</v>
      </c>
      <c r="L15" s="74"/>
      <c r="M15" s="77">
        <v>1</v>
      </c>
      <c r="N15" s="75" t="s">
        <v>61</v>
      </c>
      <c r="O15" s="122" t="s">
        <v>155</v>
      </c>
      <c r="P15" s="122"/>
      <c r="Q15" s="23">
        <v>1114590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71" t="s">
        <v>60</v>
      </c>
      <c r="I16" s="25">
        <v>2</v>
      </c>
      <c r="J16" s="25">
        <v>3</v>
      </c>
      <c r="K16" s="25">
        <v>3</v>
      </c>
      <c r="L16" s="25"/>
      <c r="M16" s="26">
        <v>1</v>
      </c>
      <c r="N16" s="72" t="s">
        <v>61</v>
      </c>
      <c r="O16" s="123" t="s">
        <v>156</v>
      </c>
      <c r="P16" s="123"/>
      <c r="Q16" s="28">
        <v>12000</v>
      </c>
    </row>
    <row r="17" spans="1:19" ht="17.25" customHeight="1" x14ac:dyDescent="0.2">
      <c r="A17" s="24">
        <v>33</v>
      </c>
      <c r="B17" s="25"/>
      <c r="C17" s="25"/>
      <c r="D17" s="25">
        <v>4</v>
      </c>
      <c r="E17" s="25"/>
      <c r="F17" s="27">
        <v>4901</v>
      </c>
      <c r="G17" s="25">
        <v>3</v>
      </c>
      <c r="H17" s="71" t="s">
        <v>60</v>
      </c>
      <c r="I17" s="25">
        <v>2</v>
      </c>
      <c r="J17" s="25">
        <v>9</v>
      </c>
      <c r="K17" s="25">
        <v>2</v>
      </c>
      <c r="L17" s="25"/>
      <c r="M17" s="26">
        <v>1</v>
      </c>
      <c r="N17" s="72" t="s">
        <v>61</v>
      </c>
      <c r="O17" s="124" t="s">
        <v>166</v>
      </c>
      <c r="P17" s="124"/>
      <c r="Q17" s="28">
        <v>575597.5</v>
      </c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5"/>
      <c r="P18" s="12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6"/>
      <c r="P19" s="12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6"/>
      <c r="P20" s="12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2"/>
      <c r="P21" s="13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3"/>
      <c r="P22" s="133"/>
      <c r="Q22" s="37"/>
    </row>
    <row r="23" spans="1:19" ht="28.15" customHeight="1" x14ac:dyDescent="0.2">
      <c r="A23" s="134" t="s">
        <v>162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8">
        <f>SUM(Q15:Q22)</f>
        <v>1702187.5</v>
      </c>
    </row>
    <row r="24" spans="1:19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9" ht="17.25" customHeight="1" thickBot="1" x14ac:dyDescent="0.25">
      <c r="A25" s="127" t="s">
        <v>52</v>
      </c>
      <c r="B25" s="128"/>
      <c r="C25" s="128"/>
      <c r="D25" s="128"/>
      <c r="E25" s="128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spans="1:19" ht="18" customHeight="1" thickBot="1" x14ac:dyDescent="0.25">
      <c r="A26" s="131" t="str">
        <f>"Para la "&amp; NotaPedido!D8 &amp;" para ser destinados al " &amp; NotaPedido!D6 &amp;"  del HISJB del Ministerio de Salud."</f>
        <v>Para la Adquisición de Articulos de Librería para ser destinados al Sección Deposito Central  del HISJB del Ministerio de Salud.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9" ht="1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RODOLFO SARTOR</cp:lastModifiedBy>
  <cp:revision>2</cp:revision>
  <cp:lastPrinted>2020-07-17T22:18:48Z</cp:lastPrinted>
  <dcterms:created xsi:type="dcterms:W3CDTF">2020-07-17T23:44:49Z</dcterms:created>
  <dcterms:modified xsi:type="dcterms:W3CDTF">2022-02-03T13:00:59Z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