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cartables desiertos 1 trim\corregido\MP\"/>
    </mc:Choice>
  </mc:AlternateContent>
  <xr:revisionPtr revIDLastSave="0" documentId="13_ncr:1_{55160F6F-6541-4808-9956-D6A08AC502D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Trimestrales'!$A$9:$I$17</definedName>
    <definedName name="_xlnm.Print_Area" localSheetId="1">' NotaPedido'!$A$10:$K$18</definedName>
    <definedName name="_xlnm.Print_Area" localSheetId="2">'Autor Gastar'!$A$1:$Q$26</definedName>
    <definedName name="_xlnm.Print_Area" localSheetId="0">'Necesidades Trimestrales'!$E$9:$E$17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12" i="2"/>
  <c r="J13" i="2"/>
  <c r="J14" i="2"/>
  <c r="J15" i="2"/>
  <c r="J16" i="2"/>
  <c r="J17" i="2"/>
  <c r="J18" i="2"/>
  <c r="J19" i="2"/>
  <c r="J12" i="2"/>
  <c r="I13" i="2"/>
  <c r="I14" i="2"/>
  <c r="I15" i="2"/>
  <c r="I16" i="2"/>
  <c r="I17" i="2"/>
  <c r="I18" i="2"/>
  <c r="I19" i="2"/>
  <c r="I12" i="2"/>
  <c r="C13" i="2"/>
  <c r="C14" i="2"/>
  <c r="C15" i="2"/>
  <c r="C16" i="2"/>
  <c r="C17" i="2"/>
  <c r="C18" i="2"/>
  <c r="C19" i="2"/>
  <c r="C12" i="2"/>
  <c r="A13" i="2"/>
  <c r="A14" i="2"/>
  <c r="A15" i="2"/>
  <c r="A16" i="2"/>
  <c r="A17" i="2"/>
  <c r="A18" i="2"/>
  <c r="A19" i="2"/>
  <c r="A12" i="2"/>
  <c r="D4" i="2"/>
  <c r="D3" i="2"/>
  <c r="I14" i="1" l="1"/>
  <c r="J20" i="2" l="1"/>
  <c r="I10" i="1" l="1"/>
  <c r="I11" i="1"/>
  <c r="I12" i="1"/>
  <c r="I13" i="1"/>
  <c r="I15" i="1"/>
  <c r="I16" i="1"/>
  <c r="I17" i="1"/>
  <c r="Q22" i="3" l="1"/>
  <c r="D1" i="3" l="1"/>
</calcChain>
</file>

<file path=xl/sharedStrings.xml><?xml version="1.0" encoding="utf-8"?>
<sst xmlns="http://schemas.openxmlformats.org/spreadsheetml/2006/main" count="115" uniqueCount="89">
  <si>
    <t>Pedido de Necesidades Trimestrales</t>
  </si>
  <si>
    <t>JURISDICCION:</t>
  </si>
  <si>
    <t xml:space="preserve">SAF N°: </t>
  </si>
  <si>
    <t>EJERCICIO:</t>
  </si>
  <si>
    <t>TRIMESTRE: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</si>
  <si>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</si>
  <si>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</si>
  <si>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</si>
  <si>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</si>
  <si>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</si>
  <si>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</si>
  <si>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</si>
  <si>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</si>
  <si>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</si>
  <si>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</si>
  <si>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</si>
  <si>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</si>
  <si>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</si>
  <si>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</si>
  <si>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</si>
  <si>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</si>
  <si>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</si>
  <si>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</si>
  <si>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</si>
  <si>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</si>
  <si>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</si>
  <si>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</si>
  <si>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</si>
  <si>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</si>
  <si>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</si>
  <si>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</si>
  <si>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</si>
  <si>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</si>
  <si>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</si>
  <si>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</si>
  <si>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</si>
  <si>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</si>
  <si>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</si>
  <si>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</si>
  <si>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</si>
  <si>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</si>
  <si>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</si>
  <si>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</si>
  <si>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</si>
  <si>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</si>
  <si>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</si>
  <si>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</si>
  <si>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</si>
  <si>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</si>
  <si>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unidad</t>
  </si>
  <si>
    <t>botella</t>
  </si>
  <si>
    <t>caja</t>
  </si>
  <si>
    <t>SI</t>
  </si>
  <si>
    <t xml:space="preserve"> Item N° 2 :                             Descripción técnica: concentracion ALCOHOL IODADO 2%.</t>
  </si>
  <si>
    <r>
      <rPr>
        <b/>
        <u/>
        <sz val="10"/>
        <rFont val="Times New Roman"/>
        <family val="1"/>
      </rPr>
      <t>Lugar de Entrega</t>
    </r>
    <r>
      <rPr>
        <sz val="10"/>
        <rFont val="Times New Roman"/>
        <family val="1"/>
      </rPr>
      <t>:            SERVICIO DE FARMACIA- DE 08:00 A 12:00HS., DEBIENDO CORRER LOS GASTOS DE FLETES, ACARREO, CARGA,                                    DESCARGA Y SEGURO A CARGO DEL ADJUDICATARIO.</t>
    </r>
  </si>
  <si>
    <r>
      <rPr>
        <b/>
        <u/>
        <sz val="11"/>
        <rFont val="Times New Roman"/>
        <family val="1"/>
      </rPr>
      <t>Calidad Minima</t>
    </r>
    <r>
      <rPr>
        <b/>
        <sz val="11"/>
        <rFont val="Times New Roman"/>
        <family val="1"/>
      </rPr>
      <t xml:space="preserve"> esperada:</t>
    </r>
  </si>
  <si>
    <t>28- Maternidad Provincial 25 de Mayo</t>
  </si>
  <si>
    <t>Anteojos Anti HIV X 1</t>
  </si>
  <si>
    <t>Antispticos Locales p/persona; TIPO: DESINFECTANTE, DROGA GENERICA: ALCOHOL YODADO, FORMA FARMACEUTICA: SOLUCION, PRESENTACION: ENVASE X 1000 Ml</t>
  </si>
  <si>
    <t>Bolsa p/Colostomia Neonatal</t>
  </si>
  <si>
    <t>Indicador Quimico P/Sterrad NX x 1000 Tiras -Tipo ASP</t>
  </si>
  <si>
    <t>Bobina Baja Densidad 30 X 40 rollo x 200 un. -Tipo Mapsa</t>
  </si>
  <si>
    <t>Malla Absorbible Poliglicolico  30 X 30- Tipo VICRYL</t>
  </si>
  <si>
    <t>Sensor Neonatal Descartable- Tipo NELLCOR COVIDIEN X 12</t>
  </si>
  <si>
    <t>COMPUESTOS QUIMICOS</t>
  </si>
  <si>
    <t>PRODUCTOS FARMACEUTICOS Y MEDICINALES</t>
  </si>
  <si>
    <t xml:space="preserve">Para la adquisición de items desiertos y fracasados de descartables,  destinados al servico de Farmacia de la Maternidad Provincial 25 de Mayo </t>
  </si>
  <si>
    <t>UTILES MENORES, MEDICOS, QUIRURGICOS Y DE LABORATORIO</t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</si>
  <si>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              10(DIEZ) DIAS HABILES</t>
    </r>
  </si>
  <si>
    <r>
      <rPr>
        <b/>
        <u/>
        <sz val="10"/>
        <rFont val="Times New Roman"/>
        <family val="1"/>
      </rPr>
      <t>Mantenimiento</t>
    </r>
    <r>
      <rPr>
        <b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                          45 (CUARENTA Y CINCO) DIAS HABILES</t>
    </r>
  </si>
  <si>
    <t>Cateter DobleJ 4.7 FR x 26cm- Tipo COOK</t>
  </si>
  <si>
    <t>INSUMO COMPLEJO</t>
  </si>
  <si>
    <t>PROD. MEDICO/FARMACEUTICOS/LAB</t>
  </si>
  <si>
    <t>ESTERILIZACION</t>
  </si>
  <si>
    <t>DESCARTABLE COMPLEJO</t>
  </si>
  <si>
    <t>NOTA DE PEDIDO</t>
  </si>
  <si>
    <t>N°</t>
  </si>
  <si>
    <t xml:space="preserve">JURISDICCIÓN: </t>
  </si>
  <si>
    <t>PERIODO UTILIZACIÓN:</t>
  </si>
  <si>
    <t>OBJETO:</t>
  </si>
  <si>
    <t xml:space="preserve">169-Direccion Asistencial </t>
  </si>
  <si>
    <t>Servicio de Farmacia</t>
  </si>
  <si>
    <t>Trimestral</t>
  </si>
  <si>
    <t>Adquisición de Descartables</t>
  </si>
  <si>
    <t>55/2022</t>
  </si>
  <si>
    <t>Autorizo la realización de los  trámites correspondientes, a fin de proveer a  este Organismo los bienes y/o servicios que se detallan en Nota  de Pedido N° 55/2022 ,  afectando la erogación resultante a los créditos presupuestarios aprobados a favor de esta Unidad Ejecutora, conforme al siguiente detalle:"</t>
  </si>
  <si>
    <t>Costo total estimado: UN MILLON QUINIENTOS OCHENTA Y TRES MIL OCHOCIENTOS CINCUENTA CON 00/100.</t>
  </si>
  <si>
    <t>TOTAL DE PESOS: UN MILLON QUINIENTOS OCHENTA Y TRES MIL OCHOCIENTOS CINCUENTA CON 00/100.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</si>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</sst>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2"/>
      <name val="Times New Roman"/>
      <family val="1"/>
      <charset val="1"/>
    </font>
    <font>
      <b/>
      <u/>
      <sz val="10"/>
      <name val="Times New Roman"/>
      <family val="1"/>
      <charset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theme="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</borders>
  <cellStyleXfs count="10">
    <xf numFmtId="0" fontId="0" fillId="0" borderId="0"/>
    <xf numFmtId="166" fontId="15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5" fillId="0" borderId="0"/>
    <xf numFmtId="0" fontId="15" fillId="0" borderId="0"/>
    <xf numFmtId="0" fontId="15" fillId="0" borderId="0"/>
    <xf numFmtId="0" fontId="2" fillId="0" borderId="0"/>
    <xf numFmtId="0" fontId="1" fillId="5" borderId="0" applyNumberFormat="0" applyBorder="0" applyAlignment="0" applyProtection="0"/>
  </cellStyleXfs>
  <cellXfs count="17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/>
    </xf>
    <xf numFmtId="0" fontId="14" fillId="0" borderId="29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167" fontId="0" fillId="0" borderId="38" xfId="3" applyNumberFormat="1" applyFont="1" applyBorder="1" applyAlignment="1" applyProtection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7" fontId="0" fillId="0" borderId="42" xfId="3" applyNumberFormat="1" applyFont="1" applyBorder="1" applyAlignment="1" applyProtection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48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left" vertical="center"/>
    </xf>
    <xf numFmtId="0" fontId="6" fillId="4" borderId="48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 wrapText="1"/>
    </xf>
    <xf numFmtId="167" fontId="6" fillId="3" borderId="48" xfId="1" applyNumberFormat="1" applyFont="1" applyFill="1" applyBorder="1" applyAlignment="1" applyProtection="1">
      <alignment horizontal="right" vertical="center" wrapText="1"/>
    </xf>
    <xf numFmtId="3" fontId="6" fillId="3" borderId="48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6" fillId="3" borderId="0" xfId="0" applyFont="1" applyFill="1"/>
    <xf numFmtId="0" fontId="19" fillId="3" borderId="0" xfId="0" applyFont="1" applyFill="1" applyAlignment="1">
      <alignment horizontal="left" wrapText="1"/>
    </xf>
    <xf numFmtId="0" fontId="19" fillId="3" borderId="0" xfId="0" applyFont="1" applyFill="1" applyAlignment="1">
      <alignment horizontal="center" wrapText="1"/>
    </xf>
    <xf numFmtId="0" fontId="16" fillId="3" borderId="3" xfId="0" applyFont="1" applyFill="1" applyBorder="1"/>
    <xf numFmtId="0" fontId="16" fillId="3" borderId="4" xfId="0" applyFont="1" applyFill="1" applyBorder="1"/>
    <xf numFmtId="0" fontId="16" fillId="3" borderId="0" xfId="0" applyFont="1" applyFill="1" applyAlignment="1">
      <alignment horizontal="center" vertical="center"/>
    </xf>
    <xf numFmtId="170" fontId="21" fillId="3" borderId="0" xfId="0" applyNumberFormat="1" applyFont="1" applyFill="1"/>
    <xf numFmtId="170" fontId="21" fillId="3" borderId="0" xfId="0" applyNumberFormat="1" applyFont="1" applyFill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164" fontId="16" fillId="3" borderId="0" xfId="0" applyNumberFormat="1" applyFont="1" applyFill="1"/>
    <xf numFmtId="0" fontId="16" fillId="3" borderId="5" xfId="6" applyFont="1" applyFill="1" applyBorder="1" applyAlignment="1">
      <alignment horizontal="left" wrapText="1"/>
    </xf>
    <xf numFmtId="0" fontId="16" fillId="3" borderId="0" xfId="6" applyFont="1" applyFill="1" applyBorder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wrapText="1"/>
    </xf>
    <xf numFmtId="0" fontId="16" fillId="3" borderId="8" xfId="0" applyFont="1" applyFill="1" applyBorder="1"/>
    <xf numFmtId="0" fontId="16" fillId="3" borderId="9" xfId="0" applyFont="1" applyFill="1" applyBorder="1"/>
    <xf numFmtId="0" fontId="16" fillId="3" borderId="3" xfId="0" applyFont="1" applyFill="1" applyBorder="1" applyAlignment="1"/>
    <xf numFmtId="0" fontId="16" fillId="3" borderId="2" xfId="0" applyFont="1" applyFill="1" applyBorder="1" applyAlignment="1"/>
    <xf numFmtId="0" fontId="25" fillId="3" borderId="47" xfId="0" applyFont="1" applyFill="1" applyBorder="1" applyAlignment="1">
      <alignment horizontal="center" vertical="center" wrapText="1"/>
    </xf>
    <xf numFmtId="3" fontId="15" fillId="3" borderId="47" xfId="0" applyNumberFormat="1" applyFont="1" applyFill="1" applyBorder="1" applyAlignment="1">
      <alignment horizontal="center" vertical="center"/>
    </xf>
    <xf numFmtId="164" fontId="24" fillId="3" borderId="0" xfId="0" applyNumberFormat="1" applyFont="1" applyFill="1" applyBorder="1" applyAlignment="1">
      <alignment horizontal="center" vertical="center" wrapText="1"/>
    </xf>
    <xf numFmtId="164" fontId="15" fillId="4" borderId="0" xfId="1" applyNumberFormat="1" applyFont="1" applyFill="1" applyBorder="1" applyAlignment="1" applyProtection="1">
      <alignment horizontal="right" vertical="center" wrapText="1"/>
    </xf>
    <xf numFmtId="0" fontId="0" fillId="0" borderId="47" xfId="0" applyBorder="1" applyAlignment="1">
      <alignment horizontal="center" vertical="center"/>
    </xf>
    <xf numFmtId="44" fontId="15" fillId="3" borderId="49" xfId="1" applyNumberFormat="1" applyFont="1" applyFill="1" applyBorder="1" applyAlignment="1">
      <alignment horizontal="center" vertical="center"/>
    </xf>
    <xf numFmtId="44" fontId="15" fillId="3" borderId="47" xfId="1" applyNumberFormat="1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vertical="center" wrapText="1"/>
    </xf>
    <xf numFmtId="0" fontId="0" fillId="3" borderId="47" xfId="0" applyFill="1" applyBorder="1" applyAlignment="1">
      <alignment horizontal="center" vertical="center"/>
    </xf>
    <xf numFmtId="0" fontId="15" fillId="3" borderId="49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 wrapText="1"/>
    </xf>
    <xf numFmtId="0" fontId="24" fillId="3" borderId="55" xfId="0" applyFont="1" applyFill="1" applyBorder="1" applyAlignment="1">
      <alignment horizontal="center" vertical="center" wrapText="1"/>
    </xf>
    <xf numFmtId="0" fontId="24" fillId="3" borderId="56" xfId="0" applyFont="1" applyFill="1" applyBorder="1" applyAlignment="1">
      <alignment horizontal="center" vertical="center" wrapText="1"/>
    </xf>
    <xf numFmtId="0" fontId="24" fillId="3" borderId="57" xfId="0" applyFont="1" applyFill="1" applyBorder="1" applyAlignment="1">
      <alignment horizontal="center" vertical="center" wrapText="1"/>
    </xf>
    <xf numFmtId="164" fontId="24" fillId="3" borderId="58" xfId="0" applyNumberFormat="1" applyFont="1" applyFill="1" applyBorder="1" applyAlignment="1">
      <alignment horizontal="center" vertical="center" wrapText="1"/>
    </xf>
    <xf numFmtId="3" fontId="15" fillId="3" borderId="49" xfId="0" applyNumberFormat="1" applyFont="1" applyFill="1" applyBorder="1" applyAlignment="1">
      <alignment horizontal="center" vertical="center"/>
    </xf>
    <xf numFmtId="0" fontId="22" fillId="3" borderId="0" xfId="0" applyFont="1" applyFill="1"/>
    <xf numFmtId="0" fontId="16" fillId="3" borderId="7" xfId="0" applyFont="1" applyFill="1" applyBorder="1" applyAlignment="1"/>
    <xf numFmtId="0" fontId="29" fillId="0" borderId="5" xfId="7" applyFont="1" applyBorder="1" applyAlignment="1">
      <alignment horizontal="center" vertical="center" wrapText="1"/>
    </xf>
    <xf numFmtId="164" fontId="15" fillId="4" borderId="49" xfId="1" applyNumberFormat="1" applyFont="1" applyFill="1" applyBorder="1" applyAlignment="1" applyProtection="1">
      <alignment horizontal="center" vertical="center" wrapText="1"/>
    </xf>
    <xf numFmtId="164" fontId="15" fillId="4" borderId="47" xfId="1" applyNumberFormat="1" applyFont="1" applyFill="1" applyBorder="1" applyAlignment="1" applyProtection="1">
      <alignment horizontal="center" vertical="center" wrapText="1"/>
    </xf>
    <xf numFmtId="164" fontId="15" fillId="4" borderId="47" xfId="1" applyNumberFormat="1" applyFont="1" applyFill="1" applyBorder="1" applyAlignment="1" applyProtection="1">
      <alignment horizontal="center" wrapText="1"/>
    </xf>
    <xf numFmtId="0" fontId="15" fillId="0" borderId="51" xfId="0" applyFont="1" applyBorder="1" applyAlignment="1">
      <alignment vertical="center" wrapText="1"/>
    </xf>
    <xf numFmtId="0" fontId="15" fillId="0" borderId="52" xfId="0" applyFont="1" applyBorder="1" applyAlignment="1">
      <alignment vertical="center" wrapText="1"/>
    </xf>
    <xf numFmtId="0" fontId="15" fillId="0" borderId="47" xfId="0" applyFont="1" applyBorder="1" applyAlignment="1">
      <alignment horizontal="center" wrapText="1"/>
    </xf>
    <xf numFmtId="0" fontId="0" fillId="4" borderId="30" xfId="0" applyFont="1" applyFill="1" applyBorder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7" fontId="14" fillId="3" borderId="43" xfId="0" applyNumberFormat="1" applyFont="1" applyFill="1" applyBorder="1" applyAlignment="1">
      <alignment horizontal="center" vertical="center"/>
    </xf>
    <xf numFmtId="0" fontId="31" fillId="3" borderId="3" xfId="8" applyFont="1" applyFill="1" applyBorder="1"/>
    <xf numFmtId="0" fontId="31" fillId="3" borderId="4" xfId="8" applyFont="1" applyFill="1" applyBorder="1"/>
    <xf numFmtId="0" fontId="32" fillId="3" borderId="2" xfId="8" applyFont="1" applyFill="1" applyBorder="1"/>
    <xf numFmtId="0" fontId="15" fillId="3" borderId="49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33" fillId="3" borderId="47" xfId="9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right" vertical="center"/>
    </xf>
    <xf numFmtId="0" fontId="34" fillId="3" borderId="12" xfId="0" applyFont="1" applyFill="1" applyBorder="1" applyAlignment="1">
      <alignment vertical="center"/>
    </xf>
    <xf numFmtId="0" fontId="34" fillId="3" borderId="0" xfId="0" applyFont="1" applyFill="1" applyAlignment="1">
      <alignment vertical="center"/>
    </xf>
    <xf numFmtId="0" fontId="35" fillId="3" borderId="0" xfId="0" applyFont="1" applyFill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0" fillId="0" borderId="10" xfId="0" applyBorder="1"/>
    <xf numFmtId="0" fontId="16" fillId="3" borderId="5" xfId="6" applyFont="1" applyFill="1" applyBorder="1" applyAlignment="1">
      <alignment horizontal="left" wrapText="1"/>
    </xf>
    <xf numFmtId="0" fontId="16" fillId="3" borderId="0" xfId="6" applyFont="1" applyFill="1" applyBorder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18" fillId="3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31" fillId="0" borderId="5" xfId="8" applyFont="1" applyBorder="1" applyAlignment="1">
      <alignment vertical="center" wrapText="1"/>
    </xf>
    <xf numFmtId="0" fontId="31" fillId="0" borderId="0" xfId="8" applyFont="1" applyAlignment="1">
      <alignment vertical="center" wrapText="1"/>
    </xf>
    <xf numFmtId="0" fontId="31" fillId="0" borderId="6" xfId="8" applyFont="1" applyBorder="1" applyAlignment="1">
      <alignment vertical="center" wrapText="1"/>
    </xf>
    <xf numFmtId="0" fontId="34" fillId="3" borderId="0" xfId="0" applyFont="1" applyFill="1" applyAlignment="1">
      <alignment horizontal="center" vertical="center"/>
    </xf>
    <xf numFmtId="0" fontId="6" fillId="3" borderId="48" xfId="0" applyFont="1" applyFill="1" applyBorder="1" applyAlignment="1">
      <alignment horizontal="left" vertical="center" wrapText="1"/>
    </xf>
    <xf numFmtId="0" fontId="36" fillId="4" borderId="13" xfId="0" applyFont="1" applyFill="1" applyBorder="1" applyAlignment="1">
      <alignment horizontal="left" vertical="center" wrapText="1"/>
    </xf>
    <xf numFmtId="0" fontId="37" fillId="3" borderId="45" xfId="0" applyFont="1" applyFill="1" applyBorder="1"/>
    <xf numFmtId="0" fontId="38" fillId="4" borderId="59" xfId="0" applyFont="1" applyFill="1" applyBorder="1" applyAlignment="1">
      <alignment horizontal="left" vertical="center" wrapText="1"/>
    </xf>
    <xf numFmtId="0" fontId="37" fillId="3" borderId="60" xfId="0" applyFont="1" applyFill="1" applyBorder="1"/>
    <xf numFmtId="0" fontId="37" fillId="3" borderId="61" xfId="0" applyFont="1" applyFill="1" applyBorder="1"/>
    <xf numFmtId="0" fontId="36" fillId="4" borderId="62" xfId="0" applyFont="1" applyFill="1" applyBorder="1" applyAlignment="1">
      <alignment horizontal="left" vertical="center" wrapText="1"/>
    </xf>
    <xf numFmtId="0" fontId="37" fillId="3" borderId="63" xfId="0" applyFont="1" applyFill="1" applyBorder="1"/>
    <xf numFmtId="0" fontId="36" fillId="4" borderId="59" xfId="0" applyFont="1" applyFill="1" applyBorder="1" applyAlignment="1">
      <alignment horizontal="left" vertical="center"/>
    </xf>
    <xf numFmtId="0" fontId="37" fillId="3" borderId="64" xfId="0" applyFont="1" applyFill="1" applyBorder="1"/>
    <xf numFmtId="0" fontId="38" fillId="4" borderId="65" xfId="0" applyFont="1" applyFill="1" applyBorder="1" applyAlignment="1">
      <alignment horizontal="left" vertical="center" wrapText="1"/>
    </xf>
    <xf numFmtId="0" fontId="36" fillId="6" borderId="13" xfId="0" applyFont="1" applyFill="1" applyBorder="1" applyAlignment="1">
      <alignment horizontal="left" vertical="center" wrapText="1"/>
    </xf>
    <xf numFmtId="0" fontId="37" fillId="0" borderId="45" xfId="0" applyFont="1" applyBorder="1"/>
    <xf numFmtId="0" fontId="38" fillId="6" borderId="59" xfId="0" applyFont="1" applyFill="1" applyBorder="1" applyAlignment="1">
      <alignment horizontal="left" vertical="center" wrapText="1"/>
    </xf>
    <xf numFmtId="0" fontId="37" fillId="0" borderId="60" xfId="0" applyFont="1" applyBorder="1"/>
    <xf numFmtId="0" fontId="37" fillId="0" borderId="61" xfId="0" applyFont="1" applyBorder="1"/>
    <xf numFmtId="0" fontId="7" fillId="3" borderId="14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 indent="1"/>
    </xf>
    <xf numFmtId="0" fontId="7" fillId="3" borderId="50" xfId="0" applyFont="1" applyFill="1" applyBorder="1" applyAlignment="1">
      <alignment horizontal="left" vertical="center" wrapText="1" indent="1"/>
    </xf>
    <xf numFmtId="168" fontId="8" fillId="3" borderId="14" xfId="0" applyNumberFormat="1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4" borderId="43" xfId="0" applyFont="1" applyFill="1" applyBorder="1" applyAlignment="1">
      <alignment horizontal="left" vertical="center" wrapText="1" indent="1"/>
    </xf>
    <xf numFmtId="0" fontId="0" fillId="3" borderId="37" xfId="0" applyFont="1" applyFill="1" applyBorder="1" applyAlignment="1">
      <alignment horizontal="left" vertical="center"/>
    </xf>
    <xf numFmtId="0" fontId="0" fillId="3" borderId="37" xfId="0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10" fillId="3" borderId="43" xfId="0" applyFont="1" applyFill="1" applyBorder="1" applyAlignment="1">
      <alignment horizontal="left" vertical="center" wrapText="1"/>
    </xf>
    <xf numFmtId="0" fontId="0" fillId="0" borderId="21" xfId="0" applyBorder="1"/>
    <xf numFmtId="0" fontId="30" fillId="3" borderId="31" xfId="0" applyFont="1" applyFill="1" applyBorder="1" applyAlignment="1">
      <alignment horizontal="center" vertical="center" wrapText="1"/>
    </xf>
    <xf numFmtId="0" fontId="30" fillId="3" borderId="37" xfId="0" applyFont="1" applyFill="1" applyBorder="1" applyAlignment="1">
      <alignment horizontal="center" vertical="center" wrapText="1"/>
    </xf>
    <xf numFmtId="0" fontId="12" fillId="0" borderId="22" xfId="0" applyFont="1" applyBorder="1"/>
    <xf numFmtId="0" fontId="12" fillId="0" borderId="23" xfId="0" applyFont="1" applyBorder="1" applyAlignment="1">
      <alignment horizontal="left" vertical="center" wrapText="1" indent="1"/>
    </xf>
    <xf numFmtId="0" fontId="14" fillId="0" borderId="2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46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indent="1"/>
    </xf>
    <xf numFmtId="0" fontId="13" fillId="3" borderId="11" xfId="0" applyFont="1" applyFill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0" fillId="0" borderId="20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4" fillId="3" borderId="11" xfId="0" applyFont="1" applyFill="1" applyBorder="1"/>
  </cellXfs>
  <cellStyles count="10">
    <cellStyle name="20% - Énfasis2" xfId="9" builtinId="34"/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cuments\TRIMESTRALES\2&#176;%20trimestre%202022\Medicamentos%20Desiertos%20del%201%20trim\NP%20y%20APG%20DESIERTOS%20FRACASADOS%20P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28- Maternidad Provincial 25 de Mayo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8"/>
  <sheetViews>
    <sheetView tabSelected="1" topLeftCell="A4" zoomScale="77" zoomScaleNormal="77" workbookViewId="0">
      <selection activeCell="A10" sqref="A10"/>
    </sheetView>
  </sheetViews>
  <sheetFormatPr baseColWidth="10" defaultColWidth="11" defaultRowHeight="12.75" x14ac:dyDescent="0.2"/>
  <cols>
    <col min="1" max="1" width="7.28515625" style="36" customWidth="1"/>
    <col min="2" max="2" width="14" style="36" customWidth="1"/>
    <col min="3" max="3" width="15.140625" style="36" customWidth="1"/>
    <col min="4" max="4" width="8.42578125" style="36" customWidth="1"/>
    <col min="5" max="5" width="93.42578125" style="36" customWidth="1"/>
    <col min="6" max="6" width="13.140625" style="36" customWidth="1"/>
    <col min="7" max="7" width="12.7109375" style="36" customWidth="1"/>
    <col min="8" max="8" width="15.7109375" style="36" customWidth="1"/>
    <col min="9" max="9" width="18.5703125" style="46" customWidth="1"/>
    <col min="10" max="10" width="22.28515625" style="46" customWidth="1"/>
    <col min="11" max="16384" width="11" style="36"/>
  </cols>
  <sheetData>
    <row r="2" spans="1:10" ht="27" x14ac:dyDescent="0.35">
      <c r="B2" s="114" t="s">
        <v>0</v>
      </c>
      <c r="C2" s="114"/>
      <c r="D2" s="114"/>
      <c r="E2" s="114"/>
      <c r="F2" s="114"/>
      <c r="G2" s="114"/>
      <c r="H2" s="114"/>
    </row>
    <row r="3" spans="1:10" ht="12" customHeight="1" x14ac:dyDescent="0.2"/>
    <row r="4" spans="1:10" ht="18" customHeight="1" x14ac:dyDescent="0.25">
      <c r="A4" s="113" t="s">
        <v>1</v>
      </c>
      <c r="B4" s="113"/>
      <c r="C4" s="115" t="s">
        <v>45</v>
      </c>
      <c r="D4" s="115"/>
      <c r="E4" s="115"/>
      <c r="F4" s="37"/>
      <c r="G4" s="38"/>
      <c r="H4" s="37"/>
    </row>
    <row r="5" spans="1:10" ht="18" customHeight="1" x14ac:dyDescent="0.25">
      <c r="A5" s="113" t="s">
        <v>2</v>
      </c>
      <c r="B5" s="113"/>
      <c r="C5" s="115" t="s">
        <v>56</v>
      </c>
      <c r="D5" s="115"/>
      <c r="E5" s="115"/>
      <c r="F5" s="37"/>
      <c r="G5" s="38"/>
      <c r="H5" s="37"/>
    </row>
    <row r="6" spans="1:10" ht="16.5" customHeight="1" x14ac:dyDescent="0.25">
      <c r="A6" s="113" t="s">
        <v>3</v>
      </c>
      <c r="B6" s="113"/>
      <c r="C6" s="31">
        <v>2022</v>
      </c>
      <c r="D6" s="32"/>
      <c r="E6" s="32"/>
      <c r="F6" s="37"/>
      <c r="G6" s="38"/>
      <c r="H6" s="37"/>
    </row>
    <row r="7" spans="1:10" ht="16.5" customHeight="1" x14ac:dyDescent="0.25">
      <c r="A7" s="113" t="s">
        <v>4</v>
      </c>
      <c r="B7" s="113"/>
      <c r="C7" s="31">
        <v>2</v>
      </c>
      <c r="D7" s="32"/>
      <c r="E7" s="32"/>
      <c r="F7" s="37"/>
      <c r="G7" s="38"/>
      <c r="H7" s="37"/>
    </row>
    <row r="8" spans="1:10" ht="13.5" thickBot="1" x14ac:dyDescent="0.25">
      <c r="B8" s="37"/>
      <c r="C8" s="38"/>
      <c r="D8" s="37"/>
      <c r="E8" s="37"/>
      <c r="F8" s="37"/>
      <c r="G8" s="38"/>
      <c r="H8" s="37"/>
    </row>
    <row r="9" spans="1:10" ht="39" thickBot="1" x14ac:dyDescent="0.25">
      <c r="A9" s="68" t="s">
        <v>88</v>
      </c>
      <c r="B9" s="69" t="s">
        <v>5</v>
      </c>
      <c r="C9" s="69" t="s">
        <v>6</v>
      </c>
      <c r="D9" s="70" t="s">
        <v>7</v>
      </c>
      <c r="E9" s="71" t="s">
        <v>8</v>
      </c>
      <c r="F9" s="72" t="s">
        <v>9</v>
      </c>
      <c r="G9" s="69" t="s">
        <v>10</v>
      </c>
      <c r="H9" s="69" t="s">
        <v>11</v>
      </c>
      <c r="I9" s="73" t="s">
        <v>12</v>
      </c>
      <c r="J9" s="58"/>
    </row>
    <row r="10" spans="1:10" ht="38.1" customHeight="1" x14ac:dyDescent="0.2">
      <c r="A10" s="65">
        <v>1</v>
      </c>
      <c r="B10" s="65"/>
      <c r="C10" s="100" t="s">
        <v>71</v>
      </c>
      <c r="D10" s="66">
        <v>295</v>
      </c>
      <c r="E10" s="82" t="s">
        <v>57</v>
      </c>
      <c r="F10" s="67" t="s">
        <v>49</v>
      </c>
      <c r="G10" s="74">
        <v>30</v>
      </c>
      <c r="H10" s="61">
        <v>350</v>
      </c>
      <c r="I10" s="78">
        <f t="shared" ref="I10:I17" si="0">+G10*H10</f>
        <v>10500</v>
      </c>
      <c r="J10" s="59"/>
    </row>
    <row r="11" spans="1:10" ht="38.1" customHeight="1" x14ac:dyDescent="0.2">
      <c r="A11" s="45">
        <v>2</v>
      </c>
      <c r="B11" s="45"/>
      <c r="C11" s="101" t="s">
        <v>72</v>
      </c>
      <c r="D11" s="56">
        <v>252</v>
      </c>
      <c r="E11" s="63" t="s">
        <v>58</v>
      </c>
      <c r="F11" s="64" t="s">
        <v>50</v>
      </c>
      <c r="G11" s="57">
        <v>10</v>
      </c>
      <c r="H11" s="62">
        <v>1168</v>
      </c>
      <c r="I11" s="79">
        <f t="shared" si="0"/>
        <v>11680</v>
      </c>
      <c r="J11" s="59"/>
    </row>
    <row r="12" spans="1:10" ht="38.1" customHeight="1" x14ac:dyDescent="0.2">
      <c r="A12" s="45">
        <v>3</v>
      </c>
      <c r="B12" s="45"/>
      <c r="C12" s="103" t="s">
        <v>73</v>
      </c>
      <c r="D12" s="56">
        <v>295</v>
      </c>
      <c r="E12" s="81" t="s">
        <v>61</v>
      </c>
      <c r="F12" s="83" t="s">
        <v>49</v>
      </c>
      <c r="G12" s="57">
        <v>50</v>
      </c>
      <c r="H12" s="62">
        <v>800</v>
      </c>
      <c r="I12" s="79">
        <f t="shared" si="0"/>
        <v>40000</v>
      </c>
      <c r="J12" s="59"/>
    </row>
    <row r="13" spans="1:10" ht="38.1" customHeight="1" x14ac:dyDescent="0.2">
      <c r="A13" s="45">
        <v>4</v>
      </c>
      <c r="B13" s="45"/>
      <c r="C13" s="102" t="s">
        <v>74</v>
      </c>
      <c r="D13" s="56">
        <v>295</v>
      </c>
      <c r="E13" s="81" t="s">
        <v>59</v>
      </c>
      <c r="F13" s="60" t="s">
        <v>49</v>
      </c>
      <c r="G13" s="57">
        <v>30</v>
      </c>
      <c r="H13" s="62">
        <v>420</v>
      </c>
      <c r="I13" s="79">
        <f t="shared" si="0"/>
        <v>12600</v>
      </c>
      <c r="J13" s="59"/>
    </row>
    <row r="14" spans="1:10" ht="38.1" customHeight="1" x14ac:dyDescent="0.2">
      <c r="A14" s="45">
        <v>5</v>
      </c>
      <c r="B14" s="45"/>
      <c r="C14" s="102" t="s">
        <v>74</v>
      </c>
      <c r="D14" s="56">
        <v>295</v>
      </c>
      <c r="E14" s="81" t="s">
        <v>70</v>
      </c>
      <c r="F14" s="60" t="s">
        <v>49</v>
      </c>
      <c r="G14" s="57">
        <v>20</v>
      </c>
      <c r="H14" s="62">
        <v>12500</v>
      </c>
      <c r="I14" s="79">
        <f t="shared" si="0"/>
        <v>250000</v>
      </c>
      <c r="J14" s="59"/>
    </row>
    <row r="15" spans="1:10" ht="38.1" customHeight="1" x14ac:dyDescent="0.2">
      <c r="A15" s="45">
        <v>6</v>
      </c>
      <c r="B15" s="45"/>
      <c r="C15" s="103" t="s">
        <v>73</v>
      </c>
      <c r="D15" s="56">
        <v>251</v>
      </c>
      <c r="E15" s="63" t="s">
        <v>60</v>
      </c>
      <c r="F15" s="64" t="s">
        <v>51</v>
      </c>
      <c r="G15" s="57">
        <v>20</v>
      </c>
      <c r="H15" s="62">
        <v>41800</v>
      </c>
      <c r="I15" s="80">
        <f t="shared" si="0"/>
        <v>836000</v>
      </c>
      <c r="J15" s="59"/>
    </row>
    <row r="16" spans="1:10" ht="38.1" customHeight="1" x14ac:dyDescent="0.2">
      <c r="A16" s="45">
        <v>7</v>
      </c>
      <c r="B16" s="45"/>
      <c r="C16" s="102" t="s">
        <v>74</v>
      </c>
      <c r="D16" s="56">
        <v>295</v>
      </c>
      <c r="E16" s="81" t="s">
        <v>62</v>
      </c>
      <c r="F16" s="60" t="s">
        <v>49</v>
      </c>
      <c r="G16" s="57">
        <v>1</v>
      </c>
      <c r="H16" s="62">
        <v>36970</v>
      </c>
      <c r="I16" s="79">
        <f t="shared" si="0"/>
        <v>36970</v>
      </c>
      <c r="J16" s="59"/>
    </row>
    <row r="17" spans="1:10" ht="38.1" customHeight="1" x14ac:dyDescent="0.2">
      <c r="A17" s="45">
        <v>8</v>
      </c>
      <c r="B17" s="45"/>
      <c r="C17" s="102" t="s">
        <v>71</v>
      </c>
      <c r="D17" s="56">
        <v>295</v>
      </c>
      <c r="E17" s="81" t="s">
        <v>63</v>
      </c>
      <c r="F17" s="60" t="s">
        <v>51</v>
      </c>
      <c r="G17" s="57">
        <v>13</v>
      </c>
      <c r="H17" s="62">
        <v>29700</v>
      </c>
      <c r="I17" s="79">
        <f t="shared" si="0"/>
        <v>386100</v>
      </c>
      <c r="J17" s="59"/>
    </row>
    <row r="19" spans="1:10" ht="13.5" thickBot="1" x14ac:dyDescent="0.25"/>
    <row r="20" spans="1:10" ht="21.75" customHeight="1" thickBot="1" x14ac:dyDescent="0.25">
      <c r="B20" s="55" t="s">
        <v>48</v>
      </c>
      <c r="C20" s="54"/>
      <c r="D20" s="39"/>
      <c r="E20" s="40"/>
      <c r="F20" s="41"/>
      <c r="G20" s="41"/>
      <c r="H20" s="42"/>
    </row>
    <row r="21" spans="1:10" ht="23.25" customHeight="1" x14ac:dyDescent="0.25">
      <c r="B21" s="99" t="s">
        <v>53</v>
      </c>
      <c r="C21" s="97"/>
      <c r="D21" s="97"/>
      <c r="E21" s="98"/>
      <c r="F21" s="41"/>
      <c r="G21" s="43"/>
      <c r="H21" s="42"/>
    </row>
    <row r="22" spans="1:10" ht="10.5" customHeight="1" x14ac:dyDescent="0.2">
      <c r="B22" s="116"/>
      <c r="C22" s="117"/>
      <c r="D22" s="117"/>
      <c r="E22" s="118"/>
      <c r="F22" s="44"/>
      <c r="G22" s="44"/>
      <c r="H22" s="42"/>
    </row>
    <row r="23" spans="1:10" ht="24" customHeight="1" x14ac:dyDescent="0.2">
      <c r="B23" s="110" t="s">
        <v>54</v>
      </c>
      <c r="C23" s="111"/>
      <c r="D23" s="111"/>
      <c r="E23" s="112"/>
      <c r="F23" s="44"/>
      <c r="G23" s="44"/>
      <c r="H23" s="42"/>
    </row>
    <row r="24" spans="1:10" ht="15" customHeight="1" x14ac:dyDescent="0.2">
      <c r="B24" s="110"/>
      <c r="C24" s="111"/>
      <c r="D24" s="111"/>
      <c r="E24" s="112"/>
      <c r="F24" s="44"/>
      <c r="G24" s="44"/>
      <c r="H24" s="42"/>
    </row>
    <row r="25" spans="1:10" ht="29.25" customHeight="1" x14ac:dyDescent="0.2">
      <c r="B25" s="110" t="s">
        <v>68</v>
      </c>
      <c r="C25" s="111"/>
      <c r="D25" s="111"/>
      <c r="E25" s="112"/>
      <c r="F25" s="44"/>
      <c r="G25" s="44"/>
      <c r="H25" s="42"/>
    </row>
    <row r="26" spans="1:10" ht="30" customHeight="1" x14ac:dyDescent="0.2">
      <c r="B26" s="47"/>
      <c r="C26" s="48"/>
      <c r="D26" s="48"/>
      <c r="E26" s="49"/>
    </row>
    <row r="27" spans="1:10" ht="42.75" x14ac:dyDescent="0.2">
      <c r="B27" s="77" t="s">
        <v>55</v>
      </c>
      <c r="C27" s="50"/>
      <c r="D27" s="50"/>
      <c r="E27" s="51"/>
      <c r="H27" s="75"/>
    </row>
    <row r="28" spans="1:10" ht="27" customHeight="1" thickBot="1" x14ac:dyDescent="0.25">
      <c r="B28" s="76" t="s">
        <v>69</v>
      </c>
      <c r="C28" s="52"/>
      <c r="D28" s="52"/>
      <c r="E28" s="53"/>
    </row>
  </sheetData>
  <autoFilter ref="A9:I17" xr:uid="{00000000-0001-0000-0000-000000000000}"/>
  <sortState xmlns:xlrd2="http://schemas.microsoft.com/office/spreadsheetml/2017/richdata2" ref="A10:I24">
    <sortCondition ref="E10:E24"/>
  </sortState>
  <mergeCells count="10">
    <mergeCell ref="B23:E24"/>
    <mergeCell ref="B25:E25"/>
    <mergeCell ref="A6:B6"/>
    <mergeCell ref="A7:B7"/>
    <mergeCell ref="B2:H2"/>
    <mergeCell ref="A4:B4"/>
    <mergeCell ref="C4:E4"/>
    <mergeCell ref="A5:B5"/>
    <mergeCell ref="C5:E5"/>
    <mergeCell ref="B22:E22"/>
  </mergeCells>
  <conditionalFormatting sqref="B27">
    <cfRule type="duplicateValues" dxfId="3" priority="2"/>
  </conditionalFormatting>
  <conditionalFormatting sqref="B27">
    <cfRule type="duplicateValues" dxfId="2" priority="3"/>
  </conditionalFormatting>
  <conditionalFormatting sqref="B27">
    <cfRule type="duplicateValues" dxfId="1" priority="4"/>
  </conditionalFormatting>
  <conditionalFormatting sqref="B27">
    <cfRule type="duplicateValues" dxfId="0" priority="5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zoomScale="80" zoomScaleNormal="80" workbookViewId="0">
      <selection activeCell="U15" sqref="U15"/>
    </sheetView>
  </sheetViews>
  <sheetFormatPr baseColWidth="10" defaultColWidth="9.140625" defaultRowHeight="12.75" x14ac:dyDescent="0.2"/>
  <cols>
    <col min="1" max="1" width="5.5703125" style="21" customWidth="1"/>
    <col min="2" max="2" width="15.140625" style="21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55.42578125" style="21" customWidth="1"/>
    <col min="8" max="8" width="9.28515625" style="21" customWidth="1"/>
    <col min="9" max="9" width="15.5703125" style="21" customWidth="1"/>
    <col min="10" max="10" width="14.7109375" style="21" customWidth="1"/>
    <col min="11" max="11" width="15.5703125" style="21" customWidth="1"/>
    <col min="12" max="12" width="5.85546875" style="21" customWidth="1"/>
    <col min="13" max="13" width="9.28515625" style="21" customWidth="1"/>
    <col min="14" max="14" width="5.85546875" style="21" customWidth="1"/>
    <col min="15" max="15" width="12.5703125" style="21" customWidth="1"/>
    <col min="16" max="1024" width="9.140625" style="21"/>
    <col min="1025" max="16384" width="9.140625" style="22"/>
  </cols>
  <sheetData>
    <row r="1" spans="1:11" ht="16.5" thickBot="1" x14ac:dyDescent="0.25">
      <c r="A1" s="119" t="s">
        <v>75</v>
      </c>
      <c r="B1" s="119"/>
      <c r="C1" s="119"/>
      <c r="D1" s="119"/>
      <c r="E1" s="119"/>
      <c r="F1" s="119"/>
      <c r="G1" s="119"/>
      <c r="H1" s="119"/>
      <c r="I1" s="119"/>
      <c r="J1" s="104" t="s">
        <v>76</v>
      </c>
      <c r="K1" s="108" t="s">
        <v>84</v>
      </c>
    </row>
    <row r="2" spans="1:11" ht="16.5" thickBot="1" x14ac:dyDescent="0.25">
      <c r="A2" s="105"/>
      <c r="B2" s="105"/>
      <c r="C2" s="105"/>
      <c r="D2" s="106"/>
      <c r="E2" s="106"/>
      <c r="F2" s="106"/>
      <c r="G2" s="106"/>
      <c r="H2" s="107"/>
      <c r="I2" s="106"/>
      <c r="J2" s="106"/>
      <c r="K2" s="106"/>
    </row>
    <row r="3" spans="1:11" ht="16.5" customHeight="1" thickBot="1" x14ac:dyDescent="0.25">
      <c r="A3" s="131" t="s">
        <v>77</v>
      </c>
      <c r="B3" s="132"/>
      <c r="C3" s="132"/>
      <c r="D3" s="133" t="str">
        <f>'[1]Necesidades Trimestrales'!C4</f>
        <v>040 - Ministerio de Salud</v>
      </c>
      <c r="E3" s="134"/>
      <c r="F3" s="134"/>
      <c r="G3" s="134"/>
      <c r="H3" s="134"/>
      <c r="I3" s="134"/>
      <c r="J3" s="134"/>
      <c r="K3" s="135"/>
    </row>
    <row r="4" spans="1:11" ht="16.5" customHeight="1" thickBot="1" x14ac:dyDescent="0.25">
      <c r="A4" s="126" t="s">
        <v>43</v>
      </c>
      <c r="B4" s="127"/>
      <c r="C4" s="127"/>
      <c r="D4" s="123" t="str">
        <f>'[1]Necesidades Trimestrales'!C5</f>
        <v>28- Maternidad Provincial 25 de Mayo</v>
      </c>
      <c r="E4" s="124"/>
      <c r="F4" s="124"/>
      <c r="G4" s="124"/>
      <c r="H4" s="124"/>
      <c r="I4" s="124"/>
      <c r="J4" s="124"/>
      <c r="K4" s="125"/>
    </row>
    <row r="5" spans="1:11" ht="16.5" customHeight="1" thickBot="1" x14ac:dyDescent="0.25">
      <c r="A5" s="126" t="s">
        <v>22</v>
      </c>
      <c r="B5" s="127"/>
      <c r="C5" s="127"/>
      <c r="D5" s="136" t="s">
        <v>80</v>
      </c>
      <c r="E5" s="136"/>
      <c r="F5" s="136"/>
      <c r="G5" s="136"/>
      <c r="H5" s="136"/>
      <c r="I5" s="136"/>
      <c r="J5" s="136"/>
      <c r="K5" s="136"/>
    </row>
    <row r="6" spans="1:11" ht="16.5" customHeight="1" thickBot="1" x14ac:dyDescent="0.25">
      <c r="A6" s="121" t="s">
        <v>44</v>
      </c>
      <c r="B6" s="122"/>
      <c r="C6" s="122"/>
      <c r="D6" s="123" t="s">
        <v>81</v>
      </c>
      <c r="E6" s="124"/>
      <c r="F6" s="124"/>
      <c r="G6" s="124"/>
      <c r="H6" s="124"/>
      <c r="I6" s="124"/>
      <c r="J6" s="124"/>
      <c r="K6" s="125"/>
    </row>
    <row r="7" spans="1:11" ht="16.5" customHeight="1" thickBot="1" x14ac:dyDescent="0.25">
      <c r="A7" s="126" t="s">
        <v>78</v>
      </c>
      <c r="B7" s="127"/>
      <c r="C7" s="127"/>
      <c r="D7" s="123" t="s">
        <v>82</v>
      </c>
      <c r="E7" s="124"/>
      <c r="F7" s="124"/>
      <c r="G7" s="124"/>
      <c r="H7" s="124"/>
      <c r="I7" s="124"/>
      <c r="J7" s="124"/>
      <c r="K7" s="125"/>
    </row>
    <row r="8" spans="1:11" ht="16.5" customHeight="1" thickBot="1" x14ac:dyDescent="0.25">
      <c r="A8" s="128" t="s">
        <v>79</v>
      </c>
      <c r="B8" s="124"/>
      <c r="C8" s="129"/>
      <c r="D8" s="130" t="s">
        <v>83</v>
      </c>
      <c r="E8" s="124"/>
      <c r="F8" s="124"/>
      <c r="G8" s="124"/>
      <c r="H8" s="124"/>
      <c r="I8" s="124"/>
      <c r="J8" s="124"/>
      <c r="K8" s="125"/>
    </row>
    <row r="9" spans="1:11" ht="13.5" thickBot="1" x14ac:dyDescent="0.25"/>
    <row r="10" spans="1:11" ht="18" customHeight="1" thickBot="1" x14ac:dyDescent="0.25">
      <c r="A10" s="138" t="s">
        <v>13</v>
      </c>
      <c r="B10" s="142" t="s">
        <v>14</v>
      </c>
      <c r="C10" s="142" t="s">
        <v>15</v>
      </c>
      <c r="D10" s="142"/>
      <c r="E10" s="142"/>
      <c r="F10" s="142"/>
      <c r="G10" s="142"/>
      <c r="H10" s="142" t="s">
        <v>16</v>
      </c>
      <c r="I10" s="142" t="s">
        <v>17</v>
      </c>
      <c r="J10" s="142" t="s">
        <v>18</v>
      </c>
      <c r="K10" s="137" t="s">
        <v>19</v>
      </c>
    </row>
    <row r="11" spans="1:11" ht="40.5" customHeight="1" thickBot="1" x14ac:dyDescent="0.25">
      <c r="A11" s="138"/>
      <c r="B11" s="142"/>
      <c r="C11" s="142"/>
      <c r="D11" s="142"/>
      <c r="E11" s="142"/>
      <c r="F11" s="142"/>
      <c r="G11" s="142"/>
      <c r="H11" s="142"/>
      <c r="I11" s="142"/>
      <c r="J11" s="142"/>
      <c r="K11" s="137"/>
    </row>
    <row r="12" spans="1:11" ht="38.1" customHeight="1" thickBot="1" x14ac:dyDescent="0.25">
      <c r="A12" s="23">
        <f>+'Necesidades Trimestrales'!A10</f>
        <v>1</v>
      </c>
      <c r="B12" s="24"/>
      <c r="C12" s="120" t="str">
        <f>+'Necesidades Trimestrales'!E10</f>
        <v>Anteojos Anti HIV X 1</v>
      </c>
      <c r="D12" s="120"/>
      <c r="E12" s="120"/>
      <c r="F12" s="120"/>
      <c r="G12" s="120"/>
      <c r="H12" s="25" t="s">
        <v>47</v>
      </c>
      <c r="I12" s="26" t="str">
        <f>+'Necesidades Trimestrales'!F10</f>
        <v>unidad</v>
      </c>
      <c r="J12" s="27">
        <f>+'Necesidades Trimestrales'!H10</f>
        <v>350</v>
      </c>
      <c r="K12" s="28">
        <f>+'Necesidades Trimestrales'!G10</f>
        <v>30</v>
      </c>
    </row>
    <row r="13" spans="1:11" ht="38.1" customHeight="1" thickBot="1" x14ac:dyDescent="0.25">
      <c r="A13" s="23">
        <f>+'Necesidades Trimestrales'!A11</f>
        <v>2</v>
      </c>
      <c r="B13" s="29"/>
      <c r="C13" s="120" t="str">
        <f>+'Necesidades Trimestrales'!E11</f>
        <v>Antispticos Locales p/persona; TIPO: DESINFECTANTE, DROGA GENERICA: ALCOHOL YODADO, FORMA FARMACEUTICA: SOLUCION, PRESENTACION: ENVASE X 1000 Ml</v>
      </c>
      <c r="D13" s="120"/>
      <c r="E13" s="120"/>
      <c r="F13" s="120"/>
      <c r="G13" s="120"/>
      <c r="H13" s="30" t="s">
        <v>52</v>
      </c>
      <c r="I13" s="26" t="str">
        <f>+'Necesidades Trimestrales'!F11</f>
        <v>botella</v>
      </c>
      <c r="J13" s="27">
        <f>+'Necesidades Trimestrales'!H11</f>
        <v>1168</v>
      </c>
      <c r="K13" s="28">
        <f>+'Necesidades Trimestrales'!G11</f>
        <v>10</v>
      </c>
    </row>
    <row r="14" spans="1:11" ht="38.1" customHeight="1" thickBot="1" x14ac:dyDescent="0.25">
      <c r="A14" s="23">
        <f>+'Necesidades Trimestrales'!A12</f>
        <v>3</v>
      </c>
      <c r="B14" s="29"/>
      <c r="C14" s="120" t="str">
        <f>+'Necesidades Trimestrales'!E12</f>
        <v>Bobina Baja Densidad 30 X 40 rollo x 200 un. -Tipo Mapsa</v>
      </c>
      <c r="D14" s="120"/>
      <c r="E14" s="120"/>
      <c r="F14" s="120"/>
      <c r="G14" s="120"/>
      <c r="H14" s="30" t="s">
        <v>47</v>
      </c>
      <c r="I14" s="26" t="str">
        <f>+'Necesidades Trimestrales'!F12</f>
        <v>unidad</v>
      </c>
      <c r="J14" s="27">
        <f>+'Necesidades Trimestrales'!H12</f>
        <v>800</v>
      </c>
      <c r="K14" s="28">
        <f>+'Necesidades Trimestrales'!G12</f>
        <v>50</v>
      </c>
    </row>
    <row r="15" spans="1:11" ht="38.1" customHeight="1" thickBot="1" x14ac:dyDescent="0.25">
      <c r="A15" s="23">
        <f>+'Necesidades Trimestrales'!A13</f>
        <v>4</v>
      </c>
      <c r="B15" s="29"/>
      <c r="C15" s="120" t="str">
        <f>+'Necesidades Trimestrales'!E13</f>
        <v>Bolsa p/Colostomia Neonatal</v>
      </c>
      <c r="D15" s="120"/>
      <c r="E15" s="120"/>
      <c r="F15" s="120"/>
      <c r="G15" s="120"/>
      <c r="H15" s="30" t="s">
        <v>47</v>
      </c>
      <c r="I15" s="26" t="str">
        <f>+'Necesidades Trimestrales'!F13</f>
        <v>unidad</v>
      </c>
      <c r="J15" s="27">
        <f>+'Necesidades Trimestrales'!H13</f>
        <v>420</v>
      </c>
      <c r="K15" s="28">
        <f>+'Necesidades Trimestrales'!G13</f>
        <v>30</v>
      </c>
    </row>
    <row r="16" spans="1:11" ht="38.1" customHeight="1" thickBot="1" x14ac:dyDescent="0.25">
      <c r="A16" s="23">
        <f>+'Necesidades Trimestrales'!A14</f>
        <v>5</v>
      </c>
      <c r="B16" s="29"/>
      <c r="C16" s="120" t="str">
        <f>+'Necesidades Trimestrales'!E14</f>
        <v>Cateter DobleJ 4.7 FR x 26cm- Tipo COOK</v>
      </c>
      <c r="D16" s="120"/>
      <c r="E16" s="120"/>
      <c r="F16" s="120"/>
      <c r="G16" s="120"/>
      <c r="H16" s="30" t="s">
        <v>47</v>
      </c>
      <c r="I16" s="26" t="str">
        <f>+'Necesidades Trimestrales'!F14</f>
        <v>unidad</v>
      </c>
      <c r="J16" s="27">
        <f>+'Necesidades Trimestrales'!H14</f>
        <v>12500</v>
      </c>
      <c r="K16" s="28">
        <f>+'Necesidades Trimestrales'!G14</f>
        <v>20</v>
      </c>
    </row>
    <row r="17" spans="1:11" ht="38.1" customHeight="1" thickBot="1" x14ac:dyDescent="0.25">
      <c r="A17" s="23">
        <f>+'Necesidades Trimestrales'!A15</f>
        <v>6</v>
      </c>
      <c r="B17" s="29"/>
      <c r="C17" s="120" t="str">
        <f>+'Necesidades Trimestrales'!E15</f>
        <v>Indicador Quimico P/Sterrad NX x 1000 Tiras -Tipo ASP</v>
      </c>
      <c r="D17" s="120"/>
      <c r="E17" s="120"/>
      <c r="F17" s="120"/>
      <c r="G17" s="120"/>
      <c r="H17" s="30" t="s">
        <v>47</v>
      </c>
      <c r="I17" s="26" t="str">
        <f>+'Necesidades Trimestrales'!F15</f>
        <v>caja</v>
      </c>
      <c r="J17" s="27">
        <f>+'Necesidades Trimestrales'!H15</f>
        <v>41800</v>
      </c>
      <c r="K17" s="28">
        <f>+'Necesidades Trimestrales'!G15</f>
        <v>20</v>
      </c>
    </row>
    <row r="18" spans="1:11" ht="38.1" customHeight="1" thickBot="1" x14ac:dyDescent="0.25">
      <c r="A18" s="23">
        <f>+'Necesidades Trimestrales'!A16</f>
        <v>7</v>
      </c>
      <c r="B18" s="29"/>
      <c r="C18" s="120" t="str">
        <f>+'Necesidades Trimestrales'!E16</f>
        <v>Malla Absorbible Poliglicolico  30 X 30- Tipo VICRYL</v>
      </c>
      <c r="D18" s="120"/>
      <c r="E18" s="120"/>
      <c r="F18" s="120"/>
      <c r="G18" s="120"/>
      <c r="H18" s="30" t="s">
        <v>47</v>
      </c>
      <c r="I18" s="26" t="str">
        <f>+'Necesidades Trimestrales'!F16</f>
        <v>unidad</v>
      </c>
      <c r="J18" s="27">
        <f>+'Necesidades Trimestrales'!H16</f>
        <v>36970</v>
      </c>
      <c r="K18" s="28">
        <f>+'Necesidades Trimestrales'!G16</f>
        <v>1</v>
      </c>
    </row>
    <row r="19" spans="1:11" ht="35.25" customHeight="1" thickBot="1" x14ac:dyDescent="0.25">
      <c r="A19" s="23">
        <f>+'Necesidades Trimestrales'!A17</f>
        <v>8</v>
      </c>
      <c r="B19" s="29"/>
      <c r="C19" s="120" t="str">
        <f>+'Necesidades Trimestrales'!E17</f>
        <v>Sensor Neonatal Descartable- Tipo NELLCOR COVIDIEN X 12</v>
      </c>
      <c r="D19" s="120"/>
      <c r="E19" s="120"/>
      <c r="F19" s="120"/>
      <c r="G19" s="120"/>
      <c r="H19" s="30" t="s">
        <v>47</v>
      </c>
      <c r="I19" s="26" t="str">
        <f>+'Necesidades Trimestrales'!F17</f>
        <v>caja</v>
      </c>
      <c r="J19" s="27">
        <f>+'Necesidades Trimestrales'!H17</f>
        <v>29700</v>
      </c>
      <c r="K19" s="28">
        <f>+'Necesidades Trimestrales'!G17</f>
        <v>13</v>
      </c>
    </row>
    <row r="20" spans="1:11" ht="16.5" thickBot="1" x14ac:dyDescent="0.25">
      <c r="A20" s="139" t="s">
        <v>86</v>
      </c>
      <c r="B20" s="139"/>
      <c r="C20" s="139"/>
      <c r="D20" s="139"/>
      <c r="E20" s="139"/>
      <c r="F20" s="139"/>
      <c r="G20" s="139"/>
      <c r="H20" s="140"/>
      <c r="I20" s="139"/>
      <c r="J20" s="141">
        <f>SUMPRODUCT(J12:J19,K12:K19)</f>
        <v>1583850</v>
      </c>
      <c r="K20" s="141"/>
    </row>
  </sheetData>
  <mergeCells count="30">
    <mergeCell ref="C14:G14"/>
    <mergeCell ref="J10:J11"/>
    <mergeCell ref="B10:B11"/>
    <mergeCell ref="C10:G11"/>
    <mergeCell ref="H10:H11"/>
    <mergeCell ref="I10:I11"/>
    <mergeCell ref="C13:G13"/>
    <mergeCell ref="A20:I20"/>
    <mergeCell ref="J20:K20"/>
    <mergeCell ref="C19:G19"/>
    <mergeCell ref="C15:G15"/>
    <mergeCell ref="C16:G16"/>
    <mergeCell ref="C17:G17"/>
    <mergeCell ref="C18:G18"/>
    <mergeCell ref="A1:I1"/>
    <mergeCell ref="C12:G12"/>
    <mergeCell ref="A6:C6"/>
    <mergeCell ref="D6:K6"/>
    <mergeCell ref="A7:C7"/>
    <mergeCell ref="D7:K7"/>
    <mergeCell ref="A8:C8"/>
    <mergeCell ref="D8:K8"/>
    <mergeCell ref="A3:C3"/>
    <mergeCell ref="D3:K3"/>
    <mergeCell ref="A4:C4"/>
    <mergeCell ref="D4:K4"/>
    <mergeCell ref="A5:C5"/>
    <mergeCell ref="D5:K5"/>
    <mergeCell ref="K10:K11"/>
    <mergeCell ref="A10:A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3"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6" t="s">
        <v>3</v>
      </c>
      <c r="B1" s="166"/>
      <c r="C1" s="166"/>
      <c r="D1" s="167">
        <f>'Necesidades Trimestrales'!C6</f>
        <v>2022</v>
      </c>
      <c r="E1" s="167"/>
      <c r="F1" s="3"/>
      <c r="G1" s="3"/>
      <c r="H1" s="4"/>
      <c r="I1" s="4"/>
      <c r="J1" s="4"/>
      <c r="K1" s="4"/>
      <c r="L1" s="4"/>
      <c r="M1" s="4"/>
      <c r="N1" s="4"/>
      <c r="P1" s="168" t="s">
        <v>20</v>
      </c>
      <c r="Q1" s="16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8"/>
      <c r="Q2" s="168"/>
    </row>
    <row r="4" spans="1:17" s="5" customFormat="1" ht="18" customHeight="1" thickBot="1" x14ac:dyDescent="0.25">
      <c r="A4" s="169" t="s">
        <v>21</v>
      </c>
      <c r="B4" s="169"/>
      <c r="C4" s="169"/>
      <c r="D4" s="169"/>
      <c r="E4" s="169"/>
      <c r="F4" s="169"/>
      <c r="G4" s="164" t="s">
        <v>45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 s="5" customFormat="1" ht="18" customHeight="1" thickBot="1" x14ac:dyDescent="0.25">
      <c r="A5" s="161" t="s">
        <v>43</v>
      </c>
      <c r="B5" s="162"/>
      <c r="C5" s="162"/>
      <c r="D5" s="162"/>
      <c r="E5" s="162"/>
      <c r="F5" s="163"/>
      <c r="G5" s="164" t="s">
        <v>56</v>
      </c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 s="5" customFormat="1" ht="18" customHeight="1" thickBot="1" x14ac:dyDescent="0.25">
      <c r="A6" s="161" t="s">
        <v>22</v>
      </c>
      <c r="B6" s="162"/>
      <c r="C6" s="162"/>
      <c r="D6" s="162"/>
      <c r="E6" s="162"/>
      <c r="F6" s="163"/>
      <c r="G6" s="164" t="s">
        <v>80</v>
      </c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1:17" s="5" customFormat="1" ht="18" customHeight="1" thickBot="1" x14ac:dyDescent="0.25">
      <c r="A7" s="161" t="s">
        <v>44</v>
      </c>
      <c r="B7" s="162"/>
      <c r="C7" s="162"/>
      <c r="D7" s="162"/>
      <c r="E7" s="162"/>
      <c r="F7" s="163"/>
      <c r="G7" s="164" t="s">
        <v>81</v>
      </c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 ht="18" customHeight="1" thickBot="1" x14ac:dyDescent="0.25">
      <c r="A8" s="165" t="s">
        <v>23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ht="18" customHeight="1" x14ac:dyDescent="0.2">
      <c r="A9" s="155" t="s">
        <v>24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Q9" s="109"/>
    </row>
    <row r="10" spans="1:17" ht="54.75" customHeight="1" x14ac:dyDescent="0.2">
      <c r="A10" s="156" t="s">
        <v>85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57" t="s">
        <v>25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5.75" customHeight="1" x14ac:dyDescent="0.2">
      <c r="A13" s="158" t="s">
        <v>26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9" t="s">
        <v>27</v>
      </c>
      <c r="P13" s="159"/>
      <c r="Q13" s="160" t="s">
        <v>28</v>
      </c>
    </row>
    <row r="14" spans="1:17" ht="15.75" customHeight="1" x14ac:dyDescent="0.2">
      <c r="A14" s="10" t="s">
        <v>29</v>
      </c>
      <c r="B14" s="11" t="s">
        <v>30</v>
      </c>
      <c r="C14" s="11" t="s">
        <v>31</v>
      </c>
      <c r="D14" s="11" t="s">
        <v>32</v>
      </c>
      <c r="E14" s="11" t="s">
        <v>33</v>
      </c>
      <c r="F14" s="11" t="s">
        <v>34</v>
      </c>
      <c r="G14" s="12" t="s">
        <v>35</v>
      </c>
      <c r="H14" s="11" t="s">
        <v>36</v>
      </c>
      <c r="I14" s="11" t="s">
        <v>37</v>
      </c>
      <c r="J14" s="11" t="s">
        <v>38</v>
      </c>
      <c r="K14" s="11" t="s">
        <v>38</v>
      </c>
      <c r="L14" s="11" t="s">
        <v>39</v>
      </c>
      <c r="M14" s="13" t="s">
        <v>40</v>
      </c>
      <c r="N14" s="14" t="s">
        <v>41</v>
      </c>
      <c r="O14" s="159"/>
      <c r="P14" s="159"/>
      <c r="Q14" s="160"/>
    </row>
    <row r="15" spans="1:17" ht="21.95" customHeight="1" thickBot="1" x14ac:dyDescent="0.25">
      <c r="A15" s="84">
        <v>42</v>
      </c>
      <c r="B15" s="33"/>
      <c r="C15" s="33"/>
      <c r="D15" s="33">
        <v>2</v>
      </c>
      <c r="E15" s="33"/>
      <c r="F15" s="33">
        <v>4901</v>
      </c>
      <c r="G15" s="33">
        <v>3</v>
      </c>
      <c r="H15" s="33">
        <v>310</v>
      </c>
      <c r="I15" s="85">
        <v>2</v>
      </c>
      <c r="J15" s="85">
        <v>5</v>
      </c>
      <c r="K15" s="85">
        <v>1</v>
      </c>
      <c r="L15" s="33"/>
      <c r="M15" s="34">
        <v>1</v>
      </c>
      <c r="N15" s="35" t="s">
        <v>46</v>
      </c>
      <c r="O15" s="153" t="s">
        <v>64</v>
      </c>
      <c r="P15" s="153"/>
      <c r="Q15" s="15">
        <v>836000</v>
      </c>
    </row>
    <row r="16" spans="1:17" ht="21.95" customHeight="1" thickBot="1" x14ac:dyDescent="0.25">
      <c r="A16" s="86">
        <v>42</v>
      </c>
      <c r="B16" s="87"/>
      <c r="C16" s="87"/>
      <c r="D16" s="87">
        <v>2</v>
      </c>
      <c r="E16" s="87"/>
      <c r="F16" s="33">
        <v>4901</v>
      </c>
      <c r="G16" s="33">
        <v>3</v>
      </c>
      <c r="H16" s="33">
        <v>310</v>
      </c>
      <c r="I16" s="87">
        <v>2</v>
      </c>
      <c r="J16" s="87">
        <v>5</v>
      </c>
      <c r="K16" s="87">
        <v>2</v>
      </c>
      <c r="L16" s="87"/>
      <c r="M16" s="88">
        <v>1</v>
      </c>
      <c r="N16" s="89" t="s">
        <v>46</v>
      </c>
      <c r="O16" s="154" t="s">
        <v>65</v>
      </c>
      <c r="P16" s="154"/>
      <c r="Q16" s="16">
        <v>11680</v>
      </c>
    </row>
    <row r="17" spans="1:18" ht="34.5" customHeight="1" x14ac:dyDescent="0.2">
      <c r="A17" s="86">
        <v>42</v>
      </c>
      <c r="B17" s="87"/>
      <c r="C17" s="87"/>
      <c r="D17" s="87">
        <v>2</v>
      </c>
      <c r="E17" s="87"/>
      <c r="F17" s="33">
        <v>4901</v>
      </c>
      <c r="G17" s="33">
        <v>3</v>
      </c>
      <c r="H17" s="33">
        <v>310</v>
      </c>
      <c r="I17" s="87">
        <v>2</v>
      </c>
      <c r="J17" s="87">
        <v>9</v>
      </c>
      <c r="K17" s="87">
        <v>5</v>
      </c>
      <c r="L17" s="87"/>
      <c r="M17" s="88">
        <v>1</v>
      </c>
      <c r="N17" s="89" t="s">
        <v>46</v>
      </c>
      <c r="O17" s="154" t="s">
        <v>67</v>
      </c>
      <c r="P17" s="154"/>
      <c r="Q17" s="16">
        <v>736170</v>
      </c>
    </row>
    <row r="18" spans="1:18" ht="17.25" customHeight="1" x14ac:dyDescent="0.2">
      <c r="A18" s="86"/>
      <c r="B18" s="87"/>
      <c r="C18" s="87"/>
      <c r="D18" s="87"/>
      <c r="E18" s="87"/>
      <c r="F18" s="90"/>
      <c r="G18" s="87"/>
      <c r="H18" s="87"/>
      <c r="I18" s="87"/>
      <c r="J18" s="87"/>
      <c r="K18" s="87"/>
      <c r="L18" s="87"/>
      <c r="M18" s="88"/>
      <c r="N18" s="90"/>
      <c r="O18" s="148"/>
      <c r="P18" s="148"/>
      <c r="Q18" s="16"/>
    </row>
    <row r="19" spans="1:18" ht="17.25" customHeight="1" x14ac:dyDescent="0.2">
      <c r="A19" s="86"/>
      <c r="B19" s="87"/>
      <c r="C19" s="87"/>
      <c r="D19" s="87"/>
      <c r="E19" s="87"/>
      <c r="F19" s="90"/>
      <c r="G19" s="87"/>
      <c r="H19" s="87"/>
      <c r="I19" s="87"/>
      <c r="J19" s="87"/>
      <c r="K19" s="87"/>
      <c r="L19" s="87"/>
      <c r="M19" s="88"/>
      <c r="N19" s="90"/>
      <c r="O19" s="148"/>
      <c r="P19" s="148"/>
      <c r="Q19" s="16"/>
    </row>
    <row r="20" spans="1:18" ht="17.25" customHeight="1" x14ac:dyDescent="0.2">
      <c r="A20" s="91"/>
      <c r="B20" s="92"/>
      <c r="C20" s="92"/>
      <c r="D20" s="92"/>
      <c r="E20" s="92"/>
      <c r="F20" s="93"/>
      <c r="G20" s="92"/>
      <c r="H20" s="92"/>
      <c r="I20" s="92"/>
      <c r="J20" s="92"/>
      <c r="K20" s="92"/>
      <c r="L20" s="92"/>
      <c r="M20" s="94"/>
      <c r="N20" s="95"/>
      <c r="O20" s="149"/>
      <c r="P20" s="149"/>
      <c r="Q20" s="16"/>
      <c r="R20" s="1"/>
    </row>
    <row r="21" spans="1:18" ht="17.25" customHeight="1" x14ac:dyDescent="0.2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18"/>
      <c r="O21" s="150"/>
      <c r="P21" s="150"/>
      <c r="Q21" s="20"/>
    </row>
    <row r="22" spans="1:18" ht="29.25" customHeight="1" x14ac:dyDescent="0.2">
      <c r="A22" s="151" t="s">
        <v>87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96">
        <f>SUM(Q15:Q21)</f>
        <v>1583850</v>
      </c>
    </row>
    <row r="23" spans="1:18" ht="18" customHeight="1" thickBot="1" x14ac:dyDescent="0.25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  <row r="24" spans="1:18" ht="17.25" customHeight="1" thickBot="1" x14ac:dyDescent="0.25">
      <c r="A24" s="143" t="s">
        <v>42</v>
      </c>
      <c r="B24" s="144"/>
      <c r="C24" s="144"/>
      <c r="D24" s="144"/>
      <c r="E24" s="144"/>
      <c r="F24" s="145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</row>
    <row r="25" spans="1:18" ht="18" customHeight="1" thickBot="1" x14ac:dyDescent="0.25">
      <c r="A25" s="147" t="s">
        <v>66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</row>
    <row r="26" spans="1:18" ht="15" customHeight="1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2022-06-02T11:57:35Z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