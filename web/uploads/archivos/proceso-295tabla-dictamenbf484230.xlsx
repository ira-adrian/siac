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CONTRATACIONES 2020 VIGENTES\ZLI\Sillas- Educación\"/>
    </mc:Choice>
  </mc:AlternateContent>
  <xr:revisionPtr revIDLastSave="0" documentId="8_{41C6F666-A90B-4D6D-9691-7ABA4CF343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2" i="2" l="1"/>
  <c r="M12" i="2"/>
  <c r="Q12" i="2"/>
  <c r="U12" i="2"/>
</calcChain>
</file>

<file path=xl/sharedStrings.xml><?xml version="1.0" encoding="utf-8"?>
<sst xmlns="http://schemas.openxmlformats.org/spreadsheetml/2006/main" count="56" uniqueCount="40">
  <si>
    <t>Número expediente:</t>
  </si>
  <si>
    <t>EX-2022-02382219-   -CAT-SCA#MEC</t>
  </si>
  <si>
    <t>Número proceso de compra:</t>
  </si>
  <si>
    <t>100-0233-CDI22</t>
  </si>
  <si>
    <t>Nombre descriptivo proceso de compra:</t>
  </si>
  <si>
    <t>ADQUISICIÓN DE SILLAS DE OFICINA DESTINADAS A DEPENDENCIAS DEL MINISTERIO DE EDUCACIÓN</t>
  </si>
  <si>
    <t>Unidad Operativa de Compras:</t>
  </si>
  <si>
    <t>Secretaria de Compras y Abastecimiento</t>
  </si>
  <si>
    <t>Fecha de Apertura:</t>
  </si>
  <si>
    <t>14/12/2022</t>
  </si>
  <si>
    <t>Renglón</t>
  </si>
  <si>
    <t>MIGUEL ANGEL MURO</t>
  </si>
  <si>
    <t>BRUNO RODOLFO LUCERO ALESSANDRO</t>
  </si>
  <si>
    <t>SUCESION DE LUIS JAIME KOTLER</t>
  </si>
  <si>
    <t>EZEQUIEL DAVID ROSENBLAT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</si>
  <si>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</si>
  <si>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</si>
  <si>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</si>
  <si>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</si>
  <si>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</si>
  <si>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</si>
  <si>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</si>
  <si>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</si>
  <si>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</si>
  <si>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</si>
  <si>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4.3.7-45.3 </t>
  </si>
  <si>
    <t xml:space="preserve">SILLAS; MATERIAL ESTRUCTURA: METAL, TAPIZADO: TELA, ALTURA: FIJA, GIRATORIA: NO. 
</t>
  </si>
  <si>
    <t xml:space="preserve">UNIDAD </t>
  </si>
  <si>
    <t xml:space="preserve">SILLAS; MATERIAL ESTRUCTURA: METAL, TAPIZADO: TELA COLOR NEGRO, ALTURA: FIJA, 
GIRATORIA: NO.  Silla de oficina. Estructura: Metalica, de 4 
patas, pintada en color negro. Tapizado: tela color negro,  
Ancho:  Marca: MOBILARG </t>
  </si>
  <si>
    <t xml:space="preserve">SILLAS; MATERIAL ESTRUCTURA: METAL, TAPIZADO: ECO CUERO, ALTURA: FIJA, GIRATORIA: 
NO. SILLA APILABLE DE OFICINA , 4 PATAS, PINTADA EN 
COLOR NEGRO, TAPIZADO: ECO CUERO COLOR NEGRO, ANCHO: 50CM X 
ALTURA: 85CM, RESPALDO: 48X36CM CON TAPIZADO EN ECO CUERO COLOR 
NEGRO, PESO MAXIMO DE SOPORTE: 120KG (COMO MINIMO), COLOR: NEGRO, 
MARCA: TISERA  </t>
  </si>
  <si>
    <t xml:space="preserve">SILLAS; MATERIAL ESTRUCTURA: METAL, TAPIZADO: TELA, ALTURA: FIJA, GIRATORIA: NO. 
Se requiere marca, descripción e imagen del bien ofertado. Silla 
de oficina. Estructura: Metalica, de 4 patas, pintada. Tapizado: Tela, 
cuero, simil cuero, o similar. Ancho: 50cm aprox. Altura total: 
85cm aprox. Respaldo: 48x36cm aprox. con tapizado. Peso máximo soportado: 
120kg., como mínimo. Color: Negro. GARANTIA 6 MESES MARCA PORTANTINO 
 </t>
  </si>
  <si>
    <t xml:space="preserve">Silla de escritorio Lisy fija tapizada s/brazos base negra negra 
con tapizado de cuero sintético </t>
  </si>
  <si>
    <t xml:space="preserve">2 </t>
  </si>
  <si>
    <t xml:space="preserve">4.3.7-45.218 </t>
  </si>
  <si>
    <t xml:space="preserve">SILLAS; MATERIAL ESTRUCTURA: METAL, TAPIZADO: TELA TIPO TELAR, PATAS: BASE 
CENTRAL, PATAS C/RODAMIEN, Nº PATAS: 5, ALTURA: REGULACION NEUMATICA, GIRATORIA: 
SI, APOYA BRAZO: CON, RESPALDO: ERGONOMICO, ASIENTO: TELA, CANTIDAD PATAS: 
5, APOYABRAZO: CON </t>
  </si>
  <si>
    <t xml:space="preserve">SILLAS; MATERIAL ESTRUCTURA: METAL, TAPIZADO: CUERO SINTETICO; PATAS: BASE CENTRAL, 
PATAS C/RODAMIEN, Nº PATAS: 5, ALTURA: REGULACION NEUMATICA, GIRATORIA: SI, 
APOYA BRAZO: CON, RESPALDO: ERGONOMICO, ASIENTO: CUERO SINTETICO, COLOR : 
NEGRO: MARCA: MOBILARG </t>
  </si>
  <si>
    <t xml:space="preserve">SILLAS; MATERIAL ESTRUCTURA: METAL, TAPIZADO: ECO CUERO TENSADO, PATAS: BASE 
CENTRAL, PATAS C/RODAMIEN, Nº PATAS: 5, ALTURA: REGULACION NEUMATICA, GIRATORIA: 
SI, APOYA BRAZO: CON, RESPALDO: ERGONOMICO, ASIENTO: ECO CUERO TENSADO, 
CANTIDAD PATAS: 5, APOYABRAZO: CON, COLOR: NEGRO, MARCA: TISERA </t>
  </si>
  <si>
    <t xml:space="preserve">Silla tipo sillon de oficina Estructura: Metalica, de 5 patas 
con ruedas. Acabado pintado o cromado. Base giratoria 360°. Con 
altura regulable. Tapizado: Tela, cuero, simil cuero, o similar. Respaldo: 
Reclinable, con apoya cabezas, tapizado, de 70x48cm aprox. Asiento: 50 
cm aprox, tapizado. Con apoya brazos. Altura total: 110cm aprox. 
Peso máximo soportado: 120kg, como mínimo. Color: Negro. GARANTIA 6 
MESES MARCA PORTANTINO </t>
  </si>
  <si>
    <t xml:space="preserve">Silla de escritorio HDC Group Ejecutiva ergonómica negra con tapizado 
de cuero sintético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</si>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</sst>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2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2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2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12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12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2.5703125" customWidth="1"/>
    <col min="4" max="4" width="81.7109375" customWidth="1"/>
    <col min="5" max="5" width="89.140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82.7109375" customWidth="1"/>
    <col min="11" max="11" width="14.28515625" customWidth="1"/>
    <col min="12" max="12" width="17.28515625" customWidth="1"/>
    <col min="13" max="13" width="16.5703125" customWidth="1"/>
    <col min="14" max="14" width="81.7109375" customWidth="1"/>
    <col min="15" max="15" width="14.28515625" customWidth="1"/>
    <col min="16" max="16" width="17.28515625" customWidth="1"/>
    <col min="17" max="17" width="16.5703125" customWidth="1"/>
    <col min="18" max="18" width="77.7109375" customWidth="1"/>
    <col min="19" max="19" width="14.28515625" customWidth="1"/>
    <col min="20" max="20" width="17.28515625" customWidth="1"/>
    <col min="21" max="21" width="16.5703125" customWidth="1"/>
    <col min="22" max="22" width="61.85546875" customWidth="1"/>
  </cols>
  <sheetData>
    <row r="1" spans="1:22" x14ac:dyDescent="0.25">
      <c r="D1" s="2" t="s">
        <v>0</v>
      </c>
      <c r="E1" s="2" t="s">
        <v>1</v>
      </c>
    </row>
    <row r="2" spans="1:22" x14ac:dyDescent="0.25">
      <c r="D2" s="2" t="s">
        <v>2</v>
      </c>
      <c r="E2" s="2" t="s">
        <v>3</v>
      </c>
    </row>
    <row r="3" spans="1:22" x14ac:dyDescent="0.25">
      <c r="D3" s="2" t="s">
        <v>4</v>
      </c>
      <c r="E3" s="2" t="s">
        <v>5</v>
      </c>
    </row>
    <row r="4" spans="1:22" x14ac:dyDescent="0.25">
      <c r="D4" s="2" t="s">
        <v>6</v>
      </c>
      <c r="E4" s="2" t="s">
        <v>7</v>
      </c>
    </row>
    <row r="5" spans="1:22" x14ac:dyDescent="0.25">
      <c r="D5" s="2" t="s">
        <v>8</v>
      </c>
      <c r="E5" s="2" t="s">
        <v>9</v>
      </c>
    </row>
    <row r="8" spans="1:22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</row>
    <row r="9" spans="1:22" x14ac:dyDescent="0.25">
      <c r="A9" t="s">
        <v>10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s="3" t="s">
        <v>20</v>
      </c>
      <c r="H9" s="3" t="s">
        <v>21</v>
      </c>
      <c r="I9" t="s">
        <v>22</v>
      </c>
      <c r="J9" t="s">
        <v>23</v>
      </c>
      <c r="K9" s="3" t="s">
        <v>20</v>
      </c>
      <c r="L9" s="3" t="s">
        <v>21</v>
      </c>
      <c r="M9" t="s">
        <v>22</v>
      </c>
      <c r="N9" t="s">
        <v>23</v>
      </c>
      <c r="O9" s="3" t="s">
        <v>20</v>
      </c>
      <c r="P9" s="3" t="s">
        <v>21</v>
      </c>
      <c r="Q9" t="s">
        <v>22</v>
      </c>
      <c r="R9" t="s">
        <v>23</v>
      </c>
      <c r="S9" s="3" t="s">
        <v>20</v>
      </c>
      <c r="T9" s="3" t="s">
        <v>21</v>
      </c>
      <c r="U9" t="s">
        <v>22</v>
      </c>
      <c r="V9" t="s">
        <v>23</v>
      </c>
    </row>
    <row r="10" spans="1:22" ht="120" x14ac:dyDescent="0.25">
      <c r="A10" t="s">
        <v>24</v>
      </c>
      <c r="B10" t="s">
        <v>24</v>
      </c>
      <c r="C10" t="s">
        <v>25</v>
      </c>
      <c r="D10" s="4" t="s">
        <v>26</v>
      </c>
      <c r="E10">
        <v>70</v>
      </c>
      <c r="F10" t="s">
        <v>27</v>
      </c>
      <c r="G10" s="3">
        <v>19100</v>
      </c>
      <c r="H10" s="3">
        <v>70</v>
      </c>
      <c r="I10" s="5">
        <v>1337000</v>
      </c>
      <c r="J10" s="4" t="s">
        <v>28</v>
      </c>
      <c r="K10" s="3">
        <v>17360</v>
      </c>
      <c r="L10" s="3">
        <v>70</v>
      </c>
      <c r="M10" s="5">
        <v>1215200</v>
      </c>
      <c r="N10" s="4" t="s">
        <v>29</v>
      </c>
      <c r="O10" s="3">
        <v>19500</v>
      </c>
      <c r="P10" s="3">
        <v>70</v>
      </c>
      <c r="Q10" s="5">
        <v>1365000</v>
      </c>
      <c r="R10" s="4" t="s">
        <v>30</v>
      </c>
      <c r="S10" s="3">
        <v>24700</v>
      </c>
      <c r="T10" s="3">
        <v>70</v>
      </c>
      <c r="U10" s="5">
        <v>1729000</v>
      </c>
      <c r="V10" s="4" t="s">
        <v>31</v>
      </c>
    </row>
    <row r="11" spans="1:22" ht="105" x14ac:dyDescent="0.25">
      <c r="A11" t="s">
        <v>32</v>
      </c>
      <c r="B11" t="s">
        <v>24</v>
      </c>
      <c r="C11" t="s">
        <v>33</v>
      </c>
      <c r="D11" s="4" t="s">
        <v>34</v>
      </c>
      <c r="E11">
        <v>20</v>
      </c>
      <c r="F11" t="s">
        <v>27</v>
      </c>
      <c r="G11" s="3">
        <v>60100</v>
      </c>
      <c r="H11" s="3">
        <v>20</v>
      </c>
      <c r="I11" s="5">
        <v>1202000</v>
      </c>
      <c r="J11" s="4" t="s">
        <v>35</v>
      </c>
      <c r="K11" s="3">
        <v>40500</v>
      </c>
      <c r="L11" s="3">
        <v>20</v>
      </c>
      <c r="M11" s="5">
        <v>810000</v>
      </c>
      <c r="N11" s="4" t="s">
        <v>36</v>
      </c>
      <c r="O11" s="3">
        <v>89500</v>
      </c>
      <c r="P11" s="3">
        <v>20</v>
      </c>
      <c r="Q11" s="5">
        <v>1790000</v>
      </c>
      <c r="R11" s="4" t="s">
        <v>37</v>
      </c>
      <c r="S11" s="3">
        <v>61400</v>
      </c>
      <c r="T11" s="3">
        <v>20</v>
      </c>
      <c r="U11" s="5">
        <v>1228000</v>
      </c>
      <c r="V11" s="4" t="s">
        <v>38</v>
      </c>
    </row>
    <row r="12" spans="1:22" x14ac:dyDescent="0.25">
      <c r="C12" t="s">
        <v>39</v>
      </c>
      <c r="D12" s="4"/>
      <c r="G12" s="3"/>
      <c r="H12" s="3"/>
      <c r="I12" s="5">
        <f>SUBTOTAL(109,Table2[Total por renglón])</f>
        <v>2539000</v>
      </c>
      <c r="J12" s="4"/>
      <c r="K12" s="3"/>
      <c r="L12" s="3"/>
      <c r="M12" s="5">
        <f>SUBTOTAL(109,Table3[Total por renglón])</f>
        <v>2025200</v>
      </c>
      <c r="N12" s="4"/>
      <c r="O12" s="3"/>
      <c r="P12" s="3"/>
      <c r="Q12" s="5">
        <f>SUBTOTAL(109,Table4[Total por renglón])</f>
        <v>3155000</v>
      </c>
      <c r="R12" s="4"/>
      <c r="S12" s="3"/>
      <c r="T12" s="3"/>
      <c r="U12" s="5">
        <f>SUBTOTAL(109,Table5[Total por renglón])</f>
        <v>2957000</v>
      </c>
      <c r="V12" s="4"/>
    </row>
  </sheetData>
  <mergeCells count="5">
    <mergeCell ref="G8:J8"/>
    <mergeCell ref="K8:N8"/>
    <mergeCell ref="O8:R8"/>
    <mergeCell ref="S8:V8"/>
    <mergeCell ref="A8:F8"/>
  </mergeCells>
  <pageMargins left="0.75" right="0.75" top="0.75" bottom="0.5" header="0.5" footer="0.75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COMPRAR</dc:creator>
  <cp:lastModifiedBy>COMPRAR</cp:lastModifiedBy>
  <dcterms:created xsi:type="dcterms:W3CDTF">2022-12-14T12:02:59Z</dcterms:created>
  <dcterms:modified xsi:type="dcterms:W3CDTF">2022-12-14T12:06:08Z</dcterms:modified>
</cp:coreProperties>
</file>