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9CD3AF97-1B05-45CC-9D29-F8E3635196DC}" xr6:coauthVersionLast="46" xr6:coauthVersionMax="46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Trimestrales'!$A$9:$I$117</definedName>
    <definedName name="_xlnm.Print_Area" localSheetId="1">' NotaPedido'!$A$1:$K$120</definedName>
    <definedName name="_xlnm.Print_Area" localSheetId="2">'Autor Gastar'!$A$1:$Q$25</definedName>
    <definedName name="_xlnm.Print_Area" localSheetId="0">'Necesidades Trimestrales'!$E$9:$E$117</definedName>
  </definedNames>
  <calcPr calcId="181029"/>
</workbook>
</file>

<file path=xl/calcChain.xml><?xml version="1.0" encoding="utf-8"?>
<calcChain xmlns="http://schemas.openxmlformats.org/spreadsheetml/2006/main">
  <c r="Q21" i="3" l="1"/>
  <c r="K62" i="2" l="1"/>
  <c r="J62" i="2"/>
  <c r="I62" i="2"/>
  <c r="C62" i="2"/>
  <c r="I60" i="1"/>
  <c r="C13" i="2" l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" i="2"/>
  <c r="K42" i="2" l="1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48" i="1"/>
  <c r="I49" i="1"/>
  <c r="I50" i="1"/>
  <c r="I51" i="1"/>
  <c r="I52" i="1"/>
  <c r="I53" i="1"/>
  <c r="I54" i="1"/>
  <c r="I55" i="1"/>
  <c r="I56" i="1"/>
  <c r="I57" i="1"/>
  <c r="I58" i="1"/>
  <c r="I59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46" i="1" l="1"/>
  <c r="I47" i="1"/>
  <c r="K32" i="2" l="1"/>
  <c r="K33" i="2"/>
  <c r="K34" i="2"/>
  <c r="K35" i="2"/>
  <c r="K36" i="2"/>
  <c r="K37" i="2"/>
  <c r="K38" i="2"/>
  <c r="K39" i="2"/>
  <c r="K40" i="2"/>
  <c r="K4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0" i="1"/>
  <c r="A10" i="3" l="1"/>
  <c r="G6" i="3" l="1"/>
  <c r="D7" i="2"/>
  <c r="D3" i="2"/>
  <c r="G4" i="3" s="1"/>
  <c r="D4" i="2"/>
  <c r="G5" i="3" s="1"/>
  <c r="D1" i="3" l="1"/>
  <c r="K12" i="2"/>
  <c r="J12" i="2"/>
  <c r="I12" i="2"/>
  <c r="J120" i="2" l="1"/>
</calcChain>
</file>

<file path=xl/sharedStrings.xml><?xml version="1.0" encoding="utf-8"?>
<sst xmlns="http://schemas.openxmlformats.org/spreadsheetml/2006/main" count="523" uniqueCount="189">
  <si>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</si>
  <si>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</si>
  <si>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</si>
  <si>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</si>
  <si>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</si>
  <si>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</si>
  <si>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</si>
  <si>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</si>
  <si>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</si>
  <si>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</si>
  <si>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</si>
  <si>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</si>
  <si>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</si>
  <si>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</si>
  <si>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</si>
  <si>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</si>
  <si>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</si>
  <si>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</si>
  <si>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</si>
  <si>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</si>
  <si>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</si>
  <si>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</si>
  <si>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</si>
  <si>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</si>
  <si>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</si>
  <si>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</si>
  <si>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</si>
  <si>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</si>
  <si>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</si>
  <si>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</si>
  <si>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</si>
  <si>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</si>
  <si>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</si>
  <si>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</si>
  <si>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</si>
  <si>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</si>
  <si>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</si>
  <si>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</si>
  <si>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</si>
  <si>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</si>
  <si>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</si>
  <si>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</si>
  <si>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</si>
  <si>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</si>
  <si>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</si>
  <si>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</si>
  <si>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</si>
  <si>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</si>
  <si>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</si>
  <si>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</si>
  <si>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</si>
  <si>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</si>
  <si>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</si>
  <si>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</si>
  <si>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</si>
  <si>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</si>
  <si>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Servicio de Farmacia</t>
  </si>
  <si>
    <t>PROD. MEDICO/ FARMACEUTICOS/LAB</t>
  </si>
  <si>
    <t>UNIDAD</t>
  </si>
  <si>
    <t>UTILES MENORES MEDICO, QUIRURGICO Y DE LABORATORIO</t>
  </si>
  <si>
    <t>Plazos y lugares de entrega</t>
  </si>
  <si>
    <t>Descripción técnica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</si>
  <si>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</si>
  <si>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t>Mantenimiento</t>
    </r>
    <r>
      <rPr>
        <sz val="10"/>
        <rFont val="Times New Roman"/>
        <family val="1"/>
      </rPr>
      <t xml:space="preserve">: 45 dias habiles </t>
    </r>
  </si>
  <si>
    <t>SI</t>
  </si>
  <si>
    <t>AGUJA ESPINAL 18 G X 3-1/2</t>
  </si>
  <si>
    <t>AGUJA ESPINAL 19 G 3-1/2</t>
  </si>
  <si>
    <t>AGUJA ESPINAL 22 G X 1</t>
  </si>
  <si>
    <t>Aguja ESPINAL 23 G 3 1/2</t>
  </si>
  <si>
    <t>Aguja ESPINAL 25 G 3 1/2</t>
  </si>
  <si>
    <t>AGUJA ESPINAL 25G 31/2 PUNTA LAPIZ</t>
  </si>
  <si>
    <t>Aguja ESPINAL 26 G 31/2</t>
  </si>
  <si>
    <t>Aguja ESPINAL 26 G 31/2  PUNTA LAPIZ</t>
  </si>
  <si>
    <t>Aguja ESPINAL 27 G 3 1/2</t>
  </si>
  <si>
    <t xml:space="preserve">AGUJA ESPINAL 27G 3 1/2 PUNTA LAPIZ </t>
  </si>
  <si>
    <t>AGUJA ESPINAL Nº 20</t>
  </si>
  <si>
    <t>AGUJA P/PUNCION/ASP.16G X 70MM T/BLOODLINE</t>
  </si>
  <si>
    <t>AGUJA P/SUTURA CURVAS CV310 X 12 UNID.</t>
  </si>
  <si>
    <t>AGUJA P/SUTURA RECTA X 1</t>
  </si>
  <si>
    <t>AGUJA PARA BLOQUEO PERIFERICO CON PUNTA LAPIZ N°22</t>
  </si>
  <si>
    <t>AGUJA POLY PORT CON PUNTA T/HUBER 621</t>
  </si>
  <si>
    <t>AGUJA POLY PORT CON PUNTA T/HUBER 623</t>
  </si>
  <si>
    <t>AGUJA PUNTA CURVA HUBER Nº 20 X 25 MM</t>
  </si>
  <si>
    <t>AGUJA PUNTA CURVA HUBER Nº 21 X 25 MM</t>
  </si>
  <si>
    <t>AGUJA PUNTA CURVA HUBER Nº 22 X 25 MM</t>
  </si>
  <si>
    <t>AGUJA TROCAR X 1 - 30/12</t>
  </si>
  <si>
    <t>ALAMBRE QUIRURGICO 1,5MM X 1 MT.</t>
  </si>
  <si>
    <t>ALAMBRE QUIRURGICO 1MM X 1 MT.</t>
  </si>
  <si>
    <t>ANTEOJOS ANTI HIV X 1</t>
  </si>
  <si>
    <t>BASE HUMEDIFICADOR PARA ARM</t>
  </si>
  <si>
    <t>Bolsa De Ileostomia 5985 (Coloplast) x unidad</t>
  </si>
  <si>
    <t>BRAZALETE PNI 1 TUBO  Nº 1  TIPO  WELCH ALLYN/DRAGUER</t>
  </si>
  <si>
    <t>BRAZALETE PNI 1 TUBO  Nº 2  TIPO  WELCH ALLYN/DRAGUER</t>
  </si>
  <si>
    <t>BRAZALETE PNI 1 TUBO  Nº 3  TIPO  WELCH ALLYN/DRAGUER</t>
  </si>
  <si>
    <t>BRAZALETE PNI 1 TUBO  Nº 4  TIPO  WELCH ALLYN/DRAGUER</t>
  </si>
  <si>
    <t>BRAZALETE PNI 2 TUBO  Nº 1  TIPO  WELCH ALLYN/DRAGUER</t>
  </si>
  <si>
    <t>BRAZALETE PNI 2 TUBO  Nº 2  TIPO  WELCH ALLYN/DRAGUER</t>
  </si>
  <si>
    <t>BRAZALETE PNI 2 TUBO  Nº 3  TIPO  WELCH ALLYN/DRAGUER</t>
  </si>
  <si>
    <t>BRAZALETE PNI 2 TUBO  Nº 4  TIPO  WELCH ALLYN/DRAGUER</t>
  </si>
  <si>
    <t>CAMARA HUMIDIFICADORA DESCARTABLE TIPO FISHER Y PAIKEL MR 290</t>
  </si>
  <si>
    <t>CANULA DE ASPIRACION DE CAMPO QUIRURGICO TIPO K 66</t>
  </si>
  <si>
    <t>CARTUCHO ARTERIAL I-STAT • EG7+ caja x 25 unidades</t>
  </si>
  <si>
    <t>CARTUCHO I-STAT • CHEM8+ caja x 25 unidades</t>
  </si>
  <si>
    <t>CARTUCHO I-STAT • EG7+ caja x 25 unidades</t>
  </si>
  <si>
    <t>CARTUCHO VENOSO I-STAT • CHEM8+ caja x 25 unidades</t>
  </si>
  <si>
    <t xml:space="preserve">CEPILLO PARA CIRUGIA  DESCARTABLE ESTERIL </t>
  </si>
  <si>
    <t>CLAVIJAS DE ACERO 2.5 MM</t>
  </si>
  <si>
    <t>Collar Philadelfia Chico 1unidad (UNICA x 1)</t>
  </si>
  <si>
    <t>Collar Philadelfia Grande 1unidad (UNICA x 1)</t>
  </si>
  <si>
    <t>Collar Philadelfia Mediano 1unidad (UNICA x 1)</t>
  </si>
  <si>
    <t>Dosificador de soluc.sistema cerrado TB 2739 1 unidad (UNICA x 1)</t>
  </si>
  <si>
    <t>ESTETOSCOPIO ADULTO</t>
  </si>
  <si>
    <t>ESTETOSCOPIO PEDIATRICO - DE CAMAPANA SIMPLE</t>
  </si>
  <si>
    <t xml:space="preserve">FILTRO HME ADULTO HIGROBAC INTERCAMBIADOR CALOR/HUMEDAD </t>
  </si>
  <si>
    <t>FILTRO HME BACTERIAL VIRAL PARA CIRCUITO RESPIRADOR</t>
  </si>
  <si>
    <t xml:space="preserve">INTERFASE P/VNI TALLE M TOTAL FACE </t>
  </si>
  <si>
    <t>JUEGO DE TRANSDUCTOR SENCILLO T/DTX PLUS DT4812-BD</t>
  </si>
  <si>
    <t>KIT RESUCITADOR MANUAL NEONATAL - TIPO "FISHER PAYKEL" SIN MASCARA</t>
  </si>
  <si>
    <t>MANGO P/CANULA ASP.E IRRIGACION C/CONTROL MANUAL D</t>
  </si>
  <si>
    <t>MANGO P/HOJA DE BISTURI N°3 H10-15</t>
  </si>
  <si>
    <t>MANGO P/HOJA DE BISTURI Nª4 H20-24</t>
  </si>
  <si>
    <t>MANGUITOS NEONATALES 1 TUBO TIPO &lt;ETHOX&gt; tamaño 1 - MODELO 5101</t>
  </si>
  <si>
    <t>MANGUITOS NEONATALES 1 TUBO TIPO &lt;ETHOX&gt; tamaño 2 - MODELO 5102</t>
  </si>
  <si>
    <t>MANGUITOS NEONATALES 1 TUBO TIPO &lt;ETHOX&gt; tamaño 3 - MODELO 5103</t>
  </si>
  <si>
    <t>MASCARA AMBU BORDE INFLABLE Nª1 (INFANTIL)</t>
  </si>
  <si>
    <t>MASCARA AMBU BORDE INFLABLE Nª2 (INFANTIL)</t>
  </si>
  <si>
    <t>MASCARA AMBU BORDE INFLABLE Nª3 (INFANTIL)</t>
  </si>
  <si>
    <t>MASCARA AMBU BORDE INFLABLE Nª4 (INFANTIL)</t>
  </si>
  <si>
    <t>MASCARA FACIAL CON BORDE INFLABLE P/RESUCITADOR MANUAL ADULTO</t>
  </si>
  <si>
    <t>MASCARA FACIAL CON BORDE INFLABLE P/RESUCITADOR MANUAL PEDIATRICA</t>
  </si>
  <si>
    <t>Mascara facial para ventilación N°  3, adulto</t>
  </si>
  <si>
    <t xml:space="preserve">Mascara facial para ventilación N°  4, adulto </t>
  </si>
  <si>
    <t xml:space="preserve">Mascara facial para ventilación N° 1, adulto </t>
  </si>
  <si>
    <t xml:space="preserve">Mascara facial para ventilación N° 2, adulto </t>
  </si>
  <si>
    <t>MASCARA LARINGEA N°2</t>
  </si>
  <si>
    <t>MASCARA LARINGEA N°3</t>
  </si>
  <si>
    <t xml:space="preserve">MASCARA LARINGEA N°4 </t>
  </si>
  <si>
    <t>MASCARA P/AERO-KAM SILFAB BEBES COD.PA04</t>
  </si>
  <si>
    <t>MASCARA P/AERO-KAM SILFAB NIÑOS COD.PA02</t>
  </si>
  <si>
    <t>MASCARA P/ALTA CONCENTRACION DE O2 C/RECER.PED.</t>
  </si>
  <si>
    <t>Mascaras ANESTESICA BORDE INFLABLE Nº 0 TIPO  "MERCURY"</t>
  </si>
  <si>
    <t>Mascaras ANESTESICA BORDE INFLABLE Nº 1 TIPO  "MERCURY"</t>
  </si>
  <si>
    <t>MASCARAS CON RESERVORIO</t>
  </si>
  <si>
    <t>RAMAS P/ RESPIRADOR ALTA FRECUENCIA (SENSOR MEDICS A3000)</t>
  </si>
  <si>
    <t>RESUCITADOR MANUAL ADULTO REUTILIZABLE</t>
  </si>
  <si>
    <t>RESUCITADOR MANUAL NEONATAL - TIPO "MERCURY" CON MANOMETRO DE PRESION Y  VALVULA DE PIT</t>
  </si>
  <si>
    <t xml:space="preserve">RESUCITADOR MANUAL PEDIATRICO REUTILIZABLE </t>
  </si>
  <si>
    <t>SENSOR DE FLUJO REUTILIZABLE PARA SLE5000 MODELO N5201 - MARCA MEDIX</t>
  </si>
  <si>
    <t>SENSOR DE OXIGENO ADULTO T/OXIMAX</t>
  </si>
  <si>
    <t>SENSOR DE OXIGENO NEONATAL T/OXIMAX</t>
  </si>
  <si>
    <t>SENSOR P/SATUROMETRIA PEDIATRICO REUTILIZABLE 04-15KG T/PHILIPS</t>
  </si>
  <si>
    <t>SENSOR P/SATUROMETRIA PEDIATRICO REUTILIZABLE 15-50KG T/PHILIPS</t>
  </si>
  <si>
    <t xml:space="preserve">SET DE TUBULADURAS AUTOCLAVABLES INFANTILES para respirador marca “MEDIX” modelo SLE5000 infantil </t>
  </si>
  <si>
    <t>TENSIOMETRO+ESTETOSCOPIO ADULTO X 1</t>
  </si>
  <si>
    <t>TENSIOMETRO+ESTETOSCOPIO NEONATAL X 1</t>
  </si>
  <si>
    <t>TENSIOMETRO+ESTETOSCOPIO PEDIATRICO X 1</t>
  </si>
  <si>
    <t>TRANSDUCTOR DE PRESION INV COMPLETO T/EDWARDS</t>
  </si>
  <si>
    <t>TUBO DE KHER DE GOMA Nº16</t>
  </si>
  <si>
    <t>TUBO DE KHER DE GOMA Nº18</t>
  </si>
  <si>
    <t>TUBO DE KHER DE GOMA Nº10</t>
  </si>
  <si>
    <t>TUBO DE KHER DE GOMA Nº12</t>
  </si>
  <si>
    <t>TUBO DE KHER DE GOMA Nº14</t>
  </si>
  <si>
    <t>TUBO DE KHER DE GOMA Nº20</t>
  </si>
  <si>
    <t>TUBULADURA SILC.6,40 X 9,50 T/SILMAG X 1 MT.</t>
  </si>
  <si>
    <t>TUBULADURA SILC.7,9 X 12,70 T/SILMAG X 1 MT.</t>
  </si>
  <si>
    <t>VARA ESCHMANN N° 6 mm</t>
  </si>
  <si>
    <t>VARA ESCHMANN N° 9 mm</t>
  </si>
  <si>
    <t>VARA ESCHMANN N°11 mm</t>
  </si>
  <si>
    <t>VENDA DE SMARCH X 10 CM.</t>
  </si>
  <si>
    <t>VENDA DE SMARCH X 5 CM</t>
  </si>
  <si>
    <t>064/2021</t>
  </si>
  <si>
    <t>Insumo Complejo</t>
  </si>
  <si>
    <t>Para la adquisición de Insumo Complejo destinados al Servicio de Farmacia del Hospital Interzonal de Niños Eva Peron, para el normal funcionamiento del organismo.</t>
  </si>
  <si>
    <t>FILTRO PARA HEMODIALISIS 1,9 m2 HF</t>
  </si>
  <si>
    <t>Especificidades Item N° 51:</t>
  </si>
  <si>
    <t>FILTRO PARA HEMODIALISIS 1,9 M2 HF - HEMOFILTRO D150</t>
  </si>
  <si>
    <t>Especificidades Item N° 53:</t>
  </si>
  <si>
    <t xml:space="preserve">SENSOR DE FLUJO REUTILIZABLE PARA SLE5000 MODELO N5302 </t>
  </si>
  <si>
    <t xml:space="preserve">VENDA COBAN 10CM </t>
  </si>
  <si>
    <t>VENDA COBAN 10CM TIPO 3M</t>
  </si>
  <si>
    <t>JUEGO DE TRANSDUCTOR SENCILLO T/DTX PLUS DT4812-BD MARCA EDWARDS</t>
  </si>
  <si>
    <t>RAMAS P/ RESPIRADOR ALTA FRECUENCIA (SENSOR MEDICS A3100)</t>
  </si>
  <si>
    <t>RAMAS P/ RESPIRADOR ALTA FRECUENCIA SLE 5000 MEDIX</t>
  </si>
  <si>
    <t>Especificidades Item N° 81:</t>
  </si>
  <si>
    <t>Especificidades Item N° 85:</t>
  </si>
  <si>
    <t>Especificidades Item N° 106:</t>
  </si>
  <si>
    <t>Costo total estimado: Once Millones Novecientos Ocho Mil Setecientos Ochenta Con 00/100.</t>
  </si>
  <si>
    <t>TOTAL DE PESOS: ONCE MILLONES NOVECIENTOS OCHO MIL SETECIENTOS OCHENTA CON 00/100.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</si>
  <si>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Compra. A  los fines de garantizar la Atención  y  el Funcionamiento Integro de los servicio de Salud  que surgen originadas principalmente en las Urgencias,  en el rol de Servicio Esencial por la situación de Pandemia Covid-19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</si>
</sst>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#,##0.00;\-&quot;$&quot;#,##0.00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6" fontId="17" fillId="0" borderId="0" applyBorder="0" applyProtection="0"/>
    <xf numFmtId="0" fontId="4" fillId="0" borderId="1" applyProtection="0"/>
    <xf numFmtId="165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63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5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7" fontId="0" fillId="0" borderId="33" xfId="3" applyNumberFormat="1" applyFont="1" applyBorder="1" applyAlignment="1" applyProtection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7" fontId="0" fillId="0" borderId="37" xfId="3" applyNumberFormat="1" applyFont="1" applyBorder="1" applyAlignment="1" applyProtection="1">
      <alignment horizontal="center" vertical="center"/>
    </xf>
    <xf numFmtId="167" fontId="16" fillId="0" borderId="38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25" fillId="0" borderId="4" xfId="0" applyFont="1" applyBorder="1"/>
    <xf numFmtId="0" fontId="18" fillId="0" borderId="5" xfId="0" applyFont="1" applyBorder="1"/>
    <xf numFmtId="0" fontId="18" fillId="0" borderId="6" xfId="0" applyFont="1" applyBorder="1"/>
    <xf numFmtId="0" fontId="18" fillId="0" borderId="7" xfId="0" applyFont="1" applyBorder="1"/>
    <xf numFmtId="0" fontId="18" fillId="0" borderId="0" xfId="0" applyFont="1" applyBorder="1"/>
    <xf numFmtId="0" fontId="18" fillId="0" borderId="8" xfId="0" applyFont="1" applyBorder="1"/>
    <xf numFmtId="167" fontId="18" fillId="0" borderId="0" xfId="0" applyNumberFormat="1" applyFont="1"/>
    <xf numFmtId="0" fontId="8" fillId="3" borderId="12" xfId="0" applyFont="1" applyFill="1" applyBorder="1" applyAlignment="1">
      <alignment horizontal="right" vertical="center"/>
    </xf>
    <xf numFmtId="0" fontId="9" fillId="4" borderId="1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4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0" fontId="7" fillId="3" borderId="4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67" fontId="7" fillId="3" borderId="2" xfId="1" applyNumberFormat="1" applyFont="1" applyFill="1" applyBorder="1" applyAlignment="1" applyProtection="1">
      <alignment horizontal="right" vertical="center" wrapText="1"/>
    </xf>
    <xf numFmtId="3" fontId="7" fillId="3" borderId="3" xfId="0" applyNumberFormat="1" applyFont="1" applyFill="1" applyBorder="1" applyAlignment="1">
      <alignment horizontal="center" vertical="center"/>
    </xf>
    <xf numFmtId="168" fontId="18" fillId="0" borderId="0" xfId="0" applyNumberFormat="1" applyFont="1"/>
    <xf numFmtId="170" fontId="23" fillId="0" borderId="0" xfId="0" applyNumberFormat="1" applyFont="1"/>
    <xf numFmtId="170" fontId="24" fillId="0" borderId="0" xfId="0" applyNumberFormat="1" applyFont="1" applyAlignment="1">
      <alignment horizontal="left" wrapText="1"/>
    </xf>
    <xf numFmtId="168" fontId="5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167" fontId="0" fillId="0" borderId="53" xfId="3" applyNumberFormat="1" applyFont="1" applyBorder="1" applyAlignment="1" applyProtection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0" fillId="0" borderId="56" xfId="0" applyBorder="1"/>
    <xf numFmtId="0" fontId="23" fillId="0" borderId="57" xfId="0" applyFont="1" applyBorder="1" applyAlignment="1">
      <alignment horizontal="center" vertical="center"/>
    </xf>
    <xf numFmtId="0" fontId="17" fillId="0" borderId="56" xfId="0" applyFont="1" applyBorder="1" applyAlignment="1">
      <alignment wrapText="1"/>
    </xf>
    <xf numFmtId="167" fontId="23" fillId="4" borderId="58" xfId="1" applyNumberFormat="1" applyFont="1" applyFill="1" applyBorder="1" applyAlignment="1" applyProtection="1">
      <alignment horizontal="right" vertical="center" wrapText="1"/>
    </xf>
    <xf numFmtId="0" fontId="24" fillId="0" borderId="56" xfId="0" applyFont="1" applyBorder="1" applyAlignment="1">
      <alignment horizontal="center" vertical="center" wrapText="1"/>
    </xf>
    <xf numFmtId="0" fontId="7" fillId="3" borderId="57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left" vertical="center"/>
    </xf>
    <xf numFmtId="3" fontId="7" fillId="3" borderId="58" xfId="0" applyNumberFormat="1" applyFont="1" applyFill="1" applyBorder="1" applyAlignment="1">
      <alignment horizontal="center" vertical="center"/>
    </xf>
    <xf numFmtId="167" fontId="7" fillId="3" borderId="56" xfId="1" applyNumberFormat="1" applyFont="1" applyFill="1" applyBorder="1" applyAlignment="1" applyProtection="1">
      <alignment horizontal="right" vertical="center" wrapText="1"/>
    </xf>
    <xf numFmtId="0" fontId="7" fillId="4" borderId="56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70" fontId="27" fillId="0" borderId="16" xfId="0" applyNumberFormat="1" applyFont="1" applyBorder="1" applyAlignment="1">
      <alignment horizontal="center" vertical="center" wrapText="1"/>
    </xf>
    <xf numFmtId="0" fontId="7" fillId="3" borderId="59" xfId="0" applyFont="1" applyFill="1" applyBorder="1" applyAlignment="1">
      <alignment horizontal="left" vertical="center"/>
    </xf>
    <xf numFmtId="0" fontId="23" fillId="0" borderId="42" xfId="0" applyFont="1" applyBorder="1" applyAlignment="1">
      <alignment horizontal="center" vertical="center"/>
    </xf>
    <xf numFmtId="0" fontId="0" fillId="0" borderId="2" xfId="0" applyBorder="1"/>
    <xf numFmtId="0" fontId="17" fillId="0" borderId="2" xfId="0" applyFont="1" applyBorder="1" applyAlignment="1">
      <alignment wrapText="1"/>
    </xf>
    <xf numFmtId="0" fontId="24" fillId="0" borderId="2" xfId="0" applyFont="1" applyBorder="1" applyAlignment="1">
      <alignment horizontal="center" vertical="center" wrapText="1"/>
    </xf>
    <xf numFmtId="167" fontId="23" fillId="4" borderId="3" xfId="1" applyNumberFormat="1" applyFont="1" applyFill="1" applyBorder="1" applyAlignment="1" applyProtection="1">
      <alignment horizontal="right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25" fillId="0" borderId="4" xfId="0" applyFont="1" applyBorder="1" applyAlignment="1">
      <alignment horizontal="left" indent="3"/>
    </xf>
    <xf numFmtId="0" fontId="25" fillId="0" borderId="7" xfId="0" applyFont="1" applyBorder="1" applyAlignment="1"/>
    <xf numFmtId="0" fontId="0" fillId="0" borderId="56" xfId="0" applyBorder="1" applyAlignment="1">
      <alignment horizontal="center" vertical="center"/>
    </xf>
    <xf numFmtId="0" fontId="29" fillId="0" borderId="60" xfId="0" applyFont="1" applyFill="1" applyBorder="1" applyAlignment="1">
      <alignment vertical="center" wrapText="1"/>
    </xf>
    <xf numFmtId="0" fontId="29" fillId="0" borderId="60" xfId="7" applyFont="1" applyFill="1" applyBorder="1" applyAlignment="1">
      <alignment vertical="center" wrapText="1"/>
    </xf>
    <xf numFmtId="0" fontId="29" fillId="0" borderId="56" xfId="0" applyFont="1" applyFill="1" applyBorder="1" applyAlignment="1">
      <alignment vertical="center" wrapText="1"/>
    </xf>
    <xf numFmtId="0" fontId="30" fillId="0" borderId="56" xfId="0" applyFont="1" applyFill="1" applyBorder="1" applyAlignment="1">
      <alignment vertical="center" wrapText="1"/>
    </xf>
    <xf numFmtId="0" fontId="29" fillId="0" borderId="56" xfId="7" applyFont="1" applyFill="1" applyBorder="1" applyAlignment="1">
      <alignment vertical="center" wrapText="1"/>
    </xf>
    <xf numFmtId="0" fontId="0" fillId="0" borderId="56" xfId="0" applyFill="1" applyBorder="1" applyAlignment="1">
      <alignment horizontal="center" vertical="center"/>
    </xf>
    <xf numFmtId="164" fontId="0" fillId="0" borderId="56" xfId="1" applyNumberFormat="1" applyFont="1" applyBorder="1" applyAlignment="1">
      <alignment horizontal="center" vertical="center"/>
    </xf>
    <xf numFmtId="164" fontId="0" fillId="0" borderId="56" xfId="1" applyNumberFormat="1" applyFont="1" applyFill="1" applyBorder="1" applyAlignment="1">
      <alignment horizontal="center" vertical="center"/>
    </xf>
    <xf numFmtId="164" fontId="0" fillId="3" borderId="56" xfId="1" applyNumberFormat="1" applyFont="1" applyFill="1" applyBorder="1" applyAlignment="1">
      <alignment horizontal="center" vertical="center"/>
    </xf>
    <xf numFmtId="0" fontId="17" fillId="0" borderId="60" xfId="0" applyFont="1" applyFill="1" applyBorder="1" applyAlignment="1">
      <alignment vertical="center" wrapText="1"/>
    </xf>
    <xf numFmtId="0" fontId="17" fillId="0" borderId="60" xfId="8" applyFont="1" applyFill="1" applyBorder="1" applyAlignment="1">
      <alignment horizontal="left" vertical="center" wrapText="1"/>
    </xf>
    <xf numFmtId="0" fontId="17" fillId="0" borderId="60" xfId="0" applyFont="1" applyFill="1" applyBorder="1" applyAlignment="1">
      <alignment horizontal="left" vertical="center" wrapText="1"/>
    </xf>
    <xf numFmtId="0" fontId="29" fillId="0" borderId="60" xfId="8" applyFont="1" applyFill="1" applyBorder="1" applyAlignment="1">
      <alignment horizontal="left" vertical="center" wrapText="1"/>
    </xf>
    <xf numFmtId="0" fontId="17" fillId="0" borderId="56" xfId="0" applyFont="1" applyFill="1" applyBorder="1" applyAlignment="1">
      <alignment vertical="center" wrapText="1"/>
    </xf>
    <xf numFmtId="0" fontId="29" fillId="0" borderId="60" xfId="8" applyFont="1" applyFill="1" applyBorder="1" applyAlignment="1">
      <alignment vertical="center"/>
    </xf>
    <xf numFmtId="0" fontId="25" fillId="0" borderId="9" xfId="0" applyFont="1" applyBorder="1" applyAlignment="1"/>
    <xf numFmtId="0" fontId="18" fillId="0" borderId="10" xfId="0" applyFont="1" applyBorder="1" applyAlignment="1">
      <alignment horizontal="center" wrapText="1"/>
    </xf>
    <xf numFmtId="0" fontId="18" fillId="0" borderId="10" xfId="0" applyFont="1" applyFill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8" fillId="0" borderId="9" xfId="0" applyFont="1" applyFill="1" applyBorder="1" applyAlignment="1">
      <alignment horizontal="left" vertical="center" wrapText="1"/>
    </xf>
    <xf numFmtId="0" fontId="18" fillId="0" borderId="10" xfId="0" applyFont="1" applyFill="1" applyBorder="1" applyAlignment="1">
      <alignment horizontal="left" vertical="center" wrapText="1"/>
    </xf>
    <xf numFmtId="0" fontId="18" fillId="0" borderId="11" xfId="0" applyFont="1" applyFill="1" applyBorder="1" applyAlignment="1">
      <alignment horizontal="left" vertical="center" wrapText="1"/>
    </xf>
    <xf numFmtId="0" fontId="19" fillId="0" borderId="0" xfId="0" applyFont="1" applyBorder="1" applyAlignment="1">
      <alignment horizontal="center"/>
    </xf>
    <xf numFmtId="0" fontId="20" fillId="0" borderId="0" xfId="0" applyFont="1" applyBorder="1" applyAlignment="1">
      <alignment horizontal="left" vertical="center" wrapText="1"/>
    </xf>
    <xf numFmtId="0" fontId="26" fillId="4" borderId="0" xfId="0" applyFont="1" applyFill="1" applyBorder="1" applyAlignment="1">
      <alignment horizontal="left" wrapText="1" indent="1"/>
    </xf>
    <xf numFmtId="0" fontId="18" fillId="4" borderId="7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8" xfId="5" applyFont="1" applyFill="1" applyBorder="1" applyAlignment="1">
      <alignment horizontal="left" wrapText="1"/>
    </xf>
    <xf numFmtId="0" fontId="7" fillId="3" borderId="56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 indent="1"/>
    </xf>
    <xf numFmtId="168" fontId="10" fillId="3" borderId="16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9" fillId="4" borderId="19" xfId="0" applyFont="1" applyFill="1" applyBorder="1" applyAlignment="1">
      <alignment horizontal="left" vertical="center" wrapText="1" indent="1"/>
    </xf>
    <xf numFmtId="0" fontId="11" fillId="3" borderId="18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left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4" fillId="4" borderId="38" xfId="0" applyFont="1" applyFill="1" applyBorder="1" applyAlignment="1">
      <alignment horizontal="left" vertical="center" wrapText="1" indent="1"/>
    </xf>
    <xf numFmtId="0" fontId="0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2" fillId="0" borderId="38" xfId="0" applyFont="1" applyBorder="1" applyAlignment="1">
      <alignment horizontal="left" vertical="center" wrapText="1"/>
    </xf>
    <xf numFmtId="0" fontId="0" fillId="0" borderId="23" xfId="0" applyBorder="1"/>
    <xf numFmtId="0" fontId="28" fillId="0" borderId="30" xfId="0" applyFont="1" applyFill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/>
    </xf>
    <xf numFmtId="0" fontId="12" fillId="0" borderId="21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0" borderId="24" xfId="0" applyFont="1" applyBorder="1"/>
    <xf numFmtId="0" fontId="14" fillId="0" borderId="25" xfId="0" applyFont="1" applyBorder="1" applyAlignment="1">
      <alignment horizontal="left" vertical="center" wrapText="1" indent="1"/>
    </xf>
    <xf numFmtId="0" fontId="16" fillId="0" borderId="23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indent="1"/>
    </xf>
    <xf numFmtId="0" fontId="15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2" fillId="0" borderId="22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0" fontId="5" fillId="0" borderId="13" xfId="0" applyFont="1" applyBorder="1"/>
  </cellXfs>
  <cellStyles count="9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3" xfId="7" xr:uid="{00000000-0005-0000-0000-000007000000}"/>
    <cellStyle name="Normal 4" xfId="8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143"/>
  <sheetViews>
    <sheetView tabSelected="1" zoomScale="93" zoomScaleNormal="93" workbookViewId="0">
      <selection activeCell="C5" sqref="C5:E5"/>
    </sheetView>
  </sheetViews>
  <sheetFormatPr baseColWidth="10" defaultColWidth="11" defaultRowHeight="12.75" x14ac:dyDescent="0.2"/>
  <cols>
    <col min="1" max="1" width="6.42578125" style="26" customWidth="1"/>
    <col min="2" max="2" width="12.5703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42578125" style="26" bestFit="1" customWidth="1"/>
    <col min="8" max="8" width="13.85546875" style="53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113" t="s">
        <v>0</v>
      </c>
      <c r="C2" s="113"/>
      <c r="D2" s="113"/>
      <c r="E2" s="113"/>
      <c r="F2" s="113"/>
      <c r="G2" s="113"/>
      <c r="H2" s="113"/>
    </row>
    <row r="3" spans="1:10" ht="12" customHeight="1" x14ac:dyDescent="0.2"/>
    <row r="4" spans="1:10" ht="21.75" customHeight="1" x14ac:dyDescent="0.25">
      <c r="A4" s="114" t="s">
        <v>1</v>
      </c>
      <c r="B4" s="114"/>
      <c r="C4" s="115" t="s">
        <v>52</v>
      </c>
      <c r="D4" s="115"/>
      <c r="E4" s="115"/>
      <c r="F4" s="27"/>
      <c r="G4" s="28"/>
      <c r="H4" s="54"/>
    </row>
    <row r="5" spans="1:10" ht="18" customHeight="1" x14ac:dyDescent="0.25">
      <c r="A5" s="114" t="s">
        <v>2</v>
      </c>
      <c r="B5" s="114"/>
      <c r="C5" s="115" t="s">
        <v>51</v>
      </c>
      <c r="D5" s="115"/>
      <c r="E5" s="115"/>
      <c r="F5" s="27"/>
      <c r="G5" s="28" t="s">
        <v>55</v>
      </c>
      <c r="H5" s="54"/>
    </row>
    <row r="6" spans="1:10" ht="16.5" customHeight="1" x14ac:dyDescent="0.25">
      <c r="A6" s="114" t="s">
        <v>3</v>
      </c>
      <c r="B6" s="114"/>
      <c r="C6" s="44">
        <v>2021</v>
      </c>
      <c r="D6" s="45"/>
      <c r="E6" s="45"/>
      <c r="F6" s="27"/>
      <c r="G6" s="28"/>
      <c r="H6" s="54"/>
    </row>
    <row r="7" spans="1:10" ht="16.5" customHeight="1" x14ac:dyDescent="0.25">
      <c r="A7" s="114" t="s">
        <v>4</v>
      </c>
      <c r="B7" s="114"/>
      <c r="C7" s="44">
        <v>2</v>
      </c>
      <c r="D7" s="45"/>
      <c r="E7" s="45"/>
      <c r="F7" s="27"/>
      <c r="G7" s="28"/>
      <c r="H7" s="54"/>
    </row>
    <row r="8" spans="1:10" ht="13.5" thickBot="1" x14ac:dyDescent="0.25">
      <c r="B8" s="27"/>
      <c r="C8" s="28"/>
      <c r="D8" s="27"/>
      <c r="E8" s="27"/>
      <c r="F8" s="27"/>
      <c r="G8" s="28"/>
      <c r="H8" s="54"/>
      <c r="J8" s="52"/>
    </row>
    <row r="9" spans="1:10" ht="36.75" thickBot="1" x14ac:dyDescent="0.25">
      <c r="A9" s="78" t="s">
        <v>5</v>
      </c>
      <c r="B9" s="78" t="s">
        <v>6</v>
      </c>
      <c r="C9" s="78" t="s">
        <v>7</v>
      </c>
      <c r="D9" s="78" t="s">
        <v>8</v>
      </c>
      <c r="E9" s="78" t="s">
        <v>9</v>
      </c>
      <c r="F9" s="78" t="s">
        <v>10</v>
      </c>
      <c r="G9" s="78" t="s">
        <v>11</v>
      </c>
      <c r="H9" s="79" t="s">
        <v>12</v>
      </c>
      <c r="I9" s="78" t="s">
        <v>13</v>
      </c>
    </row>
    <row r="10" spans="1:10" ht="25.5" x14ac:dyDescent="0.2">
      <c r="A10" s="81">
        <v>1</v>
      </c>
      <c r="B10" s="82"/>
      <c r="C10" s="83" t="s">
        <v>57</v>
      </c>
      <c r="D10" s="84">
        <v>295</v>
      </c>
      <c r="E10" s="100" t="s">
        <v>65</v>
      </c>
      <c r="F10" s="86" t="s">
        <v>58</v>
      </c>
      <c r="G10" s="90">
        <v>50</v>
      </c>
      <c r="H10" s="97">
        <v>520</v>
      </c>
      <c r="I10" s="85">
        <f>+G10*H10</f>
        <v>26000</v>
      </c>
    </row>
    <row r="11" spans="1:10" ht="25.5" x14ac:dyDescent="0.2">
      <c r="A11" s="68">
        <v>2</v>
      </c>
      <c r="B11" s="67"/>
      <c r="C11" s="69" t="s">
        <v>57</v>
      </c>
      <c r="D11" s="71">
        <v>295</v>
      </c>
      <c r="E11" s="100" t="s">
        <v>66</v>
      </c>
      <c r="F11" s="87" t="s">
        <v>58</v>
      </c>
      <c r="G11" s="90">
        <v>50</v>
      </c>
      <c r="H11" s="97">
        <v>520</v>
      </c>
      <c r="I11" s="70">
        <f t="shared" ref="I11:I117" si="0">+G11*H11</f>
        <v>26000</v>
      </c>
    </row>
    <row r="12" spans="1:10" ht="25.5" x14ac:dyDescent="0.2">
      <c r="A12" s="68">
        <v>3</v>
      </c>
      <c r="B12" s="67"/>
      <c r="C12" s="69" t="s">
        <v>57</v>
      </c>
      <c r="D12" s="71">
        <v>295</v>
      </c>
      <c r="E12" s="100" t="s">
        <v>67</v>
      </c>
      <c r="F12" s="87" t="s">
        <v>58</v>
      </c>
      <c r="G12" s="90">
        <v>50</v>
      </c>
      <c r="H12" s="97">
        <v>520</v>
      </c>
      <c r="I12" s="70">
        <f t="shared" si="0"/>
        <v>26000</v>
      </c>
    </row>
    <row r="13" spans="1:10" ht="25.5" x14ac:dyDescent="0.2">
      <c r="A13" s="68">
        <v>4</v>
      </c>
      <c r="B13" s="67"/>
      <c r="C13" s="69" t="s">
        <v>57</v>
      </c>
      <c r="D13" s="71">
        <v>295</v>
      </c>
      <c r="E13" s="101" t="s">
        <v>68</v>
      </c>
      <c r="F13" s="87" t="s">
        <v>58</v>
      </c>
      <c r="G13" s="90">
        <v>50</v>
      </c>
      <c r="H13" s="97">
        <v>520</v>
      </c>
      <c r="I13" s="70">
        <f t="shared" si="0"/>
        <v>26000</v>
      </c>
    </row>
    <row r="14" spans="1:10" ht="25.5" x14ac:dyDescent="0.2">
      <c r="A14" s="68">
        <v>5</v>
      </c>
      <c r="B14" s="67"/>
      <c r="C14" s="69" t="s">
        <v>57</v>
      </c>
      <c r="D14" s="71">
        <v>295</v>
      </c>
      <c r="E14" s="101" t="s">
        <v>69</v>
      </c>
      <c r="F14" s="87" t="s">
        <v>58</v>
      </c>
      <c r="G14" s="90">
        <v>50</v>
      </c>
      <c r="H14" s="97">
        <v>520</v>
      </c>
      <c r="I14" s="70">
        <f t="shared" si="0"/>
        <v>26000</v>
      </c>
    </row>
    <row r="15" spans="1:10" ht="25.5" x14ac:dyDescent="0.2">
      <c r="A15" s="68">
        <v>6</v>
      </c>
      <c r="B15" s="67"/>
      <c r="C15" s="69" t="s">
        <v>57</v>
      </c>
      <c r="D15" s="71">
        <v>295</v>
      </c>
      <c r="E15" s="100" t="s">
        <v>70</v>
      </c>
      <c r="F15" s="87" t="s">
        <v>58</v>
      </c>
      <c r="G15" s="90">
        <v>50</v>
      </c>
      <c r="H15" s="97">
        <v>520</v>
      </c>
      <c r="I15" s="70">
        <f t="shared" si="0"/>
        <v>26000</v>
      </c>
    </row>
    <row r="16" spans="1:10" ht="25.5" x14ac:dyDescent="0.2">
      <c r="A16" s="68">
        <v>7</v>
      </c>
      <c r="B16" s="67"/>
      <c r="C16" s="69" t="s">
        <v>57</v>
      </c>
      <c r="D16" s="71">
        <v>295</v>
      </c>
      <c r="E16" s="101" t="s">
        <v>71</v>
      </c>
      <c r="F16" s="87" t="s">
        <v>58</v>
      </c>
      <c r="G16" s="90">
        <v>50</v>
      </c>
      <c r="H16" s="97">
        <v>520</v>
      </c>
      <c r="I16" s="70">
        <f t="shared" si="0"/>
        <v>26000</v>
      </c>
    </row>
    <row r="17" spans="1:9" ht="25.5" x14ac:dyDescent="0.2">
      <c r="A17" s="68">
        <v>8</v>
      </c>
      <c r="B17" s="67"/>
      <c r="C17" s="69" t="s">
        <v>57</v>
      </c>
      <c r="D17" s="71">
        <v>295</v>
      </c>
      <c r="E17" s="101" t="s">
        <v>72</v>
      </c>
      <c r="F17" s="87" t="s">
        <v>58</v>
      </c>
      <c r="G17" s="90">
        <v>50</v>
      </c>
      <c r="H17" s="97">
        <v>520</v>
      </c>
      <c r="I17" s="70">
        <f t="shared" si="0"/>
        <v>26000</v>
      </c>
    </row>
    <row r="18" spans="1:9" ht="25.5" x14ac:dyDescent="0.2">
      <c r="A18" s="68">
        <v>9</v>
      </c>
      <c r="B18" s="67"/>
      <c r="C18" s="69" t="s">
        <v>57</v>
      </c>
      <c r="D18" s="71">
        <v>295</v>
      </c>
      <c r="E18" s="101" t="s">
        <v>73</v>
      </c>
      <c r="F18" s="87" t="s">
        <v>58</v>
      </c>
      <c r="G18" s="90">
        <v>50</v>
      </c>
      <c r="H18" s="97">
        <v>520</v>
      </c>
      <c r="I18" s="70">
        <f t="shared" si="0"/>
        <v>26000</v>
      </c>
    </row>
    <row r="19" spans="1:9" ht="25.5" x14ac:dyDescent="0.2">
      <c r="A19" s="68">
        <v>10</v>
      </c>
      <c r="B19" s="67"/>
      <c r="C19" s="69" t="s">
        <v>57</v>
      </c>
      <c r="D19" s="71">
        <v>295</v>
      </c>
      <c r="E19" s="100" t="s">
        <v>74</v>
      </c>
      <c r="F19" s="87" t="s">
        <v>58</v>
      </c>
      <c r="G19" s="90">
        <v>200</v>
      </c>
      <c r="H19" s="97">
        <v>260</v>
      </c>
      <c r="I19" s="70">
        <f t="shared" si="0"/>
        <v>52000</v>
      </c>
    </row>
    <row r="20" spans="1:9" ht="25.5" x14ac:dyDescent="0.2">
      <c r="A20" s="68">
        <v>11</v>
      </c>
      <c r="B20" s="67"/>
      <c r="C20" s="69" t="s">
        <v>57</v>
      </c>
      <c r="D20" s="71">
        <v>295</v>
      </c>
      <c r="E20" s="100" t="s">
        <v>75</v>
      </c>
      <c r="F20" s="87" t="s">
        <v>58</v>
      </c>
      <c r="G20" s="90">
        <v>50</v>
      </c>
      <c r="H20" s="97">
        <v>520</v>
      </c>
      <c r="I20" s="70">
        <f t="shared" si="0"/>
        <v>26000</v>
      </c>
    </row>
    <row r="21" spans="1:9" ht="25.5" x14ac:dyDescent="0.2">
      <c r="A21" s="68">
        <v>12</v>
      </c>
      <c r="B21" s="67"/>
      <c r="C21" s="69" t="s">
        <v>57</v>
      </c>
      <c r="D21" s="71">
        <v>295</v>
      </c>
      <c r="E21" s="100" t="s">
        <v>76</v>
      </c>
      <c r="F21" s="87" t="s">
        <v>58</v>
      </c>
      <c r="G21" s="96">
        <v>10</v>
      </c>
      <c r="H21" s="98">
        <v>3200</v>
      </c>
      <c r="I21" s="70">
        <f t="shared" si="0"/>
        <v>32000</v>
      </c>
    </row>
    <row r="22" spans="1:9" ht="25.5" x14ac:dyDescent="0.2">
      <c r="A22" s="68">
        <v>13</v>
      </c>
      <c r="B22" s="67"/>
      <c r="C22" s="69" t="s">
        <v>57</v>
      </c>
      <c r="D22" s="71">
        <v>295</v>
      </c>
      <c r="E22" s="100" t="s">
        <v>77</v>
      </c>
      <c r="F22" s="87" t="s">
        <v>58</v>
      </c>
      <c r="G22" s="90">
        <v>20</v>
      </c>
      <c r="H22" s="97">
        <v>200</v>
      </c>
      <c r="I22" s="70">
        <f t="shared" si="0"/>
        <v>4000</v>
      </c>
    </row>
    <row r="23" spans="1:9" ht="25.5" x14ac:dyDescent="0.2">
      <c r="A23" s="68">
        <v>14</v>
      </c>
      <c r="B23" s="67"/>
      <c r="C23" s="69" t="s">
        <v>57</v>
      </c>
      <c r="D23" s="71">
        <v>295</v>
      </c>
      <c r="E23" s="100" t="s">
        <v>78</v>
      </c>
      <c r="F23" s="87" t="s">
        <v>58</v>
      </c>
      <c r="G23" s="90">
        <v>20</v>
      </c>
      <c r="H23" s="97">
        <v>200</v>
      </c>
      <c r="I23" s="70">
        <f t="shared" si="0"/>
        <v>4000</v>
      </c>
    </row>
    <row r="24" spans="1:9" ht="25.5" x14ac:dyDescent="0.2">
      <c r="A24" s="68">
        <v>15</v>
      </c>
      <c r="B24" s="67"/>
      <c r="C24" s="69" t="s">
        <v>57</v>
      </c>
      <c r="D24" s="71">
        <v>295</v>
      </c>
      <c r="E24" s="102" t="s">
        <v>79</v>
      </c>
      <c r="F24" s="87" t="s">
        <v>58</v>
      </c>
      <c r="G24" s="90">
        <v>40</v>
      </c>
      <c r="H24" s="97">
        <v>325</v>
      </c>
      <c r="I24" s="70">
        <f t="shared" si="0"/>
        <v>13000</v>
      </c>
    </row>
    <row r="25" spans="1:9" ht="25.5" x14ac:dyDescent="0.2">
      <c r="A25" s="68">
        <v>16</v>
      </c>
      <c r="B25" s="67"/>
      <c r="C25" s="69" t="s">
        <v>57</v>
      </c>
      <c r="D25" s="71">
        <v>295</v>
      </c>
      <c r="E25" s="100" t="s">
        <v>80</v>
      </c>
      <c r="F25" s="87" t="s">
        <v>58</v>
      </c>
      <c r="G25" s="90">
        <v>50</v>
      </c>
      <c r="H25" s="97">
        <v>500</v>
      </c>
      <c r="I25" s="70">
        <f t="shared" si="0"/>
        <v>25000</v>
      </c>
    </row>
    <row r="26" spans="1:9" ht="25.5" x14ac:dyDescent="0.2">
      <c r="A26" s="68">
        <v>17</v>
      </c>
      <c r="B26" s="67"/>
      <c r="C26" s="69" t="s">
        <v>57</v>
      </c>
      <c r="D26" s="71">
        <v>295</v>
      </c>
      <c r="E26" s="100" t="s">
        <v>81</v>
      </c>
      <c r="F26" s="87" t="s">
        <v>58</v>
      </c>
      <c r="G26" s="90">
        <v>50</v>
      </c>
      <c r="H26" s="97">
        <v>500</v>
      </c>
      <c r="I26" s="70">
        <f t="shared" si="0"/>
        <v>25000</v>
      </c>
    </row>
    <row r="27" spans="1:9" ht="25.5" x14ac:dyDescent="0.2">
      <c r="A27" s="68">
        <v>18</v>
      </c>
      <c r="B27" s="67"/>
      <c r="C27" s="69" t="s">
        <v>57</v>
      </c>
      <c r="D27" s="71">
        <v>295</v>
      </c>
      <c r="E27" s="100" t="s">
        <v>82</v>
      </c>
      <c r="F27" s="87" t="s">
        <v>58</v>
      </c>
      <c r="G27" s="90">
        <v>50</v>
      </c>
      <c r="H27" s="97">
        <v>500</v>
      </c>
      <c r="I27" s="70">
        <f t="shared" si="0"/>
        <v>25000</v>
      </c>
    </row>
    <row r="28" spans="1:9" ht="25.5" x14ac:dyDescent="0.2">
      <c r="A28" s="68">
        <v>19</v>
      </c>
      <c r="B28" s="67"/>
      <c r="C28" s="69" t="s">
        <v>57</v>
      </c>
      <c r="D28" s="71">
        <v>295</v>
      </c>
      <c r="E28" s="100" t="s">
        <v>83</v>
      </c>
      <c r="F28" s="87" t="s">
        <v>58</v>
      </c>
      <c r="G28" s="90">
        <v>50</v>
      </c>
      <c r="H28" s="97">
        <v>500</v>
      </c>
      <c r="I28" s="70">
        <f t="shared" si="0"/>
        <v>25000</v>
      </c>
    </row>
    <row r="29" spans="1:9" ht="25.5" x14ac:dyDescent="0.2">
      <c r="A29" s="68">
        <v>20</v>
      </c>
      <c r="B29" s="67"/>
      <c r="C29" s="69" t="s">
        <v>57</v>
      </c>
      <c r="D29" s="71">
        <v>295</v>
      </c>
      <c r="E29" s="100" t="s">
        <v>84</v>
      </c>
      <c r="F29" s="87" t="s">
        <v>58</v>
      </c>
      <c r="G29" s="90">
        <v>50</v>
      </c>
      <c r="H29" s="97">
        <v>500</v>
      </c>
      <c r="I29" s="70">
        <f t="shared" si="0"/>
        <v>25000</v>
      </c>
    </row>
    <row r="30" spans="1:9" ht="25.5" x14ac:dyDescent="0.2">
      <c r="A30" s="68">
        <v>21</v>
      </c>
      <c r="B30" s="67"/>
      <c r="C30" s="69" t="s">
        <v>57</v>
      </c>
      <c r="D30" s="71">
        <v>295</v>
      </c>
      <c r="E30" s="100" t="s">
        <v>85</v>
      </c>
      <c r="F30" s="87" t="s">
        <v>58</v>
      </c>
      <c r="G30" s="90">
        <v>500</v>
      </c>
      <c r="H30" s="97">
        <v>5</v>
      </c>
      <c r="I30" s="70">
        <f t="shared" si="0"/>
        <v>2500</v>
      </c>
    </row>
    <row r="31" spans="1:9" ht="25.5" x14ac:dyDescent="0.2">
      <c r="A31" s="68">
        <v>22</v>
      </c>
      <c r="B31" s="67"/>
      <c r="C31" s="69" t="s">
        <v>57</v>
      </c>
      <c r="D31" s="71">
        <v>295</v>
      </c>
      <c r="E31" s="100" t="s">
        <v>86</v>
      </c>
      <c r="F31" s="87" t="s">
        <v>58</v>
      </c>
      <c r="G31" s="90">
        <v>100</v>
      </c>
      <c r="H31" s="97">
        <v>391</v>
      </c>
      <c r="I31" s="70">
        <f t="shared" si="0"/>
        <v>39100</v>
      </c>
    </row>
    <row r="32" spans="1:9" ht="25.5" x14ac:dyDescent="0.2">
      <c r="A32" s="68">
        <v>23</v>
      </c>
      <c r="B32" s="67"/>
      <c r="C32" s="69" t="s">
        <v>57</v>
      </c>
      <c r="D32" s="71">
        <v>295</v>
      </c>
      <c r="E32" s="100" t="s">
        <v>87</v>
      </c>
      <c r="F32" s="87" t="s">
        <v>58</v>
      </c>
      <c r="G32" s="90">
        <v>210</v>
      </c>
      <c r="H32" s="97">
        <v>391</v>
      </c>
      <c r="I32" s="70">
        <f t="shared" si="0"/>
        <v>82110</v>
      </c>
    </row>
    <row r="33" spans="1:9" ht="25.5" x14ac:dyDescent="0.2">
      <c r="A33" s="68">
        <v>24</v>
      </c>
      <c r="B33" s="67"/>
      <c r="C33" s="69" t="s">
        <v>57</v>
      </c>
      <c r="D33" s="71">
        <v>295</v>
      </c>
      <c r="E33" s="100" t="s">
        <v>88</v>
      </c>
      <c r="F33" s="87" t="s">
        <v>58</v>
      </c>
      <c r="G33" s="90">
        <v>300</v>
      </c>
      <c r="H33" s="97">
        <v>200</v>
      </c>
      <c r="I33" s="70">
        <f t="shared" si="0"/>
        <v>60000</v>
      </c>
    </row>
    <row r="34" spans="1:9" ht="25.5" x14ac:dyDescent="0.2">
      <c r="A34" s="68">
        <v>25</v>
      </c>
      <c r="B34" s="67"/>
      <c r="C34" s="69" t="s">
        <v>57</v>
      </c>
      <c r="D34" s="71">
        <v>295</v>
      </c>
      <c r="E34" s="91" t="s">
        <v>89</v>
      </c>
      <c r="F34" s="87" t="s">
        <v>58</v>
      </c>
      <c r="G34" s="90">
        <v>400</v>
      </c>
      <c r="H34" s="97">
        <v>4100</v>
      </c>
      <c r="I34" s="70">
        <f t="shared" si="0"/>
        <v>1640000</v>
      </c>
    </row>
    <row r="35" spans="1:9" ht="25.5" x14ac:dyDescent="0.2">
      <c r="A35" s="68">
        <v>26</v>
      </c>
      <c r="B35" s="67"/>
      <c r="C35" s="69" t="s">
        <v>57</v>
      </c>
      <c r="D35" s="71">
        <v>295</v>
      </c>
      <c r="E35" s="103" t="s">
        <v>90</v>
      </c>
      <c r="F35" s="87" t="s">
        <v>58</v>
      </c>
      <c r="G35" s="90">
        <v>20</v>
      </c>
      <c r="H35" s="97">
        <v>250</v>
      </c>
      <c r="I35" s="70">
        <f t="shared" si="0"/>
        <v>5000</v>
      </c>
    </row>
    <row r="36" spans="1:9" ht="25.5" x14ac:dyDescent="0.2">
      <c r="A36" s="68">
        <v>27</v>
      </c>
      <c r="B36" s="67"/>
      <c r="C36" s="69" t="s">
        <v>57</v>
      </c>
      <c r="D36" s="71">
        <v>295</v>
      </c>
      <c r="E36" s="92" t="s">
        <v>91</v>
      </c>
      <c r="F36" s="87" t="s">
        <v>58</v>
      </c>
      <c r="G36" s="90">
        <v>10</v>
      </c>
      <c r="H36" s="97">
        <v>3090</v>
      </c>
      <c r="I36" s="70">
        <f t="shared" si="0"/>
        <v>30900</v>
      </c>
    </row>
    <row r="37" spans="1:9" ht="25.5" x14ac:dyDescent="0.2">
      <c r="A37" s="68">
        <v>28</v>
      </c>
      <c r="B37" s="67"/>
      <c r="C37" s="69" t="s">
        <v>57</v>
      </c>
      <c r="D37" s="71">
        <v>295</v>
      </c>
      <c r="E37" s="92" t="s">
        <v>92</v>
      </c>
      <c r="F37" s="87" t="s">
        <v>58</v>
      </c>
      <c r="G37" s="90">
        <v>10</v>
      </c>
      <c r="H37" s="97">
        <v>3090</v>
      </c>
      <c r="I37" s="70">
        <f t="shared" si="0"/>
        <v>30900</v>
      </c>
    </row>
    <row r="38" spans="1:9" ht="25.5" x14ac:dyDescent="0.2">
      <c r="A38" s="68">
        <v>29</v>
      </c>
      <c r="B38" s="67"/>
      <c r="C38" s="69" t="s">
        <v>57</v>
      </c>
      <c r="D38" s="71">
        <v>295</v>
      </c>
      <c r="E38" s="92" t="s">
        <v>93</v>
      </c>
      <c r="F38" s="87" t="s">
        <v>58</v>
      </c>
      <c r="G38" s="90">
        <v>10</v>
      </c>
      <c r="H38" s="97">
        <v>3090</v>
      </c>
      <c r="I38" s="70">
        <f t="shared" si="0"/>
        <v>30900</v>
      </c>
    </row>
    <row r="39" spans="1:9" ht="25.5" x14ac:dyDescent="0.2">
      <c r="A39" s="68">
        <v>30</v>
      </c>
      <c r="B39" s="67"/>
      <c r="C39" s="69" t="s">
        <v>57</v>
      </c>
      <c r="D39" s="71">
        <v>295</v>
      </c>
      <c r="E39" s="92" t="s">
        <v>94</v>
      </c>
      <c r="F39" s="87" t="s">
        <v>58</v>
      </c>
      <c r="G39" s="90">
        <v>10</v>
      </c>
      <c r="H39" s="97">
        <v>3090</v>
      </c>
      <c r="I39" s="70">
        <f t="shared" si="0"/>
        <v>30900</v>
      </c>
    </row>
    <row r="40" spans="1:9" ht="25.5" x14ac:dyDescent="0.2">
      <c r="A40" s="68">
        <v>31</v>
      </c>
      <c r="B40" s="67"/>
      <c r="C40" s="69" t="s">
        <v>57</v>
      </c>
      <c r="D40" s="71">
        <v>295</v>
      </c>
      <c r="E40" s="92" t="s">
        <v>95</v>
      </c>
      <c r="F40" s="87" t="s">
        <v>58</v>
      </c>
      <c r="G40" s="90">
        <v>10</v>
      </c>
      <c r="H40" s="97">
        <v>3090</v>
      </c>
      <c r="I40" s="70">
        <f t="shared" si="0"/>
        <v>30900</v>
      </c>
    </row>
    <row r="41" spans="1:9" ht="25.5" x14ac:dyDescent="0.2">
      <c r="A41" s="68">
        <v>32</v>
      </c>
      <c r="B41" s="67"/>
      <c r="C41" s="69" t="s">
        <v>57</v>
      </c>
      <c r="D41" s="71">
        <v>295</v>
      </c>
      <c r="E41" s="92" t="s">
        <v>96</v>
      </c>
      <c r="F41" s="87" t="s">
        <v>58</v>
      </c>
      <c r="G41" s="90">
        <v>10</v>
      </c>
      <c r="H41" s="97">
        <v>3090</v>
      </c>
      <c r="I41" s="70">
        <f t="shared" si="0"/>
        <v>30900</v>
      </c>
    </row>
    <row r="42" spans="1:9" ht="25.5" x14ac:dyDescent="0.2">
      <c r="A42" s="68">
        <v>33</v>
      </c>
      <c r="B42" s="67"/>
      <c r="C42" s="69" t="s">
        <v>57</v>
      </c>
      <c r="D42" s="71">
        <v>295</v>
      </c>
      <c r="E42" s="92" t="s">
        <v>97</v>
      </c>
      <c r="F42" s="87" t="s">
        <v>58</v>
      </c>
      <c r="G42" s="90">
        <v>10</v>
      </c>
      <c r="H42" s="97">
        <v>3090</v>
      </c>
      <c r="I42" s="70">
        <f t="shared" si="0"/>
        <v>30900</v>
      </c>
    </row>
    <row r="43" spans="1:9" ht="25.5" x14ac:dyDescent="0.2">
      <c r="A43" s="68">
        <v>34</v>
      </c>
      <c r="B43" s="67"/>
      <c r="C43" s="69" t="s">
        <v>57</v>
      </c>
      <c r="D43" s="71">
        <v>295</v>
      </c>
      <c r="E43" s="92" t="s">
        <v>98</v>
      </c>
      <c r="F43" s="87" t="s">
        <v>58</v>
      </c>
      <c r="G43" s="90">
        <v>10</v>
      </c>
      <c r="H43" s="97">
        <v>3090</v>
      </c>
      <c r="I43" s="70">
        <f t="shared" si="0"/>
        <v>30900</v>
      </c>
    </row>
    <row r="44" spans="1:9" ht="25.5" x14ac:dyDescent="0.2">
      <c r="A44" s="68">
        <v>35</v>
      </c>
      <c r="B44" s="67"/>
      <c r="C44" s="69" t="s">
        <v>57</v>
      </c>
      <c r="D44" s="71">
        <v>295</v>
      </c>
      <c r="E44" s="91" t="s">
        <v>99</v>
      </c>
      <c r="F44" s="87" t="s">
        <v>58</v>
      </c>
      <c r="G44" s="90">
        <v>400</v>
      </c>
      <c r="H44" s="97">
        <v>3000</v>
      </c>
      <c r="I44" s="70">
        <f t="shared" si="0"/>
        <v>1200000</v>
      </c>
    </row>
    <row r="45" spans="1:9" ht="25.5" x14ac:dyDescent="0.2">
      <c r="A45" s="68">
        <v>36</v>
      </c>
      <c r="B45" s="67"/>
      <c r="C45" s="69" t="s">
        <v>57</v>
      </c>
      <c r="D45" s="71">
        <v>295</v>
      </c>
      <c r="E45" s="100" t="s">
        <v>100</v>
      </c>
      <c r="F45" s="87" t="s">
        <v>58</v>
      </c>
      <c r="G45" s="90">
        <v>3000</v>
      </c>
      <c r="H45" s="97">
        <v>150</v>
      </c>
      <c r="I45" s="70">
        <f t="shared" si="0"/>
        <v>450000</v>
      </c>
    </row>
    <row r="46" spans="1:9" ht="25.5" x14ac:dyDescent="0.2">
      <c r="A46" s="68">
        <v>37</v>
      </c>
      <c r="B46" s="67"/>
      <c r="C46" s="69" t="s">
        <v>57</v>
      </c>
      <c r="D46" s="71">
        <v>295</v>
      </c>
      <c r="E46" s="92" t="s">
        <v>101</v>
      </c>
      <c r="F46" s="87" t="s">
        <v>58</v>
      </c>
      <c r="G46" s="90">
        <v>4</v>
      </c>
      <c r="H46" s="97">
        <v>2000</v>
      </c>
      <c r="I46" s="70">
        <f t="shared" si="0"/>
        <v>8000</v>
      </c>
    </row>
    <row r="47" spans="1:9" ht="25.5" x14ac:dyDescent="0.2">
      <c r="A47" s="68">
        <v>38</v>
      </c>
      <c r="B47" s="67"/>
      <c r="C47" s="69" t="s">
        <v>57</v>
      </c>
      <c r="D47" s="71">
        <v>295</v>
      </c>
      <c r="E47" s="92" t="s">
        <v>102</v>
      </c>
      <c r="F47" s="87" t="s">
        <v>58</v>
      </c>
      <c r="G47" s="90">
        <v>4</v>
      </c>
      <c r="H47" s="97">
        <v>2000</v>
      </c>
      <c r="I47" s="70">
        <f t="shared" si="0"/>
        <v>8000</v>
      </c>
    </row>
    <row r="48" spans="1:9" ht="25.5" x14ac:dyDescent="0.2">
      <c r="A48" s="68">
        <v>39</v>
      </c>
      <c r="B48" s="67"/>
      <c r="C48" s="69" t="s">
        <v>57</v>
      </c>
      <c r="D48" s="71">
        <v>295</v>
      </c>
      <c r="E48" s="92" t="s">
        <v>103</v>
      </c>
      <c r="F48" s="87" t="s">
        <v>58</v>
      </c>
      <c r="G48" s="90">
        <v>4</v>
      </c>
      <c r="H48" s="97">
        <v>2000</v>
      </c>
      <c r="I48" s="70">
        <f t="shared" si="0"/>
        <v>8000</v>
      </c>
    </row>
    <row r="49" spans="1:9" ht="25.5" x14ac:dyDescent="0.2">
      <c r="A49" s="68">
        <v>40</v>
      </c>
      <c r="B49" s="67"/>
      <c r="C49" s="69" t="s">
        <v>57</v>
      </c>
      <c r="D49" s="71">
        <v>295</v>
      </c>
      <c r="E49" s="92" t="s">
        <v>104</v>
      </c>
      <c r="F49" s="87" t="s">
        <v>58</v>
      </c>
      <c r="G49" s="90">
        <v>4</v>
      </c>
      <c r="H49" s="97">
        <v>2000</v>
      </c>
      <c r="I49" s="70">
        <f t="shared" si="0"/>
        <v>8000</v>
      </c>
    </row>
    <row r="50" spans="1:9" ht="25.5" x14ac:dyDescent="0.2">
      <c r="A50" s="68">
        <v>41</v>
      </c>
      <c r="B50" s="67"/>
      <c r="C50" s="69" t="s">
        <v>57</v>
      </c>
      <c r="D50" s="71">
        <v>295</v>
      </c>
      <c r="E50" s="100" t="s">
        <v>105</v>
      </c>
      <c r="F50" s="87" t="s">
        <v>58</v>
      </c>
      <c r="G50" s="90">
        <v>2000</v>
      </c>
      <c r="H50" s="97">
        <v>60</v>
      </c>
      <c r="I50" s="70">
        <f t="shared" si="0"/>
        <v>120000</v>
      </c>
    </row>
    <row r="51" spans="1:9" ht="25.5" x14ac:dyDescent="0.2">
      <c r="A51" s="68">
        <v>42</v>
      </c>
      <c r="B51" s="67"/>
      <c r="C51" s="69" t="s">
        <v>57</v>
      </c>
      <c r="D51" s="71">
        <v>295</v>
      </c>
      <c r="E51" s="100" t="s">
        <v>106</v>
      </c>
      <c r="F51" s="87" t="s">
        <v>58</v>
      </c>
      <c r="G51" s="90">
        <v>200</v>
      </c>
      <c r="H51" s="97">
        <v>909</v>
      </c>
      <c r="I51" s="70">
        <f t="shared" si="0"/>
        <v>181800</v>
      </c>
    </row>
    <row r="52" spans="1:9" ht="25.5" x14ac:dyDescent="0.2">
      <c r="A52" s="68">
        <v>43</v>
      </c>
      <c r="B52" s="67"/>
      <c r="C52" s="69" t="s">
        <v>57</v>
      </c>
      <c r="D52" s="71">
        <v>295</v>
      </c>
      <c r="E52" s="103" t="s">
        <v>107</v>
      </c>
      <c r="F52" s="87" t="s">
        <v>58</v>
      </c>
      <c r="G52" s="90">
        <v>10</v>
      </c>
      <c r="H52" s="97">
        <v>1160</v>
      </c>
      <c r="I52" s="70">
        <f t="shared" si="0"/>
        <v>11600</v>
      </c>
    </row>
    <row r="53" spans="1:9" ht="25.5" x14ac:dyDescent="0.2">
      <c r="A53" s="68">
        <v>44</v>
      </c>
      <c r="B53" s="67"/>
      <c r="C53" s="69" t="s">
        <v>57</v>
      </c>
      <c r="D53" s="71">
        <v>295</v>
      </c>
      <c r="E53" s="103" t="s">
        <v>108</v>
      </c>
      <c r="F53" s="87" t="s">
        <v>58</v>
      </c>
      <c r="G53" s="90">
        <v>10</v>
      </c>
      <c r="H53" s="97">
        <v>1160</v>
      </c>
      <c r="I53" s="70">
        <f t="shared" si="0"/>
        <v>11600</v>
      </c>
    </row>
    <row r="54" spans="1:9" ht="25.5" x14ac:dyDescent="0.2">
      <c r="A54" s="68">
        <v>45</v>
      </c>
      <c r="B54" s="67"/>
      <c r="C54" s="69" t="s">
        <v>57</v>
      </c>
      <c r="D54" s="71">
        <v>295</v>
      </c>
      <c r="E54" s="103" t="s">
        <v>109</v>
      </c>
      <c r="F54" s="87" t="s">
        <v>58</v>
      </c>
      <c r="G54" s="90">
        <v>10</v>
      </c>
      <c r="H54" s="97">
        <v>1160</v>
      </c>
      <c r="I54" s="70">
        <f t="shared" si="0"/>
        <v>11600</v>
      </c>
    </row>
    <row r="55" spans="1:9" ht="25.5" x14ac:dyDescent="0.2">
      <c r="A55" s="68">
        <v>46</v>
      </c>
      <c r="B55" s="67"/>
      <c r="C55" s="69" t="s">
        <v>57</v>
      </c>
      <c r="D55" s="71">
        <v>295</v>
      </c>
      <c r="E55" s="103" t="s">
        <v>110</v>
      </c>
      <c r="F55" s="87" t="s">
        <v>58</v>
      </c>
      <c r="G55" s="90">
        <v>10</v>
      </c>
      <c r="H55" s="97">
        <v>1160</v>
      </c>
      <c r="I55" s="70">
        <f t="shared" si="0"/>
        <v>11600</v>
      </c>
    </row>
    <row r="56" spans="1:9" ht="25.5" x14ac:dyDescent="0.2">
      <c r="A56" s="68">
        <v>47</v>
      </c>
      <c r="B56" s="67"/>
      <c r="C56" s="69" t="s">
        <v>57</v>
      </c>
      <c r="D56" s="71">
        <v>295</v>
      </c>
      <c r="E56" s="91" t="s">
        <v>111</v>
      </c>
      <c r="F56" s="87" t="s">
        <v>58</v>
      </c>
      <c r="G56" s="90">
        <v>50</v>
      </c>
      <c r="H56" s="97">
        <v>1300</v>
      </c>
      <c r="I56" s="70">
        <f t="shared" si="0"/>
        <v>65000</v>
      </c>
    </row>
    <row r="57" spans="1:9" ht="25.5" x14ac:dyDescent="0.2">
      <c r="A57" s="68">
        <v>48</v>
      </c>
      <c r="B57" s="67"/>
      <c r="C57" s="69" t="s">
        <v>57</v>
      </c>
      <c r="D57" s="71">
        <v>295</v>
      </c>
      <c r="E57" s="92" t="s">
        <v>112</v>
      </c>
      <c r="F57" s="87" t="s">
        <v>58</v>
      </c>
      <c r="G57" s="90">
        <v>40</v>
      </c>
      <c r="H57" s="97">
        <v>1300</v>
      </c>
      <c r="I57" s="70">
        <f t="shared" si="0"/>
        <v>52000</v>
      </c>
    </row>
    <row r="58" spans="1:9" ht="25.5" x14ac:dyDescent="0.2">
      <c r="A58" s="68">
        <v>49</v>
      </c>
      <c r="B58" s="67"/>
      <c r="C58" s="69" t="s">
        <v>57</v>
      </c>
      <c r="D58" s="71">
        <v>295</v>
      </c>
      <c r="E58" s="100" t="s">
        <v>113</v>
      </c>
      <c r="F58" s="87" t="s">
        <v>58</v>
      </c>
      <c r="G58" s="90">
        <v>1000</v>
      </c>
      <c r="H58" s="97">
        <v>245</v>
      </c>
      <c r="I58" s="70">
        <f t="shared" si="0"/>
        <v>245000</v>
      </c>
    </row>
    <row r="59" spans="1:9" ht="25.5" x14ac:dyDescent="0.2">
      <c r="A59" s="68">
        <v>50</v>
      </c>
      <c r="B59" s="67"/>
      <c r="C59" s="69" t="s">
        <v>57</v>
      </c>
      <c r="D59" s="71">
        <v>295</v>
      </c>
      <c r="E59" s="100" t="s">
        <v>114</v>
      </c>
      <c r="F59" s="87" t="s">
        <v>58</v>
      </c>
      <c r="G59" s="87">
        <v>1500</v>
      </c>
      <c r="H59" s="99">
        <v>245</v>
      </c>
      <c r="I59" s="70">
        <f t="shared" si="0"/>
        <v>367500</v>
      </c>
    </row>
    <row r="60" spans="1:9" ht="25.5" x14ac:dyDescent="0.2">
      <c r="A60" s="68">
        <v>51</v>
      </c>
      <c r="B60" s="67"/>
      <c r="C60" s="69" t="s">
        <v>57</v>
      </c>
      <c r="D60" s="71">
        <v>295</v>
      </c>
      <c r="E60" s="105" t="s">
        <v>173</v>
      </c>
      <c r="F60" s="87" t="s">
        <v>58</v>
      </c>
      <c r="G60" s="87">
        <v>100</v>
      </c>
      <c r="H60" s="99">
        <v>750</v>
      </c>
      <c r="I60" s="70">
        <f t="shared" si="0"/>
        <v>75000</v>
      </c>
    </row>
    <row r="61" spans="1:9" ht="25.5" x14ac:dyDescent="0.2">
      <c r="A61" s="68">
        <v>52</v>
      </c>
      <c r="B61" s="67"/>
      <c r="C61" s="69" t="s">
        <v>57</v>
      </c>
      <c r="D61" s="71">
        <v>295</v>
      </c>
      <c r="E61" s="104" t="s">
        <v>115</v>
      </c>
      <c r="F61" s="87" t="s">
        <v>58</v>
      </c>
      <c r="G61" s="90">
        <v>2</v>
      </c>
      <c r="H61" s="97">
        <v>25600</v>
      </c>
      <c r="I61" s="70">
        <f t="shared" si="0"/>
        <v>51200</v>
      </c>
    </row>
    <row r="62" spans="1:9" ht="25.5" x14ac:dyDescent="0.2">
      <c r="A62" s="68">
        <v>53</v>
      </c>
      <c r="B62" s="67"/>
      <c r="C62" s="69" t="s">
        <v>57</v>
      </c>
      <c r="D62" s="71">
        <v>295</v>
      </c>
      <c r="E62" s="104" t="s">
        <v>116</v>
      </c>
      <c r="F62" s="87" t="s">
        <v>58</v>
      </c>
      <c r="G62" s="90">
        <v>30</v>
      </c>
      <c r="H62" s="97">
        <v>3100</v>
      </c>
      <c r="I62" s="70">
        <f t="shared" si="0"/>
        <v>93000</v>
      </c>
    </row>
    <row r="63" spans="1:9" ht="25.5" x14ac:dyDescent="0.2">
      <c r="A63" s="68">
        <v>54</v>
      </c>
      <c r="B63" s="67"/>
      <c r="C63" s="69" t="s">
        <v>57</v>
      </c>
      <c r="D63" s="71">
        <v>295</v>
      </c>
      <c r="E63" s="95" t="s">
        <v>117</v>
      </c>
      <c r="F63" s="87" t="s">
        <v>58</v>
      </c>
      <c r="G63" s="90">
        <v>4</v>
      </c>
      <c r="H63" s="97">
        <v>2600</v>
      </c>
      <c r="I63" s="70">
        <f t="shared" si="0"/>
        <v>10400</v>
      </c>
    </row>
    <row r="64" spans="1:9" ht="25.5" x14ac:dyDescent="0.2">
      <c r="A64" s="68">
        <v>55</v>
      </c>
      <c r="B64" s="67"/>
      <c r="C64" s="69" t="s">
        <v>57</v>
      </c>
      <c r="D64" s="71">
        <v>295</v>
      </c>
      <c r="E64" s="104" t="s">
        <v>118</v>
      </c>
      <c r="F64" s="87" t="s">
        <v>58</v>
      </c>
      <c r="G64" s="90">
        <v>50</v>
      </c>
      <c r="H64" s="97">
        <v>390</v>
      </c>
      <c r="I64" s="70">
        <f t="shared" si="0"/>
        <v>19500</v>
      </c>
    </row>
    <row r="65" spans="1:9" ht="25.5" x14ac:dyDescent="0.2">
      <c r="A65" s="68">
        <v>56</v>
      </c>
      <c r="B65" s="67"/>
      <c r="C65" s="69" t="s">
        <v>57</v>
      </c>
      <c r="D65" s="71">
        <v>295</v>
      </c>
      <c r="E65" s="104" t="s">
        <v>119</v>
      </c>
      <c r="F65" s="87" t="s">
        <v>58</v>
      </c>
      <c r="G65" s="90">
        <v>50</v>
      </c>
      <c r="H65" s="97">
        <v>650</v>
      </c>
      <c r="I65" s="70">
        <f t="shared" si="0"/>
        <v>32500</v>
      </c>
    </row>
    <row r="66" spans="1:9" ht="25.5" x14ac:dyDescent="0.2">
      <c r="A66" s="68">
        <v>57</v>
      </c>
      <c r="B66" s="67"/>
      <c r="C66" s="69" t="s">
        <v>57</v>
      </c>
      <c r="D66" s="71">
        <v>295</v>
      </c>
      <c r="E66" s="104" t="s">
        <v>120</v>
      </c>
      <c r="F66" s="87" t="s">
        <v>58</v>
      </c>
      <c r="G66" s="90">
        <v>10</v>
      </c>
      <c r="H66" s="97">
        <v>650</v>
      </c>
      <c r="I66" s="70">
        <f t="shared" si="0"/>
        <v>6500</v>
      </c>
    </row>
    <row r="67" spans="1:9" ht="25.5" x14ac:dyDescent="0.2">
      <c r="A67" s="68">
        <v>58</v>
      </c>
      <c r="B67" s="67"/>
      <c r="C67" s="69" t="s">
        <v>57</v>
      </c>
      <c r="D67" s="71">
        <v>295</v>
      </c>
      <c r="E67" s="95" t="s">
        <v>121</v>
      </c>
      <c r="F67" s="87" t="s">
        <v>58</v>
      </c>
      <c r="G67" s="90">
        <v>10</v>
      </c>
      <c r="H67" s="97">
        <v>1643</v>
      </c>
      <c r="I67" s="70">
        <f t="shared" si="0"/>
        <v>16430</v>
      </c>
    </row>
    <row r="68" spans="1:9" ht="25.5" x14ac:dyDescent="0.2">
      <c r="A68" s="68">
        <v>59</v>
      </c>
      <c r="B68" s="67"/>
      <c r="C68" s="69" t="s">
        <v>57</v>
      </c>
      <c r="D68" s="71">
        <v>295</v>
      </c>
      <c r="E68" s="95" t="s">
        <v>122</v>
      </c>
      <c r="F68" s="87" t="s">
        <v>58</v>
      </c>
      <c r="G68" s="90">
        <v>10</v>
      </c>
      <c r="H68" s="97">
        <v>1643</v>
      </c>
      <c r="I68" s="70">
        <f t="shared" si="0"/>
        <v>16430</v>
      </c>
    </row>
    <row r="69" spans="1:9" ht="25.5" x14ac:dyDescent="0.2">
      <c r="A69" s="68">
        <v>60</v>
      </c>
      <c r="B69" s="67"/>
      <c r="C69" s="69" t="s">
        <v>57</v>
      </c>
      <c r="D69" s="71">
        <v>295</v>
      </c>
      <c r="E69" s="95" t="s">
        <v>123</v>
      </c>
      <c r="F69" s="87" t="s">
        <v>58</v>
      </c>
      <c r="G69" s="90">
        <v>10</v>
      </c>
      <c r="H69" s="97">
        <v>1643</v>
      </c>
      <c r="I69" s="70">
        <f t="shared" si="0"/>
        <v>16430</v>
      </c>
    </row>
    <row r="70" spans="1:9" ht="25.5" x14ac:dyDescent="0.2">
      <c r="A70" s="68">
        <v>61</v>
      </c>
      <c r="B70" s="67"/>
      <c r="C70" s="69" t="s">
        <v>57</v>
      </c>
      <c r="D70" s="71">
        <v>295</v>
      </c>
      <c r="E70" s="104" t="s">
        <v>124</v>
      </c>
      <c r="F70" s="87" t="s">
        <v>58</v>
      </c>
      <c r="G70" s="90">
        <v>200</v>
      </c>
      <c r="H70" s="97">
        <v>408</v>
      </c>
      <c r="I70" s="70">
        <f t="shared" si="0"/>
        <v>81600</v>
      </c>
    </row>
    <row r="71" spans="1:9" ht="25.5" x14ac:dyDescent="0.2">
      <c r="A71" s="68">
        <v>62</v>
      </c>
      <c r="B71" s="67"/>
      <c r="C71" s="69" t="s">
        <v>57</v>
      </c>
      <c r="D71" s="71">
        <v>295</v>
      </c>
      <c r="E71" s="104" t="s">
        <v>125</v>
      </c>
      <c r="F71" s="87" t="s">
        <v>58</v>
      </c>
      <c r="G71" s="90">
        <v>200</v>
      </c>
      <c r="H71" s="97">
        <v>408</v>
      </c>
      <c r="I71" s="70">
        <f t="shared" si="0"/>
        <v>81600</v>
      </c>
    </row>
    <row r="72" spans="1:9" ht="25.5" x14ac:dyDescent="0.2">
      <c r="A72" s="68">
        <v>63</v>
      </c>
      <c r="B72" s="67"/>
      <c r="C72" s="69" t="s">
        <v>57</v>
      </c>
      <c r="D72" s="71">
        <v>295</v>
      </c>
      <c r="E72" s="104" t="s">
        <v>126</v>
      </c>
      <c r="F72" s="87" t="s">
        <v>58</v>
      </c>
      <c r="G72" s="90">
        <v>200</v>
      </c>
      <c r="H72" s="97">
        <v>408</v>
      </c>
      <c r="I72" s="70">
        <f t="shared" si="0"/>
        <v>81600</v>
      </c>
    </row>
    <row r="73" spans="1:9" ht="25.5" x14ac:dyDescent="0.2">
      <c r="A73" s="68">
        <v>64</v>
      </c>
      <c r="B73" s="67"/>
      <c r="C73" s="69" t="s">
        <v>57</v>
      </c>
      <c r="D73" s="71">
        <v>295</v>
      </c>
      <c r="E73" s="104" t="s">
        <v>127</v>
      </c>
      <c r="F73" s="87" t="s">
        <v>58</v>
      </c>
      <c r="G73" s="90">
        <v>200</v>
      </c>
      <c r="H73" s="97">
        <v>408</v>
      </c>
      <c r="I73" s="70">
        <f t="shared" si="0"/>
        <v>81600</v>
      </c>
    </row>
    <row r="74" spans="1:9" ht="25.5" x14ac:dyDescent="0.2">
      <c r="A74" s="68">
        <v>65</v>
      </c>
      <c r="B74" s="67"/>
      <c r="C74" s="69" t="s">
        <v>57</v>
      </c>
      <c r="D74" s="71">
        <v>295</v>
      </c>
      <c r="E74" s="93" t="s">
        <v>128</v>
      </c>
      <c r="F74" s="87" t="s">
        <v>58</v>
      </c>
      <c r="G74" s="90">
        <v>100</v>
      </c>
      <c r="H74" s="97">
        <v>408</v>
      </c>
      <c r="I74" s="70">
        <f t="shared" si="0"/>
        <v>40800</v>
      </c>
    </row>
    <row r="75" spans="1:9" ht="25.5" x14ac:dyDescent="0.2">
      <c r="A75" s="68">
        <v>66</v>
      </c>
      <c r="B75" s="67"/>
      <c r="C75" s="69" t="s">
        <v>57</v>
      </c>
      <c r="D75" s="71">
        <v>295</v>
      </c>
      <c r="E75" s="93" t="s">
        <v>129</v>
      </c>
      <c r="F75" s="87" t="s">
        <v>58</v>
      </c>
      <c r="G75" s="90">
        <v>100</v>
      </c>
      <c r="H75" s="97">
        <v>408</v>
      </c>
      <c r="I75" s="70">
        <f t="shared" si="0"/>
        <v>40800</v>
      </c>
    </row>
    <row r="76" spans="1:9" ht="25.5" x14ac:dyDescent="0.2">
      <c r="A76" s="68">
        <v>67</v>
      </c>
      <c r="B76" s="67"/>
      <c r="C76" s="69" t="s">
        <v>57</v>
      </c>
      <c r="D76" s="71">
        <v>295</v>
      </c>
      <c r="E76" s="94" t="s">
        <v>130</v>
      </c>
      <c r="F76" s="87" t="s">
        <v>58</v>
      </c>
      <c r="G76" s="90">
        <v>100</v>
      </c>
      <c r="H76" s="97">
        <v>390</v>
      </c>
      <c r="I76" s="70">
        <f t="shared" si="0"/>
        <v>39000</v>
      </c>
    </row>
    <row r="77" spans="1:9" ht="25.5" x14ac:dyDescent="0.2">
      <c r="A77" s="68">
        <v>68</v>
      </c>
      <c r="B77" s="67"/>
      <c r="C77" s="69" t="s">
        <v>57</v>
      </c>
      <c r="D77" s="71">
        <v>295</v>
      </c>
      <c r="E77" s="94" t="s">
        <v>131</v>
      </c>
      <c r="F77" s="87" t="s">
        <v>58</v>
      </c>
      <c r="G77" s="90">
        <v>100</v>
      </c>
      <c r="H77" s="97">
        <v>390</v>
      </c>
      <c r="I77" s="70">
        <f t="shared" si="0"/>
        <v>39000</v>
      </c>
    </row>
    <row r="78" spans="1:9" ht="25.5" x14ac:dyDescent="0.2">
      <c r="A78" s="68">
        <v>69</v>
      </c>
      <c r="B78" s="67"/>
      <c r="C78" s="69" t="s">
        <v>57</v>
      </c>
      <c r="D78" s="71">
        <v>295</v>
      </c>
      <c r="E78" s="94" t="s">
        <v>132</v>
      </c>
      <c r="F78" s="87" t="s">
        <v>58</v>
      </c>
      <c r="G78" s="90">
        <v>100</v>
      </c>
      <c r="H78" s="97">
        <v>390</v>
      </c>
      <c r="I78" s="70">
        <f t="shared" si="0"/>
        <v>39000</v>
      </c>
    </row>
    <row r="79" spans="1:9" ht="25.5" x14ac:dyDescent="0.2">
      <c r="A79" s="68">
        <v>70</v>
      </c>
      <c r="B79" s="67"/>
      <c r="C79" s="69" t="s">
        <v>57</v>
      </c>
      <c r="D79" s="71">
        <v>295</v>
      </c>
      <c r="E79" s="94" t="s">
        <v>133</v>
      </c>
      <c r="F79" s="87" t="s">
        <v>58</v>
      </c>
      <c r="G79" s="90">
        <v>100</v>
      </c>
      <c r="H79" s="97">
        <v>390</v>
      </c>
      <c r="I79" s="70">
        <f t="shared" si="0"/>
        <v>39000</v>
      </c>
    </row>
    <row r="80" spans="1:9" ht="25.5" x14ac:dyDescent="0.2">
      <c r="A80" s="68">
        <v>71</v>
      </c>
      <c r="B80" s="67"/>
      <c r="C80" s="69" t="s">
        <v>57</v>
      </c>
      <c r="D80" s="71">
        <v>295</v>
      </c>
      <c r="E80" s="94" t="s">
        <v>134</v>
      </c>
      <c r="F80" s="87" t="s">
        <v>58</v>
      </c>
      <c r="G80" s="90">
        <v>50</v>
      </c>
      <c r="H80" s="97">
        <v>2000</v>
      </c>
      <c r="I80" s="70">
        <f t="shared" si="0"/>
        <v>100000</v>
      </c>
    </row>
    <row r="81" spans="1:9" ht="25.5" x14ac:dyDescent="0.2">
      <c r="A81" s="68">
        <v>72</v>
      </c>
      <c r="B81" s="67"/>
      <c r="C81" s="69" t="s">
        <v>57</v>
      </c>
      <c r="D81" s="71">
        <v>295</v>
      </c>
      <c r="E81" s="94" t="s">
        <v>135</v>
      </c>
      <c r="F81" s="87" t="s">
        <v>58</v>
      </c>
      <c r="G81" s="90">
        <v>50</v>
      </c>
      <c r="H81" s="97">
        <v>2000</v>
      </c>
      <c r="I81" s="70">
        <f t="shared" si="0"/>
        <v>100000</v>
      </c>
    </row>
    <row r="82" spans="1:9" ht="25.5" x14ac:dyDescent="0.2">
      <c r="A82" s="68">
        <v>73</v>
      </c>
      <c r="B82" s="67"/>
      <c r="C82" s="69" t="s">
        <v>57</v>
      </c>
      <c r="D82" s="71">
        <v>295</v>
      </c>
      <c r="E82" s="94" t="s">
        <v>136</v>
      </c>
      <c r="F82" s="87" t="s">
        <v>58</v>
      </c>
      <c r="G82" s="90">
        <v>50</v>
      </c>
      <c r="H82" s="97">
        <v>2000</v>
      </c>
      <c r="I82" s="70">
        <f t="shared" si="0"/>
        <v>100000</v>
      </c>
    </row>
    <row r="83" spans="1:9" ht="25.5" x14ac:dyDescent="0.2">
      <c r="A83" s="68">
        <v>74</v>
      </c>
      <c r="B83" s="67"/>
      <c r="C83" s="69" t="s">
        <v>57</v>
      </c>
      <c r="D83" s="71">
        <v>295</v>
      </c>
      <c r="E83" s="104" t="s">
        <v>137</v>
      </c>
      <c r="F83" s="87" t="s">
        <v>58</v>
      </c>
      <c r="G83" s="90">
        <v>1000</v>
      </c>
      <c r="H83" s="97">
        <v>40</v>
      </c>
      <c r="I83" s="70">
        <f t="shared" si="0"/>
        <v>40000</v>
      </c>
    </row>
    <row r="84" spans="1:9" ht="25.5" x14ac:dyDescent="0.2">
      <c r="A84" s="68">
        <v>75</v>
      </c>
      <c r="B84" s="67"/>
      <c r="C84" s="69" t="s">
        <v>57</v>
      </c>
      <c r="D84" s="71">
        <v>295</v>
      </c>
      <c r="E84" s="104" t="s">
        <v>138</v>
      </c>
      <c r="F84" s="87" t="s">
        <v>58</v>
      </c>
      <c r="G84" s="90">
        <v>1000</v>
      </c>
      <c r="H84" s="97">
        <v>40</v>
      </c>
      <c r="I84" s="70">
        <f t="shared" si="0"/>
        <v>40000</v>
      </c>
    </row>
    <row r="85" spans="1:9" ht="25.5" x14ac:dyDescent="0.2">
      <c r="A85" s="68">
        <v>76</v>
      </c>
      <c r="B85" s="67"/>
      <c r="C85" s="69" t="s">
        <v>57</v>
      </c>
      <c r="D85" s="71">
        <v>295</v>
      </c>
      <c r="E85" s="104" t="s">
        <v>139</v>
      </c>
      <c r="F85" s="87" t="s">
        <v>58</v>
      </c>
      <c r="G85" s="90">
        <v>3000</v>
      </c>
      <c r="H85" s="97">
        <v>235</v>
      </c>
      <c r="I85" s="70">
        <f t="shared" si="0"/>
        <v>705000</v>
      </c>
    </row>
    <row r="86" spans="1:9" ht="25.5" x14ac:dyDescent="0.2">
      <c r="A86" s="68">
        <v>77</v>
      </c>
      <c r="B86" s="67"/>
      <c r="C86" s="69" t="s">
        <v>57</v>
      </c>
      <c r="D86" s="71">
        <v>295</v>
      </c>
      <c r="E86" s="95" t="s">
        <v>140</v>
      </c>
      <c r="F86" s="87" t="s">
        <v>58</v>
      </c>
      <c r="G86" s="90">
        <v>50</v>
      </c>
      <c r="H86" s="97">
        <v>2250</v>
      </c>
      <c r="I86" s="70">
        <f t="shared" si="0"/>
        <v>112500</v>
      </c>
    </row>
    <row r="87" spans="1:9" ht="25.5" x14ac:dyDescent="0.2">
      <c r="A87" s="68">
        <v>78</v>
      </c>
      <c r="B87" s="67"/>
      <c r="C87" s="69" t="s">
        <v>57</v>
      </c>
      <c r="D87" s="71">
        <v>295</v>
      </c>
      <c r="E87" s="95" t="s">
        <v>141</v>
      </c>
      <c r="F87" s="87" t="s">
        <v>58</v>
      </c>
      <c r="G87" s="90">
        <v>50</v>
      </c>
      <c r="H87" s="97">
        <v>2250</v>
      </c>
      <c r="I87" s="70">
        <f t="shared" si="0"/>
        <v>112500</v>
      </c>
    </row>
    <row r="88" spans="1:9" ht="25.5" x14ac:dyDescent="0.2">
      <c r="A88" s="68">
        <v>79</v>
      </c>
      <c r="B88" s="67"/>
      <c r="C88" s="69" t="s">
        <v>57</v>
      </c>
      <c r="D88" s="71">
        <v>295</v>
      </c>
      <c r="E88" s="104" t="s">
        <v>142</v>
      </c>
      <c r="F88" s="87" t="s">
        <v>58</v>
      </c>
      <c r="G88" s="90">
        <v>2000</v>
      </c>
      <c r="H88" s="97">
        <v>235</v>
      </c>
      <c r="I88" s="70">
        <f t="shared" si="0"/>
        <v>470000</v>
      </c>
    </row>
    <row r="89" spans="1:9" ht="25.5" x14ac:dyDescent="0.2">
      <c r="A89" s="68">
        <v>80</v>
      </c>
      <c r="B89" s="67"/>
      <c r="C89" s="69" t="s">
        <v>57</v>
      </c>
      <c r="D89" s="71">
        <v>295</v>
      </c>
      <c r="E89" s="93" t="s">
        <v>181</v>
      </c>
      <c r="F89" s="87" t="s">
        <v>58</v>
      </c>
      <c r="G89" s="90">
        <v>20</v>
      </c>
      <c r="H89" s="97">
        <v>2000</v>
      </c>
      <c r="I89" s="70">
        <f t="shared" si="0"/>
        <v>40000</v>
      </c>
    </row>
    <row r="90" spans="1:9" ht="25.5" x14ac:dyDescent="0.2">
      <c r="A90" s="68">
        <v>81</v>
      </c>
      <c r="B90" s="67"/>
      <c r="C90" s="69" t="s">
        <v>57</v>
      </c>
      <c r="D90" s="71">
        <v>295</v>
      </c>
      <c r="E90" s="93" t="s">
        <v>143</v>
      </c>
      <c r="F90" s="87" t="s">
        <v>58</v>
      </c>
      <c r="G90" s="90">
        <v>20</v>
      </c>
      <c r="H90" s="97">
        <v>2000</v>
      </c>
      <c r="I90" s="70">
        <f t="shared" si="0"/>
        <v>40000</v>
      </c>
    </row>
    <row r="91" spans="1:9" ht="25.5" x14ac:dyDescent="0.2">
      <c r="A91" s="68">
        <v>82</v>
      </c>
      <c r="B91" s="67"/>
      <c r="C91" s="69" t="s">
        <v>57</v>
      </c>
      <c r="D91" s="71">
        <v>295</v>
      </c>
      <c r="E91" s="94" t="s">
        <v>144</v>
      </c>
      <c r="F91" s="87" t="s">
        <v>58</v>
      </c>
      <c r="G91" s="90">
        <v>50</v>
      </c>
      <c r="H91" s="97">
        <v>2250</v>
      </c>
      <c r="I91" s="70">
        <f t="shared" si="0"/>
        <v>112500</v>
      </c>
    </row>
    <row r="92" spans="1:9" ht="25.5" x14ac:dyDescent="0.2">
      <c r="A92" s="68">
        <v>83</v>
      </c>
      <c r="B92" s="67"/>
      <c r="C92" s="69" t="s">
        <v>57</v>
      </c>
      <c r="D92" s="71">
        <v>295</v>
      </c>
      <c r="E92" s="95" t="s">
        <v>145</v>
      </c>
      <c r="F92" s="87" t="s">
        <v>58</v>
      </c>
      <c r="G92" s="90">
        <v>5</v>
      </c>
      <c r="H92" s="97">
        <v>2500</v>
      </c>
      <c r="I92" s="70">
        <f t="shared" si="0"/>
        <v>12500</v>
      </c>
    </row>
    <row r="93" spans="1:9" ht="25.5" x14ac:dyDescent="0.2">
      <c r="A93" s="68">
        <v>84</v>
      </c>
      <c r="B93" s="67"/>
      <c r="C93" s="69" t="s">
        <v>57</v>
      </c>
      <c r="D93" s="71">
        <v>295</v>
      </c>
      <c r="E93" s="94" t="s">
        <v>146</v>
      </c>
      <c r="F93" s="87" t="s">
        <v>58</v>
      </c>
      <c r="G93" s="90">
        <v>5</v>
      </c>
      <c r="H93" s="97">
        <v>2500</v>
      </c>
      <c r="I93" s="70">
        <f t="shared" si="0"/>
        <v>12500</v>
      </c>
    </row>
    <row r="94" spans="1:9" ht="25.5" x14ac:dyDescent="0.2">
      <c r="A94" s="68">
        <v>85</v>
      </c>
      <c r="B94" s="67"/>
      <c r="C94" s="69" t="s">
        <v>57</v>
      </c>
      <c r="D94" s="71">
        <v>295</v>
      </c>
      <c r="E94" s="95" t="s">
        <v>147</v>
      </c>
      <c r="F94" s="87" t="s">
        <v>58</v>
      </c>
      <c r="G94" s="90">
        <v>10</v>
      </c>
      <c r="H94" s="97">
        <v>3490</v>
      </c>
      <c r="I94" s="70">
        <f t="shared" si="0"/>
        <v>34900</v>
      </c>
    </row>
    <row r="95" spans="1:9" ht="25.5" x14ac:dyDescent="0.2">
      <c r="A95" s="68">
        <v>86</v>
      </c>
      <c r="B95" s="67"/>
      <c r="C95" s="69" t="s">
        <v>57</v>
      </c>
      <c r="D95" s="71">
        <v>295</v>
      </c>
      <c r="E95" s="104" t="s">
        <v>148</v>
      </c>
      <c r="F95" s="87" t="s">
        <v>58</v>
      </c>
      <c r="G95" s="90">
        <v>300</v>
      </c>
      <c r="H95" s="97">
        <v>500</v>
      </c>
      <c r="I95" s="70">
        <f t="shared" si="0"/>
        <v>150000</v>
      </c>
    </row>
    <row r="96" spans="1:9" ht="25.5" x14ac:dyDescent="0.2">
      <c r="A96" s="68">
        <v>87</v>
      </c>
      <c r="B96" s="67"/>
      <c r="C96" s="69" t="s">
        <v>57</v>
      </c>
      <c r="D96" s="71">
        <v>295</v>
      </c>
      <c r="E96" s="104" t="s">
        <v>149</v>
      </c>
      <c r="F96" s="87" t="s">
        <v>58</v>
      </c>
      <c r="G96" s="90">
        <v>300</v>
      </c>
      <c r="H96" s="97">
        <v>500</v>
      </c>
      <c r="I96" s="70">
        <f t="shared" si="0"/>
        <v>150000</v>
      </c>
    </row>
    <row r="97" spans="1:9" ht="25.5" x14ac:dyDescent="0.2">
      <c r="A97" s="68">
        <v>88</v>
      </c>
      <c r="B97" s="67"/>
      <c r="C97" s="69" t="s">
        <v>57</v>
      </c>
      <c r="D97" s="71">
        <v>295</v>
      </c>
      <c r="E97" s="93" t="s">
        <v>150</v>
      </c>
      <c r="F97" s="87" t="s">
        <v>58</v>
      </c>
      <c r="G97" s="90">
        <v>50</v>
      </c>
      <c r="H97" s="97">
        <v>5600</v>
      </c>
      <c r="I97" s="70">
        <f t="shared" si="0"/>
        <v>280000</v>
      </c>
    </row>
    <row r="98" spans="1:9" ht="25.5" x14ac:dyDescent="0.2">
      <c r="A98" s="68">
        <v>89</v>
      </c>
      <c r="B98" s="67"/>
      <c r="C98" s="69" t="s">
        <v>57</v>
      </c>
      <c r="D98" s="71">
        <v>295</v>
      </c>
      <c r="E98" s="93" t="s">
        <v>151</v>
      </c>
      <c r="F98" s="87" t="s">
        <v>58</v>
      </c>
      <c r="G98" s="90">
        <v>50</v>
      </c>
      <c r="H98" s="97">
        <v>5600</v>
      </c>
      <c r="I98" s="70">
        <f t="shared" si="0"/>
        <v>280000</v>
      </c>
    </row>
    <row r="99" spans="1:9" ht="25.5" x14ac:dyDescent="0.2">
      <c r="A99" s="68">
        <v>90</v>
      </c>
      <c r="B99" s="67"/>
      <c r="C99" s="69" t="s">
        <v>57</v>
      </c>
      <c r="D99" s="71">
        <v>295</v>
      </c>
      <c r="E99" s="95" t="s">
        <v>152</v>
      </c>
      <c r="F99" s="87" t="s">
        <v>58</v>
      </c>
      <c r="G99" s="90">
        <v>30</v>
      </c>
      <c r="H99" s="97">
        <v>2950</v>
      </c>
      <c r="I99" s="70">
        <f t="shared" si="0"/>
        <v>88500</v>
      </c>
    </row>
    <row r="100" spans="1:9" ht="25.5" x14ac:dyDescent="0.2">
      <c r="A100" s="68">
        <v>91</v>
      </c>
      <c r="B100" s="67"/>
      <c r="C100" s="69" t="s">
        <v>57</v>
      </c>
      <c r="D100" s="71">
        <v>295</v>
      </c>
      <c r="E100" s="104" t="s">
        <v>153</v>
      </c>
      <c r="F100" s="87" t="s">
        <v>58</v>
      </c>
      <c r="G100" s="90">
        <v>30</v>
      </c>
      <c r="H100" s="97">
        <v>2700</v>
      </c>
      <c r="I100" s="70">
        <f t="shared" si="0"/>
        <v>81000</v>
      </c>
    </row>
    <row r="101" spans="1:9" ht="25.5" x14ac:dyDescent="0.2">
      <c r="A101" s="68">
        <v>92</v>
      </c>
      <c r="B101" s="67"/>
      <c r="C101" s="69" t="s">
        <v>57</v>
      </c>
      <c r="D101" s="71">
        <v>295</v>
      </c>
      <c r="E101" s="104" t="s">
        <v>154</v>
      </c>
      <c r="F101" s="87" t="s">
        <v>58</v>
      </c>
      <c r="G101" s="90">
        <v>20</v>
      </c>
      <c r="H101" s="97">
        <v>2700</v>
      </c>
      <c r="I101" s="70">
        <f t="shared" si="0"/>
        <v>54000</v>
      </c>
    </row>
    <row r="102" spans="1:9" ht="25.5" x14ac:dyDescent="0.2">
      <c r="A102" s="68">
        <v>93</v>
      </c>
      <c r="B102" s="67"/>
      <c r="C102" s="69" t="s">
        <v>57</v>
      </c>
      <c r="D102" s="71">
        <v>295</v>
      </c>
      <c r="E102" s="104" t="s">
        <v>155</v>
      </c>
      <c r="F102" s="87" t="s">
        <v>58</v>
      </c>
      <c r="G102" s="90">
        <v>20</v>
      </c>
      <c r="H102" s="97">
        <v>2700</v>
      </c>
      <c r="I102" s="70">
        <f t="shared" si="0"/>
        <v>54000</v>
      </c>
    </row>
    <row r="103" spans="1:9" ht="25.5" x14ac:dyDescent="0.2">
      <c r="A103" s="68">
        <v>94</v>
      </c>
      <c r="B103" s="67"/>
      <c r="C103" s="69" t="s">
        <v>57</v>
      </c>
      <c r="D103" s="71">
        <v>295</v>
      </c>
      <c r="E103" s="104" t="s">
        <v>156</v>
      </c>
      <c r="F103" s="87" t="s">
        <v>58</v>
      </c>
      <c r="G103" s="90">
        <v>100</v>
      </c>
      <c r="H103" s="97">
        <v>18371</v>
      </c>
      <c r="I103" s="70">
        <f t="shared" si="0"/>
        <v>1837100</v>
      </c>
    </row>
    <row r="104" spans="1:9" ht="25.5" x14ac:dyDescent="0.2">
      <c r="A104" s="68">
        <v>95</v>
      </c>
      <c r="B104" s="67"/>
      <c r="C104" s="69" t="s">
        <v>57</v>
      </c>
      <c r="D104" s="71">
        <v>295</v>
      </c>
      <c r="E104" s="100" t="s">
        <v>157</v>
      </c>
      <c r="F104" s="87" t="s">
        <v>58</v>
      </c>
      <c r="G104" s="90">
        <v>20</v>
      </c>
      <c r="H104" s="97">
        <v>500</v>
      </c>
      <c r="I104" s="70">
        <f t="shared" si="0"/>
        <v>10000</v>
      </c>
    </row>
    <row r="105" spans="1:9" ht="25.5" x14ac:dyDescent="0.2">
      <c r="A105" s="68">
        <v>96</v>
      </c>
      <c r="B105" s="67"/>
      <c r="C105" s="69" t="s">
        <v>57</v>
      </c>
      <c r="D105" s="71">
        <v>295</v>
      </c>
      <c r="E105" s="100" t="s">
        <v>158</v>
      </c>
      <c r="F105" s="87" t="s">
        <v>58</v>
      </c>
      <c r="G105" s="90">
        <v>20</v>
      </c>
      <c r="H105" s="97">
        <v>500</v>
      </c>
      <c r="I105" s="70">
        <f t="shared" si="0"/>
        <v>10000</v>
      </c>
    </row>
    <row r="106" spans="1:9" ht="25.5" x14ac:dyDescent="0.2">
      <c r="A106" s="68">
        <v>97</v>
      </c>
      <c r="B106" s="67"/>
      <c r="C106" s="69" t="s">
        <v>57</v>
      </c>
      <c r="D106" s="71">
        <v>295</v>
      </c>
      <c r="E106" s="100" t="s">
        <v>159</v>
      </c>
      <c r="F106" s="87" t="s">
        <v>58</v>
      </c>
      <c r="G106" s="90">
        <v>20</v>
      </c>
      <c r="H106" s="97">
        <v>500</v>
      </c>
      <c r="I106" s="70">
        <f t="shared" si="0"/>
        <v>10000</v>
      </c>
    </row>
    <row r="107" spans="1:9" ht="25.5" x14ac:dyDescent="0.2">
      <c r="A107" s="68">
        <v>98</v>
      </c>
      <c r="B107" s="67"/>
      <c r="C107" s="69" t="s">
        <v>57</v>
      </c>
      <c r="D107" s="71">
        <v>295</v>
      </c>
      <c r="E107" s="100" t="s">
        <v>160</v>
      </c>
      <c r="F107" s="87" t="s">
        <v>58</v>
      </c>
      <c r="G107" s="90">
        <v>20</v>
      </c>
      <c r="H107" s="97">
        <v>500</v>
      </c>
      <c r="I107" s="70">
        <f t="shared" si="0"/>
        <v>10000</v>
      </c>
    </row>
    <row r="108" spans="1:9" ht="25.5" x14ac:dyDescent="0.2">
      <c r="A108" s="68">
        <v>99</v>
      </c>
      <c r="B108" s="67"/>
      <c r="C108" s="69" t="s">
        <v>57</v>
      </c>
      <c r="D108" s="71">
        <v>295</v>
      </c>
      <c r="E108" s="100" t="s">
        <v>161</v>
      </c>
      <c r="F108" s="87" t="s">
        <v>58</v>
      </c>
      <c r="G108" s="90">
        <v>20</v>
      </c>
      <c r="H108" s="97">
        <v>500</v>
      </c>
      <c r="I108" s="70">
        <f t="shared" si="0"/>
        <v>10000</v>
      </c>
    </row>
    <row r="109" spans="1:9" ht="25.5" x14ac:dyDescent="0.2">
      <c r="A109" s="68">
        <v>100</v>
      </c>
      <c r="B109" s="67"/>
      <c r="C109" s="69" t="s">
        <v>57</v>
      </c>
      <c r="D109" s="71">
        <v>295</v>
      </c>
      <c r="E109" s="100" t="s">
        <v>162</v>
      </c>
      <c r="F109" s="87" t="s">
        <v>58</v>
      </c>
      <c r="G109" s="90">
        <v>20</v>
      </c>
      <c r="H109" s="97">
        <v>500</v>
      </c>
      <c r="I109" s="70">
        <f t="shared" si="0"/>
        <v>10000</v>
      </c>
    </row>
    <row r="110" spans="1:9" ht="25.5" x14ac:dyDescent="0.2">
      <c r="A110" s="68">
        <v>101</v>
      </c>
      <c r="B110" s="67"/>
      <c r="C110" s="69" t="s">
        <v>57</v>
      </c>
      <c r="D110" s="71">
        <v>295</v>
      </c>
      <c r="E110" s="104" t="s">
        <v>163</v>
      </c>
      <c r="F110" s="87" t="s">
        <v>58</v>
      </c>
      <c r="G110" s="90">
        <v>100</v>
      </c>
      <c r="H110" s="97">
        <v>2500</v>
      </c>
      <c r="I110" s="70">
        <f t="shared" si="0"/>
        <v>250000</v>
      </c>
    </row>
    <row r="111" spans="1:9" ht="25.5" x14ac:dyDescent="0.2">
      <c r="A111" s="68">
        <v>102</v>
      </c>
      <c r="B111" s="67"/>
      <c r="C111" s="69" t="s">
        <v>57</v>
      </c>
      <c r="D111" s="71">
        <v>295</v>
      </c>
      <c r="E111" s="104" t="s">
        <v>164</v>
      </c>
      <c r="F111" s="87" t="s">
        <v>58</v>
      </c>
      <c r="G111" s="90">
        <v>100</v>
      </c>
      <c r="H111" s="97">
        <v>2500</v>
      </c>
      <c r="I111" s="70">
        <f t="shared" si="0"/>
        <v>250000</v>
      </c>
    </row>
    <row r="112" spans="1:9" ht="25.5" x14ac:dyDescent="0.2">
      <c r="A112" s="68">
        <v>103</v>
      </c>
      <c r="B112" s="67"/>
      <c r="C112" s="69" t="s">
        <v>57</v>
      </c>
      <c r="D112" s="71">
        <v>295</v>
      </c>
      <c r="E112" s="94" t="s">
        <v>165</v>
      </c>
      <c r="F112" s="87" t="s">
        <v>58</v>
      </c>
      <c r="G112" s="90">
        <v>5</v>
      </c>
      <c r="H112" s="97">
        <v>5980</v>
      </c>
      <c r="I112" s="70">
        <f t="shared" si="0"/>
        <v>29900</v>
      </c>
    </row>
    <row r="113" spans="1:9" ht="25.5" x14ac:dyDescent="0.2">
      <c r="A113" s="68">
        <v>104</v>
      </c>
      <c r="B113" s="67"/>
      <c r="C113" s="69" t="s">
        <v>57</v>
      </c>
      <c r="D113" s="71">
        <v>295</v>
      </c>
      <c r="E113" s="94" t="s">
        <v>166</v>
      </c>
      <c r="F113" s="87" t="s">
        <v>58</v>
      </c>
      <c r="G113" s="90">
        <v>5</v>
      </c>
      <c r="H113" s="97">
        <v>5980</v>
      </c>
      <c r="I113" s="70">
        <f t="shared" si="0"/>
        <v>29900</v>
      </c>
    </row>
    <row r="114" spans="1:9" ht="25.5" x14ac:dyDescent="0.2">
      <c r="A114" s="68">
        <v>105</v>
      </c>
      <c r="B114" s="67"/>
      <c r="C114" s="69" t="s">
        <v>57</v>
      </c>
      <c r="D114" s="71">
        <v>295</v>
      </c>
      <c r="E114" s="94" t="s">
        <v>167</v>
      </c>
      <c r="F114" s="87" t="s">
        <v>58</v>
      </c>
      <c r="G114" s="90">
        <v>5</v>
      </c>
      <c r="H114" s="97">
        <v>5980</v>
      </c>
      <c r="I114" s="70">
        <f t="shared" si="0"/>
        <v>29900</v>
      </c>
    </row>
    <row r="115" spans="1:9" ht="25.5" x14ac:dyDescent="0.2">
      <c r="A115" s="68">
        <v>106</v>
      </c>
      <c r="B115" s="67"/>
      <c r="C115" s="69" t="s">
        <v>57</v>
      </c>
      <c r="D115" s="71">
        <v>295</v>
      </c>
      <c r="E115" s="104" t="s">
        <v>178</v>
      </c>
      <c r="F115" s="87" t="s">
        <v>58</v>
      </c>
      <c r="G115" s="90">
        <v>50</v>
      </c>
      <c r="H115" s="97">
        <v>230</v>
      </c>
      <c r="I115" s="70">
        <f t="shared" si="0"/>
        <v>11500</v>
      </c>
    </row>
    <row r="116" spans="1:9" ht="25.5" x14ac:dyDescent="0.2">
      <c r="A116" s="68">
        <v>107</v>
      </c>
      <c r="B116" s="67"/>
      <c r="C116" s="69" t="s">
        <v>57</v>
      </c>
      <c r="D116" s="71">
        <v>295</v>
      </c>
      <c r="E116" s="104" t="s">
        <v>168</v>
      </c>
      <c r="F116" s="87" t="s">
        <v>58</v>
      </c>
      <c r="G116" s="90">
        <v>20</v>
      </c>
      <c r="H116" s="97">
        <v>354</v>
      </c>
      <c r="I116" s="70">
        <f t="shared" si="0"/>
        <v>7080</v>
      </c>
    </row>
    <row r="117" spans="1:9" ht="25.5" x14ac:dyDescent="0.2">
      <c r="A117" s="68">
        <v>108</v>
      </c>
      <c r="B117" s="67"/>
      <c r="C117" s="69" t="s">
        <v>57</v>
      </c>
      <c r="D117" s="71">
        <v>295</v>
      </c>
      <c r="E117" s="104" t="s">
        <v>169</v>
      </c>
      <c r="F117" s="87" t="s">
        <v>58</v>
      </c>
      <c r="G117" s="90">
        <v>20</v>
      </c>
      <c r="H117" s="97">
        <v>325</v>
      </c>
      <c r="I117" s="70">
        <f t="shared" si="0"/>
        <v>6500</v>
      </c>
    </row>
    <row r="118" spans="1:9" ht="13.5" thickBot="1" x14ac:dyDescent="0.25">
      <c r="I118" s="35"/>
    </row>
    <row r="119" spans="1:9" x14ac:dyDescent="0.2">
      <c r="B119" s="88" t="s">
        <v>60</v>
      </c>
      <c r="C119" s="30"/>
      <c r="D119" s="30"/>
      <c r="E119" s="31"/>
      <c r="I119" s="35"/>
    </row>
    <row r="120" spans="1:9" ht="13.5" customHeight="1" x14ac:dyDescent="0.2">
      <c r="B120" s="116" t="s">
        <v>62</v>
      </c>
      <c r="C120" s="117"/>
      <c r="D120" s="117"/>
      <c r="E120" s="118"/>
    </row>
    <row r="121" spans="1:9" ht="25.5" customHeight="1" x14ac:dyDescent="0.2">
      <c r="B121" s="116"/>
      <c r="C121" s="117"/>
      <c r="D121" s="117"/>
      <c r="E121" s="118"/>
      <c r="F121" s="32"/>
      <c r="G121" s="33"/>
    </row>
    <row r="122" spans="1:9" ht="26.25" customHeight="1" x14ac:dyDescent="0.2">
      <c r="B122" s="116" t="s">
        <v>188</v>
      </c>
      <c r="C122" s="117"/>
      <c r="D122" s="117"/>
      <c r="E122" s="118"/>
      <c r="F122" s="32"/>
      <c r="G122" s="33"/>
    </row>
    <row r="123" spans="1:9" ht="21.75" customHeight="1" thickBot="1" x14ac:dyDescent="0.25">
      <c r="B123" s="106" t="s">
        <v>63</v>
      </c>
      <c r="C123" s="107"/>
      <c r="D123" s="108"/>
      <c r="E123" s="109"/>
      <c r="F123" s="32"/>
      <c r="G123" s="33"/>
    </row>
    <row r="124" spans="1:9" ht="12" customHeight="1" thickBot="1" x14ac:dyDescent="0.25"/>
    <row r="125" spans="1:9" x14ac:dyDescent="0.2">
      <c r="B125" s="29" t="s">
        <v>174</v>
      </c>
      <c r="C125" s="30"/>
      <c r="D125" s="30"/>
      <c r="E125" s="31"/>
    </row>
    <row r="126" spans="1:9" x14ac:dyDescent="0.2">
      <c r="B126" s="89" t="s">
        <v>61</v>
      </c>
      <c r="C126" s="33"/>
      <c r="D126" s="33"/>
      <c r="E126" s="34"/>
    </row>
    <row r="127" spans="1:9" ht="13.5" customHeight="1" thickBot="1" x14ac:dyDescent="0.25">
      <c r="B127" s="110" t="s">
        <v>175</v>
      </c>
      <c r="C127" s="111"/>
      <c r="D127" s="111"/>
      <c r="E127" s="112"/>
    </row>
    <row r="128" spans="1:9" ht="13.5" thickBot="1" x14ac:dyDescent="0.25">
      <c r="I128" s="26" t="s">
        <v>55</v>
      </c>
    </row>
    <row r="129" spans="2:5" x14ac:dyDescent="0.2">
      <c r="B129" s="29" t="s">
        <v>176</v>
      </c>
      <c r="C129" s="30"/>
      <c r="D129" s="30"/>
      <c r="E129" s="31"/>
    </row>
    <row r="130" spans="2:5" x14ac:dyDescent="0.2">
      <c r="B130" s="89" t="s">
        <v>61</v>
      </c>
      <c r="C130" s="33"/>
      <c r="D130" s="33"/>
      <c r="E130" s="34"/>
    </row>
    <row r="131" spans="2:5" ht="13.5" thickBot="1" x14ac:dyDescent="0.25">
      <c r="B131" s="110" t="s">
        <v>180</v>
      </c>
      <c r="C131" s="111"/>
      <c r="D131" s="111"/>
      <c r="E131" s="112"/>
    </row>
    <row r="132" spans="2:5" ht="13.5" thickBot="1" x14ac:dyDescent="0.25"/>
    <row r="133" spans="2:5" x14ac:dyDescent="0.2">
      <c r="B133" s="29" t="s">
        <v>183</v>
      </c>
      <c r="C133" s="30"/>
      <c r="D133" s="30"/>
      <c r="E133" s="31"/>
    </row>
    <row r="134" spans="2:5" x14ac:dyDescent="0.2">
      <c r="B134" s="89" t="s">
        <v>61</v>
      </c>
      <c r="C134" s="33"/>
      <c r="D134" s="33"/>
      <c r="E134" s="34"/>
    </row>
    <row r="135" spans="2:5" ht="13.5" thickBot="1" x14ac:dyDescent="0.25">
      <c r="B135" s="110" t="s">
        <v>182</v>
      </c>
      <c r="C135" s="111"/>
      <c r="D135" s="111"/>
      <c r="E135" s="112"/>
    </row>
    <row r="136" spans="2:5" ht="13.5" thickBot="1" x14ac:dyDescent="0.25"/>
    <row r="137" spans="2:5" x14ac:dyDescent="0.2">
      <c r="B137" s="29" t="s">
        <v>184</v>
      </c>
      <c r="C137" s="30"/>
      <c r="D137" s="30"/>
      <c r="E137" s="31"/>
    </row>
    <row r="138" spans="2:5" x14ac:dyDescent="0.2">
      <c r="B138" s="89" t="s">
        <v>61</v>
      </c>
      <c r="C138" s="33"/>
      <c r="D138" s="33"/>
      <c r="E138" s="34"/>
    </row>
    <row r="139" spans="2:5" ht="13.5" thickBot="1" x14ac:dyDescent="0.25">
      <c r="B139" s="110" t="s">
        <v>177</v>
      </c>
      <c r="C139" s="111"/>
      <c r="D139" s="111"/>
      <c r="E139" s="112"/>
    </row>
    <row r="140" spans="2:5" ht="13.5" thickBot="1" x14ac:dyDescent="0.25"/>
    <row r="141" spans="2:5" x14ac:dyDescent="0.2">
      <c r="B141" s="29" t="s">
        <v>185</v>
      </c>
      <c r="C141" s="30"/>
      <c r="D141" s="30"/>
      <c r="E141" s="31"/>
    </row>
    <row r="142" spans="2:5" x14ac:dyDescent="0.2">
      <c r="B142" s="89" t="s">
        <v>61</v>
      </c>
      <c r="C142" s="33"/>
      <c r="D142" s="33"/>
      <c r="E142" s="34"/>
    </row>
    <row r="143" spans="2:5" ht="13.5" thickBot="1" x14ac:dyDescent="0.25">
      <c r="B143" s="110" t="s">
        <v>179</v>
      </c>
      <c r="C143" s="111"/>
      <c r="D143" s="111"/>
      <c r="E143" s="112"/>
    </row>
  </sheetData>
  <autoFilter ref="A9:I117" xr:uid="{00000000-0009-0000-0000-000000000000}"/>
  <mergeCells count="14">
    <mergeCell ref="B143:E143"/>
    <mergeCell ref="B131:E131"/>
    <mergeCell ref="B135:E135"/>
    <mergeCell ref="B139:E139"/>
    <mergeCell ref="B2:H2"/>
    <mergeCell ref="A4:B4"/>
    <mergeCell ref="C4:E4"/>
    <mergeCell ref="A5:B5"/>
    <mergeCell ref="C5:E5"/>
    <mergeCell ref="B127:E127"/>
    <mergeCell ref="A6:B6"/>
    <mergeCell ref="A7:B7"/>
    <mergeCell ref="B120:E121"/>
    <mergeCell ref="B122:E122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20"/>
  <sheetViews>
    <sheetView topLeftCell="A107" zoomScale="80" zoomScaleNormal="80" workbookViewId="0">
      <selection activeCell="E125" sqref="E125"/>
    </sheetView>
  </sheetViews>
  <sheetFormatPr baseColWidth="10" defaultColWidth="9.140625" defaultRowHeight="12.75" x14ac:dyDescent="0.2"/>
  <cols>
    <col min="1" max="1" width="5.5703125" style="38" customWidth="1"/>
    <col min="2" max="2" width="15.140625" style="38" customWidth="1"/>
    <col min="3" max="3" width="14.140625" style="38" customWidth="1"/>
    <col min="4" max="4" width="26" style="38" customWidth="1"/>
    <col min="5" max="5" width="8" style="38" customWidth="1"/>
    <col min="6" max="6" width="7.85546875" style="38" customWidth="1"/>
    <col min="7" max="7" width="48.5703125" style="38" customWidth="1"/>
    <col min="8" max="8" width="9.28515625" style="38" customWidth="1"/>
    <col min="9" max="9" width="15.5703125" style="38" customWidth="1"/>
    <col min="10" max="10" width="14.7109375" style="38" customWidth="1"/>
    <col min="11" max="11" width="15.5703125" style="38" customWidth="1"/>
    <col min="12" max="13" width="5.85546875" style="38" customWidth="1"/>
    <col min="14" max="14" width="14.140625" style="38" customWidth="1"/>
    <col min="15" max="15" width="12.5703125" style="38" customWidth="1"/>
    <col min="16" max="1024" width="9.140625" style="38"/>
    <col min="1025" max="16384" width="9.140625" style="39"/>
  </cols>
  <sheetData>
    <row r="1" spans="1:11" ht="18" customHeight="1" x14ac:dyDescent="0.2">
      <c r="A1" s="128" t="s">
        <v>14</v>
      </c>
      <c r="B1" s="128"/>
      <c r="C1" s="128"/>
      <c r="D1" s="128"/>
      <c r="E1" s="128"/>
      <c r="F1" s="128"/>
      <c r="G1" s="128"/>
      <c r="H1" s="128"/>
      <c r="I1" s="128"/>
      <c r="J1" s="36" t="s">
        <v>15</v>
      </c>
      <c r="K1" s="37" t="s">
        <v>170</v>
      </c>
    </row>
    <row r="2" spans="1:11" ht="18.75" customHeight="1" thickBot="1" x14ac:dyDescent="0.25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</row>
    <row r="3" spans="1:11" ht="18.75" customHeight="1" thickBot="1" x14ac:dyDescent="0.25">
      <c r="A3" s="129" t="s">
        <v>48</v>
      </c>
      <c r="B3" s="129"/>
      <c r="C3" s="129"/>
      <c r="D3" s="120" t="str">
        <f>'Necesidades Trimestrales'!C4</f>
        <v>040 - Ministerio de Salud</v>
      </c>
      <c r="E3" s="120"/>
      <c r="F3" s="120"/>
      <c r="G3" s="120"/>
      <c r="H3" s="120"/>
      <c r="I3" s="120"/>
      <c r="J3" s="120"/>
      <c r="K3" s="120"/>
    </row>
    <row r="4" spans="1:11" ht="18.75" customHeight="1" thickBot="1" x14ac:dyDescent="0.25">
      <c r="A4" s="130" t="s">
        <v>49</v>
      </c>
      <c r="B4" s="130"/>
      <c r="C4" s="130"/>
      <c r="D4" s="120" t="str">
        <f>'Necesidades Trimestrales'!C5</f>
        <v>024 - Hospital Interzonal de Niños</v>
      </c>
      <c r="E4" s="120"/>
      <c r="F4" s="120"/>
      <c r="G4" s="120"/>
      <c r="H4" s="120"/>
      <c r="I4" s="120"/>
      <c r="J4" s="120"/>
      <c r="K4" s="120"/>
    </row>
    <row r="5" spans="1:11" ht="18.75" customHeight="1" thickBot="1" x14ac:dyDescent="0.25">
      <c r="A5" s="130" t="s">
        <v>27</v>
      </c>
      <c r="B5" s="130"/>
      <c r="C5" s="130"/>
      <c r="D5" s="120" t="s">
        <v>51</v>
      </c>
      <c r="E5" s="120"/>
      <c r="F5" s="120"/>
      <c r="G5" s="120"/>
      <c r="H5" s="120"/>
      <c r="I5" s="120"/>
      <c r="J5" s="120"/>
      <c r="K5" s="120"/>
    </row>
    <row r="6" spans="1:11" ht="16.5" customHeight="1" thickBot="1" x14ac:dyDescent="0.25">
      <c r="A6" s="129" t="s">
        <v>50</v>
      </c>
      <c r="B6" s="129"/>
      <c r="C6" s="129"/>
      <c r="D6" s="120" t="s">
        <v>56</v>
      </c>
      <c r="E6" s="120"/>
      <c r="F6" s="120"/>
      <c r="G6" s="120"/>
      <c r="H6" s="120"/>
      <c r="I6" s="120"/>
      <c r="J6" s="120"/>
      <c r="K6" s="120"/>
    </row>
    <row r="7" spans="1:11" ht="16.5" customHeight="1" x14ac:dyDescent="0.2">
      <c r="A7" s="130" t="s">
        <v>16</v>
      </c>
      <c r="B7" s="130"/>
      <c r="C7" s="130"/>
      <c r="D7" s="120" t="str">
        <f>'Necesidades Trimestrales'!C7 &amp; "° Trimestre - Año " &amp; 'Necesidades Trimestrales'!C6</f>
        <v>2° Trimestre - Año 2021</v>
      </c>
      <c r="E7" s="120"/>
      <c r="F7" s="120"/>
      <c r="G7" s="120"/>
      <c r="H7" s="120"/>
      <c r="I7" s="120"/>
      <c r="J7" s="120"/>
      <c r="K7" s="120"/>
    </row>
    <row r="8" spans="1:11" ht="16.5" customHeight="1" x14ac:dyDescent="0.2">
      <c r="A8" s="127" t="s">
        <v>17</v>
      </c>
      <c r="B8" s="127"/>
      <c r="C8" s="127"/>
      <c r="D8" s="123" t="s">
        <v>171</v>
      </c>
      <c r="E8" s="123"/>
      <c r="F8" s="123"/>
      <c r="G8" s="123"/>
      <c r="H8" s="123"/>
      <c r="I8" s="123"/>
      <c r="J8" s="123"/>
      <c r="K8" s="123"/>
    </row>
    <row r="9" spans="1:11" ht="15.75" x14ac:dyDescent="0.2">
      <c r="A9" s="42"/>
      <c r="B9" s="42"/>
      <c r="C9" s="42"/>
      <c r="D9" s="43"/>
      <c r="E9" s="43"/>
      <c r="F9" s="43"/>
      <c r="G9" s="43"/>
      <c r="H9" s="43"/>
      <c r="I9" s="43"/>
      <c r="J9" s="43"/>
      <c r="K9" s="43"/>
    </row>
    <row r="10" spans="1:11" ht="18.75" customHeight="1" x14ac:dyDescent="0.2">
      <c r="A10" s="124" t="s">
        <v>18</v>
      </c>
      <c r="B10" s="125" t="s">
        <v>19</v>
      </c>
      <c r="C10" s="125" t="s">
        <v>20</v>
      </c>
      <c r="D10" s="125"/>
      <c r="E10" s="125"/>
      <c r="F10" s="125"/>
      <c r="G10" s="125"/>
      <c r="H10" s="125" t="s">
        <v>21</v>
      </c>
      <c r="I10" s="125" t="s">
        <v>22</v>
      </c>
      <c r="J10" s="125" t="s">
        <v>23</v>
      </c>
      <c r="K10" s="126" t="s">
        <v>24</v>
      </c>
    </row>
    <row r="11" spans="1:11" ht="24" customHeight="1" thickBot="1" x14ac:dyDescent="0.25">
      <c r="A11" s="124"/>
      <c r="B11" s="125"/>
      <c r="C11" s="125"/>
      <c r="D11" s="125"/>
      <c r="E11" s="125"/>
      <c r="F11" s="125"/>
      <c r="G11" s="125"/>
      <c r="H11" s="125"/>
      <c r="I11" s="125"/>
      <c r="J11" s="125"/>
      <c r="K11" s="126"/>
    </row>
    <row r="12" spans="1:11" ht="27.75" customHeight="1" x14ac:dyDescent="0.2">
      <c r="A12" s="46">
        <v>1</v>
      </c>
      <c r="B12" s="47"/>
      <c r="C12" s="122" t="str">
        <f>'Necesidades Trimestrales'!E10</f>
        <v>AGUJA ESPINAL 18 G X 3-1/2</v>
      </c>
      <c r="D12" s="122"/>
      <c r="E12" s="122"/>
      <c r="F12" s="122"/>
      <c r="G12" s="122"/>
      <c r="H12" s="48" t="s">
        <v>54</v>
      </c>
      <c r="I12" s="49" t="str">
        <f>'Necesidades Trimestrales'!F10</f>
        <v>UNIDAD</v>
      </c>
      <c r="J12" s="50">
        <f>'Necesidades Trimestrales'!H10</f>
        <v>520</v>
      </c>
      <c r="K12" s="51">
        <f>'Necesidades Trimestrales'!G10</f>
        <v>50</v>
      </c>
    </row>
    <row r="13" spans="1:11" ht="27.75" customHeight="1" x14ac:dyDescent="0.2">
      <c r="A13" s="72">
        <v>2</v>
      </c>
      <c r="B13" s="73"/>
      <c r="C13" s="119" t="str">
        <f>'Necesidades Trimestrales'!E11</f>
        <v>AGUJA ESPINAL 19 G 3-1/2</v>
      </c>
      <c r="D13" s="119"/>
      <c r="E13" s="119"/>
      <c r="F13" s="119"/>
      <c r="G13" s="119"/>
      <c r="H13" s="76" t="s">
        <v>54</v>
      </c>
      <c r="I13" s="77" t="str">
        <f>'Necesidades Trimestrales'!F11</f>
        <v>UNIDAD</v>
      </c>
      <c r="J13" s="75">
        <f>'Necesidades Trimestrales'!H11</f>
        <v>520</v>
      </c>
      <c r="K13" s="74">
        <f>'Necesidades Trimestrales'!G11</f>
        <v>50</v>
      </c>
    </row>
    <row r="14" spans="1:11" ht="27.75" customHeight="1" x14ac:dyDescent="0.2">
      <c r="A14" s="72">
        <v>3</v>
      </c>
      <c r="B14" s="73"/>
      <c r="C14" s="119" t="str">
        <f>'Necesidades Trimestrales'!E12</f>
        <v>AGUJA ESPINAL 22 G X 1</v>
      </c>
      <c r="D14" s="119"/>
      <c r="E14" s="119"/>
      <c r="F14" s="119"/>
      <c r="G14" s="119"/>
      <c r="H14" s="76" t="s">
        <v>54</v>
      </c>
      <c r="I14" s="77" t="str">
        <f>'Necesidades Trimestrales'!F12</f>
        <v>UNIDAD</v>
      </c>
      <c r="J14" s="75">
        <f>'Necesidades Trimestrales'!H12</f>
        <v>520</v>
      </c>
      <c r="K14" s="74">
        <f>'Necesidades Trimestrales'!G12</f>
        <v>50</v>
      </c>
    </row>
    <row r="15" spans="1:11" ht="27.75" customHeight="1" x14ac:dyDescent="0.2">
      <c r="A15" s="72">
        <v>4</v>
      </c>
      <c r="B15" s="73"/>
      <c r="C15" s="119" t="str">
        <f>'Necesidades Trimestrales'!E13</f>
        <v>Aguja ESPINAL 23 G 3 1/2</v>
      </c>
      <c r="D15" s="119"/>
      <c r="E15" s="119"/>
      <c r="F15" s="119"/>
      <c r="G15" s="119"/>
      <c r="H15" s="76" t="s">
        <v>54</v>
      </c>
      <c r="I15" s="77" t="str">
        <f>'Necesidades Trimestrales'!F13</f>
        <v>UNIDAD</v>
      </c>
      <c r="J15" s="75">
        <f>'Necesidades Trimestrales'!H13</f>
        <v>520</v>
      </c>
      <c r="K15" s="74">
        <f>'Necesidades Trimestrales'!G13</f>
        <v>50</v>
      </c>
    </row>
    <row r="16" spans="1:11" ht="27.75" customHeight="1" x14ac:dyDescent="0.2">
      <c r="A16" s="72">
        <v>5</v>
      </c>
      <c r="B16" s="73"/>
      <c r="C16" s="119" t="str">
        <f>'Necesidades Trimestrales'!E14</f>
        <v>Aguja ESPINAL 25 G 3 1/2</v>
      </c>
      <c r="D16" s="119"/>
      <c r="E16" s="119"/>
      <c r="F16" s="119"/>
      <c r="G16" s="119"/>
      <c r="H16" s="76" t="s">
        <v>54</v>
      </c>
      <c r="I16" s="77" t="str">
        <f>'Necesidades Trimestrales'!F14</f>
        <v>UNIDAD</v>
      </c>
      <c r="J16" s="75">
        <f>'Necesidades Trimestrales'!H14</f>
        <v>520</v>
      </c>
      <c r="K16" s="74">
        <f>'Necesidades Trimestrales'!G14</f>
        <v>50</v>
      </c>
    </row>
    <row r="17" spans="1:11" ht="27.75" customHeight="1" x14ac:dyDescent="0.2">
      <c r="A17" s="72">
        <v>6</v>
      </c>
      <c r="B17" s="73"/>
      <c r="C17" s="119" t="str">
        <f>'Necesidades Trimestrales'!E15</f>
        <v>AGUJA ESPINAL 25G 31/2 PUNTA LAPIZ</v>
      </c>
      <c r="D17" s="119"/>
      <c r="E17" s="119"/>
      <c r="F17" s="119"/>
      <c r="G17" s="119"/>
      <c r="H17" s="76" t="s">
        <v>54</v>
      </c>
      <c r="I17" s="77" t="str">
        <f>'Necesidades Trimestrales'!F15</f>
        <v>UNIDAD</v>
      </c>
      <c r="J17" s="75">
        <f>'Necesidades Trimestrales'!H15</f>
        <v>520</v>
      </c>
      <c r="K17" s="74">
        <f>'Necesidades Trimestrales'!G15</f>
        <v>50</v>
      </c>
    </row>
    <row r="18" spans="1:11" ht="27.75" customHeight="1" x14ac:dyDescent="0.2">
      <c r="A18" s="72">
        <v>7</v>
      </c>
      <c r="B18" s="73"/>
      <c r="C18" s="119" t="str">
        <f>'Necesidades Trimestrales'!E16</f>
        <v>Aguja ESPINAL 26 G 31/2</v>
      </c>
      <c r="D18" s="119"/>
      <c r="E18" s="119"/>
      <c r="F18" s="119"/>
      <c r="G18" s="119"/>
      <c r="H18" s="76" t="s">
        <v>54</v>
      </c>
      <c r="I18" s="77" t="str">
        <f>'Necesidades Trimestrales'!F16</f>
        <v>UNIDAD</v>
      </c>
      <c r="J18" s="75">
        <f>'Necesidades Trimestrales'!H16</f>
        <v>520</v>
      </c>
      <c r="K18" s="74">
        <f>'Necesidades Trimestrales'!G16</f>
        <v>50</v>
      </c>
    </row>
    <row r="19" spans="1:11" ht="27.75" customHeight="1" x14ac:dyDescent="0.2">
      <c r="A19" s="72">
        <v>8</v>
      </c>
      <c r="B19" s="73"/>
      <c r="C19" s="119" t="str">
        <f>'Necesidades Trimestrales'!E17</f>
        <v>Aguja ESPINAL 26 G 31/2  PUNTA LAPIZ</v>
      </c>
      <c r="D19" s="119"/>
      <c r="E19" s="119"/>
      <c r="F19" s="119"/>
      <c r="G19" s="119"/>
      <c r="H19" s="76" t="s">
        <v>54</v>
      </c>
      <c r="I19" s="77" t="str">
        <f>'Necesidades Trimestrales'!F17</f>
        <v>UNIDAD</v>
      </c>
      <c r="J19" s="75">
        <f>'Necesidades Trimestrales'!H17</f>
        <v>520</v>
      </c>
      <c r="K19" s="74">
        <f>'Necesidades Trimestrales'!G17</f>
        <v>50</v>
      </c>
    </row>
    <row r="20" spans="1:11" ht="27.75" customHeight="1" x14ac:dyDescent="0.2">
      <c r="A20" s="72">
        <v>9</v>
      </c>
      <c r="B20" s="73"/>
      <c r="C20" s="119" t="str">
        <f>'Necesidades Trimestrales'!E18</f>
        <v>Aguja ESPINAL 27 G 3 1/2</v>
      </c>
      <c r="D20" s="119"/>
      <c r="E20" s="119"/>
      <c r="F20" s="119"/>
      <c r="G20" s="119"/>
      <c r="H20" s="76" t="s">
        <v>54</v>
      </c>
      <c r="I20" s="77" t="str">
        <f>'Necesidades Trimestrales'!F18</f>
        <v>UNIDAD</v>
      </c>
      <c r="J20" s="75">
        <f>'Necesidades Trimestrales'!H18</f>
        <v>520</v>
      </c>
      <c r="K20" s="74">
        <f>'Necesidades Trimestrales'!G18</f>
        <v>50</v>
      </c>
    </row>
    <row r="21" spans="1:11" ht="27.75" customHeight="1" x14ac:dyDescent="0.2">
      <c r="A21" s="72">
        <v>10</v>
      </c>
      <c r="B21" s="73"/>
      <c r="C21" s="119" t="str">
        <f>'Necesidades Trimestrales'!E19</f>
        <v xml:space="preserve">AGUJA ESPINAL 27G 3 1/2 PUNTA LAPIZ </v>
      </c>
      <c r="D21" s="119"/>
      <c r="E21" s="119"/>
      <c r="F21" s="119"/>
      <c r="G21" s="119"/>
      <c r="H21" s="76" t="s">
        <v>54</v>
      </c>
      <c r="I21" s="77" t="str">
        <f>'Necesidades Trimestrales'!F19</f>
        <v>UNIDAD</v>
      </c>
      <c r="J21" s="75">
        <f>'Necesidades Trimestrales'!H19</f>
        <v>260</v>
      </c>
      <c r="K21" s="74">
        <f>'Necesidades Trimestrales'!G19</f>
        <v>200</v>
      </c>
    </row>
    <row r="22" spans="1:11" ht="27.75" customHeight="1" x14ac:dyDescent="0.2">
      <c r="A22" s="72">
        <v>11</v>
      </c>
      <c r="B22" s="73"/>
      <c r="C22" s="119" t="str">
        <f>'Necesidades Trimestrales'!E20</f>
        <v>AGUJA ESPINAL Nº 20</v>
      </c>
      <c r="D22" s="119"/>
      <c r="E22" s="119"/>
      <c r="F22" s="119"/>
      <c r="G22" s="119"/>
      <c r="H22" s="76" t="s">
        <v>54</v>
      </c>
      <c r="I22" s="77" t="str">
        <f>'Necesidades Trimestrales'!F20</f>
        <v>UNIDAD</v>
      </c>
      <c r="J22" s="75">
        <f>'Necesidades Trimestrales'!H20</f>
        <v>520</v>
      </c>
      <c r="K22" s="74">
        <f>'Necesidades Trimestrales'!G20</f>
        <v>50</v>
      </c>
    </row>
    <row r="23" spans="1:11" ht="27.75" customHeight="1" x14ac:dyDescent="0.2">
      <c r="A23" s="72">
        <v>12</v>
      </c>
      <c r="B23" s="73"/>
      <c r="C23" s="119" t="str">
        <f>'Necesidades Trimestrales'!E21</f>
        <v>AGUJA P/PUNCION/ASP.16G X 70MM T/BLOODLINE</v>
      </c>
      <c r="D23" s="119"/>
      <c r="E23" s="119"/>
      <c r="F23" s="119"/>
      <c r="G23" s="119"/>
      <c r="H23" s="76" t="s">
        <v>54</v>
      </c>
      <c r="I23" s="77" t="str">
        <f>'Necesidades Trimestrales'!F21</f>
        <v>UNIDAD</v>
      </c>
      <c r="J23" s="75">
        <f>'Necesidades Trimestrales'!H21</f>
        <v>3200</v>
      </c>
      <c r="K23" s="74">
        <f>'Necesidades Trimestrales'!G21</f>
        <v>10</v>
      </c>
    </row>
    <row r="24" spans="1:11" ht="27.75" customHeight="1" x14ac:dyDescent="0.2">
      <c r="A24" s="72">
        <v>13</v>
      </c>
      <c r="B24" s="73"/>
      <c r="C24" s="119" t="str">
        <f>'Necesidades Trimestrales'!E22</f>
        <v>AGUJA P/SUTURA CURVAS CV310 X 12 UNID.</v>
      </c>
      <c r="D24" s="119"/>
      <c r="E24" s="119"/>
      <c r="F24" s="119"/>
      <c r="G24" s="119"/>
      <c r="H24" s="76" t="s">
        <v>54</v>
      </c>
      <c r="I24" s="77" t="str">
        <f>'Necesidades Trimestrales'!F22</f>
        <v>UNIDAD</v>
      </c>
      <c r="J24" s="75">
        <f>'Necesidades Trimestrales'!H22</f>
        <v>200</v>
      </c>
      <c r="K24" s="74">
        <f>'Necesidades Trimestrales'!G22</f>
        <v>20</v>
      </c>
    </row>
    <row r="25" spans="1:11" ht="27.75" customHeight="1" x14ac:dyDescent="0.2">
      <c r="A25" s="72">
        <v>14</v>
      </c>
      <c r="B25" s="73"/>
      <c r="C25" s="119" t="str">
        <f>'Necesidades Trimestrales'!E23</f>
        <v>AGUJA P/SUTURA RECTA X 1</v>
      </c>
      <c r="D25" s="119"/>
      <c r="E25" s="119"/>
      <c r="F25" s="119"/>
      <c r="G25" s="119"/>
      <c r="H25" s="76" t="s">
        <v>54</v>
      </c>
      <c r="I25" s="77" t="str">
        <f>'Necesidades Trimestrales'!F23</f>
        <v>UNIDAD</v>
      </c>
      <c r="J25" s="75">
        <f>'Necesidades Trimestrales'!H23</f>
        <v>200</v>
      </c>
      <c r="K25" s="74">
        <f>'Necesidades Trimestrales'!G23</f>
        <v>20</v>
      </c>
    </row>
    <row r="26" spans="1:11" ht="27.75" customHeight="1" x14ac:dyDescent="0.2">
      <c r="A26" s="72">
        <v>15</v>
      </c>
      <c r="B26" s="73"/>
      <c r="C26" s="119" t="str">
        <f>'Necesidades Trimestrales'!E24</f>
        <v>AGUJA PARA BLOQUEO PERIFERICO CON PUNTA LAPIZ N°22</v>
      </c>
      <c r="D26" s="119"/>
      <c r="E26" s="119"/>
      <c r="F26" s="119"/>
      <c r="G26" s="119"/>
      <c r="H26" s="76" t="s">
        <v>54</v>
      </c>
      <c r="I26" s="77" t="str">
        <f>'Necesidades Trimestrales'!F24</f>
        <v>UNIDAD</v>
      </c>
      <c r="J26" s="75">
        <f>'Necesidades Trimestrales'!H24</f>
        <v>325</v>
      </c>
      <c r="K26" s="74">
        <f>'Necesidades Trimestrales'!G24</f>
        <v>40</v>
      </c>
    </row>
    <row r="27" spans="1:11" ht="27.75" customHeight="1" x14ac:dyDescent="0.2">
      <c r="A27" s="72">
        <v>16</v>
      </c>
      <c r="B27" s="73"/>
      <c r="C27" s="119" t="str">
        <f>'Necesidades Trimestrales'!E25</f>
        <v>AGUJA POLY PORT CON PUNTA T/HUBER 621</v>
      </c>
      <c r="D27" s="119"/>
      <c r="E27" s="119"/>
      <c r="F27" s="119"/>
      <c r="G27" s="119"/>
      <c r="H27" s="76" t="s">
        <v>54</v>
      </c>
      <c r="I27" s="77" t="str">
        <f>'Necesidades Trimestrales'!F25</f>
        <v>UNIDAD</v>
      </c>
      <c r="J27" s="75">
        <f>'Necesidades Trimestrales'!H25</f>
        <v>500</v>
      </c>
      <c r="K27" s="74">
        <f>'Necesidades Trimestrales'!G25</f>
        <v>50</v>
      </c>
    </row>
    <row r="28" spans="1:11" ht="27.75" customHeight="1" x14ac:dyDescent="0.2">
      <c r="A28" s="72">
        <v>17</v>
      </c>
      <c r="B28" s="73"/>
      <c r="C28" s="119" t="str">
        <f>'Necesidades Trimestrales'!E26</f>
        <v>AGUJA POLY PORT CON PUNTA T/HUBER 623</v>
      </c>
      <c r="D28" s="119"/>
      <c r="E28" s="119"/>
      <c r="F28" s="119"/>
      <c r="G28" s="119"/>
      <c r="H28" s="76" t="s">
        <v>54</v>
      </c>
      <c r="I28" s="77" t="str">
        <f>'Necesidades Trimestrales'!F26</f>
        <v>UNIDAD</v>
      </c>
      <c r="J28" s="75">
        <f>'Necesidades Trimestrales'!H26</f>
        <v>500</v>
      </c>
      <c r="K28" s="74">
        <f>'Necesidades Trimestrales'!G26</f>
        <v>50</v>
      </c>
    </row>
    <row r="29" spans="1:11" ht="27.75" customHeight="1" x14ac:dyDescent="0.2">
      <c r="A29" s="72">
        <v>18</v>
      </c>
      <c r="B29" s="73"/>
      <c r="C29" s="119" t="str">
        <f>'Necesidades Trimestrales'!E27</f>
        <v>AGUJA PUNTA CURVA HUBER Nº 20 X 25 MM</v>
      </c>
      <c r="D29" s="119"/>
      <c r="E29" s="119"/>
      <c r="F29" s="119"/>
      <c r="G29" s="119"/>
      <c r="H29" s="76" t="s">
        <v>54</v>
      </c>
      <c r="I29" s="77" t="str">
        <f>'Necesidades Trimestrales'!F27</f>
        <v>UNIDAD</v>
      </c>
      <c r="J29" s="75">
        <f>'Necesidades Trimestrales'!H27</f>
        <v>500</v>
      </c>
      <c r="K29" s="74">
        <f>'Necesidades Trimestrales'!G27</f>
        <v>50</v>
      </c>
    </row>
    <row r="30" spans="1:11" ht="27.75" customHeight="1" x14ac:dyDescent="0.2">
      <c r="A30" s="72">
        <v>19</v>
      </c>
      <c r="B30" s="73"/>
      <c r="C30" s="119" t="str">
        <f>'Necesidades Trimestrales'!E28</f>
        <v>AGUJA PUNTA CURVA HUBER Nº 21 X 25 MM</v>
      </c>
      <c r="D30" s="119"/>
      <c r="E30" s="119"/>
      <c r="F30" s="119"/>
      <c r="G30" s="119"/>
      <c r="H30" s="76" t="s">
        <v>54</v>
      </c>
      <c r="I30" s="77" t="str">
        <f>'Necesidades Trimestrales'!F28</f>
        <v>UNIDAD</v>
      </c>
      <c r="J30" s="75">
        <f>'Necesidades Trimestrales'!H28</f>
        <v>500</v>
      </c>
      <c r="K30" s="74">
        <f>'Necesidades Trimestrales'!G28</f>
        <v>50</v>
      </c>
    </row>
    <row r="31" spans="1:11" ht="27.75" customHeight="1" x14ac:dyDescent="0.2">
      <c r="A31" s="72">
        <v>20</v>
      </c>
      <c r="B31" s="73"/>
      <c r="C31" s="119" t="str">
        <f>'Necesidades Trimestrales'!E29</f>
        <v>AGUJA PUNTA CURVA HUBER Nº 22 X 25 MM</v>
      </c>
      <c r="D31" s="119"/>
      <c r="E31" s="119"/>
      <c r="F31" s="119"/>
      <c r="G31" s="119"/>
      <c r="H31" s="76" t="s">
        <v>54</v>
      </c>
      <c r="I31" s="77" t="str">
        <f>'Necesidades Trimestrales'!F29</f>
        <v>UNIDAD</v>
      </c>
      <c r="J31" s="75">
        <f>'Necesidades Trimestrales'!H29</f>
        <v>500</v>
      </c>
      <c r="K31" s="74">
        <f>'Necesidades Trimestrales'!G29</f>
        <v>50</v>
      </c>
    </row>
    <row r="32" spans="1:11" ht="27.75" customHeight="1" x14ac:dyDescent="0.2">
      <c r="A32" s="72">
        <v>21</v>
      </c>
      <c r="B32" s="80"/>
      <c r="C32" s="119" t="str">
        <f>'Necesidades Trimestrales'!E30</f>
        <v>AGUJA TROCAR X 1 - 30/12</v>
      </c>
      <c r="D32" s="119"/>
      <c r="E32" s="119"/>
      <c r="F32" s="119"/>
      <c r="G32" s="119"/>
      <c r="H32" s="76" t="s">
        <v>54</v>
      </c>
      <c r="I32" s="77" t="str">
        <f>'Necesidades Trimestrales'!F30</f>
        <v>UNIDAD</v>
      </c>
      <c r="J32" s="75">
        <f>'Necesidades Trimestrales'!H30</f>
        <v>5</v>
      </c>
      <c r="K32" s="74">
        <f>'Necesidades Trimestrales'!G30</f>
        <v>500</v>
      </c>
    </row>
    <row r="33" spans="1:14" ht="27.75" customHeight="1" x14ac:dyDescent="0.2">
      <c r="A33" s="72">
        <v>22</v>
      </c>
      <c r="B33" s="80"/>
      <c r="C33" s="119" t="str">
        <f>'Necesidades Trimestrales'!E31</f>
        <v>ALAMBRE QUIRURGICO 1,5MM X 1 MT.</v>
      </c>
      <c r="D33" s="119"/>
      <c r="E33" s="119"/>
      <c r="F33" s="119"/>
      <c r="G33" s="119"/>
      <c r="H33" s="76" t="s">
        <v>54</v>
      </c>
      <c r="I33" s="77" t="str">
        <f>'Necesidades Trimestrales'!F31</f>
        <v>UNIDAD</v>
      </c>
      <c r="J33" s="75">
        <f>'Necesidades Trimestrales'!H31</f>
        <v>391</v>
      </c>
      <c r="K33" s="74">
        <f>'Necesidades Trimestrales'!G31</f>
        <v>100</v>
      </c>
    </row>
    <row r="34" spans="1:14" ht="27.75" customHeight="1" x14ac:dyDescent="0.2">
      <c r="A34" s="72">
        <v>23</v>
      </c>
      <c r="B34" s="80"/>
      <c r="C34" s="119" t="str">
        <f>'Necesidades Trimestrales'!E32</f>
        <v>ALAMBRE QUIRURGICO 1MM X 1 MT.</v>
      </c>
      <c r="D34" s="119"/>
      <c r="E34" s="119"/>
      <c r="F34" s="119"/>
      <c r="G34" s="119"/>
      <c r="H34" s="76" t="s">
        <v>54</v>
      </c>
      <c r="I34" s="77" t="str">
        <f>'Necesidades Trimestrales'!F32</f>
        <v>UNIDAD</v>
      </c>
      <c r="J34" s="75">
        <f>'Necesidades Trimestrales'!H32</f>
        <v>391</v>
      </c>
      <c r="K34" s="74">
        <f>'Necesidades Trimestrales'!G32</f>
        <v>210</v>
      </c>
    </row>
    <row r="35" spans="1:14" ht="27.75" customHeight="1" x14ac:dyDescent="0.2">
      <c r="A35" s="72">
        <v>24</v>
      </c>
      <c r="B35" s="80"/>
      <c r="C35" s="119" t="str">
        <f>'Necesidades Trimestrales'!E33</f>
        <v>ANTEOJOS ANTI HIV X 1</v>
      </c>
      <c r="D35" s="119"/>
      <c r="E35" s="119"/>
      <c r="F35" s="119"/>
      <c r="G35" s="119"/>
      <c r="H35" s="76" t="s">
        <v>54</v>
      </c>
      <c r="I35" s="77" t="str">
        <f>'Necesidades Trimestrales'!F33</f>
        <v>UNIDAD</v>
      </c>
      <c r="J35" s="75">
        <f>'Necesidades Trimestrales'!H33</f>
        <v>200</v>
      </c>
      <c r="K35" s="74">
        <f>'Necesidades Trimestrales'!G33</f>
        <v>300</v>
      </c>
    </row>
    <row r="36" spans="1:14" ht="27.75" customHeight="1" x14ac:dyDescent="0.2">
      <c r="A36" s="72">
        <v>25</v>
      </c>
      <c r="B36" s="80"/>
      <c r="C36" s="119" t="str">
        <f>'Necesidades Trimestrales'!E34</f>
        <v>BASE HUMEDIFICADOR PARA ARM</v>
      </c>
      <c r="D36" s="119"/>
      <c r="E36" s="119"/>
      <c r="F36" s="119"/>
      <c r="G36" s="119"/>
      <c r="H36" s="76" t="s">
        <v>54</v>
      </c>
      <c r="I36" s="77" t="str">
        <f>'Necesidades Trimestrales'!F34</f>
        <v>UNIDAD</v>
      </c>
      <c r="J36" s="75">
        <f>'Necesidades Trimestrales'!H34</f>
        <v>4100</v>
      </c>
      <c r="K36" s="74">
        <f>'Necesidades Trimestrales'!G34</f>
        <v>400</v>
      </c>
    </row>
    <row r="37" spans="1:14" ht="27.75" customHeight="1" x14ac:dyDescent="0.2">
      <c r="A37" s="72">
        <v>26</v>
      </c>
      <c r="B37" s="80"/>
      <c r="C37" s="119" t="str">
        <f>'Necesidades Trimestrales'!E35</f>
        <v>Bolsa De Ileostomia 5985 (Coloplast) x unidad</v>
      </c>
      <c r="D37" s="119"/>
      <c r="E37" s="119"/>
      <c r="F37" s="119"/>
      <c r="G37" s="119"/>
      <c r="H37" s="76" t="s">
        <v>54</v>
      </c>
      <c r="I37" s="77" t="str">
        <f>'Necesidades Trimestrales'!F35</f>
        <v>UNIDAD</v>
      </c>
      <c r="J37" s="75">
        <f>'Necesidades Trimestrales'!H35</f>
        <v>250</v>
      </c>
      <c r="K37" s="74">
        <f>'Necesidades Trimestrales'!G35</f>
        <v>20</v>
      </c>
    </row>
    <row r="38" spans="1:14" ht="27.75" customHeight="1" x14ac:dyDescent="0.2">
      <c r="A38" s="72">
        <v>27</v>
      </c>
      <c r="B38" s="80"/>
      <c r="C38" s="119" t="str">
        <f>'Necesidades Trimestrales'!E36</f>
        <v>BRAZALETE PNI 1 TUBO  Nº 1  TIPO  WELCH ALLYN/DRAGUER</v>
      </c>
      <c r="D38" s="119"/>
      <c r="E38" s="119"/>
      <c r="F38" s="119"/>
      <c r="G38" s="119"/>
      <c r="H38" s="76" t="s">
        <v>54</v>
      </c>
      <c r="I38" s="77" t="str">
        <f>'Necesidades Trimestrales'!F36</f>
        <v>UNIDAD</v>
      </c>
      <c r="J38" s="75">
        <f>'Necesidades Trimestrales'!H36</f>
        <v>3090</v>
      </c>
      <c r="K38" s="74">
        <f>'Necesidades Trimestrales'!G36</f>
        <v>10</v>
      </c>
    </row>
    <row r="39" spans="1:14" ht="27.75" customHeight="1" x14ac:dyDescent="0.2">
      <c r="A39" s="72">
        <v>28</v>
      </c>
      <c r="B39" s="80"/>
      <c r="C39" s="119" t="str">
        <f>'Necesidades Trimestrales'!E37</f>
        <v>BRAZALETE PNI 1 TUBO  Nº 2  TIPO  WELCH ALLYN/DRAGUER</v>
      </c>
      <c r="D39" s="119"/>
      <c r="E39" s="119"/>
      <c r="F39" s="119"/>
      <c r="G39" s="119"/>
      <c r="H39" s="76" t="s">
        <v>54</v>
      </c>
      <c r="I39" s="77" t="str">
        <f>'Necesidades Trimestrales'!F37</f>
        <v>UNIDAD</v>
      </c>
      <c r="J39" s="75">
        <f>'Necesidades Trimestrales'!H37</f>
        <v>3090</v>
      </c>
      <c r="K39" s="74">
        <f>'Necesidades Trimestrales'!G37</f>
        <v>10</v>
      </c>
    </row>
    <row r="40" spans="1:14" ht="27.75" customHeight="1" x14ac:dyDescent="0.2">
      <c r="A40" s="72">
        <v>29</v>
      </c>
      <c r="B40" s="80"/>
      <c r="C40" s="119" t="str">
        <f>'Necesidades Trimestrales'!E38</f>
        <v>BRAZALETE PNI 1 TUBO  Nº 3  TIPO  WELCH ALLYN/DRAGUER</v>
      </c>
      <c r="D40" s="119"/>
      <c r="E40" s="119"/>
      <c r="F40" s="119"/>
      <c r="G40" s="119"/>
      <c r="H40" s="76" t="s">
        <v>54</v>
      </c>
      <c r="I40" s="77" t="str">
        <f>'Necesidades Trimestrales'!F38</f>
        <v>UNIDAD</v>
      </c>
      <c r="J40" s="75">
        <f>'Necesidades Trimestrales'!H38</f>
        <v>3090</v>
      </c>
      <c r="K40" s="74">
        <f>'Necesidades Trimestrales'!G38</f>
        <v>10</v>
      </c>
    </row>
    <row r="41" spans="1:14" ht="27.75" customHeight="1" x14ac:dyDescent="0.2">
      <c r="A41" s="72">
        <v>30</v>
      </c>
      <c r="B41" s="80"/>
      <c r="C41" s="119" t="str">
        <f>'Necesidades Trimestrales'!E39</f>
        <v>BRAZALETE PNI 1 TUBO  Nº 4  TIPO  WELCH ALLYN/DRAGUER</v>
      </c>
      <c r="D41" s="119"/>
      <c r="E41" s="119"/>
      <c r="F41" s="119"/>
      <c r="G41" s="119"/>
      <c r="H41" s="76" t="s">
        <v>54</v>
      </c>
      <c r="I41" s="77" t="str">
        <f>'Necesidades Trimestrales'!F39</f>
        <v>UNIDAD</v>
      </c>
      <c r="J41" s="75">
        <f>'Necesidades Trimestrales'!H39</f>
        <v>3090</v>
      </c>
      <c r="K41" s="74">
        <f>'Necesidades Trimestrales'!G39</f>
        <v>10</v>
      </c>
    </row>
    <row r="42" spans="1:14" ht="27.75" customHeight="1" x14ac:dyDescent="0.2">
      <c r="A42" s="72">
        <v>31</v>
      </c>
      <c r="B42" s="80"/>
      <c r="C42" s="119" t="str">
        <f>'Necesidades Trimestrales'!E40</f>
        <v>BRAZALETE PNI 2 TUBO  Nº 1  TIPO  WELCH ALLYN/DRAGUER</v>
      </c>
      <c r="D42" s="119"/>
      <c r="E42" s="119"/>
      <c r="F42" s="119"/>
      <c r="G42" s="119"/>
      <c r="H42" s="76" t="s">
        <v>54</v>
      </c>
      <c r="I42" s="77" t="str">
        <f>'Necesidades Trimestrales'!F40</f>
        <v>UNIDAD</v>
      </c>
      <c r="J42" s="75">
        <f>'Necesidades Trimestrales'!H40</f>
        <v>3090</v>
      </c>
      <c r="K42" s="74">
        <f>'Necesidades Trimestrales'!G40</f>
        <v>10</v>
      </c>
    </row>
    <row r="43" spans="1:14" ht="27.75" customHeight="1" x14ac:dyDescent="0.2">
      <c r="A43" s="72">
        <v>32</v>
      </c>
      <c r="B43" s="80"/>
      <c r="C43" s="119" t="str">
        <f>'Necesidades Trimestrales'!E41</f>
        <v>BRAZALETE PNI 2 TUBO  Nº 2  TIPO  WELCH ALLYN/DRAGUER</v>
      </c>
      <c r="D43" s="119"/>
      <c r="E43" s="119"/>
      <c r="F43" s="119"/>
      <c r="G43" s="119"/>
      <c r="H43" s="76" t="s">
        <v>54</v>
      </c>
      <c r="I43" s="77" t="str">
        <f>'Necesidades Trimestrales'!F41</f>
        <v>UNIDAD</v>
      </c>
      <c r="J43" s="75">
        <f>'Necesidades Trimestrales'!H41</f>
        <v>3090</v>
      </c>
      <c r="K43" s="74">
        <f>'Necesidades Trimestrales'!G41</f>
        <v>10</v>
      </c>
    </row>
    <row r="44" spans="1:14" ht="27.75" customHeight="1" x14ac:dyDescent="0.2">
      <c r="A44" s="72">
        <v>33</v>
      </c>
      <c r="B44" s="80"/>
      <c r="C44" s="119" t="str">
        <f>'Necesidades Trimestrales'!E42</f>
        <v>BRAZALETE PNI 2 TUBO  Nº 3  TIPO  WELCH ALLYN/DRAGUER</v>
      </c>
      <c r="D44" s="119"/>
      <c r="E44" s="119"/>
      <c r="F44" s="119"/>
      <c r="G44" s="119"/>
      <c r="H44" s="76" t="s">
        <v>54</v>
      </c>
      <c r="I44" s="77" t="str">
        <f>'Necesidades Trimestrales'!F42</f>
        <v>UNIDAD</v>
      </c>
      <c r="J44" s="75">
        <f>'Necesidades Trimestrales'!H42</f>
        <v>3090</v>
      </c>
      <c r="K44" s="74">
        <f>'Necesidades Trimestrales'!G42</f>
        <v>10</v>
      </c>
    </row>
    <row r="45" spans="1:14" ht="27.75" customHeight="1" x14ac:dyDescent="0.2">
      <c r="A45" s="72">
        <v>34</v>
      </c>
      <c r="B45" s="80"/>
      <c r="C45" s="119" t="str">
        <f>'Necesidades Trimestrales'!E43</f>
        <v>BRAZALETE PNI 2 TUBO  Nº 4  TIPO  WELCH ALLYN/DRAGUER</v>
      </c>
      <c r="D45" s="119"/>
      <c r="E45" s="119"/>
      <c r="F45" s="119"/>
      <c r="G45" s="119"/>
      <c r="H45" s="76" t="s">
        <v>54</v>
      </c>
      <c r="I45" s="77" t="str">
        <f>'Necesidades Trimestrales'!F43</f>
        <v>UNIDAD</v>
      </c>
      <c r="J45" s="75">
        <f>'Necesidades Trimestrales'!H43</f>
        <v>3090</v>
      </c>
      <c r="K45" s="74">
        <f>'Necesidades Trimestrales'!G43</f>
        <v>10</v>
      </c>
    </row>
    <row r="46" spans="1:14" ht="27.75" customHeight="1" x14ac:dyDescent="0.2">
      <c r="A46" s="72">
        <v>35</v>
      </c>
      <c r="B46" s="80"/>
      <c r="C46" s="119" t="str">
        <f>'Necesidades Trimestrales'!E44</f>
        <v>CAMARA HUMIDIFICADORA DESCARTABLE TIPO FISHER Y PAIKEL MR 290</v>
      </c>
      <c r="D46" s="119"/>
      <c r="E46" s="119"/>
      <c r="F46" s="119"/>
      <c r="G46" s="119"/>
      <c r="H46" s="76" t="s">
        <v>54</v>
      </c>
      <c r="I46" s="77" t="str">
        <f>'Necesidades Trimestrales'!F44</f>
        <v>UNIDAD</v>
      </c>
      <c r="J46" s="75">
        <f>'Necesidades Trimestrales'!H44</f>
        <v>3000</v>
      </c>
      <c r="K46" s="74">
        <f>'Necesidades Trimestrales'!G44</f>
        <v>400</v>
      </c>
    </row>
    <row r="47" spans="1:14" ht="27.75" customHeight="1" x14ac:dyDescent="0.2">
      <c r="A47" s="72">
        <v>36</v>
      </c>
      <c r="B47" s="80"/>
      <c r="C47" s="119" t="str">
        <f>'Necesidades Trimestrales'!E45</f>
        <v>CANULA DE ASPIRACION DE CAMPO QUIRURGICO TIPO K 66</v>
      </c>
      <c r="D47" s="119"/>
      <c r="E47" s="119"/>
      <c r="F47" s="119"/>
      <c r="G47" s="119"/>
      <c r="H47" s="76" t="s">
        <v>54</v>
      </c>
      <c r="I47" s="77" t="str">
        <f>'Necesidades Trimestrales'!F45</f>
        <v>UNIDAD</v>
      </c>
      <c r="J47" s="75">
        <f>'Necesidades Trimestrales'!H45</f>
        <v>150</v>
      </c>
      <c r="K47" s="74">
        <f>'Necesidades Trimestrales'!G45</f>
        <v>3000</v>
      </c>
      <c r="N47" s="38" t="s">
        <v>55</v>
      </c>
    </row>
    <row r="48" spans="1:14" ht="27.75" customHeight="1" x14ac:dyDescent="0.2">
      <c r="A48" s="72">
        <v>37</v>
      </c>
      <c r="B48" s="80"/>
      <c r="C48" s="119" t="str">
        <f>'Necesidades Trimestrales'!E46</f>
        <v>CARTUCHO ARTERIAL I-STAT • EG7+ caja x 25 unidades</v>
      </c>
      <c r="D48" s="119"/>
      <c r="E48" s="119"/>
      <c r="F48" s="119"/>
      <c r="G48" s="119"/>
      <c r="H48" s="76" t="s">
        <v>54</v>
      </c>
      <c r="I48" s="77" t="str">
        <f>'Necesidades Trimestrales'!F46</f>
        <v>UNIDAD</v>
      </c>
      <c r="J48" s="75">
        <f>'Necesidades Trimestrales'!H46</f>
        <v>2000</v>
      </c>
      <c r="K48" s="74">
        <f>'Necesidades Trimestrales'!G46</f>
        <v>4</v>
      </c>
    </row>
    <row r="49" spans="1:11" ht="27.75" customHeight="1" x14ac:dyDescent="0.2">
      <c r="A49" s="72">
        <v>38</v>
      </c>
      <c r="B49" s="80"/>
      <c r="C49" s="119" t="str">
        <f>'Necesidades Trimestrales'!E47</f>
        <v>CARTUCHO I-STAT • CHEM8+ caja x 25 unidades</v>
      </c>
      <c r="D49" s="119"/>
      <c r="E49" s="119"/>
      <c r="F49" s="119"/>
      <c r="G49" s="119"/>
      <c r="H49" s="76" t="s">
        <v>54</v>
      </c>
      <c r="I49" s="77" t="str">
        <f>'Necesidades Trimestrales'!F47</f>
        <v>UNIDAD</v>
      </c>
      <c r="J49" s="75">
        <f>'Necesidades Trimestrales'!H47</f>
        <v>2000</v>
      </c>
      <c r="K49" s="74">
        <f>'Necesidades Trimestrales'!G47</f>
        <v>4</v>
      </c>
    </row>
    <row r="50" spans="1:11" ht="27.75" customHeight="1" x14ac:dyDescent="0.2">
      <c r="A50" s="72">
        <v>39</v>
      </c>
      <c r="B50" s="80"/>
      <c r="C50" s="119" t="str">
        <f>'Necesidades Trimestrales'!E48</f>
        <v>CARTUCHO I-STAT • EG7+ caja x 25 unidades</v>
      </c>
      <c r="D50" s="119"/>
      <c r="E50" s="119"/>
      <c r="F50" s="119"/>
      <c r="G50" s="119"/>
      <c r="H50" s="76" t="s">
        <v>54</v>
      </c>
      <c r="I50" s="77" t="str">
        <f>'Necesidades Trimestrales'!F48</f>
        <v>UNIDAD</v>
      </c>
      <c r="J50" s="75">
        <f>'Necesidades Trimestrales'!H48</f>
        <v>2000</v>
      </c>
      <c r="K50" s="74">
        <f>'Necesidades Trimestrales'!G48</f>
        <v>4</v>
      </c>
    </row>
    <row r="51" spans="1:11" ht="27.75" customHeight="1" x14ac:dyDescent="0.2">
      <c r="A51" s="72">
        <v>40</v>
      </c>
      <c r="B51" s="80"/>
      <c r="C51" s="119" t="str">
        <f>'Necesidades Trimestrales'!E49</f>
        <v>CARTUCHO VENOSO I-STAT • CHEM8+ caja x 25 unidades</v>
      </c>
      <c r="D51" s="119"/>
      <c r="E51" s="119"/>
      <c r="F51" s="119"/>
      <c r="G51" s="119"/>
      <c r="H51" s="76" t="s">
        <v>54</v>
      </c>
      <c r="I51" s="77" t="str">
        <f>'Necesidades Trimestrales'!F49</f>
        <v>UNIDAD</v>
      </c>
      <c r="J51" s="75">
        <f>'Necesidades Trimestrales'!H49</f>
        <v>2000</v>
      </c>
      <c r="K51" s="74">
        <f>'Necesidades Trimestrales'!G49</f>
        <v>4</v>
      </c>
    </row>
    <row r="52" spans="1:11" ht="27.75" customHeight="1" x14ac:dyDescent="0.2">
      <c r="A52" s="72">
        <v>41</v>
      </c>
      <c r="B52" s="80"/>
      <c r="C52" s="119" t="str">
        <f>'Necesidades Trimestrales'!E50</f>
        <v xml:space="preserve">CEPILLO PARA CIRUGIA  DESCARTABLE ESTERIL </v>
      </c>
      <c r="D52" s="119"/>
      <c r="E52" s="119"/>
      <c r="F52" s="119"/>
      <c r="G52" s="119"/>
      <c r="H52" s="76" t="s">
        <v>54</v>
      </c>
      <c r="I52" s="77" t="str">
        <f>'Necesidades Trimestrales'!F50</f>
        <v>UNIDAD</v>
      </c>
      <c r="J52" s="75">
        <f>'Necesidades Trimestrales'!H50</f>
        <v>60</v>
      </c>
      <c r="K52" s="74">
        <f>'Necesidades Trimestrales'!G50</f>
        <v>2000</v>
      </c>
    </row>
    <row r="53" spans="1:11" ht="27.75" customHeight="1" x14ac:dyDescent="0.2">
      <c r="A53" s="72">
        <v>42</v>
      </c>
      <c r="B53" s="80"/>
      <c r="C53" s="119" t="str">
        <f>'Necesidades Trimestrales'!E51</f>
        <v>CLAVIJAS DE ACERO 2.5 MM</v>
      </c>
      <c r="D53" s="119"/>
      <c r="E53" s="119"/>
      <c r="F53" s="119"/>
      <c r="G53" s="119"/>
      <c r="H53" s="76" t="s">
        <v>54</v>
      </c>
      <c r="I53" s="77" t="str">
        <f>'Necesidades Trimestrales'!F51</f>
        <v>UNIDAD</v>
      </c>
      <c r="J53" s="75">
        <f>'Necesidades Trimestrales'!H51</f>
        <v>909</v>
      </c>
      <c r="K53" s="74">
        <f>'Necesidades Trimestrales'!G51</f>
        <v>200</v>
      </c>
    </row>
    <row r="54" spans="1:11" ht="27.75" customHeight="1" x14ac:dyDescent="0.2">
      <c r="A54" s="72">
        <v>43</v>
      </c>
      <c r="B54" s="80"/>
      <c r="C54" s="119" t="str">
        <f>'Necesidades Trimestrales'!E52</f>
        <v>Collar Philadelfia Chico 1unidad (UNICA x 1)</v>
      </c>
      <c r="D54" s="119"/>
      <c r="E54" s="119"/>
      <c r="F54" s="119"/>
      <c r="G54" s="119"/>
      <c r="H54" s="76" t="s">
        <v>54</v>
      </c>
      <c r="I54" s="77" t="str">
        <f>'Necesidades Trimestrales'!F52</f>
        <v>UNIDAD</v>
      </c>
      <c r="J54" s="75">
        <f>'Necesidades Trimestrales'!H52</f>
        <v>1160</v>
      </c>
      <c r="K54" s="74">
        <f>'Necesidades Trimestrales'!G52</f>
        <v>10</v>
      </c>
    </row>
    <row r="55" spans="1:11" ht="27.75" customHeight="1" x14ac:dyDescent="0.2">
      <c r="A55" s="72">
        <v>44</v>
      </c>
      <c r="B55" s="80"/>
      <c r="C55" s="119" t="str">
        <f>'Necesidades Trimestrales'!E53</f>
        <v>Collar Philadelfia Grande 1unidad (UNICA x 1)</v>
      </c>
      <c r="D55" s="119"/>
      <c r="E55" s="119"/>
      <c r="F55" s="119"/>
      <c r="G55" s="119"/>
      <c r="H55" s="76" t="s">
        <v>54</v>
      </c>
      <c r="I55" s="77" t="str">
        <f>'Necesidades Trimestrales'!F53</f>
        <v>UNIDAD</v>
      </c>
      <c r="J55" s="75">
        <f>'Necesidades Trimestrales'!H53</f>
        <v>1160</v>
      </c>
      <c r="K55" s="74">
        <f>'Necesidades Trimestrales'!G53</f>
        <v>10</v>
      </c>
    </row>
    <row r="56" spans="1:11" ht="27.75" customHeight="1" x14ac:dyDescent="0.2">
      <c r="A56" s="72">
        <v>45</v>
      </c>
      <c r="B56" s="80"/>
      <c r="C56" s="119" t="str">
        <f>'Necesidades Trimestrales'!E54</f>
        <v>Collar Philadelfia Mediano 1unidad (UNICA x 1)</v>
      </c>
      <c r="D56" s="119"/>
      <c r="E56" s="119"/>
      <c r="F56" s="119"/>
      <c r="G56" s="119"/>
      <c r="H56" s="76" t="s">
        <v>54</v>
      </c>
      <c r="I56" s="77" t="str">
        <f>'Necesidades Trimestrales'!F54</f>
        <v>UNIDAD</v>
      </c>
      <c r="J56" s="75">
        <f>'Necesidades Trimestrales'!H54</f>
        <v>1160</v>
      </c>
      <c r="K56" s="74">
        <f>'Necesidades Trimestrales'!G54</f>
        <v>10</v>
      </c>
    </row>
    <row r="57" spans="1:11" ht="27.75" customHeight="1" x14ac:dyDescent="0.2">
      <c r="A57" s="72">
        <v>46</v>
      </c>
      <c r="B57" s="80"/>
      <c r="C57" s="119" t="str">
        <f>'Necesidades Trimestrales'!E55</f>
        <v>Dosificador de soluc.sistema cerrado TB 2739 1 unidad (UNICA x 1)</v>
      </c>
      <c r="D57" s="119"/>
      <c r="E57" s="119"/>
      <c r="F57" s="119"/>
      <c r="G57" s="119"/>
      <c r="H57" s="76" t="s">
        <v>54</v>
      </c>
      <c r="I57" s="77" t="str">
        <f>'Necesidades Trimestrales'!F55</f>
        <v>UNIDAD</v>
      </c>
      <c r="J57" s="75">
        <f>'Necesidades Trimestrales'!H55</f>
        <v>1160</v>
      </c>
      <c r="K57" s="74">
        <f>'Necesidades Trimestrales'!G55</f>
        <v>10</v>
      </c>
    </row>
    <row r="58" spans="1:11" ht="27.75" customHeight="1" x14ac:dyDescent="0.2">
      <c r="A58" s="72">
        <v>47</v>
      </c>
      <c r="B58" s="80"/>
      <c r="C58" s="119" t="str">
        <f>'Necesidades Trimestrales'!E56</f>
        <v>ESTETOSCOPIO ADULTO</v>
      </c>
      <c r="D58" s="119"/>
      <c r="E58" s="119"/>
      <c r="F58" s="119"/>
      <c r="G58" s="119"/>
      <c r="H58" s="76" t="s">
        <v>54</v>
      </c>
      <c r="I58" s="77" t="str">
        <f>'Necesidades Trimestrales'!F56</f>
        <v>UNIDAD</v>
      </c>
      <c r="J58" s="75">
        <f>'Necesidades Trimestrales'!H56</f>
        <v>1300</v>
      </c>
      <c r="K58" s="74">
        <f>'Necesidades Trimestrales'!G56</f>
        <v>50</v>
      </c>
    </row>
    <row r="59" spans="1:11" ht="27.75" customHeight="1" x14ac:dyDescent="0.2">
      <c r="A59" s="72">
        <v>48</v>
      </c>
      <c r="B59" s="80"/>
      <c r="C59" s="119" t="str">
        <f>'Necesidades Trimestrales'!E57</f>
        <v>ESTETOSCOPIO PEDIATRICO - DE CAMAPANA SIMPLE</v>
      </c>
      <c r="D59" s="119"/>
      <c r="E59" s="119"/>
      <c r="F59" s="119"/>
      <c r="G59" s="119"/>
      <c r="H59" s="76" t="s">
        <v>54</v>
      </c>
      <c r="I59" s="77" t="str">
        <f>'Necesidades Trimestrales'!F57</f>
        <v>UNIDAD</v>
      </c>
      <c r="J59" s="75">
        <f>'Necesidades Trimestrales'!H57</f>
        <v>1300</v>
      </c>
      <c r="K59" s="74">
        <f>'Necesidades Trimestrales'!G57</f>
        <v>40</v>
      </c>
    </row>
    <row r="60" spans="1:11" ht="27.75" customHeight="1" x14ac:dyDescent="0.2">
      <c r="A60" s="72">
        <v>49</v>
      </c>
      <c r="B60" s="80"/>
      <c r="C60" s="119" t="str">
        <f>'Necesidades Trimestrales'!E58</f>
        <v xml:space="preserve">FILTRO HME ADULTO HIGROBAC INTERCAMBIADOR CALOR/HUMEDAD </v>
      </c>
      <c r="D60" s="119"/>
      <c r="E60" s="119"/>
      <c r="F60" s="119"/>
      <c r="G60" s="119"/>
      <c r="H60" s="76" t="s">
        <v>54</v>
      </c>
      <c r="I60" s="77" t="str">
        <f>'Necesidades Trimestrales'!F58</f>
        <v>UNIDAD</v>
      </c>
      <c r="J60" s="75">
        <f>'Necesidades Trimestrales'!H58</f>
        <v>245</v>
      </c>
      <c r="K60" s="74">
        <f>'Necesidades Trimestrales'!G58</f>
        <v>1000</v>
      </c>
    </row>
    <row r="61" spans="1:11" ht="27.75" customHeight="1" x14ac:dyDescent="0.2">
      <c r="A61" s="72">
        <v>50</v>
      </c>
      <c r="B61" s="80"/>
      <c r="C61" s="119" t="str">
        <f>'Necesidades Trimestrales'!E59</f>
        <v>FILTRO HME BACTERIAL VIRAL PARA CIRCUITO RESPIRADOR</v>
      </c>
      <c r="D61" s="119"/>
      <c r="E61" s="119"/>
      <c r="F61" s="119"/>
      <c r="G61" s="119"/>
      <c r="H61" s="76" t="s">
        <v>54</v>
      </c>
      <c r="I61" s="77" t="str">
        <f>'Necesidades Trimestrales'!F59</f>
        <v>UNIDAD</v>
      </c>
      <c r="J61" s="75">
        <f>'Necesidades Trimestrales'!H59</f>
        <v>245</v>
      </c>
      <c r="K61" s="74">
        <f>'Necesidades Trimestrales'!G59</f>
        <v>1500</v>
      </c>
    </row>
    <row r="62" spans="1:11" ht="27.75" customHeight="1" x14ac:dyDescent="0.2">
      <c r="A62" s="72">
        <v>51</v>
      </c>
      <c r="B62" s="80"/>
      <c r="C62" s="119" t="str">
        <f>'Necesidades Trimestrales'!E60</f>
        <v>FILTRO PARA HEMODIALISIS 1,9 m2 HF</v>
      </c>
      <c r="D62" s="119"/>
      <c r="E62" s="119"/>
      <c r="F62" s="119"/>
      <c r="G62" s="119"/>
      <c r="H62" s="76" t="s">
        <v>64</v>
      </c>
      <c r="I62" s="77" t="str">
        <f>'Necesidades Trimestrales'!F60</f>
        <v>UNIDAD</v>
      </c>
      <c r="J62" s="75">
        <f>'Necesidades Trimestrales'!H60</f>
        <v>750</v>
      </c>
      <c r="K62" s="74">
        <f>'Necesidades Trimestrales'!G60</f>
        <v>100</v>
      </c>
    </row>
    <row r="63" spans="1:11" ht="27.75" customHeight="1" x14ac:dyDescent="0.2">
      <c r="A63" s="72">
        <v>52</v>
      </c>
      <c r="B63" s="80"/>
      <c r="C63" s="119" t="str">
        <f>'Necesidades Trimestrales'!E61</f>
        <v xml:space="preserve">INTERFASE P/VNI TALLE M TOTAL FACE </v>
      </c>
      <c r="D63" s="119"/>
      <c r="E63" s="119"/>
      <c r="F63" s="119"/>
      <c r="G63" s="119"/>
      <c r="H63" s="76" t="s">
        <v>54</v>
      </c>
      <c r="I63" s="77" t="str">
        <f>'Necesidades Trimestrales'!F61</f>
        <v>UNIDAD</v>
      </c>
      <c r="J63" s="75">
        <f>'Necesidades Trimestrales'!H61</f>
        <v>25600</v>
      </c>
      <c r="K63" s="74">
        <f>'Necesidades Trimestrales'!G61</f>
        <v>2</v>
      </c>
    </row>
    <row r="64" spans="1:11" ht="27.75" customHeight="1" x14ac:dyDescent="0.2">
      <c r="A64" s="72">
        <v>53</v>
      </c>
      <c r="B64" s="80"/>
      <c r="C64" s="119" t="str">
        <f>'Necesidades Trimestrales'!E62</f>
        <v>JUEGO DE TRANSDUCTOR SENCILLO T/DTX PLUS DT4812-BD</v>
      </c>
      <c r="D64" s="119"/>
      <c r="E64" s="119"/>
      <c r="F64" s="119"/>
      <c r="G64" s="119"/>
      <c r="H64" s="76" t="s">
        <v>64</v>
      </c>
      <c r="I64" s="77" t="str">
        <f>'Necesidades Trimestrales'!F62</f>
        <v>UNIDAD</v>
      </c>
      <c r="J64" s="75">
        <f>'Necesidades Trimestrales'!H62</f>
        <v>3100</v>
      </c>
      <c r="K64" s="74">
        <f>'Necesidades Trimestrales'!G62</f>
        <v>30</v>
      </c>
    </row>
    <row r="65" spans="1:15" ht="27.75" customHeight="1" x14ac:dyDescent="0.2">
      <c r="A65" s="72">
        <v>54</v>
      </c>
      <c r="B65" s="80"/>
      <c r="C65" s="119" t="str">
        <f>'Necesidades Trimestrales'!E63</f>
        <v>KIT RESUCITADOR MANUAL NEONATAL - TIPO "FISHER PAYKEL" SIN MASCARA</v>
      </c>
      <c r="D65" s="119"/>
      <c r="E65" s="119"/>
      <c r="F65" s="119"/>
      <c r="G65" s="119"/>
      <c r="H65" s="76" t="s">
        <v>54</v>
      </c>
      <c r="I65" s="77" t="str">
        <f>'Necesidades Trimestrales'!F63</f>
        <v>UNIDAD</v>
      </c>
      <c r="J65" s="75">
        <f>'Necesidades Trimestrales'!H63</f>
        <v>2600</v>
      </c>
      <c r="K65" s="74">
        <f>'Necesidades Trimestrales'!G63</f>
        <v>4</v>
      </c>
    </row>
    <row r="66" spans="1:15" ht="27.75" customHeight="1" x14ac:dyDescent="0.2">
      <c r="A66" s="72">
        <v>55</v>
      </c>
      <c r="B66" s="80"/>
      <c r="C66" s="119" t="str">
        <f>'Necesidades Trimestrales'!E64</f>
        <v>MANGO P/CANULA ASP.E IRRIGACION C/CONTROL MANUAL D</v>
      </c>
      <c r="D66" s="119"/>
      <c r="E66" s="119"/>
      <c r="F66" s="119"/>
      <c r="G66" s="119"/>
      <c r="H66" s="76" t="s">
        <v>54</v>
      </c>
      <c r="I66" s="77" t="str">
        <f>'Necesidades Trimestrales'!F64</f>
        <v>UNIDAD</v>
      </c>
      <c r="J66" s="75">
        <f>'Necesidades Trimestrales'!H64</f>
        <v>390</v>
      </c>
      <c r="K66" s="74">
        <f>'Necesidades Trimestrales'!G64</f>
        <v>50</v>
      </c>
    </row>
    <row r="67" spans="1:15" ht="27.75" customHeight="1" x14ac:dyDescent="0.2">
      <c r="A67" s="72">
        <v>56</v>
      </c>
      <c r="B67" s="80"/>
      <c r="C67" s="119" t="str">
        <f>'Necesidades Trimestrales'!E65</f>
        <v>MANGO P/HOJA DE BISTURI N°3 H10-15</v>
      </c>
      <c r="D67" s="119"/>
      <c r="E67" s="119"/>
      <c r="F67" s="119"/>
      <c r="G67" s="119"/>
      <c r="H67" s="76" t="s">
        <v>54</v>
      </c>
      <c r="I67" s="77" t="str">
        <f>'Necesidades Trimestrales'!F65</f>
        <v>UNIDAD</v>
      </c>
      <c r="J67" s="75">
        <f>'Necesidades Trimestrales'!H65</f>
        <v>650</v>
      </c>
      <c r="K67" s="74">
        <f>'Necesidades Trimestrales'!G65</f>
        <v>50</v>
      </c>
    </row>
    <row r="68" spans="1:15" ht="27.75" customHeight="1" x14ac:dyDescent="0.2">
      <c r="A68" s="72">
        <v>57</v>
      </c>
      <c r="B68" s="80"/>
      <c r="C68" s="119" t="str">
        <f>'Necesidades Trimestrales'!E66</f>
        <v>MANGO P/HOJA DE BISTURI Nª4 H20-24</v>
      </c>
      <c r="D68" s="119"/>
      <c r="E68" s="119"/>
      <c r="F68" s="119"/>
      <c r="G68" s="119"/>
      <c r="H68" s="76" t="s">
        <v>54</v>
      </c>
      <c r="I68" s="77" t="str">
        <f>'Necesidades Trimestrales'!F66</f>
        <v>UNIDAD</v>
      </c>
      <c r="J68" s="75">
        <f>'Necesidades Trimestrales'!H66</f>
        <v>650</v>
      </c>
      <c r="K68" s="74">
        <f>'Necesidades Trimestrales'!G66</f>
        <v>10</v>
      </c>
    </row>
    <row r="69" spans="1:15" ht="27.75" customHeight="1" x14ac:dyDescent="0.2">
      <c r="A69" s="72">
        <v>58</v>
      </c>
      <c r="B69" s="80"/>
      <c r="C69" s="119" t="str">
        <f>'Necesidades Trimestrales'!E67</f>
        <v>MANGUITOS NEONATALES 1 TUBO TIPO &lt;ETHOX&gt; tamaño 1 - MODELO 5101</v>
      </c>
      <c r="D69" s="119"/>
      <c r="E69" s="119"/>
      <c r="F69" s="119"/>
      <c r="G69" s="119"/>
      <c r="H69" s="76" t="s">
        <v>54</v>
      </c>
      <c r="I69" s="77" t="str">
        <f>'Necesidades Trimestrales'!F67</f>
        <v>UNIDAD</v>
      </c>
      <c r="J69" s="75">
        <f>'Necesidades Trimestrales'!H67</f>
        <v>1643</v>
      </c>
      <c r="K69" s="74">
        <f>'Necesidades Trimestrales'!G67</f>
        <v>10</v>
      </c>
    </row>
    <row r="70" spans="1:15" ht="27.75" customHeight="1" x14ac:dyDescent="0.2">
      <c r="A70" s="72">
        <v>59</v>
      </c>
      <c r="B70" s="80"/>
      <c r="C70" s="119" t="str">
        <f>'Necesidades Trimestrales'!E68</f>
        <v>MANGUITOS NEONATALES 1 TUBO TIPO &lt;ETHOX&gt; tamaño 2 - MODELO 5102</v>
      </c>
      <c r="D70" s="119"/>
      <c r="E70" s="119"/>
      <c r="F70" s="119"/>
      <c r="G70" s="119"/>
      <c r="H70" s="76" t="s">
        <v>54</v>
      </c>
      <c r="I70" s="77" t="str">
        <f>'Necesidades Trimestrales'!F68</f>
        <v>UNIDAD</v>
      </c>
      <c r="J70" s="75">
        <f>'Necesidades Trimestrales'!H68</f>
        <v>1643</v>
      </c>
      <c r="K70" s="74">
        <f>'Necesidades Trimestrales'!G68</f>
        <v>10</v>
      </c>
    </row>
    <row r="71" spans="1:15" ht="27.75" customHeight="1" x14ac:dyDescent="0.2">
      <c r="A71" s="72">
        <v>60</v>
      </c>
      <c r="B71" s="80"/>
      <c r="C71" s="119" t="str">
        <f>'Necesidades Trimestrales'!E69</f>
        <v>MANGUITOS NEONATALES 1 TUBO TIPO &lt;ETHOX&gt; tamaño 3 - MODELO 5103</v>
      </c>
      <c r="D71" s="119"/>
      <c r="E71" s="119"/>
      <c r="F71" s="119"/>
      <c r="G71" s="119"/>
      <c r="H71" s="76" t="s">
        <v>54</v>
      </c>
      <c r="I71" s="77" t="str">
        <f>'Necesidades Trimestrales'!F69</f>
        <v>UNIDAD</v>
      </c>
      <c r="J71" s="75">
        <f>'Necesidades Trimestrales'!H69</f>
        <v>1643</v>
      </c>
      <c r="K71" s="74">
        <f>'Necesidades Trimestrales'!G69</f>
        <v>10</v>
      </c>
    </row>
    <row r="72" spans="1:15" ht="27.75" customHeight="1" x14ac:dyDescent="0.2">
      <c r="A72" s="72">
        <v>61</v>
      </c>
      <c r="B72" s="80"/>
      <c r="C72" s="119" t="str">
        <f>'Necesidades Trimestrales'!E70</f>
        <v>MASCARA AMBU BORDE INFLABLE Nª1 (INFANTIL)</v>
      </c>
      <c r="D72" s="119"/>
      <c r="E72" s="119"/>
      <c r="F72" s="119"/>
      <c r="G72" s="119"/>
      <c r="H72" s="76" t="s">
        <v>54</v>
      </c>
      <c r="I72" s="77" t="str">
        <f>'Necesidades Trimestrales'!F70</f>
        <v>UNIDAD</v>
      </c>
      <c r="J72" s="75">
        <f>'Necesidades Trimestrales'!H70</f>
        <v>408</v>
      </c>
      <c r="K72" s="74">
        <f>'Necesidades Trimestrales'!G70</f>
        <v>200</v>
      </c>
    </row>
    <row r="73" spans="1:15" ht="27.75" customHeight="1" x14ac:dyDescent="0.2">
      <c r="A73" s="72">
        <v>62</v>
      </c>
      <c r="B73" s="80"/>
      <c r="C73" s="119" t="str">
        <f>'Necesidades Trimestrales'!E71</f>
        <v>MASCARA AMBU BORDE INFLABLE Nª2 (INFANTIL)</v>
      </c>
      <c r="D73" s="119"/>
      <c r="E73" s="119"/>
      <c r="F73" s="119"/>
      <c r="G73" s="119"/>
      <c r="H73" s="76" t="s">
        <v>54</v>
      </c>
      <c r="I73" s="77" t="str">
        <f>'Necesidades Trimestrales'!F71</f>
        <v>UNIDAD</v>
      </c>
      <c r="J73" s="75">
        <f>'Necesidades Trimestrales'!H71</f>
        <v>408</v>
      </c>
      <c r="K73" s="74">
        <f>'Necesidades Trimestrales'!G71</f>
        <v>200</v>
      </c>
    </row>
    <row r="74" spans="1:15" ht="27.75" customHeight="1" x14ac:dyDescent="0.2">
      <c r="A74" s="72">
        <v>63</v>
      </c>
      <c r="B74" s="80"/>
      <c r="C74" s="119" t="str">
        <f>'Necesidades Trimestrales'!E72</f>
        <v>MASCARA AMBU BORDE INFLABLE Nª3 (INFANTIL)</v>
      </c>
      <c r="D74" s="119"/>
      <c r="E74" s="119"/>
      <c r="F74" s="119"/>
      <c r="G74" s="119"/>
      <c r="H74" s="76" t="s">
        <v>54</v>
      </c>
      <c r="I74" s="77" t="str">
        <f>'Necesidades Trimestrales'!F72</f>
        <v>UNIDAD</v>
      </c>
      <c r="J74" s="75">
        <f>'Necesidades Trimestrales'!H72</f>
        <v>408</v>
      </c>
      <c r="K74" s="74">
        <f>'Necesidades Trimestrales'!G72</f>
        <v>200</v>
      </c>
    </row>
    <row r="75" spans="1:15" ht="27.75" customHeight="1" x14ac:dyDescent="0.2">
      <c r="A75" s="72">
        <v>64</v>
      </c>
      <c r="B75" s="80"/>
      <c r="C75" s="119" t="str">
        <f>'Necesidades Trimestrales'!E73</f>
        <v>MASCARA AMBU BORDE INFLABLE Nª4 (INFANTIL)</v>
      </c>
      <c r="D75" s="119"/>
      <c r="E75" s="119"/>
      <c r="F75" s="119"/>
      <c r="G75" s="119"/>
      <c r="H75" s="76" t="s">
        <v>54</v>
      </c>
      <c r="I75" s="77" t="str">
        <f>'Necesidades Trimestrales'!F73</f>
        <v>UNIDAD</v>
      </c>
      <c r="J75" s="75">
        <f>'Necesidades Trimestrales'!H73</f>
        <v>408</v>
      </c>
      <c r="K75" s="74">
        <f>'Necesidades Trimestrales'!G73</f>
        <v>200</v>
      </c>
      <c r="O75" s="38" t="s">
        <v>55</v>
      </c>
    </row>
    <row r="76" spans="1:15" ht="27.75" customHeight="1" x14ac:dyDescent="0.2">
      <c r="A76" s="72">
        <v>65</v>
      </c>
      <c r="B76" s="80"/>
      <c r="C76" s="119" t="str">
        <f>'Necesidades Trimestrales'!E74</f>
        <v>MASCARA FACIAL CON BORDE INFLABLE P/RESUCITADOR MANUAL ADULTO</v>
      </c>
      <c r="D76" s="119"/>
      <c r="E76" s="119"/>
      <c r="F76" s="119"/>
      <c r="G76" s="119"/>
      <c r="H76" s="76" t="s">
        <v>54</v>
      </c>
      <c r="I76" s="77" t="str">
        <f>'Necesidades Trimestrales'!F74</f>
        <v>UNIDAD</v>
      </c>
      <c r="J76" s="75">
        <f>'Necesidades Trimestrales'!H74</f>
        <v>408</v>
      </c>
      <c r="K76" s="74">
        <f>'Necesidades Trimestrales'!G74</f>
        <v>100</v>
      </c>
    </row>
    <row r="77" spans="1:15" ht="27.75" customHeight="1" x14ac:dyDescent="0.2">
      <c r="A77" s="72">
        <v>66</v>
      </c>
      <c r="B77" s="80"/>
      <c r="C77" s="119" t="str">
        <f>'Necesidades Trimestrales'!E75</f>
        <v>MASCARA FACIAL CON BORDE INFLABLE P/RESUCITADOR MANUAL PEDIATRICA</v>
      </c>
      <c r="D77" s="119"/>
      <c r="E77" s="119"/>
      <c r="F77" s="119"/>
      <c r="G77" s="119"/>
      <c r="H77" s="76" t="s">
        <v>54</v>
      </c>
      <c r="I77" s="77" t="str">
        <f>'Necesidades Trimestrales'!F75</f>
        <v>UNIDAD</v>
      </c>
      <c r="J77" s="75">
        <f>'Necesidades Trimestrales'!H75</f>
        <v>408</v>
      </c>
      <c r="K77" s="74">
        <f>'Necesidades Trimestrales'!G75</f>
        <v>100</v>
      </c>
    </row>
    <row r="78" spans="1:15" ht="27.75" customHeight="1" x14ac:dyDescent="0.2">
      <c r="A78" s="72">
        <v>67</v>
      </c>
      <c r="B78" s="80"/>
      <c r="C78" s="119" t="str">
        <f>'Necesidades Trimestrales'!E76</f>
        <v>Mascara facial para ventilación N°  3, adulto</v>
      </c>
      <c r="D78" s="119"/>
      <c r="E78" s="119"/>
      <c r="F78" s="119"/>
      <c r="G78" s="119"/>
      <c r="H78" s="76" t="s">
        <v>54</v>
      </c>
      <c r="I78" s="77" t="str">
        <f>'Necesidades Trimestrales'!F76</f>
        <v>UNIDAD</v>
      </c>
      <c r="J78" s="75">
        <f>'Necesidades Trimestrales'!H76</f>
        <v>390</v>
      </c>
      <c r="K78" s="74">
        <f>'Necesidades Trimestrales'!G76</f>
        <v>100</v>
      </c>
    </row>
    <row r="79" spans="1:15" ht="27.75" customHeight="1" x14ac:dyDescent="0.2">
      <c r="A79" s="72">
        <v>68</v>
      </c>
      <c r="B79" s="80"/>
      <c r="C79" s="119" t="str">
        <f>'Necesidades Trimestrales'!E77</f>
        <v xml:space="preserve">Mascara facial para ventilación N°  4, adulto </v>
      </c>
      <c r="D79" s="119"/>
      <c r="E79" s="119"/>
      <c r="F79" s="119"/>
      <c r="G79" s="119"/>
      <c r="H79" s="76" t="s">
        <v>54</v>
      </c>
      <c r="I79" s="77" t="str">
        <f>'Necesidades Trimestrales'!F77</f>
        <v>UNIDAD</v>
      </c>
      <c r="J79" s="75">
        <f>'Necesidades Trimestrales'!H77</f>
        <v>390</v>
      </c>
      <c r="K79" s="74">
        <f>'Necesidades Trimestrales'!G77</f>
        <v>100</v>
      </c>
    </row>
    <row r="80" spans="1:15" ht="27.75" customHeight="1" x14ac:dyDescent="0.2">
      <c r="A80" s="72">
        <v>69</v>
      </c>
      <c r="B80" s="80"/>
      <c r="C80" s="119" t="str">
        <f>'Necesidades Trimestrales'!E78</f>
        <v xml:space="preserve">Mascara facial para ventilación N° 1, adulto </v>
      </c>
      <c r="D80" s="119"/>
      <c r="E80" s="119"/>
      <c r="F80" s="119"/>
      <c r="G80" s="119"/>
      <c r="H80" s="76" t="s">
        <v>54</v>
      </c>
      <c r="I80" s="77" t="str">
        <f>'Necesidades Trimestrales'!F78</f>
        <v>UNIDAD</v>
      </c>
      <c r="J80" s="75">
        <f>'Necesidades Trimestrales'!H78</f>
        <v>390</v>
      </c>
      <c r="K80" s="74">
        <f>'Necesidades Trimestrales'!G78</f>
        <v>100</v>
      </c>
    </row>
    <row r="81" spans="1:11" ht="27.75" customHeight="1" x14ac:dyDescent="0.2">
      <c r="A81" s="72">
        <v>70</v>
      </c>
      <c r="B81" s="80"/>
      <c r="C81" s="119" t="str">
        <f>'Necesidades Trimestrales'!E79</f>
        <v xml:space="preserve">Mascara facial para ventilación N° 2, adulto </v>
      </c>
      <c r="D81" s="119"/>
      <c r="E81" s="119"/>
      <c r="F81" s="119"/>
      <c r="G81" s="119"/>
      <c r="H81" s="76" t="s">
        <v>54</v>
      </c>
      <c r="I81" s="77" t="str">
        <f>'Necesidades Trimestrales'!F79</f>
        <v>UNIDAD</v>
      </c>
      <c r="J81" s="75">
        <f>'Necesidades Trimestrales'!H79</f>
        <v>390</v>
      </c>
      <c r="K81" s="74">
        <f>'Necesidades Trimestrales'!G79</f>
        <v>100</v>
      </c>
    </row>
    <row r="82" spans="1:11" ht="27.75" customHeight="1" x14ac:dyDescent="0.2">
      <c r="A82" s="72">
        <v>71</v>
      </c>
      <c r="B82" s="80"/>
      <c r="C82" s="119" t="str">
        <f>'Necesidades Trimestrales'!E80</f>
        <v>MASCARA LARINGEA N°2</v>
      </c>
      <c r="D82" s="119"/>
      <c r="E82" s="119"/>
      <c r="F82" s="119"/>
      <c r="G82" s="119"/>
      <c r="H82" s="76" t="s">
        <v>54</v>
      </c>
      <c r="I82" s="77" t="str">
        <f>'Necesidades Trimestrales'!F80</f>
        <v>UNIDAD</v>
      </c>
      <c r="J82" s="75">
        <f>'Necesidades Trimestrales'!H80</f>
        <v>2000</v>
      </c>
      <c r="K82" s="74">
        <f>'Necesidades Trimestrales'!G80</f>
        <v>50</v>
      </c>
    </row>
    <row r="83" spans="1:11" ht="27.75" customHeight="1" x14ac:dyDescent="0.2">
      <c r="A83" s="72">
        <v>72</v>
      </c>
      <c r="B83" s="80"/>
      <c r="C83" s="119" t="str">
        <f>'Necesidades Trimestrales'!E81</f>
        <v>MASCARA LARINGEA N°3</v>
      </c>
      <c r="D83" s="119"/>
      <c r="E83" s="119"/>
      <c r="F83" s="119"/>
      <c r="G83" s="119"/>
      <c r="H83" s="76" t="s">
        <v>54</v>
      </c>
      <c r="I83" s="77" t="str">
        <f>'Necesidades Trimestrales'!F81</f>
        <v>UNIDAD</v>
      </c>
      <c r="J83" s="75">
        <f>'Necesidades Trimestrales'!H81</f>
        <v>2000</v>
      </c>
      <c r="K83" s="74">
        <f>'Necesidades Trimestrales'!G81</f>
        <v>50</v>
      </c>
    </row>
    <row r="84" spans="1:11" ht="27.75" customHeight="1" x14ac:dyDescent="0.2">
      <c r="A84" s="72">
        <v>73</v>
      </c>
      <c r="B84" s="80"/>
      <c r="C84" s="119" t="str">
        <f>'Necesidades Trimestrales'!E82</f>
        <v xml:space="preserve">MASCARA LARINGEA N°4 </v>
      </c>
      <c r="D84" s="119"/>
      <c r="E84" s="119"/>
      <c r="F84" s="119"/>
      <c r="G84" s="119"/>
      <c r="H84" s="76" t="s">
        <v>54</v>
      </c>
      <c r="I84" s="77" t="str">
        <f>'Necesidades Trimestrales'!F82</f>
        <v>UNIDAD</v>
      </c>
      <c r="J84" s="75">
        <f>'Necesidades Trimestrales'!H82</f>
        <v>2000</v>
      </c>
      <c r="K84" s="74">
        <f>'Necesidades Trimestrales'!G82</f>
        <v>50</v>
      </c>
    </row>
    <row r="85" spans="1:11" ht="27.75" customHeight="1" x14ac:dyDescent="0.2">
      <c r="A85" s="72">
        <v>74</v>
      </c>
      <c r="B85" s="80"/>
      <c r="C85" s="119" t="str">
        <f>'Necesidades Trimestrales'!E83</f>
        <v>MASCARA P/AERO-KAM SILFAB BEBES COD.PA04</v>
      </c>
      <c r="D85" s="119"/>
      <c r="E85" s="119"/>
      <c r="F85" s="119"/>
      <c r="G85" s="119"/>
      <c r="H85" s="76" t="s">
        <v>54</v>
      </c>
      <c r="I85" s="77" t="str">
        <f>'Necesidades Trimestrales'!F83</f>
        <v>UNIDAD</v>
      </c>
      <c r="J85" s="75">
        <f>'Necesidades Trimestrales'!H83</f>
        <v>40</v>
      </c>
      <c r="K85" s="74">
        <f>'Necesidades Trimestrales'!G83</f>
        <v>1000</v>
      </c>
    </row>
    <row r="86" spans="1:11" ht="27.75" customHeight="1" x14ac:dyDescent="0.2">
      <c r="A86" s="72">
        <v>75</v>
      </c>
      <c r="B86" s="80"/>
      <c r="C86" s="119" t="str">
        <f>'Necesidades Trimestrales'!E84</f>
        <v>MASCARA P/AERO-KAM SILFAB NIÑOS COD.PA02</v>
      </c>
      <c r="D86" s="119"/>
      <c r="E86" s="119"/>
      <c r="F86" s="119"/>
      <c r="G86" s="119"/>
      <c r="H86" s="76" t="s">
        <v>54</v>
      </c>
      <c r="I86" s="77" t="str">
        <f>'Necesidades Trimestrales'!F84</f>
        <v>UNIDAD</v>
      </c>
      <c r="J86" s="75">
        <f>'Necesidades Trimestrales'!H84</f>
        <v>40</v>
      </c>
      <c r="K86" s="74">
        <f>'Necesidades Trimestrales'!G84</f>
        <v>1000</v>
      </c>
    </row>
    <row r="87" spans="1:11" ht="27.75" customHeight="1" x14ac:dyDescent="0.2">
      <c r="A87" s="72">
        <v>76</v>
      </c>
      <c r="B87" s="80"/>
      <c r="C87" s="119" t="str">
        <f>'Necesidades Trimestrales'!E85</f>
        <v>MASCARA P/ALTA CONCENTRACION DE O2 C/RECER.PED.</v>
      </c>
      <c r="D87" s="119"/>
      <c r="E87" s="119"/>
      <c r="F87" s="119"/>
      <c r="G87" s="119"/>
      <c r="H87" s="76" t="s">
        <v>54</v>
      </c>
      <c r="I87" s="77" t="str">
        <f>'Necesidades Trimestrales'!F85</f>
        <v>UNIDAD</v>
      </c>
      <c r="J87" s="75">
        <f>'Necesidades Trimestrales'!H85</f>
        <v>235</v>
      </c>
      <c r="K87" s="74">
        <f>'Necesidades Trimestrales'!G85</f>
        <v>3000</v>
      </c>
    </row>
    <row r="88" spans="1:11" ht="27.75" customHeight="1" x14ac:dyDescent="0.2">
      <c r="A88" s="72">
        <v>77</v>
      </c>
      <c r="B88" s="80"/>
      <c r="C88" s="119" t="str">
        <f>'Necesidades Trimestrales'!E86</f>
        <v>Mascaras ANESTESICA BORDE INFLABLE Nº 0 TIPO  "MERCURY"</v>
      </c>
      <c r="D88" s="119"/>
      <c r="E88" s="119"/>
      <c r="F88" s="119"/>
      <c r="G88" s="119"/>
      <c r="H88" s="76" t="s">
        <v>54</v>
      </c>
      <c r="I88" s="77" t="str">
        <f>'Necesidades Trimestrales'!F86</f>
        <v>UNIDAD</v>
      </c>
      <c r="J88" s="75">
        <f>'Necesidades Trimestrales'!H86</f>
        <v>2250</v>
      </c>
      <c r="K88" s="74">
        <f>'Necesidades Trimestrales'!G86</f>
        <v>50</v>
      </c>
    </row>
    <row r="89" spans="1:11" ht="27.75" customHeight="1" x14ac:dyDescent="0.2">
      <c r="A89" s="72">
        <v>78</v>
      </c>
      <c r="B89" s="80"/>
      <c r="C89" s="119" t="str">
        <f>'Necesidades Trimestrales'!E87</f>
        <v>Mascaras ANESTESICA BORDE INFLABLE Nº 1 TIPO  "MERCURY"</v>
      </c>
      <c r="D89" s="119"/>
      <c r="E89" s="119"/>
      <c r="F89" s="119"/>
      <c r="G89" s="119"/>
      <c r="H89" s="76" t="s">
        <v>54</v>
      </c>
      <c r="I89" s="77" t="str">
        <f>'Necesidades Trimestrales'!F87</f>
        <v>UNIDAD</v>
      </c>
      <c r="J89" s="75">
        <f>'Necesidades Trimestrales'!H87</f>
        <v>2250</v>
      </c>
      <c r="K89" s="74">
        <f>'Necesidades Trimestrales'!G87</f>
        <v>50</v>
      </c>
    </row>
    <row r="90" spans="1:11" ht="27.75" customHeight="1" x14ac:dyDescent="0.2">
      <c r="A90" s="72">
        <v>79</v>
      </c>
      <c r="B90" s="80"/>
      <c r="C90" s="119" t="str">
        <f>'Necesidades Trimestrales'!E88</f>
        <v>MASCARAS CON RESERVORIO</v>
      </c>
      <c r="D90" s="119"/>
      <c r="E90" s="119"/>
      <c r="F90" s="119"/>
      <c r="G90" s="119"/>
      <c r="H90" s="76" t="s">
        <v>54</v>
      </c>
      <c r="I90" s="77" t="str">
        <f>'Necesidades Trimestrales'!F88</f>
        <v>UNIDAD</v>
      </c>
      <c r="J90" s="75">
        <f>'Necesidades Trimestrales'!H88</f>
        <v>235</v>
      </c>
      <c r="K90" s="74">
        <f>'Necesidades Trimestrales'!G88</f>
        <v>2000</v>
      </c>
    </row>
    <row r="91" spans="1:11" ht="27.75" customHeight="1" x14ac:dyDescent="0.2">
      <c r="A91" s="72">
        <v>80</v>
      </c>
      <c r="B91" s="80"/>
      <c r="C91" s="119" t="str">
        <f>'Necesidades Trimestrales'!E89</f>
        <v>RAMAS P/ RESPIRADOR ALTA FRECUENCIA (SENSOR MEDICS A3100)</v>
      </c>
      <c r="D91" s="119"/>
      <c r="E91" s="119"/>
      <c r="F91" s="119"/>
      <c r="G91" s="119"/>
      <c r="H91" s="76" t="s">
        <v>54</v>
      </c>
      <c r="I91" s="77" t="str">
        <f>'Necesidades Trimestrales'!F89</f>
        <v>UNIDAD</v>
      </c>
      <c r="J91" s="75">
        <f>'Necesidades Trimestrales'!H89</f>
        <v>2000</v>
      </c>
      <c r="K91" s="74">
        <f>'Necesidades Trimestrales'!G89</f>
        <v>20</v>
      </c>
    </row>
    <row r="92" spans="1:11" ht="27.75" customHeight="1" x14ac:dyDescent="0.2">
      <c r="A92" s="72">
        <v>81</v>
      </c>
      <c r="B92" s="80"/>
      <c r="C92" s="119" t="str">
        <f>'Necesidades Trimestrales'!E90</f>
        <v>RAMAS P/ RESPIRADOR ALTA FRECUENCIA (SENSOR MEDICS A3000)</v>
      </c>
      <c r="D92" s="119"/>
      <c r="E92" s="119"/>
      <c r="F92" s="119"/>
      <c r="G92" s="119"/>
      <c r="H92" s="76" t="s">
        <v>64</v>
      </c>
      <c r="I92" s="77" t="str">
        <f>'Necesidades Trimestrales'!F90</f>
        <v>UNIDAD</v>
      </c>
      <c r="J92" s="75">
        <f>'Necesidades Trimestrales'!H90</f>
        <v>2000</v>
      </c>
      <c r="K92" s="74">
        <f>'Necesidades Trimestrales'!G90</f>
        <v>20</v>
      </c>
    </row>
    <row r="93" spans="1:11" ht="27.75" customHeight="1" x14ac:dyDescent="0.2">
      <c r="A93" s="72">
        <v>82</v>
      </c>
      <c r="B93" s="80"/>
      <c r="C93" s="119" t="str">
        <f>'Necesidades Trimestrales'!E91</f>
        <v>RESUCITADOR MANUAL ADULTO REUTILIZABLE</v>
      </c>
      <c r="D93" s="119"/>
      <c r="E93" s="119"/>
      <c r="F93" s="119"/>
      <c r="G93" s="119"/>
      <c r="H93" s="76" t="s">
        <v>54</v>
      </c>
      <c r="I93" s="77" t="str">
        <f>'Necesidades Trimestrales'!F91</f>
        <v>UNIDAD</v>
      </c>
      <c r="J93" s="75">
        <f>'Necesidades Trimestrales'!H91</f>
        <v>2250</v>
      </c>
      <c r="K93" s="74">
        <f>'Necesidades Trimestrales'!G91</f>
        <v>50</v>
      </c>
    </row>
    <row r="94" spans="1:11" ht="27.75" customHeight="1" x14ac:dyDescent="0.2">
      <c r="A94" s="72">
        <v>83</v>
      </c>
      <c r="B94" s="80"/>
      <c r="C94" s="119" t="str">
        <f>'Necesidades Trimestrales'!E92</f>
        <v>RESUCITADOR MANUAL NEONATAL - TIPO "MERCURY" CON MANOMETRO DE PRESION Y  VALVULA DE PIT</v>
      </c>
      <c r="D94" s="119"/>
      <c r="E94" s="119"/>
      <c r="F94" s="119"/>
      <c r="G94" s="119"/>
      <c r="H94" s="76" t="s">
        <v>54</v>
      </c>
      <c r="I94" s="77" t="str">
        <f>'Necesidades Trimestrales'!F92</f>
        <v>UNIDAD</v>
      </c>
      <c r="J94" s="75">
        <f>'Necesidades Trimestrales'!H92</f>
        <v>2500</v>
      </c>
      <c r="K94" s="74">
        <f>'Necesidades Trimestrales'!G92</f>
        <v>5</v>
      </c>
    </row>
    <row r="95" spans="1:11" ht="27.75" customHeight="1" x14ac:dyDescent="0.2">
      <c r="A95" s="72">
        <v>84</v>
      </c>
      <c r="B95" s="80"/>
      <c r="C95" s="119" t="str">
        <f>'Necesidades Trimestrales'!E93</f>
        <v xml:space="preserve">RESUCITADOR MANUAL PEDIATRICO REUTILIZABLE </v>
      </c>
      <c r="D95" s="119"/>
      <c r="E95" s="119"/>
      <c r="F95" s="119"/>
      <c r="G95" s="119"/>
      <c r="H95" s="76" t="s">
        <v>54</v>
      </c>
      <c r="I95" s="77" t="str">
        <f>'Necesidades Trimestrales'!F93</f>
        <v>UNIDAD</v>
      </c>
      <c r="J95" s="75">
        <f>'Necesidades Trimestrales'!H93</f>
        <v>2500</v>
      </c>
      <c r="K95" s="74">
        <f>'Necesidades Trimestrales'!G93</f>
        <v>5</v>
      </c>
    </row>
    <row r="96" spans="1:11" ht="27.75" customHeight="1" x14ac:dyDescent="0.2">
      <c r="A96" s="72">
        <v>85</v>
      </c>
      <c r="B96" s="80"/>
      <c r="C96" s="119" t="str">
        <f>'Necesidades Trimestrales'!E94</f>
        <v>SENSOR DE FLUJO REUTILIZABLE PARA SLE5000 MODELO N5201 - MARCA MEDIX</v>
      </c>
      <c r="D96" s="119"/>
      <c r="E96" s="119"/>
      <c r="F96" s="119"/>
      <c r="G96" s="119"/>
      <c r="H96" s="76" t="s">
        <v>64</v>
      </c>
      <c r="I96" s="77" t="str">
        <f>'Necesidades Trimestrales'!F94</f>
        <v>UNIDAD</v>
      </c>
      <c r="J96" s="75">
        <f>'Necesidades Trimestrales'!H94</f>
        <v>3490</v>
      </c>
      <c r="K96" s="74">
        <f>'Necesidades Trimestrales'!G94</f>
        <v>10</v>
      </c>
    </row>
    <row r="97" spans="1:11" ht="27.75" customHeight="1" x14ac:dyDescent="0.2">
      <c r="A97" s="72">
        <v>86</v>
      </c>
      <c r="B97" s="80"/>
      <c r="C97" s="119" t="str">
        <f>'Necesidades Trimestrales'!E95</f>
        <v>SENSOR DE OXIGENO ADULTO T/OXIMAX</v>
      </c>
      <c r="D97" s="119"/>
      <c r="E97" s="119"/>
      <c r="F97" s="119"/>
      <c r="G97" s="119"/>
      <c r="H97" s="76" t="s">
        <v>54</v>
      </c>
      <c r="I97" s="77" t="str">
        <f>'Necesidades Trimestrales'!F95</f>
        <v>UNIDAD</v>
      </c>
      <c r="J97" s="75">
        <f>'Necesidades Trimestrales'!H95</f>
        <v>500</v>
      </c>
      <c r="K97" s="74">
        <f>'Necesidades Trimestrales'!G95</f>
        <v>300</v>
      </c>
    </row>
    <row r="98" spans="1:11" ht="27.75" customHeight="1" x14ac:dyDescent="0.2">
      <c r="A98" s="72">
        <v>87</v>
      </c>
      <c r="B98" s="80"/>
      <c r="C98" s="119" t="str">
        <f>'Necesidades Trimestrales'!E96</f>
        <v>SENSOR DE OXIGENO NEONATAL T/OXIMAX</v>
      </c>
      <c r="D98" s="119"/>
      <c r="E98" s="119"/>
      <c r="F98" s="119"/>
      <c r="G98" s="119"/>
      <c r="H98" s="76" t="s">
        <v>54</v>
      </c>
      <c r="I98" s="77" t="str">
        <f>'Necesidades Trimestrales'!F96</f>
        <v>UNIDAD</v>
      </c>
      <c r="J98" s="75">
        <f>'Necesidades Trimestrales'!H96</f>
        <v>500</v>
      </c>
      <c r="K98" s="74">
        <f>'Necesidades Trimestrales'!G96</f>
        <v>300</v>
      </c>
    </row>
    <row r="99" spans="1:11" ht="27.75" customHeight="1" x14ac:dyDescent="0.2">
      <c r="A99" s="72">
        <v>88</v>
      </c>
      <c r="B99" s="80"/>
      <c r="C99" s="119" t="str">
        <f>'Necesidades Trimestrales'!E97</f>
        <v>SENSOR P/SATUROMETRIA PEDIATRICO REUTILIZABLE 04-15KG T/PHILIPS</v>
      </c>
      <c r="D99" s="119"/>
      <c r="E99" s="119"/>
      <c r="F99" s="119"/>
      <c r="G99" s="119"/>
      <c r="H99" s="76" t="s">
        <v>54</v>
      </c>
      <c r="I99" s="77" t="str">
        <f>'Necesidades Trimestrales'!F97</f>
        <v>UNIDAD</v>
      </c>
      <c r="J99" s="75">
        <f>'Necesidades Trimestrales'!H97</f>
        <v>5600</v>
      </c>
      <c r="K99" s="74">
        <f>'Necesidades Trimestrales'!G97</f>
        <v>50</v>
      </c>
    </row>
    <row r="100" spans="1:11" ht="27.75" customHeight="1" x14ac:dyDescent="0.2">
      <c r="A100" s="72">
        <v>89</v>
      </c>
      <c r="B100" s="80"/>
      <c r="C100" s="119" t="str">
        <f>'Necesidades Trimestrales'!E98</f>
        <v>SENSOR P/SATUROMETRIA PEDIATRICO REUTILIZABLE 15-50KG T/PHILIPS</v>
      </c>
      <c r="D100" s="119"/>
      <c r="E100" s="119"/>
      <c r="F100" s="119"/>
      <c r="G100" s="119"/>
      <c r="H100" s="76" t="s">
        <v>54</v>
      </c>
      <c r="I100" s="77" t="str">
        <f>'Necesidades Trimestrales'!F98</f>
        <v>UNIDAD</v>
      </c>
      <c r="J100" s="75">
        <f>'Necesidades Trimestrales'!H98</f>
        <v>5600</v>
      </c>
      <c r="K100" s="74">
        <f>'Necesidades Trimestrales'!G98</f>
        <v>50</v>
      </c>
    </row>
    <row r="101" spans="1:11" ht="27.75" customHeight="1" x14ac:dyDescent="0.2">
      <c r="A101" s="72">
        <v>90</v>
      </c>
      <c r="B101" s="80"/>
      <c r="C101" s="119" t="str">
        <f>'Necesidades Trimestrales'!E99</f>
        <v xml:space="preserve">SET DE TUBULADURAS AUTOCLAVABLES INFANTILES para respirador marca “MEDIX” modelo SLE5000 infantil </v>
      </c>
      <c r="D101" s="119"/>
      <c r="E101" s="119"/>
      <c r="F101" s="119"/>
      <c r="G101" s="119"/>
      <c r="H101" s="76" t="s">
        <v>54</v>
      </c>
      <c r="I101" s="77" t="str">
        <f>'Necesidades Trimestrales'!F99</f>
        <v>UNIDAD</v>
      </c>
      <c r="J101" s="75">
        <f>'Necesidades Trimestrales'!H99</f>
        <v>2950</v>
      </c>
      <c r="K101" s="74">
        <f>'Necesidades Trimestrales'!G99</f>
        <v>30</v>
      </c>
    </row>
    <row r="102" spans="1:11" ht="27.75" customHeight="1" x14ac:dyDescent="0.2">
      <c r="A102" s="72">
        <v>91</v>
      </c>
      <c r="B102" s="80"/>
      <c r="C102" s="119" t="str">
        <f>'Necesidades Trimestrales'!E100</f>
        <v>TENSIOMETRO+ESTETOSCOPIO ADULTO X 1</v>
      </c>
      <c r="D102" s="119"/>
      <c r="E102" s="119"/>
      <c r="F102" s="119"/>
      <c r="G102" s="119"/>
      <c r="H102" s="76" t="s">
        <v>54</v>
      </c>
      <c r="I102" s="77" t="str">
        <f>'Necesidades Trimestrales'!F100</f>
        <v>UNIDAD</v>
      </c>
      <c r="J102" s="75">
        <f>'Necesidades Trimestrales'!H100</f>
        <v>2700</v>
      </c>
      <c r="K102" s="74">
        <f>'Necesidades Trimestrales'!G100</f>
        <v>30</v>
      </c>
    </row>
    <row r="103" spans="1:11" ht="27.75" customHeight="1" x14ac:dyDescent="0.2">
      <c r="A103" s="72">
        <v>92</v>
      </c>
      <c r="B103" s="80"/>
      <c r="C103" s="119" t="str">
        <f>'Necesidades Trimestrales'!E101</f>
        <v>TENSIOMETRO+ESTETOSCOPIO NEONATAL X 1</v>
      </c>
      <c r="D103" s="119"/>
      <c r="E103" s="119"/>
      <c r="F103" s="119"/>
      <c r="G103" s="119"/>
      <c r="H103" s="76" t="s">
        <v>54</v>
      </c>
      <c r="I103" s="77" t="str">
        <f>'Necesidades Trimestrales'!F101</f>
        <v>UNIDAD</v>
      </c>
      <c r="J103" s="75">
        <f>'Necesidades Trimestrales'!H101</f>
        <v>2700</v>
      </c>
      <c r="K103" s="74">
        <f>'Necesidades Trimestrales'!G101</f>
        <v>20</v>
      </c>
    </row>
    <row r="104" spans="1:11" ht="27.75" customHeight="1" x14ac:dyDescent="0.2">
      <c r="A104" s="72">
        <v>93</v>
      </c>
      <c r="B104" s="80"/>
      <c r="C104" s="119" t="str">
        <f>'Necesidades Trimestrales'!E102</f>
        <v>TENSIOMETRO+ESTETOSCOPIO PEDIATRICO X 1</v>
      </c>
      <c r="D104" s="119"/>
      <c r="E104" s="119"/>
      <c r="F104" s="119"/>
      <c r="G104" s="119"/>
      <c r="H104" s="76" t="s">
        <v>54</v>
      </c>
      <c r="I104" s="77" t="str">
        <f>'Necesidades Trimestrales'!F102</f>
        <v>UNIDAD</v>
      </c>
      <c r="J104" s="75">
        <f>'Necesidades Trimestrales'!H102</f>
        <v>2700</v>
      </c>
      <c r="K104" s="74">
        <f>'Necesidades Trimestrales'!G102</f>
        <v>20</v>
      </c>
    </row>
    <row r="105" spans="1:11" ht="27.75" customHeight="1" x14ac:dyDescent="0.2">
      <c r="A105" s="72">
        <v>94</v>
      </c>
      <c r="B105" s="80"/>
      <c r="C105" s="119" t="str">
        <f>'Necesidades Trimestrales'!E103</f>
        <v>TRANSDUCTOR DE PRESION INV COMPLETO T/EDWARDS</v>
      </c>
      <c r="D105" s="119"/>
      <c r="E105" s="119"/>
      <c r="F105" s="119"/>
      <c r="G105" s="119"/>
      <c r="H105" s="76" t="s">
        <v>54</v>
      </c>
      <c r="I105" s="77" t="str">
        <f>'Necesidades Trimestrales'!F103</f>
        <v>UNIDAD</v>
      </c>
      <c r="J105" s="75">
        <f>'Necesidades Trimestrales'!H103</f>
        <v>18371</v>
      </c>
      <c r="K105" s="74">
        <f>'Necesidades Trimestrales'!G103</f>
        <v>100</v>
      </c>
    </row>
    <row r="106" spans="1:11" ht="27.75" customHeight="1" x14ac:dyDescent="0.2">
      <c r="A106" s="72">
        <v>95</v>
      </c>
      <c r="B106" s="80"/>
      <c r="C106" s="119" t="str">
        <f>'Necesidades Trimestrales'!E104</f>
        <v>TUBO DE KHER DE GOMA Nº16</v>
      </c>
      <c r="D106" s="119"/>
      <c r="E106" s="119"/>
      <c r="F106" s="119"/>
      <c r="G106" s="119"/>
      <c r="H106" s="76" t="s">
        <v>54</v>
      </c>
      <c r="I106" s="77" t="str">
        <f>'Necesidades Trimestrales'!F104</f>
        <v>UNIDAD</v>
      </c>
      <c r="J106" s="75">
        <f>'Necesidades Trimestrales'!H104</f>
        <v>500</v>
      </c>
      <c r="K106" s="74">
        <f>'Necesidades Trimestrales'!G104</f>
        <v>20</v>
      </c>
    </row>
    <row r="107" spans="1:11" ht="27.75" customHeight="1" x14ac:dyDescent="0.2">
      <c r="A107" s="72">
        <v>96</v>
      </c>
      <c r="B107" s="80"/>
      <c r="C107" s="119" t="str">
        <f>'Necesidades Trimestrales'!E105</f>
        <v>TUBO DE KHER DE GOMA Nº18</v>
      </c>
      <c r="D107" s="119"/>
      <c r="E107" s="119"/>
      <c r="F107" s="119"/>
      <c r="G107" s="119"/>
      <c r="H107" s="76" t="s">
        <v>54</v>
      </c>
      <c r="I107" s="77" t="str">
        <f>'Necesidades Trimestrales'!F105</f>
        <v>UNIDAD</v>
      </c>
      <c r="J107" s="75">
        <f>'Necesidades Trimestrales'!H105</f>
        <v>500</v>
      </c>
      <c r="K107" s="74">
        <f>'Necesidades Trimestrales'!G105</f>
        <v>20</v>
      </c>
    </row>
    <row r="108" spans="1:11" ht="27.75" customHeight="1" x14ac:dyDescent="0.2">
      <c r="A108" s="72">
        <v>97</v>
      </c>
      <c r="B108" s="80"/>
      <c r="C108" s="119" t="str">
        <f>'Necesidades Trimestrales'!E106</f>
        <v>TUBO DE KHER DE GOMA Nº10</v>
      </c>
      <c r="D108" s="119"/>
      <c r="E108" s="119"/>
      <c r="F108" s="119"/>
      <c r="G108" s="119"/>
      <c r="H108" s="76" t="s">
        <v>54</v>
      </c>
      <c r="I108" s="77" t="str">
        <f>'Necesidades Trimestrales'!F106</f>
        <v>UNIDAD</v>
      </c>
      <c r="J108" s="75">
        <f>'Necesidades Trimestrales'!H106</f>
        <v>500</v>
      </c>
      <c r="K108" s="74">
        <f>'Necesidades Trimestrales'!G106</f>
        <v>20</v>
      </c>
    </row>
    <row r="109" spans="1:11" ht="27.75" customHeight="1" x14ac:dyDescent="0.2">
      <c r="A109" s="72">
        <v>98</v>
      </c>
      <c r="B109" s="80"/>
      <c r="C109" s="119" t="str">
        <f>'Necesidades Trimestrales'!E107</f>
        <v>TUBO DE KHER DE GOMA Nº12</v>
      </c>
      <c r="D109" s="119"/>
      <c r="E109" s="119"/>
      <c r="F109" s="119"/>
      <c r="G109" s="119"/>
      <c r="H109" s="76" t="s">
        <v>54</v>
      </c>
      <c r="I109" s="77" t="str">
        <f>'Necesidades Trimestrales'!F107</f>
        <v>UNIDAD</v>
      </c>
      <c r="J109" s="75">
        <f>'Necesidades Trimestrales'!H107</f>
        <v>500</v>
      </c>
      <c r="K109" s="74">
        <f>'Necesidades Trimestrales'!G107</f>
        <v>20</v>
      </c>
    </row>
    <row r="110" spans="1:11" ht="27.75" customHeight="1" x14ac:dyDescent="0.2">
      <c r="A110" s="72">
        <v>99</v>
      </c>
      <c r="B110" s="80"/>
      <c r="C110" s="119" t="str">
        <f>'Necesidades Trimestrales'!E108</f>
        <v>TUBO DE KHER DE GOMA Nº14</v>
      </c>
      <c r="D110" s="119"/>
      <c r="E110" s="119"/>
      <c r="F110" s="119"/>
      <c r="G110" s="119"/>
      <c r="H110" s="76" t="s">
        <v>54</v>
      </c>
      <c r="I110" s="77" t="str">
        <f>'Necesidades Trimestrales'!F108</f>
        <v>UNIDAD</v>
      </c>
      <c r="J110" s="75">
        <f>'Necesidades Trimestrales'!H108</f>
        <v>500</v>
      </c>
      <c r="K110" s="74">
        <f>'Necesidades Trimestrales'!G108</f>
        <v>20</v>
      </c>
    </row>
    <row r="111" spans="1:11" ht="27.75" customHeight="1" x14ac:dyDescent="0.2">
      <c r="A111" s="72">
        <v>100</v>
      </c>
      <c r="B111" s="80"/>
      <c r="C111" s="119" t="str">
        <f>'Necesidades Trimestrales'!E109</f>
        <v>TUBO DE KHER DE GOMA Nº20</v>
      </c>
      <c r="D111" s="119"/>
      <c r="E111" s="119"/>
      <c r="F111" s="119"/>
      <c r="G111" s="119"/>
      <c r="H111" s="76" t="s">
        <v>54</v>
      </c>
      <c r="I111" s="77" t="str">
        <f>'Necesidades Trimestrales'!F109</f>
        <v>UNIDAD</v>
      </c>
      <c r="J111" s="75">
        <f>'Necesidades Trimestrales'!H109</f>
        <v>500</v>
      </c>
      <c r="K111" s="74">
        <f>'Necesidades Trimestrales'!G109</f>
        <v>20</v>
      </c>
    </row>
    <row r="112" spans="1:11" ht="27.75" customHeight="1" x14ac:dyDescent="0.2">
      <c r="A112" s="72">
        <v>101</v>
      </c>
      <c r="B112" s="80"/>
      <c r="C112" s="119" t="str">
        <f>'Necesidades Trimestrales'!E110</f>
        <v>TUBULADURA SILC.6,40 X 9,50 T/SILMAG X 1 MT.</v>
      </c>
      <c r="D112" s="119"/>
      <c r="E112" s="119"/>
      <c r="F112" s="119"/>
      <c r="G112" s="119"/>
      <c r="H112" s="76" t="s">
        <v>54</v>
      </c>
      <c r="I112" s="77" t="str">
        <f>'Necesidades Trimestrales'!F110</f>
        <v>UNIDAD</v>
      </c>
      <c r="J112" s="75">
        <f>'Necesidades Trimestrales'!H110</f>
        <v>2500</v>
      </c>
      <c r="K112" s="74">
        <f>'Necesidades Trimestrales'!G110</f>
        <v>100</v>
      </c>
    </row>
    <row r="113" spans="1:14" ht="27.75" customHeight="1" x14ac:dyDescent="0.2">
      <c r="A113" s="72">
        <v>102</v>
      </c>
      <c r="B113" s="80"/>
      <c r="C113" s="119" t="str">
        <f>'Necesidades Trimestrales'!E111</f>
        <v>TUBULADURA SILC.7,9 X 12,70 T/SILMAG X 1 MT.</v>
      </c>
      <c r="D113" s="119"/>
      <c r="E113" s="119"/>
      <c r="F113" s="119"/>
      <c r="G113" s="119"/>
      <c r="H113" s="76" t="s">
        <v>54</v>
      </c>
      <c r="I113" s="77" t="str">
        <f>'Necesidades Trimestrales'!F111</f>
        <v>UNIDAD</v>
      </c>
      <c r="J113" s="75">
        <f>'Necesidades Trimestrales'!H111</f>
        <v>2500</v>
      </c>
      <c r="K113" s="74">
        <f>'Necesidades Trimestrales'!G111</f>
        <v>100</v>
      </c>
    </row>
    <row r="114" spans="1:14" ht="27.75" customHeight="1" x14ac:dyDescent="0.2">
      <c r="A114" s="72">
        <v>103</v>
      </c>
      <c r="B114" s="80"/>
      <c r="C114" s="119" t="str">
        <f>'Necesidades Trimestrales'!E112</f>
        <v>VARA ESCHMANN N° 6 mm</v>
      </c>
      <c r="D114" s="119"/>
      <c r="E114" s="119"/>
      <c r="F114" s="119"/>
      <c r="G114" s="119"/>
      <c r="H114" s="76" t="s">
        <v>54</v>
      </c>
      <c r="I114" s="77" t="str">
        <f>'Necesidades Trimestrales'!F112</f>
        <v>UNIDAD</v>
      </c>
      <c r="J114" s="75">
        <f>'Necesidades Trimestrales'!H112</f>
        <v>5980</v>
      </c>
      <c r="K114" s="74">
        <f>'Necesidades Trimestrales'!G112</f>
        <v>5</v>
      </c>
    </row>
    <row r="115" spans="1:14" ht="27.75" customHeight="1" x14ac:dyDescent="0.2">
      <c r="A115" s="72">
        <v>104</v>
      </c>
      <c r="B115" s="80"/>
      <c r="C115" s="119" t="str">
        <f>'Necesidades Trimestrales'!E113</f>
        <v>VARA ESCHMANN N° 9 mm</v>
      </c>
      <c r="D115" s="119"/>
      <c r="E115" s="119"/>
      <c r="F115" s="119"/>
      <c r="G115" s="119"/>
      <c r="H115" s="76" t="s">
        <v>54</v>
      </c>
      <c r="I115" s="77" t="str">
        <f>'Necesidades Trimestrales'!F113</f>
        <v>UNIDAD</v>
      </c>
      <c r="J115" s="75">
        <f>'Necesidades Trimestrales'!H113</f>
        <v>5980</v>
      </c>
      <c r="K115" s="74">
        <f>'Necesidades Trimestrales'!G113</f>
        <v>5</v>
      </c>
    </row>
    <row r="116" spans="1:14" ht="27.75" customHeight="1" x14ac:dyDescent="0.2">
      <c r="A116" s="72">
        <v>105</v>
      </c>
      <c r="B116" s="80"/>
      <c r="C116" s="119" t="str">
        <f>'Necesidades Trimestrales'!E114</f>
        <v>VARA ESCHMANN N°11 mm</v>
      </c>
      <c r="D116" s="119"/>
      <c r="E116" s="119"/>
      <c r="F116" s="119"/>
      <c r="G116" s="119"/>
      <c r="H116" s="76" t="s">
        <v>54</v>
      </c>
      <c r="I116" s="77" t="str">
        <f>'Necesidades Trimestrales'!F114</f>
        <v>UNIDAD</v>
      </c>
      <c r="J116" s="75">
        <f>'Necesidades Trimestrales'!H114</f>
        <v>5980</v>
      </c>
      <c r="K116" s="74">
        <f>'Necesidades Trimestrales'!G114</f>
        <v>5</v>
      </c>
    </row>
    <row r="117" spans="1:14" ht="27.75" customHeight="1" x14ac:dyDescent="0.2">
      <c r="A117" s="72">
        <v>106</v>
      </c>
      <c r="B117" s="80"/>
      <c r="C117" s="119" t="str">
        <f>'Necesidades Trimestrales'!E115</f>
        <v xml:space="preserve">VENDA COBAN 10CM </v>
      </c>
      <c r="D117" s="119"/>
      <c r="E117" s="119"/>
      <c r="F117" s="119"/>
      <c r="G117" s="119"/>
      <c r="H117" s="76" t="s">
        <v>54</v>
      </c>
      <c r="I117" s="77" t="str">
        <f>'Necesidades Trimestrales'!F115</f>
        <v>UNIDAD</v>
      </c>
      <c r="J117" s="75">
        <f>'Necesidades Trimestrales'!H115</f>
        <v>230</v>
      </c>
      <c r="K117" s="74">
        <f>'Necesidades Trimestrales'!G115</f>
        <v>50</v>
      </c>
    </row>
    <row r="118" spans="1:14" ht="27.75" customHeight="1" x14ac:dyDescent="0.2">
      <c r="A118" s="72">
        <v>107</v>
      </c>
      <c r="B118" s="80"/>
      <c r="C118" s="119" t="str">
        <f>'Necesidades Trimestrales'!E116</f>
        <v>VENDA DE SMARCH X 10 CM.</v>
      </c>
      <c r="D118" s="119"/>
      <c r="E118" s="119"/>
      <c r="F118" s="119"/>
      <c r="G118" s="119"/>
      <c r="H118" s="76" t="s">
        <v>54</v>
      </c>
      <c r="I118" s="77" t="str">
        <f>'Necesidades Trimestrales'!F116</f>
        <v>UNIDAD</v>
      </c>
      <c r="J118" s="75">
        <f>'Necesidades Trimestrales'!H116</f>
        <v>354</v>
      </c>
      <c r="K118" s="74">
        <f>'Necesidades Trimestrales'!G116</f>
        <v>20</v>
      </c>
    </row>
    <row r="119" spans="1:14" ht="27.75" customHeight="1" thickBot="1" x14ac:dyDescent="0.25">
      <c r="A119" s="72">
        <v>108</v>
      </c>
      <c r="B119" s="80"/>
      <c r="C119" s="119" t="str">
        <f>'Necesidades Trimestrales'!E117</f>
        <v>VENDA DE SMARCH X 5 CM</v>
      </c>
      <c r="D119" s="119"/>
      <c r="E119" s="119"/>
      <c r="F119" s="119"/>
      <c r="G119" s="119"/>
      <c r="H119" s="76" t="s">
        <v>54</v>
      </c>
      <c r="I119" s="77" t="str">
        <f>'Necesidades Trimestrales'!F117</f>
        <v>UNIDAD</v>
      </c>
      <c r="J119" s="75">
        <f>'Necesidades Trimestrales'!H117</f>
        <v>325</v>
      </c>
      <c r="K119" s="74">
        <f>'Necesidades Trimestrales'!G117</f>
        <v>20</v>
      </c>
    </row>
    <row r="120" spans="1:14" ht="20.25" customHeight="1" thickBot="1" x14ac:dyDescent="0.25">
      <c r="A120" s="120" t="s">
        <v>186</v>
      </c>
      <c r="B120" s="120"/>
      <c r="C120" s="120"/>
      <c r="D120" s="120"/>
      <c r="E120" s="120"/>
      <c r="F120" s="120"/>
      <c r="G120" s="120"/>
      <c r="H120" s="120"/>
      <c r="I120" s="120"/>
      <c r="J120" s="121">
        <f>SUMPRODUCT(J12:J119,K12:K119)</f>
        <v>11908780</v>
      </c>
      <c r="K120" s="121"/>
      <c r="N120" s="55"/>
    </row>
  </sheetData>
  <mergeCells count="130">
    <mergeCell ref="C73:G73"/>
    <mergeCell ref="C74:G74"/>
    <mergeCell ref="C75:G75"/>
    <mergeCell ref="C68:G68"/>
    <mergeCell ref="C69:G69"/>
    <mergeCell ref="C70:G70"/>
    <mergeCell ref="C71:G71"/>
    <mergeCell ref="C72:G72"/>
    <mergeCell ref="C59:G59"/>
    <mergeCell ref="C60:G60"/>
    <mergeCell ref="C61:G61"/>
    <mergeCell ref="C63:G63"/>
    <mergeCell ref="C64:G64"/>
    <mergeCell ref="C65:G65"/>
    <mergeCell ref="C66:G66"/>
    <mergeCell ref="C67:G67"/>
    <mergeCell ref="C62:G62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46:G46"/>
    <mergeCell ref="C47:G47"/>
    <mergeCell ref="C41:G41"/>
    <mergeCell ref="C42:G42"/>
    <mergeCell ref="C43:G43"/>
    <mergeCell ref="C44:G44"/>
    <mergeCell ref="C45:G45"/>
    <mergeCell ref="C48:G48"/>
    <mergeCell ref="C49:G4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D8:K8"/>
    <mergeCell ref="A10:A11"/>
    <mergeCell ref="B10:B11"/>
    <mergeCell ref="C10:G11"/>
    <mergeCell ref="H10:H11"/>
    <mergeCell ref="I10:I11"/>
    <mergeCell ref="J10:J11"/>
    <mergeCell ref="K10:K11"/>
    <mergeCell ref="C37:G37"/>
    <mergeCell ref="A8:C8"/>
    <mergeCell ref="C32:G32"/>
    <mergeCell ref="C33:G33"/>
    <mergeCell ref="C34:G34"/>
    <mergeCell ref="C35:G35"/>
    <mergeCell ref="C36:G36"/>
    <mergeCell ref="C31:G31"/>
    <mergeCell ref="C26:G26"/>
    <mergeCell ref="C27:G27"/>
    <mergeCell ref="C28:G28"/>
    <mergeCell ref="C29:G29"/>
    <mergeCell ref="C30:G30"/>
    <mergeCell ref="C76:G76"/>
    <mergeCell ref="C77:G77"/>
    <mergeCell ref="C78:G78"/>
    <mergeCell ref="C79:G79"/>
    <mergeCell ref="C80:G80"/>
    <mergeCell ref="A120:I120"/>
    <mergeCell ref="J120:K120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38:G38"/>
    <mergeCell ref="C39:G39"/>
    <mergeCell ref="C40:G40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G119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zoomScale="130" zoomScaleNormal="130" workbookViewId="0">
      <selection activeCell="O1" sqref="O1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9" t="s">
        <v>3</v>
      </c>
      <c r="B1" s="159"/>
      <c r="C1" s="159"/>
      <c r="D1" s="160">
        <f>'Necesidades Trimestrales'!C6</f>
        <v>2021</v>
      </c>
      <c r="E1" s="160"/>
      <c r="F1" s="3"/>
      <c r="G1" s="3"/>
      <c r="H1" s="4"/>
      <c r="I1" s="4"/>
      <c r="J1" s="4"/>
      <c r="K1" s="4"/>
      <c r="L1" s="4"/>
      <c r="M1" s="4"/>
      <c r="N1" s="4"/>
      <c r="P1" s="161" t="s">
        <v>25</v>
      </c>
      <c r="Q1" s="161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61"/>
      <c r="Q2" s="161"/>
    </row>
    <row r="4" spans="1:17" s="5" customFormat="1" ht="18" customHeight="1" thickBot="1" x14ac:dyDescent="0.25">
      <c r="A4" s="162" t="s">
        <v>26</v>
      </c>
      <c r="B4" s="162"/>
      <c r="C4" s="162"/>
      <c r="D4" s="162"/>
      <c r="E4" s="162"/>
      <c r="F4" s="162"/>
      <c r="G4" s="157" t="str">
        <f>' NotaPedido'!D3</f>
        <v>040 - Ministerio de Salud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</row>
    <row r="5" spans="1:17" s="5" customFormat="1" ht="18" customHeight="1" thickBot="1" x14ac:dyDescent="0.25">
      <c r="A5" s="154" t="s">
        <v>49</v>
      </c>
      <c r="B5" s="155"/>
      <c r="C5" s="155"/>
      <c r="D5" s="155"/>
      <c r="E5" s="155"/>
      <c r="F5" s="156"/>
      <c r="G5" s="157" t="str">
        <f>' NotaPedido'!D4</f>
        <v>024 - Hospital Interzonal de Niños</v>
      </c>
      <c r="H5" s="157"/>
      <c r="I5" s="157"/>
      <c r="J5" s="157"/>
      <c r="K5" s="157"/>
      <c r="L5" s="157"/>
      <c r="M5" s="157"/>
      <c r="N5" s="157"/>
      <c r="O5" s="157"/>
      <c r="P5" s="157"/>
      <c r="Q5" s="157"/>
    </row>
    <row r="6" spans="1:17" s="5" customFormat="1" ht="18" customHeight="1" thickBot="1" x14ac:dyDescent="0.25">
      <c r="A6" s="154" t="s">
        <v>27</v>
      </c>
      <c r="B6" s="155"/>
      <c r="C6" s="155"/>
      <c r="D6" s="155"/>
      <c r="E6" s="155"/>
      <c r="F6" s="156"/>
      <c r="G6" s="157" t="str">
        <f>' NotaPedido'!D5</f>
        <v>024 - Hospital Interzonal de Niños</v>
      </c>
      <c r="H6" s="157"/>
      <c r="I6" s="157"/>
      <c r="J6" s="157"/>
      <c r="K6" s="157"/>
      <c r="L6" s="157"/>
      <c r="M6" s="157"/>
      <c r="N6" s="157"/>
      <c r="O6" s="157"/>
      <c r="P6" s="157"/>
      <c r="Q6" s="157"/>
    </row>
    <row r="7" spans="1:17" s="5" customFormat="1" ht="18" customHeight="1" thickBot="1" x14ac:dyDescent="0.25">
      <c r="A7" s="154" t="s">
        <v>50</v>
      </c>
      <c r="B7" s="155"/>
      <c r="C7" s="155"/>
      <c r="D7" s="155"/>
      <c r="E7" s="155"/>
      <c r="F7" s="156"/>
      <c r="G7" s="157" t="s">
        <v>56</v>
      </c>
      <c r="H7" s="157"/>
      <c r="I7" s="157"/>
      <c r="J7" s="157"/>
      <c r="K7" s="157"/>
      <c r="L7" s="157"/>
      <c r="M7" s="157"/>
      <c r="N7" s="157"/>
      <c r="O7" s="157"/>
      <c r="P7" s="157"/>
      <c r="Q7" s="157"/>
    </row>
    <row r="8" spans="1:17" ht="18" customHeight="1" thickBot="1" x14ac:dyDescent="0.25">
      <c r="A8" s="158" t="s">
        <v>28</v>
      </c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</row>
    <row r="9" spans="1:17" ht="18" customHeight="1" x14ac:dyDescent="0.2">
      <c r="A9" s="143" t="s">
        <v>29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"/>
      <c r="P9" s="1"/>
      <c r="Q9" s="6"/>
    </row>
    <row r="10" spans="1:17" ht="54.75" customHeight="1" x14ac:dyDescent="0.2">
      <c r="A10" s="14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064/2021,  afectando la erogación resultante a los créditos presupuestarios aprobados a favor de esta Unidad Ejecutora, conforme al siguiente detalle: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45" t="s">
        <v>30</v>
      </c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</row>
    <row r="13" spans="1:17" ht="15.75" customHeight="1" thickBot="1" x14ac:dyDescent="0.25">
      <c r="A13" s="146" t="s">
        <v>31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8" t="s">
        <v>32</v>
      </c>
      <c r="P13" s="149"/>
      <c r="Q13" s="152" t="s">
        <v>33</v>
      </c>
    </row>
    <row r="14" spans="1:17" ht="15.75" customHeight="1" thickBot="1" x14ac:dyDescent="0.25">
      <c r="A14" s="60" t="s">
        <v>34</v>
      </c>
      <c r="B14" s="61" t="s">
        <v>35</v>
      </c>
      <c r="C14" s="61" t="s">
        <v>36</v>
      </c>
      <c r="D14" s="61" t="s">
        <v>37</v>
      </c>
      <c r="E14" s="61" t="s">
        <v>38</v>
      </c>
      <c r="F14" s="61" t="s">
        <v>39</v>
      </c>
      <c r="G14" s="62" t="s">
        <v>40</v>
      </c>
      <c r="H14" s="61" t="s">
        <v>41</v>
      </c>
      <c r="I14" s="61" t="s">
        <v>42</v>
      </c>
      <c r="J14" s="61" t="s">
        <v>43</v>
      </c>
      <c r="K14" s="61" t="s">
        <v>43</v>
      </c>
      <c r="L14" s="61" t="s">
        <v>44</v>
      </c>
      <c r="M14" s="63" t="s">
        <v>45</v>
      </c>
      <c r="N14" s="64" t="s">
        <v>46</v>
      </c>
      <c r="O14" s="150"/>
      <c r="P14" s="151"/>
      <c r="Q14" s="153"/>
    </row>
    <row r="15" spans="1:17" ht="26.25" customHeight="1" x14ac:dyDescent="0.2">
      <c r="A15" s="56">
        <v>36</v>
      </c>
      <c r="B15" s="57"/>
      <c r="C15" s="57"/>
      <c r="D15" s="57">
        <v>1</v>
      </c>
      <c r="E15" s="57"/>
      <c r="F15" s="57">
        <v>4901</v>
      </c>
      <c r="G15" s="57">
        <v>3</v>
      </c>
      <c r="H15" s="57">
        <v>310</v>
      </c>
      <c r="I15" s="57">
        <v>2</v>
      </c>
      <c r="J15" s="57">
        <v>9</v>
      </c>
      <c r="K15" s="57">
        <v>5</v>
      </c>
      <c r="L15" s="57"/>
      <c r="M15" s="58">
        <v>1</v>
      </c>
      <c r="N15" s="59" t="s">
        <v>53</v>
      </c>
      <c r="O15" s="137" t="s">
        <v>59</v>
      </c>
      <c r="P15" s="137"/>
      <c r="Q15" s="65">
        <v>11908780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6"/>
      <c r="O16" s="138"/>
      <c r="P16" s="132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32"/>
      <c r="P17" s="132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32"/>
      <c r="P18" s="132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33"/>
      <c r="P19" s="133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34"/>
      <c r="P20" s="134"/>
      <c r="Q20" s="24"/>
    </row>
    <row r="21" spans="1:18" ht="29.25" customHeight="1" x14ac:dyDescent="0.2">
      <c r="A21" s="135" t="s">
        <v>187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25">
        <f>SUM(Q15:Q20)</f>
        <v>11908780</v>
      </c>
    </row>
    <row r="22" spans="1:18" ht="18" customHeight="1" thickBot="1" x14ac:dyDescent="0.25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</row>
    <row r="23" spans="1:18" ht="17.25" customHeight="1" thickBot="1" x14ac:dyDescent="0.25">
      <c r="A23" s="139" t="s">
        <v>47</v>
      </c>
      <c r="B23" s="140"/>
      <c r="C23" s="140"/>
      <c r="D23" s="140"/>
      <c r="E23" s="140"/>
      <c r="F23" s="141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</row>
    <row r="24" spans="1:18" ht="18" customHeight="1" thickBot="1" x14ac:dyDescent="0.25">
      <c r="A24" s="131" t="s">
        <v>172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</row>
    <row r="25" spans="1:18" ht="26.25" customHeight="1" x14ac:dyDescent="0.2">
      <c r="A25" s="131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2021-08-13T13:21:21Z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