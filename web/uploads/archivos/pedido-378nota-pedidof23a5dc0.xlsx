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F832870F-B0FF-4D37-8D17-391EBCB9D476}"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s>
  <calcPr calcId="181029"/>
</workbook>
</file>

<file path=xl/calcChain.xml><?xml version="1.0" encoding="utf-8"?>
<calcChain xmlns="http://schemas.openxmlformats.org/spreadsheetml/2006/main">
  <c r="I11" i="1" l="1"/>
  <c r="I12" i="1"/>
  <c r="I10" i="1" l="1"/>
  <c r="D10" i="1"/>
  <c r="I13" i="1" l="1"/>
</calcChain>
</file>

<file path=xl/sharedStrings.xml><?xml version="1.0" encoding="utf-8"?>
<sst xmlns="http://schemas.openxmlformats.org/spreadsheetml/2006/main" count="57" uniqueCount="38">
  <si>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</si>
  <si>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</si>
  <si>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</si>
  <si>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</si>
  <si>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</si>
  <si>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</si>
  <si>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</si>
  <si>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</si>
  <si>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</si>
  <si>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</si>
  <si>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</si>
  <si>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</si>
  <si>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</si>
  <si>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</si>
  <si>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</si>
  <si>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</si>
  <si>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</si>
  <si>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</si>
  <si>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</si>
  <si>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65- Ministerio de Agua, Energía y Medio Ambiente</t>
  </si>
  <si>
    <t>31-Ministerio de Agua, Energía y Medio Ambiente</t>
  </si>
  <si>
    <t>2.5.1-9004.1212</t>
  </si>
  <si>
    <t>SALES; COMPUESTO QUIMICO: HIPOCLORITO DE SODIO, ESTADO: LIQUIDO, CALIDAD: COMERCIAL, CONCENTRACION/PUREZA: 100 GR/L DE CLORO ACTIVO (DENOMINADO AL 10%), PRESENTACION: A GRANEL</t>
  </si>
  <si>
    <t>Especificidades Item N° 1: SALES; COMPUESTO QUIMICO: HIPOCLORITO DE SODIO, ESTADO: LIQUIDO, CALIDAD: COMERCIAL, CONCENTRACION/PUREZA: 100 GR/L DE CLORO ACTIVO (DENOMINADO AL 10%), PRESENTACION: A GRANEL</t>
  </si>
  <si>
    <t>Especificidades Item N° 2: SALES; COMPUESTO QUIMICO: HIPOCLORITO DE SODIO, ESTADO: LIQUIDO, CALIDAD: COMERCIAL, CONCENTRACION/PUREZA: 100 GR/L DE CLORO ACTIVO (DENOMINADO AL 10%), PRESENTACION: A GRANEL</t>
  </si>
  <si>
    <t>HIPOCLORITO DE SODIO AL 10% DE CLORO ACTIVO- Solución de Hipoclorito de Sodio con un contenido de 100 gramos de cloro activo por litro de solución, comercialmente denominado al 10% según normas IRAM 41171. El producto solicitado deberá estar en estado líquido. UNIDAD DE MEDIDA: LITRO- SE ADJUNTA ANEXO DE ESPECIFICACIONES TÉCNICAS JUNTO A LA NOTA DE PEDIDO.</t>
  </si>
  <si>
    <t>El producto solicitado deberá estar en estado líquido. Al momento de su evaluación de calidad, si el resultado de la concentración de cloro Activo fuere menor a 90 gr/lts., el proveedor deberá compensar en volumen de Hipoclorito de Sodio del faltante de acuerdo a los cálculos que efectuare el laboratorio y en un término de 15 días corridos. Los elementos como frascos-rotulos y lacre de sello serán responsabilidad del proveedor al momento de cada entrega</t>
  </si>
  <si>
    <t>El producto solicitado deberá estar en estado líquido. Si el resultado del muestreo no es satisfactorio al solicitado, el proveedor deberá compensar en volumen del faltante de acuerdo a los cálculos que efectuare el laboratorio y en un término de 15 días corridos.. Los elementos como frascos-rotulos y lacre de sello serán responsabilidad del proveedor al momento de cada entrega.</t>
  </si>
  <si>
    <t>2.5.1-9041.38</t>
  </si>
  <si>
    <t>POLIMEROS; COMPUESTO QUIMICO: POLICLORURO DE ALUMINIO AL 18 %, ESTADO: LIQUIDO, PRESENTACION: A GRANEL</t>
  </si>
  <si>
    <t>2.5.1</t>
  </si>
  <si>
    <t>QUIMICOS</t>
  </si>
  <si>
    <t>Especificidades Item N° 3: POLIMEROS; COMPUESTO QUIMICO: POLICLORURO DE ALUMINIO AL 18 %, ESTADO: LIQUIDO, PRESENTACION: A GRANEL</t>
  </si>
  <si>
    <t>Policloruro De Aluminio al 18 % (Pac 18)- Óxido de Aluminio: 17 +/- 1% peso
ESTADO FÍSICO: Líquido
FAMILIA QUÍMICA: Sal inorgánica apariencia y color: Color ámbar claro – oscuro. OLOR: Ligeramente ácido pH: Ácido, desde 0 hasta 4 unidades de pH Solubilidad en agua: Completa Solubilidad en otros: Insoluble en solventes orgánicos comunes. Punto de ebullición: 110 – 120 °C. Punto de fusión y congelación: - 20 °C aproximadamente. Peso específico: 1.1 – 1.4 (a 20 °C).</t>
  </si>
  <si>
    <r>
      <t xml:space="preserve">Se estima un plazo de entrega según necesidad de utilización de acuerdo al siguiente detalle:  seis (6) entregas de 25000 litros cada una, la primera entrega deberá efectuarse dentro de los cinco (5) dias hábiles contados a partir del perfecionamiento del contrato y las restantes cinco entregas se estima solicitar provisión dentro de los 30, 60, 90, 120 y 150 días contados a partir del mencionado acto. </t>
    </r>
    <r>
      <rPr>
        <u/>
        <sz val="10"/>
        <rFont val="Times New Roman"/>
        <family val="1"/>
      </rPr>
      <t>Lugar de entrega:</t>
    </r>
    <r>
      <rPr>
        <sz val="10"/>
        <rFont val="Times New Roman"/>
        <family val="1"/>
      </rPr>
      <t xml:space="preserve"> Deposito de Agua y Saneamiento sito en Av. Venezuela S/Nº predio CAPE. San F. del V. de Catamarca. VER CUADRO ANEXO CANTIDAD Y  LUGARES DE ENTREGA</t>
    </r>
  </si>
  <si>
    <r>
      <t>Se estima un plazo de entrega según necesidad de utilización de acuerdo al siguiente detalle: seis (6) entregas en cada una de las ubicaciónes geograficas, donde la primera entrega deberá efectuarse dentro de los cinco (5) dias habiles de suscripto el contrato y,  segunda, tercera, cuarta, quinta y sexta entrega se estima solicitar provisión dentro de los 30, 60, 90, 120 y 150 días respectivamente contados a partir de la suscripcion del contrato.</t>
    </r>
    <r>
      <rPr>
        <b/>
        <u/>
        <sz val="10"/>
        <rFont val="Times New Roman"/>
        <family val="1"/>
      </rPr>
      <t xml:space="preserve"> Detalle Estimado de Cantidades y Lugar de Entrega:</t>
    </r>
    <r>
      <rPr>
        <sz val="10"/>
        <rFont val="Times New Roman"/>
        <family val="1"/>
      </rPr>
      <t xml:space="preserve"> Plantas Potabilizadoras de cada una de las siguientes Localidades : 1000 Litros en Planta Potabilizadora Fiambalá- Departamento Tinogasta; 7000 litros en Planta Potabilizadora del Departamento Tinogasta; 12000 litros en Planta Potabilizadora del Departamento Belen y 5000 litros en Planta Potabilizadora Localidad de  Londres- Departamento Belen- Total: 25000 litros por entrega. En Planta Potabilizadora del Departamento Andalgalá se estiman cuatro (4) entregas de 25000 litros  cada una, donde la primera entrega se deberá efectuar a los cinco (5) dias hábiles de suscripto el contrato, y la segunda, tercera y cuarta entrega se estima solicitar provisión dentro de los 30, 90 y 120 dias respectivamente contados a partir de la suscripcion del contrato.  VER CUADRO ANEXO CANTIDAD Y  LUGARES DE ENTREGA</t>
    </r>
  </si>
  <si>
    <r>
      <t xml:space="preserve">Se estiman cuatro (4) entregas en cada ubicación geografica según necesidades de utilización, donde la primera entrega deberá efectuarse a los cinco (5) dias habiles de suscripto el contrato, y la segunda, tercera y cuarta entrega se estima solicitar provisión dentro de los 30, 90 y 120 dias respectivamente contados a partir de la suscripcion del contrato. </t>
    </r>
    <r>
      <rPr>
        <b/>
        <sz val="10"/>
        <rFont val="Times New Roman"/>
        <family val="1"/>
      </rPr>
      <t>Detalle estimado de entregas según ubicación geográfica:</t>
    </r>
    <r>
      <rPr>
        <sz val="10"/>
        <rFont val="Times New Roman"/>
        <family val="1"/>
      </rPr>
      <t xml:space="preserve"> 5000 lts en Planta Potabilizadora Departamento Tinogasta, 10000 litros  en Planta Potabilizadora Departamento Andalgalá y 10000 Lts en  Planta Potabilizadora Departamento Belen- (total  por entega 25000 lts). Los elementos como frascos-rotulos y lacre de sello seran responsabilidad del proveedor al momento de cada entrega. VER CUADRO ANEXO CANTIDAD Y  LUGARES DE ENTREGA</t>
    </r>
  </si>
  <si>
    <t>LITROS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</si>
</sst>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 #,##0.00&quot; €&quot;_-;\-* #,##0.00&quot; €&quot;_-;_-* \-??&quot; €&quot;_-;_-@_-"/>
    <numFmt numFmtId="166" formatCode="[$$-2C0A]\ #,##0.00;[$$-2C0A]&quot; -&quot;#,##0.00"/>
  </numFmts>
  <fonts count="10"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sz val="10"/>
      <color rgb="FF000000"/>
      <name val="Times New Roman"/>
      <family val="1"/>
    </font>
    <font>
      <b/>
      <sz val="10"/>
      <color rgb="FF000000"/>
      <name val="Times New Roman"/>
      <family val="1"/>
    </font>
    <font>
      <u/>
      <sz val="10"/>
      <name val="Times New Roman"/>
      <family val="1"/>
    </font>
    <font>
      <b/>
      <u/>
      <sz val="10"/>
      <name val="Times New Roman"/>
      <family val="1"/>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21">
    <border>
      <left/>
      <right/>
      <top/>
      <bottom/>
      <diagonal/>
    </border>
    <border>
      <left/>
      <right/>
      <top/>
      <bottom style="thick">
        <color rgb="FF33CCCC"/>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4">
    <xf numFmtId="0" fontId="0" fillId="0" borderId="0"/>
    <xf numFmtId="165" fontId="3" fillId="0" borderId="0" applyBorder="0" applyProtection="0"/>
    <xf numFmtId="0" fontId="1" fillId="0" borderId="1" applyProtection="0"/>
    <xf numFmtId="0" fontId="2" fillId="2" borderId="0" applyBorder="0" applyProtection="0"/>
  </cellStyleXfs>
  <cellXfs count="52">
    <xf numFmtId="0" fontId="0" fillId="0" borderId="0" xfId="0"/>
    <xf numFmtId="0" fontId="4" fillId="0" borderId="0" xfId="0" applyFont="1"/>
    <xf numFmtId="0" fontId="4" fillId="0" borderId="0" xfId="0" applyFont="1" applyAlignment="1">
      <alignment vertical="top"/>
    </xf>
    <xf numFmtId="0" fontId="4" fillId="4" borderId="0" xfId="0" applyFont="1" applyFill="1"/>
    <xf numFmtId="0" fontId="5" fillId="4" borderId="0" xfId="0" applyFont="1" applyFill="1" applyAlignment="1">
      <alignment horizontal="left" wrapText="1"/>
    </xf>
    <xf numFmtId="0" fontId="5" fillId="4" borderId="0" xfId="0" applyFont="1" applyFill="1" applyAlignment="1">
      <alignment horizontal="center" wrapText="1"/>
    </xf>
    <xf numFmtId="0" fontId="6" fillId="4" borderId="0" xfId="0" applyFont="1" applyFill="1" applyAlignment="1">
      <alignment horizontal="left"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5" fillId="4" borderId="3" xfId="0" applyFont="1" applyFill="1" applyBorder="1" applyAlignment="1">
      <alignment horizontal="center" wrapText="1"/>
    </xf>
    <xf numFmtId="0" fontId="5" fillId="4" borderId="5" xfId="0" applyFont="1" applyFill="1" applyBorder="1" applyAlignment="1">
      <alignment horizontal="center" wrapText="1"/>
    </xf>
    <xf numFmtId="0" fontId="4" fillId="4" borderId="10" xfId="0" applyFont="1" applyFill="1" applyBorder="1"/>
    <xf numFmtId="0" fontId="4" fillId="4" borderId="0" xfId="0" applyFont="1" applyFill="1" applyBorder="1"/>
    <xf numFmtId="0" fontId="4" fillId="4" borderId="11" xfId="0" applyFont="1" applyFill="1" applyBorder="1"/>
    <xf numFmtId="0" fontId="7" fillId="4" borderId="10" xfId="0" applyFont="1" applyFill="1" applyBorder="1" applyAlignment="1">
      <alignment horizontal="left" indent="3"/>
    </xf>
    <xf numFmtId="0" fontId="4" fillId="4" borderId="10" xfId="0" applyFont="1" applyFill="1" applyBorder="1" applyAlignment="1">
      <alignment horizontal="left" indent="3"/>
    </xf>
    <xf numFmtId="0" fontId="4" fillId="4" borderId="0" xfId="0" applyFont="1" applyFill="1" applyBorder="1" applyAlignment="1">
      <alignment horizontal="center" wrapText="1"/>
    </xf>
    <xf numFmtId="0" fontId="4" fillId="4" borderId="11" xfId="0" applyFont="1" applyFill="1" applyBorder="1" applyAlignment="1">
      <alignment horizontal="center" wrapText="1"/>
    </xf>
    <xf numFmtId="0" fontId="4" fillId="4" borderId="12" xfId="0" applyFont="1" applyFill="1" applyBorder="1" applyAlignment="1">
      <alignment horizontal="left" indent="3"/>
    </xf>
    <xf numFmtId="0" fontId="4" fillId="4" borderId="13" xfId="0" applyFont="1" applyFill="1" applyBorder="1"/>
    <xf numFmtId="0" fontId="4" fillId="4" borderId="14" xfId="0" applyFont="1" applyFill="1" applyBorder="1"/>
    <xf numFmtId="0" fontId="4" fillId="4" borderId="16" xfId="0" applyFont="1" applyFill="1" applyBorder="1" applyAlignment="1">
      <alignment vertical="top" wrapText="1"/>
    </xf>
    <xf numFmtId="0" fontId="4" fillId="4" borderId="0" xfId="0" applyFont="1" applyFill="1" applyAlignment="1">
      <alignment vertical="top" wrapText="1"/>
    </xf>
    <xf numFmtId="0" fontId="6" fillId="3" borderId="0" xfId="0" applyFont="1" applyFill="1" applyAlignment="1">
      <alignment horizontal="left" wrapText="1" indent="1"/>
    </xf>
    <xf numFmtId="0" fontId="4" fillId="4" borderId="15" xfId="0" applyFont="1" applyFill="1" applyBorder="1" applyAlignment="1">
      <alignment horizontal="center" vertical="top"/>
    </xf>
    <xf numFmtId="0" fontId="5" fillId="3" borderId="16" xfId="0" applyFont="1" applyFill="1" applyBorder="1" applyAlignment="1">
      <alignment horizontal="center" vertical="top" wrapText="1"/>
    </xf>
    <xf numFmtId="0" fontId="5" fillId="4" borderId="16" xfId="0" applyFont="1" applyFill="1" applyBorder="1" applyAlignment="1">
      <alignment horizontal="center" vertical="top" wrapText="1"/>
    </xf>
    <xf numFmtId="166" fontId="4" fillId="3" borderId="16" xfId="1" applyNumberFormat="1" applyFont="1" applyFill="1" applyBorder="1" applyAlignment="1" applyProtection="1">
      <alignment horizontal="right" vertical="top" wrapText="1"/>
    </xf>
    <xf numFmtId="166" fontId="4" fillId="3" borderId="17" xfId="1" applyNumberFormat="1" applyFont="1" applyFill="1" applyBorder="1" applyAlignment="1" applyProtection="1">
      <alignment horizontal="right" vertical="top" wrapText="1"/>
    </xf>
    <xf numFmtId="0" fontId="4" fillId="4" borderId="2" xfId="0" applyFont="1" applyFill="1" applyBorder="1" applyAlignment="1">
      <alignment horizontal="center" vertical="center"/>
    </xf>
    <xf numFmtId="0" fontId="5" fillId="4"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4" fillId="4" borderId="4" xfId="0" applyFont="1" applyFill="1" applyBorder="1" applyAlignment="1">
      <alignment horizontal="center" vertical="center"/>
    </xf>
    <xf numFmtId="0" fontId="5" fillId="4" borderId="5" xfId="0" applyFont="1" applyFill="1" applyBorder="1" applyAlignment="1">
      <alignment horizontal="center" vertical="center" wrapText="1"/>
    </xf>
    <xf numFmtId="0" fontId="5" fillId="4" borderId="5" xfId="0" applyFont="1" applyFill="1" applyBorder="1" applyAlignment="1">
      <alignment horizontal="left" vertical="center" wrapText="1"/>
    </xf>
    <xf numFmtId="166" fontId="6" fillId="4" borderId="6" xfId="0" applyNumberFormat="1" applyFont="1" applyFill="1" applyBorder="1" applyAlignment="1">
      <alignment horizontal="right" wrapText="1"/>
    </xf>
    <xf numFmtId="0" fontId="4" fillId="3" borderId="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1" xfId="0" applyFont="1" applyFill="1" applyBorder="1" applyAlignment="1">
      <alignment horizontal="center" wrapText="1"/>
    </xf>
    <xf numFmtId="0" fontId="4" fillId="3" borderId="11" xfId="0" applyFont="1" applyFill="1" applyBorder="1" applyAlignment="1">
      <alignment horizontal="center"/>
    </xf>
    <xf numFmtId="0" fontId="7" fillId="4" borderId="7" xfId="0" applyFont="1" applyFill="1" applyBorder="1" applyAlignment="1">
      <alignment horizontal="center" wrapText="1"/>
    </xf>
    <xf numFmtId="0" fontId="7" fillId="4" borderId="8" xfId="0" applyFont="1" applyFill="1" applyBorder="1" applyAlignment="1">
      <alignment horizontal="center" wrapText="1"/>
    </xf>
    <xf numFmtId="0" fontId="7" fillId="4" borderId="9" xfId="0" applyFont="1" applyFill="1" applyBorder="1" applyAlignment="1">
      <alignment horizontal="center" wrapText="1"/>
    </xf>
    <xf numFmtId="0" fontId="6" fillId="4" borderId="0" xfId="0" applyFont="1" applyFill="1" applyBorder="1" applyAlignment="1">
      <alignment horizontal="left" vertical="center" wrapText="1"/>
    </xf>
    <xf numFmtId="0" fontId="4" fillId="3" borderId="0" xfId="0" applyFont="1" applyFill="1" applyBorder="1" applyAlignment="1">
      <alignment horizontal="left" vertical="top"/>
    </xf>
    <xf numFmtId="0" fontId="4" fillId="3" borderId="11" xfId="0" applyFont="1" applyFill="1" applyBorder="1" applyAlignment="1">
      <alignment horizontal="left" vertical="top"/>
    </xf>
    <xf numFmtId="0" fontId="9" fillId="4" borderId="0" xfId="0" applyFont="1" applyFill="1" applyBorder="1" applyAlignment="1">
      <alignment horizontal="center"/>
    </xf>
    <xf numFmtId="0" fontId="6" fillId="3" borderId="0" xfId="0" applyFont="1" applyFill="1" applyBorder="1" applyAlignment="1">
      <alignment horizontal="left" wrapText="1" indent="1"/>
    </xf>
    <xf numFmtId="0" fontId="7" fillId="4" borderId="7" xfId="0" applyFont="1" applyFill="1" applyBorder="1" applyAlignment="1">
      <alignment horizontal="left" vertical="top" wrapText="1"/>
    </xf>
    <xf numFmtId="0" fontId="7" fillId="4" borderId="8" xfId="0" applyFont="1" applyFill="1" applyBorder="1" applyAlignment="1">
      <alignment horizontal="left" vertical="top" wrapText="1"/>
    </xf>
    <xf numFmtId="0" fontId="7" fillId="4" borderId="9" xfId="0" applyFont="1" applyFill="1" applyBorder="1" applyAlignment="1">
      <alignment horizontal="left" vertical="top" wrapText="1"/>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zoomScaleNormal="100" workbookViewId="0">
      <selection activeCell="F70" sqref="F70"/>
    </sheetView>
  </sheetViews>
  <sheetFormatPr baseColWidth="10" defaultColWidth="11" defaultRowHeight="12.75" x14ac:dyDescent="0.2"/>
  <cols>
    <col min="1" max="1" width="4.5703125" style="1" customWidth="1"/>
    <col min="2" max="2" width="13.5703125" style="1" customWidth="1"/>
    <col min="3" max="3" width="14.85546875" style="1" customWidth="1"/>
    <col min="4" max="4" width="5.7109375" style="1" customWidth="1"/>
    <col min="5" max="5" width="79" style="1" customWidth="1"/>
    <col min="6" max="6" width="10.28515625" style="1" customWidth="1"/>
    <col min="7" max="7" width="10.42578125" style="1" customWidth="1"/>
    <col min="8" max="8" width="11.140625" style="1" customWidth="1"/>
    <col min="9" max="9" width="16.28515625" style="1" customWidth="1"/>
    <col min="10" max="16384" width="11" style="1"/>
  </cols>
  <sheetData>
    <row r="1" spans="1:9" x14ac:dyDescent="0.2">
      <c r="A1" s="3"/>
      <c r="B1" s="3"/>
      <c r="C1" s="3"/>
      <c r="D1" s="3"/>
      <c r="E1" s="3"/>
      <c r="F1" s="3"/>
      <c r="G1" s="3"/>
      <c r="H1" s="3"/>
      <c r="I1" s="3"/>
    </row>
    <row r="2" spans="1:9" x14ac:dyDescent="0.2">
      <c r="A2" s="3"/>
      <c r="B2" s="47" t="s">
        <v>0</v>
      </c>
      <c r="C2" s="47"/>
      <c r="D2" s="47"/>
      <c r="E2" s="47"/>
      <c r="F2" s="47"/>
      <c r="G2" s="47"/>
      <c r="H2" s="47"/>
      <c r="I2" s="3"/>
    </row>
    <row r="3" spans="1:9" x14ac:dyDescent="0.2">
      <c r="A3" s="3"/>
      <c r="B3" s="3"/>
      <c r="C3" s="3"/>
      <c r="D3" s="3"/>
      <c r="E3" s="3"/>
      <c r="F3" s="3"/>
      <c r="G3" s="3"/>
      <c r="H3" s="3"/>
      <c r="I3" s="3"/>
    </row>
    <row r="4" spans="1:9" ht="18" customHeight="1" x14ac:dyDescent="0.2">
      <c r="A4" s="44" t="s">
        <v>1</v>
      </c>
      <c r="B4" s="44"/>
      <c r="C4" s="48" t="s">
        <v>19</v>
      </c>
      <c r="D4" s="48"/>
      <c r="E4" s="48"/>
      <c r="F4" s="4"/>
      <c r="G4" s="5"/>
      <c r="H4" s="4"/>
      <c r="I4" s="3"/>
    </row>
    <row r="5" spans="1:9" ht="18" customHeight="1" x14ac:dyDescent="0.2">
      <c r="A5" s="44" t="s">
        <v>2</v>
      </c>
      <c r="B5" s="44"/>
      <c r="C5" s="48" t="s">
        <v>20</v>
      </c>
      <c r="D5" s="48"/>
      <c r="E5" s="48"/>
      <c r="F5" s="4"/>
      <c r="G5" s="5"/>
      <c r="H5" s="4"/>
      <c r="I5" s="3"/>
    </row>
    <row r="6" spans="1:9" ht="16.5" customHeight="1" x14ac:dyDescent="0.2">
      <c r="A6" s="44" t="s">
        <v>3</v>
      </c>
      <c r="B6" s="44"/>
      <c r="C6" s="24">
        <v>2021</v>
      </c>
      <c r="D6" s="6"/>
      <c r="E6" s="6"/>
      <c r="F6" s="4"/>
      <c r="G6" s="5"/>
      <c r="H6" s="4"/>
      <c r="I6" s="3"/>
    </row>
    <row r="7" spans="1:9" ht="16.5" customHeight="1" x14ac:dyDescent="0.2">
      <c r="A7" s="44" t="s">
        <v>4</v>
      </c>
      <c r="B7" s="44"/>
      <c r="C7" s="24">
        <v>1</v>
      </c>
      <c r="D7" s="6"/>
      <c r="E7" s="6"/>
      <c r="F7" s="4"/>
      <c r="G7" s="5"/>
      <c r="H7" s="4"/>
      <c r="I7" s="3"/>
    </row>
    <row r="8" spans="1:9" ht="13.5" thickBot="1" x14ac:dyDescent="0.25">
      <c r="A8" s="3"/>
      <c r="B8" s="4"/>
      <c r="C8" s="5"/>
      <c r="D8" s="4"/>
      <c r="E8" s="4"/>
      <c r="F8" s="4"/>
      <c r="G8" s="5"/>
      <c r="H8" s="4"/>
      <c r="I8" s="3"/>
    </row>
    <row r="9" spans="1:9" ht="42.75" customHeight="1" thickBot="1" x14ac:dyDescent="0.25">
      <c r="A9" s="7" t="s">
        <v>5</v>
      </c>
      <c r="B9" s="8" t="s">
        <v>6</v>
      </c>
      <c r="C9" s="8" t="s">
        <v>7</v>
      </c>
      <c r="D9" s="8" t="s">
        <v>8</v>
      </c>
      <c r="E9" s="8" t="s">
        <v>9</v>
      </c>
      <c r="F9" s="8" t="s">
        <v>10</v>
      </c>
      <c r="G9" s="8" t="s">
        <v>11</v>
      </c>
      <c r="H9" s="8" t="s">
        <v>12</v>
      </c>
      <c r="I9" s="9" t="s">
        <v>13</v>
      </c>
    </row>
    <row r="10" spans="1:9" s="2" customFormat="1" ht="37.5" customHeight="1" x14ac:dyDescent="0.2">
      <c r="A10" s="25">
        <v>1</v>
      </c>
      <c r="B10" s="26" t="s">
        <v>21</v>
      </c>
      <c r="C10" s="22" t="s">
        <v>31</v>
      </c>
      <c r="D10" s="27" t="str">
        <f>LEFT(B10,5)</f>
        <v>2.5.1</v>
      </c>
      <c r="E10" s="23" t="s">
        <v>22</v>
      </c>
      <c r="F10" s="26" t="s">
        <v>37</v>
      </c>
      <c r="G10" s="26">
        <v>150000</v>
      </c>
      <c r="H10" s="28">
        <v>49.69</v>
      </c>
      <c r="I10" s="29">
        <f>H10*G10</f>
        <v>7453500</v>
      </c>
    </row>
    <row r="11" spans="1:9" ht="38.25" x14ac:dyDescent="0.2">
      <c r="A11" s="30">
        <v>2</v>
      </c>
      <c r="B11" s="31" t="s">
        <v>21</v>
      </c>
      <c r="C11" s="32" t="s">
        <v>31</v>
      </c>
      <c r="D11" s="31" t="s">
        <v>30</v>
      </c>
      <c r="E11" s="32" t="s">
        <v>22</v>
      </c>
      <c r="F11" s="10" t="s">
        <v>37</v>
      </c>
      <c r="G11" s="10">
        <v>250000</v>
      </c>
      <c r="H11" s="28">
        <v>53.44</v>
      </c>
      <c r="I11" s="29">
        <f t="shared" ref="I11:I12" si="0">H11*G11</f>
        <v>13360000</v>
      </c>
    </row>
    <row r="12" spans="1:9" ht="25.5" x14ac:dyDescent="0.2">
      <c r="A12" s="30">
        <v>3</v>
      </c>
      <c r="B12" s="31" t="s">
        <v>28</v>
      </c>
      <c r="C12" s="32" t="s">
        <v>31</v>
      </c>
      <c r="D12" s="31" t="s">
        <v>30</v>
      </c>
      <c r="E12" s="32" t="s">
        <v>29</v>
      </c>
      <c r="F12" s="10" t="s">
        <v>37</v>
      </c>
      <c r="G12" s="10">
        <v>100000</v>
      </c>
      <c r="H12" s="28">
        <v>72.19</v>
      </c>
      <c r="I12" s="29">
        <f t="shared" si="0"/>
        <v>7219000</v>
      </c>
    </row>
    <row r="13" spans="1:9" ht="13.5" thickBot="1" x14ac:dyDescent="0.25">
      <c r="A13" s="33"/>
      <c r="B13" s="34"/>
      <c r="C13" s="35"/>
      <c r="D13" s="34"/>
      <c r="E13" s="35"/>
      <c r="F13" s="11"/>
      <c r="G13" s="11"/>
      <c r="H13" s="11"/>
      <c r="I13" s="36">
        <f>SUM(I10:I12)</f>
        <v>28032500</v>
      </c>
    </row>
    <row r="14" spans="1:9" x14ac:dyDescent="0.2">
      <c r="A14" s="3"/>
      <c r="B14" s="3"/>
      <c r="C14" s="3"/>
      <c r="D14" s="3"/>
      <c r="E14" s="3"/>
      <c r="F14" s="3"/>
      <c r="G14" s="3"/>
      <c r="H14" s="3"/>
      <c r="I14" s="3"/>
    </row>
    <row r="15" spans="1:9" ht="13.5" thickBot="1" x14ac:dyDescent="0.25">
      <c r="A15" s="3"/>
      <c r="B15" s="3"/>
      <c r="C15" s="3"/>
      <c r="D15" s="3"/>
      <c r="E15" s="3"/>
      <c r="F15" s="3"/>
      <c r="G15" s="3"/>
      <c r="H15" s="3"/>
      <c r="I15" s="3"/>
    </row>
    <row r="16" spans="1:9" ht="31.5" customHeight="1" x14ac:dyDescent="0.2">
      <c r="A16" s="3"/>
      <c r="B16" s="41" t="s">
        <v>23</v>
      </c>
      <c r="C16" s="42"/>
      <c r="D16" s="42"/>
      <c r="E16" s="43"/>
      <c r="F16" s="3"/>
      <c r="G16" s="3"/>
      <c r="H16" s="3"/>
      <c r="I16" s="3"/>
    </row>
    <row r="17" spans="1:9" ht="5.25" customHeight="1" x14ac:dyDescent="0.2">
      <c r="A17" s="3"/>
      <c r="B17" s="12"/>
      <c r="C17" s="13"/>
      <c r="D17" s="13"/>
      <c r="E17" s="14"/>
      <c r="F17" s="3"/>
      <c r="G17" s="3"/>
      <c r="H17" s="3"/>
      <c r="I17" s="3"/>
    </row>
    <row r="18" spans="1:9" x14ac:dyDescent="0.2">
      <c r="A18" s="3"/>
      <c r="B18" s="15" t="s">
        <v>14</v>
      </c>
      <c r="C18" s="13"/>
      <c r="D18" s="13"/>
      <c r="E18" s="14"/>
      <c r="F18" s="3"/>
      <c r="G18" s="3"/>
      <c r="H18" s="3"/>
      <c r="I18" s="3"/>
    </row>
    <row r="19" spans="1:9" ht="51.75" customHeight="1" x14ac:dyDescent="0.2">
      <c r="A19" s="3"/>
      <c r="B19" s="15"/>
      <c r="C19" s="37" t="s">
        <v>25</v>
      </c>
      <c r="D19" s="37"/>
      <c r="E19" s="38"/>
      <c r="F19" s="3"/>
      <c r="G19" s="3"/>
      <c r="H19" s="3"/>
      <c r="I19" s="3"/>
    </row>
    <row r="20" spans="1:9" x14ac:dyDescent="0.2">
      <c r="A20" s="3"/>
      <c r="B20" s="15" t="s">
        <v>15</v>
      </c>
      <c r="C20" s="13"/>
      <c r="D20" s="13"/>
      <c r="E20" s="14"/>
      <c r="F20" s="3"/>
      <c r="G20" s="3"/>
      <c r="H20" s="3"/>
      <c r="I20" s="3"/>
    </row>
    <row r="21" spans="1:9" ht="72" customHeight="1" x14ac:dyDescent="0.2">
      <c r="A21" s="3"/>
      <c r="B21" s="16"/>
      <c r="C21" s="37" t="s">
        <v>34</v>
      </c>
      <c r="D21" s="45"/>
      <c r="E21" s="46"/>
      <c r="F21" s="3"/>
      <c r="G21" s="3"/>
      <c r="H21" s="3"/>
      <c r="I21" s="3"/>
    </row>
    <row r="22" spans="1:9" x14ac:dyDescent="0.2">
      <c r="A22" s="3"/>
      <c r="B22" s="15" t="s">
        <v>16</v>
      </c>
      <c r="C22" s="13"/>
      <c r="D22" s="13"/>
      <c r="E22" s="14"/>
      <c r="F22" s="3"/>
      <c r="G22" s="3"/>
      <c r="H22" s="3"/>
      <c r="I22" s="3"/>
    </row>
    <row r="23" spans="1:9" ht="57.75" customHeight="1" x14ac:dyDescent="0.2">
      <c r="A23" s="3"/>
      <c r="B23" s="16"/>
      <c r="C23" s="37" t="s">
        <v>26</v>
      </c>
      <c r="D23" s="37"/>
      <c r="E23" s="38"/>
      <c r="F23" s="3"/>
      <c r="G23" s="3"/>
      <c r="H23" s="3"/>
      <c r="I23" s="3"/>
    </row>
    <row r="24" spans="1:9" x14ac:dyDescent="0.2">
      <c r="A24" s="3"/>
      <c r="B24" s="15" t="s">
        <v>17</v>
      </c>
      <c r="C24" s="17"/>
      <c r="D24" s="17"/>
      <c r="E24" s="18"/>
      <c r="F24" s="3"/>
      <c r="G24" s="3"/>
      <c r="H24" s="3"/>
      <c r="I24" s="3"/>
    </row>
    <row r="25" spans="1:9" ht="12" customHeight="1" x14ac:dyDescent="0.2">
      <c r="A25" s="3"/>
      <c r="B25" s="16"/>
      <c r="C25" s="39"/>
      <c r="D25" s="39"/>
      <c r="E25" s="39"/>
      <c r="F25" s="3"/>
      <c r="G25" s="3"/>
      <c r="H25" s="3"/>
      <c r="I25" s="3"/>
    </row>
    <row r="26" spans="1:9" ht="16.5" customHeight="1" x14ac:dyDescent="0.2">
      <c r="A26" s="3"/>
      <c r="B26" s="15" t="s">
        <v>18</v>
      </c>
      <c r="C26" s="13"/>
      <c r="D26" s="13"/>
      <c r="E26" s="14"/>
      <c r="F26" s="3"/>
      <c r="G26" s="3"/>
      <c r="H26" s="3"/>
      <c r="I26" s="3"/>
    </row>
    <row r="27" spans="1:9" ht="14.25" customHeight="1" x14ac:dyDescent="0.2">
      <c r="A27" s="3"/>
      <c r="B27" s="15"/>
      <c r="C27" s="40"/>
      <c r="D27" s="40"/>
      <c r="E27" s="40"/>
      <c r="F27" s="3"/>
      <c r="G27" s="3"/>
      <c r="H27" s="3"/>
      <c r="I27" s="3"/>
    </row>
    <row r="28" spans="1:9" ht="13.5" thickBot="1" x14ac:dyDescent="0.25">
      <c r="A28" s="3"/>
      <c r="B28" s="19"/>
      <c r="C28" s="20"/>
      <c r="D28" s="20"/>
      <c r="E28" s="21"/>
      <c r="F28" s="3"/>
      <c r="G28" s="3"/>
      <c r="H28" s="3"/>
      <c r="I28" s="3"/>
    </row>
    <row r="29" spans="1:9" ht="13.5" thickBot="1" x14ac:dyDescent="0.25">
      <c r="A29" s="3"/>
      <c r="B29" s="3"/>
      <c r="C29" s="3"/>
      <c r="D29" s="3"/>
      <c r="E29" s="3"/>
      <c r="F29" s="3"/>
      <c r="G29" s="3"/>
      <c r="H29" s="3"/>
      <c r="I29" s="3"/>
    </row>
    <row r="30" spans="1:9" ht="29.25" customHeight="1" x14ac:dyDescent="0.2">
      <c r="A30" s="3"/>
      <c r="B30" s="41" t="s">
        <v>24</v>
      </c>
      <c r="C30" s="42"/>
      <c r="D30" s="42"/>
      <c r="E30" s="43"/>
      <c r="F30" s="3"/>
      <c r="G30" s="3"/>
      <c r="H30" s="3"/>
      <c r="I30" s="3"/>
    </row>
    <row r="31" spans="1:9" ht="7.5" customHeight="1" x14ac:dyDescent="0.2">
      <c r="A31" s="3"/>
      <c r="B31" s="12"/>
      <c r="C31" s="13"/>
      <c r="D31" s="13"/>
      <c r="E31" s="14"/>
      <c r="F31" s="3"/>
      <c r="G31" s="3"/>
      <c r="H31" s="3"/>
      <c r="I31" s="3"/>
    </row>
    <row r="32" spans="1:9" x14ac:dyDescent="0.2">
      <c r="A32" s="3"/>
      <c r="B32" s="15" t="s">
        <v>14</v>
      </c>
      <c r="C32" s="13"/>
      <c r="D32" s="13"/>
      <c r="E32" s="14"/>
      <c r="F32" s="3"/>
      <c r="G32" s="3"/>
      <c r="H32" s="3"/>
      <c r="I32" s="3"/>
    </row>
    <row r="33" spans="1:9" ht="56.25" customHeight="1" x14ac:dyDescent="0.2">
      <c r="A33" s="3"/>
      <c r="B33" s="15"/>
      <c r="C33" s="37" t="s">
        <v>25</v>
      </c>
      <c r="D33" s="37"/>
      <c r="E33" s="38"/>
      <c r="F33" s="3"/>
      <c r="G33" s="3"/>
      <c r="H33" s="3"/>
      <c r="I33" s="3"/>
    </row>
    <row r="34" spans="1:9" x14ac:dyDescent="0.2">
      <c r="A34" s="3"/>
      <c r="B34" s="15" t="s">
        <v>15</v>
      </c>
      <c r="C34" s="13"/>
      <c r="D34" s="13"/>
      <c r="E34" s="14"/>
      <c r="F34" s="3"/>
      <c r="G34" s="3"/>
      <c r="H34" s="3"/>
      <c r="I34" s="3"/>
    </row>
    <row r="35" spans="1:9" ht="148.5" customHeight="1" x14ac:dyDescent="0.2">
      <c r="A35" s="3"/>
      <c r="B35" s="16"/>
      <c r="C35" s="37" t="s">
        <v>35</v>
      </c>
      <c r="D35" s="37"/>
      <c r="E35" s="38"/>
      <c r="F35" s="3"/>
      <c r="G35" s="3"/>
      <c r="H35" s="3"/>
      <c r="I35" s="3"/>
    </row>
    <row r="36" spans="1:9" x14ac:dyDescent="0.2">
      <c r="A36" s="3"/>
      <c r="B36" s="15" t="s">
        <v>16</v>
      </c>
      <c r="C36" s="13"/>
      <c r="D36" s="13"/>
      <c r="E36" s="14"/>
      <c r="F36" s="3"/>
      <c r="G36" s="3"/>
      <c r="H36" s="3"/>
      <c r="I36" s="3"/>
    </row>
    <row r="37" spans="1:9" ht="65.25" customHeight="1" x14ac:dyDescent="0.2">
      <c r="A37" s="3"/>
      <c r="B37" s="16"/>
      <c r="C37" s="37" t="s">
        <v>26</v>
      </c>
      <c r="D37" s="37"/>
      <c r="E37" s="38"/>
      <c r="F37" s="3"/>
      <c r="G37" s="3"/>
      <c r="H37" s="3"/>
      <c r="I37" s="3"/>
    </row>
    <row r="38" spans="1:9" x14ac:dyDescent="0.2">
      <c r="A38" s="3"/>
      <c r="B38" s="15" t="s">
        <v>17</v>
      </c>
      <c r="C38" s="17"/>
      <c r="D38" s="17"/>
      <c r="E38" s="18"/>
      <c r="F38" s="3"/>
      <c r="G38" s="3"/>
      <c r="H38" s="3"/>
      <c r="I38" s="3"/>
    </row>
    <row r="39" spans="1:9" x14ac:dyDescent="0.2">
      <c r="A39" s="3"/>
      <c r="B39" s="16"/>
      <c r="C39" s="39"/>
      <c r="D39" s="39"/>
      <c r="E39" s="39"/>
      <c r="F39" s="3"/>
      <c r="G39" s="3"/>
      <c r="H39" s="3"/>
      <c r="I39" s="3"/>
    </row>
    <row r="40" spans="1:9" x14ac:dyDescent="0.2">
      <c r="A40" s="3"/>
      <c r="B40" s="15" t="s">
        <v>18</v>
      </c>
      <c r="C40" s="13"/>
      <c r="D40" s="13"/>
      <c r="E40" s="14"/>
      <c r="F40" s="3"/>
      <c r="G40" s="3"/>
      <c r="H40" s="3"/>
      <c r="I40" s="3"/>
    </row>
    <row r="41" spans="1:9" x14ac:dyDescent="0.2">
      <c r="A41" s="3"/>
      <c r="B41" s="15"/>
      <c r="C41" s="40"/>
      <c r="D41" s="40"/>
      <c r="E41" s="40"/>
      <c r="F41" s="3"/>
      <c r="G41" s="3"/>
      <c r="H41" s="3"/>
      <c r="I41" s="3"/>
    </row>
    <row r="42" spans="1:9" ht="13.5" thickBot="1" x14ac:dyDescent="0.25">
      <c r="A42" s="3"/>
      <c r="B42" s="19"/>
      <c r="C42" s="20"/>
      <c r="D42" s="20"/>
      <c r="E42" s="21"/>
      <c r="F42" s="3"/>
      <c r="G42" s="3"/>
      <c r="H42" s="3"/>
      <c r="I42" s="3"/>
    </row>
    <row r="43" spans="1:9" ht="13.5" thickBot="1" x14ac:dyDescent="0.25">
      <c r="A43" s="3"/>
      <c r="B43" s="3"/>
      <c r="C43" s="3"/>
      <c r="D43" s="3"/>
      <c r="E43" s="3"/>
      <c r="F43" s="3"/>
      <c r="G43" s="3"/>
      <c r="H43" s="3"/>
      <c r="I43" s="3"/>
    </row>
    <row r="44" spans="1:9" ht="29.25" customHeight="1" x14ac:dyDescent="0.2">
      <c r="A44" s="3"/>
      <c r="B44" s="49" t="s">
        <v>32</v>
      </c>
      <c r="C44" s="50"/>
      <c r="D44" s="50"/>
      <c r="E44" s="51"/>
      <c r="F44" s="3"/>
      <c r="G44" s="3"/>
      <c r="H44" s="3"/>
      <c r="I44" s="3"/>
    </row>
    <row r="45" spans="1:9" ht="3" customHeight="1" x14ac:dyDescent="0.2">
      <c r="A45" s="3"/>
      <c r="B45" s="12"/>
      <c r="C45" s="13"/>
      <c r="D45" s="13"/>
      <c r="E45" s="14"/>
      <c r="F45" s="3"/>
      <c r="G45" s="3"/>
      <c r="H45" s="3"/>
      <c r="I45" s="3"/>
    </row>
    <row r="46" spans="1:9" x14ac:dyDescent="0.2">
      <c r="A46" s="3"/>
      <c r="B46" s="15" t="s">
        <v>14</v>
      </c>
      <c r="C46" s="13"/>
      <c r="D46" s="13"/>
      <c r="E46" s="14"/>
      <c r="F46" s="3"/>
      <c r="G46" s="3"/>
      <c r="H46" s="3"/>
      <c r="I46" s="3"/>
    </row>
    <row r="47" spans="1:9" ht="70.5" customHeight="1" x14ac:dyDescent="0.2">
      <c r="A47" s="3"/>
      <c r="B47" s="15"/>
      <c r="C47" s="37" t="s">
        <v>33</v>
      </c>
      <c r="D47" s="37"/>
      <c r="E47" s="38"/>
      <c r="F47" s="3"/>
      <c r="G47" s="3"/>
      <c r="H47" s="3"/>
      <c r="I47" s="3"/>
    </row>
    <row r="48" spans="1:9" x14ac:dyDescent="0.2">
      <c r="A48" s="3"/>
      <c r="B48" s="15" t="s">
        <v>15</v>
      </c>
      <c r="C48" s="13"/>
      <c r="D48" s="13"/>
      <c r="E48" s="14"/>
      <c r="F48" s="3"/>
      <c r="G48" s="3"/>
      <c r="H48" s="3"/>
      <c r="I48" s="3"/>
    </row>
    <row r="49" spans="1:9" ht="3" customHeight="1" x14ac:dyDescent="0.2">
      <c r="A49" s="3"/>
      <c r="B49" s="16"/>
      <c r="C49" s="40"/>
      <c r="D49" s="40"/>
      <c r="E49" s="40"/>
      <c r="F49" s="3"/>
      <c r="G49" s="3"/>
      <c r="H49" s="3"/>
      <c r="I49" s="3"/>
    </row>
    <row r="50" spans="1:9" ht="99" customHeight="1" x14ac:dyDescent="0.2">
      <c r="A50" s="3"/>
      <c r="B50" s="16"/>
      <c r="C50" s="37" t="s">
        <v>36</v>
      </c>
      <c r="D50" s="37"/>
      <c r="E50" s="38"/>
      <c r="F50" s="3"/>
      <c r="G50" s="3"/>
      <c r="H50" s="3"/>
      <c r="I50" s="3"/>
    </row>
    <row r="51" spans="1:9" x14ac:dyDescent="0.2">
      <c r="A51" s="3"/>
      <c r="B51" s="15" t="s">
        <v>16</v>
      </c>
      <c r="C51" s="13"/>
      <c r="D51" s="13"/>
      <c r="E51" s="14"/>
      <c r="F51" s="3"/>
      <c r="G51" s="3"/>
      <c r="H51" s="3"/>
      <c r="I51" s="3"/>
    </row>
    <row r="52" spans="1:9" ht="43.5" customHeight="1" x14ac:dyDescent="0.2">
      <c r="A52" s="3"/>
      <c r="B52" s="16"/>
      <c r="C52" s="37" t="s">
        <v>27</v>
      </c>
      <c r="D52" s="37"/>
      <c r="E52" s="38"/>
      <c r="F52" s="3"/>
      <c r="G52" s="3"/>
      <c r="H52" s="3"/>
      <c r="I52" s="3"/>
    </row>
    <row r="53" spans="1:9" x14ac:dyDescent="0.2">
      <c r="A53" s="3"/>
      <c r="B53" s="15" t="s">
        <v>17</v>
      </c>
      <c r="C53" s="17"/>
      <c r="D53" s="17"/>
      <c r="E53" s="18"/>
      <c r="F53" s="3"/>
      <c r="G53" s="3"/>
      <c r="H53" s="3"/>
      <c r="I53" s="3"/>
    </row>
    <row r="54" spans="1:9" ht="14.25" customHeight="1" x14ac:dyDescent="0.2">
      <c r="A54" s="3"/>
      <c r="B54" s="16"/>
      <c r="C54" s="39"/>
      <c r="D54" s="39"/>
      <c r="E54" s="39"/>
      <c r="F54" s="3"/>
      <c r="G54" s="3"/>
      <c r="H54" s="3"/>
      <c r="I54" s="3"/>
    </row>
    <row r="55" spans="1:9" x14ac:dyDescent="0.2">
      <c r="A55" s="3"/>
      <c r="B55" s="15" t="s">
        <v>18</v>
      </c>
      <c r="C55" s="13"/>
      <c r="D55" s="13"/>
      <c r="E55" s="14"/>
      <c r="F55" s="3"/>
      <c r="G55" s="3"/>
      <c r="H55" s="3"/>
      <c r="I55" s="3"/>
    </row>
    <row r="56" spans="1:9" ht="9.75" customHeight="1" x14ac:dyDescent="0.2">
      <c r="A56" s="3"/>
      <c r="B56" s="15"/>
      <c r="C56" s="40"/>
      <c r="D56" s="40"/>
      <c r="E56" s="40"/>
      <c r="F56" s="3"/>
      <c r="G56" s="3"/>
      <c r="H56" s="3"/>
      <c r="I56" s="3"/>
    </row>
    <row r="57" spans="1:9" ht="13.5" thickBot="1" x14ac:dyDescent="0.25">
      <c r="A57" s="3"/>
      <c r="B57" s="19"/>
      <c r="C57" s="20"/>
      <c r="D57" s="20"/>
      <c r="E57" s="21"/>
      <c r="F57" s="3"/>
      <c r="G57" s="3"/>
      <c r="H57" s="3"/>
      <c r="I57" s="3"/>
    </row>
    <row r="58" spans="1:9" x14ac:dyDescent="0.2">
      <c r="A58" s="3"/>
      <c r="B58" s="3"/>
      <c r="C58" s="3"/>
      <c r="D58" s="3"/>
      <c r="E58" s="3"/>
      <c r="F58" s="3"/>
      <c r="G58" s="3"/>
      <c r="H58" s="3"/>
      <c r="I58" s="3"/>
    </row>
    <row r="59" spans="1:9" x14ac:dyDescent="0.2">
      <c r="A59" s="3"/>
      <c r="B59" s="3"/>
      <c r="C59" s="3"/>
      <c r="D59" s="3"/>
      <c r="E59" s="3"/>
      <c r="F59" s="3"/>
      <c r="G59" s="3"/>
      <c r="H59" s="3"/>
      <c r="I59" s="3"/>
    </row>
    <row r="60" spans="1:9" x14ac:dyDescent="0.2">
      <c r="A60" s="3"/>
      <c r="B60" s="3"/>
      <c r="C60" s="3"/>
      <c r="D60" s="3"/>
      <c r="E60" s="3"/>
      <c r="F60" s="3"/>
      <c r="G60" s="3"/>
      <c r="H60" s="3"/>
      <c r="I60" s="3"/>
    </row>
    <row r="61" spans="1:9" x14ac:dyDescent="0.2">
      <c r="A61" s="3"/>
      <c r="B61" s="3"/>
      <c r="C61" s="3"/>
      <c r="D61" s="3"/>
      <c r="E61" s="3"/>
      <c r="F61" s="3"/>
      <c r="G61" s="3"/>
      <c r="H61" s="3"/>
      <c r="I61" s="3"/>
    </row>
    <row r="62" spans="1:9" x14ac:dyDescent="0.2">
      <c r="A62" s="3"/>
      <c r="B62" s="3"/>
      <c r="C62" s="3"/>
      <c r="D62" s="3"/>
      <c r="E62" s="3"/>
      <c r="F62" s="3"/>
      <c r="G62" s="3"/>
      <c r="H62" s="3"/>
      <c r="I62" s="3"/>
    </row>
    <row r="63" spans="1:9" x14ac:dyDescent="0.2">
      <c r="A63" s="3"/>
      <c r="B63" s="3"/>
      <c r="C63" s="3"/>
      <c r="D63" s="3"/>
      <c r="E63" s="3"/>
      <c r="F63" s="3"/>
      <c r="G63" s="3"/>
      <c r="H63" s="3"/>
      <c r="I63" s="3"/>
    </row>
    <row r="64" spans="1:9" x14ac:dyDescent="0.2">
      <c r="A64" s="3"/>
      <c r="B64" s="3"/>
      <c r="C64" s="3"/>
      <c r="D64" s="3"/>
      <c r="E64" s="3"/>
      <c r="F64" s="3"/>
      <c r="G64" s="3"/>
      <c r="H64" s="3"/>
      <c r="I64" s="3"/>
    </row>
    <row r="65" spans="1:9" x14ac:dyDescent="0.2">
      <c r="A65" s="3"/>
      <c r="B65" s="3"/>
      <c r="C65" s="3"/>
      <c r="D65" s="3"/>
      <c r="E65" s="3"/>
      <c r="F65" s="3"/>
      <c r="G65" s="3"/>
      <c r="H65" s="3"/>
      <c r="I65" s="3"/>
    </row>
    <row r="66" spans="1:9" x14ac:dyDescent="0.2">
      <c r="A66" s="3"/>
      <c r="B66" s="3"/>
      <c r="C66" s="3"/>
      <c r="D66" s="3"/>
      <c r="E66" s="3"/>
      <c r="F66" s="3"/>
      <c r="G66" s="3"/>
      <c r="H66" s="3"/>
      <c r="I66" s="3"/>
    </row>
    <row r="67" spans="1:9" x14ac:dyDescent="0.2">
      <c r="A67" s="3"/>
      <c r="B67" s="3"/>
      <c r="C67" s="3"/>
      <c r="D67" s="3"/>
      <c r="E67" s="3"/>
      <c r="F67" s="3"/>
      <c r="G67" s="3"/>
      <c r="H67" s="3"/>
      <c r="I67" s="3"/>
    </row>
    <row r="68" spans="1:9" x14ac:dyDescent="0.2">
      <c r="A68" s="3"/>
      <c r="B68" s="3"/>
      <c r="C68" s="3"/>
      <c r="D68" s="3"/>
      <c r="E68" s="3"/>
      <c r="F68" s="3"/>
      <c r="G68" s="3"/>
      <c r="H68" s="3"/>
      <c r="I68" s="3"/>
    </row>
    <row r="69" spans="1:9" x14ac:dyDescent="0.2">
      <c r="A69" s="3"/>
      <c r="B69" s="3"/>
      <c r="C69" s="3"/>
      <c r="D69" s="3"/>
      <c r="E69" s="3"/>
      <c r="F69" s="3"/>
      <c r="G69" s="3"/>
      <c r="H69" s="3"/>
      <c r="I69" s="3"/>
    </row>
    <row r="70" spans="1:9" x14ac:dyDescent="0.2">
      <c r="A70" s="3"/>
      <c r="B70" s="3"/>
      <c r="C70" s="3"/>
      <c r="D70" s="3"/>
      <c r="E70" s="3"/>
      <c r="F70" s="3"/>
      <c r="G70" s="3"/>
      <c r="H70" s="3"/>
      <c r="I70" s="3"/>
    </row>
    <row r="71" spans="1:9" x14ac:dyDescent="0.2">
      <c r="A71" s="3"/>
      <c r="B71" s="3"/>
      <c r="C71" s="3"/>
      <c r="D71" s="3"/>
      <c r="E71" s="3"/>
      <c r="F71" s="3"/>
      <c r="G71" s="3"/>
      <c r="H71" s="3"/>
      <c r="I71" s="3"/>
    </row>
    <row r="72" spans="1:9" x14ac:dyDescent="0.2">
      <c r="A72" s="3"/>
      <c r="B72" s="3"/>
      <c r="C72" s="3"/>
      <c r="D72" s="3"/>
      <c r="E72" s="3"/>
      <c r="F72" s="3"/>
      <c r="G72" s="3"/>
      <c r="H72" s="3"/>
      <c r="I72" s="3"/>
    </row>
    <row r="73" spans="1:9" x14ac:dyDescent="0.2">
      <c r="A73" s="3"/>
      <c r="B73" s="3"/>
      <c r="C73" s="3"/>
      <c r="D73" s="3"/>
      <c r="E73" s="3"/>
      <c r="F73" s="3"/>
      <c r="G73" s="3"/>
      <c r="H73" s="3"/>
      <c r="I73" s="3"/>
    </row>
    <row r="74" spans="1:9" x14ac:dyDescent="0.2">
      <c r="A74" s="3"/>
      <c r="B74" s="3"/>
      <c r="C74" s="3"/>
      <c r="D74" s="3"/>
      <c r="E74" s="3"/>
      <c r="F74" s="3"/>
      <c r="G74" s="3"/>
      <c r="H74" s="3"/>
      <c r="I74" s="3"/>
    </row>
    <row r="75" spans="1:9" x14ac:dyDescent="0.2">
      <c r="A75" s="3"/>
      <c r="B75" s="3"/>
      <c r="C75" s="3"/>
      <c r="D75" s="3"/>
      <c r="E75" s="3"/>
      <c r="F75" s="3"/>
      <c r="G75" s="3"/>
      <c r="H75" s="3"/>
      <c r="I75" s="3"/>
    </row>
  </sheetData>
  <mergeCells count="26">
    <mergeCell ref="C54:E54"/>
    <mergeCell ref="C56:E56"/>
    <mergeCell ref="B44:E44"/>
    <mergeCell ref="C47:E47"/>
    <mergeCell ref="C49:E49"/>
    <mergeCell ref="C50:E50"/>
    <mergeCell ref="C52:E52"/>
    <mergeCell ref="B2:H2"/>
    <mergeCell ref="A4:B4"/>
    <mergeCell ref="C4:E4"/>
    <mergeCell ref="A5:B5"/>
    <mergeCell ref="C5:E5"/>
    <mergeCell ref="A6:B6"/>
    <mergeCell ref="A7:B7"/>
    <mergeCell ref="C19:E19"/>
    <mergeCell ref="C21:E21"/>
    <mergeCell ref="B16:E16"/>
    <mergeCell ref="C37:E37"/>
    <mergeCell ref="C39:E39"/>
    <mergeCell ref="C41:E41"/>
    <mergeCell ref="C23:E23"/>
    <mergeCell ref="C25:E25"/>
    <mergeCell ref="C27:E27"/>
    <mergeCell ref="C33:E33"/>
    <mergeCell ref="C35:E35"/>
    <mergeCell ref="B30:E30"/>
  </mergeCell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2020-07-17T22:18:48Z</cp:lastPrinted>
  <dcterms:created xsi:type="dcterms:W3CDTF">2020-07-17T23:44:49Z</dcterms:created>
  <dcterms:modified xsi:type="dcterms:W3CDTF">2021-08-17T12:32:13Z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