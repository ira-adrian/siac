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mc:AlternateContent xmlns:mc="http://schemas.openxmlformats.org/markup-compatibility/2006">
    <mc:Choice Requires="x15">
      <x15ac:absPath xmlns:x15ac="http://schemas.microsoft.com/office/spreadsheetml/2010/11/ac" url="G:\Mi unidad\COMPARTIDA\DIRECCION DE PLANIFICACION\DOCUMENTACION\Johana\1 TRIMESTRE 2022\M EDUCACION\bidones de agua\"/>
    </mc:Choice>
  </mc:AlternateContent>
  <xr:revisionPtr revIDLastSave="0" documentId="8_{EF038FAA-59DD-4AD6-9A94-3198C6ABC113}" xr6:coauthVersionLast="47" xr6:coauthVersionMax="47" xr10:uidLastSave="{00000000-0000-0000-0000-000000000000}"/>
  <bookViews>
    <workbookView xWindow="-120" yWindow="-120" windowWidth="29040" windowHeight="15840" tabRatio="500" activeTab="1" xr2:uid="{00000000-000D-0000-FFFF-FFFF00000000}"/>
  </bookViews>
  <sheets>
    <sheet name="APG" sheetId="4" r:id="rId1"/>
    <sheet name="NP" sheetId="5" r:id="rId2"/>
    <sheet name="NECESIDADES TRIMESTRALES" sheetId="3" r:id="rId3"/>
  </sheets>
  <definedNames>
    <definedName name="_xlnm.Print_Area" localSheetId="2">'NECESIDADES TRIMESTRALES'!$A$1:$I$35</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D12" i="3" l="1"/>
  <c r="I12" i="3"/>
  <c r="J13" i="5" l="1"/>
  <c r="Q15" i="4" s="1"/>
  <c r="Q23" i="4" s="1"/>
</calcChain>
</file>

<file path=xl/sharedStrings.xml><?xml version="1.0" encoding="utf-8"?>
<sst xmlns="http://schemas.openxmlformats.org/spreadsheetml/2006/main" count="89" uniqueCount="78">
  <si>
    <t>EJERCICIO:</t>
  </si>
  <si>
    <t>UNIDAD</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</si>
  <si>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</si>
  <si>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</si>
  <si>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</si>
  <si>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</si>
  <si>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</si>
  <si>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</si>
  <si>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</si>
  <si>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</si>
  <si>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</si>
  <si>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</si>
  <si>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DESCRIPCION</t>
  </si>
  <si>
    <t>UNIDAD DE MEDIDA</t>
  </si>
  <si>
    <t>CANTIDAD</t>
  </si>
  <si>
    <t>PRECIO UNITARIO ESTIMADO</t>
  </si>
  <si>
    <t xml:space="preserve">IMPORTE TOTAL ESTIMADO </t>
  </si>
  <si>
    <t>Plazos y lugares de entrega</t>
  </si>
  <si>
    <t xml:space="preserve">Especificidades Item N° 01 </t>
  </si>
  <si>
    <t>ALIMENTOS</t>
  </si>
  <si>
    <t>AUTORIZACION PARA GASTAR</t>
  </si>
  <si>
    <t>JURISDICCIÓN:</t>
  </si>
  <si>
    <t>50 - MINISTERIO DE EDUCACION</t>
  </si>
  <si>
    <t>SAF:</t>
  </si>
  <si>
    <t>26 - DIRECCION PROVINCIAL DE ADMINSTRACION</t>
  </si>
  <si>
    <t>UNIDAD EJECUTORA:</t>
  </si>
  <si>
    <t xml:space="preserve">DEPENDENCIA SOLICITANTE: </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</si>
  <si>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</si>
  <si>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</si>
  <si>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</si>
  <si>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</si>
  <si>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</si>
  <si>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</si>
  <si>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</si>
  <si>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</si>
  <si>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</si>
  <si>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</si>
  <si>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</si>
  <si>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</si>
  <si>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</si>
  <si>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</si>
  <si>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</si>
  <si>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</si>
  <si>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</si>
  <si>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</si>
  <si>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</si>
  <si>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</si>
  <si>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</si>
  <si>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ALIMENTOS PARA PERSONAS</t>
  </si>
  <si>
    <t>NOTA DE PEDIDO</t>
  </si>
  <si>
    <t>N°</t>
  </si>
  <si>
    <t xml:space="preserve">JURISDICCIÓN: </t>
  </si>
  <si>
    <t>26 - DIRECCION PROVINCIAL DE ADMINISTRACION</t>
  </si>
  <si>
    <t>PERIODO UTILIZACIÓN:</t>
  </si>
  <si>
    <t>OBJETO:</t>
  </si>
  <si>
    <t>Ítem</t>
  </si>
  <si>
    <t>Codigo Item</t>
  </si>
  <si>
    <t>DESCRIPCIÓN</t>
  </si>
  <si>
    <t>Adjunta Detalle Técnico</t>
  </si>
  <si>
    <t>Unidad Medida</t>
  </si>
  <si>
    <t>Precio Unitario Estimado</t>
  </si>
  <si>
    <t>Cantidad Solicitada</t>
  </si>
  <si>
    <t>3 MESES</t>
  </si>
  <si>
    <t>NO</t>
  </si>
  <si>
    <r>
      <rPr>
        <u/>
        <sz val="10"/>
        <rFont val="Times New Roman"/>
        <family val="1"/>
      </rPr>
      <t>Mantenimiento</t>
    </r>
    <r>
      <rPr>
        <sz val="10"/>
        <rFont val="Times New Roman"/>
        <family val="1"/>
      </rPr>
      <t>: 30 dias habiles</t>
    </r>
  </si>
  <si>
    <t>Costo total estimado: PESOS UN MILLON TRESCIENTOS CINCUENTA MIL CON 00/100</t>
  </si>
  <si>
    <t>TOTAL DE PESOS:  PESOS UN MILLON TRESCIENTOS CINCUENTA MIL CON 00/100</t>
  </si>
  <si>
    <t xml:space="preserve">SECRETARIA DE ADMINISTRACION </t>
  </si>
  <si>
    <t>SECRETARIA DE ADMINISTRACION</t>
  </si>
  <si>
    <t>022/2022</t>
  </si>
  <si>
    <r>
      <t xml:space="preserve">Autorizo la realización de los  trámites correspondientes, a fin de (proveer a  este Organismo los bienes, servicios o ejecución de obras públicas que se detallan en Nota  de Pedido N° </t>
    </r>
    <r>
      <rPr>
        <sz val="11"/>
        <color theme="1"/>
        <rFont val="Arial"/>
        <family val="2"/>
      </rPr>
      <t>022/22</t>
    </r>
    <r>
      <rPr>
        <sz val="11"/>
        <rFont val="Arial"/>
        <family val="2"/>
        <charset val="1"/>
      </rPr>
      <t>, afectando la erogación resultante a los créditos presupuestarios aprobados a favor de esta Unidad Ejecutora, conforme al siguiente detalle:</t>
    </r>
  </si>
  <si>
    <t>ADQUISICION DE BIDONES DE AGUA POTABLE PARA DEPENDENCIAS DEL MINISTERIO DE EDUCACION</t>
  </si>
  <si>
    <t>ADQUISICION DE BIDONES DE AGUA POTABLE</t>
  </si>
  <si>
    <t>2.1.1-478.47</t>
  </si>
  <si>
    <t>AGUA MINERAL; TIPO: SIN GASIFICAR, PRESENTACION: BIDON X 20 L, MATERIAL ENVASE: POLICARBONATO, TIPO ENVASE: RETORNABLE, ELEM. TRANSPORTE: SIN, MATERIAL ELEM.</t>
  </si>
  <si>
    <t>Bidones de Agua de mesa, capacidad :20 litros , retornables-La oferta debera incluir el uso treinta (30) dispenser sin cargo, Capacidad : 20 litros, sistema espendendedor agua fria y caliente, incluyendo el mantenimiento de los mismos durante el periodo de utilizacion. Periodo de utilizacion : 3 meses .Corriendo los gastos de flete, acarreos , carga y descarga y seguro por cuenta del adjudicatario. Que el item cotizado se encuentre contemplado dentro del Codigo Alimentario Argentino Ley 18,284, articulo 893 (modificada por Resolucion 494/94), para la fabricacion y envasado de agua de mesa</t>
  </si>
  <si>
    <t>El plazo de entrega  semanal segun necesidad de consumo, estimandose 250 unidades semanales.Total estimado mensual: 1000 bidones durante 3 meses.Periodo de utilizacion  Tres ( 3) meses con opcion a prorroga.A partir de la fecha de recepción de la respectiva Orden de Compra en el domicilio especial electrónico constituido, en virtud del método de contratación. La entrega de dichos bienes se realizará en la Secreatria de Administracion de ME , sito en Avenida Republica de Venezuela S/N° - CAPE- Pabellón N° 15 San Fernando del Valle de Catamarca.  Se presentará Remito que deberá cumplimentar lo dispuesto por la R.G. AFIP  1415/03, sin excepción.</t>
  </si>
  <si>
    <r>
      <t xml:space="preserve">             </t>
    </r>
    <r>
      <rPr>
        <u/>
        <sz val="10"/>
        <rFont val="Times New Roman"/>
        <family val="1"/>
      </rPr>
      <t>Forma de Pago</t>
    </r>
    <r>
      <rPr>
        <sz val="10"/>
        <rFont val="Times New Roman"/>
        <family val="1"/>
      </rPr>
      <t>: mensual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</si>
</sst>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quot;$&quot;\ * #,##0.00_ ;_ &quot;$&quot;\ * \-#,##0.00_ ;_ &quot;$&quot;\ * &quot;-&quot;??_ ;_ @_ "/>
    <numFmt numFmtId="165" formatCode="_-&quot;$&quot;* #,##0.00_-;\-&quot;$&quot;* #,##0.00_-;_-&quot;$&quot;* &quot;-&quot;??_-;_-@_-"/>
    <numFmt numFmtId="166" formatCode="[$$-2C0A]\ #,##0.00"/>
    <numFmt numFmtId="167" formatCode="[$$-2C0A]\ #,##0.00;[$$-2C0A]&quot; -&quot;#,##0.00"/>
    <numFmt numFmtId="168" formatCode="dd\-mm\-yy;@"/>
    <numFmt numFmtId="169" formatCode="_(\$* #,##0.00_);_(\$* \(#,##0.00\);_(\$* \-??_);_(@_)"/>
  </numFmts>
  <fonts count="36" x14ac:knownFonts="1">
    <font>
      <sz val="10"/>
      <name val="Arial"/>
      <charset val="1"/>
    </font>
    <font>
      <b/>
      <sz val="15"/>
      <color rgb="FF666699"/>
      <name val="Calibri"/>
      <family val="2"/>
      <charset val="1"/>
    </font>
    <font>
      <sz val="11"/>
      <color rgb="FF993300"/>
      <name val="Calibri"/>
      <family val="2"/>
      <charset val="1"/>
    </font>
    <font>
      <sz val="10"/>
      <name val="Times New Roman"/>
      <family val="1"/>
      <charset val="1"/>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1"/>
      <name val="Arial"/>
      <family val="2"/>
      <charset val="1"/>
    </font>
    <font>
      <b/>
      <sz val="12"/>
      <name val="Arial"/>
      <family val="2"/>
      <charset val="1"/>
    </font>
    <font>
      <sz val="10"/>
      <name val="Arial"/>
      <family val="2"/>
      <charset val="1"/>
    </font>
    <font>
      <sz val="11"/>
      <name val="Arial"/>
      <family val="2"/>
      <charset val="1"/>
    </font>
    <font>
      <b/>
      <u/>
      <sz val="10"/>
      <name val="Arial"/>
      <family val="2"/>
      <charset val="1"/>
    </font>
    <font>
      <b/>
      <sz val="10"/>
      <name val="Arial"/>
      <family val="2"/>
      <charset val="1"/>
    </font>
    <font>
      <sz val="11"/>
      <color theme="1"/>
      <name val="Arial"/>
      <family val="2"/>
    </font>
    <font>
      <sz val="10"/>
      <color theme="1"/>
      <name val="Arial"/>
      <family val="2"/>
    </font>
    <font>
      <b/>
      <sz val="11"/>
      <color theme="1"/>
      <name val="Arial"/>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sz val="8"/>
      <name val="Times New Roman"/>
      <family val="1"/>
      <charset val="1"/>
    </font>
    <font>
      <b/>
      <sz val="14"/>
      <name val="Times New Roman"/>
      <family val="1"/>
      <charset val="1"/>
    </font>
    <font>
      <sz val="11"/>
      <color theme="1"/>
      <name val="Calibri"/>
    </font>
    <font>
      <sz val="9"/>
      <color rgb="FF000000"/>
      <name val="Times New Roman"/>
    </font>
    <font>
      <sz val="10"/>
      <color rgb="FF000000"/>
      <name val="Roboto"/>
    </font>
    <font>
      <sz val="10"/>
      <color theme="1"/>
      <name val="Times New Roman"/>
      <family val="1"/>
    </font>
    <font>
      <sz val="10"/>
      <name val="Arial"/>
    </font>
  </fonts>
  <fills count="7">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
      <patternFill patternType="solid">
        <fgColor rgb="FFFFFFFF"/>
        <bgColor rgb="FFFFFFFF"/>
      </patternFill>
    </fill>
    <fill>
      <patternFill patternType="solid">
        <fgColor theme="0"/>
        <bgColor theme="0"/>
      </patternFill>
    </fill>
  </fills>
  <borders count="61">
    <border>
      <left/>
      <right/>
      <top/>
      <bottom/>
      <diagonal/>
    </border>
    <border>
      <left/>
      <right/>
      <top/>
      <bottom style="thick">
        <color rgb="FF33CCCC"/>
      </bottom>
      <diagonal/>
    </border>
    <border>
      <left style="medium">
        <color auto="1"/>
      </left>
      <right/>
      <top style="medium">
        <color auto="1"/>
      </top>
      <bottom/>
      <diagonal/>
    </border>
    <border>
      <left/>
      <right style="medium">
        <color auto="1"/>
      </right>
      <top/>
      <bottom/>
      <diagonal/>
    </border>
    <border>
      <left style="medium">
        <color auto="1"/>
      </left>
      <right/>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auto="1"/>
      </bottom>
      <diagonal/>
    </border>
    <border>
      <left style="thin">
        <color rgb="FF3D3D3D"/>
      </left>
      <right style="thin">
        <color rgb="FF3D3D3D"/>
      </right>
      <top style="medium">
        <color rgb="FF3D3D3D"/>
      </top>
      <bottom style="thin">
        <color auto="1"/>
      </bottom>
      <diagonal/>
    </border>
    <border>
      <left style="thin">
        <color rgb="FF3D3D3D"/>
      </left>
      <right/>
      <top style="medium">
        <color rgb="FF3D3D3D"/>
      </top>
      <bottom style="thin">
        <color auto="1"/>
      </bottom>
      <diagonal/>
    </border>
    <border>
      <left/>
      <right/>
      <top style="medium">
        <color rgb="FF3D3D3D"/>
      </top>
      <bottom style="thin">
        <color auto="1"/>
      </bottom>
      <diagonal/>
    </border>
    <border>
      <left style="thin">
        <color indexed="64"/>
      </left>
      <right style="medium">
        <color indexed="64"/>
      </right>
      <top style="medium">
        <color indexed="64"/>
      </top>
      <bottom style="thin">
        <color indexed="64"/>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medium">
        <color auto="1"/>
      </right>
      <top style="thin">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style="medium">
        <color auto="1"/>
      </top>
      <bottom style="medium">
        <color auto="1"/>
      </bottom>
      <diagonal/>
    </border>
    <border>
      <left/>
      <right style="medium">
        <color auto="1"/>
      </right>
      <top style="medium">
        <color rgb="FF3D3D3D"/>
      </top>
      <bottom/>
      <diagonal/>
    </border>
    <border>
      <left style="medium">
        <color auto="1"/>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1" fillId="0" borderId="1" applyProtection="0"/>
    <xf numFmtId="0" fontId="2" fillId="2" borderId="0" applyBorder="0" applyProtection="0"/>
    <xf numFmtId="165" fontId="4" fillId="0" borderId="0" applyFont="0" applyFill="0" applyBorder="0" applyAlignment="0" applyProtection="0"/>
    <xf numFmtId="169" fontId="16" fillId="0" borderId="0" applyBorder="0" applyProtection="0"/>
  </cellStyleXfs>
  <cellXfs count="151">
    <xf numFmtId="0" fontId="0" fillId="0" borderId="0" xfId="0"/>
    <xf numFmtId="0" fontId="5" fillId="0" borderId="0" xfId="0" applyFont="1"/>
    <xf numFmtId="0" fontId="9" fillId="0" borderId="0" xfId="0" applyFont="1" applyAlignment="1">
      <alignment horizontal="left" wrapText="1"/>
    </xf>
    <xf numFmtId="0" fontId="9" fillId="0" borderId="0" xfId="0" applyFont="1" applyAlignment="1">
      <alignment horizontal="center" wrapText="1"/>
    </xf>
    <xf numFmtId="0" fontId="8" fillId="3" borderId="0" xfId="0" applyFont="1" applyFill="1" applyAlignment="1">
      <alignment horizontal="left" wrapText="1" indent="1"/>
    </xf>
    <xf numFmtId="0" fontId="10" fillId="4" borderId="0" xfId="0" applyFont="1" applyFill="1" applyAlignment="1">
      <alignment horizontal="left" wrapText="1"/>
    </xf>
    <xf numFmtId="0" fontId="13" fillId="0" borderId="2" xfId="0" applyFont="1" applyBorder="1"/>
    <xf numFmtId="0" fontId="5" fillId="0" borderId="0" xfId="0" applyFont="1" applyBorder="1"/>
    <xf numFmtId="0" fontId="5" fillId="0" borderId="3" xfId="0" applyFont="1" applyBorder="1"/>
    <xf numFmtId="0" fontId="13" fillId="0" borderId="4" xfId="0" applyFont="1" applyBorder="1" applyAlignment="1">
      <alignment horizontal="left" indent="3"/>
    </xf>
    <xf numFmtId="0" fontId="5" fillId="0" borderId="4" xfId="0" applyFont="1" applyBorder="1" applyAlignment="1">
      <alignment horizontal="left" indent="3"/>
    </xf>
    <xf numFmtId="0" fontId="5" fillId="0" borderId="0" xfId="0" applyFont="1" applyBorder="1" applyAlignment="1">
      <alignment horizontal="center" wrapText="1"/>
    </xf>
    <xf numFmtId="0" fontId="5" fillId="0" borderId="3" xfId="0" applyFont="1" applyBorder="1" applyAlignment="1">
      <alignment horizontal="center" wrapText="1"/>
    </xf>
    <xf numFmtId="0" fontId="5" fillId="0" borderId="9" xfId="0" applyFont="1" applyBorder="1" applyAlignment="1">
      <alignment horizontal="left" indent="3"/>
    </xf>
    <xf numFmtId="0" fontId="5" fillId="0" borderId="10" xfId="0" applyFont="1" applyBorder="1"/>
    <xf numFmtId="0" fontId="5" fillId="0" borderId="11" xfId="0" applyFont="1" applyBorder="1"/>
    <xf numFmtId="0" fontId="11" fillId="0" borderId="0" xfId="0" applyFont="1" applyBorder="1" applyAlignment="1">
      <alignment horizontal="center" vertical="center"/>
    </xf>
    <xf numFmtId="0" fontId="12" fillId="0" borderId="0" xfId="0" applyFont="1" applyBorder="1" applyAlignment="1">
      <alignment horizontal="center" vertical="center" wrapText="1"/>
    </xf>
    <xf numFmtId="0" fontId="12" fillId="0" borderId="0" xfId="0" applyFont="1" applyBorder="1" applyAlignment="1">
      <alignment horizontal="left" vertical="center" wrapText="1"/>
    </xf>
    <xf numFmtId="0" fontId="12" fillId="3" borderId="0" xfId="0" applyFont="1" applyFill="1" applyBorder="1" applyAlignment="1">
      <alignment horizontal="center" vertical="center" wrapText="1"/>
    </xf>
    <xf numFmtId="0" fontId="9" fillId="0" borderId="0" xfId="0" applyFont="1" applyBorder="1" applyAlignment="1">
      <alignment horizontal="center" vertical="center" wrapText="1"/>
    </xf>
    <xf numFmtId="167" fontId="11" fillId="3" borderId="0" xfId="3" applyNumberFormat="1" applyFont="1" applyFill="1" applyBorder="1" applyAlignment="1" applyProtection="1">
      <alignment horizontal="right" vertical="center" wrapText="1"/>
    </xf>
    <xf numFmtId="166" fontId="9" fillId="0" borderId="0" xfId="0" applyNumberFormat="1" applyFont="1" applyBorder="1" applyAlignment="1">
      <alignment horizontal="right" wrapText="1"/>
    </xf>
    <xf numFmtId="0" fontId="13" fillId="0" borderId="4" xfId="0" applyFont="1" applyBorder="1"/>
    <xf numFmtId="0" fontId="12" fillId="0" borderId="7" xfId="0" applyFont="1" applyBorder="1" applyAlignment="1">
      <alignment horizontal="left" vertical="center" wrapText="1"/>
    </xf>
    <xf numFmtId="0" fontId="12" fillId="0" borderId="7" xfId="0" applyFont="1" applyBorder="1" applyAlignment="1">
      <alignment horizontal="center" vertical="center" wrapText="1"/>
    </xf>
    <xf numFmtId="0" fontId="12" fillId="0" borderId="8" xfId="0" applyFont="1" applyBorder="1" applyAlignment="1">
      <alignment horizontal="left" vertical="center" wrapText="1"/>
    </xf>
    <xf numFmtId="0" fontId="11" fillId="0" borderId="6" xfId="0" applyFont="1" applyBorder="1" applyAlignment="1">
      <alignment horizontal="center" vertical="center"/>
    </xf>
    <xf numFmtId="0" fontId="12" fillId="3" borderId="6" xfId="0" applyFont="1" applyFill="1" applyBorder="1" applyAlignment="1">
      <alignment horizontal="center" vertical="center" wrapText="1"/>
    </xf>
    <xf numFmtId="167" fontId="11" fillId="3" borderId="6" xfId="3" applyNumberFormat="1" applyFont="1" applyFill="1" applyBorder="1" applyAlignment="1" applyProtection="1">
      <alignment horizontal="right" vertical="center" wrapText="1"/>
    </xf>
    <xf numFmtId="0" fontId="10" fillId="0" borderId="6" xfId="0" applyFont="1" applyBorder="1" applyAlignment="1">
      <alignment horizontal="center" vertical="center" wrapText="1"/>
    </xf>
    <xf numFmtId="165" fontId="3" fillId="0" borderId="5" xfId="3" applyFont="1" applyBorder="1" applyAlignment="1">
      <alignment horizontal="center" vertical="center" wrapText="1"/>
    </xf>
    <xf numFmtId="3" fontId="14" fillId="0" borderId="7" xfId="0" applyNumberFormat="1" applyFont="1" applyBorder="1" applyAlignment="1"/>
    <xf numFmtId="168" fontId="0" fillId="0" borderId="7" xfId="0" applyNumberFormat="1" applyBorder="1" applyAlignment="1">
      <alignment horizontal="left"/>
    </xf>
    <xf numFmtId="0" fontId="0" fillId="0" borderId="7" xfId="0" applyBorder="1"/>
    <xf numFmtId="0" fontId="0" fillId="0" borderId="4" xfId="0" applyBorder="1"/>
    <xf numFmtId="0" fontId="0" fillId="0" borderId="0" xfId="0" applyBorder="1"/>
    <xf numFmtId="0" fontId="0" fillId="0" borderId="0" xfId="0" applyBorder="1" applyAlignment="1">
      <alignment horizontal="left"/>
    </xf>
    <xf numFmtId="168" fontId="0" fillId="0" borderId="0" xfId="0" applyNumberFormat="1" applyBorder="1" applyAlignment="1">
      <alignment horizontal="left"/>
    </xf>
    <xf numFmtId="0" fontId="0" fillId="0" borderId="3" xfId="0" applyBorder="1"/>
    <xf numFmtId="0" fontId="0" fillId="0" borderId="20" xfId="0" applyBorder="1"/>
    <xf numFmtId="0" fontId="0" fillId="0" borderId="21" xfId="0" applyBorder="1"/>
    <xf numFmtId="0" fontId="0" fillId="0" borderId="21" xfId="0" applyBorder="1" applyAlignment="1">
      <alignment horizontal="left"/>
    </xf>
    <xf numFmtId="0" fontId="0" fillId="0" borderId="22" xfId="0" applyBorder="1"/>
    <xf numFmtId="0" fontId="19" fillId="0" borderId="24" xfId="0" applyFont="1" applyBorder="1" applyAlignment="1">
      <alignment horizontal="center" vertical="center"/>
    </xf>
    <xf numFmtId="0" fontId="19" fillId="0" borderId="25" xfId="0" applyFont="1" applyBorder="1" applyAlignment="1">
      <alignment horizontal="center" vertical="center"/>
    </xf>
    <xf numFmtId="0" fontId="19" fillId="0" borderId="25" xfId="0" applyFont="1" applyBorder="1" applyAlignment="1">
      <alignment horizontal="left" vertical="center"/>
    </xf>
    <xf numFmtId="0" fontId="19" fillId="0" borderId="26" xfId="0" applyFont="1" applyBorder="1" applyAlignment="1">
      <alignment horizontal="center" vertical="center"/>
    </xf>
    <xf numFmtId="0" fontId="19"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167" fontId="21" fillId="0" borderId="32" xfId="4" applyNumberFormat="1" applyFont="1" applyBorder="1" applyAlignment="1" applyProtection="1">
      <alignment horizontal="center" vertical="center"/>
    </xf>
    <xf numFmtId="0" fontId="0" fillId="0" borderId="33" xfId="0" applyFont="1" applyBorder="1" applyAlignment="1">
      <alignment horizontal="center" vertical="center"/>
    </xf>
    <xf numFmtId="0" fontId="0" fillId="0" borderId="34" xfId="0" applyFont="1" applyBorder="1" applyAlignment="1">
      <alignment horizontal="center" vertical="center"/>
    </xf>
    <xf numFmtId="0" fontId="0" fillId="0" borderId="35" xfId="0" applyFont="1" applyBorder="1" applyAlignment="1">
      <alignment horizontal="center" vertical="center"/>
    </xf>
    <xf numFmtId="167" fontId="0" fillId="0" borderId="36" xfId="4" applyNumberFormat="1" applyFont="1" applyBorder="1" applyAlignment="1" applyProtection="1">
      <alignment horizontal="center" vertical="center"/>
    </xf>
    <xf numFmtId="0" fontId="0" fillId="0" borderId="37" xfId="0" applyFont="1" applyBorder="1" applyAlignment="1">
      <alignment horizontal="center" vertical="center"/>
    </xf>
    <xf numFmtId="0" fontId="17" fillId="0" borderId="33" xfId="0" applyFont="1" applyBorder="1" applyAlignment="1">
      <alignment horizontal="center" vertical="center"/>
    </xf>
    <xf numFmtId="0" fontId="17" fillId="0" borderId="34" xfId="0" applyFont="1" applyBorder="1" applyAlignment="1">
      <alignment horizontal="center" vertical="center"/>
    </xf>
    <xf numFmtId="0" fontId="0" fillId="0" borderId="37" xfId="0" applyBorder="1" applyAlignment="1">
      <alignment horizontal="center" vertical="center"/>
    </xf>
    <xf numFmtId="0" fontId="17" fillId="0" borderId="35" xfId="0" applyFont="1" applyBorder="1" applyAlignment="1">
      <alignment horizontal="center" vertical="center"/>
    </xf>
    <xf numFmtId="0" fontId="17" fillId="0" borderId="37" xfId="0" applyFont="1"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167" fontId="0" fillId="0" borderId="41" xfId="4" applyNumberFormat="1" applyFont="1" applyBorder="1" applyAlignment="1" applyProtection="1">
      <alignment horizontal="center" vertical="center"/>
    </xf>
    <xf numFmtId="167" fontId="19" fillId="0" borderId="45" xfId="0" applyNumberFormat="1" applyFont="1" applyBorder="1" applyAlignment="1">
      <alignment horizontal="center" vertical="center"/>
    </xf>
    <xf numFmtId="0" fontId="16" fillId="0" borderId="0" xfId="0" applyFont="1"/>
    <xf numFmtId="164" fontId="0" fillId="0" borderId="0" xfId="0" applyNumberFormat="1"/>
    <xf numFmtId="0" fontId="0" fillId="0" borderId="0" xfId="0" applyAlignment="1">
      <alignment horizontal="left"/>
    </xf>
    <xf numFmtId="0" fontId="24" fillId="0" borderId="49" xfId="0" applyFont="1" applyBorder="1" applyAlignment="1">
      <alignment horizontal="right" vertical="center"/>
    </xf>
    <xf numFmtId="0" fontId="24" fillId="0" borderId="20" xfId="0" applyFont="1" applyBorder="1" applyAlignment="1">
      <alignment vertical="center"/>
    </xf>
    <xf numFmtId="0" fontId="24" fillId="0" borderId="21" xfId="0" applyFont="1" applyBorder="1" applyAlignment="1">
      <alignment vertical="center"/>
    </xf>
    <xf numFmtId="0" fontId="24" fillId="0" borderId="0" xfId="0" applyFont="1" applyBorder="1" applyAlignment="1">
      <alignment vertical="center"/>
    </xf>
    <xf numFmtId="0" fontId="24" fillId="0" borderId="3" xfId="0" applyFont="1" applyBorder="1" applyAlignment="1">
      <alignment vertical="center"/>
    </xf>
    <xf numFmtId="0" fontId="26" fillId="0" borderId="4" xfId="0" applyFont="1" applyBorder="1" applyAlignment="1">
      <alignment horizontal="left" vertical="center"/>
    </xf>
    <xf numFmtId="0" fontId="26" fillId="0" borderId="0" xfId="0" applyFont="1" applyBorder="1" applyAlignment="1">
      <alignment horizontal="left" vertical="center"/>
    </xf>
    <xf numFmtId="0" fontId="25" fillId="0" borderId="0" xfId="0" applyFont="1" applyBorder="1" applyAlignment="1">
      <alignment horizontal="left" vertical="center" wrapText="1" indent="1"/>
    </xf>
    <xf numFmtId="0" fontId="25" fillId="0" borderId="3" xfId="0" applyFont="1" applyBorder="1" applyAlignment="1">
      <alignment horizontal="left" vertical="center" wrapText="1" indent="1"/>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165" fontId="3" fillId="0" borderId="6" xfId="3" applyFont="1" applyBorder="1" applyAlignment="1">
      <alignment horizontal="center" vertical="center" wrapText="1"/>
    </xf>
    <xf numFmtId="0" fontId="16" fillId="0" borderId="0" xfId="0" applyFont="1" applyBorder="1" applyAlignment="1">
      <alignment vertical="center"/>
    </xf>
    <xf numFmtId="164" fontId="16" fillId="0" borderId="0" xfId="0" applyNumberFormat="1" applyFont="1" applyBorder="1" applyAlignment="1">
      <alignment vertical="center"/>
    </xf>
    <xf numFmtId="0" fontId="28" fillId="0" borderId="6" xfId="0" applyFont="1" applyBorder="1" applyAlignment="1">
      <alignment horizontal="center" vertical="center"/>
    </xf>
    <xf numFmtId="3" fontId="3" fillId="0" borderId="6" xfId="0" applyNumberFormat="1" applyFont="1" applyBorder="1" applyAlignment="1">
      <alignment horizontal="center" vertical="center"/>
    </xf>
    <xf numFmtId="0" fontId="5" fillId="3" borderId="0" xfId="0" applyFont="1" applyFill="1" applyBorder="1" applyAlignment="1">
      <alignment wrapText="1"/>
    </xf>
    <xf numFmtId="0" fontId="5" fillId="3" borderId="3" xfId="0" applyFont="1" applyFill="1" applyBorder="1" applyAlignment="1">
      <alignment wrapText="1"/>
    </xf>
    <xf numFmtId="0" fontId="25" fillId="0" borderId="14" xfId="0" applyFont="1" applyFill="1" applyBorder="1" applyAlignment="1">
      <alignment horizontal="center" vertical="center"/>
    </xf>
    <xf numFmtId="0" fontId="31" fillId="0" borderId="59" xfId="0" applyFont="1" applyBorder="1" applyAlignment="1">
      <alignment horizontal="left" vertical="center"/>
    </xf>
    <xf numFmtId="0" fontId="32" fillId="0" borderId="60" xfId="0" applyFont="1" applyBorder="1" applyAlignment="1">
      <alignment horizontal="left" vertical="center" wrapText="1"/>
    </xf>
    <xf numFmtId="0" fontId="32" fillId="0" borderId="60" xfId="0" applyFont="1" applyBorder="1" applyAlignment="1">
      <alignment horizontal="center" vertical="center" wrapText="1"/>
    </xf>
    <xf numFmtId="0" fontId="33" fillId="5" borderId="59" xfId="0" applyFont="1" applyFill="1" applyBorder="1" applyAlignment="1">
      <alignment horizontal="center" wrapText="1"/>
    </xf>
    <xf numFmtId="0" fontId="4" fillId="0" borderId="0" xfId="0" applyFont="1" applyAlignment="1">
      <alignment horizontal="left" wrapText="1"/>
    </xf>
    <xf numFmtId="0" fontId="0" fillId="0" borderId="0" xfId="0" applyAlignment="1">
      <alignment horizontal="left" wrapText="1"/>
    </xf>
    <xf numFmtId="0" fontId="17" fillId="0" borderId="48" xfId="0" applyFont="1" applyBorder="1" applyAlignment="1">
      <alignment horizontal="left" vertical="center" wrapText="1" indent="1"/>
    </xf>
    <xf numFmtId="0" fontId="0" fillId="0" borderId="37" xfId="0" applyBorder="1" applyAlignment="1">
      <alignment horizontal="left" vertical="center"/>
    </xf>
    <xf numFmtId="0" fontId="0" fillId="0" borderId="39" xfId="0" applyBorder="1" applyAlignment="1">
      <alignment horizontal="left" vertical="center"/>
    </xf>
    <xf numFmtId="0" fontId="22" fillId="0" borderId="42" xfId="0" applyFont="1" applyFill="1" applyBorder="1" applyAlignment="1">
      <alignment horizontal="left" vertical="center" wrapText="1"/>
    </xf>
    <xf numFmtId="0" fontId="22" fillId="0" borderId="43" xfId="0" applyFont="1" applyFill="1" applyBorder="1" applyAlignment="1">
      <alignment horizontal="left" vertical="center" wrapText="1"/>
    </xf>
    <xf numFmtId="0" fontId="22" fillId="0" borderId="44" xfId="0" applyFont="1" applyFill="1" applyBorder="1" applyAlignment="1">
      <alignment horizontal="left" vertical="center" wrapText="1"/>
    </xf>
    <xf numFmtId="0" fontId="0" fillId="0" borderId="18" xfId="0" applyBorder="1"/>
    <xf numFmtId="0" fontId="14" fillId="0" borderId="46" xfId="0" applyFont="1" applyBorder="1" applyAlignment="1">
      <alignment vertical="center" wrapText="1"/>
    </xf>
    <xf numFmtId="0" fontId="17" fillId="0" borderId="47" xfId="0" applyFont="1" applyBorder="1" applyAlignment="1">
      <alignment vertical="center" wrapText="1"/>
    </xf>
    <xf numFmtId="0" fontId="0" fillId="0" borderId="37" xfId="0" applyFont="1" applyBorder="1" applyAlignment="1">
      <alignment horizontal="left" vertical="center"/>
    </xf>
    <xf numFmtId="0" fontId="0" fillId="0" borderId="34" xfId="0" applyFont="1" applyBorder="1" applyAlignment="1">
      <alignment horizontal="center" vertical="center"/>
    </xf>
    <xf numFmtId="0" fontId="0" fillId="0" borderId="37" xfId="0" applyFont="1" applyBorder="1" applyAlignment="1">
      <alignment horizontal="center" vertical="center"/>
    </xf>
    <xf numFmtId="0" fontId="4" fillId="0" borderId="30" xfId="0" applyFont="1" applyBorder="1" applyAlignment="1">
      <alignment horizontal="center" vertical="center" wrapText="1"/>
    </xf>
    <xf numFmtId="0" fontId="0" fillId="0" borderId="31" xfId="0" applyFont="1" applyBorder="1" applyAlignment="1">
      <alignment horizontal="center" vertical="center" wrapText="1"/>
    </xf>
    <xf numFmtId="0" fontId="3" fillId="0" borderId="15" xfId="0" applyFont="1" applyBorder="1" applyAlignment="1">
      <alignment horizontal="left" vertical="center" wrapText="1"/>
    </xf>
    <xf numFmtId="0" fontId="17" fillId="0" borderId="16" xfId="0" applyFont="1" applyBorder="1" applyAlignment="1">
      <alignment horizontal="left" indent="1"/>
    </xf>
    <xf numFmtId="0" fontId="18" fillId="0" borderId="17" xfId="0" applyFont="1" applyBorder="1" applyAlignment="1">
      <alignment horizontal="left"/>
    </xf>
    <xf numFmtId="0" fontId="17" fillId="0" borderId="18" xfId="0" applyFont="1" applyBorder="1" applyAlignment="1">
      <alignment horizontal="left"/>
    </xf>
    <xf numFmtId="0" fontId="17" fillId="0" borderId="19" xfId="0" applyNumberFormat="1" applyFont="1" applyBorder="1" applyAlignment="1">
      <alignment horizontal="justify" vertical="center" wrapText="1"/>
    </xf>
    <xf numFmtId="0" fontId="19" fillId="0" borderId="18" xfId="0" applyFont="1" applyBorder="1" applyAlignment="1">
      <alignment horizontal="center" vertical="center"/>
    </xf>
    <xf numFmtId="0" fontId="19" fillId="0" borderId="15" xfId="0" applyFont="1" applyBorder="1" applyAlignment="1">
      <alignment horizontal="center" vertical="center"/>
    </xf>
    <xf numFmtId="0" fontId="19" fillId="0" borderId="23" xfId="0" applyFont="1" applyBorder="1" applyAlignment="1">
      <alignment horizontal="center" vertical="center" wrapText="1"/>
    </xf>
    <xf numFmtId="0" fontId="0" fillId="0" borderId="12" xfId="0" applyFont="1" applyBorder="1" applyAlignment="1">
      <alignment horizontal="center"/>
    </xf>
    <xf numFmtId="3" fontId="14" fillId="0" borderId="13" xfId="0" applyNumberFormat="1" applyFont="1" applyBorder="1" applyAlignment="1">
      <alignment horizontal="center"/>
    </xf>
    <xf numFmtId="0" fontId="15" fillId="0" borderId="14" xfId="0" applyFont="1" applyBorder="1" applyAlignment="1">
      <alignment horizontal="center" vertical="center" wrapText="1"/>
    </xf>
    <xf numFmtId="0" fontId="16" fillId="0" borderId="15" xfId="0" applyFont="1" applyBorder="1"/>
    <xf numFmtId="0" fontId="30" fillId="0" borderId="48" xfId="0" applyFont="1" applyBorder="1" applyAlignment="1">
      <alignment horizontal="left" vertical="center" wrapText="1" indent="1"/>
    </xf>
    <xf numFmtId="166" fontId="26" fillId="0" borderId="48" xfId="0" applyNumberFormat="1" applyFont="1" applyBorder="1" applyAlignment="1">
      <alignment horizontal="center" vertical="center"/>
    </xf>
    <xf numFmtId="0" fontId="27" fillId="0" borderId="55" xfId="0" applyFont="1" applyBorder="1" applyAlignment="1">
      <alignment horizontal="center" vertical="center" wrapText="1"/>
    </xf>
    <xf numFmtId="0" fontId="29" fillId="0" borderId="56" xfId="0" applyFont="1" applyBorder="1" applyAlignment="1">
      <alignment horizontal="left" vertical="center" wrapText="1"/>
    </xf>
    <xf numFmtId="0" fontId="29" fillId="0" borderId="57" xfId="0" applyFont="1" applyBorder="1" applyAlignment="1">
      <alignment horizontal="left" vertical="center" wrapText="1"/>
    </xf>
    <xf numFmtId="0" fontId="29" fillId="0" borderId="58" xfId="0" applyFont="1" applyBorder="1" applyAlignment="1">
      <alignment horizontal="left" vertical="center" wrapText="1"/>
    </xf>
    <xf numFmtId="0" fontId="27" fillId="0" borderId="53" xfId="0" applyFont="1" applyBorder="1" applyAlignment="1">
      <alignment horizontal="center" vertical="center"/>
    </xf>
    <xf numFmtId="0" fontId="27" fillId="0" borderId="54" xfId="0" applyFont="1" applyBorder="1" applyAlignment="1">
      <alignment horizontal="center" vertical="center" wrapText="1"/>
    </xf>
    <xf numFmtId="0" fontId="26" fillId="0" borderId="42" xfId="0" applyFont="1" applyBorder="1" applyAlignment="1">
      <alignment horizontal="left" vertical="center" wrapText="1"/>
    </xf>
    <xf numFmtId="0" fontId="25" fillId="0" borderId="46" xfId="0" applyFont="1" applyBorder="1" applyAlignment="1">
      <alignment horizontal="left" vertical="center" wrapText="1" indent="1"/>
    </xf>
    <xf numFmtId="0" fontId="26" fillId="0" borderId="50" xfId="0" applyFont="1" applyBorder="1" applyAlignment="1">
      <alignment horizontal="left" vertical="center" wrapText="1"/>
    </xf>
    <xf numFmtId="0" fontId="26" fillId="0" borderId="51" xfId="0" applyFont="1" applyBorder="1" applyAlignment="1">
      <alignment horizontal="left" vertical="center"/>
    </xf>
    <xf numFmtId="0" fontId="27" fillId="0" borderId="52" xfId="0" applyFont="1" applyBorder="1" applyAlignment="1">
      <alignment horizontal="left" vertical="center" wrapText="1" indent="1"/>
    </xf>
    <xf numFmtId="0" fontId="23" fillId="0" borderId="2" xfId="0" applyFont="1" applyBorder="1" applyAlignment="1">
      <alignment horizontal="center" vertical="center"/>
    </xf>
    <xf numFmtId="0" fontId="5" fillId="3" borderId="0" xfId="0" applyFont="1" applyFill="1" applyBorder="1" applyAlignment="1">
      <alignment horizontal="left" wrapText="1"/>
    </xf>
    <xf numFmtId="0" fontId="5" fillId="3" borderId="0" xfId="0" applyFont="1" applyFill="1" applyBorder="1" applyAlignment="1">
      <alignment horizontal="left"/>
    </xf>
    <xf numFmtId="0" fontId="5" fillId="3" borderId="3" xfId="0" applyFont="1" applyFill="1" applyBorder="1" applyAlignment="1">
      <alignment horizontal="left"/>
    </xf>
    <xf numFmtId="0" fontId="6" fillId="0" borderId="0" xfId="0" applyFont="1" applyBorder="1" applyAlignment="1">
      <alignment horizontal="center"/>
    </xf>
    <xf numFmtId="0" fontId="7" fillId="0" borderId="0" xfId="0" applyFont="1" applyBorder="1" applyAlignment="1">
      <alignment horizontal="left" vertical="center" wrapText="1"/>
    </xf>
    <xf numFmtId="0" fontId="8" fillId="3" borderId="0" xfId="0" applyFont="1" applyFill="1" applyBorder="1" applyAlignment="1">
      <alignment horizontal="left" wrapText="1" indent="1"/>
    </xf>
    <xf numFmtId="0" fontId="5" fillId="3" borderId="3" xfId="0" applyFont="1" applyFill="1" applyBorder="1" applyAlignment="1">
      <alignment horizontal="left" wrapText="1"/>
    </xf>
    <xf numFmtId="0" fontId="34" fillId="6" borderId="0" xfId="0" applyFont="1" applyFill="1" applyBorder="1" applyAlignment="1">
      <alignment horizontal="left" wrapText="1"/>
    </xf>
    <xf numFmtId="0" fontId="35" fillId="0" borderId="0" xfId="0" applyFont="1" applyBorder="1"/>
    <xf numFmtId="0" fontId="35" fillId="0" borderId="3" xfId="0" applyFont="1" applyBorder="1"/>
    <xf numFmtId="0" fontId="12" fillId="0" borderId="0" xfId="0" applyFont="1" applyBorder="1" applyAlignment="1">
      <alignment horizontal="left" vertical="center" wrapText="1"/>
    </xf>
    <xf numFmtId="0" fontId="12" fillId="0" borderId="3" xfId="0" applyFont="1" applyBorder="1" applyAlignment="1">
      <alignment horizontal="left" vertical="center" wrapText="1"/>
    </xf>
    <xf numFmtId="0" fontId="5" fillId="0" borderId="4" xfId="0" applyFont="1" applyBorder="1" applyAlignment="1">
      <alignment horizontal="left" wrapText="1"/>
    </xf>
    <xf numFmtId="0" fontId="5" fillId="0" borderId="0" xfId="0" applyFont="1" applyBorder="1" applyAlignment="1">
      <alignment horizontal="left" wrapText="1"/>
    </xf>
    <xf numFmtId="0" fontId="5" fillId="0" borderId="3" xfId="0" applyFont="1" applyBorder="1" applyAlignment="1">
      <alignment horizontal="left" wrapText="1"/>
    </xf>
  </cellXfs>
  <cellStyles count="5">
    <cellStyle name="Encabezado 1" xfId="1" xr:uid="{00000000-0005-0000-0000-000000000000}"/>
    <cellStyle name="Moneda" xfId="3" builtinId="4"/>
    <cellStyle name="Moneda_AUTORIZACION Y NOTA DE PEDIDO" xfId="4" xr:uid="{00000000-0005-0000-0000-000002000000}"/>
    <cellStyle name="Neutral 1" xfId="2"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10" name="CustomShape 1" hidden="1">
          <a:extLst>
            <a:ext uri="{FF2B5EF4-FFF2-40B4-BE49-F238E27FC236}">
              <a16:creationId xmlns:a16="http://schemas.microsoft.com/office/drawing/2014/main" id="{00000000-0008-0000-0000-000002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1" name="CustomShape 1" hidden="1">
          <a:extLst>
            <a:ext uri="{FF2B5EF4-FFF2-40B4-BE49-F238E27FC236}">
              <a16:creationId xmlns:a16="http://schemas.microsoft.com/office/drawing/2014/main" id="{00000000-0008-0000-0000-000003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2" name="CustomShape 1" hidden="1">
          <a:extLst>
            <a:ext uri="{FF2B5EF4-FFF2-40B4-BE49-F238E27FC236}">
              <a16:creationId xmlns:a16="http://schemas.microsoft.com/office/drawing/2014/main" id="{00000000-0008-0000-0000-000004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3" name="CustomShape 1" hidden="1">
          <a:extLst>
            <a:ext uri="{FF2B5EF4-FFF2-40B4-BE49-F238E27FC236}">
              <a16:creationId xmlns:a16="http://schemas.microsoft.com/office/drawing/2014/main" id="{00000000-0008-0000-0000-000005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
  <sheetViews>
    <sheetView topLeftCell="A10" workbookViewId="0">
      <selection activeCell="H15" sqref="H15"/>
    </sheetView>
  </sheetViews>
  <sheetFormatPr baseColWidth="10" defaultColWidth="11" defaultRowHeight="12.75" x14ac:dyDescent="0.2"/>
  <cols>
    <col min="1" max="5" width="3.85546875" customWidth="1"/>
    <col min="6" max="6" width="5.28515625" customWidth="1"/>
    <col min="7" max="7" width="4.140625" style="70" customWidth="1"/>
    <col min="8" max="8" width="4.140625" customWidth="1"/>
    <col min="9" max="11" width="3.85546875" customWidth="1"/>
    <col min="12" max="14" width="4.140625" customWidth="1"/>
    <col min="15" max="16" width="9.5703125" customWidth="1"/>
    <col min="17" max="17" width="15.7109375" customWidth="1"/>
    <col min="18" max="18" width="13.28515625" bestFit="1" customWidth="1"/>
    <col min="19" max="19" width="15.42578125" bestFit="1" customWidth="1"/>
  </cols>
  <sheetData>
    <row r="1" spans="1:19" ht="15.75" customHeight="1" thickBot="1" x14ac:dyDescent="0.3">
      <c r="A1" s="118" t="s">
        <v>0</v>
      </c>
      <c r="B1" s="118"/>
      <c r="C1" s="118"/>
      <c r="D1" s="119">
        <v>2022</v>
      </c>
      <c r="E1" s="119"/>
      <c r="F1" s="32"/>
      <c r="G1" s="32"/>
      <c r="H1" s="33"/>
      <c r="I1" s="33"/>
      <c r="J1" s="33"/>
      <c r="K1" s="33"/>
      <c r="L1" s="33"/>
      <c r="M1" s="33"/>
      <c r="N1" s="33"/>
      <c r="O1" s="34"/>
      <c r="P1" s="120" t="s">
        <v>20</v>
      </c>
      <c r="Q1" s="120"/>
    </row>
    <row r="2" spans="1:19" ht="15.75" customHeight="1" thickBot="1" x14ac:dyDescent="0.25">
      <c r="A2" s="35"/>
      <c r="B2" s="36"/>
      <c r="C2" s="36"/>
      <c r="D2" s="36"/>
      <c r="E2" s="36"/>
      <c r="F2" s="36"/>
      <c r="G2" s="37"/>
      <c r="H2" s="38"/>
      <c r="I2" s="38"/>
      <c r="J2" s="38"/>
      <c r="K2" s="38"/>
      <c r="L2" s="38"/>
      <c r="M2" s="38"/>
      <c r="N2" s="38"/>
      <c r="O2" s="36"/>
      <c r="P2" s="120"/>
      <c r="Q2" s="120"/>
    </row>
    <row r="3" spans="1:19" ht="13.5" thickBot="1" x14ac:dyDescent="0.25">
      <c r="A3" s="35"/>
      <c r="B3" s="36"/>
      <c r="C3" s="36"/>
      <c r="D3" s="36"/>
      <c r="E3" s="36"/>
      <c r="F3" s="36"/>
      <c r="G3" s="37"/>
      <c r="H3" s="36"/>
      <c r="I3" s="36"/>
      <c r="J3" s="36"/>
      <c r="K3" s="36"/>
      <c r="L3" s="36"/>
      <c r="M3" s="36"/>
      <c r="N3" s="36"/>
      <c r="O3" s="36"/>
      <c r="P3" s="36"/>
      <c r="Q3" s="39"/>
    </row>
    <row r="4" spans="1:19" s="68" customFormat="1" ht="18" customHeight="1" thickBot="1" x14ac:dyDescent="0.25">
      <c r="A4" s="121" t="s">
        <v>21</v>
      </c>
      <c r="B4" s="121"/>
      <c r="C4" s="121"/>
      <c r="D4" s="121"/>
      <c r="E4" s="121"/>
      <c r="F4" s="121"/>
      <c r="G4" s="111" t="s">
        <v>22</v>
      </c>
      <c r="H4" s="111"/>
      <c r="I4" s="111"/>
      <c r="J4" s="111"/>
      <c r="K4" s="111"/>
      <c r="L4" s="111"/>
      <c r="M4" s="111"/>
      <c r="N4" s="111"/>
      <c r="O4" s="111"/>
      <c r="P4" s="111"/>
      <c r="Q4" s="111"/>
    </row>
    <row r="5" spans="1:19" s="68" customFormat="1" ht="18" customHeight="1" thickBot="1" x14ac:dyDescent="0.25">
      <c r="A5" s="110" t="s">
        <v>23</v>
      </c>
      <c r="B5" s="110"/>
      <c r="C5" s="110"/>
      <c r="D5" s="110"/>
      <c r="E5" s="110"/>
      <c r="F5" s="110"/>
      <c r="G5" s="111" t="s">
        <v>24</v>
      </c>
      <c r="H5" s="111"/>
      <c r="I5" s="111"/>
      <c r="J5" s="111"/>
      <c r="K5" s="111"/>
      <c r="L5" s="111"/>
      <c r="M5" s="111"/>
      <c r="N5" s="111"/>
      <c r="O5" s="111"/>
      <c r="P5" s="111"/>
      <c r="Q5" s="111"/>
    </row>
    <row r="6" spans="1:19" s="68" customFormat="1" ht="18" customHeight="1" thickBot="1" x14ac:dyDescent="0.25">
      <c r="A6" s="110" t="s">
        <v>25</v>
      </c>
      <c r="B6" s="110"/>
      <c r="C6" s="110"/>
      <c r="D6" s="110"/>
      <c r="E6" s="110"/>
      <c r="F6" s="110"/>
      <c r="G6" s="111" t="s">
        <v>67</v>
      </c>
      <c r="H6" s="111"/>
      <c r="I6" s="111"/>
      <c r="J6" s="111"/>
      <c r="K6" s="111"/>
      <c r="L6" s="111"/>
      <c r="M6" s="111"/>
      <c r="N6" s="111"/>
      <c r="O6" s="111"/>
      <c r="P6" s="111"/>
      <c r="Q6" s="111"/>
    </row>
    <row r="7" spans="1:19" s="68" customFormat="1" ht="23.25" customHeight="1" thickBot="1" x14ac:dyDescent="0.25">
      <c r="A7" s="110" t="s">
        <v>26</v>
      </c>
      <c r="B7" s="110"/>
      <c r="C7" s="110"/>
      <c r="D7" s="110"/>
      <c r="E7" s="110"/>
      <c r="F7" s="110"/>
      <c r="G7" s="111" t="s">
        <v>67</v>
      </c>
      <c r="H7" s="111"/>
      <c r="I7" s="111"/>
      <c r="J7" s="111"/>
      <c r="K7" s="111"/>
      <c r="L7" s="111"/>
      <c r="M7" s="111"/>
      <c r="N7" s="111"/>
      <c r="O7" s="111"/>
      <c r="P7" s="111"/>
      <c r="Q7" s="111"/>
    </row>
    <row r="8" spans="1:19" ht="18" customHeight="1" thickBot="1" x14ac:dyDescent="0.25">
      <c r="A8" s="112" t="s">
        <v>27</v>
      </c>
      <c r="B8" s="112"/>
      <c r="C8" s="112"/>
      <c r="D8" s="112"/>
      <c r="E8" s="112"/>
      <c r="F8" s="112"/>
      <c r="G8" s="112"/>
      <c r="H8" s="112"/>
      <c r="I8" s="112"/>
      <c r="J8" s="112"/>
      <c r="K8" s="112"/>
      <c r="L8" s="112"/>
      <c r="M8" s="112"/>
      <c r="N8" s="112"/>
      <c r="O8" s="112"/>
      <c r="P8" s="112"/>
      <c r="Q8" s="112"/>
    </row>
    <row r="9" spans="1:19" ht="18" customHeight="1" x14ac:dyDescent="0.2">
      <c r="A9" s="113" t="s">
        <v>28</v>
      </c>
      <c r="B9" s="113"/>
      <c r="C9" s="113"/>
      <c r="D9" s="113"/>
      <c r="E9" s="113"/>
      <c r="F9" s="113"/>
      <c r="G9" s="113"/>
      <c r="H9" s="113"/>
      <c r="I9" s="113"/>
      <c r="J9" s="113"/>
      <c r="K9" s="113"/>
      <c r="L9" s="113"/>
      <c r="M9" s="113"/>
      <c r="N9" s="113"/>
      <c r="O9" s="113"/>
      <c r="P9" s="113"/>
      <c r="Q9" s="113"/>
    </row>
    <row r="10" spans="1:19" ht="66" customHeight="1" x14ac:dyDescent="0.2">
      <c r="A10" s="114" t="s">
        <v>70</v>
      </c>
      <c r="B10" s="114"/>
      <c r="C10" s="114"/>
      <c r="D10" s="114"/>
      <c r="E10" s="114"/>
      <c r="F10" s="114"/>
      <c r="G10" s="114"/>
      <c r="H10" s="114"/>
      <c r="I10" s="114"/>
      <c r="J10" s="114"/>
      <c r="K10" s="114"/>
      <c r="L10" s="114"/>
      <c r="M10" s="114"/>
      <c r="N10" s="114"/>
      <c r="O10" s="114"/>
      <c r="P10" s="114"/>
      <c r="Q10" s="114"/>
    </row>
    <row r="11" spans="1:19" ht="9" customHeight="1" thickBot="1" x14ac:dyDescent="0.25">
      <c r="A11" s="40"/>
      <c r="B11" s="41"/>
      <c r="C11" s="41"/>
      <c r="D11" s="41"/>
      <c r="E11" s="41"/>
      <c r="F11" s="41"/>
      <c r="G11" s="42"/>
      <c r="H11" s="41"/>
      <c r="I11" s="41"/>
      <c r="J11" s="41"/>
      <c r="K11" s="41"/>
      <c r="L11" s="41"/>
      <c r="M11" s="41"/>
      <c r="N11" s="41"/>
      <c r="O11" s="41"/>
      <c r="P11" s="41"/>
      <c r="Q11" s="43"/>
    </row>
    <row r="12" spans="1:19" ht="27.75" customHeight="1" thickBot="1" x14ac:dyDescent="0.25">
      <c r="A12" s="115" t="s">
        <v>29</v>
      </c>
      <c r="B12" s="115"/>
      <c r="C12" s="115"/>
      <c r="D12" s="115"/>
      <c r="E12" s="115"/>
      <c r="F12" s="115"/>
      <c r="G12" s="115"/>
      <c r="H12" s="115"/>
      <c r="I12" s="115"/>
      <c r="J12" s="115"/>
      <c r="K12" s="115"/>
      <c r="L12" s="115"/>
      <c r="M12" s="115"/>
      <c r="N12" s="115"/>
      <c r="O12" s="115"/>
      <c r="P12" s="115"/>
      <c r="Q12" s="115"/>
    </row>
    <row r="13" spans="1:19" ht="27.75" customHeight="1" thickBot="1" x14ac:dyDescent="0.25">
      <c r="A13" s="116" t="s">
        <v>30</v>
      </c>
      <c r="B13" s="116"/>
      <c r="C13" s="116"/>
      <c r="D13" s="116"/>
      <c r="E13" s="116"/>
      <c r="F13" s="116"/>
      <c r="G13" s="116"/>
      <c r="H13" s="116"/>
      <c r="I13" s="116"/>
      <c r="J13" s="116"/>
      <c r="K13" s="116"/>
      <c r="L13" s="116"/>
      <c r="M13" s="116"/>
      <c r="N13" s="116"/>
      <c r="O13" s="117" t="s">
        <v>31</v>
      </c>
      <c r="P13" s="117"/>
      <c r="Q13" s="117" t="s">
        <v>32</v>
      </c>
    </row>
    <row r="14" spans="1:19" ht="27.75" customHeight="1" thickBot="1" x14ac:dyDescent="0.25">
      <c r="A14" s="44" t="s">
        <v>33</v>
      </c>
      <c r="B14" s="45" t="s">
        <v>34</v>
      </c>
      <c r="C14" s="45" t="s">
        <v>35</v>
      </c>
      <c r="D14" s="45" t="s">
        <v>36</v>
      </c>
      <c r="E14" s="45" t="s">
        <v>37</v>
      </c>
      <c r="F14" s="45" t="s">
        <v>38</v>
      </c>
      <c r="G14" s="46" t="s">
        <v>39</v>
      </c>
      <c r="H14" s="45" t="s">
        <v>40</v>
      </c>
      <c r="I14" s="45" t="s">
        <v>41</v>
      </c>
      <c r="J14" s="45" t="s">
        <v>42</v>
      </c>
      <c r="K14" s="45" t="s">
        <v>42</v>
      </c>
      <c r="L14" s="45" t="s">
        <v>43</v>
      </c>
      <c r="M14" s="47" t="s">
        <v>44</v>
      </c>
      <c r="N14" s="48" t="s">
        <v>45</v>
      </c>
      <c r="O14" s="117"/>
      <c r="P14" s="117"/>
      <c r="Q14" s="117"/>
    </row>
    <row r="15" spans="1:19" ht="27.75" customHeight="1" x14ac:dyDescent="0.2">
      <c r="A15" s="49">
        <v>34</v>
      </c>
      <c r="B15" s="50">
        <v>0</v>
      </c>
      <c r="C15" s="50">
        <v>0</v>
      </c>
      <c r="D15" s="50">
        <v>1</v>
      </c>
      <c r="E15" s="50">
        <v>0</v>
      </c>
      <c r="F15" s="50">
        <v>4901</v>
      </c>
      <c r="G15" s="50">
        <v>3</v>
      </c>
      <c r="H15" s="50">
        <v>4</v>
      </c>
      <c r="I15" s="50">
        <v>2</v>
      </c>
      <c r="J15" s="50">
        <v>1</v>
      </c>
      <c r="K15" s="50">
        <v>1</v>
      </c>
      <c r="L15" s="50">
        <v>0</v>
      </c>
      <c r="M15" s="51">
        <v>1</v>
      </c>
      <c r="N15" s="50" t="s">
        <v>46</v>
      </c>
      <c r="O15" s="108" t="s">
        <v>48</v>
      </c>
      <c r="P15" s="109"/>
      <c r="Q15" s="52">
        <f>NP!J13</f>
        <v>1350000</v>
      </c>
      <c r="S15" s="69"/>
    </row>
    <row r="16" spans="1:19" ht="17.25" customHeight="1" x14ac:dyDescent="0.2">
      <c r="A16" s="53"/>
      <c r="B16" s="54"/>
      <c r="C16" s="54"/>
      <c r="D16" s="54"/>
      <c r="E16" s="54"/>
      <c r="F16" s="54"/>
      <c r="G16" s="54"/>
      <c r="H16" s="54"/>
      <c r="I16" s="54"/>
      <c r="J16" s="54"/>
      <c r="K16" s="54"/>
      <c r="L16" s="54"/>
      <c r="M16" s="55"/>
      <c r="N16" s="54"/>
      <c r="O16" s="106"/>
      <c r="P16" s="106"/>
      <c r="Q16" s="56"/>
    </row>
    <row r="17" spans="1:18" ht="17.25" customHeight="1" x14ac:dyDescent="0.2">
      <c r="A17" s="53"/>
      <c r="B17" s="54"/>
      <c r="C17" s="54"/>
      <c r="D17" s="54"/>
      <c r="E17" s="54"/>
      <c r="F17" s="54"/>
      <c r="G17" s="54"/>
      <c r="H17" s="54"/>
      <c r="I17" s="54"/>
      <c r="J17" s="54"/>
      <c r="K17" s="54"/>
      <c r="L17" s="54"/>
      <c r="M17" s="55"/>
      <c r="N17" s="57"/>
      <c r="O17" s="107"/>
      <c r="P17" s="107"/>
      <c r="Q17" s="56"/>
    </row>
    <row r="18" spans="1:18" ht="17.25" customHeight="1" x14ac:dyDescent="0.2">
      <c r="A18" s="53"/>
      <c r="B18" s="54"/>
      <c r="C18" s="54"/>
      <c r="D18" s="54"/>
      <c r="E18" s="54"/>
      <c r="F18" s="54"/>
      <c r="G18" s="54"/>
      <c r="H18" s="54"/>
      <c r="I18" s="54"/>
      <c r="J18" s="54"/>
      <c r="K18" s="54"/>
      <c r="L18" s="54"/>
      <c r="M18" s="55"/>
      <c r="N18" s="57"/>
      <c r="O18" s="107"/>
      <c r="P18" s="107"/>
      <c r="Q18" s="56"/>
    </row>
    <row r="19" spans="1:18" ht="17.25" customHeight="1" x14ac:dyDescent="0.2">
      <c r="A19" s="53"/>
      <c r="B19" s="54"/>
      <c r="C19" s="54"/>
      <c r="D19" s="54"/>
      <c r="E19" s="54"/>
      <c r="F19" s="57"/>
      <c r="G19" s="54"/>
      <c r="H19" s="54"/>
      <c r="I19" s="54"/>
      <c r="J19" s="54"/>
      <c r="K19" s="54"/>
      <c r="L19" s="54"/>
      <c r="M19" s="55"/>
      <c r="N19" s="57"/>
      <c r="O19" s="105"/>
      <c r="P19" s="105"/>
      <c r="Q19" s="56"/>
    </row>
    <row r="20" spans="1:18" ht="17.25" customHeight="1" x14ac:dyDescent="0.2">
      <c r="A20" s="53"/>
      <c r="B20" s="54"/>
      <c r="C20" s="54"/>
      <c r="D20" s="54"/>
      <c r="E20" s="54"/>
      <c r="F20" s="57"/>
      <c r="G20" s="54"/>
      <c r="H20" s="54"/>
      <c r="I20" s="54"/>
      <c r="J20" s="54"/>
      <c r="K20" s="54"/>
      <c r="L20" s="54"/>
      <c r="M20" s="55"/>
      <c r="N20" s="57"/>
      <c r="O20" s="105"/>
      <c r="P20" s="105"/>
      <c r="Q20" s="56"/>
    </row>
    <row r="21" spans="1:18" ht="17.25" customHeight="1" x14ac:dyDescent="0.2">
      <c r="A21" s="58"/>
      <c r="B21" s="59"/>
      <c r="C21" s="59"/>
      <c r="D21" s="59"/>
      <c r="E21" s="59"/>
      <c r="F21" s="60"/>
      <c r="G21" s="59"/>
      <c r="H21" s="59"/>
      <c r="I21" s="59"/>
      <c r="J21" s="59"/>
      <c r="K21" s="59"/>
      <c r="L21" s="59"/>
      <c r="M21" s="61"/>
      <c r="N21" s="62"/>
      <c r="O21" s="97"/>
      <c r="P21" s="97"/>
      <c r="Q21" s="56"/>
      <c r="R21" s="36"/>
    </row>
    <row r="22" spans="1:18" ht="17.25" customHeight="1" thickBot="1" x14ac:dyDescent="0.25">
      <c r="A22" s="63"/>
      <c r="B22" s="64"/>
      <c r="C22" s="64"/>
      <c r="D22" s="64"/>
      <c r="E22" s="64"/>
      <c r="F22" s="64"/>
      <c r="G22" s="64"/>
      <c r="H22" s="64"/>
      <c r="I22" s="64"/>
      <c r="J22" s="64"/>
      <c r="K22" s="64"/>
      <c r="L22" s="64"/>
      <c r="M22" s="65"/>
      <c r="N22" s="64"/>
      <c r="O22" s="98"/>
      <c r="P22" s="98"/>
      <c r="Q22" s="66"/>
    </row>
    <row r="23" spans="1:18" ht="35.25" customHeight="1" thickBot="1" x14ac:dyDescent="0.25">
      <c r="A23" s="99" t="s">
        <v>66</v>
      </c>
      <c r="B23" s="100"/>
      <c r="C23" s="100"/>
      <c r="D23" s="100"/>
      <c r="E23" s="100"/>
      <c r="F23" s="100"/>
      <c r="G23" s="100"/>
      <c r="H23" s="100"/>
      <c r="I23" s="100"/>
      <c r="J23" s="100"/>
      <c r="K23" s="100"/>
      <c r="L23" s="100"/>
      <c r="M23" s="100"/>
      <c r="N23" s="100"/>
      <c r="O23" s="100"/>
      <c r="P23" s="101"/>
      <c r="Q23" s="67">
        <f>SUM(Q15:Q22)</f>
        <v>1350000</v>
      </c>
    </row>
    <row r="24" spans="1:18" ht="18" customHeight="1" thickBot="1" x14ac:dyDescent="0.25">
      <c r="A24" s="102"/>
      <c r="B24" s="102"/>
      <c r="C24" s="102"/>
      <c r="D24" s="102"/>
      <c r="E24" s="102"/>
      <c r="F24" s="102"/>
      <c r="G24" s="102"/>
      <c r="H24" s="102"/>
      <c r="I24" s="102"/>
      <c r="J24" s="102"/>
      <c r="K24" s="102"/>
      <c r="L24" s="102"/>
      <c r="M24" s="102"/>
      <c r="N24" s="102"/>
      <c r="O24" s="102"/>
      <c r="P24" s="102"/>
      <c r="Q24" s="102"/>
    </row>
    <row r="25" spans="1:18" ht="17.25" customHeight="1" thickBot="1" x14ac:dyDescent="0.25">
      <c r="A25" s="103" t="s">
        <v>47</v>
      </c>
      <c r="B25" s="103"/>
      <c r="C25" s="103"/>
      <c r="D25" s="103"/>
      <c r="E25" s="103"/>
      <c r="F25" s="103"/>
      <c r="G25" s="104"/>
      <c r="H25" s="104"/>
      <c r="I25" s="104"/>
      <c r="J25" s="104"/>
      <c r="K25" s="104"/>
      <c r="L25" s="104"/>
      <c r="M25" s="104"/>
      <c r="N25" s="104"/>
      <c r="O25" s="104"/>
      <c r="P25" s="104"/>
      <c r="Q25" s="104"/>
    </row>
    <row r="26" spans="1:18" ht="18" customHeight="1" thickBot="1" x14ac:dyDescent="0.25">
      <c r="A26" s="96" t="s">
        <v>71</v>
      </c>
      <c r="B26" s="96"/>
      <c r="C26" s="96"/>
      <c r="D26" s="96"/>
      <c r="E26" s="96"/>
      <c r="F26" s="96"/>
      <c r="G26" s="96"/>
      <c r="H26" s="96"/>
      <c r="I26" s="96"/>
      <c r="J26" s="96"/>
      <c r="K26" s="96"/>
      <c r="L26" s="96"/>
      <c r="M26" s="96"/>
      <c r="N26" s="96"/>
      <c r="O26" s="96"/>
      <c r="P26" s="96"/>
      <c r="Q26" s="96"/>
    </row>
    <row r="27" spans="1:18" ht="55.5" customHeight="1" thickBot="1" x14ac:dyDescent="0.25">
      <c r="A27" s="96"/>
      <c r="B27" s="96"/>
      <c r="C27" s="96"/>
      <c r="D27" s="96"/>
      <c r="E27" s="96"/>
      <c r="F27" s="96"/>
      <c r="G27" s="96"/>
      <c r="H27" s="96"/>
      <c r="I27" s="96"/>
      <c r="J27" s="96"/>
      <c r="K27" s="96"/>
      <c r="L27" s="96"/>
      <c r="M27" s="96"/>
      <c r="N27" s="96"/>
      <c r="O27" s="96"/>
      <c r="P27" s="96"/>
      <c r="Q27" s="96"/>
    </row>
    <row r="29" spans="1:18" ht="42" customHeight="1" x14ac:dyDescent="0.2">
      <c r="A29" s="94"/>
      <c r="B29" s="95"/>
      <c r="C29" s="95"/>
      <c r="D29" s="95"/>
      <c r="E29" s="95"/>
      <c r="F29" s="95"/>
      <c r="G29" s="95"/>
      <c r="H29" s="95"/>
      <c r="I29" s="95"/>
      <c r="J29" s="95"/>
      <c r="K29" s="95"/>
      <c r="L29" s="95"/>
      <c r="M29" s="95"/>
      <c r="N29" s="95"/>
      <c r="O29" s="95"/>
      <c r="P29" s="95"/>
      <c r="Q29" s="95"/>
    </row>
    <row r="30" spans="1:18" x14ac:dyDescent="0.2">
      <c r="A30" s="95"/>
      <c r="B30" s="95"/>
      <c r="C30" s="95"/>
      <c r="D30" s="95"/>
      <c r="E30" s="95"/>
      <c r="F30" s="95"/>
      <c r="G30" s="95"/>
      <c r="H30" s="95"/>
      <c r="I30" s="95"/>
      <c r="J30" s="95"/>
      <c r="K30" s="95"/>
      <c r="L30" s="95"/>
      <c r="M30" s="95"/>
      <c r="N30" s="95"/>
      <c r="O30" s="95"/>
      <c r="P30" s="95"/>
      <c r="Q30" s="95"/>
    </row>
  </sheetData>
  <mergeCells count="32">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O19:P19"/>
    <mergeCell ref="O20:P20"/>
    <mergeCell ref="O16:P16"/>
    <mergeCell ref="O17:P17"/>
    <mergeCell ref="O18:P18"/>
    <mergeCell ref="A29:Q30"/>
    <mergeCell ref="A26:Q27"/>
    <mergeCell ref="O21:P21"/>
    <mergeCell ref="O22:P22"/>
    <mergeCell ref="A23:P23"/>
    <mergeCell ref="A24:Q24"/>
    <mergeCell ref="A25:F25"/>
    <mergeCell ref="G25:Q25"/>
  </mergeCells>
  <pageMargins left="0.7" right="0.7" top="0.75" bottom="0.75" header="0.3" footer="0.3"/>
  <pageSetup paperSize="5"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4"/>
  <sheetViews>
    <sheetView tabSelected="1" workbookViewId="0">
      <selection activeCell="G16" sqref="G16"/>
    </sheetView>
  </sheetViews>
  <sheetFormatPr baseColWidth="10" defaultColWidth="9.140625" defaultRowHeight="12.75" x14ac:dyDescent="0.2"/>
  <cols>
    <col min="1" max="1" width="5.5703125" style="83" customWidth="1"/>
    <col min="2" max="2" width="15.140625" style="83" customWidth="1"/>
    <col min="3" max="3" width="14.140625" style="83" customWidth="1"/>
    <col min="4" max="4" width="26" style="83" customWidth="1"/>
    <col min="5" max="5" width="8" style="83" customWidth="1"/>
    <col min="6" max="6" width="7.85546875" style="83" customWidth="1"/>
    <col min="7" max="7" width="32.28515625" style="83" customWidth="1"/>
    <col min="8" max="8" width="9.28515625" style="83" customWidth="1"/>
    <col min="9" max="9" width="15.5703125" style="83" customWidth="1"/>
    <col min="10" max="10" width="14.7109375" style="83" customWidth="1"/>
    <col min="11" max="11" width="15.5703125" style="83" customWidth="1"/>
    <col min="12" max="14" width="5.85546875" style="83" customWidth="1"/>
    <col min="15" max="15" width="12.5703125" style="83" customWidth="1"/>
    <col min="16" max="1024" width="9.140625" style="83"/>
  </cols>
  <sheetData>
    <row r="1" spans="1:1024" ht="30.75" thickBot="1" x14ac:dyDescent="0.25">
      <c r="A1" s="135" t="s">
        <v>49</v>
      </c>
      <c r="B1" s="135"/>
      <c r="C1" s="135"/>
      <c r="D1" s="135"/>
      <c r="E1" s="135"/>
      <c r="F1" s="135"/>
      <c r="G1" s="135"/>
      <c r="H1" s="135"/>
      <c r="I1" s="135"/>
      <c r="J1" s="71" t="s">
        <v>50</v>
      </c>
      <c r="K1" s="89" t="s">
        <v>69</v>
      </c>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ht="16.5" thickBot="1" x14ac:dyDescent="0.25">
      <c r="A2" s="72"/>
      <c r="B2" s="73"/>
      <c r="C2" s="73"/>
      <c r="D2" s="74"/>
      <c r="E2" s="74"/>
      <c r="F2" s="74"/>
      <c r="G2" s="74"/>
      <c r="H2" s="74"/>
      <c r="I2" s="74"/>
      <c r="J2" s="74"/>
      <c r="K2" s="75"/>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ht="16.5" thickBot="1" x14ac:dyDescent="0.25">
      <c r="A3" s="130" t="s">
        <v>51</v>
      </c>
      <c r="B3" s="130"/>
      <c r="C3" s="130"/>
      <c r="D3" s="131" t="s">
        <v>22</v>
      </c>
      <c r="E3" s="131"/>
      <c r="F3" s="131"/>
      <c r="G3" s="131"/>
      <c r="H3" s="131"/>
      <c r="I3" s="131"/>
      <c r="J3" s="131"/>
      <c r="K3" s="131"/>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ht="16.5" thickBot="1" x14ac:dyDescent="0.25">
      <c r="A4" s="132" t="s">
        <v>23</v>
      </c>
      <c r="B4" s="132"/>
      <c r="C4" s="132"/>
      <c r="D4" s="131" t="s">
        <v>52</v>
      </c>
      <c r="E4" s="131"/>
      <c r="F4" s="131"/>
      <c r="G4" s="131"/>
      <c r="H4" s="131"/>
      <c r="I4" s="131"/>
      <c r="J4" s="131"/>
      <c r="K4" s="131"/>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16.5" thickBot="1" x14ac:dyDescent="0.25">
      <c r="A5" s="132" t="s">
        <v>25</v>
      </c>
      <c r="B5" s="132"/>
      <c r="C5" s="132"/>
      <c r="D5" s="131" t="s">
        <v>68</v>
      </c>
      <c r="E5" s="131"/>
      <c r="F5" s="131"/>
      <c r="G5" s="131"/>
      <c r="H5" s="131"/>
      <c r="I5" s="131"/>
      <c r="J5" s="131"/>
      <c r="K5" s="131"/>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16.5" customHeight="1" thickBot="1" x14ac:dyDescent="0.25">
      <c r="A6" s="130" t="s">
        <v>26</v>
      </c>
      <c r="B6" s="130"/>
      <c r="C6" s="130"/>
      <c r="D6" s="131" t="s">
        <v>68</v>
      </c>
      <c r="E6" s="131"/>
      <c r="F6" s="131"/>
      <c r="G6" s="131"/>
      <c r="H6" s="131"/>
      <c r="I6" s="131"/>
      <c r="J6" s="131"/>
      <c r="K6" s="131"/>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ht="16.5" thickBot="1" x14ac:dyDescent="0.25">
      <c r="A7" s="132" t="s">
        <v>53</v>
      </c>
      <c r="B7" s="132"/>
      <c r="C7" s="132"/>
      <c r="D7" s="131" t="s">
        <v>62</v>
      </c>
      <c r="E7" s="131"/>
      <c r="F7" s="131"/>
      <c r="G7" s="131"/>
      <c r="H7" s="131"/>
      <c r="I7" s="131"/>
      <c r="J7" s="131"/>
      <c r="K7" s="131"/>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24" customHeight="1" thickBot="1" x14ac:dyDescent="0.25">
      <c r="A8" s="133" t="s">
        <v>54</v>
      </c>
      <c r="B8" s="133"/>
      <c r="C8" s="133"/>
      <c r="D8" s="134" t="s">
        <v>72</v>
      </c>
      <c r="E8" s="134"/>
      <c r="F8" s="134"/>
      <c r="G8" s="134"/>
      <c r="H8" s="134"/>
      <c r="I8" s="134"/>
      <c r="J8" s="134"/>
      <c r="K8" s="134"/>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16.5" thickBot="1" x14ac:dyDescent="0.25">
      <c r="A9" s="76"/>
      <c r="B9" s="77"/>
      <c r="C9" s="77"/>
      <c r="D9" s="78"/>
      <c r="E9" s="78"/>
      <c r="F9" s="78"/>
      <c r="G9" s="78"/>
      <c r="H9" s="78"/>
      <c r="I9" s="78"/>
      <c r="J9" s="78"/>
      <c r="K9" s="7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ht="13.5" thickBot="1" x14ac:dyDescent="0.25">
      <c r="A10" s="128" t="s">
        <v>55</v>
      </c>
      <c r="B10" s="129" t="s">
        <v>56</v>
      </c>
      <c r="C10" s="129" t="s">
        <v>57</v>
      </c>
      <c r="D10" s="129"/>
      <c r="E10" s="129"/>
      <c r="F10" s="129"/>
      <c r="G10" s="129"/>
      <c r="H10" s="129" t="s">
        <v>58</v>
      </c>
      <c r="I10" s="129" t="s">
        <v>59</v>
      </c>
      <c r="J10" s="129" t="s">
        <v>60</v>
      </c>
      <c r="K10" s="124" t="s">
        <v>61</v>
      </c>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x14ac:dyDescent="0.2">
      <c r="A11" s="128"/>
      <c r="B11" s="129"/>
      <c r="C11" s="129"/>
      <c r="D11" s="129"/>
      <c r="E11" s="129"/>
      <c r="F11" s="129"/>
      <c r="G11" s="129"/>
      <c r="H11" s="129"/>
      <c r="I11" s="129"/>
      <c r="J11" s="129"/>
      <c r="K11" s="124"/>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ht="37.5" customHeight="1" x14ac:dyDescent="0.2">
      <c r="A12" s="85">
        <v>1</v>
      </c>
      <c r="B12" s="90" t="s">
        <v>73</v>
      </c>
      <c r="C12" s="125" t="s">
        <v>74</v>
      </c>
      <c r="D12" s="126"/>
      <c r="E12" s="126"/>
      <c r="F12" s="126"/>
      <c r="G12" s="127"/>
      <c r="H12" s="80" t="s">
        <v>63</v>
      </c>
      <c r="I12" s="81" t="s">
        <v>1</v>
      </c>
      <c r="J12" s="82">
        <v>450</v>
      </c>
      <c r="K12" s="86">
        <v>3000</v>
      </c>
      <c r="L12" s="69"/>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19.5" thickBot="1" x14ac:dyDescent="0.25">
      <c r="A13" s="122" t="s">
        <v>65</v>
      </c>
      <c r="B13" s="122"/>
      <c r="C13" s="122"/>
      <c r="D13" s="122"/>
      <c r="E13" s="122"/>
      <c r="F13" s="122"/>
      <c r="G13" s="122"/>
      <c r="H13" s="122"/>
      <c r="I13" s="122"/>
      <c r="J13" s="123">
        <f>J12*K12</f>
        <v>1350000</v>
      </c>
      <c r="K13" s="12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x14ac:dyDescent="0.2">
      <c r="J14" s="8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sheetData>
  <mergeCells count="23">
    <mergeCell ref="A5:C5"/>
    <mergeCell ref="D5:K5"/>
    <mergeCell ref="A1:I1"/>
    <mergeCell ref="A3:C3"/>
    <mergeCell ref="D3:K3"/>
    <mergeCell ref="A4:C4"/>
    <mergeCell ref="D4:K4"/>
    <mergeCell ref="A6:C6"/>
    <mergeCell ref="D6:K6"/>
    <mergeCell ref="A7:C7"/>
    <mergeCell ref="D7:K7"/>
    <mergeCell ref="A8:C8"/>
    <mergeCell ref="D8:K8"/>
    <mergeCell ref="A13:I13"/>
    <mergeCell ref="J13:K13"/>
    <mergeCell ref="K10:K11"/>
    <mergeCell ref="C12:G12"/>
    <mergeCell ref="A10:A11"/>
    <mergeCell ref="B10:B11"/>
    <mergeCell ref="C10:G11"/>
    <mergeCell ref="H10:H11"/>
    <mergeCell ref="I10:I11"/>
    <mergeCell ref="J10:J11"/>
  </mergeCells>
  <pageMargins left="0.70866141732283472" right="0.70866141732283472" top="0.74803149606299213" bottom="0.74803149606299213" header="0.31496062992125984" footer="0.31496062992125984"/>
  <pageSetup paperSize="9" scale="80"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I34"/>
  <sheetViews>
    <sheetView topLeftCell="A4" workbookViewId="0">
      <selection activeCell="E12" sqref="E12"/>
    </sheetView>
  </sheetViews>
  <sheetFormatPr baseColWidth="10" defaultColWidth="11" defaultRowHeight="12.75" x14ac:dyDescent="0.2"/>
  <cols>
    <col min="1" max="1" width="4.5703125" style="1" customWidth="1"/>
    <col min="2" max="2" width="13.5703125" style="1" customWidth="1"/>
    <col min="3" max="3" width="23" style="1" customWidth="1"/>
    <col min="4" max="4" width="7.28515625" style="1" customWidth="1"/>
    <col min="5" max="5" width="64.7109375" style="1" customWidth="1"/>
    <col min="6" max="6" width="10.28515625" style="1" customWidth="1"/>
    <col min="7" max="7" width="8" style="1" customWidth="1"/>
    <col min="8" max="8" width="13" style="1" customWidth="1"/>
    <col min="9" max="9" width="12.42578125" style="1" customWidth="1"/>
    <col min="10" max="16384" width="11" style="1"/>
  </cols>
  <sheetData>
    <row r="2" spans="1:9" ht="27" x14ac:dyDescent="0.35">
      <c r="B2" s="139" t="s">
        <v>2</v>
      </c>
      <c r="C2" s="139"/>
      <c r="D2" s="139"/>
      <c r="E2" s="139"/>
      <c r="F2" s="139"/>
      <c r="G2" s="139"/>
      <c r="H2" s="139"/>
    </row>
    <row r="3" spans="1:9" hidden="1" x14ac:dyDescent="0.2"/>
    <row r="4" spans="1:9" ht="27.75" customHeight="1" x14ac:dyDescent="0.25">
      <c r="A4" s="140" t="s">
        <v>3</v>
      </c>
      <c r="B4" s="140"/>
      <c r="C4" s="141" t="s">
        <v>4</v>
      </c>
      <c r="D4" s="141"/>
      <c r="E4" s="141"/>
      <c r="F4" s="2"/>
      <c r="G4" s="3"/>
      <c r="H4" s="2"/>
    </row>
    <row r="5" spans="1:9" ht="18" customHeight="1" x14ac:dyDescent="0.25">
      <c r="A5" s="140" t="s">
        <v>5</v>
      </c>
      <c r="B5" s="140"/>
      <c r="C5" s="141" t="s">
        <v>6</v>
      </c>
      <c r="D5" s="141"/>
      <c r="E5" s="141"/>
      <c r="F5" s="2"/>
      <c r="G5" s="3"/>
      <c r="H5" s="2"/>
    </row>
    <row r="6" spans="1:9" ht="16.5" customHeight="1" x14ac:dyDescent="0.25">
      <c r="A6" s="140" t="s">
        <v>0</v>
      </c>
      <c r="B6" s="140"/>
      <c r="C6" s="4">
        <v>2022</v>
      </c>
      <c r="D6" s="5"/>
      <c r="E6" s="5"/>
      <c r="F6" s="2"/>
      <c r="G6" s="3"/>
      <c r="H6" s="2"/>
    </row>
    <row r="7" spans="1:9" ht="13.5" customHeight="1" x14ac:dyDescent="0.25">
      <c r="A7" s="140" t="s">
        <v>7</v>
      </c>
      <c r="B7" s="140"/>
      <c r="C7" s="4">
        <v>2</v>
      </c>
      <c r="D7" s="5"/>
      <c r="E7" s="5"/>
      <c r="F7" s="2"/>
      <c r="G7" s="3"/>
      <c r="H7" s="2"/>
    </row>
    <row r="8" spans="1:9" hidden="1" x14ac:dyDescent="0.2">
      <c r="B8" s="2"/>
      <c r="C8" s="3"/>
      <c r="D8" s="2"/>
      <c r="E8" s="2"/>
      <c r="F8" s="2"/>
      <c r="G8" s="3"/>
      <c r="H8" s="2"/>
    </row>
    <row r="9" spans="1:9" x14ac:dyDescent="0.2">
      <c r="B9" s="2"/>
      <c r="C9" s="3"/>
      <c r="D9" s="2"/>
      <c r="E9" s="2"/>
      <c r="F9" s="2"/>
      <c r="G9" s="3"/>
      <c r="H9" s="2"/>
    </row>
    <row r="10" spans="1:9" x14ac:dyDescent="0.2">
      <c r="B10" s="2"/>
      <c r="C10" s="3"/>
      <c r="D10" s="2"/>
      <c r="E10" s="2"/>
      <c r="F10" s="2"/>
      <c r="G10" s="3"/>
      <c r="H10" s="2"/>
    </row>
    <row r="11" spans="1:9" ht="39" thickBot="1" x14ac:dyDescent="0.25">
      <c r="A11" s="30" t="s">
        <v>8</v>
      </c>
      <c r="B11" s="30" t="s">
        <v>9</v>
      </c>
      <c r="C11" s="30" t="s">
        <v>10</v>
      </c>
      <c r="D11" s="30" t="s">
        <v>11</v>
      </c>
      <c r="E11" s="30" t="s">
        <v>12</v>
      </c>
      <c r="F11" s="30" t="s">
        <v>13</v>
      </c>
      <c r="G11" s="30" t="s">
        <v>14</v>
      </c>
      <c r="H11" s="30" t="s">
        <v>15</v>
      </c>
      <c r="I11" s="30" t="s">
        <v>16</v>
      </c>
    </row>
    <row r="12" spans="1:9" ht="47.25" customHeight="1" x14ac:dyDescent="0.2">
      <c r="A12" s="27">
        <v>1</v>
      </c>
      <c r="B12" s="90" t="s">
        <v>73</v>
      </c>
      <c r="C12" s="91" t="s">
        <v>19</v>
      </c>
      <c r="D12" s="92" t="str">
        <f>LEFT(B12,5)</f>
        <v>2.1.1</v>
      </c>
      <c r="E12" s="93" t="s">
        <v>74</v>
      </c>
      <c r="F12" s="28" t="s">
        <v>1</v>
      </c>
      <c r="G12" s="28">
        <v>3000</v>
      </c>
      <c r="H12" s="31">
        <v>450</v>
      </c>
      <c r="I12" s="29">
        <f>H12*G12</f>
        <v>1350000</v>
      </c>
    </row>
    <row r="13" spans="1:9" x14ac:dyDescent="0.2">
      <c r="A13" s="16"/>
      <c r="B13" s="17"/>
      <c r="C13" s="18"/>
      <c r="D13" s="17"/>
      <c r="E13" s="18"/>
      <c r="F13" s="19"/>
      <c r="G13" s="20"/>
      <c r="H13" s="21"/>
      <c r="I13" s="22"/>
    </row>
    <row r="14" spans="1:9" x14ac:dyDescent="0.2">
      <c r="A14" s="16"/>
      <c r="B14" s="17"/>
      <c r="C14" s="18"/>
      <c r="D14" s="17"/>
      <c r="E14" s="18"/>
      <c r="F14" s="19"/>
      <c r="G14" s="20"/>
      <c r="H14" s="21"/>
      <c r="I14" s="22"/>
    </row>
    <row r="15" spans="1:9" x14ac:dyDescent="0.2">
      <c r="A15" s="16"/>
      <c r="B15" s="17"/>
      <c r="C15" s="18"/>
      <c r="D15" s="17"/>
      <c r="E15" s="18"/>
      <c r="F15" s="19"/>
      <c r="G15" s="20"/>
      <c r="H15" s="21"/>
      <c r="I15" s="22"/>
    </row>
    <row r="16" spans="1:9" x14ac:dyDescent="0.2">
      <c r="A16" s="16"/>
      <c r="B16" s="17"/>
      <c r="C16" s="18"/>
      <c r="D16" s="17"/>
      <c r="E16" s="18"/>
      <c r="F16" s="19"/>
      <c r="G16" s="20"/>
      <c r="H16" s="21"/>
      <c r="I16" s="22"/>
    </row>
    <row r="17" spans="1:9" x14ac:dyDescent="0.2">
      <c r="A17" s="16"/>
      <c r="B17" s="17"/>
      <c r="C17" s="18"/>
      <c r="D17" s="17"/>
      <c r="E17" s="18"/>
      <c r="F17" s="19"/>
      <c r="G17" s="20"/>
      <c r="H17" s="21"/>
      <c r="I17" s="22"/>
    </row>
    <row r="18" spans="1:9" x14ac:dyDescent="0.2">
      <c r="A18" s="16"/>
      <c r="B18" s="17"/>
      <c r="C18" s="18"/>
      <c r="D18" s="17"/>
      <c r="E18" s="18"/>
      <c r="F18" s="19"/>
      <c r="G18" s="20"/>
      <c r="H18" s="21"/>
      <c r="I18" s="22"/>
    </row>
    <row r="19" spans="1:9" ht="13.5" thickBot="1" x14ac:dyDescent="0.25">
      <c r="A19" s="16"/>
      <c r="B19" s="17"/>
      <c r="C19" s="18"/>
      <c r="D19" s="17"/>
      <c r="E19" s="18"/>
      <c r="F19" s="19"/>
      <c r="G19" s="20"/>
      <c r="H19" s="21"/>
      <c r="I19" s="22"/>
    </row>
    <row r="20" spans="1:9" x14ac:dyDescent="0.2">
      <c r="A20" s="16"/>
      <c r="B20" s="6" t="s">
        <v>18</v>
      </c>
      <c r="C20" s="24"/>
      <c r="D20" s="25"/>
      <c r="E20" s="26"/>
      <c r="F20" s="19"/>
      <c r="G20" s="20"/>
      <c r="H20" s="21"/>
      <c r="I20" s="22"/>
    </row>
    <row r="21" spans="1:9" x14ac:dyDescent="0.2">
      <c r="A21" s="16"/>
      <c r="B21" s="23"/>
      <c r="C21" s="146" t="s">
        <v>75</v>
      </c>
      <c r="D21" s="146"/>
      <c r="E21" s="147"/>
      <c r="F21" s="19"/>
      <c r="G21" s="20"/>
      <c r="H21" s="21"/>
      <c r="I21" s="22"/>
    </row>
    <row r="22" spans="1:9" ht="55.5" customHeight="1" x14ac:dyDescent="0.2">
      <c r="A22" s="16"/>
      <c r="B22" s="9"/>
      <c r="C22" s="146"/>
      <c r="D22" s="146"/>
      <c r="E22" s="147"/>
      <c r="F22" s="19"/>
      <c r="G22" s="20"/>
      <c r="H22" s="21"/>
      <c r="I22" s="22"/>
    </row>
    <row r="23" spans="1:9" ht="0.75" customHeight="1" x14ac:dyDescent="0.2">
      <c r="B23" s="9"/>
      <c r="C23" s="136"/>
      <c r="D23" s="136"/>
      <c r="E23" s="142"/>
    </row>
    <row r="24" spans="1:9" x14ac:dyDescent="0.2">
      <c r="B24" s="9" t="s">
        <v>17</v>
      </c>
      <c r="C24" s="7"/>
      <c r="D24" s="7"/>
      <c r="E24" s="8"/>
    </row>
    <row r="25" spans="1:9" x14ac:dyDescent="0.2">
      <c r="B25" s="10"/>
      <c r="C25" s="143" t="s">
        <v>76</v>
      </c>
      <c r="D25" s="144"/>
      <c r="E25" s="145"/>
    </row>
    <row r="26" spans="1:9" ht="81" customHeight="1" x14ac:dyDescent="0.2">
      <c r="B26" s="10"/>
      <c r="C26" s="144"/>
      <c r="D26" s="144"/>
      <c r="E26" s="145"/>
    </row>
    <row r="27" spans="1:9" ht="19.5" customHeight="1" x14ac:dyDescent="0.2">
      <c r="B27" s="148" t="s">
        <v>77</v>
      </c>
      <c r="C27" s="149"/>
      <c r="D27" s="149"/>
      <c r="E27" s="150"/>
    </row>
    <row r="28" spans="1:9" x14ac:dyDescent="0.2">
      <c r="B28" s="9"/>
      <c r="C28" s="7"/>
      <c r="D28" s="7"/>
      <c r="E28" s="8"/>
    </row>
    <row r="29" spans="1:9" x14ac:dyDescent="0.2">
      <c r="B29" s="10" t="s">
        <v>64</v>
      </c>
      <c r="C29" s="87"/>
      <c r="D29" s="87"/>
      <c r="E29" s="88"/>
    </row>
    <row r="30" spans="1:9" x14ac:dyDescent="0.2">
      <c r="B30" s="9"/>
      <c r="C30" s="11"/>
      <c r="D30" s="11"/>
      <c r="E30" s="12"/>
    </row>
    <row r="31" spans="1:9" x14ac:dyDescent="0.2">
      <c r="B31" s="10"/>
      <c r="C31" s="136"/>
      <c r="D31" s="136"/>
      <c r="E31" s="142"/>
    </row>
    <row r="32" spans="1:9" x14ac:dyDescent="0.2">
      <c r="B32" s="9"/>
      <c r="C32" s="7"/>
      <c r="D32" s="7"/>
      <c r="E32" s="8"/>
    </row>
    <row r="33" spans="2:5" x14ac:dyDescent="0.2">
      <c r="B33" s="9"/>
      <c r="C33" s="136"/>
      <c r="D33" s="137"/>
      <c r="E33" s="138"/>
    </row>
    <row r="34" spans="2:5" ht="13.5" thickBot="1" x14ac:dyDescent="0.25">
      <c r="B34" s="13"/>
      <c r="C34" s="14"/>
      <c r="D34" s="14"/>
      <c r="E34" s="15"/>
    </row>
  </sheetData>
  <mergeCells count="13">
    <mergeCell ref="C33:E33"/>
    <mergeCell ref="B2:H2"/>
    <mergeCell ref="A4:B4"/>
    <mergeCell ref="C4:E4"/>
    <mergeCell ref="A5:B5"/>
    <mergeCell ref="C5:E5"/>
    <mergeCell ref="A6:B6"/>
    <mergeCell ref="A7:B7"/>
    <mergeCell ref="C23:E23"/>
    <mergeCell ref="C25:E26"/>
    <mergeCell ref="C31:E31"/>
    <mergeCell ref="C21:E22"/>
    <mergeCell ref="B27:E27"/>
  </mergeCells>
  <pageMargins left="0.70866141732283472" right="0.70866141732283472" top="0.74803149606299213" bottom="0.74803149606299213" header="0.31496062992125984" footer="0.31496062992125984"/>
  <pageSetup paperSize="9" scale="75"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APG</vt:lpstr>
      <vt:lpstr>NP</vt:lpstr>
      <vt:lpstr>NECESIDADES TRIMESTRALES</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farce</dc:creator>
  <cp:lastModifiedBy>COMPRAS</cp:lastModifiedBy>
  <cp:revision>3</cp:revision>
  <cp:lastPrinted>2022-03-10T13:30:45Z</cp:lastPrinted>
  <dcterms:created xsi:type="dcterms:W3CDTF">2020-07-17T23:44:49Z</dcterms:created>
  <dcterms:modified xsi:type="dcterms:W3CDTF">2022-03-28T14:02:39Z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