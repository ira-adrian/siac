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  <definedName name="_xlnm.Print_Area" localSheetId="0">'Necesidades Trimestrales'!$A$1:$I$66</definedName>
  </definedName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/>
  <c r="I11" l="1"/>
  <c r="I12"/>
  <c r="I13"/>
  <c r="I14"/>
  <c r="I15"/>
  <c r="I16"/>
  <c r="I17"/>
  <c r="I18"/>
  <c r="I19"/>
  <c r="I20"/>
  <c r="I21"/>
  <c r="I22"/>
  <c r="I23"/>
  <c r="I10"/>
  <c r="I13" i="2" l="1"/>
  <c r="J13"/>
  <c r="K13"/>
  <c r="I14"/>
  <c r="J14"/>
  <c r="K14"/>
  <c r="C13"/>
  <c r="C14"/>
  <c r="B13"/>
  <c r="B14"/>
  <c r="K12"/>
  <c r="I12"/>
  <c r="J12"/>
  <c r="C12"/>
  <c r="B12"/>
  <c r="O15" i="3" l="1"/>
  <c r="A19"/>
  <c r="A10"/>
  <c r="J15" i="2" l="1"/>
  <c r="Q15" i="3" l="1"/>
  <c r="Q16" s="1"/>
  <c r="G6" l="1"/>
  <c r="G7"/>
  <c r="D3" i="2"/>
  <c r="G4" i="3" s="1"/>
  <c r="D4" i="2"/>
  <c r="G5" i="3" s="1"/>
  <c r="D1" l="1"/>
</calcChain>
</file>

<file path=xl/sharedStrings.xml><?xml version="1.0" encoding="utf-8"?>
<sst xmlns="http://schemas.openxmlformats.org/spreadsheetml/2006/main" count="176" uniqueCount="126">
  <si>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</si>
  <si>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</si>
  <si>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</si>
  <si>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</si>
  <si>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</si>
  <si>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</si>
  <si>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</si>
  <si>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</si>
  <si>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</si>
  <si>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</si>
  <si>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</si>
  <si>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</si>
  <si>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</si>
  <si>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</si>
  <si>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</si>
  <si>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</si>
  <si>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2.9.6-401.1859</t>
  </si>
  <si>
    <t>REPUESTOS</t>
  </si>
  <si>
    <t>2.9.2</t>
  </si>
  <si>
    <t>CARTUCHOS DE TONER; CODIGO: MLT-D101S, USO: SAMSUNG 2165</t>
  </si>
  <si>
    <t>UNIDAD</t>
  </si>
  <si>
    <t>2.9.6-401.1362</t>
  </si>
  <si>
    <t>CARTUCHOS DE TONER; CODIGO: CE285A, USO: HEWLETT PACKARD</t>
  </si>
  <si>
    <t>2.9.6-401.2095</t>
  </si>
  <si>
    <t>CARTUCHOS DE TONER; CODIGO: CF283A, USO: HEWLETT PACKARD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</si>
  <si>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</si>
  <si>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</si>
  <si>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</si>
  <si>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</si>
  <si>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</si>
  <si>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</si>
  <si>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2.9.6-401.2378</t>
  </si>
  <si>
    <t>CARTUCHOS DE TONER; CODIGO: W1105A, USO: HEWLETT PACKARD</t>
  </si>
  <si>
    <t>2.9.6-401.1026</t>
  </si>
  <si>
    <t>CARTUCHOS DE TONER; CODIGO: 2612A, COLOR: SIN VALOR, DESCRIPCION: SIN VALOR, USO: HEWLETT PACKARD</t>
  </si>
  <si>
    <t>2.9.6-401.1860</t>
  </si>
  <si>
    <t>CARTUCHOS DE TONER; CODIGO: CF280A, USO: HEWLETT PACKARD</t>
  </si>
  <si>
    <t>2.9.6-1355.1988</t>
  </si>
  <si>
    <t>CARTUCHOS DE TINTA; CODIGO: 664, USO: HEWLET PACKARD</t>
  </si>
  <si>
    <t>2.9.6-401.932</t>
  </si>
  <si>
    <t>CARTUCHOS DE TONER; CODIGO: Q7551A, COLOR: NEGRO, DESCRIPCION: CARTUCHO TONER, USO: HEWLETT PACKARD</t>
  </si>
  <si>
    <t>2.9.6-1355.1808</t>
  </si>
  <si>
    <t>CARTUCHOS DE TINTA; CODIGO: HP662, USO: HP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</si>
  <si>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</si>
  <si>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</si>
  <si>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t>Rendimiento aproximado: 1500 páginas, nuevos, alternativos, carga completa, Garantía: 3 meses; USO: samnsung 2165 toner 101-Codigo: MLT-D101S , Tecnologia: Laser.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</si>
  <si>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2</t>
    </r>
    <r>
      <rPr>
        <sz val="11"/>
        <color theme="1"/>
        <rFont val="Calibri"/>
        <family val="2"/>
        <scheme val="minor"/>
      </rPr>
      <t/>
    </r>
  </si>
  <si>
    <t>Rendimiento aproximado: 1500 páginas , nuevos,alternativos, carga completa, Garantía: 3 meses - uso: HP 1102- TONER 285A, Color: Negro, Modelo: CE285A,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</si>
  <si>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  <r>
      <rPr>
        <sz val="11"/>
        <color theme="1"/>
        <rFont val="Calibri"/>
        <family val="2"/>
        <scheme val="minor"/>
      </rPr>
      <t/>
    </r>
  </si>
  <si>
    <t>Rendimiento aproximado: 1500, nuevos, alternativos, carga completa, Garantía: 3 meses - uso: HP Laserjet PRO MFP-M125, M127, M127FW, M225, M201- TONER 283A, Color: Negro,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</si>
  <si>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  <r>
      <rPr>
        <sz val="11"/>
        <color theme="1"/>
        <rFont val="Calibri"/>
        <family val="2"/>
        <scheme val="minor"/>
      </rPr>
      <t/>
    </r>
  </si>
  <si>
    <t>Rendimiento aproximado: 1500 páginas, nuevos, alternativos, carga completa,Garantía: 3 meses - uso: SAMSUNG M202x- TONER 111, Color: Negro,Tecnologia: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</si>
  <si>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5</t>
    </r>
    <r>
      <rPr>
        <sz val="11"/>
        <color theme="1"/>
        <rFont val="Calibri"/>
        <family val="2"/>
        <scheme val="minor"/>
      </rPr>
      <t/>
    </r>
  </si>
  <si>
    <t>Rendimiento aproximado: 1500, nuevos,alternativos, carga completa, Garantía: 3 meses - uso: Brother- TONER: TN 1060, Color: Negro,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</si>
  <si>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6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</si>
  <si>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meses; Toner: 279A; USO: HP LaserJet Pro M12a, HP LaserJet Pro M12w. Impresora multifunción HP LaserJet Pro M26a, impresora multifunción HP LaserJet Pro M26nw, Tecnologia: Laser.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</si>
  <si>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7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</si>
  <si>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 Serie de impresoras HP Laser 100, serie de impresoras multifunción HP Laser MFP 130- TONER 105A, Tecnologia: Laser.-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</si>
  <si>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8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</si>
  <si>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 HP LASER 1010, 1012, 1015, 1018, 1020, 1020 PLUS, 1022, 3015, 3020, 3030, 3050, 3050Z, 3052, 3055, M1005 MFP, M1319F MFP- TONER 2612A, Tecnologia: Laser.-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</si>
  <si>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9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</si>
  <si>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uso:Hewlett Packard LaserJet Pro 400 M401 / 400 M425- TONER 80A, Tecnologia: Laser.- 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</si>
  <si>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10</t>
    </r>
    <r>
      <rPr>
        <sz val="11"/>
        <color theme="1"/>
        <rFont val="Calibri"/>
        <family val="2"/>
        <scheme val="minor"/>
      </rPr>
      <t/>
    </r>
  </si>
  <si>
    <t>Rendimiento aproximado: 360 páginas, nuevos,alternativos, carga completa, Garantía: 3 meses - uso: HP 1115 2135 2675 3635 3775 4535 4536 4538 4675 4676 4678-Tinta: HP 664 Negro.-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</si>
  <si>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11</t>
    </r>
    <r>
      <rPr>
        <sz val="11"/>
        <color theme="1"/>
        <rFont val="Calibri"/>
        <family val="2"/>
        <scheme val="minor"/>
      </rPr>
      <t/>
    </r>
  </si>
  <si>
    <t>Rendimiento aproximado: 360 páginas, nuevos,alternativos, carga completa, Garantía: 3 meses - uso: HP 1115 2135 2675 3635 3775 4535 4536 4538 4675 4676 4678-Tinta: HP 664 Color.-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</si>
  <si>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12</t>
    </r>
    <r>
      <rPr>
        <sz val="11"/>
        <color theme="1"/>
        <rFont val="Calibri"/>
        <family val="2"/>
        <scheme val="minor"/>
      </rPr>
      <t/>
    </r>
  </si>
  <si>
    <t>Rendimiento aproximado:6500 páginas, nuevos,alternativos, carga completa, Garantía: 3 meses; Toner: 51A; USO: Impresora HP Laserjet P3005, M3027 mfp, M3035 mfp, Tecnologia: Laser.-Color: Negro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</si>
  <si>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13</t>
    </r>
    <r>
      <rPr>
        <sz val="11"/>
        <color theme="1"/>
        <rFont val="Calibri"/>
        <family val="2"/>
        <scheme val="minor"/>
      </rPr>
      <t/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</si>
  <si>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14</t>
    </r>
    <r>
      <rPr>
        <sz val="11"/>
        <color theme="1"/>
        <rFont val="Calibri"/>
        <family val="2"/>
        <scheme val="minor"/>
      </rPr>
      <t/>
    </r>
  </si>
  <si>
    <t>Rendimiento aproximado: 100 páginas, nuevos,alternativos, carga completa, Garantía: 3 meses - uso: Compatiblidad : 1515 2515 2545 3545 3645-Tinta: CZ105AL 662 hp Color.-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</si>
  <si>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</si>
  <si>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</si>
  <si>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</si>
  <si>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
</t>
  </si>
  <si>
    <t>Mantenimiento</t>
  </si>
  <si>
    <t xml:space="preserve">30 (treinta)  días </t>
  </si>
  <si>
    <t>Garantia</t>
  </si>
  <si>
    <t>3 meses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</si>
  <si>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</si>
  <si>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</si>
  <si>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</si>
  <si>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</si>
  <si>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</si>
  <si>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</si>
  <si>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</si>
  <si>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</si>
  <si>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</si>
  <si>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</si>
  <si>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</si>
  <si>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</si>
  <si>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</si>
  <si>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</si>
  <si>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</si>
  <si>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</si>
  <si>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</si>
  <si>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</si>
  <si>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</si>
  <si>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</si>
  <si>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</si>
  <si>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</si>
  <si>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</si>
  <si>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</si>
  <si>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</si>
  <si>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</si>
  <si>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</si>
  <si>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</si>
  <si>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</si>
  <si>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</si>
  <si>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</si>
  <si>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</si>
  <si>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</si>
  <si>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</si>
  <si>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</si>
  <si>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</si>
  <si>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</si>
  <si>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</si>
  <si>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</si>
  <si>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</si>
  <si>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</si>
  <si>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</si>
  <si>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</si>
  <si>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</si>
  <si>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</si>
  <si>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</si>
  <si>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>Rendimiento aproximado: 100 páginas, nuevos,alternativos, carga completa, Garantía: 3 meses - uso: Compatiblidad : 1515 2515 2545 3545 3645-Tinta: CZ105AL 662 hp Negro.-</t>
  </si>
</sst>
</file>

<file path=xl/styles.xml><?xml version="1.0" encoding="utf-8"?>
<styleSheet xmlns="http://schemas.openxmlformats.org/spreadsheetml/2006/main">
  <numFmts count="8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3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5" fontId="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</cellStyleXfs>
  <cellXfs count="162">
    <xf numFmtId="0" fontId="0" fillId="0" borderId="0" xfId="0"/>
    <xf numFmtId="0" fontId="6" fillId="3" borderId="0" xfId="0" applyFont="1" applyFill="1"/>
    <xf numFmtId="0" fontId="9" fillId="3" borderId="0" xfId="0" applyFont="1" applyFill="1" applyAlignment="1">
      <alignment horizontal="left" wrapText="1"/>
    </xf>
    <xf numFmtId="0" fontId="8" fillId="3" borderId="43" xfId="0" applyFont="1" applyFill="1" applyBorder="1" applyAlignment="1">
      <alignment horizontal="center" vertical="center" wrapText="1"/>
    </xf>
    <xf numFmtId="0" fontId="6" fillId="3" borderId="0" xfId="0" applyFont="1" applyFill="1" applyBorder="1"/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wrapText="1"/>
    </xf>
    <xf numFmtId="0" fontId="2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170" fontId="7" fillId="3" borderId="38" xfId="0" applyNumberFormat="1" applyFont="1" applyFill="1" applyBorder="1"/>
    <xf numFmtId="3" fontId="15" fillId="3" borderId="0" xfId="0" applyNumberFormat="1" applyFont="1" applyFill="1" applyBorder="1" applyAlignment="1"/>
    <xf numFmtId="168" fontId="6" fillId="3" borderId="0" xfId="0" applyNumberFormat="1" applyFont="1" applyFill="1" applyAlignment="1">
      <alignment horizontal="left"/>
    </xf>
    <xf numFmtId="0" fontId="6" fillId="3" borderId="10" xfId="0" applyFont="1" applyFill="1" applyBorder="1"/>
    <xf numFmtId="0" fontId="6" fillId="3" borderId="24" xfId="0" applyFont="1" applyFill="1" applyBorder="1"/>
    <xf numFmtId="0" fontId="6" fillId="3" borderId="12" xfId="0" applyFont="1" applyFill="1" applyBorder="1"/>
    <xf numFmtId="0" fontId="6" fillId="3" borderId="12" xfId="0" applyFont="1" applyFill="1" applyBorder="1" applyAlignment="1">
      <alignment horizontal="left"/>
    </xf>
    <xf numFmtId="0" fontId="6" fillId="3" borderId="25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6" fontId="6" fillId="3" borderId="33" xfId="3" applyNumberFormat="1" applyFont="1" applyFill="1" applyBorder="1" applyAlignment="1" applyProtection="1">
      <alignment horizontal="center" vertical="center"/>
    </xf>
    <xf numFmtId="166" fontId="7" fillId="3" borderId="34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169" fontId="6" fillId="3" borderId="42" xfId="1" applyNumberFormat="1" applyFont="1" applyFill="1" applyBorder="1" applyAlignment="1" applyProtection="1">
      <alignment horizontal="center" vertical="center"/>
    </xf>
    <xf numFmtId="3" fontId="6" fillId="3" borderId="42" xfId="0" applyNumberFormat="1" applyFont="1" applyFill="1" applyBorder="1" applyAlignment="1">
      <alignment horizontal="center" vertical="center"/>
    </xf>
    <xf numFmtId="169" fontId="6" fillId="3" borderId="0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left"/>
    </xf>
    <xf numFmtId="0" fontId="6" fillId="5" borderId="3" xfId="0" applyFont="1" applyFill="1" applyBorder="1"/>
    <xf numFmtId="0" fontId="6" fillId="5" borderId="0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3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left" indent="3"/>
    </xf>
    <xf numFmtId="0" fontId="11" fillId="5" borderId="5" xfId="0" applyFont="1" applyFill="1" applyBorder="1" applyAlignment="1"/>
    <xf numFmtId="0" fontId="10" fillId="5" borderId="5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8" fillId="3" borderId="5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0" fontId="22" fillId="0" borderId="52" xfId="0" applyFont="1" applyBorder="1" applyAlignment="1">
      <alignment horizontal="center" vertical="center"/>
    </xf>
    <xf numFmtId="49" fontId="6" fillId="0" borderId="54" xfId="0" applyNumberFormat="1" applyFont="1" applyBorder="1" applyAlignment="1">
      <alignment vertical="center"/>
    </xf>
    <xf numFmtId="49" fontId="22" fillId="0" borderId="54" xfId="0" applyNumberFormat="1" applyFont="1" applyBorder="1" applyAlignment="1">
      <alignment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44" fontId="22" fillId="0" borderId="54" xfId="1" applyNumberFormat="1" applyFont="1" applyBorder="1" applyAlignment="1">
      <alignment horizontal="center" vertical="center"/>
    </xf>
    <xf numFmtId="166" fontId="6" fillId="3" borderId="55" xfId="1" applyNumberFormat="1" applyFont="1" applyFill="1" applyBorder="1" applyAlignment="1" applyProtection="1">
      <alignment horizontal="right" vertical="center" wrapText="1"/>
    </xf>
    <xf numFmtId="49" fontId="6" fillId="3" borderId="56" xfId="0" applyNumberFormat="1" applyFont="1" applyFill="1" applyBorder="1"/>
    <xf numFmtId="0" fontId="10" fillId="5" borderId="7" xfId="0" applyFont="1" applyFill="1" applyBorder="1" applyAlignment="1">
      <alignment horizontal="left"/>
    </xf>
    <xf numFmtId="49" fontId="6" fillId="0" borderId="54" xfId="0" applyNumberFormat="1" applyFont="1" applyFill="1" applyBorder="1" applyAlignment="1">
      <alignment vertical="center"/>
    </xf>
    <xf numFmtId="49" fontId="22" fillId="0" borderId="54" xfId="0" applyNumberFormat="1" applyFont="1" applyFill="1" applyBorder="1" applyAlignment="1">
      <alignment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44" fontId="22" fillId="0" borderId="54" xfId="1" applyNumberFormat="1" applyFont="1" applyFill="1" applyBorder="1" applyAlignment="1">
      <alignment horizontal="center" vertical="center"/>
    </xf>
    <xf numFmtId="0" fontId="6" fillId="0" borderId="0" xfId="0" applyFont="1" applyFill="1"/>
    <xf numFmtId="0" fontId="22" fillId="0" borderId="5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8" fillId="6" borderId="43" xfId="0" applyFont="1" applyFill="1" applyBorder="1" applyAlignment="1">
      <alignment horizontal="center" vertical="center" wrapText="1"/>
    </xf>
    <xf numFmtId="49" fontId="22" fillId="6" borderId="54" xfId="0" applyNumberFormat="1" applyFont="1" applyFill="1" applyBorder="1" applyAlignment="1">
      <alignment vertical="top" wrapText="1"/>
    </xf>
    <xf numFmtId="0" fontId="6" fillId="6" borderId="0" xfId="0" applyFont="1" applyFill="1"/>
    <xf numFmtId="0" fontId="6" fillId="6" borderId="4" xfId="0" applyFont="1" applyFill="1" applyBorder="1"/>
    <xf numFmtId="0" fontId="6" fillId="6" borderId="6" xfId="0" applyFont="1" applyFill="1" applyBorder="1"/>
    <xf numFmtId="0" fontId="6" fillId="6" borderId="6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9" xfId="0" applyFont="1" applyFill="1" applyBorder="1"/>
    <xf numFmtId="0" fontId="6" fillId="6" borderId="0" xfId="0" applyFont="1" applyFill="1" applyBorder="1"/>
    <xf numFmtId="0" fontId="6" fillId="6" borderId="4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wrapText="1" indent="1"/>
    </xf>
    <xf numFmtId="0" fontId="13" fillId="3" borderId="38" xfId="0" applyFont="1" applyFill="1" applyBorder="1" applyAlignment="1">
      <alignment horizontal="left" vertical="center" wrapText="1" indent="1"/>
    </xf>
    <xf numFmtId="167" fontId="13" fillId="3" borderId="38" xfId="0" applyNumberFormat="1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left" vertical="center" wrapText="1" indent="1"/>
    </xf>
    <xf numFmtId="0" fontId="13" fillId="3" borderId="44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left" vertical="center" wrapText="1" indent="1"/>
    </xf>
    <xf numFmtId="0" fontId="15" fillId="3" borderId="1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left" vertical="center"/>
    </xf>
    <xf numFmtId="49" fontId="16" fillId="3" borderId="45" xfId="0" applyNumberFormat="1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 indent="1"/>
    </xf>
    <xf numFmtId="0" fontId="14" fillId="3" borderId="15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 indent="1"/>
    </xf>
    <xf numFmtId="0" fontId="6" fillId="3" borderId="32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17" xfId="0" applyFont="1" applyFill="1" applyBorder="1" applyAlignment="1">
      <alignment vertical="center" wrapText="1"/>
    </xf>
    <xf numFmtId="0" fontId="17" fillId="3" borderId="46" xfId="0" applyFont="1" applyFill="1" applyBorder="1" applyAlignment="1">
      <alignment vertical="center" wrapText="1"/>
    </xf>
    <xf numFmtId="0" fontId="17" fillId="3" borderId="47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5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vertical="center"/>
    </xf>
    <xf numFmtId="0" fontId="7" fillId="3" borderId="40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7" fillId="3" borderId="2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center"/>
    </xf>
    <xf numFmtId="3" fontId="15" fillId="3" borderId="20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66"/>
  <sheetViews>
    <sheetView tabSelected="1" view="pageBreakPreview" topLeftCell="A43" zoomScale="85" zoomScaleNormal="85" zoomScaleSheetLayoutView="85" workbookViewId="0">
      <selection activeCell="C51" sqref="C51:E51"/>
    </sheetView>
  </sheetViews>
  <sheetFormatPr baseColWidth="10" defaultColWidth="11" defaultRowHeight="13.5"/>
  <cols>
    <col min="1" max="1" width="4.5703125" style="1" customWidth="1"/>
    <col min="2" max="2" width="17.140625" style="1" customWidth="1"/>
    <col min="3" max="3" width="21.28515625" style="1" customWidth="1"/>
    <col min="4" max="4" width="8.42578125" style="1" customWidth="1"/>
    <col min="5" max="5" width="94.28515625" style="79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>
      <c r="A4" s="108" t="s">
        <v>1</v>
      </c>
      <c r="B4" s="108"/>
      <c r="C4" s="109" t="s">
        <v>2</v>
      </c>
      <c r="D4" s="109"/>
      <c r="E4" s="109"/>
      <c r="F4" s="2"/>
      <c r="G4" s="6"/>
      <c r="H4" s="2"/>
    </row>
    <row r="5" spans="1:9" ht="18" customHeight="1">
      <c r="A5" s="108" t="s">
        <v>3</v>
      </c>
      <c r="B5" s="108"/>
      <c r="C5" s="109" t="s">
        <v>4</v>
      </c>
      <c r="D5" s="109"/>
      <c r="E5" s="109"/>
      <c r="F5" s="2"/>
      <c r="G5" s="6"/>
      <c r="H5" s="2"/>
    </row>
    <row r="6" spans="1:9" ht="16.5" customHeight="1">
      <c r="A6" s="108" t="s">
        <v>5</v>
      </c>
      <c r="B6" s="108"/>
      <c r="C6" s="7">
        <v>2022</v>
      </c>
      <c r="D6" s="8"/>
      <c r="E6" s="75"/>
      <c r="F6" s="2"/>
      <c r="G6" s="6"/>
      <c r="H6" s="2"/>
    </row>
    <row r="7" spans="1:9" ht="16.5" customHeight="1">
      <c r="A7" s="108" t="s">
        <v>6</v>
      </c>
      <c r="B7" s="108"/>
      <c r="C7" s="7">
        <v>2</v>
      </c>
      <c r="D7" s="8"/>
      <c r="E7" s="75"/>
      <c r="F7" s="2"/>
      <c r="G7" s="6"/>
      <c r="H7" s="2"/>
    </row>
    <row r="8" spans="1:9" ht="14.25" thickBot="1">
      <c r="B8" s="2"/>
      <c r="C8" s="6"/>
      <c r="D8" s="2"/>
      <c r="E8" s="76"/>
      <c r="F8" s="2"/>
      <c r="G8" s="6"/>
      <c r="H8" s="2"/>
    </row>
    <row r="9" spans="1:9" ht="39.75" thickTop="1" thickBot="1">
      <c r="A9" s="55" t="s">
        <v>7</v>
      </c>
      <c r="B9" s="57" t="s">
        <v>8</v>
      </c>
      <c r="C9" s="56" t="s">
        <v>9</v>
      </c>
      <c r="D9" s="3" t="s">
        <v>10</v>
      </c>
      <c r="E9" s="77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>
      <c r="A10" s="59">
        <v>1</v>
      </c>
      <c r="B10" s="60" t="s">
        <v>16</v>
      </c>
      <c r="C10" s="61" t="s">
        <v>17</v>
      </c>
      <c r="D10" s="62" t="s">
        <v>18</v>
      </c>
      <c r="E10" s="78" t="s">
        <v>19</v>
      </c>
      <c r="F10" s="62" t="s">
        <v>20</v>
      </c>
      <c r="G10" s="63">
        <v>350</v>
      </c>
      <c r="H10" s="64">
        <v>2301</v>
      </c>
      <c r="I10" s="65">
        <f>H10*G10</f>
        <v>805350</v>
      </c>
    </row>
    <row r="11" spans="1:9">
      <c r="A11" s="59">
        <v>2</v>
      </c>
      <c r="B11" s="60" t="s">
        <v>21</v>
      </c>
      <c r="C11" s="61" t="s">
        <v>17</v>
      </c>
      <c r="D11" s="62" t="s">
        <v>18</v>
      </c>
      <c r="E11" s="78" t="s">
        <v>22</v>
      </c>
      <c r="F11" s="62" t="s">
        <v>20</v>
      </c>
      <c r="G11" s="63">
        <v>350</v>
      </c>
      <c r="H11" s="64">
        <v>1344.2</v>
      </c>
      <c r="I11" s="65">
        <f t="shared" ref="I11:I23" si="0">H11*G11</f>
        <v>470470</v>
      </c>
    </row>
    <row r="12" spans="1:9">
      <c r="A12" s="59">
        <v>3</v>
      </c>
      <c r="B12" s="60" t="s">
        <v>23</v>
      </c>
      <c r="C12" s="61" t="s">
        <v>17</v>
      </c>
      <c r="D12" s="62" t="s">
        <v>18</v>
      </c>
      <c r="E12" s="78" t="s">
        <v>24</v>
      </c>
      <c r="F12" s="62" t="s">
        <v>20</v>
      </c>
      <c r="G12" s="63">
        <v>205</v>
      </c>
      <c r="H12" s="64">
        <v>1743.3</v>
      </c>
      <c r="I12" s="65">
        <f t="shared" si="0"/>
        <v>357376.5</v>
      </c>
    </row>
    <row r="13" spans="1:9">
      <c r="A13" s="59">
        <v>4</v>
      </c>
      <c r="B13" s="60" t="s">
        <v>25</v>
      </c>
      <c r="C13" s="61" t="s">
        <v>17</v>
      </c>
      <c r="D13" s="62" t="s">
        <v>18</v>
      </c>
      <c r="E13" s="78" t="s">
        <v>26</v>
      </c>
      <c r="F13" s="62" t="s">
        <v>20</v>
      </c>
      <c r="G13" s="63">
        <v>205</v>
      </c>
      <c r="H13" s="64">
        <v>1771.9</v>
      </c>
      <c r="I13" s="65">
        <f t="shared" si="0"/>
        <v>363239.5</v>
      </c>
    </row>
    <row r="14" spans="1:9">
      <c r="A14" s="59">
        <v>5</v>
      </c>
      <c r="B14" s="60" t="s">
        <v>27</v>
      </c>
      <c r="C14" s="61" t="s">
        <v>17</v>
      </c>
      <c r="D14" s="62" t="s">
        <v>18</v>
      </c>
      <c r="E14" s="78" t="s">
        <v>28</v>
      </c>
      <c r="F14" s="62" t="s">
        <v>20</v>
      </c>
      <c r="G14" s="63">
        <v>410</v>
      </c>
      <c r="H14" s="64">
        <v>838</v>
      </c>
      <c r="I14" s="65">
        <f t="shared" si="0"/>
        <v>343580</v>
      </c>
    </row>
    <row r="15" spans="1:9">
      <c r="A15" s="59">
        <v>6</v>
      </c>
      <c r="B15" s="60" t="s">
        <v>29</v>
      </c>
      <c r="C15" s="61" t="s">
        <v>17</v>
      </c>
      <c r="D15" s="62" t="s">
        <v>18</v>
      </c>
      <c r="E15" s="78" t="s">
        <v>30</v>
      </c>
      <c r="F15" s="62" t="s">
        <v>20</v>
      </c>
      <c r="G15" s="63">
        <v>115</v>
      </c>
      <c r="H15" s="64">
        <v>1489.8</v>
      </c>
      <c r="I15" s="65">
        <f t="shared" si="0"/>
        <v>171327</v>
      </c>
    </row>
    <row r="16" spans="1:9">
      <c r="A16" s="59">
        <v>7</v>
      </c>
      <c r="B16" s="60" t="s">
        <v>31</v>
      </c>
      <c r="C16" s="61" t="s">
        <v>17</v>
      </c>
      <c r="D16" s="62" t="s">
        <v>18</v>
      </c>
      <c r="E16" s="78" t="s">
        <v>32</v>
      </c>
      <c r="F16" s="62" t="s">
        <v>20</v>
      </c>
      <c r="G16" s="63">
        <v>50</v>
      </c>
      <c r="H16" s="64">
        <v>3248.7</v>
      </c>
      <c r="I16" s="65">
        <f t="shared" si="0"/>
        <v>162435</v>
      </c>
    </row>
    <row r="17" spans="1:10" ht="27">
      <c r="A17" s="59">
        <v>8</v>
      </c>
      <c r="B17" s="60" t="s">
        <v>33</v>
      </c>
      <c r="C17" s="61" t="s">
        <v>17</v>
      </c>
      <c r="D17" s="62" t="s">
        <v>18</v>
      </c>
      <c r="E17" s="78" t="s">
        <v>34</v>
      </c>
      <c r="F17" s="62" t="s">
        <v>20</v>
      </c>
      <c r="G17" s="63">
        <v>310</v>
      </c>
      <c r="H17" s="64">
        <v>1430</v>
      </c>
      <c r="I17" s="65">
        <f t="shared" si="0"/>
        <v>443300</v>
      </c>
    </row>
    <row r="18" spans="1:10">
      <c r="A18" s="59">
        <v>9</v>
      </c>
      <c r="B18" s="60" t="s">
        <v>35</v>
      </c>
      <c r="C18" s="61" t="s">
        <v>17</v>
      </c>
      <c r="D18" s="62" t="s">
        <v>18</v>
      </c>
      <c r="E18" s="78" t="s">
        <v>36</v>
      </c>
      <c r="F18" s="62" t="s">
        <v>20</v>
      </c>
      <c r="G18" s="63">
        <v>21</v>
      </c>
      <c r="H18" s="64">
        <v>1423.5</v>
      </c>
      <c r="I18" s="65">
        <f t="shared" si="0"/>
        <v>29893.5</v>
      </c>
    </row>
    <row r="19" spans="1:10">
      <c r="A19" s="59">
        <v>10</v>
      </c>
      <c r="B19" s="60" t="s">
        <v>37</v>
      </c>
      <c r="C19" s="61" t="s">
        <v>17</v>
      </c>
      <c r="D19" s="62" t="s">
        <v>18</v>
      </c>
      <c r="E19" s="78" t="s">
        <v>38</v>
      </c>
      <c r="F19" s="62" t="s">
        <v>20</v>
      </c>
      <c r="G19" s="63">
        <v>75</v>
      </c>
      <c r="H19" s="64">
        <v>3508.7</v>
      </c>
      <c r="I19" s="65">
        <f t="shared" si="0"/>
        <v>263152.5</v>
      </c>
    </row>
    <row r="20" spans="1:10">
      <c r="A20" s="59">
        <v>11</v>
      </c>
      <c r="B20" s="60" t="s">
        <v>37</v>
      </c>
      <c r="C20" s="61" t="s">
        <v>17</v>
      </c>
      <c r="D20" s="62" t="s">
        <v>18</v>
      </c>
      <c r="E20" s="78" t="s">
        <v>38</v>
      </c>
      <c r="F20" s="62" t="s">
        <v>20</v>
      </c>
      <c r="G20" s="63">
        <v>45</v>
      </c>
      <c r="H20" s="64">
        <v>3768.7</v>
      </c>
      <c r="I20" s="65">
        <f t="shared" si="0"/>
        <v>169591.5</v>
      </c>
    </row>
    <row r="21" spans="1:10" s="73" customFormat="1" ht="27">
      <c r="A21" s="74">
        <v>12</v>
      </c>
      <c r="B21" s="68" t="s">
        <v>39</v>
      </c>
      <c r="C21" s="69" t="s">
        <v>17</v>
      </c>
      <c r="D21" s="62" t="s">
        <v>18</v>
      </c>
      <c r="E21" s="78" t="s">
        <v>40</v>
      </c>
      <c r="F21" s="70" t="s">
        <v>20</v>
      </c>
      <c r="G21" s="71">
        <v>5</v>
      </c>
      <c r="H21" s="72">
        <v>5564</v>
      </c>
      <c r="I21" s="65">
        <f t="shared" si="0"/>
        <v>27820</v>
      </c>
      <c r="J21" s="1"/>
    </row>
    <row r="22" spans="1:10" s="73" customFormat="1">
      <c r="A22" s="74">
        <v>13</v>
      </c>
      <c r="B22" s="68" t="s">
        <v>41</v>
      </c>
      <c r="C22" s="69" t="s">
        <v>17</v>
      </c>
      <c r="D22" s="62" t="s">
        <v>18</v>
      </c>
      <c r="E22" s="78" t="s">
        <v>42</v>
      </c>
      <c r="F22" s="70" t="s">
        <v>20</v>
      </c>
      <c r="G22" s="71">
        <v>80</v>
      </c>
      <c r="H22" s="72">
        <v>3560.7</v>
      </c>
      <c r="I22" s="65">
        <f t="shared" si="0"/>
        <v>284856</v>
      </c>
      <c r="J22" s="1"/>
    </row>
    <row r="23" spans="1:10">
      <c r="A23" s="59">
        <v>14</v>
      </c>
      <c r="B23" s="68" t="s">
        <v>41</v>
      </c>
      <c r="C23" s="69" t="s">
        <v>17</v>
      </c>
      <c r="D23" s="62" t="s">
        <v>18</v>
      </c>
      <c r="E23" s="78" t="s">
        <v>42</v>
      </c>
      <c r="F23" s="70" t="s">
        <v>20</v>
      </c>
      <c r="G23" s="71">
        <v>30</v>
      </c>
      <c r="H23" s="72">
        <v>3560.7</v>
      </c>
      <c r="I23" s="65">
        <f t="shared" si="0"/>
        <v>106821</v>
      </c>
    </row>
    <row r="24" spans="1:10" ht="18.75" customHeight="1" thickBot="1">
      <c r="B24" s="58"/>
      <c r="I24" s="9">
        <f>SUM(I10:I23)</f>
        <v>3999212.5</v>
      </c>
    </row>
    <row r="25" spans="1:10">
      <c r="B25" s="40" t="s">
        <v>43</v>
      </c>
      <c r="C25" s="41"/>
      <c r="D25" s="41"/>
      <c r="E25" s="80"/>
    </row>
    <row r="26" spans="1:10">
      <c r="B26" s="93" t="s">
        <v>44</v>
      </c>
      <c r="C26" s="94"/>
      <c r="D26" s="42"/>
      <c r="E26" s="81"/>
    </row>
    <row r="27" spans="1:10" ht="39" customHeight="1">
      <c r="B27" s="88"/>
      <c r="C27" s="95" t="s">
        <v>45</v>
      </c>
      <c r="D27" s="95"/>
      <c r="E27" s="96"/>
    </row>
    <row r="28" spans="1:10" ht="14.25" customHeight="1">
      <c r="B28" s="93" t="s">
        <v>46</v>
      </c>
      <c r="C28" s="94"/>
      <c r="D28" s="42"/>
      <c r="E28" s="81"/>
    </row>
    <row r="29" spans="1:10" ht="39" customHeight="1">
      <c r="B29" s="88"/>
      <c r="C29" s="95" t="s">
        <v>47</v>
      </c>
      <c r="D29" s="95"/>
      <c r="E29" s="96"/>
    </row>
    <row r="30" spans="1:10" ht="14.25" customHeight="1">
      <c r="B30" s="93" t="s">
        <v>48</v>
      </c>
      <c r="C30" s="94"/>
      <c r="D30" s="42"/>
      <c r="E30" s="81"/>
    </row>
    <row r="31" spans="1:10" ht="39" customHeight="1">
      <c r="B31" s="88"/>
      <c r="C31" s="95" t="s">
        <v>49</v>
      </c>
      <c r="D31" s="95"/>
      <c r="E31" s="96"/>
    </row>
    <row r="32" spans="1:10" ht="14.25" customHeight="1">
      <c r="B32" s="93" t="s">
        <v>50</v>
      </c>
      <c r="C32" s="94"/>
      <c r="D32" s="42"/>
      <c r="E32" s="81"/>
    </row>
    <row r="33" spans="2:5" ht="39" customHeight="1">
      <c r="B33" s="88"/>
      <c r="C33" s="95" t="s">
        <v>51</v>
      </c>
      <c r="D33" s="95"/>
      <c r="E33" s="96"/>
    </row>
    <row r="34" spans="2:5" ht="14.25" customHeight="1">
      <c r="B34" s="93" t="s">
        <v>52</v>
      </c>
      <c r="C34" s="94"/>
      <c r="D34" s="42"/>
      <c r="E34" s="81"/>
    </row>
    <row r="35" spans="2:5" ht="39" customHeight="1">
      <c r="B35" s="88"/>
      <c r="C35" s="95" t="s">
        <v>53</v>
      </c>
      <c r="D35" s="95"/>
      <c r="E35" s="96"/>
    </row>
    <row r="36" spans="2:5" ht="14.25" customHeight="1">
      <c r="B36" s="93" t="s">
        <v>54</v>
      </c>
      <c r="C36" s="94"/>
      <c r="D36" s="42"/>
      <c r="E36" s="81"/>
    </row>
    <row r="37" spans="2:5" ht="39" customHeight="1">
      <c r="B37" s="88"/>
      <c r="C37" s="97" t="s">
        <v>55</v>
      </c>
      <c r="D37" s="97"/>
      <c r="E37" s="98"/>
    </row>
    <row r="38" spans="2:5" ht="14.25" customHeight="1">
      <c r="B38" s="93" t="s">
        <v>56</v>
      </c>
      <c r="C38" s="94"/>
      <c r="D38" s="42"/>
      <c r="E38" s="81"/>
    </row>
    <row r="39" spans="2:5" ht="39" customHeight="1">
      <c r="B39" s="88"/>
      <c r="C39" s="95" t="s">
        <v>57</v>
      </c>
      <c r="D39" s="95"/>
      <c r="E39" s="96"/>
    </row>
    <row r="40" spans="2:5" ht="14.25" customHeight="1">
      <c r="B40" s="93" t="s">
        <v>58</v>
      </c>
      <c r="C40" s="94"/>
      <c r="D40" s="42"/>
      <c r="E40" s="81"/>
    </row>
    <row r="41" spans="2:5" ht="39" customHeight="1">
      <c r="B41" s="88"/>
      <c r="C41" s="95" t="s">
        <v>59</v>
      </c>
      <c r="D41" s="95"/>
      <c r="E41" s="96"/>
    </row>
    <row r="42" spans="2:5" ht="14.25" customHeight="1">
      <c r="B42" s="93" t="s">
        <v>60</v>
      </c>
      <c r="C42" s="94"/>
      <c r="D42" s="42"/>
      <c r="E42" s="81"/>
    </row>
    <row r="43" spans="2:5" ht="39" customHeight="1">
      <c r="B43" s="88"/>
      <c r="C43" s="95" t="s">
        <v>61</v>
      </c>
      <c r="D43" s="95"/>
      <c r="E43" s="96"/>
    </row>
    <row r="44" spans="2:5" ht="14.25" customHeight="1">
      <c r="B44" s="93" t="s">
        <v>62</v>
      </c>
      <c r="C44" s="94"/>
      <c r="D44" s="42"/>
      <c r="E44" s="81"/>
    </row>
    <row r="45" spans="2:5" ht="39" customHeight="1">
      <c r="B45" s="88"/>
      <c r="C45" s="95" t="s">
        <v>63</v>
      </c>
      <c r="D45" s="95"/>
      <c r="E45" s="96"/>
    </row>
    <row r="46" spans="2:5" ht="14.25" customHeight="1">
      <c r="B46" s="93" t="s">
        <v>64</v>
      </c>
      <c r="C46" s="94"/>
      <c r="D46" s="42"/>
      <c r="E46" s="81"/>
    </row>
    <row r="47" spans="2:5" ht="39" customHeight="1">
      <c r="B47" s="88"/>
      <c r="C47" s="95" t="s">
        <v>65</v>
      </c>
      <c r="D47" s="95"/>
      <c r="E47" s="96"/>
    </row>
    <row r="48" spans="2:5" ht="14.25" customHeight="1">
      <c r="B48" s="93" t="s">
        <v>66</v>
      </c>
      <c r="C48" s="94"/>
      <c r="D48" s="42"/>
      <c r="E48" s="81"/>
    </row>
    <row r="49" spans="2:5" ht="39" customHeight="1">
      <c r="B49" s="88"/>
      <c r="C49" s="95" t="s">
        <v>67</v>
      </c>
      <c r="D49" s="95"/>
      <c r="E49" s="96"/>
    </row>
    <row r="50" spans="2:5" ht="14.25" customHeight="1">
      <c r="B50" s="93" t="s">
        <v>68</v>
      </c>
      <c r="C50" s="94"/>
      <c r="D50" s="42"/>
      <c r="E50" s="81"/>
    </row>
    <row r="51" spans="2:5" ht="39" customHeight="1" thickBot="1">
      <c r="B51" s="88"/>
      <c r="C51" s="91" t="s">
        <v>125</v>
      </c>
      <c r="D51" s="91"/>
      <c r="E51" s="92"/>
    </row>
    <row r="52" spans="2:5" ht="14.25" customHeight="1">
      <c r="B52" s="93" t="s">
        <v>69</v>
      </c>
      <c r="C52" s="94"/>
      <c r="D52" s="42"/>
      <c r="E52" s="81"/>
    </row>
    <row r="53" spans="2:5" ht="39" customHeight="1" thickBot="1">
      <c r="B53" s="67"/>
      <c r="C53" s="91" t="s">
        <v>70</v>
      </c>
      <c r="D53" s="91"/>
      <c r="E53" s="92"/>
    </row>
    <row r="54" spans="2:5" ht="14.25" customHeight="1" thickBot="1">
      <c r="B54" s="89"/>
      <c r="C54" s="90"/>
      <c r="D54" s="90"/>
      <c r="E54" s="82"/>
    </row>
    <row r="55" spans="2:5">
      <c r="B55" s="43" t="s">
        <v>71</v>
      </c>
      <c r="C55" s="44"/>
      <c r="D55" s="41"/>
      <c r="E55" s="83"/>
    </row>
    <row r="56" spans="2:5" ht="98.25" customHeight="1">
      <c r="B56" s="45"/>
      <c r="C56" s="99" t="s">
        <v>72</v>
      </c>
      <c r="D56" s="99"/>
      <c r="E56" s="100"/>
    </row>
    <row r="57" spans="2:5">
      <c r="B57" s="45"/>
      <c r="C57" s="101"/>
      <c r="D57" s="101"/>
      <c r="E57" s="102"/>
    </row>
    <row r="58" spans="2:5" ht="13.5" customHeight="1">
      <c r="B58" s="46" t="s">
        <v>73</v>
      </c>
      <c r="C58" s="47"/>
      <c r="D58" s="42"/>
      <c r="E58" s="84"/>
    </row>
    <row r="59" spans="2:5" ht="89.25" customHeight="1">
      <c r="B59" s="45"/>
      <c r="C59" s="99" t="s">
        <v>74</v>
      </c>
      <c r="D59" s="99"/>
      <c r="E59" s="100"/>
    </row>
    <row r="60" spans="2:5" ht="15.75" customHeight="1" thickBot="1">
      <c r="B60" s="48"/>
      <c r="C60" s="49"/>
      <c r="D60" s="49"/>
      <c r="E60" s="85"/>
    </row>
    <row r="61" spans="2:5" ht="14.25" thickBot="1">
      <c r="B61" s="42"/>
      <c r="C61" s="42"/>
      <c r="D61" s="42"/>
      <c r="E61" s="86"/>
    </row>
    <row r="62" spans="2:5" ht="13.5" customHeight="1">
      <c r="B62" s="43" t="s">
        <v>75</v>
      </c>
      <c r="C62" s="50"/>
      <c r="D62" s="50"/>
      <c r="E62" s="87"/>
    </row>
    <row r="63" spans="2:5">
      <c r="B63" s="51"/>
      <c r="C63" s="103" t="s">
        <v>76</v>
      </c>
      <c r="D63" s="103"/>
      <c r="E63" s="104"/>
    </row>
    <row r="64" spans="2:5" ht="13.5" customHeight="1">
      <c r="B64" s="52" t="s">
        <v>77</v>
      </c>
      <c r="C64" s="42"/>
      <c r="D64" s="42"/>
      <c r="E64" s="81"/>
    </row>
    <row r="65" spans="2:5">
      <c r="B65" s="53"/>
      <c r="C65" s="105" t="s">
        <v>78</v>
      </c>
      <c r="D65" s="105"/>
      <c r="E65" s="106"/>
    </row>
    <row r="66" spans="2:5" ht="14.25" customHeight="1" thickBot="1">
      <c r="B66" s="54"/>
      <c r="C66" s="49"/>
      <c r="D66" s="49"/>
      <c r="E66" s="85"/>
    </row>
  </sheetData>
  <mergeCells count="40">
    <mergeCell ref="B26:C26"/>
    <mergeCell ref="C27:E27"/>
    <mergeCell ref="B28:C28"/>
    <mergeCell ref="A6:B6"/>
    <mergeCell ref="A7:B7"/>
    <mergeCell ref="B2:H2"/>
    <mergeCell ref="A4:B4"/>
    <mergeCell ref="C4:E4"/>
    <mergeCell ref="A5:B5"/>
    <mergeCell ref="C5:E5"/>
    <mergeCell ref="C56:E56"/>
    <mergeCell ref="C57:E57"/>
    <mergeCell ref="C59:E59"/>
    <mergeCell ref="C63:E63"/>
    <mergeCell ref="C65:E65"/>
    <mergeCell ref="C29:E29"/>
    <mergeCell ref="B30:C30"/>
    <mergeCell ref="C31:E31"/>
    <mergeCell ref="B32:C32"/>
    <mergeCell ref="C33:E33"/>
    <mergeCell ref="C39:E39"/>
    <mergeCell ref="B46:C46"/>
    <mergeCell ref="C47:E47"/>
    <mergeCell ref="B48:C48"/>
    <mergeCell ref="C49:E49"/>
    <mergeCell ref="C45:E45"/>
    <mergeCell ref="B34:C34"/>
    <mergeCell ref="C35:E35"/>
    <mergeCell ref="B36:C36"/>
    <mergeCell ref="C37:E37"/>
    <mergeCell ref="B38:C38"/>
    <mergeCell ref="C51:E51"/>
    <mergeCell ref="B52:C52"/>
    <mergeCell ref="C53:E53"/>
    <mergeCell ref="B40:C40"/>
    <mergeCell ref="C41:E41"/>
    <mergeCell ref="B42:C42"/>
    <mergeCell ref="C43:E43"/>
    <mergeCell ref="B44:C44"/>
    <mergeCell ref="B50:C50"/>
  </mergeCells>
  <printOptions horizontalCentered="1" verticalCentered="1"/>
  <pageMargins left="0" right="0" top="0" bottom="0" header="0.51181102362204722" footer="0.51181102362204722"/>
  <pageSetup paperSize="9" scale="7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/>
  <cols>
    <col min="1" max="1" width="5.42578125" style="29" customWidth="1"/>
    <col min="2" max="2" width="12.28515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77.42578125" style="29" customWidth="1"/>
    <col min="8" max="8" width="8.42578125" style="29" customWidth="1"/>
    <col min="9" max="9" width="12" style="29" customWidth="1"/>
    <col min="10" max="10" width="11.42578125" style="29" customWidth="1"/>
    <col min="11" max="11" width="10.8554687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024" ht="18" customHeight="1">
      <c r="A1" s="125" t="s">
        <v>79</v>
      </c>
      <c r="B1" s="125"/>
      <c r="C1" s="125"/>
      <c r="D1" s="125"/>
      <c r="E1" s="125"/>
      <c r="F1" s="125"/>
      <c r="G1" s="125"/>
      <c r="H1" s="125"/>
      <c r="I1" s="125"/>
      <c r="J1" s="27" t="s">
        <v>80</v>
      </c>
      <c r="K1" s="28" t="s">
        <v>81</v>
      </c>
    </row>
    <row r="2" spans="1:1024" ht="18.75" customHeight="1" thickBot="1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>
      <c r="A3" s="126" t="s">
        <v>82</v>
      </c>
      <c r="B3" s="126"/>
      <c r="C3" s="126"/>
      <c r="D3" s="129" t="str">
        <f>'Necesidades Trimestrales'!C4</f>
        <v>90 - Ministerio de Seguridad</v>
      </c>
      <c r="E3" s="129"/>
      <c r="F3" s="129"/>
      <c r="G3" s="129"/>
      <c r="H3" s="129"/>
      <c r="I3" s="129"/>
      <c r="J3" s="129"/>
      <c r="K3" s="129"/>
    </row>
    <row r="4" spans="1:1024" ht="18.75" customHeight="1" thickBot="1">
      <c r="A4" s="128" t="s">
        <v>83</v>
      </c>
      <c r="B4" s="128"/>
      <c r="C4" s="128"/>
      <c r="D4" s="129" t="str">
        <f>'Necesidades Trimestrales'!C5</f>
        <v>7- Dirección Provincial de Administración de la Policía de la Provincia de Catamarca</v>
      </c>
      <c r="E4" s="129"/>
      <c r="F4" s="129"/>
      <c r="G4" s="129"/>
      <c r="H4" s="129"/>
      <c r="I4" s="129"/>
      <c r="J4" s="129"/>
      <c r="K4" s="129"/>
    </row>
    <row r="5" spans="1:1024" ht="18.75" customHeight="1" thickBot="1">
      <c r="A5" s="128" t="s">
        <v>84</v>
      </c>
      <c r="B5" s="128"/>
      <c r="C5" s="128"/>
      <c r="D5" s="129" t="s">
        <v>85</v>
      </c>
      <c r="E5" s="129"/>
      <c r="F5" s="129"/>
      <c r="G5" s="129"/>
      <c r="H5" s="129"/>
      <c r="I5" s="129"/>
      <c r="J5" s="129"/>
      <c r="K5" s="129"/>
    </row>
    <row r="6" spans="1:1024" ht="16.5" customHeight="1" thickBot="1">
      <c r="A6" s="126" t="s">
        <v>86</v>
      </c>
      <c r="B6" s="126"/>
      <c r="C6" s="126"/>
      <c r="D6" s="127" t="s">
        <v>87</v>
      </c>
      <c r="E6" s="113"/>
      <c r="F6" s="113"/>
      <c r="G6" s="113"/>
      <c r="H6" s="113"/>
      <c r="I6" s="113"/>
      <c r="J6" s="113"/>
      <c r="K6" s="114"/>
    </row>
    <row r="7" spans="1:1024" ht="16.5" customHeight="1" thickBot="1">
      <c r="A7" s="128" t="s">
        <v>88</v>
      </c>
      <c r="B7" s="128"/>
      <c r="C7" s="128"/>
      <c r="D7" s="129" t="s">
        <v>89</v>
      </c>
      <c r="E7" s="129"/>
      <c r="F7" s="129"/>
      <c r="G7" s="129"/>
      <c r="H7" s="129"/>
      <c r="I7" s="129"/>
      <c r="J7" s="129"/>
      <c r="K7" s="129"/>
    </row>
    <row r="8" spans="1:1024" ht="16.5" customHeight="1" thickBot="1">
      <c r="A8" s="121" t="s">
        <v>90</v>
      </c>
      <c r="B8" s="121"/>
      <c r="C8" s="121"/>
      <c r="D8" s="112" t="s">
        <v>91</v>
      </c>
      <c r="E8" s="113"/>
      <c r="F8" s="113"/>
      <c r="G8" s="113"/>
      <c r="H8" s="113"/>
      <c r="I8" s="113"/>
      <c r="J8" s="113"/>
      <c r="K8" s="114"/>
    </row>
    <row r="9" spans="1:1024" ht="18" thickBot="1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4.25" customHeight="1" thickBot="1">
      <c r="A10" s="115" t="s">
        <v>92</v>
      </c>
      <c r="B10" s="116" t="s">
        <v>93</v>
      </c>
      <c r="C10" s="117" t="s">
        <v>94</v>
      </c>
      <c r="D10" s="118"/>
      <c r="E10" s="118"/>
      <c r="F10" s="118"/>
      <c r="G10" s="119"/>
      <c r="H10" s="120" t="s">
        <v>95</v>
      </c>
      <c r="I10" s="118" t="s">
        <v>96</v>
      </c>
      <c r="J10" s="118" t="s">
        <v>97</v>
      </c>
      <c r="K10" s="119" t="s">
        <v>98</v>
      </c>
    </row>
    <row r="11" spans="1:1024" ht="14.25" customHeight="1" thickBot="1">
      <c r="A11" s="115"/>
      <c r="B11" s="116"/>
      <c r="C11" s="117"/>
      <c r="D11" s="118"/>
      <c r="E11" s="118"/>
      <c r="F11" s="118"/>
      <c r="G11" s="119"/>
      <c r="H11" s="120"/>
      <c r="I11" s="118"/>
      <c r="J11" s="118"/>
      <c r="K11" s="119"/>
    </row>
    <row r="12" spans="1:1024" ht="22.5" customHeight="1" thickBot="1">
      <c r="A12" s="34">
        <v>1</v>
      </c>
      <c r="B12" s="66" t="e">
        <f>'Necesidades Trimestrales'!#REF!</f>
        <v>#REF!</v>
      </c>
      <c r="C12" s="122" t="e">
        <f>'Necesidades Trimestrales'!#REF!</f>
        <v>#REF!</v>
      </c>
      <c r="D12" s="123"/>
      <c r="E12" s="123"/>
      <c r="F12" s="123"/>
      <c r="G12" s="124"/>
      <c r="H12" s="35" t="s">
        <v>99</v>
      </c>
      <c r="I12" s="36" t="e">
        <f>'Necesidades Trimestrales'!#REF!</f>
        <v>#REF!</v>
      </c>
      <c r="J12" s="37" t="e">
        <f>'Necesidades Trimestrales'!#REF!</f>
        <v>#REF!</v>
      </c>
      <c r="K12" s="38" t="e">
        <f>'Necesidades Trimestrales'!#REF!</f>
        <v>#REF!</v>
      </c>
    </row>
    <row r="13" spans="1:1024" ht="22.5" customHeight="1" thickBot="1">
      <c r="A13" s="34"/>
      <c r="B13" s="66" t="e">
        <f>'Necesidades Trimestrales'!#REF!</f>
        <v>#REF!</v>
      </c>
      <c r="C13" s="122" t="e">
        <f>'Necesidades Trimestrales'!#REF!</f>
        <v>#REF!</v>
      </c>
      <c r="D13" s="123"/>
      <c r="E13" s="123"/>
      <c r="F13" s="123"/>
      <c r="G13" s="124"/>
      <c r="H13" s="35" t="s">
        <v>99</v>
      </c>
      <c r="I13" s="36" t="e">
        <f>'Necesidades Trimestrales'!#REF!</f>
        <v>#REF!</v>
      </c>
      <c r="J13" s="37" t="e">
        <f>'Necesidades Trimestrales'!#REF!</f>
        <v>#REF!</v>
      </c>
      <c r="K13" s="38" t="e">
        <f>'Necesidades Trimestrales'!#REF!</f>
        <v>#REF!</v>
      </c>
    </row>
    <row r="14" spans="1:1024" ht="19.5" customHeight="1">
      <c r="A14" s="34">
        <v>3</v>
      </c>
      <c r="B14" s="66" t="e">
        <f>'Necesidades Trimestrales'!#REF!</f>
        <v>#REF!</v>
      </c>
      <c r="C14" s="122" t="e">
        <f>'Necesidades Trimestrales'!#REF!</f>
        <v>#REF!</v>
      </c>
      <c r="D14" s="123"/>
      <c r="E14" s="123"/>
      <c r="F14" s="123"/>
      <c r="G14" s="124"/>
      <c r="H14" s="35" t="s">
        <v>99</v>
      </c>
      <c r="I14" s="36" t="e">
        <f>'Necesidades Trimestrales'!#REF!</f>
        <v>#REF!</v>
      </c>
      <c r="J14" s="37" t="e">
        <f>'Necesidades Trimestrales'!#REF!</f>
        <v>#REF!</v>
      </c>
      <c r="K14" s="38" t="e">
        <f>'Necesidades Trimestrales'!#REF!</f>
        <v>#REF!</v>
      </c>
    </row>
    <row r="15" spans="1:1024" ht="15.75" thickBot="1">
      <c r="A15" s="110" t="s">
        <v>100</v>
      </c>
      <c r="B15" s="110"/>
      <c r="C15" s="110"/>
      <c r="D15" s="110"/>
      <c r="E15" s="110"/>
      <c r="F15" s="110"/>
      <c r="G15" s="110"/>
      <c r="H15" s="110"/>
      <c r="I15" s="110"/>
      <c r="J15" s="111">
        <f>'Necesidades Trimestrales'!I24</f>
        <v>3999212.5</v>
      </c>
      <c r="K15" s="1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J16" s="39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topLeftCell="A7" workbookViewId="0">
      <selection activeCell="O15" sqref="O15:P15"/>
    </sheetView>
  </sheetViews>
  <sheetFormatPr baseColWidth="10" defaultColWidth="11" defaultRowHeight="13.5"/>
  <cols>
    <col min="1" max="6" width="4.425781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58" t="s">
        <v>5</v>
      </c>
      <c r="B1" s="158"/>
      <c r="C1" s="158"/>
      <c r="D1" s="159">
        <f>'Necesidades Trimestrales'!C6</f>
        <v>2022</v>
      </c>
      <c r="E1" s="159"/>
      <c r="F1" s="10"/>
      <c r="G1" s="10"/>
      <c r="H1" s="11"/>
      <c r="I1" s="11"/>
      <c r="J1" s="11"/>
      <c r="K1" s="11"/>
      <c r="L1" s="11"/>
      <c r="M1" s="11"/>
      <c r="N1" s="11"/>
      <c r="P1" s="160" t="s">
        <v>101</v>
      </c>
      <c r="Q1" s="160"/>
    </row>
    <row r="2" spans="1:17" ht="15.75" customHeight="1">
      <c r="H2" s="11"/>
      <c r="I2" s="11"/>
      <c r="J2" s="11"/>
      <c r="K2" s="11"/>
      <c r="L2" s="11"/>
      <c r="M2" s="11"/>
      <c r="N2" s="11"/>
      <c r="P2" s="160"/>
      <c r="Q2" s="160"/>
    </row>
    <row r="4" spans="1:17" ht="18" customHeight="1" thickBot="1">
      <c r="A4" s="161" t="s">
        <v>102</v>
      </c>
      <c r="B4" s="161"/>
      <c r="C4" s="161"/>
      <c r="D4" s="161"/>
      <c r="E4" s="161"/>
      <c r="F4" s="161"/>
      <c r="G4" s="156" t="str">
        <f>' NotaPedido'!D3</f>
        <v>90 - Ministerio de Seguridad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ht="18" customHeight="1" thickBot="1">
      <c r="A5" s="153" t="s">
        <v>83</v>
      </c>
      <c r="B5" s="154"/>
      <c r="C5" s="154"/>
      <c r="D5" s="154"/>
      <c r="E5" s="154"/>
      <c r="F5" s="155"/>
      <c r="G5" s="156" t="str">
        <f>' NotaPedido'!D4</f>
        <v>7- Dirección Provincial de Administración de la Policía de la Provincia de Catamarca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ht="18" customHeight="1" thickBot="1">
      <c r="A6" s="153" t="s">
        <v>84</v>
      </c>
      <c r="B6" s="154"/>
      <c r="C6" s="154"/>
      <c r="D6" s="154"/>
      <c r="E6" s="154"/>
      <c r="F6" s="155"/>
      <c r="G6" s="156" t="str">
        <f>' NotaPedido'!D5</f>
        <v>Policía de la Provincia de Catamarca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ht="18" customHeight="1" thickBot="1">
      <c r="A7" s="153" t="s">
        <v>86</v>
      </c>
      <c r="B7" s="154"/>
      <c r="C7" s="154"/>
      <c r="D7" s="154"/>
      <c r="E7" s="154"/>
      <c r="F7" s="155"/>
      <c r="G7" s="156" t="str">
        <f>' NotaPedido'!D6</f>
        <v>División Intendencia, Departamento Logística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>
      <c r="A8" s="157" t="s">
        <v>103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>
      <c r="A9" s="147" t="s">
        <v>104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4"/>
      <c r="P9" s="4"/>
      <c r="Q9" s="12"/>
    </row>
    <row r="10" spans="1:17" ht="66.75" customHeight="1">
      <c r="A10" s="148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>
      <c r="A12" s="149" t="s">
        <v>105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>
      <c r="A13" s="150" t="s">
        <v>106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107</v>
      </c>
      <c r="P13" s="151"/>
      <c r="Q13" s="152" t="s">
        <v>108</v>
      </c>
    </row>
    <row r="14" spans="1:17" ht="15.75" customHeight="1" thickBot="1">
      <c r="A14" s="17" t="s">
        <v>109</v>
      </c>
      <c r="B14" s="18" t="s">
        <v>110</v>
      </c>
      <c r="C14" s="18" t="s">
        <v>111</v>
      </c>
      <c r="D14" s="18" t="s">
        <v>112</v>
      </c>
      <c r="E14" s="18" t="s">
        <v>113</v>
      </c>
      <c r="F14" s="18" t="s">
        <v>114</v>
      </c>
      <c r="G14" s="19" t="s">
        <v>115</v>
      </c>
      <c r="H14" s="18" t="s">
        <v>116</v>
      </c>
      <c r="I14" s="18" t="s">
        <v>117</v>
      </c>
      <c r="J14" s="18" t="s">
        <v>118</v>
      </c>
      <c r="K14" s="18" t="s">
        <v>118</v>
      </c>
      <c r="L14" s="18" t="s">
        <v>119</v>
      </c>
      <c r="M14" s="20" t="s">
        <v>120</v>
      </c>
      <c r="N14" s="21" t="s">
        <v>121</v>
      </c>
      <c r="O14" s="151"/>
      <c r="P14" s="151"/>
      <c r="Q14" s="152"/>
    </row>
    <row r="15" spans="1:17" ht="26.25" customHeight="1">
      <c r="A15" s="22">
        <v>16</v>
      </c>
      <c r="B15" s="23">
        <v>0</v>
      </c>
      <c r="C15" s="23">
        <v>0</v>
      </c>
      <c r="D15" s="23">
        <v>1</v>
      </c>
      <c r="E15" s="23">
        <v>0</v>
      </c>
      <c r="F15" s="23">
        <v>10</v>
      </c>
      <c r="G15" s="23">
        <v>2</v>
      </c>
      <c r="H15" s="23">
        <v>210</v>
      </c>
      <c r="I15" s="23">
        <v>2</v>
      </c>
      <c r="J15" s="23">
        <v>9</v>
      </c>
      <c r="K15" s="23">
        <v>1</v>
      </c>
      <c r="L15" s="23">
        <v>0</v>
      </c>
      <c r="M15" s="24">
        <v>1</v>
      </c>
      <c r="N15" s="23" t="s">
        <v>122</v>
      </c>
      <c r="O15" s="130" t="e">
        <f>'Necesidades Trimestrales'!#REF!</f>
        <v>#REF!</v>
      </c>
      <c r="P15" s="131"/>
      <c r="Q15" s="25">
        <f>' NotaPedido'!J15</f>
        <v>3999212.5</v>
      </c>
    </row>
    <row r="16" spans="1:17" ht="33" customHeight="1" thickBot="1">
      <c r="A16" s="143" t="s">
        <v>123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26">
        <f>Q15</f>
        <v>3999212.5</v>
      </c>
    </row>
    <row r="17" spans="1:17" ht="18" customHeight="1" thickBot="1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/>
    </row>
    <row r="18" spans="1:17" ht="17.25" customHeight="1" thickBot="1">
      <c r="A18" s="132" t="s">
        <v>124</v>
      </c>
      <c r="B18" s="133"/>
      <c r="C18" s="133"/>
      <c r="D18" s="133"/>
      <c r="E18" s="133"/>
      <c r="F18" s="134"/>
      <c r="G18" s="135"/>
      <c r="H18" s="136"/>
      <c r="I18" s="136"/>
      <c r="J18" s="136"/>
      <c r="K18" s="136"/>
      <c r="L18" s="136"/>
      <c r="M18" s="136"/>
      <c r="N18" s="136"/>
      <c r="O18" s="136"/>
      <c r="P18" s="136"/>
      <c r="Q18" s="136"/>
    </row>
    <row r="19" spans="1:17" ht="18" customHeight="1">
      <c r="A19" s="137" t="str">
        <f>' NotaPedido'!D8</f>
        <v>Adquisición de Uniformes de Fajina para el personal policial.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9"/>
    </row>
    <row r="20" spans="1:17" ht="15" customHeight="1" thickBot="1">
      <c r="A20" s="140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Policia</cp:lastModifiedBy>
  <cp:revision>2</cp:revision>
  <cp:lastPrinted>2022-04-21T13:13:45Z</cp:lastPrinted>
  <dcterms:created xsi:type="dcterms:W3CDTF">2020-07-17T23:44:49Z</dcterms:created>
  <dcterms:modified xsi:type="dcterms:W3CDTF">2022-04-29T12:31:50Z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