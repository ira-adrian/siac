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8CD64A83-9D6D-4235-85BD-AC9940A780C6}" xr6:coauthVersionLast="46" xr6:coauthVersionMax="46" xr10:uidLastSave="{00000000-0000-0000-0000-000000000000}"/>
  <bookViews>
    <workbookView xWindow="-120" yWindow="-120" windowWidth="29040" windowHeight="15840" xr2:uid="{8CDE16E9-E402-4B03-8576-DA3ED04A9778}"/>
  </bookViews>
  <sheets>
    <sheet name="H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</calcChain>
</file>

<file path=xl/sharedStrings.xml><?xml version="1.0" encoding="utf-8"?>
<sst xmlns="http://schemas.openxmlformats.org/spreadsheetml/2006/main" count="177" uniqueCount="75">
  <si>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</si>
  <si>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                                                                                                        A  los fines de garantizar la Atención  y  el Funcionamiento Integro de los servicio de Salud  que surgen originadas principalmente en las Urgencias,  en el rol de Servicio Esencial por la situación de Pandemia Covid-19.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</si>
  <si>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</si>
  <si>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</si>
  <si>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</si>
  <si>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>TUBO ENDOTRAQUEAL Nº 51/2 CON BALON</t>
  </si>
  <si>
    <t>PROD. MEDICO/ FARMACEUTICOS/LAB</t>
  </si>
  <si>
    <t>TUBO ENDOTRAQUEAL Nº 5 CON BALON</t>
  </si>
  <si>
    <t xml:space="preserve">TUBO ENDOTRAQUEAL Nº 41/2 CON BALON </t>
  </si>
  <si>
    <t>TUBO ENDOTRAQUEAL Nº 4 CON BALON</t>
  </si>
  <si>
    <t>TUBO ENDOTRAQUEAL CON BALON Nº 81/2</t>
  </si>
  <si>
    <t>TUBO ENDOTRAQUEAL CON BALON Nº 8</t>
  </si>
  <si>
    <t>TUBO ENDOTRAQUEAL CON BALON Nº 71/2</t>
  </si>
  <si>
    <t>TUBO ENDOTRAQUEAL CON BALON Nº 7</t>
  </si>
  <si>
    <t>TUBO ENDOTRAQUEAL CON BALON Nº 61/2</t>
  </si>
  <si>
    <t>TUBO ENDOTRAQUEAL CON BALON Nº 6</t>
  </si>
  <si>
    <t>TUBO ENDOTRAQUEAL CON BALON Nº 3.5</t>
  </si>
  <si>
    <t>TUBO ENDOTRAQUEAL CON BALON Nº 3</t>
  </si>
  <si>
    <t xml:space="preserve">TAPON INTERMITENTE </t>
  </si>
  <si>
    <t>SONDA PARA INTUBACION GASTRICA K11</t>
  </si>
  <si>
    <t>SONDA PARA INTUBACION GASTRICA K10</t>
  </si>
  <si>
    <t>SONDA PARA INTUBACION GASTRICA K 9</t>
  </si>
  <si>
    <t>SONDA PARA ASPIRACION MUCUS K31P CON REGULADOR</t>
  </si>
  <si>
    <t>SONDA PARA ASPIRACION MUCUS K30P CON REGULADOR</t>
  </si>
  <si>
    <t>SONDA PARA ASPIRACION MUCUS K29P CON REGULADOR</t>
  </si>
  <si>
    <t>SONDA NASOGASTRICA K 35</t>
  </si>
  <si>
    <t>SONDA NASOGASTRICA K 33</t>
  </si>
  <si>
    <t>SONDA NASOGASTRICA  K31</t>
  </si>
  <si>
    <t>SONDA NASOGASTRICA  K30</t>
  </si>
  <si>
    <t>SONDA FOLEY DOBLE VIA DE LATEX RECUBIERTA CON SILICONA Nº 18</t>
  </si>
  <si>
    <t>SONDA FOLEY DOBLE VIA DE LATEX RECUBIERTA CON SILICONA  Nº 16</t>
  </si>
  <si>
    <t>SONDA FOLEY DOBLE VIA DE LATEX RECUBIERTA CON SILICONA  Nº 14</t>
  </si>
  <si>
    <t>SET PARA NEBULIZAR COMPLETO ADULTO CON PIPETA+ MASCARA + TUBULADURA</t>
  </si>
  <si>
    <t>MASCARA CON BOLSA RESERVORIO</t>
  </si>
  <si>
    <t>LLAVE DE TRES VIAS</t>
  </si>
  <si>
    <t>EQUIPO PARA ADMINISTRACION DE SOLUCIONES MICROGOTERO TIPO V-17 CON ROLLER</t>
  </si>
  <si>
    <t>EQUIPO PARA ADMINISTRACION DE SOLUCIONES  MACROGOTERO TIPO V-14 CON ROLLER</t>
  </si>
  <si>
    <t>EQ.P/ADM.SOL.FOTOSENCIBLES C/MACRO</t>
  </si>
  <si>
    <t>EQ.P/ADM.SANGRE O PLASMA V-18-20 (T/PERFUS Nº4)</t>
  </si>
  <si>
    <t>EQ.P/ADM.FRACC.SANG.C/MACRO Y FIL.V-104 T/VERSASET</t>
  </si>
  <si>
    <t>CATETER INTRAVENOSO Nº 24 TIPO HOSPIRA/BD</t>
  </si>
  <si>
    <t>CATETER INTRAVENOSO Nº 22 TIPO HOSPIRA/BD</t>
  </si>
  <si>
    <t>CATETER INTRAVENOSO Nº 20 TIPO HOSPIRA/BD</t>
  </si>
  <si>
    <t>CATETER INTRAVENOSO Nº 18 TIPO HOSPIRA/BD</t>
  </si>
  <si>
    <t>CATETER INTRAVENOSO Nº 16 TIPO HOSPIRA/BD</t>
  </si>
  <si>
    <t>CATETER INTRAVENOSO Nº 14 TIPO HOSPIRA/BD</t>
  </si>
  <si>
    <t>CANULA NASAL PARA OXIGENOTERAPIA PEDIATRICO</t>
  </si>
  <si>
    <t>CANULA NASAL PARA OXIGENOTERAPIA NEONATAL</t>
  </si>
  <si>
    <t>CANULA NASAL PARA OXIGENOTERAPIA ADULTO</t>
  </si>
  <si>
    <t>BUTERFLY Nº 25</t>
  </si>
  <si>
    <t>BUTERFLY Nº 23</t>
  </si>
  <si>
    <t>BUTERFLY Nº 21</t>
  </si>
  <si>
    <t>BUTERFLY Nº 19</t>
  </si>
  <si>
    <t>BUTERFLY N 27</t>
  </si>
  <si>
    <t>BOLSA COLECTORA DE ORINA x 2000 ml</t>
  </si>
  <si>
    <t>APOSITO ADHESIVO TRANSPARENTE 6 X 7 TIPO TEGADERM</t>
  </si>
  <si>
    <t>APOSITO ADHESIVO TRANSPARENTE 10 X 12 TIPO TEGADERM</t>
  </si>
  <si>
    <t xml:space="preserve">AEROCAMARA C/ MASCARA PEDIATRICA  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</si>
  <si>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</si>
  <si>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</si>
  <si>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</si>
  <si>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</si>
  <si>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</si>
  <si>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</si>
  <si>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</si>
  <si>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</si>
  <si>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</si>
  <si>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</si>
  <si>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</si>
  <si>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 xml:space="preserve"> 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</si>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</sst>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  <numFmt numFmtId="166" formatCode="&quot;$&quot;#,##0.00;\-&quot;$&quot;#,##0.00"/>
    <numFmt numFmtId="167" formatCode="[$$-2C0A]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42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4" xfId="0" applyFont="1" applyBorder="1"/>
    <xf numFmtId="0" fontId="2" fillId="2" borderId="5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1" xfId="2" applyFont="1" applyFill="1" applyBorder="1" applyAlignment="1">
      <alignment horizontal="left" wrapText="1"/>
    </xf>
    <xf numFmtId="165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 applyAlignment="1">
      <alignment horizontal="left" indent="3"/>
    </xf>
    <xf numFmtId="165" fontId="3" fillId="2" borderId="9" xfId="1" applyNumberFormat="1" applyFont="1" applyFill="1" applyBorder="1" applyAlignment="1" applyProtection="1">
      <alignment horizontal="right" vertical="center" wrapText="1"/>
    </xf>
    <xf numFmtId="166" fontId="0" fillId="0" borderId="10" xfId="1" applyNumberFormat="1" applyFont="1" applyFill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0" fillId="0" borderId="10" xfId="0" applyBorder="1"/>
    <xf numFmtId="0" fontId="3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165" fontId="3" fillId="2" borderId="13" xfId="1" applyNumberFormat="1" applyFont="1" applyFill="1" applyBorder="1" applyAlignment="1" applyProtection="1">
      <alignment horizontal="right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0" fillId="0" borderId="14" xfId="0" applyBorder="1"/>
    <xf numFmtId="0" fontId="3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167" fontId="2" fillId="0" borderId="0" xfId="0" applyNumberFormat="1" applyFont="1"/>
    <xf numFmtId="164" fontId="6" fillId="0" borderId="0" xfId="0" applyNumberFormat="1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7" fillId="3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 indent="1"/>
    </xf>
    <xf numFmtId="0" fontId="11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wrapText="1" indent="1"/>
    </xf>
    <xf numFmtId="0" fontId="12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 3" xfId="2" xr:uid="{31E4F1EF-5510-4E31-A706-948000769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0705-F032-40D8-ACEE-C56201C99D7D}">
  <dimension ref="A1:J69"/>
  <sheetViews>
    <sheetView tabSelected="1" topLeftCell="A42" zoomScale="78" zoomScaleNormal="78" workbookViewId="0">
      <selection activeCell="C21" sqref="C21"/>
    </sheetView>
  </sheetViews>
  <sheetFormatPr baseColWidth="10" defaultRowHeight="15" x14ac:dyDescent="0.25"/>
  <cols>
    <col min="1" max="1" width="6.42578125" customWidth="1"/>
    <col min="2" max="2" width="15" customWidth="1"/>
    <col min="3" max="3" width="28.42578125" customWidth="1"/>
    <col min="4" max="4" width="8.42578125" customWidth="1"/>
    <col min="5" max="5" width="116.28515625" customWidth="1"/>
    <col min="7" max="7" width="10.42578125" bestFit="1" customWidth="1"/>
    <col min="8" max="8" width="13.85546875" customWidth="1"/>
    <col min="9" max="9" width="18.5703125" customWidth="1"/>
    <col min="11" max="11" width="14.57031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2"/>
      <c r="I1" s="1"/>
      <c r="J1" s="1"/>
    </row>
    <row r="2" spans="1:10" ht="27" x14ac:dyDescent="0.35">
      <c r="A2" s="1"/>
      <c r="B2" s="41" t="s">
        <v>74</v>
      </c>
      <c r="C2" s="41"/>
      <c r="D2" s="41"/>
      <c r="E2" s="41"/>
      <c r="F2" s="41"/>
      <c r="G2" s="41"/>
      <c r="H2" s="4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2"/>
      <c r="I3" s="1"/>
      <c r="J3" s="1"/>
    </row>
    <row r="4" spans="1:10" ht="15.75" customHeight="1" x14ac:dyDescent="0.25">
      <c r="A4" s="39" t="s">
        <v>73</v>
      </c>
      <c r="B4" s="39"/>
      <c r="C4" s="40" t="s">
        <v>72</v>
      </c>
      <c r="D4" s="40"/>
      <c r="E4" s="40"/>
      <c r="F4" s="36"/>
      <c r="G4" s="35"/>
      <c r="H4" s="34"/>
      <c r="I4" s="1"/>
      <c r="J4" s="1"/>
    </row>
    <row r="5" spans="1:10" ht="15.75" customHeight="1" x14ac:dyDescent="0.25">
      <c r="A5" s="39" t="s">
        <v>71</v>
      </c>
      <c r="B5" s="39"/>
      <c r="C5" s="40" t="s">
        <v>70</v>
      </c>
      <c r="D5" s="40"/>
      <c r="E5" s="40"/>
      <c r="F5" s="36"/>
      <c r="G5" s="35" t="s">
        <v>69</v>
      </c>
      <c r="H5" s="34"/>
      <c r="I5" s="1"/>
      <c r="J5" s="1"/>
    </row>
    <row r="6" spans="1:10" ht="15.75" customHeight="1" x14ac:dyDescent="0.25">
      <c r="A6" s="39" t="s">
        <v>68</v>
      </c>
      <c r="B6" s="39"/>
      <c r="C6" s="38">
        <v>2021</v>
      </c>
      <c r="D6" s="37"/>
      <c r="E6" s="37"/>
      <c r="F6" s="36"/>
      <c r="G6" s="35"/>
      <c r="H6" s="34"/>
      <c r="I6" s="1"/>
      <c r="J6" s="1"/>
    </row>
    <row r="7" spans="1:10" ht="15.75" customHeight="1" x14ac:dyDescent="0.25">
      <c r="A7" s="39" t="s">
        <v>67</v>
      </c>
      <c r="B7" s="39"/>
      <c r="C7" s="38">
        <v>2</v>
      </c>
      <c r="D7" s="37"/>
      <c r="E7" s="37"/>
      <c r="F7" s="36"/>
      <c r="G7" s="35"/>
      <c r="H7" s="34"/>
      <c r="I7" s="1"/>
      <c r="J7" s="1"/>
    </row>
    <row r="8" spans="1:10" ht="15.75" thickBot="1" x14ac:dyDescent="0.3">
      <c r="A8" s="1"/>
      <c r="B8" s="36"/>
      <c r="C8" s="35"/>
      <c r="D8" s="36"/>
      <c r="E8" s="36"/>
      <c r="F8" s="36"/>
      <c r="G8" s="35"/>
      <c r="H8" s="34"/>
      <c r="I8" s="1"/>
      <c r="J8" s="33"/>
    </row>
    <row r="9" spans="1:10" ht="36.75" thickBot="1" x14ac:dyDescent="0.3">
      <c r="A9" s="31" t="s">
        <v>66</v>
      </c>
      <c r="B9" s="31" t="s">
        <v>65</v>
      </c>
      <c r="C9" s="31" t="s">
        <v>64</v>
      </c>
      <c r="D9" s="31" t="s">
        <v>63</v>
      </c>
      <c r="E9" s="31" t="s">
        <v>62</v>
      </c>
      <c r="F9" s="31" t="s">
        <v>61</v>
      </c>
      <c r="G9" s="31" t="s">
        <v>60</v>
      </c>
      <c r="H9" s="32" t="s">
        <v>59</v>
      </c>
      <c r="I9" s="31" t="s">
        <v>58</v>
      </c>
      <c r="J9" s="1"/>
    </row>
    <row r="10" spans="1:10" ht="26.25" x14ac:dyDescent="0.25">
      <c r="A10" s="30">
        <v>1</v>
      </c>
      <c r="B10" s="29"/>
      <c r="C10" s="28" t="s">
        <v>6</v>
      </c>
      <c r="D10" s="27">
        <v>295</v>
      </c>
      <c r="E10" s="18" t="s">
        <v>57</v>
      </c>
      <c r="F10" s="17" t="s">
        <v>4</v>
      </c>
      <c r="G10" s="16">
        <v>2000</v>
      </c>
      <c r="H10" s="15">
        <v>230</v>
      </c>
      <c r="I10" s="26">
        <f>+G10*H10</f>
        <v>460000</v>
      </c>
      <c r="J10" s="1"/>
    </row>
    <row r="11" spans="1:10" ht="27" thickBot="1" x14ac:dyDescent="0.3">
      <c r="A11" s="22">
        <v>2</v>
      </c>
      <c r="B11" s="21"/>
      <c r="C11" s="20" t="s">
        <v>6</v>
      </c>
      <c r="D11" s="19">
        <v>295</v>
      </c>
      <c r="E11" s="18" t="s">
        <v>56</v>
      </c>
      <c r="F11" s="17" t="s">
        <v>4</v>
      </c>
      <c r="G11" s="16">
        <v>12000</v>
      </c>
      <c r="H11" s="15">
        <v>54</v>
      </c>
      <c r="I11" s="14">
        <f>+G11*H11</f>
        <v>648000</v>
      </c>
      <c r="J11" s="1"/>
    </row>
    <row r="12" spans="1:10" ht="26.25" x14ac:dyDescent="0.25">
      <c r="A12" s="30">
        <v>3</v>
      </c>
      <c r="B12" s="21"/>
      <c r="C12" s="20" t="s">
        <v>6</v>
      </c>
      <c r="D12" s="19">
        <v>295</v>
      </c>
      <c r="E12" s="18" t="s">
        <v>55</v>
      </c>
      <c r="F12" s="17" t="s">
        <v>4</v>
      </c>
      <c r="G12" s="16">
        <v>12000</v>
      </c>
      <c r="H12" s="15">
        <v>41</v>
      </c>
      <c r="I12" s="14">
        <f>+G12*H12</f>
        <v>492000</v>
      </c>
      <c r="J12" s="1"/>
    </row>
    <row r="13" spans="1:10" ht="27" thickBot="1" x14ac:dyDescent="0.3">
      <c r="A13" s="22">
        <v>4</v>
      </c>
      <c r="B13" s="21"/>
      <c r="C13" s="20" t="s">
        <v>6</v>
      </c>
      <c r="D13" s="19">
        <v>295</v>
      </c>
      <c r="E13" s="18" t="s">
        <v>54</v>
      </c>
      <c r="F13" s="17" t="s">
        <v>4</v>
      </c>
      <c r="G13" s="16">
        <v>200</v>
      </c>
      <c r="H13" s="15">
        <v>150</v>
      </c>
      <c r="I13" s="14">
        <f>+G13*H13</f>
        <v>30000</v>
      </c>
      <c r="J13" s="1"/>
    </row>
    <row r="14" spans="1:10" ht="26.25" x14ac:dyDescent="0.25">
      <c r="A14" s="30">
        <v>5</v>
      </c>
      <c r="B14" s="21"/>
      <c r="C14" s="20" t="s">
        <v>6</v>
      </c>
      <c r="D14" s="19">
        <v>295</v>
      </c>
      <c r="E14" s="18" t="s">
        <v>53</v>
      </c>
      <c r="F14" s="17" t="s">
        <v>4</v>
      </c>
      <c r="G14" s="16">
        <v>300</v>
      </c>
      <c r="H14" s="15">
        <v>14.5</v>
      </c>
      <c r="I14" s="14">
        <f>+G14*H14</f>
        <v>4350</v>
      </c>
      <c r="J14" s="1"/>
    </row>
    <row r="15" spans="1:10" ht="27" thickBot="1" x14ac:dyDescent="0.3">
      <c r="A15" s="22">
        <v>6</v>
      </c>
      <c r="B15" s="21"/>
      <c r="C15" s="20" t="s">
        <v>6</v>
      </c>
      <c r="D15" s="19">
        <v>295</v>
      </c>
      <c r="E15" s="18" t="s">
        <v>52</v>
      </c>
      <c r="F15" s="17" t="s">
        <v>4</v>
      </c>
      <c r="G15" s="16">
        <v>300</v>
      </c>
      <c r="H15" s="15">
        <v>14.5</v>
      </c>
      <c r="I15" s="14">
        <f>+G15*H15</f>
        <v>4350</v>
      </c>
      <c r="J15" s="1"/>
    </row>
    <row r="16" spans="1:10" ht="26.25" x14ac:dyDescent="0.25">
      <c r="A16" s="30">
        <v>7</v>
      </c>
      <c r="B16" s="21"/>
      <c r="C16" s="20" t="s">
        <v>6</v>
      </c>
      <c r="D16" s="19">
        <v>295</v>
      </c>
      <c r="E16" s="18" t="s">
        <v>51</v>
      </c>
      <c r="F16" s="17" t="s">
        <v>4</v>
      </c>
      <c r="G16" s="16">
        <v>300</v>
      </c>
      <c r="H16" s="15">
        <v>14.5</v>
      </c>
      <c r="I16" s="14">
        <f>+G16*H16</f>
        <v>4350</v>
      </c>
      <c r="J16" s="1"/>
    </row>
    <row r="17" spans="1:10" ht="27" thickBot="1" x14ac:dyDescent="0.3">
      <c r="A17" s="22">
        <v>8</v>
      </c>
      <c r="B17" s="21"/>
      <c r="C17" s="20" t="s">
        <v>6</v>
      </c>
      <c r="D17" s="19">
        <v>295</v>
      </c>
      <c r="E17" s="18" t="s">
        <v>50</v>
      </c>
      <c r="F17" s="17" t="s">
        <v>4</v>
      </c>
      <c r="G17" s="16">
        <v>1000</v>
      </c>
      <c r="H17" s="15">
        <v>14.5</v>
      </c>
      <c r="I17" s="14">
        <f>+G17*H17</f>
        <v>14500</v>
      </c>
      <c r="J17" s="1"/>
    </row>
    <row r="18" spans="1:10" ht="26.25" x14ac:dyDescent="0.25">
      <c r="A18" s="30">
        <v>9</v>
      </c>
      <c r="B18" s="21"/>
      <c r="C18" s="20" t="s">
        <v>6</v>
      </c>
      <c r="D18" s="19">
        <v>295</v>
      </c>
      <c r="E18" s="18" t="s">
        <v>49</v>
      </c>
      <c r="F18" s="17" t="s">
        <v>4</v>
      </c>
      <c r="G18" s="16">
        <v>1000</v>
      </c>
      <c r="H18" s="15">
        <v>14.5</v>
      </c>
      <c r="I18" s="14">
        <f>+G18*H18</f>
        <v>14500</v>
      </c>
      <c r="J18" s="1"/>
    </row>
    <row r="19" spans="1:10" ht="27" thickBot="1" x14ac:dyDescent="0.3">
      <c r="A19" s="22">
        <v>10</v>
      </c>
      <c r="B19" s="21"/>
      <c r="C19" s="20" t="s">
        <v>6</v>
      </c>
      <c r="D19" s="19">
        <v>295</v>
      </c>
      <c r="E19" s="18" t="s">
        <v>48</v>
      </c>
      <c r="F19" s="17" t="s">
        <v>4</v>
      </c>
      <c r="G19" s="16">
        <v>1000</v>
      </c>
      <c r="H19" s="15">
        <v>90.5</v>
      </c>
      <c r="I19" s="14">
        <f>+G19*H19</f>
        <v>90500</v>
      </c>
      <c r="J19" s="1"/>
    </row>
    <row r="20" spans="1:10" ht="26.25" x14ac:dyDescent="0.25">
      <c r="A20" s="30">
        <v>11</v>
      </c>
      <c r="B20" s="21"/>
      <c r="C20" s="20" t="s">
        <v>6</v>
      </c>
      <c r="D20" s="19">
        <v>295</v>
      </c>
      <c r="E20" s="18" t="s">
        <v>47</v>
      </c>
      <c r="F20" s="17" t="s">
        <v>4</v>
      </c>
      <c r="G20" s="16">
        <v>2500</v>
      </c>
      <c r="H20" s="15">
        <v>108</v>
      </c>
      <c r="I20" s="14">
        <f>+G20*H20</f>
        <v>270000</v>
      </c>
      <c r="J20" s="1"/>
    </row>
    <row r="21" spans="1:10" ht="27" thickBot="1" x14ac:dyDescent="0.3">
      <c r="A21" s="22">
        <v>12</v>
      </c>
      <c r="B21" s="21"/>
      <c r="C21" s="20" t="s">
        <v>6</v>
      </c>
      <c r="D21" s="19">
        <v>295</v>
      </c>
      <c r="E21" s="18" t="s">
        <v>46</v>
      </c>
      <c r="F21" s="17" t="s">
        <v>4</v>
      </c>
      <c r="G21" s="16">
        <v>2000</v>
      </c>
      <c r="H21" s="15">
        <v>147.5</v>
      </c>
      <c r="I21" s="14">
        <f>+G21*H21</f>
        <v>295000</v>
      </c>
      <c r="J21" s="1"/>
    </row>
    <row r="22" spans="1:10" ht="26.25" x14ac:dyDescent="0.25">
      <c r="A22" s="30">
        <v>13</v>
      </c>
      <c r="B22" s="21"/>
      <c r="C22" s="20" t="s">
        <v>6</v>
      </c>
      <c r="D22" s="19">
        <v>295</v>
      </c>
      <c r="E22" s="18" t="s">
        <v>45</v>
      </c>
      <c r="F22" s="17" t="s">
        <v>4</v>
      </c>
      <c r="G22" s="16">
        <v>1000</v>
      </c>
      <c r="H22" s="15">
        <v>58</v>
      </c>
      <c r="I22" s="14">
        <f>+G22*H22</f>
        <v>58000</v>
      </c>
      <c r="J22" s="1"/>
    </row>
    <row r="23" spans="1:10" ht="27" thickBot="1" x14ac:dyDescent="0.3">
      <c r="A23" s="22">
        <v>14</v>
      </c>
      <c r="B23" s="21"/>
      <c r="C23" s="20" t="s">
        <v>6</v>
      </c>
      <c r="D23" s="19">
        <v>295</v>
      </c>
      <c r="E23" s="18" t="s">
        <v>44</v>
      </c>
      <c r="F23" s="17" t="s">
        <v>4</v>
      </c>
      <c r="G23" s="16">
        <v>1000</v>
      </c>
      <c r="H23" s="15">
        <v>58</v>
      </c>
      <c r="I23" s="14">
        <f>+G23*H23</f>
        <v>58000</v>
      </c>
      <c r="J23" s="1"/>
    </row>
    <row r="24" spans="1:10" ht="26.25" x14ac:dyDescent="0.25">
      <c r="A24" s="30">
        <v>15</v>
      </c>
      <c r="B24" s="21"/>
      <c r="C24" s="20" t="s">
        <v>6</v>
      </c>
      <c r="D24" s="19">
        <v>295</v>
      </c>
      <c r="E24" s="18" t="s">
        <v>43</v>
      </c>
      <c r="F24" s="17" t="s">
        <v>4</v>
      </c>
      <c r="G24" s="16">
        <v>1000</v>
      </c>
      <c r="H24" s="15">
        <v>58</v>
      </c>
      <c r="I24" s="14">
        <f>+G24*H24</f>
        <v>58000</v>
      </c>
      <c r="J24" s="1"/>
    </row>
    <row r="25" spans="1:10" ht="27" thickBot="1" x14ac:dyDescent="0.3">
      <c r="A25" s="22">
        <v>16</v>
      </c>
      <c r="B25" s="21"/>
      <c r="C25" s="20" t="s">
        <v>6</v>
      </c>
      <c r="D25" s="19">
        <v>295</v>
      </c>
      <c r="E25" s="18" t="s">
        <v>42</v>
      </c>
      <c r="F25" s="17" t="s">
        <v>4</v>
      </c>
      <c r="G25" s="16">
        <v>20000</v>
      </c>
      <c r="H25" s="15">
        <v>58</v>
      </c>
      <c r="I25" s="14">
        <f>+G25*H25</f>
        <v>1160000</v>
      </c>
      <c r="J25" s="1"/>
    </row>
    <row r="26" spans="1:10" ht="26.25" x14ac:dyDescent="0.25">
      <c r="A26" s="30">
        <v>17</v>
      </c>
      <c r="B26" s="21"/>
      <c r="C26" s="20" t="s">
        <v>6</v>
      </c>
      <c r="D26" s="19">
        <v>295</v>
      </c>
      <c r="E26" s="18" t="s">
        <v>41</v>
      </c>
      <c r="F26" s="17" t="s">
        <v>4</v>
      </c>
      <c r="G26" s="16">
        <v>20000</v>
      </c>
      <c r="H26" s="15">
        <v>58</v>
      </c>
      <c r="I26" s="14">
        <f>+G26*H26</f>
        <v>1160000</v>
      </c>
      <c r="J26" s="1"/>
    </row>
    <row r="27" spans="1:10" ht="27" thickBot="1" x14ac:dyDescent="0.3">
      <c r="A27" s="22">
        <v>18</v>
      </c>
      <c r="B27" s="21"/>
      <c r="C27" s="20" t="s">
        <v>6</v>
      </c>
      <c r="D27" s="19">
        <v>295</v>
      </c>
      <c r="E27" s="18" t="s">
        <v>40</v>
      </c>
      <c r="F27" s="17" t="s">
        <v>4</v>
      </c>
      <c r="G27" s="16">
        <v>20000</v>
      </c>
      <c r="H27" s="15">
        <v>58</v>
      </c>
      <c r="I27" s="14">
        <f>+G27*H27</f>
        <v>1160000</v>
      </c>
      <c r="J27" s="1"/>
    </row>
    <row r="28" spans="1:10" ht="26.25" x14ac:dyDescent="0.25">
      <c r="A28" s="30">
        <v>19</v>
      </c>
      <c r="B28" s="21"/>
      <c r="C28" s="20" t="s">
        <v>6</v>
      </c>
      <c r="D28" s="19">
        <v>295</v>
      </c>
      <c r="E28" s="18" t="s">
        <v>39</v>
      </c>
      <c r="F28" s="17" t="s">
        <v>4</v>
      </c>
      <c r="G28" s="16">
        <v>250</v>
      </c>
      <c r="H28" s="15">
        <v>594</v>
      </c>
      <c r="I28" s="14">
        <f>+G28*H28</f>
        <v>148500</v>
      </c>
      <c r="J28" s="1"/>
    </row>
    <row r="29" spans="1:10" ht="27" thickBot="1" x14ac:dyDescent="0.3">
      <c r="A29" s="22">
        <v>20</v>
      </c>
      <c r="B29" s="21"/>
      <c r="C29" s="20" t="s">
        <v>6</v>
      </c>
      <c r="D29" s="19">
        <v>295</v>
      </c>
      <c r="E29" s="18" t="s">
        <v>38</v>
      </c>
      <c r="F29" s="17" t="s">
        <v>4</v>
      </c>
      <c r="G29" s="16">
        <v>600</v>
      </c>
      <c r="H29" s="15">
        <v>315</v>
      </c>
      <c r="I29" s="14">
        <f>+G29*H29</f>
        <v>189000</v>
      </c>
      <c r="J29" s="1"/>
    </row>
    <row r="30" spans="1:10" ht="26.25" x14ac:dyDescent="0.25">
      <c r="A30" s="30">
        <v>21</v>
      </c>
      <c r="B30" s="21"/>
      <c r="C30" s="20" t="s">
        <v>6</v>
      </c>
      <c r="D30" s="19">
        <v>295</v>
      </c>
      <c r="E30" s="18" t="s">
        <v>37</v>
      </c>
      <c r="F30" s="17" t="s">
        <v>4</v>
      </c>
      <c r="G30" s="16">
        <v>4000</v>
      </c>
      <c r="H30" s="15">
        <v>90</v>
      </c>
      <c r="I30" s="14">
        <f>+G30*H30</f>
        <v>360000</v>
      </c>
      <c r="J30" s="1"/>
    </row>
    <row r="31" spans="1:10" ht="27" thickBot="1" x14ac:dyDescent="0.3">
      <c r="A31" s="22">
        <v>22</v>
      </c>
      <c r="B31" s="21"/>
      <c r="C31" s="20" t="s">
        <v>6</v>
      </c>
      <c r="D31" s="19">
        <v>295</v>
      </c>
      <c r="E31" s="25" t="s">
        <v>36</v>
      </c>
      <c r="F31" s="17" t="s">
        <v>4</v>
      </c>
      <c r="G31" s="16">
        <v>20000</v>
      </c>
      <c r="H31" s="15">
        <v>19.899999999999999</v>
      </c>
      <c r="I31" s="14">
        <f>+G31*H31</f>
        <v>398000</v>
      </c>
      <c r="J31" s="1"/>
    </row>
    <row r="32" spans="1:10" ht="26.25" x14ac:dyDescent="0.25">
      <c r="A32" s="30">
        <v>23</v>
      </c>
      <c r="B32" s="21"/>
      <c r="C32" s="20" t="s">
        <v>6</v>
      </c>
      <c r="D32" s="19">
        <v>295</v>
      </c>
      <c r="E32" s="25" t="s">
        <v>35</v>
      </c>
      <c r="F32" s="17" t="s">
        <v>4</v>
      </c>
      <c r="G32" s="16">
        <v>20000</v>
      </c>
      <c r="H32" s="15">
        <v>19.899999999999999</v>
      </c>
      <c r="I32" s="14">
        <f>+G32*H32</f>
        <v>398000</v>
      </c>
      <c r="J32" s="1"/>
    </row>
    <row r="33" spans="1:10" ht="27" thickBot="1" x14ac:dyDescent="0.3">
      <c r="A33" s="22">
        <v>24</v>
      </c>
      <c r="B33" s="21"/>
      <c r="C33" s="20" t="s">
        <v>6</v>
      </c>
      <c r="D33" s="19">
        <v>295</v>
      </c>
      <c r="E33" s="23" t="s">
        <v>34</v>
      </c>
      <c r="F33" s="17" t="s">
        <v>4</v>
      </c>
      <c r="G33" s="16">
        <v>16000</v>
      </c>
      <c r="H33" s="15">
        <v>58</v>
      </c>
      <c r="I33" s="14">
        <f>+G33*H33</f>
        <v>928000</v>
      </c>
      <c r="J33" s="1"/>
    </row>
    <row r="34" spans="1:10" ht="26.25" x14ac:dyDescent="0.25">
      <c r="A34" s="30">
        <v>25</v>
      </c>
      <c r="B34" s="21"/>
      <c r="C34" s="20" t="s">
        <v>6</v>
      </c>
      <c r="D34" s="19">
        <v>295</v>
      </c>
      <c r="E34" s="23" t="s">
        <v>33</v>
      </c>
      <c r="F34" s="17" t="s">
        <v>4</v>
      </c>
      <c r="G34" s="16">
        <v>11000</v>
      </c>
      <c r="H34" s="15">
        <v>330</v>
      </c>
      <c r="I34" s="14">
        <f>+G34*H34</f>
        <v>3630000</v>
      </c>
      <c r="J34" s="1"/>
    </row>
    <row r="35" spans="1:10" ht="27" thickBot="1" x14ac:dyDescent="0.3">
      <c r="A35" s="22">
        <v>26</v>
      </c>
      <c r="B35" s="21"/>
      <c r="C35" s="20" t="s">
        <v>6</v>
      </c>
      <c r="D35" s="19">
        <v>295</v>
      </c>
      <c r="E35" s="24" t="s">
        <v>32</v>
      </c>
      <c r="F35" s="17" t="s">
        <v>4</v>
      </c>
      <c r="G35" s="16">
        <v>11000</v>
      </c>
      <c r="H35" s="15">
        <v>206</v>
      </c>
      <c r="I35" s="14">
        <f>+G35*H35</f>
        <v>2266000</v>
      </c>
      <c r="J35" s="1"/>
    </row>
    <row r="36" spans="1:10" ht="26.25" x14ac:dyDescent="0.25">
      <c r="A36" s="30">
        <v>27</v>
      </c>
      <c r="B36" s="21"/>
      <c r="C36" s="20" t="s">
        <v>6</v>
      </c>
      <c r="D36" s="19">
        <v>295</v>
      </c>
      <c r="E36" s="24" t="s">
        <v>31</v>
      </c>
      <c r="F36" s="17" t="s">
        <v>4</v>
      </c>
      <c r="G36" s="16">
        <v>50</v>
      </c>
      <c r="H36" s="15">
        <v>350</v>
      </c>
      <c r="I36" s="14">
        <f>+G36*H36</f>
        <v>17500</v>
      </c>
      <c r="J36" s="1"/>
    </row>
    <row r="37" spans="1:10" ht="27" thickBot="1" x14ac:dyDescent="0.3">
      <c r="A37" s="22">
        <v>28</v>
      </c>
      <c r="B37" s="21"/>
      <c r="C37" s="20" t="s">
        <v>6</v>
      </c>
      <c r="D37" s="19">
        <v>295</v>
      </c>
      <c r="E37" s="24" t="s">
        <v>30</v>
      </c>
      <c r="F37" s="17" t="s">
        <v>4</v>
      </c>
      <c r="G37" s="16">
        <v>50</v>
      </c>
      <c r="H37" s="15">
        <v>350</v>
      </c>
      <c r="I37" s="14">
        <f>+G37*H37</f>
        <v>17500</v>
      </c>
      <c r="J37" s="1"/>
    </row>
    <row r="38" spans="1:10" ht="26.25" x14ac:dyDescent="0.25">
      <c r="A38" s="30">
        <v>29</v>
      </c>
      <c r="B38" s="21"/>
      <c r="C38" s="20" t="s">
        <v>6</v>
      </c>
      <c r="D38" s="19">
        <v>295</v>
      </c>
      <c r="E38" s="24" t="s">
        <v>29</v>
      </c>
      <c r="F38" s="17" t="s">
        <v>4</v>
      </c>
      <c r="G38" s="16">
        <v>50</v>
      </c>
      <c r="H38" s="15">
        <v>350</v>
      </c>
      <c r="I38" s="14">
        <f>+G38*H38</f>
        <v>17500</v>
      </c>
      <c r="J38" s="1"/>
    </row>
    <row r="39" spans="1:10" ht="27" thickBot="1" x14ac:dyDescent="0.3">
      <c r="A39" s="22">
        <v>30</v>
      </c>
      <c r="B39" s="21"/>
      <c r="C39" s="20" t="s">
        <v>6</v>
      </c>
      <c r="D39" s="19">
        <v>295</v>
      </c>
      <c r="E39" s="23" t="s">
        <v>28</v>
      </c>
      <c r="F39" s="17" t="s">
        <v>4</v>
      </c>
      <c r="G39" s="16">
        <v>10000</v>
      </c>
      <c r="H39" s="15">
        <v>32.799999999999997</v>
      </c>
      <c r="I39" s="14">
        <f>+G39*H39</f>
        <v>328000</v>
      </c>
      <c r="J39" s="1"/>
    </row>
    <row r="40" spans="1:10" ht="26.25" x14ac:dyDescent="0.25">
      <c r="A40" s="30">
        <v>31</v>
      </c>
      <c r="B40" s="21"/>
      <c r="C40" s="20" t="s">
        <v>6</v>
      </c>
      <c r="D40" s="19">
        <v>295</v>
      </c>
      <c r="E40" s="23" t="s">
        <v>27</v>
      </c>
      <c r="F40" s="17" t="s">
        <v>4</v>
      </c>
      <c r="G40" s="16">
        <v>10000</v>
      </c>
      <c r="H40" s="15">
        <v>32.799999999999997</v>
      </c>
      <c r="I40" s="14">
        <f>+G40*H40</f>
        <v>328000</v>
      </c>
      <c r="J40" s="1"/>
    </row>
    <row r="41" spans="1:10" ht="27" thickBot="1" x14ac:dyDescent="0.3">
      <c r="A41" s="22">
        <v>32</v>
      </c>
      <c r="B41" s="21"/>
      <c r="C41" s="20" t="s">
        <v>6</v>
      </c>
      <c r="D41" s="19">
        <v>295</v>
      </c>
      <c r="E41" s="23" t="s">
        <v>26</v>
      </c>
      <c r="F41" s="17" t="s">
        <v>4</v>
      </c>
      <c r="G41" s="16">
        <v>16000</v>
      </c>
      <c r="H41" s="15">
        <v>32.799999999999997</v>
      </c>
      <c r="I41" s="14">
        <f>+G41*H41</f>
        <v>524800</v>
      </c>
      <c r="J41" s="1"/>
    </row>
    <row r="42" spans="1:10" ht="26.25" x14ac:dyDescent="0.25">
      <c r="A42" s="30">
        <v>33</v>
      </c>
      <c r="B42" s="21"/>
      <c r="C42" s="20" t="s">
        <v>6</v>
      </c>
      <c r="D42" s="19">
        <v>295</v>
      </c>
      <c r="E42" s="23" t="s">
        <v>25</v>
      </c>
      <c r="F42" s="17" t="s">
        <v>4</v>
      </c>
      <c r="G42" s="16">
        <v>16000</v>
      </c>
      <c r="H42" s="15">
        <v>32.799999999999997</v>
      </c>
      <c r="I42" s="14">
        <f>+G42*H42</f>
        <v>524800</v>
      </c>
      <c r="J42" s="1"/>
    </row>
    <row r="43" spans="1:10" ht="27" thickBot="1" x14ac:dyDescent="0.3">
      <c r="A43" s="22">
        <v>34</v>
      </c>
      <c r="B43" s="21"/>
      <c r="C43" s="20" t="s">
        <v>6</v>
      </c>
      <c r="D43" s="19">
        <v>295</v>
      </c>
      <c r="E43" s="23" t="s">
        <v>24</v>
      </c>
      <c r="F43" s="17" t="s">
        <v>4</v>
      </c>
      <c r="G43" s="16">
        <v>20000</v>
      </c>
      <c r="H43" s="15">
        <v>17</v>
      </c>
      <c r="I43" s="14">
        <f>+G43*H43</f>
        <v>340000</v>
      </c>
      <c r="J43" s="1"/>
    </row>
    <row r="44" spans="1:10" ht="26.25" x14ac:dyDescent="0.25">
      <c r="A44" s="30">
        <v>35</v>
      </c>
      <c r="B44" s="21"/>
      <c r="C44" s="20" t="s">
        <v>6</v>
      </c>
      <c r="D44" s="19">
        <v>295</v>
      </c>
      <c r="E44" s="23" t="s">
        <v>23</v>
      </c>
      <c r="F44" s="17" t="s">
        <v>4</v>
      </c>
      <c r="G44" s="16">
        <v>25000</v>
      </c>
      <c r="H44" s="15">
        <v>17</v>
      </c>
      <c r="I44" s="14">
        <f>+G44*H44</f>
        <v>425000</v>
      </c>
      <c r="J44" s="1"/>
    </row>
    <row r="45" spans="1:10" ht="27" thickBot="1" x14ac:dyDescent="0.3">
      <c r="A45" s="22">
        <v>36</v>
      </c>
      <c r="B45" s="21"/>
      <c r="C45" s="20" t="s">
        <v>6</v>
      </c>
      <c r="D45" s="19">
        <v>295</v>
      </c>
      <c r="E45" s="23" t="s">
        <v>22</v>
      </c>
      <c r="F45" s="17" t="s">
        <v>4</v>
      </c>
      <c r="G45" s="16">
        <v>25000</v>
      </c>
      <c r="H45" s="15">
        <v>17</v>
      </c>
      <c r="I45" s="14">
        <f>+G45*H45</f>
        <v>425000</v>
      </c>
      <c r="J45" s="1"/>
    </row>
    <row r="46" spans="1:10" ht="26.25" x14ac:dyDescent="0.25">
      <c r="A46" s="30">
        <v>37</v>
      </c>
      <c r="B46" s="21"/>
      <c r="C46" s="20" t="s">
        <v>6</v>
      </c>
      <c r="D46" s="19">
        <v>295</v>
      </c>
      <c r="E46" s="23" t="s">
        <v>21</v>
      </c>
      <c r="F46" s="17" t="s">
        <v>4</v>
      </c>
      <c r="G46" s="16">
        <v>300</v>
      </c>
      <c r="H46" s="15">
        <v>19.5</v>
      </c>
      <c r="I46" s="14">
        <f>+G46*H46</f>
        <v>5850</v>
      </c>
      <c r="J46" s="1"/>
    </row>
    <row r="47" spans="1:10" ht="27" thickBot="1" x14ac:dyDescent="0.3">
      <c r="A47" s="22">
        <v>38</v>
      </c>
      <c r="B47" s="21"/>
      <c r="C47" s="20" t="s">
        <v>6</v>
      </c>
      <c r="D47" s="19">
        <v>295</v>
      </c>
      <c r="E47" s="23" t="s">
        <v>20</v>
      </c>
      <c r="F47" s="17" t="s">
        <v>4</v>
      </c>
      <c r="G47" s="16">
        <v>300</v>
      </c>
      <c r="H47" s="15">
        <v>55</v>
      </c>
      <c r="I47" s="14">
        <f>+G47*H47</f>
        <v>16500</v>
      </c>
      <c r="J47" s="1"/>
    </row>
    <row r="48" spans="1:10" ht="26.25" x14ac:dyDescent="0.25">
      <c r="A48" s="30">
        <v>39</v>
      </c>
      <c r="B48" s="21"/>
      <c r="C48" s="20" t="s">
        <v>6</v>
      </c>
      <c r="D48" s="19">
        <v>295</v>
      </c>
      <c r="E48" s="23" t="s">
        <v>19</v>
      </c>
      <c r="F48" s="17" t="s">
        <v>4</v>
      </c>
      <c r="G48" s="16">
        <v>100</v>
      </c>
      <c r="H48" s="15">
        <v>55</v>
      </c>
      <c r="I48" s="14">
        <f>+G48*H48</f>
        <v>5500</v>
      </c>
      <c r="J48" s="1"/>
    </row>
    <row r="49" spans="1:10" ht="27" thickBot="1" x14ac:dyDescent="0.3">
      <c r="A49" s="22">
        <v>40</v>
      </c>
      <c r="B49" s="21"/>
      <c r="C49" s="20" t="s">
        <v>6</v>
      </c>
      <c r="D49" s="19">
        <v>295</v>
      </c>
      <c r="E49" s="23" t="s">
        <v>18</v>
      </c>
      <c r="F49" s="17" t="s">
        <v>4</v>
      </c>
      <c r="G49" s="16">
        <v>16000</v>
      </c>
      <c r="H49" s="15">
        <v>26</v>
      </c>
      <c r="I49" s="14">
        <f>+G49*H49</f>
        <v>416000</v>
      </c>
      <c r="J49" s="1"/>
    </row>
    <row r="50" spans="1:10" ht="26.25" x14ac:dyDescent="0.25">
      <c r="A50" s="30">
        <v>41</v>
      </c>
      <c r="B50" s="21"/>
      <c r="C50" s="20" t="s">
        <v>6</v>
      </c>
      <c r="D50" s="19">
        <v>295</v>
      </c>
      <c r="E50" s="18" t="s">
        <v>17</v>
      </c>
      <c r="F50" s="17" t="s">
        <v>4</v>
      </c>
      <c r="G50" s="16">
        <v>150</v>
      </c>
      <c r="H50" s="15">
        <v>125.48</v>
      </c>
      <c r="I50" s="14">
        <f>+G50*H50</f>
        <v>18822</v>
      </c>
      <c r="J50" s="1"/>
    </row>
    <row r="51" spans="1:10" ht="27" thickBot="1" x14ac:dyDescent="0.3">
      <c r="A51" s="22">
        <v>42</v>
      </c>
      <c r="B51" s="21"/>
      <c r="C51" s="20" t="s">
        <v>6</v>
      </c>
      <c r="D51" s="19">
        <v>295</v>
      </c>
      <c r="E51" s="18" t="s">
        <v>16</v>
      </c>
      <c r="F51" s="17" t="s">
        <v>4</v>
      </c>
      <c r="G51" s="16">
        <v>150</v>
      </c>
      <c r="H51" s="15">
        <v>125.48</v>
      </c>
      <c r="I51" s="14">
        <f>+G51*H51</f>
        <v>18822</v>
      </c>
      <c r="J51" s="1"/>
    </row>
    <row r="52" spans="1:10" ht="26.25" x14ac:dyDescent="0.25">
      <c r="A52" s="30">
        <v>43</v>
      </c>
      <c r="B52" s="21"/>
      <c r="C52" s="20" t="s">
        <v>6</v>
      </c>
      <c r="D52" s="19">
        <v>295</v>
      </c>
      <c r="E52" s="18" t="s">
        <v>15</v>
      </c>
      <c r="F52" s="17" t="s">
        <v>4</v>
      </c>
      <c r="G52" s="16">
        <v>300</v>
      </c>
      <c r="H52" s="15">
        <v>285</v>
      </c>
      <c r="I52" s="14">
        <f>+G52*H52</f>
        <v>85500</v>
      </c>
      <c r="J52" s="1"/>
    </row>
    <row r="53" spans="1:10" ht="27" thickBot="1" x14ac:dyDescent="0.3">
      <c r="A53" s="22">
        <v>44</v>
      </c>
      <c r="B53" s="21"/>
      <c r="C53" s="20" t="s">
        <v>6</v>
      </c>
      <c r="D53" s="19">
        <v>295</v>
      </c>
      <c r="E53" s="18" t="s">
        <v>14</v>
      </c>
      <c r="F53" s="17" t="s">
        <v>4</v>
      </c>
      <c r="G53" s="16">
        <v>300</v>
      </c>
      <c r="H53" s="15">
        <v>285</v>
      </c>
      <c r="I53" s="14">
        <f>+G53*H53</f>
        <v>85500</v>
      </c>
      <c r="J53" s="1"/>
    </row>
    <row r="54" spans="1:10" ht="26.25" x14ac:dyDescent="0.25">
      <c r="A54" s="30">
        <v>45</v>
      </c>
      <c r="B54" s="21"/>
      <c r="C54" s="20" t="s">
        <v>6</v>
      </c>
      <c r="D54" s="19">
        <v>295</v>
      </c>
      <c r="E54" s="18" t="s">
        <v>13</v>
      </c>
      <c r="F54" s="17" t="s">
        <v>4</v>
      </c>
      <c r="G54" s="16">
        <v>100</v>
      </c>
      <c r="H54" s="15">
        <v>285</v>
      </c>
      <c r="I54" s="14">
        <f>+G54*H54</f>
        <v>28500</v>
      </c>
      <c r="J54" s="1"/>
    </row>
    <row r="55" spans="1:10" ht="27" thickBot="1" x14ac:dyDescent="0.3">
      <c r="A55" s="22">
        <v>46</v>
      </c>
      <c r="B55" s="21"/>
      <c r="C55" s="20" t="s">
        <v>6</v>
      </c>
      <c r="D55" s="19">
        <v>295</v>
      </c>
      <c r="E55" s="18" t="s">
        <v>12</v>
      </c>
      <c r="F55" s="17" t="s">
        <v>4</v>
      </c>
      <c r="G55" s="16">
        <v>100</v>
      </c>
      <c r="H55" s="15">
        <v>285</v>
      </c>
      <c r="I55" s="14">
        <f>+G55*H55</f>
        <v>28500</v>
      </c>
      <c r="J55" s="1"/>
    </row>
    <row r="56" spans="1:10" ht="26.25" x14ac:dyDescent="0.25">
      <c r="A56" s="30">
        <v>47</v>
      </c>
      <c r="B56" s="21"/>
      <c r="C56" s="20" t="s">
        <v>6</v>
      </c>
      <c r="D56" s="19">
        <v>295</v>
      </c>
      <c r="E56" s="18" t="s">
        <v>11</v>
      </c>
      <c r="F56" s="17" t="s">
        <v>4</v>
      </c>
      <c r="G56" s="16">
        <v>100</v>
      </c>
      <c r="H56" s="15">
        <v>285</v>
      </c>
      <c r="I56" s="14">
        <f>+G56*H56</f>
        <v>28500</v>
      </c>
      <c r="J56" s="1"/>
    </row>
    <row r="57" spans="1:10" ht="27" thickBot="1" x14ac:dyDescent="0.3">
      <c r="A57" s="22">
        <v>48</v>
      </c>
      <c r="B57" s="21"/>
      <c r="C57" s="20" t="s">
        <v>6</v>
      </c>
      <c r="D57" s="19">
        <v>295</v>
      </c>
      <c r="E57" s="18" t="s">
        <v>10</v>
      </c>
      <c r="F57" s="17" t="s">
        <v>4</v>
      </c>
      <c r="G57" s="16">
        <v>100</v>
      </c>
      <c r="H57" s="15">
        <v>285</v>
      </c>
      <c r="I57" s="14">
        <f>+G57*H57</f>
        <v>28500</v>
      </c>
      <c r="J57" s="1"/>
    </row>
    <row r="58" spans="1:10" ht="26.25" x14ac:dyDescent="0.25">
      <c r="A58" s="30">
        <v>49</v>
      </c>
      <c r="B58" s="21"/>
      <c r="C58" s="20" t="s">
        <v>6</v>
      </c>
      <c r="D58" s="19">
        <v>295</v>
      </c>
      <c r="E58" s="18" t="s">
        <v>9</v>
      </c>
      <c r="F58" s="17" t="s">
        <v>4</v>
      </c>
      <c r="G58" s="16">
        <v>500</v>
      </c>
      <c r="H58" s="15">
        <v>285</v>
      </c>
      <c r="I58" s="14">
        <f>+G58*H58</f>
        <v>142500</v>
      </c>
      <c r="J58" s="1"/>
    </row>
    <row r="59" spans="1:10" ht="27" thickBot="1" x14ac:dyDescent="0.3">
      <c r="A59" s="22">
        <v>50</v>
      </c>
      <c r="B59" s="21"/>
      <c r="C59" s="20" t="s">
        <v>6</v>
      </c>
      <c r="D59" s="19">
        <v>295</v>
      </c>
      <c r="E59" s="18" t="s">
        <v>8</v>
      </c>
      <c r="F59" s="17" t="s">
        <v>4</v>
      </c>
      <c r="G59" s="16">
        <v>500</v>
      </c>
      <c r="H59" s="15">
        <v>285</v>
      </c>
      <c r="I59" s="14">
        <f>+G59*H59</f>
        <v>142500</v>
      </c>
      <c r="J59" s="1"/>
    </row>
    <row r="60" spans="1:10" ht="26.25" x14ac:dyDescent="0.25">
      <c r="A60" s="30">
        <v>51</v>
      </c>
      <c r="B60" s="21"/>
      <c r="C60" s="20" t="s">
        <v>6</v>
      </c>
      <c r="D60" s="19">
        <v>295</v>
      </c>
      <c r="E60" s="18" t="s">
        <v>7</v>
      </c>
      <c r="F60" s="17" t="s">
        <v>4</v>
      </c>
      <c r="G60" s="16">
        <v>500</v>
      </c>
      <c r="H60" s="15">
        <v>285</v>
      </c>
      <c r="I60" s="14">
        <f>+G60*H60</f>
        <v>142500</v>
      </c>
      <c r="J60" s="1"/>
    </row>
    <row r="61" spans="1:10" ht="26.25" x14ac:dyDescent="0.25">
      <c r="A61" s="22">
        <v>52</v>
      </c>
      <c r="B61" s="21"/>
      <c r="C61" s="20" t="s">
        <v>6</v>
      </c>
      <c r="D61" s="19">
        <v>295</v>
      </c>
      <c r="E61" s="18" t="s">
        <v>5</v>
      </c>
      <c r="F61" s="17" t="s">
        <v>4</v>
      </c>
      <c r="G61" s="16">
        <v>500</v>
      </c>
      <c r="H61" s="15">
        <v>285</v>
      </c>
      <c r="I61" s="14">
        <f>+G61*H61</f>
        <v>142500</v>
      </c>
      <c r="J61" s="1"/>
    </row>
    <row r="62" spans="1:10" ht="15.75" thickBot="1" x14ac:dyDescent="0.3">
      <c r="A62" s="1"/>
      <c r="B62" s="1"/>
      <c r="C62" s="1"/>
      <c r="D62" s="1"/>
      <c r="E62" s="1"/>
      <c r="F62" s="1"/>
      <c r="G62" s="1"/>
      <c r="H62" s="2"/>
      <c r="I62" s="10"/>
      <c r="J62" s="1"/>
    </row>
    <row r="63" spans="1:10" ht="27.75" customHeight="1" x14ac:dyDescent="0.25">
      <c r="A63" s="1"/>
      <c r="B63" s="13" t="s">
        <v>3</v>
      </c>
      <c r="C63" s="12"/>
      <c r="D63" s="12"/>
      <c r="E63" s="11"/>
      <c r="F63" s="1"/>
      <c r="G63" s="1"/>
      <c r="H63" s="2"/>
      <c r="I63" s="10"/>
      <c r="J63" s="1"/>
    </row>
    <row r="64" spans="1:10" ht="45" customHeight="1" x14ac:dyDescent="0.25">
      <c r="A64" s="1"/>
      <c r="B64" s="9" t="s">
        <v>2</v>
      </c>
      <c r="C64" s="8"/>
      <c r="D64" s="8"/>
      <c r="E64" s="7"/>
      <c r="F64" s="1"/>
      <c r="G64" s="1"/>
      <c r="H64" s="2"/>
      <c r="I64" s="1"/>
      <c r="J64" s="1"/>
    </row>
    <row r="65" spans="1:10" ht="49.5" customHeight="1" x14ac:dyDescent="0.25">
      <c r="A65" s="1"/>
      <c r="B65" s="9"/>
      <c r="C65" s="8"/>
      <c r="D65" s="8"/>
      <c r="E65" s="7"/>
      <c r="F65" s="3"/>
      <c r="G65" s="1"/>
      <c r="H65" s="2"/>
      <c r="I65" s="1"/>
      <c r="J65" s="1"/>
    </row>
    <row r="66" spans="1:10" ht="79.5" customHeight="1" x14ac:dyDescent="0.25">
      <c r="A66" s="1"/>
      <c r="B66" s="9" t="s">
        <v>1</v>
      </c>
      <c r="C66" s="8"/>
      <c r="D66" s="8"/>
      <c r="E66" s="7"/>
      <c r="F66" s="3"/>
      <c r="G66" s="1"/>
      <c r="H66" s="2"/>
      <c r="I66" s="1"/>
      <c r="J66" s="1"/>
    </row>
    <row r="67" spans="1:10" ht="18.75" customHeight="1" thickBot="1" x14ac:dyDescent="0.3">
      <c r="A67" s="1"/>
      <c r="B67" s="6" t="s">
        <v>0</v>
      </c>
      <c r="C67" s="5"/>
      <c r="D67" s="5"/>
      <c r="E67" s="4"/>
      <c r="F67" s="3"/>
      <c r="G67" s="1"/>
      <c r="H67" s="2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2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2"/>
      <c r="I69" s="1"/>
      <c r="J69" s="1"/>
    </row>
  </sheetData>
  <mergeCells count="9">
    <mergeCell ref="B2:H2"/>
    <mergeCell ref="C5:E5"/>
    <mergeCell ref="A7:B7"/>
    <mergeCell ref="B64:E65"/>
    <mergeCell ref="B66:E66"/>
    <mergeCell ref="A6:B6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2021-08-12T15:56:13Z</dcterms:created>
  <dcterms:modified xsi:type="dcterms:W3CDTF">2021-08-12T16:04:03Z</dcterms:modified>
</cp:coreProperties>
</file>