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odificacion Comprar\"/>
    </mc:Choice>
  </mc:AlternateContent>
  <xr:revisionPtr revIDLastSave="0" documentId="13_ncr:1_{E96E4A94-9BB8-42B8-AFB5-09E0F7B4C6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  <externalReference r:id="rId5"/>
  </externalReferences>
  <definedNames>
    <definedName name="_xlnm._FilterDatabase" localSheetId="0" hidden="1">'Necesidades Trimestrales'!$A$9:$S$143</definedName>
    <definedName name="_xlnm.Print_Titles" localSheetId="0">'Necesidades Trimestrales'!$1:$4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11" i="1" l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P73" i="1" l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67" i="1"/>
  <c r="P68" i="1"/>
  <c r="P69" i="1"/>
  <c r="P70" i="1"/>
  <c r="P71" i="1"/>
  <c r="P72" i="1"/>
  <c r="S10" i="1" l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10" i="1"/>
  <c r="Q10" i="1"/>
  <c r="O11" i="1" l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0" i="1"/>
  <c r="L74" i="1" l="1"/>
  <c r="L73" i="1"/>
  <c r="J73" i="1"/>
  <c r="J74" i="1"/>
  <c r="L11" i="1" l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0" i="1"/>
  <c r="J28" i="1" l="1"/>
  <c r="Q23" i="3" l="1"/>
  <c r="A10" i="3"/>
  <c r="G7" i="3"/>
  <c r="G6" i="3"/>
  <c r="D1" i="3"/>
  <c r="K143" i="2"/>
  <c r="J143" i="2"/>
  <c r="I143" i="2"/>
  <c r="C143" i="2"/>
  <c r="K142" i="2"/>
  <c r="J142" i="2"/>
  <c r="I142" i="2"/>
  <c r="C142" i="2"/>
  <c r="K141" i="2"/>
  <c r="J141" i="2"/>
  <c r="I141" i="2"/>
  <c r="C141" i="2"/>
  <c r="K140" i="2"/>
  <c r="J140" i="2"/>
  <c r="I140" i="2"/>
  <c r="C140" i="2"/>
  <c r="K139" i="2"/>
  <c r="J139" i="2"/>
  <c r="I139" i="2"/>
  <c r="C139" i="2"/>
  <c r="K138" i="2"/>
  <c r="J138" i="2"/>
  <c r="I138" i="2"/>
  <c r="C138" i="2"/>
  <c r="K137" i="2"/>
  <c r="J137" i="2"/>
  <c r="I137" i="2"/>
  <c r="C137" i="2"/>
  <c r="K136" i="2"/>
  <c r="J136" i="2"/>
  <c r="I136" i="2"/>
  <c r="C136" i="2"/>
  <c r="K135" i="2"/>
  <c r="J135" i="2"/>
  <c r="I135" i="2"/>
  <c r="C135" i="2"/>
  <c r="K134" i="2"/>
  <c r="J134" i="2"/>
  <c r="I134" i="2"/>
  <c r="C134" i="2"/>
  <c r="K133" i="2"/>
  <c r="J133" i="2"/>
  <c r="I133" i="2"/>
  <c r="C133" i="2"/>
  <c r="K132" i="2"/>
  <c r="J132" i="2"/>
  <c r="I132" i="2"/>
  <c r="C132" i="2"/>
  <c r="K131" i="2"/>
  <c r="J131" i="2"/>
  <c r="I131" i="2"/>
  <c r="C131" i="2"/>
  <c r="K130" i="2"/>
  <c r="J130" i="2"/>
  <c r="I130" i="2"/>
  <c r="C130" i="2"/>
  <c r="K129" i="2"/>
  <c r="J129" i="2"/>
  <c r="I129" i="2"/>
  <c r="C129" i="2"/>
  <c r="K128" i="2"/>
  <c r="J128" i="2"/>
  <c r="I128" i="2"/>
  <c r="C128" i="2"/>
  <c r="K127" i="2"/>
  <c r="J127" i="2"/>
  <c r="I127" i="2"/>
  <c r="C127" i="2"/>
  <c r="K126" i="2"/>
  <c r="J126" i="2"/>
  <c r="I126" i="2"/>
  <c r="C126" i="2"/>
  <c r="K125" i="2"/>
  <c r="J125" i="2"/>
  <c r="I125" i="2"/>
  <c r="C125" i="2"/>
  <c r="K124" i="2"/>
  <c r="J124" i="2"/>
  <c r="I124" i="2"/>
  <c r="C124" i="2"/>
  <c r="K123" i="2"/>
  <c r="J123" i="2"/>
  <c r="I123" i="2"/>
  <c r="C123" i="2"/>
  <c r="K122" i="2"/>
  <c r="J122" i="2"/>
  <c r="I122" i="2"/>
  <c r="C122" i="2"/>
  <c r="K121" i="2"/>
  <c r="J121" i="2"/>
  <c r="I121" i="2"/>
  <c r="C121" i="2"/>
  <c r="K120" i="2"/>
  <c r="J120" i="2"/>
  <c r="I120" i="2"/>
  <c r="C120" i="2"/>
  <c r="K119" i="2"/>
  <c r="J119" i="2"/>
  <c r="I119" i="2"/>
  <c r="C119" i="2"/>
  <c r="K118" i="2"/>
  <c r="J118" i="2"/>
  <c r="I118" i="2"/>
  <c r="C118" i="2"/>
  <c r="K117" i="2"/>
  <c r="J117" i="2"/>
  <c r="I117" i="2"/>
  <c r="C117" i="2"/>
  <c r="K116" i="2"/>
  <c r="J116" i="2"/>
  <c r="I116" i="2"/>
  <c r="C116" i="2"/>
  <c r="K115" i="2"/>
  <c r="J115" i="2"/>
  <c r="I115" i="2"/>
  <c r="C115" i="2"/>
  <c r="K114" i="2"/>
  <c r="J114" i="2"/>
  <c r="I114" i="2"/>
  <c r="C114" i="2"/>
  <c r="K113" i="2"/>
  <c r="J113" i="2"/>
  <c r="I113" i="2"/>
  <c r="C113" i="2"/>
  <c r="K112" i="2"/>
  <c r="J112" i="2"/>
  <c r="I112" i="2"/>
  <c r="C112" i="2"/>
  <c r="K111" i="2"/>
  <c r="J111" i="2"/>
  <c r="I111" i="2"/>
  <c r="C111" i="2"/>
  <c r="K110" i="2"/>
  <c r="J110" i="2"/>
  <c r="I110" i="2"/>
  <c r="C110" i="2"/>
  <c r="K109" i="2"/>
  <c r="J109" i="2"/>
  <c r="I109" i="2"/>
  <c r="C109" i="2"/>
  <c r="K108" i="2"/>
  <c r="J108" i="2"/>
  <c r="I108" i="2"/>
  <c r="C108" i="2"/>
  <c r="K107" i="2"/>
  <c r="J107" i="2"/>
  <c r="I107" i="2"/>
  <c r="C107" i="2"/>
  <c r="K106" i="2"/>
  <c r="J106" i="2"/>
  <c r="I106" i="2"/>
  <c r="C106" i="2"/>
  <c r="K105" i="2"/>
  <c r="J105" i="2"/>
  <c r="I105" i="2"/>
  <c r="C105" i="2"/>
  <c r="K104" i="2"/>
  <c r="J104" i="2"/>
  <c r="I104" i="2"/>
  <c r="C104" i="2"/>
  <c r="K103" i="2"/>
  <c r="J103" i="2"/>
  <c r="I103" i="2"/>
  <c r="C103" i="2"/>
  <c r="K102" i="2"/>
  <c r="J102" i="2"/>
  <c r="I102" i="2"/>
  <c r="C102" i="2"/>
  <c r="K101" i="2"/>
  <c r="J101" i="2"/>
  <c r="I101" i="2"/>
  <c r="C101" i="2"/>
  <c r="K100" i="2"/>
  <c r="J100" i="2"/>
  <c r="I100" i="2"/>
  <c r="C100" i="2"/>
  <c r="K99" i="2"/>
  <c r="J99" i="2"/>
  <c r="I99" i="2"/>
  <c r="C99" i="2"/>
  <c r="K98" i="2"/>
  <c r="J98" i="2"/>
  <c r="I98" i="2"/>
  <c r="C98" i="2"/>
  <c r="K97" i="2"/>
  <c r="J97" i="2"/>
  <c r="I97" i="2"/>
  <c r="C97" i="2"/>
  <c r="K96" i="2"/>
  <c r="J96" i="2"/>
  <c r="I96" i="2"/>
  <c r="C96" i="2"/>
  <c r="K95" i="2"/>
  <c r="J95" i="2"/>
  <c r="I95" i="2"/>
  <c r="C95" i="2"/>
  <c r="K94" i="2"/>
  <c r="J94" i="2"/>
  <c r="I94" i="2"/>
  <c r="C94" i="2"/>
  <c r="K93" i="2"/>
  <c r="J93" i="2"/>
  <c r="I93" i="2"/>
  <c r="C93" i="2"/>
  <c r="K92" i="2"/>
  <c r="J92" i="2"/>
  <c r="I92" i="2"/>
  <c r="C92" i="2"/>
  <c r="K91" i="2"/>
  <c r="J91" i="2"/>
  <c r="I91" i="2"/>
  <c r="C91" i="2"/>
  <c r="K90" i="2"/>
  <c r="J90" i="2"/>
  <c r="I90" i="2"/>
  <c r="C90" i="2"/>
  <c r="K89" i="2"/>
  <c r="J89" i="2"/>
  <c r="I89" i="2"/>
  <c r="C89" i="2"/>
  <c r="K88" i="2"/>
  <c r="J88" i="2"/>
  <c r="I88" i="2"/>
  <c r="C88" i="2"/>
  <c r="K87" i="2"/>
  <c r="J87" i="2"/>
  <c r="I87" i="2"/>
  <c r="C87" i="2"/>
  <c r="K86" i="2"/>
  <c r="J86" i="2"/>
  <c r="I86" i="2"/>
  <c r="C86" i="2"/>
  <c r="K85" i="2"/>
  <c r="J85" i="2"/>
  <c r="I85" i="2"/>
  <c r="C85" i="2"/>
  <c r="K84" i="2"/>
  <c r="J84" i="2"/>
  <c r="I84" i="2"/>
  <c r="C84" i="2"/>
  <c r="K83" i="2"/>
  <c r="J83" i="2"/>
  <c r="I83" i="2"/>
  <c r="C83" i="2"/>
  <c r="K82" i="2"/>
  <c r="J82" i="2"/>
  <c r="I82" i="2"/>
  <c r="C82" i="2"/>
  <c r="K81" i="2"/>
  <c r="J81" i="2"/>
  <c r="I81" i="2"/>
  <c r="C81" i="2"/>
  <c r="K80" i="2"/>
  <c r="J80" i="2"/>
  <c r="I80" i="2"/>
  <c r="C80" i="2"/>
  <c r="K79" i="2"/>
  <c r="J79" i="2"/>
  <c r="I79" i="2"/>
  <c r="C79" i="2"/>
  <c r="K78" i="2"/>
  <c r="J78" i="2"/>
  <c r="I78" i="2"/>
  <c r="C78" i="2"/>
  <c r="K77" i="2"/>
  <c r="J77" i="2"/>
  <c r="I77" i="2"/>
  <c r="C77" i="2"/>
  <c r="K76" i="2"/>
  <c r="J76" i="2"/>
  <c r="I76" i="2"/>
  <c r="C76" i="2"/>
  <c r="K75" i="2"/>
  <c r="J75" i="2"/>
  <c r="I75" i="2"/>
  <c r="C75" i="2"/>
  <c r="K74" i="2"/>
  <c r="J74" i="2"/>
  <c r="I74" i="2"/>
  <c r="C74" i="2"/>
  <c r="K73" i="2"/>
  <c r="J73" i="2"/>
  <c r="I73" i="2"/>
  <c r="C73" i="2"/>
  <c r="K72" i="2"/>
  <c r="J72" i="2"/>
  <c r="I72" i="2"/>
  <c r="C72" i="2"/>
  <c r="K71" i="2"/>
  <c r="J71" i="2"/>
  <c r="I71" i="2"/>
  <c r="C71" i="2"/>
  <c r="K70" i="2"/>
  <c r="J70" i="2"/>
  <c r="I70" i="2"/>
  <c r="C70" i="2"/>
  <c r="K69" i="2"/>
  <c r="J69" i="2"/>
  <c r="I69" i="2"/>
  <c r="C69" i="2"/>
  <c r="K68" i="2"/>
  <c r="J68" i="2"/>
  <c r="I68" i="2"/>
  <c r="C68" i="2"/>
  <c r="K67" i="2"/>
  <c r="J67" i="2"/>
  <c r="I67" i="2"/>
  <c r="C67" i="2"/>
  <c r="K66" i="2"/>
  <c r="J66" i="2"/>
  <c r="I66" i="2"/>
  <c r="C66" i="2"/>
  <c r="K65" i="2"/>
  <c r="J65" i="2"/>
  <c r="I65" i="2"/>
  <c r="C65" i="2"/>
  <c r="K64" i="2"/>
  <c r="J64" i="2"/>
  <c r="I64" i="2"/>
  <c r="C64" i="2"/>
  <c r="K63" i="2"/>
  <c r="J63" i="2"/>
  <c r="I63" i="2"/>
  <c r="C63" i="2"/>
  <c r="K62" i="2"/>
  <c r="J62" i="2"/>
  <c r="I62" i="2"/>
  <c r="C62" i="2"/>
  <c r="K61" i="2"/>
  <c r="J61" i="2"/>
  <c r="I61" i="2"/>
  <c r="C61" i="2"/>
  <c r="K60" i="2"/>
  <c r="J60" i="2"/>
  <c r="I60" i="2"/>
  <c r="C60" i="2"/>
  <c r="K58" i="2"/>
  <c r="J58" i="2"/>
  <c r="I58" i="2"/>
  <c r="C58" i="2"/>
  <c r="K57" i="2"/>
  <c r="J57" i="2"/>
  <c r="I57" i="2"/>
  <c r="C57" i="2"/>
  <c r="K56" i="2"/>
  <c r="J56" i="2"/>
  <c r="I56" i="2"/>
  <c r="C56" i="2"/>
  <c r="K55" i="2"/>
  <c r="J55" i="2"/>
  <c r="I55" i="2"/>
  <c r="C55" i="2"/>
  <c r="K54" i="2"/>
  <c r="J54" i="2"/>
  <c r="I54" i="2"/>
  <c r="C54" i="2"/>
  <c r="K53" i="2"/>
  <c r="J53" i="2"/>
  <c r="I53" i="2"/>
  <c r="C53" i="2"/>
  <c r="K52" i="2"/>
  <c r="J52" i="2"/>
  <c r="I52" i="2"/>
  <c r="C52" i="2"/>
  <c r="K51" i="2"/>
  <c r="J51" i="2"/>
  <c r="I51" i="2"/>
  <c r="C51" i="2"/>
  <c r="K50" i="2"/>
  <c r="J50" i="2"/>
  <c r="I50" i="2"/>
  <c r="C50" i="2"/>
  <c r="K49" i="2"/>
  <c r="J49" i="2"/>
  <c r="I49" i="2"/>
  <c r="C49" i="2"/>
  <c r="K48" i="2"/>
  <c r="J48" i="2"/>
  <c r="I48" i="2"/>
  <c r="C48" i="2"/>
  <c r="K47" i="2"/>
  <c r="J47" i="2"/>
  <c r="I47" i="2"/>
  <c r="C47" i="2"/>
  <c r="K46" i="2"/>
  <c r="J46" i="2"/>
  <c r="I46" i="2"/>
  <c r="C46" i="2"/>
  <c r="K45" i="2"/>
  <c r="J45" i="2"/>
  <c r="I45" i="2"/>
  <c r="C45" i="2"/>
  <c r="K44" i="2"/>
  <c r="J44" i="2"/>
  <c r="I44" i="2"/>
  <c r="C44" i="2"/>
  <c r="K43" i="2"/>
  <c r="J43" i="2"/>
  <c r="I43" i="2"/>
  <c r="C43" i="2"/>
  <c r="K42" i="2"/>
  <c r="J42" i="2"/>
  <c r="I42" i="2"/>
  <c r="C42" i="2"/>
  <c r="K41" i="2"/>
  <c r="J41" i="2"/>
  <c r="I41" i="2"/>
  <c r="C41" i="2"/>
  <c r="K40" i="2"/>
  <c r="J40" i="2"/>
  <c r="I40" i="2"/>
  <c r="C40" i="2"/>
  <c r="K39" i="2"/>
  <c r="J39" i="2"/>
  <c r="I39" i="2"/>
  <c r="C39" i="2"/>
  <c r="K38" i="2"/>
  <c r="J38" i="2"/>
  <c r="I38" i="2"/>
  <c r="C38" i="2"/>
  <c r="K37" i="2"/>
  <c r="J37" i="2"/>
  <c r="I37" i="2"/>
  <c r="C37" i="2"/>
  <c r="K36" i="2"/>
  <c r="J36" i="2"/>
  <c r="I36" i="2"/>
  <c r="C36" i="2"/>
  <c r="K35" i="2"/>
  <c r="J35" i="2"/>
  <c r="I35" i="2"/>
  <c r="C35" i="2"/>
  <c r="K34" i="2"/>
  <c r="J34" i="2"/>
  <c r="I34" i="2"/>
  <c r="C34" i="2"/>
  <c r="K33" i="2"/>
  <c r="J33" i="2"/>
  <c r="I33" i="2"/>
  <c r="C33" i="2"/>
  <c r="K32" i="2"/>
  <c r="J32" i="2"/>
  <c r="I32" i="2"/>
  <c r="C32" i="2"/>
  <c r="K31" i="2"/>
  <c r="J31" i="2"/>
  <c r="I31" i="2"/>
  <c r="C31" i="2"/>
  <c r="K30" i="2"/>
  <c r="J30" i="2"/>
  <c r="I30" i="2"/>
  <c r="C30" i="2"/>
  <c r="K29" i="2"/>
  <c r="J29" i="2"/>
  <c r="I29" i="2"/>
  <c r="C29" i="2"/>
  <c r="K28" i="2"/>
  <c r="J28" i="2"/>
  <c r="I28" i="2"/>
  <c r="C28" i="2"/>
  <c r="K27" i="2"/>
  <c r="J27" i="2"/>
  <c r="I27" i="2"/>
  <c r="C27" i="2"/>
  <c r="K26" i="2"/>
  <c r="J26" i="2"/>
  <c r="I26" i="2"/>
  <c r="C26" i="2"/>
  <c r="K25" i="2"/>
  <c r="J25" i="2"/>
  <c r="I25" i="2"/>
  <c r="C25" i="2"/>
  <c r="K24" i="2"/>
  <c r="J24" i="2"/>
  <c r="I24" i="2"/>
  <c r="C24" i="2"/>
  <c r="K23" i="2"/>
  <c r="J23" i="2"/>
  <c r="I23" i="2"/>
  <c r="C23" i="2"/>
  <c r="K22" i="2"/>
  <c r="J22" i="2"/>
  <c r="I22" i="2"/>
  <c r="C22" i="2"/>
  <c r="K21" i="2"/>
  <c r="J21" i="2"/>
  <c r="I21" i="2"/>
  <c r="C21" i="2"/>
  <c r="K20" i="2"/>
  <c r="J20" i="2"/>
  <c r="I20" i="2"/>
  <c r="C20" i="2"/>
  <c r="K19" i="2"/>
  <c r="J19" i="2"/>
  <c r="I19" i="2"/>
  <c r="C19" i="2"/>
  <c r="K18" i="2"/>
  <c r="J18" i="2"/>
  <c r="I18" i="2"/>
  <c r="C18" i="2"/>
  <c r="K17" i="2"/>
  <c r="J17" i="2"/>
  <c r="I17" i="2"/>
  <c r="C17" i="2"/>
  <c r="K16" i="2"/>
  <c r="J16" i="2"/>
  <c r="I16" i="2"/>
  <c r="C16" i="2"/>
  <c r="K15" i="2"/>
  <c r="J15" i="2"/>
  <c r="I15" i="2"/>
  <c r="C15" i="2"/>
  <c r="K14" i="2"/>
  <c r="J14" i="2"/>
  <c r="I14" i="2"/>
  <c r="C14" i="2"/>
  <c r="K13" i="2"/>
  <c r="J13" i="2"/>
  <c r="I13" i="2"/>
  <c r="C13" i="2"/>
  <c r="K12" i="2"/>
  <c r="J12" i="2"/>
  <c r="I12" i="2"/>
  <c r="C12" i="2"/>
  <c r="D4" i="2"/>
  <c r="G5" i="3" s="1"/>
  <c r="D3" i="2"/>
  <c r="G4" i="3" s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144" i="2" l="1"/>
</calcChain>
</file>

<file path=xl/sharedStrings.xml><?xml version="1.0" encoding="utf-8"?>
<sst xmlns="http://schemas.openxmlformats.org/spreadsheetml/2006/main" count="1008" uniqueCount="494">
  <si>
    <t>Pedido de Necesidades Trimestrales</t>
  </si>
  <si>
    <t>JURISDICCION:</t>
  </si>
  <si>
    <t>040 - Ministerio de Salud</t>
  </si>
  <si>
    <t xml:space="preserve">SAF N°: </t>
  </si>
  <si>
    <t>11/ 23/ 24  o  28- "…......."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</si>
  <si>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</si>
  <si>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</si>
  <si>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</si>
  <si>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</si>
  <si>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</si>
  <si>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</si>
  <si>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</si>
  <si>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</si>
  <si>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</si>
  <si>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</si>
  <si>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</si>
  <si>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ACICLOVIR 200 MG COMPRIMIDO</t>
  </si>
  <si>
    <t>COMPRIMIDO</t>
  </si>
  <si>
    <t>ACICLOVIR 400 MG COMPRIMIDO</t>
  </si>
  <si>
    <t>ACICLOVIR 500 MG FCO AMPOLLA</t>
  </si>
  <si>
    <t>AMPOLLA</t>
  </si>
  <si>
    <t>ACICLOVIR 80 MG/ML SUSPENSIÓN X 200ML</t>
  </si>
  <si>
    <t>FRASCO</t>
  </si>
  <si>
    <t>ACIDO ACETIL SALICILICO 100 MG COMPRIMIDO</t>
  </si>
  <si>
    <t>ACIDO ACETIL SALICILICO 500 MG COMPRIMIDO</t>
  </si>
  <si>
    <t>ALLOPURINOL 300 MG COMPRIMIDO</t>
  </si>
  <si>
    <t>AMIKACINA 500 MG AMPOLLA</t>
  </si>
  <si>
    <t>AMOXICILINA + CLAVULANICO 1 G COMPRIMIDO</t>
  </si>
  <si>
    <t>AMOXICILINA 500 MG COMPRIMIDO</t>
  </si>
  <si>
    <t>AMOXICILINA 500 MG SUSPENSIÓN X 90 ML</t>
  </si>
  <si>
    <t>AMPICILINA + SULBACTAM 1,5 MG FCO AMPOLLA</t>
  </si>
  <si>
    <t>AMPICILINA 1G FCO AMPOLLA</t>
  </si>
  <si>
    <t>AMPICILINA 500 MG COMPRIMIDO</t>
  </si>
  <si>
    <t>ANFOTERICINA B LIPOSOMAL VIAL 50 MG</t>
  </si>
  <si>
    <t>ANFOTERICINA B VIAL 50 MG</t>
  </si>
  <si>
    <t>AZITROMICINA 200 MG / 5 ML SUSPENSIÓN x 15 ML</t>
  </si>
  <si>
    <t xml:space="preserve">AZITROMICINA 500 MG COMPRIMIDOS </t>
  </si>
  <si>
    <t>BACLOFENO 10 MG COMPRIMIDO</t>
  </si>
  <si>
    <t>BARIO SULFATO TIPO EZ-CAT  SUSPENSION ORAL X 225 ML</t>
  </si>
  <si>
    <t>BARIO SULFATO TIPO GASTROPAQUE  F SUSPENSION PARA ENEMA x 500 ml</t>
  </si>
  <si>
    <t>BARIO SULFATO TIPO GASTROPAQUE F SUSPENSION ORAL X 300 ML</t>
  </si>
  <si>
    <t>BUPIVACAINA  0,5% C/EPINEFRINA FRASCO X 20 ML</t>
  </si>
  <si>
    <t>BUPIVACAINA  0,5% S/EPINEFRINA  FRASCO X 20 ML</t>
  </si>
  <si>
    <t xml:space="preserve">BUPIVACAINA 5 MG / ML  HIBERBARICA  AMPOLLA DE 4 ML CON AGUJA 27 G X 3 1/2 CON INTRODUCTOR </t>
  </si>
  <si>
    <t>CEFALEXINA 500 MG COMPRIMIDOS</t>
  </si>
  <si>
    <t>CEFALEXINA 500 MG SUSPENSIÓN X 90 ML</t>
  </si>
  <si>
    <t>CEFALOTINA 1 GR. AMP.</t>
  </si>
  <si>
    <t>CEFAZOLINA 1GR FCO AMPOLLA</t>
  </si>
  <si>
    <t>CEFTAZIDIMA 1G FCO AMPOLLA</t>
  </si>
  <si>
    <t xml:space="preserve">CEFTRIAXONA 1 GR FCO AMPOLLA </t>
  </si>
  <si>
    <t>CEFUROXIMA 750 MG FCO AMPOLLA</t>
  </si>
  <si>
    <t>CIPROFLOXACINA 500 MG COMP</t>
  </si>
  <si>
    <t>CLARITROMICINA 250 MG SUSPENSIÓN X 90 ML</t>
  </si>
  <si>
    <t>CLARITROMICINA 500 MG COMPRIMIDO</t>
  </si>
  <si>
    <t>CLARITROMICINA 500 MG FRASCO AMPOLLA</t>
  </si>
  <si>
    <t>CLINDAMICINA 300MG CAPSULAS</t>
  </si>
  <si>
    <t>CAPSULAS</t>
  </si>
  <si>
    <t>CLINDAMICINA 600 MG AMPOLLA</t>
  </si>
  <si>
    <t>COLISTINA 100 MG FCO AMPOLLA</t>
  </si>
  <si>
    <t>COTRIMOXAZOL (TRIMETOPRINA+SULFAMETOXAZOL) COMPRIMIDOS 160MG/800MG</t>
  </si>
  <si>
    <t>COTRIMOXAZOL (TRIMETOPRINA+SULFAMETOXAZOL) SUSPENSION 40MG/200MG/5ML x 60 ML</t>
  </si>
  <si>
    <t>DANTROLENO 20 MG/60 ML KIT X 12 FCO AMPOLLA</t>
  </si>
  <si>
    <t>KIT</t>
  </si>
  <si>
    <t>DEXMEDETOMIDINA 200MG x 2 ml AMPOLLA</t>
  </si>
  <si>
    <t>DIATRIZOATO DE SODIO 25 GR  X 50 ML ( TIPO TRIYOSOM 50)</t>
  </si>
  <si>
    <t>DIATRIZOATO DE MEGLUMINA + DIATRIZOATO DE SODIO (TIPO TRIYOSOM GI, TEMISTAC) X 120 ML SOLUCION ORAL Y RECTAL</t>
  </si>
  <si>
    <t>DICLOFENAC 75 MG COMPRIMIDOS</t>
  </si>
  <si>
    <t xml:space="preserve">DICLOFENAC 75 MG. AMPOLLA </t>
  </si>
  <si>
    <t>DICLOFENAC POTASICO 500MG/100ML JARABE X 120</t>
  </si>
  <si>
    <t>DIPIRONA 1GR AMPOLLA</t>
  </si>
  <si>
    <t>DIPIRONA JARABE X 120 ML</t>
  </si>
  <si>
    <t>DOXICICLINA 100 MG COMPRIMIDO</t>
  </si>
  <si>
    <t>EMULSION LIPIDICA PARA PERFUSION INTRAVENOSA TIPO INTRALIPIP 20% ENVASE POR 500 ML.</t>
  </si>
  <si>
    <t>ENVASE</t>
  </si>
  <si>
    <t>FENOBARBITAL 200MG AMPOLLAS</t>
  </si>
  <si>
    <t>FENTANILO 250 MCG INYECTABLE</t>
  </si>
  <si>
    <t>FLUCONAZOL 100 MG COMPRIMIDOS</t>
  </si>
  <si>
    <t>FLUCONAZOL 200 MG SACHET 100 ML</t>
  </si>
  <si>
    <t>FLUCONAZOL 50MG/5ML SUSPENSION X 35 ML</t>
  </si>
  <si>
    <t>FOSFOMICINA 1GR FRASCO AMPOLLA</t>
  </si>
  <si>
    <t>GADOPENTETATO FRASCO X 15 ML</t>
  </si>
  <si>
    <t>GENTAMICINA 80 MG AMPOLLA</t>
  </si>
  <si>
    <t>IBUPROFENO 2% SUSPENSIÓN X 90 ML</t>
  </si>
  <si>
    <t>IBUPROFENO 400 MG AMPOLLA</t>
  </si>
  <si>
    <t>IBUPROFENO 400 MG COMPRIMIDO</t>
  </si>
  <si>
    <t>INMUNOGLOBULINA ANTI RH jeringa prellena 250-330MCG/ML</t>
  </si>
  <si>
    <t>UNIDAD</t>
  </si>
  <si>
    <t>INMUNOGLOBULINA HUMANA INESPECIFICA 10 GRS</t>
  </si>
  <si>
    <t>INMUNOGLOBULINA HUMANA INESPECIFICA 2,5 GRS</t>
  </si>
  <si>
    <t>INMUNOGLOBULINA HUMANA INESPECIFICA 5 GRS</t>
  </si>
  <si>
    <t>INMUNOGLOBULINA HUMANA INESPECIFICA 6 GRS</t>
  </si>
  <si>
    <t>ITRACONAZOL 100 MG COMPRIMIDO</t>
  </si>
  <si>
    <t>KETAMINA 50MG/ML FCO AMPOLLA</t>
  </si>
  <si>
    <t>KETOROLAC 10 MG COMPRIMIDO</t>
  </si>
  <si>
    <t>KETOROLAC 30 MG AMPOLLA</t>
  </si>
  <si>
    <t>LEVOFLOXACINA 500 MG COMPRIMIDO</t>
  </si>
  <si>
    <t>LIDOCAINA  2% SIN EPINEFRINA FCO X 5ML</t>
  </si>
  <si>
    <t>LIDOCAINA 2%  SIN EPINEFRINA X 20 ML</t>
  </si>
  <si>
    <t>LIDOCAINA 2% CON EPINEFRINA X 20 ML</t>
  </si>
  <si>
    <t>LIDOCAINA AEROSOL</t>
  </si>
  <si>
    <t>LIDOCAINA JALEA</t>
  </si>
  <si>
    <t>LIDOCAINA SOLUCION TOPICA</t>
  </si>
  <si>
    <t>LINEZOLI SOLUCION 2MG/ML X 300ML</t>
  </si>
  <si>
    <t>MEBENDAZOL 100 MG COMPRIMIDO</t>
  </si>
  <si>
    <t>MEBENDAZOL 2% SUSPENSIÓN DE 30 ML</t>
  </si>
  <si>
    <t>MEROPENEM 1000MG FCO AMPOLLA</t>
  </si>
  <si>
    <t>MEROPENEM 500MG FCO AMPOLLA</t>
  </si>
  <si>
    <t>METRONIDAZOL 25MG/ML SUSPENSION X 120 ML</t>
  </si>
  <si>
    <t>METRONIDAZOL 500 MG COMPRIMIDO</t>
  </si>
  <si>
    <t>METRONIDAZOL 500 MG SACHET</t>
  </si>
  <si>
    <t>MIDAZOLAM 15 MG AMPOLLA</t>
  </si>
  <si>
    <t>MINOCICLINA 100 MG COMPRIMIDO</t>
  </si>
  <si>
    <t>MORFINA 10 MG AMPOLLA</t>
  </si>
  <si>
    <t>NALBUFINA 10 MG AMPOLLA</t>
  </si>
  <si>
    <t>NAPROXENO 500MG COMPRIMIDO</t>
  </si>
  <si>
    <t>ORNIDAZOL 1GR AMPOLLA</t>
  </si>
  <si>
    <t>PANCURONIO 4 MG/ ML</t>
  </si>
  <si>
    <t>PARACETAMOL 1GR COMPRIMIDO</t>
  </si>
  <si>
    <t>PARACETAMOL 1GR ML FRASCO AMPOLLA</t>
  </si>
  <si>
    <t>PARACETAMOL 2% JARABE x 120 ml</t>
  </si>
  <si>
    <t>PARACETAMOL 500 MG COMPRIMIDO</t>
  </si>
  <si>
    <t>PARACETAMOL GOTAS</t>
  </si>
  <si>
    <t>GOTERO</t>
  </si>
  <si>
    <t>PARACETAMOL SUSPENSIÓN</t>
  </si>
  <si>
    <t>PENICILINA BENZATINICA 1.200.000 FCO AMPOLLA</t>
  </si>
  <si>
    <t>PENICILINA BENZATINICA 2.400.000 FCO AMPOLLA</t>
  </si>
  <si>
    <t>PENICILINA G SODICA 1.000.000 FCO AMPOLLA</t>
  </si>
  <si>
    <t>PENICILINA G SODICA 3.000.000 UI FCO AMPOLLA</t>
  </si>
  <si>
    <t>PERMETRINA EMULSION</t>
  </si>
  <si>
    <t>PERMETRINA LOCION</t>
  </si>
  <si>
    <t>PIPERACILINA 4 GRS + TAZOBACTAM 500 MG FCO AMPOLLA</t>
  </si>
  <si>
    <t>POLIETILENGLICO 3350  SOBRES X 30 TIPO OSTILAX</t>
  </si>
  <si>
    <t>CAJA</t>
  </si>
  <si>
    <t>POLIETILENGLICOL 3350 X 4 LITROS</t>
  </si>
  <si>
    <t>PROPOFOL 1% AMPOLLAS X 20 ML</t>
  </si>
  <si>
    <t>PROPOFOL 1% FCO AMPOLLAS VIAL X 50 ML</t>
  </si>
  <si>
    <t>PROPOFOL 2% FCO AMPOLLAS VIAL X 50 ML</t>
  </si>
  <si>
    <t>REMIFENTANILO 5 MG FCO AMPOLLA</t>
  </si>
  <si>
    <t>RIFAMPICINA 20 MG/ML SUSPENSIÓN</t>
  </si>
  <si>
    <t xml:space="preserve">RIFAMPICINA 300 MG CAPSULAS </t>
  </si>
  <si>
    <t>RIFAMPICINA 600 MG VIAL</t>
  </si>
  <si>
    <t>SUCCINILCOLINA 500 MG FCO AMP</t>
  </si>
  <si>
    <t>TIGECICLINA 50MG FCO AMPOLLA</t>
  </si>
  <si>
    <t>TIOPENTAL SODICO 1GR FRASCO AMPOLLA</t>
  </si>
  <si>
    <t>TRAMADOL 50 MG AMPOLLA</t>
  </si>
  <si>
    <t>VANCOMICINA 1000 MG FCO AMP</t>
  </si>
  <si>
    <t>VANCOMICINA 500 MG FCO AMP</t>
  </si>
  <si>
    <t>VECURONIO BROMURO 10 MG AMPOLLA</t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</si>
  <si>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</t>
    </r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</si>
  <si>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…........................... DE XX:00 AXX:00HS.,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</si>
  <si>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XXXX</t>
    </r>
  </si>
  <si>
    <r>
      <rPr>
        <u/>
        <sz val="11"/>
        <rFont val="Times New Roman"/>
        <family val="1"/>
      </rPr>
      <t>Calidad Minima</t>
    </r>
    <r>
      <rPr>
        <sz val="11"/>
        <rFont val="Times New Roman"/>
        <family val="1"/>
      </rPr>
      <t xml:space="preserve"> esperada:</t>
    </r>
  </si>
  <si>
    <r>
      <rPr>
        <u/>
        <sz val="10"/>
        <rFont val="Times New Roman"/>
        <family val="1"/>
      </rPr>
      <t>Mantenimiento</t>
    </r>
    <r>
      <rPr>
        <u/>
        <sz val="10"/>
        <rFont val="Times New Roman"/>
        <family val="1"/>
      </rPr>
      <t xml:space="preserve">: 45 dias habiles </t>
    </r>
  </si>
  <si>
    <t>NOTA DE PEDIDO</t>
  </si>
  <si>
    <t>N°</t>
  </si>
  <si>
    <t>xxx/2022</t>
  </si>
  <si>
    <t xml:space="preserve">JURISDICCIÓN: </t>
  </si>
  <si>
    <t>SAF:</t>
  </si>
  <si>
    <t>UNIDAD EJECUTORA:</t>
  </si>
  <si>
    <t>XXXX</t>
  </si>
  <si>
    <t xml:space="preserve">DEPENDENCIA SOLICITANTE: </t>
  </si>
  <si>
    <t>PERIODO UTILIZACIÓN:</t>
  </si>
  <si>
    <t>Semestral</t>
  </si>
  <si>
    <t>OBJETO:</t>
  </si>
  <si>
    <t>Adquisición de TERAPIA ANTIINFECCIOSA SISTEMICA/SUEROS INMUNES E INMUNOGLOBULINAS  Y MEDIOS DE CONTRASTES /ANALGESICOS ANTINFLAMATORIOS /MIORRELAJANTES/ANESTESICOS/ANALGESICOS OPIACIOS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</si>
  <si>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</si>
  <si>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</si>
  <si>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</si>
  <si>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</si>
  <si>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</si>
  <si>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</si>
  <si>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</si>
  <si>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</si>
  <si>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Costo total estimado: xxxxxxxxxxxxxxxxxxxx con 00/100.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</si>
  <si>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</si>
  <si>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</si>
  <si>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u/>
        <sz val="10"/>
        <rFont val="Arial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</si>
  <si>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</si>
  <si>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</si>
  <si>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</si>
  <si>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</si>
  <si>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</si>
  <si>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</si>
  <si>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</si>
  <si>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</si>
  <si>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</si>
  <si>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</si>
  <si>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</si>
  <si>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</si>
  <si>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</si>
  <si>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</si>
  <si>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</si>
  <si>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</si>
  <si>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</si>
  <si>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</si>
  <si>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</si>
  <si>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xxxxxxxxxxxxxxx con 00/100.</t>
  </si>
  <si>
    <t>JUSTIFICACIÓN:</t>
  </si>
  <si>
    <t>Para la adquisición de .... … destinados al servico de …... del Hospital …...............</t>
  </si>
  <si>
    <t>2.5.2-1829.24</t>
  </si>
  <si>
    <t>PROD. MEDICO/FARMACEUTICOS/LAB</t>
  </si>
  <si>
    <t>2.5.2-1829.35</t>
  </si>
  <si>
    <t>2.5.2-1821.235</t>
  </si>
  <si>
    <t>2.5.2-1724.3</t>
  </si>
  <si>
    <t>2.5.2-1724.16</t>
  </si>
  <si>
    <t>2.5.2-1864.6</t>
  </si>
  <si>
    <t>2.5.2-1821.1</t>
  </si>
  <si>
    <t>2.5.2-1821.440</t>
  </si>
  <si>
    <t>2.5.2-1821.9</t>
  </si>
  <si>
    <t>2.5.2-1821.399</t>
  </si>
  <si>
    <t>2.5.2-1821.389</t>
  </si>
  <si>
    <t>2.5.2-1821.8</t>
  </si>
  <si>
    <t>2.5.2-1821.5</t>
  </si>
  <si>
    <t>2.5.2-1823.1</t>
  </si>
  <si>
    <t>2.5.2-1821.94</t>
  </si>
  <si>
    <t>2.5.2-1821.502</t>
  </si>
  <si>
    <t>2.5.2-1837.19</t>
  </si>
  <si>
    <t>2.5.2-1883.139</t>
  </si>
  <si>
    <t>2.5.2-1883.24</t>
  </si>
  <si>
    <t>2.5.2-1821.321</t>
  </si>
  <si>
    <t>2.5.2-1821.337</t>
  </si>
  <si>
    <t>2.5.2-1821.405</t>
  </si>
  <si>
    <t>2.5.2-1821.62</t>
  </si>
  <si>
    <t>2.5.2-1821.384</t>
  </si>
  <si>
    <t>2.5.2-1821.214</t>
  </si>
  <si>
    <t>2.5.2-1821.222</t>
  </si>
  <si>
    <t>2.5.2-1821.387</t>
  </si>
  <si>
    <t>2.5.2-1821.46</t>
  </si>
  <si>
    <t>2.5.2-1821.37</t>
  </si>
  <si>
    <t>2.5.2-1821.338</t>
  </si>
  <si>
    <t>2.5.2-1821.36</t>
  </si>
  <si>
    <t>2.5.2-1821.43</t>
  </si>
  <si>
    <t>2.5.2-1821.234</t>
  </si>
  <si>
    <t>2.5.2-1724.149</t>
  </si>
  <si>
    <t>2.5.2-1724.140</t>
  </si>
  <si>
    <t>2.5.2-1724.117</t>
  </si>
  <si>
    <t>2.5.2-1724.208</t>
  </si>
  <si>
    <t>2.5.2-1724.74</t>
  </si>
  <si>
    <t>2.5.2-1821.458</t>
  </si>
  <si>
    <t>2.5.2-1865.2</t>
  </si>
  <si>
    <t>2.5.2-1821.238</t>
  </si>
  <si>
    <t>2.5.2-1821.442</t>
  </si>
  <si>
    <t>2.5.2-1821.491</t>
  </si>
  <si>
    <t>2.5.2-1821.4</t>
  </si>
  <si>
    <t>2.5.2-1724.163</t>
  </si>
  <si>
    <t>2.5.2-1725.68</t>
  </si>
  <si>
    <t>2.5.2-1821.459</t>
  </si>
  <si>
    <t>2.5.2-1859.29</t>
  </si>
  <si>
    <t>2.5.2-1859.30</t>
  </si>
  <si>
    <t>2.5.2-1859.28</t>
  </si>
  <si>
    <t>2.5.2-1823.84</t>
  </si>
  <si>
    <t>2.5.2-2455.20</t>
  </si>
  <si>
    <t>2.5.2-1724.23</t>
  </si>
  <si>
    <t>2.5.2-1725.49</t>
  </si>
  <si>
    <t>2.5.2-1821.71</t>
  </si>
  <si>
    <t>2.5.2-1883.111</t>
  </si>
  <si>
    <t>2.5.2-1883.136</t>
  </si>
  <si>
    <t>2.5.2-1883.186</t>
  </si>
  <si>
    <t>2.5.2-1883.19</t>
  </si>
  <si>
    <t>2.5.2-1883.149</t>
  </si>
  <si>
    <t>2.5.2-1883.28</t>
  </si>
  <si>
    <t>2.5.2-1821.329</t>
  </si>
  <si>
    <t>2.5.2-1857.12</t>
  </si>
  <si>
    <t>2.5.2-1857.36</t>
  </si>
  <si>
    <t>2.5.2-1821.421</t>
  </si>
  <si>
    <t>2.5.2-1821.463</t>
  </si>
  <si>
    <t>2.5.2-1821.400</t>
  </si>
  <si>
    <t>2.5.2-1821.76</t>
  </si>
  <si>
    <t>2.5.2-1821.334</t>
  </si>
  <si>
    <t>2.5.2-1870.15</t>
  </si>
  <si>
    <t>2.5.2-1821.115</t>
  </si>
  <si>
    <t>2.5.2-1724.98</t>
  </si>
  <si>
    <t>2.5.2-1724.206</t>
  </si>
  <si>
    <t>2.5.2-1725.35</t>
  </si>
  <si>
    <t>2.5.2-1821.123</t>
  </si>
  <si>
    <t>2.5.2-1883.165</t>
  </si>
  <si>
    <t>2.5.2-1724.230</t>
  </si>
  <si>
    <t>2.5.2-1724.29</t>
  </si>
  <si>
    <t>2.5.2-1821.220</t>
  </si>
  <si>
    <t>2.5.2-1821.54</t>
  </si>
  <si>
    <t>2.5.2-1821.260</t>
  </si>
  <si>
    <t>2.5.2-1821.13</t>
  </si>
  <si>
    <t>2.5.2-1821.77</t>
  </si>
  <si>
    <t>2.5.2-3603.15</t>
  </si>
  <si>
    <t>2.5.2-2455.27</t>
  </si>
  <si>
    <t>2.5.2-2455.48</t>
  </si>
  <si>
    <t>2.5.2-1883.173</t>
  </si>
  <si>
    <t>2.5.2-1821.219</t>
  </si>
  <si>
    <t>2.5.2-1822.6</t>
  </si>
  <si>
    <t>2.5.2-1821.201</t>
  </si>
  <si>
    <t>2.5.2-2455.31</t>
  </si>
  <si>
    <t>2.5.2-2199.2</t>
  </si>
  <si>
    <t>2.5.2-1821.423</t>
  </si>
  <si>
    <t>2.5.2-2455.34</t>
  </si>
  <si>
    <t>2.5.2-1724.154</t>
  </si>
  <si>
    <t>2.5.2-1821.510</t>
  </si>
  <si>
    <t>2.5.2-2199.13</t>
  </si>
  <si>
    <t>ANTIVIRALES; TIPO: MONODROGA, DROGA GENERICA: ACICLOVIR, FORMA FARMACEUTICA: COMPRIMIDO, PRESENTACION: 200 mGr</t>
  </si>
  <si>
    <t>ANTIVIRALES; TIPO: MONODROGA, DROGA GENERICA: ACICLOVIR, FORMA FARMACEUTICA: COMPRIMIDO, PRESENTACION: 400 mGr</t>
  </si>
  <si>
    <t>ANTIBIOTICOS P/PERSONAS; TIPO: MONODROGA, DROGA GENERICA: ACICLOVIR 500 MG, FORMA FARMACEUTICA: FRASCO AMPOLLA, PRESENTACION: 500 mGr</t>
  </si>
  <si>
    <t>ANALGESICOS ; TIPO: MONODROGA, DROGA GENERICA: ACIDO ACETILSALICILICO, PRESENTACION: 100 mGr, FORMA FARMACEUTICA: COMPRIMIDO</t>
  </si>
  <si>
    <t>ANALGESICOS ; PRESENTACION: 500 mGr, TIPO: MONODROGA, DROGA GENERICA: ACIDO ACETILSALICILICO, FORMA FARMACEUTICA: COMPRIMIDO</t>
  </si>
  <si>
    <t>HIPOURICEMIANTES; TIPO: MONODROGA, DROGA GENERICA: ALOPURINOL 300 mGr, FORMA FARMACEUTICA: COMPRIMIDO, PRESENTACION: UNIDAD</t>
  </si>
  <si>
    <t>ANTIBIOTICOS P/PERSONAS; TIPO: MONODROGA, DROGA GENERICA: AMIKACINA, PRESENTACION: 500 mGr, FORMA FARMACEUTICA: AMPOLLA</t>
  </si>
  <si>
    <t>ANTIBIOTICOS P/PERSONAS; TIPO: ASOCIACION, DROGA GENERICA: AMOXICIL. 875 MG+CLAVUL.125 MG mGr, FORMA FARMACEUTICA: COMPRIMIDO, PRESENTACION: UNIDAD</t>
  </si>
  <si>
    <t>ANTIBIOTICOS P/PERSONAS; TIPO: MONODROGA, DROGA GENERICA: AMOXICILINA, PRESENTACION: 500 mGr, FORMA FARMACEUTICA: COMPRIMIDOS</t>
  </si>
  <si>
    <t>ANTIBIOTICOS P/PERSONAS; TIPO: MONODROGA, DROGA GENERICA: AMOXICILINA 500 mGr, FORMA FARMACEUTICA: SUSPENSION, PRESENTACION: ENVASE X 90 mL</t>
  </si>
  <si>
    <t>ANTIBIOTICOS P/PERSONAS; TIPO: ASOCIACION, DROGA GENERICA: AMPICILINA + SULBACTAN, FORMA FARMACEUTICA: FRASCO AMPOLLA, PRESENTACION: ENVASE X 1,5 GR</t>
  </si>
  <si>
    <t>ANTIBIOTICOS P/PERSONAS; TIPO: MONODROGA, DROGA GENERICA: AMPICILINA, FORMA FARMACEUTICA: AMPOLLA, PRESENTACION: 1 GR</t>
  </si>
  <si>
    <t>ANTIBIOTICOS P/PERSONAS; TIPO: MONODROGA, DROGA GENERICA: AMPICILINA, FORMA FARMACEUTICA: COMPRIMIDOS, PRESENTACION: 500 mGr</t>
  </si>
  <si>
    <t>ANTIMICOTICOS; DROGA GENERICA: ANFOTERICINA B, FORMA FARMACEUTICA: AMPOLLA, PRESENTACION: 50 mGr, TIPO: MONODROGA</t>
  </si>
  <si>
    <t>ANTIBIOTICOS P/PERSONAS; TIPO: MONODROGA, DROGA GENERICA: AZITROMICINA, FORMA FARMACEUTICA: COMPRIMIDO, PRESENTACION: 500 mGr</t>
  </si>
  <si>
    <t>ANTIBIOTICOS P/PERSONAS; TIPO: MONODROGA, DROGA GENERICA: AZITROMICINA 200 mGr, FORMA FARMACEUTICA: SUSPENSION, PRESENTACION: ENVASE X 15 Ml</t>
  </si>
  <si>
    <t>HIPOTENSORES; TIPO: MONODROGA, DROGA GENERICA: BACLOFENO, FORMA FARMACEUTICA: COMPRIMIDO, PRESENTACION: 10 mGr</t>
  </si>
  <si>
    <t>ANESTESICOS LOCALES; TIPO: ASOCIACION, DROGA GENERICA: BUPIVACAINA 0,5 % C/EPINEFRINA, FORMA FARMACEUTICA: FRASCO AMPOLLA, PRESENTACION: ENVASE X 20 mL</t>
  </si>
  <si>
    <t>ANESTESICOS LOCALES; TIPO: MONODROGA, DROGA GENERICA: BUPIVACAINA 0,5 %, FORMA FARMACEUTICA: FRASCO, PRESENTACION: 20 mL</t>
  </si>
  <si>
    <t>ANTIBIOTICOS P/PERSONAS; TIPO: MONODROGA, DROGA GENERICA: CEFALEXINA 500 mGr, FORMA FARMACEUTICA: COMPRIMIDO, PRESENTACION: 1 UN</t>
  </si>
  <si>
    <t>ANTIBIOTICOS P/PERSONAS; TIPO: MONODROGA, DROGA GENERICA: CEFALEXINA 500MG, FORMA FARMACEUTICA: SUSPENSION, PRESENTACION: ENVASE X 90 mL</t>
  </si>
  <si>
    <t>ANTIBIOTICOS P/PERSONAS; TIPO: MONODROGA, DROGA GENERICA: CEFALOTINA SODICA, FORMA FARMACEUTICA: FRASCO AMPOLLA, PRESENTACION: 1 GR</t>
  </si>
  <si>
    <t>ANTIBIOTICOS P/PERSONAS; TIPO: MONODROGA, DROGA GENERICA: CEFAZOLINA, FORMA FARMACEUTICA: AMPOLLA, PRESENTACION: 1 GR</t>
  </si>
  <si>
    <t>ANTIBIOTICOS P/PERSONAS; TIPO: MONODROGA, DROGA GENERICA: CEFTAZIDIMA, FORMA FARMACEUTICA: FRASCO AMPOLLA, PRESENTACION: ENVASE X 1 GR</t>
  </si>
  <si>
    <t>ANTIBIOTICOS P/PERSONAS; TIPO: MONODROGA, DROGA GENERICA: CEFTRIAXONA, FORMA FARMACEUTICA: FRASCO AMPOLLA, PRESENTACION: 1 GR</t>
  </si>
  <si>
    <t>ANTIBIOTICOS P/PERSONAS; TIPO: MONODROGA, DROGA GENERICA: CEFUROXIMA, FORMA FARMACEUTICA: FRASCO AMPOLLA, PRESENTACION: 750 mGr</t>
  </si>
  <si>
    <t>ANTIBIOTICOS P/PERSONAS; TIPO: MONODROGA, DROGA GENERICA: CIPROFLOXACINA, FORMA FARMACEUTICA: SACHET, PRESENTACION: ENVASE X 200 mGr</t>
  </si>
  <si>
    <t>ANTIBIOTICOS P/PERSONAS; TIPO: MONODROGA, FORMA FARMACEUTICA: COMPRIMIDO, PRESENTACION: 500 mGr, DROGA GENERICA: CIPROFLOXACINA</t>
  </si>
  <si>
    <t>ATRACURIUM 50 MG AMPOLLA</t>
  </si>
  <si>
    <t>ANTIBIOTICOS P/PERSONAS; TIPO: MONODROGA, DROGA GENERICA: CLARITROMICINA 250MG, FORMA FARMACEUTICA: SUSPENSION, PRESENTACION: ENVASE X 90 mL</t>
  </si>
  <si>
    <t>ANTIBIOTICOS P/PERSONAS; TIPO: MONODROGA, DROGA GENERICA: CLARITROMICINA, FORMA FARMACEUTICA: COMPRIMIDO, PRESENTACION: 500 mGr</t>
  </si>
  <si>
    <t>ANTIBIOTICOS P/PERSONAS; TIPO: MONODROGA, DROGA GENERICA: CLINDAMICINA, FORMA FARMACEUTICA: AMPOLLA, PRESENTACION: 600 mGr</t>
  </si>
  <si>
    <t>ANTIBIOTICOS P/PERSONAS; DROGA GENERICA: CLARITROMICINA, FORMA FARMACEUTICA: AMPOLLA, PRESENTACION: 500 mGr, TIPO: MONODROGA</t>
  </si>
  <si>
    <t>ANTIBIOTICOS P/PERSONAS; TIPO: MONODROGA, DROGA GENERICA: COLISTINA 100 MG, FORMA FARMACEUTICA: FRASCO AMPOLLA, PRESENTACION: 100 mGr</t>
  </si>
  <si>
    <t>ANTIBIOTICOS P/PERSONAS; TIPO: MONODROGA, DROGA GENERICA: VANCOMICINA 1 GR, FORMA FARMACEUTICA: FRASCO AMPOLLA, PRESENTACION: UNIDAD</t>
  </si>
  <si>
    <t>ANALGESICOS ; TIPO: MONODROGA, DROGA GENERICA: TRAMADOL 50 mGr, FORMA FARMACEUTICA: AMPOLLA, PRESENTACION: UNIDAD</t>
  </si>
  <si>
    <t>ANESTESICOS GENERALES; DROGA GENERICA: TIOPENTAL SODICO 1 GR, FORMA FARMACEUTICA: FRASCO AMPOLLA, PRESENTACION: UNIDAD, TIPO: MONODROGA</t>
  </si>
  <si>
    <t>ANTIBIOTICOS P/PERSONAS; TIPO: MONODROGA, DROGA GENERICA: TIGECICLINA 50 mGr, FORMA FARMACEUTICA: FRASCO AMPOLLA, PRESENTACION: UNIDAD</t>
  </si>
  <si>
    <t>BLOQUEANTES NEUROMUSCULARES; DROGA GENERICA: SUCCINILCOLINA, FORMA FARMACEUTICA: AMPOLLA, PRESENTACION: 500 mGr, TIPO: MONODROGA</t>
  </si>
  <si>
    <t>ANTIMICOBACTERIAS; TIPO: MONODROGA, DROGA GENERICA: RIFAMPICINA, PRESENTACION: 300 mGr, FORMA FARMACEUTICA: CAPSULA</t>
  </si>
  <si>
    <t>ANTIBIOTICOS P/PERSONAS; TIPO: ANTITUBERCULOSTATICO, DROGA GENERICA: RIFAMPICINA X 2 GR, FORMA FARMACEUTICA: EN SUSPENSION CADA 100 mL, PRESENTACION: FRASCO X 50 Ml</t>
  </si>
  <si>
    <t>ANESTESICOS LOCALES; TIPO: MONODROGA, DROGA GENERICA: REMIFENTANILO 5 mGr, FORMA FARMACEUTICA: AMPOLLA, PRESENTACION: UNIDAD</t>
  </si>
  <si>
    <t>ANESTESICOS GENERALES; DROGA GENERICA: PROPOFOL 200mGr, FORMA FARMACEUTICA: AMPOLLA, PRESENTACION ENVASE: X 50ml, TIPO: MONODROGA</t>
  </si>
  <si>
    <t>ANESTESICOS GENERALES; DROGA GENERICA: PROPOFOL 200 mGr, FORMA FARMACEUTICA: AMPOLLA, PRESENTACION: ENVASE X 20 mL, TIPO: MONODROGA</t>
  </si>
  <si>
    <t>ANALGESICOS ; TIPO: MONODROGA, DROGA GENERICA: DICLOFENAC X 75 MG, FORMA FARMACEUTICA: COMPRIMIDO, PRESENTACION: UNIDAD</t>
  </si>
  <si>
    <t>ANALGESICOS ; TIPO: ASOCIACION, DROGA GENERICA: DICLOFENAC SODICO, FORMA FARMACEUTICA: AMPOLLA, PRESENTACION: 3 mL</t>
  </si>
  <si>
    <t>ANALGESICOS ; TIPO: MONODROGA, DROGA GENERICA: DIPIRONA, FORMA FARMACEUTICA: JARABE, PRESENTACION: FRASCO X 120 mL</t>
  </si>
  <si>
    <t>ANTIBIOTICOS P/PERSONAS; TIPO: MONODROGA, DROGA GENERICA: DOXICICLINA 100 mGr, FORMA FARMACEUTICA: COMPRIMIDO, PRESENTACION: UNIDAD</t>
  </si>
  <si>
    <t>ANALGESICOS ; TIPO: MONODROGA, DROGA GENERICA: DIPIRONA SODICA 1 GR, FORMA FARMACEUTICA: AMPOLLA, PRESENTACION: 2 mL</t>
  </si>
  <si>
    <t>ANTIEPILEPTICOS; TIPO: MONODROGA, FORMA FARMACEUTICA: AMPOLLA, PRESENTACION: 200 mGr, DROGA GENERICA: FENOBARBITAL</t>
  </si>
  <si>
    <t>ANTIBIOTICOS P/PERSONAS; TIPO: MONODROGA, DROGA GENERICA: FLUCONAZOL 100 MG, FORMA FARMACEUTICA: COMPRIMIDO, PRESENTACION: 100 mGr</t>
  </si>
  <si>
    <t>ANTIBIOTICOS P/PERSONAS; TIPO: MONODROGA, DROGA GENERICA: FLUCONAZOL 200 MG, FORMA FARMACEUTICA: SOLUCION INYECTABLE, PRESENTACION: ENVASE X 100 mL</t>
  </si>
  <si>
    <t>ANTIBIOTICOS P/PERSONAS; TIPO: MONODROGA, DROGA GENERICA: FOSFOMICINA, FORMA FARMACEUTICA: AMPOLLA, PRESENTACION: ENVASE X 1 GR</t>
  </si>
  <si>
    <t>ANTIBIOTICOS P/PERSONAS; DROGA GENERICA: GENTAMICINA, FORMA FARMACEUTICA: AMPOLLA, PRESENTACION: 80 mGr, TIPO: MONODROGA</t>
  </si>
  <si>
    <t>ANALGESICOS ; TIPO: MONODROGA, DROGA GENERICA: IBUPROFENO 2%, FORMA FARMACEUTICA: SUSPENSION, PRESENTACION: ENVASE X 90 mL</t>
  </si>
  <si>
    <t>ANTIINFLAMATORIOS NO ESTEROIDE; TIPO: MONODROGA, DROGA GENERICA: IBUPROFENO, FORMA FARMACEUTICA: COMPRIMIDO, PRESENTACION: 400 mGr</t>
  </si>
  <si>
    <t>ANTIBIOTICOS P/PERSONAS; TIPO: MONODROGA, DROGA GENERICA: IMIPENEM + CILASTATINA, FORMA FARMACEUTICA: FRASCO AMPOLLA, PRESENTACION: ENVASE X 500 mGr</t>
  </si>
  <si>
    <t>INMUNOMODULADORES; TIPO: MONODROGA, DROGA GENERICA: INMUNOGLOBULINA G HUMANA, FORMA FARMACEUTICA: VIAL, PRESENTACION: 10 GR</t>
  </si>
  <si>
    <t>INMUNOMODULADORES; TIPO: MONODROGA, DROGA GENERICA: INMUNOGLOBULINA G HUMANA, FORMA FARMACEUTICA: VIAL, PRESENTACION: 2,5 GR</t>
  </si>
  <si>
    <t>INMUNOMODULADORES; TIPO: MONODROGA, DROGA GENERICA: INMUNOGLOBULINA G HUMANA, FORMA FARMACEUTICA: VIAL, PRESENTACION: 5 GR</t>
  </si>
  <si>
    <t>ANTIMICOTICOS; TIPO: MONODROGA, DROGA GENERICA: ITRACONAZOL, FORMA FARMACEUTICA: COMPRIMIDO, PRESENTACION: 100 mGr</t>
  </si>
  <si>
    <t>ANESTESICOS GENERALES; DROGA GENERICA: KETAMINA 50 MG/ML, FORMA FARMACEUTICA: FRASCO AMPOLLA, PRESENTACION: 10 mL, TIPO: MONODROGA</t>
  </si>
  <si>
    <t>ANTIINFLAMATORIOS NO ESTEROIDE; DROGA GENERICA: KETOROLAC, FORMA FARMACEUTICA: COMPRIMIDO, PRESENTACION: 10 mGr, TIPO: MONODROGA</t>
  </si>
  <si>
    <t>ANALGESICOS ; TIPO: MONODROGA, DROGA GENERICA: KETOROLAC, FORMA FARMACEUTICA: AMPOLLA, PRESENTACION: 30 mGr</t>
  </si>
  <si>
    <t>ANTIBIOTICOS P/PERSONAS; TIPO: MONODROGA, DROGA GENERICA: LEVOFLOXACINA, PRESENTACION: 500 mGr, FORMA FARMACEUTICA: COMPRIMIDO</t>
  </si>
  <si>
    <t>ANESTESICOS LOCALES; TIPO: MONODROGA, DROGA GENERICA: LIDOCAINA 2%S/EPINEFRINA, FORMA FARMACEUTICA: AMPOLLA, PRESENTACION: 5 mL</t>
  </si>
  <si>
    <t>ANESTESICOS LOCALES; TIPO: MONODROGA, DROGA GENERICA: LIDOCAINA 2% S/EPINEFRINA, FORMA FARMACEUTICA: FRASCO AMPOLLA, PRESENTACION: ENVASE X 20 mL</t>
  </si>
  <si>
    <t>ANESTESICOS LOCALES; TIPO: ASOCIACION, DROGA GENERICA: LIDOCAINA 2% C/EPINEFRINA, FORMA FARMACEUTICA: FRASCO AMPOLLA, PRESENTACION: 20 mL</t>
  </si>
  <si>
    <t>ANESTESICOS LOCALES; TIPO: MONODROGA, DROGA GENERICA: LIDOCAINA, FORMA FARMACEUTICA: AEROSOL, PRESENTACION: 100 mL</t>
  </si>
  <si>
    <t>ANESTESICOS LOCALES; TIPO: MONODROGA, DROGA GENERICA: LIDOCAINA, FORMA FARMACEUTICA: JALEA, PRESENTACION: ENVASE X 25 GR</t>
  </si>
  <si>
    <t>ANESTESICOS LOCALES; TIPO: MONODROGA, DROGA GENERICA: LIDOCAINA VISCOSA, FORMA FARMACEUTICA: ENVASE, PRESENTACION: 50 mL</t>
  </si>
  <si>
    <t>ANTIBIOTICOS P/PERSONAS; TIPO: MONODROGA, DROGA GENERICA: LINEZOLID, FORMA FARMACEUTICA: SOLUCION, PRESENTACION: ENVASE X 300 mL</t>
  </si>
  <si>
    <t>ANTIPARASITARIOS; TIPO: MONODROGA, DROGA GENERICA: MEBENDAZOL, FORMA FARMACEUTICA: COMPRIMIDOS, PRESENTACION: 100 mGr</t>
  </si>
  <si>
    <t>ANTIPARASITARIOS; TIPO: MONODROGA, DROGA GENERICA: MEBENDAZOL 2%, FORMA FARMACEUTICA: SUSPENSION, PRESENTACION: ENVASE X 30 mL</t>
  </si>
  <si>
    <t>ANTIBIOTICOS P/PERSONAS; TIPO: MONODROGA, DROGA GENERICA: MEROPENEM 1000 mGr, FORMA FARMACEUTICA: AMPOLLA, PRESENTACION: UNIDAD</t>
  </si>
  <si>
    <t>ANTIBIOTICOS P/PERSONAS; TIPO: MONODROGA, DROGA GENERICA: MEROPENEM 500 mGr, FORMA FARMACEUTICA: FRASCO AMPOLLA, PRESENTACION: UNIDAD</t>
  </si>
  <si>
    <t>ANTIBIOTICOS P/PERSONAS; TIPO: MONODROGA, DROGA GENERICA: METRONIDAZOL 125MG/5ML, FORMA FARMACEUTICA: SUSPENSION ORAL, PRESENTACION: ENVASE X 120 mL</t>
  </si>
  <si>
    <t>ANTIBIOTICOS P/PERSONAS; TIPO: MONODROGA, FORMA FARMACEUTICA: COMPRIMIDO, PRESENTACION: 500 mGr, DROGA GENERICA: METRONIDAZOL</t>
  </si>
  <si>
    <t>HIPNOTICOS; TIPO: MONODROGA, DROGA GENERICA: MIDAZOLAM 15 mGr, FORMA FARMACEUTICA: AMPOLLA, PRESENTACION: ENVASE X 3 mL</t>
  </si>
  <si>
    <t>ANTIBIOTICOS P/PERSONAS; TIPO: MONODROGA, DROGA GENERICA: METRONIDAZOL 500 mGr, FORMA FARMACEUTICA: SACHET X 100 mL, PRESENTACION: UNIDAD</t>
  </si>
  <si>
    <t>ANTIBIOTICOS P/PERSONAS; TIPO: MONODROGA, DROGA GENERICA: MINOCICLINA, FORMA FARMACEUTICA: COMPRIMIDO, PRESENTACION: 100 mGr</t>
  </si>
  <si>
    <t>ANALGESICOS ; TIPO: MONODROGA, DROGA GENERICA: MORFINA CLORIDRATO 1%, FORMA FARMACEUTICA: AMPOLLA, PRESENTACION: 1 mL</t>
  </si>
  <si>
    <t>ANALGESICOS ; TIPO: MONODROGA, DROGA GENERICA: NALBUFINA 10 mGr, FORMA FARMACEUTICA: AMPOLLA, PRESENTACION: ENVASE X 1 mL</t>
  </si>
  <si>
    <t>ANTIINFLAMATORIOS NO ESTEROIDE; TIPO: MONODROGA, DROGA GENERICA: NAPROXENO, FORMA FARMACEUTICA: COMPRIMIDO, PRESENTACION: 500 mGr</t>
  </si>
  <si>
    <t>ANTIBIOTICOS P/PERSONAS; TIPO: MONODROGA, DROGA GENERICA: ORNIDAZOL, PRESENTACION: 1 GR, FORMA FARMACEUTICA: AMPOLLA</t>
  </si>
  <si>
    <t>ANESTESICOS LOCALES; TIPO: MONODROGA, DROGA GENERICA: PANCURONIO BROMURO 4 mGr, FORMA FARMACEUTICA: AMPOLLA, PRESENTACION: ENVASE X 2 mL</t>
  </si>
  <si>
    <t>ANALGESICOS ; PRESENTACION: 100 mL, FORMA FARMACEUTICA: AMPOLLA, DROGA GENERICA: PARACETAMOL 1000 mGr, TIPO: MONODROGA mGr</t>
  </si>
  <si>
    <t>ANALGESICOS ; TIPO: MONODROGA, DROGA GENERICA: PARACETAMOL, FORMA FARMACEUTICA: GOTAS, PRESENTACION: 20 mL</t>
  </si>
  <si>
    <t>ANTIBIOTICOS P/PERSONAS; TIPO: MONODROGA, DROGA GENERICA: PENICILINA G. BENZATINICA, FORMA FARMACEUTICA: AMPOLLA, PRESENTACION: 1.200.000 UI</t>
  </si>
  <si>
    <t>ANTIBIOTICOS P/PERSONAS; TIPO: MONODROGA, DROGA GENERICA: PENICILINA G. BENZATINICA, FORMA FARMACEUTICA: FRASCO AMPOLLA, PRESENTACION: 2.400.000 UI</t>
  </si>
  <si>
    <t>ANTIBIOTICOS P/PERSONAS; TIPO: MONODROGA, DROGA GENERICA: PENICILINA G. SODICA, FORMA FARMACEUTICA: AMPOLLA, PRESENTACION: 3.000.000 UI</t>
  </si>
  <si>
    <t>ANTIBIOTICOS P/PERSONAS; TIPO: ASOCIACION, DROGA GENERICA: PIPERACILINA+TAZOBACTAN, FORMA FARMACEUTICA: AMPOLLA, PRESENTACION: 4,5 GR</t>
  </si>
  <si>
    <t>EVACUANTES INTESTINALES; TIPO: MONODROGA, DROGA GENERICA: POLIETILENGLICOL, FORMA FARMACEUTICA: SOLUCION, PRESENTACION: ENVASE X 4 L</t>
  </si>
  <si>
    <t>BLOQUEANTES NEUROMUSCULARES; DROGA GENERICA: BROMURO DE VECURONIO, FORMA FARMACEUTICA: AMPOLLA X 10 mGr, PRESENTACION: UNIDAD, TIPO: MONODROGA</t>
  </si>
  <si>
    <t>INDOMETACINA 100 mg  SUPOSITORIOS CAJA X 10 UNIDADES</t>
  </si>
  <si>
    <t>ANTIBIOTICOS P/PERSONAS; TIPO: MONODROGA, DROGA GENERICA: RIFAMPICINA, FORMA FARMACEUTICA: FRASCO AMPOLLA, PRESENTACION: 600 mGr</t>
  </si>
  <si>
    <t>ANTIBIOTICOS P/PERSONAS; TIPO: MONODROGA, DROGA GENERICA: AZITROMICINA 200 mGr, FORMA FARMACEUTICA: SUSPENSION, PRESENTACION: ENVASE X 15 mL</t>
  </si>
  <si>
    <t>ANTIBIOTICOS P/PERSONAS; TIPO: ANTITUBERCULOSTATICO, DROGA GENERICA: RIFAMPICINA X 2 GR, FORMA FARMACEUTICA: EN SUSPENSION CADA 100 mL, PRESENTACION: FRASCO X 50 mL</t>
  </si>
  <si>
    <t>ANESTESICOS GENERALES; DROGA GENERICA: SEVOFLUORANO, FORMA FARMACEUTICA: SOLUCION, PRESENTACION: ENVASE X 250 mL, TIPO: MONODROGA</t>
  </si>
  <si>
    <t>ANTIBIOTICOS P/PERSONAS; TIPO: MONODROGA, DROGA GENERICA: PENICILINA G. SODICA, FORMA FARMACEUTICA: FRASCO AMPOLLA, PRESENTACION: 1.000.000 UI</t>
  </si>
  <si>
    <t>2.5.2-1883.159</t>
  </si>
  <si>
    <t>ANTIBIOTICOS P/PERSONAS; DROGA GENERICA: VANCOMICINA, FORMA FARMACEUTICA: AMPOLLA, TIPO: MONODROGA, PRESENTACION: 500 mGr</t>
  </si>
  <si>
    <t>2.5.2-1829.48</t>
  </si>
  <si>
    <t>2.5.2-1821.524</t>
  </si>
  <si>
    <t>2.5.2-1823.113</t>
  </si>
  <si>
    <t>2.5.2-2199.16</t>
  </si>
  <si>
    <t>2.5.2-1726.523</t>
  </si>
  <si>
    <t>2.5.2-1726.524</t>
  </si>
  <si>
    <t>2.5.2-1726.525</t>
  </si>
  <si>
    <t>2.5.2-1883.188</t>
  </si>
  <si>
    <t>2.5.2-1821.42</t>
  </si>
  <si>
    <t>2.5.2-1726.526</t>
  </si>
  <si>
    <t>2.5.2-1821.525</t>
  </si>
  <si>
    <t>2.5.2-1821.526</t>
  </si>
  <si>
    <t>2.5.2-1821.527</t>
  </si>
  <si>
    <t>2.5.2-1724.241</t>
  </si>
  <si>
    <t>2.5.2-1726.528</t>
  </si>
  <si>
    <t>2.5.2-1726.512</t>
  </si>
  <si>
    <t>2.5.2-1725.153</t>
  </si>
  <si>
    <t>2.5.2-1726.527</t>
  </si>
  <si>
    <t>2.5.2-1823.114</t>
  </si>
  <si>
    <t>2.5.2-3603.13</t>
  </si>
  <si>
    <t>2.5.2-3603.1</t>
  </si>
  <si>
    <t>2.5.2-1726.490</t>
  </si>
  <si>
    <t>2.5.2-1905.96</t>
  </si>
  <si>
    <t>2.5.2-1905.67</t>
  </si>
  <si>
    <t>2.5.2-1725.154</t>
  </si>
  <si>
    <t>2.5.2-5275.16</t>
  </si>
  <si>
    <t>2.5.2-1859.24</t>
  </si>
  <si>
    <t>2.5.2-1724.243</t>
  </si>
  <si>
    <t>2.5.2-1724.244</t>
  </si>
  <si>
    <t>2.5.2-1724.245</t>
  </si>
  <si>
    <t>2.5.2-3097.9</t>
  </si>
  <si>
    <t>2.5.2-3097.1</t>
  </si>
  <si>
    <t>2.5.2-3603.18</t>
  </si>
  <si>
    <t>2.5.2-2455.49</t>
  </si>
  <si>
    <t>2.5.2-1821.44</t>
  </si>
  <si>
    <t>ANALGÉSICOS ; TIPO: MONODROGA, DROGA GENÉRICA: DEXMEDETOMIDINA 200 MG, FORMA FARMACEÚTICA: AMPOLLA, PRESENTACIÓN: ENVASE X 2 ML</t>
  </si>
  <si>
    <t>ANESTÉSICOS LOCALES; TIPO: MONODROGA, DROGA GENÉRICA: FENTANILO 250 MCG, FORMA FARMACEÚTICA: AMPOLLA, PRESENTACIÓN: UNIDAD</t>
  </si>
  <si>
    <t>EVACUANTES INTESTINALES; TIPO: ASOCIACION, DROGA GENERICA: FOSFATO MONOSODICO-BISODICO, FORMA FARMACEUTICA: SOLUCION, PRESENTACION: ENVASE X 45 mL</t>
  </si>
  <si>
    <t>EVACUANTES INTESTINALES; DROGA GENERICA: FOSFATO MONOSODICO-BISODICO, FORMA FARMACEUTICA: SOLUCION, PRESENTACION: 135 mL, TIPO: ASOCIACION</t>
  </si>
  <si>
    <t>FOSFATO  SODICO TIPO FOSFODON X 45 ML</t>
  </si>
  <si>
    <t>FOSFATO SODICO ENEMA TIPO ENEMOL SOL EXTEMPORANEA x 135 ml</t>
  </si>
  <si>
    <t>ENTREGA DIRECCION DE CANCER PROGRAMA NACIONAL</t>
  </si>
  <si>
    <t>2.5.2-1724.242</t>
  </si>
  <si>
    <t>ANALGESICOS ; TIPO: MONODROGA, DROGA GENERICA: MORFINA, FORMA FARMACEUTICA: COMPRIMIDO, PRESENTACION: 10 MGR</t>
  </si>
  <si>
    <t>ANTIVIRALES; TIPO: MONODROGA, DROGA GENERICA: ACICLOVIR 80 MG/ ML, FORMA FARMACEUTICA: SUSPENSION, PRESENTACION: ENVASE X 200 ML</t>
  </si>
  <si>
    <t>ANTIBIOTICOS P/PERSONAS; TIPO: ASOCIACION, DROGA GENERICA: AMOXICILINA + AC.CLAVULANICO 400 MG / 57 MG, FORMA FARMACEUTICA: SUSPENSION, PRESENTACION: ENVASE X 70 ML</t>
  </si>
  <si>
    <t>ANTIMICOTICOS; DROGA GENERICA: ANFOTERICINA B LIPOSOMAL, FORMA FARMACEUTICA: AMPOLLA, PRESENTACION: 50 MGR, TIPO: MONODROGA</t>
  </si>
  <si>
    <t>BLOQUEANTES NEUROMUSCULARES; DROGA GENERICA: ATRACURIO, FORMA FARMACEUTICA: AMPOLLA, PRESENTACION: 50 mGr, TIPO: MONODROGA</t>
  </si>
  <si>
    <t>SOLUCIONES P/MEDICINA; TIPO: SULFATO DE BARIO, PRESENTACION: ENVASE SUSPENSION X 225 ML</t>
  </si>
  <si>
    <t>SOLUCIONES P/MEDICINA; TIPO: SULFATO DE BARIO, PRESENTACION: ENVASE SUSPENSION PARA ENEMA X 500 ML</t>
  </si>
  <si>
    <t>SOLUCIONES P/MEDICINA; TIPO: SULFATO DE BARIO, PRESENTACION: ENVASE SUSPENSION ORAL X 300 ML</t>
  </si>
  <si>
    <t>ANESTESICOS LOCALES; TIPO: MONODROGA, DROGA GENERICA: BUPIVACAINA 0,5% HIPERBARICA, FORMA FARMACEUTICA: AMPOLLA, PRESENTACION: 4 ML CON AGUJA 27 G X 3 1/2 CON INTRODUCTOR</t>
  </si>
  <si>
    <t>ANTIBIOTICOS P/PERSONAS; TIPO: MONODROGA, DROGA GENERICA: CLINDAMICINA, FORMA FARMACEUTICA: COMPRIMIDO, PRESENTACION: 300 mGr</t>
  </si>
  <si>
    <t>SOLUCIONES P/MEDICINA; TIPO: CONTRASTE RADIOLOGICO NO IONICO, PRESENTACION: ENVASE X 50 ML</t>
  </si>
  <si>
    <t>ANTIBIOTICOS P/PERSONAS; TIPO: MONODROGA, DROGA GENERICA: COTRIMOXAZOL, FORMA FARMACEUTICA: AMPOLLA, PRESENTACION: 80 MG/ 400 MG</t>
  </si>
  <si>
    <t>ANTIBIOTICOS P/PERSONAS; TIPO: MONODROGA, DROGA GENERICA: COTRIMOXAZOL, FORMA FARMACEUTICA: COMPRIMIDO, PRESENTACION: 160 MG/ 800 MG</t>
  </si>
  <si>
    <t>ANTIBIOTICOS P/PERSONAS; TIPO: MONODROGA, DROGA GENERICA: COTRIMOXAZOL, FORMA FARMACEUTICA: SUSPENSIÓN X 60 ML, PRESENTACION: 40MG/200 MG</t>
  </si>
  <si>
    <t>SOLUCIONES P/MEDICINA; TIPO: DIATRIZOATO DE SODIO 25 GR; PRESENTACION: FRASCO X 50 ML</t>
  </si>
  <si>
    <t>SOLUCIONES P/MEDICINA; TIPO: DIATRIZOATO DE MEGLUMINA + DIATRIZOATO DE SODIO; PRESENTACION: FRASCO x 120 ml</t>
  </si>
  <si>
    <t>ANALGESICOS ; TIPO: ASOCIACION, DROGA GENERICA: DICLOFENAC SODICO, FORMA FARMACEUTICA: AMPOLLA, PRESENTACION: 3 Ml</t>
  </si>
  <si>
    <t>ANTIINFLAMATORIOS NO ESTEROIDE; TIPO: MONODROGA, DROGA GENERICA: DICLOFENAC POTASICO 500MG/100ML, FORMA FARMACEUTICA: JARABE, PRESENTACION: 120 ML</t>
  </si>
  <si>
    <t>SOLUCIONES P/MEDICINA; TIPO: EMULSIÓN LIPÌDICA PARA PERFUSIÓN, DROGA FOSFOLÍPIDO, PRESENTACIÓN: INTRAVENOSA AL 20%, ENVASE POR 500 ML</t>
  </si>
  <si>
    <t>ANTIMICOTICOS; DROGA GENERICA: FLUCONAZOL, FORMA FARMACEUTICA: SUSPENSION X 35 ML, PRESENTACION: 50 MGR/5ML, TIPO: MONODROGA</t>
  </si>
  <si>
    <t>SOLUCIONES P/MEDICINA; PRESENTACION: ENVASE X 15 mL, TIPO: CONTRASTE P/RESONANCIA</t>
  </si>
  <si>
    <t>VACUNAS; TIPO: G.GLOBULINA+TOXOIDE ANTITETÁNICO, PRESENTACIÓN: ENVASE X 250 UI</t>
  </si>
  <si>
    <t>VACUNAS; TIPO: G.GLOBULINA+TOXOIDE ANTITETÁNICO, PRESENTACIÓN: ENVASE X 500 UI</t>
  </si>
  <si>
    <t>ANTIINFLAMATORIOS NO ESTEROIDE; TIPO: MONODROGA, DROGA GENERICA: INDOMETACINA 100 MG, FORMA FARMACEUTICA: SUPOSITORIO, PRESENTACION: CAJA X 10 UNIDADES</t>
  </si>
  <si>
    <t>ANTI GAMMA TOTAL; TIPO: INMUNOGLOBULINA HUMAN ANTI-RH, PRESENTACION: JERINGA PRELLENA 250-330MCG/ML</t>
  </si>
  <si>
    <t>INMUNOMODULADORES; TIPO: MONODROGA, DROGA GENERICA: GAMMAGLOBULINA, FORMA FARMACEUTICA: AMPOLLA, PRESENTACION: 6 GR</t>
  </si>
  <si>
    <t>ANALGÉSICOS ; TIPO: MONODROGA, DROGA GENÉRICA: PARACETAMOL 500 MGR, FORMA FARMACEÚTICA: COMPRIMIDO, PRESENTACIÓN: X UNIDAD</t>
  </si>
  <si>
    <t>PEDICULICIDAS; DROGA GENERICA: PERMETRINA, FORMA FARMACEUTICA: EMULSION, PRESENTACION: 100 mL</t>
  </si>
  <si>
    <t>PEDICULICIDAS; DROGA GENERICA: PERMETRINA 1%, FORMA FARMACEUTICA: SOLUCION, PRESENTACION: FRASCO X 100 mL</t>
  </si>
  <si>
    <t>EVACUANTES INTESTINALES; TIPO: ASOCIACION, DROGA GENERICA: POLIETILENGLICOL 3350, FORMA FARMACEÚTICA: SOBRES, PRESENTACION: SOBRES X 30</t>
  </si>
  <si>
    <t>ANESTÉSICOS GENERALES; DROGA GENÉRICA: PROPOFOL 2%, 400MGR, FORMA FARMACEÚTICA: AMPOLLA, PRESENTACIÓN ENVASE: X 50ML, TIPO: MONODROGA</t>
  </si>
  <si>
    <t>AMOXICILINA 400 MG + ACIDO CLAVULANICO 57 MG SUSPENSIÓN x 70 ML</t>
  </si>
  <si>
    <t>CIPROFLOXACINA 200 MG sachet</t>
  </si>
  <si>
    <t>COTRIMOXAZOL(TRIMETOPRINA +SULFAMETOXAZOL)80MG/400MG AMPOLLA</t>
  </si>
  <si>
    <t>CONTRASTE NO IONICO X 300 MG X 50 ML(IOPRAMIDA,IOVITRIDOL,IODIXANOL,IOHEXOL,IOVERSOL)</t>
  </si>
  <si>
    <t>GAMMAGLOBULINA + TOXOIDE 250 UI</t>
  </si>
  <si>
    <t>GAMMAGLOBULINA + TOXOIDE 500 UI</t>
  </si>
  <si>
    <t>IMIPENEM+CILASTATINA 500MG FCO AMPOLLA</t>
  </si>
  <si>
    <t>SEVOFLUORANO X 250 ML TIPO ABBOTT</t>
  </si>
  <si>
    <t>ANALGESICOS; TIPO: MONODROGA, DROGA GENERICA: DANTROLENO SODICO, FORMA FARMACEUTICA: AMPOLLAS, PRESENTACION: 20 MG/60 ML KIT X 12 FRASCOS</t>
  </si>
  <si>
    <t>ANALGESICOS; TIPO: MONODROGA, DROGA GENERICA: PARACETAMOL 1 GR, FORMA FARMACEUTICA: COMPRIMIDO, PRESENTACION: UNIDAD</t>
  </si>
  <si>
    <t>ANALGESICOS; TIPO: MONODROGA, DROGA GENERICA: PARACETAMOL 2%, 100MG/5ML, FORMA FARMACEÚTICA: JARABE, PRESENTACION: 120 ML</t>
  </si>
  <si>
    <t>según archivo tramites 2 trim 2022 - Vademecun</t>
  </si>
  <si>
    <t>codigo item</t>
  </si>
  <si>
    <t>DESCRIPCION COMPR.AR</t>
  </si>
  <si>
    <t>descripcion compr.ar</t>
  </si>
  <si>
    <t>unidad de medida</t>
  </si>
  <si>
    <t>SACHET</t>
  </si>
  <si>
    <t>precio actualizado al 2do trim.2022</t>
  </si>
  <si>
    <t>codificacion ruben</t>
  </si>
  <si>
    <t>2.5.2-1724.107</t>
  </si>
  <si>
    <t>ANALGESICOS ; TIPO: MONODROGA, DROGA GENERICA: IBUPROFENO 400, FORMA FARMACEUTICA: AMPOLLA, PRESENTACION: 3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</si>
</sst>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.00_-;\-&quot;$&quot;* #,##0.00_-;_-&quot;$&quot;* &quot;-&quot;??_-;_-@"/>
    <numFmt numFmtId="165" formatCode="_-&quot;$&quot;\ * #,##0.00_-;\-&quot;$&quot;\ * #,##0.00_-;_-&quot;$&quot;\ * &quot;-&quot;??_-;_-@"/>
    <numFmt numFmtId="166" formatCode="&quot;$&quot;\ #,##0.00"/>
    <numFmt numFmtId="167" formatCode="[$$-2C0A]\ #,##0.00;[$$-2C0A]&quot; -&quot;#,##0.00"/>
    <numFmt numFmtId="168" formatCode="[$$-2C0A]\ #,##0.00"/>
    <numFmt numFmtId="169" formatCode="dd\-mm\-yy"/>
  </numFmts>
  <fonts count="36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sz val="10"/>
      <name val="Arial"/>
      <family val="2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0"/>
      <name val="Calibri"/>
      <family val="2"/>
    </font>
    <font>
      <sz val="9"/>
      <name val="Times New Roman"/>
      <family val="1"/>
    </font>
    <font>
      <sz val="11"/>
      <name val="Times New Roman"/>
      <family val="1"/>
    </font>
    <font>
      <u/>
      <sz val="10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u/>
      <sz val="11"/>
      <name val="Times New Roman"/>
      <family val="1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2"/>
      <name val="Times New Roman"/>
      <family val="1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9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3D3D3D"/>
      </right>
      <top/>
      <bottom style="medium">
        <color rgb="FF000000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000000"/>
      </bottom>
      <diagonal/>
    </border>
    <border>
      <left style="medium">
        <color rgb="FF3D3D3D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3D3D3D"/>
      </right>
      <top/>
      <bottom style="medium">
        <color rgb="FF000000"/>
      </bottom>
      <diagonal/>
    </border>
    <border>
      <left style="medium">
        <color rgb="FF3D3D3D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10"/>
  </cellStyleXfs>
  <cellXfs count="220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left" wrapText="1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166" fontId="15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16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5" xfId="0" applyFont="1" applyBorder="1"/>
    <xf numFmtId="0" fontId="19" fillId="0" borderId="16" xfId="0" applyFont="1" applyBorder="1" applyAlignment="1">
      <alignment horizontal="right" vertical="center"/>
    </xf>
    <xf numFmtId="0" fontId="20" fillId="2" borderId="17" xfId="0" applyFont="1" applyFill="1" applyBorder="1" applyAlignment="1">
      <alignment horizontal="center" vertical="center"/>
    </xf>
    <xf numFmtId="0" fontId="21" fillId="0" borderId="18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3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2" fillId="0" borderId="42" xfId="0" applyFont="1" applyBorder="1" applyAlignment="1">
      <alignment horizontal="center" vertical="center"/>
    </xf>
    <xf numFmtId="0" fontId="2" fillId="0" borderId="42" xfId="0" applyFont="1" applyBorder="1" applyAlignment="1">
      <alignment horizontal="left" vertical="center"/>
    </xf>
    <xf numFmtId="0" fontId="2" fillId="0" borderId="42" xfId="0" applyFont="1" applyBorder="1" applyAlignment="1">
      <alignment horizontal="center" vertical="center" wrapText="1"/>
    </xf>
    <xf numFmtId="167" fontId="2" fillId="0" borderId="42" xfId="0" applyNumberFormat="1" applyFont="1" applyBorder="1" applyAlignment="1">
      <alignment horizontal="right" vertical="center" wrapText="1"/>
    </xf>
    <xf numFmtId="3" fontId="2" fillId="0" borderId="42" xfId="0" applyNumberFormat="1" applyFont="1" applyBorder="1" applyAlignment="1">
      <alignment horizontal="center" vertical="center"/>
    </xf>
    <xf numFmtId="0" fontId="2" fillId="0" borderId="46" xfId="0" applyFont="1" applyBorder="1" applyAlignment="1">
      <alignment horizontal="left" vertical="center"/>
    </xf>
    <xf numFmtId="0" fontId="2" fillId="0" borderId="46" xfId="0" applyFont="1" applyBorder="1" applyAlignment="1">
      <alignment horizontal="center" vertical="center"/>
    </xf>
    <xf numFmtId="3" fontId="25" fillId="0" borderId="0" xfId="0" applyNumberFormat="1" applyFont="1"/>
    <xf numFmtId="16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/>
    <xf numFmtId="0" fontId="10" fillId="0" borderId="53" xfId="0" applyFont="1" applyBorder="1"/>
    <xf numFmtId="0" fontId="10" fillId="0" borderId="49" xfId="0" applyFont="1" applyBorder="1"/>
    <xf numFmtId="0" fontId="10" fillId="0" borderId="56" xfId="0" applyFont="1" applyBorder="1"/>
    <xf numFmtId="0" fontId="10" fillId="0" borderId="56" xfId="0" applyFont="1" applyBorder="1" applyAlignment="1">
      <alignment horizontal="left"/>
    </xf>
    <xf numFmtId="0" fontId="10" fillId="0" borderId="50" xfId="0" applyFont="1" applyBorder="1"/>
    <xf numFmtId="0" fontId="29" fillId="0" borderId="58" xfId="0" applyFont="1" applyBorder="1" applyAlignment="1">
      <alignment horizontal="center" vertical="center"/>
    </xf>
    <xf numFmtId="0" fontId="29" fillId="0" borderId="59" xfId="0" applyFont="1" applyBorder="1" applyAlignment="1">
      <alignment horizontal="center" vertical="center"/>
    </xf>
    <xf numFmtId="0" fontId="29" fillId="0" borderId="59" xfId="0" applyFont="1" applyBorder="1" applyAlignment="1">
      <alignment horizontal="left" vertical="center"/>
    </xf>
    <xf numFmtId="0" fontId="29" fillId="0" borderId="60" xfId="0" applyFont="1" applyBorder="1" applyAlignment="1">
      <alignment horizontal="center" vertical="center"/>
    </xf>
    <xf numFmtId="0" fontId="29" fillId="0" borderId="61" xfId="0" applyFont="1" applyBorder="1" applyAlignment="1">
      <alignment horizontal="center" vertical="center"/>
    </xf>
    <xf numFmtId="0" fontId="10" fillId="2" borderId="62" xfId="0" applyFont="1" applyFill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10" fillId="2" borderId="63" xfId="0" applyFont="1" applyFill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167" fontId="10" fillId="0" borderId="67" xfId="0" applyNumberFormat="1" applyFont="1" applyBorder="1" applyAlignment="1">
      <alignment horizontal="center" vertical="center"/>
    </xf>
    <xf numFmtId="0" fontId="10" fillId="0" borderId="68" xfId="0" applyFont="1" applyBorder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  <xf numFmtId="167" fontId="10" fillId="0" borderId="74" xfId="0" applyNumberFormat="1" applyFont="1" applyBorder="1" applyAlignment="1">
      <alignment horizontal="center" vertical="center"/>
    </xf>
    <xf numFmtId="0" fontId="27" fillId="0" borderId="68" xfId="0" applyFont="1" applyBorder="1" applyAlignment="1">
      <alignment horizontal="center" vertical="center"/>
    </xf>
    <xf numFmtId="0" fontId="27" fillId="0" borderId="69" xfId="0" applyFont="1" applyBorder="1" applyAlignment="1">
      <alignment horizontal="center" vertical="center"/>
    </xf>
    <xf numFmtId="0" fontId="27" fillId="0" borderId="70" xfId="0" applyFont="1" applyBorder="1" applyAlignment="1">
      <alignment horizontal="center" vertical="center"/>
    </xf>
    <xf numFmtId="0" fontId="27" fillId="0" borderId="71" xfId="0" applyFon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/>
    </xf>
    <xf numFmtId="0" fontId="10" fillId="0" borderId="76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167" fontId="10" fillId="0" borderId="79" xfId="0" applyNumberFormat="1" applyFont="1" applyBorder="1" applyAlignment="1">
      <alignment horizontal="center" vertical="center"/>
    </xf>
    <xf numFmtId="167" fontId="29" fillId="2" borderId="83" xfId="0" applyNumberFormat="1" applyFont="1" applyFill="1" applyBorder="1" applyAlignment="1">
      <alignment horizontal="center" vertical="center"/>
    </xf>
    <xf numFmtId="0" fontId="2" fillId="0" borderId="10" xfId="0" applyFont="1" applyBorder="1"/>
    <xf numFmtId="0" fontId="8" fillId="0" borderId="10" xfId="0" applyFont="1" applyBorder="1" applyAlignment="1">
      <alignment horizontal="left" wrapText="1"/>
    </xf>
    <xf numFmtId="0" fontId="7" fillId="0" borderId="10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10" xfId="0" applyFont="1" applyBorder="1" applyAlignment="1">
      <alignment horizontal="center" wrapText="1"/>
    </xf>
    <xf numFmtId="3" fontId="10" fillId="3" borderId="86" xfId="0" applyNumberFormat="1" applyFont="1" applyFill="1" applyBorder="1" applyAlignment="1">
      <alignment horizontal="center" vertical="center"/>
    </xf>
    <xf numFmtId="0" fontId="9" fillId="0" borderId="86" xfId="0" applyFont="1" applyBorder="1" applyAlignment="1">
      <alignment horizontal="center" vertical="center" wrapText="1"/>
    </xf>
    <xf numFmtId="164" fontId="9" fillId="0" borderId="86" xfId="0" applyNumberFormat="1" applyFont="1" applyBorder="1" applyAlignment="1">
      <alignment horizontal="center" vertical="center" wrapText="1"/>
    </xf>
    <xf numFmtId="165" fontId="10" fillId="3" borderId="86" xfId="0" applyNumberFormat="1" applyFont="1" applyFill="1" applyBorder="1" applyAlignment="1">
      <alignment horizontal="center" vertical="center"/>
    </xf>
    <xf numFmtId="0" fontId="12" fillId="3" borderId="86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166" fontId="15" fillId="0" borderId="1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2" xfId="0" applyFont="1" applyBorder="1" applyAlignment="1">
      <alignment horizontal="left" vertical="center" wrapText="1"/>
    </xf>
    <xf numFmtId="0" fontId="17" fillId="0" borderId="14" xfId="0" applyFont="1" applyBorder="1" applyAlignment="1">
      <alignment vertical="center"/>
    </xf>
    <xf numFmtId="0" fontId="31" fillId="0" borderId="0" xfId="0" applyFont="1" applyAlignment="1">
      <alignment horizontal="left" vertical="center"/>
    </xf>
    <xf numFmtId="0" fontId="31" fillId="4" borderId="0" xfId="0" applyFont="1" applyFill="1" applyAlignment="1">
      <alignment vertical="center"/>
    </xf>
    <xf numFmtId="164" fontId="2" fillId="0" borderId="10" xfId="0" applyNumberFormat="1" applyFont="1" applyBorder="1"/>
    <xf numFmtId="0" fontId="2" fillId="0" borderId="10" xfId="0" applyFont="1" applyBorder="1" applyAlignment="1">
      <alignment horizontal="center" vertical="center"/>
    </xf>
    <xf numFmtId="0" fontId="35" fillId="5" borderId="86" xfId="0" applyFont="1" applyFill="1" applyBorder="1" applyAlignment="1">
      <alignment vertical="center"/>
    </xf>
    <xf numFmtId="0" fontId="0" fillId="5" borderId="86" xfId="0" applyFill="1" applyBorder="1" applyAlignment="1">
      <alignment horizontal="center" vertical="center" wrapText="1"/>
    </xf>
    <xf numFmtId="0" fontId="0" fillId="5" borderId="86" xfId="0" applyFill="1" applyBorder="1" applyAlignment="1">
      <alignment horizontal="left" vertical="center" wrapText="1"/>
    </xf>
    <xf numFmtId="0" fontId="2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44" xfId="0" applyFont="1" applyBorder="1" applyAlignment="1">
      <alignment wrapText="1"/>
    </xf>
    <xf numFmtId="0" fontId="2" fillId="0" borderId="39" xfId="0" applyFont="1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8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wrapText="1"/>
    </xf>
    <xf numFmtId="0" fontId="4" fillId="0" borderId="8" xfId="0" applyFont="1" applyBorder="1"/>
    <xf numFmtId="0" fontId="4" fillId="0" borderId="10" xfId="0" applyFont="1" applyBorder="1"/>
    <xf numFmtId="0" fontId="4" fillId="0" borderId="9" xfId="0" applyFont="1" applyBorder="1"/>
    <xf numFmtId="0" fontId="2" fillId="0" borderId="11" xfId="0" applyFont="1" applyBorder="1" applyAlignment="1">
      <alignment horizontal="left" wrapText="1"/>
    </xf>
    <xf numFmtId="0" fontId="4" fillId="0" borderId="3" xfId="0" applyFont="1" applyBorder="1"/>
    <xf numFmtId="0" fontId="5" fillId="0" borderId="2" xfId="0" applyFont="1" applyBorder="1" applyAlignment="1">
      <alignment horizontal="left" vertical="center" wrapText="1"/>
    </xf>
    <xf numFmtId="0" fontId="4" fillId="0" borderId="4" xfId="0" applyFont="1" applyBorder="1"/>
    <xf numFmtId="0" fontId="5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wrapText="1"/>
    </xf>
    <xf numFmtId="0" fontId="6" fillId="2" borderId="2" xfId="0" applyFont="1" applyFill="1" applyBorder="1" applyAlignment="1">
      <alignment horizontal="left" wrapText="1"/>
    </xf>
    <xf numFmtId="0" fontId="18" fillId="5" borderId="10" xfId="0" applyFont="1" applyFill="1" applyBorder="1" applyAlignment="1">
      <alignment horizontal="center" vertical="center" wrapText="1"/>
    </xf>
    <xf numFmtId="0" fontId="4" fillId="5" borderId="87" xfId="0" applyFont="1" applyFill="1" applyBorder="1" applyAlignment="1">
      <alignment horizontal="center" vertical="center" wrapText="1"/>
    </xf>
    <xf numFmtId="0" fontId="4" fillId="5" borderId="88" xfId="0" applyFont="1" applyFill="1" applyBorder="1" applyAlignment="1">
      <alignment horizontal="center" vertical="center" wrapText="1"/>
    </xf>
    <xf numFmtId="0" fontId="2" fillId="0" borderId="43" xfId="0" applyFont="1" applyBorder="1" applyAlignment="1">
      <alignment horizontal="left" vertical="center" wrapText="1"/>
    </xf>
    <xf numFmtId="0" fontId="4" fillId="0" borderId="44" xfId="0" applyFont="1" applyBorder="1"/>
    <xf numFmtId="0" fontId="4" fillId="0" borderId="45" xfId="0" applyFont="1" applyBorder="1"/>
    <xf numFmtId="0" fontId="20" fillId="0" borderId="22" xfId="0" applyFont="1" applyBorder="1" applyAlignment="1">
      <alignment horizontal="left" vertical="center" wrapText="1"/>
    </xf>
    <xf numFmtId="0" fontId="4" fillId="0" borderId="23" xfId="0" applyFont="1" applyBorder="1"/>
    <xf numFmtId="0" fontId="4" fillId="0" borderId="24" xfId="0" applyFont="1" applyBorder="1"/>
    <xf numFmtId="168" fontId="23" fillId="0" borderId="22" xfId="0" applyNumberFormat="1" applyFont="1" applyBorder="1" applyAlignment="1">
      <alignment horizontal="center" vertical="center"/>
    </xf>
    <xf numFmtId="0" fontId="23" fillId="0" borderId="19" xfId="0" applyFont="1" applyBorder="1" applyAlignment="1">
      <alignment horizontal="left" vertical="center" wrapText="1"/>
    </xf>
    <xf numFmtId="0" fontId="4" fillId="0" borderId="20" xfId="0" applyFont="1" applyBorder="1"/>
    <xf numFmtId="0" fontId="4" fillId="0" borderId="21" xfId="0" applyFont="1" applyBorder="1"/>
    <xf numFmtId="0" fontId="23" fillId="2" borderId="25" xfId="0" applyFont="1" applyFill="1" applyBorder="1" applyAlignment="1">
      <alignment horizontal="left" vertical="center" wrapText="1"/>
    </xf>
    <xf numFmtId="0" fontId="4" fillId="0" borderId="26" xfId="0" applyFont="1" applyBorder="1"/>
    <xf numFmtId="0" fontId="4" fillId="0" borderId="27" xfId="0" applyFont="1" applyBorder="1"/>
    <xf numFmtId="0" fontId="20" fillId="2" borderId="22" xfId="0" applyFont="1" applyFill="1" applyBorder="1" applyAlignment="1">
      <alignment horizontal="left" vertical="center" wrapText="1"/>
    </xf>
    <xf numFmtId="0" fontId="23" fillId="2" borderId="22" xfId="0" applyFont="1" applyFill="1" applyBorder="1" applyAlignment="1">
      <alignment horizontal="left" vertical="center"/>
    </xf>
    <xf numFmtId="0" fontId="4" fillId="0" borderId="28" xfId="0" applyFont="1" applyBorder="1"/>
    <xf numFmtId="0" fontId="23" fillId="2" borderId="19" xfId="0" applyFont="1" applyFill="1" applyBorder="1" applyAlignment="1">
      <alignment horizontal="left" vertical="center" wrapText="1"/>
    </xf>
    <xf numFmtId="0" fontId="24" fillId="0" borderId="30" xfId="0" applyFont="1" applyBorder="1" applyAlignment="1">
      <alignment horizontal="center" vertical="center"/>
    </xf>
    <xf numFmtId="0" fontId="4" fillId="0" borderId="36" xfId="0" applyFont="1" applyBorder="1"/>
    <xf numFmtId="0" fontId="24" fillId="0" borderId="31" xfId="0" applyFont="1" applyBorder="1" applyAlignment="1">
      <alignment horizontal="center" vertical="center" wrapText="1"/>
    </xf>
    <xf numFmtId="0" fontId="4" fillId="0" borderId="37" xfId="0" applyFont="1" applyBorder="1"/>
    <xf numFmtId="0" fontId="24" fillId="0" borderId="32" xfId="0" applyFont="1" applyBorder="1" applyAlignment="1">
      <alignment horizontal="center" vertical="center" wrapText="1"/>
    </xf>
    <xf numFmtId="0" fontId="4" fillId="0" borderId="33" xfId="0" applyFont="1" applyBorder="1"/>
    <xf numFmtId="0" fontId="4" fillId="0" borderId="34" xfId="0" applyFont="1" applyBorder="1"/>
    <xf numFmtId="0" fontId="4" fillId="0" borderId="38" xfId="0" applyFont="1" applyBorder="1"/>
    <xf numFmtId="0" fontId="4" fillId="0" borderId="39" xfId="0" applyFont="1" applyBorder="1"/>
    <xf numFmtId="0" fontId="4" fillId="0" borderId="40" xfId="0" applyFont="1" applyBorder="1"/>
    <xf numFmtId="0" fontId="18" fillId="0" borderId="2" xfId="0" applyFont="1" applyBorder="1" applyAlignment="1">
      <alignment horizontal="center" vertical="center"/>
    </xf>
    <xf numFmtId="0" fontId="34" fillId="2" borderId="29" xfId="0" applyFont="1" applyFill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4" fillId="0" borderId="41" xfId="0" applyFont="1" applyBorder="1"/>
    <xf numFmtId="0" fontId="2" fillId="0" borderId="22" xfId="0" applyFont="1" applyBorder="1" applyAlignment="1">
      <alignment horizontal="left" vertical="center" wrapText="1"/>
    </xf>
    <xf numFmtId="0" fontId="29" fillId="0" borderId="47" xfId="0" applyFont="1" applyBorder="1" applyAlignment="1">
      <alignment horizontal="center" vertical="center"/>
    </xf>
    <xf numFmtId="0" fontId="4" fillId="0" borderId="57" xfId="0" applyFont="1" applyBorder="1"/>
    <xf numFmtId="0" fontId="4" fillId="0" borderId="48" xfId="0" applyFont="1" applyBorder="1"/>
    <xf numFmtId="0" fontId="29" fillId="0" borderId="19" xfId="0" applyFont="1" applyBorder="1" applyAlignment="1">
      <alignment horizontal="center" vertical="center"/>
    </xf>
    <xf numFmtId="0" fontId="4" fillId="0" borderId="51" xfId="0" applyFont="1" applyBorder="1"/>
    <xf numFmtId="0" fontId="27" fillId="0" borderId="57" xfId="0" applyFont="1" applyBorder="1" applyAlignment="1">
      <alignment vertical="center" wrapText="1"/>
    </xf>
    <xf numFmtId="0" fontId="29" fillId="0" borderId="47" xfId="0" applyFont="1" applyBorder="1" applyAlignment="1">
      <alignment horizontal="center" vertical="center" wrapText="1"/>
    </xf>
    <xf numFmtId="0" fontId="4" fillId="0" borderId="52" xfId="0" applyFont="1" applyBorder="1"/>
    <xf numFmtId="0" fontId="4" fillId="0" borderId="53" xfId="0" applyFont="1" applyBorder="1"/>
    <xf numFmtId="0" fontId="29" fillId="0" borderId="48" xfId="0" applyFont="1" applyBorder="1" applyAlignment="1">
      <alignment horizontal="center" vertical="center"/>
    </xf>
    <xf numFmtId="0" fontId="10" fillId="0" borderId="65" xfId="0" applyFont="1" applyBorder="1" applyAlignment="1">
      <alignment horizontal="left" vertical="center" wrapText="1"/>
    </xf>
    <xf numFmtId="0" fontId="4" fillId="0" borderId="66" xfId="0" applyFont="1" applyBorder="1"/>
    <xf numFmtId="0" fontId="10" fillId="0" borderId="72" xfId="0" applyFont="1" applyBorder="1" applyAlignment="1">
      <alignment horizontal="left" vertical="center"/>
    </xf>
    <xf numFmtId="0" fontId="4" fillId="0" borderId="73" xfId="0" applyFont="1" applyBorder="1"/>
    <xf numFmtId="0" fontId="28" fillId="0" borderId="19" xfId="0" applyFont="1" applyBorder="1" applyAlignment="1">
      <alignment horizontal="left"/>
    </xf>
    <xf numFmtId="0" fontId="2" fillId="2" borderId="19" xfId="0" applyFont="1" applyFill="1" applyBorder="1" applyAlignment="1">
      <alignment horizontal="left" vertical="center" wrapText="1"/>
    </xf>
    <xf numFmtId="0" fontId="27" fillId="2" borderId="19" xfId="0" applyFont="1" applyFill="1" applyBorder="1" applyAlignment="1">
      <alignment horizontal="left"/>
    </xf>
    <xf numFmtId="0" fontId="27" fillId="0" borderId="52" xfId="0" applyFont="1" applyBorder="1"/>
    <xf numFmtId="0" fontId="0" fillId="0" borderId="0" xfId="0"/>
    <xf numFmtId="0" fontId="27" fillId="2" borderId="54" xfId="0" applyFont="1" applyFill="1" applyBorder="1" applyAlignment="1">
      <alignment horizontal="left" vertical="center" wrapText="1"/>
    </xf>
    <xf numFmtId="0" fontId="4" fillId="0" borderId="55" xfId="0" applyFont="1" applyBorder="1"/>
    <xf numFmtId="0" fontId="26" fillId="0" borderId="47" xfId="0" applyFont="1" applyBorder="1" applyAlignment="1">
      <alignment horizontal="center" vertical="center" wrapText="1"/>
    </xf>
    <xf numFmtId="0" fontId="4" fillId="0" borderId="49" xfId="0" applyFont="1" applyBorder="1"/>
    <xf numFmtId="0" fontId="4" fillId="0" borderId="50" xfId="0" applyFont="1" applyBorder="1"/>
    <xf numFmtId="0" fontId="10" fillId="0" borderId="19" xfId="0" applyFont="1" applyBorder="1"/>
    <xf numFmtId="0" fontId="27" fillId="0" borderId="19" xfId="0" applyFont="1" applyBorder="1" applyAlignment="1">
      <alignment horizontal="left"/>
    </xf>
    <xf numFmtId="0" fontId="10" fillId="0" borderId="22" xfId="0" applyFont="1" applyBorder="1" applyAlignment="1">
      <alignment horizontal="center"/>
    </xf>
    <xf numFmtId="3" fontId="25" fillId="0" borderId="23" xfId="0" applyNumberFormat="1" applyFont="1" applyBorder="1" applyAlignment="1">
      <alignment horizontal="center"/>
    </xf>
    <xf numFmtId="0" fontId="27" fillId="2" borderId="84" xfId="0" applyFont="1" applyFill="1" applyBorder="1" applyAlignment="1">
      <alignment horizontal="left" vertical="center" wrapText="1"/>
    </xf>
    <xf numFmtId="0" fontId="4" fillId="0" borderId="85" xfId="0" applyFont="1" applyBorder="1"/>
    <xf numFmtId="0" fontId="4" fillId="0" borderId="56" xfId="0" applyFont="1" applyBorder="1"/>
    <xf numFmtId="0" fontId="25" fillId="2" borderId="80" xfId="0" applyFont="1" applyFill="1" applyBorder="1" applyAlignment="1">
      <alignment horizontal="left" vertical="center" wrapText="1"/>
    </xf>
    <xf numFmtId="0" fontId="4" fillId="0" borderId="81" xfId="0" applyFont="1" applyBorder="1"/>
    <xf numFmtId="0" fontId="4" fillId="0" borderId="82" xfId="0" applyFont="1" applyBorder="1"/>
    <xf numFmtId="0" fontId="10" fillId="0" borderId="47" xfId="0" applyFont="1" applyBorder="1"/>
    <xf numFmtId="0" fontId="10" fillId="0" borderId="77" xfId="0" applyFont="1" applyBorder="1" applyAlignment="1">
      <alignment horizontal="left" vertical="center"/>
    </xf>
    <xf numFmtId="0" fontId="4" fillId="0" borderId="78" xfId="0" applyFont="1" applyBorder="1"/>
    <xf numFmtId="0" fontId="25" fillId="0" borderId="22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0" fillId="0" borderId="86" xfId="0" applyFont="1" applyFill="1" applyBorder="1" applyAlignment="1">
      <alignment horizontal="center" vertical="center"/>
    </xf>
    <xf numFmtId="0" fontId="0" fillId="0" borderId="86" xfId="0" applyFill="1" applyBorder="1" applyAlignment="1">
      <alignment horizontal="center" vertical="center"/>
    </xf>
    <xf numFmtId="0" fontId="0" fillId="0" borderId="86" xfId="0" applyFill="1" applyBorder="1" applyAlignment="1">
      <alignment vertical="center"/>
    </xf>
    <xf numFmtId="0" fontId="0" fillId="0" borderId="86" xfId="0" applyFill="1" applyBorder="1" applyAlignment="1">
      <alignment horizontal="center" vertical="center" wrapText="1"/>
    </xf>
    <xf numFmtId="0" fontId="0" fillId="0" borderId="86" xfId="0" applyFill="1" applyBorder="1" applyAlignment="1">
      <alignment horizontal="left" vertical="center" wrapText="1"/>
    </xf>
    <xf numFmtId="0" fontId="11" fillId="0" borderId="86" xfId="0" applyFont="1" applyFill="1" applyBorder="1" applyAlignment="1">
      <alignment vertical="center" wrapText="1"/>
    </xf>
    <xf numFmtId="3" fontId="10" fillId="0" borderId="86" xfId="0" applyNumberFormat="1" applyFont="1" applyFill="1" applyBorder="1" applyAlignment="1">
      <alignment horizontal="center" vertical="center"/>
    </xf>
    <xf numFmtId="165" fontId="10" fillId="0" borderId="86" xfId="0" applyNumberFormat="1" applyFont="1" applyFill="1" applyBorder="1" applyAlignment="1">
      <alignment horizontal="center" vertical="center"/>
    </xf>
    <xf numFmtId="164" fontId="10" fillId="0" borderId="86" xfId="0" applyNumberFormat="1" applyFont="1" applyFill="1" applyBorder="1" applyAlignment="1">
      <alignment horizontal="right" vertical="center" wrapText="1"/>
    </xf>
    <xf numFmtId="0" fontId="31" fillId="0" borderId="86" xfId="0" applyFont="1" applyFill="1" applyBorder="1" applyAlignment="1">
      <alignment horizontal="center" vertical="center"/>
    </xf>
    <xf numFmtId="0" fontId="31" fillId="0" borderId="86" xfId="0" applyFont="1" applyFill="1" applyBorder="1" applyAlignment="1">
      <alignment horizontal="left" vertical="center" wrapText="1"/>
    </xf>
    <xf numFmtId="0" fontId="11" fillId="0" borderId="86" xfId="0" applyFont="1" applyFill="1" applyBorder="1" applyAlignment="1">
      <alignment horizontal="left" vertical="center" wrapText="1"/>
    </xf>
    <xf numFmtId="0" fontId="33" fillId="0" borderId="86" xfId="0" applyFont="1" applyFill="1" applyBorder="1" applyAlignment="1">
      <alignment horizontal="left" vertical="center" wrapText="1"/>
    </xf>
    <xf numFmtId="0" fontId="10" fillId="0" borderId="86" xfId="0" applyFont="1" applyFill="1" applyBorder="1" applyAlignment="1">
      <alignment horizontal="left" vertical="center" wrapText="1"/>
    </xf>
    <xf numFmtId="0" fontId="13" fillId="0" borderId="86" xfId="0" applyFont="1" applyFill="1" applyBorder="1" applyAlignment="1">
      <alignment horizontal="left" vertical="center" wrapText="1"/>
    </xf>
    <xf numFmtId="0" fontId="12" fillId="0" borderId="86" xfId="0" applyFont="1" applyFill="1" applyBorder="1" applyAlignment="1">
      <alignment vertical="center" wrapText="1"/>
    </xf>
    <xf numFmtId="0" fontId="4" fillId="0" borderId="86" xfId="0" applyFont="1" applyFill="1" applyBorder="1" applyAlignment="1">
      <alignment horizontal="left" vertical="center" wrapText="1"/>
    </xf>
    <xf numFmtId="0" fontId="10" fillId="0" borderId="86" xfId="0" applyFont="1" applyFill="1" applyBorder="1" applyAlignment="1">
      <alignment horizontal="center" vertical="center" wrapText="1"/>
    </xf>
    <xf numFmtId="0" fontId="32" fillId="0" borderId="86" xfId="0" applyFont="1" applyFill="1" applyBorder="1" applyAlignment="1">
      <alignment horizontal="left" vertical="center" wrapText="1"/>
    </xf>
    <xf numFmtId="0" fontId="32" fillId="0" borderId="86" xfId="0" applyFont="1" applyFill="1" applyBorder="1" applyAlignment="1">
      <alignment horizontal="center" vertical="center"/>
    </xf>
    <xf numFmtId="0" fontId="12" fillId="0" borderId="86" xfId="0" applyFont="1" applyFill="1" applyBorder="1" applyAlignment="1">
      <alignment horizontal="left" vertical="center" wrapText="1"/>
    </xf>
    <xf numFmtId="164" fontId="10" fillId="0" borderId="86" xfId="0" applyNumberFormat="1" applyFont="1" applyFill="1" applyBorder="1" applyAlignment="1">
      <alignment horizontal="right" vertical="center"/>
    </xf>
    <xf numFmtId="0" fontId="0" fillId="0" borderId="86" xfId="0" applyFill="1" applyBorder="1" applyAlignment="1">
      <alignment vertical="center" wrapText="1"/>
    </xf>
    <xf numFmtId="0" fontId="4" fillId="0" borderId="86" xfId="0" applyFont="1" applyFill="1" applyBorder="1" applyAlignment="1">
      <alignment horizontal="center" vertical="center"/>
    </xf>
    <xf numFmtId="165" fontId="10" fillId="0" borderId="86" xfId="0" applyNumberFormat="1" applyFont="1" applyFill="1" applyBorder="1" applyAlignment="1">
      <alignment horizontal="right" vertical="center"/>
    </xf>
    <xf numFmtId="0" fontId="31" fillId="0" borderId="0" xfId="0" applyFont="1" applyFill="1" applyAlignment="1">
      <alignment horizontal="left" vertical="center" wrapText="1"/>
    </xf>
    <xf numFmtId="0" fontId="14" fillId="0" borderId="86" xfId="0" applyFont="1" applyFill="1" applyBorder="1" applyAlignment="1">
      <alignment vertical="center" wrapText="1"/>
    </xf>
    <xf numFmtId="3" fontId="10" fillId="0" borderId="86" xfId="0" applyNumberFormat="1" applyFont="1" applyFill="1" applyBorder="1"/>
    <xf numFmtId="165" fontId="10" fillId="0" borderId="86" xfId="0" applyNumberFormat="1" applyFont="1" applyFill="1" applyBorder="1" applyAlignment="1">
      <alignment vertical="center"/>
    </xf>
    <xf numFmtId="0" fontId="1" fillId="0" borderId="86" xfId="1" applyFill="1" applyBorder="1" applyAlignment="1">
      <alignment horizontal="left" vertical="center" wrapText="1"/>
    </xf>
    <xf numFmtId="0" fontId="2" fillId="0" borderId="44" xfId="0" applyFont="1" applyBorder="1"/>
    <xf numFmtId="0" fontId="2" fillId="0" borderId="39" xfId="0" applyFont="1" applyBorder="1"/>
  </cellXfs>
  <cellStyles count="2">
    <cellStyle name="Normal" xfId="0" builtinId="0"/>
    <cellStyle name="Normal 2" xfId="1" xr:uid="{48938A08-D1DF-4509-B591-7F149DA192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%20unidad/COMPARTIDA/DIRECCION%20DE%20PLANIFICACION/VADEMECUM/tramites%202%20trim%202022/ANTIINFECCIOSOS%20ANALGESICOS%20ANESTESIC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%20unidad/COMPARTIDA/DIRECCION%20DE%20PLANIFICACION/VADEMECUM/CODIFICACION%20RUBEN/ANTIINFECCIOSOS%20ANALGESICOS%20ANESTESIC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B10" t="str">
            <v>2.5.2-1829.24</v>
          </cell>
          <cell r="E10" t="str">
            <v>ANTIVIRALES; TIPO: MONODROGA, DROGA GENERICA: ACICLOVIR, FORMA FARMACEUTICA: COMPRIMIDO, PRESENTACION: 200 mGr</v>
          </cell>
          <cell r="F10" t="str">
            <v>COMPRIMIDO</v>
          </cell>
        </row>
        <row r="11">
          <cell r="B11" t="str">
            <v>2.5.2-1829.35</v>
          </cell>
          <cell r="E11" t="str">
            <v>ANTIVIRALES; TIPO: MONODROGA, DROGA GENERICA: ACICLOVIR, FORMA FARMACEUTICA: COMPRIMIDO, PRESENTACION: 400 mGr</v>
          </cell>
          <cell r="F11" t="str">
            <v>COMPRIMIDO</v>
          </cell>
        </row>
        <row r="12">
          <cell r="B12" t="str">
            <v>2.5.2-1821.235</v>
          </cell>
          <cell r="E12" t="str">
            <v>ANTIBIOTICOS P/PERSONAS; TIPO: MONODROGA, DROGA GENERICA: ACICLOVIR 500 MG, FORMA FARMACEUTICA: FRASCO AMPOLLA, PRESENTACION: 500 mGr</v>
          </cell>
          <cell r="F12" t="str">
            <v>AMPOLLA</v>
          </cell>
        </row>
        <row r="13">
          <cell r="B13" t="str">
            <v>2.5.2-1829.48</v>
          </cell>
          <cell r="E13" t="str">
            <v>ANTIVIRALES; TIPO: MONODROGA, DROGA GENERICA: ACICLOVIR 80 MG/ ML, FORMA FARMACEUTICA: SUSPENSION, PRESENTACION: ENVASE X 200 ML</v>
          </cell>
          <cell r="F13" t="str">
            <v>FRASCO</v>
          </cell>
        </row>
        <row r="14">
          <cell r="B14" t="str">
            <v>2.5.2-1724.16</v>
          </cell>
          <cell r="E14" t="str">
            <v>ANALGESICOS ; TIPO: MONODROGA, DROGA GENERICA: ACIDO ACETILSALICILICO, PRESENTACION: 100 mGr, FORMA FARMACEUTICA: COMPRIMIDO</v>
          </cell>
          <cell r="F14" t="str">
            <v>COMPRIMIDO</v>
          </cell>
        </row>
        <row r="15">
          <cell r="B15" t="str">
            <v>2.5.2-1724.3</v>
          </cell>
          <cell r="E15" t="str">
            <v>ANALGESICOS ; PRESENTACION: 500 mGr, TIPO: MONODROGA, DROGA GENERICA: ACIDO ACETILSALICILICO, FORMA FARMACEUTICA: COMPRIMIDO</v>
          </cell>
          <cell r="F15" t="str">
            <v>COMPRIMIDO</v>
          </cell>
        </row>
        <row r="16">
          <cell r="B16" t="str">
            <v>2.5.2-1864.6</v>
          </cell>
          <cell r="E16" t="str">
            <v>HIPOURICEMIANTES; TIPO: MONODROGA, DROGA GENERICA: ALOPURINOL 300 mGr, FORMA FARMACEUTICA: COMPRIMIDO, PRESENTACION: UNIDAD</v>
          </cell>
          <cell r="F16" t="str">
            <v>COMPRIMIDO</v>
          </cell>
        </row>
        <row r="17">
          <cell r="B17" t="str">
            <v>2.5.2-1821.1</v>
          </cell>
          <cell r="E17" t="str">
            <v>ANTIBIOTICOS P/PERSONAS; TIPO: MONODROGA, DROGA GENERICA: AMIKACINA, PRESENTACION: 500 mGr, FORMA FARMACEUTICA: AMPOLLA</v>
          </cell>
          <cell r="F17" t="str">
            <v>AMPOLLA</v>
          </cell>
        </row>
        <row r="18">
          <cell r="B18" t="str">
            <v>2.5.2-1821.524</v>
          </cell>
          <cell r="E18" t="str">
            <v>ANTIBIOTICOS P/PERSONAS; TIPO: ASOCIACION, DROGA GENERICA: AMOXICILINA + AC.CLAVULANICO 400 MG / 57 MG, FORMA FARMACEUTICA: SUSPENSION, PRESENTACION: ENVASE X 70 ML</v>
          </cell>
          <cell r="F18" t="str">
            <v>FRASCO</v>
          </cell>
        </row>
        <row r="19">
          <cell r="B19" t="str">
            <v>2.5.2-1821.440</v>
          </cell>
          <cell r="E19" t="str">
            <v>ANTIBIOTICOS P/PERSONAS; TIPO: ASOCIACION, DROGA GENERICA: AMOXICIL. 875 MG+CLAVUL.125 MG mGr, FORMA FARMACEUTICA: COMPRIMIDO, PRESENTACION: UNIDAD</v>
          </cell>
          <cell r="F19" t="str">
            <v>COMPRIMIDO</v>
          </cell>
        </row>
        <row r="20">
          <cell r="B20" t="str">
            <v>2.5.2-1821.9</v>
          </cell>
          <cell r="E20" t="str">
            <v>ANTIBIOTICOS P/PERSONAS; TIPO: MONODROGA, DROGA GENERICA: AMOXICILINA, PRESENTACION: 500 mGr, FORMA FARMACEUTICA: COMPRIMIDOS</v>
          </cell>
          <cell r="F20" t="str">
            <v>COMPRIMIDO</v>
          </cell>
        </row>
        <row r="21">
          <cell r="B21" t="str">
            <v>2.5.2-1821.399</v>
          </cell>
          <cell r="E21" t="str">
            <v>ANTIBIOTICOS P/PERSONAS; TIPO: MONODROGA, DROGA GENERICA: AMOXICILINA 500 mGr, FORMA FARMACEUTICA: SUSPENSION, PRESENTACION: ENVASE X 90 mL</v>
          </cell>
          <cell r="F21" t="str">
            <v>FRASCO</v>
          </cell>
        </row>
        <row r="22">
          <cell r="B22" t="str">
            <v>2.5.2-1821.389</v>
          </cell>
          <cell r="E22" t="str">
            <v>ANTIBIOTICOS P/PERSONAS; TIPO: ASOCIACION, DROGA GENERICA: AMPICILINA + SULBACTAN, FORMA FARMACEUTICA: FRASCO AMPOLLA, PRESENTACION: ENVASE X 1,5 GR</v>
          </cell>
          <cell r="F22" t="str">
            <v>AMPOLLA</v>
          </cell>
        </row>
        <row r="23">
          <cell r="B23" t="str">
            <v>2.5.2-1821.8</v>
          </cell>
          <cell r="E23" t="str">
            <v>ANTIBIOTICOS P/PERSONAS; TIPO: MONODROGA, DROGA GENERICA: AMPICILINA, FORMA FARMACEUTICA: AMPOLLA, PRESENTACION: 1 GR</v>
          </cell>
          <cell r="F23" t="str">
            <v>AMPOLLA</v>
          </cell>
        </row>
        <row r="24">
          <cell r="B24" t="str">
            <v>2.5.2-1821.5</v>
          </cell>
          <cell r="E24" t="str">
            <v>ANTIBIOTICOS P/PERSONAS; TIPO: MONODROGA, DROGA GENERICA: AMPICILINA, FORMA FARMACEUTICA: COMPRIMIDOS, PRESENTACION: 500 mGr</v>
          </cell>
          <cell r="F24" t="str">
            <v>COMPRIMIDO</v>
          </cell>
        </row>
        <row r="25">
          <cell r="B25" t="str">
            <v>2.5.2-1823.113</v>
          </cell>
          <cell r="E25" t="str">
            <v>ANTIMICOTICOS; DROGA GENERICA: ANFOTERICINA B LIPOSOMAL, FORMA FARMACEUTICA: AMPOLLA, PRESENTACION: 50 MGR, TIPO: MONODROGA</v>
          </cell>
          <cell r="F25" t="str">
            <v>AMPOLLA</v>
          </cell>
        </row>
        <row r="26">
          <cell r="B26" t="str">
            <v>2.5.2-1823.1</v>
          </cell>
          <cell r="E26" t="str">
            <v>ANTIMICOTICOS; DROGA GENERICA: ANFOTERICINA B, FORMA FARMACEUTICA: AMPOLLA, PRESENTACION: 50 mGr, TIPO: MONODROGA</v>
          </cell>
          <cell r="F26" t="str">
            <v>AMPOLLA</v>
          </cell>
        </row>
        <row r="27">
          <cell r="B27" t="str">
            <v>2.5.2-1821.502</v>
          </cell>
          <cell r="E27" t="str">
            <v>ANTIBIOTICOS P/PERSONAS; TIPO: MONODROGA, DROGA GENERICA: AZITROMICINA 200 mGr, FORMA FARMACEUTICA: SUSPENSION, PRESENTACION: ENVASE X 15 Ml</v>
          </cell>
          <cell r="F27" t="str">
            <v>FRASCO</v>
          </cell>
        </row>
        <row r="28">
          <cell r="B28" t="str">
            <v>2.5.2-2199.16</v>
          </cell>
          <cell r="E28" t="str">
            <v>BLOQUEANTES NEUROMUSCULARES; DROGA GENERICA: ATRACURIO, FORMA FARMACEUTICA: AMPOLLA, PRESENTACION: 50 mGr, TIPO: MONODROGA</v>
          </cell>
          <cell r="F28" t="str">
            <v>AMPOLLA</v>
          </cell>
        </row>
        <row r="29">
          <cell r="B29" t="str">
            <v>2.5.2-1821.94</v>
          </cell>
          <cell r="E29" t="str">
            <v>ANTIBIOTICOS P/PERSONAS; TIPO: MONODROGA, DROGA GENERICA: AZITROMICINA, FORMA FARMACEUTICA: COMPRIMIDO, PRESENTACION: 500 mGr</v>
          </cell>
          <cell r="F29" t="str">
            <v>COMPRIMIDO</v>
          </cell>
        </row>
        <row r="30">
          <cell r="B30" t="str">
            <v>2.5.2-1837.19</v>
          </cell>
          <cell r="E30" t="str">
            <v>HIPOTENSORES; TIPO: MONODROGA, DROGA GENERICA: BACLOFENO, FORMA FARMACEUTICA: COMPRIMIDO, PRESENTACION: 10 mGr</v>
          </cell>
          <cell r="F30" t="str">
            <v>COMPRIMIDO</v>
          </cell>
        </row>
        <row r="31">
          <cell r="B31" t="str">
            <v>2.5.2-1726.523</v>
          </cell>
          <cell r="E31" t="str">
            <v>SOLUCIONES P/MEDICINA; TIPO: SULFATO DE BARIO, PRESENTACION: ENVASE SUSPENSION X 225 ML</v>
          </cell>
          <cell r="F31" t="str">
            <v>FRASCO</v>
          </cell>
        </row>
        <row r="32">
          <cell r="B32" t="str">
            <v>2.5.2-1726.524</v>
          </cell>
          <cell r="E32" t="str">
            <v>SOLUCIONES P/MEDICINA; TIPO: SULFATO DE BARIO, PRESENTACION: ENVASE SUSPENSION PARA ENEMA X 500 ML</v>
          </cell>
          <cell r="F32" t="str">
            <v>FRASCO</v>
          </cell>
        </row>
        <row r="33">
          <cell r="B33" t="str">
            <v>2.5.2-1726.525</v>
          </cell>
          <cell r="E33" t="str">
            <v>SOLUCIONES P/MEDICINA; TIPO: SULFATO DE BARIO, PRESENTACION: ENVASE SUSPENSION ORAL X 300 ML</v>
          </cell>
          <cell r="F33" t="str">
            <v>FRASCO</v>
          </cell>
        </row>
        <row r="34">
          <cell r="B34" t="str">
            <v>2.5.2-1883.139</v>
          </cell>
          <cell r="E34" t="str">
            <v>ANESTESICOS LOCALES; TIPO: ASOCIACION, DROGA GENERICA: BUPIVACAINA 0,5 % C/EPINEFRINA, FORMA FARMACEUTICA: FRASCO AMPOLLA, PRESENTACION: ENVASE X 20 mL</v>
          </cell>
          <cell r="F34" t="str">
            <v>FRASCO</v>
          </cell>
        </row>
        <row r="35">
          <cell r="B35" t="str">
            <v>2.5.2-1883.24</v>
          </cell>
          <cell r="E35" t="str">
            <v>ANESTESICOS LOCALES; TIPO: MONODROGA, DROGA GENERICA: BUPIVACAINA 0,5 %, FORMA FARMACEUTICA: FRASCO, PRESENTACION: 20 mL</v>
          </cell>
          <cell r="F35" t="str">
            <v>FRASCO</v>
          </cell>
        </row>
        <row r="36">
          <cell r="B36" t="str">
            <v>2.5.2-1883.188</v>
          </cell>
          <cell r="E36" t="str">
            <v>ANESTESICOS LOCALES; TIPO: MONODROGA, DROGA GENERICA: BUPIVACAINA 0,5% HIPERBARICA, FORMA FARMACEUTICA: AMPOLLA, PRESENTACION: 4 ML CON AGUJA 27 G X 3 1/2 CON INTRODUCTOR</v>
          </cell>
          <cell r="F36" t="str">
            <v>AMPOLLA</v>
          </cell>
        </row>
        <row r="37">
          <cell r="B37" t="str">
            <v>2.5.2-1821.321</v>
          </cell>
          <cell r="E37" t="str">
            <v>ANTIBIOTICOS P/PERSONAS; TIPO: MONODROGA, DROGA GENERICA: CEFALEXINA 500 mGr, FORMA FARMACEUTICA: COMPRIMIDO, PRESENTACION: 1 UN</v>
          </cell>
          <cell r="F37" t="str">
            <v>COMPRIMIDO</v>
          </cell>
        </row>
        <row r="38">
          <cell r="B38" t="str">
            <v>2.5.2-1821.337</v>
          </cell>
          <cell r="E38" t="str">
            <v>ANTIBIOTICOS P/PERSONAS; TIPO: MONODROGA, DROGA GENERICA: CEFALEXINA 500MG, FORMA FARMACEUTICA: SUSPENSION, PRESENTACION: ENVASE X 90 mL</v>
          </cell>
          <cell r="F38" t="str">
            <v>FRASCO</v>
          </cell>
        </row>
        <row r="39">
          <cell r="B39" t="str">
            <v>2.5.2-1821.405</v>
          </cell>
          <cell r="E39" t="str">
            <v>ANTIBIOTICOS P/PERSONAS; TIPO: MONODROGA, DROGA GENERICA: CEFALOTINA SODICA, FORMA FARMACEUTICA: FRASCO AMPOLLA, PRESENTACION: 1 GR</v>
          </cell>
          <cell r="F39" t="str">
            <v>AMPOLLA</v>
          </cell>
        </row>
        <row r="40">
          <cell r="B40" t="str">
            <v>2.5.2-1821.62</v>
          </cell>
          <cell r="E40" t="str">
            <v>ANTIBIOTICOS P/PERSONAS; TIPO: MONODROGA, DROGA GENERICA: CEFAZOLINA, FORMA FARMACEUTICA: AMPOLLA, PRESENTACION: 1 GR</v>
          </cell>
          <cell r="F40" t="str">
            <v>AMPOLLA</v>
          </cell>
        </row>
        <row r="41">
          <cell r="B41" t="str">
            <v>2.5.2-1821.384</v>
          </cell>
          <cell r="E41" t="str">
            <v>ANTIBIOTICOS P/PERSONAS; TIPO: MONODROGA, DROGA GENERICA: CEFTAZIDIMA, FORMA FARMACEUTICA: FRASCO AMPOLLA, PRESENTACION: ENVASE X 1 GR</v>
          </cell>
          <cell r="F41" t="str">
            <v>AMPOLLA</v>
          </cell>
        </row>
        <row r="42">
          <cell r="B42" t="str">
            <v>2.5.2-1821.214</v>
          </cell>
          <cell r="E42" t="str">
            <v>ANTIBIOTICOS P/PERSONAS; TIPO: MONODROGA, DROGA GENERICA: CEFTRIAXONA, FORMA FARMACEUTICA: FRASCO AMPOLLA, PRESENTACION: 1 GR</v>
          </cell>
          <cell r="F42" t="str">
            <v>AMPOLLA</v>
          </cell>
        </row>
        <row r="43">
          <cell r="B43" t="str">
            <v>2.5.2-1821.222</v>
          </cell>
          <cell r="E43" t="str">
            <v>ANTIBIOTICOS P/PERSONAS; TIPO: MONODROGA, DROGA GENERICA: CEFUROXIMA, FORMA FARMACEUTICA: FRASCO AMPOLLA, PRESENTACION: 750 mGr</v>
          </cell>
          <cell r="F43" t="str">
            <v>AMPOLLA</v>
          </cell>
        </row>
        <row r="44">
          <cell r="B44" t="str">
            <v>2.5.2-1821.387</v>
          </cell>
          <cell r="E44" t="str">
            <v>ANTIBIOTICOS P/PERSONAS; TIPO: MONODROGA, DROGA GENERICA: CIPROFLOXACINA, FORMA FARMACEUTICA: SACHET, PRESENTACION: ENVASE X 200 mGr</v>
          </cell>
          <cell r="F44" t="str">
            <v>SACHET</v>
          </cell>
        </row>
        <row r="45">
          <cell r="B45" t="str">
            <v>2.5.2-1821.46</v>
          </cell>
          <cell r="E45" t="str">
            <v>ANTIBIOTICOS P/PERSONAS; TIPO: MONODROGA, FORMA FARMACEUTICA: COMPRIMIDO, PRESENTACION: 500 mGr, DROGA GENERICA: CIPROFLOXACINA</v>
          </cell>
          <cell r="F45" t="str">
            <v>COMPRIMIDO</v>
          </cell>
        </row>
        <row r="46">
          <cell r="B46" t="str">
            <v>2.5.2-1821.338</v>
          </cell>
          <cell r="E46" t="str">
            <v>ANTIBIOTICOS P/PERSONAS; TIPO: MONODROGA, DROGA GENERICA: CLARITROMICINA 250MG, FORMA FARMACEUTICA: SUSPENSION, PRESENTACION: ENVASE X 90 mL</v>
          </cell>
          <cell r="F46" t="str">
            <v>FRASCO</v>
          </cell>
        </row>
        <row r="47">
          <cell r="B47" t="str">
            <v>2.5.2-1821.37</v>
          </cell>
          <cell r="E47" t="str">
            <v>ANTIBIOTICOS P/PERSONAS; TIPO: MONODROGA, DROGA GENERICA: CLARITROMICINA, FORMA FARMACEUTICA: COMPRIMIDO, PRESENTACION: 500 mGr</v>
          </cell>
          <cell r="F47" t="str">
            <v>COMPRIMIDO</v>
          </cell>
        </row>
        <row r="48">
          <cell r="B48" t="str">
            <v>2.5.2-1821.36</v>
          </cell>
          <cell r="E48" t="str">
            <v>ANTIBIOTICOS P/PERSONAS; DROGA GENERICA: CLARITROMICINA, FORMA FARMACEUTICA: AMPOLLA, PRESENTACION: 500 mGr, TIPO: MONODROGA</v>
          </cell>
          <cell r="F48" t="str">
            <v>AMPOLLA</v>
          </cell>
        </row>
        <row r="49">
          <cell r="B49" t="str">
            <v>2.5.2-1821.42</v>
          </cell>
          <cell r="E49" t="str">
            <v>ANTIBIOTICOS P/PERSONAS; TIPO: MONODROGA, DROGA GENERICA: CLINDAMICINA, FORMA FARMACEUTICA: COMPRIMIDO, PRESENTACION: 300 mGr</v>
          </cell>
          <cell r="F49" t="str">
            <v>CAPSULAS</v>
          </cell>
        </row>
        <row r="50">
          <cell r="B50" t="str">
            <v>2.5.2-1821.43</v>
          </cell>
          <cell r="E50" t="str">
            <v>ANTIBIOTICOS P/PERSONAS; TIPO: MONODROGA, DROGA GENERICA: CLINDAMICINA, FORMA FARMACEUTICA: AMPOLLA, PRESENTACION: 600 mGr</v>
          </cell>
          <cell r="F50" t="str">
            <v>AMPOLLA</v>
          </cell>
        </row>
        <row r="51">
          <cell r="B51" t="str">
            <v>2.5.2-1821.234</v>
          </cell>
          <cell r="E51" t="str">
            <v>ANTIBIOTICOS P/PERSONAS; TIPO: MONODROGA, DROGA GENERICA: COLISTINA 100 MG, FORMA FARMACEUTICA: FRASCO AMPOLLA, PRESENTACION: 100 mGr</v>
          </cell>
          <cell r="F51" t="str">
            <v>AMPOLLA</v>
          </cell>
        </row>
        <row r="52">
          <cell r="B52" t="str">
            <v>2.5.2-1726.526</v>
          </cell>
          <cell r="E52" t="str">
            <v>SOLUCIONES P/MEDICINA; TIPO: CONTRASTE RADIOLOGICO NO IONICO, PRESENTACION: ENVASE X 50 ML</v>
          </cell>
          <cell r="F52" t="str">
            <v>FRASCO</v>
          </cell>
        </row>
        <row r="53">
          <cell r="B53" t="str">
            <v>2.5.2-1821.525</v>
          </cell>
          <cell r="E53" t="str">
            <v>ANTIBIOTICOS P/PERSONAS; TIPO: MONODROGA, DROGA GENERICA: COTRIMOXAZOL, FORMA FARMACEUTICA: AMPOLLA, PRESENTACION: 80 MG/ 400 MG</v>
          </cell>
          <cell r="F53" t="str">
            <v>AMPOLLA</v>
          </cell>
        </row>
        <row r="54">
          <cell r="B54" t="str">
            <v>2.5.2-1821.526</v>
          </cell>
          <cell r="E54" t="str">
            <v>ANTIBIOTICOS P/PERSONAS; TIPO: MONODROGA, DROGA GENERICA: COTRIMOXAZOL, FORMA FARMACEUTICA: COMPRIMIDO, PRESENTACION: 160 MG/ 800 MG</v>
          </cell>
          <cell r="F54" t="str">
            <v>COMPRIMIDO</v>
          </cell>
        </row>
        <row r="55">
          <cell r="B55" t="str">
            <v>2.5.2-1821.527</v>
          </cell>
          <cell r="E55" t="str">
            <v>ANTIBIOTICOS P/PERSONAS; TIPO: MONODROGA, DROGA GENERICA: COTRIMOXAZOL, FORMA FARMACEUTICA: SUSPENSIÓN X 60 ML, PRESENTACION: 40MG/200 MG</v>
          </cell>
          <cell r="F55" t="str">
            <v>FRASCO</v>
          </cell>
        </row>
        <row r="56">
          <cell r="B56" t="str">
            <v>2.5.2-1724.241</v>
          </cell>
          <cell r="E56" t="str">
            <v>ANALGESICOS; TIPO: MONODROGA, DROGA GENERICA: DANTROLENO SODICO, FORMA FARMACEUTICA: AMPOLLAS, PRESENTACION: 20 MG/60 ML KIT X 12 FRASCOS</v>
          </cell>
          <cell r="F56" t="str">
            <v>KIT</v>
          </cell>
        </row>
        <row r="57">
          <cell r="B57" t="str">
            <v>2.5.2-1724.149</v>
          </cell>
          <cell r="E57" t="str">
            <v>ANALGÉSICOS ; TIPO: MONODROGA, DROGA GENÉRICA: DEXMEDETOMIDINA 200 MG, FORMA FARMACEÚTICA: AMPOLLA, PRESENTACIÓN: ENVASE X 2 ML</v>
          </cell>
          <cell r="F57" t="str">
            <v>AMPOLLA</v>
          </cell>
        </row>
        <row r="58">
          <cell r="B58" t="str">
            <v>2.5.2-1726.528</v>
          </cell>
          <cell r="E58" t="str">
            <v>SOLUCIONES P/MEDICINA; TIPO: DIATRIZOATO DE SODIO 25 GR; PRESENTACION: FRASCO X 50 ML</v>
          </cell>
          <cell r="F58" t="str">
            <v>FRASCO</v>
          </cell>
        </row>
        <row r="59">
          <cell r="B59" t="str">
            <v>2.5.2-1726.512</v>
          </cell>
          <cell r="E59" t="str">
            <v>SOLUCIONES P/MEDICINA; TIPO: DIATRIZOATO DE MEGLUMINA + DIATRIZOATO DE SODIO; PRESENTACION: FRASCO x 120 ml</v>
          </cell>
          <cell r="F59" t="str">
            <v>AMPOLLA</v>
          </cell>
        </row>
        <row r="60">
          <cell r="B60" t="str">
            <v>2.5.2-1724.140</v>
          </cell>
          <cell r="E60" t="str">
            <v>ANALGESICOS ; TIPO: MONODROGA, DROGA GENERICA: DICLOFENAC X 75 MG, FORMA FARMACEUTICA: COMPRIMIDO, PRESENTACION: UNIDAD</v>
          </cell>
          <cell r="F60" t="str">
            <v>COMPRIMIDO</v>
          </cell>
        </row>
        <row r="61">
          <cell r="B61" t="str">
            <v>2.5.2-1724.117</v>
          </cell>
          <cell r="E61" t="str">
            <v>ANALGESICOS ; TIPO: ASOCIACION, DROGA GENERICA: DICLOFENAC SODICO, FORMA FARMACEUTICA: AMPOLLA, PRESENTACION: 3 Ml</v>
          </cell>
          <cell r="F61" t="str">
            <v>AMPOLLA</v>
          </cell>
        </row>
        <row r="62">
          <cell r="B62" t="str">
            <v>2.5.2-1725.153</v>
          </cell>
          <cell r="E62" t="str">
            <v>ANTIINFLAMATORIOS NO ESTEROIDE; TIPO: MONODROGA, DROGA GENERICA: DICLOFENAC POTASICO 500MG/100ML, FORMA FARMACEUTICA: JARABE, PRESENTACION: 120 ML</v>
          </cell>
          <cell r="F62" t="str">
            <v>FRASCO</v>
          </cell>
        </row>
        <row r="63">
          <cell r="B63" t="str">
            <v>2.5.2-1724.208</v>
          </cell>
          <cell r="E63" t="str">
            <v>ANALGESICOS ; TIPO: MONODROGA, DROGA GENERICA: DIPIRONA SODICA 1 GR, FORMA FARMACEUTICA: AMPOLLA, PRESENTACION: 2 mL</v>
          </cell>
          <cell r="F63" t="str">
            <v>AMPOLLA</v>
          </cell>
        </row>
        <row r="64">
          <cell r="B64" t="str">
            <v>2.5.2-1724.74</v>
          </cell>
          <cell r="E64" t="str">
            <v>ANALGESICOS ; TIPO: MONODROGA, DROGA GENERICA: DIPIRONA, FORMA FARMACEUTICA: JARABE, PRESENTACION: FRASCO X 120 mL</v>
          </cell>
          <cell r="F64" t="str">
            <v>FRASCO</v>
          </cell>
        </row>
        <row r="65">
          <cell r="B65" t="str">
            <v>2.5.2-1821.458</v>
          </cell>
          <cell r="E65" t="str">
            <v>ANTIBIOTICOS P/PERSONAS; TIPO: MONODROGA, DROGA GENERICA: DOXICICLINA 100 mGr, FORMA FARMACEUTICA: COMPRIMIDO, PRESENTACION: UNIDAD</v>
          </cell>
          <cell r="F65" t="str">
            <v>COMPRIMIDO</v>
          </cell>
        </row>
        <row r="66">
          <cell r="B66" t="str">
            <v>2.5.2-1726.527</v>
          </cell>
          <cell r="E66" t="str">
            <v>SOLUCIONES P/MEDICINA; TIPO: EMULSIÓN LIPÌDICA PARA PERFUSIÓN, DROGA FOSFOLÍPIDO, PRESENTACIÓN: INTRAVENOSA AL 20%, ENVASE POR 500 ML</v>
          </cell>
          <cell r="F66" t="str">
            <v>ENVASE</v>
          </cell>
        </row>
        <row r="67">
          <cell r="B67" t="str">
            <v>2.5.2-1865.2</v>
          </cell>
          <cell r="E67" t="str">
            <v>ANTIEPILEPTICOS; TIPO: MONODROGA, FORMA FARMACEUTICA: AMPOLLA, PRESENTACION: 200 mGr, DROGA GENERICA: FENOBARBITAL</v>
          </cell>
          <cell r="F67" t="str">
            <v>AMPOLLA</v>
          </cell>
        </row>
        <row r="68">
          <cell r="B68" t="str">
            <v>2.5.2-1883.159</v>
          </cell>
          <cell r="E68" t="str">
            <v>ANESTÉSICOS LOCALES; TIPO: MONODROGA, DROGA GENÉRICA: FENTANILO 250 MCG, FORMA FARMACEÚTICA: AMPOLLA, PRESENTACIÓN: UNIDAD</v>
          </cell>
          <cell r="F68" t="str">
            <v>AMPOLLA</v>
          </cell>
        </row>
        <row r="69">
          <cell r="B69" t="str">
            <v>2.5.2-1821.238</v>
          </cell>
          <cell r="E69" t="str">
            <v>ANTIBIOTICOS P/PERSONAS; TIPO: MONODROGA, DROGA GENERICA: FLUCONAZOL 100 MG, FORMA FARMACEUTICA: COMPRIMIDO, PRESENTACION: 100 mGr</v>
          </cell>
          <cell r="F69" t="str">
            <v>COMPRIMIDO</v>
          </cell>
        </row>
        <row r="70">
          <cell r="B70" t="str">
            <v>2.5.2-1821.442</v>
          </cell>
          <cell r="E70" t="str">
            <v>ANTIBIOTICOS P/PERSONAS; TIPO: MONODROGA, DROGA GENERICA: FLUCONAZOL 200 MG, FORMA FARMACEUTICA: SOLUCION INYECTABLE, PRESENTACION: ENVASE X 100 mL</v>
          </cell>
          <cell r="F70" t="str">
            <v>ENVASE</v>
          </cell>
        </row>
        <row r="71">
          <cell r="B71" t="str">
            <v>2.5.2-1823.114</v>
          </cell>
          <cell r="E71" t="str">
            <v>ANTIMICOTICOS; DROGA GENERICA: FLUCONAZOL, FORMA FARMACEUTICA: SUSPENSION X 35 ML, PRESENTACION: 50 MGR/5ML, TIPO: MONODROGA</v>
          </cell>
          <cell r="F71" t="str">
            <v>FRASCO</v>
          </cell>
        </row>
        <row r="72">
          <cell r="B72" t="str">
            <v>2.5.2-1821.491</v>
          </cell>
          <cell r="E72" t="str">
            <v>ANTIBIOTICOS P/PERSONAS; TIPO: MONODROGA, DROGA GENERICA: FOSFOMICINA, FORMA FARMACEUTICA: AMPOLLA, PRESENTACION: ENVASE X 1 GR</v>
          </cell>
          <cell r="F72" t="str">
            <v>AMPOLLA</v>
          </cell>
        </row>
        <row r="73">
          <cell r="B73" t="str">
            <v>2.5.2-3603.13</v>
          </cell>
          <cell r="E73" t="str">
            <v>EVACUANTES INTESTINALES; TIPO: ASOCIACION, DROGA GENERICA: FOSFATO MONOSODICO-BISODICO, FORMA FARMACEUTICA: SOLUCION, PRESENTACION: ENVASE X 45 mL</v>
          </cell>
          <cell r="F73" t="str">
            <v>FRASCO</v>
          </cell>
        </row>
        <row r="74">
          <cell r="B74" t="str">
            <v>2.5.2-3603.1</v>
          </cell>
          <cell r="E74" t="str">
            <v>EVACUANTES INTESTINALES; DROGA GENERICA: FOSFATO MONOSODICO-BISODICO, FORMA FARMACEUTICA: SOLUCION, PRESENTACION: 135 mL, TIPO: ASOCIACION</v>
          </cell>
          <cell r="F74" t="str">
            <v>FRASCO</v>
          </cell>
        </row>
        <row r="75">
          <cell r="B75" t="str">
            <v>2.5.2-1726.490</v>
          </cell>
          <cell r="E75" t="str">
            <v>SOLUCIONES P/MEDICINA; PRESENTACION: ENVASE X 15 mL, TIPO: CONTRASTE P/RESONANCIA</v>
          </cell>
          <cell r="F75" t="str">
            <v>FRASCO</v>
          </cell>
        </row>
        <row r="76">
          <cell r="B76" t="str">
            <v>2.5.2-1905.96</v>
          </cell>
          <cell r="E76" t="str">
            <v>VACUNAS; TIPO: G.GLOBULINA+TOXOIDE ANTITETÁNICO, PRESENTACIÓN: ENVASE X 250 UI</v>
          </cell>
          <cell r="F76" t="str">
            <v>AMPOLLA</v>
          </cell>
        </row>
        <row r="77">
          <cell r="B77" t="str">
            <v>2.5.2-1905.67</v>
          </cell>
          <cell r="E77" t="str">
            <v>VACUNAS; TIPO: G.GLOBULINA+TOXOIDE ANTITETÁNICO, PRESENTACIÓN: ENVASE X 500 UI</v>
          </cell>
          <cell r="F77" t="str">
            <v>AMPOLLA</v>
          </cell>
        </row>
        <row r="78">
          <cell r="B78" t="str">
            <v>2.5.2-1821.4</v>
          </cell>
          <cell r="E78" t="str">
            <v>ANTIBIOTICOS P/PERSONAS; DROGA GENERICA: GENTAMICINA, FORMA FARMACEUTICA: AMPOLLA, PRESENTACION: 80 mGr, TIPO: MONODROGA</v>
          </cell>
          <cell r="F78" t="str">
            <v>AMPOLLA</v>
          </cell>
        </row>
        <row r="79">
          <cell r="B79" t="str">
            <v>2.5.2-1724.163</v>
          </cell>
          <cell r="E79" t="str">
            <v>ANALGESICOS ; TIPO: MONODROGA, DROGA GENERICA: IBUPROFENO 2%, FORMA FARMACEUTICA: SUSPENSION, PRESENTACION: ENVASE X 90 mL</v>
          </cell>
          <cell r="F79" t="str">
            <v>FRASCO</v>
          </cell>
        </row>
        <row r="80">
          <cell r="B80" t="str">
            <v>2.5.2-1724.4</v>
          </cell>
          <cell r="E80" t="str">
            <v>ANALGESICOS ; TIPO: MONODROGA, DROGA GENERICA: IBUPROFENO, PRESENTACION: 400 mGr, FORMA FARMACEUTICA: COMPRIMIDO</v>
          </cell>
          <cell r="F80" t="str">
            <v>AMPOLLA</v>
          </cell>
        </row>
        <row r="81">
          <cell r="B81" t="str">
            <v>2.5.2-1725.68</v>
          </cell>
          <cell r="E81" t="str">
            <v>ANTIINFLAMATORIOS NO ESTEROIDE; TIPO: MONODROGA, DROGA GENERICA: IBUPROFENO, FORMA FARMACEUTICA: COMPRIMIDO, PRESENTACION: 400 mGr</v>
          </cell>
          <cell r="F81" t="str">
            <v>COMPRIMIDO</v>
          </cell>
        </row>
        <row r="82">
          <cell r="B82" t="str">
            <v>2.5.2-1821.459</v>
          </cell>
          <cell r="E82" t="str">
            <v>ANTIBIOTICOS P/PERSONAS; TIPO: MONODROGA, DROGA GENERICA: IMIPENEM + CILASTATINA, FORMA FARMACEUTICA: FRASCO AMPOLLA, PRESENTACION: ENVASE X 500 mGr</v>
          </cell>
          <cell r="F82" t="str">
            <v>AMPOLLA</v>
          </cell>
        </row>
        <row r="83">
          <cell r="B83" t="str">
            <v>2.5.2-1725.154</v>
          </cell>
          <cell r="E83" t="str">
            <v>ANTIINFLAMATORIOS NO ESTEROIDE; TIPO: MONODROGA, DROGA GENERICA: INDOMETACINA 100 MG, FORMA FARMACEUTICA: SUPOSITORIO, PRESENTACION: CAJA X 10 UNIDADES</v>
          </cell>
          <cell r="F83" t="str">
            <v>CAJA</v>
          </cell>
        </row>
        <row r="84">
          <cell r="B84" t="str">
            <v>2.5.2-5275.16</v>
          </cell>
          <cell r="E84" t="str">
            <v>ANTI GAMMA TOTAL; TIPO: INMUNOGLOBULINA HUMAN ANTI-RH, PRESENTACION: JERINGA PRELLENA 250-330MCG/ML</v>
          </cell>
          <cell r="F84" t="str">
            <v>UNIDAD</v>
          </cell>
        </row>
        <row r="85">
          <cell r="B85" t="str">
            <v>2.5.2-1859.29</v>
          </cell>
          <cell r="E85" t="str">
            <v>INMUNOMODULADORES; TIPO: MONODROGA, DROGA GENERICA: INMUNOGLOBULINA G HUMANA, FORMA FARMACEUTICA: VIAL, PRESENTACION: 10 GR</v>
          </cell>
          <cell r="F85" t="str">
            <v>ENVASE</v>
          </cell>
        </row>
        <row r="86">
          <cell r="B86" t="str">
            <v>2.5.2-1859.30</v>
          </cell>
          <cell r="E86" t="str">
            <v>INMUNOMODULADORES; TIPO: MONODROGA, DROGA GENERICA: INMUNOGLOBULINA G HUMANA, FORMA FARMACEUTICA: VIAL, PRESENTACION: 2,5 GR</v>
          </cell>
          <cell r="F86" t="str">
            <v>ENVASE</v>
          </cell>
        </row>
        <row r="87">
          <cell r="B87" t="str">
            <v>2.5.2-1859.28</v>
          </cell>
          <cell r="E87" t="str">
            <v>INMUNOMODULADORES; TIPO: MONODROGA, DROGA GENERICA: INMUNOGLOBULINA G HUMANA, FORMA FARMACEUTICA: VIAL, PRESENTACION: 5 GR</v>
          </cell>
          <cell r="F87" t="str">
            <v>ENVASE</v>
          </cell>
        </row>
        <row r="88">
          <cell r="B88" t="str">
            <v>2.5.2-1859.24</v>
          </cell>
          <cell r="E88" t="str">
            <v>INMUNOMODULADORES; TIPO: MONODROGA, DROGA GENERICA: GAMMAGLOBULINA, FORMA FARMACEUTICA: AMPOLLA, PRESENTACION: 6 GR</v>
          </cell>
          <cell r="F88" t="str">
            <v>ENVASE</v>
          </cell>
        </row>
        <row r="89">
          <cell r="B89" t="str">
            <v>2.5.2-1823.84</v>
          </cell>
          <cell r="E89" t="str">
            <v>ANTIMICOTICOS; TIPO: MONODROGA, DROGA GENERICA: ITRACONAZOL, FORMA FARMACEUTICA: COMPRIMIDO, PRESENTACION: 100 mGr</v>
          </cell>
          <cell r="F89" t="str">
            <v>COMPRIMIDO</v>
          </cell>
        </row>
        <row r="90">
          <cell r="B90" t="str">
            <v>2.5.2-2455.20</v>
          </cell>
          <cell r="E90" t="str">
            <v>ANESTESICOS GENERALES; DROGA GENERICA: KETAMINA 50 MG/ML, FORMA FARMACEUTICA: FRASCO AMPOLLA, PRESENTACION: 10 mL, TIPO: MONODROGA</v>
          </cell>
          <cell r="F90" t="str">
            <v>AMPOLLA</v>
          </cell>
        </row>
        <row r="91">
          <cell r="B91" t="str">
            <v>2.5.2-1725.49</v>
          </cell>
          <cell r="E91" t="str">
            <v>ANTIINFLAMATORIOS NO ESTEROIDE; DROGA GENERICA: KETOROLAC, FORMA FARMACEUTICA: COMPRIMIDO, PRESENTACION: 10 mGr, TIPO: MONODROGA</v>
          </cell>
          <cell r="F91" t="str">
            <v>COMPRIMIDO</v>
          </cell>
        </row>
        <row r="92">
          <cell r="B92" t="str">
            <v>2.5.2-1724.23</v>
          </cell>
          <cell r="E92" t="str">
            <v>ANALGESICOS ; TIPO: MONODROGA, DROGA GENERICA: KETOROLAC, FORMA FARMACEUTICA: AMPOLLA, PRESENTACION: 30 mGr</v>
          </cell>
          <cell r="F92" t="str">
            <v>AMPOLLA</v>
          </cell>
        </row>
        <row r="93">
          <cell r="B93" t="str">
            <v>2.5.2-1821.71</v>
          </cell>
          <cell r="E93" t="str">
            <v>ANTIBIOTICOS P/PERSONAS; TIPO: MONODROGA, DROGA GENERICA: LEVOFLOXACINA, PRESENTACION: 500 mGr, FORMA FARMACEUTICA: COMPRIMIDO</v>
          </cell>
          <cell r="F93" t="str">
            <v>COMPRIMIDO</v>
          </cell>
        </row>
        <row r="94">
          <cell r="B94" t="str">
            <v>2.5.2-1883.186</v>
          </cell>
          <cell r="E94" t="str">
            <v>ANESTESICOS LOCALES; TIPO: MONODROGA, DROGA GENERICA: LIDOCAINA 2%S/EPINEFRINA, FORMA FARMACEUTICA: AMPOLLA, PRESENTACION: 5 mL</v>
          </cell>
          <cell r="F94" t="str">
            <v>AMPOLLA</v>
          </cell>
        </row>
        <row r="95">
          <cell r="B95" t="str">
            <v>2.5.2-1883.136</v>
          </cell>
          <cell r="E95" t="str">
            <v>ANESTESICOS LOCALES; TIPO: MONODROGA, DROGA GENERICA: LIDOCAINA 2% S/EPINEFRINA, FORMA FARMACEUTICA: FRASCO AMPOLLA, PRESENTACION: ENVASE X 20 mL</v>
          </cell>
          <cell r="F95" t="str">
            <v>AMPOLLA</v>
          </cell>
        </row>
        <row r="96">
          <cell r="B96" t="str">
            <v>2.5.2-1883.111</v>
          </cell>
          <cell r="E96" t="str">
            <v>ANESTESICOS LOCALES; TIPO: ASOCIACION, DROGA GENERICA: LIDOCAINA 2% C/EPINEFRINA, FORMA FARMACEUTICA: FRASCO AMPOLLA, PRESENTACION: 20 mL</v>
          </cell>
          <cell r="F96" t="str">
            <v>AMPOLLA</v>
          </cell>
        </row>
        <row r="97">
          <cell r="B97" t="str">
            <v>2.5.2-1883.28</v>
          </cell>
          <cell r="E97" t="str">
            <v>ANESTESICOS LOCALES; TIPO: MONODROGA, DROGA GENERICA: LIDOCAINA, FORMA FARMACEUTICA: AEROSOL, PRESENTACION: 100 mL</v>
          </cell>
          <cell r="F97" t="str">
            <v>ENVASE</v>
          </cell>
        </row>
        <row r="98">
          <cell r="B98" t="str">
            <v>2.5.2-1883.149</v>
          </cell>
          <cell r="E98" t="str">
            <v>ANESTESICOS LOCALES; TIPO: MONODROGA, DROGA GENERICA: LIDOCAINA, FORMA FARMACEUTICA: JALEA, PRESENTACION: ENVASE X 25 GR</v>
          </cell>
          <cell r="F98" t="str">
            <v>ENVASE</v>
          </cell>
        </row>
        <row r="99">
          <cell r="B99" t="str">
            <v>2.5.2-1883.19</v>
          </cell>
          <cell r="E99" t="str">
            <v>ANESTESICOS LOCALES; TIPO: MONODROGA, DROGA GENERICA: LIDOCAINA VISCOSA, FORMA FARMACEUTICA: ENVASE, PRESENTACION: 50 mL</v>
          </cell>
          <cell r="F99" t="str">
            <v>ENVASE</v>
          </cell>
        </row>
        <row r="100">
          <cell r="B100" t="str">
            <v>2.5.2-1821.329</v>
          </cell>
          <cell r="E100" t="str">
            <v>ANTIBIOTICOS P/PERSONAS; TIPO: MONODROGA, DROGA GENERICA: LINEZOLID, FORMA FARMACEUTICA: SOLUCION, PRESENTACION: ENVASE X 300 mL</v>
          </cell>
          <cell r="F100" t="str">
            <v>FRASCO</v>
          </cell>
        </row>
        <row r="101">
          <cell r="B101" t="str">
            <v>2.5.2-1857.12</v>
          </cell>
          <cell r="E101" t="str">
            <v>ANTIPARASITARIOS; TIPO: MONODROGA, DROGA GENERICA: MEBENDAZOL, FORMA FARMACEUTICA: COMPRIMIDOS, PRESENTACION: 100 mGr</v>
          </cell>
          <cell r="F101" t="str">
            <v>COMPRIMIDO</v>
          </cell>
        </row>
        <row r="102">
          <cell r="B102" t="str">
            <v>2.5.2-1857.36</v>
          </cell>
          <cell r="E102" t="str">
            <v>ANTIPARASITARIOS; TIPO: MONODROGA, DROGA GENERICA: MEBENDAZOL 2%, FORMA FARMACEUTICA: SUSPENSION, PRESENTACION: ENVASE X 30 mL</v>
          </cell>
          <cell r="F102" t="str">
            <v>FRASCO</v>
          </cell>
        </row>
        <row r="103">
          <cell r="B103" t="str">
            <v>2.5.2-1821.463</v>
          </cell>
          <cell r="E103" t="str">
            <v>ANTIBIOTICOS P/PERSONAS; TIPO: MONODROGA, DROGA GENERICA: MEROPENEM 1000 mGr, FORMA FARMACEUTICA: AMPOLLA, PRESENTACION: UNIDAD</v>
          </cell>
          <cell r="F103" t="str">
            <v>AMPOLLA</v>
          </cell>
        </row>
        <row r="104">
          <cell r="B104" t="str">
            <v>2.5.2-1821.421</v>
          </cell>
          <cell r="E104" t="str">
            <v>ANTIBIOTICOS P/PERSONAS; TIPO: MONODROGA, DROGA GENERICA: MEROPENEM 500 mGr, FORMA FARMACEUTICA: FRASCO AMPOLLA, PRESENTACION: UNIDAD</v>
          </cell>
          <cell r="F104" t="str">
            <v>AMPOLLA</v>
          </cell>
        </row>
        <row r="105">
          <cell r="B105" t="str">
            <v>2.5.2-1821.334</v>
          </cell>
          <cell r="E105" t="str">
            <v>ANTIBIOTICOS P/PERSONAS; TIPO: MONODROGA, DROGA GENERICA: METRONIDAZOL 125MG/5ML, FORMA FARMACEUTICA: SUSPENSION ORAL, PRESENTACION: ENVASE X 120 mL</v>
          </cell>
          <cell r="F105" t="str">
            <v>FRASCO</v>
          </cell>
        </row>
        <row r="106">
          <cell r="B106" t="str">
            <v>2.5.2-1821.76</v>
          </cell>
          <cell r="E106" t="str">
            <v>ANTIBIOTICOS P/PERSONAS; TIPO: MONODROGA, FORMA FARMACEUTICA: COMPRIMIDO, PRESENTACION: 500 mGr, DROGA GENERICA: METRONIDAZOL</v>
          </cell>
          <cell r="F106" t="str">
            <v>COMPRIMIDO</v>
          </cell>
        </row>
        <row r="107">
          <cell r="B107" t="str">
            <v>2.5.2-1821.400</v>
          </cell>
          <cell r="E107" t="str">
            <v>ANTIBIOTICOS P/PERSONAS; TIPO: MONODROGA, DROGA GENERICA: METRONIDAZOL 500 mGr, FORMA FARMACEUTICA: SACHET X 100 mL, PRESENTACION: UNIDAD</v>
          </cell>
          <cell r="F107" t="str">
            <v>ENVASE</v>
          </cell>
        </row>
        <row r="108">
          <cell r="B108" t="str">
            <v>2.5.2-1870.15</v>
          </cell>
          <cell r="E108" t="str">
            <v>HIPNOTICOS; TIPO: MONODROGA, DROGA GENERICA: MIDAZOLAM 15 mGr, FORMA FARMACEUTICA: AMPOLLA, PRESENTACION: ENVASE X 3 mL</v>
          </cell>
          <cell r="F108" t="str">
            <v>AMPOLLA</v>
          </cell>
        </row>
        <row r="109">
          <cell r="B109" t="str">
            <v>2.5.2-1821.115</v>
          </cell>
          <cell r="E109" t="str">
            <v>ANTIBIOTICOS P/PERSONAS; TIPO: MONODROGA, DROGA GENERICA: MINOCICLINA, FORMA FARMACEUTICA: COMPRIMIDO, PRESENTACION: 100 mGr</v>
          </cell>
          <cell r="F109" t="str">
            <v>COMPRIMIDO</v>
          </cell>
        </row>
        <row r="110">
          <cell r="B110" t="str">
            <v>2.5.2-1724.98</v>
          </cell>
          <cell r="E110" t="str">
            <v>ANALGESICOS ; TIPO: MONODROGA, DROGA GENERICA: MORFINA CLORIDRATO 1%, FORMA FARMACEUTICA: AMPOLLA, PRESENTACION: 1 mL</v>
          </cell>
          <cell r="F110" t="str">
            <v>AMPOLLA</v>
          </cell>
        </row>
        <row r="111">
          <cell r="B111" t="str">
            <v>2.5.2-1724.206</v>
          </cell>
          <cell r="E111" t="str">
            <v>ANALGESICOS ; TIPO: MONODROGA, DROGA GENERICA: NALBUFINA 10 mGr, FORMA FARMACEUTICA: AMPOLLA, PRESENTACION: ENVASE X 1 mL</v>
          </cell>
          <cell r="F111" t="str">
            <v>AMPOLLA</v>
          </cell>
        </row>
        <row r="112">
          <cell r="B112" t="str">
            <v>2.5.2-1725.35</v>
          </cell>
          <cell r="E112" t="str">
            <v>ANTIINFLAMATORIOS NO ESTEROIDE; TIPO: MONODROGA, DROGA GENERICA: NAPROXENO, FORMA FARMACEUTICA: COMPRIMIDO, PRESENTACION: 500 mGr</v>
          </cell>
          <cell r="F112" t="str">
            <v>COMPRIMIDO</v>
          </cell>
        </row>
        <row r="113">
          <cell r="B113" t="str">
            <v>2.5.2-1821.123</v>
          </cell>
          <cell r="E113" t="str">
            <v>ANTIBIOTICOS P/PERSONAS; TIPO: MONODROGA, DROGA GENERICA: ORNIDAZOL, PRESENTACION: 1 GR, FORMA FARMACEUTICA: AMPOLLA</v>
          </cell>
          <cell r="F113" t="str">
            <v>AMPOLLA</v>
          </cell>
        </row>
        <row r="114">
          <cell r="B114" t="str">
            <v>2.5.2-1883.165</v>
          </cell>
          <cell r="E114" t="str">
            <v>ANESTESICOS LOCALES; TIPO: MONODROGA, DROGA GENERICA: PANCURONIO BROMURO 4 mGr, FORMA FARMACEUTICA: AMPOLLA, PRESENTACION: ENVASE X 2 mL</v>
          </cell>
          <cell r="F114" t="str">
            <v>AMPOLLA</v>
          </cell>
        </row>
        <row r="115">
          <cell r="B115" t="str">
            <v>2.5.2-1724.243</v>
          </cell>
          <cell r="E115" t="str">
            <v>ANALGESICOS; TIPO: MONODROGA, DROGA GENERICA: PARACETAMOL 1 GR, FORMA FARMACEUTICA: COMPRIMIDO, PRESENTACION: UNIDAD</v>
          </cell>
          <cell r="F115" t="str">
            <v>COMPRIMIDO</v>
          </cell>
        </row>
        <row r="116">
          <cell r="B116" t="str">
            <v>2.5.2-1724.230</v>
          </cell>
          <cell r="E116" t="str">
            <v>ANALGESICOS ; PRESENTACION: 100 mL, FORMA FARMACEUTICA: AMPOLLA, DROGA GENERICA: PARACETAMOL 1000 mGr, TIPO: MONODROGA mGr</v>
          </cell>
          <cell r="F116" t="str">
            <v>AMPOLLA</v>
          </cell>
        </row>
        <row r="117">
          <cell r="B117" t="str">
            <v>2.5.2-1724.244</v>
          </cell>
          <cell r="E117" t="str">
            <v>ANALGESICOS; TIPO: MONODROGA, DROGA GENERICA: PARACETAMOL 2%, 100MG/5ML, FORMA FARMACEÚTICA: JARABE, PRESENTACION: 120 ML</v>
          </cell>
          <cell r="F117" t="str">
            <v>FRASCO</v>
          </cell>
        </row>
        <row r="118">
          <cell r="B118" t="str">
            <v>2.5.2-1724.245</v>
          </cell>
          <cell r="E118" t="str">
            <v>ANALGÉSICOS ; TIPO: MONODROGA, DROGA GENÉRICA: PARACETAMOL 500 MGR, FORMA FARMACEÚTICA: COMPRIMIDO, PRESENTACIÓN: X UNIDAD</v>
          </cell>
          <cell r="F118" t="str">
            <v>COMPRIMIDO</v>
          </cell>
        </row>
        <row r="119">
          <cell r="B119" t="str">
            <v>2.5.2-1724.29</v>
          </cell>
          <cell r="E119" t="str">
            <v>ANALGESICOS ; TIPO: MONODROGA, DROGA GENERICA: PARACETAMOL, FORMA FARMACEUTICA: GOTAS, PRESENTACION: 20 mL</v>
          </cell>
          <cell r="F119" t="str">
            <v>GOTERO</v>
          </cell>
        </row>
        <row r="120">
          <cell r="B120" t="str">
            <v>2.5.2-1821.54</v>
          </cell>
          <cell r="E120" t="str">
            <v>ANTIBIOTICOS P/PERSONAS; TIPO: MONODROGA, DROGA GENERICA: PENICILINA G. BENZATINICA, FORMA FARMACEUTICA: AMPOLLA, PRESENTACION: 1.200.000 UI</v>
          </cell>
          <cell r="F120" t="str">
            <v>AMPOLLA</v>
          </cell>
        </row>
        <row r="121">
          <cell r="B121" t="str">
            <v>2.5.2-1821.220</v>
          </cell>
          <cell r="E121" t="str">
            <v>ANTIBIOTICOS P/PERSONAS; TIPO: MONODROGA, DROGA GENERICA: PENICILINA G. BENZATINICA, FORMA FARMACEUTICA: FRASCO AMPOLLA, PRESENTACION: 2.400.000 UI</v>
          </cell>
          <cell r="F121" t="str">
            <v>AMPOLLA</v>
          </cell>
        </row>
        <row r="122">
          <cell r="B122" t="str">
            <v>2.5.2-1821.260</v>
          </cell>
          <cell r="E122" t="str">
            <v>ANTIBIOTICOS P/PERSONAS; TIPO: MONODROGA, DROGA GENERICA: PENICILINA G. SODICA, FORMA FARMACEUTICA: FRASCO AMPOLLA, PRESENTACION: 1.000.000 UI</v>
          </cell>
          <cell r="F122" t="str">
            <v>AMPOLLA</v>
          </cell>
        </row>
        <row r="123">
          <cell r="B123" t="str">
            <v>2.5.2-1821.13</v>
          </cell>
          <cell r="E123" t="str">
            <v>ANTIBIOTICOS P/PERSONAS; TIPO: MONODROGA, DROGA GENERICA: PENICILINA G. SODICA, FORMA FARMACEUTICA: AMPOLLA, PRESENTACION: 3.000.000 UI</v>
          </cell>
          <cell r="F123" t="str">
            <v>AMPOLLA</v>
          </cell>
        </row>
        <row r="124">
          <cell r="B124" t="str">
            <v>2.5.2-3097.9</v>
          </cell>
          <cell r="E124" t="str">
            <v>PEDICULICIDAS; DROGA GENERICA: PERMETRINA, FORMA FARMACEUTICA: EMULSION, PRESENTACION: 100 mL</v>
          </cell>
          <cell r="F124" t="str">
            <v>ENVASE</v>
          </cell>
        </row>
        <row r="125">
          <cell r="B125" t="str">
            <v>2.5.2-3097.1</v>
          </cell>
          <cell r="E125" t="str">
            <v>PEDICULICIDAS; DROGA GENERICA: PERMETRINA 1%, FORMA FARMACEUTICA: SOLUCION, PRESENTACION: FRASCO X 100 mL</v>
          </cell>
          <cell r="F125" t="str">
            <v>ENVASE</v>
          </cell>
        </row>
        <row r="126">
          <cell r="B126" t="str">
            <v>2.5.2-1821.77</v>
          </cell>
          <cell r="E126" t="str">
            <v>ANTIBIOTICOS P/PERSONAS; TIPO: ASOCIACION, DROGA GENERICA: PIPERACILINA+TAZOBACTAN, FORMA FARMACEUTICA: AMPOLLA, PRESENTACION: 4,5 GR</v>
          </cell>
          <cell r="F126" t="str">
            <v>AMPOLLA</v>
          </cell>
        </row>
        <row r="127">
          <cell r="B127" t="str">
            <v>2.5.2-3603.18</v>
          </cell>
          <cell r="E127" t="str">
            <v>EVACUANTES INTESTINALES; TIPO: ASOCIACION, DROGA GENERICA: POLIETILENGLICOL 3350, FORMA FARMACEÚTICA: SOBRES, PRESENTACION: SOBRES X 30</v>
          </cell>
          <cell r="F127" t="str">
            <v>CAJA</v>
          </cell>
        </row>
        <row r="128">
          <cell r="B128" t="str">
            <v>2.5.2-3603.15</v>
          </cell>
          <cell r="E128" t="str">
            <v>EVACUANTES INTESTINALES; TIPO: MONODROGA, DROGA GENERICA: POLIETILENGLICOL, FORMA FARMACEUTICA: SOLUCION, PRESENTACION: ENVASE X 4 L</v>
          </cell>
          <cell r="F128" t="str">
            <v>ENVASE</v>
          </cell>
        </row>
        <row r="129">
          <cell r="B129" t="str">
            <v>2.5.2-2455.27</v>
          </cell>
          <cell r="E129" t="str">
            <v>ANESTESICOS GENERALES; DROGA GENERICA: PROPOFOL 200 mGr, FORMA FARMACEUTICA: AMPOLLA, PRESENTACION: ENVASE X 20 mL, TIPO: MONODROGA</v>
          </cell>
          <cell r="F129" t="str">
            <v>AMPOLLA</v>
          </cell>
        </row>
        <row r="130">
          <cell r="B130" t="str">
            <v>2.5.2-2455.48</v>
          </cell>
          <cell r="E130" t="str">
            <v>ANESTESICOS GENERALES; DROGA GENERICA: PROPOFOL 200mGr, FORMA FARMACEUTICA: AMPOLLA, PRESENTACION ENVASE: X 50ml, TIPO: MONODROGA</v>
          </cell>
          <cell r="F130" t="str">
            <v>AMPOLLA</v>
          </cell>
        </row>
        <row r="131">
          <cell r="B131" t="str">
            <v>2.5.2-2455.49</v>
          </cell>
          <cell r="E131" t="str">
            <v>ANESTÉSICOS GENERALES; DROGA GENÉRICA: PROPOFOL 2%, 400MGR, FORMA FARMACEÚTICA: AMPOLLA, PRESENTACIÓN ENVASE: X 50ML, TIPO: MONODROGA</v>
          </cell>
          <cell r="F131" t="str">
            <v>AMPOLLA</v>
          </cell>
        </row>
        <row r="132">
          <cell r="B132" t="str">
            <v>2.5.2-1883.173</v>
          </cell>
          <cell r="E132" t="str">
            <v>ANESTESICOS LOCALES; TIPO: MONODROGA, DROGA GENERICA: REMIFENTANILO 5 mGr, FORMA FARMACEUTICA: AMPOLLA, PRESENTACION: UNIDAD</v>
          </cell>
          <cell r="F132" t="str">
            <v>AMPOLLA</v>
          </cell>
        </row>
        <row r="133">
          <cell r="B133" t="str">
            <v>2.5.2-1821.201</v>
          </cell>
          <cell r="E133" t="str">
            <v>ANTIBIOTICOS P/PERSONAS; TIPO: ANTITUBERCULOSTATICO, DROGA GENERICA: RIFAMPICINA X 2 GR, FORMA FARMACEUTICA: EN SUSPENSION CADA 100 mL, PRESENTACION: FRASCO X 50 Ml</v>
          </cell>
          <cell r="F133" t="str">
            <v>FRASCO</v>
          </cell>
        </row>
        <row r="134">
          <cell r="B134" t="str">
            <v>2.5.2-1822.6</v>
          </cell>
          <cell r="E134" t="str">
            <v>ANTIMICOBACTERIAS; TIPO: MONODROGA, DROGA GENERICA: RIFAMPICINA, PRESENTACION: 300 mGr, FORMA FARMACEUTICA: CAPSULA</v>
          </cell>
          <cell r="F134" t="str">
            <v>CAPSULAS</v>
          </cell>
        </row>
        <row r="135">
          <cell r="B135" t="str">
            <v>2.5.2-1821.219</v>
          </cell>
          <cell r="E135" t="str">
            <v>ANTIBIOTICOS P/PERSONAS; TIPO: MONODROGA, DROGA GENERICA: RIFAMPICINA, FORMA FARMACEUTICA: FRASCO AMPOLLA, PRESENTACION: 600 mGr</v>
          </cell>
          <cell r="F135" t="str">
            <v>AMPOLLA</v>
          </cell>
        </row>
        <row r="136">
          <cell r="B136" t="str">
            <v>2.5.2-2455.31</v>
          </cell>
          <cell r="E136" t="str">
            <v>ANESTESICOS GENERALES; DROGA GENERICA: SEVOFLUORANO, FORMA FARMACEUTICA: SOLUCION, PRESENTACION: ENVASE X 250 mL, TIPO: MONODROGA</v>
          </cell>
          <cell r="F136" t="str">
            <v>FRASCO</v>
          </cell>
        </row>
        <row r="137">
          <cell r="B137" t="str">
            <v>2.5.2-2199.2</v>
          </cell>
          <cell r="E137" t="str">
            <v>BLOQUEANTES NEUROMUSCULARES; DROGA GENERICA: SUCCINILCOLINA, FORMA FARMACEUTICA: AMPOLLA, PRESENTACION: 500 mGr, TIPO: MONODROGA</v>
          </cell>
          <cell r="F137" t="str">
            <v>AMPOLLA</v>
          </cell>
        </row>
        <row r="138">
          <cell r="B138" t="str">
            <v>2.5.2-1821.423</v>
          </cell>
          <cell r="E138" t="str">
            <v>ANTIBIOTICOS P/PERSONAS; TIPO: MONODROGA, DROGA GENERICA: TIGECICLINA 50 mGr, FORMA FARMACEUTICA: FRASCO AMPOLLA, PRESENTACION: UNIDAD</v>
          </cell>
          <cell r="F138" t="str">
            <v>AMPOLLA</v>
          </cell>
        </row>
        <row r="139">
          <cell r="B139" t="str">
            <v>2.5.2-2455.34</v>
          </cell>
          <cell r="E139" t="str">
            <v>ANESTESICOS GENERALES; DROGA GENERICA: TIOPENTAL SODICO 1 GR, FORMA FARMACEUTICA: FRASCO AMPOLLA, PRESENTACION: UNIDAD, TIPO: MONODROGA</v>
          </cell>
          <cell r="F139" t="str">
            <v>AMPOLLA</v>
          </cell>
        </row>
        <row r="140">
          <cell r="B140" t="str">
            <v>2.5.2-1724.154</v>
          </cell>
          <cell r="E140" t="str">
            <v>ANALGESICOS ; TIPO: MONODROGA, DROGA GENERICA: TRAMADOL 50 mGr, FORMA FARMACEUTICA: AMPOLLA, PRESENTACION: UNIDAD</v>
          </cell>
          <cell r="F140" t="str">
            <v>AMPOLLA</v>
          </cell>
        </row>
        <row r="141">
          <cell r="B141" t="str">
            <v>2.5.2-1821.510</v>
          </cell>
          <cell r="E141" t="str">
            <v>ANTIBIOTICOS P/PERSONAS; TIPO: MONODROGA, DROGA GENERICA: VANCOMICINA 1 GR, FORMA FARMACEUTICA: FRASCO AMPOLLA, PRESENTACION: UNIDAD</v>
          </cell>
          <cell r="F141" t="str">
            <v>AMPOLLA</v>
          </cell>
        </row>
        <row r="142">
          <cell r="B142" t="str">
            <v>2.5.2-1821.44</v>
          </cell>
          <cell r="E142" t="str">
            <v>ANTIBIOTICOS P/PERSONAS; DROGA GENERICA: VANCOMICINA, FORMA FARMACEUTICA: AMPOLLA, TIPO: MONODROGA, PRESENTACION: 500 mGr</v>
          </cell>
          <cell r="F142" t="str">
            <v>AMPOLLA</v>
          </cell>
        </row>
        <row r="143">
          <cell r="B143" t="str">
            <v>2.5.2-2199.13</v>
          </cell>
          <cell r="E143" t="str">
            <v>BLOQUEANTES NEUROMUSCULARES; DROGA GENERICA: BROMURO DE VECURONIO, FORMA FARMACEUTICA: AMPOLLA X 10 mGr, PRESENTACION: UNIDAD, TIPO: MONODROGA</v>
          </cell>
          <cell r="F143" t="str">
            <v>AMPOLLA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B10" t="str">
            <v>2.5.2-1829.24</v>
          </cell>
          <cell r="E10" t="str">
            <v>ANTIVIRALES; TIPO: MONODROGA, DROGA GENERICA: ACICLOVIR, FORMA FARMACEUTICA: COMPRIMIDO, PRESENTACION: 200 mGr</v>
          </cell>
          <cell r="F10" t="str">
            <v>COMPRIMIDO</v>
          </cell>
          <cell r="H10">
            <v>60.1</v>
          </cell>
        </row>
        <row r="11">
          <cell r="B11" t="str">
            <v>2.5.2-1829.35</v>
          </cell>
          <cell r="E11" t="str">
            <v>ANTIVIRALES; TIPO: MONODROGA, DROGA GENERICA: ACICLOVIR, FORMA FARMACEUTICA: COMPRIMIDO, PRESENTACION: 400 mGr</v>
          </cell>
          <cell r="F11" t="str">
            <v>COMPRIMIDO</v>
          </cell>
          <cell r="H11">
            <v>70.099999999999994</v>
          </cell>
        </row>
        <row r="12">
          <cell r="B12" t="str">
            <v>2.5.2-1821.235</v>
          </cell>
          <cell r="E12" t="str">
            <v>ANTIBIOTICOS P/PERSONAS; TIPO: MONODROGA, DROGA GENERICA: ACICLOVIR 500 MG, FORMA FARMACEUTICA: FRASCO AMPOLLA, PRESENTACION: 500 mGr</v>
          </cell>
          <cell r="F12" t="str">
            <v>AMPOLLA</v>
          </cell>
          <cell r="H12">
            <v>450</v>
          </cell>
        </row>
        <row r="13">
          <cell r="B13" t="str">
            <v>2.5.2-1829.48</v>
          </cell>
          <cell r="E13" t="str">
            <v>ANTIVIRALES; TIPO: MONODROGA, DROGA GENERICA: ACICLOVIR 80 MG/ ML, FORMA FARMACEUTICA: SUSPENSION, PRESENTACION: ENVASE X 200 ML</v>
          </cell>
          <cell r="F13" t="str">
            <v>FRASCO</v>
          </cell>
          <cell r="H13">
            <v>980</v>
          </cell>
        </row>
        <row r="14">
          <cell r="B14" t="str">
            <v>2.5.2-1724.16</v>
          </cell>
          <cell r="E14" t="str">
            <v>ANALGESICOS ; TIPO: MONODROGA, DROGA GENERICA: ACIDO ACETILSALICILICO, PRESENTACION: 100 mGr, FORMA FARMACEUTICA: COMPRIMIDO</v>
          </cell>
          <cell r="F14" t="str">
            <v>COMPRIMIDO</v>
          </cell>
          <cell r="H14">
            <v>1.55</v>
          </cell>
        </row>
        <row r="15">
          <cell r="B15" t="str">
            <v>2.5.2-1724.3</v>
          </cell>
          <cell r="E15" t="str">
            <v>ANALGESICOS ; PRESENTACION: 500 mGr, TIPO: MONODROGA, DROGA GENERICA: ACIDO ACETILSALICILICO, FORMA FARMACEUTICA: COMPRIMIDO</v>
          </cell>
          <cell r="F15" t="str">
            <v>COMPRIMIDO</v>
          </cell>
          <cell r="H15">
            <v>2.0099999999999998</v>
          </cell>
        </row>
        <row r="16">
          <cell r="B16" t="str">
            <v>2.5.2-1864.6</v>
          </cell>
          <cell r="E16" t="str">
            <v>HIPOURICEMIANTES; TIPO: MONODROGA, DROGA GENERICA: ALOPURINOL 300 mGr, FORMA FARMACEUTICA: COMPRIMIDO, PRESENTACION: UNIDAD</v>
          </cell>
          <cell r="F16" t="str">
            <v>COMPRIMIDO</v>
          </cell>
          <cell r="H16">
            <v>12.15</v>
          </cell>
        </row>
        <row r="17">
          <cell r="B17" t="str">
            <v>2.5.2-1821.1</v>
          </cell>
          <cell r="E17" t="str">
            <v>ANTIBIOTICOS P/PERSONAS; TIPO: MONODROGA, DROGA GENERICA: AMIKACINA, PRESENTACION: 500 mGr, FORMA FARMACEUTICA: AMPOLLA</v>
          </cell>
          <cell r="F17" t="str">
            <v>AMPOLLA</v>
          </cell>
          <cell r="H17">
            <v>87.95</v>
          </cell>
        </row>
        <row r="18">
          <cell r="B18" t="str">
            <v>2.5.2-1821.524</v>
          </cell>
          <cell r="E18" t="str">
            <v>ANTIBIOTICOS P/PERSONAS; TIPO: ASOCIACION, DROGA GENERICA: AMOXICILINA + AC.CLAVULANICO 400 MG / 57 MG, FORMA FARMACEUTICA: SUSPENSION, PRESENTACION: ENVASE X 70 ML</v>
          </cell>
          <cell r="F18" t="str">
            <v>FRASCO</v>
          </cell>
          <cell r="H18">
            <v>374</v>
          </cell>
        </row>
        <row r="19">
          <cell r="B19" t="str">
            <v>2.5.2-1821.440</v>
          </cell>
          <cell r="E19" t="str">
            <v>ANTIBIOTICOS P/PERSONAS; TIPO: ASOCIACION, DROGA GENERICA: AMOXICIL. 875 MG+CLAVUL.125 MG mGr, FORMA FARMACEUTICA: COMPRIMIDO, PRESENTACION: UNIDAD</v>
          </cell>
          <cell r="F19" t="str">
            <v>COMPRIMIDO</v>
          </cell>
          <cell r="H19">
            <v>29.5</v>
          </cell>
        </row>
        <row r="20">
          <cell r="B20" t="str">
            <v>2.5.2-1821.9</v>
          </cell>
          <cell r="E20" t="str">
            <v>ANTIBIOTICOS P/PERSONAS; TIPO: MONODROGA, DROGA GENERICA: AMOXICILINA, PRESENTACION: 500 mGr, FORMA FARMACEUTICA: COMPRIMIDOS</v>
          </cell>
          <cell r="F20" t="str">
            <v>COMPRIMIDO</v>
          </cell>
          <cell r="H20">
            <v>7.85</v>
          </cell>
        </row>
        <row r="21">
          <cell r="B21" t="str">
            <v>2.5.2-1821.399</v>
          </cell>
          <cell r="E21" t="str">
            <v>ANTIBIOTICOS P/PERSONAS; TIPO: MONODROGA, DROGA GENERICA: AMOXICILINA 500 mGr, FORMA FARMACEUTICA: SUSPENSION, PRESENTACION: ENVASE X 90 mL</v>
          </cell>
          <cell r="F21" t="str">
            <v>FRASCO</v>
          </cell>
          <cell r="H21">
            <v>210</v>
          </cell>
        </row>
        <row r="22">
          <cell r="B22" t="str">
            <v>2.5.2-1821.389</v>
          </cell>
          <cell r="E22" t="str">
            <v>ANTIBIOTICOS P/PERSONAS; TIPO: ASOCIACION, DROGA GENERICA: AMPICILINA + SULBACTAN, FORMA FARMACEUTICA: FRASCO AMPOLLA, PRESENTACION: ENVASE X 1,5 GR</v>
          </cell>
          <cell r="F22" t="str">
            <v>AMPOLLA</v>
          </cell>
          <cell r="H22">
            <v>138</v>
          </cell>
        </row>
        <row r="23">
          <cell r="B23" t="str">
            <v>2.5.2-1821.8</v>
          </cell>
          <cell r="E23" t="str">
            <v>ANTIBIOTICOS P/PERSONAS; TIPO: MONODROGA, DROGA GENERICA: AMPICILINA, FORMA FARMACEUTICA: AMPOLLA, PRESENTACION: 1 GR</v>
          </cell>
          <cell r="F23" t="str">
            <v>AMPOLLA</v>
          </cell>
          <cell r="H23">
            <v>99</v>
          </cell>
        </row>
        <row r="24">
          <cell r="B24" t="str">
            <v>2.5.2-1821.5</v>
          </cell>
          <cell r="E24" t="str">
            <v>ANTIBIOTICOS P/PERSONAS; TIPO: MONODROGA, DROGA GENERICA: AMPICILINA, FORMA FARMACEUTICA: COMPRIMIDOS, PRESENTACION: 500 mGr</v>
          </cell>
          <cell r="F24" t="str">
            <v>COMPRIMIDO</v>
          </cell>
          <cell r="H24">
            <v>17.079999999999998</v>
          </cell>
        </row>
        <row r="25">
          <cell r="B25" t="str">
            <v>2.5.2-1823.113</v>
          </cell>
          <cell r="E25" t="str">
            <v>ANTIMICOTICOS; DROGA GENERICA: ANFOTERICINA B LIPOSOMAL, FORMA FARMACEUTICA: AMPOLLA, PRESENTACION: 50 MGR, TIPO: MONODROGA</v>
          </cell>
          <cell r="F25" t="str">
            <v>AMPOLLA</v>
          </cell>
          <cell r="H25">
            <v>25452</v>
          </cell>
        </row>
        <row r="26">
          <cell r="B26" t="str">
            <v>2.5.2-1823.1</v>
          </cell>
          <cell r="E26" t="str">
            <v>ANTIMICOTICOS; DROGA GENERICA: ANFOTERICINA B, FORMA FARMACEUTICA: AMPOLLA, PRESENTACION: 50 mGr, TIPO: MONODROGA</v>
          </cell>
          <cell r="F26" t="str">
            <v>AMPOLLA</v>
          </cell>
          <cell r="H26">
            <v>795</v>
          </cell>
        </row>
        <row r="27">
          <cell r="B27" t="str">
            <v>2.5.2-1821.502</v>
          </cell>
          <cell r="E27" t="str">
            <v>ANTIBIOTICOS P/PERSONAS; TIPO: MONODROGA, DROGA GENERICA: AZITROMICINA 200 mGr, FORMA FARMACEUTICA: SUSPENSION, PRESENTACION: ENVASE X 15 Ml</v>
          </cell>
          <cell r="F27" t="str">
            <v>FRASCO</v>
          </cell>
          <cell r="H27">
            <v>310</v>
          </cell>
        </row>
        <row r="28">
          <cell r="B28" t="str">
            <v>2.5.2-2199.16</v>
          </cell>
          <cell r="E28" t="str">
            <v>BLOQUEANTES NEUROMUSCULARES; DROGA GENERICA: ATRACURIO, FORMA FARMACEUTICA: AMPOLLA, PRESENTACION: 50 mGr, TIPO: MONODROGA</v>
          </cell>
          <cell r="F28" t="str">
            <v>AMPOLLA</v>
          </cell>
          <cell r="H28">
            <v>259</v>
          </cell>
        </row>
        <row r="29">
          <cell r="B29" t="str">
            <v>2.5.2-1821.94</v>
          </cell>
          <cell r="E29" t="str">
            <v>ANTIBIOTICOS P/PERSONAS; TIPO: MONODROGA, DROGA GENERICA: AZITROMICINA, FORMA FARMACEUTICA: COMPRIMIDO, PRESENTACION: 500 mGr</v>
          </cell>
          <cell r="F29" t="str">
            <v>COMPRIMIDO</v>
          </cell>
          <cell r="H29">
            <v>36</v>
          </cell>
        </row>
        <row r="30">
          <cell r="B30" t="str">
            <v>2.5.2-1837.19</v>
          </cell>
          <cell r="E30" t="str">
            <v>HIPOTENSORES; TIPO: MONODROGA, DROGA GENERICA: BACLOFENO, FORMA FARMACEUTICA: COMPRIMIDO, PRESENTACION: 10 mGr</v>
          </cell>
          <cell r="F30" t="str">
            <v>COMPRIMIDO</v>
          </cell>
          <cell r="H30">
            <v>15</v>
          </cell>
        </row>
        <row r="31">
          <cell r="B31" t="str">
            <v>2.5.2-1726.523</v>
          </cell>
          <cell r="E31" t="str">
            <v>SOLUCIONES P/MEDICINA; TIPO: SULFATO DE BARIO, PRESENTACION: ENVASE SUSPENSION X 225 ML</v>
          </cell>
          <cell r="F31" t="str">
            <v>FRASCO</v>
          </cell>
          <cell r="H31">
            <v>1680</v>
          </cell>
        </row>
        <row r="32">
          <cell r="B32" t="str">
            <v>2.5.2-1726.524</v>
          </cell>
          <cell r="E32" t="str">
            <v>SOLUCIONES P/MEDICINA; TIPO: SULFATO DE BARIO, PRESENTACION: ENVASE SUSPENSION PARA ENEMA X 500 ML</v>
          </cell>
          <cell r="F32" t="str">
            <v>FRASCO</v>
          </cell>
          <cell r="H32">
            <v>2810</v>
          </cell>
        </row>
        <row r="33">
          <cell r="B33" t="str">
            <v>2.5.2-1726.525</v>
          </cell>
          <cell r="E33" t="str">
            <v>SOLUCIONES P/MEDICINA; TIPO: SULFATO DE BARIO, PRESENTACION: ENVASE SUSPENSION ORAL X 300 ML</v>
          </cell>
          <cell r="F33" t="str">
            <v>FRASCO</v>
          </cell>
          <cell r="H33">
            <v>2350</v>
          </cell>
        </row>
        <row r="34">
          <cell r="B34" t="str">
            <v>2.5.2-1883.139</v>
          </cell>
          <cell r="E34" t="str">
            <v>ANESTESICOS LOCALES; TIPO: ASOCIACION, DROGA GENERICA: BUPIVACAINA 0,5 % C/EPINEFRINA, FORMA FARMACEUTICA: FRASCO AMPOLLA, PRESENTACION: ENVASE X 20 mL</v>
          </cell>
          <cell r="F34" t="str">
            <v>FRASCO</v>
          </cell>
          <cell r="H34">
            <v>3100</v>
          </cell>
        </row>
        <row r="35">
          <cell r="B35" t="str">
            <v>2.5.2-1883.24</v>
          </cell>
          <cell r="E35" t="str">
            <v>ANESTESICOS LOCALES; TIPO: MONODROGA, DROGA GENERICA: BUPIVACAINA 0,5 %, FORMA FARMACEUTICA: FRASCO, PRESENTACION: 20 mL</v>
          </cell>
          <cell r="F35" t="str">
            <v>FRASCO</v>
          </cell>
          <cell r="H35">
            <v>490</v>
          </cell>
        </row>
        <row r="36">
          <cell r="B36" t="str">
            <v>2.5.2-1883.188</v>
          </cell>
          <cell r="E36" t="str">
            <v>ANESTESICOS LOCALES; TIPO: MONODROGA, DROGA GENERICA: BUPIVACAINA 0,5% HIPERBARICA, FORMA FARMACEUTICA: AMPOLLA, PRESENTACION: 4 ML CON AGUJA 27 G X 3 1/2 CON INTRODUCTOR</v>
          </cell>
          <cell r="F36" t="str">
            <v>AMPOLLA</v>
          </cell>
          <cell r="H36">
            <v>1420</v>
          </cell>
        </row>
        <row r="37">
          <cell r="B37" t="str">
            <v>2.5.2-1821.321</v>
          </cell>
          <cell r="E37" t="str">
            <v>ANTIBIOTICOS P/PERSONAS; TIPO: MONODROGA, DROGA GENERICA: CEFALEXINA 500 mGr, FORMA FARMACEUTICA: COMPRIMIDO, PRESENTACION: 1 UN</v>
          </cell>
          <cell r="F37" t="str">
            <v>COMPRIMIDO</v>
          </cell>
          <cell r="H37">
            <v>13.9</v>
          </cell>
        </row>
        <row r="38">
          <cell r="B38" t="str">
            <v>2.5.2-1821.337</v>
          </cell>
          <cell r="E38" t="str">
            <v>ANTIBIOTICOS P/PERSONAS; TIPO: MONODROGA, DROGA GENERICA: CEFALEXINA 500MG, FORMA FARMACEUTICA: SUSPENSION, PRESENTACION: ENVASE X 90 mL</v>
          </cell>
          <cell r="F38" t="str">
            <v>FRASCO</v>
          </cell>
          <cell r="H38">
            <v>350</v>
          </cell>
        </row>
        <row r="39">
          <cell r="B39" t="str">
            <v>2.5.2-1821.405</v>
          </cell>
          <cell r="E39" t="str">
            <v>ANTIBIOTICOS P/PERSONAS; TIPO: MONODROGA, DROGA GENERICA: CEFALOTINA SODICA, FORMA FARMACEUTICA: FRASCO AMPOLLA, PRESENTACION: 1 GR</v>
          </cell>
          <cell r="F39" t="str">
            <v>AMPOLLA</v>
          </cell>
          <cell r="H39">
            <v>145</v>
          </cell>
        </row>
        <row r="40">
          <cell r="B40" t="str">
            <v>2.5.2-1821.62</v>
          </cell>
          <cell r="E40" t="str">
            <v>ANTIBIOTICOS P/PERSONAS; TIPO: MONODROGA, DROGA GENERICA: CEFAZOLINA, FORMA FARMACEUTICA: AMPOLLA, PRESENTACION: 1 GR</v>
          </cell>
          <cell r="F40" t="str">
            <v>AMPOLLA</v>
          </cell>
          <cell r="H40">
            <v>148</v>
          </cell>
        </row>
        <row r="41">
          <cell r="B41" t="str">
            <v>2.5.2-1821.384</v>
          </cell>
          <cell r="E41" t="str">
            <v>ANTIBIOTICOS P/PERSONAS; TIPO: MONODROGA, DROGA GENERICA: CEFTAZIDIMA, FORMA FARMACEUTICA: FRASCO AMPOLLA, PRESENTACION: ENVASE X 1 GR</v>
          </cell>
          <cell r="F41" t="str">
            <v>AMPOLLA</v>
          </cell>
          <cell r="H41">
            <v>144</v>
          </cell>
        </row>
        <row r="42">
          <cell r="B42" t="str">
            <v>2.5.2-1821.214</v>
          </cell>
          <cell r="E42" t="str">
            <v>ANTIBIOTICOS P/PERSONAS; TIPO: MONODROGA, DROGA GENERICA: CEFTRIAXONA, FORMA FARMACEUTICA: FRASCO AMPOLLA, PRESENTACION: 1 GR</v>
          </cell>
          <cell r="F42" t="str">
            <v>AMPOLLA</v>
          </cell>
          <cell r="H42">
            <v>130</v>
          </cell>
        </row>
        <row r="43">
          <cell r="B43" t="str">
            <v>2.5.2-1821.222</v>
          </cell>
          <cell r="E43" t="str">
            <v>ANTIBIOTICOS P/PERSONAS; TIPO: MONODROGA, DROGA GENERICA: CEFUROXIMA, FORMA FARMACEUTICA: FRASCO AMPOLLA, PRESENTACION: 750 mGr</v>
          </cell>
          <cell r="F43" t="str">
            <v>AMPOLLA</v>
          </cell>
          <cell r="H43">
            <v>351</v>
          </cell>
        </row>
        <row r="44">
          <cell r="B44" t="str">
            <v>2.5.2-1821.387</v>
          </cell>
          <cell r="E44" t="str">
            <v>ANTIBIOTICOS P/PERSONAS; TIPO: MONODROGA, DROGA GENERICA: CIPROFLOXACINA, FORMA FARMACEUTICA: SACHET, PRESENTACION: ENVASE X 200 mGr</v>
          </cell>
          <cell r="F44" t="str">
            <v>SACHET</v>
          </cell>
          <cell r="H44">
            <v>122</v>
          </cell>
        </row>
        <row r="45">
          <cell r="B45" t="str">
            <v>2.5.2-1821.46</v>
          </cell>
          <cell r="E45" t="str">
            <v>ANTIBIOTICOS P/PERSONAS; TIPO: MONODROGA, FORMA FARMACEUTICA: COMPRIMIDO, PRESENTACION: 500 mGr, DROGA GENERICA: CIPROFLOXACINA</v>
          </cell>
          <cell r="F45" t="str">
            <v>COMPRIMIDO</v>
          </cell>
          <cell r="H45">
            <v>9.8000000000000007</v>
          </cell>
        </row>
        <row r="46">
          <cell r="B46" t="str">
            <v>2.5.2-1821.338</v>
          </cell>
          <cell r="E46" t="str">
            <v>ANTIBIOTICOS P/PERSONAS; TIPO: MONODROGA, DROGA GENERICA: CLARITROMICINA 250MG, FORMA FARMACEUTICA: SUSPENSION, PRESENTACION: ENVASE X 90 mL</v>
          </cell>
          <cell r="F46" t="str">
            <v>FRASCO</v>
          </cell>
          <cell r="H46">
            <v>698</v>
          </cell>
        </row>
        <row r="47">
          <cell r="B47" t="str">
            <v>2.5.2-1821.37</v>
          </cell>
          <cell r="E47" t="str">
            <v>ANTIBIOTICOS P/PERSONAS; TIPO: MONODROGA, DROGA GENERICA: CLARITROMICINA, FORMA FARMACEUTICA: COMPRIMIDO, PRESENTACION: 500 mGr</v>
          </cell>
          <cell r="F47" t="str">
            <v>COMPRIMIDO</v>
          </cell>
          <cell r="H47">
            <v>35</v>
          </cell>
        </row>
        <row r="48">
          <cell r="B48" t="str">
            <v>2.5.2-1821.36</v>
          </cell>
          <cell r="E48" t="str">
            <v>ANTIBIOTICOS P/PERSONAS; DROGA GENERICA: CLARITROMICINA, FORMA FARMACEUTICA: AMPOLLA, PRESENTACION: 500 mGr, TIPO: MONODROGA</v>
          </cell>
          <cell r="F48" t="str">
            <v>AMPOLLA</v>
          </cell>
          <cell r="H48">
            <v>690</v>
          </cell>
        </row>
        <row r="49">
          <cell r="B49" t="str">
            <v>2.5.2-1821.42</v>
          </cell>
          <cell r="E49" t="str">
            <v>ANTIBIOTICOS P/PERSONAS; TIPO: MONODROGA, DROGA GENERICA: CLINDAMICINA, FORMA FARMACEUTICA: COMPRIMIDO, PRESENTACION: 300 mGr</v>
          </cell>
          <cell r="F49" t="str">
            <v>CAPSULAS</v>
          </cell>
          <cell r="H49">
            <v>29</v>
          </cell>
        </row>
        <row r="50">
          <cell r="B50" t="str">
            <v>2.5.2-1821.43</v>
          </cell>
          <cell r="E50" t="str">
            <v>ANTIBIOTICOS P/PERSONAS; TIPO: MONODROGA, DROGA GENERICA: CLINDAMICINA, FORMA FARMACEUTICA: AMPOLLA, PRESENTACION: 600 mGr</v>
          </cell>
          <cell r="F50" t="str">
            <v>AMPOLLA</v>
          </cell>
          <cell r="H50">
            <v>85</v>
          </cell>
        </row>
        <row r="51">
          <cell r="B51" t="str">
            <v>2.5.2-1821.234</v>
          </cell>
          <cell r="E51" t="str">
            <v>ANTIBIOTICOS P/PERSONAS; TIPO: MONODROGA, DROGA GENERICA: COLISTINA 100 MG, FORMA FARMACEUTICA: FRASCO AMPOLLA, PRESENTACION: 100 mGr</v>
          </cell>
          <cell r="F51" t="str">
            <v>AMPOLLA</v>
          </cell>
          <cell r="H51">
            <v>451</v>
          </cell>
        </row>
        <row r="52">
          <cell r="B52" t="str">
            <v>2.5.2-1726.526</v>
          </cell>
          <cell r="E52" t="str">
            <v>SOLUCIONES P/MEDICINA; TIPO: CONTRASTE RADIOLOGICO NO IONICO, PRESENTACION: ENVASE X 50 ML</v>
          </cell>
          <cell r="F52" t="str">
            <v>FRASCO</v>
          </cell>
          <cell r="H52">
            <v>1850</v>
          </cell>
        </row>
        <row r="53">
          <cell r="B53" t="str">
            <v>2.5.2-1821.525</v>
          </cell>
          <cell r="E53" t="str">
            <v>ANTIBIOTICOS P/PERSONAS; TIPO: MONODROGA, DROGA GENERICA: COTRIMOXAZOL, FORMA FARMACEUTICA: AMPOLLA, PRESENTACION: 80 MG/ 400 MG</v>
          </cell>
          <cell r="F53" t="str">
            <v>AMPOLLA</v>
          </cell>
          <cell r="H53">
            <v>421</v>
          </cell>
        </row>
        <row r="54">
          <cell r="B54" t="str">
            <v>2.5.2-1821.526</v>
          </cell>
          <cell r="E54" t="str">
            <v>ANTIBIOTICOS P/PERSONAS; TIPO: MONODROGA, DROGA GENERICA: COTRIMOXAZOL, FORMA FARMACEUTICA: COMPRIMIDO, PRESENTACION: 160 MG/ 800 MG</v>
          </cell>
          <cell r="F54" t="str">
            <v>COMPRIMIDO</v>
          </cell>
          <cell r="H54">
            <v>15.8</v>
          </cell>
        </row>
        <row r="55">
          <cell r="B55" t="str">
            <v>2.5.2-1821.527</v>
          </cell>
          <cell r="E55" t="str">
            <v>ANTIBIOTICOS P/PERSONAS; TIPO: MONODROGA, DROGA GENERICA: COTRIMOXAZOL, FORMA FARMACEUTICA: SUSPENSIÓN X 60 ML, PRESENTACION: 40MG/200 MG</v>
          </cell>
          <cell r="F55" t="str">
            <v>FRASCO</v>
          </cell>
          <cell r="H55">
            <v>168</v>
          </cell>
        </row>
        <row r="56">
          <cell r="B56" t="str">
            <v>2.5.2-1724.241</v>
          </cell>
          <cell r="E56" t="str">
            <v>ANALGESICOS; TIPO: MONODROGA, DROGA GENERICA: DANTROLENO SODICO, FORMA FARMACEUTICA: AMPOLLAS, PRESENTACION: 20 MG/60 ML KIT X 12 FRASCOS</v>
          </cell>
          <cell r="F56" t="str">
            <v>KIT</v>
          </cell>
          <cell r="H56">
            <v>358800</v>
          </cell>
        </row>
        <row r="57">
          <cell r="B57" t="str">
            <v>2.5.2-1724.149</v>
          </cell>
          <cell r="E57" t="str">
            <v>ANALGÉSICOS ; TIPO: MONODROGA, DROGA GENÉRICA: DEXMEDETOMIDINA 200 MG, FORMA FARMACEÚTICA: AMPOLLA, PRESENTACIÓN: ENVASE X 2 ML</v>
          </cell>
          <cell r="F57" t="str">
            <v>AMPOLLA</v>
          </cell>
          <cell r="H57">
            <v>490</v>
          </cell>
        </row>
        <row r="58">
          <cell r="B58" t="str">
            <v>2.5.2-1726.528</v>
          </cell>
          <cell r="E58" t="str">
            <v>SOLUCIONES P/MEDICINA; TIPO: DIATRIZOATO DE SODIO 25 GR; PRESENTACION: FRASCO X 50 ML</v>
          </cell>
          <cell r="F58" t="str">
            <v>FRASCO</v>
          </cell>
          <cell r="H58">
            <v>2358</v>
          </cell>
        </row>
        <row r="59">
          <cell r="B59" t="str">
            <v>2.5.2-1726.512</v>
          </cell>
          <cell r="E59" t="str">
            <v>SOLUCIONES P/MEDICINA; TIPO: DIATRIZOATO DE MEGLUMINA + DIATRIZOATO DE SODIO; PRESENTACION: FRASCO x 120 ml</v>
          </cell>
          <cell r="F59" t="str">
            <v>AMPOLLA</v>
          </cell>
          <cell r="H59">
            <v>2890</v>
          </cell>
        </row>
        <row r="60">
          <cell r="B60" t="str">
            <v>2.5.2-1724.140</v>
          </cell>
          <cell r="E60" t="str">
            <v>ANALGESICOS ; TIPO: MONODROGA, DROGA GENERICA: DICLOFENAC X 75 MG, FORMA FARMACEUTICA: COMPRIMIDO, PRESENTACION: UNIDAD</v>
          </cell>
          <cell r="F60" t="str">
            <v>COMPRIMIDO</v>
          </cell>
          <cell r="H60">
            <v>3.05</v>
          </cell>
        </row>
        <row r="61">
          <cell r="B61" t="str">
            <v>2.5.2-1724.117</v>
          </cell>
          <cell r="E61" t="str">
            <v>ANALGESICOS ; TIPO: ASOCIACION, DROGA GENERICA: DICLOFENAC SODICO, FORMA FARMACEUTICA: AMPOLLA, PRESENTACION: 3 Ml</v>
          </cell>
          <cell r="F61" t="str">
            <v>AMPOLLA</v>
          </cell>
          <cell r="H61">
            <v>35.9</v>
          </cell>
        </row>
        <row r="62">
          <cell r="B62" t="str">
            <v>2.5.2-1725.153</v>
          </cell>
          <cell r="E62" t="str">
            <v>ANTIINFLAMATORIOS NO ESTEROIDE; TIPO: MONODROGA, DROGA GENERICA: DICLOFENAC POTASICO 500MG/100ML, FORMA FARMACEUTICA: JARABE, PRESENTACION: 120 ML</v>
          </cell>
          <cell r="F62" t="str">
            <v>FRASCO</v>
          </cell>
          <cell r="H62">
            <v>158</v>
          </cell>
        </row>
        <row r="63">
          <cell r="B63" t="str">
            <v>2.5.2-1724.208</v>
          </cell>
          <cell r="E63" t="str">
            <v>ANALGESICOS ; TIPO: MONODROGA, DROGA GENERICA: DIPIRONA SODICA 1 GR, FORMA FARMACEUTICA: AMPOLLA, PRESENTACION: 2 mL</v>
          </cell>
          <cell r="F63" t="str">
            <v>AMPOLLA</v>
          </cell>
          <cell r="H63">
            <v>38.5</v>
          </cell>
        </row>
        <row r="64">
          <cell r="B64" t="str">
            <v>2.5.2-1724.74</v>
          </cell>
          <cell r="E64" t="str">
            <v>ANALGESICOS ; TIPO: MONODROGA, DROGA GENERICA: DIPIRONA, FORMA FARMACEUTICA: JARABE, PRESENTACION: FRASCO X 120 mL</v>
          </cell>
          <cell r="F64" t="str">
            <v>FRASCO</v>
          </cell>
          <cell r="H64">
            <v>155</v>
          </cell>
        </row>
        <row r="65">
          <cell r="B65" t="str">
            <v>2.5.2-1821.458</v>
          </cell>
          <cell r="E65" t="str">
            <v>ANTIBIOTICOS P/PERSONAS; TIPO: MONODROGA, DROGA GENERICA: DOXICICLINA 100 mGr, FORMA FARMACEUTICA: COMPRIMIDO, PRESENTACION: UNIDAD</v>
          </cell>
          <cell r="F65" t="str">
            <v>COMPRIMIDO</v>
          </cell>
          <cell r="H65">
            <v>18</v>
          </cell>
        </row>
        <row r="66">
          <cell r="B66" t="str">
            <v>2.5.2-1726.527</v>
          </cell>
          <cell r="E66" t="str">
            <v>SOLUCIONES P/MEDICINA; TIPO: EMULSIÓN LIPÌDICA PARA PERFUSIÓN, DROGA FOSFOLÍPIDO, PRESENTACIÓN: INTRAVENOSA AL 20%, ENVASE POR 500 ML</v>
          </cell>
          <cell r="F66" t="str">
            <v>ENVASE</v>
          </cell>
          <cell r="H66">
            <v>460</v>
          </cell>
        </row>
        <row r="67">
          <cell r="B67" t="str">
            <v>2.5.2-1865.2</v>
          </cell>
          <cell r="E67" t="str">
            <v>ANTIEPILEPTICOS; TIPO: MONODROGA, FORMA FARMACEUTICA: AMPOLLA, PRESENTACION: 200 mGr, DROGA GENERICA: FENOBARBITAL</v>
          </cell>
          <cell r="F67" t="str">
            <v>AMPOLLA</v>
          </cell>
          <cell r="H67">
            <v>390</v>
          </cell>
        </row>
        <row r="68">
          <cell r="B68" t="str">
            <v>2.5.2-1883.159</v>
          </cell>
          <cell r="E68" t="str">
            <v>ANESTÉSICOS LOCALES; TIPO: MONODROGA, DROGA GENÉRICA: FENTANILO 250 MCG, FORMA FARMACEÚTICA: AMPOLLA, PRESENTACIÓN: UNIDAD</v>
          </cell>
          <cell r="F68" t="str">
            <v>AMPOLLA</v>
          </cell>
          <cell r="H68">
            <v>130</v>
          </cell>
        </row>
        <row r="69">
          <cell r="B69" t="str">
            <v>2.5.2-1821.238</v>
          </cell>
          <cell r="E69" t="str">
            <v>ANTIBIOTICOS P/PERSONAS; TIPO: MONODROGA, DROGA GENERICA: FLUCONAZOL 100 MG, FORMA FARMACEUTICA: COMPRIMIDO, PRESENTACION: 100 mGr</v>
          </cell>
          <cell r="F69" t="str">
            <v>COMPRIMIDO</v>
          </cell>
          <cell r="H69">
            <v>32.5</v>
          </cell>
        </row>
        <row r="70">
          <cell r="B70" t="str">
            <v>2.5.2-1821.442</v>
          </cell>
          <cell r="E70" t="str">
            <v>ANTIBIOTICOS P/PERSONAS; TIPO: MONODROGA, DROGA GENERICA: FLUCONAZOL 200 MG, FORMA FARMACEUTICA: SOLUCION INYECTABLE, PRESENTACION: ENVASE X 100 mL</v>
          </cell>
          <cell r="F70" t="str">
            <v>ENVASE</v>
          </cell>
          <cell r="H70">
            <v>986</v>
          </cell>
        </row>
        <row r="71">
          <cell r="B71" t="str">
            <v>2.5.2-1823.114</v>
          </cell>
          <cell r="E71" t="str">
            <v>ANTIMICOTICOS; DROGA GENERICA: FLUCONAZOL, FORMA FARMACEUTICA: SUSPENSION X 35 ML, PRESENTACION: 50 MGR/5ML, TIPO: MONODROGA</v>
          </cell>
          <cell r="F71" t="str">
            <v>FRASCO</v>
          </cell>
          <cell r="H71">
            <v>2100</v>
          </cell>
        </row>
        <row r="72">
          <cell r="B72" t="str">
            <v>2.5.2-1821.491</v>
          </cell>
          <cell r="E72" t="str">
            <v>ANTIBIOTICOS P/PERSONAS; TIPO: MONODROGA, DROGA GENERICA: FOSFOMICINA, FORMA FARMACEUTICA: AMPOLLA, PRESENTACION: ENVASE X 1 GR</v>
          </cell>
          <cell r="F72" t="str">
            <v>AMPOLLA</v>
          </cell>
          <cell r="H72">
            <v>839.8</v>
          </cell>
        </row>
        <row r="73">
          <cell r="B73" t="str">
            <v>2.5.2-3603.13</v>
          </cell>
          <cell r="E73" t="str">
            <v>EVACUANTES INTESTINALES; TIPO: ASOCIACION, DROGA GENERICA: FOSFATO MONOSODICO-BISODICO, FORMA FARMACEUTICA: SOLUCION, PRESENTACION: ENVASE X 45 mL</v>
          </cell>
          <cell r="F73" t="str">
            <v>FRASCO</v>
          </cell>
          <cell r="H73">
            <v>1833.02</v>
          </cell>
        </row>
        <row r="74">
          <cell r="B74" t="str">
            <v>2.5.2-3603.1</v>
          </cell>
          <cell r="E74" t="str">
            <v>EVACUANTES INTESTINALES; DROGA GENERICA: FOSFATO MONOSODICO-BISODICO, FORMA FARMACEUTICA: SOLUCION, PRESENTACION: 135 mL, TIPO: ASOCIACION</v>
          </cell>
          <cell r="F74" t="str">
            <v>FRASCO</v>
          </cell>
          <cell r="H74">
            <v>1057.25</v>
          </cell>
        </row>
        <row r="75">
          <cell r="B75" t="str">
            <v>2.5.2-1726.490</v>
          </cell>
          <cell r="E75" t="str">
            <v>SOLUCIONES P/MEDICINA; PRESENTACION: ENVASE X 15 mL, TIPO: CONTRASTE P/RESONANCIA</v>
          </cell>
          <cell r="F75" t="str">
            <v>FRASCO</v>
          </cell>
          <cell r="H75">
            <v>1860</v>
          </cell>
        </row>
        <row r="76">
          <cell r="B76" t="str">
            <v>2.5.2-1905.96</v>
          </cell>
          <cell r="E76" t="str">
            <v>VACUNAS; TIPO: G.GLOBULINA+TOXOIDE ANTITETÁNICO, PRESENTACIÓN: ENVASE X 250 UI</v>
          </cell>
          <cell r="F76" t="str">
            <v>AMPOLLA</v>
          </cell>
          <cell r="H76">
            <v>3965.14</v>
          </cell>
        </row>
        <row r="77">
          <cell r="B77" t="str">
            <v>2.5.2-1905.67</v>
          </cell>
          <cell r="E77" t="str">
            <v>VACUNAS; TIPO: G.GLOBULINA+TOXOIDE ANTITETÁNICO, PRESENTACIÓN: ENVASE X 500 UI</v>
          </cell>
          <cell r="F77" t="str">
            <v>AMPOLLA</v>
          </cell>
          <cell r="H77">
            <v>7674.54</v>
          </cell>
        </row>
        <row r="78">
          <cell r="B78" t="str">
            <v>2.5.2-1821.4</v>
          </cell>
          <cell r="E78" t="str">
            <v>ANTIBIOTICOS P/PERSONAS; DROGA GENERICA: GENTAMICINA, FORMA FARMACEUTICA: AMPOLLA, PRESENTACION: 80 mGr, TIPO: MONODROGA</v>
          </cell>
          <cell r="F78" t="str">
            <v>AMPOLLA</v>
          </cell>
          <cell r="H78">
            <v>45</v>
          </cell>
        </row>
        <row r="79">
          <cell r="B79" t="str">
            <v>2.5.2-1724.163</v>
          </cell>
          <cell r="E79" t="str">
            <v>ANALGESICOS ; TIPO: MONODROGA, DROGA GENERICA: IBUPROFENO 2%, FORMA FARMACEUTICA: SUSPENSION, PRESENTACION: ENVASE X 90 mL</v>
          </cell>
          <cell r="F79" t="str">
            <v>FRASCO</v>
          </cell>
          <cell r="H79">
            <v>85</v>
          </cell>
        </row>
        <row r="80">
          <cell r="B80" t="str">
            <v>2.5.2-1724.107</v>
          </cell>
          <cell r="E80" t="str">
            <v>ANALGESICOS ; TIPO: MONODROGA, DROGA GENERICA: IBUPROFENO 400, FORMA FARMACEUTICA: AMPOLLA, PRESENTACION: 3 mL</v>
          </cell>
          <cell r="F80" t="str">
            <v>AMPOLLA</v>
          </cell>
          <cell r="H80">
            <v>45</v>
          </cell>
        </row>
        <row r="81">
          <cell r="B81" t="str">
            <v>2.5.2-1725.68</v>
          </cell>
          <cell r="E81" t="str">
            <v>ANTIINFLAMATORIOS NO ESTEROIDE; TIPO: MONODROGA, DROGA GENERICA: IBUPROFENO, FORMA FARMACEUTICA: COMPRIMIDO, PRESENTACION: 400 mGr</v>
          </cell>
          <cell r="F81" t="str">
            <v>COMPRIMIDO</v>
          </cell>
          <cell r="H81">
            <v>4.8</v>
          </cell>
        </row>
        <row r="82">
          <cell r="B82" t="str">
            <v>2.5.2-1821.459</v>
          </cell>
          <cell r="E82" t="str">
            <v>ANTIBIOTICOS P/PERSONAS; TIPO: MONODROGA, DROGA GENERICA: IMIPENEM + CILASTATINA, FORMA FARMACEUTICA: FRASCO AMPOLLA, PRESENTACION: ENVASE X 500 mGr</v>
          </cell>
          <cell r="F82" t="str">
            <v>AMPOLLA</v>
          </cell>
          <cell r="H82">
            <v>632</v>
          </cell>
        </row>
        <row r="83">
          <cell r="B83" t="str">
            <v>2.5.2-1725.154</v>
          </cell>
          <cell r="E83" t="str">
            <v>ANTIINFLAMATORIOS NO ESTEROIDE; TIPO: MONODROGA, DROGA GENERICA: INDOMETACINA 100 MG, FORMA FARMACEUTICA: SUPOSITORIO, PRESENTACION: CAJA X 10 UNIDADES</v>
          </cell>
          <cell r="F83" t="str">
            <v>CAJA</v>
          </cell>
          <cell r="H83">
            <v>2390</v>
          </cell>
        </row>
        <row r="84">
          <cell r="B84" t="str">
            <v>2.5.2-5275.16</v>
          </cell>
          <cell r="E84" t="str">
            <v>ANTI GAMMA TOTAL; TIPO: INMUNOGLOBULINA HUMAN ANTI-RH, PRESENTACION: JERINGA PRELLENA 250-330MCG/ML</v>
          </cell>
          <cell r="F84" t="str">
            <v>UNIDAD</v>
          </cell>
          <cell r="H84">
            <v>8375</v>
          </cell>
        </row>
        <row r="85">
          <cell r="B85" t="str">
            <v>2.5.2-1859.29</v>
          </cell>
          <cell r="E85" t="str">
            <v>INMUNOMODULADORES; TIPO: MONODROGA, DROGA GENERICA: INMUNOGLOBULINA G HUMANA, FORMA FARMACEUTICA: VIAL, PRESENTACION: 10 GR</v>
          </cell>
          <cell r="F85" t="str">
            <v>ENVASE</v>
          </cell>
          <cell r="H85">
            <v>125640</v>
          </cell>
        </row>
        <row r="86">
          <cell r="B86" t="str">
            <v>2.5.2-1859.30</v>
          </cell>
          <cell r="E86" t="str">
            <v>INMUNOMODULADORES; TIPO: MONODROGA, DROGA GENERICA: INMUNOGLOBULINA G HUMANA, FORMA FARMACEUTICA: VIAL, PRESENTACION: 2,5 GR</v>
          </cell>
          <cell r="F86" t="str">
            <v>ENVASE</v>
          </cell>
          <cell r="H86">
            <v>31000</v>
          </cell>
        </row>
        <row r="87">
          <cell r="B87" t="str">
            <v>2.5.2-1859.28</v>
          </cell>
          <cell r="E87" t="str">
            <v>INMUNOMODULADORES; TIPO: MONODROGA, DROGA GENERICA: INMUNOGLOBULINA G HUMANA, FORMA FARMACEUTICA: VIAL, PRESENTACION: 5 GR</v>
          </cell>
          <cell r="F87" t="str">
            <v>ENVASE</v>
          </cell>
          <cell r="H87">
            <v>59000</v>
          </cell>
        </row>
        <row r="88">
          <cell r="B88" t="str">
            <v>2.5.2-1859.24</v>
          </cell>
          <cell r="E88" t="str">
            <v>INMUNOMODULADORES; TIPO: MONODROGA, DROGA GENERICA: GAMMAGLOBULINA, FORMA FARMACEUTICA: AMPOLLA, PRESENTACION: 6 GR</v>
          </cell>
          <cell r="F88" t="str">
            <v>ENVASE</v>
          </cell>
          <cell r="H88">
            <v>69000</v>
          </cell>
        </row>
        <row r="89">
          <cell r="B89" t="str">
            <v>2.5.2-1823.84</v>
          </cell>
          <cell r="E89" t="str">
            <v>ANTIMICOTICOS; TIPO: MONODROGA, DROGA GENERICA: ITRACONAZOL, FORMA FARMACEUTICA: COMPRIMIDO, PRESENTACION: 100 mGr</v>
          </cell>
          <cell r="F89" t="str">
            <v>COMPRIMIDO</v>
          </cell>
          <cell r="H89">
            <v>65</v>
          </cell>
        </row>
        <row r="90">
          <cell r="B90" t="str">
            <v>2.5.2-2455.20</v>
          </cell>
          <cell r="E90" t="str">
            <v>ANESTESICOS GENERALES; DROGA GENERICA: KETAMINA 50 MG/ML, FORMA FARMACEUTICA: FRASCO AMPOLLA, PRESENTACION: 10 mL, TIPO: MONODROGA</v>
          </cell>
          <cell r="F90" t="str">
            <v>AMPOLLA</v>
          </cell>
          <cell r="H90">
            <v>1950</v>
          </cell>
        </row>
        <row r="91">
          <cell r="B91" t="str">
            <v>2.5.2-1725.49</v>
          </cell>
          <cell r="E91" t="str">
            <v>ANTIINFLAMATORIOS NO ESTEROIDE; DROGA GENERICA: KETOROLAC, FORMA FARMACEUTICA: COMPRIMIDO, PRESENTACION: 10 mGr, TIPO: MONODROGA</v>
          </cell>
          <cell r="F91" t="str">
            <v>COMPRIMIDO</v>
          </cell>
          <cell r="H91">
            <v>3.3</v>
          </cell>
        </row>
        <row r="92">
          <cell r="B92" t="str">
            <v>2.5.2-1724.23</v>
          </cell>
          <cell r="E92" t="str">
            <v>ANALGESICOS ; TIPO: MONODROGA, DROGA GENERICA: KETOROLAC, FORMA FARMACEUTICA: AMPOLLA, PRESENTACION: 30 mGr</v>
          </cell>
          <cell r="F92" t="str">
            <v>AMPOLLA</v>
          </cell>
          <cell r="H92">
            <v>56</v>
          </cell>
        </row>
        <row r="93">
          <cell r="B93" t="str">
            <v>2.5.2-1821.71</v>
          </cell>
          <cell r="E93" t="str">
            <v>ANTIBIOTICOS P/PERSONAS; TIPO: MONODROGA, DROGA GENERICA: LEVOFLOXACINA, PRESENTACION: 500 mGr, FORMA FARMACEUTICA: COMPRIMIDO</v>
          </cell>
          <cell r="F93" t="str">
            <v>COMPRIMIDO</v>
          </cell>
          <cell r="H93">
            <v>15.6</v>
          </cell>
        </row>
        <row r="94">
          <cell r="B94" t="str">
            <v>2.5.2-1883.186</v>
          </cell>
          <cell r="E94" t="str">
            <v>ANESTESICOS LOCALES; TIPO: MONODROGA, DROGA GENERICA: LIDOCAINA 2%S/EPINEFRINA, FORMA FARMACEUTICA: AMPOLLA, PRESENTACION: 5 mL</v>
          </cell>
          <cell r="F94" t="str">
            <v>AMPOLLA</v>
          </cell>
          <cell r="H94">
            <v>35</v>
          </cell>
        </row>
        <row r="95">
          <cell r="B95" t="str">
            <v>2.5.2-1883.136</v>
          </cell>
          <cell r="E95" t="str">
            <v>ANESTESICOS LOCALES; TIPO: MONODROGA, DROGA GENERICA: LIDOCAINA 2% S/EPINEFRINA, FORMA FARMACEUTICA: FRASCO AMPOLLA, PRESENTACION: ENVASE X 20 mL</v>
          </cell>
          <cell r="F95" t="str">
            <v>AMPOLLA</v>
          </cell>
          <cell r="H95">
            <v>325</v>
          </cell>
        </row>
        <row r="96">
          <cell r="B96" t="str">
            <v>2.5.2-1883.111</v>
          </cell>
          <cell r="E96" t="str">
            <v>ANESTESICOS LOCALES; TIPO: ASOCIACION, DROGA GENERICA: LIDOCAINA 2% C/EPINEFRINA, FORMA FARMACEUTICA: FRASCO AMPOLLA, PRESENTACION: 20 mL</v>
          </cell>
          <cell r="F96" t="str">
            <v>AMPOLLA</v>
          </cell>
          <cell r="H96">
            <v>493</v>
          </cell>
        </row>
        <row r="97">
          <cell r="B97" t="str">
            <v>2.5.2-1883.28</v>
          </cell>
          <cell r="E97" t="str">
            <v>ANESTESICOS LOCALES; TIPO: MONODROGA, DROGA GENERICA: LIDOCAINA, FORMA FARMACEUTICA: AEROSOL, PRESENTACION: 100 mL</v>
          </cell>
          <cell r="F97" t="str">
            <v>ENVASE</v>
          </cell>
          <cell r="H97">
            <v>640</v>
          </cell>
        </row>
        <row r="98">
          <cell r="B98" t="str">
            <v>2.5.2-1883.149</v>
          </cell>
          <cell r="E98" t="str">
            <v>ANESTESICOS LOCALES; TIPO: MONODROGA, DROGA GENERICA: LIDOCAINA, FORMA FARMACEUTICA: JALEA, PRESENTACION: ENVASE X 25 GR</v>
          </cell>
          <cell r="F98" t="str">
            <v>ENVASE</v>
          </cell>
          <cell r="H98">
            <v>154.80000000000001</v>
          </cell>
        </row>
        <row r="99">
          <cell r="B99" t="str">
            <v>2.5.2-1883.19</v>
          </cell>
          <cell r="E99" t="str">
            <v>ANESTESICOS LOCALES; TIPO: MONODROGA, DROGA GENERICA: LIDOCAINA VISCOSA, FORMA FARMACEUTICA: ENVASE, PRESENTACION: 50 mL</v>
          </cell>
          <cell r="F99" t="str">
            <v>ENVASE</v>
          </cell>
          <cell r="H99">
            <v>390</v>
          </cell>
        </row>
        <row r="100">
          <cell r="B100" t="str">
            <v>2.5.2-1821.329</v>
          </cell>
          <cell r="E100" t="str">
            <v>ANTIBIOTICOS P/PERSONAS; TIPO: MONODROGA, DROGA GENERICA: LINEZOLID, FORMA FARMACEUTICA: SOLUCION, PRESENTACION: ENVASE X 300 mL</v>
          </cell>
          <cell r="F100" t="str">
            <v>FRASCO</v>
          </cell>
          <cell r="H100">
            <v>1815</v>
          </cell>
        </row>
        <row r="101">
          <cell r="B101" t="str">
            <v>2.5.2-1857.12</v>
          </cell>
          <cell r="E101" t="str">
            <v>ANTIPARASITARIOS; TIPO: MONODROGA, DROGA GENERICA: MEBENDAZOL, FORMA FARMACEUTICA: COMPRIMIDOS, PRESENTACION: 100 mGr</v>
          </cell>
          <cell r="F101" t="str">
            <v>COMPRIMIDO</v>
          </cell>
          <cell r="H101">
            <v>65</v>
          </cell>
        </row>
        <row r="102">
          <cell r="B102" t="str">
            <v>2.5.2-1857.36</v>
          </cell>
          <cell r="E102" t="str">
            <v>ANTIPARASITARIOS; TIPO: MONODROGA, DROGA GENERICA: MEBENDAZOL 2%, FORMA FARMACEUTICA: SUSPENSION, PRESENTACION: ENVASE X 30 mL</v>
          </cell>
          <cell r="F102" t="str">
            <v>FRASCO</v>
          </cell>
          <cell r="H102">
            <v>360</v>
          </cell>
        </row>
        <row r="103">
          <cell r="B103" t="str">
            <v>2.5.2-1821.463</v>
          </cell>
          <cell r="E103" t="str">
            <v>ANTIBIOTICOS P/PERSONAS; TIPO: MONODROGA, DROGA GENERICA: MEROPENEM 1000 mGr, FORMA FARMACEUTICA: AMPOLLA, PRESENTACION: UNIDAD</v>
          </cell>
          <cell r="F103" t="str">
            <v>AMPOLLA</v>
          </cell>
          <cell r="H103">
            <v>590</v>
          </cell>
        </row>
        <row r="104">
          <cell r="B104" t="str">
            <v>2.5.2-1821.421</v>
          </cell>
          <cell r="E104" t="str">
            <v>ANTIBIOTICOS P/PERSONAS; TIPO: MONODROGA, DROGA GENERICA: MEROPENEM 500 mGr, FORMA FARMACEUTICA: FRASCO AMPOLLA, PRESENTACION: UNIDAD</v>
          </cell>
          <cell r="F104" t="str">
            <v>AMPOLLA</v>
          </cell>
          <cell r="H104">
            <v>380</v>
          </cell>
        </row>
        <row r="105">
          <cell r="B105" t="str">
            <v>2.5.2-1821.334</v>
          </cell>
          <cell r="E105" t="str">
            <v>ANTIBIOTICOS P/PERSONAS; TIPO: MONODROGA, DROGA GENERICA: METRONIDAZOL 125MG/5ML, FORMA FARMACEUTICA: SUSPENSION ORAL, PRESENTACION: ENVASE X 120 mL</v>
          </cell>
          <cell r="F105" t="str">
            <v>FRASCO</v>
          </cell>
          <cell r="H105">
            <v>169</v>
          </cell>
        </row>
        <row r="106">
          <cell r="B106" t="str">
            <v>2.5.2-1821.76</v>
          </cell>
          <cell r="E106" t="str">
            <v>ANTIBIOTICOS P/PERSONAS; TIPO: MONODROGA, FORMA FARMACEUTICA: COMPRIMIDO, PRESENTACION: 500 mGr, DROGA GENERICA: METRONIDAZOL</v>
          </cell>
          <cell r="F106" t="str">
            <v>COMPRIMIDO</v>
          </cell>
          <cell r="H106">
            <v>7.3</v>
          </cell>
        </row>
        <row r="107">
          <cell r="B107" t="str">
            <v>2.5.2-1821.400</v>
          </cell>
          <cell r="E107" t="str">
            <v>ANTIBIOTICOS P/PERSONAS; TIPO: MONODROGA, DROGA GENERICA: METRONIDAZOL 500 mGr, FORMA FARMACEUTICA: SACHET X 100 mL, PRESENTACION: UNIDAD</v>
          </cell>
          <cell r="F107" t="str">
            <v>ENVASE</v>
          </cell>
          <cell r="H107">
            <v>118</v>
          </cell>
        </row>
        <row r="108">
          <cell r="B108" t="str">
            <v>2.5.2-1870.15</v>
          </cell>
          <cell r="E108" t="str">
            <v>HIPNOTICOS; TIPO: MONODROGA, DROGA GENERICA: MIDAZOLAM 15 mGr, FORMA FARMACEUTICA: AMPOLLA, PRESENTACION: ENVASE X 3 mL</v>
          </cell>
          <cell r="F108" t="str">
            <v>AMPOLLA</v>
          </cell>
          <cell r="H108">
            <v>159</v>
          </cell>
        </row>
        <row r="109">
          <cell r="B109" t="str">
            <v>2.5.2-1821.115</v>
          </cell>
          <cell r="E109" t="str">
            <v>ANTIBIOTICOS P/PERSONAS; TIPO: MONODROGA, DROGA GENERICA: MINOCICLINA, FORMA FARMACEUTICA: COMPRIMIDO, PRESENTACION: 100 mGr</v>
          </cell>
          <cell r="F109" t="str">
            <v>COMPRIMIDO</v>
          </cell>
          <cell r="H109">
            <v>61.7</v>
          </cell>
        </row>
        <row r="110">
          <cell r="B110" t="str">
            <v>2.5.2-1724.98</v>
          </cell>
          <cell r="E110" t="str">
            <v>ANALGESICOS ; TIPO: MONODROGA, DROGA GENERICA: MORFINA CLORIDRATO 1%, FORMA FARMACEUTICA: AMPOLLA, PRESENTACION: 1 mL</v>
          </cell>
          <cell r="F110" t="str">
            <v>AMPOLLA</v>
          </cell>
          <cell r="H110">
            <v>110</v>
          </cell>
        </row>
        <row r="111">
          <cell r="B111" t="str">
            <v>2.5.2-1724.206</v>
          </cell>
          <cell r="E111" t="str">
            <v>ANALGESICOS ; TIPO: MONODROGA, DROGA GENERICA: NALBUFINA 10 mGr, FORMA FARMACEUTICA: AMPOLLA, PRESENTACION: ENVASE X 1 mL</v>
          </cell>
          <cell r="F111" t="str">
            <v>AMPOLLA</v>
          </cell>
          <cell r="H111">
            <v>120</v>
          </cell>
        </row>
        <row r="112">
          <cell r="B112" t="str">
            <v>2.5.2-1725.35</v>
          </cell>
          <cell r="E112" t="str">
            <v>ANTIINFLAMATORIOS NO ESTEROIDE; TIPO: MONODROGA, DROGA GENERICA: NAPROXENO, FORMA FARMACEUTICA: COMPRIMIDO, PRESENTACION: 500 mGr</v>
          </cell>
          <cell r="F112" t="str">
            <v>COMPRIMIDO</v>
          </cell>
          <cell r="H112">
            <v>16.8</v>
          </cell>
        </row>
        <row r="113">
          <cell r="B113" t="str">
            <v>2.5.2-1821.123</v>
          </cell>
          <cell r="E113" t="str">
            <v>ANTIBIOTICOS P/PERSONAS; TIPO: MONODROGA, DROGA GENERICA: ORNIDAZOL, PRESENTACION: 1 GR, FORMA FARMACEUTICA: AMPOLLA</v>
          </cell>
          <cell r="F113" t="str">
            <v>AMPOLLA</v>
          </cell>
          <cell r="H113">
            <v>1452</v>
          </cell>
        </row>
        <row r="114">
          <cell r="B114" t="str">
            <v>2.5.2-1883.165</v>
          </cell>
          <cell r="E114" t="str">
            <v>ANESTESICOS LOCALES; TIPO: MONODROGA, DROGA GENERICA: PANCURONIO BROMURO 4 mGr, FORMA FARMACEUTICA: AMPOLLA, PRESENTACION: ENVASE X 2 mL</v>
          </cell>
          <cell r="F114" t="str">
            <v>AMPOLLA</v>
          </cell>
          <cell r="H114">
            <v>189</v>
          </cell>
        </row>
        <row r="115">
          <cell r="B115" t="str">
            <v>2.5.2-1724.243</v>
          </cell>
          <cell r="E115" t="str">
            <v>ANALGESICOS; TIPO: MONODROGA, DROGA GENERICA: PARACETAMOL 1 GR, FORMA FARMACEUTICA: COMPRIMIDO, PRESENTACION: UNIDAD</v>
          </cell>
          <cell r="F115" t="str">
            <v>COMPRIMIDO</v>
          </cell>
          <cell r="H115">
            <v>9.8000000000000007</v>
          </cell>
        </row>
        <row r="116">
          <cell r="B116" t="str">
            <v>2.5.2-1724.230</v>
          </cell>
          <cell r="E116" t="str">
            <v>ANALGESICOS ; PRESENTACION: 100 mL, FORMA FARMACEUTICA: AMPOLLA, DROGA GENERICA: PARACETAMOL 1000 mGr, TIPO: MONODROGA mGr</v>
          </cell>
          <cell r="F116" t="str">
            <v>AMPOLLA</v>
          </cell>
          <cell r="H116">
            <v>980</v>
          </cell>
        </row>
        <row r="117">
          <cell r="B117" t="str">
            <v>2.5.2-1724.244</v>
          </cell>
          <cell r="E117" t="str">
            <v>ANALGESICOS; TIPO: MONODROGA, DROGA GENERICA: PARACETAMOL 2%, 100MG/5ML, FORMA FARMACEÚTICA: JARABE, PRESENTACION: 120 ML</v>
          </cell>
          <cell r="F117" t="str">
            <v>FRASCO</v>
          </cell>
          <cell r="H117">
            <v>165</v>
          </cell>
        </row>
        <row r="118">
          <cell r="B118" t="str">
            <v>2.5.2-1724.245</v>
          </cell>
          <cell r="E118" t="str">
            <v>ANALGÉSICOS ; TIPO: MONODROGA, DROGA GENÉRICA: PARACETAMOL 500 MGR, FORMA FARMACEÚTICA: COMPRIMIDO, PRESENTACIÓN: X UNIDAD</v>
          </cell>
          <cell r="F118" t="str">
            <v>COMPRIMIDO</v>
          </cell>
          <cell r="H118">
            <v>5.3</v>
          </cell>
        </row>
        <row r="119">
          <cell r="B119" t="str">
            <v>2.5.2-1724.29</v>
          </cell>
          <cell r="E119" t="str">
            <v>ANALGESICOS ; TIPO: MONODROGA, DROGA GENERICA: PARACETAMOL, FORMA FARMACEUTICA: GOTAS, PRESENTACION: 20 mL</v>
          </cell>
          <cell r="F119" t="str">
            <v>GOTERO</v>
          </cell>
          <cell r="H119">
            <v>230</v>
          </cell>
        </row>
        <row r="120">
          <cell r="B120" t="str">
            <v>2.5.2-1821.54</v>
          </cell>
          <cell r="E120" t="str">
            <v>ANTIBIOTICOS P/PERSONAS; TIPO: MONODROGA, DROGA GENERICA: PENICILINA G. BENZATINICA, FORMA FARMACEUTICA: AMPOLLA, PRESENTACION: 1.200.000 UI</v>
          </cell>
          <cell r="F120" t="str">
            <v>AMPOLLA</v>
          </cell>
          <cell r="H120">
            <v>189</v>
          </cell>
        </row>
        <row r="121">
          <cell r="B121" t="str">
            <v>2.5.2-1821.220</v>
          </cell>
          <cell r="E121" t="str">
            <v>ANTIBIOTICOS P/PERSONAS; TIPO: MONODROGA, DROGA GENERICA: PENICILINA G. BENZATINICA, FORMA FARMACEUTICA: FRASCO AMPOLLA, PRESENTACION: 2.400.000 UI</v>
          </cell>
          <cell r="F121" t="str">
            <v>AMPOLLA</v>
          </cell>
          <cell r="H121">
            <v>256</v>
          </cell>
        </row>
        <row r="122">
          <cell r="B122" t="str">
            <v>2.5.2-1821.260</v>
          </cell>
          <cell r="E122" t="str">
            <v>ANTIBIOTICOS P/PERSONAS; TIPO: MONODROGA, DROGA GENERICA: PENICILINA G. SODICA, FORMA FARMACEUTICA: FRASCO AMPOLLA, PRESENTACION: 1.000.000 UI</v>
          </cell>
          <cell r="F122" t="str">
            <v>AMPOLLA</v>
          </cell>
          <cell r="H122">
            <v>144</v>
          </cell>
        </row>
        <row r="123">
          <cell r="B123" t="str">
            <v>2.5.2-1821.13</v>
          </cell>
          <cell r="E123" t="str">
            <v>ANTIBIOTICOS P/PERSONAS; TIPO: MONODROGA, DROGA GENERICA: PENICILINA G. SODICA, FORMA FARMACEUTICA: AMPOLLA, PRESENTACION: 3.000.000 UI</v>
          </cell>
          <cell r="F123" t="str">
            <v>AMPOLLA</v>
          </cell>
          <cell r="H123">
            <v>189</v>
          </cell>
        </row>
        <row r="124">
          <cell r="B124" t="str">
            <v>2.5.2-3097.9</v>
          </cell>
          <cell r="E124" t="str">
            <v>PEDICULICIDAS; DROGA GENERICA: PERMETRINA, FORMA FARMACEUTICA: EMULSION, PRESENTACION: 100 mL</v>
          </cell>
          <cell r="F124" t="str">
            <v>ENVASE</v>
          </cell>
          <cell r="H124">
            <v>958</v>
          </cell>
        </row>
        <row r="125">
          <cell r="B125" t="str">
            <v>2.5.2-3097.1</v>
          </cell>
          <cell r="E125" t="str">
            <v>PEDICULICIDAS; DROGA GENERICA: PERMETRINA 1%, FORMA FARMACEUTICA: SOLUCION, PRESENTACION: FRASCO X 100 mL</v>
          </cell>
          <cell r="F125" t="str">
            <v>ENVASE</v>
          </cell>
          <cell r="H125">
            <v>467</v>
          </cell>
        </row>
        <row r="126">
          <cell r="B126" t="str">
            <v>2.5.2-1821.77</v>
          </cell>
          <cell r="E126" t="str">
            <v>ANTIBIOTICOS P/PERSONAS; TIPO: ASOCIACION, DROGA GENERICA: PIPERACILINA+TAZOBACTAN, FORMA FARMACEUTICA: AMPOLLA, PRESENTACION: 4,5 GR</v>
          </cell>
          <cell r="F126" t="str">
            <v>AMPOLLA</v>
          </cell>
          <cell r="H126">
            <v>398</v>
          </cell>
        </row>
        <row r="127">
          <cell r="B127" t="str">
            <v>2.5.2-3603.18</v>
          </cell>
          <cell r="E127" t="str">
            <v>EVACUANTES INTESTINALES; TIPO: ASOCIACION, DROGA GENERICA: POLIETILENGLICOL 3350, FORMA FARMACEÚTICA: SOBRES, PRESENTACION: SOBRES X 30</v>
          </cell>
          <cell r="F127" t="str">
            <v>CAJA</v>
          </cell>
          <cell r="H127">
            <v>6830.74</v>
          </cell>
        </row>
        <row r="128">
          <cell r="B128" t="str">
            <v>2.5.2-3603.15</v>
          </cell>
          <cell r="E128" t="str">
            <v>EVACUANTES INTESTINALES; TIPO: MONODROGA, DROGA GENERICA: POLIETILENGLICOL, FORMA FARMACEUTICA: SOLUCION, PRESENTACION: ENVASE X 4 L</v>
          </cell>
          <cell r="F128" t="str">
            <v>ENVASE</v>
          </cell>
          <cell r="H128">
            <v>6502</v>
          </cell>
        </row>
        <row r="129">
          <cell r="B129" t="str">
            <v>2.5.2-2455.27</v>
          </cell>
          <cell r="E129" t="str">
            <v>ANESTESICOS GENERALES; DROGA GENERICA: PROPOFOL 200 mGr, FORMA FARMACEUTICA: AMPOLLA, PRESENTACION: ENVASE X 20 mL, TIPO: MONODROGA</v>
          </cell>
          <cell r="F129" t="str">
            <v>AMPOLLA</v>
          </cell>
          <cell r="H129">
            <v>398</v>
          </cell>
        </row>
        <row r="130">
          <cell r="B130" t="str">
            <v>2.5.2-2455.48</v>
          </cell>
          <cell r="E130" t="str">
            <v>ANESTESICOS GENERALES; DROGA GENERICA: PROPOFOL 200mGr, FORMA FARMACEUTICA: AMPOLLA, PRESENTACION ENVASE: X 50ml, TIPO: MONODROGA</v>
          </cell>
          <cell r="F130" t="str">
            <v>AMPOLLA</v>
          </cell>
          <cell r="H130">
            <v>1050</v>
          </cell>
        </row>
        <row r="131">
          <cell r="B131" t="str">
            <v>2.5.2-2455.49</v>
          </cell>
          <cell r="E131" t="str">
            <v>ANESTÉSICOS GENERALES; DROGA GENÉRICA: PROPOFOL 2%, 400MGR, FORMA FARMACEÚTICA: AMPOLLA, PRESENTACIÓN ENVASE: X 50ML, TIPO: MONODROGA</v>
          </cell>
          <cell r="F131" t="str">
            <v>AMPOLLA</v>
          </cell>
          <cell r="H131">
            <v>1327</v>
          </cell>
        </row>
        <row r="132">
          <cell r="B132" t="str">
            <v>2.5.2-1883.173</v>
          </cell>
          <cell r="E132" t="str">
            <v>ANESTESICOS LOCALES; TIPO: MONODROGA, DROGA GENERICA: REMIFENTANILO 5 mGr, FORMA FARMACEUTICA: AMPOLLA, PRESENTACION: UNIDAD</v>
          </cell>
          <cell r="F132" t="str">
            <v>AMPOLLA</v>
          </cell>
          <cell r="H132">
            <v>790</v>
          </cell>
        </row>
        <row r="133">
          <cell r="B133" t="str">
            <v>2.5.2-1821.201</v>
          </cell>
          <cell r="E133" t="str">
            <v>ANTIBIOTICOS P/PERSONAS; TIPO: ANTITUBERCULOSTATICO, DROGA GENERICA: RIFAMPICINA X 2 GR, FORMA FARMACEUTICA: EN SUSPENSION CADA 100 mL, PRESENTACION: FRASCO X 50 Ml</v>
          </cell>
          <cell r="F133" t="str">
            <v>FRASCO</v>
          </cell>
          <cell r="H133">
            <v>1602</v>
          </cell>
        </row>
        <row r="134">
          <cell r="B134" t="str">
            <v>2.5.2-1822.6</v>
          </cell>
          <cell r="E134" t="str">
            <v>ANTIMICOBACTERIAS; TIPO: MONODROGA, DROGA GENERICA: RIFAMPICINA, PRESENTACION: 300 mGr, FORMA FARMACEUTICA: CAPSULA</v>
          </cell>
          <cell r="F134" t="str">
            <v>CAPSULAS</v>
          </cell>
          <cell r="H134">
            <v>45</v>
          </cell>
        </row>
        <row r="135">
          <cell r="B135" t="str">
            <v>2.5.2-1821.219</v>
          </cell>
          <cell r="E135" t="str">
            <v>ANTIBIOTICOS P/PERSONAS; TIPO: MONODROGA, DROGA GENERICA: RIFAMPICINA, FORMA FARMACEUTICA: FRASCO AMPOLLA, PRESENTACION: 600 mGr</v>
          </cell>
          <cell r="F135" t="str">
            <v>AMPOLLA</v>
          </cell>
          <cell r="H135">
            <v>1510</v>
          </cell>
        </row>
        <row r="136">
          <cell r="B136" t="str">
            <v>2.5.2-2455.31</v>
          </cell>
          <cell r="E136" t="str">
            <v>ANESTESICOS GENERALES; DROGA GENERICA: SEVOFLUORANO, FORMA FARMACEUTICA: SOLUCION, PRESENTACION: ENVASE X 250 mL, TIPO: MONODROGA</v>
          </cell>
          <cell r="F136" t="str">
            <v>FRASCO</v>
          </cell>
          <cell r="H136">
            <v>13840</v>
          </cell>
        </row>
        <row r="137">
          <cell r="B137" t="str">
            <v>2.5.2-2199.2</v>
          </cell>
          <cell r="E137" t="str">
            <v>BLOQUEANTES NEUROMUSCULARES; DROGA GENERICA: SUCCINILCOLINA, FORMA FARMACEUTICA: AMPOLLA, PRESENTACION: 500 mGr, TIPO: MONODROGA</v>
          </cell>
          <cell r="F137" t="str">
            <v>AMPOLLA</v>
          </cell>
          <cell r="H137">
            <v>340</v>
          </cell>
        </row>
        <row r="138">
          <cell r="B138" t="str">
            <v>2.5.2-1821.423</v>
          </cell>
          <cell r="E138" t="str">
            <v>ANTIBIOTICOS P/PERSONAS; TIPO: MONODROGA, DROGA GENERICA: TIGECICLINA 50 mGr, FORMA FARMACEUTICA: FRASCO AMPOLLA, PRESENTACION: UNIDAD</v>
          </cell>
          <cell r="F138" t="str">
            <v>AMPOLLA</v>
          </cell>
          <cell r="H138">
            <v>1252</v>
          </cell>
        </row>
        <row r="139">
          <cell r="B139" t="str">
            <v>2.5.2-2455.34</v>
          </cell>
          <cell r="E139" t="str">
            <v>ANESTESICOS GENERALES; DROGA GENERICA: TIOPENTAL SODICO 1 GR, FORMA FARMACEUTICA: FRASCO AMPOLLA, PRESENTACION: UNIDAD, TIPO: MONODROGA</v>
          </cell>
          <cell r="F139" t="str">
            <v>AMPOLLA</v>
          </cell>
          <cell r="H139">
            <v>1470</v>
          </cell>
        </row>
        <row r="140">
          <cell r="B140" t="str">
            <v>2.5.2-1724.154</v>
          </cell>
          <cell r="E140" t="str">
            <v>ANALGESICOS ; TIPO: MONODROGA, DROGA GENERICA: TRAMADOL 50 mGr, FORMA FARMACEUTICA: AMPOLLA, PRESENTACION: UNIDAD</v>
          </cell>
          <cell r="F140" t="str">
            <v>AMPOLLA</v>
          </cell>
          <cell r="H140">
            <v>65</v>
          </cell>
        </row>
        <row r="141">
          <cell r="B141" t="str">
            <v>2.5.2-1821.510</v>
          </cell>
          <cell r="E141" t="str">
            <v>ANTIBIOTICOS P/PERSONAS; TIPO: MONODROGA, DROGA GENERICA: VANCOMICINA 1 GR, FORMA FARMACEUTICA: FRASCO AMPOLLA, PRESENTACION: UNIDAD</v>
          </cell>
          <cell r="F141" t="str">
            <v>AMPOLLA</v>
          </cell>
          <cell r="H141">
            <v>335</v>
          </cell>
        </row>
        <row r="142">
          <cell r="B142" t="str">
            <v>2.5.2-1821.44</v>
          </cell>
          <cell r="E142" t="str">
            <v>ANTIBIOTICOS P/PERSONAS; DROGA GENERICA: VANCOMICINA, FORMA FARMACEUTICA: AMPOLLA, TIPO: MONODROGA, PRESENTACION: 500 mGr</v>
          </cell>
          <cell r="F142" t="str">
            <v>AMPOLLA</v>
          </cell>
          <cell r="H142">
            <v>188</v>
          </cell>
        </row>
        <row r="143">
          <cell r="B143" t="str">
            <v>2.5.2-2199.13</v>
          </cell>
          <cell r="E143" t="str">
            <v>BLOQUEANTES NEUROMUSCULARES; DROGA GENERICA: BROMURO DE VECURONIO, FORMA FARMACEUTICA: AMPOLLA X 10 mGr, PRESENTACION: UNIDAD, TIPO: MONODROGA</v>
          </cell>
          <cell r="F143" t="str">
            <v>AMPOLLA</v>
          </cell>
          <cell r="H143">
            <v>864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4"/>
  <sheetViews>
    <sheetView tabSelected="1" topLeftCell="A88" workbookViewId="0">
      <selection activeCell="A138" sqref="A138"/>
    </sheetView>
  </sheetViews>
  <sheetFormatPr baseColWidth="10" defaultColWidth="12.5703125" defaultRowHeight="15" customHeight="1" x14ac:dyDescent="0.2"/>
  <cols>
    <col min="1" max="1" width="4.5703125" customWidth="1"/>
    <col min="2" max="2" width="14" style="69" customWidth="1"/>
    <col min="3" max="3" width="21.5703125" style="69" customWidth="1"/>
    <col min="4" max="4" width="13.42578125" customWidth="1"/>
    <col min="5" max="5" width="59.42578125" customWidth="1"/>
    <col min="6" max="6" width="63.7109375" style="94" customWidth="1"/>
    <col min="7" max="7" width="13" customWidth="1"/>
    <col min="8" max="8" width="13.28515625" customWidth="1"/>
    <col min="9" max="9" width="14.42578125" style="69" customWidth="1"/>
    <col min="10" max="10" width="15.5703125" customWidth="1"/>
    <col min="11" max="11" width="11" style="69" customWidth="1"/>
    <col min="12" max="12" width="11.7109375" style="72" bestFit="1" customWidth="1"/>
    <col min="13" max="13" width="13.140625" style="69" customWidth="1"/>
    <col min="14" max="14" width="16.140625" customWidth="1"/>
    <col min="15" max="15" width="14.140625" customWidth="1"/>
    <col min="16" max="19" width="12.5703125" style="72"/>
  </cols>
  <sheetData>
    <row r="1" spans="1:19" ht="12.75" customHeight="1" x14ac:dyDescent="0.2">
      <c r="A1" s="1"/>
      <c r="B1" s="70"/>
      <c r="C1" s="70"/>
      <c r="D1" s="1"/>
      <c r="E1" s="59"/>
      <c r="F1" s="93"/>
      <c r="G1" s="1"/>
      <c r="H1" s="1"/>
      <c r="I1" s="70"/>
      <c r="J1" s="2"/>
      <c r="K1" s="70"/>
      <c r="L1" s="7"/>
    </row>
    <row r="2" spans="1:19" ht="27" x14ac:dyDescent="0.35">
      <c r="A2" s="1"/>
      <c r="B2" s="110" t="s">
        <v>0</v>
      </c>
      <c r="C2" s="106"/>
      <c r="D2" s="106"/>
      <c r="E2" s="103"/>
      <c r="F2" s="103"/>
      <c r="G2" s="106"/>
      <c r="H2" s="106"/>
      <c r="I2" s="108"/>
      <c r="J2" s="2"/>
      <c r="K2" s="70"/>
      <c r="L2" s="7"/>
    </row>
    <row r="3" spans="1:19" ht="12.75" customHeight="1" x14ac:dyDescent="0.2">
      <c r="A3" s="1"/>
      <c r="B3" s="70"/>
      <c r="C3" s="70"/>
      <c r="D3" s="1"/>
      <c r="E3" s="59"/>
      <c r="F3" s="93"/>
      <c r="G3" s="1"/>
      <c r="H3" s="1"/>
      <c r="I3" s="70"/>
      <c r="J3" s="2"/>
      <c r="K3" s="70"/>
      <c r="L3" s="7"/>
    </row>
    <row r="4" spans="1:19" ht="12.75" customHeight="1" x14ac:dyDescent="0.25">
      <c r="A4" s="107" t="s">
        <v>1</v>
      </c>
      <c r="B4" s="108"/>
      <c r="C4" s="111" t="s">
        <v>2</v>
      </c>
      <c r="D4" s="106"/>
      <c r="E4" s="103"/>
      <c r="F4" s="103"/>
      <c r="G4" s="3"/>
      <c r="H4" s="4"/>
      <c r="I4" s="81"/>
      <c r="J4" s="2"/>
      <c r="K4" s="70"/>
      <c r="L4" s="7"/>
    </row>
    <row r="5" spans="1:19" ht="12.75" customHeight="1" x14ac:dyDescent="0.25">
      <c r="A5" s="109" t="s">
        <v>3</v>
      </c>
      <c r="B5" s="108"/>
      <c r="C5" s="112" t="s">
        <v>4</v>
      </c>
      <c r="D5" s="106"/>
      <c r="E5" s="103"/>
      <c r="F5" s="103"/>
      <c r="G5" s="3"/>
      <c r="H5" s="4"/>
      <c r="I5" s="81"/>
      <c r="J5" s="2"/>
      <c r="K5" s="70"/>
      <c r="L5" s="7"/>
    </row>
    <row r="6" spans="1:19" ht="12.75" customHeight="1" x14ac:dyDescent="0.2">
      <c r="A6" s="107" t="s">
        <v>5</v>
      </c>
      <c r="B6" s="108"/>
      <c r="C6" s="74">
        <v>2022</v>
      </c>
      <c r="D6" s="5"/>
      <c r="E6" s="60"/>
      <c r="F6" s="60"/>
      <c r="G6" s="3"/>
      <c r="H6" s="4"/>
      <c r="I6" s="99" t="s">
        <v>490</v>
      </c>
      <c r="J6" s="2"/>
      <c r="K6" s="70"/>
      <c r="L6" s="7"/>
    </row>
    <row r="7" spans="1:19" ht="12.75" customHeight="1" x14ac:dyDescent="0.2">
      <c r="A7" s="109" t="s">
        <v>6</v>
      </c>
      <c r="B7" s="108"/>
      <c r="C7" s="75">
        <v>1</v>
      </c>
      <c r="D7" s="5"/>
      <c r="E7" s="60"/>
      <c r="F7" s="60"/>
      <c r="G7" s="3"/>
      <c r="H7" s="4"/>
      <c r="I7" s="99"/>
      <c r="J7" s="2"/>
      <c r="K7" s="70"/>
      <c r="L7" s="7"/>
    </row>
    <row r="8" spans="1:19" ht="12.75" customHeight="1" x14ac:dyDescent="0.2">
      <c r="A8" s="1"/>
      <c r="B8" s="81"/>
      <c r="C8" s="76"/>
      <c r="D8" s="3"/>
      <c r="E8" s="61"/>
      <c r="F8" s="61"/>
      <c r="G8" s="3"/>
      <c r="H8" s="4"/>
      <c r="I8" s="100"/>
      <c r="J8" s="2"/>
      <c r="K8" s="70"/>
      <c r="L8" s="7"/>
      <c r="M8" s="98" t="s">
        <v>484</v>
      </c>
      <c r="N8" s="98"/>
      <c r="O8" s="98"/>
      <c r="P8" s="186" t="s">
        <v>491</v>
      </c>
      <c r="Q8" s="186"/>
      <c r="R8" s="186"/>
    </row>
    <row r="9" spans="1:19" ht="58.5" customHeight="1" x14ac:dyDescent="0.2">
      <c r="A9" s="65" t="s">
        <v>7</v>
      </c>
      <c r="B9" s="65" t="s">
        <v>8</v>
      </c>
      <c r="C9" s="65" t="s">
        <v>9</v>
      </c>
      <c r="D9" s="65" t="s">
        <v>10</v>
      </c>
      <c r="E9" s="65" t="s">
        <v>11</v>
      </c>
      <c r="F9" s="65" t="s">
        <v>486</v>
      </c>
      <c r="G9" s="65" t="s">
        <v>12</v>
      </c>
      <c r="H9" s="65" t="s">
        <v>13</v>
      </c>
      <c r="I9" s="65" t="s">
        <v>14</v>
      </c>
      <c r="J9" s="66" t="s">
        <v>15</v>
      </c>
      <c r="K9" s="70"/>
      <c r="L9" s="7"/>
      <c r="M9" s="97" t="s">
        <v>485</v>
      </c>
      <c r="N9" s="97" t="s">
        <v>487</v>
      </c>
      <c r="O9" s="97" t="s">
        <v>488</v>
      </c>
      <c r="P9" s="97" t="s">
        <v>485</v>
      </c>
      <c r="Q9" s="97" t="s">
        <v>487</v>
      </c>
      <c r="R9" s="97" t="s">
        <v>488</v>
      </c>
    </row>
    <row r="10" spans="1:19" ht="58.5" customHeight="1" x14ac:dyDescent="0.2">
      <c r="A10" s="188">
        <v>1</v>
      </c>
      <c r="C10" s="190" t="s">
        <v>200</v>
      </c>
      <c r="D10" s="191">
        <v>252</v>
      </c>
      <c r="E10" s="193" t="s">
        <v>16</v>
      </c>
      <c r="F10" s="192" t="s">
        <v>297</v>
      </c>
      <c r="G10" s="188" t="s">
        <v>17</v>
      </c>
      <c r="H10" s="194"/>
      <c r="I10" s="195">
        <v>60.1</v>
      </c>
      <c r="J10" s="196">
        <f t="shared" ref="J10:J57" si="0">+H10*I10</f>
        <v>0</v>
      </c>
      <c r="K10" s="69" t="s">
        <v>297</v>
      </c>
      <c r="L10" s="70" t="b">
        <f>K10=F10</f>
        <v>1</v>
      </c>
      <c r="M10" s="72" t="b">
        <f>B11='[1]Necesidades Trimestrales'!B10</f>
        <v>1</v>
      </c>
      <c r="N10" s="69" t="b">
        <f>F10='[1]Necesidades Trimestrales'!E10</f>
        <v>1</v>
      </c>
      <c r="O10" s="72" t="b">
        <f>G10='[1]Necesidades Trimestrales'!F10</f>
        <v>1</v>
      </c>
      <c r="P10" s="72" t="b">
        <f>B11='[2]Necesidades Trimestrales'!B10</f>
        <v>1</v>
      </c>
      <c r="Q10" s="72" t="b">
        <f>F10='[2]Necesidades Trimestrales'!E10</f>
        <v>1</v>
      </c>
      <c r="R10" s="72" t="b">
        <f>G10='[2]Necesidades Trimestrales'!F10</f>
        <v>1</v>
      </c>
      <c r="S10" s="187">
        <f>+I10-'[2]Necesidades Trimestrales'!H10</f>
        <v>0</v>
      </c>
    </row>
    <row r="11" spans="1:19" ht="58.5" customHeight="1" x14ac:dyDescent="0.2">
      <c r="A11" s="188">
        <v>2</v>
      </c>
      <c r="B11" s="189" t="s">
        <v>199</v>
      </c>
      <c r="C11" s="190" t="s">
        <v>200</v>
      </c>
      <c r="D11" s="191">
        <v>252</v>
      </c>
      <c r="E11" s="193" t="s">
        <v>18</v>
      </c>
      <c r="F11" s="198" t="s">
        <v>298</v>
      </c>
      <c r="G11" s="188" t="s">
        <v>17</v>
      </c>
      <c r="H11" s="194"/>
      <c r="I11" s="195">
        <v>70.099999999999994</v>
      </c>
      <c r="J11" s="196">
        <f t="shared" si="0"/>
        <v>0</v>
      </c>
      <c r="K11" s="69" t="s">
        <v>298</v>
      </c>
      <c r="L11" s="70" t="b">
        <f>K11=F11</f>
        <v>1</v>
      </c>
      <c r="M11" s="72" t="b">
        <f>B12='[1]Necesidades Trimestrales'!B11</f>
        <v>1</v>
      </c>
      <c r="N11" s="69" t="b">
        <f>F11='[1]Necesidades Trimestrales'!E11</f>
        <v>1</v>
      </c>
      <c r="O11" s="72" t="b">
        <f>G11='[1]Necesidades Trimestrales'!F11</f>
        <v>1</v>
      </c>
      <c r="P11" s="72" t="b">
        <f>B12='[2]Necesidades Trimestrales'!B11</f>
        <v>1</v>
      </c>
      <c r="Q11" s="72" t="b">
        <f>F11='[2]Necesidades Trimestrales'!E11</f>
        <v>1</v>
      </c>
      <c r="R11" s="72" t="b">
        <f>G11='[2]Necesidades Trimestrales'!F11</f>
        <v>1</v>
      </c>
      <c r="S11" s="187">
        <f>+I11-'[2]Necesidades Trimestrales'!H11</f>
        <v>0</v>
      </c>
    </row>
    <row r="12" spans="1:19" ht="58.5" customHeight="1" x14ac:dyDescent="0.2">
      <c r="A12" s="188">
        <v>3</v>
      </c>
      <c r="B12" s="197" t="s">
        <v>201</v>
      </c>
      <c r="C12" s="190" t="s">
        <v>200</v>
      </c>
      <c r="D12" s="191">
        <v>252</v>
      </c>
      <c r="E12" s="193" t="s">
        <v>19</v>
      </c>
      <c r="F12" s="198" t="s">
        <v>299</v>
      </c>
      <c r="G12" s="188" t="s">
        <v>20</v>
      </c>
      <c r="H12" s="194"/>
      <c r="I12" s="195">
        <v>450</v>
      </c>
      <c r="J12" s="196">
        <f t="shared" si="0"/>
        <v>0</v>
      </c>
      <c r="K12" s="69" t="s">
        <v>299</v>
      </c>
      <c r="L12" s="70" t="b">
        <f>K12=F12</f>
        <v>1</v>
      </c>
      <c r="M12" s="72" t="b">
        <f>B13='[1]Necesidades Trimestrales'!B12</f>
        <v>1</v>
      </c>
      <c r="N12" s="69" t="b">
        <f>F12='[1]Necesidades Trimestrales'!E12</f>
        <v>1</v>
      </c>
      <c r="O12" s="72" t="b">
        <f>G12='[1]Necesidades Trimestrales'!F12</f>
        <v>1</v>
      </c>
      <c r="P12" s="72" t="b">
        <f>B13='[2]Necesidades Trimestrales'!B12</f>
        <v>1</v>
      </c>
      <c r="Q12" s="72" t="b">
        <f>F12='[2]Necesidades Trimestrales'!E12</f>
        <v>1</v>
      </c>
      <c r="R12" s="72" t="b">
        <f>G12='[2]Necesidades Trimestrales'!F12</f>
        <v>1</v>
      </c>
      <c r="S12" s="187">
        <f>+I12-'[2]Necesidades Trimestrales'!H12</f>
        <v>0</v>
      </c>
    </row>
    <row r="13" spans="1:19" ht="58.5" customHeight="1" x14ac:dyDescent="0.2">
      <c r="A13" s="188">
        <v>4</v>
      </c>
      <c r="B13" s="197" t="s">
        <v>202</v>
      </c>
      <c r="C13" s="188"/>
      <c r="D13" s="191">
        <v>252</v>
      </c>
      <c r="E13" s="193" t="s">
        <v>21</v>
      </c>
      <c r="F13" s="192" t="s">
        <v>443</v>
      </c>
      <c r="G13" s="188" t="s">
        <v>22</v>
      </c>
      <c r="H13" s="194"/>
      <c r="I13" s="195">
        <v>980</v>
      </c>
      <c r="J13" s="196">
        <f t="shared" si="0"/>
        <v>0</v>
      </c>
      <c r="K13" s="70" t="s">
        <v>443</v>
      </c>
      <c r="L13" s="70" t="b">
        <f>K13=F13</f>
        <v>1</v>
      </c>
      <c r="M13" s="72" t="b">
        <f>B14='[1]Necesidades Trimestrales'!B13</f>
        <v>1</v>
      </c>
      <c r="N13" s="69" t="b">
        <f>F13='[1]Necesidades Trimestrales'!E13</f>
        <v>1</v>
      </c>
      <c r="O13" s="72" t="b">
        <f>G13='[1]Necesidades Trimestrales'!F13</f>
        <v>1</v>
      </c>
      <c r="P13" s="72" t="b">
        <f>B14='[2]Necesidades Trimestrales'!B13</f>
        <v>1</v>
      </c>
      <c r="Q13" s="72" t="b">
        <f>F13='[2]Necesidades Trimestrales'!E13</f>
        <v>1</v>
      </c>
      <c r="R13" s="72" t="b">
        <f>G13='[2]Necesidades Trimestrales'!F13</f>
        <v>1</v>
      </c>
      <c r="S13" s="187">
        <f>+I13-'[2]Necesidades Trimestrales'!H13</f>
        <v>0</v>
      </c>
    </row>
    <row r="14" spans="1:19" ht="58.5" customHeight="1" x14ac:dyDescent="0.2">
      <c r="A14" s="188">
        <v>5</v>
      </c>
      <c r="B14" s="188" t="s">
        <v>399</v>
      </c>
      <c r="C14" s="190" t="s">
        <v>200</v>
      </c>
      <c r="D14" s="191">
        <v>252</v>
      </c>
      <c r="E14" s="199" t="s">
        <v>23</v>
      </c>
      <c r="F14" s="198" t="s">
        <v>300</v>
      </c>
      <c r="G14" s="188" t="s">
        <v>17</v>
      </c>
      <c r="H14" s="194"/>
      <c r="I14" s="195">
        <v>1.55</v>
      </c>
      <c r="J14" s="196">
        <f t="shared" si="0"/>
        <v>0</v>
      </c>
      <c r="K14" s="69" t="s">
        <v>300</v>
      </c>
      <c r="L14" s="70" t="b">
        <f>K14=F14</f>
        <v>1</v>
      </c>
      <c r="M14" s="72" t="b">
        <f>B15='[1]Necesidades Trimestrales'!B14</f>
        <v>1</v>
      </c>
      <c r="N14" s="69" t="b">
        <f>F14='[1]Necesidades Trimestrales'!E14</f>
        <v>1</v>
      </c>
      <c r="O14" s="72" t="b">
        <f>G14='[1]Necesidades Trimestrales'!F14</f>
        <v>1</v>
      </c>
      <c r="P14" s="72" t="b">
        <f>B15='[2]Necesidades Trimestrales'!B14</f>
        <v>1</v>
      </c>
      <c r="Q14" s="72" t="b">
        <f>F14='[2]Necesidades Trimestrales'!E14</f>
        <v>1</v>
      </c>
      <c r="R14" s="72" t="b">
        <f>G14='[2]Necesidades Trimestrales'!F14</f>
        <v>1</v>
      </c>
      <c r="S14" s="187">
        <f>+I14-'[2]Necesidades Trimestrales'!H14</f>
        <v>0</v>
      </c>
    </row>
    <row r="15" spans="1:19" ht="58.5" customHeight="1" x14ac:dyDescent="0.2">
      <c r="A15" s="188">
        <v>6</v>
      </c>
      <c r="B15" s="197" t="s">
        <v>204</v>
      </c>
      <c r="C15" s="190" t="s">
        <v>200</v>
      </c>
      <c r="D15" s="191">
        <v>252</v>
      </c>
      <c r="E15" s="199" t="s">
        <v>24</v>
      </c>
      <c r="F15" s="198" t="s">
        <v>301</v>
      </c>
      <c r="G15" s="188" t="s">
        <v>17</v>
      </c>
      <c r="H15" s="194"/>
      <c r="I15" s="195">
        <v>2.0099999999999998</v>
      </c>
      <c r="J15" s="196">
        <f t="shared" si="0"/>
        <v>0</v>
      </c>
      <c r="K15" s="69" t="s">
        <v>301</v>
      </c>
      <c r="L15" s="70" t="b">
        <f>K15=F15</f>
        <v>1</v>
      </c>
      <c r="M15" s="72" t="b">
        <f>B16='[1]Necesidades Trimestrales'!B15</f>
        <v>1</v>
      </c>
      <c r="N15" s="69" t="b">
        <f>F15='[1]Necesidades Trimestrales'!E15</f>
        <v>1</v>
      </c>
      <c r="O15" s="72" t="b">
        <f>G15='[1]Necesidades Trimestrales'!F15</f>
        <v>1</v>
      </c>
      <c r="P15" s="72" t="b">
        <f>B16='[2]Necesidades Trimestrales'!B15</f>
        <v>1</v>
      </c>
      <c r="Q15" s="72" t="b">
        <f>F15='[2]Necesidades Trimestrales'!E15</f>
        <v>1</v>
      </c>
      <c r="R15" s="72" t="b">
        <f>G15='[2]Necesidades Trimestrales'!F15</f>
        <v>1</v>
      </c>
      <c r="S15" s="187">
        <f>+I15-'[2]Necesidades Trimestrales'!H15</f>
        <v>0</v>
      </c>
    </row>
    <row r="16" spans="1:19" ht="58.5" customHeight="1" x14ac:dyDescent="0.2">
      <c r="A16" s="188">
        <v>7</v>
      </c>
      <c r="B16" s="197" t="s">
        <v>203</v>
      </c>
      <c r="C16" s="190" t="s">
        <v>200</v>
      </c>
      <c r="D16" s="191">
        <v>252</v>
      </c>
      <c r="E16" s="200" t="s">
        <v>25</v>
      </c>
      <c r="F16" s="198" t="s">
        <v>302</v>
      </c>
      <c r="G16" s="188" t="s">
        <v>17</v>
      </c>
      <c r="H16" s="194"/>
      <c r="I16" s="195">
        <v>12.15</v>
      </c>
      <c r="J16" s="196">
        <f t="shared" si="0"/>
        <v>0</v>
      </c>
      <c r="K16" s="69" t="s">
        <v>302</v>
      </c>
      <c r="L16" s="70" t="b">
        <f>K16=F16</f>
        <v>1</v>
      </c>
      <c r="M16" s="72" t="b">
        <f>B17='[1]Necesidades Trimestrales'!B16</f>
        <v>1</v>
      </c>
      <c r="N16" s="69" t="b">
        <f>F16='[1]Necesidades Trimestrales'!E16</f>
        <v>1</v>
      </c>
      <c r="O16" s="72" t="b">
        <f>G16='[1]Necesidades Trimestrales'!F16</f>
        <v>1</v>
      </c>
      <c r="P16" s="72" t="b">
        <f>B17='[2]Necesidades Trimestrales'!B16</f>
        <v>1</v>
      </c>
      <c r="Q16" s="72" t="b">
        <f>F16='[2]Necesidades Trimestrales'!E16</f>
        <v>1</v>
      </c>
      <c r="R16" s="72" t="b">
        <f>G16='[2]Necesidades Trimestrales'!F16</f>
        <v>1</v>
      </c>
      <c r="S16" s="187">
        <f>+I16-'[2]Necesidades Trimestrales'!H16</f>
        <v>0</v>
      </c>
    </row>
    <row r="17" spans="1:19" ht="58.5" customHeight="1" x14ac:dyDescent="0.2">
      <c r="A17" s="188">
        <v>8</v>
      </c>
      <c r="B17" s="189" t="s">
        <v>205</v>
      </c>
      <c r="C17" s="190" t="s">
        <v>200</v>
      </c>
      <c r="D17" s="191">
        <v>252</v>
      </c>
      <c r="E17" s="201" t="s">
        <v>26</v>
      </c>
      <c r="F17" s="198" t="s">
        <v>303</v>
      </c>
      <c r="G17" s="188" t="s">
        <v>20</v>
      </c>
      <c r="H17" s="194"/>
      <c r="I17" s="195">
        <v>87.95</v>
      </c>
      <c r="J17" s="196">
        <f t="shared" si="0"/>
        <v>0</v>
      </c>
      <c r="K17" s="69" t="s">
        <v>303</v>
      </c>
      <c r="L17" s="70" t="b">
        <f>K17=F17</f>
        <v>1</v>
      </c>
      <c r="M17" s="72" t="b">
        <f>B18='[1]Necesidades Trimestrales'!B17</f>
        <v>1</v>
      </c>
      <c r="N17" s="69" t="b">
        <f>F17='[1]Necesidades Trimestrales'!E17</f>
        <v>1</v>
      </c>
      <c r="O17" s="72" t="b">
        <f>G17='[1]Necesidades Trimestrales'!F17</f>
        <v>1</v>
      </c>
      <c r="P17" s="72" t="b">
        <f>B18='[2]Necesidades Trimestrales'!B17</f>
        <v>1</v>
      </c>
      <c r="Q17" s="72" t="b">
        <f>F17='[2]Necesidades Trimestrales'!E17</f>
        <v>1</v>
      </c>
      <c r="R17" s="72" t="b">
        <f>G17='[2]Necesidades Trimestrales'!F17</f>
        <v>1</v>
      </c>
      <c r="S17" s="187">
        <f>+I17-'[2]Necesidades Trimestrales'!H17</f>
        <v>0</v>
      </c>
    </row>
    <row r="18" spans="1:19" ht="58.5" customHeight="1" x14ac:dyDescent="0.2">
      <c r="A18" s="188">
        <v>9</v>
      </c>
      <c r="B18" s="197" t="s">
        <v>206</v>
      </c>
      <c r="C18" s="188"/>
      <c r="D18" s="191">
        <v>252</v>
      </c>
      <c r="E18" s="193" t="s">
        <v>473</v>
      </c>
      <c r="F18" s="192" t="s">
        <v>444</v>
      </c>
      <c r="G18" s="188" t="s">
        <v>22</v>
      </c>
      <c r="H18" s="194"/>
      <c r="I18" s="195">
        <v>374</v>
      </c>
      <c r="J18" s="196">
        <f t="shared" si="0"/>
        <v>0</v>
      </c>
      <c r="K18" s="70" t="s">
        <v>444</v>
      </c>
      <c r="L18" s="70" t="b">
        <f>K18=F18</f>
        <v>1</v>
      </c>
      <c r="M18" s="72" t="b">
        <f>B19='[1]Necesidades Trimestrales'!B18</f>
        <v>1</v>
      </c>
      <c r="N18" s="69" t="b">
        <f>F18='[1]Necesidades Trimestrales'!E18</f>
        <v>1</v>
      </c>
      <c r="O18" s="72" t="b">
        <f>G18='[1]Necesidades Trimestrales'!F18</f>
        <v>1</v>
      </c>
      <c r="P18" s="72" t="b">
        <f>B19='[2]Necesidades Trimestrales'!B18</f>
        <v>1</v>
      </c>
      <c r="Q18" s="72" t="b">
        <f>F18='[2]Necesidades Trimestrales'!E18</f>
        <v>1</v>
      </c>
      <c r="R18" s="72" t="b">
        <f>G18='[2]Necesidades Trimestrales'!F18</f>
        <v>1</v>
      </c>
      <c r="S18" s="187">
        <f>+I18-'[2]Necesidades Trimestrales'!H18</f>
        <v>0</v>
      </c>
    </row>
    <row r="19" spans="1:19" ht="58.5" customHeight="1" x14ac:dyDescent="0.2">
      <c r="A19" s="188">
        <v>10</v>
      </c>
      <c r="B19" s="188" t="s">
        <v>400</v>
      </c>
      <c r="C19" s="190" t="s">
        <v>200</v>
      </c>
      <c r="D19" s="191">
        <v>252</v>
      </c>
      <c r="E19" s="201" t="s">
        <v>27</v>
      </c>
      <c r="F19" s="198" t="s">
        <v>304</v>
      </c>
      <c r="G19" s="188" t="s">
        <v>17</v>
      </c>
      <c r="H19" s="194"/>
      <c r="I19" s="195">
        <v>29.5</v>
      </c>
      <c r="J19" s="196">
        <f t="shared" si="0"/>
        <v>0</v>
      </c>
      <c r="K19" s="69" t="s">
        <v>304</v>
      </c>
      <c r="L19" s="70" t="b">
        <f>K19=F19</f>
        <v>1</v>
      </c>
      <c r="M19" s="72" t="b">
        <f>B20='[1]Necesidades Trimestrales'!B19</f>
        <v>1</v>
      </c>
      <c r="N19" s="69" t="b">
        <f>F19='[1]Necesidades Trimestrales'!E19</f>
        <v>1</v>
      </c>
      <c r="O19" s="72" t="b">
        <f>G19='[1]Necesidades Trimestrales'!F19</f>
        <v>1</v>
      </c>
      <c r="P19" s="72" t="b">
        <f>B20='[2]Necesidades Trimestrales'!B19</f>
        <v>1</v>
      </c>
      <c r="Q19" s="72" t="b">
        <f>F19='[2]Necesidades Trimestrales'!E19</f>
        <v>1</v>
      </c>
      <c r="R19" s="72" t="b">
        <f>G19='[2]Necesidades Trimestrales'!F19</f>
        <v>1</v>
      </c>
      <c r="S19" s="187">
        <f>+I19-'[2]Necesidades Trimestrales'!H19</f>
        <v>0</v>
      </c>
    </row>
    <row r="20" spans="1:19" ht="58.5" customHeight="1" x14ac:dyDescent="0.2">
      <c r="A20" s="188">
        <v>11</v>
      </c>
      <c r="B20" s="197" t="s">
        <v>207</v>
      </c>
      <c r="C20" s="190" t="s">
        <v>200</v>
      </c>
      <c r="D20" s="191">
        <v>252</v>
      </c>
      <c r="E20" s="202" t="s">
        <v>28</v>
      </c>
      <c r="F20" s="198" t="s">
        <v>305</v>
      </c>
      <c r="G20" s="188" t="s">
        <v>17</v>
      </c>
      <c r="H20" s="194"/>
      <c r="I20" s="195">
        <v>7.85</v>
      </c>
      <c r="J20" s="196">
        <f t="shared" si="0"/>
        <v>0</v>
      </c>
      <c r="K20" s="69" t="s">
        <v>305</v>
      </c>
      <c r="L20" s="70" t="b">
        <f>K20=F20</f>
        <v>1</v>
      </c>
      <c r="M20" s="72" t="b">
        <f>B21='[1]Necesidades Trimestrales'!B20</f>
        <v>1</v>
      </c>
      <c r="N20" s="69" t="b">
        <f>F20='[1]Necesidades Trimestrales'!E20</f>
        <v>1</v>
      </c>
      <c r="O20" s="72" t="b">
        <f>G20='[1]Necesidades Trimestrales'!F20</f>
        <v>1</v>
      </c>
      <c r="P20" s="72" t="b">
        <f>B21='[2]Necesidades Trimestrales'!B20</f>
        <v>1</v>
      </c>
      <c r="Q20" s="72" t="b">
        <f>F20='[2]Necesidades Trimestrales'!E20</f>
        <v>1</v>
      </c>
      <c r="R20" s="72" t="b">
        <f>G20='[2]Necesidades Trimestrales'!F20</f>
        <v>1</v>
      </c>
      <c r="S20" s="187">
        <f>+I20-'[2]Necesidades Trimestrales'!H20</f>
        <v>0</v>
      </c>
    </row>
    <row r="21" spans="1:19" ht="58.5" customHeight="1" x14ac:dyDescent="0.2">
      <c r="A21" s="188">
        <v>12</v>
      </c>
      <c r="B21" s="197" t="s">
        <v>208</v>
      </c>
      <c r="C21" s="190" t="s">
        <v>200</v>
      </c>
      <c r="D21" s="191">
        <v>252</v>
      </c>
      <c r="E21" s="203" t="s">
        <v>29</v>
      </c>
      <c r="F21" s="198" t="s">
        <v>306</v>
      </c>
      <c r="G21" s="188" t="s">
        <v>22</v>
      </c>
      <c r="H21" s="194"/>
      <c r="I21" s="195">
        <v>210</v>
      </c>
      <c r="J21" s="196">
        <f t="shared" si="0"/>
        <v>0</v>
      </c>
      <c r="K21" s="69" t="s">
        <v>306</v>
      </c>
      <c r="L21" s="70" t="b">
        <f>K21=F21</f>
        <v>1</v>
      </c>
      <c r="M21" s="72" t="b">
        <f>B22='[1]Necesidades Trimestrales'!B21</f>
        <v>1</v>
      </c>
      <c r="N21" s="69" t="b">
        <f>F21='[1]Necesidades Trimestrales'!E21</f>
        <v>1</v>
      </c>
      <c r="O21" s="72" t="b">
        <f>G21='[1]Necesidades Trimestrales'!F21</f>
        <v>1</v>
      </c>
      <c r="P21" s="72" t="b">
        <f>B22='[2]Necesidades Trimestrales'!B21</f>
        <v>1</v>
      </c>
      <c r="Q21" s="72" t="b">
        <f>F21='[2]Necesidades Trimestrales'!E21</f>
        <v>1</v>
      </c>
      <c r="R21" s="72" t="b">
        <f>G21='[2]Necesidades Trimestrales'!F21</f>
        <v>1</v>
      </c>
      <c r="S21" s="187">
        <f>+I21-'[2]Necesidades Trimestrales'!H21</f>
        <v>0</v>
      </c>
    </row>
    <row r="22" spans="1:19" ht="58.5" customHeight="1" x14ac:dyDescent="0.2">
      <c r="A22" s="188">
        <v>13</v>
      </c>
      <c r="B22" s="197" t="s">
        <v>209</v>
      </c>
      <c r="C22" s="190" t="s">
        <v>200</v>
      </c>
      <c r="D22" s="191">
        <v>252</v>
      </c>
      <c r="E22" s="204" t="s">
        <v>30</v>
      </c>
      <c r="F22" s="198" t="s">
        <v>307</v>
      </c>
      <c r="G22" s="188" t="s">
        <v>20</v>
      </c>
      <c r="H22" s="194"/>
      <c r="I22" s="195">
        <v>138</v>
      </c>
      <c r="J22" s="196">
        <f t="shared" si="0"/>
        <v>0</v>
      </c>
      <c r="K22" s="69" t="s">
        <v>307</v>
      </c>
      <c r="L22" s="70" t="b">
        <f>K22=F22</f>
        <v>1</v>
      </c>
      <c r="M22" s="72" t="b">
        <f>B23='[1]Necesidades Trimestrales'!B22</f>
        <v>1</v>
      </c>
      <c r="N22" s="69" t="b">
        <f>F22='[1]Necesidades Trimestrales'!E22</f>
        <v>1</v>
      </c>
      <c r="O22" s="72" t="b">
        <f>G22='[1]Necesidades Trimestrales'!F22</f>
        <v>1</v>
      </c>
      <c r="P22" s="72" t="b">
        <f>B23='[2]Necesidades Trimestrales'!B22</f>
        <v>1</v>
      </c>
      <c r="Q22" s="72" t="b">
        <f>F22='[2]Necesidades Trimestrales'!E22</f>
        <v>1</v>
      </c>
      <c r="R22" s="72" t="b">
        <f>G22='[2]Necesidades Trimestrales'!F22</f>
        <v>1</v>
      </c>
      <c r="S22" s="187">
        <f>+I22-'[2]Necesidades Trimestrales'!H22</f>
        <v>0</v>
      </c>
    </row>
    <row r="23" spans="1:19" ht="58.5" customHeight="1" x14ac:dyDescent="0.2">
      <c r="A23" s="188">
        <v>14</v>
      </c>
      <c r="B23" s="197" t="s">
        <v>210</v>
      </c>
      <c r="C23" s="190" t="s">
        <v>200</v>
      </c>
      <c r="D23" s="191">
        <v>252</v>
      </c>
      <c r="E23" s="201" t="s">
        <v>31</v>
      </c>
      <c r="F23" s="198" t="s">
        <v>308</v>
      </c>
      <c r="G23" s="188" t="s">
        <v>20</v>
      </c>
      <c r="H23" s="194"/>
      <c r="I23" s="195">
        <v>99</v>
      </c>
      <c r="J23" s="196">
        <f t="shared" si="0"/>
        <v>0</v>
      </c>
      <c r="K23" s="69" t="s">
        <v>308</v>
      </c>
      <c r="L23" s="70" t="b">
        <f>K23=F23</f>
        <v>1</v>
      </c>
      <c r="M23" s="72" t="b">
        <f>B24='[1]Necesidades Trimestrales'!B23</f>
        <v>1</v>
      </c>
      <c r="N23" s="69" t="b">
        <f>F23='[1]Necesidades Trimestrales'!E23</f>
        <v>1</v>
      </c>
      <c r="O23" s="72" t="b">
        <f>G23='[1]Necesidades Trimestrales'!F23</f>
        <v>1</v>
      </c>
      <c r="P23" s="72" t="b">
        <f>B24='[2]Necesidades Trimestrales'!B23</f>
        <v>1</v>
      </c>
      <c r="Q23" s="72" t="b">
        <f>F23='[2]Necesidades Trimestrales'!E23</f>
        <v>1</v>
      </c>
      <c r="R23" s="72" t="b">
        <f>G23='[2]Necesidades Trimestrales'!F23</f>
        <v>1</v>
      </c>
      <c r="S23" s="187">
        <f>+I23-'[2]Necesidades Trimestrales'!H23</f>
        <v>0</v>
      </c>
    </row>
    <row r="24" spans="1:19" ht="58.5" customHeight="1" x14ac:dyDescent="0.2">
      <c r="A24" s="188">
        <v>15</v>
      </c>
      <c r="B24" s="197" t="s">
        <v>211</v>
      </c>
      <c r="C24" s="190" t="s">
        <v>200</v>
      </c>
      <c r="D24" s="191">
        <v>252</v>
      </c>
      <c r="E24" s="202" t="s">
        <v>32</v>
      </c>
      <c r="F24" s="198" t="s">
        <v>309</v>
      </c>
      <c r="G24" s="188" t="s">
        <v>17</v>
      </c>
      <c r="H24" s="194"/>
      <c r="I24" s="195">
        <v>17.079999999999998</v>
      </c>
      <c r="J24" s="196">
        <f t="shared" si="0"/>
        <v>0</v>
      </c>
      <c r="K24" s="69" t="s">
        <v>309</v>
      </c>
      <c r="L24" s="70" t="b">
        <f>K24=F24</f>
        <v>1</v>
      </c>
      <c r="M24" s="72" t="b">
        <f>B25='[1]Necesidades Trimestrales'!B24</f>
        <v>1</v>
      </c>
      <c r="N24" s="69" t="b">
        <f>F24='[1]Necesidades Trimestrales'!E24</f>
        <v>1</v>
      </c>
      <c r="O24" s="72" t="b">
        <f>G24='[1]Necesidades Trimestrales'!F24</f>
        <v>1</v>
      </c>
      <c r="P24" s="72" t="b">
        <f>B25='[2]Necesidades Trimestrales'!B24</f>
        <v>1</v>
      </c>
      <c r="Q24" s="72" t="b">
        <f>F24='[2]Necesidades Trimestrales'!E24</f>
        <v>1</v>
      </c>
      <c r="R24" s="72" t="b">
        <f>G24='[2]Necesidades Trimestrales'!F24</f>
        <v>1</v>
      </c>
      <c r="S24" s="187">
        <f>+I24-'[2]Necesidades Trimestrales'!H24</f>
        <v>0</v>
      </c>
    </row>
    <row r="25" spans="1:19" ht="58.5" customHeight="1" x14ac:dyDescent="0.2">
      <c r="A25" s="188">
        <v>16</v>
      </c>
      <c r="B25" s="197" t="s">
        <v>212</v>
      </c>
      <c r="C25" s="188"/>
      <c r="D25" s="191">
        <v>252</v>
      </c>
      <c r="E25" s="203" t="s">
        <v>33</v>
      </c>
      <c r="F25" s="192" t="s">
        <v>445</v>
      </c>
      <c r="G25" s="188" t="s">
        <v>20</v>
      </c>
      <c r="H25" s="194"/>
      <c r="I25" s="195">
        <v>25452</v>
      </c>
      <c r="J25" s="196">
        <f t="shared" si="0"/>
        <v>0</v>
      </c>
      <c r="K25" s="69" t="s">
        <v>445</v>
      </c>
      <c r="L25" s="70" t="b">
        <f>K25=F25</f>
        <v>1</v>
      </c>
      <c r="M25" s="72" t="b">
        <f>B26='[1]Necesidades Trimestrales'!B25</f>
        <v>1</v>
      </c>
      <c r="N25" s="69" t="b">
        <f>F25='[1]Necesidades Trimestrales'!E25</f>
        <v>1</v>
      </c>
      <c r="O25" s="72" t="b">
        <f>G25='[1]Necesidades Trimestrales'!F25</f>
        <v>1</v>
      </c>
      <c r="P25" s="72" t="b">
        <f>B26='[2]Necesidades Trimestrales'!B25</f>
        <v>1</v>
      </c>
      <c r="Q25" s="72" t="b">
        <f>F25='[2]Necesidades Trimestrales'!E25</f>
        <v>1</v>
      </c>
      <c r="R25" s="72" t="b">
        <f>G25='[2]Necesidades Trimestrales'!F25</f>
        <v>1</v>
      </c>
      <c r="S25" s="187">
        <f>+I25-'[2]Necesidades Trimestrales'!H25</f>
        <v>0</v>
      </c>
    </row>
    <row r="26" spans="1:19" ht="58.5" customHeight="1" x14ac:dyDescent="0.2">
      <c r="A26" s="188">
        <v>17</v>
      </c>
      <c r="B26" s="205" t="s">
        <v>401</v>
      </c>
      <c r="C26" s="190" t="s">
        <v>200</v>
      </c>
      <c r="D26" s="191">
        <v>252</v>
      </c>
      <c r="E26" s="199" t="s">
        <v>34</v>
      </c>
      <c r="F26" s="198" t="s">
        <v>310</v>
      </c>
      <c r="G26" s="188" t="s">
        <v>20</v>
      </c>
      <c r="H26" s="194"/>
      <c r="I26" s="195">
        <v>795</v>
      </c>
      <c r="J26" s="196">
        <f t="shared" si="0"/>
        <v>0</v>
      </c>
      <c r="K26" s="69" t="s">
        <v>310</v>
      </c>
      <c r="L26" s="70" t="b">
        <f>K26=F26</f>
        <v>1</v>
      </c>
      <c r="M26" s="72" t="b">
        <f>B27='[1]Necesidades Trimestrales'!B26</f>
        <v>1</v>
      </c>
      <c r="N26" s="69" t="b">
        <f>F26='[1]Necesidades Trimestrales'!E26</f>
        <v>1</v>
      </c>
      <c r="O26" s="72" t="b">
        <f>G26='[1]Necesidades Trimestrales'!F26</f>
        <v>1</v>
      </c>
      <c r="P26" s="72" t="b">
        <f>B27='[2]Necesidades Trimestrales'!B26</f>
        <v>1</v>
      </c>
      <c r="Q26" s="72" t="b">
        <f>F26='[2]Necesidades Trimestrales'!E26</f>
        <v>1</v>
      </c>
      <c r="R26" s="72" t="b">
        <f>G26='[2]Necesidades Trimestrales'!F26</f>
        <v>1</v>
      </c>
      <c r="S26" s="187">
        <f>+I26-'[2]Necesidades Trimestrales'!H26</f>
        <v>0</v>
      </c>
    </row>
    <row r="27" spans="1:19" ht="58.5" customHeight="1" x14ac:dyDescent="0.2">
      <c r="A27" s="188">
        <v>18</v>
      </c>
      <c r="B27" s="197" t="s">
        <v>213</v>
      </c>
      <c r="C27" s="190" t="s">
        <v>200</v>
      </c>
      <c r="D27" s="191">
        <v>252</v>
      </c>
      <c r="E27" s="201" t="s">
        <v>35</v>
      </c>
      <c r="F27" s="198" t="s">
        <v>312</v>
      </c>
      <c r="G27" s="188" t="s">
        <v>22</v>
      </c>
      <c r="H27" s="194"/>
      <c r="I27" s="195">
        <v>310</v>
      </c>
      <c r="J27" s="196">
        <f t="shared" si="0"/>
        <v>0</v>
      </c>
      <c r="K27" s="69" t="s">
        <v>393</v>
      </c>
      <c r="L27" s="70" t="b">
        <f>K27=F27</f>
        <v>1</v>
      </c>
      <c r="M27" s="72" t="b">
        <f>B28='[1]Necesidades Trimestrales'!B27</f>
        <v>1</v>
      </c>
      <c r="N27" s="69" t="b">
        <f>F27='[1]Necesidades Trimestrales'!E27</f>
        <v>1</v>
      </c>
      <c r="O27" s="72" t="b">
        <f>G27='[1]Necesidades Trimestrales'!F27</f>
        <v>1</v>
      </c>
      <c r="P27" s="72" t="b">
        <f>B28='[2]Necesidades Trimestrales'!B27</f>
        <v>1</v>
      </c>
      <c r="Q27" s="72" t="b">
        <f>F27='[2]Necesidades Trimestrales'!E27</f>
        <v>1</v>
      </c>
      <c r="R27" s="72" t="b">
        <f>G27='[2]Necesidades Trimestrales'!F27</f>
        <v>1</v>
      </c>
      <c r="S27" s="187">
        <f>+I27-'[2]Necesidades Trimestrales'!H27</f>
        <v>0</v>
      </c>
    </row>
    <row r="28" spans="1:19" ht="58.5" customHeight="1" x14ac:dyDescent="0.2">
      <c r="A28" s="188">
        <v>19</v>
      </c>
      <c r="B28" s="197" t="s">
        <v>215</v>
      </c>
      <c r="C28" s="190"/>
      <c r="D28" s="191">
        <v>252</v>
      </c>
      <c r="E28" s="206" t="s">
        <v>325</v>
      </c>
      <c r="F28" s="198" t="s">
        <v>446</v>
      </c>
      <c r="G28" s="207" t="s">
        <v>20</v>
      </c>
      <c r="H28" s="194"/>
      <c r="I28" s="195">
        <v>259</v>
      </c>
      <c r="J28" s="196">
        <f t="shared" si="0"/>
        <v>0</v>
      </c>
      <c r="K28" s="69" t="s">
        <v>446</v>
      </c>
      <c r="L28" s="70" t="b">
        <f>K28=F28</f>
        <v>1</v>
      </c>
      <c r="M28" s="72" t="b">
        <f>B29='[1]Necesidades Trimestrales'!B28</f>
        <v>1</v>
      </c>
      <c r="N28" s="69" t="b">
        <f>F28='[1]Necesidades Trimestrales'!E28</f>
        <v>1</v>
      </c>
      <c r="O28" s="72" t="b">
        <f>G28='[1]Necesidades Trimestrales'!F28</f>
        <v>1</v>
      </c>
      <c r="P28" s="72" t="b">
        <f>B29='[2]Necesidades Trimestrales'!B28</f>
        <v>1</v>
      </c>
      <c r="Q28" s="72" t="b">
        <f>F28='[2]Necesidades Trimestrales'!E28</f>
        <v>1</v>
      </c>
      <c r="R28" s="72" t="b">
        <f>G28='[2]Necesidades Trimestrales'!F28</f>
        <v>1</v>
      </c>
      <c r="S28" s="187">
        <f>+I28-'[2]Necesidades Trimestrales'!H28</f>
        <v>0</v>
      </c>
    </row>
    <row r="29" spans="1:19" ht="58.5" customHeight="1" x14ac:dyDescent="0.2">
      <c r="A29" s="188">
        <v>20</v>
      </c>
      <c r="B29" s="197" t="s">
        <v>402</v>
      </c>
      <c r="C29" s="190" t="s">
        <v>200</v>
      </c>
      <c r="D29" s="191">
        <v>252</v>
      </c>
      <c r="E29" s="201" t="s">
        <v>36</v>
      </c>
      <c r="F29" s="198" t="s">
        <v>311</v>
      </c>
      <c r="G29" s="188" t="s">
        <v>17</v>
      </c>
      <c r="H29" s="194"/>
      <c r="I29" s="195">
        <v>36</v>
      </c>
      <c r="J29" s="196">
        <f t="shared" si="0"/>
        <v>0</v>
      </c>
      <c r="K29" s="69" t="s">
        <v>311</v>
      </c>
      <c r="L29" s="70" t="b">
        <f>K29=F29</f>
        <v>1</v>
      </c>
      <c r="M29" s="72" t="b">
        <f>B30='[1]Necesidades Trimestrales'!B29</f>
        <v>1</v>
      </c>
      <c r="N29" s="69" t="b">
        <f>F29='[1]Necesidades Trimestrales'!E29</f>
        <v>1</v>
      </c>
      <c r="O29" s="72" t="b">
        <f>G29='[1]Necesidades Trimestrales'!F29</f>
        <v>1</v>
      </c>
      <c r="P29" s="72" t="b">
        <f>B30='[2]Necesidades Trimestrales'!B29</f>
        <v>1</v>
      </c>
      <c r="Q29" s="72" t="b">
        <f>F29='[2]Necesidades Trimestrales'!E29</f>
        <v>1</v>
      </c>
      <c r="R29" s="72" t="b">
        <f>G29='[2]Necesidades Trimestrales'!F29</f>
        <v>1</v>
      </c>
      <c r="S29" s="187">
        <f>+I29-'[2]Necesidades Trimestrales'!H29</f>
        <v>0</v>
      </c>
    </row>
    <row r="30" spans="1:19" ht="58.5" customHeight="1" x14ac:dyDescent="0.2">
      <c r="A30" s="188">
        <v>21</v>
      </c>
      <c r="B30" s="197" t="s">
        <v>214</v>
      </c>
      <c r="C30" s="190" t="s">
        <v>200</v>
      </c>
      <c r="D30" s="191">
        <v>252</v>
      </c>
      <c r="E30" s="202" t="s">
        <v>37</v>
      </c>
      <c r="F30" s="192" t="s">
        <v>313</v>
      </c>
      <c r="G30" s="188" t="s">
        <v>17</v>
      </c>
      <c r="H30" s="194"/>
      <c r="I30" s="195">
        <v>15</v>
      </c>
      <c r="J30" s="196">
        <f t="shared" si="0"/>
        <v>0</v>
      </c>
      <c r="K30" s="69" t="s">
        <v>313</v>
      </c>
      <c r="L30" s="70" t="b">
        <f>K30=F30</f>
        <v>1</v>
      </c>
      <c r="M30" s="72" t="b">
        <f>B31='[1]Necesidades Trimestrales'!B30</f>
        <v>1</v>
      </c>
      <c r="N30" s="69" t="b">
        <f>F30='[1]Necesidades Trimestrales'!E30</f>
        <v>1</v>
      </c>
      <c r="O30" s="72" t="b">
        <f>G30='[1]Necesidades Trimestrales'!F30</f>
        <v>1</v>
      </c>
      <c r="P30" s="72" t="b">
        <f>B31='[2]Necesidades Trimestrales'!B30</f>
        <v>1</v>
      </c>
      <c r="Q30" s="72" t="b">
        <f>F30='[2]Necesidades Trimestrales'!E30</f>
        <v>1</v>
      </c>
      <c r="R30" s="72" t="b">
        <f>G30='[2]Necesidades Trimestrales'!F30</f>
        <v>1</v>
      </c>
      <c r="S30" s="187">
        <f>+I30-'[2]Necesidades Trimestrales'!H30</f>
        <v>0</v>
      </c>
    </row>
    <row r="31" spans="1:19" ht="58.5" customHeight="1" x14ac:dyDescent="0.2">
      <c r="A31" s="188">
        <v>22</v>
      </c>
      <c r="B31" s="189" t="s">
        <v>216</v>
      </c>
      <c r="C31" s="188"/>
      <c r="D31" s="191">
        <v>252</v>
      </c>
      <c r="E31" s="201" t="s">
        <v>38</v>
      </c>
      <c r="F31" s="192" t="s">
        <v>447</v>
      </c>
      <c r="G31" s="188" t="s">
        <v>22</v>
      </c>
      <c r="H31" s="194"/>
      <c r="I31" s="195">
        <v>1680</v>
      </c>
      <c r="J31" s="196">
        <f t="shared" si="0"/>
        <v>0</v>
      </c>
      <c r="K31" s="69" t="s">
        <v>447</v>
      </c>
      <c r="L31" s="70" t="b">
        <f>K31=F31</f>
        <v>1</v>
      </c>
      <c r="M31" s="72" t="b">
        <f>B32='[1]Necesidades Trimestrales'!B31</f>
        <v>1</v>
      </c>
      <c r="N31" s="69" t="b">
        <f>F31='[1]Necesidades Trimestrales'!E31</f>
        <v>1</v>
      </c>
      <c r="O31" s="72" t="b">
        <f>G31='[1]Necesidades Trimestrales'!F31</f>
        <v>1</v>
      </c>
      <c r="P31" s="72" t="b">
        <f>B32='[2]Necesidades Trimestrales'!B31</f>
        <v>1</v>
      </c>
      <c r="Q31" s="72" t="b">
        <f>F31='[2]Necesidades Trimestrales'!E31</f>
        <v>1</v>
      </c>
      <c r="R31" s="72" t="b">
        <f>G31='[2]Necesidades Trimestrales'!F31</f>
        <v>1</v>
      </c>
      <c r="S31" s="187">
        <f>+I31-'[2]Necesidades Trimestrales'!H31</f>
        <v>0</v>
      </c>
    </row>
    <row r="32" spans="1:19" ht="58.5" customHeight="1" x14ac:dyDescent="0.2">
      <c r="A32" s="188">
        <v>23</v>
      </c>
      <c r="B32" s="188" t="s">
        <v>403</v>
      </c>
      <c r="C32" s="188"/>
      <c r="D32" s="191">
        <v>252</v>
      </c>
      <c r="E32" s="203" t="s">
        <v>39</v>
      </c>
      <c r="F32" s="192" t="s">
        <v>448</v>
      </c>
      <c r="G32" s="188" t="s">
        <v>22</v>
      </c>
      <c r="H32" s="194"/>
      <c r="I32" s="195">
        <v>2810</v>
      </c>
      <c r="J32" s="196">
        <f t="shared" si="0"/>
        <v>0</v>
      </c>
      <c r="K32" s="69" t="s">
        <v>448</v>
      </c>
      <c r="L32" s="70" t="b">
        <f>K32=F32</f>
        <v>1</v>
      </c>
      <c r="M32" s="72" t="b">
        <f>B33='[1]Necesidades Trimestrales'!B32</f>
        <v>1</v>
      </c>
      <c r="N32" s="69" t="b">
        <f>F32='[1]Necesidades Trimestrales'!E32</f>
        <v>1</v>
      </c>
      <c r="O32" s="72" t="b">
        <f>G32='[1]Necesidades Trimestrales'!F32</f>
        <v>1</v>
      </c>
      <c r="P32" s="72" t="b">
        <f>B33='[2]Necesidades Trimestrales'!B32</f>
        <v>1</v>
      </c>
      <c r="Q32" s="72" t="b">
        <f>F32='[2]Necesidades Trimestrales'!E32</f>
        <v>1</v>
      </c>
      <c r="R32" s="72" t="b">
        <f>G32='[2]Necesidades Trimestrales'!F32</f>
        <v>1</v>
      </c>
      <c r="S32" s="187">
        <f>+I32-'[2]Necesidades Trimestrales'!H32</f>
        <v>0</v>
      </c>
    </row>
    <row r="33" spans="1:19" ht="58.5" customHeight="1" x14ac:dyDescent="0.2">
      <c r="A33" s="188">
        <v>24</v>
      </c>
      <c r="B33" s="188" t="s">
        <v>404</v>
      </c>
      <c r="C33" s="188"/>
      <c r="D33" s="191">
        <v>252</v>
      </c>
      <c r="E33" s="203" t="s">
        <v>40</v>
      </c>
      <c r="F33" s="192" t="s">
        <v>449</v>
      </c>
      <c r="G33" s="188" t="s">
        <v>22</v>
      </c>
      <c r="H33" s="194"/>
      <c r="I33" s="195">
        <v>2350</v>
      </c>
      <c r="J33" s="196">
        <f t="shared" si="0"/>
        <v>0</v>
      </c>
      <c r="K33" s="69" t="s">
        <v>449</v>
      </c>
      <c r="L33" s="70" t="b">
        <f>K33=F33</f>
        <v>1</v>
      </c>
      <c r="M33" s="72" t="b">
        <f>B34='[1]Necesidades Trimestrales'!B33</f>
        <v>1</v>
      </c>
      <c r="N33" s="69" t="b">
        <f>F33='[1]Necesidades Trimestrales'!E33</f>
        <v>1</v>
      </c>
      <c r="O33" s="72" t="b">
        <f>G33='[1]Necesidades Trimestrales'!F33</f>
        <v>1</v>
      </c>
      <c r="P33" s="72" t="b">
        <f>B34='[2]Necesidades Trimestrales'!B33</f>
        <v>1</v>
      </c>
      <c r="Q33" s="72" t="b">
        <f>F33='[2]Necesidades Trimestrales'!E33</f>
        <v>1</v>
      </c>
      <c r="R33" s="72" t="b">
        <f>G33='[2]Necesidades Trimestrales'!F33</f>
        <v>1</v>
      </c>
      <c r="S33" s="187">
        <f>+I33-'[2]Necesidades Trimestrales'!H33</f>
        <v>0</v>
      </c>
    </row>
    <row r="34" spans="1:19" ht="58.5" customHeight="1" x14ac:dyDescent="0.2">
      <c r="A34" s="188">
        <v>25</v>
      </c>
      <c r="B34" s="205" t="s">
        <v>405</v>
      </c>
      <c r="C34" s="190" t="s">
        <v>200</v>
      </c>
      <c r="D34" s="191">
        <v>252</v>
      </c>
      <c r="E34" s="208" t="s">
        <v>41</v>
      </c>
      <c r="F34" s="192" t="s">
        <v>314</v>
      </c>
      <c r="G34" s="188" t="s">
        <v>22</v>
      </c>
      <c r="H34" s="194"/>
      <c r="I34" s="195">
        <v>3100</v>
      </c>
      <c r="J34" s="196">
        <f t="shared" si="0"/>
        <v>0</v>
      </c>
      <c r="K34" s="69" t="s">
        <v>314</v>
      </c>
      <c r="L34" s="70" t="b">
        <f>K34=F34</f>
        <v>1</v>
      </c>
      <c r="M34" s="72" t="b">
        <f>B35='[1]Necesidades Trimestrales'!B34</f>
        <v>1</v>
      </c>
      <c r="N34" s="69" t="b">
        <f>F34='[1]Necesidades Trimestrales'!E34</f>
        <v>1</v>
      </c>
      <c r="O34" s="72" t="b">
        <f>G34='[1]Necesidades Trimestrales'!F34</f>
        <v>1</v>
      </c>
      <c r="P34" s="72" t="b">
        <f>B35='[2]Necesidades Trimestrales'!B34</f>
        <v>1</v>
      </c>
      <c r="Q34" s="72" t="b">
        <f>F34='[2]Necesidades Trimestrales'!E34</f>
        <v>1</v>
      </c>
      <c r="R34" s="72" t="b">
        <f>G34='[2]Necesidades Trimestrales'!F34</f>
        <v>1</v>
      </c>
      <c r="S34" s="187">
        <f>+I34-'[2]Necesidades Trimestrales'!H34</f>
        <v>0</v>
      </c>
    </row>
    <row r="35" spans="1:19" ht="58.5" customHeight="1" x14ac:dyDescent="0.2">
      <c r="A35" s="188">
        <v>26</v>
      </c>
      <c r="B35" s="189" t="s">
        <v>217</v>
      </c>
      <c r="C35" s="190" t="s">
        <v>200</v>
      </c>
      <c r="D35" s="191">
        <v>252</v>
      </c>
      <c r="E35" s="199" t="s">
        <v>42</v>
      </c>
      <c r="F35" s="198" t="s">
        <v>315</v>
      </c>
      <c r="G35" s="188" t="s">
        <v>22</v>
      </c>
      <c r="H35" s="194"/>
      <c r="I35" s="195">
        <v>490</v>
      </c>
      <c r="J35" s="196">
        <f t="shared" si="0"/>
        <v>0</v>
      </c>
      <c r="K35" s="69" t="s">
        <v>315</v>
      </c>
      <c r="L35" s="70" t="b">
        <f>K35=F35</f>
        <v>1</v>
      </c>
      <c r="M35" s="72" t="b">
        <f>B36='[1]Necesidades Trimestrales'!B35</f>
        <v>1</v>
      </c>
      <c r="N35" s="69" t="b">
        <f>F35='[1]Necesidades Trimestrales'!E35</f>
        <v>1</v>
      </c>
      <c r="O35" s="72" t="b">
        <f>G35='[1]Necesidades Trimestrales'!F35</f>
        <v>1</v>
      </c>
      <c r="P35" s="72" t="b">
        <f>B36='[2]Necesidades Trimestrales'!B35</f>
        <v>1</v>
      </c>
      <c r="Q35" s="72" t="b">
        <f>F35='[2]Necesidades Trimestrales'!E35</f>
        <v>1</v>
      </c>
      <c r="R35" s="72" t="b">
        <f>G35='[2]Necesidades Trimestrales'!F35</f>
        <v>1</v>
      </c>
      <c r="S35" s="187">
        <f>+I35-'[2]Necesidades Trimestrales'!H35</f>
        <v>0</v>
      </c>
    </row>
    <row r="36" spans="1:19" ht="58.5" customHeight="1" x14ac:dyDescent="0.2">
      <c r="A36" s="188">
        <v>27</v>
      </c>
      <c r="B36" s="197" t="s">
        <v>218</v>
      </c>
      <c r="C36" s="188"/>
      <c r="D36" s="189">
        <v>252</v>
      </c>
      <c r="E36" s="201" t="s">
        <v>43</v>
      </c>
      <c r="F36" s="192" t="s">
        <v>450</v>
      </c>
      <c r="G36" s="188" t="s">
        <v>20</v>
      </c>
      <c r="H36" s="194"/>
      <c r="I36" s="195">
        <v>1420</v>
      </c>
      <c r="J36" s="209">
        <f t="shared" si="0"/>
        <v>0</v>
      </c>
      <c r="K36" s="69" t="s">
        <v>450</v>
      </c>
      <c r="L36" s="70" t="b">
        <f>K36=F36</f>
        <v>1</v>
      </c>
      <c r="M36" s="72" t="b">
        <f>B37='[1]Necesidades Trimestrales'!B36</f>
        <v>1</v>
      </c>
      <c r="N36" s="69" t="b">
        <f>F36='[1]Necesidades Trimestrales'!E36</f>
        <v>1</v>
      </c>
      <c r="O36" s="72" t="b">
        <f>G36='[1]Necesidades Trimestrales'!F36</f>
        <v>1</v>
      </c>
      <c r="P36" s="72" t="b">
        <f>B37='[2]Necesidades Trimestrales'!B36</f>
        <v>1</v>
      </c>
      <c r="Q36" s="72" t="b">
        <f>F36='[2]Necesidades Trimestrales'!E36</f>
        <v>1</v>
      </c>
      <c r="R36" s="72" t="b">
        <f>G36='[2]Necesidades Trimestrales'!F36</f>
        <v>1</v>
      </c>
      <c r="S36" s="187">
        <f>+I36-'[2]Necesidades Trimestrales'!H36</f>
        <v>0</v>
      </c>
    </row>
    <row r="37" spans="1:19" ht="58.5" customHeight="1" x14ac:dyDescent="0.2">
      <c r="A37" s="188">
        <v>28</v>
      </c>
      <c r="B37" s="188" t="s">
        <v>406</v>
      </c>
      <c r="C37" s="190" t="s">
        <v>200</v>
      </c>
      <c r="D37" s="191">
        <v>252</v>
      </c>
      <c r="E37" s="201" t="s">
        <v>44</v>
      </c>
      <c r="F37" s="198" t="s">
        <v>316</v>
      </c>
      <c r="G37" s="188" t="s">
        <v>17</v>
      </c>
      <c r="H37" s="194"/>
      <c r="I37" s="195">
        <v>13.9</v>
      </c>
      <c r="J37" s="196">
        <f t="shared" si="0"/>
        <v>0</v>
      </c>
      <c r="K37" s="69" t="s">
        <v>316</v>
      </c>
      <c r="L37" s="70" t="b">
        <f>K37=F37</f>
        <v>1</v>
      </c>
      <c r="M37" s="72" t="b">
        <f>B38='[1]Necesidades Trimestrales'!B37</f>
        <v>1</v>
      </c>
      <c r="N37" s="69" t="b">
        <f>F37='[1]Necesidades Trimestrales'!E37</f>
        <v>1</v>
      </c>
      <c r="O37" s="72" t="b">
        <f>G37='[1]Necesidades Trimestrales'!F37</f>
        <v>1</v>
      </c>
      <c r="P37" s="72" t="b">
        <f>B38='[2]Necesidades Trimestrales'!B37</f>
        <v>1</v>
      </c>
      <c r="Q37" s="72" t="b">
        <f>F37='[2]Necesidades Trimestrales'!E37</f>
        <v>1</v>
      </c>
      <c r="R37" s="72" t="b">
        <f>G37='[2]Necesidades Trimestrales'!F37</f>
        <v>1</v>
      </c>
      <c r="S37" s="187">
        <f>+I37-'[2]Necesidades Trimestrales'!H37</f>
        <v>0</v>
      </c>
    </row>
    <row r="38" spans="1:19" ht="58.5" customHeight="1" x14ac:dyDescent="0.2">
      <c r="A38" s="188">
        <v>29</v>
      </c>
      <c r="B38" s="197" t="s">
        <v>219</v>
      </c>
      <c r="C38" s="190" t="s">
        <v>200</v>
      </c>
      <c r="D38" s="191">
        <v>252</v>
      </c>
      <c r="E38" s="201" t="s">
        <v>45</v>
      </c>
      <c r="F38" s="198" t="s">
        <v>317</v>
      </c>
      <c r="G38" s="188" t="s">
        <v>22</v>
      </c>
      <c r="H38" s="194"/>
      <c r="I38" s="195">
        <v>350</v>
      </c>
      <c r="J38" s="196">
        <f t="shared" si="0"/>
        <v>0</v>
      </c>
      <c r="K38" s="69" t="s">
        <v>317</v>
      </c>
      <c r="L38" s="70" t="b">
        <f>K38=F38</f>
        <v>1</v>
      </c>
      <c r="M38" s="72" t="b">
        <f>B39='[1]Necesidades Trimestrales'!B38</f>
        <v>1</v>
      </c>
      <c r="N38" s="69" t="b">
        <f>F38='[1]Necesidades Trimestrales'!E38</f>
        <v>1</v>
      </c>
      <c r="O38" s="72" t="b">
        <f>G38='[1]Necesidades Trimestrales'!F38</f>
        <v>1</v>
      </c>
      <c r="P38" s="72" t="b">
        <f>B39='[2]Necesidades Trimestrales'!B38</f>
        <v>1</v>
      </c>
      <c r="Q38" s="72" t="b">
        <f>F38='[2]Necesidades Trimestrales'!E38</f>
        <v>1</v>
      </c>
      <c r="R38" s="72" t="b">
        <f>G38='[2]Necesidades Trimestrales'!F38</f>
        <v>1</v>
      </c>
      <c r="S38" s="187">
        <f>+I38-'[2]Necesidades Trimestrales'!H38</f>
        <v>0</v>
      </c>
    </row>
    <row r="39" spans="1:19" ht="38.25" x14ac:dyDescent="0.2">
      <c r="A39" s="188">
        <v>30</v>
      </c>
      <c r="B39" s="197" t="s">
        <v>220</v>
      </c>
      <c r="C39" s="190" t="s">
        <v>200</v>
      </c>
      <c r="D39" s="191">
        <v>252</v>
      </c>
      <c r="E39" s="202" t="s">
        <v>46</v>
      </c>
      <c r="F39" s="198" t="s">
        <v>318</v>
      </c>
      <c r="G39" s="188" t="s">
        <v>20</v>
      </c>
      <c r="H39" s="194"/>
      <c r="I39" s="195">
        <v>145</v>
      </c>
      <c r="J39" s="196">
        <f t="shared" si="0"/>
        <v>0</v>
      </c>
      <c r="K39" s="69" t="s">
        <v>318</v>
      </c>
      <c r="L39" s="70" t="b">
        <f>K39=F39</f>
        <v>1</v>
      </c>
      <c r="M39" s="72" t="b">
        <f>B40='[1]Necesidades Trimestrales'!B39</f>
        <v>1</v>
      </c>
      <c r="N39" s="69" t="b">
        <f>F39='[1]Necesidades Trimestrales'!E39</f>
        <v>1</v>
      </c>
      <c r="O39" s="72" t="b">
        <f>G39='[1]Necesidades Trimestrales'!F39</f>
        <v>1</v>
      </c>
      <c r="P39" s="72" t="b">
        <f>B40='[2]Necesidades Trimestrales'!B39</f>
        <v>1</v>
      </c>
      <c r="Q39" s="72" t="b">
        <f>F39='[2]Necesidades Trimestrales'!E39</f>
        <v>1</v>
      </c>
      <c r="R39" s="72" t="b">
        <f>G39='[2]Necesidades Trimestrales'!F39</f>
        <v>1</v>
      </c>
      <c r="S39" s="187">
        <f>+I39-'[2]Necesidades Trimestrales'!H39</f>
        <v>0</v>
      </c>
    </row>
    <row r="40" spans="1:19" ht="58.5" customHeight="1" x14ac:dyDescent="0.2">
      <c r="A40" s="188">
        <v>31</v>
      </c>
      <c r="B40" s="197" t="s">
        <v>221</v>
      </c>
      <c r="C40" s="190" t="s">
        <v>200</v>
      </c>
      <c r="D40" s="191">
        <v>252</v>
      </c>
      <c r="E40" s="210" t="s">
        <v>47</v>
      </c>
      <c r="F40" s="198" t="s">
        <v>319</v>
      </c>
      <c r="G40" s="188" t="s">
        <v>20</v>
      </c>
      <c r="H40" s="194"/>
      <c r="I40" s="195">
        <v>148</v>
      </c>
      <c r="J40" s="196">
        <f t="shared" si="0"/>
        <v>0</v>
      </c>
      <c r="K40" s="69" t="s">
        <v>319</v>
      </c>
      <c r="L40" s="70" t="b">
        <f>K40=F40</f>
        <v>1</v>
      </c>
      <c r="M40" s="72" t="b">
        <f>B41='[1]Necesidades Trimestrales'!B40</f>
        <v>1</v>
      </c>
      <c r="N40" s="69" t="b">
        <f>F40='[1]Necesidades Trimestrales'!E40</f>
        <v>1</v>
      </c>
      <c r="O40" s="72" t="b">
        <f>G40='[1]Necesidades Trimestrales'!F40</f>
        <v>1</v>
      </c>
      <c r="P40" s="72" t="b">
        <f>B41='[2]Necesidades Trimestrales'!B40</f>
        <v>1</v>
      </c>
      <c r="Q40" s="72" t="b">
        <f>F40='[2]Necesidades Trimestrales'!E40</f>
        <v>1</v>
      </c>
      <c r="R40" s="72" t="b">
        <f>G40='[2]Necesidades Trimestrales'!F40</f>
        <v>1</v>
      </c>
      <c r="S40" s="187">
        <f>+I40-'[2]Necesidades Trimestrales'!H40</f>
        <v>0</v>
      </c>
    </row>
    <row r="41" spans="1:19" ht="58.5" customHeight="1" x14ac:dyDescent="0.2">
      <c r="A41" s="188">
        <v>32</v>
      </c>
      <c r="B41" s="197" t="s">
        <v>222</v>
      </c>
      <c r="C41" s="190" t="s">
        <v>200</v>
      </c>
      <c r="D41" s="191">
        <v>252</v>
      </c>
      <c r="E41" s="201" t="s">
        <v>48</v>
      </c>
      <c r="F41" s="198" t="s">
        <v>320</v>
      </c>
      <c r="G41" s="188" t="s">
        <v>20</v>
      </c>
      <c r="H41" s="194"/>
      <c r="I41" s="195">
        <v>144</v>
      </c>
      <c r="J41" s="196">
        <f t="shared" si="0"/>
        <v>0</v>
      </c>
      <c r="K41" s="69" t="s">
        <v>320</v>
      </c>
      <c r="L41" s="70" t="b">
        <f>K41=F41</f>
        <v>1</v>
      </c>
      <c r="M41" s="72" t="b">
        <f>B42='[1]Necesidades Trimestrales'!B41</f>
        <v>1</v>
      </c>
      <c r="N41" s="69" t="b">
        <f>F41='[1]Necesidades Trimestrales'!E41</f>
        <v>1</v>
      </c>
      <c r="O41" s="72" t="b">
        <f>G41='[1]Necesidades Trimestrales'!F41</f>
        <v>1</v>
      </c>
      <c r="P41" s="72" t="b">
        <f>B42='[2]Necesidades Trimestrales'!B41</f>
        <v>1</v>
      </c>
      <c r="Q41" s="72" t="b">
        <f>F41='[2]Necesidades Trimestrales'!E41</f>
        <v>1</v>
      </c>
      <c r="R41" s="72" t="b">
        <f>G41='[2]Necesidades Trimestrales'!F41</f>
        <v>1</v>
      </c>
      <c r="S41" s="187">
        <f>+I41-'[2]Necesidades Trimestrales'!H41</f>
        <v>0</v>
      </c>
    </row>
    <row r="42" spans="1:19" ht="58.5" customHeight="1" x14ac:dyDescent="0.2">
      <c r="A42" s="188">
        <v>33</v>
      </c>
      <c r="B42" s="197" t="s">
        <v>223</v>
      </c>
      <c r="C42" s="190" t="s">
        <v>200</v>
      </c>
      <c r="D42" s="191">
        <v>252</v>
      </c>
      <c r="E42" s="201" t="s">
        <v>49</v>
      </c>
      <c r="F42" s="198" t="s">
        <v>321</v>
      </c>
      <c r="G42" s="188" t="s">
        <v>20</v>
      </c>
      <c r="H42" s="194"/>
      <c r="I42" s="195">
        <v>130</v>
      </c>
      <c r="J42" s="196">
        <f t="shared" si="0"/>
        <v>0</v>
      </c>
      <c r="K42" s="69" t="s">
        <v>321</v>
      </c>
      <c r="L42" s="70" t="b">
        <f>K42=F42</f>
        <v>1</v>
      </c>
      <c r="M42" s="72" t="b">
        <f>B43='[1]Necesidades Trimestrales'!B42</f>
        <v>1</v>
      </c>
      <c r="N42" s="69" t="b">
        <f>F42='[1]Necesidades Trimestrales'!E42</f>
        <v>1</v>
      </c>
      <c r="O42" s="72" t="b">
        <f>G42='[1]Necesidades Trimestrales'!F42</f>
        <v>1</v>
      </c>
      <c r="P42" s="72" t="b">
        <f>B43='[2]Necesidades Trimestrales'!B42</f>
        <v>1</v>
      </c>
      <c r="Q42" s="72" t="b">
        <f>F42='[2]Necesidades Trimestrales'!E42</f>
        <v>1</v>
      </c>
      <c r="R42" s="72" t="b">
        <f>G42='[2]Necesidades Trimestrales'!F42</f>
        <v>1</v>
      </c>
      <c r="S42" s="187">
        <f>+I42-'[2]Necesidades Trimestrales'!H42</f>
        <v>0</v>
      </c>
    </row>
    <row r="43" spans="1:19" ht="58.5" customHeight="1" x14ac:dyDescent="0.2">
      <c r="A43" s="188">
        <v>34</v>
      </c>
      <c r="B43" s="197" t="s">
        <v>224</v>
      </c>
      <c r="C43" s="190" t="s">
        <v>200</v>
      </c>
      <c r="D43" s="191">
        <v>252</v>
      </c>
      <c r="E43" s="210" t="s">
        <v>50</v>
      </c>
      <c r="F43" s="198" t="s">
        <v>322</v>
      </c>
      <c r="G43" s="188" t="s">
        <v>20</v>
      </c>
      <c r="H43" s="194"/>
      <c r="I43" s="195">
        <v>351</v>
      </c>
      <c r="J43" s="196">
        <f t="shared" si="0"/>
        <v>0</v>
      </c>
      <c r="K43" s="69" t="s">
        <v>322</v>
      </c>
      <c r="L43" s="70" t="b">
        <f>K43=F43</f>
        <v>1</v>
      </c>
      <c r="M43" s="72" t="b">
        <f>B44='[1]Necesidades Trimestrales'!B43</f>
        <v>1</v>
      </c>
      <c r="N43" s="69" t="b">
        <f>F43='[1]Necesidades Trimestrales'!E43</f>
        <v>1</v>
      </c>
      <c r="O43" s="72" t="b">
        <f>G43='[1]Necesidades Trimestrales'!F43</f>
        <v>1</v>
      </c>
      <c r="P43" s="72" t="b">
        <f>B44='[2]Necesidades Trimestrales'!B43</f>
        <v>1</v>
      </c>
      <c r="Q43" s="72" t="b">
        <f>F43='[2]Necesidades Trimestrales'!E43</f>
        <v>1</v>
      </c>
      <c r="R43" s="72" t="b">
        <f>G43='[2]Necesidades Trimestrales'!F43</f>
        <v>1</v>
      </c>
      <c r="S43" s="187">
        <f>+I43-'[2]Necesidades Trimestrales'!H43</f>
        <v>0</v>
      </c>
    </row>
    <row r="44" spans="1:19" ht="58.5" customHeight="1" x14ac:dyDescent="0.2">
      <c r="A44" s="188">
        <v>35</v>
      </c>
      <c r="B44" s="197" t="s">
        <v>225</v>
      </c>
      <c r="C44" s="190" t="s">
        <v>200</v>
      </c>
      <c r="D44" s="191">
        <v>252</v>
      </c>
      <c r="E44" s="204" t="s">
        <v>474</v>
      </c>
      <c r="F44" s="198" t="s">
        <v>323</v>
      </c>
      <c r="G44" s="211" t="s">
        <v>489</v>
      </c>
      <c r="H44" s="194"/>
      <c r="I44" s="195">
        <v>122</v>
      </c>
      <c r="J44" s="196">
        <f t="shared" si="0"/>
        <v>0</v>
      </c>
      <c r="K44" s="69" t="s">
        <v>323</v>
      </c>
      <c r="L44" s="70" t="b">
        <f>K44=F44</f>
        <v>1</v>
      </c>
      <c r="M44" s="72" t="b">
        <f>B45='[1]Necesidades Trimestrales'!B44</f>
        <v>1</v>
      </c>
      <c r="N44" s="69" t="b">
        <f>F44='[1]Necesidades Trimestrales'!E44</f>
        <v>1</v>
      </c>
      <c r="O44" s="72" t="b">
        <f>G44='[1]Necesidades Trimestrales'!F44</f>
        <v>1</v>
      </c>
      <c r="P44" s="72" t="b">
        <f>B45='[2]Necesidades Trimestrales'!B44</f>
        <v>1</v>
      </c>
      <c r="Q44" s="72" t="b">
        <f>F44='[2]Necesidades Trimestrales'!E44</f>
        <v>1</v>
      </c>
      <c r="R44" s="72" t="b">
        <f>G44='[2]Necesidades Trimestrales'!F44</f>
        <v>1</v>
      </c>
      <c r="S44" s="187">
        <f>+I44-'[2]Necesidades Trimestrales'!H44</f>
        <v>0</v>
      </c>
    </row>
    <row r="45" spans="1:19" ht="58.5" customHeight="1" x14ac:dyDescent="0.2">
      <c r="A45" s="188">
        <v>36</v>
      </c>
      <c r="B45" s="197" t="s">
        <v>226</v>
      </c>
      <c r="C45" s="190" t="s">
        <v>200</v>
      </c>
      <c r="D45" s="191">
        <v>252</v>
      </c>
      <c r="E45" s="201" t="s">
        <v>51</v>
      </c>
      <c r="F45" s="198" t="s">
        <v>324</v>
      </c>
      <c r="G45" s="188" t="s">
        <v>17</v>
      </c>
      <c r="H45" s="194"/>
      <c r="I45" s="195">
        <v>9.8000000000000007</v>
      </c>
      <c r="J45" s="196">
        <f t="shared" si="0"/>
        <v>0</v>
      </c>
      <c r="K45" s="69" t="s">
        <v>324</v>
      </c>
      <c r="L45" s="70" t="b">
        <f>K45=F45</f>
        <v>1</v>
      </c>
      <c r="M45" s="72" t="b">
        <f>B46='[1]Necesidades Trimestrales'!B45</f>
        <v>1</v>
      </c>
      <c r="N45" s="69" t="b">
        <f>F45='[1]Necesidades Trimestrales'!E45</f>
        <v>1</v>
      </c>
      <c r="O45" s="72" t="b">
        <f>G45='[1]Necesidades Trimestrales'!F45</f>
        <v>1</v>
      </c>
      <c r="P45" s="72" t="b">
        <f>B46='[2]Necesidades Trimestrales'!B45</f>
        <v>1</v>
      </c>
      <c r="Q45" s="72" t="b">
        <f>F45='[2]Necesidades Trimestrales'!E45</f>
        <v>1</v>
      </c>
      <c r="R45" s="72" t="b">
        <f>G45='[2]Necesidades Trimestrales'!F45</f>
        <v>1</v>
      </c>
      <c r="S45" s="187">
        <f>+I45-'[2]Necesidades Trimestrales'!H45</f>
        <v>0</v>
      </c>
    </row>
    <row r="46" spans="1:19" ht="58.5" customHeight="1" x14ac:dyDescent="0.2">
      <c r="A46" s="188">
        <v>37</v>
      </c>
      <c r="B46" s="197" t="s">
        <v>227</v>
      </c>
      <c r="C46" s="190" t="s">
        <v>200</v>
      </c>
      <c r="D46" s="191">
        <v>252</v>
      </c>
      <c r="E46" s="201" t="s">
        <v>52</v>
      </c>
      <c r="F46" s="198" t="s">
        <v>326</v>
      </c>
      <c r="G46" s="188" t="s">
        <v>22</v>
      </c>
      <c r="H46" s="194"/>
      <c r="I46" s="212">
        <v>698</v>
      </c>
      <c r="J46" s="196">
        <f t="shared" si="0"/>
        <v>0</v>
      </c>
      <c r="K46" s="69" t="s">
        <v>326</v>
      </c>
      <c r="L46" s="70" t="b">
        <f>K46=F46</f>
        <v>1</v>
      </c>
      <c r="M46" s="72" t="b">
        <f>B47='[1]Necesidades Trimestrales'!B46</f>
        <v>1</v>
      </c>
      <c r="N46" s="69" t="b">
        <f>F46='[1]Necesidades Trimestrales'!E46</f>
        <v>1</v>
      </c>
      <c r="O46" s="72" t="b">
        <f>G46='[1]Necesidades Trimestrales'!F46</f>
        <v>1</v>
      </c>
      <c r="P46" s="72" t="b">
        <f>B47='[2]Necesidades Trimestrales'!B46</f>
        <v>1</v>
      </c>
      <c r="Q46" s="72" t="b">
        <f>F46='[2]Necesidades Trimestrales'!E46</f>
        <v>1</v>
      </c>
      <c r="R46" s="72" t="b">
        <f>G46='[2]Necesidades Trimestrales'!F46</f>
        <v>1</v>
      </c>
      <c r="S46" s="187">
        <f>+I46-'[2]Necesidades Trimestrales'!H46</f>
        <v>0</v>
      </c>
    </row>
    <row r="47" spans="1:19" ht="58.5" customHeight="1" x14ac:dyDescent="0.2">
      <c r="A47" s="188">
        <v>38</v>
      </c>
      <c r="B47" s="197" t="s">
        <v>229</v>
      </c>
      <c r="C47" s="190" t="s">
        <v>200</v>
      </c>
      <c r="D47" s="191">
        <v>252</v>
      </c>
      <c r="E47" s="201" t="s">
        <v>53</v>
      </c>
      <c r="F47" s="198" t="s">
        <v>327</v>
      </c>
      <c r="G47" s="188" t="s">
        <v>17</v>
      </c>
      <c r="H47" s="194"/>
      <c r="I47" s="212">
        <v>35</v>
      </c>
      <c r="J47" s="196">
        <f t="shared" si="0"/>
        <v>0</v>
      </c>
      <c r="K47" s="69" t="s">
        <v>327</v>
      </c>
      <c r="L47" s="70" t="b">
        <f>K47=F47</f>
        <v>1</v>
      </c>
      <c r="M47" s="72" t="b">
        <f>B48='[1]Necesidades Trimestrales'!B47</f>
        <v>1</v>
      </c>
      <c r="N47" s="69" t="b">
        <f>F47='[1]Necesidades Trimestrales'!E47</f>
        <v>1</v>
      </c>
      <c r="O47" s="72" t="b">
        <f>G47='[1]Necesidades Trimestrales'!F47</f>
        <v>1</v>
      </c>
      <c r="P47" s="72" t="b">
        <f>B48='[2]Necesidades Trimestrales'!B47</f>
        <v>1</v>
      </c>
      <c r="Q47" s="72" t="b">
        <f>F47='[2]Necesidades Trimestrales'!E47</f>
        <v>1</v>
      </c>
      <c r="R47" s="72" t="b">
        <f>G47='[2]Necesidades Trimestrales'!F47</f>
        <v>1</v>
      </c>
      <c r="S47" s="187">
        <f>+I47-'[2]Necesidades Trimestrales'!H47</f>
        <v>0</v>
      </c>
    </row>
    <row r="48" spans="1:19" ht="58.5" customHeight="1" x14ac:dyDescent="0.2">
      <c r="A48" s="188">
        <v>39</v>
      </c>
      <c r="B48" s="197" t="s">
        <v>228</v>
      </c>
      <c r="C48" s="190" t="s">
        <v>200</v>
      </c>
      <c r="D48" s="191">
        <v>252</v>
      </c>
      <c r="E48" s="204" t="s">
        <v>54</v>
      </c>
      <c r="F48" s="198" t="s">
        <v>329</v>
      </c>
      <c r="G48" s="188" t="s">
        <v>20</v>
      </c>
      <c r="H48" s="194"/>
      <c r="I48" s="212">
        <v>690</v>
      </c>
      <c r="J48" s="196">
        <f t="shared" si="0"/>
        <v>0</v>
      </c>
      <c r="K48" s="69" t="s">
        <v>329</v>
      </c>
      <c r="L48" s="70" t="b">
        <f>K48=F48</f>
        <v>1</v>
      </c>
      <c r="M48" s="72" t="b">
        <f>B49='[1]Necesidades Trimestrales'!B48</f>
        <v>1</v>
      </c>
      <c r="N48" s="69" t="b">
        <f>F48='[1]Necesidades Trimestrales'!E48</f>
        <v>1</v>
      </c>
      <c r="O48" s="72" t="b">
        <f>G48='[1]Necesidades Trimestrales'!F48</f>
        <v>1</v>
      </c>
      <c r="P48" s="72" t="b">
        <f>B49='[2]Necesidades Trimestrales'!B48</f>
        <v>1</v>
      </c>
      <c r="Q48" s="72" t="b">
        <f>F48='[2]Necesidades Trimestrales'!E48</f>
        <v>1</v>
      </c>
      <c r="R48" s="72" t="b">
        <f>G48='[2]Necesidades Trimestrales'!F48</f>
        <v>1</v>
      </c>
      <c r="S48" s="187">
        <f>+I48-'[2]Necesidades Trimestrales'!H48</f>
        <v>0</v>
      </c>
    </row>
    <row r="49" spans="1:19" ht="58.5" customHeight="1" x14ac:dyDescent="0.2">
      <c r="A49" s="188">
        <v>40</v>
      </c>
      <c r="B49" s="197" t="s">
        <v>230</v>
      </c>
      <c r="C49" s="190"/>
      <c r="D49" s="191">
        <v>252</v>
      </c>
      <c r="E49" s="201" t="s">
        <v>55</v>
      </c>
      <c r="F49" s="192" t="s">
        <v>451</v>
      </c>
      <c r="G49" s="188" t="s">
        <v>56</v>
      </c>
      <c r="H49" s="194"/>
      <c r="I49" s="212">
        <v>29</v>
      </c>
      <c r="J49" s="196">
        <f t="shared" si="0"/>
        <v>0</v>
      </c>
      <c r="K49" s="69" t="s">
        <v>451</v>
      </c>
      <c r="L49" s="70" t="b">
        <f>K49=F49</f>
        <v>1</v>
      </c>
      <c r="M49" s="72" t="b">
        <f>B50='[1]Necesidades Trimestrales'!B49</f>
        <v>1</v>
      </c>
      <c r="N49" s="69" t="b">
        <f>F49='[1]Necesidades Trimestrales'!E49</f>
        <v>1</v>
      </c>
      <c r="O49" s="72" t="b">
        <f>G49='[1]Necesidades Trimestrales'!F49</f>
        <v>1</v>
      </c>
      <c r="P49" s="72" t="b">
        <f>B50='[2]Necesidades Trimestrales'!B49</f>
        <v>1</v>
      </c>
      <c r="Q49" s="72" t="b">
        <f>F49='[2]Necesidades Trimestrales'!E49</f>
        <v>1</v>
      </c>
      <c r="R49" s="72" t="b">
        <f>G49='[2]Necesidades Trimestrales'!F49</f>
        <v>1</v>
      </c>
      <c r="S49" s="187">
        <f>+I49-'[2]Necesidades Trimestrales'!H49</f>
        <v>0</v>
      </c>
    </row>
    <row r="50" spans="1:19" ht="58.5" customHeight="1" x14ac:dyDescent="0.2">
      <c r="A50" s="188">
        <v>41</v>
      </c>
      <c r="B50" s="205" t="s">
        <v>407</v>
      </c>
      <c r="C50" s="190" t="s">
        <v>200</v>
      </c>
      <c r="D50" s="191">
        <v>252</v>
      </c>
      <c r="E50" s="201" t="s">
        <v>57</v>
      </c>
      <c r="F50" s="198" t="s">
        <v>328</v>
      </c>
      <c r="G50" s="188" t="s">
        <v>20</v>
      </c>
      <c r="H50" s="194"/>
      <c r="I50" s="212">
        <v>85</v>
      </c>
      <c r="J50" s="196">
        <f t="shared" si="0"/>
        <v>0</v>
      </c>
      <c r="K50" s="69" t="s">
        <v>328</v>
      </c>
      <c r="L50" s="70" t="b">
        <f>K50=F50</f>
        <v>1</v>
      </c>
      <c r="M50" s="72" t="b">
        <f>B51='[1]Necesidades Trimestrales'!B50</f>
        <v>1</v>
      </c>
      <c r="N50" s="69" t="b">
        <f>F50='[1]Necesidades Trimestrales'!E50</f>
        <v>1</v>
      </c>
      <c r="O50" s="72" t="b">
        <f>G50='[1]Necesidades Trimestrales'!F50</f>
        <v>1</v>
      </c>
      <c r="P50" s="72" t="b">
        <f>B51='[2]Necesidades Trimestrales'!B50</f>
        <v>1</v>
      </c>
      <c r="Q50" s="72" t="b">
        <f>F50='[2]Necesidades Trimestrales'!E50</f>
        <v>1</v>
      </c>
      <c r="R50" s="72" t="b">
        <f>G50='[2]Necesidades Trimestrales'!F50</f>
        <v>1</v>
      </c>
      <c r="S50" s="187">
        <f>+I50-'[2]Necesidades Trimestrales'!H50</f>
        <v>0</v>
      </c>
    </row>
    <row r="51" spans="1:19" ht="58.5" customHeight="1" x14ac:dyDescent="0.2">
      <c r="A51" s="188">
        <v>42</v>
      </c>
      <c r="B51" s="197" t="s">
        <v>231</v>
      </c>
      <c r="C51" s="190" t="s">
        <v>200</v>
      </c>
      <c r="D51" s="191">
        <v>252</v>
      </c>
      <c r="E51" s="193" t="s">
        <v>58</v>
      </c>
      <c r="F51" s="198" t="s">
        <v>330</v>
      </c>
      <c r="G51" s="188" t="s">
        <v>20</v>
      </c>
      <c r="H51" s="194"/>
      <c r="I51" s="212">
        <v>451</v>
      </c>
      <c r="J51" s="196">
        <f t="shared" si="0"/>
        <v>0</v>
      </c>
      <c r="K51" s="69" t="s">
        <v>330</v>
      </c>
      <c r="L51" s="70" t="b">
        <f>K51=F51</f>
        <v>1</v>
      </c>
      <c r="M51" s="72" t="b">
        <f>B52='[1]Necesidades Trimestrales'!B51</f>
        <v>1</v>
      </c>
      <c r="N51" s="69" t="b">
        <f>F51='[1]Necesidades Trimestrales'!E51</f>
        <v>1</v>
      </c>
      <c r="O51" s="72" t="b">
        <f>G51='[1]Necesidades Trimestrales'!F51</f>
        <v>1</v>
      </c>
      <c r="P51" s="72" t="b">
        <f>B52='[2]Necesidades Trimestrales'!B51</f>
        <v>1</v>
      </c>
      <c r="Q51" s="72" t="b">
        <f>F51='[2]Necesidades Trimestrales'!E51</f>
        <v>1</v>
      </c>
      <c r="R51" s="72" t="b">
        <f>G51='[2]Necesidades Trimestrales'!F51</f>
        <v>1</v>
      </c>
      <c r="S51" s="187">
        <f>+I51-'[2]Necesidades Trimestrales'!H51</f>
        <v>0</v>
      </c>
    </row>
    <row r="52" spans="1:19" ht="58.5" customHeight="1" x14ac:dyDescent="0.2">
      <c r="A52" s="188">
        <v>43</v>
      </c>
      <c r="B52" s="197" t="s">
        <v>232</v>
      </c>
      <c r="C52" s="188"/>
      <c r="D52" s="189">
        <v>252</v>
      </c>
      <c r="E52" s="193" t="s">
        <v>476</v>
      </c>
      <c r="F52" s="192" t="s">
        <v>452</v>
      </c>
      <c r="G52" s="188" t="s">
        <v>22</v>
      </c>
      <c r="H52" s="194"/>
      <c r="I52" s="212">
        <v>1850</v>
      </c>
      <c r="J52" s="209">
        <f t="shared" si="0"/>
        <v>0</v>
      </c>
      <c r="K52" s="69" t="s">
        <v>452</v>
      </c>
      <c r="L52" s="70" t="b">
        <f>K52=F52</f>
        <v>1</v>
      </c>
      <c r="M52" s="72" t="b">
        <f>B53='[1]Necesidades Trimestrales'!B52</f>
        <v>1</v>
      </c>
      <c r="N52" s="69" t="b">
        <f>F52='[1]Necesidades Trimestrales'!E52</f>
        <v>1</v>
      </c>
      <c r="O52" s="72" t="b">
        <f>G52='[1]Necesidades Trimestrales'!F52</f>
        <v>1</v>
      </c>
      <c r="P52" s="72" t="b">
        <f>B53='[2]Necesidades Trimestrales'!B52</f>
        <v>1</v>
      </c>
      <c r="Q52" s="72" t="b">
        <f>F52='[2]Necesidades Trimestrales'!E52</f>
        <v>1</v>
      </c>
      <c r="R52" s="72" t="b">
        <f>G52='[2]Necesidades Trimestrales'!F52</f>
        <v>1</v>
      </c>
      <c r="S52" s="187">
        <f>+I52-'[2]Necesidades Trimestrales'!H52</f>
        <v>0</v>
      </c>
    </row>
    <row r="53" spans="1:19" ht="58.5" customHeight="1" x14ac:dyDescent="0.2">
      <c r="A53" s="188">
        <v>44</v>
      </c>
      <c r="B53" s="188" t="s">
        <v>408</v>
      </c>
      <c r="C53" s="188"/>
      <c r="D53" s="191">
        <v>252</v>
      </c>
      <c r="E53" s="204" t="s">
        <v>475</v>
      </c>
      <c r="F53" s="192" t="s">
        <v>453</v>
      </c>
      <c r="G53" s="188" t="s">
        <v>20</v>
      </c>
      <c r="H53" s="194"/>
      <c r="I53" s="212">
        <v>421</v>
      </c>
      <c r="J53" s="196">
        <f t="shared" si="0"/>
        <v>0</v>
      </c>
      <c r="K53" s="69" t="s">
        <v>453</v>
      </c>
      <c r="L53" s="70" t="b">
        <f>K53=F53</f>
        <v>1</v>
      </c>
      <c r="M53" s="72" t="b">
        <f>B54='[1]Necesidades Trimestrales'!B53</f>
        <v>1</v>
      </c>
      <c r="N53" s="69" t="b">
        <f>F53='[1]Necesidades Trimestrales'!E53</f>
        <v>1</v>
      </c>
      <c r="O53" s="72" t="b">
        <f>G53='[1]Necesidades Trimestrales'!F53</f>
        <v>1</v>
      </c>
      <c r="P53" s="72" t="b">
        <f>B54='[2]Necesidades Trimestrales'!B53</f>
        <v>1</v>
      </c>
      <c r="Q53" s="72" t="b">
        <f>F53='[2]Necesidades Trimestrales'!E53</f>
        <v>1</v>
      </c>
      <c r="R53" s="72" t="b">
        <f>G53='[2]Necesidades Trimestrales'!F53</f>
        <v>1</v>
      </c>
      <c r="S53" s="187">
        <f>+I53-'[2]Necesidades Trimestrales'!H53</f>
        <v>0</v>
      </c>
    </row>
    <row r="54" spans="1:19" ht="58.5" customHeight="1" x14ac:dyDescent="0.2">
      <c r="A54" s="188">
        <v>45</v>
      </c>
      <c r="B54" s="188" t="s">
        <v>409</v>
      </c>
      <c r="C54" s="188"/>
      <c r="D54" s="191">
        <v>252</v>
      </c>
      <c r="E54" s="204" t="s">
        <v>59</v>
      </c>
      <c r="F54" s="192" t="s">
        <v>454</v>
      </c>
      <c r="G54" s="188" t="s">
        <v>17</v>
      </c>
      <c r="H54" s="194"/>
      <c r="I54" s="212">
        <v>15.8</v>
      </c>
      <c r="J54" s="196">
        <f t="shared" si="0"/>
        <v>0</v>
      </c>
      <c r="K54" s="69" t="s">
        <v>454</v>
      </c>
      <c r="L54" s="70" t="b">
        <f>K54=F54</f>
        <v>1</v>
      </c>
      <c r="M54" s="72" t="b">
        <f>B55='[1]Necesidades Trimestrales'!B54</f>
        <v>1</v>
      </c>
      <c r="N54" s="69" t="b">
        <f>F54='[1]Necesidades Trimestrales'!E54</f>
        <v>1</v>
      </c>
      <c r="O54" s="72" t="b">
        <f>G54='[1]Necesidades Trimestrales'!F54</f>
        <v>1</v>
      </c>
      <c r="P54" s="72" t="b">
        <f>B55='[2]Necesidades Trimestrales'!B54</f>
        <v>1</v>
      </c>
      <c r="Q54" s="72" t="b">
        <f>F54='[2]Necesidades Trimestrales'!E54</f>
        <v>1</v>
      </c>
      <c r="R54" s="72" t="b">
        <f>G54='[2]Necesidades Trimestrales'!F54</f>
        <v>1</v>
      </c>
      <c r="S54" s="187">
        <f>+I54-'[2]Necesidades Trimestrales'!H54</f>
        <v>0</v>
      </c>
    </row>
    <row r="55" spans="1:19" ht="58.5" customHeight="1" x14ac:dyDescent="0.2">
      <c r="A55" s="188">
        <v>46</v>
      </c>
      <c r="B55" s="188" t="s">
        <v>410</v>
      </c>
      <c r="C55" s="188"/>
      <c r="D55" s="191">
        <v>252</v>
      </c>
      <c r="E55" s="204" t="s">
        <v>60</v>
      </c>
      <c r="F55" s="192" t="s">
        <v>455</v>
      </c>
      <c r="G55" s="188" t="s">
        <v>22</v>
      </c>
      <c r="H55" s="194"/>
      <c r="I55" s="212">
        <v>168</v>
      </c>
      <c r="J55" s="196">
        <f t="shared" si="0"/>
        <v>0</v>
      </c>
      <c r="K55" s="69" t="s">
        <v>455</v>
      </c>
      <c r="L55" s="70" t="b">
        <f>K55=F55</f>
        <v>1</v>
      </c>
      <c r="M55" s="72" t="b">
        <f>B56='[1]Necesidades Trimestrales'!B55</f>
        <v>1</v>
      </c>
      <c r="N55" s="69" t="b">
        <f>F55='[1]Necesidades Trimestrales'!E55</f>
        <v>1</v>
      </c>
      <c r="O55" s="72" t="b">
        <f>G55='[1]Necesidades Trimestrales'!F55</f>
        <v>1</v>
      </c>
      <c r="P55" s="72" t="b">
        <f>B56='[2]Necesidades Trimestrales'!B55</f>
        <v>1</v>
      </c>
      <c r="Q55" s="72" t="b">
        <f>F55='[2]Necesidades Trimestrales'!E55</f>
        <v>1</v>
      </c>
      <c r="R55" s="72" t="b">
        <f>G55='[2]Necesidades Trimestrales'!F55</f>
        <v>1</v>
      </c>
      <c r="S55" s="187">
        <f>+I55-'[2]Necesidades Trimestrales'!H55</f>
        <v>0</v>
      </c>
    </row>
    <row r="56" spans="1:19" ht="58.5" customHeight="1" x14ac:dyDescent="0.2">
      <c r="A56" s="188">
        <v>47</v>
      </c>
      <c r="B56" s="188" t="s">
        <v>411</v>
      </c>
      <c r="C56" s="188"/>
      <c r="D56" s="191">
        <v>252</v>
      </c>
      <c r="E56" s="204" t="s">
        <v>61</v>
      </c>
      <c r="F56" s="192" t="s">
        <v>481</v>
      </c>
      <c r="G56" s="188" t="s">
        <v>62</v>
      </c>
      <c r="H56" s="194"/>
      <c r="I56" s="212">
        <v>358800</v>
      </c>
      <c r="J56" s="196">
        <f t="shared" si="0"/>
        <v>0</v>
      </c>
      <c r="K56" s="69" t="s">
        <v>481</v>
      </c>
      <c r="L56" s="70" t="b">
        <f>K56=F56</f>
        <v>1</v>
      </c>
      <c r="M56" s="72" t="b">
        <f>B57='[1]Necesidades Trimestrales'!B56</f>
        <v>1</v>
      </c>
      <c r="N56" s="69" t="b">
        <f>F56='[1]Necesidades Trimestrales'!E56</f>
        <v>1</v>
      </c>
      <c r="O56" s="72" t="b">
        <f>G56='[1]Necesidades Trimestrales'!F56</f>
        <v>1</v>
      </c>
      <c r="P56" s="72" t="b">
        <f>B57='[2]Necesidades Trimestrales'!B56</f>
        <v>1</v>
      </c>
      <c r="Q56" s="72" t="b">
        <f>F56='[2]Necesidades Trimestrales'!E56</f>
        <v>1</v>
      </c>
      <c r="R56" s="72" t="b">
        <f>G56='[2]Necesidades Trimestrales'!F56</f>
        <v>1</v>
      </c>
      <c r="S56" s="187">
        <f>+I56-'[2]Necesidades Trimestrales'!H56</f>
        <v>0</v>
      </c>
    </row>
    <row r="57" spans="1:19" ht="58.5" customHeight="1" x14ac:dyDescent="0.2">
      <c r="A57" s="188">
        <v>48</v>
      </c>
      <c r="B57" s="188" t="s">
        <v>412</v>
      </c>
      <c r="C57" s="190" t="s">
        <v>200</v>
      </c>
      <c r="D57" s="191">
        <v>252</v>
      </c>
      <c r="E57" s="206" t="s">
        <v>63</v>
      </c>
      <c r="F57" s="213" t="s">
        <v>434</v>
      </c>
      <c r="G57" s="188" t="s">
        <v>20</v>
      </c>
      <c r="H57" s="194"/>
      <c r="I57" s="212">
        <v>490</v>
      </c>
      <c r="J57" s="196">
        <f t="shared" si="0"/>
        <v>0</v>
      </c>
      <c r="K57" s="87" t="s">
        <v>434</v>
      </c>
      <c r="L57" s="70" t="b">
        <f>K57=F57</f>
        <v>1</v>
      </c>
      <c r="M57" s="72" t="b">
        <f>B58='[1]Necesidades Trimestrales'!B57</f>
        <v>1</v>
      </c>
      <c r="N57" s="69" t="b">
        <f>F57='[1]Necesidades Trimestrales'!E57</f>
        <v>1</v>
      </c>
      <c r="O57" s="72" t="b">
        <f>G57='[1]Necesidades Trimestrales'!F57</f>
        <v>1</v>
      </c>
      <c r="P57" s="72" t="b">
        <f>B58='[2]Necesidades Trimestrales'!B57</f>
        <v>1</v>
      </c>
      <c r="Q57" s="72" t="b">
        <f>F57='[2]Necesidades Trimestrales'!E57</f>
        <v>1</v>
      </c>
      <c r="R57" s="72" t="b">
        <f>G57='[2]Necesidades Trimestrales'!F57</f>
        <v>1</v>
      </c>
      <c r="S57" s="187">
        <f>+I57-'[2]Necesidades Trimestrales'!H57</f>
        <v>0</v>
      </c>
    </row>
    <row r="58" spans="1:19" ht="58.5" customHeight="1" x14ac:dyDescent="0.2">
      <c r="A58" s="188">
        <v>49</v>
      </c>
      <c r="B58" s="197" t="s">
        <v>233</v>
      </c>
      <c r="C58" s="188"/>
      <c r="D58" s="191">
        <v>252</v>
      </c>
      <c r="E58" s="201" t="s">
        <v>64</v>
      </c>
      <c r="F58" s="192" t="s">
        <v>456</v>
      </c>
      <c r="G58" s="188" t="s">
        <v>22</v>
      </c>
      <c r="H58" s="194"/>
      <c r="I58" s="212">
        <v>2358</v>
      </c>
      <c r="J58" s="196"/>
      <c r="K58" s="69" t="s">
        <v>456</v>
      </c>
      <c r="L58" s="70" t="b">
        <f>K58=F58</f>
        <v>1</v>
      </c>
      <c r="M58" s="72" t="b">
        <f>B59='[1]Necesidades Trimestrales'!B58</f>
        <v>1</v>
      </c>
      <c r="N58" s="69" t="b">
        <f>F58='[1]Necesidades Trimestrales'!E58</f>
        <v>1</v>
      </c>
      <c r="O58" s="72" t="b">
        <f>G58='[1]Necesidades Trimestrales'!F58</f>
        <v>1</v>
      </c>
      <c r="P58" s="72" t="b">
        <f>B59='[2]Necesidades Trimestrales'!B58</f>
        <v>1</v>
      </c>
      <c r="Q58" s="72" t="b">
        <f>F58='[2]Necesidades Trimestrales'!E58</f>
        <v>1</v>
      </c>
      <c r="R58" s="72" t="b">
        <f>G58='[2]Necesidades Trimestrales'!F58</f>
        <v>1</v>
      </c>
      <c r="S58" s="187">
        <f>+I58-'[2]Necesidades Trimestrales'!H58</f>
        <v>0</v>
      </c>
    </row>
    <row r="59" spans="1:19" ht="58.5" customHeight="1" x14ac:dyDescent="0.2">
      <c r="A59" s="188">
        <v>50</v>
      </c>
      <c r="B59" s="188" t="s">
        <v>413</v>
      </c>
      <c r="C59" s="190" t="s">
        <v>200</v>
      </c>
      <c r="D59" s="191">
        <v>252</v>
      </c>
      <c r="E59" s="204" t="s">
        <v>65</v>
      </c>
      <c r="F59" s="192" t="s">
        <v>457</v>
      </c>
      <c r="G59" s="188" t="s">
        <v>20</v>
      </c>
      <c r="H59" s="194"/>
      <c r="I59" s="212">
        <v>2890</v>
      </c>
      <c r="J59" s="196">
        <f t="shared" ref="J59:J143" si="1">+H59*I59</f>
        <v>0</v>
      </c>
      <c r="K59" s="69" t="s">
        <v>457</v>
      </c>
      <c r="L59" s="70" t="b">
        <f>K59=F59</f>
        <v>1</v>
      </c>
      <c r="M59" s="72" t="b">
        <f>B60='[1]Necesidades Trimestrales'!B59</f>
        <v>1</v>
      </c>
      <c r="N59" s="69" t="b">
        <f>F59='[1]Necesidades Trimestrales'!E59</f>
        <v>1</v>
      </c>
      <c r="O59" s="72" t="b">
        <f>G59='[1]Necesidades Trimestrales'!F59</f>
        <v>1</v>
      </c>
      <c r="P59" s="72" t="b">
        <f>B60='[2]Necesidades Trimestrales'!B59</f>
        <v>1</v>
      </c>
      <c r="Q59" s="72" t="b">
        <f>F59='[2]Necesidades Trimestrales'!E59</f>
        <v>1</v>
      </c>
      <c r="R59" s="72" t="b">
        <f>G59='[2]Necesidades Trimestrales'!F59</f>
        <v>1</v>
      </c>
      <c r="S59" s="187">
        <f>+I59-'[2]Necesidades Trimestrales'!H59</f>
        <v>0</v>
      </c>
    </row>
    <row r="60" spans="1:19" ht="58.5" customHeight="1" x14ac:dyDescent="0.2">
      <c r="A60" s="188">
        <v>51</v>
      </c>
      <c r="B60" s="197" t="s">
        <v>414</v>
      </c>
      <c r="C60" s="190" t="s">
        <v>200</v>
      </c>
      <c r="D60" s="191">
        <v>252</v>
      </c>
      <c r="E60" s="201" t="s">
        <v>66</v>
      </c>
      <c r="F60" s="198" t="s">
        <v>341</v>
      </c>
      <c r="G60" s="188" t="s">
        <v>17</v>
      </c>
      <c r="H60" s="194"/>
      <c r="I60" s="212">
        <v>3.05</v>
      </c>
      <c r="J60" s="196">
        <f t="shared" si="1"/>
        <v>0</v>
      </c>
      <c r="K60" s="69" t="s">
        <v>341</v>
      </c>
      <c r="L60" s="70" t="b">
        <f>K60=F60</f>
        <v>1</v>
      </c>
      <c r="M60" s="72" t="b">
        <f>B61='[1]Necesidades Trimestrales'!B60</f>
        <v>1</v>
      </c>
      <c r="N60" s="69" t="b">
        <f>F60='[1]Necesidades Trimestrales'!E60</f>
        <v>1</v>
      </c>
      <c r="O60" s="72" t="b">
        <f>G60='[1]Necesidades Trimestrales'!F60</f>
        <v>1</v>
      </c>
      <c r="P60" s="72" t="b">
        <f>B61='[2]Necesidades Trimestrales'!B60</f>
        <v>1</v>
      </c>
      <c r="Q60" s="72" t="b">
        <f>F60='[2]Necesidades Trimestrales'!E60</f>
        <v>1</v>
      </c>
      <c r="R60" s="72" t="b">
        <f>G60='[2]Necesidades Trimestrales'!F60</f>
        <v>1</v>
      </c>
      <c r="S60" s="187">
        <f>+I60-'[2]Necesidades Trimestrales'!H60</f>
        <v>0</v>
      </c>
    </row>
    <row r="61" spans="1:19" ht="58.5" customHeight="1" x14ac:dyDescent="0.2">
      <c r="A61" s="188">
        <v>52</v>
      </c>
      <c r="B61" s="197" t="s">
        <v>234</v>
      </c>
      <c r="C61" s="190" t="s">
        <v>200</v>
      </c>
      <c r="D61" s="191">
        <v>252</v>
      </c>
      <c r="E61" s="200" t="s">
        <v>67</v>
      </c>
      <c r="F61" s="198" t="s">
        <v>458</v>
      </c>
      <c r="G61" s="188" t="s">
        <v>20</v>
      </c>
      <c r="H61" s="194"/>
      <c r="I61" s="212">
        <v>35.9</v>
      </c>
      <c r="J61" s="196">
        <f t="shared" si="1"/>
        <v>0</v>
      </c>
      <c r="K61" s="69" t="s">
        <v>342</v>
      </c>
      <c r="L61" s="70" t="b">
        <f>K61=F61</f>
        <v>1</v>
      </c>
      <c r="M61" s="72" t="b">
        <f>B62='[1]Necesidades Trimestrales'!B61</f>
        <v>1</v>
      </c>
      <c r="N61" s="69" t="b">
        <f>F61='[1]Necesidades Trimestrales'!E61</f>
        <v>1</v>
      </c>
      <c r="O61" s="72" t="b">
        <f>G61='[1]Necesidades Trimestrales'!F61</f>
        <v>1</v>
      </c>
      <c r="P61" s="72" t="b">
        <f>B62='[2]Necesidades Trimestrales'!B61</f>
        <v>1</v>
      </c>
      <c r="Q61" s="72" t="b">
        <f>F61='[2]Necesidades Trimestrales'!E61</f>
        <v>1</v>
      </c>
      <c r="R61" s="72" t="b">
        <f>G61='[2]Necesidades Trimestrales'!F61</f>
        <v>1</v>
      </c>
      <c r="S61" s="187">
        <f>+I61-'[2]Necesidades Trimestrales'!H61</f>
        <v>0</v>
      </c>
    </row>
    <row r="62" spans="1:19" ht="58.5" customHeight="1" x14ac:dyDescent="0.2">
      <c r="A62" s="188">
        <v>53</v>
      </c>
      <c r="B62" s="197" t="s">
        <v>235</v>
      </c>
      <c r="C62" s="190" t="s">
        <v>200</v>
      </c>
      <c r="D62" s="191">
        <v>252</v>
      </c>
      <c r="E62" s="208" t="s">
        <v>68</v>
      </c>
      <c r="F62" s="192" t="s">
        <v>459</v>
      </c>
      <c r="G62" s="188" t="s">
        <v>22</v>
      </c>
      <c r="H62" s="194"/>
      <c r="I62" s="212">
        <v>158</v>
      </c>
      <c r="J62" s="196">
        <f t="shared" si="1"/>
        <v>0</v>
      </c>
      <c r="K62" s="69" t="s">
        <v>459</v>
      </c>
      <c r="L62" s="70" t="b">
        <f>K62=F62</f>
        <v>1</v>
      </c>
      <c r="M62" s="72" t="b">
        <f>B63='[1]Necesidades Trimestrales'!B62</f>
        <v>1</v>
      </c>
      <c r="N62" s="69" t="b">
        <f>F62='[1]Necesidades Trimestrales'!E62</f>
        <v>1</v>
      </c>
      <c r="O62" s="72" t="b">
        <f>G62='[1]Necesidades Trimestrales'!F62</f>
        <v>1</v>
      </c>
      <c r="P62" s="72" t="b">
        <f>B63='[2]Necesidades Trimestrales'!B62</f>
        <v>1</v>
      </c>
      <c r="Q62" s="72" t="b">
        <f>F62='[2]Necesidades Trimestrales'!E62</f>
        <v>1</v>
      </c>
      <c r="R62" s="72" t="b">
        <f>G62='[2]Necesidades Trimestrales'!F62</f>
        <v>1</v>
      </c>
      <c r="S62" s="187">
        <f>+I62-'[2]Necesidades Trimestrales'!H62</f>
        <v>0</v>
      </c>
    </row>
    <row r="63" spans="1:19" ht="58.5" customHeight="1" x14ac:dyDescent="0.2">
      <c r="A63" s="188">
        <v>54</v>
      </c>
      <c r="B63" s="211" t="s">
        <v>415</v>
      </c>
      <c r="C63" s="190" t="s">
        <v>200</v>
      </c>
      <c r="D63" s="191">
        <v>252</v>
      </c>
      <c r="E63" s="208" t="s">
        <v>69</v>
      </c>
      <c r="F63" s="198" t="s">
        <v>345</v>
      </c>
      <c r="G63" s="188" t="s">
        <v>20</v>
      </c>
      <c r="H63" s="194"/>
      <c r="I63" s="212">
        <v>38.5</v>
      </c>
      <c r="J63" s="196">
        <f t="shared" si="1"/>
        <v>0</v>
      </c>
      <c r="K63" s="69" t="s">
        <v>345</v>
      </c>
      <c r="L63" s="70" t="b">
        <f>K63=F63</f>
        <v>1</v>
      </c>
      <c r="M63" s="72" t="b">
        <f>B64='[1]Necesidades Trimestrales'!B63</f>
        <v>1</v>
      </c>
      <c r="N63" s="69" t="b">
        <f>F63='[1]Necesidades Trimestrales'!E63</f>
        <v>1</v>
      </c>
      <c r="O63" s="72" t="b">
        <f>G63='[1]Necesidades Trimestrales'!F63</f>
        <v>1</v>
      </c>
      <c r="P63" s="72" t="b">
        <f>B64='[2]Necesidades Trimestrales'!B63</f>
        <v>1</v>
      </c>
      <c r="Q63" s="72" t="b">
        <f>F63='[2]Necesidades Trimestrales'!E63</f>
        <v>1</v>
      </c>
      <c r="R63" s="72" t="b">
        <f>G63='[2]Necesidades Trimestrales'!F63</f>
        <v>1</v>
      </c>
      <c r="S63" s="187">
        <f>+I63-'[2]Necesidades Trimestrales'!H63</f>
        <v>0</v>
      </c>
    </row>
    <row r="64" spans="1:19" ht="58.5" customHeight="1" x14ac:dyDescent="0.2">
      <c r="A64" s="188">
        <v>55</v>
      </c>
      <c r="B64" s="197" t="s">
        <v>236</v>
      </c>
      <c r="C64" s="190" t="s">
        <v>200</v>
      </c>
      <c r="D64" s="191">
        <v>252</v>
      </c>
      <c r="E64" s="201" t="s">
        <v>70</v>
      </c>
      <c r="F64" s="198" t="s">
        <v>343</v>
      </c>
      <c r="G64" s="188" t="s">
        <v>22</v>
      </c>
      <c r="H64" s="194"/>
      <c r="I64" s="195">
        <v>155</v>
      </c>
      <c r="J64" s="196">
        <f t="shared" si="1"/>
        <v>0</v>
      </c>
      <c r="K64" s="69" t="s">
        <v>343</v>
      </c>
      <c r="L64" s="70" t="b">
        <f>K64=F64</f>
        <v>1</v>
      </c>
      <c r="M64" s="72" t="b">
        <f>B65='[1]Necesidades Trimestrales'!B64</f>
        <v>1</v>
      </c>
      <c r="N64" s="69" t="b">
        <f>F64='[1]Necesidades Trimestrales'!E64</f>
        <v>1</v>
      </c>
      <c r="O64" s="72" t="b">
        <f>G64='[1]Necesidades Trimestrales'!F64</f>
        <v>1</v>
      </c>
      <c r="P64" s="72" t="b">
        <f>B65='[2]Necesidades Trimestrales'!B64</f>
        <v>1</v>
      </c>
      <c r="Q64" s="72" t="b">
        <f>F64='[2]Necesidades Trimestrales'!E64</f>
        <v>1</v>
      </c>
      <c r="R64" s="72" t="b">
        <f>G64='[2]Necesidades Trimestrales'!F64</f>
        <v>1</v>
      </c>
      <c r="S64" s="187">
        <f>+I64-'[2]Necesidades Trimestrales'!H64</f>
        <v>0</v>
      </c>
    </row>
    <row r="65" spans="1:19" ht="58.5" customHeight="1" x14ac:dyDescent="0.2">
      <c r="A65" s="188">
        <v>56</v>
      </c>
      <c r="B65" s="197" t="s">
        <v>237</v>
      </c>
      <c r="C65" s="190" t="s">
        <v>200</v>
      </c>
      <c r="D65" s="191">
        <v>252</v>
      </c>
      <c r="E65" s="202" t="s">
        <v>71</v>
      </c>
      <c r="F65" s="198" t="s">
        <v>344</v>
      </c>
      <c r="G65" s="188" t="s">
        <v>17</v>
      </c>
      <c r="H65" s="194"/>
      <c r="I65" s="195">
        <v>18</v>
      </c>
      <c r="J65" s="196">
        <f t="shared" si="1"/>
        <v>0</v>
      </c>
      <c r="K65" s="69" t="s">
        <v>344</v>
      </c>
      <c r="L65" s="70" t="b">
        <f>K65=F65</f>
        <v>1</v>
      </c>
      <c r="M65" s="72" t="b">
        <f>B66='[1]Necesidades Trimestrales'!B65</f>
        <v>1</v>
      </c>
      <c r="N65" s="69" t="b">
        <f>F65='[1]Necesidades Trimestrales'!E65</f>
        <v>1</v>
      </c>
      <c r="O65" s="72" t="b">
        <f>G65='[1]Necesidades Trimestrales'!F65</f>
        <v>1</v>
      </c>
      <c r="P65" s="72" t="b">
        <f>B66='[2]Necesidades Trimestrales'!B65</f>
        <v>1</v>
      </c>
      <c r="Q65" s="72" t="b">
        <f>F65='[2]Necesidades Trimestrales'!E65</f>
        <v>1</v>
      </c>
      <c r="R65" s="72" t="b">
        <f>G65='[2]Necesidades Trimestrales'!F65</f>
        <v>1</v>
      </c>
      <c r="S65" s="187">
        <f>+I65-'[2]Necesidades Trimestrales'!H65</f>
        <v>0</v>
      </c>
    </row>
    <row r="66" spans="1:19" ht="58.5" customHeight="1" x14ac:dyDescent="0.2">
      <c r="A66" s="188">
        <v>57</v>
      </c>
      <c r="B66" s="197" t="s">
        <v>238</v>
      </c>
      <c r="C66" s="188"/>
      <c r="D66" s="191">
        <v>252</v>
      </c>
      <c r="E66" s="208" t="s">
        <v>72</v>
      </c>
      <c r="F66" s="192" t="s">
        <v>460</v>
      </c>
      <c r="G66" s="188" t="s">
        <v>73</v>
      </c>
      <c r="H66" s="194"/>
      <c r="I66" s="195">
        <v>460</v>
      </c>
      <c r="J66" s="196">
        <f t="shared" si="1"/>
        <v>0</v>
      </c>
      <c r="K66" s="69" t="s">
        <v>460</v>
      </c>
      <c r="L66" s="70" t="b">
        <f>K66=F66</f>
        <v>1</v>
      </c>
      <c r="M66" s="72" t="b">
        <f>B67='[1]Necesidades Trimestrales'!B66</f>
        <v>1</v>
      </c>
      <c r="N66" s="69" t="b">
        <f>F66='[1]Necesidades Trimestrales'!E66</f>
        <v>1</v>
      </c>
      <c r="O66" s="72" t="b">
        <f>G66='[1]Necesidades Trimestrales'!F66</f>
        <v>1</v>
      </c>
      <c r="P66" s="72" t="b">
        <f>B67='[2]Necesidades Trimestrales'!B66</f>
        <v>1</v>
      </c>
      <c r="Q66" s="72" t="b">
        <f>F66='[2]Necesidades Trimestrales'!E66</f>
        <v>1</v>
      </c>
      <c r="R66" s="72" t="b">
        <f>G66='[2]Necesidades Trimestrales'!F66</f>
        <v>1</v>
      </c>
      <c r="S66" s="187">
        <f>+I66-'[2]Necesidades Trimestrales'!H66</f>
        <v>0</v>
      </c>
    </row>
    <row r="67" spans="1:19" ht="58.5" customHeight="1" x14ac:dyDescent="0.2">
      <c r="A67" s="188">
        <v>58</v>
      </c>
      <c r="B67" s="188" t="s">
        <v>416</v>
      </c>
      <c r="C67" s="190" t="s">
        <v>200</v>
      </c>
      <c r="D67" s="191">
        <v>252</v>
      </c>
      <c r="E67" s="206" t="s">
        <v>74</v>
      </c>
      <c r="F67" s="198" t="s">
        <v>346</v>
      </c>
      <c r="G67" s="188" t="s">
        <v>20</v>
      </c>
      <c r="H67" s="194"/>
      <c r="I67" s="195">
        <v>390</v>
      </c>
      <c r="J67" s="196">
        <f t="shared" si="1"/>
        <v>0</v>
      </c>
      <c r="K67" s="69" t="s">
        <v>346</v>
      </c>
      <c r="L67" s="70" t="b">
        <f>K67=F67</f>
        <v>1</v>
      </c>
      <c r="M67" s="72" t="b">
        <f>B68='[1]Necesidades Trimestrales'!B67</f>
        <v>1</v>
      </c>
      <c r="N67" s="69" t="b">
        <f>F67='[1]Necesidades Trimestrales'!E67</f>
        <v>1</v>
      </c>
      <c r="O67" s="72" t="b">
        <f>G67='[1]Necesidades Trimestrales'!F67</f>
        <v>1</v>
      </c>
      <c r="P67" s="72" t="b">
        <f>B68='[2]Necesidades Trimestrales'!B67</f>
        <v>1</v>
      </c>
      <c r="Q67" s="72" t="b">
        <f>F67='[2]Necesidades Trimestrales'!E67</f>
        <v>1</v>
      </c>
      <c r="R67" s="72" t="b">
        <f>G67='[2]Necesidades Trimestrales'!F67</f>
        <v>1</v>
      </c>
      <c r="S67" s="187">
        <f>+I67-'[2]Necesidades Trimestrales'!H67</f>
        <v>0</v>
      </c>
    </row>
    <row r="68" spans="1:19" ht="58.5" customHeight="1" x14ac:dyDescent="0.2">
      <c r="A68" s="188">
        <v>59</v>
      </c>
      <c r="B68" s="197" t="s">
        <v>239</v>
      </c>
      <c r="C68" s="190" t="s">
        <v>200</v>
      </c>
      <c r="D68" s="191">
        <v>252</v>
      </c>
      <c r="E68" s="206" t="s">
        <v>75</v>
      </c>
      <c r="F68" s="213" t="s">
        <v>435</v>
      </c>
      <c r="G68" s="188" t="s">
        <v>20</v>
      </c>
      <c r="H68" s="194"/>
      <c r="I68" s="195">
        <v>130</v>
      </c>
      <c r="J68" s="196">
        <f t="shared" si="1"/>
        <v>0</v>
      </c>
      <c r="K68" s="87" t="s">
        <v>435</v>
      </c>
      <c r="L68" s="70" t="b">
        <f>K68=F68</f>
        <v>1</v>
      </c>
      <c r="M68" s="72" t="b">
        <f>B69='[1]Necesidades Trimestrales'!B68</f>
        <v>1</v>
      </c>
      <c r="N68" s="69" t="b">
        <f>F68='[1]Necesidades Trimestrales'!E68</f>
        <v>1</v>
      </c>
      <c r="O68" s="72" t="b">
        <f>G68='[1]Necesidades Trimestrales'!F68</f>
        <v>1</v>
      </c>
      <c r="P68" s="72" t="b">
        <f>B69='[2]Necesidades Trimestrales'!B68</f>
        <v>1</v>
      </c>
      <c r="Q68" s="72" t="b">
        <f>F68='[2]Necesidades Trimestrales'!E68</f>
        <v>1</v>
      </c>
      <c r="R68" s="72" t="b">
        <f>G68='[2]Necesidades Trimestrales'!F68</f>
        <v>1</v>
      </c>
      <c r="S68" s="187">
        <f>+I68-'[2]Necesidades Trimestrales'!H68</f>
        <v>0</v>
      </c>
    </row>
    <row r="69" spans="1:19" ht="58.5" customHeight="1" x14ac:dyDescent="0.2">
      <c r="A69" s="188">
        <v>60</v>
      </c>
      <c r="B69" s="197" t="s">
        <v>397</v>
      </c>
      <c r="C69" s="190" t="s">
        <v>200</v>
      </c>
      <c r="D69" s="191">
        <v>252</v>
      </c>
      <c r="E69" s="193" t="s">
        <v>76</v>
      </c>
      <c r="F69" s="198" t="s">
        <v>347</v>
      </c>
      <c r="G69" s="188" t="s">
        <v>17</v>
      </c>
      <c r="H69" s="194"/>
      <c r="I69" s="195">
        <v>32.5</v>
      </c>
      <c r="J69" s="196">
        <f t="shared" si="1"/>
        <v>0</v>
      </c>
      <c r="K69" s="69" t="s">
        <v>347</v>
      </c>
      <c r="L69" s="70" t="b">
        <f>K69=F69</f>
        <v>1</v>
      </c>
      <c r="M69" s="72" t="b">
        <f>B70='[1]Necesidades Trimestrales'!B69</f>
        <v>1</v>
      </c>
      <c r="N69" s="69" t="b">
        <f>F69='[1]Necesidades Trimestrales'!E69</f>
        <v>1</v>
      </c>
      <c r="O69" s="72" t="b">
        <f>G69='[1]Necesidades Trimestrales'!F69</f>
        <v>1</v>
      </c>
      <c r="P69" s="72" t="b">
        <f>B70='[2]Necesidades Trimestrales'!B69</f>
        <v>1</v>
      </c>
      <c r="Q69" s="72" t="b">
        <f>F69='[2]Necesidades Trimestrales'!E69</f>
        <v>1</v>
      </c>
      <c r="R69" s="72" t="b">
        <f>G69='[2]Necesidades Trimestrales'!F69</f>
        <v>1</v>
      </c>
      <c r="S69" s="187">
        <f>+I69-'[2]Necesidades Trimestrales'!H69</f>
        <v>0</v>
      </c>
    </row>
    <row r="70" spans="1:19" ht="58.5" customHeight="1" x14ac:dyDescent="0.2">
      <c r="A70" s="188">
        <v>61</v>
      </c>
      <c r="B70" s="197" t="s">
        <v>240</v>
      </c>
      <c r="C70" s="190" t="s">
        <v>200</v>
      </c>
      <c r="D70" s="191">
        <v>252</v>
      </c>
      <c r="E70" s="193" t="s">
        <v>77</v>
      </c>
      <c r="F70" s="198" t="s">
        <v>348</v>
      </c>
      <c r="G70" s="188" t="s">
        <v>73</v>
      </c>
      <c r="H70" s="194"/>
      <c r="I70" s="195">
        <v>986</v>
      </c>
      <c r="J70" s="196">
        <f t="shared" si="1"/>
        <v>0</v>
      </c>
      <c r="K70" s="69" t="s">
        <v>348</v>
      </c>
      <c r="L70" s="70" t="b">
        <f>K70=F70</f>
        <v>1</v>
      </c>
      <c r="M70" s="72" t="b">
        <f>B71='[1]Necesidades Trimestrales'!B70</f>
        <v>1</v>
      </c>
      <c r="N70" s="69" t="b">
        <f>F70='[1]Necesidades Trimestrales'!E70</f>
        <v>1</v>
      </c>
      <c r="O70" s="72" t="b">
        <f>G70='[1]Necesidades Trimestrales'!F70</f>
        <v>1</v>
      </c>
      <c r="P70" s="72" t="b">
        <f>B71='[2]Necesidades Trimestrales'!B70</f>
        <v>1</v>
      </c>
      <c r="Q70" s="72" t="b">
        <f>F70='[2]Necesidades Trimestrales'!E70</f>
        <v>1</v>
      </c>
      <c r="R70" s="72" t="b">
        <f>G70='[2]Necesidades Trimestrales'!F70</f>
        <v>1</v>
      </c>
      <c r="S70" s="187">
        <f>+I70-'[2]Necesidades Trimestrales'!H70</f>
        <v>0</v>
      </c>
    </row>
    <row r="71" spans="1:19" ht="58.5" customHeight="1" x14ac:dyDescent="0.2">
      <c r="A71" s="188">
        <v>62</v>
      </c>
      <c r="B71" s="197" t="s">
        <v>241</v>
      </c>
      <c r="C71" s="190" t="s">
        <v>200</v>
      </c>
      <c r="D71" s="191">
        <v>252</v>
      </c>
      <c r="E71" s="193" t="s">
        <v>78</v>
      </c>
      <c r="F71" s="192" t="s">
        <v>461</v>
      </c>
      <c r="G71" s="188" t="s">
        <v>22</v>
      </c>
      <c r="H71" s="194"/>
      <c r="I71" s="195">
        <v>2100</v>
      </c>
      <c r="J71" s="196">
        <f t="shared" si="1"/>
        <v>0</v>
      </c>
      <c r="K71" s="69" t="s">
        <v>461</v>
      </c>
      <c r="L71" s="70" t="b">
        <f>K71=F71</f>
        <v>1</v>
      </c>
      <c r="M71" s="72" t="b">
        <f>B72='[1]Necesidades Trimestrales'!B71</f>
        <v>1</v>
      </c>
      <c r="N71" s="69" t="b">
        <f>F71='[1]Necesidades Trimestrales'!E71</f>
        <v>1</v>
      </c>
      <c r="O71" s="72" t="b">
        <f>G71='[1]Necesidades Trimestrales'!F71</f>
        <v>1</v>
      </c>
      <c r="P71" s="72" t="b">
        <f>B72='[2]Necesidades Trimestrales'!B71</f>
        <v>1</v>
      </c>
      <c r="Q71" s="72" t="b">
        <f>F71='[2]Necesidades Trimestrales'!E71</f>
        <v>1</v>
      </c>
      <c r="R71" s="72" t="b">
        <f>G71='[2]Necesidades Trimestrales'!F71</f>
        <v>1</v>
      </c>
      <c r="S71" s="187">
        <f>+I71-'[2]Necesidades Trimestrales'!H71</f>
        <v>0</v>
      </c>
    </row>
    <row r="72" spans="1:19" ht="58.5" customHeight="1" x14ac:dyDescent="0.2">
      <c r="A72" s="188">
        <v>63</v>
      </c>
      <c r="B72" s="211" t="s">
        <v>417</v>
      </c>
      <c r="C72" s="190" t="s">
        <v>200</v>
      </c>
      <c r="D72" s="191">
        <v>252</v>
      </c>
      <c r="E72" s="201" t="s">
        <v>79</v>
      </c>
      <c r="F72" s="198" t="s">
        <v>349</v>
      </c>
      <c r="G72" s="188" t="s">
        <v>20</v>
      </c>
      <c r="H72" s="194"/>
      <c r="I72" s="195">
        <v>839.8</v>
      </c>
      <c r="J72" s="196">
        <f t="shared" si="1"/>
        <v>0</v>
      </c>
      <c r="K72" s="69" t="s">
        <v>349</v>
      </c>
      <c r="L72" s="70" t="b">
        <f>K72=F72</f>
        <v>1</v>
      </c>
      <c r="M72" s="72" t="b">
        <f>B73='[1]Necesidades Trimestrales'!B72</f>
        <v>1</v>
      </c>
      <c r="N72" s="69" t="b">
        <f>F72='[1]Necesidades Trimestrales'!E72</f>
        <v>1</v>
      </c>
      <c r="O72" s="72" t="b">
        <f>G72='[1]Necesidades Trimestrales'!F72</f>
        <v>1</v>
      </c>
      <c r="P72" s="72" t="b">
        <f>B73='[2]Necesidades Trimestrales'!B72</f>
        <v>1</v>
      </c>
      <c r="Q72" s="72" t="b">
        <f>F72='[2]Necesidades Trimestrales'!E72</f>
        <v>1</v>
      </c>
      <c r="R72" s="72" t="b">
        <f>G72='[2]Necesidades Trimestrales'!F72</f>
        <v>1</v>
      </c>
      <c r="S72" s="187">
        <f>+I72-'[2]Necesidades Trimestrales'!H72</f>
        <v>0</v>
      </c>
    </row>
    <row r="73" spans="1:19" ht="58.5" customHeight="1" x14ac:dyDescent="0.2">
      <c r="A73" s="188">
        <v>64</v>
      </c>
      <c r="B73" s="197" t="s">
        <v>242</v>
      </c>
      <c r="C73" s="190" t="s">
        <v>200</v>
      </c>
      <c r="D73" s="191">
        <v>252</v>
      </c>
      <c r="E73" s="201" t="s">
        <v>438</v>
      </c>
      <c r="F73" s="198" t="s">
        <v>436</v>
      </c>
      <c r="G73" s="188" t="s">
        <v>22</v>
      </c>
      <c r="H73" s="194"/>
      <c r="I73" s="195">
        <v>1833.02</v>
      </c>
      <c r="J73" s="196">
        <f t="shared" si="1"/>
        <v>0</v>
      </c>
      <c r="K73" s="69" t="s">
        <v>436</v>
      </c>
      <c r="L73" s="71" t="b">
        <f>F73=K73</f>
        <v>1</v>
      </c>
      <c r="M73" s="72" t="b">
        <f>B74='[1]Necesidades Trimestrales'!B73</f>
        <v>1</v>
      </c>
      <c r="N73" s="69" t="b">
        <f>F73='[1]Necesidades Trimestrales'!E73</f>
        <v>1</v>
      </c>
      <c r="O73" s="72" t="b">
        <f>G73='[1]Necesidades Trimestrales'!F73</f>
        <v>1</v>
      </c>
      <c r="P73" s="72" t="b">
        <f>B74='[2]Necesidades Trimestrales'!B73</f>
        <v>1</v>
      </c>
      <c r="Q73" s="72" t="b">
        <f>F73='[2]Necesidades Trimestrales'!E73</f>
        <v>1</v>
      </c>
      <c r="R73" s="72" t="b">
        <f>G73='[2]Necesidades Trimestrales'!F73</f>
        <v>1</v>
      </c>
      <c r="S73" s="187">
        <f>+I73-'[2]Necesidades Trimestrales'!H73</f>
        <v>0</v>
      </c>
    </row>
    <row r="74" spans="1:19" ht="58.5" customHeight="1" x14ac:dyDescent="0.2">
      <c r="A74" s="188">
        <v>65</v>
      </c>
      <c r="B74" s="197" t="s">
        <v>418</v>
      </c>
      <c r="C74" s="190" t="s">
        <v>200</v>
      </c>
      <c r="D74" s="191">
        <v>252</v>
      </c>
      <c r="E74" s="201" t="s">
        <v>439</v>
      </c>
      <c r="F74" s="198" t="s">
        <v>437</v>
      </c>
      <c r="G74" s="188" t="s">
        <v>22</v>
      </c>
      <c r="H74" s="194"/>
      <c r="I74" s="195">
        <v>1057.25</v>
      </c>
      <c r="J74" s="196">
        <f t="shared" si="1"/>
        <v>0</v>
      </c>
      <c r="K74" s="69" t="s">
        <v>437</v>
      </c>
      <c r="L74" s="71" t="b">
        <f>F74=K74</f>
        <v>1</v>
      </c>
      <c r="M74" s="72" t="b">
        <f>B75='[1]Necesidades Trimestrales'!B74</f>
        <v>1</v>
      </c>
      <c r="N74" s="69" t="b">
        <f>F74='[1]Necesidades Trimestrales'!E74</f>
        <v>1</v>
      </c>
      <c r="O74" s="72" t="b">
        <f>G74='[1]Necesidades Trimestrales'!F74</f>
        <v>1</v>
      </c>
      <c r="P74" s="72" t="b">
        <f>B75='[2]Necesidades Trimestrales'!B74</f>
        <v>1</v>
      </c>
      <c r="Q74" s="72" t="b">
        <f>F74='[2]Necesidades Trimestrales'!E74</f>
        <v>1</v>
      </c>
      <c r="R74" s="72" t="b">
        <f>G74='[2]Necesidades Trimestrales'!F74</f>
        <v>1</v>
      </c>
      <c r="S74" s="187">
        <f>+I74-'[2]Necesidades Trimestrales'!H74</f>
        <v>0</v>
      </c>
    </row>
    <row r="75" spans="1:19" ht="58.5" customHeight="1" x14ac:dyDescent="0.2">
      <c r="A75" s="188">
        <v>66</v>
      </c>
      <c r="B75" s="197" t="s">
        <v>419</v>
      </c>
      <c r="C75" s="190" t="s">
        <v>200</v>
      </c>
      <c r="D75" s="191">
        <v>252</v>
      </c>
      <c r="E75" s="201" t="s">
        <v>80</v>
      </c>
      <c r="F75" s="192" t="s">
        <v>462</v>
      </c>
      <c r="G75" s="188" t="s">
        <v>22</v>
      </c>
      <c r="H75" s="194"/>
      <c r="I75" s="195">
        <v>1860</v>
      </c>
      <c r="J75" s="196">
        <f t="shared" si="1"/>
        <v>0</v>
      </c>
      <c r="K75" s="69" t="s">
        <v>462</v>
      </c>
      <c r="L75" s="70" t="b">
        <f>K75=F75</f>
        <v>1</v>
      </c>
      <c r="M75" s="72" t="b">
        <f>B76='[1]Necesidades Trimestrales'!B75</f>
        <v>1</v>
      </c>
      <c r="N75" s="69" t="b">
        <f>F75='[1]Necesidades Trimestrales'!E75</f>
        <v>1</v>
      </c>
      <c r="O75" s="72" t="b">
        <f>G75='[1]Necesidades Trimestrales'!F75</f>
        <v>1</v>
      </c>
      <c r="P75" s="72" t="b">
        <f>B76='[2]Necesidades Trimestrales'!B75</f>
        <v>1</v>
      </c>
      <c r="Q75" s="72" t="b">
        <f>F75='[2]Necesidades Trimestrales'!E75</f>
        <v>1</v>
      </c>
      <c r="R75" s="72" t="b">
        <f>G75='[2]Necesidades Trimestrales'!F75</f>
        <v>1</v>
      </c>
      <c r="S75" s="187">
        <f>+I75-'[2]Necesidades Trimestrales'!H75</f>
        <v>0</v>
      </c>
    </row>
    <row r="76" spans="1:19" ht="58.5" customHeight="1" x14ac:dyDescent="0.2">
      <c r="A76" s="188">
        <v>67</v>
      </c>
      <c r="B76" s="188" t="s">
        <v>420</v>
      </c>
      <c r="C76" s="190" t="s">
        <v>200</v>
      </c>
      <c r="D76" s="191">
        <v>252</v>
      </c>
      <c r="E76" s="204" t="s">
        <v>477</v>
      </c>
      <c r="F76" s="192" t="s">
        <v>463</v>
      </c>
      <c r="G76" s="188" t="s">
        <v>20</v>
      </c>
      <c r="H76" s="194"/>
      <c r="I76" s="195">
        <v>3965.14</v>
      </c>
      <c r="J76" s="196">
        <f t="shared" si="1"/>
        <v>0</v>
      </c>
      <c r="K76" s="69" t="s">
        <v>463</v>
      </c>
      <c r="L76" s="70" t="b">
        <f>K76=F76</f>
        <v>1</v>
      </c>
      <c r="M76" s="72" t="b">
        <f>B77='[1]Necesidades Trimestrales'!B76</f>
        <v>1</v>
      </c>
      <c r="N76" s="69" t="b">
        <f>F76='[1]Necesidades Trimestrales'!E76</f>
        <v>1</v>
      </c>
      <c r="O76" s="72" t="b">
        <f>G76='[1]Necesidades Trimestrales'!F76</f>
        <v>1</v>
      </c>
      <c r="P76" s="72" t="b">
        <f>B77='[2]Necesidades Trimestrales'!B76</f>
        <v>1</v>
      </c>
      <c r="Q76" s="72" t="b">
        <f>F76='[2]Necesidades Trimestrales'!E76</f>
        <v>1</v>
      </c>
      <c r="R76" s="72" t="b">
        <f>G76='[2]Necesidades Trimestrales'!F76</f>
        <v>1</v>
      </c>
      <c r="S76" s="187">
        <f>+I76-'[2]Necesidades Trimestrales'!H76</f>
        <v>0</v>
      </c>
    </row>
    <row r="77" spans="1:19" ht="58.5" customHeight="1" x14ac:dyDescent="0.2">
      <c r="A77" s="188">
        <v>68</v>
      </c>
      <c r="B77" s="188" t="s">
        <v>421</v>
      </c>
      <c r="C77" s="190" t="s">
        <v>200</v>
      </c>
      <c r="D77" s="191">
        <v>252</v>
      </c>
      <c r="E77" s="201" t="s">
        <v>478</v>
      </c>
      <c r="F77" s="192" t="s">
        <v>464</v>
      </c>
      <c r="G77" s="188" t="s">
        <v>20</v>
      </c>
      <c r="H77" s="194"/>
      <c r="I77" s="195">
        <v>7674.54</v>
      </c>
      <c r="J77" s="196">
        <f t="shared" si="1"/>
        <v>0</v>
      </c>
      <c r="K77" s="69" t="s">
        <v>464</v>
      </c>
      <c r="L77" s="70" t="b">
        <f>K77=F77</f>
        <v>1</v>
      </c>
      <c r="M77" s="72" t="b">
        <f>B78='[1]Necesidades Trimestrales'!B77</f>
        <v>1</v>
      </c>
      <c r="N77" s="69" t="b">
        <f>F77='[1]Necesidades Trimestrales'!E77</f>
        <v>1</v>
      </c>
      <c r="O77" s="72" t="b">
        <f>G77='[1]Necesidades Trimestrales'!F77</f>
        <v>1</v>
      </c>
      <c r="P77" s="72" t="b">
        <f>B78='[2]Necesidades Trimestrales'!B77</f>
        <v>1</v>
      </c>
      <c r="Q77" s="72" t="b">
        <f>F77='[2]Necesidades Trimestrales'!E77</f>
        <v>1</v>
      </c>
      <c r="R77" s="72" t="b">
        <f>G77='[2]Necesidades Trimestrales'!F77</f>
        <v>1</v>
      </c>
      <c r="S77" s="187">
        <f>+I77-'[2]Necesidades Trimestrales'!H77</f>
        <v>0</v>
      </c>
    </row>
    <row r="78" spans="1:19" ht="58.5" customHeight="1" x14ac:dyDescent="0.2">
      <c r="A78" s="188">
        <v>69</v>
      </c>
      <c r="B78" s="211" t="s">
        <v>422</v>
      </c>
      <c r="C78" s="190" t="s">
        <v>200</v>
      </c>
      <c r="D78" s="191">
        <v>252</v>
      </c>
      <c r="E78" s="201" t="s">
        <v>81</v>
      </c>
      <c r="F78" s="198" t="s">
        <v>350</v>
      </c>
      <c r="G78" s="188" t="s">
        <v>20</v>
      </c>
      <c r="H78" s="194"/>
      <c r="I78" s="195">
        <v>45</v>
      </c>
      <c r="J78" s="196">
        <f t="shared" si="1"/>
        <v>0</v>
      </c>
      <c r="K78" s="69" t="s">
        <v>350</v>
      </c>
      <c r="L78" s="70" t="b">
        <f>K78=F78</f>
        <v>1</v>
      </c>
      <c r="M78" s="72" t="b">
        <f>B79='[1]Necesidades Trimestrales'!B78</f>
        <v>1</v>
      </c>
      <c r="N78" s="69" t="b">
        <f>F78='[1]Necesidades Trimestrales'!E78</f>
        <v>1</v>
      </c>
      <c r="O78" s="72" t="b">
        <f>G78='[1]Necesidades Trimestrales'!F78</f>
        <v>1</v>
      </c>
      <c r="P78" s="72" t="b">
        <f>B79='[2]Necesidades Trimestrales'!B78</f>
        <v>1</v>
      </c>
      <c r="Q78" s="72" t="b">
        <f>F78='[2]Necesidades Trimestrales'!E78</f>
        <v>1</v>
      </c>
      <c r="R78" s="72" t="b">
        <f>G78='[2]Necesidades Trimestrales'!F78</f>
        <v>1</v>
      </c>
      <c r="S78" s="187">
        <f>+I78-'[2]Necesidades Trimestrales'!H78</f>
        <v>0</v>
      </c>
    </row>
    <row r="79" spans="1:19" ht="58.5" customHeight="1" x14ac:dyDescent="0.2">
      <c r="A79" s="188">
        <v>70</v>
      </c>
      <c r="B79" s="197" t="s">
        <v>243</v>
      </c>
      <c r="C79" s="190" t="s">
        <v>200</v>
      </c>
      <c r="D79" s="191">
        <v>252</v>
      </c>
      <c r="E79" s="199" t="s">
        <v>82</v>
      </c>
      <c r="F79" s="198" t="s">
        <v>351</v>
      </c>
      <c r="G79" s="188" t="s">
        <v>22</v>
      </c>
      <c r="H79" s="194"/>
      <c r="I79" s="195">
        <v>85</v>
      </c>
      <c r="J79" s="196">
        <f t="shared" si="1"/>
        <v>0</v>
      </c>
      <c r="K79" s="69" t="s">
        <v>351</v>
      </c>
      <c r="L79" s="70" t="b">
        <f>K79=F79</f>
        <v>1</v>
      </c>
      <c r="M79" s="72" t="b">
        <f>B80='[1]Necesidades Trimestrales'!B79</f>
        <v>1</v>
      </c>
      <c r="N79" s="69" t="b">
        <f>F79='[1]Necesidades Trimestrales'!E79</f>
        <v>1</v>
      </c>
      <c r="O79" s="72" t="b">
        <f>G79='[1]Necesidades Trimestrales'!F79</f>
        <v>1</v>
      </c>
      <c r="P79" s="72" t="b">
        <f>B80='[2]Necesidades Trimestrales'!B79</f>
        <v>1</v>
      </c>
      <c r="Q79" s="72" t="b">
        <f>F79='[2]Necesidades Trimestrales'!E79</f>
        <v>1</v>
      </c>
      <c r="R79" s="72" t="b">
        <f>G79='[2]Necesidades Trimestrales'!F79</f>
        <v>1</v>
      </c>
      <c r="S79" s="187">
        <f>+I79-'[2]Necesidades Trimestrales'!H79</f>
        <v>0</v>
      </c>
    </row>
    <row r="80" spans="1:19" ht="58.5" customHeight="1" x14ac:dyDescent="0.2">
      <c r="A80" s="188">
        <v>71</v>
      </c>
      <c r="B80" s="197" t="s">
        <v>244</v>
      </c>
      <c r="C80" s="190" t="s">
        <v>200</v>
      </c>
      <c r="D80" s="191">
        <v>252</v>
      </c>
      <c r="E80" s="201" t="s">
        <v>83</v>
      </c>
      <c r="F80" s="198" t="s">
        <v>493</v>
      </c>
      <c r="G80" s="188" t="s">
        <v>20</v>
      </c>
      <c r="H80" s="194"/>
      <c r="I80" s="195">
        <v>45</v>
      </c>
      <c r="J80" s="196">
        <f t="shared" si="1"/>
        <v>0</v>
      </c>
      <c r="K80" s="69" t="s">
        <v>493</v>
      </c>
      <c r="L80" s="70" t="b">
        <f>K80=F80</f>
        <v>1</v>
      </c>
      <c r="M80" s="72" t="b">
        <f>B81='[1]Necesidades Trimestrales'!B80</f>
        <v>0</v>
      </c>
      <c r="N80" s="69" t="b">
        <f>F80='[1]Necesidades Trimestrales'!E80</f>
        <v>0</v>
      </c>
      <c r="O80" s="72" t="b">
        <f>G80='[1]Necesidades Trimestrales'!F80</f>
        <v>1</v>
      </c>
      <c r="P80" s="72" t="b">
        <f>B81='[2]Necesidades Trimestrales'!B80</f>
        <v>1</v>
      </c>
      <c r="Q80" s="72" t="b">
        <f>F80='[2]Necesidades Trimestrales'!E80</f>
        <v>1</v>
      </c>
      <c r="R80" s="72" t="b">
        <f>G80='[2]Necesidades Trimestrales'!F80</f>
        <v>1</v>
      </c>
      <c r="S80" s="187">
        <f>+I80-'[2]Necesidades Trimestrales'!H80</f>
        <v>0</v>
      </c>
    </row>
    <row r="81" spans="1:19" ht="58.5" customHeight="1" x14ac:dyDescent="0.2">
      <c r="A81" s="188">
        <v>72</v>
      </c>
      <c r="B81" s="197" t="s">
        <v>492</v>
      </c>
      <c r="C81" s="190" t="s">
        <v>200</v>
      </c>
      <c r="D81" s="191">
        <v>252</v>
      </c>
      <c r="E81" s="201" t="s">
        <v>84</v>
      </c>
      <c r="F81" s="198" t="s">
        <v>352</v>
      </c>
      <c r="G81" s="188" t="s">
        <v>17</v>
      </c>
      <c r="H81" s="194"/>
      <c r="I81" s="195">
        <v>4.8</v>
      </c>
      <c r="J81" s="196">
        <f t="shared" si="1"/>
        <v>0</v>
      </c>
      <c r="K81" s="69" t="s">
        <v>352</v>
      </c>
      <c r="L81" s="70" t="b">
        <f>K81=F81</f>
        <v>1</v>
      </c>
      <c r="M81" s="72" t="b">
        <f>B82='[1]Necesidades Trimestrales'!B81</f>
        <v>1</v>
      </c>
      <c r="N81" s="69" t="b">
        <f>F81='[1]Necesidades Trimestrales'!E81</f>
        <v>1</v>
      </c>
      <c r="O81" s="72" t="b">
        <f>G81='[1]Necesidades Trimestrales'!F81</f>
        <v>1</v>
      </c>
      <c r="P81" s="72" t="b">
        <f>B82='[2]Necesidades Trimestrales'!B81</f>
        <v>1</v>
      </c>
      <c r="Q81" s="72" t="b">
        <f>F81='[2]Necesidades Trimestrales'!E81</f>
        <v>1</v>
      </c>
      <c r="R81" s="72" t="b">
        <f>G81='[2]Necesidades Trimestrales'!F81</f>
        <v>1</v>
      </c>
      <c r="S81" s="187">
        <f>+I81-'[2]Necesidades Trimestrales'!H81</f>
        <v>0</v>
      </c>
    </row>
    <row r="82" spans="1:19" ht="58.5" customHeight="1" x14ac:dyDescent="0.2">
      <c r="A82" s="188">
        <v>73</v>
      </c>
      <c r="B82" s="197" t="s">
        <v>245</v>
      </c>
      <c r="C82" s="190" t="s">
        <v>200</v>
      </c>
      <c r="D82" s="191">
        <v>252</v>
      </c>
      <c r="E82" s="204" t="s">
        <v>479</v>
      </c>
      <c r="F82" s="198" t="s">
        <v>353</v>
      </c>
      <c r="G82" s="188" t="s">
        <v>20</v>
      </c>
      <c r="H82" s="194"/>
      <c r="I82" s="195">
        <v>632</v>
      </c>
      <c r="J82" s="196">
        <f t="shared" si="1"/>
        <v>0</v>
      </c>
      <c r="K82" s="69" t="s">
        <v>353</v>
      </c>
      <c r="L82" s="70" t="b">
        <f>K82=F82</f>
        <v>1</v>
      </c>
      <c r="M82" s="72" t="b">
        <f>B83='[1]Necesidades Trimestrales'!B82</f>
        <v>1</v>
      </c>
      <c r="N82" s="69" t="b">
        <f>F82='[1]Necesidades Trimestrales'!E82</f>
        <v>1</v>
      </c>
      <c r="O82" s="72" t="b">
        <f>G82='[1]Necesidades Trimestrales'!F82</f>
        <v>1</v>
      </c>
      <c r="P82" s="72" t="b">
        <f>B83='[2]Necesidades Trimestrales'!B82</f>
        <v>1</v>
      </c>
      <c r="Q82" s="72" t="b">
        <f>F82='[2]Necesidades Trimestrales'!E82</f>
        <v>1</v>
      </c>
      <c r="R82" s="72" t="b">
        <f>G82='[2]Necesidades Trimestrales'!F82</f>
        <v>1</v>
      </c>
      <c r="S82" s="187">
        <f>+I82-'[2]Necesidades Trimestrales'!H82</f>
        <v>0</v>
      </c>
    </row>
    <row r="83" spans="1:19" ht="58.5" customHeight="1" x14ac:dyDescent="0.2">
      <c r="A83" s="188">
        <v>74</v>
      </c>
      <c r="B83" s="197" t="s">
        <v>246</v>
      </c>
      <c r="C83" s="190" t="s">
        <v>200</v>
      </c>
      <c r="D83" s="191">
        <v>252</v>
      </c>
      <c r="E83" s="204" t="s">
        <v>391</v>
      </c>
      <c r="F83" s="198" t="s">
        <v>465</v>
      </c>
      <c r="G83" s="211" t="s">
        <v>132</v>
      </c>
      <c r="H83" s="194"/>
      <c r="I83" s="195">
        <v>2390</v>
      </c>
      <c r="J83" s="196">
        <f t="shared" si="1"/>
        <v>0</v>
      </c>
      <c r="K83" s="69" t="s">
        <v>465</v>
      </c>
      <c r="L83" s="70" t="b">
        <f>K83=F83</f>
        <v>1</v>
      </c>
      <c r="M83" s="72" t="b">
        <f>B84='[1]Necesidades Trimestrales'!B83</f>
        <v>1</v>
      </c>
      <c r="N83" s="69" t="b">
        <f>F83='[1]Necesidades Trimestrales'!E83</f>
        <v>1</v>
      </c>
      <c r="O83" s="72" t="b">
        <f>G83='[1]Necesidades Trimestrales'!F83</f>
        <v>1</v>
      </c>
      <c r="P83" s="72" t="b">
        <f>B84='[2]Necesidades Trimestrales'!B83</f>
        <v>1</v>
      </c>
      <c r="Q83" s="72" t="b">
        <f>F83='[2]Necesidades Trimestrales'!E83</f>
        <v>1</v>
      </c>
      <c r="R83" s="72" t="b">
        <f>G83='[2]Necesidades Trimestrales'!F83</f>
        <v>1</v>
      </c>
      <c r="S83" s="187">
        <f>+I83-'[2]Necesidades Trimestrales'!H83</f>
        <v>0</v>
      </c>
    </row>
    <row r="84" spans="1:19" ht="58.5" customHeight="1" x14ac:dyDescent="0.2">
      <c r="A84" s="188">
        <v>75</v>
      </c>
      <c r="B84" s="197" t="s">
        <v>423</v>
      </c>
      <c r="C84" s="190" t="s">
        <v>200</v>
      </c>
      <c r="D84" s="191">
        <v>252</v>
      </c>
      <c r="E84" s="201" t="s">
        <v>85</v>
      </c>
      <c r="F84" s="192" t="s">
        <v>466</v>
      </c>
      <c r="G84" s="188" t="s">
        <v>86</v>
      </c>
      <c r="H84" s="194"/>
      <c r="I84" s="195">
        <v>8375</v>
      </c>
      <c r="J84" s="196">
        <f t="shared" si="1"/>
        <v>0</v>
      </c>
      <c r="K84" s="69" t="s">
        <v>466</v>
      </c>
      <c r="L84" s="70" t="b">
        <f>K84=F84</f>
        <v>1</v>
      </c>
      <c r="M84" s="72" t="b">
        <f>B85='[1]Necesidades Trimestrales'!B84</f>
        <v>1</v>
      </c>
      <c r="N84" s="69" t="b">
        <f>F84='[1]Necesidades Trimestrales'!E84</f>
        <v>1</v>
      </c>
      <c r="O84" s="72" t="b">
        <f>G84='[1]Necesidades Trimestrales'!F84</f>
        <v>1</v>
      </c>
      <c r="P84" s="72" t="b">
        <f>B85='[2]Necesidades Trimestrales'!B84</f>
        <v>1</v>
      </c>
      <c r="Q84" s="72" t="b">
        <f>F84='[2]Necesidades Trimestrales'!E84</f>
        <v>1</v>
      </c>
      <c r="R84" s="72" t="b">
        <f>G84='[2]Necesidades Trimestrales'!F84</f>
        <v>1</v>
      </c>
      <c r="S84" s="187">
        <f>+I84-'[2]Necesidades Trimestrales'!H84</f>
        <v>0</v>
      </c>
    </row>
    <row r="85" spans="1:19" ht="58.5" customHeight="1" x14ac:dyDescent="0.2">
      <c r="A85" s="188">
        <v>76</v>
      </c>
      <c r="B85" s="188" t="s">
        <v>424</v>
      </c>
      <c r="C85" s="190" t="s">
        <v>200</v>
      </c>
      <c r="D85" s="191">
        <v>252</v>
      </c>
      <c r="E85" s="204" t="s">
        <v>87</v>
      </c>
      <c r="F85" s="198" t="s">
        <v>354</v>
      </c>
      <c r="G85" s="188" t="s">
        <v>73</v>
      </c>
      <c r="H85" s="194"/>
      <c r="I85" s="195">
        <v>125640</v>
      </c>
      <c r="J85" s="196">
        <f t="shared" si="1"/>
        <v>0</v>
      </c>
      <c r="K85" s="69" t="s">
        <v>354</v>
      </c>
      <c r="L85" s="70" t="b">
        <f>K85=F85</f>
        <v>1</v>
      </c>
      <c r="M85" s="72" t="b">
        <f>B86='[1]Necesidades Trimestrales'!B85</f>
        <v>1</v>
      </c>
      <c r="N85" s="69" t="b">
        <f>F85='[1]Necesidades Trimestrales'!E85</f>
        <v>1</v>
      </c>
      <c r="O85" s="72" t="b">
        <f>G85='[1]Necesidades Trimestrales'!F85</f>
        <v>1</v>
      </c>
      <c r="P85" s="72" t="b">
        <f>B86='[2]Necesidades Trimestrales'!B85</f>
        <v>1</v>
      </c>
      <c r="Q85" s="72" t="b">
        <f>F85='[2]Necesidades Trimestrales'!E85</f>
        <v>1</v>
      </c>
      <c r="R85" s="72" t="b">
        <f>G85='[2]Necesidades Trimestrales'!F85</f>
        <v>1</v>
      </c>
      <c r="S85" s="187">
        <f>+I85-'[2]Necesidades Trimestrales'!H85</f>
        <v>0</v>
      </c>
    </row>
    <row r="86" spans="1:19" ht="58.5" customHeight="1" x14ac:dyDescent="0.2">
      <c r="A86" s="188">
        <v>77</v>
      </c>
      <c r="B86" s="197" t="s">
        <v>247</v>
      </c>
      <c r="C86" s="190" t="s">
        <v>200</v>
      </c>
      <c r="D86" s="191">
        <v>252</v>
      </c>
      <c r="E86" s="201" t="s">
        <v>88</v>
      </c>
      <c r="F86" s="198" t="s">
        <v>355</v>
      </c>
      <c r="G86" s="188" t="s">
        <v>73</v>
      </c>
      <c r="H86" s="194"/>
      <c r="I86" s="195">
        <v>31000</v>
      </c>
      <c r="J86" s="196">
        <f t="shared" si="1"/>
        <v>0</v>
      </c>
      <c r="K86" s="69" t="s">
        <v>355</v>
      </c>
      <c r="L86" s="70" t="b">
        <f>K86=F86</f>
        <v>1</v>
      </c>
      <c r="M86" s="72" t="b">
        <f>B87='[1]Necesidades Trimestrales'!B86</f>
        <v>1</v>
      </c>
      <c r="N86" s="69" t="b">
        <f>F86='[1]Necesidades Trimestrales'!E86</f>
        <v>1</v>
      </c>
      <c r="O86" s="72" t="b">
        <f>G86='[1]Necesidades Trimestrales'!F86</f>
        <v>1</v>
      </c>
      <c r="P86" s="72" t="b">
        <f>B87='[2]Necesidades Trimestrales'!B86</f>
        <v>1</v>
      </c>
      <c r="Q86" s="72" t="b">
        <f>F86='[2]Necesidades Trimestrales'!E86</f>
        <v>1</v>
      </c>
      <c r="R86" s="72" t="b">
        <f>G86='[2]Necesidades Trimestrales'!F86</f>
        <v>1</v>
      </c>
      <c r="S86" s="187">
        <f>+I86-'[2]Necesidades Trimestrales'!H86</f>
        <v>0</v>
      </c>
    </row>
    <row r="87" spans="1:19" ht="58.5" customHeight="1" x14ac:dyDescent="0.2">
      <c r="A87" s="188">
        <v>78</v>
      </c>
      <c r="B87" s="197" t="s">
        <v>248</v>
      </c>
      <c r="C87" s="190" t="s">
        <v>200</v>
      </c>
      <c r="D87" s="191">
        <v>252</v>
      </c>
      <c r="E87" s="206" t="s">
        <v>89</v>
      </c>
      <c r="F87" s="198" t="s">
        <v>356</v>
      </c>
      <c r="G87" s="188" t="s">
        <v>73</v>
      </c>
      <c r="H87" s="194"/>
      <c r="I87" s="195">
        <v>59000</v>
      </c>
      <c r="J87" s="196">
        <f t="shared" si="1"/>
        <v>0</v>
      </c>
      <c r="K87" s="69" t="s">
        <v>356</v>
      </c>
      <c r="L87" s="70" t="b">
        <f>K87=F87</f>
        <v>1</v>
      </c>
      <c r="M87" s="72" t="b">
        <f>B88='[1]Necesidades Trimestrales'!B87</f>
        <v>1</v>
      </c>
      <c r="N87" s="69" t="b">
        <f>F87='[1]Necesidades Trimestrales'!E87</f>
        <v>1</v>
      </c>
      <c r="O87" s="72" t="b">
        <f>G87='[1]Necesidades Trimestrales'!F87</f>
        <v>1</v>
      </c>
      <c r="P87" s="72" t="b">
        <f>B88='[2]Necesidades Trimestrales'!B87</f>
        <v>1</v>
      </c>
      <c r="Q87" s="72" t="b">
        <f>F87='[2]Necesidades Trimestrales'!E87</f>
        <v>1</v>
      </c>
      <c r="R87" s="72" t="b">
        <f>G87='[2]Necesidades Trimestrales'!F87</f>
        <v>1</v>
      </c>
      <c r="S87" s="187">
        <f>+I87-'[2]Necesidades Trimestrales'!H87</f>
        <v>0</v>
      </c>
    </row>
    <row r="88" spans="1:19" ht="58.5" customHeight="1" x14ac:dyDescent="0.2">
      <c r="A88" s="188">
        <v>79</v>
      </c>
      <c r="B88" s="197" t="s">
        <v>249</v>
      </c>
      <c r="C88" s="188"/>
      <c r="D88" s="191">
        <v>252</v>
      </c>
      <c r="E88" s="201" t="s">
        <v>90</v>
      </c>
      <c r="F88" s="192" t="s">
        <v>467</v>
      </c>
      <c r="G88" s="188" t="s">
        <v>73</v>
      </c>
      <c r="H88" s="194"/>
      <c r="I88" s="195">
        <v>69000</v>
      </c>
      <c r="J88" s="196">
        <f t="shared" si="1"/>
        <v>0</v>
      </c>
      <c r="K88" s="69" t="s">
        <v>467</v>
      </c>
      <c r="L88" s="70" t="b">
        <f>K88=F88</f>
        <v>1</v>
      </c>
      <c r="M88" s="72" t="b">
        <f>B89='[1]Necesidades Trimestrales'!B88</f>
        <v>1</v>
      </c>
      <c r="N88" s="69" t="b">
        <f>F88='[1]Necesidades Trimestrales'!E88</f>
        <v>1</v>
      </c>
      <c r="O88" s="72" t="b">
        <f>G88='[1]Necesidades Trimestrales'!F88</f>
        <v>1</v>
      </c>
      <c r="P88" s="72" t="b">
        <f>B89='[2]Necesidades Trimestrales'!B88</f>
        <v>1</v>
      </c>
      <c r="Q88" s="72" t="b">
        <f>F88='[2]Necesidades Trimestrales'!E88</f>
        <v>1</v>
      </c>
      <c r="R88" s="72" t="b">
        <f>G88='[2]Necesidades Trimestrales'!F88</f>
        <v>1</v>
      </c>
      <c r="S88" s="187">
        <f>+I88-'[2]Necesidades Trimestrales'!H88</f>
        <v>0</v>
      </c>
    </row>
    <row r="89" spans="1:19" ht="58.5" customHeight="1" x14ac:dyDescent="0.2">
      <c r="A89" s="188">
        <v>80</v>
      </c>
      <c r="B89" s="188" t="s">
        <v>425</v>
      </c>
      <c r="C89" s="190" t="s">
        <v>200</v>
      </c>
      <c r="D89" s="191">
        <v>252</v>
      </c>
      <c r="E89" s="214" t="s">
        <v>91</v>
      </c>
      <c r="F89" s="192" t="s">
        <v>357</v>
      </c>
      <c r="G89" s="188" t="s">
        <v>17</v>
      </c>
      <c r="H89" s="194"/>
      <c r="I89" s="195">
        <v>65</v>
      </c>
      <c r="J89" s="196">
        <f t="shared" si="1"/>
        <v>0</v>
      </c>
      <c r="K89" s="69" t="s">
        <v>357</v>
      </c>
      <c r="L89" s="70" t="b">
        <f>K89=F89</f>
        <v>1</v>
      </c>
      <c r="M89" s="72" t="b">
        <f>B90='[1]Necesidades Trimestrales'!B89</f>
        <v>1</v>
      </c>
      <c r="N89" s="69" t="b">
        <f>F89='[1]Necesidades Trimestrales'!E89</f>
        <v>1</v>
      </c>
      <c r="O89" s="72" t="b">
        <f>G89='[1]Necesidades Trimestrales'!F89</f>
        <v>1</v>
      </c>
      <c r="P89" s="72" t="b">
        <f>B90='[2]Necesidades Trimestrales'!B89</f>
        <v>1</v>
      </c>
      <c r="Q89" s="72" t="b">
        <f>F89='[2]Necesidades Trimestrales'!E89</f>
        <v>1</v>
      </c>
      <c r="R89" s="72" t="b">
        <f>G89='[2]Necesidades Trimestrales'!F89</f>
        <v>1</v>
      </c>
      <c r="S89" s="187">
        <f>+I89-'[2]Necesidades Trimestrales'!H89</f>
        <v>0</v>
      </c>
    </row>
    <row r="90" spans="1:19" ht="58.5" customHeight="1" x14ac:dyDescent="0.2">
      <c r="A90" s="188">
        <v>81</v>
      </c>
      <c r="B90" s="189" t="s">
        <v>250</v>
      </c>
      <c r="C90" s="190" t="s">
        <v>200</v>
      </c>
      <c r="D90" s="191">
        <v>252</v>
      </c>
      <c r="E90" s="199" t="s">
        <v>92</v>
      </c>
      <c r="F90" s="192" t="s">
        <v>358</v>
      </c>
      <c r="G90" s="188" t="s">
        <v>20</v>
      </c>
      <c r="H90" s="194"/>
      <c r="I90" s="195">
        <v>1950</v>
      </c>
      <c r="J90" s="196">
        <f t="shared" si="1"/>
        <v>0</v>
      </c>
      <c r="K90" s="69" t="s">
        <v>358</v>
      </c>
      <c r="L90" s="70" t="b">
        <f>K90=F90</f>
        <v>1</v>
      </c>
      <c r="M90" s="72" t="b">
        <f>B91='[1]Necesidades Trimestrales'!B90</f>
        <v>1</v>
      </c>
      <c r="N90" s="69" t="b">
        <f>F90='[1]Necesidades Trimestrales'!E90</f>
        <v>1</v>
      </c>
      <c r="O90" s="72" t="b">
        <f>G90='[1]Necesidades Trimestrales'!F90</f>
        <v>1</v>
      </c>
      <c r="P90" s="72" t="b">
        <f>B91='[2]Necesidades Trimestrales'!B90</f>
        <v>1</v>
      </c>
      <c r="Q90" s="72" t="b">
        <f>F90='[2]Necesidades Trimestrales'!E90</f>
        <v>1</v>
      </c>
      <c r="R90" s="72" t="b">
        <f>G90='[2]Necesidades Trimestrales'!F90</f>
        <v>1</v>
      </c>
      <c r="S90" s="187">
        <f>+I90-'[2]Necesidades Trimestrales'!H90</f>
        <v>0</v>
      </c>
    </row>
    <row r="91" spans="1:19" ht="58.5" customHeight="1" x14ac:dyDescent="0.2">
      <c r="A91" s="188">
        <v>82</v>
      </c>
      <c r="B91" s="189" t="s">
        <v>251</v>
      </c>
      <c r="C91" s="190" t="s">
        <v>200</v>
      </c>
      <c r="D91" s="191">
        <v>252</v>
      </c>
      <c r="E91" s="208" t="s">
        <v>93</v>
      </c>
      <c r="F91" s="192" t="s">
        <v>359</v>
      </c>
      <c r="G91" s="188" t="s">
        <v>17</v>
      </c>
      <c r="H91" s="194"/>
      <c r="I91" s="195">
        <v>3.3</v>
      </c>
      <c r="J91" s="196">
        <f t="shared" si="1"/>
        <v>0</v>
      </c>
      <c r="K91" s="69" t="s">
        <v>359</v>
      </c>
      <c r="L91" s="70" t="b">
        <f>K91=F91</f>
        <v>1</v>
      </c>
      <c r="M91" s="72" t="b">
        <f>B92='[1]Necesidades Trimestrales'!B91</f>
        <v>1</v>
      </c>
      <c r="N91" s="69" t="b">
        <f>F91='[1]Necesidades Trimestrales'!E91</f>
        <v>1</v>
      </c>
      <c r="O91" s="72" t="b">
        <f>G91='[1]Necesidades Trimestrales'!F91</f>
        <v>1</v>
      </c>
      <c r="P91" s="72" t="b">
        <f>B92='[2]Necesidades Trimestrales'!B91</f>
        <v>1</v>
      </c>
      <c r="Q91" s="72" t="b">
        <f>F91='[2]Necesidades Trimestrales'!E91</f>
        <v>1</v>
      </c>
      <c r="R91" s="72" t="b">
        <f>G91='[2]Necesidades Trimestrales'!F91</f>
        <v>1</v>
      </c>
      <c r="S91" s="187">
        <f>+I91-'[2]Necesidades Trimestrales'!H91</f>
        <v>0</v>
      </c>
    </row>
    <row r="92" spans="1:19" ht="58.5" customHeight="1" x14ac:dyDescent="0.2">
      <c r="A92" s="188">
        <v>83</v>
      </c>
      <c r="B92" s="189" t="s">
        <v>253</v>
      </c>
      <c r="C92" s="190" t="s">
        <v>200</v>
      </c>
      <c r="D92" s="191">
        <v>252</v>
      </c>
      <c r="E92" s="201" t="s">
        <v>94</v>
      </c>
      <c r="F92" s="192" t="s">
        <v>360</v>
      </c>
      <c r="G92" s="188" t="s">
        <v>20</v>
      </c>
      <c r="H92" s="194"/>
      <c r="I92" s="195">
        <v>56</v>
      </c>
      <c r="J92" s="196">
        <f t="shared" si="1"/>
        <v>0</v>
      </c>
      <c r="K92" s="69" t="s">
        <v>360</v>
      </c>
      <c r="L92" s="70" t="b">
        <f>K92=F92</f>
        <v>1</v>
      </c>
      <c r="M92" s="72" t="b">
        <f>B93='[1]Necesidades Trimestrales'!B92</f>
        <v>1</v>
      </c>
      <c r="N92" s="69" t="b">
        <f>F92='[1]Necesidades Trimestrales'!E92</f>
        <v>1</v>
      </c>
      <c r="O92" s="72" t="b">
        <f>G92='[1]Necesidades Trimestrales'!F92</f>
        <v>1</v>
      </c>
      <c r="P92" s="72" t="b">
        <f>B93='[2]Necesidades Trimestrales'!B92</f>
        <v>1</v>
      </c>
      <c r="Q92" s="72" t="b">
        <f>F92='[2]Necesidades Trimestrales'!E92</f>
        <v>1</v>
      </c>
      <c r="R92" s="72" t="b">
        <f>G92='[2]Necesidades Trimestrales'!F92</f>
        <v>1</v>
      </c>
      <c r="S92" s="187">
        <f>+I92-'[2]Necesidades Trimestrales'!H92</f>
        <v>0</v>
      </c>
    </row>
    <row r="93" spans="1:19" ht="58.5" customHeight="1" x14ac:dyDescent="0.2">
      <c r="A93" s="188">
        <v>84</v>
      </c>
      <c r="B93" s="189" t="s">
        <v>252</v>
      </c>
      <c r="C93" s="190" t="s">
        <v>200</v>
      </c>
      <c r="D93" s="191">
        <v>252</v>
      </c>
      <c r="E93" s="201" t="s">
        <v>95</v>
      </c>
      <c r="F93" s="192" t="s">
        <v>361</v>
      </c>
      <c r="G93" s="188" t="s">
        <v>17</v>
      </c>
      <c r="H93" s="194"/>
      <c r="I93" s="195">
        <v>15.6</v>
      </c>
      <c r="J93" s="196">
        <f t="shared" si="1"/>
        <v>0</v>
      </c>
      <c r="K93" s="69" t="s">
        <v>361</v>
      </c>
      <c r="L93" s="70" t="b">
        <f>K93=F93</f>
        <v>1</v>
      </c>
      <c r="M93" s="72" t="b">
        <f>B94='[1]Necesidades Trimestrales'!B93</f>
        <v>1</v>
      </c>
      <c r="N93" s="69" t="b">
        <f>F93='[1]Necesidades Trimestrales'!E93</f>
        <v>1</v>
      </c>
      <c r="O93" s="72" t="b">
        <f>G93='[1]Necesidades Trimestrales'!F93</f>
        <v>1</v>
      </c>
      <c r="P93" s="72" t="b">
        <f>B94='[2]Necesidades Trimestrales'!B93</f>
        <v>1</v>
      </c>
      <c r="Q93" s="72" t="b">
        <f>F93='[2]Necesidades Trimestrales'!E93</f>
        <v>1</v>
      </c>
      <c r="R93" s="72" t="b">
        <f>G93='[2]Necesidades Trimestrales'!F93</f>
        <v>1</v>
      </c>
      <c r="S93" s="187">
        <f>+I93-'[2]Necesidades Trimestrales'!H93</f>
        <v>0</v>
      </c>
    </row>
    <row r="94" spans="1:19" ht="58.5" customHeight="1" x14ac:dyDescent="0.2">
      <c r="A94" s="188">
        <v>85</v>
      </c>
      <c r="B94" s="189" t="s">
        <v>254</v>
      </c>
      <c r="C94" s="190" t="s">
        <v>200</v>
      </c>
      <c r="D94" s="191">
        <v>252</v>
      </c>
      <c r="E94" s="201" t="s">
        <v>96</v>
      </c>
      <c r="F94" s="192" t="s">
        <v>362</v>
      </c>
      <c r="G94" s="188" t="s">
        <v>20</v>
      </c>
      <c r="H94" s="194"/>
      <c r="I94" s="195">
        <v>35</v>
      </c>
      <c r="J94" s="196">
        <f t="shared" si="1"/>
        <v>0</v>
      </c>
      <c r="K94" s="69" t="s">
        <v>362</v>
      </c>
      <c r="L94" s="70" t="b">
        <f>K94=F94</f>
        <v>1</v>
      </c>
      <c r="M94" s="72" t="b">
        <f>B95='[1]Necesidades Trimestrales'!B94</f>
        <v>1</v>
      </c>
      <c r="N94" s="69" t="b">
        <f>F94='[1]Necesidades Trimestrales'!E94</f>
        <v>1</v>
      </c>
      <c r="O94" s="72" t="b">
        <f>G94='[1]Necesidades Trimestrales'!F94</f>
        <v>1</v>
      </c>
      <c r="P94" s="72" t="b">
        <f>B95='[2]Necesidades Trimestrales'!B94</f>
        <v>1</v>
      </c>
      <c r="Q94" s="72" t="b">
        <f>F94='[2]Necesidades Trimestrales'!E94</f>
        <v>1</v>
      </c>
      <c r="R94" s="72" t="b">
        <f>G94='[2]Necesidades Trimestrales'!F94</f>
        <v>1</v>
      </c>
      <c r="S94" s="187">
        <f>+I94-'[2]Necesidades Trimestrales'!H94</f>
        <v>0</v>
      </c>
    </row>
    <row r="95" spans="1:19" ht="58.5" customHeight="1" x14ac:dyDescent="0.2">
      <c r="A95" s="188">
        <v>86</v>
      </c>
      <c r="B95" s="189" t="s">
        <v>257</v>
      </c>
      <c r="C95" s="190" t="s">
        <v>200</v>
      </c>
      <c r="D95" s="191">
        <v>252</v>
      </c>
      <c r="E95" s="208" t="s">
        <v>97</v>
      </c>
      <c r="F95" s="192" t="s">
        <v>363</v>
      </c>
      <c r="G95" s="188" t="s">
        <v>20</v>
      </c>
      <c r="H95" s="194"/>
      <c r="I95" s="195">
        <v>325</v>
      </c>
      <c r="J95" s="196">
        <f t="shared" si="1"/>
        <v>0</v>
      </c>
      <c r="K95" s="69" t="s">
        <v>363</v>
      </c>
      <c r="L95" s="70" t="b">
        <f>K95=F95</f>
        <v>1</v>
      </c>
      <c r="M95" s="72" t="b">
        <f>B96='[1]Necesidades Trimestrales'!B95</f>
        <v>1</v>
      </c>
      <c r="N95" s="69" t="b">
        <f>F95='[1]Necesidades Trimestrales'!E95</f>
        <v>1</v>
      </c>
      <c r="O95" s="72" t="b">
        <f>G95='[1]Necesidades Trimestrales'!F95</f>
        <v>1</v>
      </c>
      <c r="P95" s="72" t="b">
        <f>B96='[2]Necesidades Trimestrales'!B95</f>
        <v>1</v>
      </c>
      <c r="Q95" s="72" t="b">
        <f>F95='[2]Necesidades Trimestrales'!E95</f>
        <v>1</v>
      </c>
      <c r="R95" s="72" t="b">
        <f>G95='[2]Necesidades Trimestrales'!F95</f>
        <v>1</v>
      </c>
      <c r="S95" s="187">
        <f>+I95-'[2]Necesidades Trimestrales'!H95</f>
        <v>0</v>
      </c>
    </row>
    <row r="96" spans="1:19" ht="58.5" customHeight="1" x14ac:dyDescent="0.2">
      <c r="A96" s="188">
        <v>87</v>
      </c>
      <c r="B96" s="189" t="s">
        <v>256</v>
      </c>
      <c r="C96" s="190" t="s">
        <v>200</v>
      </c>
      <c r="D96" s="191">
        <v>252</v>
      </c>
      <c r="E96" s="203" t="s">
        <v>98</v>
      </c>
      <c r="F96" s="192" t="s">
        <v>364</v>
      </c>
      <c r="G96" s="188" t="s">
        <v>20</v>
      </c>
      <c r="H96" s="215"/>
      <c r="I96" s="216">
        <v>493</v>
      </c>
      <c r="J96" s="196">
        <f t="shared" si="1"/>
        <v>0</v>
      </c>
      <c r="K96" s="69" t="s">
        <v>364</v>
      </c>
      <c r="L96" s="70" t="b">
        <f>K96=F96</f>
        <v>1</v>
      </c>
      <c r="M96" s="72" t="b">
        <f>B97='[1]Necesidades Trimestrales'!B96</f>
        <v>1</v>
      </c>
      <c r="N96" s="69" t="b">
        <f>F96='[1]Necesidades Trimestrales'!E96</f>
        <v>1</v>
      </c>
      <c r="O96" s="72" t="b">
        <f>G96='[1]Necesidades Trimestrales'!F96</f>
        <v>1</v>
      </c>
      <c r="P96" s="72" t="b">
        <f>B97='[2]Necesidades Trimestrales'!B96</f>
        <v>1</v>
      </c>
      <c r="Q96" s="72" t="b">
        <f>F96='[2]Necesidades Trimestrales'!E96</f>
        <v>1</v>
      </c>
      <c r="R96" s="72" t="b">
        <f>G96='[2]Necesidades Trimestrales'!F96</f>
        <v>1</v>
      </c>
      <c r="S96" s="187">
        <f>+I96-'[2]Necesidades Trimestrales'!H96</f>
        <v>0</v>
      </c>
    </row>
    <row r="97" spans="1:19" ht="58.5" customHeight="1" x14ac:dyDescent="0.2">
      <c r="A97" s="188">
        <v>88</v>
      </c>
      <c r="B97" s="189" t="s">
        <v>255</v>
      </c>
      <c r="C97" s="190" t="s">
        <v>200</v>
      </c>
      <c r="D97" s="191">
        <v>252</v>
      </c>
      <c r="E97" s="208" t="s">
        <v>99</v>
      </c>
      <c r="F97" s="192" t="s">
        <v>365</v>
      </c>
      <c r="G97" s="188" t="s">
        <v>73</v>
      </c>
      <c r="H97" s="194"/>
      <c r="I97" s="195">
        <v>640</v>
      </c>
      <c r="J97" s="196">
        <f t="shared" si="1"/>
        <v>0</v>
      </c>
      <c r="K97" s="69" t="s">
        <v>365</v>
      </c>
      <c r="L97" s="70" t="b">
        <f>K97=F97</f>
        <v>1</v>
      </c>
      <c r="M97" s="72" t="b">
        <f>B98='[1]Necesidades Trimestrales'!B97</f>
        <v>1</v>
      </c>
      <c r="N97" s="69" t="b">
        <f>F97='[1]Necesidades Trimestrales'!E97</f>
        <v>1</v>
      </c>
      <c r="O97" s="72" t="b">
        <f>G97='[1]Necesidades Trimestrales'!F97</f>
        <v>1</v>
      </c>
      <c r="P97" s="72" t="b">
        <f>B98='[2]Necesidades Trimestrales'!B97</f>
        <v>1</v>
      </c>
      <c r="Q97" s="72" t="b">
        <f>F97='[2]Necesidades Trimestrales'!E97</f>
        <v>1</v>
      </c>
      <c r="R97" s="72" t="b">
        <f>G97='[2]Necesidades Trimestrales'!F97</f>
        <v>1</v>
      </c>
      <c r="S97" s="187">
        <f>+I97-'[2]Necesidades Trimestrales'!H97</f>
        <v>0</v>
      </c>
    </row>
    <row r="98" spans="1:19" ht="58.5" customHeight="1" x14ac:dyDescent="0.2">
      <c r="A98" s="188">
        <v>89</v>
      </c>
      <c r="B98" s="189" t="s">
        <v>260</v>
      </c>
      <c r="C98" s="190" t="s">
        <v>200</v>
      </c>
      <c r="D98" s="191">
        <v>252</v>
      </c>
      <c r="E98" s="208" t="s">
        <v>100</v>
      </c>
      <c r="F98" s="192" t="s">
        <v>366</v>
      </c>
      <c r="G98" s="188" t="s">
        <v>73</v>
      </c>
      <c r="H98" s="194"/>
      <c r="I98" s="195">
        <v>154.80000000000001</v>
      </c>
      <c r="J98" s="196">
        <f t="shared" si="1"/>
        <v>0</v>
      </c>
      <c r="K98" s="69" t="s">
        <v>366</v>
      </c>
      <c r="L98" s="70" t="b">
        <f>K98=F98</f>
        <v>1</v>
      </c>
      <c r="M98" s="72" t="b">
        <f>B99='[1]Necesidades Trimestrales'!B98</f>
        <v>1</v>
      </c>
      <c r="N98" s="69" t="b">
        <f>F98='[1]Necesidades Trimestrales'!E98</f>
        <v>1</v>
      </c>
      <c r="O98" s="72" t="b">
        <f>G98='[1]Necesidades Trimestrales'!F98</f>
        <v>1</v>
      </c>
      <c r="P98" s="72" t="b">
        <f>B99='[2]Necesidades Trimestrales'!B98</f>
        <v>1</v>
      </c>
      <c r="Q98" s="72" t="b">
        <f>F98='[2]Necesidades Trimestrales'!E98</f>
        <v>1</v>
      </c>
      <c r="R98" s="72" t="b">
        <f>G98='[2]Necesidades Trimestrales'!F98</f>
        <v>1</v>
      </c>
      <c r="S98" s="187">
        <f>+I98-'[2]Necesidades Trimestrales'!H98</f>
        <v>0</v>
      </c>
    </row>
    <row r="99" spans="1:19" ht="58.5" customHeight="1" x14ac:dyDescent="0.2">
      <c r="A99" s="188">
        <v>90</v>
      </c>
      <c r="B99" s="189" t="s">
        <v>259</v>
      </c>
      <c r="C99" s="190" t="s">
        <v>200</v>
      </c>
      <c r="D99" s="191">
        <v>252</v>
      </c>
      <c r="E99" s="199" t="s">
        <v>101</v>
      </c>
      <c r="F99" s="192" t="s">
        <v>367</v>
      </c>
      <c r="G99" s="188" t="s">
        <v>73</v>
      </c>
      <c r="H99" s="194"/>
      <c r="I99" s="195">
        <v>390</v>
      </c>
      <c r="J99" s="196">
        <f t="shared" si="1"/>
        <v>0</v>
      </c>
      <c r="K99" s="69" t="s">
        <v>367</v>
      </c>
      <c r="L99" s="70" t="b">
        <f>K99=F99</f>
        <v>1</v>
      </c>
      <c r="M99" s="72" t="b">
        <f>B100='[1]Necesidades Trimestrales'!B99</f>
        <v>1</v>
      </c>
      <c r="N99" s="69" t="b">
        <f>F99='[1]Necesidades Trimestrales'!E99</f>
        <v>1</v>
      </c>
      <c r="O99" s="72" t="b">
        <f>G99='[1]Necesidades Trimestrales'!F99</f>
        <v>1</v>
      </c>
      <c r="P99" s="72" t="b">
        <f>B100='[2]Necesidades Trimestrales'!B99</f>
        <v>1</v>
      </c>
      <c r="Q99" s="72" t="b">
        <f>F99='[2]Necesidades Trimestrales'!E99</f>
        <v>1</v>
      </c>
      <c r="R99" s="72" t="b">
        <f>G99='[2]Necesidades Trimestrales'!F99</f>
        <v>1</v>
      </c>
      <c r="S99" s="187">
        <f>+I99-'[2]Necesidades Trimestrales'!H99</f>
        <v>0</v>
      </c>
    </row>
    <row r="100" spans="1:19" ht="58.5" customHeight="1" x14ac:dyDescent="0.2">
      <c r="A100" s="188">
        <v>91</v>
      </c>
      <c r="B100" s="189" t="s">
        <v>258</v>
      </c>
      <c r="C100" s="190" t="s">
        <v>200</v>
      </c>
      <c r="D100" s="191">
        <v>252</v>
      </c>
      <c r="E100" s="201" t="s">
        <v>102</v>
      </c>
      <c r="F100" s="198" t="s">
        <v>368</v>
      </c>
      <c r="G100" s="188" t="s">
        <v>22</v>
      </c>
      <c r="H100" s="194"/>
      <c r="I100" s="195">
        <v>1815</v>
      </c>
      <c r="J100" s="196">
        <f t="shared" si="1"/>
        <v>0</v>
      </c>
      <c r="K100" s="69" t="s">
        <v>368</v>
      </c>
      <c r="L100" s="70" t="b">
        <f>K100=F100</f>
        <v>1</v>
      </c>
      <c r="M100" s="72" t="b">
        <f>B101='[1]Necesidades Trimestrales'!B100</f>
        <v>1</v>
      </c>
      <c r="N100" s="69" t="b">
        <f>F100='[1]Necesidades Trimestrales'!E100</f>
        <v>1</v>
      </c>
      <c r="O100" s="72" t="b">
        <f>G100='[1]Necesidades Trimestrales'!F100</f>
        <v>1</v>
      </c>
      <c r="P100" s="72" t="b">
        <f>B101='[2]Necesidades Trimestrales'!B100</f>
        <v>1</v>
      </c>
      <c r="Q100" s="72" t="b">
        <f>F100='[2]Necesidades Trimestrales'!E100</f>
        <v>1</v>
      </c>
      <c r="R100" s="72" t="b">
        <f>G100='[2]Necesidades Trimestrales'!F100</f>
        <v>1</v>
      </c>
      <c r="S100" s="187">
        <f>+I100-'[2]Necesidades Trimestrales'!H100</f>
        <v>0</v>
      </c>
    </row>
    <row r="101" spans="1:19" ht="58.5" customHeight="1" x14ac:dyDescent="0.2">
      <c r="A101" s="188">
        <v>92</v>
      </c>
      <c r="B101" s="189" t="s">
        <v>261</v>
      </c>
      <c r="C101" s="190" t="s">
        <v>200</v>
      </c>
      <c r="D101" s="191">
        <v>252</v>
      </c>
      <c r="E101" s="201" t="s">
        <v>103</v>
      </c>
      <c r="F101" s="192" t="s">
        <v>369</v>
      </c>
      <c r="G101" s="188" t="s">
        <v>17</v>
      </c>
      <c r="H101" s="194"/>
      <c r="I101" s="195">
        <v>65</v>
      </c>
      <c r="J101" s="196">
        <f t="shared" si="1"/>
        <v>0</v>
      </c>
      <c r="K101" s="69" t="s">
        <v>369</v>
      </c>
      <c r="L101" s="70" t="b">
        <f>K101=F101</f>
        <v>1</v>
      </c>
      <c r="M101" s="72" t="b">
        <f>B102='[1]Necesidades Trimestrales'!B101</f>
        <v>1</v>
      </c>
      <c r="N101" s="69" t="b">
        <f>F101='[1]Necesidades Trimestrales'!E101</f>
        <v>1</v>
      </c>
      <c r="O101" s="72" t="b">
        <f>G101='[1]Necesidades Trimestrales'!F101</f>
        <v>1</v>
      </c>
      <c r="P101" s="72" t="b">
        <f>B102='[2]Necesidades Trimestrales'!B101</f>
        <v>1</v>
      </c>
      <c r="Q101" s="72" t="b">
        <f>F101='[2]Necesidades Trimestrales'!E101</f>
        <v>1</v>
      </c>
      <c r="R101" s="72" t="b">
        <f>G101='[2]Necesidades Trimestrales'!F101</f>
        <v>1</v>
      </c>
      <c r="S101" s="187">
        <f>+I101-'[2]Necesidades Trimestrales'!H101</f>
        <v>0</v>
      </c>
    </row>
    <row r="102" spans="1:19" ht="58.5" customHeight="1" x14ac:dyDescent="0.2">
      <c r="A102" s="188">
        <v>93</v>
      </c>
      <c r="B102" s="189" t="s">
        <v>262</v>
      </c>
      <c r="C102" s="190" t="s">
        <v>200</v>
      </c>
      <c r="D102" s="191">
        <v>252</v>
      </c>
      <c r="E102" s="201" t="s">
        <v>104</v>
      </c>
      <c r="F102" s="192" t="s">
        <v>370</v>
      </c>
      <c r="G102" s="188" t="s">
        <v>22</v>
      </c>
      <c r="H102" s="194"/>
      <c r="I102" s="195">
        <v>360</v>
      </c>
      <c r="J102" s="196">
        <f t="shared" si="1"/>
        <v>0</v>
      </c>
      <c r="K102" s="69" t="s">
        <v>370</v>
      </c>
      <c r="L102" s="70" t="b">
        <f>K102=F102</f>
        <v>1</v>
      </c>
      <c r="M102" s="72" t="b">
        <f>B103='[1]Necesidades Trimestrales'!B102</f>
        <v>1</v>
      </c>
      <c r="N102" s="69" t="b">
        <f>F102='[1]Necesidades Trimestrales'!E102</f>
        <v>1</v>
      </c>
      <c r="O102" s="72" t="b">
        <f>G102='[1]Necesidades Trimestrales'!F102</f>
        <v>1</v>
      </c>
      <c r="P102" s="72" t="b">
        <f>B103='[2]Necesidades Trimestrales'!B102</f>
        <v>1</v>
      </c>
      <c r="Q102" s="72" t="b">
        <f>F102='[2]Necesidades Trimestrales'!E102</f>
        <v>1</v>
      </c>
      <c r="R102" s="72" t="b">
        <f>G102='[2]Necesidades Trimestrales'!F102</f>
        <v>1</v>
      </c>
      <c r="S102" s="187">
        <f>+I102-'[2]Necesidades Trimestrales'!H102</f>
        <v>0</v>
      </c>
    </row>
    <row r="103" spans="1:19" ht="58.5" customHeight="1" x14ac:dyDescent="0.2">
      <c r="A103" s="188">
        <v>94</v>
      </c>
      <c r="B103" s="189" t="s">
        <v>263</v>
      </c>
      <c r="C103" s="190" t="s">
        <v>200</v>
      </c>
      <c r="D103" s="191">
        <v>252</v>
      </c>
      <c r="E103" s="201" t="s">
        <v>105</v>
      </c>
      <c r="F103" s="192" t="s">
        <v>371</v>
      </c>
      <c r="G103" s="188" t="s">
        <v>20</v>
      </c>
      <c r="H103" s="194"/>
      <c r="I103" s="195">
        <v>590</v>
      </c>
      <c r="J103" s="196">
        <f t="shared" si="1"/>
        <v>0</v>
      </c>
      <c r="K103" s="69" t="s">
        <v>371</v>
      </c>
      <c r="L103" s="70" t="b">
        <f>K103=F103</f>
        <v>1</v>
      </c>
      <c r="M103" s="72" t="b">
        <f>B104='[1]Necesidades Trimestrales'!B103</f>
        <v>1</v>
      </c>
      <c r="N103" s="69" t="b">
        <f>F103='[1]Necesidades Trimestrales'!E103</f>
        <v>1</v>
      </c>
      <c r="O103" s="72" t="b">
        <f>G103='[1]Necesidades Trimestrales'!F103</f>
        <v>1</v>
      </c>
      <c r="P103" s="72" t="b">
        <f>B104='[2]Necesidades Trimestrales'!B103</f>
        <v>1</v>
      </c>
      <c r="Q103" s="72" t="b">
        <f>F103='[2]Necesidades Trimestrales'!E103</f>
        <v>1</v>
      </c>
      <c r="R103" s="72" t="b">
        <f>G103='[2]Necesidades Trimestrales'!F103</f>
        <v>1</v>
      </c>
      <c r="S103" s="187">
        <f>+I103-'[2]Necesidades Trimestrales'!H103</f>
        <v>0</v>
      </c>
    </row>
    <row r="104" spans="1:19" ht="58.5" customHeight="1" x14ac:dyDescent="0.2">
      <c r="A104" s="188">
        <v>95</v>
      </c>
      <c r="B104" s="189" t="s">
        <v>265</v>
      </c>
      <c r="C104" s="190" t="s">
        <v>200</v>
      </c>
      <c r="D104" s="191">
        <v>252</v>
      </c>
      <c r="E104" s="201" t="s">
        <v>106</v>
      </c>
      <c r="F104" s="192" t="s">
        <v>372</v>
      </c>
      <c r="G104" s="188" t="s">
        <v>20</v>
      </c>
      <c r="H104" s="194"/>
      <c r="I104" s="195">
        <v>380</v>
      </c>
      <c r="J104" s="196">
        <f t="shared" si="1"/>
        <v>0</v>
      </c>
      <c r="K104" s="69" t="s">
        <v>372</v>
      </c>
      <c r="L104" s="70" t="b">
        <f>K104=F104</f>
        <v>1</v>
      </c>
      <c r="M104" s="72" t="b">
        <f>B105='[1]Necesidades Trimestrales'!B104</f>
        <v>1</v>
      </c>
      <c r="N104" s="69" t="b">
        <f>F104='[1]Necesidades Trimestrales'!E104</f>
        <v>1</v>
      </c>
      <c r="O104" s="72" t="b">
        <f>G104='[1]Necesidades Trimestrales'!F104</f>
        <v>1</v>
      </c>
      <c r="P104" s="72" t="b">
        <f>B105='[2]Necesidades Trimestrales'!B104</f>
        <v>1</v>
      </c>
      <c r="Q104" s="72" t="b">
        <f>F104='[2]Necesidades Trimestrales'!E104</f>
        <v>1</v>
      </c>
      <c r="R104" s="72" t="b">
        <f>G104='[2]Necesidades Trimestrales'!F104</f>
        <v>1</v>
      </c>
      <c r="S104" s="187">
        <f>+I104-'[2]Necesidades Trimestrales'!H104</f>
        <v>0</v>
      </c>
    </row>
    <row r="105" spans="1:19" ht="58.5" customHeight="1" x14ac:dyDescent="0.2">
      <c r="A105" s="188">
        <v>96</v>
      </c>
      <c r="B105" s="189" t="s">
        <v>264</v>
      </c>
      <c r="C105" s="190" t="s">
        <v>200</v>
      </c>
      <c r="D105" s="191">
        <v>252</v>
      </c>
      <c r="E105" s="204" t="s">
        <v>107</v>
      </c>
      <c r="F105" s="204" t="s">
        <v>373</v>
      </c>
      <c r="G105" s="188" t="s">
        <v>22</v>
      </c>
      <c r="H105" s="194"/>
      <c r="I105" s="195">
        <v>169</v>
      </c>
      <c r="J105" s="196">
        <f t="shared" si="1"/>
        <v>0</v>
      </c>
      <c r="K105" s="69" t="s">
        <v>373</v>
      </c>
      <c r="L105" s="70" t="b">
        <f>K105=F105</f>
        <v>1</v>
      </c>
      <c r="M105" s="72" t="b">
        <f>B106='[1]Necesidades Trimestrales'!B105</f>
        <v>1</v>
      </c>
      <c r="N105" s="69" t="b">
        <f>F105='[1]Necesidades Trimestrales'!E105</f>
        <v>1</v>
      </c>
      <c r="O105" s="72" t="b">
        <f>G105='[1]Necesidades Trimestrales'!F105</f>
        <v>1</v>
      </c>
      <c r="P105" s="72" t="b">
        <f>B106='[2]Necesidades Trimestrales'!B105</f>
        <v>1</v>
      </c>
      <c r="Q105" s="72" t="b">
        <f>F105='[2]Necesidades Trimestrales'!E105</f>
        <v>1</v>
      </c>
      <c r="R105" s="72" t="b">
        <f>G105='[2]Necesidades Trimestrales'!F105</f>
        <v>1</v>
      </c>
      <c r="S105" s="187">
        <f>+I105-'[2]Necesidades Trimestrales'!H105</f>
        <v>0</v>
      </c>
    </row>
    <row r="106" spans="1:19" ht="58.5" customHeight="1" x14ac:dyDescent="0.2">
      <c r="A106" s="188">
        <v>97</v>
      </c>
      <c r="B106" s="189" t="s">
        <v>268</v>
      </c>
      <c r="C106" s="190" t="s">
        <v>200</v>
      </c>
      <c r="D106" s="191">
        <v>252</v>
      </c>
      <c r="E106" s="201" t="s">
        <v>108</v>
      </c>
      <c r="F106" s="192" t="s">
        <v>374</v>
      </c>
      <c r="G106" s="188" t="s">
        <v>17</v>
      </c>
      <c r="H106" s="194"/>
      <c r="I106" s="195">
        <v>7.3</v>
      </c>
      <c r="J106" s="196">
        <f t="shared" si="1"/>
        <v>0</v>
      </c>
      <c r="K106" s="69" t="s">
        <v>374</v>
      </c>
      <c r="L106" s="70" t="b">
        <f>K106=F106</f>
        <v>1</v>
      </c>
      <c r="M106" s="72" t="b">
        <f>B107='[1]Necesidades Trimestrales'!B106</f>
        <v>1</v>
      </c>
      <c r="N106" s="69" t="b">
        <f>F106='[1]Necesidades Trimestrales'!E106</f>
        <v>1</v>
      </c>
      <c r="O106" s="72" t="b">
        <f>G106='[1]Necesidades Trimestrales'!F106</f>
        <v>1</v>
      </c>
      <c r="P106" s="72" t="b">
        <f>B107='[2]Necesidades Trimestrales'!B106</f>
        <v>1</v>
      </c>
      <c r="Q106" s="72" t="b">
        <f>F106='[2]Necesidades Trimestrales'!E106</f>
        <v>1</v>
      </c>
      <c r="R106" s="72" t="b">
        <f>G106='[2]Necesidades Trimestrales'!F106</f>
        <v>1</v>
      </c>
      <c r="S106" s="187">
        <f>+I106-'[2]Necesidades Trimestrales'!H106</f>
        <v>0</v>
      </c>
    </row>
    <row r="107" spans="1:19" ht="58.5" customHeight="1" x14ac:dyDescent="0.2">
      <c r="A107" s="188">
        <v>98</v>
      </c>
      <c r="B107" s="189" t="s">
        <v>267</v>
      </c>
      <c r="C107" s="190" t="s">
        <v>200</v>
      </c>
      <c r="D107" s="191">
        <v>252</v>
      </c>
      <c r="E107" s="201" t="s">
        <v>109</v>
      </c>
      <c r="F107" s="198" t="s">
        <v>376</v>
      </c>
      <c r="G107" s="188" t="s">
        <v>73</v>
      </c>
      <c r="H107" s="194"/>
      <c r="I107" s="195">
        <v>118</v>
      </c>
      <c r="J107" s="196">
        <f t="shared" si="1"/>
        <v>0</v>
      </c>
      <c r="K107" s="69" t="s">
        <v>376</v>
      </c>
      <c r="L107" s="70" t="b">
        <f>K107=F107</f>
        <v>1</v>
      </c>
      <c r="M107" s="72" t="b">
        <f>B108='[1]Necesidades Trimestrales'!B107</f>
        <v>1</v>
      </c>
      <c r="N107" s="69" t="b">
        <f>F107='[1]Necesidades Trimestrales'!E107</f>
        <v>1</v>
      </c>
      <c r="O107" s="72" t="b">
        <f>G107='[1]Necesidades Trimestrales'!F107</f>
        <v>1</v>
      </c>
      <c r="P107" s="72" t="b">
        <f>B108='[2]Necesidades Trimestrales'!B107</f>
        <v>1</v>
      </c>
      <c r="Q107" s="72" t="b">
        <f>F107='[2]Necesidades Trimestrales'!E107</f>
        <v>1</v>
      </c>
      <c r="R107" s="72" t="b">
        <f>G107='[2]Necesidades Trimestrales'!F107</f>
        <v>1</v>
      </c>
      <c r="S107" s="187">
        <f>+I107-'[2]Necesidades Trimestrales'!H107</f>
        <v>0</v>
      </c>
    </row>
    <row r="108" spans="1:19" ht="58.5" customHeight="1" x14ac:dyDescent="0.2">
      <c r="A108" s="188">
        <v>99</v>
      </c>
      <c r="B108" s="197" t="s">
        <v>266</v>
      </c>
      <c r="C108" s="190" t="s">
        <v>200</v>
      </c>
      <c r="D108" s="191">
        <v>252</v>
      </c>
      <c r="E108" s="201" t="s">
        <v>110</v>
      </c>
      <c r="F108" s="192" t="s">
        <v>375</v>
      </c>
      <c r="G108" s="188" t="s">
        <v>20</v>
      </c>
      <c r="H108" s="194"/>
      <c r="I108" s="195">
        <v>159</v>
      </c>
      <c r="J108" s="196">
        <f t="shared" si="1"/>
        <v>0</v>
      </c>
      <c r="K108" s="69" t="s">
        <v>375</v>
      </c>
      <c r="L108" s="70" t="b">
        <f>K108=F108</f>
        <v>1</v>
      </c>
      <c r="M108" s="72" t="b">
        <f>B109='[1]Necesidades Trimestrales'!B108</f>
        <v>1</v>
      </c>
      <c r="N108" s="69" t="b">
        <f>F108='[1]Necesidades Trimestrales'!E108</f>
        <v>1</v>
      </c>
      <c r="O108" s="72" t="b">
        <f>G108='[1]Necesidades Trimestrales'!F108</f>
        <v>1</v>
      </c>
      <c r="P108" s="72" t="b">
        <f>B109='[2]Necesidades Trimestrales'!B108</f>
        <v>1</v>
      </c>
      <c r="Q108" s="72" t="b">
        <f>F108='[2]Necesidades Trimestrales'!E108</f>
        <v>1</v>
      </c>
      <c r="R108" s="72" t="b">
        <f>G108='[2]Necesidades Trimestrales'!F108</f>
        <v>1</v>
      </c>
      <c r="S108" s="187">
        <f>+I108-'[2]Necesidades Trimestrales'!H108</f>
        <v>0</v>
      </c>
    </row>
    <row r="109" spans="1:19" ht="58.5" customHeight="1" x14ac:dyDescent="0.2">
      <c r="A109" s="188">
        <v>100</v>
      </c>
      <c r="B109" s="189" t="s">
        <v>269</v>
      </c>
      <c r="C109" s="190" t="s">
        <v>200</v>
      </c>
      <c r="D109" s="191">
        <v>252</v>
      </c>
      <c r="E109" s="201" t="s">
        <v>111</v>
      </c>
      <c r="F109" s="198" t="s">
        <v>377</v>
      </c>
      <c r="G109" s="188" t="s">
        <v>17</v>
      </c>
      <c r="H109" s="194"/>
      <c r="I109" s="195">
        <v>61.7</v>
      </c>
      <c r="J109" s="196">
        <f t="shared" si="1"/>
        <v>0</v>
      </c>
      <c r="K109" s="69" t="s">
        <v>377</v>
      </c>
      <c r="L109" s="70" t="b">
        <f>K109=F109</f>
        <v>1</v>
      </c>
      <c r="M109" s="72" t="b">
        <f>B110='[1]Necesidades Trimestrales'!B109</f>
        <v>1</v>
      </c>
      <c r="N109" s="69" t="b">
        <f>F109='[1]Necesidades Trimestrales'!E109</f>
        <v>1</v>
      </c>
      <c r="O109" s="72" t="b">
        <f>G109='[1]Necesidades Trimestrales'!F109</f>
        <v>1</v>
      </c>
      <c r="P109" s="72" t="b">
        <f>B110='[2]Necesidades Trimestrales'!B109</f>
        <v>1</v>
      </c>
      <c r="Q109" s="72" t="b">
        <f>F109='[2]Necesidades Trimestrales'!E109</f>
        <v>1</v>
      </c>
      <c r="R109" s="72" t="b">
        <f>G109='[2]Necesidades Trimestrales'!F109</f>
        <v>1</v>
      </c>
      <c r="S109" s="187">
        <f>+I109-'[2]Necesidades Trimestrales'!H109</f>
        <v>0</v>
      </c>
    </row>
    <row r="110" spans="1:19" ht="58.5" customHeight="1" x14ac:dyDescent="0.2">
      <c r="A110" s="188">
        <v>101</v>
      </c>
      <c r="B110" s="197" t="s">
        <v>270</v>
      </c>
      <c r="C110" s="190" t="s">
        <v>200</v>
      </c>
      <c r="D110" s="191">
        <v>252</v>
      </c>
      <c r="E110" s="201" t="s">
        <v>112</v>
      </c>
      <c r="F110" s="198" t="s">
        <v>378</v>
      </c>
      <c r="G110" s="188" t="s">
        <v>20</v>
      </c>
      <c r="H110" s="194"/>
      <c r="I110" s="195">
        <v>110</v>
      </c>
      <c r="J110" s="196">
        <f t="shared" si="1"/>
        <v>0</v>
      </c>
      <c r="K110" s="69" t="s">
        <v>378</v>
      </c>
      <c r="L110" s="70" t="b">
        <f>K110=F110</f>
        <v>1</v>
      </c>
      <c r="M110" s="72" t="b">
        <f>B111='[1]Necesidades Trimestrales'!B110</f>
        <v>1</v>
      </c>
      <c r="N110" s="69" t="b">
        <f>F110='[1]Necesidades Trimestrales'!E110</f>
        <v>1</v>
      </c>
      <c r="O110" s="72" t="b">
        <f>G110='[1]Necesidades Trimestrales'!F110</f>
        <v>1</v>
      </c>
      <c r="P110" s="72" t="b">
        <f>B111='[2]Necesidades Trimestrales'!B110</f>
        <v>1</v>
      </c>
      <c r="Q110" s="72" t="b">
        <f>F110='[2]Necesidades Trimestrales'!E110</f>
        <v>1</v>
      </c>
      <c r="R110" s="72" t="b">
        <f>G110='[2]Necesidades Trimestrales'!F110</f>
        <v>1</v>
      </c>
      <c r="S110" s="187">
        <f>+I110-'[2]Necesidades Trimestrales'!H110</f>
        <v>0</v>
      </c>
    </row>
    <row r="111" spans="1:19" ht="58.5" customHeight="1" x14ac:dyDescent="0.2">
      <c r="A111" s="188">
        <v>102</v>
      </c>
      <c r="B111" s="197" t="s">
        <v>271</v>
      </c>
      <c r="C111" s="190" t="s">
        <v>200</v>
      </c>
      <c r="D111" s="191">
        <v>252</v>
      </c>
      <c r="E111" s="210" t="s">
        <v>113</v>
      </c>
      <c r="F111" s="198" t="s">
        <v>379</v>
      </c>
      <c r="G111" s="188" t="s">
        <v>20</v>
      </c>
      <c r="H111" s="194"/>
      <c r="I111" s="195">
        <v>120</v>
      </c>
      <c r="J111" s="196">
        <f t="shared" si="1"/>
        <v>0</v>
      </c>
      <c r="K111" s="69" t="s">
        <v>379</v>
      </c>
      <c r="L111" s="70" t="b">
        <f>K111=F111</f>
        <v>1</v>
      </c>
      <c r="M111" s="72" t="b">
        <f>B112='[1]Necesidades Trimestrales'!B111</f>
        <v>1</v>
      </c>
      <c r="N111" s="69" t="b">
        <f>F111='[1]Necesidades Trimestrales'!E111</f>
        <v>1</v>
      </c>
      <c r="O111" s="72" t="b">
        <f>G111='[1]Necesidades Trimestrales'!F111</f>
        <v>1</v>
      </c>
      <c r="P111" s="72" t="b">
        <f>B112='[2]Necesidades Trimestrales'!B111</f>
        <v>1</v>
      </c>
      <c r="Q111" s="72" t="b">
        <f>F111='[2]Necesidades Trimestrales'!E111</f>
        <v>1</v>
      </c>
      <c r="R111" s="72" t="b">
        <f>G111='[2]Necesidades Trimestrales'!F111</f>
        <v>1</v>
      </c>
      <c r="S111" s="187">
        <f>+I111-'[2]Necesidades Trimestrales'!H111</f>
        <v>0</v>
      </c>
    </row>
    <row r="112" spans="1:19" ht="58.5" customHeight="1" x14ac:dyDescent="0.2">
      <c r="A112" s="188">
        <v>103</v>
      </c>
      <c r="B112" s="197" t="s">
        <v>272</v>
      </c>
      <c r="C112" s="190" t="s">
        <v>200</v>
      </c>
      <c r="D112" s="191">
        <v>252</v>
      </c>
      <c r="E112" s="208" t="s">
        <v>114</v>
      </c>
      <c r="F112" s="198" t="s">
        <v>380</v>
      </c>
      <c r="G112" s="188" t="s">
        <v>17</v>
      </c>
      <c r="H112" s="194"/>
      <c r="I112" s="195">
        <v>16.8</v>
      </c>
      <c r="J112" s="196">
        <f t="shared" si="1"/>
        <v>0</v>
      </c>
      <c r="K112" s="69" t="s">
        <v>380</v>
      </c>
      <c r="L112" s="70" t="b">
        <f>K112=F112</f>
        <v>1</v>
      </c>
      <c r="M112" s="72" t="b">
        <f>B113='[1]Necesidades Trimestrales'!B112</f>
        <v>1</v>
      </c>
      <c r="N112" s="69" t="b">
        <f>F112='[1]Necesidades Trimestrales'!E112</f>
        <v>1</v>
      </c>
      <c r="O112" s="72" t="b">
        <f>G112='[1]Necesidades Trimestrales'!F112</f>
        <v>1</v>
      </c>
      <c r="P112" s="72" t="b">
        <f>B113='[2]Necesidades Trimestrales'!B112</f>
        <v>1</v>
      </c>
      <c r="Q112" s="72" t="b">
        <f>F112='[2]Necesidades Trimestrales'!E112</f>
        <v>1</v>
      </c>
      <c r="R112" s="72" t="b">
        <f>G112='[2]Necesidades Trimestrales'!F112</f>
        <v>1</v>
      </c>
      <c r="S112" s="187">
        <f>+I112-'[2]Necesidades Trimestrales'!H112</f>
        <v>0</v>
      </c>
    </row>
    <row r="113" spans="1:19" ht="58.5" customHeight="1" x14ac:dyDescent="0.2">
      <c r="A113" s="188">
        <v>104</v>
      </c>
      <c r="B113" s="197" t="s">
        <v>273</v>
      </c>
      <c r="C113" s="190" t="s">
        <v>200</v>
      </c>
      <c r="D113" s="191">
        <v>252</v>
      </c>
      <c r="E113" s="201" t="s">
        <v>115</v>
      </c>
      <c r="F113" s="198" t="s">
        <v>381</v>
      </c>
      <c r="G113" s="188" t="s">
        <v>20</v>
      </c>
      <c r="H113" s="194"/>
      <c r="I113" s="195">
        <v>1452</v>
      </c>
      <c r="J113" s="196">
        <f t="shared" si="1"/>
        <v>0</v>
      </c>
      <c r="K113" s="69" t="s">
        <v>381</v>
      </c>
      <c r="L113" s="70" t="b">
        <f>K113=F113</f>
        <v>1</v>
      </c>
      <c r="M113" s="72" t="b">
        <f>B114='[1]Necesidades Trimestrales'!B113</f>
        <v>1</v>
      </c>
      <c r="N113" s="69" t="b">
        <f>F113='[1]Necesidades Trimestrales'!E113</f>
        <v>1</v>
      </c>
      <c r="O113" s="72" t="b">
        <f>G113='[1]Necesidades Trimestrales'!F113</f>
        <v>1</v>
      </c>
      <c r="P113" s="72" t="b">
        <f>B114='[2]Necesidades Trimestrales'!B113</f>
        <v>1</v>
      </c>
      <c r="Q113" s="72" t="b">
        <f>F113='[2]Necesidades Trimestrales'!E113</f>
        <v>1</v>
      </c>
      <c r="R113" s="72" t="b">
        <f>G113='[2]Necesidades Trimestrales'!F113</f>
        <v>1</v>
      </c>
      <c r="S113" s="187">
        <f>+I113-'[2]Necesidades Trimestrales'!H113</f>
        <v>0</v>
      </c>
    </row>
    <row r="114" spans="1:19" ht="58.5" customHeight="1" x14ac:dyDescent="0.2">
      <c r="A114" s="188">
        <v>105</v>
      </c>
      <c r="B114" s="197" t="s">
        <v>274</v>
      </c>
      <c r="C114" s="190" t="s">
        <v>200</v>
      </c>
      <c r="D114" s="191">
        <v>252</v>
      </c>
      <c r="E114" s="204" t="s">
        <v>116</v>
      </c>
      <c r="F114" s="198" t="s">
        <v>382</v>
      </c>
      <c r="G114" s="188" t="s">
        <v>20</v>
      </c>
      <c r="H114" s="194"/>
      <c r="I114" s="195">
        <v>189</v>
      </c>
      <c r="J114" s="196">
        <f t="shared" si="1"/>
        <v>0</v>
      </c>
      <c r="K114" s="69" t="s">
        <v>382</v>
      </c>
      <c r="L114" s="70" t="b">
        <f>K114=F114</f>
        <v>1</v>
      </c>
      <c r="M114" s="72" t="b">
        <f>B115='[1]Necesidades Trimestrales'!B114</f>
        <v>1</v>
      </c>
      <c r="N114" s="69" t="b">
        <f>F114='[1]Necesidades Trimestrales'!E114</f>
        <v>1</v>
      </c>
      <c r="O114" s="72" t="b">
        <f>G114='[1]Necesidades Trimestrales'!F114</f>
        <v>1</v>
      </c>
      <c r="P114" s="72" t="b">
        <f>B115='[2]Necesidades Trimestrales'!B114</f>
        <v>1</v>
      </c>
      <c r="Q114" s="72" t="b">
        <f>F114='[2]Necesidades Trimestrales'!E114</f>
        <v>1</v>
      </c>
      <c r="R114" s="72" t="b">
        <f>G114='[2]Necesidades Trimestrales'!F114</f>
        <v>1</v>
      </c>
      <c r="S114" s="187">
        <f>+I114-'[2]Necesidades Trimestrales'!H114</f>
        <v>0</v>
      </c>
    </row>
    <row r="115" spans="1:19" ht="58.5" customHeight="1" x14ac:dyDescent="0.2">
      <c r="A115" s="188">
        <v>106</v>
      </c>
      <c r="B115" s="197" t="s">
        <v>275</v>
      </c>
      <c r="C115" s="190" t="s">
        <v>200</v>
      </c>
      <c r="D115" s="191">
        <v>252</v>
      </c>
      <c r="E115" s="201" t="s">
        <v>117</v>
      </c>
      <c r="F115" s="192" t="s">
        <v>482</v>
      </c>
      <c r="G115" s="188" t="s">
        <v>17</v>
      </c>
      <c r="H115" s="194"/>
      <c r="I115" s="195">
        <v>9.8000000000000007</v>
      </c>
      <c r="J115" s="196">
        <f t="shared" si="1"/>
        <v>0</v>
      </c>
      <c r="K115" s="69" t="s">
        <v>482</v>
      </c>
      <c r="L115" s="70" t="b">
        <f>K115=F115</f>
        <v>1</v>
      </c>
      <c r="M115" s="72" t="b">
        <f>B116='[1]Necesidades Trimestrales'!B115</f>
        <v>1</v>
      </c>
      <c r="N115" s="69" t="b">
        <f>F115='[1]Necesidades Trimestrales'!E115</f>
        <v>1</v>
      </c>
      <c r="O115" s="72" t="b">
        <f>G115='[1]Necesidades Trimestrales'!F115</f>
        <v>1</v>
      </c>
      <c r="P115" s="72" t="b">
        <f>B116='[2]Necesidades Trimestrales'!B115</f>
        <v>1</v>
      </c>
      <c r="Q115" s="72" t="b">
        <f>F115='[2]Necesidades Trimestrales'!E115</f>
        <v>1</v>
      </c>
      <c r="R115" s="72" t="b">
        <f>G115='[2]Necesidades Trimestrales'!F115</f>
        <v>1</v>
      </c>
      <c r="S115" s="187">
        <f>+I115-'[2]Necesidades Trimestrales'!H115</f>
        <v>0</v>
      </c>
    </row>
    <row r="116" spans="1:19" ht="58.5" customHeight="1" x14ac:dyDescent="0.2">
      <c r="A116" s="188">
        <v>107</v>
      </c>
      <c r="B116" s="188" t="s">
        <v>426</v>
      </c>
      <c r="C116" s="190" t="s">
        <v>200</v>
      </c>
      <c r="D116" s="191">
        <v>252</v>
      </c>
      <c r="E116" s="201" t="s">
        <v>118</v>
      </c>
      <c r="F116" s="198" t="s">
        <v>383</v>
      </c>
      <c r="G116" s="188" t="s">
        <v>20</v>
      </c>
      <c r="H116" s="194"/>
      <c r="I116" s="195">
        <v>980</v>
      </c>
      <c r="J116" s="196">
        <f t="shared" si="1"/>
        <v>0</v>
      </c>
      <c r="K116" s="69" t="s">
        <v>383</v>
      </c>
      <c r="L116" s="70" t="b">
        <f>K116=F116</f>
        <v>1</v>
      </c>
      <c r="M116" s="72" t="b">
        <f>B117='[1]Necesidades Trimestrales'!B116</f>
        <v>1</v>
      </c>
      <c r="N116" s="69" t="b">
        <f>F116='[1]Necesidades Trimestrales'!E116</f>
        <v>1</v>
      </c>
      <c r="O116" s="72" t="b">
        <f>G116='[1]Necesidades Trimestrales'!F116</f>
        <v>1</v>
      </c>
      <c r="P116" s="72" t="b">
        <f>B117='[2]Necesidades Trimestrales'!B116</f>
        <v>1</v>
      </c>
      <c r="Q116" s="72" t="b">
        <f>F116='[2]Necesidades Trimestrales'!E116</f>
        <v>1</v>
      </c>
      <c r="R116" s="72" t="b">
        <f>G116='[2]Necesidades Trimestrales'!F116</f>
        <v>1</v>
      </c>
      <c r="S116" s="187">
        <f>+I116-'[2]Necesidades Trimestrales'!H116</f>
        <v>0</v>
      </c>
    </row>
    <row r="117" spans="1:19" ht="58.5" customHeight="1" x14ac:dyDescent="0.2">
      <c r="A117" s="188">
        <v>108</v>
      </c>
      <c r="B117" s="197" t="s">
        <v>276</v>
      </c>
      <c r="C117" s="190" t="s">
        <v>200</v>
      </c>
      <c r="D117" s="191">
        <v>252</v>
      </c>
      <c r="E117" s="201" t="s">
        <v>119</v>
      </c>
      <c r="F117" s="192" t="s">
        <v>483</v>
      </c>
      <c r="G117" s="188" t="s">
        <v>22</v>
      </c>
      <c r="H117" s="194"/>
      <c r="I117" s="195">
        <v>165</v>
      </c>
      <c r="J117" s="196">
        <f t="shared" si="1"/>
        <v>0</v>
      </c>
      <c r="K117" s="69" t="s">
        <v>483</v>
      </c>
      <c r="L117" s="70" t="b">
        <f>K117=F117</f>
        <v>1</v>
      </c>
      <c r="M117" s="72" t="b">
        <f>B118='[1]Necesidades Trimestrales'!B117</f>
        <v>1</v>
      </c>
      <c r="N117" s="69" t="b">
        <f>F117='[1]Necesidades Trimestrales'!E117</f>
        <v>1</v>
      </c>
      <c r="O117" s="72" t="b">
        <f>G117='[1]Necesidades Trimestrales'!F117</f>
        <v>1</v>
      </c>
      <c r="P117" s="72" t="b">
        <f>B118='[2]Necesidades Trimestrales'!B117</f>
        <v>1</v>
      </c>
      <c r="Q117" s="72" t="b">
        <f>F117='[2]Necesidades Trimestrales'!E117</f>
        <v>1</v>
      </c>
      <c r="R117" s="72" t="b">
        <f>G117='[2]Necesidades Trimestrales'!F117</f>
        <v>1</v>
      </c>
      <c r="S117" s="187">
        <f>+I117-'[2]Necesidades Trimestrales'!H117</f>
        <v>0</v>
      </c>
    </row>
    <row r="118" spans="1:19" ht="58.5" customHeight="1" x14ac:dyDescent="0.2">
      <c r="A118" s="188">
        <v>109</v>
      </c>
      <c r="B118" s="188" t="s">
        <v>427</v>
      </c>
      <c r="C118" s="190" t="s">
        <v>200</v>
      </c>
      <c r="D118" s="191">
        <v>252</v>
      </c>
      <c r="E118" s="201" t="s">
        <v>120</v>
      </c>
      <c r="F118" s="192" t="s">
        <v>468</v>
      </c>
      <c r="G118" s="188" t="s">
        <v>17</v>
      </c>
      <c r="H118" s="194"/>
      <c r="I118" s="195">
        <v>5.3</v>
      </c>
      <c r="J118" s="196">
        <f t="shared" si="1"/>
        <v>0</v>
      </c>
      <c r="K118" s="69" t="s">
        <v>468</v>
      </c>
      <c r="L118" s="70" t="b">
        <f>K118=F118</f>
        <v>1</v>
      </c>
      <c r="M118" s="72" t="b">
        <f>B119='[1]Necesidades Trimestrales'!B118</f>
        <v>1</v>
      </c>
      <c r="N118" s="69" t="b">
        <f>F118='[1]Necesidades Trimestrales'!E118</f>
        <v>1</v>
      </c>
      <c r="O118" s="72" t="b">
        <f>G118='[1]Necesidades Trimestrales'!F118</f>
        <v>1</v>
      </c>
      <c r="P118" s="72" t="b">
        <f>B119='[2]Necesidades Trimestrales'!B118</f>
        <v>1</v>
      </c>
      <c r="Q118" s="72" t="b">
        <f>F118='[2]Necesidades Trimestrales'!E118</f>
        <v>1</v>
      </c>
      <c r="R118" s="72" t="b">
        <f>G118='[2]Necesidades Trimestrales'!F118</f>
        <v>1</v>
      </c>
      <c r="S118" s="187">
        <f>+I118-'[2]Necesidades Trimestrales'!H118</f>
        <v>0</v>
      </c>
    </row>
    <row r="119" spans="1:19" ht="58.5" customHeight="1" x14ac:dyDescent="0.2">
      <c r="A119" s="188">
        <v>110</v>
      </c>
      <c r="B119" s="188" t="s">
        <v>428</v>
      </c>
      <c r="C119" s="190" t="s">
        <v>200</v>
      </c>
      <c r="D119" s="191">
        <v>252</v>
      </c>
      <c r="E119" s="201" t="s">
        <v>121</v>
      </c>
      <c r="F119" s="198" t="s">
        <v>384</v>
      </c>
      <c r="G119" s="188" t="s">
        <v>122</v>
      </c>
      <c r="H119" s="194"/>
      <c r="I119" s="195">
        <v>230</v>
      </c>
      <c r="J119" s="196">
        <f t="shared" si="1"/>
        <v>0</v>
      </c>
      <c r="K119" s="69" t="s">
        <v>384</v>
      </c>
      <c r="L119" s="70" t="b">
        <f>K119=F119</f>
        <v>1</v>
      </c>
      <c r="M119" s="72" t="b">
        <f>B120='[1]Necesidades Trimestrales'!B119</f>
        <v>1</v>
      </c>
      <c r="N119" s="69" t="b">
        <f>F119='[1]Necesidades Trimestrales'!E119</f>
        <v>1</v>
      </c>
      <c r="O119" s="72" t="b">
        <f>G119='[1]Necesidades Trimestrales'!F119</f>
        <v>1</v>
      </c>
      <c r="P119" s="72" t="b">
        <f>B120='[2]Necesidades Trimestrales'!B119</f>
        <v>1</v>
      </c>
      <c r="Q119" s="72" t="b">
        <f>F119='[2]Necesidades Trimestrales'!E119</f>
        <v>1</v>
      </c>
      <c r="R119" s="72" t="b">
        <f>G119='[2]Necesidades Trimestrales'!F119</f>
        <v>1</v>
      </c>
      <c r="S119" s="187">
        <f>+I119-'[2]Necesidades Trimestrales'!H119</f>
        <v>0</v>
      </c>
    </row>
    <row r="120" spans="1:19" ht="58.5" customHeight="1" x14ac:dyDescent="0.2">
      <c r="A120" s="188">
        <v>111</v>
      </c>
      <c r="B120" s="197" t="s">
        <v>277</v>
      </c>
      <c r="C120" s="190" t="s">
        <v>200</v>
      </c>
      <c r="D120" s="191">
        <v>252</v>
      </c>
      <c r="E120" s="201" t="s">
        <v>124</v>
      </c>
      <c r="F120" s="198" t="s">
        <v>385</v>
      </c>
      <c r="G120" s="188" t="s">
        <v>20</v>
      </c>
      <c r="H120" s="194"/>
      <c r="I120" s="195">
        <v>189</v>
      </c>
      <c r="J120" s="196">
        <f t="shared" si="1"/>
        <v>0</v>
      </c>
      <c r="K120" s="69" t="s">
        <v>385</v>
      </c>
      <c r="L120" s="70" t="b">
        <f>K120=F120</f>
        <v>1</v>
      </c>
      <c r="M120" s="72" t="b">
        <f>B121='[1]Necesidades Trimestrales'!B120</f>
        <v>1</v>
      </c>
      <c r="N120" s="69" t="b">
        <f>F120='[1]Necesidades Trimestrales'!E120</f>
        <v>1</v>
      </c>
      <c r="O120" s="72" t="b">
        <f>G120='[1]Necesidades Trimestrales'!F120</f>
        <v>1</v>
      </c>
      <c r="P120" s="72" t="b">
        <f>B121='[2]Necesidades Trimestrales'!B120</f>
        <v>1</v>
      </c>
      <c r="Q120" s="72" t="b">
        <f>F120='[2]Necesidades Trimestrales'!E120</f>
        <v>1</v>
      </c>
      <c r="R120" s="72" t="b">
        <f>G120='[2]Necesidades Trimestrales'!F120</f>
        <v>1</v>
      </c>
      <c r="S120" s="187">
        <f>+I120-'[2]Necesidades Trimestrales'!H120</f>
        <v>0</v>
      </c>
    </row>
    <row r="121" spans="1:19" ht="58.5" customHeight="1" x14ac:dyDescent="0.2">
      <c r="A121" s="188">
        <v>112</v>
      </c>
      <c r="B121" s="197" t="s">
        <v>279</v>
      </c>
      <c r="C121" s="190" t="s">
        <v>200</v>
      </c>
      <c r="D121" s="191">
        <v>252</v>
      </c>
      <c r="E121" s="201" t="s">
        <v>125</v>
      </c>
      <c r="F121" s="198" t="s">
        <v>386</v>
      </c>
      <c r="G121" s="188" t="s">
        <v>20</v>
      </c>
      <c r="H121" s="194"/>
      <c r="I121" s="212">
        <v>256</v>
      </c>
      <c r="J121" s="196">
        <f t="shared" si="1"/>
        <v>0</v>
      </c>
      <c r="K121" s="69" t="s">
        <v>386</v>
      </c>
      <c r="L121" s="70" t="b">
        <f>K121=F121</f>
        <v>1</v>
      </c>
      <c r="M121" s="72" t="b">
        <f>B122='[1]Necesidades Trimestrales'!B121</f>
        <v>1</v>
      </c>
      <c r="N121" s="69" t="b">
        <f>F121='[1]Necesidades Trimestrales'!E121</f>
        <v>1</v>
      </c>
      <c r="O121" s="72" t="b">
        <f>G121='[1]Necesidades Trimestrales'!F121</f>
        <v>1</v>
      </c>
      <c r="P121" s="72" t="b">
        <f>B122='[2]Necesidades Trimestrales'!B121</f>
        <v>1</v>
      </c>
      <c r="Q121" s="72" t="b">
        <f>F121='[2]Necesidades Trimestrales'!E121</f>
        <v>1</v>
      </c>
      <c r="R121" s="72" t="b">
        <f>G121='[2]Necesidades Trimestrales'!F121</f>
        <v>1</v>
      </c>
      <c r="S121" s="187">
        <f>+I121-'[2]Necesidades Trimestrales'!H121</f>
        <v>0</v>
      </c>
    </row>
    <row r="122" spans="1:19" ht="58.5" customHeight="1" x14ac:dyDescent="0.2">
      <c r="A122" s="188">
        <v>113</v>
      </c>
      <c r="B122" s="197" t="s">
        <v>278</v>
      </c>
      <c r="C122" s="190" t="s">
        <v>200</v>
      </c>
      <c r="D122" s="191">
        <v>252</v>
      </c>
      <c r="E122" s="201" t="s">
        <v>126</v>
      </c>
      <c r="F122" s="198" t="s">
        <v>396</v>
      </c>
      <c r="G122" s="188" t="s">
        <v>20</v>
      </c>
      <c r="H122" s="194"/>
      <c r="I122" s="212">
        <v>144</v>
      </c>
      <c r="J122" s="196">
        <f t="shared" si="1"/>
        <v>0</v>
      </c>
      <c r="K122" s="86" t="s">
        <v>396</v>
      </c>
      <c r="L122" s="7" t="b">
        <f>K122=F122</f>
        <v>1</v>
      </c>
      <c r="M122" s="72" t="b">
        <f>B123='[1]Necesidades Trimestrales'!B122</f>
        <v>1</v>
      </c>
      <c r="N122" s="69" t="b">
        <f>F122='[1]Necesidades Trimestrales'!E122</f>
        <v>1</v>
      </c>
      <c r="O122" s="72" t="b">
        <f>G122='[1]Necesidades Trimestrales'!F122</f>
        <v>1</v>
      </c>
      <c r="P122" s="72" t="b">
        <f>B123='[2]Necesidades Trimestrales'!B122</f>
        <v>1</v>
      </c>
      <c r="Q122" s="72" t="b">
        <f>F122='[2]Necesidades Trimestrales'!E122</f>
        <v>1</v>
      </c>
      <c r="R122" s="72" t="b">
        <f>G122='[2]Necesidades Trimestrales'!F122</f>
        <v>1</v>
      </c>
      <c r="S122" s="187">
        <f>+I122-'[2]Necesidades Trimestrales'!H122</f>
        <v>0</v>
      </c>
    </row>
    <row r="123" spans="1:19" ht="58.5" customHeight="1" x14ac:dyDescent="0.2">
      <c r="A123" s="188">
        <v>114</v>
      </c>
      <c r="B123" s="197" t="s">
        <v>280</v>
      </c>
      <c r="C123" s="190" t="s">
        <v>200</v>
      </c>
      <c r="D123" s="191">
        <v>252</v>
      </c>
      <c r="E123" s="202" t="s">
        <v>127</v>
      </c>
      <c r="F123" s="198" t="s">
        <v>387</v>
      </c>
      <c r="G123" s="188" t="s">
        <v>20</v>
      </c>
      <c r="H123" s="194"/>
      <c r="I123" s="212">
        <v>189</v>
      </c>
      <c r="J123" s="196">
        <f t="shared" si="1"/>
        <v>0</v>
      </c>
      <c r="K123" s="69" t="s">
        <v>387</v>
      </c>
      <c r="L123" s="70" t="b">
        <f>K123=F123</f>
        <v>1</v>
      </c>
      <c r="M123" s="72" t="b">
        <f>B124='[1]Necesidades Trimestrales'!B123</f>
        <v>1</v>
      </c>
      <c r="N123" s="69" t="b">
        <f>F123='[1]Necesidades Trimestrales'!E123</f>
        <v>1</v>
      </c>
      <c r="O123" s="72" t="b">
        <f>G123='[1]Necesidades Trimestrales'!F123</f>
        <v>1</v>
      </c>
      <c r="P123" s="72" t="b">
        <f>B124='[2]Necesidades Trimestrales'!B123</f>
        <v>1</v>
      </c>
      <c r="Q123" s="72" t="b">
        <f>F123='[2]Necesidades Trimestrales'!E123</f>
        <v>1</v>
      </c>
      <c r="R123" s="72" t="b">
        <f>G123='[2]Necesidades Trimestrales'!F123</f>
        <v>1</v>
      </c>
      <c r="S123" s="187">
        <f>+I123-'[2]Necesidades Trimestrales'!H123</f>
        <v>0</v>
      </c>
    </row>
    <row r="124" spans="1:19" ht="58.5" customHeight="1" x14ac:dyDescent="0.2">
      <c r="A124" s="188">
        <v>115</v>
      </c>
      <c r="B124" s="197" t="s">
        <v>281</v>
      </c>
      <c r="C124" s="190" t="s">
        <v>200</v>
      </c>
      <c r="D124" s="191">
        <v>252</v>
      </c>
      <c r="E124" s="201" t="s">
        <v>128</v>
      </c>
      <c r="F124" s="192" t="s">
        <v>469</v>
      </c>
      <c r="G124" s="188" t="s">
        <v>73</v>
      </c>
      <c r="H124" s="194"/>
      <c r="I124" s="212">
        <v>958</v>
      </c>
      <c r="J124" s="196">
        <f t="shared" si="1"/>
        <v>0</v>
      </c>
      <c r="K124" s="69" t="s">
        <v>469</v>
      </c>
      <c r="L124" s="70" t="b">
        <f>K124=F124</f>
        <v>1</v>
      </c>
      <c r="M124" s="72" t="b">
        <f>B125='[1]Necesidades Trimestrales'!B124</f>
        <v>1</v>
      </c>
      <c r="N124" s="69" t="b">
        <f>F124='[1]Necesidades Trimestrales'!E124</f>
        <v>1</v>
      </c>
      <c r="O124" s="72" t="b">
        <f>G124='[1]Necesidades Trimestrales'!F124</f>
        <v>1</v>
      </c>
      <c r="P124" s="72" t="b">
        <f>B125='[2]Necesidades Trimestrales'!B124</f>
        <v>1</v>
      </c>
      <c r="Q124" s="72" t="b">
        <f>F124='[2]Necesidades Trimestrales'!E124</f>
        <v>1</v>
      </c>
      <c r="R124" s="72" t="b">
        <f>G124='[2]Necesidades Trimestrales'!F124</f>
        <v>1</v>
      </c>
      <c r="S124" s="187">
        <f>+I124-'[2]Necesidades Trimestrales'!H124</f>
        <v>0</v>
      </c>
    </row>
    <row r="125" spans="1:19" ht="58.5" customHeight="1" x14ac:dyDescent="0.2">
      <c r="A125" s="188">
        <v>116</v>
      </c>
      <c r="B125" s="205" t="s">
        <v>429</v>
      </c>
      <c r="C125" s="190" t="s">
        <v>200</v>
      </c>
      <c r="D125" s="191">
        <v>252</v>
      </c>
      <c r="E125" s="201" t="s">
        <v>129</v>
      </c>
      <c r="F125" s="192" t="s">
        <v>470</v>
      </c>
      <c r="G125" s="188" t="s">
        <v>73</v>
      </c>
      <c r="H125" s="194"/>
      <c r="I125" s="212">
        <v>467</v>
      </c>
      <c r="J125" s="196">
        <f t="shared" si="1"/>
        <v>0</v>
      </c>
      <c r="K125" s="69" t="s">
        <v>470</v>
      </c>
      <c r="L125" s="70" t="b">
        <f>K125=F125</f>
        <v>1</v>
      </c>
      <c r="M125" s="72" t="b">
        <f>B126='[1]Necesidades Trimestrales'!B125</f>
        <v>1</v>
      </c>
      <c r="N125" s="69" t="b">
        <f>F125='[1]Necesidades Trimestrales'!E125</f>
        <v>1</v>
      </c>
      <c r="O125" s="72" t="b">
        <f>G125='[1]Necesidades Trimestrales'!F125</f>
        <v>1</v>
      </c>
      <c r="P125" s="72" t="b">
        <f>B126='[2]Necesidades Trimestrales'!B125</f>
        <v>1</v>
      </c>
      <c r="Q125" s="72" t="b">
        <f>F125='[2]Necesidades Trimestrales'!E125</f>
        <v>1</v>
      </c>
      <c r="R125" s="72" t="b">
        <f>G125='[2]Necesidades Trimestrales'!F125</f>
        <v>1</v>
      </c>
      <c r="S125" s="187">
        <f>+I125-'[2]Necesidades Trimestrales'!H125</f>
        <v>0</v>
      </c>
    </row>
    <row r="126" spans="1:19" ht="58.5" customHeight="1" x14ac:dyDescent="0.2">
      <c r="A126" s="188">
        <v>117</v>
      </c>
      <c r="B126" s="205" t="s">
        <v>430</v>
      </c>
      <c r="C126" s="190" t="s">
        <v>200</v>
      </c>
      <c r="D126" s="191">
        <v>252</v>
      </c>
      <c r="E126" s="204" t="s">
        <v>130</v>
      </c>
      <c r="F126" s="198" t="s">
        <v>388</v>
      </c>
      <c r="G126" s="188" t="s">
        <v>20</v>
      </c>
      <c r="H126" s="194"/>
      <c r="I126" s="212">
        <v>398</v>
      </c>
      <c r="J126" s="196">
        <f t="shared" si="1"/>
        <v>0</v>
      </c>
      <c r="K126" s="69" t="s">
        <v>388</v>
      </c>
      <c r="L126" s="70" t="b">
        <f>K126=F126</f>
        <v>1</v>
      </c>
      <c r="M126" s="72" t="b">
        <f>B127='[1]Necesidades Trimestrales'!B126</f>
        <v>1</v>
      </c>
      <c r="N126" s="69" t="b">
        <f>F126='[1]Necesidades Trimestrales'!E126</f>
        <v>1</v>
      </c>
      <c r="O126" s="72" t="b">
        <f>G126='[1]Necesidades Trimestrales'!F126</f>
        <v>1</v>
      </c>
      <c r="P126" s="72" t="b">
        <f>B127='[2]Necesidades Trimestrales'!B126</f>
        <v>1</v>
      </c>
      <c r="Q126" s="72" t="b">
        <f>F126='[2]Necesidades Trimestrales'!E126</f>
        <v>1</v>
      </c>
      <c r="R126" s="72" t="b">
        <f>G126='[2]Necesidades Trimestrales'!F126</f>
        <v>1</v>
      </c>
      <c r="S126" s="187">
        <f>+I126-'[2]Necesidades Trimestrales'!H126</f>
        <v>0</v>
      </c>
    </row>
    <row r="127" spans="1:19" ht="58.5" customHeight="1" x14ac:dyDescent="0.2">
      <c r="A127" s="188">
        <v>118</v>
      </c>
      <c r="B127" s="197" t="s">
        <v>282</v>
      </c>
      <c r="C127" s="190" t="s">
        <v>200</v>
      </c>
      <c r="D127" s="191">
        <v>252</v>
      </c>
      <c r="E127" s="203" t="s">
        <v>131</v>
      </c>
      <c r="F127" s="192" t="s">
        <v>471</v>
      </c>
      <c r="G127" s="188" t="s">
        <v>132</v>
      </c>
      <c r="H127" s="194"/>
      <c r="I127" s="212">
        <v>6830.74</v>
      </c>
      <c r="J127" s="196">
        <f t="shared" si="1"/>
        <v>0</v>
      </c>
      <c r="K127" s="69" t="s">
        <v>471</v>
      </c>
      <c r="L127" s="70" t="b">
        <f>K127=F127</f>
        <v>1</v>
      </c>
      <c r="M127" s="72" t="b">
        <f>B128='[1]Necesidades Trimestrales'!B127</f>
        <v>1</v>
      </c>
      <c r="N127" s="69" t="b">
        <f>F127='[1]Necesidades Trimestrales'!E127</f>
        <v>1</v>
      </c>
      <c r="O127" s="72" t="b">
        <f>G127='[1]Necesidades Trimestrales'!F127</f>
        <v>1</v>
      </c>
      <c r="P127" s="72" t="b">
        <f>B128='[2]Necesidades Trimestrales'!B127</f>
        <v>1</v>
      </c>
      <c r="Q127" s="72" t="b">
        <f>F127='[2]Necesidades Trimestrales'!E127</f>
        <v>1</v>
      </c>
      <c r="R127" s="72" t="b">
        <f>G127='[2]Necesidades Trimestrales'!F127</f>
        <v>1</v>
      </c>
      <c r="S127" s="187">
        <f>+I127-'[2]Necesidades Trimestrales'!H127</f>
        <v>0</v>
      </c>
    </row>
    <row r="128" spans="1:19" ht="58.5" customHeight="1" x14ac:dyDescent="0.2">
      <c r="A128" s="188">
        <v>119</v>
      </c>
      <c r="B128" s="188" t="s">
        <v>431</v>
      </c>
      <c r="C128" s="190" t="s">
        <v>200</v>
      </c>
      <c r="D128" s="191">
        <v>252</v>
      </c>
      <c r="E128" s="204" t="s">
        <v>133</v>
      </c>
      <c r="F128" s="198" t="s">
        <v>389</v>
      </c>
      <c r="G128" s="188" t="s">
        <v>73</v>
      </c>
      <c r="H128" s="194"/>
      <c r="I128" s="212">
        <v>6502</v>
      </c>
      <c r="J128" s="196">
        <f t="shared" si="1"/>
        <v>0</v>
      </c>
      <c r="K128" s="69" t="s">
        <v>389</v>
      </c>
      <c r="L128" s="70" t="b">
        <f>K128=F128</f>
        <v>1</v>
      </c>
      <c r="M128" s="72" t="b">
        <f>B129='[1]Necesidades Trimestrales'!B128</f>
        <v>1</v>
      </c>
      <c r="N128" s="69" t="b">
        <f>F128='[1]Necesidades Trimestrales'!E128</f>
        <v>1</v>
      </c>
      <c r="O128" s="72" t="b">
        <f>G128='[1]Necesidades Trimestrales'!F128</f>
        <v>1</v>
      </c>
      <c r="P128" s="72" t="b">
        <f>B129='[2]Necesidades Trimestrales'!B128</f>
        <v>1</v>
      </c>
      <c r="Q128" s="72" t="b">
        <f>F128='[2]Necesidades Trimestrales'!E128</f>
        <v>1</v>
      </c>
      <c r="R128" s="72" t="b">
        <f>G128='[2]Necesidades Trimestrales'!F128</f>
        <v>1</v>
      </c>
      <c r="S128" s="187">
        <f>+I128-'[2]Necesidades Trimestrales'!H128</f>
        <v>0</v>
      </c>
    </row>
    <row r="129" spans="1:19" ht="58.5" customHeight="1" x14ac:dyDescent="0.2">
      <c r="A129" s="188">
        <v>120</v>
      </c>
      <c r="B129" s="197" t="s">
        <v>283</v>
      </c>
      <c r="C129" s="190" t="s">
        <v>200</v>
      </c>
      <c r="D129" s="191">
        <v>252</v>
      </c>
      <c r="E129" s="199" t="s">
        <v>134</v>
      </c>
      <c r="F129" s="198" t="s">
        <v>340</v>
      </c>
      <c r="G129" s="188" t="s">
        <v>20</v>
      </c>
      <c r="H129" s="194"/>
      <c r="I129" s="212">
        <v>398</v>
      </c>
      <c r="J129" s="196">
        <f t="shared" si="1"/>
        <v>0</v>
      </c>
      <c r="K129" s="69" t="s">
        <v>340</v>
      </c>
      <c r="L129" s="70" t="b">
        <f>K129=F129</f>
        <v>1</v>
      </c>
      <c r="M129" s="72" t="b">
        <f>B130='[1]Necesidades Trimestrales'!B129</f>
        <v>1</v>
      </c>
      <c r="N129" s="69" t="b">
        <f>F129='[1]Necesidades Trimestrales'!E129</f>
        <v>1</v>
      </c>
      <c r="O129" s="72" t="b">
        <f>G129='[1]Necesidades Trimestrales'!F129</f>
        <v>1</v>
      </c>
      <c r="P129" s="72" t="b">
        <f>B130='[2]Necesidades Trimestrales'!B129</f>
        <v>1</v>
      </c>
      <c r="Q129" s="72" t="b">
        <f>F129='[2]Necesidades Trimestrales'!E129</f>
        <v>1</v>
      </c>
      <c r="R129" s="72" t="b">
        <f>G129='[2]Necesidades Trimestrales'!F129</f>
        <v>1</v>
      </c>
      <c r="S129" s="187">
        <f>+I129-'[2]Necesidades Trimestrales'!H129</f>
        <v>0</v>
      </c>
    </row>
    <row r="130" spans="1:19" ht="58.5" customHeight="1" x14ac:dyDescent="0.2">
      <c r="A130" s="188">
        <v>121</v>
      </c>
      <c r="B130" s="197" t="s">
        <v>284</v>
      </c>
      <c r="C130" s="190" t="s">
        <v>200</v>
      </c>
      <c r="D130" s="191">
        <v>252</v>
      </c>
      <c r="E130" s="199" t="s">
        <v>135</v>
      </c>
      <c r="F130" s="198" t="s">
        <v>339</v>
      </c>
      <c r="G130" s="188" t="s">
        <v>20</v>
      </c>
      <c r="H130" s="194"/>
      <c r="I130" s="212">
        <v>1050</v>
      </c>
      <c r="J130" s="196">
        <f t="shared" si="1"/>
        <v>0</v>
      </c>
      <c r="K130" s="69" t="s">
        <v>339</v>
      </c>
      <c r="L130" s="70" t="b">
        <f>K130=F130</f>
        <v>1</v>
      </c>
      <c r="M130" s="72" t="b">
        <f>B131='[1]Necesidades Trimestrales'!B130</f>
        <v>1</v>
      </c>
      <c r="N130" s="69" t="b">
        <f>F130='[1]Necesidades Trimestrales'!E130</f>
        <v>1</v>
      </c>
      <c r="O130" s="72" t="b">
        <f>G130='[1]Necesidades Trimestrales'!F130</f>
        <v>1</v>
      </c>
      <c r="P130" s="72" t="b">
        <f>B131='[2]Necesidades Trimestrales'!B130</f>
        <v>1</v>
      </c>
      <c r="Q130" s="72" t="b">
        <f>F130='[2]Necesidades Trimestrales'!E130</f>
        <v>1</v>
      </c>
      <c r="R130" s="72" t="b">
        <f>G130='[2]Necesidades Trimestrales'!F130</f>
        <v>1</v>
      </c>
      <c r="S130" s="187">
        <f>+I130-'[2]Necesidades Trimestrales'!H130</f>
        <v>0</v>
      </c>
    </row>
    <row r="131" spans="1:19" ht="58.5" customHeight="1" x14ac:dyDescent="0.2">
      <c r="A131" s="188">
        <v>122</v>
      </c>
      <c r="B131" s="197" t="s">
        <v>285</v>
      </c>
      <c r="C131" s="190" t="s">
        <v>200</v>
      </c>
      <c r="D131" s="191">
        <v>252</v>
      </c>
      <c r="E131" s="199" t="s">
        <v>136</v>
      </c>
      <c r="F131" s="192" t="s">
        <v>472</v>
      </c>
      <c r="G131" s="188" t="s">
        <v>20</v>
      </c>
      <c r="H131" s="194"/>
      <c r="I131" s="212">
        <v>1327</v>
      </c>
      <c r="J131" s="196">
        <f t="shared" si="1"/>
        <v>0</v>
      </c>
      <c r="K131" s="69" t="s">
        <v>472</v>
      </c>
      <c r="L131" s="70" t="b">
        <f>K131=F131</f>
        <v>1</v>
      </c>
      <c r="M131" s="72" t="b">
        <f>B132='[1]Necesidades Trimestrales'!B131</f>
        <v>1</v>
      </c>
      <c r="N131" s="69" t="b">
        <f>F131='[1]Necesidades Trimestrales'!E131</f>
        <v>1</v>
      </c>
      <c r="O131" s="72" t="b">
        <f>G131='[1]Necesidades Trimestrales'!F131</f>
        <v>1</v>
      </c>
      <c r="P131" s="72" t="b">
        <f>B132='[2]Necesidades Trimestrales'!B131</f>
        <v>1</v>
      </c>
      <c r="Q131" s="72" t="b">
        <f>F131='[2]Necesidades Trimestrales'!E131</f>
        <v>1</v>
      </c>
      <c r="R131" s="72" t="b">
        <f>G131='[2]Necesidades Trimestrales'!F131</f>
        <v>1</v>
      </c>
      <c r="S131" s="187">
        <f>+I131-'[2]Necesidades Trimestrales'!H131</f>
        <v>0</v>
      </c>
    </row>
    <row r="132" spans="1:19" ht="58.5" customHeight="1" x14ac:dyDescent="0.2">
      <c r="A132" s="188">
        <v>123</v>
      </c>
      <c r="B132" s="188" t="s">
        <v>432</v>
      </c>
      <c r="C132" s="190" t="s">
        <v>200</v>
      </c>
      <c r="D132" s="191">
        <v>252</v>
      </c>
      <c r="E132" s="199" t="s">
        <v>137</v>
      </c>
      <c r="F132" s="198" t="s">
        <v>338</v>
      </c>
      <c r="G132" s="188" t="s">
        <v>20</v>
      </c>
      <c r="H132" s="194"/>
      <c r="I132" s="212">
        <v>790</v>
      </c>
      <c r="J132" s="196">
        <f t="shared" si="1"/>
        <v>0</v>
      </c>
      <c r="K132" s="69" t="s">
        <v>338</v>
      </c>
      <c r="L132" s="70" t="b">
        <f>K132=F132</f>
        <v>1</v>
      </c>
      <c r="M132" s="72" t="b">
        <f>B133='[1]Necesidades Trimestrales'!B132</f>
        <v>1</v>
      </c>
      <c r="N132" s="69" t="b">
        <f>F132='[1]Necesidades Trimestrales'!E132</f>
        <v>1</v>
      </c>
      <c r="O132" s="72" t="b">
        <f>G132='[1]Necesidades Trimestrales'!F132</f>
        <v>1</v>
      </c>
      <c r="P132" s="72" t="b">
        <f>B133='[2]Necesidades Trimestrales'!B132</f>
        <v>1</v>
      </c>
      <c r="Q132" s="72" t="b">
        <f>F132='[2]Necesidades Trimestrales'!E132</f>
        <v>1</v>
      </c>
      <c r="R132" s="72" t="b">
        <f>G132='[2]Necesidades Trimestrales'!F132</f>
        <v>1</v>
      </c>
      <c r="S132" s="187">
        <f>+I132-'[2]Necesidades Trimestrales'!H132</f>
        <v>0</v>
      </c>
    </row>
    <row r="133" spans="1:19" ht="58.5" customHeight="1" x14ac:dyDescent="0.2">
      <c r="A133" s="188">
        <v>124</v>
      </c>
      <c r="B133" s="197" t="s">
        <v>286</v>
      </c>
      <c r="C133" s="190" t="s">
        <v>200</v>
      </c>
      <c r="D133" s="191">
        <v>252</v>
      </c>
      <c r="E133" s="193" t="s">
        <v>138</v>
      </c>
      <c r="F133" s="198" t="s">
        <v>337</v>
      </c>
      <c r="G133" s="188" t="s">
        <v>22</v>
      </c>
      <c r="H133" s="194"/>
      <c r="I133" s="212">
        <v>1602</v>
      </c>
      <c r="J133" s="196">
        <f t="shared" si="1"/>
        <v>0</v>
      </c>
      <c r="K133" s="69" t="s">
        <v>394</v>
      </c>
      <c r="L133" s="70" t="b">
        <f>K133=F133</f>
        <v>1</v>
      </c>
      <c r="M133" s="72" t="b">
        <f>B134='[1]Necesidades Trimestrales'!B133</f>
        <v>1</v>
      </c>
      <c r="N133" s="69" t="b">
        <f>F133='[1]Necesidades Trimestrales'!E133</f>
        <v>1</v>
      </c>
      <c r="O133" s="72" t="b">
        <f>G133='[1]Necesidades Trimestrales'!F133</f>
        <v>1</v>
      </c>
      <c r="P133" s="72" t="b">
        <f>B134='[2]Necesidades Trimestrales'!B133</f>
        <v>1</v>
      </c>
      <c r="Q133" s="72" t="b">
        <f>F133='[2]Necesidades Trimestrales'!E133</f>
        <v>1</v>
      </c>
      <c r="R133" s="72" t="b">
        <f>G133='[2]Necesidades Trimestrales'!F133</f>
        <v>1</v>
      </c>
      <c r="S133" s="187">
        <f>+I133-'[2]Necesidades Trimestrales'!H133</f>
        <v>0</v>
      </c>
    </row>
    <row r="134" spans="1:19" ht="58.5" customHeight="1" x14ac:dyDescent="0.2">
      <c r="A134" s="188">
        <v>125</v>
      </c>
      <c r="B134" s="197" t="s">
        <v>289</v>
      </c>
      <c r="C134" s="190" t="s">
        <v>200</v>
      </c>
      <c r="D134" s="191">
        <v>252</v>
      </c>
      <c r="E134" s="203" t="s">
        <v>139</v>
      </c>
      <c r="F134" s="198" t="s">
        <v>336</v>
      </c>
      <c r="G134" s="188" t="s">
        <v>56</v>
      </c>
      <c r="H134" s="194"/>
      <c r="I134" s="212">
        <v>45</v>
      </c>
      <c r="J134" s="196">
        <f t="shared" si="1"/>
        <v>0</v>
      </c>
      <c r="K134" s="69" t="s">
        <v>336</v>
      </c>
      <c r="L134" s="70" t="b">
        <f>K134=F134</f>
        <v>1</v>
      </c>
      <c r="M134" s="72" t="b">
        <f>B135='[1]Necesidades Trimestrales'!B134</f>
        <v>1</v>
      </c>
      <c r="N134" s="69" t="b">
        <f>F134='[1]Necesidades Trimestrales'!E134</f>
        <v>1</v>
      </c>
      <c r="O134" s="72" t="b">
        <f>G134='[1]Necesidades Trimestrales'!F134</f>
        <v>1</v>
      </c>
      <c r="P134" s="72" t="b">
        <f>B135='[2]Necesidades Trimestrales'!B134</f>
        <v>1</v>
      </c>
      <c r="Q134" s="72" t="b">
        <f>F134='[2]Necesidades Trimestrales'!E134</f>
        <v>1</v>
      </c>
      <c r="R134" s="72" t="b">
        <f>G134='[2]Necesidades Trimestrales'!F134</f>
        <v>1</v>
      </c>
      <c r="S134" s="187">
        <f>+I134-'[2]Necesidades Trimestrales'!H134</f>
        <v>0</v>
      </c>
    </row>
    <row r="135" spans="1:19" ht="58.5" customHeight="1" x14ac:dyDescent="0.2">
      <c r="A135" s="188">
        <v>126</v>
      </c>
      <c r="B135" s="197" t="s">
        <v>288</v>
      </c>
      <c r="C135" s="190" t="s">
        <v>200</v>
      </c>
      <c r="D135" s="191">
        <v>252</v>
      </c>
      <c r="E135" s="203" t="s">
        <v>140</v>
      </c>
      <c r="F135" s="198" t="s">
        <v>392</v>
      </c>
      <c r="G135" s="188" t="s">
        <v>20</v>
      </c>
      <c r="H135" s="194"/>
      <c r="I135" s="212">
        <v>1510</v>
      </c>
      <c r="J135" s="196">
        <f t="shared" si="1"/>
        <v>0</v>
      </c>
      <c r="K135" s="69" t="s">
        <v>392</v>
      </c>
      <c r="L135" s="70" t="b">
        <f>K135=F135</f>
        <v>1</v>
      </c>
      <c r="M135" s="72" t="b">
        <f>B136='[1]Necesidades Trimestrales'!B135</f>
        <v>1</v>
      </c>
      <c r="N135" s="69" t="b">
        <f>F135='[1]Necesidades Trimestrales'!E135</f>
        <v>1</v>
      </c>
      <c r="O135" s="72" t="b">
        <f>G135='[1]Necesidades Trimestrales'!F135</f>
        <v>1</v>
      </c>
      <c r="P135" s="72" t="b">
        <f>B136='[2]Necesidades Trimestrales'!B135</f>
        <v>1</v>
      </c>
      <c r="Q135" s="72" t="b">
        <f>F135='[2]Necesidades Trimestrales'!E135</f>
        <v>1</v>
      </c>
      <c r="R135" s="72" t="b">
        <f>G135='[2]Necesidades Trimestrales'!F135</f>
        <v>1</v>
      </c>
      <c r="S135" s="187">
        <f>+I135-'[2]Necesidades Trimestrales'!H135</f>
        <v>0</v>
      </c>
    </row>
    <row r="136" spans="1:19" ht="58.5" customHeight="1" x14ac:dyDescent="0.2">
      <c r="A136" s="188">
        <v>127</v>
      </c>
      <c r="B136" s="197" t="s">
        <v>287</v>
      </c>
      <c r="C136" s="190" t="s">
        <v>200</v>
      </c>
      <c r="D136" s="191">
        <v>252</v>
      </c>
      <c r="E136" s="204" t="s">
        <v>480</v>
      </c>
      <c r="F136" s="198" t="s">
        <v>395</v>
      </c>
      <c r="G136" s="188" t="s">
        <v>22</v>
      </c>
      <c r="H136" s="194"/>
      <c r="I136" s="212">
        <v>13840</v>
      </c>
      <c r="J136" s="196">
        <f t="shared" si="1"/>
        <v>0</v>
      </c>
      <c r="K136" s="73" t="s">
        <v>395</v>
      </c>
      <c r="L136" s="7" t="b">
        <f>K136=F136</f>
        <v>1</v>
      </c>
      <c r="M136" s="72" t="b">
        <f>B137='[1]Necesidades Trimestrales'!B136</f>
        <v>1</v>
      </c>
      <c r="N136" s="69" t="b">
        <f>F136='[1]Necesidades Trimestrales'!E136</f>
        <v>1</v>
      </c>
      <c r="O136" s="72" t="b">
        <f>G136='[1]Necesidades Trimestrales'!F136</f>
        <v>1</v>
      </c>
      <c r="P136" s="72" t="b">
        <f>B137='[2]Necesidades Trimestrales'!B136</f>
        <v>1</v>
      </c>
      <c r="Q136" s="72" t="b">
        <f>F136='[2]Necesidades Trimestrales'!E136</f>
        <v>1</v>
      </c>
      <c r="R136" s="72" t="b">
        <f>G136='[2]Necesidades Trimestrales'!F136</f>
        <v>1</v>
      </c>
      <c r="S136" s="187">
        <f>+I136-'[2]Necesidades Trimestrales'!H136</f>
        <v>0</v>
      </c>
    </row>
    <row r="137" spans="1:19" ht="58.5" customHeight="1" x14ac:dyDescent="0.2">
      <c r="A137" s="188">
        <v>128</v>
      </c>
      <c r="B137" s="197" t="s">
        <v>290</v>
      </c>
      <c r="C137" s="190" t="s">
        <v>200</v>
      </c>
      <c r="D137" s="191">
        <v>252</v>
      </c>
      <c r="E137" s="201" t="s">
        <v>141</v>
      </c>
      <c r="F137" s="198" t="s">
        <v>335</v>
      </c>
      <c r="G137" s="188" t="s">
        <v>20</v>
      </c>
      <c r="H137" s="194"/>
      <c r="I137" s="212">
        <v>340</v>
      </c>
      <c r="J137" s="196">
        <f t="shared" si="1"/>
        <v>0</v>
      </c>
      <c r="K137" s="69" t="s">
        <v>335</v>
      </c>
      <c r="L137" s="70" t="b">
        <f>K137=F137</f>
        <v>1</v>
      </c>
      <c r="M137" s="72" t="b">
        <f>B138='[1]Necesidades Trimestrales'!B137</f>
        <v>1</v>
      </c>
      <c r="N137" s="69" t="b">
        <f>F137='[1]Necesidades Trimestrales'!E137</f>
        <v>1</v>
      </c>
      <c r="O137" s="72" t="b">
        <f>G137='[1]Necesidades Trimestrales'!F137</f>
        <v>1</v>
      </c>
      <c r="P137" s="72" t="b">
        <f>B138='[2]Necesidades Trimestrales'!B137</f>
        <v>1</v>
      </c>
      <c r="Q137" s="72" t="b">
        <f>F137='[2]Necesidades Trimestrales'!E137</f>
        <v>1</v>
      </c>
      <c r="R137" s="72" t="b">
        <f>G137='[2]Necesidades Trimestrales'!F137</f>
        <v>1</v>
      </c>
      <c r="S137" s="187">
        <f>+I137-'[2]Necesidades Trimestrales'!H137</f>
        <v>0</v>
      </c>
    </row>
    <row r="138" spans="1:19" ht="58.5" customHeight="1" x14ac:dyDescent="0.2">
      <c r="A138" s="188">
        <v>129</v>
      </c>
      <c r="B138" s="197" t="s">
        <v>291</v>
      </c>
      <c r="C138" s="190" t="s">
        <v>200</v>
      </c>
      <c r="D138" s="191">
        <v>252</v>
      </c>
      <c r="E138" s="203" t="s">
        <v>142</v>
      </c>
      <c r="F138" s="198" t="s">
        <v>334</v>
      </c>
      <c r="G138" s="188" t="s">
        <v>20</v>
      </c>
      <c r="H138" s="194"/>
      <c r="I138" s="212">
        <v>1252</v>
      </c>
      <c r="J138" s="196">
        <f t="shared" si="1"/>
        <v>0</v>
      </c>
      <c r="K138" s="69" t="s">
        <v>334</v>
      </c>
      <c r="L138" s="70" t="b">
        <f>K138=F138</f>
        <v>1</v>
      </c>
      <c r="M138" s="72" t="b">
        <f>B139='[1]Necesidades Trimestrales'!B138</f>
        <v>1</v>
      </c>
      <c r="N138" s="69" t="b">
        <f>F138='[1]Necesidades Trimestrales'!E138</f>
        <v>1</v>
      </c>
      <c r="O138" s="72" t="b">
        <f>G138='[1]Necesidades Trimestrales'!F138</f>
        <v>1</v>
      </c>
      <c r="P138" s="72" t="b">
        <f>B139='[2]Necesidades Trimestrales'!B138</f>
        <v>1</v>
      </c>
      <c r="Q138" s="72" t="b">
        <f>F138='[2]Necesidades Trimestrales'!E138</f>
        <v>1</v>
      </c>
      <c r="R138" s="72" t="b">
        <f>G138='[2]Necesidades Trimestrales'!F138</f>
        <v>1</v>
      </c>
      <c r="S138" s="187">
        <f>+I138-'[2]Necesidades Trimestrales'!H138</f>
        <v>0</v>
      </c>
    </row>
    <row r="139" spans="1:19" ht="58.5" customHeight="1" x14ac:dyDescent="0.2">
      <c r="A139" s="188">
        <v>130</v>
      </c>
      <c r="B139" s="197" t="s">
        <v>292</v>
      </c>
      <c r="C139" s="190" t="s">
        <v>200</v>
      </c>
      <c r="D139" s="191">
        <v>252</v>
      </c>
      <c r="E139" s="210" t="s">
        <v>143</v>
      </c>
      <c r="F139" s="198" t="s">
        <v>333</v>
      </c>
      <c r="G139" s="188" t="s">
        <v>20</v>
      </c>
      <c r="H139" s="194"/>
      <c r="I139" s="212">
        <v>1470</v>
      </c>
      <c r="J139" s="196">
        <f t="shared" si="1"/>
        <v>0</v>
      </c>
      <c r="K139" s="69" t="s">
        <v>333</v>
      </c>
      <c r="L139" s="7" t="b">
        <f>K139=F139</f>
        <v>1</v>
      </c>
      <c r="M139" s="72" t="b">
        <f>B140='[1]Necesidades Trimestrales'!B139</f>
        <v>1</v>
      </c>
      <c r="N139" s="69" t="b">
        <f>F139='[1]Necesidades Trimestrales'!E139</f>
        <v>1</v>
      </c>
      <c r="O139" s="72" t="b">
        <f>G139='[1]Necesidades Trimestrales'!F139</f>
        <v>1</v>
      </c>
      <c r="P139" s="72" t="b">
        <f>B140='[2]Necesidades Trimestrales'!B139</f>
        <v>1</v>
      </c>
      <c r="Q139" s="72" t="b">
        <f>F139='[2]Necesidades Trimestrales'!E139</f>
        <v>1</v>
      </c>
      <c r="R139" s="72" t="b">
        <f>G139='[2]Necesidades Trimestrales'!F139</f>
        <v>1</v>
      </c>
      <c r="S139" s="187">
        <f>+I139-'[2]Necesidades Trimestrales'!H139</f>
        <v>0</v>
      </c>
    </row>
    <row r="140" spans="1:19" ht="58.5" customHeight="1" x14ac:dyDescent="0.2">
      <c r="A140" s="188">
        <v>131</v>
      </c>
      <c r="B140" s="197" t="s">
        <v>293</v>
      </c>
      <c r="C140" s="190" t="s">
        <v>200</v>
      </c>
      <c r="D140" s="191">
        <v>252</v>
      </c>
      <c r="E140" s="199" t="s">
        <v>144</v>
      </c>
      <c r="F140" s="198" t="s">
        <v>332</v>
      </c>
      <c r="G140" s="188" t="s">
        <v>20</v>
      </c>
      <c r="H140" s="194"/>
      <c r="I140" s="212">
        <v>65</v>
      </c>
      <c r="J140" s="196">
        <f t="shared" si="1"/>
        <v>0</v>
      </c>
      <c r="K140" s="69" t="s">
        <v>332</v>
      </c>
      <c r="L140" s="70" t="b">
        <f>K140=F140</f>
        <v>1</v>
      </c>
      <c r="M140" s="72" t="b">
        <f>B141='[1]Necesidades Trimestrales'!B140</f>
        <v>1</v>
      </c>
      <c r="N140" s="69" t="b">
        <f>F140='[1]Necesidades Trimestrales'!E140</f>
        <v>1</v>
      </c>
      <c r="O140" s="72" t="b">
        <f>G140='[1]Necesidades Trimestrales'!F140</f>
        <v>1</v>
      </c>
      <c r="P140" s="72" t="b">
        <f>B141='[2]Necesidades Trimestrales'!B140</f>
        <v>1</v>
      </c>
      <c r="Q140" s="72" t="b">
        <f>F140='[2]Necesidades Trimestrales'!E140</f>
        <v>1</v>
      </c>
      <c r="R140" s="72" t="b">
        <f>G140='[2]Necesidades Trimestrales'!F140</f>
        <v>1</v>
      </c>
      <c r="S140" s="187">
        <f>+I140-'[2]Necesidades Trimestrales'!H140</f>
        <v>0</v>
      </c>
    </row>
    <row r="141" spans="1:19" ht="58.5" customHeight="1" x14ac:dyDescent="0.2">
      <c r="A141" s="188">
        <v>132</v>
      </c>
      <c r="B141" s="197" t="s">
        <v>294</v>
      </c>
      <c r="C141" s="190" t="s">
        <v>200</v>
      </c>
      <c r="D141" s="191">
        <v>252</v>
      </c>
      <c r="E141" s="201" t="s">
        <v>145</v>
      </c>
      <c r="F141" s="198" t="s">
        <v>331</v>
      </c>
      <c r="G141" s="188" t="s">
        <v>20</v>
      </c>
      <c r="H141" s="194"/>
      <c r="I141" s="212">
        <v>335</v>
      </c>
      <c r="J141" s="196">
        <f t="shared" si="1"/>
        <v>0</v>
      </c>
      <c r="K141" s="69" t="s">
        <v>331</v>
      </c>
      <c r="L141" s="70" t="b">
        <f>K141=F141</f>
        <v>1</v>
      </c>
      <c r="M141" s="72" t="b">
        <f>B142='[1]Necesidades Trimestrales'!B141</f>
        <v>1</v>
      </c>
      <c r="N141" s="69" t="b">
        <f>F141='[1]Necesidades Trimestrales'!E141</f>
        <v>1</v>
      </c>
      <c r="O141" s="72" t="b">
        <f>G141='[1]Necesidades Trimestrales'!F141</f>
        <v>1</v>
      </c>
      <c r="P141" s="72" t="b">
        <f>B142='[2]Necesidades Trimestrales'!B141</f>
        <v>1</v>
      </c>
      <c r="Q141" s="72" t="b">
        <f>F141='[2]Necesidades Trimestrales'!E141</f>
        <v>1</v>
      </c>
      <c r="R141" s="72" t="b">
        <f>G141='[2]Necesidades Trimestrales'!F141</f>
        <v>1</v>
      </c>
      <c r="S141" s="187">
        <f>+I141-'[2]Necesidades Trimestrales'!H141</f>
        <v>0</v>
      </c>
    </row>
    <row r="142" spans="1:19" ht="58.5" customHeight="1" x14ac:dyDescent="0.2">
      <c r="A142" s="188">
        <v>133</v>
      </c>
      <c r="B142" s="197" t="s">
        <v>295</v>
      </c>
      <c r="C142" s="190" t="s">
        <v>200</v>
      </c>
      <c r="D142" s="191">
        <v>252</v>
      </c>
      <c r="E142" s="201" t="s">
        <v>146</v>
      </c>
      <c r="F142" s="217" t="s">
        <v>398</v>
      </c>
      <c r="G142" s="188" t="s">
        <v>20</v>
      </c>
      <c r="H142" s="194"/>
      <c r="I142" s="212">
        <v>188</v>
      </c>
      <c r="J142" s="196">
        <f t="shared" si="1"/>
        <v>0</v>
      </c>
      <c r="K142" s="86" t="s">
        <v>398</v>
      </c>
      <c r="L142" s="7" t="b">
        <f>K142=F142</f>
        <v>1</v>
      </c>
      <c r="M142" s="72" t="b">
        <f>B143='[1]Necesidades Trimestrales'!B142</f>
        <v>1</v>
      </c>
      <c r="N142" s="69" t="b">
        <f>F142='[1]Necesidades Trimestrales'!E142</f>
        <v>1</v>
      </c>
      <c r="O142" s="72" t="b">
        <f>G142='[1]Necesidades Trimestrales'!F142</f>
        <v>1</v>
      </c>
      <c r="P142" s="72" t="b">
        <f>B143='[2]Necesidades Trimestrales'!B142</f>
        <v>1</v>
      </c>
      <c r="Q142" s="72" t="b">
        <f>F142='[2]Necesidades Trimestrales'!E142</f>
        <v>1</v>
      </c>
      <c r="R142" s="72" t="b">
        <f>G142='[2]Necesidades Trimestrales'!F142</f>
        <v>1</v>
      </c>
      <c r="S142" s="187">
        <f>+I142-'[2]Necesidades Trimestrales'!H142</f>
        <v>0</v>
      </c>
    </row>
    <row r="143" spans="1:19" ht="58.5" customHeight="1" x14ac:dyDescent="0.2">
      <c r="A143" s="188">
        <v>134</v>
      </c>
      <c r="B143" s="197" t="s">
        <v>433</v>
      </c>
      <c r="C143" s="190" t="s">
        <v>200</v>
      </c>
      <c r="D143" s="191">
        <v>252</v>
      </c>
      <c r="E143" s="201" t="s">
        <v>147</v>
      </c>
      <c r="F143" s="198" t="s">
        <v>390</v>
      </c>
      <c r="G143" s="188" t="s">
        <v>20</v>
      </c>
      <c r="H143" s="194"/>
      <c r="I143" s="212">
        <v>864</v>
      </c>
      <c r="J143" s="196">
        <f t="shared" si="1"/>
        <v>0</v>
      </c>
      <c r="K143" s="69" t="s">
        <v>390</v>
      </c>
      <c r="L143" s="7" t="b">
        <f>K143=F143</f>
        <v>1</v>
      </c>
      <c r="M143" s="72" t="b">
        <f>B144='[1]Necesidades Trimestrales'!B143</f>
        <v>1</v>
      </c>
      <c r="N143" s="69" t="b">
        <f>F143='[1]Necesidades Trimestrales'!E143</f>
        <v>1</v>
      </c>
      <c r="O143" s="72" t="b">
        <f>G143='[1]Necesidades Trimestrales'!F143</f>
        <v>1</v>
      </c>
      <c r="P143" s="72" t="b">
        <f>B144='[2]Necesidades Trimestrales'!B143</f>
        <v>1</v>
      </c>
      <c r="Q143" s="72" t="b">
        <f>F143='[2]Necesidades Trimestrales'!E143</f>
        <v>1</v>
      </c>
      <c r="R143" s="72" t="b">
        <f>G143='[2]Necesidades Trimestrales'!F143</f>
        <v>1</v>
      </c>
      <c r="S143" s="187">
        <f>+I143-'[2]Necesidades Trimestrales'!H143</f>
        <v>0</v>
      </c>
    </row>
    <row r="144" spans="1:19" ht="12.75" customHeight="1" x14ac:dyDescent="0.2">
      <c r="A144" s="1"/>
      <c r="B144" s="197" t="s">
        <v>296</v>
      </c>
      <c r="C144" s="70"/>
      <c r="D144" s="1"/>
      <c r="E144" s="59"/>
      <c r="F144" s="93"/>
      <c r="G144" s="1"/>
      <c r="H144" s="1"/>
      <c r="I144" s="70"/>
      <c r="J144" s="2"/>
      <c r="K144" s="70"/>
      <c r="L144" s="7"/>
    </row>
    <row r="145" spans="1:12" ht="12.75" customHeight="1" x14ac:dyDescent="0.2">
      <c r="B145"/>
      <c r="C145"/>
      <c r="G145" s="59"/>
      <c r="H145" s="59"/>
      <c r="I145" s="71"/>
      <c r="J145" s="88"/>
      <c r="K145" s="71"/>
      <c r="L145" s="89"/>
    </row>
    <row r="146" spans="1:12" ht="12.75" customHeight="1" x14ac:dyDescent="0.2">
      <c r="A146" s="113" t="s">
        <v>440</v>
      </c>
      <c r="B146" s="113"/>
      <c r="C146" s="113"/>
      <c r="D146" s="113"/>
      <c r="E146" s="113"/>
      <c r="F146" s="113"/>
      <c r="G146" s="59"/>
      <c r="H146" s="59"/>
      <c r="I146" s="71"/>
      <c r="J146" s="88"/>
      <c r="K146" s="71"/>
      <c r="L146" s="89"/>
    </row>
    <row r="147" spans="1:12" ht="51.75" customHeight="1" x14ac:dyDescent="0.2">
      <c r="A147" s="114" t="s">
        <v>441</v>
      </c>
      <c r="B147" s="115"/>
      <c r="C147" s="90" t="s">
        <v>200</v>
      </c>
      <c r="D147" s="91">
        <v>252</v>
      </c>
      <c r="E147" s="91"/>
      <c r="F147" s="92" t="s">
        <v>442</v>
      </c>
      <c r="G147" s="59"/>
      <c r="H147" s="59"/>
      <c r="I147" s="71"/>
      <c r="J147" s="88"/>
      <c r="K147" s="71"/>
      <c r="L147" s="89"/>
    </row>
    <row r="148" spans="1:12" ht="12.75" customHeight="1" x14ac:dyDescent="0.2">
      <c r="A148" s="59"/>
      <c r="B148" s="71"/>
      <c r="C148" s="71"/>
      <c r="D148" s="59"/>
      <c r="E148" s="59"/>
      <c r="F148" s="93"/>
      <c r="G148" s="59"/>
      <c r="H148" s="59"/>
      <c r="I148" s="71"/>
      <c r="J148" s="88"/>
      <c r="K148" s="71"/>
      <c r="L148" s="89"/>
    </row>
    <row r="149" spans="1:12" ht="12.75" customHeight="1" x14ac:dyDescent="0.2">
      <c r="A149" s="59"/>
      <c r="B149" s="71"/>
      <c r="C149" s="71"/>
      <c r="D149" s="59"/>
      <c r="E149" s="59"/>
      <c r="F149" s="68" t="s">
        <v>123</v>
      </c>
      <c r="G149" s="64"/>
      <c r="H149" s="67">
        <v>169</v>
      </c>
      <c r="I149" s="71"/>
      <c r="J149" s="88"/>
      <c r="K149" s="71"/>
      <c r="L149" s="89"/>
    </row>
    <row r="150" spans="1:12" ht="12.75" customHeight="1" x14ac:dyDescent="0.2">
      <c r="A150" s="59"/>
      <c r="B150" s="71"/>
      <c r="C150" s="71"/>
      <c r="D150" s="59"/>
      <c r="E150" s="59"/>
      <c r="F150" s="93"/>
      <c r="G150" s="59"/>
      <c r="H150" s="59"/>
      <c r="I150" s="71"/>
      <c r="J150" s="88"/>
      <c r="K150" s="71"/>
      <c r="L150" s="89"/>
    </row>
    <row r="151" spans="1:12" ht="12.75" customHeight="1" x14ac:dyDescent="0.2">
      <c r="A151" s="59"/>
      <c r="B151" s="71"/>
      <c r="C151" s="71"/>
      <c r="D151" s="59"/>
      <c r="E151" s="59"/>
      <c r="F151" s="93"/>
      <c r="G151" s="59"/>
      <c r="H151" s="59"/>
      <c r="I151" s="71"/>
      <c r="J151" s="88"/>
      <c r="K151" s="71"/>
      <c r="L151" s="89"/>
    </row>
    <row r="152" spans="1:12" ht="12.75" customHeight="1" x14ac:dyDescent="0.2">
      <c r="A152" s="59"/>
      <c r="B152" s="71"/>
      <c r="C152" s="71"/>
      <c r="D152" s="59"/>
      <c r="E152" s="59"/>
      <c r="F152" s="93"/>
      <c r="G152" s="59"/>
      <c r="H152" s="59"/>
      <c r="I152" s="71"/>
      <c r="J152" s="88"/>
      <c r="K152" s="71"/>
      <c r="L152" s="89"/>
    </row>
    <row r="153" spans="1:12" ht="12.75" customHeight="1" x14ac:dyDescent="0.2">
      <c r="A153" s="59"/>
      <c r="B153" s="71"/>
      <c r="C153" s="71"/>
      <c r="D153" s="59"/>
      <c r="E153" s="59"/>
      <c r="F153" s="93"/>
      <c r="G153" s="59"/>
      <c r="H153" s="59"/>
      <c r="I153" s="71"/>
      <c r="J153" s="88"/>
      <c r="K153" s="71"/>
      <c r="L153" s="89"/>
    </row>
    <row r="154" spans="1:12" ht="12.75" customHeight="1" x14ac:dyDescent="0.2">
      <c r="A154" s="59"/>
      <c r="B154" s="71"/>
      <c r="C154" s="71"/>
      <c r="D154" s="59"/>
      <c r="E154" s="59"/>
      <c r="F154" s="93"/>
      <c r="G154" s="59"/>
      <c r="H154" s="59"/>
      <c r="I154" s="71"/>
      <c r="J154" s="88"/>
      <c r="K154" s="71"/>
      <c r="L154" s="89"/>
    </row>
    <row r="155" spans="1:12" ht="12.75" customHeight="1" x14ac:dyDescent="0.2">
      <c r="A155" s="59"/>
      <c r="B155" s="71"/>
      <c r="C155" s="71"/>
      <c r="D155" s="59"/>
      <c r="E155" s="59"/>
      <c r="F155" s="93"/>
      <c r="G155" s="59"/>
      <c r="H155" s="59"/>
      <c r="I155" s="71"/>
      <c r="J155" s="88"/>
      <c r="K155" s="71"/>
      <c r="L155" s="89"/>
    </row>
    <row r="156" spans="1:12" ht="12.75" customHeight="1" x14ac:dyDescent="0.2">
      <c r="A156" s="59"/>
      <c r="B156" s="71"/>
      <c r="C156" s="71"/>
      <c r="D156" s="59"/>
      <c r="E156" s="59"/>
      <c r="F156" s="93"/>
      <c r="G156" s="59"/>
      <c r="H156" s="59"/>
      <c r="I156" s="71"/>
      <c r="J156" s="88"/>
      <c r="K156" s="71"/>
      <c r="L156" s="89"/>
    </row>
    <row r="157" spans="1:12" ht="12.75" customHeight="1" thickBot="1" x14ac:dyDescent="0.25">
      <c r="A157" s="1"/>
      <c r="B157" s="70"/>
      <c r="C157" s="70"/>
      <c r="D157" s="1"/>
      <c r="E157" s="59"/>
      <c r="F157" s="93"/>
      <c r="G157" s="1"/>
      <c r="H157" s="1"/>
      <c r="I157" s="70"/>
      <c r="J157" s="2"/>
      <c r="K157" s="70"/>
      <c r="L157" s="7"/>
    </row>
    <row r="158" spans="1:12" ht="12.75" customHeight="1" x14ac:dyDescent="0.2">
      <c r="A158" s="1"/>
      <c r="B158" s="83" t="s">
        <v>148</v>
      </c>
      <c r="C158" s="77"/>
      <c r="D158" s="6"/>
      <c r="E158" s="218"/>
      <c r="F158" s="95"/>
      <c r="G158" s="7"/>
      <c r="H158" s="7"/>
      <c r="I158" s="82"/>
      <c r="J158" s="2"/>
      <c r="K158" s="70"/>
      <c r="L158" s="7"/>
    </row>
    <row r="159" spans="1:12" ht="12.75" customHeight="1" x14ac:dyDescent="0.2">
      <c r="A159" s="1"/>
      <c r="B159" s="101" t="s">
        <v>149</v>
      </c>
      <c r="C159" s="102"/>
      <c r="D159" s="102"/>
      <c r="E159" s="103"/>
      <c r="F159" s="103"/>
      <c r="G159" s="7"/>
      <c r="H159" s="8"/>
      <c r="I159" s="82"/>
      <c r="J159" s="2"/>
      <c r="K159" s="70"/>
      <c r="L159" s="7"/>
    </row>
    <row r="160" spans="1:12" ht="12.75" customHeight="1" x14ac:dyDescent="0.2">
      <c r="A160" s="1"/>
      <c r="B160" s="104"/>
      <c r="C160" s="103"/>
      <c r="D160" s="103"/>
      <c r="E160" s="103"/>
      <c r="F160" s="103"/>
      <c r="G160" s="7"/>
      <c r="H160" s="7"/>
      <c r="I160" s="82"/>
      <c r="J160" s="2"/>
      <c r="K160" s="70"/>
      <c r="L160" s="7"/>
    </row>
    <row r="161" spans="1:12" ht="12.75" customHeight="1" x14ac:dyDescent="0.2">
      <c r="A161" s="1"/>
      <c r="B161" s="105" t="s">
        <v>150</v>
      </c>
      <c r="C161" s="106"/>
      <c r="D161" s="106"/>
      <c r="E161" s="103"/>
      <c r="F161" s="103"/>
      <c r="G161" s="7"/>
      <c r="H161" s="7"/>
      <c r="I161" s="82"/>
      <c r="J161" s="2"/>
      <c r="K161" s="70"/>
      <c r="L161" s="7"/>
    </row>
    <row r="162" spans="1:12" ht="12.75" customHeight="1" x14ac:dyDescent="0.2">
      <c r="A162" s="1"/>
      <c r="B162" s="84"/>
      <c r="C162" s="78"/>
      <c r="D162" s="9"/>
      <c r="E162" s="62"/>
      <c r="F162" s="62"/>
      <c r="G162" s="7"/>
      <c r="H162" s="7"/>
      <c r="I162" s="82"/>
      <c r="J162" s="2"/>
      <c r="K162" s="70"/>
      <c r="L162" s="7"/>
    </row>
    <row r="163" spans="1:12" ht="12.75" customHeight="1" x14ac:dyDescent="0.2">
      <c r="A163" s="1"/>
      <c r="B163" s="10" t="s">
        <v>151</v>
      </c>
      <c r="C163" s="79"/>
      <c r="D163" s="11"/>
      <c r="E163" s="63"/>
      <c r="F163" s="63"/>
      <c r="G163" s="7"/>
      <c r="H163" s="7"/>
      <c r="I163" s="82"/>
      <c r="J163" s="2"/>
      <c r="K163" s="70"/>
      <c r="L163" s="7"/>
    </row>
    <row r="164" spans="1:12" ht="12.75" customHeight="1" thickBot="1" x14ac:dyDescent="0.25">
      <c r="A164" s="1"/>
      <c r="B164" s="85" t="s">
        <v>152</v>
      </c>
      <c r="C164" s="80"/>
      <c r="D164" s="12"/>
      <c r="E164" s="219"/>
      <c r="F164" s="96"/>
      <c r="G164" s="1"/>
      <c r="H164" s="1"/>
      <c r="I164" s="70"/>
      <c r="J164" s="2"/>
      <c r="K164" s="70"/>
      <c r="L164" s="7"/>
    </row>
  </sheetData>
  <autoFilter ref="A9:S143" xr:uid="{00000000-0001-0000-0000-000000000000}"/>
  <mergeCells count="14">
    <mergeCell ref="P8:R8"/>
    <mergeCell ref="B2:I2"/>
    <mergeCell ref="A4:B4"/>
    <mergeCell ref="C4:F4"/>
    <mergeCell ref="A5:B5"/>
    <mergeCell ref="C5:F5"/>
    <mergeCell ref="M8:O8"/>
    <mergeCell ref="I6:I8"/>
    <mergeCell ref="B159:F160"/>
    <mergeCell ref="B161:F161"/>
    <mergeCell ref="A6:B6"/>
    <mergeCell ref="A7:B7"/>
    <mergeCell ref="A146:F146"/>
    <mergeCell ref="A147:B14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4" fitToHeight="100" orientation="portrait" r:id="rId1"/>
  <headerFooter alignWithMargins="0">
    <oddFooter xml:space="preserve">&amp;C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4"/>
  <sheetViews>
    <sheetView workbookViewId="0">
      <selection activeCell="D8" sqref="D8:K8"/>
    </sheetView>
  </sheetViews>
  <sheetFormatPr baseColWidth="10" defaultColWidth="12.5703125" defaultRowHeight="15" customHeight="1" x14ac:dyDescent="0.2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5703125" customWidth="1"/>
    <col min="8" max="8" width="9.28515625" customWidth="1"/>
    <col min="9" max="9" width="15.5703125" customWidth="1"/>
    <col min="10" max="10" width="14.7109375" customWidth="1"/>
    <col min="11" max="11" width="15.5703125" customWidth="1"/>
  </cols>
  <sheetData>
    <row r="1" spans="1:11" ht="12.75" customHeight="1" x14ac:dyDescent="0.2">
      <c r="A1" s="143" t="s">
        <v>153</v>
      </c>
      <c r="B1" s="106"/>
      <c r="C1" s="106"/>
      <c r="D1" s="106"/>
      <c r="E1" s="106"/>
      <c r="F1" s="106"/>
      <c r="G1" s="106"/>
      <c r="H1" s="106"/>
      <c r="I1" s="108"/>
      <c r="J1" s="13" t="s">
        <v>154</v>
      </c>
      <c r="K1" s="14" t="s">
        <v>155</v>
      </c>
    </row>
    <row r="2" spans="1:11" ht="12.75" customHeight="1" x14ac:dyDescent="0.2">
      <c r="A2" s="15"/>
      <c r="B2" s="15"/>
      <c r="C2" s="15"/>
      <c r="D2" s="16"/>
      <c r="E2" s="16"/>
      <c r="F2" s="16"/>
      <c r="G2" s="16"/>
      <c r="H2" s="16"/>
      <c r="I2" s="16"/>
      <c r="J2" s="16"/>
      <c r="K2" s="16"/>
    </row>
    <row r="3" spans="1:11" ht="12.75" customHeight="1" x14ac:dyDescent="0.2">
      <c r="A3" s="123" t="s">
        <v>156</v>
      </c>
      <c r="B3" s="124"/>
      <c r="C3" s="125"/>
      <c r="D3" s="119" t="str">
        <f>'Necesidades Trimestrales'!C4</f>
        <v>040 - Ministerio de Salud</v>
      </c>
      <c r="E3" s="120"/>
      <c r="F3" s="120"/>
      <c r="G3" s="120"/>
      <c r="H3" s="120"/>
      <c r="I3" s="120"/>
      <c r="J3" s="120"/>
      <c r="K3" s="121"/>
    </row>
    <row r="4" spans="1:11" ht="12.75" customHeight="1" x14ac:dyDescent="0.2">
      <c r="A4" s="126" t="s">
        <v>157</v>
      </c>
      <c r="B4" s="127"/>
      <c r="C4" s="128"/>
      <c r="D4" s="129" t="str">
        <f>'Necesidades Trimestrales'!C5</f>
        <v>11/ 23/ 24  o  28- "…......."</v>
      </c>
      <c r="E4" s="120"/>
      <c r="F4" s="120"/>
      <c r="G4" s="120"/>
      <c r="H4" s="120"/>
      <c r="I4" s="120"/>
      <c r="J4" s="120"/>
      <c r="K4" s="121"/>
    </row>
    <row r="5" spans="1:11" ht="12.75" customHeight="1" x14ac:dyDescent="0.2">
      <c r="A5" s="126" t="s">
        <v>158</v>
      </c>
      <c r="B5" s="127"/>
      <c r="C5" s="128"/>
      <c r="D5" s="129" t="s">
        <v>159</v>
      </c>
      <c r="E5" s="120"/>
      <c r="F5" s="120"/>
      <c r="G5" s="120"/>
      <c r="H5" s="120"/>
      <c r="I5" s="120"/>
      <c r="J5" s="120"/>
      <c r="K5" s="121"/>
    </row>
    <row r="6" spans="1:11" ht="12.75" customHeight="1" x14ac:dyDescent="0.2">
      <c r="A6" s="132" t="s">
        <v>160</v>
      </c>
      <c r="B6" s="124"/>
      <c r="C6" s="125"/>
      <c r="D6" s="129" t="s">
        <v>159</v>
      </c>
      <c r="E6" s="120"/>
      <c r="F6" s="120"/>
      <c r="G6" s="120"/>
      <c r="H6" s="120"/>
      <c r="I6" s="120"/>
      <c r="J6" s="120"/>
      <c r="K6" s="121"/>
    </row>
    <row r="7" spans="1:11" ht="12.75" customHeight="1" x14ac:dyDescent="0.2">
      <c r="A7" s="126" t="s">
        <v>161</v>
      </c>
      <c r="B7" s="127"/>
      <c r="C7" s="128"/>
      <c r="D7" s="129" t="s">
        <v>162</v>
      </c>
      <c r="E7" s="120"/>
      <c r="F7" s="120"/>
      <c r="G7" s="120"/>
      <c r="H7" s="120"/>
      <c r="I7" s="120"/>
      <c r="J7" s="120"/>
      <c r="K7" s="121"/>
    </row>
    <row r="8" spans="1:11" ht="36" customHeight="1" x14ac:dyDescent="0.2">
      <c r="A8" s="130" t="s">
        <v>163</v>
      </c>
      <c r="B8" s="120"/>
      <c r="C8" s="131"/>
      <c r="D8" s="144" t="s">
        <v>164</v>
      </c>
      <c r="E8" s="120"/>
      <c r="F8" s="120"/>
      <c r="G8" s="120"/>
      <c r="H8" s="120"/>
      <c r="I8" s="120"/>
      <c r="J8" s="120"/>
      <c r="K8" s="121"/>
    </row>
    <row r="9" spans="1:11" ht="12.75" customHeight="1" x14ac:dyDescent="0.2">
      <c r="A9" s="17"/>
      <c r="B9" s="17"/>
      <c r="C9" s="17"/>
      <c r="D9" s="18"/>
      <c r="E9" s="18"/>
      <c r="F9" s="18"/>
      <c r="G9" s="18"/>
      <c r="H9" s="18"/>
      <c r="I9" s="18"/>
      <c r="J9" s="18"/>
      <c r="K9" s="18"/>
    </row>
    <row r="10" spans="1:11" ht="12.75" customHeight="1" x14ac:dyDescent="0.2">
      <c r="A10" s="133" t="s">
        <v>165</v>
      </c>
      <c r="B10" s="135" t="s">
        <v>166</v>
      </c>
      <c r="C10" s="137" t="s">
        <v>167</v>
      </c>
      <c r="D10" s="138"/>
      <c r="E10" s="138"/>
      <c r="F10" s="138"/>
      <c r="G10" s="139"/>
      <c r="H10" s="135" t="s">
        <v>168</v>
      </c>
      <c r="I10" s="135" t="s">
        <v>169</v>
      </c>
      <c r="J10" s="135" t="s">
        <v>170</v>
      </c>
      <c r="K10" s="145" t="s">
        <v>171</v>
      </c>
    </row>
    <row r="11" spans="1:11" ht="30.75" customHeight="1" x14ac:dyDescent="0.2">
      <c r="A11" s="134"/>
      <c r="B11" s="136"/>
      <c r="C11" s="140"/>
      <c r="D11" s="141"/>
      <c r="E11" s="141"/>
      <c r="F11" s="141"/>
      <c r="G11" s="142"/>
      <c r="H11" s="136"/>
      <c r="I11" s="136"/>
      <c r="J11" s="136"/>
      <c r="K11" s="146"/>
    </row>
    <row r="12" spans="1:11" ht="12.75" customHeight="1" x14ac:dyDescent="0.2">
      <c r="A12" s="19">
        <v>1</v>
      </c>
      <c r="B12" s="20"/>
      <c r="C12" s="116" t="str">
        <f>+'Necesidades Trimestrales'!E10</f>
        <v>ACICLOVIR 200 MG COMPRIMIDO</v>
      </c>
      <c r="D12" s="117"/>
      <c r="E12" s="117"/>
      <c r="F12" s="117"/>
      <c r="G12" s="118"/>
      <c r="H12" s="19" t="s">
        <v>172</v>
      </c>
      <c r="I12" s="21" t="str">
        <f>+'Necesidades Trimestrales'!G10</f>
        <v>COMPRIMIDO</v>
      </c>
      <c r="J12" s="22">
        <f>+'Necesidades Trimestrales'!I10</f>
        <v>60.1</v>
      </c>
      <c r="K12" s="23">
        <f>+'Necesidades Trimestrales'!H10</f>
        <v>0</v>
      </c>
    </row>
    <row r="13" spans="1:11" ht="13.5" customHeight="1" x14ac:dyDescent="0.2">
      <c r="A13" s="19">
        <v>2</v>
      </c>
      <c r="B13" s="24"/>
      <c r="C13" s="116" t="str">
        <f>+'Necesidades Trimestrales'!E11</f>
        <v>ACICLOVIR 400 MG COMPRIMIDO</v>
      </c>
      <c r="D13" s="117"/>
      <c r="E13" s="117"/>
      <c r="F13" s="117"/>
      <c r="G13" s="118"/>
      <c r="H13" s="25" t="s">
        <v>172</v>
      </c>
      <c r="I13" s="21" t="str">
        <f>+'Necesidades Trimestrales'!G11</f>
        <v>COMPRIMIDO</v>
      </c>
      <c r="J13" s="22">
        <f>+'Necesidades Trimestrales'!I11</f>
        <v>70.099999999999994</v>
      </c>
      <c r="K13" s="23">
        <f>+'Necesidades Trimestrales'!H11</f>
        <v>0</v>
      </c>
    </row>
    <row r="14" spans="1:11" ht="13.5" customHeight="1" x14ac:dyDescent="0.2">
      <c r="A14" s="19">
        <v>3</v>
      </c>
      <c r="B14" s="24"/>
      <c r="C14" s="116" t="str">
        <f>+'Necesidades Trimestrales'!E12</f>
        <v>ACICLOVIR 500 MG FCO AMPOLLA</v>
      </c>
      <c r="D14" s="117"/>
      <c r="E14" s="117"/>
      <c r="F14" s="117"/>
      <c r="G14" s="118"/>
      <c r="H14" s="25" t="s">
        <v>172</v>
      </c>
      <c r="I14" s="21" t="str">
        <f>+'Necesidades Trimestrales'!G12</f>
        <v>AMPOLLA</v>
      </c>
      <c r="J14" s="22">
        <f>+'Necesidades Trimestrales'!I12</f>
        <v>450</v>
      </c>
      <c r="K14" s="23">
        <f>+'Necesidades Trimestrales'!H12</f>
        <v>0</v>
      </c>
    </row>
    <row r="15" spans="1:11" ht="13.5" customHeight="1" x14ac:dyDescent="0.2">
      <c r="A15" s="19">
        <v>4</v>
      </c>
      <c r="B15" s="24"/>
      <c r="C15" s="116" t="str">
        <f>+'Necesidades Trimestrales'!E13</f>
        <v>ACICLOVIR 80 MG/ML SUSPENSIÓN X 200ML</v>
      </c>
      <c r="D15" s="117"/>
      <c r="E15" s="117"/>
      <c r="F15" s="117"/>
      <c r="G15" s="118"/>
      <c r="H15" s="25" t="s">
        <v>172</v>
      </c>
      <c r="I15" s="21" t="str">
        <f>+'Necesidades Trimestrales'!G13</f>
        <v>FRASCO</v>
      </c>
      <c r="J15" s="22">
        <f>+'Necesidades Trimestrales'!I13</f>
        <v>980</v>
      </c>
      <c r="K15" s="23">
        <f>+'Necesidades Trimestrales'!H13</f>
        <v>0</v>
      </c>
    </row>
    <row r="16" spans="1:11" ht="13.5" customHeight="1" x14ac:dyDescent="0.2">
      <c r="A16" s="19">
        <v>5</v>
      </c>
      <c r="B16" s="20"/>
      <c r="C16" s="116" t="str">
        <f>+'Necesidades Trimestrales'!E14</f>
        <v>ACIDO ACETIL SALICILICO 100 MG COMPRIMIDO</v>
      </c>
      <c r="D16" s="117"/>
      <c r="E16" s="117"/>
      <c r="F16" s="117"/>
      <c r="G16" s="118"/>
      <c r="H16" s="25" t="s">
        <v>172</v>
      </c>
      <c r="I16" s="21" t="str">
        <f>+'Necesidades Trimestrales'!G14</f>
        <v>COMPRIMIDO</v>
      </c>
      <c r="J16" s="22">
        <f>+'Necesidades Trimestrales'!I14</f>
        <v>1.55</v>
      </c>
      <c r="K16" s="23">
        <f>+'Necesidades Trimestrales'!H14</f>
        <v>0</v>
      </c>
    </row>
    <row r="17" spans="1:11" ht="13.5" customHeight="1" x14ac:dyDescent="0.2">
      <c r="A17" s="19">
        <v>6</v>
      </c>
      <c r="B17" s="24"/>
      <c r="C17" s="116" t="str">
        <f>+'Necesidades Trimestrales'!E15</f>
        <v>ACIDO ACETIL SALICILICO 500 MG COMPRIMIDO</v>
      </c>
      <c r="D17" s="117"/>
      <c r="E17" s="117"/>
      <c r="F17" s="117"/>
      <c r="G17" s="118"/>
      <c r="H17" s="25" t="s">
        <v>172</v>
      </c>
      <c r="I17" s="21" t="str">
        <f>+'Necesidades Trimestrales'!G15</f>
        <v>COMPRIMIDO</v>
      </c>
      <c r="J17" s="22">
        <f>+'Necesidades Trimestrales'!I15</f>
        <v>2.0099999999999998</v>
      </c>
      <c r="K17" s="23">
        <f>+'Necesidades Trimestrales'!H15</f>
        <v>0</v>
      </c>
    </row>
    <row r="18" spans="1:11" ht="13.5" customHeight="1" x14ac:dyDescent="0.2">
      <c r="A18" s="19">
        <v>7</v>
      </c>
      <c r="B18" s="24"/>
      <c r="C18" s="116" t="str">
        <f>+'Necesidades Trimestrales'!E16</f>
        <v>ALLOPURINOL 300 MG COMPRIMIDO</v>
      </c>
      <c r="D18" s="117"/>
      <c r="E18" s="117"/>
      <c r="F18" s="117"/>
      <c r="G18" s="118"/>
      <c r="H18" s="25" t="s">
        <v>172</v>
      </c>
      <c r="I18" s="21" t="str">
        <f>+'Necesidades Trimestrales'!G16</f>
        <v>COMPRIMIDO</v>
      </c>
      <c r="J18" s="22">
        <f>+'Necesidades Trimestrales'!I16</f>
        <v>12.15</v>
      </c>
      <c r="K18" s="23">
        <f>+'Necesidades Trimestrales'!H16</f>
        <v>0</v>
      </c>
    </row>
    <row r="19" spans="1:11" ht="13.5" customHeight="1" x14ac:dyDescent="0.2">
      <c r="A19" s="19">
        <v>8</v>
      </c>
      <c r="B19" s="24"/>
      <c r="C19" s="116" t="str">
        <f>+'Necesidades Trimestrales'!E17</f>
        <v>AMIKACINA 500 MG AMPOLLA</v>
      </c>
      <c r="D19" s="117"/>
      <c r="E19" s="117"/>
      <c r="F19" s="117"/>
      <c r="G19" s="118"/>
      <c r="H19" s="25" t="s">
        <v>172</v>
      </c>
      <c r="I19" s="21" t="str">
        <f>+'Necesidades Trimestrales'!G17</f>
        <v>AMPOLLA</v>
      </c>
      <c r="J19" s="22">
        <f>+'Necesidades Trimestrales'!I17</f>
        <v>87.95</v>
      </c>
      <c r="K19" s="23">
        <f>+'Necesidades Trimestrales'!H17</f>
        <v>0</v>
      </c>
    </row>
    <row r="20" spans="1:11" ht="13.5" customHeight="1" x14ac:dyDescent="0.2">
      <c r="A20" s="19">
        <v>9</v>
      </c>
      <c r="B20" s="20"/>
      <c r="C20" s="116" t="str">
        <f>+'Necesidades Trimestrales'!E18</f>
        <v>AMOXICILINA 400 MG + ACIDO CLAVULANICO 57 MG SUSPENSIÓN x 70 ML</v>
      </c>
      <c r="D20" s="117"/>
      <c r="E20" s="117"/>
      <c r="F20" s="117"/>
      <c r="G20" s="118"/>
      <c r="H20" s="25" t="s">
        <v>172</v>
      </c>
      <c r="I20" s="21" t="str">
        <f>+'Necesidades Trimestrales'!G18</f>
        <v>FRASCO</v>
      </c>
      <c r="J20" s="22">
        <f>+'Necesidades Trimestrales'!I18</f>
        <v>374</v>
      </c>
      <c r="K20" s="23">
        <f>+'Necesidades Trimestrales'!H18</f>
        <v>0</v>
      </c>
    </row>
    <row r="21" spans="1:11" ht="13.5" customHeight="1" x14ac:dyDescent="0.2">
      <c r="A21" s="19">
        <v>10</v>
      </c>
      <c r="B21" s="24"/>
      <c r="C21" s="116" t="str">
        <f>+'Necesidades Trimestrales'!E19</f>
        <v>AMOXICILINA + CLAVULANICO 1 G COMPRIMIDO</v>
      </c>
      <c r="D21" s="117"/>
      <c r="E21" s="117"/>
      <c r="F21" s="117"/>
      <c r="G21" s="118"/>
      <c r="H21" s="25" t="s">
        <v>172</v>
      </c>
      <c r="I21" s="21" t="str">
        <f>+'Necesidades Trimestrales'!G19</f>
        <v>COMPRIMIDO</v>
      </c>
      <c r="J21" s="22">
        <f>+'Necesidades Trimestrales'!I19</f>
        <v>29.5</v>
      </c>
      <c r="K21" s="23">
        <f>+'Necesidades Trimestrales'!H19</f>
        <v>0</v>
      </c>
    </row>
    <row r="22" spans="1:11" ht="13.5" customHeight="1" x14ac:dyDescent="0.2">
      <c r="A22" s="19">
        <v>11</v>
      </c>
      <c r="B22" s="24"/>
      <c r="C22" s="116" t="str">
        <f>+'Necesidades Trimestrales'!E20</f>
        <v>AMOXICILINA 500 MG COMPRIMIDO</v>
      </c>
      <c r="D22" s="117"/>
      <c r="E22" s="117"/>
      <c r="F22" s="117"/>
      <c r="G22" s="118"/>
      <c r="H22" s="25" t="s">
        <v>172</v>
      </c>
      <c r="I22" s="21" t="str">
        <f>+'Necesidades Trimestrales'!G20</f>
        <v>COMPRIMIDO</v>
      </c>
      <c r="J22" s="22">
        <f>+'Necesidades Trimestrales'!I20</f>
        <v>7.85</v>
      </c>
      <c r="K22" s="23">
        <f>+'Necesidades Trimestrales'!H20</f>
        <v>0</v>
      </c>
    </row>
    <row r="23" spans="1:11" ht="13.5" customHeight="1" x14ac:dyDescent="0.2">
      <c r="A23" s="19">
        <v>12</v>
      </c>
      <c r="B23" s="24"/>
      <c r="C23" s="116" t="str">
        <f>+'Necesidades Trimestrales'!E21</f>
        <v>AMOXICILINA 500 MG SUSPENSIÓN X 90 ML</v>
      </c>
      <c r="D23" s="117"/>
      <c r="E23" s="117"/>
      <c r="F23" s="117"/>
      <c r="G23" s="118"/>
      <c r="H23" s="25" t="s">
        <v>172</v>
      </c>
      <c r="I23" s="21" t="str">
        <f>+'Necesidades Trimestrales'!G21</f>
        <v>FRASCO</v>
      </c>
      <c r="J23" s="22">
        <f>+'Necesidades Trimestrales'!I21</f>
        <v>210</v>
      </c>
      <c r="K23" s="23">
        <f>+'Necesidades Trimestrales'!H21</f>
        <v>0</v>
      </c>
    </row>
    <row r="24" spans="1:11" ht="13.5" customHeight="1" x14ac:dyDescent="0.2">
      <c r="A24" s="19">
        <v>13</v>
      </c>
      <c r="B24" s="20"/>
      <c r="C24" s="116" t="str">
        <f>+'Necesidades Trimestrales'!E22</f>
        <v>AMPICILINA + SULBACTAM 1,5 MG FCO AMPOLLA</v>
      </c>
      <c r="D24" s="117"/>
      <c r="E24" s="117"/>
      <c r="F24" s="117"/>
      <c r="G24" s="118"/>
      <c r="H24" s="25" t="s">
        <v>172</v>
      </c>
      <c r="I24" s="21" t="str">
        <f>+'Necesidades Trimestrales'!G22</f>
        <v>AMPOLLA</v>
      </c>
      <c r="J24" s="22">
        <f>+'Necesidades Trimestrales'!I22</f>
        <v>138</v>
      </c>
      <c r="K24" s="23">
        <f>+'Necesidades Trimestrales'!H22</f>
        <v>0</v>
      </c>
    </row>
    <row r="25" spans="1:11" ht="13.5" customHeight="1" x14ac:dyDescent="0.2">
      <c r="A25" s="19">
        <v>14</v>
      </c>
      <c r="B25" s="24"/>
      <c r="C25" s="116" t="str">
        <f>+'Necesidades Trimestrales'!E23</f>
        <v>AMPICILINA 1G FCO AMPOLLA</v>
      </c>
      <c r="D25" s="117"/>
      <c r="E25" s="117"/>
      <c r="F25" s="117"/>
      <c r="G25" s="118"/>
      <c r="H25" s="25" t="s">
        <v>172</v>
      </c>
      <c r="I25" s="21" t="str">
        <f>+'Necesidades Trimestrales'!G23</f>
        <v>AMPOLLA</v>
      </c>
      <c r="J25" s="22">
        <f>+'Necesidades Trimestrales'!I23</f>
        <v>99</v>
      </c>
      <c r="K25" s="23">
        <f>+'Necesidades Trimestrales'!H23</f>
        <v>0</v>
      </c>
    </row>
    <row r="26" spans="1:11" ht="13.5" customHeight="1" x14ac:dyDescent="0.2">
      <c r="A26" s="19">
        <v>15</v>
      </c>
      <c r="B26" s="24"/>
      <c r="C26" s="116" t="str">
        <f>+'Necesidades Trimestrales'!E24</f>
        <v>AMPICILINA 500 MG COMPRIMIDO</v>
      </c>
      <c r="D26" s="117"/>
      <c r="E26" s="117"/>
      <c r="F26" s="117"/>
      <c r="G26" s="118"/>
      <c r="H26" s="25" t="s">
        <v>172</v>
      </c>
      <c r="I26" s="21" t="str">
        <f>+'Necesidades Trimestrales'!G24</f>
        <v>COMPRIMIDO</v>
      </c>
      <c r="J26" s="22">
        <f>+'Necesidades Trimestrales'!I24</f>
        <v>17.079999999999998</v>
      </c>
      <c r="K26" s="23">
        <f>+'Necesidades Trimestrales'!H24</f>
        <v>0</v>
      </c>
    </row>
    <row r="27" spans="1:11" ht="13.5" customHeight="1" x14ac:dyDescent="0.2">
      <c r="A27" s="19">
        <v>16</v>
      </c>
      <c r="B27" s="24"/>
      <c r="C27" s="116" t="str">
        <f>+'Necesidades Trimestrales'!E25</f>
        <v>ANFOTERICINA B LIPOSOMAL VIAL 50 MG</v>
      </c>
      <c r="D27" s="117"/>
      <c r="E27" s="117"/>
      <c r="F27" s="117"/>
      <c r="G27" s="118"/>
      <c r="H27" s="25" t="s">
        <v>172</v>
      </c>
      <c r="I27" s="21" t="str">
        <f>+'Necesidades Trimestrales'!G25</f>
        <v>AMPOLLA</v>
      </c>
      <c r="J27" s="22">
        <f>+'Necesidades Trimestrales'!I25</f>
        <v>25452</v>
      </c>
      <c r="K27" s="23">
        <f>+'Necesidades Trimestrales'!H25</f>
        <v>0</v>
      </c>
    </row>
    <row r="28" spans="1:11" ht="13.5" customHeight="1" x14ac:dyDescent="0.2">
      <c r="A28" s="19">
        <v>17</v>
      </c>
      <c r="B28" s="20"/>
      <c r="C28" s="116" t="str">
        <f>+'Necesidades Trimestrales'!E26</f>
        <v>ANFOTERICINA B VIAL 50 MG</v>
      </c>
      <c r="D28" s="117"/>
      <c r="E28" s="117"/>
      <c r="F28" s="117"/>
      <c r="G28" s="118"/>
      <c r="H28" s="25" t="s">
        <v>172</v>
      </c>
      <c r="I28" s="21" t="str">
        <f>+'Necesidades Trimestrales'!G26</f>
        <v>AMPOLLA</v>
      </c>
      <c r="J28" s="22">
        <f>+'Necesidades Trimestrales'!I26</f>
        <v>795</v>
      </c>
      <c r="K28" s="23">
        <f>+'Necesidades Trimestrales'!H26</f>
        <v>0</v>
      </c>
    </row>
    <row r="29" spans="1:11" ht="13.5" customHeight="1" x14ac:dyDescent="0.2">
      <c r="A29" s="19">
        <v>18</v>
      </c>
      <c r="B29" s="24"/>
      <c r="C29" s="116" t="str">
        <f>+'Necesidades Trimestrales'!E27</f>
        <v>AZITROMICINA 200 MG / 5 ML SUSPENSIÓN x 15 ML</v>
      </c>
      <c r="D29" s="117"/>
      <c r="E29" s="117"/>
      <c r="F29" s="117"/>
      <c r="G29" s="118"/>
      <c r="H29" s="25" t="s">
        <v>172</v>
      </c>
      <c r="I29" s="21" t="str">
        <f>+'Necesidades Trimestrales'!G27</f>
        <v>FRASCO</v>
      </c>
      <c r="J29" s="22">
        <f>+'Necesidades Trimestrales'!I27</f>
        <v>310</v>
      </c>
      <c r="K29" s="23">
        <f>+'Necesidades Trimestrales'!H27</f>
        <v>0</v>
      </c>
    </row>
    <row r="30" spans="1:11" ht="13.5" customHeight="1" x14ac:dyDescent="0.2">
      <c r="A30" s="19">
        <v>19</v>
      </c>
      <c r="B30" s="24"/>
      <c r="C30" s="116" t="str">
        <f>+'Necesidades Trimestrales'!E29</f>
        <v xml:space="preserve">AZITROMICINA 500 MG COMPRIMIDOS </v>
      </c>
      <c r="D30" s="117"/>
      <c r="E30" s="117"/>
      <c r="F30" s="117"/>
      <c r="G30" s="118"/>
      <c r="H30" s="25" t="s">
        <v>172</v>
      </c>
      <c r="I30" s="21" t="str">
        <f>+'Necesidades Trimestrales'!G29</f>
        <v>COMPRIMIDO</v>
      </c>
      <c r="J30" s="22">
        <f>+'Necesidades Trimestrales'!I29</f>
        <v>36</v>
      </c>
      <c r="K30" s="23">
        <f>+'Necesidades Trimestrales'!H29</f>
        <v>0</v>
      </c>
    </row>
    <row r="31" spans="1:11" ht="13.5" customHeight="1" x14ac:dyDescent="0.2">
      <c r="A31" s="19">
        <v>20</v>
      </c>
      <c r="B31" s="24"/>
      <c r="C31" s="116" t="str">
        <f>+'Necesidades Trimestrales'!E30</f>
        <v>BACLOFENO 10 MG COMPRIMIDO</v>
      </c>
      <c r="D31" s="117"/>
      <c r="E31" s="117"/>
      <c r="F31" s="117"/>
      <c r="G31" s="118"/>
      <c r="H31" s="25" t="s">
        <v>172</v>
      </c>
      <c r="I31" s="21" t="str">
        <f>+'Necesidades Trimestrales'!G30</f>
        <v>COMPRIMIDO</v>
      </c>
      <c r="J31" s="22">
        <f>+'Necesidades Trimestrales'!I30</f>
        <v>15</v>
      </c>
      <c r="K31" s="23">
        <f>+'Necesidades Trimestrales'!H30</f>
        <v>0</v>
      </c>
    </row>
    <row r="32" spans="1:11" ht="13.5" customHeight="1" x14ac:dyDescent="0.2">
      <c r="A32" s="19">
        <v>21</v>
      </c>
      <c r="B32" s="20"/>
      <c r="C32" s="116" t="str">
        <f>+'Necesidades Trimestrales'!E31</f>
        <v>BARIO SULFATO TIPO EZ-CAT  SUSPENSION ORAL X 225 ML</v>
      </c>
      <c r="D32" s="117"/>
      <c r="E32" s="117"/>
      <c r="F32" s="117"/>
      <c r="G32" s="118"/>
      <c r="H32" s="25" t="s">
        <v>172</v>
      </c>
      <c r="I32" s="21" t="str">
        <f>+'Necesidades Trimestrales'!G31</f>
        <v>FRASCO</v>
      </c>
      <c r="J32" s="22">
        <f>+'Necesidades Trimestrales'!I31</f>
        <v>1680</v>
      </c>
      <c r="K32" s="23">
        <f>+'Necesidades Trimestrales'!H31</f>
        <v>0</v>
      </c>
    </row>
    <row r="33" spans="1:11" ht="13.5" customHeight="1" x14ac:dyDescent="0.2">
      <c r="A33" s="19">
        <v>22</v>
      </c>
      <c r="B33" s="24"/>
      <c r="C33" s="116" t="str">
        <f>+'Necesidades Trimestrales'!E32</f>
        <v>BARIO SULFATO TIPO GASTROPAQUE  F SUSPENSION PARA ENEMA x 500 ml</v>
      </c>
      <c r="D33" s="117"/>
      <c r="E33" s="117"/>
      <c r="F33" s="117"/>
      <c r="G33" s="118"/>
      <c r="H33" s="25" t="s">
        <v>172</v>
      </c>
      <c r="I33" s="21" t="str">
        <f>+'Necesidades Trimestrales'!G32</f>
        <v>FRASCO</v>
      </c>
      <c r="J33" s="22">
        <f>+'Necesidades Trimestrales'!I32</f>
        <v>2810</v>
      </c>
      <c r="K33" s="23">
        <f>+'Necesidades Trimestrales'!H32</f>
        <v>0</v>
      </c>
    </row>
    <row r="34" spans="1:11" ht="13.5" customHeight="1" x14ac:dyDescent="0.2">
      <c r="A34" s="19">
        <v>23</v>
      </c>
      <c r="B34" s="24"/>
      <c r="C34" s="116" t="str">
        <f>+'Necesidades Trimestrales'!E33</f>
        <v>BARIO SULFATO TIPO GASTROPAQUE F SUSPENSION ORAL X 300 ML</v>
      </c>
      <c r="D34" s="117"/>
      <c r="E34" s="117"/>
      <c r="F34" s="117"/>
      <c r="G34" s="118"/>
      <c r="H34" s="25" t="s">
        <v>172</v>
      </c>
      <c r="I34" s="21" t="str">
        <f>+'Necesidades Trimestrales'!G33</f>
        <v>FRASCO</v>
      </c>
      <c r="J34" s="22">
        <f>+'Necesidades Trimestrales'!I33</f>
        <v>2350</v>
      </c>
      <c r="K34" s="23">
        <f>+'Necesidades Trimestrales'!H33</f>
        <v>0</v>
      </c>
    </row>
    <row r="35" spans="1:11" ht="13.5" customHeight="1" x14ac:dyDescent="0.2">
      <c r="A35" s="19">
        <v>24</v>
      </c>
      <c r="B35" s="24"/>
      <c r="C35" s="116" t="str">
        <f>+'Necesidades Trimestrales'!E34</f>
        <v>BUPIVACAINA  0,5% C/EPINEFRINA FRASCO X 20 ML</v>
      </c>
      <c r="D35" s="117"/>
      <c r="E35" s="117"/>
      <c r="F35" s="117"/>
      <c r="G35" s="118"/>
      <c r="H35" s="25" t="s">
        <v>172</v>
      </c>
      <c r="I35" s="21" t="str">
        <f>+'Necesidades Trimestrales'!G34</f>
        <v>FRASCO</v>
      </c>
      <c r="J35" s="22">
        <f>+'Necesidades Trimestrales'!I34</f>
        <v>3100</v>
      </c>
      <c r="K35" s="23">
        <f>+'Necesidades Trimestrales'!H34</f>
        <v>0</v>
      </c>
    </row>
    <row r="36" spans="1:11" ht="13.5" customHeight="1" x14ac:dyDescent="0.2">
      <c r="A36" s="19">
        <v>25</v>
      </c>
      <c r="B36" s="20"/>
      <c r="C36" s="116" t="str">
        <f>+'Necesidades Trimestrales'!E35</f>
        <v>BUPIVACAINA  0,5% S/EPINEFRINA  FRASCO X 20 ML</v>
      </c>
      <c r="D36" s="117"/>
      <c r="E36" s="117"/>
      <c r="F36" s="117"/>
      <c r="G36" s="118"/>
      <c r="H36" s="25" t="s">
        <v>172</v>
      </c>
      <c r="I36" s="21" t="str">
        <f>+'Necesidades Trimestrales'!G35</f>
        <v>FRASCO</v>
      </c>
      <c r="J36" s="22">
        <f>+'Necesidades Trimestrales'!I35</f>
        <v>490</v>
      </c>
      <c r="K36" s="23">
        <f>+'Necesidades Trimestrales'!H35</f>
        <v>0</v>
      </c>
    </row>
    <row r="37" spans="1:11" ht="13.5" customHeight="1" x14ac:dyDescent="0.2">
      <c r="A37" s="19">
        <v>26</v>
      </c>
      <c r="B37" s="24"/>
      <c r="C37" s="116" t="str">
        <f>+'Necesidades Trimestrales'!E36</f>
        <v xml:space="preserve">BUPIVACAINA 5 MG / ML  HIBERBARICA  AMPOLLA DE 4 ML CON AGUJA 27 G X 3 1/2 CON INTRODUCTOR </v>
      </c>
      <c r="D37" s="117"/>
      <c r="E37" s="117"/>
      <c r="F37" s="117"/>
      <c r="G37" s="118"/>
      <c r="H37" s="25" t="s">
        <v>172</v>
      </c>
      <c r="I37" s="21" t="str">
        <f>+'Necesidades Trimestrales'!G36</f>
        <v>AMPOLLA</v>
      </c>
      <c r="J37" s="22">
        <f>+'Necesidades Trimestrales'!I36</f>
        <v>1420</v>
      </c>
      <c r="K37" s="23">
        <f>+'Necesidades Trimestrales'!H36</f>
        <v>0</v>
      </c>
    </row>
    <row r="38" spans="1:11" ht="13.5" customHeight="1" x14ac:dyDescent="0.2">
      <c r="A38" s="19">
        <v>27</v>
      </c>
      <c r="B38" s="24"/>
      <c r="C38" s="116" t="str">
        <f>+'Necesidades Trimestrales'!E37</f>
        <v>CEFALEXINA 500 MG COMPRIMIDOS</v>
      </c>
      <c r="D38" s="117"/>
      <c r="E38" s="117"/>
      <c r="F38" s="117"/>
      <c r="G38" s="118"/>
      <c r="H38" s="25" t="s">
        <v>172</v>
      </c>
      <c r="I38" s="21" t="str">
        <f>+'Necesidades Trimestrales'!G37</f>
        <v>COMPRIMIDO</v>
      </c>
      <c r="J38" s="22">
        <f>+'Necesidades Trimestrales'!I37</f>
        <v>13.9</v>
      </c>
      <c r="K38" s="23">
        <f>+'Necesidades Trimestrales'!H37</f>
        <v>0</v>
      </c>
    </row>
    <row r="39" spans="1:11" ht="13.5" customHeight="1" x14ac:dyDescent="0.2">
      <c r="A39" s="19">
        <v>28</v>
      </c>
      <c r="B39" s="24"/>
      <c r="C39" s="116" t="str">
        <f>+'Necesidades Trimestrales'!E38</f>
        <v>CEFALEXINA 500 MG SUSPENSIÓN X 90 ML</v>
      </c>
      <c r="D39" s="117"/>
      <c r="E39" s="117"/>
      <c r="F39" s="117"/>
      <c r="G39" s="118"/>
      <c r="H39" s="25" t="s">
        <v>172</v>
      </c>
      <c r="I39" s="21" t="str">
        <f>+'Necesidades Trimestrales'!G38</f>
        <v>FRASCO</v>
      </c>
      <c r="J39" s="22">
        <f>+'Necesidades Trimestrales'!I38</f>
        <v>350</v>
      </c>
      <c r="K39" s="23">
        <f>+'Necesidades Trimestrales'!H38</f>
        <v>0</v>
      </c>
    </row>
    <row r="40" spans="1:11" ht="13.5" customHeight="1" x14ac:dyDescent="0.2">
      <c r="A40" s="19">
        <v>29</v>
      </c>
      <c r="B40" s="20"/>
      <c r="C40" s="116" t="str">
        <f>+'Necesidades Trimestrales'!E39</f>
        <v>CEFALOTINA 1 GR. AMP.</v>
      </c>
      <c r="D40" s="117"/>
      <c r="E40" s="117"/>
      <c r="F40" s="117"/>
      <c r="G40" s="118"/>
      <c r="H40" s="25" t="s">
        <v>172</v>
      </c>
      <c r="I40" s="21" t="str">
        <f>+'Necesidades Trimestrales'!G39</f>
        <v>AMPOLLA</v>
      </c>
      <c r="J40" s="22">
        <f>+'Necesidades Trimestrales'!I39</f>
        <v>145</v>
      </c>
      <c r="K40" s="23">
        <f>+'Necesidades Trimestrales'!H39</f>
        <v>0</v>
      </c>
    </row>
    <row r="41" spans="1:11" ht="13.5" customHeight="1" x14ac:dyDescent="0.2">
      <c r="A41" s="19">
        <v>30</v>
      </c>
      <c r="B41" s="24"/>
      <c r="C41" s="116" t="str">
        <f>+'Necesidades Trimestrales'!E40</f>
        <v>CEFAZOLINA 1GR FCO AMPOLLA</v>
      </c>
      <c r="D41" s="117"/>
      <c r="E41" s="117"/>
      <c r="F41" s="117"/>
      <c r="G41" s="118"/>
      <c r="H41" s="25" t="s">
        <v>172</v>
      </c>
      <c r="I41" s="21" t="str">
        <f>+'Necesidades Trimestrales'!G40</f>
        <v>AMPOLLA</v>
      </c>
      <c r="J41" s="22">
        <f>+'Necesidades Trimestrales'!I40</f>
        <v>148</v>
      </c>
      <c r="K41" s="23">
        <f>+'Necesidades Trimestrales'!H40</f>
        <v>0</v>
      </c>
    </row>
    <row r="42" spans="1:11" ht="13.5" customHeight="1" x14ac:dyDescent="0.2">
      <c r="A42" s="19">
        <v>31</v>
      </c>
      <c r="B42" s="24"/>
      <c r="C42" s="116" t="str">
        <f>+'Necesidades Trimestrales'!E41</f>
        <v>CEFTAZIDIMA 1G FCO AMPOLLA</v>
      </c>
      <c r="D42" s="117"/>
      <c r="E42" s="117"/>
      <c r="F42" s="117"/>
      <c r="G42" s="118"/>
      <c r="H42" s="25" t="s">
        <v>172</v>
      </c>
      <c r="I42" s="21" t="str">
        <f>+'Necesidades Trimestrales'!G41</f>
        <v>AMPOLLA</v>
      </c>
      <c r="J42" s="22">
        <f>+'Necesidades Trimestrales'!I41</f>
        <v>144</v>
      </c>
      <c r="K42" s="23">
        <f>+'Necesidades Trimestrales'!H41</f>
        <v>0</v>
      </c>
    </row>
    <row r="43" spans="1:11" ht="13.5" customHeight="1" x14ac:dyDescent="0.2">
      <c r="A43" s="19">
        <v>32</v>
      </c>
      <c r="B43" s="24"/>
      <c r="C43" s="116" t="str">
        <f>+'Necesidades Trimestrales'!E42</f>
        <v xml:space="preserve">CEFTRIAXONA 1 GR FCO AMPOLLA </v>
      </c>
      <c r="D43" s="117"/>
      <c r="E43" s="117"/>
      <c r="F43" s="117"/>
      <c r="G43" s="118"/>
      <c r="H43" s="25" t="s">
        <v>172</v>
      </c>
      <c r="I43" s="21" t="str">
        <f>+'Necesidades Trimestrales'!G42</f>
        <v>AMPOLLA</v>
      </c>
      <c r="J43" s="22">
        <f>+'Necesidades Trimestrales'!I42</f>
        <v>130</v>
      </c>
      <c r="K43" s="23">
        <f>+'Necesidades Trimestrales'!H42</f>
        <v>0</v>
      </c>
    </row>
    <row r="44" spans="1:11" ht="13.5" customHeight="1" x14ac:dyDescent="0.2">
      <c r="A44" s="19">
        <v>33</v>
      </c>
      <c r="B44" s="20"/>
      <c r="C44" s="116" t="str">
        <f>+'Necesidades Trimestrales'!E43</f>
        <v>CEFUROXIMA 750 MG FCO AMPOLLA</v>
      </c>
      <c r="D44" s="117"/>
      <c r="E44" s="117"/>
      <c r="F44" s="117"/>
      <c r="G44" s="118"/>
      <c r="H44" s="25" t="s">
        <v>172</v>
      </c>
      <c r="I44" s="21" t="str">
        <f>+'Necesidades Trimestrales'!G43</f>
        <v>AMPOLLA</v>
      </c>
      <c r="J44" s="22">
        <f>+'Necesidades Trimestrales'!I43</f>
        <v>351</v>
      </c>
      <c r="K44" s="23">
        <f>+'Necesidades Trimestrales'!H43</f>
        <v>0</v>
      </c>
    </row>
    <row r="45" spans="1:11" ht="13.5" customHeight="1" x14ac:dyDescent="0.2">
      <c r="A45" s="19">
        <v>34</v>
      </c>
      <c r="B45" s="24"/>
      <c r="C45" s="116" t="str">
        <f>+'Necesidades Trimestrales'!E44</f>
        <v>CIPROFLOXACINA 200 MG sachet</v>
      </c>
      <c r="D45" s="117"/>
      <c r="E45" s="117"/>
      <c r="F45" s="117"/>
      <c r="G45" s="118"/>
      <c r="H45" s="25" t="s">
        <v>172</v>
      </c>
      <c r="I45" s="21" t="str">
        <f>+'Necesidades Trimestrales'!G44</f>
        <v>SACHET</v>
      </c>
      <c r="J45" s="22">
        <f>+'Necesidades Trimestrales'!I44</f>
        <v>122</v>
      </c>
      <c r="K45" s="23">
        <f>+'Necesidades Trimestrales'!H44</f>
        <v>0</v>
      </c>
    </row>
    <row r="46" spans="1:11" ht="13.5" customHeight="1" x14ac:dyDescent="0.2">
      <c r="A46" s="19">
        <v>35</v>
      </c>
      <c r="B46" s="24"/>
      <c r="C46" s="116" t="str">
        <f>+'Necesidades Trimestrales'!E45</f>
        <v>CIPROFLOXACINA 500 MG COMP</v>
      </c>
      <c r="D46" s="117"/>
      <c r="E46" s="117"/>
      <c r="F46" s="117"/>
      <c r="G46" s="118"/>
      <c r="H46" s="25" t="s">
        <v>172</v>
      </c>
      <c r="I46" s="21" t="str">
        <f>+'Necesidades Trimestrales'!G45</f>
        <v>COMPRIMIDO</v>
      </c>
      <c r="J46" s="22">
        <f>+'Necesidades Trimestrales'!I45</f>
        <v>9.8000000000000007</v>
      </c>
      <c r="K46" s="23">
        <f>+'Necesidades Trimestrales'!H45</f>
        <v>0</v>
      </c>
    </row>
    <row r="47" spans="1:11" ht="13.5" customHeight="1" x14ac:dyDescent="0.2">
      <c r="A47" s="19">
        <v>36</v>
      </c>
      <c r="B47" s="24"/>
      <c r="C47" s="116" t="str">
        <f>+'Necesidades Trimestrales'!E46</f>
        <v>CLARITROMICINA 250 MG SUSPENSIÓN X 90 ML</v>
      </c>
      <c r="D47" s="117"/>
      <c r="E47" s="117"/>
      <c r="F47" s="117"/>
      <c r="G47" s="118"/>
      <c r="H47" s="25" t="s">
        <v>172</v>
      </c>
      <c r="I47" s="21" t="str">
        <f>+'Necesidades Trimestrales'!G46</f>
        <v>FRASCO</v>
      </c>
      <c r="J47" s="22">
        <f>+'Necesidades Trimestrales'!I46</f>
        <v>698</v>
      </c>
      <c r="K47" s="23">
        <f>+'Necesidades Trimestrales'!H46</f>
        <v>0</v>
      </c>
    </row>
    <row r="48" spans="1:11" ht="13.5" customHeight="1" x14ac:dyDescent="0.2">
      <c r="A48" s="19">
        <v>37</v>
      </c>
      <c r="B48" s="20"/>
      <c r="C48" s="116" t="str">
        <f>+'Necesidades Trimestrales'!E47</f>
        <v>CLARITROMICINA 500 MG COMPRIMIDO</v>
      </c>
      <c r="D48" s="117"/>
      <c r="E48" s="117"/>
      <c r="F48" s="117"/>
      <c r="G48" s="118"/>
      <c r="H48" s="25" t="s">
        <v>172</v>
      </c>
      <c r="I48" s="21" t="str">
        <f>+'Necesidades Trimestrales'!G47</f>
        <v>COMPRIMIDO</v>
      </c>
      <c r="J48" s="22">
        <f>+'Necesidades Trimestrales'!I47</f>
        <v>35</v>
      </c>
      <c r="K48" s="23">
        <f>+'Necesidades Trimestrales'!H47</f>
        <v>0</v>
      </c>
    </row>
    <row r="49" spans="1:11" ht="13.5" customHeight="1" x14ac:dyDescent="0.2">
      <c r="A49" s="19">
        <v>38</v>
      </c>
      <c r="B49" s="24"/>
      <c r="C49" s="116" t="str">
        <f>+'Necesidades Trimestrales'!E48</f>
        <v>CLARITROMICINA 500 MG FRASCO AMPOLLA</v>
      </c>
      <c r="D49" s="117"/>
      <c r="E49" s="117"/>
      <c r="F49" s="117"/>
      <c r="G49" s="118"/>
      <c r="H49" s="25" t="s">
        <v>172</v>
      </c>
      <c r="I49" s="21" t="str">
        <f>+'Necesidades Trimestrales'!G48</f>
        <v>AMPOLLA</v>
      </c>
      <c r="J49" s="22">
        <f>+'Necesidades Trimestrales'!I48</f>
        <v>690</v>
      </c>
      <c r="K49" s="23">
        <f>+'Necesidades Trimestrales'!H48</f>
        <v>0</v>
      </c>
    </row>
    <row r="50" spans="1:11" ht="13.5" customHeight="1" x14ac:dyDescent="0.2">
      <c r="A50" s="19">
        <v>39</v>
      </c>
      <c r="B50" s="24"/>
      <c r="C50" s="116" t="str">
        <f>+'Necesidades Trimestrales'!E49</f>
        <v>CLINDAMICINA 300MG CAPSULAS</v>
      </c>
      <c r="D50" s="117"/>
      <c r="E50" s="117"/>
      <c r="F50" s="117"/>
      <c r="G50" s="118"/>
      <c r="H50" s="25" t="s">
        <v>172</v>
      </c>
      <c r="I50" s="21" t="str">
        <f>+'Necesidades Trimestrales'!G49</f>
        <v>CAPSULAS</v>
      </c>
      <c r="J50" s="22">
        <f>+'Necesidades Trimestrales'!I49</f>
        <v>29</v>
      </c>
      <c r="K50" s="23">
        <f>+'Necesidades Trimestrales'!H49</f>
        <v>0</v>
      </c>
    </row>
    <row r="51" spans="1:11" ht="13.5" customHeight="1" x14ac:dyDescent="0.2">
      <c r="A51" s="19">
        <v>40</v>
      </c>
      <c r="B51" s="24"/>
      <c r="C51" s="116" t="str">
        <f>+'Necesidades Trimestrales'!E50</f>
        <v>CLINDAMICINA 600 MG AMPOLLA</v>
      </c>
      <c r="D51" s="117"/>
      <c r="E51" s="117"/>
      <c r="F51" s="117"/>
      <c r="G51" s="118"/>
      <c r="H51" s="25" t="s">
        <v>172</v>
      </c>
      <c r="I51" s="21" t="str">
        <f>+'Necesidades Trimestrales'!G50</f>
        <v>AMPOLLA</v>
      </c>
      <c r="J51" s="22">
        <f>+'Necesidades Trimestrales'!I50</f>
        <v>85</v>
      </c>
      <c r="K51" s="23">
        <f>+'Necesidades Trimestrales'!H50</f>
        <v>0</v>
      </c>
    </row>
    <row r="52" spans="1:11" ht="13.5" customHeight="1" x14ac:dyDescent="0.2">
      <c r="A52" s="19">
        <v>41</v>
      </c>
      <c r="B52" s="20"/>
      <c r="C52" s="116" t="str">
        <f>+'Necesidades Trimestrales'!E51</f>
        <v>COLISTINA 100 MG FCO AMPOLLA</v>
      </c>
      <c r="D52" s="117"/>
      <c r="E52" s="117"/>
      <c r="F52" s="117"/>
      <c r="G52" s="118"/>
      <c r="H52" s="25" t="s">
        <v>172</v>
      </c>
      <c r="I52" s="21" t="str">
        <f>+'Necesidades Trimestrales'!G51</f>
        <v>AMPOLLA</v>
      </c>
      <c r="J52" s="22">
        <f>+'Necesidades Trimestrales'!I51</f>
        <v>451</v>
      </c>
      <c r="K52" s="23">
        <f>+'Necesidades Trimestrales'!H51</f>
        <v>0</v>
      </c>
    </row>
    <row r="53" spans="1:11" ht="13.5" customHeight="1" x14ac:dyDescent="0.2">
      <c r="A53" s="19">
        <v>42</v>
      </c>
      <c r="B53" s="24"/>
      <c r="C53" s="116" t="str">
        <f>+'Necesidades Trimestrales'!E52</f>
        <v>CONTRASTE NO IONICO X 300 MG X 50 ML(IOPRAMIDA,IOVITRIDOL,IODIXANOL,IOHEXOL,IOVERSOL)</v>
      </c>
      <c r="D53" s="117"/>
      <c r="E53" s="117"/>
      <c r="F53" s="117"/>
      <c r="G53" s="118"/>
      <c r="H53" s="25" t="s">
        <v>172</v>
      </c>
      <c r="I53" s="21" t="str">
        <f>+'Necesidades Trimestrales'!G52</f>
        <v>FRASCO</v>
      </c>
      <c r="J53" s="22">
        <f>+'Necesidades Trimestrales'!I52</f>
        <v>1850</v>
      </c>
      <c r="K53" s="23">
        <f>+'Necesidades Trimestrales'!H52</f>
        <v>0</v>
      </c>
    </row>
    <row r="54" spans="1:11" ht="13.5" customHeight="1" x14ac:dyDescent="0.2">
      <c r="A54" s="19">
        <v>43</v>
      </c>
      <c r="B54" s="24"/>
      <c r="C54" s="116" t="str">
        <f>+'Necesidades Trimestrales'!E53</f>
        <v>COTRIMOXAZOL(TRIMETOPRINA +SULFAMETOXAZOL)80MG/400MG AMPOLLA</v>
      </c>
      <c r="D54" s="117"/>
      <c r="E54" s="117"/>
      <c r="F54" s="117"/>
      <c r="G54" s="118"/>
      <c r="H54" s="25" t="s">
        <v>172</v>
      </c>
      <c r="I54" s="21" t="str">
        <f>+'Necesidades Trimestrales'!G53</f>
        <v>AMPOLLA</v>
      </c>
      <c r="J54" s="22">
        <f>+'Necesidades Trimestrales'!I53</f>
        <v>421</v>
      </c>
      <c r="K54" s="23">
        <f>+'Necesidades Trimestrales'!H53</f>
        <v>0</v>
      </c>
    </row>
    <row r="55" spans="1:11" ht="13.5" customHeight="1" x14ac:dyDescent="0.2">
      <c r="A55" s="19">
        <v>44</v>
      </c>
      <c r="B55" s="24"/>
      <c r="C55" s="116" t="str">
        <f>+'Necesidades Trimestrales'!E54</f>
        <v>COTRIMOXAZOL (TRIMETOPRINA+SULFAMETOXAZOL) COMPRIMIDOS 160MG/800MG</v>
      </c>
      <c r="D55" s="117"/>
      <c r="E55" s="117"/>
      <c r="F55" s="117"/>
      <c r="G55" s="118"/>
      <c r="H55" s="25" t="s">
        <v>172</v>
      </c>
      <c r="I55" s="21" t="str">
        <f>+'Necesidades Trimestrales'!G54</f>
        <v>COMPRIMIDO</v>
      </c>
      <c r="J55" s="22">
        <f>+'Necesidades Trimestrales'!I54</f>
        <v>15.8</v>
      </c>
      <c r="K55" s="23">
        <f>+'Necesidades Trimestrales'!H54</f>
        <v>0</v>
      </c>
    </row>
    <row r="56" spans="1:11" ht="13.5" customHeight="1" x14ac:dyDescent="0.2">
      <c r="A56" s="19">
        <v>45</v>
      </c>
      <c r="B56" s="20"/>
      <c r="C56" s="116" t="str">
        <f>+'Necesidades Trimestrales'!E55</f>
        <v>COTRIMOXAZOL (TRIMETOPRINA+SULFAMETOXAZOL) SUSPENSION 40MG/200MG/5ML x 60 ML</v>
      </c>
      <c r="D56" s="117"/>
      <c r="E56" s="117"/>
      <c r="F56" s="117"/>
      <c r="G56" s="118"/>
      <c r="H56" s="25" t="s">
        <v>172</v>
      </c>
      <c r="I56" s="21" t="str">
        <f>+'Necesidades Trimestrales'!G55</f>
        <v>FRASCO</v>
      </c>
      <c r="J56" s="22">
        <f>+'Necesidades Trimestrales'!I55</f>
        <v>168</v>
      </c>
      <c r="K56" s="23">
        <f>+'Necesidades Trimestrales'!H55</f>
        <v>0</v>
      </c>
    </row>
    <row r="57" spans="1:11" ht="13.5" customHeight="1" x14ac:dyDescent="0.2">
      <c r="A57" s="19">
        <v>46</v>
      </c>
      <c r="B57" s="24"/>
      <c r="C57" s="116" t="str">
        <f>+'Necesidades Trimestrales'!E56</f>
        <v>DANTROLENO 20 MG/60 ML KIT X 12 FCO AMPOLLA</v>
      </c>
      <c r="D57" s="117"/>
      <c r="E57" s="117"/>
      <c r="F57" s="117"/>
      <c r="G57" s="118"/>
      <c r="H57" s="25" t="s">
        <v>172</v>
      </c>
      <c r="I57" s="21" t="str">
        <f>+'Necesidades Trimestrales'!G56</f>
        <v>KIT</v>
      </c>
      <c r="J57" s="22">
        <f>+'Necesidades Trimestrales'!I56</f>
        <v>358800</v>
      </c>
      <c r="K57" s="23">
        <f>+'Necesidades Trimestrales'!H56</f>
        <v>0</v>
      </c>
    </row>
    <row r="58" spans="1:11" ht="13.5" customHeight="1" x14ac:dyDescent="0.2">
      <c r="A58" s="19">
        <v>47</v>
      </c>
      <c r="B58" s="24"/>
      <c r="C58" s="116" t="str">
        <f>+'Necesidades Trimestrales'!E57</f>
        <v>DEXMEDETOMIDINA 200MG x 2 ml AMPOLLA</v>
      </c>
      <c r="D58" s="117"/>
      <c r="E58" s="117"/>
      <c r="F58" s="117"/>
      <c r="G58" s="118"/>
      <c r="H58" s="25" t="s">
        <v>172</v>
      </c>
      <c r="I58" s="21" t="str">
        <f>+'Necesidades Trimestrales'!G57</f>
        <v>AMPOLLA</v>
      </c>
      <c r="J58" s="22">
        <f>+'Necesidades Trimestrales'!I57</f>
        <v>490</v>
      </c>
      <c r="K58" s="23">
        <f>+'Necesidades Trimestrales'!H57</f>
        <v>0</v>
      </c>
    </row>
    <row r="59" spans="1:11" ht="13.5" customHeight="1" x14ac:dyDescent="0.2">
      <c r="A59" s="19">
        <v>48</v>
      </c>
      <c r="B59" s="24"/>
      <c r="C59" s="147" t="s">
        <v>64</v>
      </c>
      <c r="D59" s="120"/>
      <c r="E59" s="120"/>
      <c r="F59" s="120"/>
      <c r="G59" s="121"/>
      <c r="H59" s="25" t="s">
        <v>172</v>
      </c>
      <c r="I59" s="21" t="s">
        <v>22</v>
      </c>
      <c r="J59" s="22">
        <v>2358</v>
      </c>
      <c r="K59" s="23"/>
    </row>
    <row r="60" spans="1:11" ht="13.5" customHeight="1" x14ac:dyDescent="0.2">
      <c r="A60" s="19">
        <v>49</v>
      </c>
      <c r="B60" s="24"/>
      <c r="C60" s="147" t="str">
        <f>+'Necesidades Trimestrales'!E59</f>
        <v>DIATRIZOATO DE MEGLUMINA + DIATRIZOATO DE SODIO (TIPO TRIYOSOM GI, TEMISTAC) X 120 ML SOLUCION ORAL Y RECTAL</v>
      </c>
      <c r="D60" s="120"/>
      <c r="E60" s="120"/>
      <c r="F60" s="120"/>
      <c r="G60" s="121"/>
      <c r="H60" s="25" t="s">
        <v>172</v>
      </c>
      <c r="I60" s="21" t="str">
        <f>+'Necesidades Trimestrales'!G59</f>
        <v>AMPOLLA</v>
      </c>
      <c r="J60" s="22">
        <f>+'Necesidades Trimestrales'!I59</f>
        <v>2890</v>
      </c>
      <c r="K60" s="23">
        <f>+'Necesidades Trimestrales'!H59</f>
        <v>0</v>
      </c>
    </row>
    <row r="61" spans="1:11" ht="13.5" customHeight="1" x14ac:dyDescent="0.2">
      <c r="A61" s="19">
        <v>50</v>
      </c>
      <c r="B61" s="20"/>
      <c r="C61" s="116" t="str">
        <f>+'Necesidades Trimestrales'!E60</f>
        <v>DICLOFENAC 75 MG COMPRIMIDOS</v>
      </c>
      <c r="D61" s="117"/>
      <c r="E61" s="117"/>
      <c r="F61" s="117"/>
      <c r="G61" s="118"/>
      <c r="H61" s="25" t="s">
        <v>172</v>
      </c>
      <c r="I61" s="21" t="str">
        <f>+'Necesidades Trimestrales'!G60</f>
        <v>COMPRIMIDO</v>
      </c>
      <c r="J61" s="22">
        <f>+'Necesidades Trimestrales'!I60</f>
        <v>3.05</v>
      </c>
      <c r="K61" s="23">
        <f>+'Necesidades Trimestrales'!H60</f>
        <v>0</v>
      </c>
    </row>
    <row r="62" spans="1:11" ht="13.5" customHeight="1" x14ac:dyDescent="0.2">
      <c r="A62" s="19">
        <v>51</v>
      </c>
      <c r="B62" s="24"/>
      <c r="C62" s="116" t="str">
        <f>+'Necesidades Trimestrales'!E61</f>
        <v xml:space="preserve">DICLOFENAC 75 MG. AMPOLLA </v>
      </c>
      <c r="D62" s="117"/>
      <c r="E62" s="117"/>
      <c r="F62" s="117"/>
      <c r="G62" s="118"/>
      <c r="H62" s="25" t="s">
        <v>172</v>
      </c>
      <c r="I62" s="21" t="str">
        <f>+'Necesidades Trimestrales'!G61</f>
        <v>AMPOLLA</v>
      </c>
      <c r="J62" s="22">
        <f>+'Necesidades Trimestrales'!I61</f>
        <v>35.9</v>
      </c>
      <c r="K62" s="23">
        <f>+'Necesidades Trimestrales'!H61</f>
        <v>0</v>
      </c>
    </row>
    <row r="63" spans="1:11" ht="13.5" customHeight="1" x14ac:dyDescent="0.2">
      <c r="A63" s="19">
        <v>52</v>
      </c>
      <c r="B63" s="24"/>
      <c r="C63" s="116" t="str">
        <f>+'Necesidades Trimestrales'!E62</f>
        <v>DICLOFENAC POTASICO 500MG/100ML JARABE X 120</v>
      </c>
      <c r="D63" s="117"/>
      <c r="E63" s="117"/>
      <c r="F63" s="117"/>
      <c r="G63" s="118"/>
      <c r="H63" s="25" t="s">
        <v>172</v>
      </c>
      <c r="I63" s="21" t="str">
        <f>+'Necesidades Trimestrales'!G62</f>
        <v>FRASCO</v>
      </c>
      <c r="J63" s="22">
        <f>+'Necesidades Trimestrales'!I62</f>
        <v>158</v>
      </c>
      <c r="K63" s="23">
        <f>+'Necesidades Trimestrales'!H62</f>
        <v>0</v>
      </c>
    </row>
    <row r="64" spans="1:11" ht="13.5" customHeight="1" x14ac:dyDescent="0.2">
      <c r="A64" s="19">
        <v>53</v>
      </c>
      <c r="B64" s="24"/>
      <c r="C64" s="116" t="str">
        <f>+'Necesidades Trimestrales'!E63</f>
        <v>DIPIRONA 1GR AMPOLLA</v>
      </c>
      <c r="D64" s="117"/>
      <c r="E64" s="117"/>
      <c r="F64" s="117"/>
      <c r="G64" s="118"/>
      <c r="H64" s="25" t="s">
        <v>172</v>
      </c>
      <c r="I64" s="21" t="str">
        <f>+'Necesidades Trimestrales'!G63</f>
        <v>AMPOLLA</v>
      </c>
      <c r="J64" s="22">
        <f>+'Necesidades Trimestrales'!I63</f>
        <v>38.5</v>
      </c>
      <c r="K64" s="23">
        <f>+'Necesidades Trimestrales'!H63</f>
        <v>0</v>
      </c>
    </row>
    <row r="65" spans="1:11" ht="13.5" customHeight="1" x14ac:dyDescent="0.2">
      <c r="A65" s="19">
        <v>54</v>
      </c>
      <c r="B65" s="20"/>
      <c r="C65" s="116" t="str">
        <f>+'Necesidades Trimestrales'!E64</f>
        <v>DIPIRONA JARABE X 120 ML</v>
      </c>
      <c r="D65" s="117"/>
      <c r="E65" s="117"/>
      <c r="F65" s="117"/>
      <c r="G65" s="118"/>
      <c r="H65" s="25" t="s">
        <v>172</v>
      </c>
      <c r="I65" s="21" t="str">
        <f>+'Necesidades Trimestrales'!G64</f>
        <v>FRASCO</v>
      </c>
      <c r="J65" s="22">
        <f>+'Necesidades Trimestrales'!I64</f>
        <v>155</v>
      </c>
      <c r="K65" s="23">
        <f>+'Necesidades Trimestrales'!H64</f>
        <v>0</v>
      </c>
    </row>
    <row r="66" spans="1:11" ht="13.5" customHeight="1" x14ac:dyDescent="0.2">
      <c r="A66" s="19">
        <v>55</v>
      </c>
      <c r="B66" s="24"/>
      <c r="C66" s="116" t="str">
        <f>+'Necesidades Trimestrales'!E65</f>
        <v>DOXICICLINA 100 MG COMPRIMIDO</v>
      </c>
      <c r="D66" s="117"/>
      <c r="E66" s="117"/>
      <c r="F66" s="117"/>
      <c r="G66" s="118"/>
      <c r="H66" s="25" t="s">
        <v>172</v>
      </c>
      <c r="I66" s="21" t="str">
        <f>+'Necesidades Trimestrales'!G65</f>
        <v>COMPRIMIDO</v>
      </c>
      <c r="J66" s="22">
        <f>+'Necesidades Trimestrales'!I65</f>
        <v>18</v>
      </c>
      <c r="K66" s="23">
        <f>+'Necesidades Trimestrales'!H65</f>
        <v>0</v>
      </c>
    </row>
    <row r="67" spans="1:11" ht="13.5" customHeight="1" x14ac:dyDescent="0.2">
      <c r="A67" s="19">
        <v>56</v>
      </c>
      <c r="B67" s="24"/>
      <c r="C67" s="116" t="str">
        <f>+'Necesidades Trimestrales'!E66</f>
        <v>EMULSION LIPIDICA PARA PERFUSION INTRAVENOSA TIPO INTRALIPIP 20% ENVASE POR 500 ML.</v>
      </c>
      <c r="D67" s="117"/>
      <c r="E67" s="117"/>
      <c r="F67" s="117"/>
      <c r="G67" s="118"/>
      <c r="H67" s="25" t="s">
        <v>172</v>
      </c>
      <c r="I67" s="21" t="str">
        <f>+'Necesidades Trimestrales'!G66</f>
        <v>ENVASE</v>
      </c>
      <c r="J67" s="22">
        <f>+'Necesidades Trimestrales'!I66</f>
        <v>460</v>
      </c>
      <c r="K67" s="23">
        <f>+'Necesidades Trimestrales'!H66</f>
        <v>0</v>
      </c>
    </row>
    <row r="68" spans="1:11" ht="13.5" customHeight="1" x14ac:dyDescent="0.2">
      <c r="A68" s="19">
        <v>57</v>
      </c>
      <c r="B68" s="24"/>
      <c r="C68" s="116" t="str">
        <f>+'Necesidades Trimestrales'!E67</f>
        <v>FENOBARBITAL 200MG AMPOLLAS</v>
      </c>
      <c r="D68" s="117"/>
      <c r="E68" s="117"/>
      <c r="F68" s="117"/>
      <c r="G68" s="118"/>
      <c r="H68" s="25" t="s">
        <v>172</v>
      </c>
      <c r="I68" s="21" t="str">
        <f>+'Necesidades Trimestrales'!G67</f>
        <v>AMPOLLA</v>
      </c>
      <c r="J68" s="22">
        <f>+'Necesidades Trimestrales'!I67</f>
        <v>390</v>
      </c>
      <c r="K68" s="23">
        <f>+'Necesidades Trimestrales'!H67</f>
        <v>0</v>
      </c>
    </row>
    <row r="69" spans="1:11" ht="13.5" customHeight="1" x14ac:dyDescent="0.2">
      <c r="A69" s="19">
        <v>58</v>
      </c>
      <c r="B69" s="20"/>
      <c r="C69" s="116" t="str">
        <f>+'Necesidades Trimestrales'!E68</f>
        <v>FENTANILO 250 MCG INYECTABLE</v>
      </c>
      <c r="D69" s="117"/>
      <c r="E69" s="117"/>
      <c r="F69" s="117"/>
      <c r="G69" s="118"/>
      <c r="H69" s="25" t="s">
        <v>172</v>
      </c>
      <c r="I69" s="21" t="str">
        <f>+'Necesidades Trimestrales'!G68</f>
        <v>AMPOLLA</v>
      </c>
      <c r="J69" s="22">
        <f>+'Necesidades Trimestrales'!I68</f>
        <v>130</v>
      </c>
      <c r="K69" s="23">
        <f>+'Necesidades Trimestrales'!H68</f>
        <v>0</v>
      </c>
    </row>
    <row r="70" spans="1:11" ht="13.5" customHeight="1" x14ac:dyDescent="0.2">
      <c r="A70" s="19">
        <v>59</v>
      </c>
      <c r="B70" s="24"/>
      <c r="C70" s="116" t="str">
        <f>+'Necesidades Trimestrales'!E69</f>
        <v>FLUCONAZOL 100 MG COMPRIMIDOS</v>
      </c>
      <c r="D70" s="117"/>
      <c r="E70" s="117"/>
      <c r="F70" s="117"/>
      <c r="G70" s="118"/>
      <c r="H70" s="25" t="s">
        <v>172</v>
      </c>
      <c r="I70" s="21" t="str">
        <f>+'Necesidades Trimestrales'!G69</f>
        <v>COMPRIMIDO</v>
      </c>
      <c r="J70" s="22">
        <f>+'Necesidades Trimestrales'!I69</f>
        <v>32.5</v>
      </c>
      <c r="K70" s="23">
        <f>+'Necesidades Trimestrales'!H69</f>
        <v>0</v>
      </c>
    </row>
    <row r="71" spans="1:11" ht="13.5" customHeight="1" x14ac:dyDescent="0.2">
      <c r="A71" s="19">
        <v>60</v>
      </c>
      <c r="B71" s="24"/>
      <c r="C71" s="116" t="str">
        <f>+'Necesidades Trimestrales'!E70</f>
        <v>FLUCONAZOL 200 MG SACHET 100 ML</v>
      </c>
      <c r="D71" s="117"/>
      <c r="E71" s="117"/>
      <c r="F71" s="117"/>
      <c r="G71" s="118"/>
      <c r="H71" s="25" t="s">
        <v>172</v>
      </c>
      <c r="I71" s="21" t="str">
        <f>+'Necesidades Trimestrales'!G70</f>
        <v>ENVASE</v>
      </c>
      <c r="J71" s="22">
        <f>+'Necesidades Trimestrales'!I70</f>
        <v>986</v>
      </c>
      <c r="K71" s="23">
        <f>+'Necesidades Trimestrales'!H70</f>
        <v>0</v>
      </c>
    </row>
    <row r="72" spans="1:11" ht="13.5" customHeight="1" x14ac:dyDescent="0.2">
      <c r="A72" s="19">
        <v>61</v>
      </c>
      <c r="B72" s="24"/>
      <c r="C72" s="116" t="str">
        <f>+'Necesidades Trimestrales'!E71</f>
        <v>FLUCONAZOL 50MG/5ML SUSPENSION X 35 ML</v>
      </c>
      <c r="D72" s="117"/>
      <c r="E72" s="117"/>
      <c r="F72" s="117"/>
      <c r="G72" s="118"/>
      <c r="H72" s="25" t="s">
        <v>172</v>
      </c>
      <c r="I72" s="21" t="str">
        <f>+'Necesidades Trimestrales'!G71</f>
        <v>FRASCO</v>
      </c>
      <c r="J72" s="22">
        <f>+'Necesidades Trimestrales'!I71</f>
        <v>2100</v>
      </c>
      <c r="K72" s="23">
        <f>+'Necesidades Trimestrales'!H71</f>
        <v>0</v>
      </c>
    </row>
    <row r="73" spans="1:11" ht="13.5" customHeight="1" x14ac:dyDescent="0.2">
      <c r="A73" s="19">
        <v>62</v>
      </c>
      <c r="B73" s="20"/>
      <c r="C73" s="116" t="str">
        <f>+'Necesidades Trimestrales'!E72</f>
        <v>FOSFOMICINA 1GR FRASCO AMPOLLA</v>
      </c>
      <c r="D73" s="117"/>
      <c r="E73" s="117"/>
      <c r="F73" s="117"/>
      <c r="G73" s="118"/>
      <c r="H73" s="25" t="s">
        <v>172</v>
      </c>
      <c r="I73" s="21" t="str">
        <f>+'Necesidades Trimestrales'!G72</f>
        <v>AMPOLLA</v>
      </c>
      <c r="J73" s="22">
        <f>+'Necesidades Trimestrales'!I72</f>
        <v>839.8</v>
      </c>
      <c r="K73" s="23">
        <f>+'Necesidades Trimestrales'!H72</f>
        <v>0</v>
      </c>
    </row>
    <row r="74" spans="1:11" ht="13.5" customHeight="1" x14ac:dyDescent="0.2">
      <c r="A74" s="19">
        <v>63</v>
      </c>
      <c r="B74" s="24"/>
      <c r="C74" s="116" t="str">
        <f>+'Necesidades Trimestrales'!E75</f>
        <v>GADOPENTETATO FRASCO X 15 ML</v>
      </c>
      <c r="D74" s="117"/>
      <c r="E74" s="117"/>
      <c r="F74" s="117"/>
      <c r="G74" s="118"/>
      <c r="H74" s="25" t="s">
        <v>172</v>
      </c>
      <c r="I74" s="21" t="str">
        <f>+'Necesidades Trimestrales'!G75</f>
        <v>FRASCO</v>
      </c>
      <c r="J74" s="22">
        <f>+'Necesidades Trimestrales'!I75</f>
        <v>1860</v>
      </c>
      <c r="K74" s="23">
        <f>+'Necesidades Trimestrales'!H75</f>
        <v>0</v>
      </c>
    </row>
    <row r="75" spans="1:11" ht="13.5" customHeight="1" x14ac:dyDescent="0.2">
      <c r="A75" s="19">
        <v>64</v>
      </c>
      <c r="B75" s="24"/>
      <c r="C75" s="116" t="str">
        <f>+'Necesidades Trimestrales'!E76</f>
        <v>GAMMAGLOBULINA + TOXOIDE 250 UI</v>
      </c>
      <c r="D75" s="117"/>
      <c r="E75" s="117"/>
      <c r="F75" s="117"/>
      <c r="G75" s="118"/>
      <c r="H75" s="25" t="s">
        <v>172</v>
      </c>
      <c r="I75" s="21" t="str">
        <f>+'Necesidades Trimestrales'!G76</f>
        <v>AMPOLLA</v>
      </c>
      <c r="J75" s="22">
        <f>+'Necesidades Trimestrales'!I76</f>
        <v>3965.14</v>
      </c>
      <c r="K75" s="23">
        <f>+'Necesidades Trimestrales'!H76</f>
        <v>0</v>
      </c>
    </row>
    <row r="76" spans="1:11" ht="13.5" customHeight="1" x14ac:dyDescent="0.2">
      <c r="A76" s="19">
        <v>65</v>
      </c>
      <c r="B76" s="24"/>
      <c r="C76" s="116" t="str">
        <f>+'Necesidades Trimestrales'!E77</f>
        <v>GAMMAGLOBULINA + TOXOIDE 500 UI</v>
      </c>
      <c r="D76" s="117"/>
      <c r="E76" s="117"/>
      <c r="F76" s="117"/>
      <c r="G76" s="118"/>
      <c r="H76" s="25" t="s">
        <v>172</v>
      </c>
      <c r="I76" s="21" t="str">
        <f>+'Necesidades Trimestrales'!G77</f>
        <v>AMPOLLA</v>
      </c>
      <c r="J76" s="22">
        <f>+'Necesidades Trimestrales'!I77</f>
        <v>7674.54</v>
      </c>
      <c r="K76" s="23">
        <f>+'Necesidades Trimestrales'!H77</f>
        <v>0</v>
      </c>
    </row>
    <row r="77" spans="1:11" ht="13.5" customHeight="1" x14ac:dyDescent="0.2">
      <c r="A77" s="19">
        <v>66</v>
      </c>
      <c r="B77" s="20"/>
      <c r="C77" s="116" t="str">
        <f>+'Necesidades Trimestrales'!E78</f>
        <v>GENTAMICINA 80 MG AMPOLLA</v>
      </c>
      <c r="D77" s="117"/>
      <c r="E77" s="117"/>
      <c r="F77" s="117"/>
      <c r="G77" s="118"/>
      <c r="H77" s="25" t="s">
        <v>172</v>
      </c>
      <c r="I77" s="21" t="str">
        <f>+'Necesidades Trimestrales'!G78</f>
        <v>AMPOLLA</v>
      </c>
      <c r="J77" s="22">
        <f>+'Necesidades Trimestrales'!I78</f>
        <v>45</v>
      </c>
      <c r="K77" s="23">
        <f>+'Necesidades Trimestrales'!H78</f>
        <v>0</v>
      </c>
    </row>
    <row r="78" spans="1:11" ht="13.5" customHeight="1" x14ac:dyDescent="0.2">
      <c r="A78" s="19">
        <v>67</v>
      </c>
      <c r="B78" s="24"/>
      <c r="C78" s="116" t="str">
        <f>+'Necesidades Trimestrales'!E79</f>
        <v>IBUPROFENO 2% SUSPENSIÓN X 90 ML</v>
      </c>
      <c r="D78" s="117"/>
      <c r="E78" s="117"/>
      <c r="F78" s="117"/>
      <c r="G78" s="118"/>
      <c r="H78" s="25" t="s">
        <v>172</v>
      </c>
      <c r="I78" s="21" t="str">
        <f>+'Necesidades Trimestrales'!G79</f>
        <v>FRASCO</v>
      </c>
      <c r="J78" s="22">
        <f>+'Necesidades Trimestrales'!I79</f>
        <v>85</v>
      </c>
      <c r="K78" s="23">
        <f>+'Necesidades Trimestrales'!H79</f>
        <v>0</v>
      </c>
    </row>
    <row r="79" spans="1:11" ht="13.5" customHeight="1" x14ac:dyDescent="0.2">
      <c r="A79" s="19">
        <v>68</v>
      </c>
      <c r="B79" s="24"/>
      <c r="C79" s="116" t="str">
        <f>+'Necesidades Trimestrales'!E80</f>
        <v>IBUPROFENO 400 MG AMPOLLA</v>
      </c>
      <c r="D79" s="117"/>
      <c r="E79" s="117"/>
      <c r="F79" s="117"/>
      <c r="G79" s="118"/>
      <c r="H79" s="25" t="s">
        <v>172</v>
      </c>
      <c r="I79" s="21" t="str">
        <f>+'Necesidades Trimestrales'!G80</f>
        <v>AMPOLLA</v>
      </c>
      <c r="J79" s="22">
        <f>+'Necesidades Trimestrales'!I80</f>
        <v>45</v>
      </c>
      <c r="K79" s="23">
        <f>+'Necesidades Trimestrales'!H80</f>
        <v>0</v>
      </c>
    </row>
    <row r="80" spans="1:11" ht="13.5" customHeight="1" x14ac:dyDescent="0.2">
      <c r="A80" s="19">
        <v>69</v>
      </c>
      <c r="B80" s="24"/>
      <c r="C80" s="116" t="str">
        <f>+'Necesidades Trimestrales'!E81</f>
        <v>IBUPROFENO 400 MG COMPRIMIDO</v>
      </c>
      <c r="D80" s="117"/>
      <c r="E80" s="117"/>
      <c r="F80" s="117"/>
      <c r="G80" s="118"/>
      <c r="H80" s="25" t="s">
        <v>172</v>
      </c>
      <c r="I80" s="21" t="str">
        <f>+'Necesidades Trimestrales'!G81</f>
        <v>COMPRIMIDO</v>
      </c>
      <c r="J80" s="22">
        <f>+'Necesidades Trimestrales'!I81</f>
        <v>4.8</v>
      </c>
      <c r="K80" s="23">
        <f>+'Necesidades Trimestrales'!H81</f>
        <v>0</v>
      </c>
    </row>
    <row r="81" spans="1:11" ht="13.5" customHeight="1" x14ac:dyDescent="0.2">
      <c r="A81" s="19">
        <v>70</v>
      </c>
      <c r="B81" s="20"/>
      <c r="C81" s="116" t="str">
        <f>+'Necesidades Trimestrales'!E82</f>
        <v>IMIPENEM+CILASTATINA 500MG FCO AMPOLLA</v>
      </c>
      <c r="D81" s="117"/>
      <c r="E81" s="117"/>
      <c r="F81" s="117"/>
      <c r="G81" s="118"/>
      <c r="H81" s="25" t="s">
        <v>172</v>
      </c>
      <c r="I81" s="21" t="str">
        <f>+'Necesidades Trimestrales'!G82</f>
        <v>AMPOLLA</v>
      </c>
      <c r="J81" s="22">
        <f>+'Necesidades Trimestrales'!I82</f>
        <v>632</v>
      </c>
      <c r="K81" s="23">
        <f>+'Necesidades Trimestrales'!H82</f>
        <v>0</v>
      </c>
    </row>
    <row r="82" spans="1:11" ht="13.5" customHeight="1" x14ac:dyDescent="0.2">
      <c r="A82" s="19">
        <v>71</v>
      </c>
      <c r="B82" s="24"/>
      <c r="C82" s="116" t="str">
        <f>+'Necesidades Trimestrales'!E83</f>
        <v>INDOMETACINA 100 mg  SUPOSITORIOS CAJA X 10 UNIDADES</v>
      </c>
      <c r="D82" s="117"/>
      <c r="E82" s="117"/>
      <c r="F82" s="117"/>
      <c r="G82" s="118"/>
      <c r="H82" s="25" t="s">
        <v>172</v>
      </c>
      <c r="I82" s="21" t="str">
        <f>+'Necesidades Trimestrales'!G83</f>
        <v>CAJA</v>
      </c>
      <c r="J82" s="22">
        <f>+'Necesidades Trimestrales'!I83</f>
        <v>2390</v>
      </c>
      <c r="K82" s="23">
        <f>+'Necesidades Trimestrales'!H83</f>
        <v>0</v>
      </c>
    </row>
    <row r="83" spans="1:11" ht="13.5" customHeight="1" x14ac:dyDescent="0.2">
      <c r="A83" s="19">
        <v>72</v>
      </c>
      <c r="B83" s="24"/>
      <c r="C83" s="116" t="str">
        <f>+'Necesidades Trimestrales'!E84</f>
        <v>INMUNOGLOBULINA ANTI RH jeringa prellena 250-330MCG/ML</v>
      </c>
      <c r="D83" s="117"/>
      <c r="E83" s="117"/>
      <c r="F83" s="117"/>
      <c r="G83" s="118"/>
      <c r="H83" s="25" t="s">
        <v>172</v>
      </c>
      <c r="I83" s="21" t="str">
        <f>+'Necesidades Trimestrales'!G84</f>
        <v>UNIDAD</v>
      </c>
      <c r="J83" s="22">
        <f>+'Necesidades Trimestrales'!I84</f>
        <v>8375</v>
      </c>
      <c r="K83" s="23">
        <f>+'Necesidades Trimestrales'!H84</f>
        <v>0</v>
      </c>
    </row>
    <row r="84" spans="1:11" ht="13.5" customHeight="1" x14ac:dyDescent="0.2">
      <c r="A84" s="19">
        <v>73</v>
      </c>
      <c r="B84" s="24"/>
      <c r="C84" s="116" t="str">
        <f>+'Necesidades Trimestrales'!E85</f>
        <v>INMUNOGLOBULINA HUMANA INESPECIFICA 10 GRS</v>
      </c>
      <c r="D84" s="117"/>
      <c r="E84" s="117"/>
      <c r="F84" s="117"/>
      <c r="G84" s="118"/>
      <c r="H84" s="25" t="s">
        <v>172</v>
      </c>
      <c r="I84" s="21" t="str">
        <f>+'Necesidades Trimestrales'!G85</f>
        <v>ENVASE</v>
      </c>
      <c r="J84" s="22">
        <f>+'Necesidades Trimestrales'!I85</f>
        <v>125640</v>
      </c>
      <c r="K84" s="23">
        <f>+'Necesidades Trimestrales'!H85</f>
        <v>0</v>
      </c>
    </row>
    <row r="85" spans="1:11" ht="13.5" customHeight="1" x14ac:dyDescent="0.2">
      <c r="A85" s="19">
        <v>74</v>
      </c>
      <c r="B85" s="20"/>
      <c r="C85" s="116" t="str">
        <f>+'Necesidades Trimestrales'!E86</f>
        <v>INMUNOGLOBULINA HUMANA INESPECIFICA 2,5 GRS</v>
      </c>
      <c r="D85" s="117"/>
      <c r="E85" s="117"/>
      <c r="F85" s="117"/>
      <c r="G85" s="118"/>
      <c r="H85" s="25" t="s">
        <v>172</v>
      </c>
      <c r="I85" s="21" t="str">
        <f>+'Necesidades Trimestrales'!G86</f>
        <v>ENVASE</v>
      </c>
      <c r="J85" s="22">
        <f>+'Necesidades Trimestrales'!I86</f>
        <v>31000</v>
      </c>
      <c r="K85" s="23">
        <f>+'Necesidades Trimestrales'!H86</f>
        <v>0</v>
      </c>
    </row>
    <row r="86" spans="1:11" ht="13.5" customHeight="1" x14ac:dyDescent="0.2">
      <c r="A86" s="19">
        <v>75</v>
      </c>
      <c r="B86" s="24"/>
      <c r="C86" s="116" t="str">
        <f>+'Necesidades Trimestrales'!E87</f>
        <v>INMUNOGLOBULINA HUMANA INESPECIFICA 5 GRS</v>
      </c>
      <c r="D86" s="117"/>
      <c r="E86" s="117"/>
      <c r="F86" s="117"/>
      <c r="G86" s="118"/>
      <c r="H86" s="25" t="s">
        <v>172</v>
      </c>
      <c r="I86" s="21" t="str">
        <f>+'Necesidades Trimestrales'!G87</f>
        <v>ENVASE</v>
      </c>
      <c r="J86" s="22">
        <f>+'Necesidades Trimestrales'!I87</f>
        <v>59000</v>
      </c>
      <c r="K86" s="23">
        <f>+'Necesidades Trimestrales'!H87</f>
        <v>0</v>
      </c>
    </row>
    <row r="87" spans="1:11" ht="13.5" customHeight="1" x14ac:dyDescent="0.2">
      <c r="A87" s="19">
        <v>76</v>
      </c>
      <c r="B87" s="24"/>
      <c r="C87" s="116" t="str">
        <f>+'Necesidades Trimestrales'!E88</f>
        <v>INMUNOGLOBULINA HUMANA INESPECIFICA 6 GRS</v>
      </c>
      <c r="D87" s="117"/>
      <c r="E87" s="117"/>
      <c r="F87" s="117"/>
      <c r="G87" s="118"/>
      <c r="H87" s="25" t="s">
        <v>172</v>
      </c>
      <c r="I87" s="21" t="str">
        <f>+'Necesidades Trimestrales'!G88</f>
        <v>ENVASE</v>
      </c>
      <c r="J87" s="22">
        <f>+'Necesidades Trimestrales'!I88</f>
        <v>69000</v>
      </c>
      <c r="K87" s="23">
        <f>+'Necesidades Trimestrales'!H88</f>
        <v>0</v>
      </c>
    </row>
    <row r="88" spans="1:11" ht="13.5" customHeight="1" x14ac:dyDescent="0.2">
      <c r="A88" s="19">
        <v>77</v>
      </c>
      <c r="B88" s="24"/>
      <c r="C88" s="116" t="str">
        <f>+'Necesidades Trimestrales'!E89</f>
        <v>ITRACONAZOL 100 MG COMPRIMIDO</v>
      </c>
      <c r="D88" s="117"/>
      <c r="E88" s="117"/>
      <c r="F88" s="117"/>
      <c r="G88" s="118"/>
      <c r="H88" s="25" t="s">
        <v>172</v>
      </c>
      <c r="I88" s="21" t="str">
        <f>+'Necesidades Trimestrales'!G89</f>
        <v>COMPRIMIDO</v>
      </c>
      <c r="J88" s="22">
        <f>+'Necesidades Trimestrales'!I89</f>
        <v>65</v>
      </c>
      <c r="K88" s="23">
        <f>+'Necesidades Trimestrales'!H89</f>
        <v>0</v>
      </c>
    </row>
    <row r="89" spans="1:11" ht="13.5" customHeight="1" x14ac:dyDescent="0.2">
      <c r="A89" s="19">
        <v>78</v>
      </c>
      <c r="B89" s="20"/>
      <c r="C89" s="116" t="str">
        <f>+'Necesidades Trimestrales'!E90</f>
        <v>KETAMINA 50MG/ML FCO AMPOLLA</v>
      </c>
      <c r="D89" s="117"/>
      <c r="E89" s="117"/>
      <c r="F89" s="117"/>
      <c r="G89" s="118"/>
      <c r="H89" s="25" t="s">
        <v>172</v>
      </c>
      <c r="I89" s="21" t="str">
        <f>+'Necesidades Trimestrales'!G90</f>
        <v>AMPOLLA</v>
      </c>
      <c r="J89" s="22">
        <f>+'Necesidades Trimestrales'!I90</f>
        <v>1950</v>
      </c>
      <c r="K89" s="23">
        <f>+'Necesidades Trimestrales'!H90</f>
        <v>0</v>
      </c>
    </row>
    <row r="90" spans="1:11" ht="13.5" customHeight="1" x14ac:dyDescent="0.2">
      <c r="A90" s="19">
        <v>79</v>
      </c>
      <c r="B90" s="24"/>
      <c r="C90" s="116" t="str">
        <f>+'Necesidades Trimestrales'!E91</f>
        <v>KETOROLAC 10 MG COMPRIMIDO</v>
      </c>
      <c r="D90" s="117"/>
      <c r="E90" s="117"/>
      <c r="F90" s="117"/>
      <c r="G90" s="118"/>
      <c r="H90" s="25" t="s">
        <v>172</v>
      </c>
      <c r="I90" s="21" t="str">
        <f>+'Necesidades Trimestrales'!G91</f>
        <v>COMPRIMIDO</v>
      </c>
      <c r="J90" s="22">
        <f>+'Necesidades Trimestrales'!I91</f>
        <v>3.3</v>
      </c>
      <c r="K90" s="23">
        <f>+'Necesidades Trimestrales'!H91</f>
        <v>0</v>
      </c>
    </row>
    <row r="91" spans="1:11" ht="13.5" customHeight="1" x14ac:dyDescent="0.2">
      <c r="A91" s="19">
        <v>80</v>
      </c>
      <c r="B91" s="24"/>
      <c r="C91" s="116" t="str">
        <f>+'Necesidades Trimestrales'!E92</f>
        <v>KETOROLAC 30 MG AMPOLLA</v>
      </c>
      <c r="D91" s="117"/>
      <c r="E91" s="117"/>
      <c r="F91" s="117"/>
      <c r="G91" s="118"/>
      <c r="H91" s="25" t="s">
        <v>172</v>
      </c>
      <c r="I91" s="21" t="str">
        <f>+'Necesidades Trimestrales'!G92</f>
        <v>AMPOLLA</v>
      </c>
      <c r="J91" s="22">
        <f>+'Necesidades Trimestrales'!I92</f>
        <v>56</v>
      </c>
      <c r="K91" s="23">
        <f>+'Necesidades Trimestrales'!H92</f>
        <v>0</v>
      </c>
    </row>
    <row r="92" spans="1:11" ht="13.5" customHeight="1" x14ac:dyDescent="0.2">
      <c r="A92" s="19">
        <v>81</v>
      </c>
      <c r="B92" s="24"/>
      <c r="C92" s="116" t="str">
        <f>+'Necesidades Trimestrales'!E93</f>
        <v>LEVOFLOXACINA 500 MG COMPRIMIDO</v>
      </c>
      <c r="D92" s="117"/>
      <c r="E92" s="117"/>
      <c r="F92" s="117"/>
      <c r="G92" s="118"/>
      <c r="H92" s="25" t="s">
        <v>172</v>
      </c>
      <c r="I92" s="21" t="str">
        <f>+'Necesidades Trimestrales'!G93</f>
        <v>COMPRIMIDO</v>
      </c>
      <c r="J92" s="22">
        <f>+'Necesidades Trimestrales'!I93</f>
        <v>15.6</v>
      </c>
      <c r="K92" s="23">
        <f>+'Necesidades Trimestrales'!H93</f>
        <v>0</v>
      </c>
    </row>
    <row r="93" spans="1:11" ht="13.5" customHeight="1" x14ac:dyDescent="0.2">
      <c r="A93" s="19">
        <v>82</v>
      </c>
      <c r="B93" s="20"/>
      <c r="C93" s="116" t="str">
        <f>+'Necesidades Trimestrales'!E94</f>
        <v>LIDOCAINA  2% SIN EPINEFRINA FCO X 5ML</v>
      </c>
      <c r="D93" s="117"/>
      <c r="E93" s="117"/>
      <c r="F93" s="117"/>
      <c r="G93" s="118"/>
      <c r="H93" s="25" t="s">
        <v>172</v>
      </c>
      <c r="I93" s="21" t="str">
        <f>+'Necesidades Trimestrales'!G94</f>
        <v>AMPOLLA</v>
      </c>
      <c r="J93" s="22">
        <f>+'Necesidades Trimestrales'!I94</f>
        <v>35</v>
      </c>
      <c r="K93" s="23">
        <f>+'Necesidades Trimestrales'!H94</f>
        <v>0</v>
      </c>
    </row>
    <row r="94" spans="1:11" ht="13.5" customHeight="1" x14ac:dyDescent="0.2">
      <c r="A94" s="19">
        <v>83</v>
      </c>
      <c r="B94" s="24"/>
      <c r="C94" s="116" t="str">
        <f>+'Necesidades Trimestrales'!E95</f>
        <v>LIDOCAINA 2%  SIN EPINEFRINA X 20 ML</v>
      </c>
      <c r="D94" s="117"/>
      <c r="E94" s="117"/>
      <c r="F94" s="117"/>
      <c r="G94" s="118"/>
      <c r="H94" s="25" t="s">
        <v>172</v>
      </c>
      <c r="I94" s="21" t="str">
        <f>+'Necesidades Trimestrales'!G95</f>
        <v>AMPOLLA</v>
      </c>
      <c r="J94" s="22">
        <f>+'Necesidades Trimestrales'!I95</f>
        <v>325</v>
      </c>
      <c r="K94" s="23">
        <f>+'Necesidades Trimestrales'!H95</f>
        <v>0</v>
      </c>
    </row>
    <row r="95" spans="1:11" ht="13.5" customHeight="1" x14ac:dyDescent="0.2">
      <c r="A95" s="19">
        <v>84</v>
      </c>
      <c r="B95" s="24"/>
      <c r="C95" s="116" t="str">
        <f>+'Necesidades Trimestrales'!E96</f>
        <v>LIDOCAINA 2% CON EPINEFRINA X 20 ML</v>
      </c>
      <c r="D95" s="117"/>
      <c r="E95" s="117"/>
      <c r="F95" s="117"/>
      <c r="G95" s="118"/>
      <c r="H95" s="25" t="s">
        <v>172</v>
      </c>
      <c r="I95" s="21" t="str">
        <f>+'Necesidades Trimestrales'!G96</f>
        <v>AMPOLLA</v>
      </c>
      <c r="J95" s="22">
        <f>+'Necesidades Trimestrales'!I96</f>
        <v>493</v>
      </c>
      <c r="K95" s="23">
        <f>+'Necesidades Trimestrales'!H96</f>
        <v>0</v>
      </c>
    </row>
    <row r="96" spans="1:11" ht="13.5" customHeight="1" x14ac:dyDescent="0.2">
      <c r="A96" s="19">
        <v>85</v>
      </c>
      <c r="B96" s="24"/>
      <c r="C96" s="116" t="str">
        <f>+'Necesidades Trimestrales'!E97</f>
        <v>LIDOCAINA AEROSOL</v>
      </c>
      <c r="D96" s="117"/>
      <c r="E96" s="117"/>
      <c r="F96" s="117"/>
      <c r="G96" s="118"/>
      <c r="H96" s="25" t="s">
        <v>172</v>
      </c>
      <c r="I96" s="21" t="str">
        <f>+'Necesidades Trimestrales'!G97</f>
        <v>ENVASE</v>
      </c>
      <c r="J96" s="22">
        <f>+'Necesidades Trimestrales'!I97</f>
        <v>640</v>
      </c>
      <c r="K96" s="23">
        <f>+'Necesidades Trimestrales'!H97</f>
        <v>0</v>
      </c>
    </row>
    <row r="97" spans="1:11" ht="13.5" customHeight="1" x14ac:dyDescent="0.2">
      <c r="A97" s="19">
        <v>86</v>
      </c>
      <c r="B97" s="20"/>
      <c r="C97" s="116" t="str">
        <f>+'Necesidades Trimestrales'!E98</f>
        <v>LIDOCAINA JALEA</v>
      </c>
      <c r="D97" s="117"/>
      <c r="E97" s="117"/>
      <c r="F97" s="117"/>
      <c r="G97" s="118"/>
      <c r="H97" s="25" t="s">
        <v>172</v>
      </c>
      <c r="I97" s="21" t="str">
        <f>+'Necesidades Trimestrales'!G98</f>
        <v>ENVASE</v>
      </c>
      <c r="J97" s="22">
        <f>+'Necesidades Trimestrales'!I98</f>
        <v>154.80000000000001</v>
      </c>
      <c r="K97" s="23">
        <f>+'Necesidades Trimestrales'!H98</f>
        <v>0</v>
      </c>
    </row>
    <row r="98" spans="1:11" ht="13.5" customHeight="1" x14ac:dyDescent="0.2">
      <c r="A98" s="19">
        <v>87</v>
      </c>
      <c r="B98" s="24"/>
      <c r="C98" s="116" t="str">
        <f>+'Necesidades Trimestrales'!E99</f>
        <v>LIDOCAINA SOLUCION TOPICA</v>
      </c>
      <c r="D98" s="117"/>
      <c r="E98" s="117"/>
      <c r="F98" s="117"/>
      <c r="G98" s="118"/>
      <c r="H98" s="25" t="s">
        <v>172</v>
      </c>
      <c r="I98" s="21" t="str">
        <f>+'Necesidades Trimestrales'!G99</f>
        <v>ENVASE</v>
      </c>
      <c r="J98" s="22">
        <f>+'Necesidades Trimestrales'!I99</f>
        <v>390</v>
      </c>
      <c r="K98" s="23">
        <f>+'Necesidades Trimestrales'!H99</f>
        <v>0</v>
      </c>
    </row>
    <row r="99" spans="1:11" ht="13.5" customHeight="1" x14ac:dyDescent="0.2">
      <c r="A99" s="19">
        <v>88</v>
      </c>
      <c r="B99" s="24"/>
      <c r="C99" s="116" t="str">
        <f>+'Necesidades Trimestrales'!E100</f>
        <v>LINEZOLI SOLUCION 2MG/ML X 300ML</v>
      </c>
      <c r="D99" s="117"/>
      <c r="E99" s="117"/>
      <c r="F99" s="117"/>
      <c r="G99" s="118"/>
      <c r="H99" s="25" t="s">
        <v>172</v>
      </c>
      <c r="I99" s="21" t="str">
        <f>+'Necesidades Trimestrales'!G100</f>
        <v>FRASCO</v>
      </c>
      <c r="J99" s="22">
        <f>+'Necesidades Trimestrales'!I100</f>
        <v>1815</v>
      </c>
      <c r="K99" s="23">
        <f>+'Necesidades Trimestrales'!H100</f>
        <v>0</v>
      </c>
    </row>
    <row r="100" spans="1:11" ht="13.5" customHeight="1" x14ac:dyDescent="0.2">
      <c r="A100" s="19">
        <v>89</v>
      </c>
      <c r="B100" s="24"/>
      <c r="C100" s="116" t="str">
        <f>+'Necesidades Trimestrales'!E101</f>
        <v>MEBENDAZOL 100 MG COMPRIMIDO</v>
      </c>
      <c r="D100" s="117"/>
      <c r="E100" s="117"/>
      <c r="F100" s="117"/>
      <c r="G100" s="118"/>
      <c r="H100" s="25" t="s">
        <v>172</v>
      </c>
      <c r="I100" s="21" t="str">
        <f>+'Necesidades Trimestrales'!G101</f>
        <v>COMPRIMIDO</v>
      </c>
      <c r="J100" s="22">
        <f>+'Necesidades Trimestrales'!I101</f>
        <v>65</v>
      </c>
      <c r="K100" s="23">
        <f>+'Necesidades Trimestrales'!H101</f>
        <v>0</v>
      </c>
    </row>
    <row r="101" spans="1:11" ht="13.5" customHeight="1" x14ac:dyDescent="0.2">
      <c r="A101" s="19">
        <v>90</v>
      </c>
      <c r="B101" s="20"/>
      <c r="C101" s="116" t="str">
        <f>+'Necesidades Trimestrales'!E102</f>
        <v>MEBENDAZOL 2% SUSPENSIÓN DE 30 ML</v>
      </c>
      <c r="D101" s="117"/>
      <c r="E101" s="117"/>
      <c r="F101" s="117"/>
      <c r="G101" s="118"/>
      <c r="H101" s="25" t="s">
        <v>172</v>
      </c>
      <c r="I101" s="21" t="str">
        <f>+'Necesidades Trimestrales'!G102</f>
        <v>FRASCO</v>
      </c>
      <c r="J101" s="22">
        <f>+'Necesidades Trimestrales'!I102</f>
        <v>360</v>
      </c>
      <c r="K101" s="23">
        <f>+'Necesidades Trimestrales'!H102</f>
        <v>0</v>
      </c>
    </row>
    <row r="102" spans="1:11" ht="13.5" customHeight="1" x14ac:dyDescent="0.2">
      <c r="A102" s="19">
        <v>91</v>
      </c>
      <c r="B102" s="24"/>
      <c r="C102" s="116" t="str">
        <f>+'Necesidades Trimestrales'!E103</f>
        <v>MEROPENEM 1000MG FCO AMPOLLA</v>
      </c>
      <c r="D102" s="117"/>
      <c r="E102" s="117"/>
      <c r="F102" s="117"/>
      <c r="G102" s="118"/>
      <c r="H102" s="25" t="s">
        <v>172</v>
      </c>
      <c r="I102" s="21" t="str">
        <f>+'Necesidades Trimestrales'!G103</f>
        <v>AMPOLLA</v>
      </c>
      <c r="J102" s="22">
        <f>+'Necesidades Trimestrales'!I103</f>
        <v>590</v>
      </c>
      <c r="K102" s="23">
        <f>+'Necesidades Trimestrales'!H103</f>
        <v>0</v>
      </c>
    </row>
    <row r="103" spans="1:11" ht="13.5" customHeight="1" x14ac:dyDescent="0.2">
      <c r="A103" s="19">
        <v>92</v>
      </c>
      <c r="B103" s="24"/>
      <c r="C103" s="116" t="str">
        <f>+'Necesidades Trimestrales'!E104</f>
        <v>MEROPENEM 500MG FCO AMPOLLA</v>
      </c>
      <c r="D103" s="117"/>
      <c r="E103" s="117"/>
      <c r="F103" s="117"/>
      <c r="G103" s="118"/>
      <c r="H103" s="25" t="s">
        <v>172</v>
      </c>
      <c r="I103" s="21" t="str">
        <f>+'Necesidades Trimestrales'!G104</f>
        <v>AMPOLLA</v>
      </c>
      <c r="J103" s="22">
        <f>+'Necesidades Trimestrales'!I104</f>
        <v>380</v>
      </c>
      <c r="K103" s="23">
        <f>+'Necesidades Trimestrales'!H104</f>
        <v>0</v>
      </c>
    </row>
    <row r="104" spans="1:11" ht="13.5" customHeight="1" x14ac:dyDescent="0.2">
      <c r="A104" s="19">
        <v>93</v>
      </c>
      <c r="B104" s="24"/>
      <c r="C104" s="116" t="str">
        <f>+'Necesidades Trimestrales'!E105</f>
        <v>METRONIDAZOL 25MG/ML SUSPENSION X 120 ML</v>
      </c>
      <c r="D104" s="117"/>
      <c r="E104" s="117"/>
      <c r="F104" s="117"/>
      <c r="G104" s="118"/>
      <c r="H104" s="25" t="s">
        <v>172</v>
      </c>
      <c r="I104" s="21" t="str">
        <f>+'Necesidades Trimestrales'!G105</f>
        <v>FRASCO</v>
      </c>
      <c r="J104" s="22">
        <f>+'Necesidades Trimestrales'!I105</f>
        <v>169</v>
      </c>
      <c r="K104" s="23">
        <f>+'Necesidades Trimestrales'!H105</f>
        <v>0</v>
      </c>
    </row>
    <row r="105" spans="1:11" ht="13.5" customHeight="1" x14ac:dyDescent="0.2">
      <c r="A105" s="19">
        <v>94</v>
      </c>
      <c r="B105" s="20"/>
      <c r="C105" s="116" t="str">
        <f>+'Necesidades Trimestrales'!E106</f>
        <v>METRONIDAZOL 500 MG COMPRIMIDO</v>
      </c>
      <c r="D105" s="117"/>
      <c r="E105" s="117"/>
      <c r="F105" s="117"/>
      <c r="G105" s="118"/>
      <c r="H105" s="25" t="s">
        <v>172</v>
      </c>
      <c r="I105" s="21" t="str">
        <f>+'Necesidades Trimestrales'!G106</f>
        <v>COMPRIMIDO</v>
      </c>
      <c r="J105" s="22">
        <f>+'Necesidades Trimestrales'!I106</f>
        <v>7.3</v>
      </c>
      <c r="K105" s="23">
        <f>+'Necesidades Trimestrales'!H106</f>
        <v>0</v>
      </c>
    </row>
    <row r="106" spans="1:11" ht="13.5" customHeight="1" x14ac:dyDescent="0.2">
      <c r="A106" s="19">
        <v>95</v>
      </c>
      <c r="B106" s="24"/>
      <c r="C106" s="116" t="str">
        <f>+'Necesidades Trimestrales'!E107</f>
        <v>METRONIDAZOL 500 MG SACHET</v>
      </c>
      <c r="D106" s="117"/>
      <c r="E106" s="117"/>
      <c r="F106" s="117"/>
      <c r="G106" s="118"/>
      <c r="H106" s="25" t="s">
        <v>172</v>
      </c>
      <c r="I106" s="21" t="str">
        <f>+'Necesidades Trimestrales'!G107</f>
        <v>ENVASE</v>
      </c>
      <c r="J106" s="22">
        <f>+'Necesidades Trimestrales'!I107</f>
        <v>118</v>
      </c>
      <c r="K106" s="23">
        <f>+'Necesidades Trimestrales'!H107</f>
        <v>0</v>
      </c>
    </row>
    <row r="107" spans="1:11" ht="13.5" customHeight="1" x14ac:dyDescent="0.2">
      <c r="A107" s="19">
        <v>96</v>
      </c>
      <c r="B107" s="24"/>
      <c r="C107" s="116" t="str">
        <f>+'Necesidades Trimestrales'!E108</f>
        <v>MIDAZOLAM 15 MG AMPOLLA</v>
      </c>
      <c r="D107" s="117"/>
      <c r="E107" s="117"/>
      <c r="F107" s="117"/>
      <c r="G107" s="118"/>
      <c r="H107" s="25" t="s">
        <v>172</v>
      </c>
      <c r="I107" s="21" t="str">
        <f>+'Necesidades Trimestrales'!G108</f>
        <v>AMPOLLA</v>
      </c>
      <c r="J107" s="22">
        <f>+'Necesidades Trimestrales'!I108</f>
        <v>159</v>
      </c>
      <c r="K107" s="23">
        <f>+'Necesidades Trimestrales'!H108</f>
        <v>0</v>
      </c>
    </row>
    <row r="108" spans="1:11" ht="13.5" customHeight="1" x14ac:dyDescent="0.2">
      <c r="A108" s="19">
        <v>97</v>
      </c>
      <c r="B108" s="24"/>
      <c r="C108" s="116" t="str">
        <f>+'Necesidades Trimestrales'!E109</f>
        <v>MINOCICLINA 100 MG COMPRIMIDO</v>
      </c>
      <c r="D108" s="117"/>
      <c r="E108" s="117"/>
      <c r="F108" s="117"/>
      <c r="G108" s="118"/>
      <c r="H108" s="25" t="s">
        <v>172</v>
      </c>
      <c r="I108" s="21" t="str">
        <f>+'Necesidades Trimestrales'!G109</f>
        <v>COMPRIMIDO</v>
      </c>
      <c r="J108" s="22">
        <f>+'Necesidades Trimestrales'!I109</f>
        <v>61.7</v>
      </c>
      <c r="K108" s="23">
        <f>+'Necesidades Trimestrales'!H109</f>
        <v>0</v>
      </c>
    </row>
    <row r="109" spans="1:11" ht="13.5" customHeight="1" x14ac:dyDescent="0.2">
      <c r="A109" s="19">
        <v>98</v>
      </c>
      <c r="B109" s="20"/>
      <c r="C109" s="116" t="str">
        <f>+'Necesidades Trimestrales'!E110</f>
        <v>MORFINA 10 MG AMPOLLA</v>
      </c>
      <c r="D109" s="117"/>
      <c r="E109" s="117"/>
      <c r="F109" s="117"/>
      <c r="G109" s="118"/>
      <c r="H109" s="25" t="s">
        <v>172</v>
      </c>
      <c r="I109" s="21" t="str">
        <f>+'Necesidades Trimestrales'!G110</f>
        <v>AMPOLLA</v>
      </c>
      <c r="J109" s="22">
        <f>+'Necesidades Trimestrales'!I110</f>
        <v>110</v>
      </c>
      <c r="K109" s="23">
        <f>+'Necesidades Trimestrales'!H110</f>
        <v>0</v>
      </c>
    </row>
    <row r="110" spans="1:11" ht="13.5" customHeight="1" x14ac:dyDescent="0.2">
      <c r="A110" s="19">
        <v>99</v>
      </c>
      <c r="B110" s="24"/>
      <c r="C110" s="116" t="e">
        <f>+'Necesidades Trimestrales'!#REF!</f>
        <v>#REF!</v>
      </c>
      <c r="D110" s="117"/>
      <c r="E110" s="117"/>
      <c r="F110" s="117"/>
      <c r="G110" s="118"/>
      <c r="H110" s="25" t="s">
        <v>172</v>
      </c>
      <c r="I110" s="21" t="e">
        <f>+'Necesidades Trimestrales'!#REF!</f>
        <v>#REF!</v>
      </c>
      <c r="J110" s="22" t="e">
        <f>+'Necesidades Trimestrales'!#REF!</f>
        <v>#REF!</v>
      </c>
      <c r="K110" s="23" t="e">
        <f>+'Necesidades Trimestrales'!#REF!</f>
        <v>#REF!</v>
      </c>
    </row>
    <row r="111" spans="1:11" ht="13.5" customHeight="1" x14ac:dyDescent="0.2">
      <c r="A111" s="19">
        <v>100</v>
      </c>
      <c r="B111" s="24"/>
      <c r="C111" s="116" t="str">
        <f>+'Necesidades Trimestrales'!E111</f>
        <v>NALBUFINA 10 MG AMPOLLA</v>
      </c>
      <c r="D111" s="117"/>
      <c r="E111" s="117"/>
      <c r="F111" s="117"/>
      <c r="G111" s="118"/>
      <c r="H111" s="25" t="s">
        <v>172</v>
      </c>
      <c r="I111" s="21" t="str">
        <f>+'Necesidades Trimestrales'!G111</f>
        <v>AMPOLLA</v>
      </c>
      <c r="J111" s="22">
        <f>+'Necesidades Trimestrales'!I111</f>
        <v>120</v>
      </c>
      <c r="K111" s="23">
        <f>+'Necesidades Trimestrales'!H111</f>
        <v>0</v>
      </c>
    </row>
    <row r="112" spans="1:11" ht="13.5" customHeight="1" x14ac:dyDescent="0.2">
      <c r="A112" s="19">
        <v>101</v>
      </c>
      <c r="B112" s="24"/>
      <c r="C112" s="116" t="str">
        <f>+'Necesidades Trimestrales'!E112</f>
        <v>NAPROXENO 500MG COMPRIMIDO</v>
      </c>
      <c r="D112" s="117"/>
      <c r="E112" s="117"/>
      <c r="F112" s="117"/>
      <c r="G112" s="118"/>
      <c r="H112" s="25" t="s">
        <v>172</v>
      </c>
      <c r="I112" s="21" t="str">
        <f>+'Necesidades Trimestrales'!G112</f>
        <v>COMPRIMIDO</v>
      </c>
      <c r="J112" s="22">
        <f>+'Necesidades Trimestrales'!I112</f>
        <v>16.8</v>
      </c>
      <c r="K112" s="23">
        <f>+'Necesidades Trimestrales'!H112</f>
        <v>0</v>
      </c>
    </row>
    <row r="113" spans="1:11" ht="13.5" customHeight="1" x14ac:dyDescent="0.2">
      <c r="A113" s="19">
        <v>102</v>
      </c>
      <c r="B113" s="20"/>
      <c r="C113" s="116" t="str">
        <f>+'Necesidades Trimestrales'!E113</f>
        <v>ORNIDAZOL 1GR AMPOLLA</v>
      </c>
      <c r="D113" s="117"/>
      <c r="E113" s="117"/>
      <c r="F113" s="117"/>
      <c r="G113" s="118"/>
      <c r="H113" s="25" t="s">
        <v>172</v>
      </c>
      <c r="I113" s="21" t="str">
        <f>+'Necesidades Trimestrales'!G113</f>
        <v>AMPOLLA</v>
      </c>
      <c r="J113" s="22">
        <f>+'Necesidades Trimestrales'!I113</f>
        <v>1452</v>
      </c>
      <c r="K113" s="23">
        <f>+'Necesidades Trimestrales'!H113</f>
        <v>0</v>
      </c>
    </row>
    <row r="114" spans="1:11" ht="13.5" customHeight="1" x14ac:dyDescent="0.2">
      <c r="A114" s="19">
        <v>103</v>
      </c>
      <c r="B114" s="24"/>
      <c r="C114" s="116" t="str">
        <f>+'Necesidades Trimestrales'!E114</f>
        <v>PANCURONIO 4 MG/ ML</v>
      </c>
      <c r="D114" s="117"/>
      <c r="E114" s="117"/>
      <c r="F114" s="117"/>
      <c r="G114" s="118"/>
      <c r="H114" s="25" t="s">
        <v>172</v>
      </c>
      <c r="I114" s="21" t="str">
        <f>+'Necesidades Trimestrales'!G114</f>
        <v>AMPOLLA</v>
      </c>
      <c r="J114" s="22">
        <f>+'Necesidades Trimestrales'!I114</f>
        <v>189</v>
      </c>
      <c r="K114" s="23">
        <f>+'Necesidades Trimestrales'!H114</f>
        <v>0</v>
      </c>
    </row>
    <row r="115" spans="1:11" ht="13.5" customHeight="1" x14ac:dyDescent="0.2">
      <c r="A115" s="19">
        <v>104</v>
      </c>
      <c r="B115" s="24"/>
      <c r="C115" s="116" t="str">
        <f>+'Necesidades Trimestrales'!E115</f>
        <v>PARACETAMOL 1GR COMPRIMIDO</v>
      </c>
      <c r="D115" s="117"/>
      <c r="E115" s="117"/>
      <c r="F115" s="117"/>
      <c r="G115" s="118"/>
      <c r="H115" s="25" t="s">
        <v>172</v>
      </c>
      <c r="I115" s="21" t="str">
        <f>+'Necesidades Trimestrales'!G115</f>
        <v>COMPRIMIDO</v>
      </c>
      <c r="J115" s="22">
        <f>+'Necesidades Trimestrales'!I115</f>
        <v>9.8000000000000007</v>
      </c>
      <c r="K115" s="23">
        <f>+'Necesidades Trimestrales'!H115</f>
        <v>0</v>
      </c>
    </row>
    <row r="116" spans="1:11" ht="13.5" customHeight="1" x14ac:dyDescent="0.2">
      <c r="A116" s="19">
        <v>105</v>
      </c>
      <c r="B116" s="24"/>
      <c r="C116" s="116" t="str">
        <f>+'Necesidades Trimestrales'!E116</f>
        <v>PARACETAMOL 1GR ML FRASCO AMPOLLA</v>
      </c>
      <c r="D116" s="117"/>
      <c r="E116" s="117"/>
      <c r="F116" s="117"/>
      <c r="G116" s="118"/>
      <c r="H116" s="25" t="s">
        <v>172</v>
      </c>
      <c r="I116" s="21" t="str">
        <f>+'Necesidades Trimestrales'!G116</f>
        <v>AMPOLLA</v>
      </c>
      <c r="J116" s="22">
        <f>+'Necesidades Trimestrales'!I116</f>
        <v>980</v>
      </c>
      <c r="K116" s="23">
        <f>+'Necesidades Trimestrales'!H116</f>
        <v>0</v>
      </c>
    </row>
    <row r="117" spans="1:11" ht="13.5" customHeight="1" x14ac:dyDescent="0.2">
      <c r="A117" s="19">
        <v>106</v>
      </c>
      <c r="B117" s="20"/>
      <c r="C117" s="116" t="str">
        <f>+'Necesidades Trimestrales'!E117</f>
        <v>PARACETAMOL 2% JARABE x 120 ml</v>
      </c>
      <c r="D117" s="117"/>
      <c r="E117" s="117"/>
      <c r="F117" s="117"/>
      <c r="G117" s="118"/>
      <c r="H117" s="25" t="s">
        <v>172</v>
      </c>
      <c r="I117" s="21" t="str">
        <f>+'Necesidades Trimestrales'!G117</f>
        <v>FRASCO</v>
      </c>
      <c r="J117" s="22">
        <f>+'Necesidades Trimestrales'!I117</f>
        <v>165</v>
      </c>
      <c r="K117" s="23">
        <f>+'Necesidades Trimestrales'!H117</f>
        <v>0</v>
      </c>
    </row>
    <row r="118" spans="1:11" ht="13.5" customHeight="1" x14ac:dyDescent="0.2">
      <c r="A118" s="19">
        <v>107</v>
      </c>
      <c r="B118" s="24"/>
      <c r="C118" s="116" t="str">
        <f>+'Necesidades Trimestrales'!E118</f>
        <v>PARACETAMOL 500 MG COMPRIMIDO</v>
      </c>
      <c r="D118" s="117"/>
      <c r="E118" s="117"/>
      <c r="F118" s="117"/>
      <c r="G118" s="118"/>
      <c r="H118" s="25" t="s">
        <v>172</v>
      </c>
      <c r="I118" s="21" t="str">
        <f>+'Necesidades Trimestrales'!G118</f>
        <v>COMPRIMIDO</v>
      </c>
      <c r="J118" s="22">
        <f>+'Necesidades Trimestrales'!I118</f>
        <v>5.3</v>
      </c>
      <c r="K118" s="23">
        <f>+'Necesidades Trimestrales'!H118</f>
        <v>0</v>
      </c>
    </row>
    <row r="119" spans="1:11" ht="13.5" customHeight="1" x14ac:dyDescent="0.2">
      <c r="A119" s="19">
        <v>108</v>
      </c>
      <c r="B119" s="24"/>
      <c r="C119" s="116" t="str">
        <f>+'Necesidades Trimestrales'!E119</f>
        <v>PARACETAMOL GOTAS</v>
      </c>
      <c r="D119" s="117"/>
      <c r="E119" s="117"/>
      <c r="F119" s="117"/>
      <c r="G119" s="118"/>
      <c r="H119" s="25" t="s">
        <v>172</v>
      </c>
      <c r="I119" s="21" t="str">
        <f>+'Necesidades Trimestrales'!G119</f>
        <v>GOTERO</v>
      </c>
      <c r="J119" s="22">
        <f>+'Necesidades Trimestrales'!I119</f>
        <v>230</v>
      </c>
      <c r="K119" s="23">
        <f>+'Necesidades Trimestrales'!H119</f>
        <v>0</v>
      </c>
    </row>
    <row r="120" spans="1:11" ht="13.5" customHeight="1" x14ac:dyDescent="0.2">
      <c r="A120" s="19">
        <v>109</v>
      </c>
      <c r="B120" s="24"/>
      <c r="C120" s="116" t="e">
        <f>+'Necesidades Trimestrales'!#REF!</f>
        <v>#REF!</v>
      </c>
      <c r="D120" s="117"/>
      <c r="E120" s="117"/>
      <c r="F120" s="117"/>
      <c r="G120" s="118"/>
      <c r="H120" s="25" t="s">
        <v>172</v>
      </c>
      <c r="I120" s="21" t="e">
        <f>+'Necesidades Trimestrales'!#REF!</f>
        <v>#REF!</v>
      </c>
      <c r="J120" s="22" t="e">
        <f>+'Necesidades Trimestrales'!#REF!</f>
        <v>#REF!</v>
      </c>
      <c r="K120" s="23" t="e">
        <f>+'Necesidades Trimestrales'!#REF!</f>
        <v>#REF!</v>
      </c>
    </row>
    <row r="121" spans="1:11" ht="13.5" customHeight="1" x14ac:dyDescent="0.2">
      <c r="A121" s="19">
        <v>110</v>
      </c>
      <c r="B121" s="20"/>
      <c r="C121" s="116" t="str">
        <f>+'Necesidades Trimestrales'!E120</f>
        <v>PENICILINA BENZATINICA 1.200.000 FCO AMPOLLA</v>
      </c>
      <c r="D121" s="117"/>
      <c r="E121" s="117"/>
      <c r="F121" s="117"/>
      <c r="G121" s="118"/>
      <c r="H121" s="25" t="s">
        <v>172</v>
      </c>
      <c r="I121" s="21" t="str">
        <f>+'Necesidades Trimestrales'!G120</f>
        <v>AMPOLLA</v>
      </c>
      <c r="J121" s="22">
        <f>+'Necesidades Trimestrales'!I120</f>
        <v>189</v>
      </c>
      <c r="K121" s="23">
        <f>+'Necesidades Trimestrales'!H120</f>
        <v>0</v>
      </c>
    </row>
    <row r="122" spans="1:11" ht="13.5" customHeight="1" x14ac:dyDescent="0.2">
      <c r="A122" s="19">
        <v>111</v>
      </c>
      <c r="B122" s="24"/>
      <c r="C122" s="116" t="str">
        <f>+'Necesidades Trimestrales'!E121</f>
        <v>PENICILINA BENZATINICA 2.400.000 FCO AMPOLLA</v>
      </c>
      <c r="D122" s="117"/>
      <c r="E122" s="117"/>
      <c r="F122" s="117"/>
      <c r="G122" s="118"/>
      <c r="H122" s="25" t="s">
        <v>172</v>
      </c>
      <c r="I122" s="21" t="str">
        <f>+'Necesidades Trimestrales'!G121</f>
        <v>AMPOLLA</v>
      </c>
      <c r="J122" s="22">
        <f>+'Necesidades Trimestrales'!I121</f>
        <v>256</v>
      </c>
      <c r="K122" s="23">
        <f>+'Necesidades Trimestrales'!H121</f>
        <v>0</v>
      </c>
    </row>
    <row r="123" spans="1:11" ht="13.5" customHeight="1" x14ac:dyDescent="0.2">
      <c r="A123" s="19">
        <v>112</v>
      </c>
      <c r="B123" s="24"/>
      <c r="C123" s="116" t="str">
        <f>+'Necesidades Trimestrales'!E122</f>
        <v>PENICILINA G SODICA 1.000.000 FCO AMPOLLA</v>
      </c>
      <c r="D123" s="117"/>
      <c r="E123" s="117"/>
      <c r="F123" s="117"/>
      <c r="G123" s="118"/>
      <c r="H123" s="25" t="s">
        <v>172</v>
      </c>
      <c r="I123" s="21" t="str">
        <f>+'Necesidades Trimestrales'!G122</f>
        <v>AMPOLLA</v>
      </c>
      <c r="J123" s="22">
        <f>+'Necesidades Trimestrales'!I122</f>
        <v>144</v>
      </c>
      <c r="K123" s="23">
        <f>+'Necesidades Trimestrales'!H122</f>
        <v>0</v>
      </c>
    </row>
    <row r="124" spans="1:11" ht="13.5" customHeight="1" x14ac:dyDescent="0.2">
      <c r="A124" s="19">
        <v>113</v>
      </c>
      <c r="B124" s="24"/>
      <c r="C124" s="116" t="str">
        <f>+'Necesidades Trimestrales'!E123</f>
        <v>PENICILINA G SODICA 3.000.000 UI FCO AMPOLLA</v>
      </c>
      <c r="D124" s="117"/>
      <c r="E124" s="117"/>
      <c r="F124" s="117"/>
      <c r="G124" s="118"/>
      <c r="H124" s="25" t="s">
        <v>172</v>
      </c>
      <c r="I124" s="21" t="str">
        <f>+'Necesidades Trimestrales'!G123</f>
        <v>AMPOLLA</v>
      </c>
      <c r="J124" s="22">
        <f>+'Necesidades Trimestrales'!I123</f>
        <v>189</v>
      </c>
      <c r="K124" s="23">
        <f>+'Necesidades Trimestrales'!H123</f>
        <v>0</v>
      </c>
    </row>
    <row r="125" spans="1:11" ht="13.5" customHeight="1" x14ac:dyDescent="0.2">
      <c r="A125" s="19">
        <v>114</v>
      </c>
      <c r="B125" s="20"/>
      <c r="C125" s="116" t="str">
        <f>+'Necesidades Trimestrales'!E124</f>
        <v>PERMETRINA EMULSION</v>
      </c>
      <c r="D125" s="117"/>
      <c r="E125" s="117"/>
      <c r="F125" s="117"/>
      <c r="G125" s="118"/>
      <c r="H125" s="25" t="s">
        <v>172</v>
      </c>
      <c r="I125" s="21" t="str">
        <f>+'Necesidades Trimestrales'!G124</f>
        <v>ENVASE</v>
      </c>
      <c r="J125" s="22">
        <f>+'Necesidades Trimestrales'!I124</f>
        <v>958</v>
      </c>
      <c r="K125" s="23">
        <f>+'Necesidades Trimestrales'!H124</f>
        <v>0</v>
      </c>
    </row>
    <row r="126" spans="1:11" ht="13.5" customHeight="1" x14ac:dyDescent="0.2">
      <c r="A126" s="19">
        <v>115</v>
      </c>
      <c r="B126" s="24"/>
      <c r="C126" s="116" t="str">
        <f>+'Necesidades Trimestrales'!E125</f>
        <v>PERMETRINA LOCION</v>
      </c>
      <c r="D126" s="117"/>
      <c r="E126" s="117"/>
      <c r="F126" s="117"/>
      <c r="G126" s="118"/>
      <c r="H126" s="25" t="s">
        <v>172</v>
      </c>
      <c r="I126" s="21" t="str">
        <f>+'Necesidades Trimestrales'!G125</f>
        <v>ENVASE</v>
      </c>
      <c r="J126" s="22">
        <f>+'Necesidades Trimestrales'!I125</f>
        <v>467</v>
      </c>
      <c r="K126" s="23">
        <f>+'Necesidades Trimestrales'!H125</f>
        <v>0</v>
      </c>
    </row>
    <row r="127" spans="1:11" ht="13.5" customHeight="1" x14ac:dyDescent="0.2">
      <c r="A127" s="19">
        <v>116</v>
      </c>
      <c r="B127" s="24"/>
      <c r="C127" s="116" t="str">
        <f>+'Necesidades Trimestrales'!E126</f>
        <v>PIPERACILINA 4 GRS + TAZOBACTAM 500 MG FCO AMPOLLA</v>
      </c>
      <c r="D127" s="117"/>
      <c r="E127" s="117"/>
      <c r="F127" s="117"/>
      <c r="G127" s="118"/>
      <c r="H127" s="25" t="s">
        <v>172</v>
      </c>
      <c r="I127" s="21" t="str">
        <f>+'Necesidades Trimestrales'!G126</f>
        <v>AMPOLLA</v>
      </c>
      <c r="J127" s="22">
        <f>+'Necesidades Trimestrales'!I126</f>
        <v>398</v>
      </c>
      <c r="K127" s="23">
        <f>+'Necesidades Trimestrales'!H126</f>
        <v>0</v>
      </c>
    </row>
    <row r="128" spans="1:11" ht="13.5" customHeight="1" x14ac:dyDescent="0.2">
      <c r="A128" s="19">
        <v>117</v>
      </c>
      <c r="B128" s="24"/>
      <c r="C128" s="116" t="str">
        <f>+'Necesidades Trimestrales'!E127</f>
        <v>POLIETILENGLICO 3350  SOBRES X 30 TIPO OSTILAX</v>
      </c>
      <c r="D128" s="117"/>
      <c r="E128" s="117"/>
      <c r="F128" s="117"/>
      <c r="G128" s="118"/>
      <c r="H128" s="25" t="s">
        <v>172</v>
      </c>
      <c r="I128" s="21" t="str">
        <f>+'Necesidades Trimestrales'!G127</f>
        <v>CAJA</v>
      </c>
      <c r="J128" s="22">
        <f>+'Necesidades Trimestrales'!I127</f>
        <v>6830.74</v>
      </c>
      <c r="K128" s="23">
        <f>+'Necesidades Trimestrales'!H127</f>
        <v>0</v>
      </c>
    </row>
    <row r="129" spans="1:11" ht="13.5" customHeight="1" x14ac:dyDescent="0.2">
      <c r="A129" s="19">
        <v>118</v>
      </c>
      <c r="B129" s="20"/>
      <c r="C129" s="116" t="str">
        <f>+'Necesidades Trimestrales'!E128</f>
        <v>POLIETILENGLICOL 3350 X 4 LITROS</v>
      </c>
      <c r="D129" s="117"/>
      <c r="E129" s="117"/>
      <c r="F129" s="117"/>
      <c r="G129" s="118"/>
      <c r="H129" s="25" t="s">
        <v>172</v>
      </c>
      <c r="I129" s="21" t="str">
        <f>+'Necesidades Trimestrales'!G128</f>
        <v>ENVASE</v>
      </c>
      <c r="J129" s="22">
        <f>+'Necesidades Trimestrales'!I128</f>
        <v>6502</v>
      </c>
      <c r="K129" s="23">
        <f>+'Necesidades Trimestrales'!H128</f>
        <v>0</v>
      </c>
    </row>
    <row r="130" spans="1:11" ht="13.5" customHeight="1" x14ac:dyDescent="0.2">
      <c r="A130" s="19">
        <v>119</v>
      </c>
      <c r="B130" s="24"/>
      <c r="C130" s="116" t="str">
        <f>+'Necesidades Trimestrales'!E129</f>
        <v>PROPOFOL 1% AMPOLLAS X 20 ML</v>
      </c>
      <c r="D130" s="117"/>
      <c r="E130" s="117"/>
      <c r="F130" s="117"/>
      <c r="G130" s="118"/>
      <c r="H130" s="25" t="s">
        <v>172</v>
      </c>
      <c r="I130" s="21" t="str">
        <f>+'Necesidades Trimestrales'!G129</f>
        <v>AMPOLLA</v>
      </c>
      <c r="J130" s="22">
        <f>+'Necesidades Trimestrales'!I129</f>
        <v>398</v>
      </c>
      <c r="K130" s="23">
        <f>+'Necesidades Trimestrales'!H129</f>
        <v>0</v>
      </c>
    </row>
    <row r="131" spans="1:11" ht="13.5" customHeight="1" x14ac:dyDescent="0.2">
      <c r="A131" s="19">
        <v>120</v>
      </c>
      <c r="B131" s="24"/>
      <c r="C131" s="116" t="str">
        <f>+'Necesidades Trimestrales'!E130</f>
        <v>PROPOFOL 1% FCO AMPOLLAS VIAL X 50 ML</v>
      </c>
      <c r="D131" s="117"/>
      <c r="E131" s="117"/>
      <c r="F131" s="117"/>
      <c r="G131" s="118"/>
      <c r="H131" s="25" t="s">
        <v>172</v>
      </c>
      <c r="I131" s="21" t="str">
        <f>+'Necesidades Trimestrales'!G130</f>
        <v>AMPOLLA</v>
      </c>
      <c r="J131" s="22">
        <f>+'Necesidades Trimestrales'!I130</f>
        <v>1050</v>
      </c>
      <c r="K131" s="23">
        <f>+'Necesidades Trimestrales'!H130</f>
        <v>0</v>
      </c>
    </row>
    <row r="132" spans="1:11" ht="13.5" customHeight="1" x14ac:dyDescent="0.2">
      <c r="A132" s="19">
        <v>121</v>
      </c>
      <c r="B132" s="24"/>
      <c r="C132" s="116" t="str">
        <f>+'Necesidades Trimestrales'!E132</f>
        <v>REMIFENTANILO 5 MG FCO AMPOLLA</v>
      </c>
      <c r="D132" s="117"/>
      <c r="E132" s="117"/>
      <c r="F132" s="117"/>
      <c r="G132" s="118"/>
      <c r="H132" s="25" t="s">
        <v>172</v>
      </c>
      <c r="I132" s="21" t="str">
        <f>+'Necesidades Trimestrales'!G132</f>
        <v>AMPOLLA</v>
      </c>
      <c r="J132" s="22">
        <f>+'Necesidades Trimestrales'!I132</f>
        <v>790</v>
      </c>
      <c r="K132" s="23">
        <f>+'Necesidades Trimestrales'!H132</f>
        <v>0</v>
      </c>
    </row>
    <row r="133" spans="1:11" ht="13.5" customHeight="1" x14ac:dyDescent="0.2">
      <c r="A133" s="19">
        <v>122</v>
      </c>
      <c r="B133" s="20"/>
      <c r="C133" s="116" t="str">
        <f>+'Necesidades Trimestrales'!E133</f>
        <v>RIFAMPICINA 20 MG/ML SUSPENSIÓN</v>
      </c>
      <c r="D133" s="117"/>
      <c r="E133" s="117"/>
      <c r="F133" s="117"/>
      <c r="G133" s="118"/>
      <c r="H133" s="25" t="s">
        <v>172</v>
      </c>
      <c r="I133" s="21" t="str">
        <f>+'Necesidades Trimestrales'!G133</f>
        <v>FRASCO</v>
      </c>
      <c r="J133" s="22">
        <f>+'Necesidades Trimestrales'!I133</f>
        <v>1602</v>
      </c>
      <c r="K133" s="23">
        <f>+'Necesidades Trimestrales'!H133</f>
        <v>0</v>
      </c>
    </row>
    <row r="134" spans="1:11" ht="13.5" customHeight="1" x14ac:dyDescent="0.2">
      <c r="A134" s="19">
        <v>123</v>
      </c>
      <c r="B134" s="24"/>
      <c r="C134" s="116" t="str">
        <f>+'Necesidades Trimestrales'!E134</f>
        <v xml:space="preserve">RIFAMPICINA 300 MG CAPSULAS </v>
      </c>
      <c r="D134" s="117"/>
      <c r="E134" s="117"/>
      <c r="F134" s="117"/>
      <c r="G134" s="118"/>
      <c r="H134" s="25" t="s">
        <v>172</v>
      </c>
      <c r="I134" s="21" t="str">
        <f>+'Necesidades Trimestrales'!G134</f>
        <v>CAPSULAS</v>
      </c>
      <c r="J134" s="22">
        <f>+'Necesidades Trimestrales'!I134</f>
        <v>45</v>
      </c>
      <c r="K134" s="23">
        <f>+'Necesidades Trimestrales'!H134</f>
        <v>0</v>
      </c>
    </row>
    <row r="135" spans="1:11" ht="13.5" customHeight="1" x14ac:dyDescent="0.2">
      <c r="A135" s="19">
        <v>124</v>
      </c>
      <c r="B135" s="24"/>
      <c r="C135" s="116" t="str">
        <f>+'Necesidades Trimestrales'!E135</f>
        <v>RIFAMPICINA 600 MG VIAL</v>
      </c>
      <c r="D135" s="117"/>
      <c r="E135" s="117"/>
      <c r="F135" s="117"/>
      <c r="G135" s="118"/>
      <c r="H135" s="25" t="s">
        <v>172</v>
      </c>
      <c r="I135" s="21" t="str">
        <f>+'Necesidades Trimestrales'!G135</f>
        <v>AMPOLLA</v>
      </c>
      <c r="J135" s="22">
        <f>+'Necesidades Trimestrales'!I135</f>
        <v>1510</v>
      </c>
      <c r="K135" s="23">
        <f>+'Necesidades Trimestrales'!H135</f>
        <v>0</v>
      </c>
    </row>
    <row r="136" spans="1:11" ht="13.5" customHeight="1" x14ac:dyDescent="0.2">
      <c r="A136" s="19">
        <v>125</v>
      </c>
      <c r="B136" s="24"/>
      <c r="C136" s="116" t="str">
        <f>+'Necesidades Trimestrales'!E136</f>
        <v>SEVOFLUORANO X 250 ML TIPO ABBOTT</v>
      </c>
      <c r="D136" s="117"/>
      <c r="E136" s="117"/>
      <c r="F136" s="117"/>
      <c r="G136" s="118"/>
      <c r="H136" s="25" t="s">
        <v>172</v>
      </c>
      <c r="I136" s="21" t="str">
        <f>+'Necesidades Trimestrales'!G136</f>
        <v>FRASCO</v>
      </c>
      <c r="J136" s="22">
        <f>+'Necesidades Trimestrales'!I136</f>
        <v>13840</v>
      </c>
      <c r="K136" s="23">
        <f>+'Necesidades Trimestrales'!H136</f>
        <v>0</v>
      </c>
    </row>
    <row r="137" spans="1:11" ht="13.5" customHeight="1" x14ac:dyDescent="0.2">
      <c r="A137" s="19">
        <v>126</v>
      </c>
      <c r="B137" s="20"/>
      <c r="C137" s="116" t="str">
        <f>+'Necesidades Trimestrales'!E137</f>
        <v>SUCCINILCOLINA 500 MG FCO AMP</v>
      </c>
      <c r="D137" s="117"/>
      <c r="E137" s="117"/>
      <c r="F137" s="117"/>
      <c r="G137" s="118"/>
      <c r="H137" s="25" t="s">
        <v>172</v>
      </c>
      <c r="I137" s="21" t="str">
        <f>+'Necesidades Trimestrales'!G137</f>
        <v>AMPOLLA</v>
      </c>
      <c r="J137" s="22">
        <f>+'Necesidades Trimestrales'!I137</f>
        <v>340</v>
      </c>
      <c r="K137" s="23">
        <f>+'Necesidades Trimestrales'!H137</f>
        <v>0</v>
      </c>
    </row>
    <row r="138" spans="1:11" ht="13.5" customHeight="1" x14ac:dyDescent="0.2">
      <c r="A138" s="19">
        <v>127</v>
      </c>
      <c r="B138" s="24"/>
      <c r="C138" s="116" t="str">
        <f>+'Necesidades Trimestrales'!E138</f>
        <v>TIGECICLINA 50MG FCO AMPOLLA</v>
      </c>
      <c r="D138" s="117"/>
      <c r="E138" s="117"/>
      <c r="F138" s="117"/>
      <c r="G138" s="118"/>
      <c r="H138" s="25" t="s">
        <v>172</v>
      </c>
      <c r="I138" s="21" t="str">
        <f>+'Necesidades Trimestrales'!G138</f>
        <v>AMPOLLA</v>
      </c>
      <c r="J138" s="22">
        <f>+'Necesidades Trimestrales'!I138</f>
        <v>1252</v>
      </c>
      <c r="K138" s="23">
        <f>+'Necesidades Trimestrales'!H138</f>
        <v>0</v>
      </c>
    </row>
    <row r="139" spans="1:11" ht="13.5" customHeight="1" x14ac:dyDescent="0.2">
      <c r="A139" s="19">
        <v>128</v>
      </c>
      <c r="B139" s="24"/>
      <c r="C139" s="116" t="str">
        <f>+'Necesidades Trimestrales'!E139</f>
        <v>TIOPENTAL SODICO 1GR FRASCO AMPOLLA</v>
      </c>
      <c r="D139" s="117"/>
      <c r="E139" s="117"/>
      <c r="F139" s="117"/>
      <c r="G139" s="118"/>
      <c r="H139" s="25" t="s">
        <v>172</v>
      </c>
      <c r="I139" s="21" t="str">
        <f>+'Necesidades Trimestrales'!G139</f>
        <v>AMPOLLA</v>
      </c>
      <c r="J139" s="22">
        <f>+'Necesidades Trimestrales'!I139</f>
        <v>1470</v>
      </c>
      <c r="K139" s="23">
        <f>+'Necesidades Trimestrales'!H139</f>
        <v>0</v>
      </c>
    </row>
    <row r="140" spans="1:11" ht="13.5" customHeight="1" x14ac:dyDescent="0.2">
      <c r="A140" s="19">
        <v>129</v>
      </c>
      <c r="B140" s="24"/>
      <c r="C140" s="116" t="str">
        <f>+'Necesidades Trimestrales'!E140</f>
        <v>TRAMADOL 50 MG AMPOLLA</v>
      </c>
      <c r="D140" s="117"/>
      <c r="E140" s="117"/>
      <c r="F140" s="117"/>
      <c r="G140" s="118"/>
      <c r="H140" s="25" t="s">
        <v>172</v>
      </c>
      <c r="I140" s="21" t="str">
        <f>+'Necesidades Trimestrales'!G140</f>
        <v>AMPOLLA</v>
      </c>
      <c r="J140" s="22">
        <f>+'Necesidades Trimestrales'!I140</f>
        <v>65</v>
      </c>
      <c r="K140" s="23">
        <f>+'Necesidades Trimestrales'!H140</f>
        <v>0</v>
      </c>
    </row>
    <row r="141" spans="1:11" ht="13.5" customHeight="1" x14ac:dyDescent="0.2">
      <c r="A141" s="19">
        <v>130</v>
      </c>
      <c r="B141" s="20"/>
      <c r="C141" s="116" t="str">
        <f>+'Necesidades Trimestrales'!E141</f>
        <v>VANCOMICINA 1000 MG FCO AMP</v>
      </c>
      <c r="D141" s="117"/>
      <c r="E141" s="117"/>
      <c r="F141" s="117"/>
      <c r="G141" s="118"/>
      <c r="H141" s="25" t="s">
        <v>172</v>
      </c>
      <c r="I141" s="21" t="str">
        <f>+'Necesidades Trimestrales'!G141</f>
        <v>AMPOLLA</v>
      </c>
      <c r="J141" s="22">
        <f>+'Necesidades Trimestrales'!I141</f>
        <v>335</v>
      </c>
      <c r="K141" s="23">
        <f>+'Necesidades Trimestrales'!H141</f>
        <v>0</v>
      </c>
    </row>
    <row r="142" spans="1:11" ht="13.5" customHeight="1" x14ac:dyDescent="0.2">
      <c r="A142" s="19">
        <v>131</v>
      </c>
      <c r="B142" s="24"/>
      <c r="C142" s="116" t="str">
        <f>+'Necesidades Trimestrales'!E142</f>
        <v>VANCOMICINA 500 MG FCO AMP</v>
      </c>
      <c r="D142" s="117"/>
      <c r="E142" s="117"/>
      <c r="F142" s="117"/>
      <c r="G142" s="118"/>
      <c r="H142" s="25" t="s">
        <v>172</v>
      </c>
      <c r="I142" s="21" t="str">
        <f>+'Necesidades Trimestrales'!G142</f>
        <v>AMPOLLA</v>
      </c>
      <c r="J142" s="22">
        <f>+'Necesidades Trimestrales'!I142</f>
        <v>188</v>
      </c>
      <c r="K142" s="23">
        <f>+'Necesidades Trimestrales'!H142</f>
        <v>0</v>
      </c>
    </row>
    <row r="143" spans="1:11" ht="13.5" customHeight="1" x14ac:dyDescent="0.2">
      <c r="A143" s="19">
        <v>132</v>
      </c>
      <c r="B143" s="24"/>
      <c r="C143" s="116" t="str">
        <f>+'Necesidades Trimestrales'!E143</f>
        <v>VECURONIO BROMURO 10 MG AMPOLLA</v>
      </c>
      <c r="D143" s="117"/>
      <c r="E143" s="117"/>
      <c r="F143" s="117"/>
      <c r="G143" s="118"/>
      <c r="H143" s="25" t="s">
        <v>172</v>
      </c>
      <c r="I143" s="21" t="str">
        <f>+'Necesidades Trimestrales'!G143</f>
        <v>AMPOLLA</v>
      </c>
      <c r="J143" s="22">
        <f>+'Necesidades Trimestrales'!I143</f>
        <v>864</v>
      </c>
      <c r="K143" s="23">
        <f>+'Necesidades Trimestrales'!H143</f>
        <v>0</v>
      </c>
    </row>
    <row r="144" spans="1:11" ht="12.75" customHeight="1" x14ac:dyDescent="0.2">
      <c r="A144" s="119" t="s">
        <v>173</v>
      </c>
      <c r="B144" s="120"/>
      <c r="C144" s="120"/>
      <c r="D144" s="120"/>
      <c r="E144" s="120"/>
      <c r="F144" s="120"/>
      <c r="G144" s="120"/>
      <c r="H144" s="120"/>
      <c r="I144" s="121"/>
      <c r="J144" s="122" t="e">
        <f>SUMPRODUCT(J12:J143,K12:K143)</f>
        <v>#REF!</v>
      </c>
      <c r="K144" s="121"/>
    </row>
  </sheetData>
  <mergeCells count="154">
    <mergeCell ref="C13:G13"/>
    <mergeCell ref="C14:G14"/>
    <mergeCell ref="C15:G15"/>
    <mergeCell ref="C16:G16"/>
    <mergeCell ref="C54:G54"/>
    <mergeCell ref="C55:G55"/>
    <mergeCell ref="C70:G70"/>
    <mergeCell ref="C61:G61"/>
    <mergeCell ref="C62:G62"/>
    <mergeCell ref="C63:G63"/>
    <mergeCell ref="C64:G64"/>
    <mergeCell ref="C65:G65"/>
    <mergeCell ref="C53:G53"/>
    <mergeCell ref="C34:G34"/>
    <mergeCell ref="C35:G35"/>
    <mergeCell ref="C51:G51"/>
    <mergeCell ref="C52:G52"/>
    <mergeCell ref="C42:G42"/>
    <mergeCell ref="C43:G43"/>
    <mergeCell ref="C24:G24"/>
    <mergeCell ref="C25:G25"/>
    <mergeCell ref="C37:G37"/>
    <mergeCell ref="C38:G38"/>
    <mergeCell ref="C39:G39"/>
    <mergeCell ref="C40:G40"/>
    <mergeCell ref="C41:G41"/>
    <mergeCell ref="C77:G77"/>
    <mergeCell ref="C60:G60"/>
    <mergeCell ref="C45:G45"/>
    <mergeCell ref="C36:G36"/>
    <mergeCell ref="C46:G46"/>
    <mergeCell ref="C47:G47"/>
    <mergeCell ref="C48:G48"/>
    <mergeCell ref="C49:G49"/>
    <mergeCell ref="C50:G50"/>
    <mergeCell ref="C56:G56"/>
    <mergeCell ref="C57:G57"/>
    <mergeCell ref="C71:G71"/>
    <mergeCell ref="C72:G72"/>
    <mergeCell ref="C66:G66"/>
    <mergeCell ref="C67:G67"/>
    <mergeCell ref="C68:G68"/>
    <mergeCell ref="C69:G69"/>
    <mergeCell ref="A1:I1"/>
    <mergeCell ref="D6:K6"/>
    <mergeCell ref="D7:K7"/>
    <mergeCell ref="D8:K8"/>
    <mergeCell ref="K10:K11"/>
    <mergeCell ref="C59:G59"/>
    <mergeCell ref="C58:G58"/>
    <mergeCell ref="C12:G12"/>
    <mergeCell ref="C23:G23"/>
    <mergeCell ref="C18:G18"/>
    <mergeCell ref="C19:G19"/>
    <mergeCell ref="C20:G20"/>
    <mergeCell ref="C21:G21"/>
    <mergeCell ref="C22:G22"/>
    <mergeCell ref="C17:G17"/>
    <mergeCell ref="C26:G26"/>
    <mergeCell ref="C27:G27"/>
    <mergeCell ref="C28:G28"/>
    <mergeCell ref="C29:G29"/>
    <mergeCell ref="C30:G30"/>
    <mergeCell ref="C31:G31"/>
    <mergeCell ref="C32:G32"/>
    <mergeCell ref="C33:G33"/>
    <mergeCell ref="C44:G44"/>
    <mergeCell ref="C82:G82"/>
    <mergeCell ref="C78:G78"/>
    <mergeCell ref="C79:G79"/>
    <mergeCell ref="C80:G80"/>
    <mergeCell ref="C81:G81"/>
    <mergeCell ref="C73:G73"/>
    <mergeCell ref="C74:G74"/>
    <mergeCell ref="C75:G75"/>
    <mergeCell ref="A3:C3"/>
    <mergeCell ref="D3:K3"/>
    <mergeCell ref="A4:C4"/>
    <mergeCell ref="D4:K4"/>
    <mergeCell ref="A5:C5"/>
    <mergeCell ref="D5:K5"/>
    <mergeCell ref="A7:C7"/>
    <mergeCell ref="A8:C8"/>
    <mergeCell ref="A6:C6"/>
    <mergeCell ref="A10:A11"/>
    <mergeCell ref="B10:B11"/>
    <mergeCell ref="C10:G11"/>
    <mergeCell ref="H10:H11"/>
    <mergeCell ref="I10:I11"/>
    <mergeCell ref="J10:J11"/>
    <mergeCell ref="C76:G76"/>
    <mergeCell ref="C92:G92"/>
    <mergeCell ref="C86:G86"/>
    <mergeCell ref="C87:G87"/>
    <mergeCell ref="C88:G88"/>
    <mergeCell ref="C89:G89"/>
    <mergeCell ref="C90:G90"/>
    <mergeCell ref="C91:G91"/>
    <mergeCell ref="C83:G83"/>
    <mergeCell ref="C84:G84"/>
    <mergeCell ref="C85:G85"/>
    <mergeCell ref="C102:G102"/>
    <mergeCell ref="C96:G96"/>
    <mergeCell ref="C97:G97"/>
    <mergeCell ref="C98:G98"/>
    <mergeCell ref="C99:G99"/>
    <mergeCell ref="C100:G100"/>
    <mergeCell ref="C101:G101"/>
    <mergeCell ref="C93:G93"/>
    <mergeCell ref="C94:G94"/>
    <mergeCell ref="C95:G95"/>
    <mergeCell ref="C106:G106"/>
    <mergeCell ref="C107:G107"/>
    <mergeCell ref="C108:G108"/>
    <mergeCell ref="C109:G109"/>
    <mergeCell ref="C110:G110"/>
    <mergeCell ref="C111:G111"/>
    <mergeCell ref="C103:G103"/>
    <mergeCell ref="C104:G104"/>
    <mergeCell ref="C105:G105"/>
    <mergeCell ref="C113:G113"/>
    <mergeCell ref="C114:G114"/>
    <mergeCell ref="C115:G115"/>
    <mergeCell ref="C112:G112"/>
    <mergeCell ref="C143:G143"/>
    <mergeCell ref="A144:I144"/>
    <mergeCell ref="J144:K144"/>
    <mergeCell ref="C138:G138"/>
    <mergeCell ref="C139:G139"/>
    <mergeCell ref="C140:G140"/>
    <mergeCell ref="C141:G141"/>
    <mergeCell ref="C142:G142"/>
    <mergeCell ref="C133:G133"/>
    <mergeCell ref="C132:G132"/>
    <mergeCell ref="C123:G123"/>
    <mergeCell ref="C124:G124"/>
    <mergeCell ref="C125:G125"/>
    <mergeCell ref="C122:G122"/>
    <mergeCell ref="C116:G116"/>
    <mergeCell ref="C117:G117"/>
    <mergeCell ref="C118:G118"/>
    <mergeCell ref="C119:G119"/>
    <mergeCell ref="C120:G120"/>
    <mergeCell ref="C121:G121"/>
    <mergeCell ref="C134:G134"/>
    <mergeCell ref="C135:G135"/>
    <mergeCell ref="C136:G136"/>
    <mergeCell ref="C137:G137"/>
    <mergeCell ref="C126:G126"/>
    <mergeCell ref="C127:G127"/>
    <mergeCell ref="C128:G128"/>
    <mergeCell ref="C129:G129"/>
    <mergeCell ref="C130:G130"/>
    <mergeCell ref="C131:G131"/>
  </mergeCells>
  <printOptions horizontalCentered="1"/>
  <pageMargins left="0.196527777777778" right="0.196527777777778" top="0.98402777777777795" bottom="0.98402777777777795" header="0" footer="0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"/>
  <sheetViews>
    <sheetView workbookViewId="0">
      <selection sqref="A1:C1"/>
    </sheetView>
  </sheetViews>
  <sheetFormatPr baseColWidth="10" defaultColWidth="12.5703125" defaultRowHeight="15" customHeight="1" x14ac:dyDescent="0.2"/>
  <cols>
    <col min="1" max="5" width="4.42578125" customWidth="1"/>
    <col min="6" max="6" width="5" customWidth="1"/>
    <col min="7" max="14" width="4.42578125" customWidth="1"/>
    <col min="15" max="16" width="14.85546875" customWidth="1"/>
    <col min="17" max="17" width="14.7109375" customWidth="1"/>
    <col min="18" max="18" width="11" customWidth="1"/>
  </cols>
  <sheetData>
    <row r="1" spans="1:18" ht="15.75" customHeight="1" x14ac:dyDescent="0.25">
      <c r="A1" s="174" t="s">
        <v>5</v>
      </c>
      <c r="B1" s="120"/>
      <c r="C1" s="120"/>
      <c r="D1" s="175">
        <f>'Necesidades Trimestrales'!C6</f>
        <v>2022</v>
      </c>
      <c r="E1" s="121"/>
      <c r="F1" s="26"/>
      <c r="G1" s="26"/>
      <c r="H1" s="27"/>
      <c r="I1" s="27"/>
      <c r="J1" s="27"/>
      <c r="K1" s="27"/>
      <c r="L1" s="27"/>
      <c r="M1" s="27"/>
      <c r="N1" s="27"/>
      <c r="P1" s="169" t="s">
        <v>174</v>
      </c>
      <c r="Q1" s="150"/>
    </row>
    <row r="2" spans="1:18" ht="15.75" customHeight="1" x14ac:dyDescent="0.2">
      <c r="G2" s="28"/>
      <c r="H2" s="27"/>
      <c r="I2" s="27"/>
      <c r="J2" s="27"/>
      <c r="K2" s="27"/>
      <c r="L2" s="27"/>
      <c r="M2" s="27"/>
      <c r="N2" s="27"/>
      <c r="P2" s="170"/>
      <c r="Q2" s="171"/>
    </row>
    <row r="3" spans="1:18" ht="12.75" customHeight="1" x14ac:dyDescent="0.2">
      <c r="G3" s="28"/>
    </row>
    <row r="4" spans="1:18" ht="18" customHeight="1" x14ac:dyDescent="0.2">
      <c r="A4" s="172" t="s">
        <v>175</v>
      </c>
      <c r="B4" s="124"/>
      <c r="C4" s="124"/>
      <c r="D4" s="124"/>
      <c r="E4" s="124"/>
      <c r="F4" s="152"/>
      <c r="G4" s="173" t="str">
        <f>' NotaPedido'!D3</f>
        <v>040 - Ministerio de Salud</v>
      </c>
      <c r="H4" s="124"/>
      <c r="I4" s="124"/>
      <c r="J4" s="124"/>
      <c r="K4" s="124"/>
      <c r="L4" s="124"/>
      <c r="M4" s="124"/>
      <c r="N4" s="124"/>
      <c r="O4" s="124"/>
      <c r="P4" s="124"/>
      <c r="Q4" s="152"/>
      <c r="R4" s="29"/>
    </row>
    <row r="5" spans="1:18" ht="18" customHeight="1" x14ac:dyDescent="0.2">
      <c r="A5" s="163" t="s">
        <v>157</v>
      </c>
      <c r="B5" s="124"/>
      <c r="C5" s="124"/>
      <c r="D5" s="124"/>
      <c r="E5" s="124"/>
      <c r="F5" s="152"/>
      <c r="G5" s="164" t="str">
        <f>' NotaPedido'!D4</f>
        <v>11/ 23/ 24  o  28- "…......."</v>
      </c>
      <c r="H5" s="124"/>
      <c r="I5" s="124"/>
      <c r="J5" s="124"/>
      <c r="K5" s="124"/>
      <c r="L5" s="124"/>
      <c r="M5" s="124"/>
      <c r="N5" s="124"/>
      <c r="O5" s="124"/>
      <c r="P5" s="124"/>
      <c r="Q5" s="152"/>
      <c r="R5" s="29"/>
    </row>
    <row r="6" spans="1:18" ht="18" customHeight="1" x14ac:dyDescent="0.2">
      <c r="A6" s="163" t="s">
        <v>158</v>
      </c>
      <c r="B6" s="124"/>
      <c r="C6" s="124"/>
      <c r="D6" s="124"/>
      <c r="E6" s="124"/>
      <c r="F6" s="152"/>
      <c r="G6" s="164" t="str">
        <f>' NotaPedido'!D5</f>
        <v>XXXX</v>
      </c>
      <c r="H6" s="124"/>
      <c r="I6" s="124"/>
      <c r="J6" s="124"/>
      <c r="K6" s="124"/>
      <c r="L6" s="124"/>
      <c r="M6" s="124"/>
      <c r="N6" s="124"/>
      <c r="O6" s="124"/>
      <c r="P6" s="124"/>
      <c r="Q6" s="152"/>
      <c r="R6" s="29"/>
    </row>
    <row r="7" spans="1:18" ht="18" customHeight="1" x14ac:dyDescent="0.2">
      <c r="A7" s="163" t="s">
        <v>160</v>
      </c>
      <c r="B7" s="124"/>
      <c r="C7" s="124"/>
      <c r="D7" s="124"/>
      <c r="E7" s="124"/>
      <c r="F7" s="152"/>
      <c r="G7" s="164" t="str">
        <f>' NotaPedido'!D6</f>
        <v>XXXX</v>
      </c>
      <c r="H7" s="124"/>
      <c r="I7" s="124"/>
      <c r="J7" s="124"/>
      <c r="K7" s="124"/>
      <c r="L7" s="124"/>
      <c r="M7" s="124"/>
      <c r="N7" s="124"/>
      <c r="O7" s="124"/>
      <c r="P7" s="124"/>
      <c r="Q7" s="152"/>
      <c r="R7" s="29"/>
    </row>
    <row r="8" spans="1:18" ht="18" customHeight="1" x14ac:dyDescent="0.2">
      <c r="A8" s="162" t="s">
        <v>176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52"/>
    </row>
    <row r="9" spans="1:18" ht="18" customHeight="1" x14ac:dyDescent="0.2">
      <c r="A9" s="165" t="s">
        <v>177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29"/>
      <c r="P9" s="29"/>
      <c r="Q9" s="30"/>
    </row>
    <row r="10" spans="1:18" ht="54.75" customHeight="1" x14ac:dyDescent="0.2">
      <c r="A10" s="167" t="str">
        <f>"Autorizo la realización de los  trámites correspondientes, a fin de proveer a  este Organismo los bienes y/o servicios que se detallan en Nota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xxx/2022,  afectando la erogación resultante a los créditos presupuestarios aprobados a favor de esta Unidad Ejecutora, conforme al siguiente detalle: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68"/>
    </row>
    <row r="11" spans="1:18" ht="9" customHeight="1" x14ac:dyDescent="0.2">
      <c r="A11" s="31"/>
      <c r="B11" s="32"/>
      <c r="C11" s="32"/>
      <c r="D11" s="32"/>
      <c r="E11" s="32"/>
      <c r="F11" s="32"/>
      <c r="G11" s="33"/>
      <c r="H11" s="32"/>
      <c r="I11" s="32"/>
      <c r="J11" s="32"/>
      <c r="K11" s="32"/>
      <c r="L11" s="32"/>
      <c r="M11" s="32"/>
      <c r="N11" s="32"/>
      <c r="O11" s="32"/>
      <c r="P11" s="32"/>
      <c r="Q11" s="34"/>
    </row>
    <row r="12" spans="1:18" ht="15.75" customHeight="1" x14ac:dyDescent="0.2">
      <c r="A12" s="148" t="s">
        <v>178</v>
      </c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50"/>
    </row>
    <row r="13" spans="1:18" ht="15.75" customHeight="1" x14ac:dyDescent="0.2">
      <c r="A13" s="151" t="s">
        <v>179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52"/>
      <c r="O13" s="154" t="s">
        <v>180</v>
      </c>
      <c r="P13" s="150"/>
      <c r="Q13" s="157" t="s">
        <v>181</v>
      </c>
    </row>
    <row r="14" spans="1:18" ht="15.75" customHeight="1" x14ac:dyDescent="0.2">
      <c r="A14" s="35" t="s">
        <v>182</v>
      </c>
      <c r="B14" s="36" t="s">
        <v>183</v>
      </c>
      <c r="C14" s="36" t="s">
        <v>184</v>
      </c>
      <c r="D14" s="36" t="s">
        <v>185</v>
      </c>
      <c r="E14" s="36" t="s">
        <v>186</v>
      </c>
      <c r="F14" s="36" t="s">
        <v>187</v>
      </c>
      <c r="G14" s="37" t="s">
        <v>188</v>
      </c>
      <c r="H14" s="36" t="s">
        <v>189</v>
      </c>
      <c r="I14" s="36" t="s">
        <v>190</v>
      </c>
      <c r="J14" s="36" t="s">
        <v>191</v>
      </c>
      <c r="K14" s="36" t="s">
        <v>191</v>
      </c>
      <c r="L14" s="36" t="s">
        <v>192</v>
      </c>
      <c r="M14" s="38" t="s">
        <v>193</v>
      </c>
      <c r="N14" s="39" t="s">
        <v>194</v>
      </c>
      <c r="O14" s="155"/>
      <c r="P14" s="156"/>
      <c r="Q14" s="156"/>
    </row>
    <row r="15" spans="1:18" ht="17.25" customHeight="1" x14ac:dyDescent="0.2">
      <c r="A15" s="40"/>
      <c r="B15" s="41"/>
      <c r="C15" s="41"/>
      <c r="D15" s="42"/>
      <c r="E15" s="41"/>
      <c r="F15" s="41">
        <v>4901</v>
      </c>
      <c r="G15" s="41">
        <v>3</v>
      </c>
      <c r="H15" s="41">
        <v>310</v>
      </c>
      <c r="I15" s="42">
        <v>2</v>
      </c>
      <c r="J15" s="42">
        <v>5</v>
      </c>
      <c r="K15" s="42">
        <v>2</v>
      </c>
      <c r="L15" s="41"/>
      <c r="M15" s="43">
        <v>1</v>
      </c>
      <c r="N15" s="41" t="s">
        <v>195</v>
      </c>
      <c r="O15" s="158"/>
      <c r="P15" s="159"/>
      <c r="Q15" s="44"/>
    </row>
    <row r="16" spans="1:18" ht="17.25" customHeight="1" x14ac:dyDescent="0.2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7"/>
      <c r="N16" s="48"/>
      <c r="O16" s="160"/>
      <c r="P16" s="161"/>
      <c r="Q16" s="49"/>
    </row>
    <row r="17" spans="1:18" ht="17.25" customHeight="1" x14ac:dyDescent="0.2">
      <c r="A17" s="45"/>
      <c r="B17" s="46"/>
      <c r="C17" s="46"/>
      <c r="D17" s="46"/>
      <c r="E17" s="46"/>
      <c r="F17" s="48"/>
      <c r="G17" s="46"/>
      <c r="H17" s="46"/>
      <c r="I17" s="46"/>
      <c r="J17" s="46"/>
      <c r="K17" s="46"/>
      <c r="L17" s="46"/>
      <c r="M17" s="47"/>
      <c r="N17" s="48"/>
      <c r="O17" s="160"/>
      <c r="P17" s="161"/>
      <c r="Q17" s="49"/>
    </row>
    <row r="18" spans="1:18" ht="17.25" customHeight="1" x14ac:dyDescent="0.2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7"/>
      <c r="N18" s="48"/>
      <c r="O18" s="160"/>
      <c r="P18" s="161"/>
      <c r="Q18" s="49"/>
    </row>
    <row r="19" spans="1:18" ht="17.25" customHeight="1" x14ac:dyDescent="0.2">
      <c r="A19" s="45"/>
      <c r="B19" s="46"/>
      <c r="C19" s="46"/>
      <c r="D19" s="46"/>
      <c r="E19" s="46"/>
      <c r="F19" s="48"/>
      <c r="G19" s="46"/>
      <c r="H19" s="46"/>
      <c r="I19" s="46"/>
      <c r="J19" s="46"/>
      <c r="K19" s="46"/>
      <c r="L19" s="46"/>
      <c r="M19" s="47"/>
      <c r="N19" s="48"/>
      <c r="O19" s="160"/>
      <c r="P19" s="161"/>
      <c r="Q19" s="49"/>
    </row>
    <row r="20" spans="1:18" ht="17.25" customHeight="1" x14ac:dyDescent="0.2">
      <c r="A20" s="45"/>
      <c r="B20" s="46"/>
      <c r="C20" s="46"/>
      <c r="D20" s="46"/>
      <c r="E20" s="46"/>
      <c r="F20" s="48"/>
      <c r="G20" s="46"/>
      <c r="H20" s="46"/>
      <c r="I20" s="46"/>
      <c r="J20" s="46"/>
      <c r="K20" s="46"/>
      <c r="L20" s="46"/>
      <c r="M20" s="47"/>
      <c r="N20" s="48"/>
      <c r="O20" s="160"/>
      <c r="P20" s="161"/>
      <c r="Q20" s="49"/>
    </row>
    <row r="21" spans="1:18" ht="17.25" customHeight="1" x14ac:dyDescent="0.2">
      <c r="A21" s="50"/>
      <c r="B21" s="51"/>
      <c r="C21" s="51"/>
      <c r="D21" s="51"/>
      <c r="E21" s="51"/>
      <c r="F21" s="48"/>
      <c r="G21" s="51"/>
      <c r="H21" s="51"/>
      <c r="I21" s="51"/>
      <c r="J21" s="51"/>
      <c r="K21" s="51"/>
      <c r="L21" s="51"/>
      <c r="M21" s="52"/>
      <c r="N21" s="53"/>
      <c r="O21" s="160"/>
      <c r="P21" s="161"/>
      <c r="Q21" s="49"/>
      <c r="R21" s="29"/>
    </row>
    <row r="22" spans="1:18" ht="17.25" customHeight="1" x14ac:dyDescent="0.2">
      <c r="A22" s="54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6"/>
      <c r="N22" s="55"/>
      <c r="O22" s="183"/>
      <c r="P22" s="184"/>
      <c r="Q22" s="57"/>
    </row>
    <row r="23" spans="1:18" ht="29.25" customHeight="1" x14ac:dyDescent="0.2">
      <c r="A23" s="179" t="s">
        <v>196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1"/>
      <c r="Q23" s="58">
        <f>SUM(Q15:Q22)</f>
        <v>0</v>
      </c>
    </row>
    <row r="24" spans="1:18" ht="18" customHeight="1" x14ac:dyDescent="0.2">
      <c r="A24" s="182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50"/>
    </row>
    <row r="25" spans="1:18" ht="17.25" customHeight="1" x14ac:dyDescent="0.2">
      <c r="A25" s="185" t="s">
        <v>197</v>
      </c>
      <c r="B25" s="120"/>
      <c r="C25" s="120"/>
      <c r="D25" s="120"/>
      <c r="E25" s="120"/>
      <c r="F25" s="121"/>
      <c r="G25" s="153"/>
      <c r="H25" s="149"/>
      <c r="I25" s="149"/>
      <c r="J25" s="149"/>
      <c r="K25" s="149"/>
      <c r="L25" s="149"/>
      <c r="M25" s="149"/>
      <c r="N25" s="149"/>
      <c r="O25" s="149"/>
      <c r="P25" s="149"/>
      <c r="Q25" s="150"/>
    </row>
    <row r="26" spans="1:18" ht="18" customHeight="1" x14ac:dyDescent="0.2">
      <c r="A26" s="176" t="s">
        <v>198</v>
      </c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77"/>
    </row>
    <row r="27" spans="1:18" ht="15" customHeight="1" x14ac:dyDescent="0.2">
      <c r="A27" s="170"/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1"/>
    </row>
    <row r="28" spans="1:18" ht="12.75" customHeight="1" x14ac:dyDescent="0.2">
      <c r="G28" s="28"/>
    </row>
    <row r="29" spans="1:18" ht="12.75" customHeight="1" x14ac:dyDescent="0.2">
      <c r="G29" s="28"/>
    </row>
    <row r="30" spans="1:18" ht="12.75" customHeight="1" x14ac:dyDescent="0.2">
      <c r="G30" s="28"/>
    </row>
    <row r="31" spans="1:18" ht="12.75" customHeight="1" x14ac:dyDescent="0.2">
      <c r="G31" s="28"/>
    </row>
    <row r="32" spans="1:18" ht="12.75" customHeight="1" x14ac:dyDescent="0.2">
      <c r="G32" s="28"/>
    </row>
    <row r="33" spans="7:7" ht="12.75" customHeight="1" x14ac:dyDescent="0.2">
      <c r="G33" s="28"/>
    </row>
    <row r="34" spans="7:7" ht="12.75" customHeight="1" x14ac:dyDescent="0.2">
      <c r="G34" s="28"/>
    </row>
    <row r="35" spans="7:7" ht="12.75" customHeight="1" x14ac:dyDescent="0.2">
      <c r="G35" s="28"/>
    </row>
    <row r="36" spans="7:7" ht="12.75" customHeight="1" x14ac:dyDescent="0.2">
      <c r="G36" s="28"/>
    </row>
    <row r="37" spans="7:7" ht="12.75" customHeight="1" x14ac:dyDescent="0.2">
      <c r="G37" s="28"/>
    </row>
    <row r="38" spans="7:7" ht="12.75" customHeight="1" x14ac:dyDescent="0.2">
      <c r="G38" s="28"/>
    </row>
    <row r="39" spans="7:7" ht="12.75" customHeight="1" x14ac:dyDescent="0.2">
      <c r="G39" s="28"/>
    </row>
    <row r="40" spans="7:7" ht="12.75" customHeight="1" x14ac:dyDescent="0.2">
      <c r="G40" s="28"/>
    </row>
    <row r="41" spans="7:7" ht="12.75" customHeight="1" x14ac:dyDescent="0.2">
      <c r="G41" s="28"/>
    </row>
    <row r="42" spans="7:7" ht="12.75" customHeight="1" x14ac:dyDescent="0.2">
      <c r="G42" s="28"/>
    </row>
    <row r="43" spans="7:7" ht="12.75" customHeight="1" x14ac:dyDescent="0.2">
      <c r="G43" s="28"/>
    </row>
    <row r="44" spans="7:7" ht="12.75" customHeight="1" x14ac:dyDescent="0.2">
      <c r="G44" s="28"/>
    </row>
    <row r="45" spans="7:7" ht="12.75" customHeight="1" x14ac:dyDescent="0.2">
      <c r="G45" s="28"/>
    </row>
    <row r="46" spans="7:7" ht="12.75" customHeight="1" x14ac:dyDescent="0.2">
      <c r="G46" s="28"/>
    </row>
    <row r="47" spans="7:7" ht="12.75" customHeight="1" x14ac:dyDescent="0.2">
      <c r="G47" s="28"/>
    </row>
    <row r="48" spans="7:7" ht="12.75" customHeight="1" x14ac:dyDescent="0.2">
      <c r="G48" s="28"/>
    </row>
    <row r="49" spans="7:7" ht="12.75" customHeight="1" x14ac:dyDescent="0.2">
      <c r="G49" s="28"/>
    </row>
    <row r="50" spans="7:7" ht="12.75" customHeight="1" x14ac:dyDescent="0.2">
      <c r="G50" s="28"/>
    </row>
    <row r="51" spans="7:7" ht="12.75" customHeight="1" x14ac:dyDescent="0.2">
      <c r="G51" s="28"/>
    </row>
    <row r="52" spans="7:7" ht="12.75" customHeight="1" x14ac:dyDescent="0.2">
      <c r="G52" s="28"/>
    </row>
    <row r="53" spans="7:7" ht="12.75" customHeight="1" x14ac:dyDescent="0.2">
      <c r="G53" s="28"/>
    </row>
    <row r="54" spans="7:7" ht="12.75" customHeight="1" x14ac:dyDescent="0.2">
      <c r="G54" s="28"/>
    </row>
    <row r="55" spans="7:7" ht="12.75" customHeight="1" x14ac:dyDescent="0.2">
      <c r="G55" s="28"/>
    </row>
    <row r="56" spans="7:7" ht="12.75" customHeight="1" x14ac:dyDescent="0.2">
      <c r="G56" s="28"/>
    </row>
    <row r="57" spans="7:7" ht="12.75" customHeight="1" x14ac:dyDescent="0.2">
      <c r="G57" s="28"/>
    </row>
    <row r="58" spans="7:7" ht="12.75" customHeight="1" x14ac:dyDescent="0.2">
      <c r="G58" s="28"/>
    </row>
    <row r="59" spans="7:7" ht="12.75" customHeight="1" x14ac:dyDescent="0.2">
      <c r="G59" s="28"/>
    </row>
    <row r="60" spans="7:7" ht="12.75" customHeight="1" x14ac:dyDescent="0.2">
      <c r="G60" s="28"/>
    </row>
    <row r="61" spans="7:7" ht="12.75" customHeight="1" x14ac:dyDescent="0.2">
      <c r="G61" s="28"/>
    </row>
    <row r="62" spans="7:7" ht="12.75" customHeight="1" x14ac:dyDescent="0.2">
      <c r="G62" s="28"/>
    </row>
    <row r="63" spans="7:7" ht="12.75" customHeight="1" x14ac:dyDescent="0.2">
      <c r="G63" s="28"/>
    </row>
    <row r="64" spans="7:7" ht="12.75" customHeight="1" x14ac:dyDescent="0.2">
      <c r="G64" s="28"/>
    </row>
    <row r="65" spans="7:7" ht="12.75" customHeight="1" x14ac:dyDescent="0.2">
      <c r="G65" s="28"/>
    </row>
    <row r="66" spans="7:7" ht="12.75" customHeight="1" x14ac:dyDescent="0.2">
      <c r="G66" s="28"/>
    </row>
    <row r="67" spans="7:7" ht="12.75" customHeight="1" x14ac:dyDescent="0.2">
      <c r="G67" s="28"/>
    </row>
    <row r="68" spans="7:7" ht="12.75" customHeight="1" x14ac:dyDescent="0.2">
      <c r="G68" s="28"/>
    </row>
    <row r="69" spans="7:7" ht="12.75" customHeight="1" x14ac:dyDescent="0.2">
      <c r="G69" s="28"/>
    </row>
    <row r="70" spans="7:7" ht="12.75" customHeight="1" x14ac:dyDescent="0.2">
      <c r="G70" s="28"/>
    </row>
    <row r="71" spans="7:7" ht="12.75" customHeight="1" x14ac:dyDescent="0.2">
      <c r="G71" s="28"/>
    </row>
    <row r="72" spans="7:7" ht="12.75" customHeight="1" x14ac:dyDescent="0.2">
      <c r="G72" s="28"/>
    </row>
    <row r="73" spans="7:7" ht="12.75" customHeight="1" x14ac:dyDescent="0.2">
      <c r="G73" s="28"/>
    </row>
    <row r="74" spans="7:7" ht="12.75" customHeight="1" x14ac:dyDescent="0.2">
      <c r="G74" s="28"/>
    </row>
    <row r="75" spans="7:7" ht="12.75" customHeight="1" x14ac:dyDescent="0.2">
      <c r="G75" s="28"/>
    </row>
    <row r="76" spans="7:7" ht="12.75" customHeight="1" x14ac:dyDescent="0.2">
      <c r="G76" s="28"/>
    </row>
    <row r="77" spans="7:7" ht="12.75" customHeight="1" x14ac:dyDescent="0.2">
      <c r="G77" s="28"/>
    </row>
    <row r="78" spans="7:7" ht="12.75" customHeight="1" x14ac:dyDescent="0.2">
      <c r="G78" s="28"/>
    </row>
    <row r="79" spans="7:7" ht="12.75" customHeight="1" x14ac:dyDescent="0.2">
      <c r="G79" s="28"/>
    </row>
    <row r="80" spans="7:7" ht="12.75" customHeight="1" x14ac:dyDescent="0.2">
      <c r="G80" s="28"/>
    </row>
    <row r="81" spans="7:7" ht="12.75" customHeight="1" x14ac:dyDescent="0.2">
      <c r="G81" s="28"/>
    </row>
    <row r="82" spans="7:7" ht="12.75" customHeight="1" x14ac:dyDescent="0.2">
      <c r="G82" s="28"/>
    </row>
    <row r="83" spans="7:7" ht="12.75" customHeight="1" x14ac:dyDescent="0.2">
      <c r="G83" s="28"/>
    </row>
    <row r="84" spans="7:7" ht="12.75" customHeight="1" x14ac:dyDescent="0.2">
      <c r="G84" s="28"/>
    </row>
    <row r="85" spans="7:7" ht="12.75" customHeight="1" x14ac:dyDescent="0.2">
      <c r="G85" s="28"/>
    </row>
    <row r="86" spans="7:7" ht="12.75" customHeight="1" x14ac:dyDescent="0.2">
      <c r="G86" s="28"/>
    </row>
    <row r="87" spans="7:7" ht="12.75" customHeight="1" x14ac:dyDescent="0.2">
      <c r="G87" s="28"/>
    </row>
    <row r="88" spans="7:7" ht="12.75" customHeight="1" x14ac:dyDescent="0.2">
      <c r="G88" s="28"/>
    </row>
    <row r="89" spans="7:7" ht="12.75" customHeight="1" x14ac:dyDescent="0.2">
      <c r="G89" s="28"/>
    </row>
    <row r="90" spans="7:7" ht="12.75" customHeight="1" x14ac:dyDescent="0.2">
      <c r="G90" s="28"/>
    </row>
    <row r="91" spans="7:7" ht="12.75" customHeight="1" x14ac:dyDescent="0.2">
      <c r="G91" s="28"/>
    </row>
    <row r="92" spans="7:7" ht="12.75" customHeight="1" x14ac:dyDescent="0.2">
      <c r="G92" s="28"/>
    </row>
    <row r="93" spans="7:7" ht="12.75" customHeight="1" x14ac:dyDescent="0.2">
      <c r="G93" s="28"/>
    </row>
    <row r="94" spans="7:7" ht="12.75" customHeight="1" x14ac:dyDescent="0.2">
      <c r="G94" s="28"/>
    </row>
    <row r="95" spans="7:7" ht="12.75" customHeight="1" x14ac:dyDescent="0.2">
      <c r="G95" s="28"/>
    </row>
    <row r="96" spans="7:7" ht="12.75" customHeight="1" x14ac:dyDescent="0.2">
      <c r="G96" s="28"/>
    </row>
    <row r="97" spans="7:7" ht="12.75" customHeight="1" x14ac:dyDescent="0.2">
      <c r="G97" s="28"/>
    </row>
    <row r="98" spans="7:7" ht="12.75" customHeight="1" x14ac:dyDescent="0.2">
      <c r="G98" s="28"/>
    </row>
    <row r="99" spans="7:7" ht="12.75" customHeight="1" x14ac:dyDescent="0.2">
      <c r="G99" s="28"/>
    </row>
    <row r="100" spans="7:7" ht="12.75" customHeight="1" x14ac:dyDescent="0.2">
      <c r="G100" s="28"/>
    </row>
  </sheetData>
  <mergeCells count="31">
    <mergeCell ref="A26:Q27"/>
    <mergeCell ref="A23:P23"/>
    <mergeCell ref="A24:Q24"/>
    <mergeCell ref="O20:P20"/>
    <mergeCell ref="O21:P21"/>
    <mergeCell ref="O22:P22"/>
    <mergeCell ref="A25:F25"/>
    <mergeCell ref="P1:Q2"/>
    <mergeCell ref="A4:F4"/>
    <mergeCell ref="G4:Q4"/>
    <mergeCell ref="G5:Q5"/>
    <mergeCell ref="G6:Q6"/>
    <mergeCell ref="A5:F5"/>
    <mergeCell ref="A6:F6"/>
    <mergeCell ref="A1:C1"/>
    <mergeCell ref="D1:E1"/>
    <mergeCell ref="A8:Q8"/>
    <mergeCell ref="A7:F7"/>
    <mergeCell ref="G7:Q7"/>
    <mergeCell ref="A9:N9"/>
    <mergeCell ref="A10:Q10"/>
    <mergeCell ref="A12:Q12"/>
    <mergeCell ref="A13:N13"/>
    <mergeCell ref="G25:Q25"/>
    <mergeCell ref="O13:P14"/>
    <mergeCell ref="Q13:Q14"/>
    <mergeCell ref="O15:P15"/>
    <mergeCell ref="O16:P16"/>
    <mergeCell ref="O17:P17"/>
    <mergeCell ref="O18:P18"/>
    <mergeCell ref="O19:P19"/>
  </mergeCells>
  <printOptions horizontalCentered="1"/>
  <pageMargins left="0.39374999999999999" right="0.39374999999999999" top="0.98402777777777795" bottom="0.98402777777777795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Necesidades Trimestrales</vt:lpstr>
      <vt:lpstr> NotaPedido</vt:lpstr>
      <vt:lpstr>Autor Gastar</vt:lpstr>
      <vt:lpstr>'Necesidades Trimestrales'!Títulos_a_imprimir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cp:revision>2</cp:revision>
  <cp:lastPrinted>2022-08-12T15:49:17Z</cp:lastPrinted>
  <dcterms:created xsi:type="dcterms:W3CDTF">2020-07-17T23:44:49Z</dcterms:created>
  <dcterms:modified xsi:type="dcterms:W3CDTF">2022-08-12T16:28:07Z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