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IAS QUINTAR\Downloads\"/>
    </mc:Choice>
  </mc:AlternateContent>
  <xr:revisionPtr revIDLastSave="0" documentId="8_{BFEB50F8-BA41-4169-8492-E9879D9F3C33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  <sheet name="ANEXO I" sheetId="4" r:id="rId2"/>
    <sheet name=" NotaPedido" sheetId="2" r:id="rId3"/>
    <sheet name="Autor Gastar" sheetId="3" r:id="rId4"/>
  </sheets>
  <definedNames>
    <definedName name="_xlnm.Print_Area" localSheetId="2">' NotaPedido'!$A$1:$K$18</definedName>
    <definedName name="_xlnm.Print_Area" localSheetId="3">'Autor Gastar'!$A$1:$Q$24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2" l="1"/>
  <c r="D60" i="4"/>
  <c r="C60" i="4"/>
  <c r="E59" i="4"/>
  <c r="F59" i="4" s="1"/>
  <c r="E58" i="4"/>
  <c r="F58" i="4" s="1"/>
  <c r="E57" i="4"/>
  <c r="F57" i="4" s="1"/>
  <c r="E56" i="4"/>
  <c r="F56" i="4" s="1"/>
  <c r="E55" i="4"/>
  <c r="F55" i="4" s="1"/>
  <c r="E54" i="4"/>
  <c r="F54" i="4" s="1"/>
  <c r="E53" i="4"/>
  <c r="F53" i="4" s="1"/>
  <c r="E52" i="4"/>
  <c r="F52" i="4" s="1"/>
  <c r="E51" i="4"/>
  <c r="F51" i="4" s="1"/>
  <c r="E50" i="4"/>
  <c r="F50" i="4" s="1"/>
  <c r="E49" i="4"/>
  <c r="F49" i="4" s="1"/>
  <c r="E48" i="4"/>
  <c r="F48" i="4" s="1"/>
  <c r="E47" i="4"/>
  <c r="F47" i="4" s="1"/>
  <c r="E46" i="4"/>
  <c r="F46" i="4" s="1"/>
  <c r="E45" i="4"/>
  <c r="F45" i="4" s="1"/>
  <c r="E44" i="4"/>
  <c r="F44" i="4" s="1"/>
  <c r="E43" i="4"/>
  <c r="F43" i="4" s="1"/>
  <c r="E42" i="4"/>
  <c r="F42" i="4" s="1"/>
  <c r="E41" i="4"/>
  <c r="F41" i="4" s="1"/>
  <c r="E40" i="4"/>
  <c r="F40" i="4" s="1"/>
  <c r="E39" i="4"/>
  <c r="F39" i="4" s="1"/>
  <c r="E38" i="4"/>
  <c r="F38" i="4" s="1"/>
  <c r="E37" i="4"/>
  <c r="F37" i="4" s="1"/>
  <c r="E36" i="4"/>
  <c r="F36" i="4" s="1"/>
  <c r="E35" i="4"/>
  <c r="F35" i="4" s="1"/>
  <c r="E34" i="4"/>
  <c r="F34" i="4" s="1"/>
  <c r="E33" i="4"/>
  <c r="F33" i="4" s="1"/>
  <c r="E32" i="4"/>
  <c r="F32" i="4" s="1"/>
  <c r="E31" i="4"/>
  <c r="F31" i="4" s="1"/>
  <c r="E30" i="4"/>
  <c r="F30" i="4" s="1"/>
  <c r="E29" i="4"/>
  <c r="F29" i="4" s="1"/>
  <c r="E28" i="4"/>
  <c r="F28" i="4" s="1"/>
  <c r="E27" i="4"/>
  <c r="F27" i="4" s="1"/>
  <c r="E26" i="4"/>
  <c r="F26" i="4" s="1"/>
  <c r="E25" i="4"/>
  <c r="F25" i="4" s="1"/>
  <c r="E24" i="4"/>
  <c r="F24" i="4" s="1"/>
  <c r="E23" i="4"/>
  <c r="F23" i="4" s="1"/>
  <c r="E22" i="4"/>
  <c r="F22" i="4" s="1"/>
  <c r="E21" i="4"/>
  <c r="F21" i="4" s="1"/>
  <c r="E20" i="4"/>
  <c r="F20" i="4" s="1"/>
  <c r="E19" i="4"/>
  <c r="F19" i="4" s="1"/>
  <c r="E18" i="4"/>
  <c r="F18" i="4" s="1"/>
  <c r="E17" i="4"/>
  <c r="F17" i="4" s="1"/>
  <c r="E16" i="4"/>
  <c r="F16" i="4" s="1"/>
  <c r="E15" i="4"/>
  <c r="F15" i="4" s="1"/>
  <c r="E14" i="4"/>
  <c r="F14" i="4" s="1"/>
  <c r="E13" i="4"/>
  <c r="F13" i="4" s="1"/>
  <c r="E12" i="4"/>
  <c r="F12" i="4" s="1"/>
  <c r="E11" i="4"/>
  <c r="F11" i="4" s="1"/>
  <c r="E10" i="4"/>
  <c r="F10" i="4" s="1"/>
  <c r="E9" i="4"/>
  <c r="F9" i="4" s="1"/>
  <c r="E8" i="4"/>
  <c r="F8" i="4" s="1"/>
  <c r="E7" i="4"/>
  <c r="F7" i="4" s="1"/>
  <c r="E6" i="4"/>
  <c r="F6" i="4" s="1"/>
  <c r="E5" i="4"/>
  <c r="F5" i="4" s="1"/>
  <c r="F60" i="4" l="1"/>
  <c r="E60" i="4"/>
  <c r="K12" i="2" l="1"/>
  <c r="J18" i="2" s="1"/>
  <c r="I10" i="1" l="1"/>
  <c r="Q20" i="3" l="1"/>
  <c r="D3" i="2" l="1"/>
  <c r="G4" i="3" s="1"/>
  <c r="D4" i="2"/>
  <c r="G5" i="3" s="1"/>
  <c r="A10" i="3" l="1"/>
  <c r="D1" i="3"/>
  <c r="I12" i="2"/>
  <c r="C12" i="2"/>
  <c r="B12" i="2"/>
  <c r="I15" i="3"/>
</calcChain>
</file>

<file path=xl/sharedStrings.xml><?xml version="1.0" encoding="utf-8"?>
<sst xmlns="http://schemas.openxmlformats.org/spreadsheetml/2006/main" count="204" uniqueCount="164">
  <si>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</si>
  <si>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</si>
  <si>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</si>
  <si>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</si>
  <si>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</si>
  <si>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</si>
  <si>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</si>
  <si>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</si>
  <si>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</si>
  <si>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</si>
  <si>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</si>
  <si>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</si>
  <si>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</si>
  <si>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</si>
  <si>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Especificidades Item N° 1:</t>
  </si>
  <si>
    <t>Descripción técnica</t>
  </si>
  <si>
    <t>Plazos y lugares de entrega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</si>
  <si>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</si>
  <si>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</si>
  <si>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</si>
  <si>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</si>
  <si>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</si>
  <si>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</si>
  <si>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</si>
  <si>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</si>
  <si>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</si>
  <si>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</si>
  <si>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</si>
  <si>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</si>
  <si>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</si>
  <si>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</si>
  <si>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</si>
  <si>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</si>
  <si>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</si>
  <si>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</si>
  <si>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</si>
  <si>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</si>
  <si>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</si>
  <si>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</si>
  <si>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</si>
  <si>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</si>
  <si>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</si>
  <si>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</si>
  <si>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</si>
  <si>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</si>
  <si>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</si>
  <si>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</si>
  <si>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</si>
  <si>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</si>
  <si>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</si>
  <si>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</si>
  <si>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</si>
  <si>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</si>
  <si>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</si>
  <si>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</si>
  <si>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</si>
  <si>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</si>
  <si>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45- Ministerio de Desarrollo Social y Deporte</t>
  </si>
  <si>
    <t>25- Direccion Provincial de Gestion Administrativa y RRHH</t>
  </si>
  <si>
    <t>2.1.1-478.65</t>
  </si>
  <si>
    <t>ALIMENTOS</t>
  </si>
  <si>
    <t>AGUA MINERAL; TIPO: SIN GAS BAJA EN SODIO, PRESENTACION: ENVASE X 20 L, MATERIAL ENVASE: PLASTICO 1-PET, TIPO ENVASE: RETORNABLE, ELEM. TRANSPORTE: SIN, MATERIAL ELEM. TRANSPORTE: SIN</t>
  </si>
  <si>
    <t>2.1.1</t>
  </si>
  <si>
    <t>UNIDADES</t>
  </si>
  <si>
    <t>SI</t>
  </si>
  <si>
    <t>01- Ministerio de Desarrollo Social y Deportes</t>
  </si>
  <si>
    <t>01- Actividad Central</t>
  </si>
  <si>
    <t>01- Ministerio de Desarrollo Social y Deporte</t>
  </si>
  <si>
    <t>Adquisición de Bidones de 20Lts de Agua Mineral que seran destinadas a las distintas dependencias del Ministerio de Desarrollo Social y Deporte.</t>
  </si>
  <si>
    <t>Alimentos para Personas</t>
  </si>
  <si>
    <r>
      <rPr>
        <u/>
        <sz val="10"/>
        <rFont val="Times New Roman"/>
        <family val="1"/>
      </rPr>
      <t xml:space="preserve">Plazo de Entrega: </t>
    </r>
    <r>
      <rPr>
        <sz val="10"/>
        <rFont val="Times New Roman"/>
        <family val="1"/>
      </rPr>
      <t>Semanal y pago Mensual.-</t>
    </r>
  </si>
  <si>
    <t>Alta</t>
  </si>
  <si>
    <t>Plazo de Mantinimiento 60 dias</t>
  </si>
  <si>
    <t>Costo total estimado: TRES MILLONES CUATROCIENTOS NOVENTA Y NUEVE MIL  NOVECIENTROS NOVENTA Y UNO CON 04/100.-</t>
  </si>
  <si>
    <t>TOTAL DE PESOS: TRES MILLONES CUATROCIENTOS NOVENTA Y NUEVE MIL  NOVECIENTROS NOVENTA Y UNO CON 04/100.-</t>
  </si>
  <si>
    <t>ANEXO I (LUGAR Y ENTREGA)</t>
  </si>
  <si>
    <t>DEPENDENCIA</t>
  </si>
  <si>
    <t>DOMICILIO</t>
  </si>
  <si>
    <t>ENTREGA SEMANAL</t>
  </si>
  <si>
    <t xml:space="preserve"> ENTREGA MENSUAL </t>
  </si>
  <si>
    <t>ENTREGA TRIMESTRAL</t>
  </si>
  <si>
    <t>OFICINA MINISTRO</t>
  </si>
  <si>
    <t>AV. REPUBLICA DE VENEZUELA – CAPE – PAB. 25</t>
  </si>
  <si>
    <t>SECRETARIA PRIVADA MINISTRO</t>
  </si>
  <si>
    <t>SECRETARIA DE GESTION ADMINISTRATIVA Y RR.HH.</t>
  </si>
  <si>
    <t>DIRECCION DE DESPACHO</t>
  </si>
  <si>
    <t>DIRECCION PROVINCIAL DE GESTION ADMINISTRATIVA Y RR.HH</t>
  </si>
  <si>
    <t xml:space="preserve">DIVISION CONTABLE </t>
  </si>
  <si>
    <t xml:space="preserve">DIRECCION CONTABLE </t>
  </si>
  <si>
    <t xml:space="preserve">DIVSION TESORERIA </t>
  </si>
  <si>
    <t>DIVISION LICITACIONES COMPRAS Y PATRIMONIO</t>
  </si>
  <si>
    <t xml:space="preserve">DIRECCION PROVINCIAL DE AUDITORIA INTERNA </t>
  </si>
  <si>
    <t>DIVISION PERSONAL</t>
  </si>
  <si>
    <t>ASESORIAL LEGAL</t>
  </si>
  <si>
    <t>MESA DE ENTRADA Y SALIDAS</t>
  </si>
  <si>
    <t xml:space="preserve">DIRECCION IGUALDAD DE OPORTUNIDADES </t>
  </si>
  <si>
    <t>DIRECCION FAMILIA</t>
  </si>
  <si>
    <t>DIRECCION PARQUE AUTOMOTOR</t>
  </si>
  <si>
    <t xml:space="preserve">DIRECCION PROVINCIAL DE ECONOMIA SOCIAL P/EL DESARROLLO LOCAL </t>
  </si>
  <si>
    <t>DIRECCION PROVINCIAL DE ABORDAJE TERRITORIAL</t>
  </si>
  <si>
    <t>SECRETARIA DE  DE INCLUSION Y DESARROLLO</t>
  </si>
  <si>
    <t xml:space="preserve">CENTRO INTEGRADOR COMUNITARIO NORTE </t>
  </si>
  <si>
    <t>B° 100 VV. NORTE CALLE FRANCIA ENTRE ESPAÑA Y AVDA. SAN JUAN BAUTISTA</t>
  </si>
  <si>
    <t>DIRECCION PROVINCIAL DE PROGRAMAS ALIMENTARIOS</t>
  </si>
  <si>
    <t>CONTROL DE CALIDAD Y STOCK</t>
  </si>
  <si>
    <t xml:space="preserve">AREA INDUSTRIAL EL PANTANILLO </t>
  </si>
  <si>
    <t xml:space="preserve">COCINA COMUNITARIA </t>
  </si>
  <si>
    <t xml:space="preserve">DIRECCION PCIAL DE ACCION SOCIAL DIRECTA </t>
  </si>
  <si>
    <t>AV. REPUBLICA DE VENEZUELA – CAPE – PAB. 24</t>
  </si>
  <si>
    <t>SECRETARIA DE FAMILIA - LINEA 102</t>
  </si>
  <si>
    <t xml:space="preserve">SECRETARIA DE FAMILIA </t>
  </si>
  <si>
    <t>DIRECCION PROVINCIAL PROMOCION Y PROTECCION INTEGRAL</t>
  </si>
  <si>
    <t>DIRECCION DIRECCION PROVINCIAL DE ADULTOS MAYORES</t>
  </si>
  <si>
    <t>PARADOR NOCTURNO</t>
  </si>
  <si>
    <t>SALTA NORTE N° 80</t>
  </si>
  <si>
    <t>DIRECCION DE RESIDENCIA DE ADULTOS MAYORES (HOGAR FRAY MAMERTO ESQUIU)</t>
  </si>
  <si>
    <t>AVENIDA BELGRANO N° 750</t>
  </si>
  <si>
    <t>DIRECCION PROVINCIAL DE PRIMERA INFANCIA</t>
  </si>
  <si>
    <t xml:space="preserve">CDI CASA CUNA </t>
  </si>
  <si>
    <t xml:space="preserve">CASEROS N° 1050 </t>
  </si>
  <si>
    <t>CDI NIÑARY</t>
  </si>
  <si>
    <t>CALLE LAS ORQUIDEAS ESQ. LAS ARAUCARIAS (Maipú Norte - B° 500  VV.)</t>
  </si>
  <si>
    <t xml:space="preserve">CDI 1000 VV </t>
  </si>
  <si>
    <t xml:space="preserve">AVENIDA MISIONES ESQUINA RIO EL TALA (Playón B° 1000 Vv) </t>
  </si>
  <si>
    <t>CDI CAF 2</t>
  </si>
  <si>
    <t>AVENIDA VIRGEN DEL VALLE NORTE Y CALLE LOS TILOS</t>
  </si>
  <si>
    <t xml:space="preserve">DIRECCION DE CONTENCION HUAINA HUASI </t>
  </si>
  <si>
    <t>PJE. PEDRAZA S/N° FRENTE MATERNIDAD</t>
  </si>
  <si>
    <t xml:space="preserve">DIRECCION DE CONTENCION SIPAS HUASI </t>
  </si>
  <si>
    <t>PASAJE LOS AGÜEROS  , VILLA PARQUE CHACABUCO</t>
  </si>
  <si>
    <t>DIRECCION DEL ÑIÑO EN CONFLITO CON LA LEY PENAL</t>
  </si>
  <si>
    <t>AVENIDA ALEM ESQUINA MOTA BOTELLO</t>
  </si>
  <si>
    <t>CENTRO JUVENIL SANTA ROSA</t>
  </si>
  <si>
    <t>MANUEL DE SALAZAR  S/N° PLAZA DE SANTA ROSA 1 CUADRA AL SUR -VALLE VIEJO</t>
  </si>
  <si>
    <t xml:space="preserve">EPC APOLO </t>
  </si>
  <si>
    <t>B° APOLO CALLE ARGERICH 1493 ESQ. NIEVA Y CASTILLA</t>
  </si>
  <si>
    <t>SECRETARIA DE DEPORTE Y RECRACION</t>
  </si>
  <si>
    <t>RAMON J. LUNA S/N°</t>
  </si>
  <si>
    <t>DIRECCION PROVINCIAL DE DEPORTE SOCIAL</t>
  </si>
  <si>
    <t>PARAGUAY 1812 - FRENTE PREDIO FERIAL</t>
  </si>
  <si>
    <t>DIRECCION PROVINCIAL DE ASISTENCIA DEPORTIVA</t>
  </si>
  <si>
    <t>DIRECCION PROVINCIAL DE DEPORTE ADAPTADO</t>
  </si>
  <si>
    <t>DIRECCION PROVINCIAL DE REHABILITACION DEPORTIVA</t>
  </si>
  <si>
    <t>DIRECCION PROVINCIAL DE CAPACITACION</t>
  </si>
  <si>
    <t>DIRECCION PROVINCIAL DE RENDIMIENTO DEPORTIVO</t>
  </si>
  <si>
    <t>DIRECCION DE FORTALECIMIENTO INSTITUCIONAL</t>
  </si>
  <si>
    <t>DIRECCION PROVINCIAL DE ADMINISTRACION DE CENTROS DEPORTIVOS</t>
  </si>
  <si>
    <t>POLI DEPORTIVO CAPITAL - FRAY MAMERTO ESQUIU</t>
  </si>
  <si>
    <t>POLI DEPORTIVO SUR - SANTA MARTA</t>
  </si>
  <si>
    <t>AV. MANUEL NAVARRO Y AV. BICENTENARIO</t>
  </si>
  <si>
    <t xml:space="preserve">POLI DEPORTIVO NORTE </t>
  </si>
  <si>
    <t xml:space="preserve">POLONIA 1449 </t>
  </si>
  <si>
    <t>POLI DEPORTIVO 920VV</t>
  </si>
  <si>
    <t>AV. GALINDEZ Y AV. INDIGENA</t>
  </si>
  <si>
    <t>POLI DEPORTIVO 1000VV</t>
  </si>
  <si>
    <t>DOC. JUAN V. JUSTO 16</t>
  </si>
  <si>
    <t>ESTADIO PROVINCIAL BINCENTENARIO</t>
  </si>
  <si>
    <t>TOTALES</t>
  </si>
  <si>
    <t xml:space="preserve"> </t>
  </si>
  <si>
    <t xml:space="preserve"> Lugar y Forma de Entrega:  DE MANERA SEMANAL, Durante 3 meses se Entregara bidones en las distintas dependencias del Ministerio de Desarrollo Social y Deporte (SEGUN ANEXO I),  libre de flete, acarreo y Embalaje, y libre de cualquier riesgo de perdida o destruccion total o parcial por causas ajenas a la instalacion. </t>
  </si>
  <si>
    <t>724/2021</t>
  </si>
  <si>
    <r>
      <t xml:space="preserve">SE UTILIZARAN 728 BIDONES POR SEMANA, DURANTE TRES MESES. LOS MISMOS DEBERIAN INCLUIR 104 DISPENSER, REPARTIDOS EN LAS DISTINTAS DEPDENCIAS DEL MINISTERIO DE DESARROLLO SOCIAL Y DEPORTE. DEBERAN SER DE AGUA FRIA Y CALIENTE, INCLUYENDO EL MANTENIMIENTO DE LOS MISMOS, HASTA 15 DIAS POSTERIORES A LA ULTIMA ENTREGA DE BIDONES.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0"/>
        <rFont val="Times New Roman"/>
        <family val="1"/>
      </rPr>
      <t>EL Oferente debe contar con las maquinarias de proceso y acreditar los controles exigidos por el Codigo Alimentario de la Actividad ; la Certificacion de Laboratorio de Analisis Bacteriologico y Certificacion de Analisis Fisico-Quimico Vigentes.-</t>
    </r>
  </si>
  <si>
    <t>PASAJE BUCETICH S/Nº</t>
  </si>
  <si>
    <t>CANTIDAD DISPENSER POR DEPENDENCIA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</si>
</sst>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&quot;$&quot;\ #,##0.00"/>
  </numFmts>
  <fonts count="36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12"/>
      <name val="Times New Roman"/>
      <family val="1"/>
    </font>
    <font>
      <sz val="10"/>
      <name val="Arial"/>
      <family val="2"/>
    </font>
    <font>
      <sz val="14"/>
      <color theme="1"/>
      <name val="Times New Roman"/>
      <family val="1"/>
    </font>
    <font>
      <sz val="14"/>
      <name val="Times New Roman"/>
      <family val="1"/>
    </font>
    <font>
      <sz val="14"/>
      <name val="Arial"/>
      <family val="2"/>
    </font>
    <font>
      <b/>
      <sz val="10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71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rgb="FF3D3D3D"/>
      </left>
      <right style="thin">
        <color rgb="FF3D3D3D"/>
      </right>
      <top style="thin">
        <color indexed="64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/>
      <diagonal/>
    </border>
    <border>
      <left style="thin">
        <color rgb="FF3D3D3D"/>
      </left>
      <right style="thin">
        <color rgb="FF3D3D3D"/>
      </right>
      <top style="medium">
        <color rgb="FF3D3D3D"/>
      </top>
      <bottom/>
      <diagonal/>
    </border>
    <border>
      <left style="thin">
        <color rgb="FF3D3D3D"/>
      </left>
      <right/>
      <top style="medium">
        <color rgb="FF3D3D3D"/>
      </top>
      <bottom/>
      <diagonal/>
    </border>
    <border>
      <left style="thin">
        <color rgb="FF3D3D3D"/>
      </left>
      <right style="thin">
        <color rgb="FF3D3D3D"/>
      </right>
      <top style="thin">
        <color indexed="64"/>
      </top>
      <bottom style="thin">
        <color rgb="FF3D3D3D"/>
      </bottom>
      <diagonal/>
    </border>
    <border>
      <left style="thin">
        <color rgb="FF3D3D3D"/>
      </left>
      <right/>
      <top style="thin">
        <color indexed="64"/>
      </top>
      <bottom style="thin">
        <color rgb="FF3D3D3D"/>
      </bottom>
      <diagonal/>
    </border>
    <border>
      <left style="thin">
        <color auto="1"/>
      </left>
      <right style="medium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</borders>
  <cellStyleXfs count="5">
    <xf numFmtId="0" fontId="0" fillId="0" borderId="0"/>
    <xf numFmtId="165" fontId="15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64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0" fillId="0" borderId="0" xfId="0" applyAlignment="1">
      <alignment horizontal="left"/>
    </xf>
    <xf numFmtId="3" fontId="10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7" xfId="0" applyBorder="1"/>
    <xf numFmtId="0" fontId="0" fillId="0" borderId="33" xfId="0" applyBorder="1"/>
    <xf numFmtId="0" fontId="0" fillId="0" borderId="19" xfId="0" applyBorder="1"/>
    <xf numFmtId="0" fontId="0" fillId="0" borderId="19" xfId="0" applyBorder="1" applyAlignment="1">
      <alignment horizontal="left"/>
    </xf>
    <xf numFmtId="0" fontId="0" fillId="0" borderId="34" xfId="0" applyBorder="1"/>
    <xf numFmtId="0" fontId="14" fillId="0" borderId="36" xfId="0" applyFont="1" applyBorder="1" applyAlignment="1">
      <alignment horizontal="center" vertical="center"/>
    </xf>
    <xf numFmtId="0" fontId="14" fillId="0" borderId="37" xfId="0" applyFont="1" applyBorder="1" applyAlignment="1">
      <alignment horizontal="center" vertical="center"/>
    </xf>
    <xf numFmtId="0" fontId="14" fillId="0" borderId="37" xfId="0" applyFont="1" applyBorder="1" applyAlignment="1">
      <alignment horizontal="left" vertical="center"/>
    </xf>
    <xf numFmtId="0" fontId="14" fillId="0" borderId="38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166" fontId="0" fillId="0" borderId="39" xfId="3" applyNumberFormat="1" applyFont="1" applyBorder="1" applyAlignment="1" applyProtection="1">
      <alignment horizontal="center" vertical="center"/>
    </xf>
    <xf numFmtId="0" fontId="0" fillId="0" borderId="40" xfId="0" applyFont="1" applyBorder="1" applyAlignment="1">
      <alignment horizontal="center" vertical="center"/>
    </xf>
    <xf numFmtId="0" fontId="0" fillId="0" borderId="41" xfId="0" applyFont="1" applyBorder="1" applyAlignment="1">
      <alignment horizontal="center" vertical="center"/>
    </xf>
    <xf numFmtId="0" fontId="0" fillId="0" borderId="42" xfId="0" applyFont="1" applyBorder="1" applyAlignment="1">
      <alignment horizontal="center" vertical="center"/>
    </xf>
    <xf numFmtId="0" fontId="0" fillId="0" borderId="43" xfId="0" applyFont="1" applyBorder="1" applyAlignment="1">
      <alignment horizontal="center" vertical="center"/>
    </xf>
    <xf numFmtId="166" fontId="0" fillId="0" borderId="44" xfId="3" applyNumberFormat="1" applyFont="1" applyBorder="1" applyAlignment="1" applyProtection="1">
      <alignment horizontal="center" vertical="center"/>
    </xf>
    <xf numFmtId="166" fontId="0" fillId="0" borderId="45" xfId="3" applyNumberFormat="1" applyFont="1" applyBorder="1" applyAlignment="1" applyProtection="1">
      <alignment horizontal="center" vertical="center"/>
    </xf>
    <xf numFmtId="166" fontId="14" fillId="0" borderId="46" xfId="0" applyNumberFormat="1" applyFont="1" applyBorder="1" applyAlignment="1">
      <alignment horizontal="center" vertical="center"/>
    </xf>
    <xf numFmtId="0" fontId="16" fillId="0" borderId="0" xfId="0" applyFont="1"/>
    <xf numFmtId="167" fontId="0" fillId="0" borderId="0" xfId="0" applyNumberFormat="1"/>
    <xf numFmtId="0" fontId="0" fillId="0" borderId="61" xfId="0" applyFont="1" applyFill="1" applyBorder="1" applyAlignment="1">
      <alignment horizontal="center" vertical="center"/>
    </xf>
    <xf numFmtId="0" fontId="0" fillId="0" borderId="62" xfId="0" applyFont="1" applyFill="1" applyBorder="1" applyAlignment="1">
      <alignment horizontal="center" vertical="center"/>
    </xf>
    <xf numFmtId="0" fontId="0" fillId="0" borderId="63" xfId="0" applyFont="1" applyFill="1" applyBorder="1" applyAlignment="1">
      <alignment horizontal="center" vertical="center"/>
    </xf>
    <xf numFmtId="0" fontId="0" fillId="0" borderId="60" xfId="0" applyFont="1" applyFill="1" applyBorder="1" applyAlignment="1">
      <alignment horizontal="center" vertical="center"/>
    </xf>
    <xf numFmtId="0" fontId="0" fillId="0" borderId="64" xfId="0" applyFont="1" applyFill="1" applyBorder="1" applyAlignment="1">
      <alignment horizontal="center" vertical="center"/>
    </xf>
    <xf numFmtId="0" fontId="0" fillId="0" borderId="65" xfId="0" applyFont="1" applyFill="1" applyBorder="1" applyAlignment="1">
      <alignment horizontal="center" vertical="center"/>
    </xf>
    <xf numFmtId="0" fontId="4" fillId="0" borderId="26" xfId="0" applyFont="1" applyFill="1" applyBorder="1" applyAlignment="1">
      <alignment horizontal="left" vertical="center"/>
    </xf>
    <xf numFmtId="0" fontId="4" fillId="0" borderId="26" xfId="0" applyFont="1" applyFill="1" applyBorder="1" applyAlignment="1">
      <alignment horizontal="center" vertical="center"/>
    </xf>
    <xf numFmtId="0" fontId="4" fillId="0" borderId="26" xfId="0" applyFont="1" applyFill="1" applyBorder="1" applyAlignment="1">
      <alignment horizontal="center" vertical="center" wrapText="1"/>
    </xf>
    <xf numFmtId="166" fontId="4" fillId="0" borderId="26" xfId="1" applyNumberFormat="1" applyFont="1" applyFill="1" applyBorder="1" applyAlignment="1" applyProtection="1">
      <alignment horizontal="right" vertical="center" wrapText="1"/>
    </xf>
    <xf numFmtId="3" fontId="4" fillId="0" borderId="26" xfId="0" applyNumberFormat="1" applyFont="1" applyFill="1" applyBorder="1" applyAlignment="1">
      <alignment horizontal="center" vertical="center"/>
    </xf>
    <xf numFmtId="0" fontId="16" fillId="0" borderId="0" xfId="0" applyFont="1" applyFill="1"/>
    <xf numFmtId="0" fontId="19" fillId="0" borderId="0" xfId="0" applyFont="1" applyFill="1" applyAlignment="1">
      <alignment horizontal="left" wrapText="1"/>
    </xf>
    <xf numFmtId="0" fontId="19" fillId="0" borderId="0" xfId="0" applyFont="1" applyFill="1" applyAlignment="1">
      <alignment horizontal="center" wrapText="1"/>
    </xf>
    <xf numFmtId="0" fontId="24" fillId="0" borderId="0" xfId="0" applyFont="1" applyFill="1" applyAlignment="1">
      <alignment horizontal="left" wrapText="1" indent="1"/>
    </xf>
    <xf numFmtId="0" fontId="20" fillId="0" borderId="0" xfId="0" applyFont="1" applyFill="1" applyAlignment="1">
      <alignment horizontal="left" wrapText="1"/>
    </xf>
    <xf numFmtId="0" fontId="20" fillId="0" borderId="9" xfId="0" applyFont="1" applyFill="1" applyBorder="1" applyAlignment="1">
      <alignment horizontal="center" vertical="center" wrapText="1"/>
    </xf>
    <xf numFmtId="0" fontId="20" fillId="0" borderId="69" xfId="0" applyFont="1" applyFill="1" applyBorder="1" applyAlignment="1">
      <alignment horizontal="center" vertical="center" wrapText="1"/>
    </xf>
    <xf numFmtId="0" fontId="20" fillId="0" borderId="10" xfId="0" applyFont="1" applyFill="1" applyBorder="1" applyAlignment="1">
      <alignment horizontal="center" vertical="center" wrapText="1"/>
    </xf>
    <xf numFmtId="0" fontId="20" fillId="0" borderId="54" xfId="0" applyFont="1" applyFill="1" applyBorder="1" applyAlignment="1">
      <alignment horizontal="center" vertical="center" wrapText="1"/>
    </xf>
    <xf numFmtId="0" fontId="20" fillId="0" borderId="55" xfId="0" applyFont="1" applyFill="1" applyBorder="1" applyAlignment="1">
      <alignment horizontal="center" vertical="center" wrapText="1"/>
    </xf>
    <xf numFmtId="0" fontId="20" fillId="0" borderId="56" xfId="0" applyFont="1" applyFill="1" applyBorder="1" applyAlignment="1">
      <alignment horizontal="center" vertical="center" wrapText="1"/>
    </xf>
    <xf numFmtId="0" fontId="21" fillId="0" borderId="2" xfId="0" applyFont="1" applyFill="1" applyBorder="1" applyAlignment="1">
      <alignment horizontal="center" vertical="center"/>
    </xf>
    <xf numFmtId="0" fontId="0" fillId="0" borderId="5" xfId="0" applyFill="1" applyBorder="1"/>
    <xf numFmtId="0" fontId="0" fillId="0" borderId="5" xfId="0" applyFill="1" applyBorder="1" applyAlignment="1">
      <alignment horizontal="center"/>
    </xf>
    <xf numFmtId="0" fontId="22" fillId="0" borderId="5" xfId="0" applyFont="1" applyFill="1" applyBorder="1" applyAlignment="1">
      <alignment horizontal="center" vertical="center" wrapText="1"/>
    </xf>
    <xf numFmtId="0" fontId="22" fillId="0" borderId="70" xfId="0" applyFont="1" applyFill="1" applyBorder="1" applyAlignment="1">
      <alignment horizontal="center" vertical="center" wrapText="1"/>
    </xf>
    <xf numFmtId="166" fontId="21" fillId="0" borderId="3" xfId="1" applyNumberFormat="1" applyFont="1" applyFill="1" applyBorder="1" applyAlignment="1" applyProtection="1">
      <alignment horizontal="right" vertical="center" wrapText="1"/>
    </xf>
    <xf numFmtId="166" fontId="21" fillId="0" borderId="68" xfId="1" applyNumberFormat="1" applyFont="1" applyFill="1" applyBorder="1" applyAlignment="1" applyProtection="1">
      <alignment horizontal="right" vertical="center" wrapText="1"/>
    </xf>
    <xf numFmtId="0" fontId="21" fillId="0" borderId="4" xfId="0" applyFont="1" applyFill="1" applyBorder="1" applyAlignment="1">
      <alignment horizontal="center" vertical="center"/>
    </xf>
    <xf numFmtId="0" fontId="19" fillId="0" borderId="5" xfId="0" applyFont="1" applyFill="1" applyBorder="1" applyAlignment="1">
      <alignment horizontal="center" wrapText="1"/>
    </xf>
    <xf numFmtId="166" fontId="21" fillId="0" borderId="67" xfId="1" applyNumberFormat="1" applyFont="1" applyFill="1" applyBorder="1" applyAlignment="1" applyProtection="1">
      <alignment horizontal="right" vertical="center" wrapText="1"/>
    </xf>
    <xf numFmtId="166" fontId="21" fillId="0" borderId="66" xfId="1" applyNumberFormat="1" applyFont="1" applyFill="1" applyBorder="1" applyAlignment="1" applyProtection="1">
      <alignment horizontal="right" vertical="center" wrapText="1"/>
    </xf>
    <xf numFmtId="0" fontId="0" fillId="0" borderId="51" xfId="0" applyFill="1" applyBorder="1"/>
    <xf numFmtId="0" fontId="22" fillId="0" borderId="52" xfId="0" applyFont="1" applyFill="1" applyBorder="1" applyAlignment="1">
      <alignment horizontal="center" vertical="center" wrapText="1"/>
    </xf>
    <xf numFmtId="166" fontId="21" fillId="0" borderId="5" xfId="1" applyNumberFormat="1" applyFont="1" applyFill="1" applyBorder="1" applyAlignment="1" applyProtection="1">
      <alignment horizontal="right" vertical="center" wrapText="1"/>
    </xf>
    <xf numFmtId="166" fontId="21" fillId="0" borderId="6" xfId="1" applyNumberFormat="1" applyFont="1" applyFill="1" applyBorder="1" applyAlignment="1" applyProtection="1">
      <alignment horizontal="right" vertical="center" wrapText="1"/>
    </xf>
    <xf numFmtId="0" fontId="19" fillId="0" borderId="50" xfId="0" applyFont="1" applyFill="1" applyBorder="1" applyAlignment="1">
      <alignment horizontal="center" wrapText="1"/>
    </xf>
    <xf numFmtId="0" fontId="21" fillId="0" borderId="7" xfId="0" applyFont="1" applyFill="1" applyBorder="1" applyAlignment="1">
      <alignment horizontal="center" vertical="center"/>
    </xf>
    <xf numFmtId="0" fontId="0" fillId="0" borderId="57" xfId="0" applyFill="1" applyBorder="1"/>
    <xf numFmtId="0" fontId="0" fillId="0" borderId="8" xfId="0" applyFill="1" applyBorder="1"/>
    <xf numFmtId="0" fontId="22" fillId="0" borderId="53" xfId="0" applyFont="1" applyFill="1" applyBorder="1" applyAlignment="1">
      <alignment horizontal="center" vertical="center" wrapText="1"/>
    </xf>
    <xf numFmtId="0" fontId="22" fillId="0" borderId="8" xfId="0" applyFont="1" applyFill="1" applyBorder="1" applyAlignment="1">
      <alignment horizontal="center" vertical="center" wrapText="1"/>
    </xf>
    <xf numFmtId="0" fontId="19" fillId="0" borderId="8" xfId="0" applyFont="1" applyFill="1" applyBorder="1" applyAlignment="1">
      <alignment horizontal="center" wrapText="1"/>
    </xf>
    <xf numFmtId="166" fontId="21" fillId="0" borderId="58" xfId="1" applyNumberFormat="1" applyFont="1" applyFill="1" applyBorder="1" applyAlignment="1" applyProtection="1">
      <alignment horizontal="right" vertical="center" wrapText="1"/>
    </xf>
    <xf numFmtId="166" fontId="21" fillId="0" borderId="59" xfId="1" applyNumberFormat="1" applyFont="1" applyFill="1" applyBorder="1" applyAlignment="1" applyProtection="1">
      <alignment horizontal="right" vertical="center" wrapText="1"/>
    </xf>
    <xf numFmtId="0" fontId="23" fillId="0" borderId="9" xfId="0" applyFont="1" applyFill="1" applyBorder="1"/>
    <xf numFmtId="0" fontId="16" fillId="0" borderId="10" xfId="0" applyFont="1" applyFill="1" applyBorder="1"/>
    <xf numFmtId="0" fontId="16" fillId="0" borderId="11" xfId="0" applyFont="1" applyFill="1" applyBorder="1"/>
    <xf numFmtId="0" fontId="16" fillId="0" borderId="12" xfId="0" applyFont="1" applyFill="1" applyBorder="1"/>
    <xf numFmtId="0" fontId="16" fillId="0" borderId="0" xfId="0" applyFont="1" applyFill="1" applyBorder="1"/>
    <xf numFmtId="0" fontId="16" fillId="0" borderId="13" xfId="0" applyFont="1" applyFill="1" applyBorder="1"/>
    <xf numFmtId="0" fontId="23" fillId="0" borderId="12" xfId="0" applyFont="1" applyFill="1" applyBorder="1" applyAlignment="1">
      <alignment horizontal="left" indent="3"/>
    </xf>
    <xf numFmtId="0" fontId="16" fillId="0" borderId="12" xfId="0" applyFont="1" applyFill="1" applyBorder="1" applyAlignment="1">
      <alignment horizontal="left" indent="3"/>
    </xf>
    <xf numFmtId="0" fontId="16" fillId="0" borderId="0" xfId="0" applyFont="1" applyFill="1" applyBorder="1" applyAlignment="1">
      <alignment horizontal="center" wrapText="1"/>
    </xf>
    <xf numFmtId="0" fontId="16" fillId="0" borderId="13" xfId="0" applyFont="1" applyFill="1" applyBorder="1" applyAlignment="1">
      <alignment horizontal="center" wrapText="1"/>
    </xf>
    <xf numFmtId="0" fontId="16" fillId="0" borderId="14" xfId="0" applyFont="1" applyFill="1" applyBorder="1" applyAlignment="1">
      <alignment horizontal="left" indent="3"/>
    </xf>
    <xf numFmtId="0" fontId="16" fillId="0" borderId="15" xfId="0" applyFont="1" applyFill="1" applyBorder="1"/>
    <xf numFmtId="0" fontId="16" fillId="0" borderId="16" xfId="0" applyFont="1" applyFill="1" applyBorder="1"/>
    <xf numFmtId="0" fontId="5" fillId="0" borderId="17" xfId="0" applyFont="1" applyFill="1" applyBorder="1" applyAlignment="1">
      <alignment horizontal="right" vertical="center"/>
    </xf>
    <xf numFmtId="0" fontId="6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 wrapText="1" indent="1"/>
    </xf>
    <xf numFmtId="0" fontId="9" fillId="0" borderId="27" xfId="0" applyFont="1" applyFill="1" applyBorder="1" applyAlignment="1">
      <alignment horizontal="center" vertical="center"/>
    </xf>
    <xf numFmtId="0" fontId="29" fillId="0" borderId="0" xfId="0" applyFont="1"/>
    <xf numFmtId="0" fontId="28" fillId="0" borderId="0" xfId="0" applyFont="1" applyFill="1" applyAlignment="1">
      <alignment vertical="center" wrapText="1"/>
    </xf>
    <xf numFmtId="0" fontId="27" fillId="0" borderId="0" xfId="0" applyFont="1" applyFill="1" applyAlignment="1">
      <alignment wrapText="1"/>
    </xf>
    <xf numFmtId="0" fontId="32" fillId="0" borderId="0" xfId="0" applyFont="1" applyAlignment="1">
      <alignment horizontal="center" wrapText="1"/>
    </xf>
    <xf numFmtId="0" fontId="33" fillId="3" borderId="5" xfId="0" applyFont="1" applyFill="1" applyBorder="1" applyAlignment="1">
      <alignment horizontal="center" vertical="center" wrapText="1"/>
    </xf>
    <xf numFmtId="0" fontId="34" fillId="0" borderId="5" xfId="0" applyFont="1" applyBorder="1" applyAlignment="1">
      <alignment vertical="center" wrapText="1"/>
    </xf>
    <xf numFmtId="169" fontId="34" fillId="4" borderId="5" xfId="0" applyNumberFormat="1" applyFont="1" applyFill="1" applyBorder="1" applyAlignment="1">
      <alignment vertical="center" wrapText="1"/>
    </xf>
    <xf numFmtId="0" fontId="34" fillId="4" borderId="5" xfId="0" applyFont="1" applyFill="1" applyBorder="1" applyAlignment="1">
      <alignment horizontal="center" vertical="center" wrapText="1"/>
    </xf>
    <xf numFmtId="3" fontId="34" fillId="4" borderId="5" xfId="0" applyNumberFormat="1" applyFont="1" applyFill="1" applyBorder="1" applyAlignment="1">
      <alignment horizontal="center" vertical="center" wrapText="1"/>
    </xf>
    <xf numFmtId="0" fontId="34" fillId="0" borderId="5" xfId="0" applyFont="1" applyBorder="1" applyAlignment="1">
      <alignment horizontal="center" vertical="center" wrapText="1"/>
    </xf>
    <xf numFmtId="0" fontId="35" fillId="0" borderId="5" xfId="0" applyFont="1" applyBorder="1" applyAlignment="1">
      <alignment vertical="center" wrapText="1"/>
    </xf>
    <xf numFmtId="0" fontId="34" fillId="0" borderId="5" xfId="0" applyFont="1" applyBorder="1" applyAlignment="1">
      <alignment wrapText="1"/>
    </xf>
    <xf numFmtId="169" fontId="34" fillId="4" borderId="5" xfId="0" applyNumberFormat="1" applyFont="1" applyFill="1" applyBorder="1" applyAlignment="1">
      <alignment wrapText="1"/>
    </xf>
    <xf numFmtId="0" fontId="34" fillId="0" borderId="5" xfId="0" applyFont="1" applyBorder="1"/>
    <xf numFmtId="0" fontId="31" fillId="5" borderId="5" xfId="0" applyFont="1" applyFill="1" applyBorder="1" applyAlignment="1">
      <alignment horizontal="center" vertical="center"/>
    </xf>
    <xf numFmtId="3" fontId="31" fillId="5" borderId="5" xfId="0" applyNumberFormat="1" applyFont="1" applyFill="1" applyBorder="1" applyAlignment="1">
      <alignment horizontal="center" vertical="center"/>
    </xf>
    <xf numFmtId="0" fontId="34" fillId="0" borderId="5" xfId="0" applyFont="1" applyBorder="1" applyAlignment="1">
      <alignment horizontal="center" vertical="center"/>
    </xf>
    <xf numFmtId="1" fontId="34" fillId="0" borderId="5" xfId="0" applyNumberFormat="1" applyFont="1" applyBorder="1" applyAlignment="1">
      <alignment horizontal="center" vertical="center" wrapText="1"/>
    </xf>
    <xf numFmtId="0" fontId="17" fillId="0" borderId="0" xfId="0" applyFont="1" applyFill="1" applyBorder="1" applyAlignment="1">
      <alignment horizontal="center"/>
    </xf>
    <xf numFmtId="0" fontId="18" fillId="0" borderId="0" xfId="0" applyFont="1" applyFill="1" applyBorder="1" applyAlignment="1">
      <alignment horizontal="left" vertical="center" wrapText="1"/>
    </xf>
    <xf numFmtId="0" fontId="24" fillId="0" borderId="0" xfId="0" applyFont="1" applyFill="1" applyBorder="1" applyAlignment="1">
      <alignment horizontal="left" wrapText="1" indent="1"/>
    </xf>
    <xf numFmtId="0" fontId="16" fillId="0" borderId="0" xfId="0" applyFont="1" applyFill="1" applyBorder="1" applyAlignment="1">
      <alignment horizontal="left" vertical="top" wrapText="1"/>
    </xf>
    <xf numFmtId="0" fontId="16" fillId="0" borderId="13" xfId="0" applyFont="1" applyFill="1" applyBorder="1" applyAlignment="1">
      <alignment horizontal="left" vertical="top" wrapText="1"/>
    </xf>
    <xf numFmtId="0" fontId="16" fillId="0" borderId="0" xfId="0" applyFont="1" applyFill="1" applyBorder="1" applyAlignment="1">
      <alignment horizontal="left"/>
    </xf>
    <xf numFmtId="0" fontId="16" fillId="0" borderId="13" xfId="0" applyFont="1" applyFill="1" applyBorder="1" applyAlignment="1">
      <alignment horizontal="left"/>
    </xf>
    <xf numFmtId="0" fontId="16" fillId="0" borderId="0" xfId="0" applyFont="1" applyFill="1" applyBorder="1" applyAlignment="1">
      <alignment horizontal="left" vertical="center" wrapText="1"/>
    </xf>
    <xf numFmtId="0" fontId="16" fillId="0" borderId="13" xfId="0" applyFont="1" applyFill="1" applyBorder="1" applyAlignment="1">
      <alignment horizontal="left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3" xfId="0" applyFont="1" applyFill="1" applyBorder="1" applyAlignment="1">
      <alignment horizontal="center" wrapText="1"/>
    </xf>
    <xf numFmtId="0" fontId="16" fillId="0" borderId="13" xfId="0" applyFont="1" applyFill="1" applyBorder="1" applyAlignment="1">
      <alignment horizontal="center"/>
    </xf>
    <xf numFmtId="0" fontId="31" fillId="3" borderId="0" xfId="0" applyFont="1" applyFill="1" applyAlignment="1">
      <alignment horizontal="center" wrapText="1"/>
    </xf>
    <xf numFmtId="0" fontId="31" fillId="5" borderId="51" xfId="0" applyFont="1" applyFill="1" applyBorder="1" applyAlignment="1">
      <alignment horizontal="center"/>
    </xf>
    <xf numFmtId="0" fontId="31" fillId="5" borderId="52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 vertical="center"/>
    </xf>
    <xf numFmtId="0" fontId="7" fillId="0" borderId="20" xfId="0" applyFont="1" applyFill="1" applyBorder="1" applyAlignment="1">
      <alignment horizontal="left" vertical="center" wrapText="1"/>
    </xf>
    <xf numFmtId="0" fontId="6" fillId="0" borderId="21" xfId="0" applyFont="1" applyFill="1" applyBorder="1" applyAlignment="1">
      <alignment horizontal="left" vertical="center" wrapText="1" indent="1"/>
    </xf>
    <xf numFmtId="0" fontId="7" fillId="0" borderId="22" xfId="0" applyFont="1" applyFill="1" applyBorder="1" applyAlignment="1">
      <alignment horizontal="left" vertical="center" wrapText="1"/>
    </xf>
    <xf numFmtId="0" fontId="7" fillId="0" borderId="23" xfId="0" applyFont="1" applyFill="1" applyBorder="1" applyAlignment="1">
      <alignment horizontal="left" vertical="center"/>
    </xf>
    <xf numFmtId="0" fontId="6" fillId="0" borderId="24" xfId="0" applyFont="1" applyFill="1" applyBorder="1" applyAlignment="1">
      <alignment horizontal="left" vertical="center" wrapText="1" indent="1"/>
    </xf>
    <xf numFmtId="0" fontId="8" fillId="0" borderId="23" xfId="0" applyFont="1" applyFill="1" applyBorder="1" applyAlignment="1">
      <alignment horizontal="center" vertical="center"/>
    </xf>
    <xf numFmtId="0" fontId="8" fillId="0" borderId="25" xfId="0" applyFont="1" applyFill="1" applyBorder="1" applyAlignment="1">
      <alignment horizontal="center" vertical="center" wrapText="1"/>
    </xf>
    <xf numFmtId="0" fontId="8" fillId="0" borderId="24" xfId="0" applyFont="1" applyFill="1" applyBorder="1" applyAlignment="1">
      <alignment horizontal="center" vertical="center" wrapText="1"/>
    </xf>
    <xf numFmtId="167" fontId="25" fillId="0" borderId="21" xfId="0" applyNumberFormat="1" applyFont="1" applyFill="1" applyBorder="1" applyAlignment="1">
      <alignment horizontal="center" vertical="center"/>
    </xf>
    <xf numFmtId="0" fontId="4" fillId="0" borderId="26" xfId="0" applyFont="1" applyFill="1" applyBorder="1" applyAlignment="1">
      <alignment horizontal="left" vertical="center" wrapText="1"/>
    </xf>
    <xf numFmtId="0" fontId="0" fillId="0" borderId="28" xfId="0" applyFont="1" applyBorder="1" applyAlignment="1">
      <alignment horizontal="center"/>
    </xf>
    <xf numFmtId="3" fontId="10" fillId="0" borderId="29" xfId="0" applyNumberFormat="1" applyFont="1" applyBorder="1" applyAlignment="1">
      <alignment horizontal="center"/>
    </xf>
    <xf numFmtId="0" fontId="11" fillId="0" borderId="18" xfId="0" applyFont="1" applyBorder="1" applyAlignment="1">
      <alignment horizontal="center" vertical="center" wrapText="1"/>
    </xf>
    <xf numFmtId="0" fontId="2" fillId="0" borderId="18" xfId="0" applyFont="1" applyBorder="1"/>
    <xf numFmtId="0" fontId="12" fillId="0" borderId="18" xfId="0" applyFont="1" applyBorder="1" applyAlignment="1">
      <alignment horizontal="left" indent="1"/>
    </xf>
    <xf numFmtId="0" fontId="4" fillId="0" borderId="20" xfId="0" applyFont="1" applyBorder="1" applyAlignment="1">
      <alignment horizontal="left" vertical="center" wrapText="1"/>
    </xf>
    <xf numFmtId="0" fontId="4" fillId="0" borderId="48" xfId="0" applyFont="1" applyBorder="1" applyAlignment="1">
      <alignment horizontal="left" vertical="center" wrapText="1"/>
    </xf>
    <xf numFmtId="0" fontId="4" fillId="0" borderId="49" xfId="0" applyFont="1" applyBorder="1" applyAlignment="1">
      <alignment horizontal="left" vertical="center" wrapText="1"/>
    </xf>
    <xf numFmtId="0" fontId="13" fillId="0" borderId="18" xfId="0" applyFont="1" applyBorder="1" applyAlignment="1">
      <alignment horizontal="left"/>
    </xf>
    <xf numFmtId="0" fontId="26" fillId="0" borderId="62" xfId="0" applyFont="1" applyBorder="1" applyAlignment="1">
      <alignment horizontal="left" vertical="center" wrapText="1"/>
    </xf>
    <xf numFmtId="0" fontId="0" fillId="0" borderId="62" xfId="0" applyFont="1" applyBorder="1" applyAlignment="1">
      <alignment horizontal="left" vertical="center" wrapText="1"/>
    </xf>
    <xf numFmtId="0" fontId="26" fillId="0" borderId="64" xfId="0" applyFont="1" applyBorder="1" applyAlignment="1">
      <alignment horizontal="left" vertical="center" wrapText="1"/>
    </xf>
    <xf numFmtId="0" fontId="0" fillId="0" borderId="64" xfId="0" applyFont="1" applyBorder="1" applyAlignment="1">
      <alignment horizontal="left" vertical="center" wrapText="1"/>
    </xf>
    <xf numFmtId="0" fontId="12" fillId="0" borderId="31" xfId="0" applyFont="1" applyBorder="1"/>
    <xf numFmtId="0" fontId="12" fillId="0" borderId="32" xfId="0" applyFont="1" applyBorder="1" applyAlignment="1">
      <alignment horizontal="left" vertical="center" wrapText="1" indent="1"/>
    </xf>
    <xf numFmtId="0" fontId="14" fillId="0" borderId="30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 wrapText="1"/>
    </xf>
    <xf numFmtId="0" fontId="14" fillId="0" borderId="35" xfId="0" applyFont="1" applyBorder="1" applyAlignment="1">
      <alignment horizontal="center" vertical="center"/>
    </xf>
    <xf numFmtId="0" fontId="10" fillId="0" borderId="28" xfId="0" applyFont="1" applyBorder="1" applyAlignment="1">
      <alignment vertical="center" wrapText="1"/>
    </xf>
    <xf numFmtId="0" fontId="10" fillId="0" borderId="47" xfId="0" applyFont="1" applyBorder="1" applyAlignment="1">
      <alignment vertical="center" wrapText="1"/>
    </xf>
    <xf numFmtId="0" fontId="10" fillId="0" borderId="24" xfId="0" applyFont="1" applyBorder="1" applyAlignment="1">
      <alignment vertical="center" wrapText="1"/>
    </xf>
    <xf numFmtId="0" fontId="12" fillId="0" borderId="35" xfId="0" applyFont="1" applyBorder="1" applyAlignment="1">
      <alignment vertical="center" wrapText="1"/>
    </xf>
    <xf numFmtId="0" fontId="12" fillId="0" borderId="46" xfId="0" applyFont="1" applyFill="1" applyBorder="1" applyAlignment="1">
      <alignment horizontal="left" vertical="center" wrapText="1" indent="1"/>
    </xf>
    <xf numFmtId="0" fontId="0" fillId="0" borderId="43" xfId="0" applyFont="1" applyBorder="1" applyAlignment="1">
      <alignment horizontal="left" vertical="center"/>
    </xf>
    <xf numFmtId="0" fontId="10" fillId="0" borderId="46" xfId="0" applyFont="1" applyBorder="1" applyAlignment="1">
      <alignment horizontal="left" vertical="center" wrapText="1"/>
    </xf>
    <xf numFmtId="0" fontId="0" fillId="0" borderId="30" xfId="0" applyBorder="1"/>
  </cellXfs>
  <cellStyles count="5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1"/>
  <sheetViews>
    <sheetView tabSelected="1" zoomScaleNormal="100" workbookViewId="0">
      <selection activeCell="C8" sqref="C8"/>
    </sheetView>
  </sheetViews>
  <sheetFormatPr baseColWidth="10" defaultColWidth="11" defaultRowHeight="12.75" x14ac:dyDescent="0.2"/>
  <cols>
    <col min="1" max="1" width="4.5703125" style="25" customWidth="1"/>
    <col min="2" max="2" width="21.7109375" style="25" customWidth="1"/>
    <col min="3" max="3" width="32.42578125" style="25" customWidth="1"/>
    <col min="4" max="4" width="8.42578125" style="25" customWidth="1"/>
    <col min="5" max="5" width="109.42578125" style="25" customWidth="1"/>
    <col min="6" max="6" width="11" style="25"/>
    <col min="7" max="8" width="10.42578125" style="25" bestFit="1" customWidth="1"/>
    <col min="9" max="9" width="15.7109375" style="25" bestFit="1" customWidth="1"/>
    <col min="10" max="16384" width="11" style="25"/>
  </cols>
  <sheetData>
    <row r="1" spans="1:9" x14ac:dyDescent="0.2">
      <c r="A1" s="38"/>
      <c r="B1" s="38"/>
      <c r="C1" s="38"/>
      <c r="D1" s="38"/>
      <c r="E1" s="38"/>
      <c r="F1" s="38"/>
      <c r="G1" s="38"/>
      <c r="H1" s="38"/>
      <c r="I1" s="38"/>
    </row>
    <row r="2" spans="1:9" ht="27" x14ac:dyDescent="0.35">
      <c r="A2" s="38"/>
      <c r="B2" s="111" t="s">
        <v>0</v>
      </c>
      <c r="C2" s="111"/>
      <c r="D2" s="111"/>
      <c r="E2" s="111"/>
      <c r="F2" s="111"/>
      <c r="G2" s="111"/>
      <c r="H2" s="111"/>
      <c r="I2" s="38"/>
    </row>
    <row r="3" spans="1:9" x14ac:dyDescent="0.2">
      <c r="A3" s="38"/>
      <c r="B3" s="38"/>
      <c r="C3" s="38"/>
      <c r="D3" s="38"/>
      <c r="E3" s="38"/>
      <c r="F3" s="38"/>
      <c r="G3" s="38"/>
      <c r="H3" s="38"/>
      <c r="I3" s="38"/>
    </row>
    <row r="4" spans="1:9" ht="18" customHeight="1" x14ac:dyDescent="0.25">
      <c r="A4" s="112" t="s">
        <v>1</v>
      </c>
      <c r="B4" s="112"/>
      <c r="C4" s="113" t="s">
        <v>57</v>
      </c>
      <c r="D4" s="113"/>
      <c r="E4" s="113"/>
      <c r="F4" s="39"/>
      <c r="G4" s="40"/>
      <c r="H4" s="39"/>
      <c r="I4" s="38"/>
    </row>
    <row r="5" spans="1:9" ht="18" customHeight="1" x14ac:dyDescent="0.25">
      <c r="A5" s="112" t="s">
        <v>2</v>
      </c>
      <c r="B5" s="112"/>
      <c r="C5" s="113" t="s">
        <v>58</v>
      </c>
      <c r="D5" s="113"/>
      <c r="E5" s="113"/>
      <c r="F5" s="39"/>
      <c r="G5" s="40"/>
      <c r="H5" s="39"/>
      <c r="I5" s="38"/>
    </row>
    <row r="6" spans="1:9" ht="16.5" customHeight="1" x14ac:dyDescent="0.25">
      <c r="A6" s="112" t="s">
        <v>3</v>
      </c>
      <c r="B6" s="112"/>
      <c r="C6" s="41">
        <v>2021</v>
      </c>
      <c r="D6" s="42"/>
      <c r="E6" s="42"/>
      <c r="F6" s="39"/>
      <c r="G6" s="40"/>
      <c r="H6" s="39"/>
      <c r="I6" s="38"/>
    </row>
    <row r="7" spans="1:9" ht="16.5" customHeight="1" x14ac:dyDescent="0.25">
      <c r="A7" s="112" t="s">
        <v>4</v>
      </c>
      <c r="B7" s="112"/>
      <c r="C7" s="41">
        <v>4</v>
      </c>
      <c r="D7" s="42"/>
      <c r="E7" s="42"/>
      <c r="F7" s="39"/>
      <c r="G7" s="40"/>
      <c r="H7" s="39"/>
      <c r="I7" s="38"/>
    </row>
    <row r="8" spans="1:9" ht="13.5" thickBot="1" x14ac:dyDescent="0.25">
      <c r="A8" s="38"/>
      <c r="B8" s="39"/>
      <c r="C8" s="40"/>
      <c r="D8" s="39"/>
      <c r="E8" s="39"/>
      <c r="F8" s="39"/>
      <c r="G8" s="40"/>
      <c r="H8" s="39"/>
      <c r="I8" s="38"/>
    </row>
    <row r="9" spans="1:9" ht="39" thickBot="1" x14ac:dyDescent="0.25">
      <c r="A9" s="43" t="s">
        <v>5</v>
      </c>
      <c r="B9" s="44" t="s">
        <v>6</v>
      </c>
      <c r="C9" s="44" t="s">
        <v>7</v>
      </c>
      <c r="D9" s="45" t="s">
        <v>8</v>
      </c>
      <c r="E9" s="44" t="s">
        <v>9</v>
      </c>
      <c r="F9" s="46" t="s">
        <v>10</v>
      </c>
      <c r="G9" s="47" t="s">
        <v>11</v>
      </c>
      <c r="H9" s="47" t="s">
        <v>12</v>
      </c>
      <c r="I9" s="48" t="s">
        <v>13</v>
      </c>
    </row>
    <row r="10" spans="1:9" x14ac:dyDescent="0.2">
      <c r="A10" s="49">
        <v>1</v>
      </c>
      <c r="B10" s="50" t="s">
        <v>59</v>
      </c>
      <c r="C10" s="50" t="s">
        <v>60</v>
      </c>
      <c r="D10" s="51" t="s">
        <v>62</v>
      </c>
      <c r="E10" s="50" t="s">
        <v>61</v>
      </c>
      <c r="F10" s="52" t="s">
        <v>63</v>
      </c>
      <c r="G10" s="53">
        <v>8736</v>
      </c>
      <c r="H10" s="54">
        <v>400.64</v>
      </c>
      <c r="I10" s="55">
        <f>+H10*G10</f>
        <v>3499991.04</v>
      </c>
    </row>
    <row r="11" spans="1:9" x14ac:dyDescent="0.2">
      <c r="A11" s="56"/>
      <c r="B11" s="50"/>
      <c r="C11" s="50"/>
      <c r="D11" s="51"/>
      <c r="E11" s="50"/>
      <c r="F11" s="52"/>
      <c r="G11" s="57"/>
      <c r="H11" s="58"/>
      <c r="I11" s="59"/>
    </row>
    <row r="12" spans="1:9" x14ac:dyDescent="0.2">
      <c r="A12" s="56"/>
      <c r="B12" s="60"/>
      <c r="C12" s="50"/>
      <c r="D12" s="61"/>
      <c r="E12" s="50"/>
      <c r="F12" s="52"/>
      <c r="G12" s="57"/>
      <c r="H12" s="62"/>
      <c r="I12" s="63"/>
    </row>
    <row r="13" spans="1:9" x14ac:dyDescent="0.2">
      <c r="A13" s="56"/>
      <c r="B13" s="60"/>
      <c r="C13" s="50"/>
      <c r="D13" s="61"/>
      <c r="E13" s="50"/>
      <c r="F13" s="52"/>
      <c r="G13" s="57"/>
      <c r="H13" s="62"/>
      <c r="I13" s="63"/>
    </row>
    <row r="14" spans="1:9" x14ac:dyDescent="0.2">
      <c r="A14" s="56"/>
      <c r="B14" s="60"/>
      <c r="C14" s="50"/>
      <c r="D14" s="61"/>
      <c r="E14" s="50"/>
      <c r="F14" s="52"/>
      <c r="G14" s="64"/>
      <c r="H14" s="62"/>
      <c r="I14" s="63"/>
    </row>
    <row r="15" spans="1:9" ht="13.5" thickBot="1" x14ac:dyDescent="0.25">
      <c r="A15" s="65"/>
      <c r="B15" s="66"/>
      <c r="C15" s="67"/>
      <c r="D15" s="68"/>
      <c r="E15" s="67"/>
      <c r="F15" s="69"/>
      <c r="G15" s="70"/>
      <c r="H15" s="71"/>
      <c r="I15" s="72"/>
    </row>
    <row r="16" spans="1:9" x14ac:dyDescent="0.2">
      <c r="A16" s="38"/>
      <c r="B16" s="38"/>
      <c r="C16" s="38"/>
      <c r="D16" s="38"/>
      <c r="E16" s="38"/>
      <c r="F16" s="38"/>
      <c r="G16" s="38"/>
      <c r="H16" s="38"/>
      <c r="I16" s="38"/>
    </row>
    <row r="17" spans="1:17" x14ac:dyDescent="0.2">
      <c r="A17" s="38"/>
      <c r="B17" s="38"/>
      <c r="C17" s="38"/>
      <c r="D17" s="38"/>
      <c r="E17" s="38"/>
      <c r="F17" s="38"/>
      <c r="G17" s="38"/>
      <c r="H17" s="38"/>
      <c r="I17" s="38"/>
    </row>
    <row r="18" spans="1:17" x14ac:dyDescent="0.2">
      <c r="A18" s="38"/>
      <c r="B18" s="73" t="s">
        <v>14</v>
      </c>
      <c r="C18" s="74"/>
      <c r="D18" s="74"/>
      <c r="E18" s="75"/>
      <c r="F18" s="38"/>
      <c r="G18" s="38"/>
      <c r="H18" s="38"/>
      <c r="I18" s="38"/>
    </row>
    <row r="19" spans="1:17" ht="5.25" customHeight="1" x14ac:dyDescent="0.2">
      <c r="A19" s="38"/>
      <c r="B19" s="76"/>
      <c r="C19" s="77"/>
      <c r="D19" s="77"/>
      <c r="E19" s="78"/>
      <c r="F19" s="38"/>
      <c r="G19" s="38"/>
      <c r="H19" s="38"/>
      <c r="I19" s="38"/>
    </row>
    <row r="20" spans="1:17" x14ac:dyDescent="0.2">
      <c r="A20" s="38"/>
      <c r="B20" s="79" t="s">
        <v>15</v>
      </c>
      <c r="C20" s="77"/>
      <c r="D20" s="77"/>
      <c r="E20" s="78"/>
      <c r="F20" s="38"/>
      <c r="G20" s="38"/>
      <c r="H20" s="38"/>
      <c r="I20" s="38"/>
    </row>
    <row r="21" spans="1:17" ht="62.25" customHeight="1" x14ac:dyDescent="0.3">
      <c r="A21" s="38"/>
      <c r="B21" s="79"/>
      <c r="C21" s="114" t="s">
        <v>161</v>
      </c>
      <c r="D21" s="114"/>
      <c r="E21" s="115"/>
      <c r="F21" s="38"/>
      <c r="G21" s="95"/>
      <c r="H21" s="95"/>
      <c r="I21" s="95"/>
      <c r="K21" s="120"/>
      <c r="L21" s="120"/>
      <c r="M21" s="120"/>
      <c r="N21" s="120"/>
      <c r="O21" s="120"/>
      <c r="P21" s="120"/>
    </row>
    <row r="22" spans="1:17" x14ac:dyDescent="0.2">
      <c r="A22" s="38"/>
      <c r="B22" s="79" t="s">
        <v>16</v>
      </c>
      <c r="C22" s="77"/>
      <c r="D22" s="77"/>
      <c r="E22" s="78"/>
      <c r="F22" s="38"/>
      <c r="G22" s="38"/>
      <c r="H22" s="38"/>
      <c r="I22" s="38"/>
    </row>
    <row r="23" spans="1:17" ht="14.25" customHeight="1" x14ac:dyDescent="0.2">
      <c r="A23" s="38"/>
      <c r="B23" s="80"/>
      <c r="C23" s="116" t="s">
        <v>70</v>
      </c>
      <c r="D23" s="116"/>
      <c r="E23" s="117"/>
      <c r="F23" s="38"/>
      <c r="G23" s="38"/>
      <c r="H23" s="38"/>
      <c r="I23" s="38"/>
    </row>
    <row r="24" spans="1:17" ht="43.5" customHeight="1" x14ac:dyDescent="0.2">
      <c r="A24" s="38"/>
      <c r="B24" s="80"/>
      <c r="C24" s="118" t="s">
        <v>159</v>
      </c>
      <c r="D24" s="118"/>
      <c r="E24" s="119"/>
      <c r="F24" s="38"/>
      <c r="G24" s="94"/>
      <c r="H24" s="94"/>
      <c r="I24" s="94"/>
      <c r="K24" s="120" t="s">
        <v>158</v>
      </c>
      <c r="L24" s="120"/>
      <c r="M24" s="120"/>
      <c r="N24" s="120"/>
      <c r="O24" s="120"/>
      <c r="P24" s="120"/>
      <c r="Q24" s="120"/>
    </row>
    <row r="25" spans="1:17" x14ac:dyDescent="0.2">
      <c r="A25" s="38"/>
      <c r="B25" s="79" t="s">
        <v>17</v>
      </c>
      <c r="C25" s="77"/>
      <c r="D25" s="77"/>
      <c r="E25" s="78"/>
      <c r="F25" s="38"/>
      <c r="G25" s="38"/>
      <c r="H25" s="38"/>
      <c r="I25" s="38"/>
    </row>
    <row r="26" spans="1:17" ht="26.25" customHeight="1" x14ac:dyDescent="0.2">
      <c r="A26" s="38"/>
      <c r="B26" s="80"/>
      <c r="C26" s="121" t="s">
        <v>71</v>
      </c>
      <c r="D26" s="121"/>
      <c r="E26" s="121"/>
      <c r="F26" s="38"/>
      <c r="G26" s="38"/>
      <c r="H26" s="38"/>
      <c r="I26" s="38"/>
    </row>
    <row r="27" spans="1:17" x14ac:dyDescent="0.2">
      <c r="A27" s="38"/>
      <c r="B27" s="79" t="s">
        <v>18</v>
      </c>
      <c r="C27" s="81"/>
      <c r="D27" s="81"/>
      <c r="E27" s="82"/>
      <c r="F27" s="38"/>
      <c r="G27" s="38"/>
      <c r="H27" s="38"/>
      <c r="I27" s="38"/>
    </row>
    <row r="28" spans="1:17" ht="26.25" customHeight="1" x14ac:dyDescent="0.2">
      <c r="A28" s="38"/>
      <c r="B28" s="80"/>
      <c r="C28" s="121" t="s">
        <v>72</v>
      </c>
      <c r="D28" s="121"/>
      <c r="E28" s="121"/>
      <c r="F28" s="38"/>
      <c r="G28" s="38"/>
      <c r="H28" s="38"/>
      <c r="I28" s="38"/>
    </row>
    <row r="29" spans="1:17" x14ac:dyDescent="0.2">
      <c r="A29" s="38"/>
      <c r="B29" s="79" t="s">
        <v>19</v>
      </c>
      <c r="C29" s="77"/>
      <c r="D29" s="77"/>
      <c r="E29" s="78"/>
      <c r="F29" s="38"/>
      <c r="G29" s="38"/>
      <c r="H29" s="38"/>
      <c r="I29" s="38"/>
    </row>
    <row r="30" spans="1:17" ht="23.25" customHeight="1" x14ac:dyDescent="0.2">
      <c r="A30" s="38"/>
      <c r="B30" s="79"/>
      <c r="C30" s="122"/>
      <c r="D30" s="122"/>
      <c r="E30" s="122"/>
      <c r="F30" s="38"/>
      <c r="G30" s="38"/>
      <c r="H30" s="38"/>
      <c r="I30" s="38"/>
    </row>
    <row r="31" spans="1:17" x14ac:dyDescent="0.2">
      <c r="A31" s="38"/>
      <c r="B31" s="83"/>
      <c r="C31" s="84"/>
      <c r="D31" s="84"/>
      <c r="E31" s="85"/>
      <c r="F31" s="38"/>
      <c r="G31" s="38"/>
      <c r="H31" s="38"/>
      <c r="I31" s="38"/>
    </row>
  </sheetData>
  <mergeCells count="15">
    <mergeCell ref="K21:P21"/>
    <mergeCell ref="K24:Q24"/>
    <mergeCell ref="C26:E26"/>
    <mergeCell ref="C28:E28"/>
    <mergeCell ref="C30:E30"/>
    <mergeCell ref="A6:B6"/>
    <mergeCell ref="A7:B7"/>
    <mergeCell ref="C21:E21"/>
    <mergeCell ref="C23:E23"/>
    <mergeCell ref="C24:E24"/>
    <mergeCell ref="B2:H2"/>
    <mergeCell ref="A4:B4"/>
    <mergeCell ref="C4:E4"/>
    <mergeCell ref="A5:B5"/>
    <mergeCell ref="C5:E5"/>
  </mergeCells>
  <pageMargins left="0" right="0" top="0.74803149606299213" bottom="0" header="0.51181102362204722" footer="0.51181102362204722"/>
  <pageSetup paperSize="5" scale="85" firstPageNumber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9B2E7-392C-436C-8A74-C139E9F4E0C5}">
  <dimension ref="A2:F60"/>
  <sheetViews>
    <sheetView topLeftCell="A46" workbookViewId="0">
      <selection activeCell="C8" sqref="C8"/>
    </sheetView>
  </sheetViews>
  <sheetFormatPr baseColWidth="10" defaultRowHeight="12.75" x14ac:dyDescent="0.2"/>
  <cols>
    <col min="1" max="1" width="47.42578125" customWidth="1"/>
    <col min="2" max="2" width="56" customWidth="1"/>
    <col min="3" max="3" width="18" customWidth="1"/>
    <col min="4" max="4" width="12.7109375" customWidth="1"/>
    <col min="5" max="5" width="13.85546875" customWidth="1"/>
    <col min="6" max="6" width="16.7109375" customWidth="1"/>
  </cols>
  <sheetData>
    <row r="2" spans="1:6" ht="18.75" x14ac:dyDescent="0.3">
      <c r="A2" s="123" t="s">
        <v>75</v>
      </c>
      <c r="B2" s="123"/>
      <c r="C2" s="123"/>
      <c r="D2" s="123"/>
      <c r="E2" s="123"/>
      <c r="F2" s="123"/>
    </row>
    <row r="3" spans="1:6" ht="14.25" x14ac:dyDescent="0.2">
      <c r="A3" s="96"/>
      <c r="B3" s="96"/>
      <c r="C3" s="96"/>
      <c r="D3" s="25"/>
      <c r="E3" s="25"/>
      <c r="F3" s="25"/>
    </row>
    <row r="4" spans="1:6" ht="63" x14ac:dyDescent="0.2">
      <c r="A4" s="97" t="s">
        <v>76</v>
      </c>
      <c r="B4" s="97" t="s">
        <v>77</v>
      </c>
      <c r="C4" s="97" t="s">
        <v>163</v>
      </c>
      <c r="D4" s="97" t="s">
        <v>78</v>
      </c>
      <c r="E4" s="97" t="s">
        <v>79</v>
      </c>
      <c r="F4" s="97" t="s">
        <v>80</v>
      </c>
    </row>
    <row r="5" spans="1:6" ht="15.75" x14ac:dyDescent="0.2">
      <c r="A5" s="98" t="s">
        <v>81</v>
      </c>
      <c r="B5" s="99" t="s">
        <v>82</v>
      </c>
      <c r="C5" s="100">
        <v>1</v>
      </c>
      <c r="D5" s="101">
        <v>7</v>
      </c>
      <c r="E5" s="101">
        <f>+D5*4</f>
        <v>28</v>
      </c>
      <c r="F5" s="101">
        <f>+E5*3</f>
        <v>84</v>
      </c>
    </row>
    <row r="6" spans="1:6" ht="15.75" x14ac:dyDescent="0.2">
      <c r="A6" s="98" t="s">
        <v>83</v>
      </c>
      <c r="B6" s="99" t="s">
        <v>82</v>
      </c>
      <c r="C6" s="100">
        <v>1</v>
      </c>
      <c r="D6" s="101">
        <v>7</v>
      </c>
      <c r="E6" s="101">
        <f t="shared" ref="E6:E21" si="0">+D6*4</f>
        <v>28</v>
      </c>
      <c r="F6" s="101">
        <f t="shared" ref="F6:F59" si="1">+E6*3</f>
        <v>84</v>
      </c>
    </row>
    <row r="7" spans="1:6" ht="31.5" x14ac:dyDescent="0.2">
      <c r="A7" s="98" t="s">
        <v>84</v>
      </c>
      <c r="B7" s="99" t="s">
        <v>82</v>
      </c>
      <c r="C7" s="100">
        <v>1</v>
      </c>
      <c r="D7" s="101">
        <v>7</v>
      </c>
      <c r="E7" s="101">
        <f t="shared" si="0"/>
        <v>28</v>
      </c>
      <c r="F7" s="101">
        <f t="shared" si="1"/>
        <v>84</v>
      </c>
    </row>
    <row r="8" spans="1:6" ht="15.75" x14ac:dyDescent="0.2">
      <c r="A8" s="98" t="s">
        <v>85</v>
      </c>
      <c r="B8" s="99" t="s">
        <v>82</v>
      </c>
      <c r="C8" s="100">
        <v>1</v>
      </c>
      <c r="D8" s="101">
        <v>7</v>
      </c>
      <c r="E8" s="101">
        <f t="shared" si="0"/>
        <v>28</v>
      </c>
      <c r="F8" s="101">
        <f t="shared" si="1"/>
        <v>84</v>
      </c>
    </row>
    <row r="9" spans="1:6" ht="31.5" x14ac:dyDescent="0.2">
      <c r="A9" s="98" t="s">
        <v>86</v>
      </c>
      <c r="B9" s="99" t="s">
        <v>82</v>
      </c>
      <c r="C9" s="100">
        <v>1</v>
      </c>
      <c r="D9" s="101">
        <v>7</v>
      </c>
      <c r="E9" s="101">
        <f t="shared" si="0"/>
        <v>28</v>
      </c>
      <c r="F9" s="101">
        <f t="shared" si="1"/>
        <v>84</v>
      </c>
    </row>
    <row r="10" spans="1:6" ht="15.75" x14ac:dyDescent="0.2">
      <c r="A10" s="98" t="s">
        <v>87</v>
      </c>
      <c r="B10" s="99" t="s">
        <v>82</v>
      </c>
      <c r="C10" s="100">
        <v>1</v>
      </c>
      <c r="D10" s="101">
        <v>7</v>
      </c>
      <c r="E10" s="101">
        <f t="shared" si="0"/>
        <v>28</v>
      </c>
      <c r="F10" s="101">
        <f t="shared" si="1"/>
        <v>84</v>
      </c>
    </row>
    <row r="11" spans="1:6" ht="15.75" x14ac:dyDescent="0.2">
      <c r="A11" s="98" t="s">
        <v>88</v>
      </c>
      <c r="B11" s="99" t="s">
        <v>82</v>
      </c>
      <c r="C11" s="100">
        <v>1</v>
      </c>
      <c r="D11" s="101">
        <v>7</v>
      </c>
      <c r="E11" s="101">
        <f t="shared" si="0"/>
        <v>28</v>
      </c>
      <c r="F11" s="101">
        <f t="shared" si="1"/>
        <v>84</v>
      </c>
    </row>
    <row r="12" spans="1:6" ht="15.75" x14ac:dyDescent="0.2">
      <c r="A12" s="98" t="s">
        <v>89</v>
      </c>
      <c r="B12" s="99" t="s">
        <v>82</v>
      </c>
      <c r="C12" s="100">
        <v>3</v>
      </c>
      <c r="D12" s="101">
        <v>21</v>
      </c>
      <c r="E12" s="101">
        <f t="shared" si="0"/>
        <v>84</v>
      </c>
      <c r="F12" s="101">
        <f t="shared" si="1"/>
        <v>252</v>
      </c>
    </row>
    <row r="13" spans="1:6" ht="31.5" x14ac:dyDescent="0.2">
      <c r="A13" s="98" t="s">
        <v>90</v>
      </c>
      <c r="B13" s="99" t="s">
        <v>82</v>
      </c>
      <c r="C13" s="100">
        <v>2</v>
      </c>
      <c r="D13" s="101">
        <v>14</v>
      </c>
      <c r="E13" s="101">
        <f t="shared" si="0"/>
        <v>56</v>
      </c>
      <c r="F13" s="101">
        <f t="shared" si="1"/>
        <v>168</v>
      </c>
    </row>
    <row r="14" spans="1:6" ht="31.5" x14ac:dyDescent="0.2">
      <c r="A14" s="98" t="s">
        <v>91</v>
      </c>
      <c r="B14" s="99" t="s">
        <v>82</v>
      </c>
      <c r="C14" s="100">
        <v>1</v>
      </c>
      <c r="D14" s="101">
        <v>7</v>
      </c>
      <c r="E14" s="101">
        <f t="shared" si="0"/>
        <v>28</v>
      </c>
      <c r="F14" s="101">
        <f t="shared" si="1"/>
        <v>84</v>
      </c>
    </row>
    <row r="15" spans="1:6" ht="15.75" x14ac:dyDescent="0.2">
      <c r="A15" s="98" t="s">
        <v>92</v>
      </c>
      <c r="B15" s="99" t="s">
        <v>82</v>
      </c>
      <c r="C15" s="102">
        <v>1</v>
      </c>
      <c r="D15" s="101">
        <v>7</v>
      </c>
      <c r="E15" s="101">
        <f t="shared" si="0"/>
        <v>28</v>
      </c>
      <c r="F15" s="101">
        <f t="shared" si="1"/>
        <v>84</v>
      </c>
    </row>
    <row r="16" spans="1:6" ht="15.75" x14ac:dyDescent="0.2">
      <c r="A16" s="103" t="s">
        <v>93</v>
      </c>
      <c r="B16" s="99" t="s">
        <v>82</v>
      </c>
      <c r="C16" s="100">
        <v>3</v>
      </c>
      <c r="D16" s="101">
        <v>21</v>
      </c>
      <c r="E16" s="101">
        <f t="shared" si="0"/>
        <v>84</v>
      </c>
      <c r="F16" s="101">
        <f t="shared" si="1"/>
        <v>252</v>
      </c>
    </row>
    <row r="17" spans="1:6" ht="15.75" x14ac:dyDescent="0.2">
      <c r="A17" s="98" t="s">
        <v>94</v>
      </c>
      <c r="B17" s="99" t="s">
        <v>82</v>
      </c>
      <c r="C17" s="100">
        <v>1</v>
      </c>
      <c r="D17" s="101">
        <v>7</v>
      </c>
      <c r="E17" s="101">
        <f t="shared" si="0"/>
        <v>28</v>
      </c>
      <c r="F17" s="101">
        <f t="shared" si="1"/>
        <v>84</v>
      </c>
    </row>
    <row r="18" spans="1:6" ht="31.5" x14ac:dyDescent="0.2">
      <c r="A18" s="98" t="s">
        <v>95</v>
      </c>
      <c r="B18" s="99" t="s">
        <v>82</v>
      </c>
      <c r="C18" s="100">
        <v>3</v>
      </c>
      <c r="D18" s="101">
        <v>21</v>
      </c>
      <c r="E18" s="101">
        <f t="shared" si="0"/>
        <v>84</v>
      </c>
      <c r="F18" s="101">
        <f t="shared" si="1"/>
        <v>252</v>
      </c>
    </row>
    <row r="19" spans="1:6" ht="15.75" x14ac:dyDescent="0.2">
      <c r="A19" s="98" t="s">
        <v>96</v>
      </c>
      <c r="B19" s="99" t="s">
        <v>82</v>
      </c>
      <c r="C19" s="100">
        <v>2</v>
      </c>
      <c r="D19" s="101">
        <v>14</v>
      </c>
      <c r="E19" s="101">
        <f t="shared" si="0"/>
        <v>56</v>
      </c>
      <c r="F19" s="101">
        <f t="shared" si="1"/>
        <v>168</v>
      </c>
    </row>
    <row r="20" spans="1:6" ht="15.75" x14ac:dyDescent="0.2">
      <c r="A20" s="98" t="s">
        <v>97</v>
      </c>
      <c r="B20" s="99" t="s">
        <v>82</v>
      </c>
      <c r="C20" s="102">
        <v>1</v>
      </c>
      <c r="D20" s="101">
        <v>7</v>
      </c>
      <c r="E20" s="101">
        <f t="shared" si="0"/>
        <v>28</v>
      </c>
      <c r="F20" s="101">
        <f t="shared" si="1"/>
        <v>84</v>
      </c>
    </row>
    <row r="21" spans="1:6" ht="31.5" x14ac:dyDescent="0.2">
      <c r="A21" s="98" t="s">
        <v>98</v>
      </c>
      <c r="B21" s="99" t="s">
        <v>82</v>
      </c>
      <c r="C21" s="100">
        <v>1</v>
      </c>
      <c r="D21" s="101">
        <v>7</v>
      </c>
      <c r="E21" s="101">
        <f t="shared" si="0"/>
        <v>28</v>
      </c>
      <c r="F21" s="101">
        <f t="shared" si="1"/>
        <v>84</v>
      </c>
    </row>
    <row r="22" spans="1:6" ht="31.5" x14ac:dyDescent="0.2">
      <c r="A22" s="98" t="s">
        <v>99</v>
      </c>
      <c r="B22" s="99" t="s">
        <v>82</v>
      </c>
      <c r="C22" s="100">
        <v>1</v>
      </c>
      <c r="D22" s="101">
        <v>7</v>
      </c>
      <c r="E22" s="101">
        <f t="shared" ref="E22:E37" si="2">+D22*4</f>
        <v>28</v>
      </c>
      <c r="F22" s="101">
        <f t="shared" si="1"/>
        <v>84</v>
      </c>
    </row>
    <row r="23" spans="1:6" ht="31.5" x14ac:dyDescent="0.2">
      <c r="A23" s="98" t="s">
        <v>100</v>
      </c>
      <c r="B23" s="99" t="s">
        <v>82</v>
      </c>
      <c r="C23" s="100">
        <v>3</v>
      </c>
      <c r="D23" s="101">
        <v>21</v>
      </c>
      <c r="E23" s="101">
        <f t="shared" si="2"/>
        <v>84</v>
      </c>
      <c r="F23" s="101">
        <f t="shared" si="1"/>
        <v>252</v>
      </c>
    </row>
    <row r="24" spans="1:6" ht="31.5" x14ac:dyDescent="0.2">
      <c r="A24" s="98" t="s">
        <v>101</v>
      </c>
      <c r="B24" s="99" t="s">
        <v>102</v>
      </c>
      <c r="C24" s="100">
        <v>2</v>
      </c>
      <c r="D24" s="101">
        <v>14</v>
      </c>
      <c r="E24" s="101">
        <f t="shared" si="2"/>
        <v>56</v>
      </c>
      <c r="F24" s="101">
        <f t="shared" si="1"/>
        <v>168</v>
      </c>
    </row>
    <row r="25" spans="1:6" ht="31.5" x14ac:dyDescent="0.2">
      <c r="A25" s="98" t="s">
        <v>103</v>
      </c>
      <c r="B25" s="99" t="s">
        <v>82</v>
      </c>
      <c r="C25" s="100">
        <v>1</v>
      </c>
      <c r="D25" s="101">
        <v>7</v>
      </c>
      <c r="E25" s="101">
        <f t="shared" si="2"/>
        <v>28</v>
      </c>
      <c r="F25" s="101">
        <f t="shared" si="1"/>
        <v>84</v>
      </c>
    </row>
    <row r="26" spans="1:6" ht="15.75" x14ac:dyDescent="0.2">
      <c r="A26" s="98" t="s">
        <v>104</v>
      </c>
      <c r="B26" s="99" t="s">
        <v>105</v>
      </c>
      <c r="C26" s="100">
        <v>3</v>
      </c>
      <c r="D26" s="101">
        <v>21</v>
      </c>
      <c r="E26" s="101">
        <f t="shared" si="2"/>
        <v>84</v>
      </c>
      <c r="F26" s="101">
        <f t="shared" si="1"/>
        <v>252</v>
      </c>
    </row>
    <row r="27" spans="1:6" ht="15.75" x14ac:dyDescent="0.2">
      <c r="A27" s="98" t="s">
        <v>106</v>
      </c>
      <c r="B27" s="99" t="s">
        <v>82</v>
      </c>
      <c r="C27" s="102">
        <v>1</v>
      </c>
      <c r="D27" s="101">
        <v>7</v>
      </c>
      <c r="E27" s="101">
        <f t="shared" si="2"/>
        <v>28</v>
      </c>
      <c r="F27" s="101">
        <f t="shared" si="1"/>
        <v>84</v>
      </c>
    </row>
    <row r="28" spans="1:6" ht="31.5" x14ac:dyDescent="0.2">
      <c r="A28" s="98" t="s">
        <v>107</v>
      </c>
      <c r="B28" s="99" t="s">
        <v>108</v>
      </c>
      <c r="C28" s="100">
        <v>4</v>
      </c>
      <c r="D28" s="101">
        <v>28</v>
      </c>
      <c r="E28" s="101">
        <f t="shared" si="2"/>
        <v>112</v>
      </c>
      <c r="F28" s="101">
        <f t="shared" si="1"/>
        <v>336</v>
      </c>
    </row>
    <row r="29" spans="1:6" ht="15.75" x14ac:dyDescent="0.2">
      <c r="A29" s="98" t="s">
        <v>109</v>
      </c>
      <c r="B29" s="99" t="s">
        <v>108</v>
      </c>
      <c r="C29" s="102">
        <v>2</v>
      </c>
      <c r="D29" s="101">
        <v>14</v>
      </c>
      <c r="E29" s="101">
        <f t="shared" si="2"/>
        <v>56</v>
      </c>
      <c r="F29" s="101">
        <f t="shared" si="1"/>
        <v>168</v>
      </c>
    </row>
    <row r="30" spans="1:6" ht="15.75" x14ac:dyDescent="0.2">
      <c r="A30" s="103" t="s">
        <v>110</v>
      </c>
      <c r="B30" s="99" t="s">
        <v>108</v>
      </c>
      <c r="C30" s="100">
        <v>3</v>
      </c>
      <c r="D30" s="101">
        <v>21</v>
      </c>
      <c r="E30" s="101">
        <f t="shared" si="2"/>
        <v>84</v>
      </c>
      <c r="F30" s="101">
        <f t="shared" si="1"/>
        <v>252</v>
      </c>
    </row>
    <row r="31" spans="1:6" ht="31.5" x14ac:dyDescent="0.2">
      <c r="A31" s="103" t="s">
        <v>111</v>
      </c>
      <c r="B31" s="99" t="s">
        <v>108</v>
      </c>
      <c r="C31" s="100">
        <v>1</v>
      </c>
      <c r="D31" s="101">
        <v>7</v>
      </c>
      <c r="E31" s="101">
        <f t="shared" si="2"/>
        <v>28</v>
      </c>
      <c r="F31" s="101">
        <f t="shared" si="1"/>
        <v>84</v>
      </c>
    </row>
    <row r="32" spans="1:6" ht="31.5" x14ac:dyDescent="0.2">
      <c r="A32" s="103" t="s">
        <v>112</v>
      </c>
      <c r="B32" s="99" t="s">
        <v>162</v>
      </c>
      <c r="C32" s="100">
        <v>1</v>
      </c>
      <c r="D32" s="101">
        <v>7</v>
      </c>
      <c r="E32" s="101">
        <f t="shared" si="2"/>
        <v>28</v>
      </c>
      <c r="F32" s="101">
        <f t="shared" si="1"/>
        <v>84</v>
      </c>
    </row>
    <row r="33" spans="1:6" ht="15.75" x14ac:dyDescent="0.2">
      <c r="A33" s="98" t="s">
        <v>113</v>
      </c>
      <c r="B33" s="99" t="s">
        <v>114</v>
      </c>
      <c r="C33" s="100">
        <v>2</v>
      </c>
      <c r="D33" s="101">
        <v>14</v>
      </c>
      <c r="E33" s="101">
        <f t="shared" si="2"/>
        <v>56</v>
      </c>
      <c r="F33" s="101">
        <f t="shared" si="1"/>
        <v>168</v>
      </c>
    </row>
    <row r="34" spans="1:6" ht="47.25" x14ac:dyDescent="0.2">
      <c r="A34" s="98" t="s">
        <v>115</v>
      </c>
      <c r="B34" s="99" t="s">
        <v>116</v>
      </c>
      <c r="C34" s="100">
        <v>5</v>
      </c>
      <c r="D34" s="101">
        <v>35</v>
      </c>
      <c r="E34" s="101">
        <f t="shared" si="2"/>
        <v>140</v>
      </c>
      <c r="F34" s="101">
        <f t="shared" si="1"/>
        <v>420</v>
      </c>
    </row>
    <row r="35" spans="1:6" ht="31.5" x14ac:dyDescent="0.2">
      <c r="A35" s="98" t="s">
        <v>117</v>
      </c>
      <c r="B35" s="99" t="s">
        <v>108</v>
      </c>
      <c r="C35" s="100">
        <v>1</v>
      </c>
      <c r="D35" s="101">
        <v>7</v>
      </c>
      <c r="E35" s="101">
        <f t="shared" si="2"/>
        <v>28</v>
      </c>
      <c r="F35" s="101">
        <f t="shared" si="1"/>
        <v>84</v>
      </c>
    </row>
    <row r="36" spans="1:6" ht="15.75" x14ac:dyDescent="0.2">
      <c r="A36" s="98" t="s">
        <v>118</v>
      </c>
      <c r="B36" s="99" t="s">
        <v>119</v>
      </c>
      <c r="C36" s="100">
        <v>3</v>
      </c>
      <c r="D36" s="101">
        <v>21</v>
      </c>
      <c r="E36" s="101">
        <f t="shared" si="2"/>
        <v>84</v>
      </c>
      <c r="F36" s="101">
        <f t="shared" si="1"/>
        <v>252</v>
      </c>
    </row>
    <row r="37" spans="1:6" ht="31.5" x14ac:dyDescent="0.2">
      <c r="A37" s="98" t="s">
        <v>120</v>
      </c>
      <c r="B37" s="99" t="s">
        <v>121</v>
      </c>
      <c r="C37" s="100">
        <v>1</v>
      </c>
      <c r="D37" s="101">
        <v>7</v>
      </c>
      <c r="E37" s="101">
        <f t="shared" si="2"/>
        <v>28</v>
      </c>
      <c r="F37" s="101">
        <f t="shared" si="1"/>
        <v>84</v>
      </c>
    </row>
    <row r="38" spans="1:6" ht="31.5" x14ac:dyDescent="0.2">
      <c r="A38" s="98" t="s">
        <v>122</v>
      </c>
      <c r="B38" s="99" t="s">
        <v>123</v>
      </c>
      <c r="C38" s="100">
        <v>1</v>
      </c>
      <c r="D38" s="101">
        <v>7</v>
      </c>
      <c r="E38" s="101">
        <f t="shared" ref="E38:E53" si="3">+D38*4</f>
        <v>28</v>
      </c>
      <c r="F38" s="101">
        <f t="shared" si="1"/>
        <v>84</v>
      </c>
    </row>
    <row r="39" spans="1:6" ht="31.5" x14ac:dyDescent="0.2">
      <c r="A39" s="98" t="s">
        <v>124</v>
      </c>
      <c r="B39" s="99" t="s">
        <v>125</v>
      </c>
      <c r="C39" s="100">
        <v>1</v>
      </c>
      <c r="D39" s="101">
        <v>7</v>
      </c>
      <c r="E39" s="101">
        <f t="shared" si="3"/>
        <v>28</v>
      </c>
      <c r="F39" s="101">
        <f t="shared" si="1"/>
        <v>84</v>
      </c>
    </row>
    <row r="40" spans="1:6" ht="31.5" x14ac:dyDescent="0.2">
      <c r="A40" s="98" t="s">
        <v>126</v>
      </c>
      <c r="B40" s="99" t="s">
        <v>127</v>
      </c>
      <c r="C40" s="100">
        <v>2</v>
      </c>
      <c r="D40" s="101">
        <v>14</v>
      </c>
      <c r="E40" s="101">
        <f t="shared" si="3"/>
        <v>56</v>
      </c>
      <c r="F40" s="101">
        <f t="shared" si="1"/>
        <v>168</v>
      </c>
    </row>
    <row r="41" spans="1:6" ht="31.5" x14ac:dyDescent="0.2">
      <c r="A41" s="98" t="s">
        <v>128</v>
      </c>
      <c r="B41" s="99" t="s">
        <v>129</v>
      </c>
      <c r="C41" s="100">
        <v>2</v>
      </c>
      <c r="D41" s="101">
        <v>14</v>
      </c>
      <c r="E41" s="101">
        <f t="shared" si="3"/>
        <v>56</v>
      </c>
      <c r="F41" s="101">
        <f t="shared" si="1"/>
        <v>168</v>
      </c>
    </row>
    <row r="42" spans="1:6" ht="31.5" x14ac:dyDescent="0.2">
      <c r="A42" s="98" t="s">
        <v>130</v>
      </c>
      <c r="B42" s="99" t="s">
        <v>131</v>
      </c>
      <c r="C42" s="100">
        <v>2</v>
      </c>
      <c r="D42" s="101">
        <v>14</v>
      </c>
      <c r="E42" s="101">
        <f t="shared" si="3"/>
        <v>56</v>
      </c>
      <c r="F42" s="101">
        <f t="shared" si="1"/>
        <v>168</v>
      </c>
    </row>
    <row r="43" spans="1:6" ht="31.5" x14ac:dyDescent="0.2">
      <c r="A43" s="98" t="s">
        <v>132</v>
      </c>
      <c r="B43" s="99" t="s">
        <v>133</v>
      </c>
      <c r="C43" s="102">
        <v>2</v>
      </c>
      <c r="D43" s="101">
        <v>14</v>
      </c>
      <c r="E43" s="101">
        <f t="shared" si="3"/>
        <v>56</v>
      </c>
      <c r="F43" s="101">
        <f t="shared" si="1"/>
        <v>168</v>
      </c>
    </row>
    <row r="44" spans="1:6" ht="31.5" x14ac:dyDescent="0.2">
      <c r="A44" s="98" t="s">
        <v>134</v>
      </c>
      <c r="B44" s="99" t="s">
        <v>135</v>
      </c>
      <c r="C44" s="102">
        <v>1</v>
      </c>
      <c r="D44" s="101">
        <v>7</v>
      </c>
      <c r="E44" s="101">
        <f t="shared" si="3"/>
        <v>28</v>
      </c>
      <c r="F44" s="101">
        <f t="shared" si="1"/>
        <v>84</v>
      </c>
    </row>
    <row r="45" spans="1:6" ht="15.75" x14ac:dyDescent="0.2">
      <c r="A45" s="98" t="s">
        <v>136</v>
      </c>
      <c r="B45" s="99" t="s">
        <v>137</v>
      </c>
      <c r="C45" s="100">
        <v>2</v>
      </c>
      <c r="D45" s="101">
        <v>14</v>
      </c>
      <c r="E45" s="101">
        <f t="shared" si="3"/>
        <v>56</v>
      </c>
      <c r="F45" s="101">
        <f t="shared" si="1"/>
        <v>168</v>
      </c>
    </row>
    <row r="46" spans="1:6" ht="31.5" x14ac:dyDescent="0.25">
      <c r="A46" s="104" t="s">
        <v>138</v>
      </c>
      <c r="B46" s="105" t="s">
        <v>139</v>
      </c>
      <c r="C46" s="100">
        <v>1</v>
      </c>
      <c r="D46" s="110">
        <v>7</v>
      </c>
      <c r="E46" s="101">
        <f t="shared" si="3"/>
        <v>28</v>
      </c>
      <c r="F46" s="101">
        <f t="shared" si="1"/>
        <v>84</v>
      </c>
    </row>
    <row r="47" spans="1:6" ht="31.5" x14ac:dyDescent="0.2">
      <c r="A47" s="98" t="s">
        <v>140</v>
      </c>
      <c r="B47" s="99" t="s">
        <v>137</v>
      </c>
      <c r="C47" s="109">
        <v>1</v>
      </c>
      <c r="D47" s="110">
        <v>7</v>
      </c>
      <c r="E47" s="101">
        <f t="shared" si="3"/>
        <v>28</v>
      </c>
      <c r="F47" s="101">
        <f t="shared" si="1"/>
        <v>84</v>
      </c>
    </row>
    <row r="48" spans="1:6" ht="31.5" x14ac:dyDescent="0.25">
      <c r="A48" s="98" t="s">
        <v>141</v>
      </c>
      <c r="B48" s="106" t="s">
        <v>137</v>
      </c>
      <c r="C48" s="109">
        <v>1</v>
      </c>
      <c r="D48" s="110">
        <v>7</v>
      </c>
      <c r="E48" s="101">
        <f t="shared" si="3"/>
        <v>28</v>
      </c>
      <c r="F48" s="101">
        <f t="shared" si="1"/>
        <v>84</v>
      </c>
    </row>
    <row r="49" spans="1:6" ht="31.5" x14ac:dyDescent="0.25">
      <c r="A49" s="98" t="s">
        <v>142</v>
      </c>
      <c r="B49" s="106" t="s">
        <v>139</v>
      </c>
      <c r="C49" s="109">
        <v>1</v>
      </c>
      <c r="D49" s="110">
        <v>7</v>
      </c>
      <c r="E49" s="101">
        <f t="shared" si="3"/>
        <v>28</v>
      </c>
      <c r="F49" s="101">
        <f t="shared" si="1"/>
        <v>84</v>
      </c>
    </row>
    <row r="50" spans="1:6" ht="31.5" x14ac:dyDescent="0.25">
      <c r="A50" s="98" t="s">
        <v>143</v>
      </c>
      <c r="B50" s="106" t="s">
        <v>137</v>
      </c>
      <c r="C50" s="109">
        <v>1</v>
      </c>
      <c r="D50" s="110">
        <v>7</v>
      </c>
      <c r="E50" s="101">
        <f t="shared" si="3"/>
        <v>28</v>
      </c>
      <c r="F50" s="101">
        <f t="shared" si="1"/>
        <v>84</v>
      </c>
    </row>
    <row r="51" spans="1:6" ht="31.5" x14ac:dyDescent="0.25">
      <c r="A51" s="98" t="s">
        <v>144</v>
      </c>
      <c r="B51" s="106" t="s">
        <v>137</v>
      </c>
      <c r="C51" s="109">
        <v>2</v>
      </c>
      <c r="D51" s="109">
        <v>14</v>
      </c>
      <c r="E51" s="101">
        <f t="shared" si="3"/>
        <v>56</v>
      </c>
      <c r="F51" s="101">
        <f t="shared" si="1"/>
        <v>168</v>
      </c>
    </row>
    <row r="52" spans="1:6" ht="31.5" x14ac:dyDescent="0.25">
      <c r="A52" s="98" t="s">
        <v>145</v>
      </c>
      <c r="B52" s="106" t="s">
        <v>137</v>
      </c>
      <c r="C52" s="109">
        <v>1</v>
      </c>
      <c r="D52" s="109">
        <v>7</v>
      </c>
      <c r="E52" s="101">
        <f t="shared" si="3"/>
        <v>28</v>
      </c>
      <c r="F52" s="101">
        <f t="shared" si="1"/>
        <v>84</v>
      </c>
    </row>
    <row r="53" spans="1:6" ht="47.25" x14ac:dyDescent="0.25">
      <c r="A53" s="98" t="s">
        <v>146</v>
      </c>
      <c r="B53" s="106" t="s">
        <v>139</v>
      </c>
      <c r="C53" s="109">
        <v>3</v>
      </c>
      <c r="D53" s="109">
        <v>21</v>
      </c>
      <c r="E53" s="101">
        <f t="shared" si="3"/>
        <v>84</v>
      </c>
      <c r="F53" s="101">
        <f t="shared" si="1"/>
        <v>252</v>
      </c>
    </row>
    <row r="54" spans="1:6" ht="31.5" x14ac:dyDescent="0.25">
      <c r="A54" s="98" t="s">
        <v>147</v>
      </c>
      <c r="B54" s="106" t="s">
        <v>137</v>
      </c>
      <c r="C54" s="109">
        <v>5</v>
      </c>
      <c r="D54" s="109">
        <v>35</v>
      </c>
      <c r="E54" s="101">
        <f t="shared" ref="E54:E59" si="4">+D54*4</f>
        <v>140</v>
      </c>
      <c r="F54" s="101">
        <f t="shared" si="1"/>
        <v>420</v>
      </c>
    </row>
    <row r="55" spans="1:6" ht="15.75" x14ac:dyDescent="0.25">
      <c r="A55" s="98" t="s">
        <v>148</v>
      </c>
      <c r="B55" s="106" t="s">
        <v>149</v>
      </c>
      <c r="C55" s="109">
        <v>3</v>
      </c>
      <c r="D55" s="109">
        <v>21</v>
      </c>
      <c r="E55" s="101">
        <f t="shared" si="4"/>
        <v>84</v>
      </c>
      <c r="F55" s="101">
        <f t="shared" si="1"/>
        <v>252</v>
      </c>
    </row>
    <row r="56" spans="1:6" ht="15.75" x14ac:dyDescent="0.25">
      <c r="A56" s="98" t="s">
        <v>150</v>
      </c>
      <c r="B56" s="106" t="s">
        <v>151</v>
      </c>
      <c r="C56" s="109">
        <v>3</v>
      </c>
      <c r="D56" s="109">
        <v>21</v>
      </c>
      <c r="E56" s="101">
        <f t="shared" si="4"/>
        <v>84</v>
      </c>
      <c r="F56" s="101">
        <f t="shared" si="1"/>
        <v>252</v>
      </c>
    </row>
    <row r="57" spans="1:6" ht="15.75" x14ac:dyDescent="0.25">
      <c r="A57" s="98" t="s">
        <v>152</v>
      </c>
      <c r="B57" s="106" t="s">
        <v>153</v>
      </c>
      <c r="C57" s="109">
        <v>3</v>
      </c>
      <c r="D57" s="109">
        <v>21</v>
      </c>
      <c r="E57" s="101">
        <f t="shared" si="4"/>
        <v>84</v>
      </c>
      <c r="F57" s="101">
        <f t="shared" si="1"/>
        <v>252</v>
      </c>
    </row>
    <row r="58" spans="1:6" ht="15.75" x14ac:dyDescent="0.25">
      <c r="A58" s="98" t="s">
        <v>154</v>
      </c>
      <c r="B58" s="106" t="s">
        <v>155</v>
      </c>
      <c r="C58" s="109">
        <v>2</v>
      </c>
      <c r="D58" s="109">
        <v>14</v>
      </c>
      <c r="E58" s="101">
        <f t="shared" si="4"/>
        <v>56</v>
      </c>
      <c r="F58" s="101">
        <f t="shared" si="1"/>
        <v>168</v>
      </c>
    </row>
    <row r="59" spans="1:6" ht="15.75" x14ac:dyDescent="0.25">
      <c r="A59" s="98" t="s">
        <v>156</v>
      </c>
      <c r="B59" s="106" t="s">
        <v>139</v>
      </c>
      <c r="C59" s="109">
        <v>5</v>
      </c>
      <c r="D59" s="109">
        <v>35</v>
      </c>
      <c r="E59" s="101">
        <f t="shared" si="4"/>
        <v>140</v>
      </c>
      <c r="F59" s="101">
        <f t="shared" si="1"/>
        <v>420</v>
      </c>
    </row>
    <row r="60" spans="1:6" s="93" customFormat="1" ht="18.75" x14ac:dyDescent="0.3">
      <c r="A60" s="124" t="s">
        <v>157</v>
      </c>
      <c r="B60" s="125"/>
      <c r="C60" s="107">
        <f>SUM(C5:C59)</f>
        <v>104</v>
      </c>
      <c r="D60" s="108">
        <f>SUM(D5:D59)</f>
        <v>728</v>
      </c>
      <c r="E60" s="108">
        <f>SUM(E5:E59)</f>
        <v>2912</v>
      </c>
      <c r="F60" s="108">
        <f>SUM(F5:F59)</f>
        <v>8736</v>
      </c>
    </row>
  </sheetData>
  <mergeCells count="2">
    <mergeCell ref="A2:F2"/>
    <mergeCell ref="A60:B60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18"/>
  <sheetViews>
    <sheetView zoomScale="110" zoomScaleNormal="110" workbookViewId="0">
      <selection activeCell="D7" sqref="D7:K7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126" t="s">
        <v>20</v>
      </c>
      <c r="B1" s="126"/>
      <c r="C1" s="126"/>
      <c r="D1" s="126"/>
      <c r="E1" s="126"/>
      <c r="F1" s="126"/>
      <c r="G1" s="126"/>
      <c r="H1" s="126"/>
      <c r="I1" s="126"/>
      <c r="J1" s="86" t="s">
        <v>21</v>
      </c>
      <c r="K1" s="87" t="s">
        <v>160</v>
      </c>
    </row>
    <row r="2" spans="1:11" ht="18.75" customHeight="1" thickBot="1" x14ac:dyDescent="0.25">
      <c r="A2" s="88"/>
      <c r="B2" s="88"/>
      <c r="C2" s="88"/>
      <c r="D2" s="89"/>
      <c r="E2" s="89"/>
      <c r="F2" s="89"/>
      <c r="G2" s="89"/>
      <c r="H2" s="89"/>
      <c r="I2" s="89"/>
      <c r="J2" s="89"/>
      <c r="K2" s="89"/>
    </row>
    <row r="3" spans="1:11" ht="18.75" customHeight="1" thickBot="1" x14ac:dyDescent="0.25">
      <c r="A3" s="127" t="s">
        <v>54</v>
      </c>
      <c r="B3" s="127"/>
      <c r="C3" s="127"/>
      <c r="D3" s="128" t="str">
        <f>'Necesidades Trimestrales'!C4</f>
        <v>45- Ministerio de Desarrollo Social y Deporte</v>
      </c>
      <c r="E3" s="128"/>
      <c r="F3" s="128"/>
      <c r="G3" s="128"/>
      <c r="H3" s="128"/>
      <c r="I3" s="128"/>
      <c r="J3" s="128"/>
      <c r="K3" s="128"/>
    </row>
    <row r="4" spans="1:11" ht="18.75" customHeight="1" thickBot="1" x14ac:dyDescent="0.25">
      <c r="A4" s="129" t="s">
        <v>55</v>
      </c>
      <c r="B4" s="129"/>
      <c r="C4" s="129"/>
      <c r="D4" s="128" t="str">
        <f>'Necesidades Trimestrales'!C5</f>
        <v>25- Direccion Provincial de Gestion Administrativa y RRHH</v>
      </c>
      <c r="E4" s="128"/>
      <c r="F4" s="128"/>
      <c r="G4" s="128"/>
      <c r="H4" s="128"/>
      <c r="I4" s="128"/>
      <c r="J4" s="128"/>
      <c r="K4" s="128"/>
    </row>
    <row r="5" spans="1:11" ht="18.75" customHeight="1" thickBot="1" x14ac:dyDescent="0.25">
      <c r="A5" s="129" t="s">
        <v>33</v>
      </c>
      <c r="B5" s="129"/>
      <c r="C5" s="129"/>
      <c r="D5" s="128" t="s">
        <v>67</v>
      </c>
      <c r="E5" s="128"/>
      <c r="F5" s="128"/>
      <c r="G5" s="128"/>
      <c r="H5" s="128"/>
      <c r="I5" s="128"/>
      <c r="J5" s="128"/>
      <c r="K5" s="128"/>
    </row>
    <row r="6" spans="1:11" ht="16.5" customHeight="1" thickBot="1" x14ac:dyDescent="0.25">
      <c r="A6" s="127" t="s">
        <v>56</v>
      </c>
      <c r="B6" s="127"/>
      <c r="C6" s="127"/>
      <c r="D6" s="128" t="s">
        <v>66</v>
      </c>
      <c r="E6" s="128"/>
      <c r="F6" s="128"/>
      <c r="G6" s="128"/>
      <c r="H6" s="128"/>
      <c r="I6" s="128"/>
      <c r="J6" s="128"/>
      <c r="K6" s="128"/>
    </row>
    <row r="7" spans="1:11" ht="16.5" customHeight="1" x14ac:dyDescent="0.2">
      <c r="A7" s="129" t="s">
        <v>22</v>
      </c>
      <c r="B7" s="129"/>
      <c r="C7" s="129"/>
      <c r="D7" s="128" t="str">
        <f>'Necesidades Trimestrales'!C7 &amp; "° Trimestre - Año " &amp; 'Necesidades Trimestrales'!C6</f>
        <v>4° Trimestre - Año 2021</v>
      </c>
      <c r="E7" s="128"/>
      <c r="F7" s="128"/>
      <c r="G7" s="128"/>
      <c r="H7" s="128"/>
      <c r="I7" s="128"/>
      <c r="J7" s="128"/>
      <c r="K7" s="128"/>
    </row>
    <row r="8" spans="1:11" ht="35.25" customHeight="1" x14ac:dyDescent="0.2">
      <c r="A8" s="130" t="s">
        <v>23</v>
      </c>
      <c r="B8" s="130"/>
      <c r="C8" s="130"/>
      <c r="D8" s="131" t="s">
        <v>68</v>
      </c>
      <c r="E8" s="131"/>
      <c r="F8" s="131"/>
      <c r="G8" s="131"/>
      <c r="H8" s="131"/>
      <c r="I8" s="131"/>
      <c r="J8" s="131"/>
      <c r="K8" s="131"/>
    </row>
    <row r="9" spans="1:11" ht="15.75" x14ac:dyDescent="0.2">
      <c r="A9" s="90"/>
      <c r="B9" s="90"/>
      <c r="C9" s="90"/>
      <c r="D9" s="91"/>
      <c r="E9" s="91"/>
      <c r="F9" s="91"/>
      <c r="G9" s="91"/>
      <c r="H9" s="91"/>
      <c r="I9" s="91"/>
      <c r="J9" s="91"/>
      <c r="K9" s="91"/>
    </row>
    <row r="10" spans="1:11" ht="18.75" customHeight="1" x14ac:dyDescent="0.2">
      <c r="A10" s="132" t="s">
        <v>24</v>
      </c>
      <c r="B10" s="133" t="s">
        <v>25</v>
      </c>
      <c r="C10" s="133" t="s">
        <v>26</v>
      </c>
      <c r="D10" s="133"/>
      <c r="E10" s="133"/>
      <c r="F10" s="133"/>
      <c r="G10" s="133"/>
      <c r="H10" s="133" t="s">
        <v>27</v>
      </c>
      <c r="I10" s="133" t="s">
        <v>28</v>
      </c>
      <c r="J10" s="133" t="s">
        <v>29</v>
      </c>
      <c r="K10" s="134" t="s">
        <v>30</v>
      </c>
    </row>
    <row r="11" spans="1:11" ht="24" customHeight="1" x14ac:dyDescent="0.2">
      <c r="A11" s="132"/>
      <c r="B11" s="133"/>
      <c r="C11" s="133"/>
      <c r="D11" s="133"/>
      <c r="E11" s="133"/>
      <c r="F11" s="133"/>
      <c r="G11" s="133"/>
      <c r="H11" s="133"/>
      <c r="I11" s="133"/>
      <c r="J11" s="133"/>
      <c r="K11" s="134"/>
    </row>
    <row r="12" spans="1:11" ht="43.5" customHeight="1" thickBot="1" x14ac:dyDescent="0.25">
      <c r="A12" s="34">
        <v>1</v>
      </c>
      <c r="B12" s="33" t="str">
        <f>'Necesidades Trimestrales'!B10</f>
        <v>2.1.1-478.65</v>
      </c>
      <c r="C12" s="136" t="str">
        <f>'Necesidades Trimestrales'!E10</f>
        <v>AGUA MINERAL; TIPO: SIN GAS BAJA EN SODIO, PRESENTACION: ENVASE X 20 L, MATERIAL ENVASE: PLASTICO 1-PET, TIPO ENVASE: RETORNABLE, ELEM. TRANSPORTE: SIN, MATERIAL ELEM. TRANSPORTE: SIN</v>
      </c>
      <c r="D12" s="136"/>
      <c r="E12" s="136"/>
      <c r="F12" s="136"/>
      <c r="G12" s="136"/>
      <c r="H12" s="34" t="s">
        <v>64</v>
      </c>
      <c r="I12" s="35" t="str">
        <f>'Necesidades Trimestrales'!F10</f>
        <v>UNIDADES</v>
      </c>
      <c r="J12" s="36">
        <v>400.64</v>
      </c>
      <c r="K12" s="37">
        <f>+'Necesidades Trimestrales'!G10</f>
        <v>8736</v>
      </c>
    </row>
    <row r="13" spans="1:11" ht="45" customHeight="1" thickBot="1" x14ac:dyDescent="0.25">
      <c r="A13" s="92">
        <v>2</v>
      </c>
      <c r="B13" s="33"/>
      <c r="C13" s="136"/>
      <c r="D13" s="136"/>
      <c r="E13" s="136"/>
      <c r="F13" s="136"/>
      <c r="G13" s="136"/>
      <c r="H13" s="34"/>
      <c r="I13" s="35"/>
      <c r="J13" s="36"/>
      <c r="K13" s="37"/>
    </row>
    <row r="14" spans="1:11" ht="33.75" customHeight="1" thickBot="1" x14ac:dyDescent="0.25">
      <c r="A14" s="92">
        <v>3</v>
      </c>
      <c r="B14" s="33"/>
      <c r="C14" s="136"/>
      <c r="D14" s="136"/>
      <c r="E14" s="136"/>
      <c r="F14" s="136"/>
      <c r="G14" s="136"/>
      <c r="H14" s="34"/>
      <c r="I14" s="35"/>
      <c r="J14" s="36"/>
      <c r="K14" s="37"/>
    </row>
    <row r="15" spans="1:11" ht="20.25" customHeight="1" thickBot="1" x14ac:dyDescent="0.25">
      <c r="A15" s="92"/>
      <c r="B15" s="33"/>
      <c r="C15" s="136"/>
      <c r="D15" s="136"/>
      <c r="E15" s="136"/>
      <c r="F15" s="136"/>
      <c r="G15" s="136"/>
      <c r="H15" s="34"/>
      <c r="I15" s="35"/>
      <c r="J15" s="36"/>
      <c r="K15" s="37"/>
    </row>
    <row r="16" spans="1:11" ht="26.25" customHeight="1" thickBot="1" x14ac:dyDescent="0.25">
      <c r="A16" s="92"/>
      <c r="B16" s="33"/>
      <c r="C16" s="136"/>
      <c r="D16" s="136"/>
      <c r="E16" s="136"/>
      <c r="F16" s="136"/>
      <c r="G16" s="136"/>
      <c r="H16" s="34"/>
      <c r="I16" s="35"/>
      <c r="J16" s="36"/>
      <c r="K16" s="37"/>
    </row>
    <row r="17" spans="1:11" ht="27.75" customHeight="1" thickBot="1" x14ac:dyDescent="0.25">
      <c r="A17" s="92"/>
      <c r="B17" s="33"/>
      <c r="C17" s="136"/>
      <c r="D17" s="136"/>
      <c r="E17" s="136"/>
      <c r="F17" s="136"/>
      <c r="G17" s="136"/>
      <c r="H17" s="34"/>
      <c r="I17" s="35"/>
      <c r="J17" s="36"/>
      <c r="K17" s="37"/>
    </row>
    <row r="18" spans="1:11" ht="26.25" customHeight="1" thickBot="1" x14ac:dyDescent="0.25">
      <c r="A18" s="128" t="s">
        <v>73</v>
      </c>
      <c r="B18" s="128"/>
      <c r="C18" s="128"/>
      <c r="D18" s="128"/>
      <c r="E18" s="128"/>
      <c r="F18" s="128"/>
      <c r="G18" s="128"/>
      <c r="H18" s="128"/>
      <c r="I18" s="128"/>
      <c r="J18" s="135">
        <f>+J12*K12</f>
        <v>3499991.04</v>
      </c>
      <c r="K18" s="135"/>
    </row>
  </sheetData>
  <mergeCells count="28">
    <mergeCell ref="A18:I18"/>
    <mergeCell ref="J18:K18"/>
    <mergeCell ref="C12:G12"/>
    <mergeCell ref="C13:G13"/>
    <mergeCell ref="C14:G14"/>
    <mergeCell ref="C15:G15"/>
    <mergeCell ref="C16:G16"/>
    <mergeCell ref="C17:G17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85039370078741" right="0.19685039370078741" top="0.98425196850393704" bottom="0.98425196850393704" header="0.51181102362204722" footer="0.51181102362204722"/>
  <pageSetup paperSize="5" scale="90" firstPageNumber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4"/>
  <sheetViews>
    <sheetView zoomScale="130" zoomScaleNormal="130" workbookViewId="0">
      <selection activeCell="R10" sqref="R10"/>
    </sheetView>
  </sheetViews>
  <sheetFormatPr baseColWidth="10" defaultColWidth="11" defaultRowHeight="12.75" x14ac:dyDescent="0.2"/>
  <cols>
    <col min="1" max="4" width="4.42578125" customWidth="1"/>
    <col min="5" max="5" width="3.7109375" bestFit="1" customWidth="1"/>
    <col min="6" max="6" width="5" bestFit="1" customWidth="1"/>
    <col min="7" max="7" width="4.42578125" style="3" customWidth="1"/>
    <col min="8" max="11" width="4.42578125" customWidth="1"/>
    <col min="12" max="12" width="5.85546875" bestFit="1" customWidth="1"/>
    <col min="13" max="14" width="4.42578125" customWidth="1"/>
    <col min="15" max="16" width="14.85546875" customWidth="1"/>
    <col min="17" max="17" width="13.28515625" bestFit="1" customWidth="1"/>
  </cols>
  <sheetData>
    <row r="1" spans="1:18" ht="15.75" customHeight="1" x14ac:dyDescent="0.25">
      <c r="A1" s="137" t="s">
        <v>3</v>
      </c>
      <c r="B1" s="137"/>
      <c r="C1" s="137"/>
      <c r="D1" s="138">
        <f>'Necesidades Trimestrales'!C6</f>
        <v>2021</v>
      </c>
      <c r="E1" s="138"/>
      <c r="F1" s="4"/>
      <c r="G1" s="4"/>
      <c r="H1" s="5"/>
      <c r="I1" s="5"/>
      <c r="J1" s="5"/>
      <c r="K1" s="5"/>
      <c r="L1" s="5"/>
      <c r="M1" s="5"/>
      <c r="N1" s="5"/>
      <c r="P1" s="139" t="s">
        <v>31</v>
      </c>
      <c r="Q1" s="139"/>
    </row>
    <row r="2" spans="1:18" ht="15.75" customHeight="1" x14ac:dyDescent="0.2">
      <c r="H2" s="5"/>
      <c r="I2" s="5"/>
      <c r="J2" s="5"/>
      <c r="K2" s="5"/>
      <c r="L2" s="5"/>
      <c r="M2" s="5"/>
      <c r="N2" s="5"/>
      <c r="P2" s="139"/>
      <c r="Q2" s="139"/>
    </row>
    <row r="4" spans="1:18" s="6" customFormat="1" ht="18" customHeight="1" thickBot="1" x14ac:dyDescent="0.25">
      <c r="A4" s="140" t="s">
        <v>32</v>
      </c>
      <c r="B4" s="140"/>
      <c r="C4" s="140"/>
      <c r="D4" s="140"/>
      <c r="E4" s="140"/>
      <c r="F4" s="140"/>
      <c r="G4" s="141" t="str">
        <f>' NotaPedido'!D3</f>
        <v>45- Ministerio de Desarrollo Social y Deporte</v>
      </c>
      <c r="H4" s="141"/>
      <c r="I4" s="141"/>
      <c r="J4" s="141"/>
      <c r="K4" s="141"/>
      <c r="L4" s="141"/>
      <c r="M4" s="141"/>
      <c r="N4" s="141"/>
      <c r="O4" s="141"/>
      <c r="P4" s="141"/>
      <c r="Q4" s="141"/>
    </row>
    <row r="5" spans="1:18" s="6" customFormat="1" ht="18" customHeight="1" thickBot="1" x14ac:dyDescent="0.25">
      <c r="A5" s="142" t="s">
        <v>55</v>
      </c>
      <c r="B5" s="143"/>
      <c r="C5" s="143"/>
      <c r="D5" s="143"/>
      <c r="E5" s="143"/>
      <c r="F5" s="144"/>
      <c r="G5" s="141" t="str">
        <f>' NotaPedido'!D4</f>
        <v>25- Direccion Provincial de Gestion Administrativa y RRHH</v>
      </c>
      <c r="H5" s="141"/>
      <c r="I5" s="141"/>
      <c r="J5" s="141"/>
      <c r="K5" s="141"/>
      <c r="L5" s="141"/>
      <c r="M5" s="141"/>
      <c r="N5" s="141"/>
      <c r="O5" s="141"/>
      <c r="P5" s="141"/>
      <c r="Q5" s="141"/>
    </row>
    <row r="6" spans="1:18" s="6" customFormat="1" ht="18" customHeight="1" thickBot="1" x14ac:dyDescent="0.25">
      <c r="A6" s="142" t="s">
        <v>33</v>
      </c>
      <c r="B6" s="143"/>
      <c r="C6" s="143"/>
      <c r="D6" s="143"/>
      <c r="E6" s="143"/>
      <c r="F6" s="144"/>
      <c r="G6" s="141" t="s">
        <v>65</v>
      </c>
      <c r="H6" s="141"/>
      <c r="I6" s="141"/>
      <c r="J6" s="141"/>
      <c r="K6" s="141"/>
      <c r="L6" s="141"/>
      <c r="M6" s="141"/>
      <c r="N6" s="141"/>
      <c r="O6" s="141"/>
      <c r="P6" s="141"/>
      <c r="Q6" s="141"/>
    </row>
    <row r="7" spans="1:18" s="6" customFormat="1" ht="18" customHeight="1" thickBot="1" x14ac:dyDescent="0.25">
      <c r="A7" s="142" t="s">
        <v>56</v>
      </c>
      <c r="B7" s="143"/>
      <c r="C7" s="143"/>
      <c r="D7" s="143"/>
      <c r="E7" s="143"/>
      <c r="F7" s="144"/>
      <c r="G7" s="141" t="s">
        <v>66</v>
      </c>
      <c r="H7" s="141"/>
      <c r="I7" s="141"/>
      <c r="J7" s="141"/>
      <c r="K7" s="141"/>
      <c r="L7" s="141"/>
      <c r="M7" s="141"/>
      <c r="N7" s="141"/>
      <c r="O7" s="141"/>
      <c r="P7" s="141"/>
      <c r="Q7" s="141"/>
    </row>
    <row r="8" spans="1:18" ht="18" customHeight="1" thickBot="1" x14ac:dyDescent="0.25">
      <c r="A8" s="145" t="s">
        <v>34</v>
      </c>
      <c r="B8" s="145"/>
      <c r="C8" s="145"/>
      <c r="D8" s="145"/>
      <c r="E8" s="145"/>
      <c r="F8" s="145"/>
      <c r="G8" s="145"/>
      <c r="H8" s="145"/>
      <c r="I8" s="145"/>
      <c r="J8" s="145"/>
      <c r="K8" s="145"/>
      <c r="L8" s="145"/>
      <c r="M8" s="145"/>
      <c r="N8" s="145"/>
      <c r="O8" s="145"/>
      <c r="P8" s="145"/>
      <c r="Q8" s="145"/>
    </row>
    <row r="9" spans="1:18" ht="18" customHeight="1" x14ac:dyDescent="0.2">
      <c r="A9" s="150" t="s">
        <v>35</v>
      </c>
      <c r="B9" s="150"/>
      <c r="C9" s="150"/>
      <c r="D9" s="150"/>
      <c r="E9" s="150"/>
      <c r="F9" s="150"/>
      <c r="G9" s="150"/>
      <c r="H9" s="150"/>
      <c r="I9" s="150"/>
      <c r="J9" s="150"/>
      <c r="K9" s="150"/>
      <c r="L9" s="150"/>
      <c r="M9" s="150"/>
      <c r="N9" s="150"/>
      <c r="O9" s="1"/>
      <c r="P9" s="1"/>
      <c r="Q9" s="7"/>
    </row>
    <row r="10" spans="1:18" ht="54.75" customHeight="1" x14ac:dyDescent="0.2">
      <c r="A10" s="151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724/2021,  afectando la erogación resultante a los créditos presupuestarios aprobados a favor de esta Unidad Ejecutora, conforme al siguiente detalle:</v>
      </c>
      <c r="B10" s="151"/>
      <c r="C10" s="151"/>
      <c r="D10" s="151"/>
      <c r="E10" s="151"/>
      <c r="F10" s="151"/>
      <c r="G10" s="151"/>
      <c r="H10" s="151"/>
      <c r="I10" s="151"/>
      <c r="J10" s="151"/>
      <c r="K10" s="151"/>
      <c r="L10" s="151"/>
      <c r="M10" s="151"/>
      <c r="N10" s="151"/>
      <c r="O10" s="151"/>
      <c r="P10" s="151"/>
      <c r="Q10" s="151"/>
    </row>
    <row r="11" spans="1:18" ht="9" customHeight="1" x14ac:dyDescent="0.2">
      <c r="A11" s="8"/>
      <c r="B11" s="9"/>
      <c r="C11" s="9"/>
      <c r="D11" s="9"/>
      <c r="E11" s="9"/>
      <c r="F11" s="9"/>
      <c r="G11" s="10"/>
      <c r="H11" s="9"/>
      <c r="I11" s="9"/>
      <c r="J11" s="9"/>
      <c r="K11" s="9"/>
      <c r="L11" s="9"/>
      <c r="M11" s="9"/>
      <c r="N11" s="9"/>
      <c r="O11" s="9"/>
      <c r="P11" s="9"/>
      <c r="Q11" s="11"/>
    </row>
    <row r="12" spans="1:18" ht="15.75" customHeight="1" x14ac:dyDescent="0.2">
      <c r="A12" s="152" t="s">
        <v>36</v>
      </c>
      <c r="B12" s="152"/>
      <c r="C12" s="152"/>
      <c r="D12" s="152"/>
      <c r="E12" s="152"/>
      <c r="F12" s="152"/>
      <c r="G12" s="152"/>
      <c r="H12" s="152"/>
      <c r="I12" s="152"/>
      <c r="J12" s="152"/>
      <c r="K12" s="152"/>
      <c r="L12" s="152"/>
      <c r="M12" s="152"/>
      <c r="N12" s="152"/>
      <c r="O12" s="152"/>
      <c r="P12" s="152"/>
      <c r="Q12" s="152"/>
    </row>
    <row r="13" spans="1:18" ht="15.75" customHeight="1" x14ac:dyDescent="0.2">
      <c r="A13" s="153" t="s">
        <v>37</v>
      </c>
      <c r="B13" s="153"/>
      <c r="C13" s="153"/>
      <c r="D13" s="153"/>
      <c r="E13" s="153"/>
      <c r="F13" s="153"/>
      <c r="G13" s="153"/>
      <c r="H13" s="153"/>
      <c r="I13" s="153"/>
      <c r="J13" s="153"/>
      <c r="K13" s="153"/>
      <c r="L13" s="153"/>
      <c r="M13" s="153"/>
      <c r="N13" s="153"/>
      <c r="O13" s="154" t="s">
        <v>38</v>
      </c>
      <c r="P13" s="154"/>
      <c r="Q13" s="155" t="s">
        <v>39</v>
      </c>
    </row>
    <row r="14" spans="1:18" ht="15.75" customHeight="1" x14ac:dyDescent="0.2">
      <c r="A14" s="12" t="s">
        <v>40</v>
      </c>
      <c r="B14" s="13" t="s">
        <v>41</v>
      </c>
      <c r="C14" s="13" t="s">
        <v>42</v>
      </c>
      <c r="D14" s="13" t="s">
        <v>43</v>
      </c>
      <c r="E14" s="13" t="s">
        <v>44</v>
      </c>
      <c r="F14" s="13" t="s">
        <v>45</v>
      </c>
      <c r="G14" s="14" t="s">
        <v>46</v>
      </c>
      <c r="H14" s="13" t="s">
        <v>47</v>
      </c>
      <c r="I14" s="13" t="s">
        <v>48</v>
      </c>
      <c r="J14" s="13" t="s">
        <v>49</v>
      </c>
      <c r="K14" s="13" t="s">
        <v>49</v>
      </c>
      <c r="L14" s="13" t="s">
        <v>50</v>
      </c>
      <c r="M14" s="15" t="s">
        <v>51</v>
      </c>
      <c r="N14" s="16" t="s">
        <v>52</v>
      </c>
      <c r="O14" s="154"/>
      <c r="P14" s="154"/>
      <c r="Q14" s="155"/>
    </row>
    <row r="15" spans="1:18" ht="17.25" customHeight="1" x14ac:dyDescent="0.2">
      <c r="A15" s="27">
        <v>1</v>
      </c>
      <c r="B15" s="28"/>
      <c r="C15" s="28"/>
      <c r="D15" s="28">
        <v>1</v>
      </c>
      <c r="E15" s="28"/>
      <c r="F15" s="28">
        <v>4901</v>
      </c>
      <c r="G15" s="28">
        <v>1</v>
      </c>
      <c r="H15" s="28">
        <v>3</v>
      </c>
      <c r="I15" s="28" t="str">
        <f>LEFT('Necesidades Trimestrales'!D10,1)</f>
        <v>2</v>
      </c>
      <c r="J15" s="28">
        <v>1</v>
      </c>
      <c r="K15" s="28">
        <v>1</v>
      </c>
      <c r="L15" s="28"/>
      <c r="M15" s="29">
        <v>1</v>
      </c>
      <c r="N15" s="28">
        <v>1.1000000000000001</v>
      </c>
      <c r="O15" s="146" t="s">
        <v>69</v>
      </c>
      <c r="P15" s="147"/>
      <c r="Q15" s="17">
        <v>3499991.04</v>
      </c>
      <c r="R15" s="26"/>
    </row>
    <row r="16" spans="1:18" ht="17.25" customHeight="1" x14ac:dyDescent="0.2">
      <c r="A16" s="30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2"/>
      <c r="N16" s="31"/>
      <c r="O16" s="148"/>
      <c r="P16" s="149"/>
      <c r="Q16" s="22"/>
    </row>
    <row r="17" spans="1:17" ht="17.25" customHeight="1" x14ac:dyDescent="0.2">
      <c r="A17" s="18"/>
      <c r="B17" s="19"/>
      <c r="C17" s="19"/>
      <c r="D17" s="19"/>
      <c r="E17" s="19"/>
      <c r="F17" s="21"/>
      <c r="G17" s="19"/>
      <c r="H17" s="19"/>
      <c r="I17" s="19"/>
      <c r="J17" s="19"/>
      <c r="K17" s="19"/>
      <c r="L17" s="19"/>
      <c r="M17" s="20"/>
      <c r="N17" s="21"/>
      <c r="O17" s="148"/>
      <c r="P17" s="149"/>
      <c r="Q17" s="22"/>
    </row>
    <row r="18" spans="1:17" ht="17.25" customHeight="1" x14ac:dyDescent="0.2">
      <c r="A18" s="18"/>
      <c r="B18" s="19"/>
      <c r="C18" s="19"/>
      <c r="D18" s="19"/>
      <c r="E18" s="19"/>
      <c r="F18" s="31"/>
      <c r="G18" s="31"/>
      <c r="H18" s="31"/>
      <c r="I18" s="31"/>
      <c r="J18" s="31"/>
      <c r="K18" s="31"/>
      <c r="L18" s="19"/>
      <c r="M18" s="32"/>
      <c r="N18" s="31"/>
      <c r="O18" s="148"/>
      <c r="P18" s="149"/>
      <c r="Q18" s="22"/>
    </row>
    <row r="19" spans="1:17" ht="17.25" customHeight="1" thickBot="1" x14ac:dyDescent="0.25">
      <c r="A19" s="18"/>
      <c r="B19" s="19"/>
      <c r="C19" s="19"/>
      <c r="D19" s="19"/>
      <c r="E19" s="19"/>
      <c r="F19" s="21"/>
      <c r="G19" s="19"/>
      <c r="H19" s="19"/>
      <c r="I19" s="19"/>
      <c r="J19" s="19"/>
      <c r="K19" s="19"/>
      <c r="L19" s="19"/>
      <c r="M19" s="20"/>
      <c r="N19" s="21"/>
      <c r="O19" s="161"/>
      <c r="P19" s="161"/>
      <c r="Q19" s="23"/>
    </row>
    <row r="20" spans="1:17" ht="30" customHeight="1" thickBot="1" x14ac:dyDescent="0.25">
      <c r="A20" s="162" t="s">
        <v>74</v>
      </c>
      <c r="B20" s="162"/>
      <c r="C20" s="162"/>
      <c r="D20" s="162"/>
      <c r="E20" s="162"/>
      <c r="F20" s="162"/>
      <c r="G20" s="162"/>
      <c r="H20" s="162"/>
      <c r="I20" s="162"/>
      <c r="J20" s="162"/>
      <c r="K20" s="162"/>
      <c r="L20" s="162"/>
      <c r="M20" s="162"/>
      <c r="N20" s="162"/>
      <c r="O20" s="162"/>
      <c r="P20" s="162"/>
      <c r="Q20" s="24">
        <f>SUM(Q15:Q19)</f>
        <v>3499991.04</v>
      </c>
    </row>
    <row r="21" spans="1:17" ht="18" customHeight="1" thickBot="1" x14ac:dyDescent="0.25">
      <c r="A21" s="163"/>
      <c r="B21" s="163"/>
      <c r="C21" s="163"/>
      <c r="D21" s="163"/>
      <c r="E21" s="163"/>
      <c r="F21" s="163"/>
      <c r="G21" s="163"/>
      <c r="H21" s="163"/>
      <c r="I21" s="163"/>
      <c r="J21" s="163"/>
      <c r="K21" s="163"/>
      <c r="L21" s="163"/>
      <c r="M21" s="163"/>
      <c r="N21" s="163"/>
      <c r="O21" s="163"/>
      <c r="P21" s="163"/>
      <c r="Q21" s="163"/>
    </row>
    <row r="22" spans="1:17" ht="17.25" customHeight="1" thickBot="1" x14ac:dyDescent="0.25">
      <c r="A22" s="156" t="s">
        <v>53</v>
      </c>
      <c r="B22" s="157"/>
      <c r="C22" s="157"/>
      <c r="D22" s="157"/>
      <c r="E22" s="157"/>
      <c r="F22" s="158"/>
      <c r="G22" s="159"/>
      <c r="H22" s="159"/>
      <c r="I22" s="159"/>
      <c r="J22" s="159"/>
      <c r="K22" s="159"/>
      <c r="L22" s="159"/>
      <c r="M22" s="159"/>
      <c r="N22" s="159"/>
      <c r="O22" s="159"/>
      <c r="P22" s="159"/>
      <c r="Q22" s="159"/>
    </row>
    <row r="23" spans="1:17" ht="18" customHeight="1" thickBot="1" x14ac:dyDescent="0.25">
      <c r="A23" s="160" t="s">
        <v>68</v>
      </c>
      <c r="B23" s="160"/>
      <c r="C23" s="160"/>
      <c r="D23" s="160"/>
      <c r="E23" s="160"/>
      <c r="F23" s="160"/>
      <c r="G23" s="160"/>
      <c r="H23" s="160"/>
      <c r="I23" s="160"/>
      <c r="J23" s="160"/>
      <c r="K23" s="160"/>
      <c r="L23" s="160"/>
      <c r="M23" s="160"/>
      <c r="N23" s="160"/>
      <c r="O23" s="160"/>
      <c r="P23" s="160"/>
      <c r="Q23" s="160"/>
    </row>
    <row r="24" spans="1:17" ht="15" customHeight="1" x14ac:dyDescent="0.2">
      <c r="A24" s="160"/>
      <c r="B24" s="160"/>
      <c r="C24" s="160"/>
      <c r="D24" s="160"/>
      <c r="E24" s="160"/>
      <c r="F24" s="160"/>
      <c r="G24" s="160"/>
      <c r="H24" s="160"/>
      <c r="I24" s="160"/>
      <c r="J24" s="160"/>
      <c r="K24" s="160"/>
      <c r="L24" s="160"/>
      <c r="M24" s="160"/>
      <c r="N24" s="160"/>
      <c r="O24" s="160"/>
      <c r="P24" s="160"/>
      <c r="Q24" s="160"/>
    </row>
  </sheetData>
  <mergeCells count="28">
    <mergeCell ref="A22:F22"/>
    <mergeCell ref="G22:Q22"/>
    <mergeCell ref="A23:Q24"/>
    <mergeCell ref="O19:P19"/>
    <mergeCell ref="A20:P20"/>
    <mergeCell ref="A21:Q21"/>
    <mergeCell ref="O15:P15"/>
    <mergeCell ref="O16:P16"/>
    <mergeCell ref="O17:P17"/>
    <mergeCell ref="O18:P18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0078740157483" right="0.39370078740157483" top="0.98425196850393704" bottom="0.98425196850393704" header="0.51181102362204722" footer="0.51181102362204722"/>
  <pageSetup paperSize="5" scale="90" firstPageNumber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Necesidades Trimestrales</vt:lpstr>
      <vt:lpstr>ANEXO I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</dc:creator>
  <cp:lastModifiedBy>ELIAS QUINTAR</cp:lastModifiedBy>
  <cp:revision>2</cp:revision>
  <cp:lastPrinted>2021-04-28T14:50:24Z</cp:lastPrinted>
  <dcterms:created xsi:type="dcterms:W3CDTF">2020-07-17T23:44:49Z</dcterms:created>
  <dcterms:modified xsi:type="dcterms:W3CDTF">2021-11-01T12:48:11Z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