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heckCompatibility="1" defaultThemeVersion="124226"/>
  <bookViews>
    <workbookView xWindow="-105" yWindow="-105" windowWidth="20640" windowHeight="11760" tabRatio="500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NotaPedido'!$A$1:$K$13</definedName>
    <definedName name="_xlnm.Print_Area" localSheetId="2">'Autor Gastar'!$A$1:$Q$26</definedName>
  </definedNames>
  <calcPr calcId="144525"/>
</workbook>
</file>

<file path=xl/calcChain.xml><?xml version="1.0" encoding="utf-8"?>
<calcChain xmlns="http://schemas.openxmlformats.org/spreadsheetml/2006/main">
  <c r="A10" i="3" l="1"/>
  <c r="G6" i="3" l="1"/>
  <c r="D7" i="2"/>
  <c r="D3" i="2"/>
  <c r="D4" i="2"/>
  <c r="G4" i="3" l="1"/>
  <c r="G5" i="3"/>
  <c r="D1" i="3"/>
  <c r="K12" i="2"/>
  <c r="J12" i="2"/>
  <c r="J13" i="2" s="1"/>
  <c r="I12" i="2"/>
  <c r="C12" i="2"/>
  <c r="B12" i="2"/>
  <c r="I10" i="1"/>
  <c r="Q22" i="3" l="1"/>
</calcChain>
</file>

<file path=xl/sharedStrings.xml><?xml version="1.0" encoding="utf-8"?>
<sst xmlns="http://schemas.openxmlformats.org/spreadsheetml/2006/main" count="82" uniqueCount="76">
  <si>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</si>
  <si>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</si>
  <si>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</si>
  <si>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</si>
  <si>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</si>
  <si>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</si>
  <si>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</si>
  <si>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</si>
  <si>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</si>
  <si>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</si>
  <si>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</si>
  <si>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</si>
  <si>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</si>
  <si>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</si>
  <si>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</si>
  <si>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</si>
  <si>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</si>
  <si>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</si>
  <si>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</si>
  <si>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</si>
  <si>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</si>
  <si>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</si>
  <si>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</si>
  <si>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</si>
  <si>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</si>
  <si>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</si>
  <si>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</si>
  <si>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</si>
  <si>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</si>
  <si>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</si>
  <si>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</si>
  <si>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</si>
  <si>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</si>
  <si>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</si>
  <si>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</si>
  <si>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</si>
  <si>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</si>
  <si>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</si>
  <si>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</si>
  <si>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</si>
  <si>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</si>
  <si>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</si>
  <si>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</si>
  <si>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</si>
  <si>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</si>
  <si>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</si>
  <si>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</si>
  <si>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</si>
  <si>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</si>
  <si>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</si>
  <si>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</si>
  <si>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</si>
  <si>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040 - Ministerio de Salud</t>
  </si>
  <si>
    <t>Plazos y lugares de entrega</t>
  </si>
  <si>
    <t>Especificidades Item N° 1: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</si>
  <si>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HOSPITAL INT. DE NIÑOS – AV. VIRGEN DEL VALLE N° 1050-CATAMARCA DE 8:00 A 12:00HS., DEBIENDO CORRER LOS GASTOS DE FLETES, ACARREO, CARGA, DESCARGA, SEGURO, INSTALACION Y PUESTA EN FUNCIONAMIENTO A CARGO DEL ADJUDICATARIO.</t>
    </r>
  </si>
  <si>
    <t>SI</t>
  </si>
  <si>
    <t>EQUIPOS</t>
  </si>
  <si>
    <t>4.3.3</t>
  </si>
  <si>
    <t>EQUIPO SANITARIO Y DE LABORATORIO</t>
  </si>
  <si>
    <t>Direccion de Asistencial</t>
  </si>
  <si>
    <t>Descripcion Tecnica:</t>
  </si>
  <si>
    <r>
      <rPr>
        <u/>
        <sz val="10"/>
        <rFont val="Times New Roman"/>
        <family val="1"/>
      </rPr>
      <t>Mantenimiento de Oferta</t>
    </r>
    <r>
      <rPr>
        <sz val="10"/>
        <rFont val="Times New Roman"/>
        <family val="1"/>
      </rPr>
      <t>: Cuarenta y Cinco (45) dias habiles.</t>
    </r>
  </si>
  <si>
    <r>
      <t>Forma de Pago:</t>
    </r>
    <r>
      <rPr>
        <sz val="10"/>
        <rFont val="Times New Roman"/>
        <family val="1"/>
      </rPr>
      <t xml:space="preserve"> Treinta (30) dias habiles.</t>
    </r>
  </si>
  <si>
    <t>024 - Direccion de Administracion del Hospital Interzonal de Niños Eva Peron.</t>
  </si>
  <si>
    <t>4.3.3-9496.3</t>
  </si>
  <si>
    <t>SISTEMA DE ANESTESIA; TIPO: DE TRES GASES, USO: CIRUGIA, ELEMENTO: MESA DE ANESTESIA COMPLETA</t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</si>
  <si>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noventa (90) días Habiles de notificada la Orden de Compra. </t>
    </r>
  </si>
  <si>
    <t>Costo total estimado: Cinco Millones Cuatrocientos Treinta Mil con 00/100.</t>
  </si>
  <si>
    <t>Mesa de Anestesia completa</t>
  </si>
  <si>
    <t>TOTAL DE PESOS: CINCO MILLONES CUATROCIENTOS TREINTA MIL CON 00/100.</t>
  </si>
  <si>
    <t>073/2022</t>
  </si>
  <si>
    <t>Servicio de Quirofano</t>
  </si>
  <si>
    <t>• Sistema de anestesia con respirador a pistón y mezclador electrónico de gases. Monitor color integrado con información de presión vía aérea, capnografia y gases anestésicos. Apto para ventilación de neonatos y adultos sin necesidad de cambios de parámetros.
• Vaporizador de agentes anestésicos volátiles Halotano, enflurano, isoflurano y sevoflurano.
• Monitor multiparametrico pantalla táctil 15 pulgadas ECG,SpO2, temperatura, NIBP y 2 xLBP.</t>
  </si>
  <si>
    <t>1.3</t>
  </si>
  <si>
    <t>Para la adquisición de Sistema de Anestesia destinado al servicio de Quirofano del Hospital Interzonal de Niños Eva Peron, para el normal funcionamiento del organismo.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</si>
</sst>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5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55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thin">
        <color indexed="64"/>
      </bottom>
      <diagonal/>
    </border>
  </borders>
  <cellStyleXfs count="6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  <xf numFmtId="0" fontId="14" fillId="0" borderId="0"/>
  </cellStyleXfs>
  <cellXfs count="131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2" xfId="0" applyBorder="1"/>
    <xf numFmtId="0" fontId="0" fillId="0" borderId="26" xfId="0" applyBorder="1"/>
    <xf numFmtId="0" fontId="0" fillId="0" borderId="14" xfId="0" applyBorder="1"/>
    <xf numFmtId="0" fontId="0" fillId="0" borderId="14" xfId="0" applyBorder="1" applyAlignment="1">
      <alignment horizontal="left"/>
    </xf>
    <xf numFmtId="0" fontId="0" fillId="0" borderId="27" xfId="0" applyBorder="1"/>
    <xf numFmtId="0" fontId="13" fillId="0" borderId="29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0" xfId="0" applyFont="1" applyBorder="1" applyAlignment="1">
      <alignment horizontal="left" vertical="center"/>
    </xf>
    <xf numFmtId="0" fontId="13" fillId="0" borderId="31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0" fillId="0" borderId="34" xfId="0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166" fontId="0" fillId="0" borderId="36" xfId="3" applyNumberFormat="1" applyFont="1" applyBorder="1" applyAlignment="1" applyProtection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166" fontId="0" fillId="0" borderId="40" xfId="3" applyNumberFormat="1" applyFont="1" applyBorder="1" applyAlignment="1" applyProtection="1">
      <alignment horizontal="center" vertical="center"/>
    </xf>
    <xf numFmtId="166" fontId="13" fillId="0" borderId="41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22" fillId="0" borderId="4" xfId="0" applyFont="1" applyBorder="1"/>
    <xf numFmtId="0" fontId="15" fillId="0" borderId="5" xfId="0" applyFont="1" applyBorder="1"/>
    <xf numFmtId="0" fontId="15" fillId="0" borderId="6" xfId="0" applyFont="1" applyBorder="1"/>
    <xf numFmtId="0" fontId="15" fillId="0" borderId="0" xfId="0" applyFont="1" applyBorder="1"/>
    <xf numFmtId="0" fontId="15" fillId="0" borderId="8" xfId="0" applyFont="1" applyBorder="1"/>
    <xf numFmtId="0" fontId="22" fillId="0" borderId="7" xfId="0" applyFont="1" applyBorder="1" applyAlignment="1">
      <alignment horizontal="left" indent="3"/>
    </xf>
    <xf numFmtId="166" fontId="15" fillId="0" borderId="0" xfId="0" applyNumberFormat="1" applyFont="1"/>
    <xf numFmtId="0" fontId="5" fillId="3" borderId="12" xfId="0" applyFont="1" applyFill="1" applyBorder="1" applyAlignment="1">
      <alignment horizontal="right" vertical="center"/>
    </xf>
    <xf numFmtId="0" fontId="6" fillId="4" borderId="13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vertical="center"/>
    </xf>
    <xf numFmtId="0" fontId="0" fillId="3" borderId="0" xfId="0" applyFill="1"/>
    <xf numFmtId="0" fontId="5" fillId="3" borderId="14" xfId="0" applyFont="1" applyFill="1" applyBorder="1" applyAlignment="1">
      <alignment vertical="center"/>
    </xf>
    <xf numFmtId="0" fontId="5" fillId="3" borderId="0" xfId="0" applyFont="1" applyFill="1" applyBorder="1" applyAlignment="1">
      <alignment vertical="center"/>
    </xf>
    <xf numFmtId="0" fontId="7" fillId="3" borderId="0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 wrapText="1" indent="1"/>
    </xf>
    <xf numFmtId="0" fontId="23" fillId="4" borderId="0" xfId="0" applyFont="1" applyFill="1" applyAlignment="1">
      <alignment horizontal="left" wrapText="1" indent="1"/>
    </xf>
    <xf numFmtId="0" fontId="19" fillId="3" borderId="0" xfId="0" applyFont="1" applyFill="1" applyAlignment="1">
      <alignment horizontal="left" wrapText="1"/>
    </xf>
    <xf numFmtId="0" fontId="0" fillId="4" borderId="46" xfId="0" applyFont="1" applyFill="1" applyBorder="1" applyAlignment="1">
      <alignment horizontal="center" vertical="center"/>
    </xf>
    <xf numFmtId="0" fontId="0" fillId="4" borderId="35" xfId="0" applyFont="1" applyFill="1" applyBorder="1" applyAlignment="1">
      <alignment horizontal="center" vertical="center"/>
    </xf>
    <xf numFmtId="0" fontId="14" fillId="4" borderId="35" xfId="0" applyFont="1" applyFill="1" applyBorder="1" applyAlignment="1">
      <alignment horizontal="center" vertical="center"/>
    </xf>
    <xf numFmtId="0" fontId="0" fillId="3" borderId="35" xfId="0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0" fontId="0" fillId="3" borderId="33" xfId="0" applyFont="1" applyFill="1" applyBorder="1" applyAlignment="1">
      <alignment horizontal="center" vertical="center"/>
    </xf>
    <xf numFmtId="0" fontId="0" fillId="4" borderId="47" xfId="0" applyFont="1" applyFill="1" applyBorder="1" applyAlignment="1">
      <alignment horizontal="center" vertical="center"/>
    </xf>
    <xf numFmtId="0" fontId="0" fillId="3" borderId="47" xfId="0" applyFont="1" applyFill="1" applyBorder="1" applyAlignment="1">
      <alignment horizontal="center" vertical="center"/>
    </xf>
    <xf numFmtId="0" fontId="19" fillId="0" borderId="16" xfId="0" applyFont="1" applyBorder="1" applyAlignment="1">
      <alignment horizontal="center" vertical="center" wrapText="1"/>
    </xf>
    <xf numFmtId="0" fontId="4" fillId="3" borderId="45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166" fontId="4" fillId="3" borderId="2" xfId="1" applyNumberFormat="1" applyFont="1" applyFill="1" applyBorder="1" applyAlignment="1" applyProtection="1">
      <alignment horizontal="right" vertical="center" wrapText="1"/>
    </xf>
    <xf numFmtId="3" fontId="4" fillId="3" borderId="3" xfId="0" applyNumberFormat="1" applyFont="1" applyFill="1" applyBorder="1" applyAlignment="1">
      <alignment horizontal="center" vertical="center"/>
    </xf>
    <xf numFmtId="0" fontId="22" fillId="0" borderId="9" xfId="0" applyFont="1" applyBorder="1" applyAlignment="1"/>
    <xf numFmtId="0" fontId="15" fillId="0" borderId="10" xfId="0" applyFont="1" applyBorder="1" applyAlignment="1">
      <alignment horizontal="center" wrapText="1"/>
    </xf>
    <xf numFmtId="0" fontId="15" fillId="0" borderId="10" xfId="0" applyFont="1" applyFill="1" applyBorder="1" applyAlignment="1">
      <alignment horizontal="center" wrapText="1"/>
    </xf>
    <xf numFmtId="0" fontId="15" fillId="0" borderId="11" xfId="0" applyFont="1" applyBorder="1" applyAlignment="1">
      <alignment horizont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49" xfId="0" applyFont="1" applyFill="1" applyBorder="1" applyAlignment="1">
      <alignment vertical="center" wrapText="1"/>
    </xf>
    <xf numFmtId="0" fontId="4" fillId="3" borderId="50" xfId="0" applyFont="1" applyFill="1" applyBorder="1" applyAlignment="1">
      <alignment vertical="center" wrapText="1"/>
    </xf>
    <xf numFmtId="0" fontId="20" fillId="0" borderId="51" xfId="0" applyFont="1" applyBorder="1" applyAlignment="1">
      <alignment horizontal="center" vertical="center"/>
    </xf>
    <xf numFmtId="0" fontId="21" fillId="0" borderId="52" xfId="0" applyFont="1" applyBorder="1" applyAlignment="1">
      <alignment horizontal="center" vertical="center" wrapText="1"/>
    </xf>
    <xf numFmtId="0" fontId="21" fillId="4" borderId="52" xfId="0" applyFont="1" applyFill="1" applyBorder="1" applyAlignment="1">
      <alignment horizontal="center" vertical="center" wrapText="1"/>
    </xf>
    <xf numFmtId="166" fontId="20" fillId="4" borderId="52" xfId="1" applyNumberFormat="1" applyFont="1" applyFill="1" applyBorder="1" applyAlignment="1" applyProtection="1">
      <alignment horizontal="right" vertical="center" wrapText="1"/>
    </xf>
    <xf numFmtId="166" fontId="20" fillId="4" borderId="53" xfId="1" applyNumberFormat="1" applyFont="1" applyFill="1" applyBorder="1" applyAlignment="1" applyProtection="1">
      <alignment horizontal="right" vertical="center" wrapText="1"/>
    </xf>
    <xf numFmtId="0" fontId="0" fillId="0" borderId="52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50" xfId="0" applyBorder="1" applyAlignment="1">
      <alignment wrapText="1"/>
    </xf>
    <xf numFmtId="0" fontId="16" fillId="0" borderId="0" xfId="0" applyFont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23" fillId="4" borderId="0" xfId="0" applyFont="1" applyFill="1" applyBorder="1" applyAlignment="1">
      <alignment wrapText="1"/>
    </xf>
    <xf numFmtId="0" fontId="23" fillId="4" borderId="0" xfId="0" applyFont="1" applyFill="1" applyBorder="1" applyAlignment="1">
      <alignment horizontal="left" wrapText="1"/>
    </xf>
    <xf numFmtId="0" fontId="15" fillId="4" borderId="7" xfId="5" applyFont="1" applyFill="1" applyBorder="1" applyAlignment="1">
      <alignment horizontal="left" wrapText="1"/>
    </xf>
    <xf numFmtId="0" fontId="15" fillId="4" borderId="0" xfId="5" applyFont="1" applyFill="1" applyBorder="1" applyAlignment="1">
      <alignment horizontal="left" wrapText="1"/>
    </xf>
    <xf numFmtId="0" fontId="15" fillId="4" borderId="8" xfId="5" applyFont="1" applyFill="1" applyBorder="1" applyAlignment="1">
      <alignment horizontal="left" wrapText="1"/>
    </xf>
    <xf numFmtId="0" fontId="15" fillId="0" borderId="7" xfId="0" applyFont="1" applyFill="1" applyBorder="1" applyAlignment="1">
      <alignment horizontal="left" wrapText="1"/>
    </xf>
    <xf numFmtId="0" fontId="15" fillId="0" borderId="0" xfId="0" applyFont="1" applyFill="1" applyBorder="1" applyAlignment="1">
      <alignment horizontal="left" wrapText="1"/>
    </xf>
    <xf numFmtId="0" fontId="15" fillId="0" borderId="8" xfId="0" applyFont="1" applyFill="1" applyBorder="1" applyAlignment="1">
      <alignment horizontal="left" wrapText="1"/>
    </xf>
    <xf numFmtId="0" fontId="6" fillId="3" borderId="16" xfId="0" applyFont="1" applyFill="1" applyBorder="1" applyAlignment="1">
      <alignment horizontal="left" vertical="center" wrapText="1" indent="1"/>
    </xf>
    <xf numFmtId="167" fontId="7" fillId="3" borderId="16" xfId="0" applyNumberFormat="1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left" vertical="center"/>
    </xf>
    <xf numFmtId="0" fontId="6" fillId="4" borderId="19" xfId="0" applyFont="1" applyFill="1" applyBorder="1" applyAlignment="1">
      <alignment horizontal="left" vertical="center" wrapText="1" indent="1"/>
    </xf>
    <xf numFmtId="0" fontId="8" fillId="3" borderId="18" xfId="0" applyFont="1" applyFill="1" applyBorder="1" applyAlignment="1">
      <alignment horizontal="center" vertical="center"/>
    </xf>
    <xf numFmtId="0" fontId="8" fillId="3" borderId="20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4" fillId="3" borderId="48" xfId="0" applyFont="1" applyFill="1" applyBorder="1" applyAlignment="1">
      <alignment horizontal="left" vertical="center" wrapText="1"/>
    </xf>
    <xf numFmtId="0" fontId="4" fillId="3" borderId="49" xfId="0" applyFont="1" applyFill="1" applyBorder="1" applyAlignment="1">
      <alignment horizontal="left" vertical="center" wrapText="1"/>
    </xf>
    <xf numFmtId="0" fontId="5" fillId="3" borderId="0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left" vertical="center" wrapText="1"/>
    </xf>
    <xf numFmtId="0" fontId="7" fillId="3" borderId="17" xfId="0" applyFont="1" applyFill="1" applyBorder="1" applyAlignment="1">
      <alignment horizontal="left" vertical="center" wrapText="1"/>
    </xf>
    <xf numFmtId="0" fontId="9" fillId="0" borderId="21" xfId="0" applyFont="1" applyBorder="1" applyAlignment="1">
      <alignment vertical="center" wrapText="1"/>
    </xf>
    <xf numFmtId="0" fontId="9" fillId="0" borderId="42" xfId="0" applyFont="1" applyBorder="1" applyAlignment="1">
      <alignment vertical="center" wrapText="1"/>
    </xf>
    <xf numFmtId="0" fontId="9" fillId="0" borderId="19" xfId="0" applyFont="1" applyBorder="1" applyAlignment="1">
      <alignment vertical="center" wrapText="1"/>
    </xf>
    <xf numFmtId="0" fontId="11" fillId="0" borderId="28" xfId="0" applyFont="1" applyBorder="1" applyAlignment="1">
      <alignment vertical="center" wrapText="1"/>
    </xf>
    <xf numFmtId="0" fontId="11" fillId="4" borderId="41" xfId="0" applyFont="1" applyFill="1" applyBorder="1" applyAlignment="1">
      <alignment horizontal="left" vertical="center" wrapText="1" indent="1"/>
    </xf>
    <xf numFmtId="0" fontId="0" fillId="0" borderId="35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0" fontId="9" fillId="0" borderId="41" xfId="0" applyFont="1" applyBorder="1" applyAlignment="1">
      <alignment horizontal="left" vertical="center" wrapText="1"/>
    </xf>
    <xf numFmtId="0" fontId="0" fillId="0" borderId="23" xfId="0" applyBorder="1"/>
    <xf numFmtId="0" fontId="24" fillId="0" borderId="33" xfId="0" applyFont="1" applyFill="1" applyBorder="1" applyAlignment="1">
      <alignment horizontal="left" vertical="center" wrapText="1"/>
    </xf>
    <xf numFmtId="0" fontId="14" fillId="0" borderId="35" xfId="0" applyFont="1" applyBorder="1" applyAlignment="1">
      <alignment horizontal="left" vertical="center"/>
    </xf>
    <xf numFmtId="0" fontId="0" fillId="0" borderId="35" xfId="0" applyFont="1" applyBorder="1" applyAlignment="1">
      <alignment horizontal="left" vertical="center" wrapText="1"/>
    </xf>
    <xf numFmtId="0" fontId="11" fillId="0" borderId="24" xfId="0" applyFont="1" applyBorder="1"/>
    <xf numFmtId="0" fontId="11" fillId="0" borderId="25" xfId="0" applyFont="1" applyBorder="1" applyAlignment="1">
      <alignment horizontal="left" vertical="center" wrapText="1" indent="1"/>
    </xf>
    <xf numFmtId="0" fontId="13" fillId="0" borderId="23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 wrapText="1"/>
    </xf>
    <xf numFmtId="0" fontId="13" fillId="0" borderId="54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 wrapText="1"/>
    </xf>
    <xf numFmtId="0" fontId="4" fillId="0" borderId="43" xfId="0" applyFont="1" applyBorder="1" applyAlignment="1">
      <alignment horizontal="left" vertical="center" wrapText="1"/>
    </xf>
    <xf numFmtId="0" fontId="4" fillId="0" borderId="44" xfId="0" applyFont="1" applyBorder="1" applyAlignment="1">
      <alignment horizontal="left" vertical="center" wrapText="1"/>
    </xf>
    <xf numFmtId="0" fontId="11" fillId="0" borderId="13" xfId="0" applyFont="1" applyBorder="1" applyAlignment="1">
      <alignment horizontal="left" indent="1"/>
    </xf>
    <xf numFmtId="0" fontId="12" fillId="0" borderId="13" xfId="0" applyFont="1" applyBorder="1" applyAlignment="1">
      <alignment horizontal="left"/>
    </xf>
    <xf numFmtId="0" fontId="0" fillId="0" borderId="21" xfId="0" applyFont="1" applyBorder="1" applyAlignment="1">
      <alignment horizontal="center"/>
    </xf>
    <xf numFmtId="3" fontId="9" fillId="0" borderId="22" xfId="0" applyNumberFormat="1" applyFont="1" applyBorder="1" applyAlignment="1">
      <alignment horizontal="center"/>
    </xf>
    <xf numFmtId="0" fontId="10" fillId="0" borderId="13" xfId="0" applyFont="1" applyBorder="1" applyAlignment="1">
      <alignment horizontal="center" vertical="center" wrapText="1"/>
    </xf>
    <xf numFmtId="0" fontId="2" fillId="0" borderId="13" xfId="0" applyFont="1" applyBorder="1"/>
  </cellXfs>
  <cellStyles count="6">
    <cellStyle name="Encabezado 1" xfId="2"/>
    <cellStyle name="Moneda" xfId="1" builtinId="4"/>
    <cellStyle name="Moneda_AUTORIZACION Y NOTA DE PEDIDO" xfId="3"/>
    <cellStyle name="Neutral 1" xfId="4"/>
    <cellStyle name="Normal" xfId="0" builtinId="0"/>
    <cellStyle name="Normal 2" xf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tabSelected="1" topLeftCell="A4" zoomScale="89" zoomScaleNormal="89" workbookViewId="0">
      <selection activeCell="H14" sqref="H14"/>
    </sheetView>
  </sheetViews>
  <sheetFormatPr baseColWidth="10" defaultColWidth="11" defaultRowHeight="12.75" x14ac:dyDescent="0.2"/>
  <cols>
    <col min="1" max="1" width="4.5703125" style="31" customWidth="1"/>
    <col min="2" max="2" width="15.140625" style="31" customWidth="1"/>
    <col min="3" max="3" width="13.5703125" style="31" customWidth="1"/>
    <col min="4" max="4" width="8.42578125" style="31" customWidth="1"/>
    <col min="5" max="5" width="43.28515625" style="31" customWidth="1"/>
    <col min="6" max="6" width="11" style="31"/>
    <col min="7" max="7" width="11.28515625" style="31" customWidth="1"/>
    <col min="8" max="8" width="13.85546875" style="31" customWidth="1"/>
    <col min="9" max="9" width="18.5703125" style="31" customWidth="1"/>
    <col min="10" max="11" width="11" style="31"/>
    <col min="12" max="12" width="12.7109375" style="31" bestFit="1" customWidth="1"/>
    <col min="13" max="16384" width="11" style="31"/>
  </cols>
  <sheetData>
    <row r="1" spans="1:12" ht="3.75" customHeight="1" x14ac:dyDescent="0.2"/>
    <row r="2" spans="1:12" ht="27" x14ac:dyDescent="0.35">
      <c r="B2" s="80" t="s">
        <v>0</v>
      </c>
      <c r="C2" s="80"/>
      <c r="D2" s="80"/>
      <c r="E2" s="80"/>
      <c r="F2" s="80"/>
      <c r="G2" s="80"/>
      <c r="H2" s="80"/>
    </row>
    <row r="3" spans="1:12" ht="12" customHeight="1" x14ac:dyDescent="0.2"/>
    <row r="4" spans="1:12" ht="18" customHeight="1" x14ac:dyDescent="0.25">
      <c r="A4" s="81" t="s">
        <v>1</v>
      </c>
      <c r="B4" s="81"/>
      <c r="C4" s="82" t="s">
        <v>52</v>
      </c>
      <c r="D4" s="82"/>
      <c r="E4" s="82"/>
      <c r="F4" s="32"/>
      <c r="G4" s="33"/>
      <c r="H4" s="32"/>
    </row>
    <row r="5" spans="1:12" ht="18" customHeight="1" x14ac:dyDescent="0.25">
      <c r="A5" s="81" t="s">
        <v>2</v>
      </c>
      <c r="B5" s="81"/>
      <c r="C5" s="83" t="s">
        <v>64</v>
      </c>
      <c r="D5" s="83"/>
      <c r="E5" s="83"/>
      <c r="F5" s="83"/>
      <c r="G5" s="83"/>
      <c r="H5" s="83"/>
      <c r="I5" s="83"/>
    </row>
    <row r="6" spans="1:12" ht="16.5" customHeight="1" x14ac:dyDescent="0.25">
      <c r="A6" s="81" t="s">
        <v>3</v>
      </c>
      <c r="B6" s="81"/>
      <c r="C6" s="49">
        <v>2022</v>
      </c>
      <c r="D6" s="50"/>
      <c r="E6" s="50"/>
      <c r="F6" s="32"/>
      <c r="G6" s="33"/>
      <c r="H6" s="32"/>
    </row>
    <row r="7" spans="1:12" ht="16.5" customHeight="1" x14ac:dyDescent="0.25">
      <c r="A7" s="81" t="s">
        <v>4</v>
      </c>
      <c r="B7" s="81"/>
      <c r="C7" s="49">
        <v>3</v>
      </c>
      <c r="D7" s="50"/>
      <c r="E7" s="50"/>
      <c r="F7" s="32"/>
      <c r="G7" s="33"/>
      <c r="H7" s="32"/>
    </row>
    <row r="8" spans="1:12" ht="13.5" thickBot="1" x14ac:dyDescent="0.25">
      <c r="B8" s="32"/>
      <c r="C8" s="33"/>
      <c r="D8" s="32"/>
      <c r="E8" s="32"/>
      <c r="F8" s="32"/>
      <c r="G8" s="33"/>
      <c r="H8" s="32"/>
    </row>
    <row r="9" spans="1:12" ht="39" thickBot="1" x14ac:dyDescent="0.25">
      <c r="A9" s="59" t="s">
        <v>5</v>
      </c>
      <c r="B9" s="59" t="s">
        <v>6</v>
      </c>
      <c r="C9" s="59" t="s">
        <v>7</v>
      </c>
      <c r="D9" s="59" t="s">
        <v>8</v>
      </c>
      <c r="E9" s="59" t="s">
        <v>9</v>
      </c>
      <c r="F9" s="59" t="s">
        <v>10</v>
      </c>
      <c r="G9" s="59" t="s">
        <v>11</v>
      </c>
      <c r="H9" s="59" t="s">
        <v>12</v>
      </c>
      <c r="I9" s="59" t="s">
        <v>13</v>
      </c>
    </row>
    <row r="10" spans="1:12" ht="45.75" customHeight="1" thickBot="1" x14ac:dyDescent="0.25">
      <c r="A10" s="72">
        <v>1</v>
      </c>
      <c r="B10" s="78" t="s">
        <v>65</v>
      </c>
      <c r="C10" s="77" t="s">
        <v>57</v>
      </c>
      <c r="D10" s="73" t="s">
        <v>58</v>
      </c>
      <c r="E10" s="79" t="s">
        <v>66</v>
      </c>
      <c r="F10" s="74" t="s">
        <v>14</v>
      </c>
      <c r="G10" s="74">
        <v>1</v>
      </c>
      <c r="H10" s="75">
        <v>5430000</v>
      </c>
      <c r="I10" s="76">
        <f>H10*G10</f>
        <v>5430000</v>
      </c>
      <c r="L10" s="40"/>
    </row>
    <row r="11" spans="1:12" ht="13.5" thickBot="1" x14ac:dyDescent="0.25">
      <c r="I11" s="40"/>
    </row>
    <row r="12" spans="1:12" x14ac:dyDescent="0.2">
      <c r="B12" s="34" t="s">
        <v>54</v>
      </c>
      <c r="C12" s="35"/>
      <c r="D12" s="35"/>
      <c r="E12" s="36"/>
    </row>
    <row r="13" spans="1:12" x14ac:dyDescent="0.2">
      <c r="B13" s="39" t="s">
        <v>61</v>
      </c>
      <c r="C13" s="37"/>
      <c r="D13" s="37"/>
      <c r="E13" s="38"/>
    </row>
    <row r="14" spans="1:12" ht="67.5" customHeight="1" x14ac:dyDescent="0.2">
      <c r="B14" s="87" t="s">
        <v>73</v>
      </c>
      <c r="C14" s="88"/>
      <c r="D14" s="88"/>
      <c r="E14" s="89"/>
    </row>
    <row r="15" spans="1:12" x14ac:dyDescent="0.2">
      <c r="B15" s="39" t="s">
        <v>53</v>
      </c>
      <c r="C15" s="37"/>
      <c r="D15" s="37"/>
      <c r="E15" s="38"/>
    </row>
    <row r="16" spans="1:12" ht="19.5" customHeight="1" x14ac:dyDescent="0.2">
      <c r="B16" s="84" t="s">
        <v>55</v>
      </c>
      <c r="C16" s="85"/>
      <c r="D16" s="85"/>
      <c r="E16" s="86"/>
    </row>
    <row r="17" spans="2:5" ht="34.5" customHeight="1" x14ac:dyDescent="0.2">
      <c r="B17" s="84"/>
      <c r="C17" s="85"/>
      <c r="D17" s="85"/>
      <c r="E17" s="86"/>
    </row>
    <row r="18" spans="2:5" ht="18" customHeight="1" x14ac:dyDescent="0.2">
      <c r="B18" s="84" t="s">
        <v>67</v>
      </c>
      <c r="C18" s="85"/>
      <c r="D18" s="85"/>
      <c r="E18" s="86"/>
    </row>
    <row r="19" spans="2:5" ht="18" customHeight="1" x14ac:dyDescent="0.2">
      <c r="B19" s="84" t="s">
        <v>62</v>
      </c>
      <c r="C19" s="85"/>
      <c r="D19" s="85"/>
      <c r="E19" s="86"/>
    </row>
    <row r="20" spans="2:5" ht="18" customHeight="1" thickBot="1" x14ac:dyDescent="0.25">
      <c r="B20" s="65" t="s">
        <v>63</v>
      </c>
      <c r="C20" s="66"/>
      <c r="D20" s="67"/>
      <c r="E20" s="68"/>
    </row>
  </sheetData>
  <mergeCells count="11">
    <mergeCell ref="B19:E19"/>
    <mergeCell ref="B14:E14"/>
    <mergeCell ref="A6:B6"/>
    <mergeCell ref="A7:B7"/>
    <mergeCell ref="B16:E17"/>
    <mergeCell ref="B18:E18"/>
    <mergeCell ref="B2:H2"/>
    <mergeCell ref="A4:B4"/>
    <mergeCell ref="C4:E4"/>
    <mergeCell ref="A5:B5"/>
    <mergeCell ref="C5:I5"/>
  </mergeCells>
  <printOptions horizontalCentered="1"/>
  <pageMargins left="0.11811023622047245" right="0.11811023622047245" top="0.35433070866141736" bottom="0.15748031496062992" header="0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3"/>
  <sheetViews>
    <sheetView zoomScale="110" zoomScaleNormal="110" workbookViewId="0">
      <selection activeCell="C10" sqref="C10:G11"/>
    </sheetView>
  </sheetViews>
  <sheetFormatPr baseColWidth="10" defaultColWidth="9.140625" defaultRowHeight="12.75" x14ac:dyDescent="0.2"/>
  <cols>
    <col min="1" max="1" width="5.5703125" style="43" customWidth="1"/>
    <col min="2" max="2" width="15.140625" style="43" customWidth="1"/>
    <col min="3" max="3" width="14.140625" style="43" customWidth="1"/>
    <col min="4" max="4" width="26" style="43" customWidth="1"/>
    <col min="5" max="5" width="5" style="43" customWidth="1"/>
    <col min="6" max="6" width="7.85546875" style="43" hidden="1" customWidth="1"/>
    <col min="7" max="7" width="48.5703125" style="43" hidden="1" customWidth="1"/>
    <col min="8" max="8" width="9.28515625" style="43" customWidth="1"/>
    <col min="9" max="9" width="15.5703125" style="43" customWidth="1"/>
    <col min="10" max="10" width="14.7109375" style="43" customWidth="1"/>
    <col min="11" max="11" width="15.5703125" style="43" customWidth="1"/>
    <col min="12" max="14" width="5.85546875" style="43" customWidth="1"/>
    <col min="15" max="15" width="12.5703125" style="43" customWidth="1"/>
    <col min="16" max="1024" width="9.140625" style="43"/>
    <col min="1025" max="16384" width="9.140625" style="44"/>
  </cols>
  <sheetData>
    <row r="1" spans="1:11" ht="18" customHeight="1" x14ac:dyDescent="0.2">
      <c r="A1" s="99" t="s">
        <v>15</v>
      </c>
      <c r="B1" s="99"/>
      <c r="C1" s="99"/>
      <c r="D1" s="99"/>
      <c r="E1" s="99"/>
      <c r="F1" s="99"/>
      <c r="G1" s="99"/>
      <c r="H1" s="99"/>
      <c r="I1" s="99"/>
      <c r="J1" s="41" t="s">
        <v>16</v>
      </c>
      <c r="K1" s="42" t="s">
        <v>71</v>
      </c>
    </row>
    <row r="2" spans="1:11" ht="18.75" customHeight="1" thickBot="1" x14ac:dyDescent="0.25">
      <c r="A2" s="45"/>
      <c r="B2" s="45"/>
      <c r="C2" s="45"/>
      <c r="D2" s="46"/>
      <c r="E2" s="46"/>
      <c r="F2" s="46"/>
      <c r="G2" s="46"/>
      <c r="H2" s="46"/>
      <c r="I2" s="46"/>
      <c r="J2" s="46"/>
      <c r="K2" s="46"/>
    </row>
    <row r="3" spans="1:11" ht="18.75" customHeight="1" thickBot="1" x14ac:dyDescent="0.25">
      <c r="A3" s="100" t="s">
        <v>49</v>
      </c>
      <c r="B3" s="100"/>
      <c r="C3" s="100"/>
      <c r="D3" s="90" t="str">
        <f>'Necesidades Trimestrales'!C4</f>
        <v>040 - Ministerio de Salud</v>
      </c>
      <c r="E3" s="90"/>
      <c r="F3" s="90"/>
      <c r="G3" s="90"/>
      <c r="H3" s="90"/>
      <c r="I3" s="90"/>
      <c r="J3" s="90"/>
      <c r="K3" s="90"/>
    </row>
    <row r="4" spans="1:11" ht="18.75" customHeight="1" thickBot="1" x14ac:dyDescent="0.25">
      <c r="A4" s="101" t="s">
        <v>50</v>
      </c>
      <c r="B4" s="101"/>
      <c r="C4" s="101"/>
      <c r="D4" s="90" t="str">
        <f>'Necesidades Trimestrales'!C5</f>
        <v>024 - Direccion de Administracion del Hospital Interzonal de Niños Eva Peron.</v>
      </c>
      <c r="E4" s="90"/>
      <c r="F4" s="90"/>
      <c r="G4" s="90"/>
      <c r="H4" s="90"/>
      <c r="I4" s="90"/>
      <c r="J4" s="90"/>
      <c r="K4" s="90"/>
    </row>
    <row r="5" spans="1:11" ht="18.75" customHeight="1" thickBot="1" x14ac:dyDescent="0.25">
      <c r="A5" s="101" t="s">
        <v>28</v>
      </c>
      <c r="B5" s="101"/>
      <c r="C5" s="101"/>
      <c r="D5" s="90" t="s">
        <v>64</v>
      </c>
      <c r="E5" s="90"/>
      <c r="F5" s="90"/>
      <c r="G5" s="90"/>
      <c r="H5" s="90"/>
      <c r="I5" s="90"/>
      <c r="J5" s="90"/>
      <c r="K5" s="90"/>
    </row>
    <row r="6" spans="1:11" ht="16.5" customHeight="1" thickBot="1" x14ac:dyDescent="0.25">
      <c r="A6" s="100" t="s">
        <v>51</v>
      </c>
      <c r="B6" s="100"/>
      <c r="C6" s="100"/>
      <c r="D6" s="90" t="s">
        <v>72</v>
      </c>
      <c r="E6" s="90"/>
      <c r="F6" s="90"/>
      <c r="G6" s="90"/>
      <c r="H6" s="90"/>
      <c r="I6" s="90"/>
      <c r="J6" s="90"/>
      <c r="K6" s="90"/>
    </row>
    <row r="7" spans="1:11" ht="16.5" customHeight="1" x14ac:dyDescent="0.2">
      <c r="A7" s="101" t="s">
        <v>17</v>
      </c>
      <c r="B7" s="101"/>
      <c r="C7" s="101"/>
      <c r="D7" s="90" t="str">
        <f>'Necesidades Trimestrales'!C7 &amp; "° Trimestre - Año " &amp; 'Necesidades Trimestrales'!C6</f>
        <v>3° Trimestre - Año 2022</v>
      </c>
      <c r="E7" s="90"/>
      <c r="F7" s="90"/>
      <c r="G7" s="90"/>
      <c r="H7" s="90"/>
      <c r="I7" s="90"/>
      <c r="J7" s="90"/>
      <c r="K7" s="90"/>
    </row>
    <row r="8" spans="1:11" ht="16.5" customHeight="1" x14ac:dyDescent="0.2">
      <c r="A8" s="92" t="s">
        <v>18</v>
      </c>
      <c r="B8" s="92"/>
      <c r="C8" s="92"/>
      <c r="D8" s="93" t="s">
        <v>69</v>
      </c>
      <c r="E8" s="93"/>
      <c r="F8" s="93"/>
      <c r="G8" s="93"/>
      <c r="H8" s="93"/>
      <c r="I8" s="93"/>
      <c r="J8" s="93"/>
      <c r="K8" s="93"/>
    </row>
    <row r="9" spans="1:11" ht="15.75" x14ac:dyDescent="0.2">
      <c r="A9" s="47"/>
      <c r="B9" s="47"/>
      <c r="C9" s="47"/>
      <c r="D9" s="48"/>
      <c r="E9" s="48"/>
      <c r="F9" s="48"/>
      <c r="G9" s="48"/>
      <c r="H9" s="48"/>
      <c r="I9" s="48"/>
      <c r="J9" s="48"/>
      <c r="K9" s="48"/>
    </row>
    <row r="10" spans="1:11" ht="18.75" customHeight="1" x14ac:dyDescent="0.2">
      <c r="A10" s="94" t="s">
        <v>19</v>
      </c>
      <c r="B10" s="95" t="s">
        <v>20</v>
      </c>
      <c r="C10" s="95" t="s">
        <v>21</v>
      </c>
      <c r="D10" s="95"/>
      <c r="E10" s="95"/>
      <c r="F10" s="95"/>
      <c r="G10" s="95"/>
      <c r="H10" s="95" t="s">
        <v>22</v>
      </c>
      <c r="I10" s="95" t="s">
        <v>23</v>
      </c>
      <c r="J10" s="95" t="s">
        <v>24</v>
      </c>
      <c r="K10" s="96" t="s">
        <v>25</v>
      </c>
    </row>
    <row r="11" spans="1:11" ht="24" customHeight="1" thickBot="1" x14ac:dyDescent="0.25">
      <c r="A11" s="94"/>
      <c r="B11" s="95"/>
      <c r="C11" s="95"/>
      <c r="D11" s="95"/>
      <c r="E11" s="95"/>
      <c r="F11" s="95"/>
      <c r="G11" s="95"/>
      <c r="H11" s="95"/>
      <c r="I11" s="95"/>
      <c r="J11" s="95"/>
      <c r="K11" s="96"/>
    </row>
    <row r="12" spans="1:11" ht="63.75" customHeight="1" thickBot="1" x14ac:dyDescent="0.25">
      <c r="A12" s="60">
        <v>1</v>
      </c>
      <c r="B12" s="69" t="str">
        <f>'Necesidades Trimestrales'!B10</f>
        <v>4.3.3-9496.3</v>
      </c>
      <c r="C12" s="97" t="str">
        <f>'Necesidades Trimestrales'!E10</f>
        <v>SISTEMA DE ANESTESIA; TIPO: DE TRES GASES, USO: CIRUGIA, ELEMENTO: MESA DE ANESTESIA COMPLETA</v>
      </c>
      <c r="D12" s="98"/>
      <c r="E12" s="98"/>
      <c r="F12" s="70"/>
      <c r="G12" s="71"/>
      <c r="H12" s="61" t="s">
        <v>56</v>
      </c>
      <c r="I12" s="62" t="str">
        <f>'Necesidades Trimestrales'!F10</f>
        <v>UNIDAD</v>
      </c>
      <c r="J12" s="63">
        <f>'Necesidades Trimestrales'!H10</f>
        <v>5430000</v>
      </c>
      <c r="K12" s="64">
        <f>'Necesidades Trimestrales'!G10</f>
        <v>1</v>
      </c>
    </row>
    <row r="13" spans="1:11" ht="31.5" customHeight="1" thickBot="1" x14ac:dyDescent="0.25">
      <c r="A13" s="90" t="s">
        <v>68</v>
      </c>
      <c r="B13" s="90"/>
      <c r="C13" s="90"/>
      <c r="D13" s="90"/>
      <c r="E13" s="90"/>
      <c r="F13" s="90"/>
      <c r="G13" s="90"/>
      <c r="H13" s="90"/>
      <c r="I13" s="90"/>
      <c r="J13" s="91">
        <f>SUMPRODUCT(J12:J12,K12:K12)</f>
        <v>5430000</v>
      </c>
      <c r="K13" s="91"/>
    </row>
  </sheetData>
  <mergeCells count="23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13:I13"/>
    <mergeCell ref="J13:K13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12:E12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Views>
    <sheetView topLeftCell="A13" zoomScale="130" zoomScaleNormal="130" workbookViewId="0">
      <selection activeCell="H27" sqref="H27"/>
    </sheetView>
  </sheetViews>
  <sheetFormatPr baseColWidth="10" defaultColWidth="4.85546875" defaultRowHeight="12.75" x14ac:dyDescent="0.2"/>
  <cols>
    <col min="7" max="7" width="4.85546875" style="2"/>
    <col min="9" max="9" width="2.85546875" customWidth="1"/>
    <col min="10" max="10" width="3.5703125" customWidth="1"/>
    <col min="11" max="11" width="3.28515625" customWidth="1"/>
    <col min="16" max="16" width="22.140625" customWidth="1"/>
    <col min="17" max="17" width="13.5703125" customWidth="1"/>
  </cols>
  <sheetData>
    <row r="1" spans="1:17" ht="15.75" customHeight="1" thickBot="1" x14ac:dyDescent="0.3">
      <c r="A1" s="127" t="s">
        <v>3</v>
      </c>
      <c r="B1" s="127"/>
      <c r="C1" s="127"/>
      <c r="D1" s="128">
        <f>'Necesidades Trimestrales'!C6</f>
        <v>2022</v>
      </c>
      <c r="E1" s="128"/>
      <c r="F1" s="3"/>
      <c r="G1" s="3"/>
      <c r="H1" s="4"/>
      <c r="I1" s="4"/>
      <c r="J1" s="4"/>
      <c r="K1" s="4"/>
      <c r="L1" s="4"/>
      <c r="M1" s="4"/>
      <c r="N1" s="4"/>
      <c r="P1" s="129" t="s">
        <v>26</v>
      </c>
      <c r="Q1" s="129"/>
    </row>
    <row r="2" spans="1:17" ht="15.75" customHeight="1" thickBot="1" x14ac:dyDescent="0.25">
      <c r="H2" s="4"/>
      <c r="I2" s="4"/>
      <c r="J2" s="4"/>
      <c r="K2" s="4"/>
      <c r="L2" s="4"/>
      <c r="M2" s="4"/>
      <c r="N2" s="4"/>
      <c r="P2" s="129"/>
      <c r="Q2" s="129"/>
    </row>
    <row r="4" spans="1:17" s="5" customFormat="1" ht="18" customHeight="1" thickBot="1" x14ac:dyDescent="0.25">
      <c r="A4" s="130" t="s">
        <v>27</v>
      </c>
      <c r="B4" s="130"/>
      <c r="C4" s="130"/>
      <c r="D4" s="130"/>
      <c r="E4" s="130"/>
      <c r="F4" s="130"/>
      <c r="G4" s="125" t="str">
        <f>' NotaPedido'!D3</f>
        <v>040 - Ministerio de Salud</v>
      </c>
      <c r="H4" s="125"/>
      <c r="I4" s="125"/>
      <c r="J4" s="125"/>
      <c r="K4" s="125"/>
      <c r="L4" s="125"/>
      <c r="M4" s="125"/>
      <c r="N4" s="125"/>
      <c r="O4" s="125"/>
      <c r="P4" s="125"/>
      <c r="Q4" s="125"/>
    </row>
    <row r="5" spans="1:17" s="5" customFormat="1" ht="18" customHeight="1" thickBot="1" x14ac:dyDescent="0.25">
      <c r="A5" s="122" t="s">
        <v>50</v>
      </c>
      <c r="B5" s="123"/>
      <c r="C5" s="123"/>
      <c r="D5" s="123"/>
      <c r="E5" s="123"/>
      <c r="F5" s="124"/>
      <c r="G5" s="125" t="str">
        <f>' NotaPedido'!D4</f>
        <v>024 - Direccion de Administracion del Hospital Interzonal de Niños Eva Peron.</v>
      </c>
      <c r="H5" s="125"/>
      <c r="I5" s="125"/>
      <c r="J5" s="125"/>
      <c r="K5" s="125"/>
      <c r="L5" s="125"/>
      <c r="M5" s="125"/>
      <c r="N5" s="125"/>
      <c r="O5" s="125"/>
      <c r="P5" s="125"/>
      <c r="Q5" s="125"/>
    </row>
    <row r="6" spans="1:17" s="5" customFormat="1" ht="18" customHeight="1" thickBot="1" x14ac:dyDescent="0.25">
      <c r="A6" s="122" t="s">
        <v>28</v>
      </c>
      <c r="B6" s="123"/>
      <c r="C6" s="123"/>
      <c r="D6" s="123"/>
      <c r="E6" s="123"/>
      <c r="F6" s="124"/>
      <c r="G6" s="125" t="str">
        <f>' NotaPedido'!D5</f>
        <v>024 - Direccion de Administracion del Hospital Interzonal de Niños Eva Peron.</v>
      </c>
      <c r="H6" s="125"/>
      <c r="I6" s="125"/>
      <c r="J6" s="125"/>
      <c r="K6" s="125"/>
      <c r="L6" s="125"/>
      <c r="M6" s="125"/>
      <c r="N6" s="125"/>
      <c r="O6" s="125"/>
      <c r="P6" s="125"/>
      <c r="Q6" s="125"/>
    </row>
    <row r="7" spans="1:17" s="5" customFormat="1" ht="18" customHeight="1" thickBot="1" x14ac:dyDescent="0.25">
      <c r="A7" s="122" t="s">
        <v>51</v>
      </c>
      <c r="B7" s="123"/>
      <c r="C7" s="123"/>
      <c r="D7" s="123"/>
      <c r="E7" s="123"/>
      <c r="F7" s="124"/>
      <c r="G7" s="125" t="s">
        <v>60</v>
      </c>
      <c r="H7" s="125"/>
      <c r="I7" s="125"/>
      <c r="J7" s="125"/>
      <c r="K7" s="125"/>
      <c r="L7" s="125"/>
      <c r="M7" s="125"/>
      <c r="N7" s="125"/>
      <c r="O7" s="125"/>
      <c r="P7" s="125"/>
      <c r="Q7" s="125"/>
    </row>
    <row r="8" spans="1:17" ht="18" customHeight="1" thickBot="1" x14ac:dyDescent="0.25">
      <c r="A8" s="126" t="s">
        <v>29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</row>
    <row r="9" spans="1:17" ht="18" customHeight="1" x14ac:dyDescent="0.2">
      <c r="A9" s="115" t="s">
        <v>30</v>
      </c>
      <c r="B9" s="115"/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115"/>
      <c r="N9" s="115"/>
      <c r="O9" s="1"/>
      <c r="P9" s="1"/>
      <c r="Q9" s="6"/>
    </row>
    <row r="10" spans="1:17" ht="54.75" customHeight="1" x14ac:dyDescent="0.2">
      <c r="A10" s="116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073/2022,  afectando la erogación resultante a los créditos presupuestarios aprobados a favor de esta Unidad Ejecutora, conforme al siguiente detalle:</v>
      </c>
      <c r="B10" s="116"/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thickBot="1" x14ac:dyDescent="0.25">
      <c r="A12" s="117" t="s">
        <v>31</v>
      </c>
      <c r="B12" s="117"/>
      <c r="C12" s="117"/>
      <c r="D12" s="117"/>
      <c r="E12" s="117"/>
      <c r="F12" s="117"/>
      <c r="G12" s="117"/>
      <c r="H12" s="117"/>
      <c r="I12" s="117"/>
      <c r="J12" s="117"/>
      <c r="K12" s="117"/>
      <c r="L12" s="117"/>
      <c r="M12" s="117"/>
      <c r="N12" s="117"/>
      <c r="O12" s="117"/>
      <c r="P12" s="117"/>
      <c r="Q12" s="117"/>
    </row>
    <row r="13" spans="1:17" ht="15.75" customHeight="1" thickBot="1" x14ac:dyDescent="0.25">
      <c r="A13" s="118" t="s">
        <v>32</v>
      </c>
      <c r="B13" s="118"/>
      <c r="C13" s="118"/>
      <c r="D13" s="118"/>
      <c r="E13" s="118"/>
      <c r="F13" s="118"/>
      <c r="G13" s="118"/>
      <c r="H13" s="118"/>
      <c r="I13" s="118"/>
      <c r="J13" s="118"/>
      <c r="K13" s="118"/>
      <c r="L13" s="118"/>
      <c r="M13" s="118"/>
      <c r="N13" s="118"/>
      <c r="O13" s="119" t="s">
        <v>33</v>
      </c>
      <c r="P13" s="119"/>
      <c r="Q13" s="121" t="s">
        <v>34</v>
      </c>
    </row>
    <row r="14" spans="1:17" ht="15.75" customHeight="1" x14ac:dyDescent="0.2">
      <c r="A14" s="11" t="s">
        <v>35</v>
      </c>
      <c r="B14" s="12" t="s">
        <v>36</v>
      </c>
      <c r="C14" s="12" t="s">
        <v>37</v>
      </c>
      <c r="D14" s="12" t="s">
        <v>38</v>
      </c>
      <c r="E14" s="12" t="s">
        <v>39</v>
      </c>
      <c r="F14" s="12" t="s">
        <v>40</v>
      </c>
      <c r="G14" s="13" t="s">
        <v>41</v>
      </c>
      <c r="H14" s="12" t="s">
        <v>42</v>
      </c>
      <c r="I14" s="12" t="s">
        <v>43</v>
      </c>
      <c r="J14" s="12" t="s">
        <v>44</v>
      </c>
      <c r="K14" s="12" t="s">
        <v>44</v>
      </c>
      <c r="L14" s="12" t="s">
        <v>45</v>
      </c>
      <c r="M14" s="14" t="s">
        <v>46</v>
      </c>
      <c r="N14" s="15" t="s">
        <v>47</v>
      </c>
      <c r="O14" s="120"/>
      <c r="P14" s="120"/>
      <c r="Q14" s="121"/>
    </row>
    <row r="15" spans="1:17" ht="28.5" customHeight="1" x14ac:dyDescent="0.2">
      <c r="A15" s="51">
        <v>36</v>
      </c>
      <c r="B15" s="57"/>
      <c r="C15" s="57"/>
      <c r="D15" s="57">
        <v>1</v>
      </c>
      <c r="E15" s="57"/>
      <c r="F15" s="57">
        <v>4901</v>
      </c>
      <c r="G15" s="57">
        <v>3</v>
      </c>
      <c r="H15" s="57">
        <v>310</v>
      </c>
      <c r="I15" s="58">
        <v>4</v>
      </c>
      <c r="J15" s="58">
        <v>3</v>
      </c>
      <c r="K15" s="58">
        <v>3</v>
      </c>
      <c r="L15" s="57"/>
      <c r="M15" s="52">
        <v>1</v>
      </c>
      <c r="N15" s="53" t="s">
        <v>74</v>
      </c>
      <c r="O15" s="112" t="s">
        <v>59</v>
      </c>
      <c r="P15" s="112"/>
      <c r="Q15" s="20">
        <v>5430000</v>
      </c>
    </row>
    <row r="16" spans="1:17" ht="17.25" customHeight="1" x14ac:dyDescent="0.2">
      <c r="A16" s="51"/>
      <c r="B16" s="55"/>
      <c r="C16" s="55"/>
      <c r="D16" s="55"/>
      <c r="E16" s="55"/>
      <c r="F16" s="55"/>
      <c r="G16" s="55"/>
      <c r="H16" s="55"/>
      <c r="I16" s="56"/>
      <c r="J16" s="56"/>
      <c r="K16" s="56"/>
      <c r="L16" s="55"/>
      <c r="M16" s="52"/>
      <c r="N16" s="53"/>
      <c r="O16" s="113"/>
      <c r="P16" s="107"/>
      <c r="Q16" s="20"/>
    </row>
    <row r="17" spans="1:18" ht="17.25" customHeight="1" x14ac:dyDescent="0.2">
      <c r="A17" s="51"/>
      <c r="B17" s="52"/>
      <c r="C17" s="52"/>
      <c r="D17" s="52"/>
      <c r="E17" s="52"/>
      <c r="F17" s="52"/>
      <c r="G17" s="52"/>
      <c r="H17" s="52"/>
      <c r="I17" s="54"/>
      <c r="J17" s="54"/>
      <c r="K17" s="54"/>
      <c r="L17" s="52"/>
      <c r="M17" s="52"/>
      <c r="N17" s="53"/>
      <c r="O17" s="113"/>
      <c r="P17" s="107"/>
      <c r="Q17" s="20"/>
    </row>
    <row r="18" spans="1:18" ht="23.25" customHeight="1" x14ac:dyDescent="0.2">
      <c r="A18" s="51"/>
      <c r="B18" s="52"/>
      <c r="C18" s="52"/>
      <c r="D18" s="52"/>
      <c r="E18" s="52"/>
      <c r="F18" s="52"/>
      <c r="G18" s="52"/>
      <c r="H18" s="52"/>
      <c r="I18" s="54"/>
      <c r="J18" s="54"/>
      <c r="K18" s="54"/>
      <c r="L18" s="52"/>
      <c r="M18" s="52"/>
      <c r="N18" s="53"/>
      <c r="O18" s="114"/>
      <c r="P18" s="107"/>
      <c r="Q18" s="20"/>
    </row>
    <row r="19" spans="1:18" ht="17.25" customHeight="1" x14ac:dyDescent="0.2">
      <c r="A19" s="16"/>
      <c r="B19" s="17"/>
      <c r="C19" s="17"/>
      <c r="D19" s="17"/>
      <c r="E19" s="17"/>
      <c r="F19" s="19"/>
      <c r="G19" s="17"/>
      <c r="H19" s="17"/>
      <c r="I19" s="17"/>
      <c r="J19" s="17"/>
      <c r="K19" s="17"/>
      <c r="L19" s="17"/>
      <c r="M19" s="18"/>
      <c r="N19" s="19"/>
      <c r="O19" s="107"/>
      <c r="P19" s="107"/>
      <c r="Q19" s="20"/>
    </row>
    <row r="20" spans="1:18" ht="17.25" customHeight="1" x14ac:dyDescent="0.2">
      <c r="A20" s="21"/>
      <c r="B20" s="22"/>
      <c r="C20" s="22"/>
      <c r="D20" s="22"/>
      <c r="E20" s="22"/>
      <c r="F20" s="23"/>
      <c r="G20" s="22"/>
      <c r="H20" s="22"/>
      <c r="I20" s="22"/>
      <c r="J20" s="22"/>
      <c r="K20" s="22"/>
      <c r="L20" s="22"/>
      <c r="M20" s="24"/>
      <c r="N20" s="25"/>
      <c r="O20" s="108"/>
      <c r="P20" s="108"/>
      <c r="Q20" s="20"/>
      <c r="R20" s="1"/>
    </row>
    <row r="21" spans="1:18" ht="17.25" customHeight="1" x14ac:dyDescent="0.2">
      <c r="A21" s="26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8"/>
      <c r="N21" s="27"/>
      <c r="O21" s="109"/>
      <c r="P21" s="109"/>
      <c r="Q21" s="29"/>
    </row>
    <row r="22" spans="1:18" ht="29.25" customHeight="1" x14ac:dyDescent="0.2">
      <c r="A22" s="110" t="s">
        <v>70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30">
        <f>SUM(Q15:Q21)</f>
        <v>5430000</v>
      </c>
    </row>
    <row r="23" spans="1:18" ht="18" customHeight="1" thickBot="1" x14ac:dyDescent="0.2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</row>
    <row r="24" spans="1:18" ht="17.25" customHeight="1" thickBot="1" x14ac:dyDescent="0.25">
      <c r="A24" s="102" t="s">
        <v>48</v>
      </c>
      <c r="B24" s="103"/>
      <c r="C24" s="103"/>
      <c r="D24" s="103"/>
      <c r="E24" s="103"/>
      <c r="F24" s="104"/>
      <c r="G24" s="105"/>
      <c r="H24" s="105"/>
      <c r="I24" s="105"/>
      <c r="J24" s="105"/>
      <c r="K24" s="105"/>
      <c r="L24" s="105"/>
      <c r="M24" s="105"/>
      <c r="N24" s="105"/>
      <c r="O24" s="105"/>
      <c r="P24" s="105"/>
      <c r="Q24" s="105"/>
    </row>
    <row r="25" spans="1:18" ht="18" customHeight="1" thickBot="1" x14ac:dyDescent="0.25">
      <c r="A25" s="106" t="s">
        <v>75</v>
      </c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</row>
    <row r="26" spans="1:18" ht="15" customHeight="1" x14ac:dyDescent="0.2">
      <c r="A26" s="106"/>
      <c r="B26" s="106"/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</row>
  </sheetData>
  <mergeCells count="30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O15:P15"/>
    <mergeCell ref="O16:P16"/>
    <mergeCell ref="O17:P17"/>
    <mergeCell ref="O18:P18"/>
    <mergeCell ref="A9:N9"/>
    <mergeCell ref="A10:Q10"/>
    <mergeCell ref="A12:Q12"/>
    <mergeCell ref="A13:N13"/>
    <mergeCell ref="O13:P14"/>
    <mergeCell ref="Q13:Q14"/>
    <mergeCell ref="A24:F24"/>
    <mergeCell ref="G24:Q24"/>
    <mergeCell ref="A25:Q26"/>
    <mergeCell ref="O19:P19"/>
    <mergeCell ref="O20:P20"/>
    <mergeCell ref="O21:P21"/>
    <mergeCell ref="A22:P22"/>
    <mergeCell ref="A23:Q23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revision>2</cp:revision>
  <cp:lastPrinted>2022-05-17T13:16:50Z</cp:lastPrinted>
  <dcterms:created xsi:type="dcterms:W3CDTF">2020-07-17T23:44:49Z</dcterms:created>
  <dcterms:modified xsi:type="dcterms:W3CDTF">2022-08-16T16:03:58Z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