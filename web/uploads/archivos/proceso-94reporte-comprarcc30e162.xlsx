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13_ncr:1_{3BFD5321-28DB-4A49-975F-96AC5B74D8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M12" i="2"/>
  <c r="Q12" i="2"/>
  <c r="U12" i="2"/>
  <c r="Y12" i="2"/>
</calcChain>
</file>

<file path=xl/sharedStrings.xml><?xml version="1.0" encoding="utf-8"?>
<sst xmlns="http://schemas.openxmlformats.org/spreadsheetml/2006/main" count="63" uniqueCount="42">
  <si>
    <t>Número expediente:</t>
  </si>
  <si>
    <t>EX-2022-00956068-   -CAT-DPCBS#MEC</t>
  </si>
  <si>
    <t>Número proceso de compra:</t>
  </si>
  <si>
    <t>100-0103-CDI22</t>
  </si>
  <si>
    <t>Nombre descriptivo proceso de compra:</t>
  </si>
  <si>
    <t>ADQUISICION DE CHAPAS Y NYLON - MVU</t>
  </si>
  <si>
    <t>Unidad Operativa de Compras:</t>
  </si>
  <si>
    <t>Secretaria de Compras y Abastecimiento</t>
  </si>
  <si>
    <t>Fecha de Apertura:</t>
  </si>
  <si>
    <t>09/06/2022</t>
  </si>
  <si>
    <t>Renglón</t>
  </si>
  <si>
    <t>SERGIO ANIBAL PEREZ BURGOS</t>
  </si>
  <si>
    <t>Bernardi SRL</t>
  </si>
  <si>
    <t>GAMIN S.R.L.</t>
  </si>
  <si>
    <t>MEG SRL</t>
  </si>
  <si>
    <t>COMERCIAL CATAMARCA S.R.L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</si>
  <si>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</si>
  <si>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</si>
  <si>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</si>
  <si>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</si>
  <si>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</si>
  <si>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</si>
  <si>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</si>
  <si>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</si>
  <si>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</si>
  <si>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</si>
  <si>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2.5.8-3995.74 </t>
  </si>
  <si>
    <t xml:space="preserve">POLIETILENO; ESPESOR: 200 Mn, PRESENTACION: ROLLO X 50 M </t>
  </si>
  <si>
    <t xml:space="preserve">UNIDAD </t>
  </si>
  <si>
    <t xml:space="preserve">POLIETILENO: ESPESOR 200 mic; PRESENTACION: ROLLO 4.5 X 50 mts. 
MARCA COVERFILM </t>
  </si>
  <si>
    <t xml:space="preserve">PLASTICO POLIETILENO NEGRO POR ROLLO DE 200 MICRONES DIMENSION DE 
4 MTS DE ANCHO X 50 MTS DE LARGO MARCA 
PLASTINET </t>
  </si>
  <si>
    <t xml:space="preserve">POLIETILENO; ESPESOR: 200 Mn, PRESENTACION: ROLLO X 50 M. MARCA 
DISDEC </t>
  </si>
  <si>
    <t xml:space="preserve">POLIETILENO; ESPESOR: 200 Mn, PRESENTACION: ROLLO X 50 M DE 
4 MTS DE ANCHO MARCA "PLASTINET" </t>
  </si>
  <si>
    <t xml:space="preserve">2 </t>
  </si>
  <si>
    <t xml:space="preserve">2.7.2-2722.5 </t>
  </si>
  <si>
    <t xml:space="preserve">CHAPAS DE ZINC; ANCHO: 1,10 M, LARGO: 3,05 M, ESPESOR: 
CALIBRE BWG 24 </t>
  </si>
  <si>
    <t xml:space="preserve">CHAPAS DE ZINC; ANCHO 1.10 m LARGO 3.05 M ESPESOR: 
CALIBRE BWG 24. MARCA TERNIUM SIDERAR / ACINDAR </t>
  </si>
  <si>
    <t xml:space="preserve">CHAPA CANALETA DE CALIBRE NUMERO 24 DIMENSION 1.10 MTS X 
3.05 MTS MARCA SIDERAR </t>
  </si>
  <si>
    <t xml:space="preserve">CHAPAS DE ZINC; ANCHO: 1,10 M, LARGO: 3,05 M, ESPESOR: 
CALIBRE BWG 24. MARCA SIDERAR </t>
  </si>
  <si>
    <t xml:space="preserve">CHAPAS DE ZINC ACANALADA; ANCHO: 1,10 M, LARGO: 3,00 M 
</t>
  </si>
  <si>
    <t xml:space="preserve">CHAPAS DE ZINC; ANCHO: 1,10 M, LARGO: 3,00 M, ESPESOR: 
CALIBRE BWG 24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</si>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</sst>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2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12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56.42578125" customWidth="1"/>
    <col min="5" max="5" width="38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1.140625" customWidth="1"/>
    <col min="11" max="11" width="14.28515625" customWidth="1"/>
    <col min="12" max="12" width="17.28515625" customWidth="1"/>
    <col min="13" max="13" width="16.5703125" customWidth="1"/>
    <col min="14" max="14" width="68.28515625" customWidth="1"/>
    <col min="15" max="15" width="14.28515625" customWidth="1"/>
    <col min="16" max="16" width="17.28515625" customWidth="1"/>
    <col min="17" max="17" width="16.5703125" customWidth="1"/>
    <col min="18" max="18" width="64" customWidth="1"/>
    <col min="19" max="19" width="14.28515625" customWidth="1"/>
    <col min="20" max="20" width="17.28515625" customWidth="1"/>
    <col min="21" max="21" width="16.5703125" customWidth="1"/>
    <col min="22" max="22" width="56.42578125" customWidth="1"/>
    <col min="23" max="23" width="14.28515625" customWidth="1"/>
    <col min="24" max="24" width="17.28515625" customWidth="1"/>
    <col min="25" max="25" width="16.5703125" customWidth="1"/>
    <col min="26" max="26" width="59.28515625" customWidth="1"/>
  </cols>
  <sheetData>
    <row r="1" spans="1:26" x14ac:dyDescent="0.25">
      <c r="D1" s="2" t="s">
        <v>0</v>
      </c>
      <c r="E1" s="2" t="s">
        <v>1</v>
      </c>
    </row>
    <row r="2" spans="1:26" x14ac:dyDescent="0.25">
      <c r="D2" s="2" t="s">
        <v>2</v>
      </c>
      <c r="E2" s="2" t="s">
        <v>3</v>
      </c>
    </row>
    <row r="3" spans="1:26" x14ac:dyDescent="0.25">
      <c r="D3" s="2" t="s">
        <v>4</v>
      </c>
      <c r="E3" s="2" t="s">
        <v>5</v>
      </c>
    </row>
    <row r="4" spans="1:26" x14ac:dyDescent="0.25">
      <c r="D4" s="2" t="s">
        <v>6</v>
      </c>
      <c r="E4" s="2" t="s">
        <v>7</v>
      </c>
    </row>
    <row r="5" spans="1:26" x14ac:dyDescent="0.25">
      <c r="D5" s="2" t="s">
        <v>8</v>
      </c>
      <c r="E5" s="2" t="s">
        <v>9</v>
      </c>
    </row>
    <row r="8" spans="1:26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</row>
    <row r="9" spans="1:26" x14ac:dyDescent="0.25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K9" s="3" t="s">
        <v>21</v>
      </c>
      <c r="L9" s="3" t="s">
        <v>22</v>
      </c>
      <c r="M9" t="s">
        <v>23</v>
      </c>
      <c r="N9" t="s">
        <v>24</v>
      </c>
      <c r="O9" s="3" t="s">
        <v>21</v>
      </c>
      <c r="P9" s="3" t="s">
        <v>22</v>
      </c>
      <c r="Q9" t="s">
        <v>23</v>
      </c>
      <c r="R9" t="s">
        <v>24</v>
      </c>
      <c r="S9" s="3" t="s">
        <v>21</v>
      </c>
      <c r="T9" s="3" t="s">
        <v>22</v>
      </c>
      <c r="U9" t="s">
        <v>23</v>
      </c>
      <c r="V9" t="s">
        <v>24</v>
      </c>
      <c r="W9" s="3" t="s">
        <v>21</v>
      </c>
      <c r="X9" s="3" t="s">
        <v>22</v>
      </c>
      <c r="Y9" t="s">
        <v>23</v>
      </c>
      <c r="Z9" t="s">
        <v>24</v>
      </c>
    </row>
    <row r="10" spans="1:26" ht="60" x14ac:dyDescent="0.25">
      <c r="A10" t="s">
        <v>25</v>
      </c>
      <c r="B10" t="s">
        <v>25</v>
      </c>
      <c r="C10" t="s">
        <v>26</v>
      </c>
      <c r="D10" t="s">
        <v>27</v>
      </c>
      <c r="E10">
        <v>225</v>
      </c>
      <c r="F10" t="s">
        <v>28</v>
      </c>
      <c r="G10" s="3">
        <v>17500</v>
      </c>
      <c r="H10" s="3">
        <v>225</v>
      </c>
      <c r="I10" s="4">
        <v>3937500</v>
      </c>
      <c r="J10" s="5" t="s">
        <v>29</v>
      </c>
      <c r="K10" s="3">
        <v>14265</v>
      </c>
      <c r="L10" s="3">
        <v>225</v>
      </c>
      <c r="M10" s="4">
        <v>3209625</v>
      </c>
      <c r="N10" s="5" t="s">
        <v>30</v>
      </c>
      <c r="O10" s="3">
        <v>15700</v>
      </c>
      <c r="P10" s="3">
        <v>225</v>
      </c>
      <c r="Q10" s="4">
        <v>3532500</v>
      </c>
      <c r="R10" s="5" t="s">
        <v>31</v>
      </c>
      <c r="S10" s="3">
        <v>13421.86</v>
      </c>
      <c r="T10" s="3">
        <v>225</v>
      </c>
      <c r="U10" s="4">
        <v>3019918.5</v>
      </c>
      <c r="V10" t="s">
        <v>27</v>
      </c>
      <c r="W10" s="3">
        <v>13520</v>
      </c>
      <c r="X10" s="3">
        <v>225</v>
      </c>
      <c r="Y10" s="4">
        <v>3042000</v>
      </c>
      <c r="Z10" s="5" t="s">
        <v>32</v>
      </c>
    </row>
    <row r="11" spans="1:26" ht="30" x14ac:dyDescent="0.25">
      <c r="A11" t="s">
        <v>33</v>
      </c>
      <c r="B11" t="s">
        <v>25</v>
      </c>
      <c r="C11" t="s">
        <v>34</v>
      </c>
      <c r="D11" s="5" t="s">
        <v>35</v>
      </c>
      <c r="E11">
        <v>241</v>
      </c>
      <c r="F11" t="s">
        <v>28</v>
      </c>
      <c r="G11" s="3">
        <v>7990</v>
      </c>
      <c r="H11" s="3">
        <v>241</v>
      </c>
      <c r="I11" s="4">
        <v>1925590</v>
      </c>
      <c r="J11" s="5" t="s">
        <v>36</v>
      </c>
      <c r="K11" s="3">
        <v>7300</v>
      </c>
      <c r="L11" s="3">
        <v>241</v>
      </c>
      <c r="M11" s="4">
        <v>1759300</v>
      </c>
      <c r="N11" s="5" t="s">
        <v>37</v>
      </c>
      <c r="O11" s="3">
        <v>5630</v>
      </c>
      <c r="P11" s="3">
        <v>241</v>
      </c>
      <c r="Q11" s="4">
        <v>1356830</v>
      </c>
      <c r="R11" s="5" t="s">
        <v>38</v>
      </c>
      <c r="S11" s="3">
        <v>8056.2</v>
      </c>
      <c r="T11" s="3">
        <v>241</v>
      </c>
      <c r="U11" s="4">
        <v>1941544.2</v>
      </c>
      <c r="V11" s="5" t="s">
        <v>39</v>
      </c>
      <c r="W11" s="3">
        <v>7470</v>
      </c>
      <c r="X11" s="3">
        <v>241</v>
      </c>
      <c r="Y11" s="4">
        <v>1800270</v>
      </c>
      <c r="Z11" s="5" t="s">
        <v>40</v>
      </c>
    </row>
    <row r="12" spans="1:26" x14ac:dyDescent="0.25">
      <c r="C12" t="s">
        <v>41</v>
      </c>
      <c r="D12" s="5"/>
      <c r="G12" s="3"/>
      <c r="H12" s="3"/>
      <c r="I12" s="4">
        <f>SUBTOTAL(109,Table2[Total por renglón])</f>
        <v>5863090</v>
      </c>
      <c r="J12" s="5"/>
      <c r="K12" s="3"/>
      <c r="L12" s="3"/>
      <c r="M12" s="4">
        <f>SUBTOTAL(109,Table3[Total por renglón])</f>
        <v>4968925</v>
      </c>
      <c r="N12" s="5"/>
      <c r="O12" s="3"/>
      <c r="P12" s="3"/>
      <c r="Q12" s="4">
        <f>SUBTOTAL(109,Table4[Total por renglón])</f>
        <v>4889330</v>
      </c>
      <c r="R12" s="5"/>
      <c r="S12" s="3"/>
      <c r="T12" s="3"/>
      <c r="U12" s="4">
        <f>SUBTOTAL(109,Table5[Total por renglón])</f>
        <v>4961462.7</v>
      </c>
      <c r="V12" s="5"/>
      <c r="W12" s="3"/>
      <c r="X12" s="3"/>
      <c r="Y12" s="4">
        <f>SUBTOTAL(109,Table6[Total por renglón])</f>
        <v>4842270</v>
      </c>
      <c r="Z12" s="5"/>
    </row>
  </sheetData>
  <mergeCells count="6"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QUINTAR</cp:lastModifiedBy>
  <dcterms:created xsi:type="dcterms:W3CDTF">2022-07-06T13:53:24Z</dcterms:created>
  <dcterms:modified xsi:type="dcterms:W3CDTF">2022-07-06T13:54:35Z</dcterms:modified>
</cp:coreProperties>
</file>