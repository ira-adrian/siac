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Descartables 1er Trim.2022\Descartables Comunes consolidado\"/>
    </mc:Choice>
  </mc:AlternateContent>
  <xr:revisionPtr revIDLastSave="0" documentId="13_ncr:1_{95392DAF-4259-4BB3-8626-9AFA8DEAA3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1" i="3" l="1"/>
  <c r="K13" i="2"/>
  <c r="K14" i="2"/>
  <c r="K15" i="2"/>
  <c r="K16" i="2"/>
  <c r="K17" i="2"/>
  <c r="K18" i="2"/>
  <c r="K19" i="2"/>
  <c r="K20" i="2"/>
  <c r="K21" i="2"/>
  <c r="K22" i="2"/>
  <c r="K23" i="2"/>
  <c r="K12" i="2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J12" i="2"/>
  <c r="M12" i="2" s="1"/>
  <c r="I13" i="2"/>
  <c r="I14" i="2"/>
  <c r="I15" i="2"/>
  <c r="I16" i="2"/>
  <c r="I17" i="2"/>
  <c r="I18" i="2"/>
  <c r="I19" i="2"/>
  <c r="I20" i="2"/>
  <c r="I21" i="2"/>
  <c r="I22" i="2"/>
  <c r="I23" i="2"/>
  <c r="I12" i="2"/>
  <c r="C13" i="2"/>
  <c r="C14" i="2"/>
  <c r="C15" i="2"/>
  <c r="C16" i="2"/>
  <c r="C17" i="2"/>
  <c r="C18" i="2"/>
  <c r="C19" i="2"/>
  <c r="C20" i="2"/>
  <c r="C21" i="2"/>
  <c r="C22" i="2"/>
  <c r="C23" i="2"/>
  <c r="C12" i="2"/>
  <c r="M25" i="2" l="1"/>
  <c r="Q15" i="3" s="1"/>
  <c r="G6" i="3"/>
  <c r="G7" i="3"/>
  <c r="D4" i="2"/>
  <c r="G5" i="3" s="1"/>
  <c r="D3" i="2"/>
  <c r="G4" i="3" s="1"/>
  <c r="J25" i="2" l="1"/>
  <c r="Q38" i="3"/>
  <c r="I22" i="1" l="1"/>
</calcChain>
</file>

<file path=xl/sharedStrings.xml><?xml version="1.0" encoding="utf-8"?>
<sst xmlns="http://schemas.openxmlformats.org/spreadsheetml/2006/main" count="127" uniqueCount="89">
  <si>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</si>
  <si>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</si>
  <si>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</si>
  <si>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</si>
  <si>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</si>
  <si>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</si>
  <si>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</si>
  <si>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</si>
  <si>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</si>
  <si>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</si>
  <si>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</si>
  <si>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</si>
  <si>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</si>
  <si>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</si>
  <si>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</si>
  <si>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</si>
  <si>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</si>
  <si>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UNIDAD</t>
  </si>
  <si>
    <t>CAJA</t>
  </si>
  <si>
    <t>PRODUCTOS MEDICOS/FARMACEUTICOS/LAB.</t>
  </si>
  <si>
    <t>APOSITO ADHESIVO TRANSPARENTE 10 X 12 TIPO TEGADERM</t>
  </si>
  <si>
    <t>APOSITO ADHESIVO TRANSPARENTE 6 X 7 TIPO TEGADERM</t>
  </si>
  <si>
    <t>EQUIPO PARA ADMINISTRACION DE SOLUCIONES MICROGOTERO TIPO V-17 CON ROLLER</t>
  </si>
  <si>
    <t>REGULADOR DE FLUJO MACROGOTERO CON GRADUACION DE 5 A 250 ML/HORA CON PUERTO DE INYECCION EN Y</t>
  </si>
  <si>
    <t>SONDA FOLEY DOBLE VIA DE LATEX RECUBIERTA CON SILICONA Nº 14</t>
  </si>
  <si>
    <t>SONDA FOLEY DOBLE VIA DE LATEX RECUBIERTA CON SILICONA Nº 16</t>
  </si>
  <si>
    <t>SONDA FOLEY DOBLE VIA DE LATEX RECUBIERTA CON SILICONA Nº 18</t>
  </si>
  <si>
    <t>SONDA NASOGASTRICA K 31</t>
  </si>
  <si>
    <t>SONDA NASOGASTRICA K 33</t>
  </si>
  <si>
    <t>SONDA NASOGASTRICA K 35</t>
  </si>
  <si>
    <t>SONDA RECTAL DE PVC  ADULTO N°20</t>
  </si>
  <si>
    <t>SONDA RECTAL DE PVC ADULTO N°26</t>
  </si>
  <si>
    <t>TOTAL RUBRO DESCARTABLE COMUN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</si>
  <si>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</si>
  <si>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</si>
  <si>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</si>
  <si>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</si>
  <si>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</si>
  <si>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</si>
  <si>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</si>
  <si>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</si>
  <si>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</si>
  <si>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</si>
  <si>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</si>
  <si>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</si>
  <si>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</si>
  <si>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</si>
  <si>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</si>
  <si>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</si>
  <si>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</si>
  <si>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</si>
  <si>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</si>
  <si>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</si>
  <si>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</si>
  <si>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</si>
  <si>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</si>
  <si>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</si>
  <si>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</si>
  <si>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</si>
  <si>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</si>
  <si>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</si>
  <si>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</si>
  <si>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</si>
  <si>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</si>
  <si>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</si>
  <si>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</si>
  <si>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</si>
  <si>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</si>
  <si>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</si>
  <si>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</si>
  <si>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</si>
  <si>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</si>
  <si>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</si>
  <si>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</si>
  <si>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</si>
  <si>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</si>
  <si>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</si>
  <si>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</si>
  <si>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</si>
  <si>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1° TRIMESTRE 2022</t>
  </si>
  <si>
    <t>1.1</t>
  </si>
  <si>
    <t>ADQUISICION DEL RUBRO DESCARTABLE COMUN</t>
  </si>
  <si>
    <t xml:space="preserve"> 07/2022</t>
  </si>
  <si>
    <t>SI</t>
  </si>
  <si>
    <t>Costo total estimado: CUATROCIENTOS OCHENTA Y CINCO MIL TRESCIENTOS CON 00/100.-</t>
  </si>
  <si>
    <t>Autorizo la realización de los  trámites correspondientes, a fin de proveer a  este Organismo los bienes que se detallan en Nota  de Pedido N° 07/2022 afectando la erogación resultante a los créditos presupuestarios aprobados a favor de esta Unidad Ejecutora, conforme al siguiente detalle:</t>
  </si>
  <si>
    <t>UTILES MENORES MEDICOS, QUIRURGICOS Y DE LABORATORIO</t>
  </si>
  <si>
    <t>TOTAL DE PESOS: CUATROCIENTOS OCHENTA Y CINCO MIL TRESCIENTOS CON 00/100.-</t>
  </si>
  <si>
    <t>veinte (20)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</si>
</sst>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[$$-2C0A]\ * #,##0.00_-;\-[$$-2C0A]\ * #,##0.00_-;_-[$$-2C0A]\ * &quot;-&quot;??_-;_-@_-"/>
    <numFmt numFmtId="166" formatCode="[$$-2C0A]\ #,##0.00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7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0" fillId="0" borderId="0" applyBorder="0" applyProtection="0"/>
    <xf numFmtId="0" fontId="24" fillId="0" borderId="60" applyProtection="0"/>
    <xf numFmtId="0" fontId="24" fillId="0" borderId="6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5" fillId="3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69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3" fontId="7" fillId="0" borderId="3" xfId="2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8" fillId="0" borderId="0" xfId="0" applyFont="1"/>
    <xf numFmtId="165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65" fontId="8" fillId="0" borderId="2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3" fontId="7" fillId="0" borderId="2" xfId="2" applyNumberFormat="1" applyFont="1" applyBorder="1" applyAlignment="1">
      <alignment horizontal="center" vertical="center" wrapText="1"/>
    </xf>
    <xf numFmtId="3" fontId="10" fillId="0" borderId="7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4" fillId="0" borderId="2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5" xfId="0" applyFont="1" applyBorder="1" applyAlignment="1">
      <alignment horizontal="left" vertical="center" wrapText="1" indent="1"/>
    </xf>
    <xf numFmtId="3" fontId="18" fillId="0" borderId="32" xfId="0" applyNumberFormat="1" applyFont="1" applyBorder="1" applyAlignment="1"/>
    <xf numFmtId="168" fontId="0" fillId="0" borderId="32" xfId="0" applyNumberFormat="1" applyBorder="1" applyAlignment="1">
      <alignment horizontal="left"/>
    </xf>
    <xf numFmtId="0" fontId="0" fillId="0" borderId="32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8" xfId="0" applyBorder="1"/>
    <xf numFmtId="0" fontId="23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2" xfId="0" applyFont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70" fontId="0" fillId="0" borderId="48" xfId="7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170" fontId="0" fillId="0" borderId="53" xfId="7" applyNumberFormat="1" applyFont="1" applyBorder="1" applyAlignment="1" applyProtection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70" fontId="0" fillId="0" borderId="57" xfId="7" applyNumberFormat="1" applyFont="1" applyBorder="1" applyAlignment="1" applyProtection="1">
      <alignment horizontal="center" vertical="center"/>
    </xf>
    <xf numFmtId="170" fontId="23" fillId="0" borderId="59" xfId="0" applyNumberFormat="1" applyFont="1" applyBorder="1" applyAlignment="1">
      <alignment horizontal="center" vertical="center"/>
    </xf>
    <xf numFmtId="0" fontId="26" fillId="0" borderId="10" xfId="5" applyFont="1" applyFill="1" applyBorder="1" applyAlignment="1">
      <alignment horizontal="center" vertical="center" wrapText="1"/>
    </xf>
    <xf numFmtId="0" fontId="26" fillId="0" borderId="21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6" fillId="0" borderId="21" xfId="5" applyFont="1" applyFill="1" applyBorder="1" applyAlignment="1">
      <alignment horizontal="center" wrapText="1"/>
    </xf>
    <xf numFmtId="0" fontId="26" fillId="0" borderId="21" xfId="5" applyFont="1" applyBorder="1" applyAlignment="1">
      <alignment horizontal="center" wrapText="1"/>
    </xf>
    <xf numFmtId="0" fontId="26" fillId="0" borderId="61" xfId="5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/>
    <xf numFmtId="0" fontId="28" fillId="0" borderId="25" xfId="0" applyFont="1" applyBorder="1" applyAlignment="1">
      <alignment horizontal="center" vertical="center"/>
    </xf>
    <xf numFmtId="0" fontId="28" fillId="0" borderId="9" xfId="0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8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wrapText="1"/>
    </xf>
    <xf numFmtId="3" fontId="28" fillId="0" borderId="26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3" fontId="28" fillId="0" borderId="28" xfId="0" applyNumberFormat="1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right" vertical="center"/>
    </xf>
    <xf numFmtId="165" fontId="12" fillId="0" borderId="0" xfId="0" applyNumberFormat="1" applyFont="1" applyBorder="1" applyAlignment="1">
      <alignment vertical="center"/>
    </xf>
    <xf numFmtId="165" fontId="13" fillId="0" borderId="0" xfId="0" applyNumberFormat="1" applyFont="1" applyBorder="1" applyAlignment="1">
      <alignment horizontal="left" vertical="center" wrapText="1" indent="1"/>
    </xf>
    <xf numFmtId="165" fontId="28" fillId="0" borderId="9" xfId="0" applyNumberFormat="1" applyFont="1" applyBorder="1" applyAlignment="1">
      <alignment horizontal="center" vertical="center" wrapText="1"/>
    </xf>
    <xf numFmtId="165" fontId="28" fillId="0" borderId="1" xfId="0" applyNumberFormat="1" applyFont="1" applyBorder="1" applyAlignment="1">
      <alignment horizontal="center" vertical="center" wrapText="1"/>
    </xf>
    <xf numFmtId="165" fontId="0" fillId="0" borderId="0" xfId="0" applyNumberFormat="1"/>
    <xf numFmtId="165" fontId="27" fillId="0" borderId="0" xfId="0" applyNumberFormat="1" applyFont="1"/>
    <xf numFmtId="0" fontId="2" fillId="0" borderId="0" xfId="0" applyFont="1"/>
    <xf numFmtId="165" fontId="29" fillId="0" borderId="0" xfId="0" applyNumberFormat="1" applyFont="1"/>
    <xf numFmtId="0" fontId="30" fillId="0" borderId="0" xfId="0" applyFont="1" applyAlignment="1">
      <alignment horizontal="center" vertical="center"/>
    </xf>
    <xf numFmtId="0" fontId="32" fillId="0" borderId="0" xfId="0" applyFont="1"/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3" fillId="0" borderId="62" xfId="5" applyFont="1" applyBorder="1" applyAlignment="1">
      <alignment horizontal="left" vertical="center" wrapText="1"/>
    </xf>
    <xf numFmtId="0" fontId="3" fillId="0" borderId="64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/>
    </xf>
    <xf numFmtId="0" fontId="3" fillId="0" borderId="32" xfId="5" applyFont="1" applyFill="1" applyBorder="1" applyAlignment="1">
      <alignment horizontal="left" vertical="center" wrapText="1"/>
    </xf>
    <xf numFmtId="0" fontId="3" fillId="0" borderId="63" xfId="5" applyFont="1" applyFill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 indent="1"/>
    </xf>
    <xf numFmtId="0" fontId="11" fillId="0" borderId="10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 wrapText="1" indent="1"/>
    </xf>
    <xf numFmtId="0" fontId="28" fillId="0" borderId="6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left" vertical="center" wrapText="1"/>
    </xf>
    <xf numFmtId="165" fontId="15" fillId="0" borderId="23" xfId="0" applyNumberFormat="1" applyFont="1" applyBorder="1" applyAlignment="1">
      <alignment horizontal="center" vertical="center" wrapText="1"/>
    </xf>
    <xf numFmtId="0" fontId="17" fillId="0" borderId="29" xfId="0" applyFont="1" applyBorder="1" applyAlignment="1">
      <alignment horizontal="left" vertical="center" wrapText="1" indent="1"/>
    </xf>
    <xf numFmtId="166" fontId="13" fillId="0" borderId="2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left"/>
    </xf>
    <xf numFmtId="0" fontId="0" fillId="0" borderId="30" xfId="0" applyFont="1" applyBorder="1" applyAlignment="1">
      <alignment horizontal="center"/>
    </xf>
    <xf numFmtId="3" fontId="18" fillId="0" borderId="31" xfId="0" applyNumberFormat="1" applyFont="1" applyBorder="1" applyAlignment="1">
      <alignment horizontal="center"/>
    </xf>
    <xf numFmtId="0" fontId="19" fillId="0" borderId="12" xfId="0" applyFont="1" applyBorder="1" applyAlignment="1">
      <alignment horizontal="center" vertical="center" wrapText="1"/>
    </xf>
    <xf numFmtId="0" fontId="20" fillId="0" borderId="33" xfId="0" applyFont="1" applyBorder="1"/>
    <xf numFmtId="0" fontId="21" fillId="0" borderId="34" xfId="0" applyFont="1" applyBorder="1" applyAlignment="1">
      <alignment horizontal="left" indent="1"/>
    </xf>
    <xf numFmtId="0" fontId="16" fillId="0" borderId="33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left"/>
    </xf>
    <xf numFmtId="0" fontId="0" fillId="0" borderId="52" xfId="0" applyFont="1" applyBorder="1" applyAlignment="1">
      <alignment horizontal="center" vertical="center"/>
    </xf>
    <xf numFmtId="49" fontId="21" fillId="0" borderId="37" xfId="0" applyNumberFormat="1" applyFont="1" applyBorder="1" applyAlignment="1">
      <alignment horizontal="justify" vertical="center" wrapText="1"/>
    </xf>
    <xf numFmtId="0" fontId="23" fillId="0" borderId="36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/>
    </xf>
    <xf numFmtId="0" fontId="0" fillId="0" borderId="46" xfId="0" applyFont="1" applyBorder="1" applyAlignment="1">
      <alignment horizontal="left" vertical="center" wrapText="1"/>
    </xf>
    <xf numFmtId="0" fontId="0" fillId="0" borderId="52" xfId="0" applyFont="1" applyBorder="1" applyAlignment="1">
      <alignment horizontal="left" vertical="center"/>
    </xf>
    <xf numFmtId="0" fontId="0" fillId="0" borderId="52" xfId="0" applyBorder="1" applyAlignment="1">
      <alignment horizontal="center"/>
    </xf>
    <xf numFmtId="0" fontId="18" fillId="0" borderId="17" xfId="0" applyFont="1" applyBorder="1" applyAlignment="1">
      <alignment vertical="center" wrapText="1"/>
    </xf>
    <xf numFmtId="0" fontId="21" fillId="0" borderId="40" xfId="0" applyFont="1" applyBorder="1" applyAlignment="1">
      <alignment vertical="center" wrapText="1"/>
    </xf>
    <xf numFmtId="0" fontId="21" fillId="0" borderId="29" xfId="0" applyFont="1" applyBorder="1" applyAlignment="1">
      <alignment horizontal="left" vertical="center" wrapText="1" indent="1"/>
    </xf>
    <xf numFmtId="0" fontId="0" fillId="0" borderId="5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18" fillId="0" borderId="58" xfId="0" applyFont="1" applyBorder="1" applyAlignment="1">
      <alignment horizontal="left" vertical="center" wrapText="1"/>
    </xf>
    <xf numFmtId="0" fontId="0" fillId="0" borderId="36" xfId="0" applyBorder="1"/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2"/>
  <sheetViews>
    <sheetView tabSelected="1" zoomScaleNormal="100" workbookViewId="0">
      <selection activeCell="F9" sqref="F9"/>
    </sheetView>
  </sheetViews>
  <sheetFormatPr baseColWidth="10" defaultRowHeight="15" x14ac:dyDescent="0.25"/>
  <cols>
    <col min="1" max="1" width="4.85546875" style="38" bestFit="1" customWidth="1"/>
    <col min="2" max="2" width="13" style="38" bestFit="1" customWidth="1"/>
    <col min="3" max="3" width="36.42578125" style="38" bestFit="1" customWidth="1"/>
    <col min="4" max="4" width="7.5703125" style="38" customWidth="1"/>
    <col min="5" max="5" width="75.5703125" style="39" bestFit="1" customWidth="1"/>
    <col min="6" max="6" width="10.5703125" style="38" bestFit="1" customWidth="1"/>
    <col min="7" max="7" width="10.42578125" style="40" bestFit="1" customWidth="1"/>
    <col min="8" max="8" width="11.42578125" style="41" bestFit="1" customWidth="1"/>
    <col min="9" max="9" width="16.28515625" style="41" bestFit="1" customWidth="1"/>
  </cols>
  <sheetData>
    <row r="1" spans="1:9" x14ac:dyDescent="0.25">
      <c r="A1" s="1"/>
      <c r="B1" s="2"/>
      <c r="C1" s="3"/>
      <c r="D1" s="3"/>
      <c r="E1" s="4"/>
      <c r="F1" s="3"/>
      <c r="G1" s="5"/>
      <c r="H1" s="7"/>
      <c r="I1" s="6"/>
    </row>
    <row r="2" spans="1:9" s="119" customFormat="1" ht="18.75" x14ac:dyDescent="0.3">
      <c r="A2" s="118"/>
      <c r="B2" s="125" t="s">
        <v>0</v>
      </c>
      <c r="C2" s="125"/>
      <c r="D2" s="125"/>
      <c r="E2" s="125"/>
      <c r="F2" s="125"/>
      <c r="G2" s="125"/>
      <c r="H2" s="125"/>
      <c r="I2" s="125"/>
    </row>
    <row r="3" spans="1:9" x14ac:dyDescent="0.25">
      <c r="A3" s="3"/>
      <c r="B3" s="2"/>
      <c r="C3" s="3"/>
      <c r="D3" s="3"/>
      <c r="E3" s="4"/>
      <c r="F3" s="3"/>
      <c r="G3" s="5"/>
      <c r="H3" s="7"/>
      <c r="I3" s="6"/>
    </row>
    <row r="4" spans="1:9" x14ac:dyDescent="0.25">
      <c r="A4" s="124" t="s">
        <v>1</v>
      </c>
      <c r="B4" s="124"/>
      <c r="C4" s="95" t="s">
        <v>2</v>
      </c>
      <c r="D4" s="95"/>
      <c r="E4" s="95"/>
      <c r="F4" s="8"/>
      <c r="G4" s="9"/>
      <c r="H4" s="7"/>
      <c r="I4" s="6"/>
    </row>
    <row r="5" spans="1:9" ht="15" customHeight="1" x14ac:dyDescent="0.25">
      <c r="A5" s="124" t="s">
        <v>3</v>
      </c>
      <c r="B5" s="124"/>
      <c r="C5" s="95" t="s">
        <v>4</v>
      </c>
      <c r="D5" s="95"/>
      <c r="E5" s="95"/>
      <c r="F5" s="8"/>
      <c r="G5" s="9"/>
      <c r="H5" s="7"/>
      <c r="I5" s="6"/>
    </row>
    <row r="6" spans="1:9" x14ac:dyDescent="0.25">
      <c r="A6" s="124" t="s">
        <v>5</v>
      </c>
      <c r="B6" s="124"/>
      <c r="C6" s="96">
        <v>2022</v>
      </c>
      <c r="D6" s="97"/>
      <c r="E6" s="96"/>
      <c r="F6" s="8"/>
      <c r="G6" s="9"/>
      <c r="H6" s="7"/>
      <c r="I6" s="6"/>
    </row>
    <row r="7" spans="1:9" x14ac:dyDescent="0.25">
      <c r="A7" s="124" t="s">
        <v>6</v>
      </c>
      <c r="B7" s="124"/>
      <c r="C7" s="96" t="s">
        <v>7</v>
      </c>
      <c r="D7" s="97"/>
      <c r="E7" s="96"/>
      <c r="F7" s="8"/>
      <c r="G7" s="9"/>
      <c r="H7" s="7"/>
      <c r="I7" s="6"/>
    </row>
    <row r="8" spans="1:9" x14ac:dyDescent="0.25">
      <c r="A8" s="3"/>
      <c r="B8" s="8"/>
      <c r="C8" s="8"/>
      <c r="D8" s="8"/>
      <c r="E8" s="10"/>
      <c r="F8" s="8"/>
      <c r="G8" s="9"/>
      <c r="H8" s="7"/>
      <c r="I8" s="6"/>
    </row>
    <row r="9" spans="1:9" ht="38.25" x14ac:dyDescent="0.25">
      <c r="A9" s="11" t="s">
        <v>8</v>
      </c>
      <c r="B9" s="11" t="s">
        <v>9</v>
      </c>
      <c r="C9" s="12" t="s">
        <v>10</v>
      </c>
      <c r="D9" s="11" t="s">
        <v>11</v>
      </c>
      <c r="E9" s="13" t="s">
        <v>12</v>
      </c>
      <c r="F9" s="12" t="s">
        <v>13</v>
      </c>
      <c r="G9" s="14" t="s">
        <v>14</v>
      </c>
      <c r="H9" s="16" t="s">
        <v>15</v>
      </c>
      <c r="I9" s="15" t="s">
        <v>16</v>
      </c>
    </row>
    <row r="10" spans="1:9" s="22" customFormat="1" ht="12.75" x14ac:dyDescent="0.2">
      <c r="A10" s="26">
        <v>1</v>
      </c>
      <c r="B10" s="26"/>
      <c r="C10" s="26" t="s">
        <v>19</v>
      </c>
      <c r="D10" s="26">
        <v>295</v>
      </c>
      <c r="E10" s="35" t="s">
        <v>20</v>
      </c>
      <c r="F10" s="26" t="s">
        <v>18</v>
      </c>
      <c r="G10" s="19">
        <v>1500</v>
      </c>
      <c r="H10" s="27">
        <v>74</v>
      </c>
      <c r="I10" s="27">
        <v>111000</v>
      </c>
    </row>
    <row r="11" spans="1:9" s="22" customFormat="1" ht="12.75" x14ac:dyDescent="0.2">
      <c r="A11" s="17">
        <v>2</v>
      </c>
      <c r="B11" s="17"/>
      <c r="C11" s="17" t="s">
        <v>19</v>
      </c>
      <c r="D11" s="17">
        <v>295</v>
      </c>
      <c r="E11" s="29" t="s">
        <v>21</v>
      </c>
      <c r="F11" s="17" t="s">
        <v>18</v>
      </c>
      <c r="G11" s="18">
        <v>500</v>
      </c>
      <c r="H11" s="30">
        <v>37</v>
      </c>
      <c r="I11" s="27">
        <v>18500</v>
      </c>
    </row>
    <row r="12" spans="1:9" s="22" customFormat="1" ht="12.75" x14ac:dyDescent="0.2">
      <c r="A12" s="17">
        <v>3</v>
      </c>
      <c r="B12" s="17"/>
      <c r="C12" s="17" t="s">
        <v>19</v>
      </c>
      <c r="D12" s="17">
        <v>295</v>
      </c>
      <c r="E12" s="29" t="s">
        <v>22</v>
      </c>
      <c r="F12" s="17" t="s">
        <v>17</v>
      </c>
      <c r="G12" s="18">
        <v>3000</v>
      </c>
      <c r="H12" s="30">
        <v>55</v>
      </c>
      <c r="I12" s="27">
        <v>165000</v>
      </c>
    </row>
    <row r="13" spans="1:9" s="22" customFormat="1" ht="25.5" x14ac:dyDescent="0.2">
      <c r="A13" s="26">
        <v>4</v>
      </c>
      <c r="B13" s="17"/>
      <c r="C13" s="17" t="s">
        <v>19</v>
      </c>
      <c r="D13" s="17">
        <v>295</v>
      </c>
      <c r="E13" s="29" t="s">
        <v>23</v>
      </c>
      <c r="F13" s="17" t="s">
        <v>17</v>
      </c>
      <c r="G13" s="18">
        <v>100</v>
      </c>
      <c r="H13" s="30">
        <v>273</v>
      </c>
      <c r="I13" s="27">
        <v>27300</v>
      </c>
    </row>
    <row r="14" spans="1:9" s="22" customFormat="1" ht="12.75" x14ac:dyDescent="0.2">
      <c r="A14" s="17">
        <v>5</v>
      </c>
      <c r="B14" s="17"/>
      <c r="C14" s="17" t="s">
        <v>19</v>
      </c>
      <c r="D14" s="17">
        <v>295</v>
      </c>
      <c r="E14" s="29" t="s">
        <v>24</v>
      </c>
      <c r="F14" s="17" t="s">
        <v>17</v>
      </c>
      <c r="G14" s="18">
        <v>50</v>
      </c>
      <c r="H14" s="30">
        <v>110</v>
      </c>
      <c r="I14" s="27">
        <v>5500</v>
      </c>
    </row>
    <row r="15" spans="1:9" s="22" customFormat="1" ht="12.75" x14ac:dyDescent="0.2">
      <c r="A15" s="17">
        <v>6</v>
      </c>
      <c r="B15" s="17"/>
      <c r="C15" s="17" t="s">
        <v>19</v>
      </c>
      <c r="D15" s="17">
        <v>295</v>
      </c>
      <c r="E15" s="29" t="s">
        <v>25</v>
      </c>
      <c r="F15" s="17" t="s">
        <v>17</v>
      </c>
      <c r="G15" s="18">
        <v>200</v>
      </c>
      <c r="H15" s="30">
        <v>110</v>
      </c>
      <c r="I15" s="27">
        <v>22000</v>
      </c>
    </row>
    <row r="16" spans="1:9" s="22" customFormat="1" ht="12.75" x14ac:dyDescent="0.2">
      <c r="A16" s="26">
        <v>7</v>
      </c>
      <c r="B16" s="17"/>
      <c r="C16" s="17" t="s">
        <v>19</v>
      </c>
      <c r="D16" s="17">
        <v>295</v>
      </c>
      <c r="E16" s="29" t="s">
        <v>26</v>
      </c>
      <c r="F16" s="17" t="s">
        <v>17</v>
      </c>
      <c r="G16" s="18">
        <v>400</v>
      </c>
      <c r="H16" s="30">
        <v>110</v>
      </c>
      <c r="I16" s="27">
        <v>44000</v>
      </c>
    </row>
    <row r="17" spans="1:9" s="22" customFormat="1" ht="12.75" x14ac:dyDescent="0.2">
      <c r="A17" s="17">
        <v>8</v>
      </c>
      <c r="B17" s="17"/>
      <c r="C17" s="17" t="s">
        <v>19</v>
      </c>
      <c r="D17" s="17">
        <v>295</v>
      </c>
      <c r="E17" s="29" t="s">
        <v>27</v>
      </c>
      <c r="F17" s="17" t="s">
        <v>17</v>
      </c>
      <c r="G17" s="18">
        <v>1000</v>
      </c>
      <c r="H17" s="30">
        <v>35</v>
      </c>
      <c r="I17" s="27">
        <v>35000</v>
      </c>
    </row>
    <row r="18" spans="1:9" s="22" customFormat="1" ht="12.75" x14ac:dyDescent="0.2">
      <c r="A18" s="17">
        <v>9</v>
      </c>
      <c r="B18" s="17"/>
      <c r="C18" s="17" t="s">
        <v>19</v>
      </c>
      <c r="D18" s="17">
        <v>295</v>
      </c>
      <c r="E18" s="29" t="s">
        <v>28</v>
      </c>
      <c r="F18" s="17" t="s">
        <v>17</v>
      </c>
      <c r="G18" s="18">
        <v>1000</v>
      </c>
      <c r="H18" s="30">
        <v>35</v>
      </c>
      <c r="I18" s="27">
        <v>35000</v>
      </c>
    </row>
    <row r="19" spans="1:9" s="22" customFormat="1" ht="12.75" x14ac:dyDescent="0.2">
      <c r="A19" s="26">
        <v>10</v>
      </c>
      <c r="B19" s="17"/>
      <c r="C19" s="17" t="s">
        <v>19</v>
      </c>
      <c r="D19" s="17">
        <v>295</v>
      </c>
      <c r="E19" s="29" t="s">
        <v>29</v>
      </c>
      <c r="F19" s="17" t="s">
        <v>17</v>
      </c>
      <c r="G19" s="18">
        <v>500</v>
      </c>
      <c r="H19" s="30">
        <v>35</v>
      </c>
      <c r="I19" s="27">
        <v>17500</v>
      </c>
    </row>
    <row r="20" spans="1:9" s="22" customFormat="1" ht="12.75" x14ac:dyDescent="0.2">
      <c r="A20" s="17">
        <v>11</v>
      </c>
      <c r="B20" s="17"/>
      <c r="C20" s="17" t="s">
        <v>19</v>
      </c>
      <c r="D20" s="17">
        <v>295</v>
      </c>
      <c r="E20" s="29" t="s">
        <v>30</v>
      </c>
      <c r="F20" s="17" t="s">
        <v>17</v>
      </c>
      <c r="G20" s="18">
        <v>50</v>
      </c>
      <c r="H20" s="30">
        <v>45</v>
      </c>
      <c r="I20" s="27">
        <v>2250</v>
      </c>
    </row>
    <row r="21" spans="1:9" s="22" customFormat="1" ht="13.5" thickBot="1" x14ac:dyDescent="0.25">
      <c r="A21" s="17">
        <v>12</v>
      </c>
      <c r="B21" s="31"/>
      <c r="C21" s="31" t="s">
        <v>19</v>
      </c>
      <c r="D21" s="31">
        <v>295</v>
      </c>
      <c r="E21" s="32" t="s">
        <v>31</v>
      </c>
      <c r="F21" s="31" t="s">
        <v>17</v>
      </c>
      <c r="G21" s="36">
        <v>50</v>
      </c>
      <c r="H21" s="33">
        <v>45</v>
      </c>
      <c r="I21" s="28">
        <v>2250</v>
      </c>
    </row>
    <row r="22" spans="1:9" s="25" customFormat="1" ht="13.5" thickBot="1" x14ac:dyDescent="0.25">
      <c r="A22" s="24"/>
      <c r="B22" s="21"/>
      <c r="C22" s="21"/>
      <c r="D22" s="21"/>
      <c r="E22" s="20" t="s">
        <v>32</v>
      </c>
      <c r="F22" s="21"/>
      <c r="G22" s="37"/>
      <c r="H22" s="23"/>
      <c r="I22" s="34">
        <f>SUM(I10:I21)</f>
        <v>485300</v>
      </c>
    </row>
    <row r="23" spans="1:9" ht="15.75" thickBot="1" x14ac:dyDescent="0.3"/>
    <row r="24" spans="1:9" ht="150.75" customHeight="1" x14ac:dyDescent="0.25">
      <c r="C24" s="87" t="s">
        <v>70</v>
      </c>
      <c r="D24" s="126" t="s">
        <v>71</v>
      </c>
      <c r="E24" s="127"/>
    </row>
    <row r="25" spans="1:9" x14ac:dyDescent="0.25">
      <c r="C25" s="88"/>
      <c r="D25" s="89"/>
      <c r="E25" s="93"/>
    </row>
    <row r="26" spans="1:9" x14ac:dyDescent="0.25">
      <c r="C26" s="90" t="s">
        <v>72</v>
      </c>
      <c r="D26" s="120" t="s">
        <v>88</v>
      </c>
      <c r="E26" s="121"/>
    </row>
    <row r="27" spans="1:9" x14ac:dyDescent="0.25">
      <c r="C27" s="90"/>
      <c r="D27" s="89"/>
      <c r="E27" s="93"/>
    </row>
    <row r="28" spans="1:9" ht="27" customHeight="1" x14ac:dyDescent="0.25">
      <c r="C28" s="90" t="s">
        <v>73</v>
      </c>
      <c r="D28" s="120" t="s">
        <v>74</v>
      </c>
      <c r="E28" s="121"/>
    </row>
    <row r="29" spans="1:9" x14ac:dyDescent="0.25">
      <c r="C29" s="90"/>
      <c r="D29" s="89"/>
      <c r="E29" s="93"/>
    </row>
    <row r="30" spans="1:9" x14ac:dyDescent="0.25">
      <c r="C30" s="91" t="s">
        <v>75</v>
      </c>
      <c r="D30" s="94"/>
      <c r="E30" s="93"/>
    </row>
    <row r="31" spans="1:9" x14ac:dyDescent="0.25">
      <c r="C31" s="91"/>
      <c r="D31" s="94"/>
      <c r="E31" s="93"/>
    </row>
    <row r="32" spans="1:9" ht="15.75" thickBot="1" x14ac:dyDescent="0.3">
      <c r="C32" s="92" t="s">
        <v>76</v>
      </c>
      <c r="D32" s="122" t="s">
        <v>77</v>
      </c>
      <c r="E32" s="123"/>
    </row>
  </sheetData>
  <mergeCells count="9">
    <mergeCell ref="B2:I2"/>
    <mergeCell ref="D28:E28"/>
    <mergeCell ref="D32:E32"/>
    <mergeCell ref="A7:B7"/>
    <mergeCell ref="A6:B6"/>
    <mergeCell ref="A4:B4"/>
    <mergeCell ref="A5:B5"/>
    <mergeCell ref="D24:E24"/>
    <mergeCell ref="D26:E26"/>
  </mergeCells>
  <conditionalFormatting sqref="B1:B9 E1 E3:E9">
    <cfRule type="duplicateValues" dxfId="9" priority="94"/>
  </conditionalFormatting>
  <conditionalFormatting sqref="E1 B1:B9 E3:E9">
    <cfRule type="duplicateValues" dxfId="8" priority="95"/>
  </conditionalFormatting>
  <conditionalFormatting sqref="B1:B9">
    <cfRule type="duplicateValues" dxfId="7" priority="138"/>
  </conditionalFormatting>
  <conditionalFormatting sqref="E1 E3:E9">
    <cfRule type="duplicateValues" dxfId="6" priority="139"/>
  </conditionalFormatting>
  <conditionalFormatting sqref="E1 E3:E9">
    <cfRule type="duplicateValues" dxfId="5" priority="140"/>
    <cfRule type="duplicateValues" dxfId="4" priority="141"/>
  </conditionalFormatting>
  <conditionalFormatting sqref="C26:C32">
    <cfRule type="duplicateValues" dxfId="3" priority="1"/>
  </conditionalFormatting>
  <conditionalFormatting sqref="C26:C32">
    <cfRule type="duplicateValues" dxfId="2" priority="2"/>
  </conditionalFormatting>
  <conditionalFormatting sqref="C26:C32">
    <cfRule type="duplicateValues" dxfId="1" priority="3"/>
  </conditionalFormatting>
  <conditionalFormatting sqref="C26:C32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workbookViewId="0">
      <selection activeCell="C30" sqref="C30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28515625" customWidth="1"/>
    <col min="8" max="8" width="9.28515625" customWidth="1"/>
    <col min="9" max="9" width="15.5703125" customWidth="1"/>
    <col min="10" max="10" width="14.7109375" style="114" customWidth="1"/>
    <col min="11" max="11" width="15.5703125" customWidth="1"/>
    <col min="13" max="13" width="13" style="115" bestFit="1" customWidth="1"/>
  </cols>
  <sheetData>
    <row r="1" spans="1:13" ht="30.75" thickBot="1" x14ac:dyDescent="0.3">
      <c r="A1" s="130" t="s">
        <v>33</v>
      </c>
      <c r="B1" s="130"/>
      <c r="C1" s="130"/>
      <c r="D1" s="130"/>
      <c r="E1" s="130"/>
      <c r="F1" s="130"/>
      <c r="G1" s="130"/>
      <c r="H1" s="130"/>
      <c r="I1" s="130"/>
      <c r="J1" s="109" t="s">
        <v>34</v>
      </c>
      <c r="K1" s="42" t="s">
        <v>82</v>
      </c>
    </row>
    <row r="2" spans="1:13" ht="16.5" thickBot="1" x14ac:dyDescent="0.3">
      <c r="A2" s="43"/>
      <c r="B2" s="44"/>
      <c r="C2" s="44"/>
      <c r="D2" s="45"/>
      <c r="E2" s="45"/>
      <c r="F2" s="45"/>
      <c r="G2" s="45"/>
      <c r="H2" s="45"/>
      <c r="I2" s="45"/>
      <c r="J2" s="110"/>
      <c r="K2" s="46"/>
    </row>
    <row r="3" spans="1:13" ht="16.5" thickBot="1" x14ac:dyDescent="0.3">
      <c r="A3" s="131" t="s">
        <v>35</v>
      </c>
      <c r="B3" s="131"/>
      <c r="C3" s="131"/>
      <c r="D3" s="129" t="str">
        <f>'SAF 011'!C4</f>
        <v>040 - MINISTERIO DE SALUD</v>
      </c>
      <c r="E3" s="129"/>
      <c r="F3" s="129"/>
      <c r="G3" s="129"/>
      <c r="H3" s="129"/>
      <c r="I3" s="129"/>
      <c r="J3" s="129"/>
      <c r="K3" s="129"/>
    </row>
    <row r="4" spans="1:13" ht="16.5" thickBot="1" x14ac:dyDescent="0.3">
      <c r="A4" s="128" t="s">
        <v>36</v>
      </c>
      <c r="B4" s="128"/>
      <c r="C4" s="128"/>
      <c r="D4" s="129" t="str">
        <f>'SAF 011'!C5</f>
        <v>011 - DIRECCION PROVINCIAL DE ADMINISTRACION - MINISTERIO DE SALUD</v>
      </c>
      <c r="E4" s="129"/>
      <c r="F4" s="129"/>
      <c r="G4" s="129"/>
      <c r="H4" s="129"/>
      <c r="I4" s="129"/>
      <c r="J4" s="129"/>
      <c r="K4" s="129"/>
    </row>
    <row r="5" spans="1:13" ht="16.5" thickBot="1" x14ac:dyDescent="0.3">
      <c r="A5" s="128" t="s">
        <v>37</v>
      </c>
      <c r="B5" s="128"/>
      <c r="C5" s="128"/>
      <c r="D5" s="129" t="s">
        <v>78</v>
      </c>
      <c r="E5" s="129"/>
      <c r="F5" s="129"/>
      <c r="G5" s="129"/>
      <c r="H5" s="129"/>
      <c r="I5" s="129"/>
      <c r="J5" s="129"/>
      <c r="K5" s="129"/>
    </row>
    <row r="6" spans="1:13" ht="16.5" thickBot="1" x14ac:dyDescent="0.3">
      <c r="A6" s="131" t="s">
        <v>38</v>
      </c>
      <c r="B6" s="131"/>
      <c r="C6" s="131"/>
      <c r="D6" s="129" t="s">
        <v>78</v>
      </c>
      <c r="E6" s="129"/>
      <c r="F6" s="129"/>
      <c r="G6" s="129"/>
      <c r="H6" s="129"/>
      <c r="I6" s="129"/>
      <c r="J6" s="129"/>
      <c r="K6" s="129"/>
    </row>
    <row r="7" spans="1:13" ht="16.5" thickBot="1" x14ac:dyDescent="0.3">
      <c r="A7" s="128" t="s">
        <v>39</v>
      </c>
      <c r="B7" s="128"/>
      <c r="C7" s="128"/>
      <c r="D7" s="129" t="s">
        <v>79</v>
      </c>
      <c r="E7" s="129"/>
      <c r="F7" s="129"/>
      <c r="G7" s="129"/>
      <c r="H7" s="129"/>
      <c r="I7" s="129"/>
      <c r="J7" s="129"/>
      <c r="K7" s="129"/>
    </row>
    <row r="8" spans="1:13" ht="16.5" thickBot="1" x14ac:dyDescent="0.3">
      <c r="A8" s="132" t="s">
        <v>40</v>
      </c>
      <c r="B8" s="132"/>
      <c r="C8" s="132"/>
      <c r="D8" s="133" t="s">
        <v>81</v>
      </c>
      <c r="E8" s="133"/>
      <c r="F8" s="133"/>
      <c r="G8" s="133"/>
      <c r="H8" s="133"/>
      <c r="I8" s="133"/>
      <c r="J8" s="133"/>
      <c r="K8" s="133"/>
    </row>
    <row r="9" spans="1:13" ht="16.5" thickBot="1" x14ac:dyDescent="0.3">
      <c r="A9" s="47"/>
      <c r="B9" s="48"/>
      <c r="C9" s="48"/>
      <c r="D9" s="49"/>
      <c r="E9" s="49"/>
      <c r="F9" s="49"/>
      <c r="G9" s="49"/>
      <c r="H9" s="49"/>
      <c r="I9" s="49"/>
      <c r="J9" s="111"/>
      <c r="K9" s="50"/>
    </row>
    <row r="10" spans="1:13" ht="15.75" thickBot="1" x14ac:dyDescent="0.3">
      <c r="A10" s="137" t="s">
        <v>41</v>
      </c>
      <c r="B10" s="138" t="s">
        <v>42</v>
      </c>
      <c r="C10" s="138" t="s">
        <v>43</v>
      </c>
      <c r="D10" s="138"/>
      <c r="E10" s="138"/>
      <c r="F10" s="138"/>
      <c r="G10" s="138"/>
      <c r="H10" s="138" t="s">
        <v>44</v>
      </c>
      <c r="I10" s="138" t="s">
        <v>45</v>
      </c>
      <c r="J10" s="141" t="s">
        <v>46</v>
      </c>
      <c r="K10" s="139" t="s">
        <v>47</v>
      </c>
    </row>
    <row r="11" spans="1:13" ht="30.75" customHeight="1" thickBot="1" x14ac:dyDescent="0.3">
      <c r="A11" s="137"/>
      <c r="B11" s="138"/>
      <c r="C11" s="138"/>
      <c r="D11" s="138"/>
      <c r="E11" s="138"/>
      <c r="F11" s="138"/>
      <c r="G11" s="138"/>
      <c r="H11" s="138"/>
      <c r="I11" s="138"/>
      <c r="J11" s="141"/>
      <c r="K11" s="139"/>
    </row>
    <row r="12" spans="1:13" s="98" customFormat="1" x14ac:dyDescent="0.25">
      <c r="A12" s="99">
        <v>1</v>
      </c>
      <c r="B12" s="100"/>
      <c r="C12" s="140" t="str">
        <f>'SAF 011'!E10</f>
        <v>APOSITO ADHESIVO TRANSPARENTE 10 X 12 TIPO TEGADERM</v>
      </c>
      <c r="D12" s="140"/>
      <c r="E12" s="140"/>
      <c r="F12" s="140"/>
      <c r="G12" s="140"/>
      <c r="H12" s="103" t="s">
        <v>83</v>
      </c>
      <c r="I12" s="104" t="str">
        <f>'SAF 011'!F10</f>
        <v>CAJA</v>
      </c>
      <c r="J12" s="112">
        <f>'SAF 011'!H10</f>
        <v>74</v>
      </c>
      <c r="K12" s="105" t="e">
        <f>'SAF 011'!#REF!</f>
        <v>#REF!</v>
      </c>
      <c r="M12" s="115" t="e">
        <f>+J12*K12</f>
        <v>#REF!</v>
      </c>
    </row>
    <row r="13" spans="1:13" s="98" customFormat="1" ht="16.5" customHeight="1" x14ac:dyDescent="0.25">
      <c r="A13" s="101">
        <v>2</v>
      </c>
      <c r="B13" s="102"/>
      <c r="C13" s="134" t="str">
        <f>'SAF 011'!E11</f>
        <v>APOSITO ADHESIVO TRANSPARENTE 6 X 7 TIPO TEGADERM</v>
      </c>
      <c r="D13" s="135"/>
      <c r="E13" s="135"/>
      <c r="F13" s="135"/>
      <c r="G13" s="136"/>
      <c r="H13" s="106" t="s">
        <v>83</v>
      </c>
      <c r="I13" s="107" t="str">
        <f>'SAF 011'!F11</f>
        <v>CAJA</v>
      </c>
      <c r="J13" s="113">
        <f>'SAF 011'!H11</f>
        <v>37</v>
      </c>
      <c r="K13" s="108" t="e">
        <f>'SAF 011'!#REF!</f>
        <v>#REF!</v>
      </c>
      <c r="M13" s="115" t="e">
        <f t="shared" ref="M13:M23" si="0">+J13*K13</f>
        <v>#REF!</v>
      </c>
    </row>
    <row r="14" spans="1:13" s="98" customFormat="1" ht="16.5" customHeight="1" x14ac:dyDescent="0.25">
      <c r="A14" s="101">
        <v>3</v>
      </c>
      <c r="B14" s="102"/>
      <c r="C14" s="134" t="str">
        <f>'SAF 011'!E12</f>
        <v>EQUIPO PARA ADMINISTRACION DE SOLUCIONES MICROGOTERO TIPO V-17 CON ROLLER</v>
      </c>
      <c r="D14" s="135"/>
      <c r="E14" s="135"/>
      <c r="F14" s="135"/>
      <c r="G14" s="136"/>
      <c r="H14" s="106" t="s">
        <v>83</v>
      </c>
      <c r="I14" s="107" t="str">
        <f>'SAF 011'!F12</f>
        <v>UNIDAD</v>
      </c>
      <c r="J14" s="113">
        <f>'SAF 011'!H12</f>
        <v>55</v>
      </c>
      <c r="K14" s="108" t="e">
        <f>'SAF 011'!#REF!</f>
        <v>#REF!</v>
      </c>
      <c r="M14" s="115" t="e">
        <f t="shared" si="0"/>
        <v>#REF!</v>
      </c>
    </row>
    <row r="15" spans="1:13" s="98" customFormat="1" ht="16.5" customHeight="1" x14ac:dyDescent="0.25">
      <c r="A15" s="101">
        <v>4</v>
      </c>
      <c r="B15" s="102"/>
      <c r="C15" s="134" t="str">
        <f>'SAF 011'!E13</f>
        <v>REGULADOR DE FLUJO MACROGOTERO CON GRADUACION DE 5 A 250 ML/HORA CON PUERTO DE INYECCION EN Y</v>
      </c>
      <c r="D15" s="135"/>
      <c r="E15" s="135"/>
      <c r="F15" s="135"/>
      <c r="G15" s="136"/>
      <c r="H15" s="106" t="s">
        <v>83</v>
      </c>
      <c r="I15" s="107" t="str">
        <f>'SAF 011'!F13</f>
        <v>UNIDAD</v>
      </c>
      <c r="J15" s="113">
        <f>'SAF 011'!H13</f>
        <v>273</v>
      </c>
      <c r="K15" s="108" t="e">
        <f>'SAF 011'!#REF!</f>
        <v>#REF!</v>
      </c>
      <c r="M15" s="115" t="e">
        <f t="shared" si="0"/>
        <v>#REF!</v>
      </c>
    </row>
    <row r="16" spans="1:13" s="98" customFormat="1" ht="16.5" customHeight="1" x14ac:dyDescent="0.25">
      <c r="A16" s="101">
        <v>5</v>
      </c>
      <c r="B16" s="102"/>
      <c r="C16" s="134" t="str">
        <f>'SAF 011'!E14</f>
        <v>SONDA FOLEY DOBLE VIA DE LATEX RECUBIERTA CON SILICONA Nº 14</v>
      </c>
      <c r="D16" s="135"/>
      <c r="E16" s="135"/>
      <c r="F16" s="135"/>
      <c r="G16" s="136"/>
      <c r="H16" s="106" t="s">
        <v>83</v>
      </c>
      <c r="I16" s="107" t="str">
        <f>'SAF 011'!F14</f>
        <v>UNIDAD</v>
      </c>
      <c r="J16" s="113">
        <f>'SAF 011'!H14</f>
        <v>110</v>
      </c>
      <c r="K16" s="108" t="e">
        <f>'SAF 011'!#REF!</f>
        <v>#REF!</v>
      </c>
      <c r="M16" s="115" t="e">
        <f t="shared" si="0"/>
        <v>#REF!</v>
      </c>
    </row>
    <row r="17" spans="1:13" s="98" customFormat="1" ht="16.5" customHeight="1" x14ac:dyDescent="0.25">
      <c r="A17" s="101">
        <v>6</v>
      </c>
      <c r="B17" s="102"/>
      <c r="C17" s="134" t="str">
        <f>'SAF 011'!E15</f>
        <v>SONDA FOLEY DOBLE VIA DE LATEX RECUBIERTA CON SILICONA Nº 16</v>
      </c>
      <c r="D17" s="135"/>
      <c r="E17" s="135"/>
      <c r="F17" s="135"/>
      <c r="G17" s="136"/>
      <c r="H17" s="106" t="s">
        <v>83</v>
      </c>
      <c r="I17" s="107" t="str">
        <f>'SAF 011'!F15</f>
        <v>UNIDAD</v>
      </c>
      <c r="J17" s="113">
        <f>'SAF 011'!H15</f>
        <v>110</v>
      </c>
      <c r="K17" s="108" t="e">
        <f>'SAF 011'!#REF!</f>
        <v>#REF!</v>
      </c>
      <c r="M17" s="115" t="e">
        <f t="shared" si="0"/>
        <v>#REF!</v>
      </c>
    </row>
    <row r="18" spans="1:13" s="98" customFormat="1" ht="16.5" customHeight="1" x14ac:dyDescent="0.25">
      <c r="A18" s="101">
        <v>7</v>
      </c>
      <c r="B18" s="102"/>
      <c r="C18" s="134" t="str">
        <f>'SAF 011'!E16</f>
        <v>SONDA FOLEY DOBLE VIA DE LATEX RECUBIERTA CON SILICONA Nº 18</v>
      </c>
      <c r="D18" s="135"/>
      <c r="E18" s="135"/>
      <c r="F18" s="135"/>
      <c r="G18" s="136"/>
      <c r="H18" s="106" t="s">
        <v>83</v>
      </c>
      <c r="I18" s="107" t="str">
        <f>'SAF 011'!F16</f>
        <v>UNIDAD</v>
      </c>
      <c r="J18" s="113">
        <f>'SAF 011'!H16</f>
        <v>110</v>
      </c>
      <c r="K18" s="108" t="e">
        <f>'SAF 011'!#REF!</f>
        <v>#REF!</v>
      </c>
      <c r="M18" s="115" t="e">
        <f t="shared" si="0"/>
        <v>#REF!</v>
      </c>
    </row>
    <row r="19" spans="1:13" s="98" customFormat="1" ht="16.5" customHeight="1" x14ac:dyDescent="0.25">
      <c r="A19" s="101">
        <v>8</v>
      </c>
      <c r="B19" s="102"/>
      <c r="C19" s="134" t="str">
        <f>'SAF 011'!E17</f>
        <v>SONDA NASOGASTRICA K 31</v>
      </c>
      <c r="D19" s="135"/>
      <c r="E19" s="135"/>
      <c r="F19" s="135"/>
      <c r="G19" s="136"/>
      <c r="H19" s="106" t="s">
        <v>83</v>
      </c>
      <c r="I19" s="107" t="str">
        <f>'SAF 011'!F17</f>
        <v>UNIDAD</v>
      </c>
      <c r="J19" s="113">
        <f>'SAF 011'!H17</f>
        <v>35</v>
      </c>
      <c r="K19" s="108" t="e">
        <f>'SAF 011'!#REF!</f>
        <v>#REF!</v>
      </c>
      <c r="M19" s="115" t="e">
        <f t="shared" si="0"/>
        <v>#REF!</v>
      </c>
    </row>
    <row r="20" spans="1:13" s="98" customFormat="1" ht="16.5" customHeight="1" x14ac:dyDescent="0.25">
      <c r="A20" s="101">
        <v>9</v>
      </c>
      <c r="B20" s="102"/>
      <c r="C20" s="134" t="str">
        <f>'SAF 011'!E18</f>
        <v>SONDA NASOGASTRICA K 33</v>
      </c>
      <c r="D20" s="135"/>
      <c r="E20" s="135"/>
      <c r="F20" s="135"/>
      <c r="G20" s="136"/>
      <c r="H20" s="106" t="s">
        <v>83</v>
      </c>
      <c r="I20" s="107" t="str">
        <f>'SAF 011'!F18</f>
        <v>UNIDAD</v>
      </c>
      <c r="J20" s="113">
        <f>'SAF 011'!H18</f>
        <v>35</v>
      </c>
      <c r="K20" s="108" t="e">
        <f>'SAF 011'!#REF!</f>
        <v>#REF!</v>
      </c>
      <c r="M20" s="115" t="e">
        <f t="shared" si="0"/>
        <v>#REF!</v>
      </c>
    </row>
    <row r="21" spans="1:13" s="98" customFormat="1" ht="16.5" customHeight="1" x14ac:dyDescent="0.25">
      <c r="A21" s="101">
        <v>10</v>
      </c>
      <c r="B21" s="102"/>
      <c r="C21" s="134" t="str">
        <f>'SAF 011'!E19</f>
        <v>SONDA NASOGASTRICA K 35</v>
      </c>
      <c r="D21" s="135"/>
      <c r="E21" s="135"/>
      <c r="F21" s="135"/>
      <c r="G21" s="136"/>
      <c r="H21" s="106" t="s">
        <v>83</v>
      </c>
      <c r="I21" s="107" t="str">
        <f>'SAF 011'!F19</f>
        <v>UNIDAD</v>
      </c>
      <c r="J21" s="113">
        <f>'SAF 011'!H19</f>
        <v>35</v>
      </c>
      <c r="K21" s="108" t="e">
        <f>'SAF 011'!#REF!</f>
        <v>#REF!</v>
      </c>
      <c r="M21" s="115" t="e">
        <f t="shared" si="0"/>
        <v>#REF!</v>
      </c>
    </row>
    <row r="22" spans="1:13" s="98" customFormat="1" ht="16.5" customHeight="1" x14ac:dyDescent="0.25">
      <c r="A22" s="101">
        <v>11</v>
      </c>
      <c r="B22" s="102"/>
      <c r="C22" s="134" t="str">
        <f>'SAF 011'!E20</f>
        <v>SONDA RECTAL DE PVC  ADULTO N°20</v>
      </c>
      <c r="D22" s="135"/>
      <c r="E22" s="135"/>
      <c r="F22" s="135"/>
      <c r="G22" s="136"/>
      <c r="H22" s="106" t="s">
        <v>83</v>
      </c>
      <c r="I22" s="107" t="str">
        <f>'SAF 011'!F20</f>
        <v>UNIDAD</v>
      </c>
      <c r="J22" s="113">
        <f>'SAF 011'!H20</f>
        <v>45</v>
      </c>
      <c r="K22" s="108" t="e">
        <f>'SAF 011'!#REF!</f>
        <v>#REF!</v>
      </c>
      <c r="M22" s="115" t="e">
        <f t="shared" si="0"/>
        <v>#REF!</v>
      </c>
    </row>
    <row r="23" spans="1:13" s="98" customFormat="1" ht="15.75" customHeight="1" x14ac:dyDescent="0.25">
      <c r="A23" s="101">
        <v>12</v>
      </c>
      <c r="B23" s="102"/>
      <c r="C23" s="134" t="str">
        <f>'SAF 011'!E21</f>
        <v>SONDA RECTAL DE PVC ADULTO N°26</v>
      </c>
      <c r="D23" s="135"/>
      <c r="E23" s="135"/>
      <c r="F23" s="135"/>
      <c r="G23" s="136"/>
      <c r="H23" s="106" t="s">
        <v>83</v>
      </c>
      <c r="I23" s="107" t="str">
        <f>'SAF 011'!F21</f>
        <v>UNIDAD</v>
      </c>
      <c r="J23" s="113">
        <f>'SAF 011'!H21</f>
        <v>45</v>
      </c>
      <c r="K23" s="108" t="e">
        <f>'SAF 011'!#REF!</f>
        <v>#REF!</v>
      </c>
      <c r="M23" s="115" t="e">
        <f t="shared" si="0"/>
        <v>#REF!</v>
      </c>
    </row>
    <row r="24" spans="1:13" s="98" customFormat="1" x14ac:dyDescent="0.25">
      <c r="A24" s="101"/>
      <c r="B24" s="102"/>
      <c r="C24" s="144"/>
      <c r="D24" s="144"/>
      <c r="E24" s="144"/>
      <c r="F24" s="144"/>
      <c r="G24" s="144"/>
      <c r="H24" s="106"/>
      <c r="I24" s="107"/>
      <c r="J24" s="113"/>
      <c r="K24" s="108"/>
      <c r="M24" s="115"/>
    </row>
    <row r="25" spans="1:13" s="116" customFormat="1" ht="19.5" thickBot="1" x14ac:dyDescent="0.3">
      <c r="A25" s="142" t="s">
        <v>84</v>
      </c>
      <c r="B25" s="142"/>
      <c r="C25" s="142"/>
      <c r="D25" s="142"/>
      <c r="E25" s="142"/>
      <c r="F25" s="142"/>
      <c r="G25" s="142"/>
      <c r="H25" s="142"/>
      <c r="I25" s="142"/>
      <c r="J25" s="143" t="e">
        <f>+M25</f>
        <v>#REF!</v>
      </c>
      <c r="K25" s="143"/>
      <c r="M25" s="117" t="e">
        <f>SUM(M12:M24)</f>
        <v>#REF!</v>
      </c>
    </row>
  </sheetData>
  <mergeCells count="35">
    <mergeCell ref="A25:I25"/>
    <mergeCell ref="J25:K25"/>
    <mergeCell ref="C17:G17"/>
    <mergeCell ref="C18:G18"/>
    <mergeCell ref="C19:G19"/>
    <mergeCell ref="C20:G20"/>
    <mergeCell ref="C21:G21"/>
    <mergeCell ref="C24:G24"/>
    <mergeCell ref="C22:G22"/>
    <mergeCell ref="C23:G23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0"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46" t="s">
        <v>5</v>
      </c>
      <c r="B1" s="146"/>
      <c r="C1" s="146"/>
      <c r="D1" s="147">
        <v>2022</v>
      </c>
      <c r="E1" s="147"/>
      <c r="F1" s="51"/>
      <c r="G1" s="51"/>
      <c r="H1" s="52"/>
      <c r="I1" s="52"/>
      <c r="J1" s="52"/>
      <c r="K1" s="52"/>
      <c r="L1" s="52"/>
      <c r="M1" s="52"/>
      <c r="N1" s="52"/>
      <c r="O1" s="53"/>
      <c r="P1" s="148" t="s">
        <v>48</v>
      </c>
      <c r="Q1" s="148"/>
    </row>
    <row r="2" spans="1:17" ht="15.75" thickBot="1" x14ac:dyDescent="0.3">
      <c r="A2" s="54"/>
      <c r="B2" s="55"/>
      <c r="C2" s="55"/>
      <c r="D2" s="55"/>
      <c r="E2" s="55"/>
      <c r="F2" s="55"/>
      <c r="G2" s="56"/>
      <c r="H2" s="57"/>
      <c r="I2" s="57"/>
      <c r="J2" s="57"/>
      <c r="K2" s="57"/>
      <c r="L2" s="57"/>
      <c r="M2" s="57"/>
      <c r="N2" s="57"/>
      <c r="O2" s="55"/>
      <c r="P2" s="148"/>
      <c r="Q2" s="148"/>
    </row>
    <row r="3" spans="1:17" ht="15.75" thickBot="1" x14ac:dyDescent="0.3">
      <c r="A3" s="54"/>
      <c r="B3" s="55"/>
      <c r="C3" s="55"/>
      <c r="D3" s="55"/>
      <c r="E3" s="55"/>
      <c r="F3" s="55"/>
      <c r="G3" s="56"/>
      <c r="H3" s="55"/>
      <c r="I3" s="55"/>
      <c r="J3" s="55"/>
      <c r="K3" s="55"/>
      <c r="L3" s="55"/>
      <c r="M3" s="55"/>
      <c r="N3" s="55"/>
      <c r="O3" s="55"/>
      <c r="P3" s="55"/>
      <c r="Q3" s="58"/>
    </row>
    <row r="4" spans="1:17" ht="15.75" thickBot="1" x14ac:dyDescent="0.3">
      <c r="A4" s="149" t="s">
        <v>49</v>
      </c>
      <c r="B4" s="149"/>
      <c r="C4" s="149"/>
      <c r="D4" s="149"/>
      <c r="E4" s="149"/>
      <c r="F4" s="149"/>
      <c r="G4" s="150" t="str">
        <f>NP!D3</f>
        <v>040 - MINISTERIO DE SALUD</v>
      </c>
      <c r="H4" s="150"/>
      <c r="I4" s="150"/>
      <c r="J4" s="150"/>
      <c r="K4" s="150"/>
      <c r="L4" s="150"/>
      <c r="M4" s="150"/>
      <c r="N4" s="150"/>
      <c r="O4" s="150"/>
      <c r="P4" s="150"/>
      <c r="Q4" s="150"/>
    </row>
    <row r="5" spans="1:17" ht="15.75" thickBot="1" x14ac:dyDescent="0.3">
      <c r="A5" s="151" t="s">
        <v>36</v>
      </c>
      <c r="B5" s="151"/>
      <c r="C5" s="151"/>
      <c r="D5" s="151"/>
      <c r="E5" s="151"/>
      <c r="F5" s="151"/>
      <c r="G5" s="150" t="str">
        <f>NP!D4</f>
        <v>011 - DIRECCION PROVINCIAL DE ADMINISTRACION - MINISTERIO DE SALUD</v>
      </c>
      <c r="H5" s="150"/>
      <c r="I5" s="150"/>
      <c r="J5" s="150"/>
      <c r="K5" s="150"/>
      <c r="L5" s="150"/>
      <c r="M5" s="150"/>
      <c r="N5" s="150"/>
      <c r="O5" s="150"/>
      <c r="P5" s="150"/>
      <c r="Q5" s="150"/>
    </row>
    <row r="6" spans="1:17" ht="15.75" thickBot="1" x14ac:dyDescent="0.3">
      <c r="A6" s="151" t="s">
        <v>37</v>
      </c>
      <c r="B6" s="151"/>
      <c r="C6" s="151"/>
      <c r="D6" s="151"/>
      <c r="E6" s="151"/>
      <c r="F6" s="151"/>
      <c r="G6" s="150" t="str">
        <f>NP!D5</f>
        <v>DIRECCION PROVINCIAL DE FARMACIA E INSUMOS</v>
      </c>
      <c r="H6" s="150"/>
      <c r="I6" s="150"/>
      <c r="J6" s="150"/>
      <c r="K6" s="150"/>
      <c r="L6" s="150"/>
      <c r="M6" s="150"/>
      <c r="N6" s="150"/>
      <c r="O6" s="150"/>
      <c r="P6" s="150"/>
      <c r="Q6" s="150"/>
    </row>
    <row r="7" spans="1:17" ht="15.75" thickBot="1" x14ac:dyDescent="0.3">
      <c r="A7" s="151" t="s">
        <v>38</v>
      </c>
      <c r="B7" s="151"/>
      <c r="C7" s="151"/>
      <c r="D7" s="151"/>
      <c r="E7" s="151"/>
      <c r="F7" s="151"/>
      <c r="G7" s="150" t="str">
        <f>NP!D6</f>
        <v>DIRECCION PROVINCIAL DE FARMACIA E INSUMOS</v>
      </c>
      <c r="H7" s="150"/>
      <c r="I7" s="150"/>
      <c r="J7" s="150"/>
      <c r="K7" s="150"/>
      <c r="L7" s="150"/>
      <c r="M7" s="150"/>
      <c r="N7" s="150"/>
      <c r="O7" s="150"/>
      <c r="P7" s="150"/>
      <c r="Q7" s="150"/>
    </row>
    <row r="8" spans="1:17" ht="15.75" thickBot="1" x14ac:dyDescent="0.3">
      <c r="A8" s="152" t="s">
        <v>50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</row>
    <row r="9" spans="1:17" ht="20.25" customHeight="1" x14ac:dyDescent="0.25">
      <c r="A9" s="145" t="s">
        <v>51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</row>
    <row r="10" spans="1:17" ht="69" customHeight="1" x14ac:dyDescent="0.25">
      <c r="A10" s="154" t="s">
        <v>85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1:17" ht="15.75" thickBot="1" x14ac:dyDescent="0.3">
      <c r="A11" s="59"/>
      <c r="B11" s="60"/>
      <c r="C11" s="60"/>
      <c r="D11" s="60"/>
      <c r="E11" s="60"/>
      <c r="F11" s="60"/>
      <c r="G11" s="61"/>
      <c r="H11" s="60"/>
      <c r="I11" s="60"/>
      <c r="J11" s="60"/>
      <c r="K11" s="60"/>
      <c r="L11" s="60"/>
      <c r="M11" s="60"/>
      <c r="N11" s="60"/>
      <c r="O11" s="60"/>
      <c r="P11" s="60"/>
      <c r="Q11" s="62"/>
    </row>
    <row r="12" spans="1:17" ht="15.75" thickBot="1" x14ac:dyDescent="0.3">
      <c r="A12" s="155" t="s">
        <v>52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</row>
    <row r="13" spans="1:17" ht="15.75" thickBot="1" x14ac:dyDescent="0.3">
      <c r="A13" s="156" t="s">
        <v>53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7" t="s">
        <v>54</v>
      </c>
      <c r="P13" s="157"/>
      <c r="Q13" s="158" t="s">
        <v>55</v>
      </c>
    </row>
    <row r="14" spans="1:17" ht="15.75" thickBot="1" x14ac:dyDescent="0.3">
      <c r="A14" s="63" t="s">
        <v>56</v>
      </c>
      <c r="B14" s="64" t="s">
        <v>57</v>
      </c>
      <c r="C14" s="64" t="s">
        <v>58</v>
      </c>
      <c r="D14" s="64" t="s">
        <v>59</v>
      </c>
      <c r="E14" s="64" t="s">
        <v>60</v>
      </c>
      <c r="F14" s="64" t="s">
        <v>61</v>
      </c>
      <c r="G14" s="65" t="s">
        <v>62</v>
      </c>
      <c r="H14" s="64" t="s">
        <v>63</v>
      </c>
      <c r="I14" s="64" t="s">
        <v>64</v>
      </c>
      <c r="J14" s="64" t="s">
        <v>65</v>
      </c>
      <c r="K14" s="64" t="s">
        <v>65</v>
      </c>
      <c r="L14" s="64" t="s">
        <v>66</v>
      </c>
      <c r="M14" s="66" t="s">
        <v>67</v>
      </c>
      <c r="N14" s="67" t="s">
        <v>68</v>
      </c>
      <c r="O14" s="157"/>
      <c r="P14" s="157"/>
      <c r="Q14" s="158"/>
    </row>
    <row r="15" spans="1:17" ht="48.75" customHeight="1" x14ac:dyDescent="0.25">
      <c r="A15" s="68">
        <v>30</v>
      </c>
      <c r="B15" s="69"/>
      <c r="C15" s="69"/>
      <c r="D15" s="69">
        <v>1</v>
      </c>
      <c r="E15" s="69"/>
      <c r="F15" s="69">
        <v>4901</v>
      </c>
      <c r="G15" s="69">
        <v>3</v>
      </c>
      <c r="H15" s="69">
        <v>1</v>
      </c>
      <c r="I15" s="69">
        <v>2</v>
      </c>
      <c r="J15" s="69">
        <v>9</v>
      </c>
      <c r="K15" s="69">
        <v>5</v>
      </c>
      <c r="L15" s="69"/>
      <c r="M15" s="70">
        <v>1</v>
      </c>
      <c r="N15" s="69" t="s">
        <v>80</v>
      </c>
      <c r="O15" s="159" t="s">
        <v>86</v>
      </c>
      <c r="P15" s="159"/>
      <c r="Q15" s="71" t="e">
        <f>NP!M25</f>
        <v>#REF!</v>
      </c>
    </row>
    <row r="16" spans="1:17" x14ac:dyDescent="0.25">
      <c r="A16" s="72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4"/>
      <c r="N16" s="75"/>
      <c r="O16" s="160"/>
      <c r="P16" s="160"/>
      <c r="Q16" s="76"/>
    </row>
    <row r="17" spans="1:17" x14ac:dyDescent="0.25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4"/>
      <c r="N17" s="75"/>
      <c r="O17" s="161"/>
      <c r="P17" s="161"/>
      <c r="Q17" s="76"/>
    </row>
    <row r="18" spans="1:17" x14ac:dyDescent="0.25">
      <c r="A18" s="72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4"/>
      <c r="N18" s="75"/>
      <c r="O18" s="153"/>
      <c r="P18" s="153"/>
      <c r="Q18" s="76"/>
    </row>
    <row r="19" spans="1:17" x14ac:dyDescent="0.25">
      <c r="A19" s="72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4"/>
      <c r="N19" s="75"/>
      <c r="O19" s="153"/>
      <c r="P19" s="153"/>
      <c r="Q19" s="76"/>
    </row>
    <row r="20" spans="1:17" x14ac:dyDescent="0.25">
      <c r="A20" s="72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4"/>
      <c r="N20" s="75"/>
      <c r="O20" s="153"/>
      <c r="P20" s="153"/>
      <c r="Q20" s="76"/>
    </row>
    <row r="21" spans="1:17" x14ac:dyDescent="0.25">
      <c r="A21" s="72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4"/>
      <c r="N21" s="75"/>
      <c r="O21" s="153"/>
      <c r="P21" s="153"/>
      <c r="Q21" s="76"/>
    </row>
    <row r="22" spans="1:17" x14ac:dyDescent="0.25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4"/>
      <c r="N22" s="75"/>
      <c r="O22" s="153"/>
      <c r="P22" s="153"/>
      <c r="Q22" s="76"/>
    </row>
    <row r="23" spans="1:17" x14ac:dyDescent="0.25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4"/>
      <c r="N23" s="75"/>
      <c r="O23" s="153"/>
      <c r="P23" s="153"/>
      <c r="Q23" s="76"/>
    </row>
    <row r="24" spans="1:17" x14ac:dyDescent="0.25">
      <c r="A24" s="72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4"/>
      <c r="N24" s="75"/>
      <c r="O24" s="153"/>
      <c r="P24" s="153"/>
      <c r="Q24" s="76"/>
    </row>
    <row r="25" spans="1:17" x14ac:dyDescent="0.25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4"/>
      <c r="N25" s="75"/>
      <c r="O25" s="153"/>
      <c r="P25" s="153"/>
      <c r="Q25" s="76"/>
    </row>
    <row r="26" spans="1:17" x14ac:dyDescent="0.25">
      <c r="A26" s="7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4"/>
      <c r="N26" s="75"/>
      <c r="O26" s="153"/>
      <c r="P26" s="153"/>
      <c r="Q26" s="76"/>
    </row>
    <row r="27" spans="1:17" x14ac:dyDescent="0.25">
      <c r="A27" s="7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4"/>
      <c r="N27" s="75"/>
      <c r="O27" s="153"/>
      <c r="P27" s="153"/>
      <c r="Q27" s="76"/>
    </row>
    <row r="28" spans="1:17" x14ac:dyDescent="0.25">
      <c r="A28" s="7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4"/>
      <c r="N28" s="75"/>
      <c r="O28" s="153"/>
      <c r="P28" s="153"/>
      <c r="Q28" s="76"/>
    </row>
    <row r="29" spans="1:17" x14ac:dyDescent="0.25">
      <c r="A29" s="72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4"/>
      <c r="N29" s="75"/>
      <c r="O29" s="153"/>
      <c r="P29" s="153"/>
      <c r="Q29" s="76"/>
    </row>
    <row r="30" spans="1:17" x14ac:dyDescent="0.25">
      <c r="A30" s="7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4"/>
      <c r="N30" s="75"/>
      <c r="O30" s="153"/>
      <c r="P30" s="153"/>
      <c r="Q30" s="76"/>
    </row>
    <row r="31" spans="1:17" x14ac:dyDescent="0.25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4"/>
      <c r="N31" s="75"/>
      <c r="O31" s="153"/>
      <c r="P31" s="153"/>
      <c r="Q31" s="76"/>
    </row>
    <row r="32" spans="1:17" x14ac:dyDescent="0.25">
      <c r="A32" s="72"/>
      <c r="B32" s="73"/>
      <c r="C32" s="73"/>
      <c r="D32" s="73"/>
      <c r="E32" s="73"/>
      <c r="F32" s="75"/>
      <c r="G32" s="73"/>
      <c r="H32" s="73"/>
      <c r="I32" s="73"/>
      <c r="J32" s="73"/>
      <c r="K32" s="73"/>
      <c r="L32" s="73"/>
      <c r="M32" s="74"/>
      <c r="N32" s="75"/>
      <c r="O32" s="160"/>
      <c r="P32" s="160"/>
      <c r="Q32" s="76"/>
    </row>
    <row r="33" spans="1:17" x14ac:dyDescent="0.2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4"/>
      <c r="N33" s="75"/>
      <c r="O33" s="160"/>
      <c r="P33" s="160"/>
      <c r="Q33" s="76"/>
    </row>
    <row r="34" spans="1:17" x14ac:dyDescent="0.25">
      <c r="A34" s="72"/>
      <c r="B34" s="73"/>
      <c r="C34" s="73"/>
      <c r="D34" s="73"/>
      <c r="E34" s="73"/>
      <c r="F34" s="75"/>
      <c r="G34" s="73"/>
      <c r="H34" s="73"/>
      <c r="I34" s="73"/>
      <c r="J34" s="73"/>
      <c r="K34" s="73"/>
      <c r="L34" s="73"/>
      <c r="M34" s="74"/>
      <c r="N34" s="75"/>
      <c r="O34" s="160"/>
      <c r="P34" s="160"/>
      <c r="Q34" s="76"/>
    </row>
    <row r="35" spans="1:17" x14ac:dyDescent="0.25">
      <c r="A35" s="72"/>
      <c r="B35" s="73"/>
      <c r="C35" s="73"/>
      <c r="D35" s="73"/>
      <c r="E35" s="73"/>
      <c r="F35" s="75"/>
      <c r="G35" s="73"/>
      <c r="H35" s="73"/>
      <c r="I35" s="73"/>
      <c r="J35" s="73"/>
      <c r="K35" s="73"/>
      <c r="L35" s="73"/>
      <c r="M35" s="74"/>
      <c r="N35" s="75"/>
      <c r="O35" s="160"/>
      <c r="P35" s="160"/>
      <c r="Q35" s="76"/>
    </row>
    <row r="36" spans="1:17" x14ac:dyDescent="0.25">
      <c r="A36" s="77"/>
      <c r="B36" s="78"/>
      <c r="C36" s="78"/>
      <c r="D36" s="78"/>
      <c r="E36" s="78"/>
      <c r="F36" s="79"/>
      <c r="G36" s="78"/>
      <c r="H36" s="78"/>
      <c r="I36" s="78"/>
      <c r="J36" s="78"/>
      <c r="K36" s="78"/>
      <c r="L36" s="78"/>
      <c r="M36" s="80"/>
      <c r="N36" s="81"/>
      <c r="O36" s="165"/>
      <c r="P36" s="165"/>
      <c r="Q36" s="76"/>
    </row>
    <row r="37" spans="1:17" ht="15.75" thickBot="1" x14ac:dyDescent="0.3">
      <c r="A37" s="82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4"/>
      <c r="N37" s="83"/>
      <c r="O37" s="166"/>
      <c r="P37" s="166"/>
      <c r="Q37" s="85"/>
    </row>
    <row r="38" spans="1:17" ht="15.75" thickBot="1" x14ac:dyDescent="0.3">
      <c r="A38" s="167" t="s">
        <v>87</v>
      </c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86" t="e">
        <f>SUM(Q15:Q37)</f>
        <v>#REF!</v>
      </c>
    </row>
    <row r="39" spans="1:17" ht="15.75" thickBot="1" x14ac:dyDescent="0.3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</row>
    <row r="40" spans="1:17" ht="15.75" thickBot="1" x14ac:dyDescent="0.3">
      <c r="A40" s="162" t="s">
        <v>69</v>
      </c>
      <c r="B40" s="162"/>
      <c r="C40" s="162"/>
      <c r="D40" s="162"/>
      <c r="E40" s="162"/>
      <c r="F40" s="162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</row>
    <row r="41" spans="1:17" ht="15.75" thickBot="1" x14ac:dyDescent="0.3">
      <c r="A41" s="164" t="str">
        <f>NP!D8</f>
        <v>ADQUISICION DEL RUBRO DESCARTABLE COMUN</v>
      </c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</row>
    <row r="42" spans="1:17" ht="15.75" thickBot="1" x14ac:dyDescent="0.3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2021-12-21T17:55:07Z</dcterms:created>
  <dcterms:modified xsi:type="dcterms:W3CDTF">2022-01-27T12:57:36Z</dcterms:modified>
</cp:coreProperties>
</file>