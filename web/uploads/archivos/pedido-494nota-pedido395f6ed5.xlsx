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04"/>
  <workbookPr defaultThemeVersion="124226"/>
  <xr:revisionPtr revIDLastSave="0" documentId="11_E20E8DA65A3632CD5D51B05772104EC8C2E5FBFC" xr6:coauthVersionLast="47" xr6:coauthVersionMax="47" xr10:uidLastSave="{00000000-0000-0000-0000-000000000000}"/>
  <bookViews>
    <workbookView xWindow="105" yWindow="-135" windowWidth="10440" windowHeight="7890" tabRatio="500" xr2:uid="{00000000-000D-0000-FFFF-FFFF00000000}"/>
  </bookViews>
  <sheets>
    <sheet name="Necesidades Trimestrales" sheetId="1" r:id="rId1"/>
    <sheet name="NOTA" sheetId="4" r:id="rId2"/>
  </sheets>
  <definedNames>
    <definedName name="_xlnm.Print_Area" localSheetId="0">'Necesidades Trimestrales'!$A$1:$J$442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4" i="1" l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0" i="1"/>
  <c r="I220" i="1" l="1"/>
</calcChain>
</file>

<file path=xl/sharedStrings.xml><?xml version="1.0" encoding="utf-8"?>
<sst xmlns="http://schemas.openxmlformats.org/spreadsheetml/2006/main" count="1699" uniqueCount="780">
  <si>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</si>
  <si>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</si>
  <si>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</si>
  <si>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</si>
  <si>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</si>
  <si>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</si>
  <si>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</si>
  <si>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</si>
  <si>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</si>
  <si>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</si>
  <si>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</si>
  <si>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</si>
  <si>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</si>
  <si>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</si>
  <si>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</si>
  <si>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</si>
  <si>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2.9.6-4978.9996</t>
  </si>
  <si>
    <t>REPUESTOS</t>
  </si>
  <si>
    <t>2.9.6</t>
  </si>
  <si>
    <t>REP. Y ACC. P/AUTOMOTOR; MARCA AUTOMOVIL: CITROEN, MODELO AUTOMOVIL: BERLINGO, ELEMENTO: KIT DE FILTROS</t>
  </si>
  <si>
    <t>UNIDAD</t>
  </si>
  <si>
    <t>2.9.6-4978.9997</t>
  </si>
  <si>
    <t>REP. Y ACC. P/AUTOMOTOR; MARCA AUTOMOVIL: FIAT, MODELO AUTOMOVIL: SIENA, ELEMENTO: KIT DE FILTROS</t>
  </si>
  <si>
    <t>2.9.6-4978.9998</t>
  </si>
  <si>
    <t>REP. Y ACC. P/AUTOMOTOR; MARCA AUTOMOVIL: TOYOTA, MODELO AUTOMOVIL: ETIOS, ELEMENTO: KIT DE FILTROS</t>
  </si>
  <si>
    <t>2.9.6-9688.624</t>
  </si>
  <si>
    <t>REP. Y ACC. P/CAMIONETAS; MARCA AUTOMOTOR: SEGÚN PLIEGO, MODELO AUTOMOTOR: SEGÚN PLIEGO, ELEMENTO: KIT DE FILTROS</t>
  </si>
  <si>
    <t>2.9.6-9688.390</t>
  </si>
  <si>
    <t>REP. Y ACC. P/CAMIONETAS; MARCA AUTOMOTOR: TOYOTA, MODELO AUTOMOTOR: HILUX, ELEMENTO: KIT DE FILTROS</t>
  </si>
  <si>
    <t>2.9.6-9688.386</t>
  </si>
  <si>
    <t>REP. Y ACC. P/CAMIONETAS; MARCA AUTOMOTOR: CHEVROLET, MODELO AUTOMOTOR: S10, ELEMENTO: KIT DE FILTROS</t>
  </si>
  <si>
    <t>2.9.6-9688.94</t>
  </si>
  <si>
    <t>REP. Y ACC. P/CAMIONETAS; MARCA AUTOMOTOR: CHEVROLET, MODELO AUTOMOTOR: S10, ELEMENTO: VOLANTE BIMASA</t>
  </si>
  <si>
    <t>2.9.6-9688.534</t>
  </si>
  <si>
    <t>REP. Y ACC. P/CAMIONETAS; MARCA AUTOMOTOR: CHEVROLET, MODELO AUTOMOTOR: S10, ELEMENTO: AMORTIGUADOR DELANTERO</t>
  </si>
  <si>
    <t>2.9.6-9688.535</t>
  </si>
  <si>
    <t>REP. Y ACC. P/CAMIONETAS; MARCA AUTOMOTOR: CHEVROLET, MODELO AUTOMOTOR: S10, ELEMENTO: AMORTIGUADOR TRASERO</t>
  </si>
  <si>
    <t>2.9.6-9688.203</t>
  </si>
  <si>
    <t>REP. Y ACC. P/CAMIONETAS; MARCA AUTOMOTOR: VOLKSWAGEN, MODELO AUTOMOTOR: AMAROK, ELEMENTO: PASTILLA DE FRENO</t>
  </si>
  <si>
    <t>2.9.6-9688.137</t>
  </si>
  <si>
    <t>REP. Y ACC. P/CAMIONETAS; MARCA AUTOMOTOR: TOYOTA, MODELO AUTOMOTOR: HILUX, ELEMENTO: JGO DE PASTILLAS DE FRENO</t>
  </si>
  <si>
    <t>2.9.6-9688.625</t>
  </si>
  <si>
    <t>REP. Y ACC. P/CAMIONETAS; MARCA AUTOMOTOR: SEGÚN PLIEGO, MODELO AUTOMOTOR: SEGÚN PLIEGO, ELEMENTO: JUEGO PASTILLAS DE FRENO</t>
  </si>
  <si>
    <t>2.9.6-9688.627</t>
  </si>
  <si>
    <t>REP. Y ACC. P/CAMIONETAS; MARCA AUTOMOTOR: SEGÚN PLIEGO, MODELO AUTOMOTOR: SEGÚN PLIEGO, ELEMENTO: VOLANTE BIMASA</t>
  </si>
  <si>
    <t>2.9.6-9688.145</t>
  </si>
  <si>
    <t>REP. Y ACC. P/CAMIONETAS; MARCA AUTOMOTOR: VOLKSWAGEN, MODELO AUTOMOTOR: AMAROK, ELEMENTO: CONJUNTO EMBRAGUE</t>
  </si>
  <si>
    <t>2.9.6-9688.194</t>
  </si>
  <si>
    <t>REP. Y ACC. P/CAMIONETAS; MARCA AUTOMOTOR: VOLKSWAGEN, MODELO AUTOMOTOR: AMAROK, ELEMENTO: PRECAP DE DIRECCION</t>
  </si>
  <si>
    <t>2.9.6-9688.660</t>
  </si>
  <si>
    <t>REP. Y ACC. P/CAMIONETAS; MARCA AUTOMOTOR: VOLKSWAGEN, MODELO AUTOMOTOR: AMAROK, ELEMENTO: EXTREMOS DE DIRECCION</t>
  </si>
  <si>
    <t>REP. Y ACC. P/CAMIONETAS; MARCA AUTOMOTOR: VOLKSWAGEN, MODELO AUTOMOTOR: AMAROK, ELEMENTO: EXTREMO DE DIRECCION</t>
  </si>
  <si>
    <t>2.9.6-9688.661</t>
  </si>
  <si>
    <t>REP. Y ACC. P/CAMIONETAS; MARCA AUTOMOTOR: VOLKSWAGEN, MODELO AUTOMOTOR: AMAROK, ELEMENTO: JUEGO DE BIELAS</t>
  </si>
  <si>
    <t>2.9.6-9688.662</t>
  </si>
  <si>
    <t>REP. Y ACC. P/CAMIONETAS; MARCA AUTOMOTOR: VOLKSWAGEN, MODELO AUTOMOTOR: AMAROK, ELEMENTO: RODILLO COLA DEL CIGÜEÑAL</t>
  </si>
  <si>
    <t>2.9.6-9688.663</t>
  </si>
  <si>
    <t xml:space="preserve">REP. Y ACC. P/CAMIONETAS; MARCA AUTOMOTOR: VOLKSWAGEN, MODELO AUTOMOTOR: AMAROK, ELEMENTO: REGULADOR DE VOLTAJE </t>
  </si>
  <si>
    <t>2.9.6-9688.189</t>
  </si>
  <si>
    <t>REP. Y ACC. P/CAMIONETAS; MARCA AUTOMOTOR: VOLKSWAGEN, MODELO AUTOMOTOR: AMAROK, ELEMENTO: KIT DE DISTRIBUCION</t>
  </si>
  <si>
    <t>2.9.6-9688.628</t>
  </si>
  <si>
    <t>REP. Y ACC. P/CAMIONETAS; MARCA AUTOMOTOR: SEGÚN PLIEGO, MODELO AUTOMOTOR: SEGÚN PLIEGO, ELEMENTO: ENFRIADOR DE ACEITE</t>
  </si>
  <si>
    <t>2.9.6-9688.641</t>
  </si>
  <si>
    <t>REP. Y ACC. P/CAMIONETAS; MARCA AUTOMOTOR: SEGÚN PLIEGO, MODELO AUTOMOTOR: SEGÚN PLIEGO, ELEMENTO: PARRILLA SUPERIOR</t>
  </si>
  <si>
    <t>2.9.6-9688.190</t>
  </si>
  <si>
    <t>REP. Y ACC. P/CAMIONETAS; MARCA AUTOMOTOR: VOLKSWAGEN, MODELO AUTOMOTOR: AMAROK, ELEMENTO: PARRILLA DE SUSPENSION INF.</t>
  </si>
  <si>
    <t>2.9.6-9688.633</t>
  </si>
  <si>
    <t>REP. Y ACC. P/CAMIONETAS; MARCA AUTOMOTOR: SEGÚN PLIEGO, MODELO AUTOMOTOR: SEGÚN PLIEGO, ELEMENTO: TENSOR MONOCORREA</t>
  </si>
  <si>
    <t>2.9.6-9688.202</t>
  </si>
  <si>
    <t>REP. Y ACC. P/CAMIONETAS; MARCA AUTOMOTOR: VOLKSWAGEN, MODELO AUTOMOTOR: AMAROK, ELEMENTO: DISCOS DE FRENOS</t>
  </si>
  <si>
    <t>2.9.6-9688.629</t>
  </si>
  <si>
    <t>REP. Y ACC. P/CAMIONETAS; MARCA AUTOMOTOR: SEGÚN PLIEGO, MODELO AUTOMOTOR: SEGÚN PLIEGO, ELEMENTO: BOMBA DE COMBUSTIBLE</t>
  </si>
  <si>
    <t>2.9.6-9688.634</t>
  </si>
  <si>
    <t>REP. Y ACC. P/CAMIONETAS; MARCA AUTOMOTOR: SEGÚN PLIEGO, MODELO AUTOMOTOR: SEGÚN PLIEGO, ELEMENTO: BOMBA AUXILIAR ELECTRICA</t>
  </si>
  <si>
    <t>2.9.6-9688.157</t>
  </si>
  <si>
    <t>REP. Y ACC. P/CAMIONETAS; MARCA AUTOMOTOR: VOLKSWAGEN, MODELO AUTOMOTOR: AMAROK, ELEMENTO: CORREA POLI V</t>
  </si>
  <si>
    <t>2.9.6-9688.636</t>
  </si>
  <si>
    <t>REP. Y ACC. P/CAMIONETAS; MARCA AUTOMOTOR: SEGÚN PLIEGO, MODELO AUTOMOTOR: SEGÚN PLIEGO, ELEMENTO: RETEN DE CIGÜEÑAL CON CARCASA PORTA RETEN</t>
  </si>
  <si>
    <t>2.9.6-9688.198</t>
  </si>
  <si>
    <t>REP. Y ACC. P/CAMIONETAS; MARCA AUTOMOTOR: VOLKSWAGEN, MODELO AUTOMOTOR: AMAROK, ELEMENTO: TENSOR CORREA MULTIVIA</t>
  </si>
  <si>
    <t>2.9.6-9688.228</t>
  </si>
  <si>
    <t>REP. Y ACC. P/CAMIONETAS; MARCA AUTOMOTOR: TOYOTA, MODELO AUTOMOTOR: HILUX, ELEMENTO: KIT DE EMBRAGUE</t>
  </si>
  <si>
    <t>2.9.6-9688.664</t>
  </si>
  <si>
    <t>REP. Y ACC. P/CAMIONETAS; MARCA AUTOMOTOR: NISSAN, MODELO AUTOMOTOR: FRONTIER, ELEMENTO: KIT DE EMBRAGUE</t>
  </si>
  <si>
    <t>2.9.6-9688.665</t>
  </si>
  <si>
    <t>REP. Y ACC. P/CAMIONETAS; MARCA AUTOMOTOR: NISSAN, MODELO AUTOMOTOR: FRONTIER, ELEMENTO: KIT DE DISTRUBUCION</t>
  </si>
  <si>
    <t>2.9.6-9688.560</t>
  </si>
  <si>
    <t>REP. Y ACC. P/CAMIONETAS; MARCA AUTOMOTOR: NISSAN, MODELO AUTOMOTOR: FRONTIER, ELEMENTO: AMORTIGUADOR TRASERO</t>
  </si>
  <si>
    <t>2.9.6-9688.496</t>
  </si>
  <si>
    <t>REP. Y ACC. P/CAMIONETAS; MARCA AUTOMOTOR: NISSAN, MODELO AUTOMOTOR: FRONTIER, ELEMENTO: AMORTIGUADOR DELANTERO</t>
  </si>
  <si>
    <t>2.9.6-9688.552</t>
  </si>
  <si>
    <t>REP. Y ACC. P/CAMIONETAS; MARCA AUTOMOTOR: NISSAN, MODELO AUTOMOTOR: FRONTIER, ELEMENTO: EXTREMO DE DIRECCION</t>
  </si>
  <si>
    <t>2.9.6-9688.556</t>
  </si>
  <si>
    <t>REP. Y ACC. P/CAMIONETAS; MARCA AUTOMOTOR: NISSAN, MODELO AUTOMOTOR: FRONTIER, ELEMENTO: BIELETAS DE BARRA</t>
  </si>
  <si>
    <t>2.9.6-9688.564</t>
  </si>
  <si>
    <t>REP. Y ACC. P/CAMIONETAS; MARCA AUTOMOTOR: NISSAN, MODELO AUTOMOTOR: FRONTIER, ELEMENTO: PRECAP</t>
  </si>
  <si>
    <t>2.9.6-9688.558</t>
  </si>
  <si>
    <t>REP. Y ACC. P/CAMIONETAS; MARCA AUTOMOTOR: NISSAN, MODELO AUTOMOTOR: FRONTIER, ELEMENTO: PARRILLA SUPERIOR</t>
  </si>
  <si>
    <t>2.9.6-9688.557</t>
  </si>
  <si>
    <t>REP. Y ACC. P/CAMIONETAS; MARCA AUTOMOTOR: NISSAN, MODELO AUTOMOTOR: FRONTIER, ELEMENTO: PARRILLA INFERIOR</t>
  </si>
  <si>
    <t>2.9.6-9688.495</t>
  </si>
  <si>
    <t>REP. Y ACC. P/CAMIONETAS; MARCA AUTOMOTOR: NISSAN, MODELO AUTOMOTOR: FRONTIER, ELEMENTO: PASTILLA DE FRENO</t>
  </si>
  <si>
    <t>2.9.6-9688.365</t>
  </si>
  <si>
    <t>REP. Y ACC. P/CAMIONETAS; MARCA AUTOMOTOR: TOYOTA, MODELO AUTOMOTOR: HILUX, ELEMENTO: KIT DE DISTRIBUCION</t>
  </si>
  <si>
    <t>2.9.6-9688.435</t>
  </si>
  <si>
    <t>REP. Y ACC. P/CAMIONETAS; MARCA AUTOMOTOR: TOYOTA, MODELO AUTOMOTOR: HILUX, ELEMENTO: BOMBA DE AGUA</t>
  </si>
  <si>
    <t>2.9.6-9688.637</t>
  </si>
  <si>
    <t>REP. Y ACC. P/CAMIONETAS; MARCA AUTOMOTOR: SEGÚN PLIEGO, MODELO AUTOMOTOR: SEGÚN PLIEGO, ELEMENTO: DERIVADOR DE AGUA</t>
  </si>
  <si>
    <t>2.9.6-9688.638</t>
  </si>
  <si>
    <t>REP. Y ACC. P/CAMIONETAS; MARCA AUTOMOTOR: SEGÚN PLIEGO, MODELO AUTOMOTOR: SEGÚN PLIEGO, ELEMENTO: POLEA EMBRAGUE PARA ALTERNADOR</t>
  </si>
  <si>
    <t>2.9.6-9688.639</t>
  </si>
  <si>
    <t>REP. Y ACC. P/CAMIONETAS; MARCA AUTOMOTOR: SEGÚN PLIEGO, MODELO AUTOMOTOR: SEGÚN PLIEGO, ELEMENTO: TERMOSTATO</t>
  </si>
  <si>
    <t>2.9.6-9688.640</t>
  </si>
  <si>
    <t>REP. Y ACC. P/CAMIONETAS; MARCA AUTOMOTOR: SEGÚN PLIEGO, MODELO AUTOMOTOR: SEGÚN PLIEGO, ELEMENTO: RODAMIENTO</t>
  </si>
  <si>
    <t>2.9.6-4978.9992</t>
  </si>
  <si>
    <t>REP. Y ACC. P/AUTOMOTOR; REPUESTO: KIT DE FILTRO, MARCA: SEGÚN PLIEGO, MODELO: SEGÚN PLIEGO</t>
  </si>
  <si>
    <t>2.9.6-4978.9986</t>
  </si>
  <si>
    <t>REP. Y ACC. P/AUTOMOTOR; REPUESTO: PRECAP, MARCA: SEGUN PLIEGO, MODELO: SEGUN PLIEGO, TIPO: AUTO</t>
  </si>
  <si>
    <t>2.9.6-4978.9987</t>
  </si>
  <si>
    <t>REP. Y ACC. P/AUTOMOTOR; REPUESTO: BIELETA, MARCA: SEGUN PLIEGO, MODELO: SEGUN PLIEGO, TIPO: AUTO</t>
  </si>
  <si>
    <t>2.9.6-4978.9988</t>
  </si>
  <si>
    <t>REP. Y ACC. P/AUTOMOTOR; REPUESTO: EXTREMO DE DIRECCION, MARCA: SEGUN PLIEGO, MODELO: SEGUN PLIEGO, TIPO: AUTO</t>
  </si>
  <si>
    <t>2.9.6-4978.9989</t>
  </si>
  <si>
    <t>REP. Y ACC. P/AUTOMOTOR; REPUESTO: JUEGO DE PASTILLAS DE FRENO, MARCA: SEGUN PLIEGO, MODELO: SEGUN PLIEGO, TIPO: AUTO</t>
  </si>
  <si>
    <t>2.9.6-9740.913</t>
  </si>
  <si>
    <t>REP. Y ACC. P/AUTOMOVILES; MARCA AUTOMOVIL: TOYOTA, MODELO AUTOMOVIL: ETIOS, ELEMENTO: PARRILLA SUPERIOR</t>
  </si>
  <si>
    <t>2.9.6-4978.9990</t>
  </si>
  <si>
    <t>REP. Y ACC. P/AUTOMOTOR; REPUESTO: BUJE BARRA ESTABILIZADORA, MARCA: SEGUN PLIEGO, MODELO: SEGUN PLIEGO, TIPO: AUTO</t>
  </si>
  <si>
    <t>2.9.6-9688.630</t>
  </si>
  <si>
    <t>REP. Y ACC. P/CAMIONETAS; MARCA AUTOMOTOR: SEGUN PLIEGO, MODELO AUTOMOTOR: SEGUN PLIEGO, ELEMENTO: SOPORTE DE CAJA</t>
  </si>
  <si>
    <t>2.9.6-9688.631</t>
  </si>
  <si>
    <t>REP. Y ACC. P/CAMIONETAS; MARCA AUTOMOTOR: SEGUN PLIEGO, MODELO AUTOMOTOR: SEGUN PLIEGO, ELEMENTO: BUJE BARRA ESTABILIZADORA</t>
  </si>
  <si>
    <t>2.9.6-9688.635</t>
  </si>
  <si>
    <t>REP. Y ACC. P/CAMIONETAS; MARCA AUTOMOTOR: SEGUN PLIEGO, MODELO AUTOMOTOR: SEGUN PLIEGO, ELEMENTO: BUJE CAJA DIRECCION</t>
  </si>
  <si>
    <t>2.9.6-9688.573</t>
  </si>
  <si>
    <t>REP. Y ACC. P/CAMIONETAS; MARCA AUTOMOTOR: TOYOTA, MODELO AUTOMOTOR: HILUX, ELEMENTO: BIELETAS DE BARRA</t>
  </si>
  <si>
    <t>2.9.6-9688.372</t>
  </si>
  <si>
    <t>REP. Y ACC. P/CAMIONETAS; MARCA AUTOMOTOR: TOYOTA, MODELO AUTOMOTOR: HILUX, ELEMENTO: EXTREMO DE DIRECCION</t>
  </si>
  <si>
    <t>2.9.6-9688.441</t>
  </si>
  <si>
    <t>REP. Y ACC. P/CAMIONETAS; MARCA AUTOMOTOR: TOYOTA, MODELO AUTOMOTOR: HILUX, ELEMENTO: PRECAP</t>
  </si>
  <si>
    <t>2.9.6-9688.368</t>
  </si>
  <si>
    <t>REP. Y ACC. P/CAMIONETAS; MARCA AUTOMOTOR: TOYOTA, MODELO AUTOMOTOR: HILUX, ELEMENTO: BUJE BARRA ESTABILIZADORA</t>
  </si>
  <si>
    <t xml:space="preserve">UNIDAD </t>
  </si>
  <si>
    <t>2.9.6-9688.376</t>
  </si>
  <si>
    <t>REP. Y ACC. P/CAMIONETAS; MARCA AUTOMOTOR: TOYOTA, MODELO AUTOMOTOR: HILUX, ELEMENTO: AMORTIGUADOR DELANTERO</t>
  </si>
  <si>
    <t>2.9.6-9688.377</t>
  </si>
  <si>
    <t>REP. Y ACC. P/CAMIONETAS; MARCA AUTOMOTOR: TOYOTA, MODELO AUTOMOTOR: HILUX, ELEMENTO: AMORTIGUADOR TRASERO</t>
  </si>
  <si>
    <t>2.9.6-9688.575</t>
  </si>
  <si>
    <t>REP. Y ACC. P/CAMIONETAS; MARCA AUTOMOTOR: TOYOTA, MODELO AUTOMOTOR: HILUX, ELEMENTO: PARRILLA SUPERIOR</t>
  </si>
  <si>
    <t>2.9.6-9688.574</t>
  </si>
  <si>
    <t>REP. Y ACC. P/CAMIONETAS; MARCA AUTOMOTOR: TOYOTA, MODELO AUTOMOTOR: HILUX, ELEMENTO: PARRILLA INFERIOR</t>
  </si>
  <si>
    <t>2.9.6-9688.533</t>
  </si>
  <si>
    <t>REP. Y ACC. P/CAMIONETAS; MARCA AUTOMOTOR: CHEVROLET, MODELO AUTOMOTOR: S10, ELEMENTO: PARRILLA SUPERIOR</t>
  </si>
  <si>
    <t>2.9.6-9688.532</t>
  </si>
  <si>
    <t>REP. Y ACC. P/CAMIONETAS; MARCA AUTOMOTOR: CHEVROLET, MODELO AUTOMOTOR: S10, ELEMENTO: PARRILLA INFERIOR</t>
  </si>
  <si>
    <t>2.9.6-9688.255</t>
  </si>
  <si>
    <t>REP. Y ACC. P/CAMIONETAS; MARCA AUTOMOTOR: CHEVROLET, MODELO AUTOMOTOR: S10, ELEMENTO: CORREA POLI V</t>
  </si>
  <si>
    <t>2.9.6-9688.666</t>
  </si>
  <si>
    <t>REP. Y ACC. P/CAMIONETAS; MARCA AUTOMOTOR: NISSAN, MODELO AUTOMOTOR: FRONTIER, ELEMENTO: PORTAFILTRO</t>
  </si>
  <si>
    <t>2.9.6-9688.568</t>
  </si>
  <si>
    <t>REP. Y ACC. P/CAMIONETAS; MARCA AUTOMOTOR: NISSAN, MODELO AUTOMOTOR: FRONTIER, ELEMENTO: BOMBA DE COMBUSTIBLE</t>
  </si>
  <si>
    <t>2.9.6-9688.671</t>
  </si>
  <si>
    <t>REP. Y ACC. P/CAMIONETAS; MARCA AUTOMOTOR: CHEVROLET, MODELO AUTOMOTOR: S10, ELEMENTO: KIT DE DISTRIBUCION COMPLETA</t>
  </si>
  <si>
    <t>2.9.6-9688.672</t>
  </si>
  <si>
    <t>REP. Y ACC. P/CAMIONETAS; MARCA AUTOMOTOR: CHEVROLET, MODELO AUTOMOTOR: S10, ELEMENTO: KIT DE EMBRAGUE</t>
  </si>
  <si>
    <t>2.9.6-9688.169</t>
  </si>
  <si>
    <t>REP. Y ACC. P/CAMIONETAS; MARCA AUTOMOTOR: CHEVROLET, MODELO AUTOMOTOR: S10, ELEMENTO: DISCOS DE FRENOS</t>
  </si>
  <si>
    <t>2.9.6-9688.673</t>
  </si>
  <si>
    <t>REP. Y ACC. P/CAMIONETAS; MARCA AUTOMOTOR: NISSAN, MODELO AUTOMOTOR: FRONTIER, ELEMENTO: DISCOS DE FRENO</t>
  </si>
  <si>
    <t>2.9.6-9688.656</t>
  </si>
  <si>
    <t>REP. Y ACC. P/CAMIONETAS; MARCA AUTOMOTOR: CHEVROLET, MODELO AUTOMOTOR: S10, ELEMENTO: TENSOR FIJO CORREA POLI V</t>
  </si>
  <si>
    <t>2.9.6-9688.404</t>
  </si>
  <si>
    <t>REP. Y ACC. P/CAMIONETAS; MARCA AUTOMOTOR: CHEVROLET, MODELO AUTOMOTOR: S10, ELEMENTO: TENSOR MOVIL CORREA POLI V</t>
  </si>
  <si>
    <t>2.9.6-9688.674</t>
  </si>
  <si>
    <t>REP. Y ACC. P/CAMIONETAS; MARCA AUTOMOTOR: CHEVROLET, MODELO AUTOMOTOR: S10, ELEMENTO: POLEA EMBRAGUE ALTERNADOR</t>
  </si>
  <si>
    <t>2.9.6-9688.538</t>
  </si>
  <si>
    <t>REP. Y ACC. P/CAMIONETAS; MARCA AUTOMOTOR: CHEVROLET, MODELO AUTOMOTOR: S10, ELEMENTO: PRECAP</t>
  </si>
  <si>
    <t>2.9.6-9688.675</t>
  </si>
  <si>
    <t xml:space="preserve">REP. Y ACC. P/CAMIONETAS; MARCA AUTOMOTOR: CHEVROLET, MODELO AUTOMOTOR: S10, ELEMENTO: JUEGO DE EXTREMOS DE DIRECCION </t>
  </si>
  <si>
    <t>2.9.6-9688.676</t>
  </si>
  <si>
    <t>REP. Y ACC. P/CAMIONETAS; MARCA AUTOMOTOR: FORD, MODELO AUTOMOTOR: TRANSIT, ELEMENTO: JUEGO DE PASTILLAS DE FRENOS</t>
  </si>
  <si>
    <t>2.9.6-9688.677</t>
  </si>
  <si>
    <t xml:space="preserve">REP. Y ACC. P/CAMIONETAS; MARCA AUTOMOTOR: FORD, MODELO AUTOMOTOR: TRANSIT, ELEMENTO: KIT DE FILTROS </t>
  </si>
  <si>
    <t>2.9.6-9688.338</t>
  </si>
  <si>
    <t>REP. Y ACC. P/CAMIONETAS; MARCA AUTOMOTOR: TOYOTA, MODELO AUTOMOTOR: HILUX, ELEMENTO: FILTRO DE COMBUSTIBLE</t>
  </si>
  <si>
    <t>2.9.6-3997.225</t>
  </si>
  <si>
    <t>REP. Y ACC. P/MOTOS; REPUESTO: FILTRO DE AIRE, USO: HONDA, MODELO AUTOMOTOR: XR 250 R /// XR 250 TORNADO, MODELO MOTO: XR 250 R</t>
  </si>
  <si>
    <t>2.9.6-3997.620</t>
  </si>
  <si>
    <t>REP. Y ACC. P/MOTOS; REPUESTO: FILTRO DE AIRE, USO: SEGUN PLIEGO, MODELO MOTO: SEGUN PLIEGO</t>
  </si>
  <si>
    <t>2.9.6-3997.553</t>
  </si>
  <si>
    <t>REP. Y ACC. P/MOTOS; REPUESTO: PASTILLA FRENO DELANTERO, USO: HONDA, MODELO MOTO: XR 250 TORNADO</t>
  </si>
  <si>
    <t>2.9.6-3997.621</t>
  </si>
  <si>
    <t>REP. Y ACC. P/MOTOS; REPUESTO: JUEGO DE PASTILLAS DE FRENO, USO: SEGUN PLIEGO, MODELO MOTO: SEGUN PLIEGO</t>
  </si>
  <si>
    <t>2.9.6-3997.622</t>
  </si>
  <si>
    <t>REP. Y ACC. P/MOTOS; REPUESTO: ZAPATAS DE FRENO TRASERO, USO: SEGUN PLIEGO, MODELO MOTO: SEGUN PLIEGO</t>
  </si>
  <si>
    <t>2.9.6-3997.518</t>
  </si>
  <si>
    <t>REP. Y ACC. P/MOTOS; REPUESTO: CABLE DE EMBRAGUE, USO: HONDA, MODELO MOTO: XR 250</t>
  </si>
  <si>
    <t>2.9.6-3997.517</t>
  </si>
  <si>
    <t>REP. Y ACC. P/MOTOS; REPUESTO: CABLE DE ACELERADOR, USO: HONDA, MODELO MOTO: XR 250</t>
  </si>
  <si>
    <t>2.9.6-3997.623</t>
  </si>
  <si>
    <t>REP. Y ACC. P/MOTOS; REPUESTO: PALANCA DE EMBRAGUE, USO: SEGUN PLIEGO, MODELO MOTO: SEGUN PLIEGO</t>
  </si>
  <si>
    <t>2.9.6-3997.624</t>
  </si>
  <si>
    <t>REP. Y ACC. P/MOTOS; REPUESTO: PALANCA DE FRENO A DISCO, USO: SEGUN PLIEGO, MODELO MOTO: SEGUN PLIEGO</t>
  </si>
  <si>
    <t>2.9.6-3997.625</t>
  </si>
  <si>
    <t>REP. Y ACC. P/MOTOS; REPUESTO: BULBO DE FRENO, USO: SEGUN PLIEGO, MODELO MOTO: SEGUN PLIEGO</t>
  </si>
  <si>
    <t>2.9.6-3997.626</t>
  </si>
  <si>
    <t>REP. Y ACC. P/MOTOS; REPUESTO: UNION DE CADENA, USO: SEGUN PLIEGO, MODELO MOTO: SEGUN PLIEGO</t>
  </si>
  <si>
    <t>2.9.6-3997.627</t>
  </si>
  <si>
    <t>REP. Y ACC. P/MOTOS; REPUESTO: JUEGOS DE RETENES DE SUSPENSION, USO: SEGUN PLIEGO, MODELO MOTO: SEGUN PLIEGO</t>
  </si>
  <si>
    <t>2.9.6-3997.628</t>
  </si>
  <si>
    <t>REP. Y ACC. P/MOTOS; REPUESTO: JUEGOS DE CARBONES DE MOTOR DE ARRANQUE, USO: SEGUN PLIEGO, MODELO MOTO: SEGUN PLIEGO</t>
  </si>
  <si>
    <t>2.9.6-3997.629</t>
  </si>
  <si>
    <t>REP. Y ACC. P/MOTOS; REPUESTO: JUEGOS DE DISCOS DE EMBRAGUE, USO: SEGUN PLIEGO, MODELO MOTO: SEGUN PLIEGO</t>
  </si>
  <si>
    <t>2.9.6-3997.630</t>
  </si>
  <si>
    <t>REP. Y ACC. P/MOTOS; REPUESTO: BUJIA, USO: SEGUN PLIEGO, MODELO MOTO: SEGUN PLIEGO</t>
  </si>
  <si>
    <t>2.9.6-3997.546</t>
  </si>
  <si>
    <t>REP. Y ACC. P/MOTOS; REPUESTO: KIT EMBRAGUE, USO: HONDA, MODELO MOTO: XR 250 TORNADO</t>
  </si>
  <si>
    <t>2.9.6-3997.586</t>
  </si>
  <si>
    <t>REP. Y ACC. P/MOTOS; REPUESTO: PASTILLA DE FRENO DELANTERO, USO: YAMAHA, MODELO MOTO: XTZ 250</t>
  </si>
  <si>
    <t>2.9.6-3997.533</t>
  </si>
  <si>
    <t>REP. Y ACC. P/MOTOS; REPUESTO: PASTILLA DE FRENO TRASERO, USO: YAMAHA, MODELO MOTO: XTZ 250</t>
  </si>
  <si>
    <t>2.9.6-3997.632</t>
  </si>
  <si>
    <t>REP. Y ACC. P/MOTOS; REPUESTO: CABLE DE EMBRAGUE, USO: YAMAHA, MODELO MOTO: XTZ 250CC</t>
  </si>
  <si>
    <t>2.9.6-3997.540</t>
  </si>
  <si>
    <t>REP. Y ACC. P/MOTOS; REPUESTO: FILTRO DE ACEITE, USO: YAMAHA, MODELO MOTO: XTZ 250</t>
  </si>
  <si>
    <t>2.9.6-3997.534</t>
  </si>
  <si>
    <t>REP. Y ACC. P/MOTOS; REPUESTO: KIT DE TRANSMISION , USO: YAMAHA, MODELO MOTO: XTZ 250</t>
  </si>
  <si>
    <t>2.9.6-3997.684</t>
  </si>
  <si>
    <t>REP. Y ACC. P/MOTOS:REPUESTO:PLAQUETA PORTA CARBONES DE ARRANQUE, USO YAMAHA, MODELO MOTO: XTZ 250</t>
  </si>
  <si>
    <t>2.9.6-3997.685</t>
  </si>
  <si>
    <t>REP. Y ACC. P/MOTOS; REPUESTO: PLAQUETA PORTA CARBONES , USO: HONDA, MODELO MOTO: XR 150</t>
  </si>
  <si>
    <t>2.9.6-3997.230</t>
  </si>
  <si>
    <t>REP. Y ACC. P/MOTOS; REPUESTO: KIT DE TRANSMISION, USO: HONDA, MODELO AUTOMOTOR: XR 250 R, MODELO MOTO: XR 250 R</t>
  </si>
  <si>
    <t>2.9.6-3997.638</t>
  </si>
  <si>
    <t>REP. Y ACC. P/MOTOS; REPUESTO: KIT DE TRANSMISION, USO: HONDA, MODELO MOTO: XR 150</t>
  </si>
  <si>
    <t>2.9.6-3997.639</t>
  </si>
  <si>
    <t>REP. Y ACC. P/MOTOS; REPUESTO: KIT DE TRANSMISION, USO: HONDA, MODELO MOTO: XR 125</t>
  </si>
  <si>
    <t>2.9.6-3997.641</t>
  </si>
  <si>
    <t>REP. Y ACC. P/MOTOS; REPUESTO: KIT DE TRANSMISION, USO: HONDA, MODELO MOTO: CBX 250</t>
  </si>
  <si>
    <t>2.9.6-3997.643</t>
  </si>
  <si>
    <t>REP. Y ACC. P/MOTOS; REPUESTO: KIT DE TRANSMISION, USO: HONDA, MODELO MOTO: FALCON 400</t>
  </si>
  <si>
    <t>2.9.6-3997.645</t>
  </si>
  <si>
    <t>REP. Y ACC. P/MOTOS; REPUESTO: KIT DE TRANSMISION, USO: HONDA, MODELO MOTO: TRANSALP 600</t>
  </si>
  <si>
    <t>2.9.6-3997.647</t>
  </si>
  <si>
    <t>REP. Y ACC. P/MOTOS; REPUESTO: KIT DE TRANSMISION, USO: GILERA, MODELO MOTO: SMX 200</t>
  </si>
  <si>
    <t>2.9.6-3997.686</t>
  </si>
  <si>
    <t>REP. Y ACC. P/MOTOS; REPUESTO: TRANSMISION COMPLETA, USO: BENELLI, MODELO MOTO: TRK 502</t>
  </si>
  <si>
    <t>2.9.6-3997.461</t>
  </si>
  <si>
    <t>REP. Y ACC. P/MOTOS; REPUESTO: FILTRO DE ACEITE, USO: HONDA, MODELO MOTO: XR 250 TORNADO</t>
  </si>
  <si>
    <t>2.9.6-3997.687</t>
  </si>
  <si>
    <t>REP. Y ACC. P/MOTOS; REPUESTO: RELAY DE ARRANQUE, USO: HONDA, MODELO MOTO: XR 250 CC</t>
  </si>
  <si>
    <t>2.9.6-3997.655</t>
  </si>
  <si>
    <t>REP. Y ACC. P/MOTOS; REPUESTO: FILTRO DE ACEITE, USO: BENELLI, MODELO MOTO: TRK 502 CC</t>
  </si>
  <si>
    <t>2.9.6-3997.657</t>
  </si>
  <si>
    <t>REP. Y ACC. P/MOTOS; REPUESTO: FILTRO CENTRIFUGOS, USO: HONDA, MODELO MOTO: XR 125CC</t>
  </si>
  <si>
    <t>2.9.6-3997.660</t>
  </si>
  <si>
    <t>REP. Y ACC. P/MOTOS; REPUESTO: FILTRO CENTRIFUGOS, USO: HONDA, MODELO MOTO: XR 150CC</t>
  </si>
  <si>
    <t>2.9.6-3997.635</t>
  </si>
  <si>
    <t>REP. Y ACC. P/MOTOS; REPUESTO: CADENAS DE DISTRIBUCION, USO: HONDA, MODELO MOTO: XR 250 CC</t>
  </si>
  <si>
    <t>2.9.6-3997.637</t>
  </si>
  <si>
    <t>REP. Y ACC. P/MOTOS; REPUESTO: GUIAS DE DISTRIBUCION, USO: HONDA, MODELO MOTO: XR 250 CC</t>
  </si>
  <si>
    <t>2.9.6-3997.640</t>
  </si>
  <si>
    <t>REP. Y ACC. P/MOTOS; REPUESTO: CADENAS DE DISTRIBUCION, USO: HONDA, MODELO MOTO: XR 125 CC</t>
  </si>
  <si>
    <t>2.9.6-3997.664</t>
  </si>
  <si>
    <t>REP. Y ACC. P/MOTOS; REPUESTO: GUIAS DE DISTRIBUCION, USO: HONDA, MODELO MOTO: XR 125 CC</t>
  </si>
  <si>
    <t>2.9.6-3997.668</t>
  </si>
  <si>
    <t>REP. Y ACC. P/MOTOS; REPUESTO: CADENAS DE DISTRIBUCION, USO: HONDA, MODELO MOTO: FALCON 400 CC</t>
  </si>
  <si>
    <t>2.9.6-3997.673</t>
  </si>
  <si>
    <t>REP. Y ACC. P/MOTOS; REPUESTO: GUIAS DE DISTRIBUCION, USO: HONDA, MODELO MOTO: FALCON 400 CC</t>
  </si>
  <si>
    <t>2.9.6-3997.676</t>
  </si>
  <si>
    <t>REP. Y ACC. P/MOTOS; REPUESTO: TENSORES GUIAS, USO: HONDA, MODELO MOTO: XR 250 CC</t>
  </si>
  <si>
    <t>2.9.6-3997.678</t>
  </si>
  <si>
    <t>REP. Y ACC. P/MOTOS; REPUESTO: TENSORES GUIAS, USO: HONDA, MODELO MOTO: XR 125 CC</t>
  </si>
  <si>
    <t>2.9.6-3997.679</t>
  </si>
  <si>
    <t>REP. Y ACC. P/MOTOS; REPUESTO: TENSORES GUIAS, USO: HONDA, MODELO MOTO: FALCON 400 CC</t>
  </si>
  <si>
    <t>2.9.6-3997.490</t>
  </si>
  <si>
    <t>REP. Y ACC. P/MOTOS; REPUESTO: JUEGO DE JUNTA MOTOR, USO: HONDA, MODELO MOTO: XR 250</t>
  </si>
  <si>
    <t>2.9.6-3997.680</t>
  </si>
  <si>
    <t>REP. Y ACC. P/MOTOS; REPUESTO: JUEGOS DE JUNTAS MOTOR, USO: HONDA, MODELO MOTO: XR 150 CC</t>
  </si>
  <si>
    <t>2.9.6-3997.681</t>
  </si>
  <si>
    <t>REP. Y ACC. P/MOTOS; REPUESTO: JUEGOS DE JUNTAS MOTOR, USO: HONDA, MODELO MOTO: XR 125 CC</t>
  </si>
  <si>
    <t>2.9.6-3997.682</t>
  </si>
  <si>
    <t>REP. Y ACC. P/MOTOS; REPUESTO: KIT DE RETENES DE VALVULAS, USO: HONDA, MODELO MOTO: XR 250 CC</t>
  </si>
  <si>
    <t>2.9.6-3997.646</t>
  </si>
  <si>
    <t>REP. Y ACC. P/MOTOS; REPUESTO: KIT DE RETENES DE VÁLVULAS, USO: HONDA, MODELO MOTO: XR 150 CC</t>
  </si>
  <si>
    <t>2.9.6-3997.648</t>
  </si>
  <si>
    <t>REP. Y ACC. P/MOTOS; REPUESTO: KIT DE RETENES DE VÁLVULAS, USO: HONDA, MODELO MOTO: XR 125 CC</t>
  </si>
  <si>
    <t>2.9.6-3997.650</t>
  </si>
  <si>
    <t>REP. Y ACC. P/MOTOS; REPUESTO: JUEGO DE JUNTAS, USO: CORVEN, MODELO MOTO: TRIAX 250 CC</t>
  </si>
  <si>
    <t>2.9.6-3997.651</t>
  </si>
  <si>
    <t>REP. Y ACC. P/MOTOS; REPUESTO: JUEGO DE JUNTAS, USO: CORVEN, MODELO MOTO: TRIAX 150 CC</t>
  </si>
  <si>
    <t>2.9.6-3997.653</t>
  </si>
  <si>
    <t>REP. Y ACC. P/MOTOS; REPUESTO: JUEGO DE VÁLVULAS DE ADMISIÓN Y ESCAPE, USO: CORVEN, MODELO MOTO: TRIAX 250 CC</t>
  </si>
  <si>
    <t>2.9.6-3997.659</t>
  </si>
  <si>
    <t>REP. Y ACC. P/MOTOS; REPUESTO: JUEGO DE VÁLVULAS DE ADMISIÓN Y ESCAPE, USO: CORVEN, MODELO MOTO: TRIAX 150 CC</t>
  </si>
  <si>
    <t>2.9.6-3997.663</t>
  </si>
  <si>
    <t>REP. Y ACC. P/MOTOS; REPUESTO: VÁLVULAS DE ADMISIÓN Y ESCAPE, USO: HONDA, MODELO MOTO: XR 250 CC</t>
  </si>
  <si>
    <t>2.9.6-3997.666</t>
  </si>
  <si>
    <t>REP. Y ACC. P/MOTOS; REPUESTO: VALVULAS DE ADMISIÓN Y ESCAPE, USO: HONDA, MODELO MOTO: XR 150 CC</t>
  </si>
  <si>
    <t>2.9.6-3997.669</t>
  </si>
  <si>
    <t>REP. Y ACC. P/MOTOS; REPUESTO: VALVULAS DE ADMISIÓN Y ESCAPE, USO: HONDA, MODELO MOTO: XR 125 CC</t>
  </si>
  <si>
    <t>2.9.6-3997.672</t>
  </si>
  <si>
    <t>REP. Y ACC. P/MOTOS; REPUESTO: KIT DE PISTÓN Y AROS, USO: HONDA, MODELO MOTO: XR 250 CC</t>
  </si>
  <si>
    <t>2.9.6-3997.675</t>
  </si>
  <si>
    <t>REP. Y ACC. P/MOTOS; REPUESTO: KIT DE PISTÓN Y AROS, USO: HONDA, MODELO MOTO: XR 150 CC</t>
  </si>
  <si>
    <t>2.9.6-3997.677</t>
  </si>
  <si>
    <t>REP. Y ACC. P/MOTOS; REPUESTO: KIT DE PISTÓN Y AROS, USO: HONDA, MODELO MOTO: XR 125 CC</t>
  </si>
  <si>
    <t>2.9.6-3997.688</t>
  </si>
  <si>
    <t>REP. Y ACC. P/MOTOS; REPUESTO: DISCO DE FRENO TRASERO, USO: SEGÚN PLIEGO, MODELO MOTO: SEGÚN PLIEGO</t>
  </si>
  <si>
    <t>2.9.6-3997.689</t>
  </si>
  <si>
    <t>REP. Y ACC. P/MOTOS; REPUESTO: SOCALO PARA LAMPARA H4, USO: UNIVERSAL,MODELO UNIVERSAL</t>
  </si>
  <si>
    <t>2.9.6-3997.690</t>
  </si>
  <si>
    <t>REP. Y ACC. P/MOTOS; REPUESTO: FUSIBLES, USO: SEGÚN PLIEGO, MODELO MOTO: SEGÚN PLIEGO</t>
  </si>
  <si>
    <t>2.9.6-3997.691</t>
  </si>
  <si>
    <t>REP. Y ACC. P/MOTOS; REPUESTO: LAMPARAS DE DOS POLOS, USO: SEGÚN PLIEGO, MODELO MOTO: SEGÚN PLIEGO</t>
  </si>
  <si>
    <t>2.9.6-3997.692</t>
  </si>
  <si>
    <t>REP. Y ACC. P/MOTOS; REPUESTO: LAMPARAS DE UN POLO 10 W, USO: SEGÚN PLIEGO, MODELO MOTO: SEGÚN PLIEGO</t>
  </si>
  <si>
    <t>2.9.6-3997.693</t>
  </si>
  <si>
    <t>REP. Y ACC. P/MOTOS; REPUESTO: LAMPARA H4 12 V 35 W, USO: SEGÚN PLIEGO, MODELO MOTO: SEGÚN PLIEGO</t>
  </si>
  <si>
    <t>2.9.6-3997.694</t>
  </si>
  <si>
    <t>REP. Y ACC. P/MOTOS; REPUESTO: LAMPARA S-2 12V 35 W, USO: SEGÚN PLIEGO, MODELO MOTO: SEGÚN PLIEGO</t>
  </si>
  <si>
    <t>2.9.6-3997.695</t>
  </si>
  <si>
    <t>REP. Y ACC. P/MOTOS; REPUESTO: LAMPARA MUELITA 12V 10W, USO: SEGÚN PLIEGO, MODELO MOTO: SEGÚN PLIEGO</t>
  </si>
  <si>
    <t>2.9.6-3997.696</t>
  </si>
  <si>
    <t>REP. Y ACC. P/MOTOS; REPUESTO: LAMPARA MUELITA 12V 5W, USO: SEGÚN PLIEGO, MODELO MOTO: SEGÚN PLIEGO</t>
  </si>
  <si>
    <t>2.9.6-3997.654</t>
  </si>
  <si>
    <t>REP. Y ACC. P/MOTOS; REPUESTO: ESPEJOS RETROVISORES, USO: HONDA, MODELO MOTO: XR 150 CC</t>
  </si>
  <si>
    <t>2.9.6-3997.656</t>
  </si>
  <si>
    <t>REP. Y ACC. P/MOTOS; REPUESTO: ESPEJOS RETROVISORES, USO: HONDA, MODELO MOTO: XR 250 CC</t>
  </si>
  <si>
    <t>2.9.6-3997.658</t>
  </si>
  <si>
    <t>REP. Y ACC. P/MOTOS; REPUESTO: ESPEJOS RETROVISORES, USO: YAMAHA, MODELO MOTO: XTZ 250 CC</t>
  </si>
  <si>
    <t>2.9.6-3997.661</t>
  </si>
  <si>
    <t>REP. Y ACC. P/MOTOS; REPUESTO: ESPEJOS RETROVISORES, USO: GILERA, MODELO MOTO: SMX 200 CC</t>
  </si>
  <si>
    <t>2.9.6-3997.662</t>
  </si>
  <si>
    <t>REP. Y ACC. P/MOTOS; REPUESTO: ESPEJOS RETROVISORES, USO: BENELLI, MODELO MOTO: TRK 502 CC</t>
  </si>
  <si>
    <t>2.9.6-3997.697</t>
  </si>
  <si>
    <t>REP. Y ACC. P/MOTOS; REPUESTO: GUIÑO, USO: HONDA, MODELO MOTO: XR 125 CC</t>
  </si>
  <si>
    <t>2.9.6-3997.667</t>
  </si>
  <si>
    <t>REP. Y ACC. P/MOTOS; REPUESTO: GUIÑO, USO: HONDA, MODELO MOTO: XR 250 CC</t>
  </si>
  <si>
    <t>2.9.6-3997.670</t>
  </si>
  <si>
    <t>REP. Y ACC. P/MOTOS; REPUESTO: GUIÑO, USO: HONDA, MODELO MOTO: FALCON 400 CC</t>
  </si>
  <si>
    <t>2.9.6-3997.671</t>
  </si>
  <si>
    <t>REP. Y ACC. P/MOTOS; REPUESTO: GUIÑO, USO: GILERA, MODELO MOTO: SMX 200 CC</t>
  </si>
  <si>
    <t>2.9.6-3997.674</t>
  </si>
  <si>
    <t>REP. Y ACC. P/MOTOS; REPUESTO: GUIÑO, USO: BENELLI, MODELO MOTO: TRK 502 CC</t>
  </si>
  <si>
    <t>2.9.6-3997.698</t>
  </si>
  <si>
    <t>REP. Y ACC. P/MOTOS; REPUESTO: PALANCA DE CAMBIO, USO: SEGÚN PLIEGO, MODELO MOTO: SEGÚN PLIEGO</t>
  </si>
  <si>
    <t>2.9.6-3997.652</t>
  </si>
  <si>
    <t>REP. Y ACC. P/MOTOS; REPUESTO: FILTRO DE ACEITE, USO: GILERA, MODELO MOTO: SMX 200 CC</t>
  </si>
  <si>
    <t>Especificidades</t>
  </si>
  <si>
    <t xml:space="preserve"> Item N° : 01</t>
  </si>
  <si>
    <t>Descripción técnica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</si>
  <si>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CITROEN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BERLINGO </t>
    </r>
    <r>
      <rPr>
        <u/>
        <sz val="10"/>
        <rFont val="Century Gothic"/>
        <family val="2"/>
      </rPr>
      <t>AÑO</t>
    </r>
    <r>
      <rPr>
        <sz val="10"/>
        <rFont val="Century Gothic"/>
        <family val="2"/>
      </rPr>
      <t xml:space="preserve">: 2,008,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</si>
  <si>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</si>
  <si>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FIAT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SIENA </t>
    </r>
    <r>
      <rPr>
        <u/>
        <sz val="10"/>
        <rFont val="Century Gothic"/>
        <family val="2"/>
      </rPr>
      <t>AÑO</t>
    </r>
    <r>
      <rPr>
        <sz val="10"/>
        <rFont val="Century Gothic"/>
        <family val="2"/>
      </rPr>
      <t xml:space="preserve">: 2,011,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</si>
  <si>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</si>
  <si>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</t>
    </r>
    <r>
      <rPr>
        <sz val="10"/>
        <rFont val="Century Gothic"/>
        <family val="2"/>
      </rPr>
      <t xml:space="preserve">: 2,020,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</si>
  <si>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</si>
  <si>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</si>
  <si>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</si>
  <si>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</si>
  <si>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</si>
  <si>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 con sensor.</t>
    </r>
  </si>
  <si>
    <t xml:space="preserve"> Item N° : 07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</si>
  <si>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Incluye filtro de aire, filtro de aceite, filtro de aire acondicionado,</t>
    </r>
  </si>
  <si>
    <t xml:space="preserve"> Item N° : 08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</si>
  <si>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Incluye filtro de aire, filtro de aceite, filtro de aire acondicionado, filtro de combustible</t>
    </r>
  </si>
  <si>
    <t xml:space="preserve"> Item N° : 09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</si>
  <si>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VOLANTE BIMASA DE EMBRAGUE (NO RIGIDO)</t>
    </r>
  </si>
  <si>
    <t xml:space="preserve"> Item N° : 10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</si>
  <si>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DELANTEROS   (incluye 2: 1 Derecho y 1 Izquierdo) </t>
    </r>
  </si>
  <si>
    <t xml:space="preserve"> Item N° : 11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</si>
  <si>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AMORTIGUADORES TRASEROS   (incluye 2: 1 Derecho y 1 Izquierdo) </t>
    </r>
  </si>
  <si>
    <t xml:space="preserve"> Item N° : 12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</si>
  <si>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AMAROK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    (incluye 2 pares : 1 Derecho y 1 Izquierdo) </t>
    </r>
  </si>
  <si>
    <t xml:space="preserve"> Item N° : 13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</si>
  <si>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FRENO: (incluye 2 pares : 1 Derecho y 1 Izquierdo)</t>
    </r>
  </si>
  <si>
    <t xml:space="preserve"> Item N° : 14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</si>
  <si>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JUEGO DE PASTILLAS DE FRENO (incluye 2 pares : 1 Derecho y 1 Izquierdo)  </t>
    </r>
  </si>
  <si>
    <t xml:space="preserve"> Item N° : 15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</si>
  <si>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2.019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   (incluye 2 pares : 1 Derecho y 1 Izquierdo) </t>
    </r>
  </si>
  <si>
    <t xml:space="preserve"> Item N° : 16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</si>
  <si>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VOLANTE MOTOR BIMASA (Cantidad de dientes: 118, Diámetro: 300 mm, Material: Acero)</t>
    </r>
  </si>
  <si>
    <t xml:space="preserve"> Item N° : 17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</si>
  <si>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EMBRAGUE COMPLETO Tipo de embrague: Monodisco, Incluye placa: Sí, Incluye disco: Sí
Diámetro del disco: 240 mm, Crapodina Hidráulica, Sí   </t>
    </r>
  </si>
  <si>
    <t xml:space="preserve"> Item N° : 18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</si>
  <si>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PRECAP: largo 305mm, rosca macho, rosca medida  16mm</t>
    </r>
  </si>
  <si>
    <t xml:space="preserve"> Item N° : 19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</si>
  <si>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DE DIRECCION IZQUIERDA: largo 90mm, rosca medida 16 x 1,5.</t>
    </r>
  </si>
  <si>
    <t xml:space="preserve"> Item N° : 20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</si>
  <si>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DE DIRECCION DERECHA: largo 90mm, rosca medida 16 x 1,5.</t>
    </r>
  </si>
  <si>
    <t xml:space="preserve"> Item N° : 21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</si>
  <si>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 KIT BIELETA BARRA DE SUSPENSIÓN.</t>
    </r>
    <r>
      <rPr>
        <sz val="10"/>
        <rFont val="Century Gothic"/>
        <family val="2"/>
      </rPr>
      <t xml:space="preserve"> incluye dos bieletas izquierda, derecha: largo 14.5cm.</t>
    </r>
  </si>
  <si>
    <t xml:space="preserve"> Item N° : 22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</si>
  <si>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</t>
    </r>
    <r>
      <rPr>
        <sz val="10"/>
        <rFont val="Century Gothic"/>
        <family val="2"/>
      </rPr>
      <t>: CANASTILLA (Rodillo cola cigüeñal o punta directa)</t>
    </r>
  </si>
  <si>
    <t xml:space="preserve"> Item N° : 23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</si>
  <si>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</t>
    </r>
    <r>
      <rPr>
        <sz val="10"/>
        <rFont val="Century Gothic"/>
        <family val="2"/>
      </rPr>
      <t>: REGULADOR DE VOLTAJE, 12 Vol.</t>
    </r>
  </si>
  <si>
    <t xml:space="preserve"> Item N° : 24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</si>
  <si>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DISTRIBUCION VW AMAROK 2.0 (Incluye: tensor, bomba de agua, correa de distribucion) </t>
    </r>
  </si>
  <si>
    <t xml:space="preserve"> Item N° : 25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</si>
  <si>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ENFRIADOR DE ACEITE (Enfriador de aceite, base de filtro aceite, filtro de aceite)</t>
    </r>
  </si>
  <si>
    <t xml:space="preserve"> Item N° : 26</t>
  </si>
  <si>
    <t xml:space="preserve">Descripción técnica </t>
  </si>
  <si>
    <t xml:space="preserve">   MARCA VOLKSWAGEN. MODELO: AMAROK 4x2, AÑO: 2015, ELEMENTO: PARRILLA SUPERIOR DERECHA COMPLETA. Incluye rótula: Sí. Incluye buje: Sí. Incluye grasa: Sí</t>
  </si>
  <si>
    <t xml:space="preserve"> Item N° : 27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</si>
  <si>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IZQUIERDA COMPLETA.  Incluye rótula: Sí. Incluye buje: Sí. Incluye grasa: Sí </t>
    </r>
  </si>
  <si>
    <t xml:space="preserve"> Item N° : 28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</si>
  <si>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DERECHA COMPLETA. Incluye rótula: Sí. Incluye buje: Sí. Incluye grasa: Sí</t>
    </r>
  </si>
  <si>
    <t xml:space="preserve"> Item N° : 29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</si>
  <si>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IZQUIERDA COMPLETA. Incluye rótula: Sí. Incluye buje: Sí. Incluye grasa: Sí</t>
    </r>
  </si>
  <si>
    <t xml:space="preserve"> Item N° : 30</t>
  </si>
  <si>
    <t>MARCA VOLKSWAGEN. MODELO: AMAROK 4x2, AÑO: 2015, ELEMENTO: TENSOR MONOCORREA (MOVIL) VW AMAROK  4X2 2015 (Material del tensor de distribución: 
                        Alum/ Polimeto alta Resist, Ancho del tensor de distribución: 70 mm, Diámetro externo del tensor de distribución: 24 mm)</t>
  </si>
  <si>
    <t xml:space="preserve"> Item N° : 31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</si>
  <si>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DISCOS DE FRENO (Incluye 2 discos, IZQ y DER)</t>
    </r>
  </si>
  <si>
    <t xml:space="preserve"> Item N° : 32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</si>
  <si>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DE COMBUSTIBLE SUMERGIDA (MOTOR SOLO) Tipo de combustible: Diésel. Es eléctrica: Sí. 
Incluye filtro: Sí. Incluye kit de montaje: No. Incluye junta o sello: No</t>
    </r>
  </si>
  <si>
    <t xml:space="preserve"> Item N° : 33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</si>
  <si>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AUXILIAR ELECTRICA (Material del cuerpo: PLASTICO, Material de la hélice: Plástico)</t>
    </r>
  </si>
  <si>
    <t xml:space="preserve"> Item N° : 34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</si>
  <si>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CORREA POLI "V" (correa unicamente) Material: Goma. Largo: 1555 mm- Peso: 500 mg. 6PK</t>
    </r>
  </si>
  <si>
    <t xml:space="preserve"> Item N° : 35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</si>
  <si>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RETEN DE CIGÜEÑAL CON CARCAZA PORTA RETEN </t>
    </r>
  </si>
  <si>
    <t xml:space="preserve"> Item N° : 36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</si>
  <si>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TENSOR FIJO (Material del tensor de distribución: Metal, Ancho del tensor de distribución: 23.6 mm, 
Diámetro interno del tensor de distribución: 10 mm, Diámetro externo del tensor de distribución: 85 mm)</t>
    </r>
  </si>
  <si>
    <t xml:space="preserve"> Item N° : 37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</si>
  <si>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EMBRAGUE (Incluye Placa, Disco, Ruleman de empuje)</t>
    </r>
  </si>
  <si>
    <t xml:space="preserve"> Item N° : 38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</si>
  <si>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EMBRAGUE (Incluye Placa, Disco, Ruleman de empuje)</t>
    </r>
  </si>
  <si>
    <t xml:space="preserve"> Item N° : 39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</si>
  <si>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DISTRIBUCION COMPLETA</t>
    </r>
  </si>
  <si>
    <t xml:space="preserve"> Item N° : 40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</si>
  <si>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AMORTIGUADORES TRASEROS (02 derecho y 02 izquierdo)</t>
    </r>
  </si>
  <si>
    <t xml:space="preserve"> Item N° : 41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</si>
  <si>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AMORTIGUADORES DELANTEROS ( 03 derecho y 03 izquierdo)</t>
    </r>
  </si>
  <si>
    <t xml:space="preserve"> Item N° : 42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</si>
  <si>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DE DIRECCION IZQUIERDO</t>
    </r>
  </si>
  <si>
    <t xml:space="preserve"> Item N° : 43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</si>
  <si>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DE DIRECCION DERECHO</t>
    </r>
  </si>
  <si>
    <t xml:space="preserve"> Item N° : 44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</si>
  <si>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BIELETAS BARRA DE SUSPECION IZQUIERDA POR UNIDAD </t>
    </r>
  </si>
  <si>
    <t xml:space="preserve"> </t>
  </si>
  <si>
    <t xml:space="preserve"> Item N° : 45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</si>
  <si>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BIELETAS BARRA DE SUSPECION DERECHA POR UNIDAD</t>
    </r>
  </si>
  <si>
    <t xml:space="preserve"> Item N° : 46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</si>
  <si>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PRECAP: Largo 215mm, Rosaca macho, medida de rosca 16mm</t>
    </r>
  </si>
  <si>
    <t xml:space="preserve"> Item N° : 47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</si>
  <si>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DE SUSPENSIÓN SUPERIOR DERECHA COMPLETA. Incluye rotula: Sí. Incleye Buje: Sí. </t>
    </r>
  </si>
  <si>
    <t xml:space="preserve"> Item N° : 48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</si>
  <si>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DE SUSPENSIÓN SUPERIOR IZQUIERDA COMPLETA. Incluye rotula: Sí. Incleye Buje: Sí. </t>
    </r>
  </si>
  <si>
    <t xml:space="preserve"> Item N° : 49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</si>
  <si>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DE SUSPENSIÓN INFERIOR DERECHA COMPLETA. Incluye rotula: Sí. Incleye Buje: Sí. </t>
    </r>
  </si>
  <si>
    <t xml:space="preserve"> Item N° : 50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</si>
  <si>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DE SUSPENSIÓN INFERIOR IZQUIERDO COMPLETA. Incluye rotula: Sí. Incleye Buje: Sí. </t>
    </r>
  </si>
  <si>
    <t xml:space="preserve"> Item N° : 51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</si>
  <si>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 DE FRENOS. (Incluye dos pares 1 derecho y 1 izquierdo) </t>
    </r>
  </si>
  <si>
    <t xml:space="preserve"> Item N° : 52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</si>
  <si>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DISTRIBUCION (Incluye: tensor, correa de distribicion, Piston Hidraulico)</t>
    </r>
  </si>
  <si>
    <t xml:space="preserve"> Item N° : 53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</si>
  <si>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DE AGUA Material de la hélice : Aluminio, Material del cuerpo : Aluminio)</t>
    </r>
  </si>
  <si>
    <t xml:space="preserve"> Item N° : 54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</si>
  <si>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DERIVADOR DE AGUA (Material del cuerpo: Plastico)</t>
    </r>
  </si>
  <si>
    <t xml:space="preserve"> Item N° : 55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</si>
  <si>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POLEA EMBRAGUE PARA ALTERNADOR. Ancho de la polea: 40.2 mm. Diámetro interno: 17 mm.
Diámetro externo: 49.4 mm</t>
    </r>
  </si>
  <si>
    <t xml:space="preserve"> Item N° : 56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</si>
  <si>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TERMOSTATO  (Temperatura de apertura: 80 °C)</t>
    </r>
  </si>
  <si>
    <t xml:space="preserve"> Item N° : 57</t>
  </si>
  <si>
    <t>MARCA VOLKSWAGEN. MODELO: AMAROK 4x2, AÑO: 2015, ELEMENTO: RODAMIENTOS DELANTEROS (Ancho : 57, Condición del ítem : Nuevo, Diametro Externo : 
78 Mm, Diametro Interno : 46 Mm)</t>
  </si>
  <si>
    <t xml:space="preserve"> Item N° : 58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</si>
  <si>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FILTROS PARA SERVIS   Incluye filtro de aire, filtro de  aceite, y filtro de combustible</t>
    </r>
  </si>
  <si>
    <t xml:space="preserve"> Item N° : 59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</si>
  <si>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PRECAP. LARGO 289 mm. ROSCA LADO CAJA 14 x 1.5 mm. ROSCA LADO EXTREMO 12 x 1.25 mm. TIPO ROSCA CAJA MACHO.
 TIPO ROSCA EXTREMO MACHO</t>
    </r>
  </si>
  <si>
    <t xml:space="preserve"> Item N° : 60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</si>
  <si>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BIELETA. Posición: Delantera   </t>
    </r>
  </si>
  <si>
    <t xml:space="preserve"> Item N° : 61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</si>
  <si>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DE DIRECCION  DERECHO-IZQUIERDO. Largo: 145 mm. Género de rosca: Hembra. Medida de rosca: 12 x 1.25</t>
    </r>
  </si>
  <si>
    <t xml:space="preserve"> Item N° : 62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</si>
  <si>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SUSPENCION FRENO (incluye 2 pares de pastillas) Posición: delante. Material: Semimetálica. Cantidad de pastillas: 4</t>
    </r>
  </si>
  <si>
    <t xml:space="preserve"> Item N° : 63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</si>
  <si>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CON ROTULA COMPLETA. Posición del eje: Delantera. Incluye rótula: Sí. Incluye buje: Sí</t>
    </r>
  </si>
  <si>
    <t xml:space="preserve"> Item N° : 64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</si>
  <si>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BUJE BARRA ESTABILIZADORA. Material: Goma. Tipo de buje de control de suspensión: De barra estabilizadora</t>
    </r>
  </si>
  <si>
    <t xml:space="preserve"> Item N° : 65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</si>
  <si>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SOPORTE MONTANTE DE CAJA</t>
    </r>
  </si>
  <si>
    <t xml:space="preserve"> Item N° : 66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</si>
  <si>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BUJE BARRA ESTABILIZADORA. Material: Goma</t>
    </r>
  </si>
  <si>
    <t xml:space="preserve"> Item N° : 67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</si>
  <si>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AMAROK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BUJE CAJA DIRECCION. Material: Goma</t>
    </r>
  </si>
  <si>
    <t xml:space="preserve"> Item N° : 68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</si>
  <si>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BIELETA DE BARRA DE SUSPENSION (Incluye 2 bieletas, IZQ y DER)</t>
    </r>
  </si>
  <si>
    <t xml:space="preserve"> Item N° : 69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</si>
  <si>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BIELETA DE BARRA DE SUSPENSION (Incluye 2 bieletas, IZQ y DER)</t>
    </r>
  </si>
  <si>
    <t xml:space="preserve"> Item N° : 70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</si>
  <si>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DIRECCION. Largo: 85 mm. Género de rosca: Hembra. Medida de rosca: 15x1.5</t>
    </r>
  </si>
  <si>
    <t xml:space="preserve"> Item N° : 71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</si>
  <si>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EXTREMO DIRECCION. Largo: 85 mm. Género de rosca: Hembra. Medida de rosca: 15x1.5</t>
    </r>
  </si>
  <si>
    <t xml:space="preserve"> Item N° : 72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</si>
  <si>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PRECAP. Largo: 295 mm. Género de rosca: Macho. Medida de rosca: 14 mm</t>
    </r>
  </si>
  <si>
    <t xml:space="preserve"> Item N° : 73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</si>
  <si>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PRECAP. Largo: 295 mm. Género de rosca: Macho. Medida de rosca: 14 mm</t>
    </r>
  </si>
  <si>
    <t xml:space="preserve"> Item N° : 74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</si>
  <si>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2012,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BUJE BARRA ESTABILIZADORA. Material: Goma</t>
    </r>
  </si>
  <si>
    <t xml:space="preserve"> Item N° : 75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</si>
  <si>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SOPORTE DE CAJA </t>
    </r>
  </si>
  <si>
    <t xml:space="preserve"> Item N° : 76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</si>
  <si>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EMBRAGUE COMPLETO. Incluye placa, disco, ruleman de empuje. </t>
    </r>
  </si>
  <si>
    <t xml:space="preserve"> Item N° : 77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</si>
  <si>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FRENOS. Incluye (dos pares uno derecho y uno izquierdo) </t>
    </r>
  </si>
  <si>
    <t xml:space="preserve"> Item N° : 78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</si>
  <si>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AMORTIGUADORES DELANTEROS. Incluye dos deche e izquierdo </t>
    </r>
  </si>
  <si>
    <t xml:space="preserve"> Item N° : 79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</si>
  <si>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AMORTIGUADORES TRASEROS. Incluye dos deche e izquierdo </t>
    </r>
  </si>
  <si>
    <t xml:space="preserve"> Item N° : 80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</si>
  <si>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DERECHA COMPLETA. Incluye rotula. Si. Incluye Buje Si. Incluye Grasa. Si  </t>
    </r>
  </si>
  <si>
    <t xml:space="preserve"> Item N° : 81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</si>
  <si>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IZQUIERDA COMPLETA. Incluye rotula. Si. Incluye Buje Si. Incluye Grasa. Si  </t>
    </r>
  </si>
  <si>
    <t xml:space="preserve"> Item N° : 82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</si>
  <si>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DERECHA COMPLETA. Incluye rotula. Si. Incluye Buje Si. Incluye Grasa. Si  </t>
    </r>
  </si>
  <si>
    <t xml:space="preserve"> Item N° : 83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</si>
  <si>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IZQUIERDA COMPLETA. Incluye rotula. Si. Incluye Buje Si. Incluye Grasa. Si  </t>
    </r>
  </si>
  <si>
    <t xml:space="preserve"> Item N° : 84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</si>
  <si>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DERECHA COMPLETA. Incluye rotula. Si. Incluye Buje Si. Incluye Grasa. Si  </t>
    </r>
  </si>
  <si>
    <t xml:space="preserve"> Item N° : 85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</si>
  <si>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SUPERIOR IZQUIERDA COMPLETA. Incluye rotula. Si. Incluye Buje Si. Incluye Grasa. Si  </t>
    </r>
  </si>
  <si>
    <t xml:space="preserve"> Item N° : 86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</si>
  <si>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DERECHA COMPLETA. Incluye rotula. Si. Incluye Buje Si. Incluye Grasa. Si  </t>
    </r>
  </si>
  <si>
    <t xml:space="preserve"> Item N° : 87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</si>
  <si>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PARRILLA INFERIOR IZQUIERDA COMPLETA. Incluye rotula. Si. Incluye Buje Si. Incluye Grasa. Si  </t>
    </r>
  </si>
  <si>
    <t xml:space="preserve"> Item N° : 88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</si>
  <si>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S10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CORREA POLI V. (6PK, 2870)  </t>
    </r>
  </si>
  <si>
    <t xml:space="preserve"> Item N° : 89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</si>
  <si>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FRONTIER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CARCAZA PORTA FILTRO DE COMBUSTIBLE. (Recambiable con tornillo)  </t>
    </r>
  </si>
  <si>
    <t xml:space="preserve"> Item N° : 90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</si>
  <si>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FRONTIER 4x2 AÑO: 2021,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BOMBA DE COMBUSTIBLE COMPLETA, Incluye Filtro SÍ</t>
    </r>
  </si>
  <si>
    <t xml:space="preserve"> Item N° : 91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</si>
  <si>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DISTRIBUCION: (Incluye Tensor, Rodillo, bomba de agua, correa de distribucion)  </t>
    </r>
  </si>
  <si>
    <t xml:space="preserve"> Item N° : 92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</si>
  <si>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EMBRAGUE (Incluye Placa, Disco, Crapodina hidraulica)</t>
    </r>
  </si>
  <si>
    <t xml:space="preserve"> Item N° : 93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</si>
  <si>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DISCOS DE FRENO (Incluye 2 discos IZQ y DER)  Posición: Delantera. Tipo de disco de freno: Ventilado. 
</t>
    </r>
  </si>
  <si>
    <t xml:space="preserve"> Item N° : 94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</si>
  <si>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NISSAN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FRONTIER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2021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DISCOS DE FRENO (Incluye 2 discos IZQ y DER)  Posición: Delantera. Tipo de disco de freno: Ventilado. 
</t>
    </r>
  </si>
  <si>
    <t xml:space="preserve"> Item N° : 95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</si>
  <si>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TENSOR FIJO 
</t>
    </r>
  </si>
  <si>
    <t xml:space="preserve"> Item N° : 96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</si>
  <si>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TENSOR Móvil  
</t>
    </r>
  </si>
  <si>
    <t xml:space="preserve"> Item N° : 97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</si>
  <si>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POLEA EMBRAGUE ALTERNADOR  
</t>
    </r>
  </si>
  <si>
    <t xml:space="preserve"> Item N° : 98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</si>
  <si>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PRECAP (6 Precap Derecho y 6 Izquierdo)  
</t>
    </r>
  </si>
  <si>
    <t xml:space="preserve"> Item N° : 99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</si>
  <si>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EXTREMOS DE DIRECCION (Incluye 2 Precap Derecho y Izquierdo)  
</t>
    </r>
  </si>
  <si>
    <t xml:space="preserve"> Item N° : 100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</si>
  <si>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FORD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TRANSIT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FRENOS  
</t>
    </r>
  </si>
  <si>
    <t xml:space="preserve"> Item N° : 101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</si>
  <si>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FORD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TRANSIT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</t>
    </r>
    <r>
      <rPr>
        <sz val="10"/>
        <rFont val="Century Gothic"/>
        <family val="2"/>
      </rPr>
      <t xml:space="preserve">: KIT DE FILTROS PARA SERVIS 
</t>
    </r>
  </si>
  <si>
    <t xml:space="preserve"> Item N° : 102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</si>
  <si>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DERIVADOR DE AGUA  
</t>
    </r>
  </si>
  <si>
    <t xml:space="preserve"> Item N° : 103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</si>
  <si>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4X2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ENFRIADOR DE ACEITE   
</t>
    </r>
  </si>
  <si>
    <t xml:space="preserve"> Item N° : 104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</si>
  <si>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4x4,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2020,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SECUNDARIO DE COMBUSTIBLE  </t>
    </r>
  </si>
  <si>
    <t xml:space="preserve"> Item N° : 105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</si>
  <si>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XR-250 CC. TORNADO -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AIRE. Material: celulosa. Forma del filtro: Rectangular. Diámetro de entrada: 13.5 cm. Diseño: Flexible</t>
    </r>
  </si>
  <si>
    <t xml:space="preserve"> Item N° : 106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</si>
  <si>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CBX 250 CC. TWISTER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AIRE. Material: Aluminio. Forma del filtro: redondo. Diámetro de entrada: 6 cm. Diseño: Rígido </t>
    </r>
  </si>
  <si>
    <t xml:space="preserve"> Item N° : 107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</si>
  <si>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XR-150 CC.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 . Material: Papel de celulosa. Forma del filtro: Rectangular. Diseño: Rígido</t>
    </r>
  </si>
  <si>
    <t xml:space="preserve"> Item N° : 108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</si>
  <si>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TORNADO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PASTILLAS DE FRENO (Incluye: 2 pastillas por juego)  Posición: Delantera. Material: ferodo.</t>
    </r>
  </si>
  <si>
    <t xml:space="preserve"> Item N° : 109</t>
  </si>
  <si>
    <r>
      <t xml:space="preserve">MARCA </t>
    </r>
    <r>
      <rPr>
        <sz val="10"/>
        <rFont val="Century Gothic"/>
        <family val="2"/>
      </rPr>
      <t>HONDA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XR 150 CC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>JUEGO DE PASTILLAS DE FRENO  (Incluye: 2 pastillas por juego)Posición: Delantera. Material: ferodo</t>
    </r>
  </si>
  <si>
    <t xml:space="preserve"> Item N° : 110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</si>
  <si>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CBX 250 CC. TWISTER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ZAPATAS DE FRENO TRASERO . Espesor del material de fricción de la cinta primaria: 5 mm. Espesor del material 
de fricción de la cinta secundaria: 5 mm. Largo del material de fricción de la cinta primaria: 130 mm. Largo del material de fricción de la cinta secundaria: 130 mm</t>
    </r>
  </si>
  <si>
    <t xml:space="preserve"> Item N° : 111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</si>
  <si>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XR 250 CC. TORNADO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ZAPATAS DE FRENO TRASERO. Espesor del material de fricción de la cinta primaria: 4 mm. Espesor del material 
de fricción de la cinta secundaria: 4 mm. Largo del material de fricción de la cinta primaria: 110 mm. Largo del material de fricción de la cinta secundaria: 110 mm</t>
    </r>
  </si>
  <si>
    <t xml:space="preserve"> Item N° : 112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</si>
  <si>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>ZAPATAS DE FRENO TRASERO. Espesor del material de fricción de la cinta primaria: 2 mm. Espesor del material de fricción 
de la cinta secundaria: 2 mm. Largo del material de fricción de la cinta primaria: 10 mm. Largo del material de fricción de la cinta secundaria: 10 mm</t>
    </r>
  </si>
  <si>
    <t xml:space="preserve"> Item N° : 113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</si>
  <si>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MARCA HONDA MODELO: HONDA ELEMENTO: CABLE DE EMBRAGUE UNIVERSAL CON EVITA SOLDADURA PARA MOTOCICLETA   ELEMENTO: 
CABLE DE EMBRAGUE  PARA MOTOCICLETA   </t>
    </r>
  </si>
  <si>
    <t xml:space="preserve"> Item N° : 114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</si>
  <si>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HONDA ELEMENTO: CABLE DE ACELERADOR PARA MOTOCICLETA. Material del cable de acelerador: Aleación de metales. </t>
    </r>
  </si>
  <si>
    <t xml:space="preserve"> Item N° : 115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</si>
  <si>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TORNADO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EMBRAGUE. Material: Aluminio. Largo: 18 cm</t>
    </r>
  </si>
  <si>
    <t xml:space="preserve"> Item N° : 116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</si>
  <si>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EMBRAGUE  Material: Aluminio. Largo: 18 cm</t>
    </r>
  </si>
  <si>
    <t xml:space="preserve"> Item N° : 117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</si>
  <si>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CBX 250 CC. TWISTER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EMBRAGUE. Material: Aluminio. Largo: 18 cm</t>
    </r>
  </si>
  <si>
    <t xml:space="preserve"> Item N° : 118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</si>
  <si>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TORNADO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FRENO A DISCO. Material: Aluminio. Largo: 18 cm </t>
    </r>
  </si>
  <si>
    <t xml:space="preserve"> Item N° : 119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</si>
  <si>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CBX 250 CC. TWISTER 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>PALANCA DE FRENO A DISCO. Material: Aluminio. Largo: 18 cm</t>
    </r>
  </si>
  <si>
    <t xml:space="preserve"> Item N° : 120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</si>
  <si>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FRENO A DISCO. Material: Aluminio. Largo: 18 cm</t>
    </r>
  </si>
  <si>
    <t xml:space="preserve"> Item N° : 121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</si>
  <si>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BULBO DE FRENO TRASERO PARA MOTOCICLETA</t>
    </r>
  </si>
  <si>
    <t xml:space="preserve"> Item N° : 122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</si>
  <si>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BULBO DE FRENO DELANTERO PARA MOTOCICLETA</t>
    </r>
  </si>
  <si>
    <t xml:space="preserve"> Item N° : 123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</si>
  <si>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UNION DE CADENA PARA MOTOCICLETA 520</t>
    </r>
  </si>
  <si>
    <t xml:space="preserve"> Item N° : 124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</si>
  <si>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UNION DE CADENA PARA MOTOCICLETA 428</t>
    </r>
  </si>
  <si>
    <t xml:space="preserve"> Item N° : 125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</si>
  <si>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RETENES DE SUSPENSIÓN DELANTERA 31/43/10.5. Posición: Delantera. Diámetro: 31 mm. Largo: 10.5 mm</t>
    </r>
  </si>
  <si>
    <t xml:space="preserve"> Item N° : 126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</si>
  <si>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 XR 250 CC. TORNADO.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RETENES DE SUSPENSION DELANTERA 37/50/11. Posición: Delantera. Diámetro: 37 mm. Largo: 11 mm</t>
    </r>
  </si>
  <si>
    <t xml:space="preserve"> Item N° : 127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</si>
  <si>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CARBONES DE ARRANQUE 6X11. Incluye dos carbones de arranque</t>
    </r>
  </si>
  <si>
    <t xml:space="preserve"> Item N° : 128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</si>
  <si>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DISCOS DE EMBRAGUE   (incluye 6 discos). Diámetro: 9.12 cm. Material: Metal, friccion. Cantidad de estrías:8</t>
    </r>
  </si>
  <si>
    <t xml:space="preserve"> Item N° : 129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</si>
  <si>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BUJIAS CR8EA</t>
    </r>
  </si>
  <si>
    <t xml:space="preserve"> Item N° : 130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</si>
  <si>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HONDA 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 XR 250 CC. TORNADO.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BUJIAS D8EA</t>
    </r>
  </si>
  <si>
    <t xml:space="preserve"> Item N° : 131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</si>
  <si>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TORNADO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JUEGOS DE DISCOS DE EMBRAGUE (Incluye 6 discos). Diámetro: 101 ". Material: Metal sinterizado. Cantidad de estrías: 10</t>
    </r>
  </si>
  <si>
    <t xml:space="preserve"> Item N° : 132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</si>
  <si>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PASTILLA DE FRENO DELANTERA</t>
    </r>
  </si>
  <si>
    <t xml:space="preserve"> Item N° : 133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</si>
  <si>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PASTILLA DE FRENO TRASERA</t>
    </r>
  </si>
  <si>
    <t xml:space="preserve"> Item N° : 134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</si>
  <si>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CABLE DE EMBRAGUE</t>
    </r>
  </si>
  <si>
    <t xml:space="preserve"> Item N° : 135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</si>
  <si>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BUJIAS D8EA</t>
    </r>
  </si>
  <si>
    <t xml:space="preserve"> Item N° : 136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</si>
  <si>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ACEITE</t>
    </r>
  </si>
  <si>
    <t xml:space="preserve"> Item N° : 137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</si>
  <si>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DISCOS DE EMBRAGUE (incluye 6 discos de 10 estrias)</t>
    </r>
  </si>
  <si>
    <t xml:space="preserve"> Item N° : 138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</si>
  <si>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</si>
  <si>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139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</si>
  <si>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ELEMENTO: PALANCA DE FRENO A DISCO. Material: Aluminio. Largo: 18 cm</t>
    </r>
  </si>
  <si>
    <t xml:space="preserve"> Item N° : 140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</si>
  <si>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EMBRAGUE</t>
    </r>
  </si>
  <si>
    <t xml:space="preserve"> Item N° : 141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</si>
  <si>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RETEN DE SUSPENSIÓN </t>
    </r>
  </si>
  <si>
    <t xml:space="preserve"> Item N° : 142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</si>
  <si>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YAMAHA, MODELO XTZ 250 CC. ELEMENTO: PLAQUETA DE ARRANQUE  </t>
    </r>
  </si>
  <si>
    <t xml:space="preserve"> Item N° : 143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</si>
  <si>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PLAQUETA DE ARRANQUE</t>
    </r>
  </si>
  <si>
    <t xml:space="preserve"> Item N° : 144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</si>
  <si>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</si>
  <si>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145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</si>
  <si>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</si>
  <si>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146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</si>
  <si>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</si>
  <si>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147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</si>
  <si>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CBX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</si>
  <si>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148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</si>
  <si>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FALCON 400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</si>
  <si>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149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</si>
  <si>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TRANSLAP 600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</si>
  <si>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150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</si>
  <si>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GILERA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SMX 200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</si>
  <si>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151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</si>
  <si>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BENELLI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TRK 502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TRANSMISION COMPLETA (incluye cadena, corona y piñon)</t>
    </r>
  </si>
  <si>
    <t xml:space="preserve"> Item N° : 152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</si>
  <si>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</t>
    </r>
  </si>
  <si>
    <t xml:space="preserve"> Item N° : 153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</si>
  <si>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GILERA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SMX 200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</t>
    </r>
  </si>
  <si>
    <t xml:space="preserve"> Item N° : 154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</si>
  <si>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BENELLI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TRK 502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AIRE</t>
    </r>
  </si>
  <si>
    <t xml:space="preserve"> Item N° : 155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</si>
  <si>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ACEITE</t>
    </r>
  </si>
  <si>
    <t xml:space="preserve"> Item N° : 156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</si>
  <si>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RELAY DE ARRANQUE</t>
    </r>
  </si>
  <si>
    <t xml:space="preserve"> Item N° : 157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</si>
  <si>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BENELLI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TRK 502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ACEITE</t>
    </r>
  </si>
  <si>
    <t xml:space="preserve"> Item N° : 158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</si>
  <si>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CENTRIFUGOS</t>
    </r>
  </si>
  <si>
    <t xml:space="preserve"> Item N° : 159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</si>
  <si>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CENTRIFUGOS</t>
    </r>
  </si>
  <si>
    <t xml:space="preserve"> Item N° : 160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</si>
  <si>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CBX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PASTILLAS DE FRENOS</t>
    </r>
  </si>
  <si>
    <t xml:space="preserve"> Item N° : 161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</si>
  <si>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DISCOS DE EMBRAGUE (incluye 5 discos de 8 estrias)</t>
    </r>
  </si>
  <si>
    <t xml:space="preserve"> Item N° : 162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</si>
  <si>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GILERA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SMX 200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DISCOS DE EMBRAGUE (incluye 6 discos de 8 estrias)</t>
    </r>
  </si>
  <si>
    <t xml:space="preserve"> Item N° : 163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</si>
  <si>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BENELLI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TRK 502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DISCOS DE EMBRAGUE (incluye 7 discos de 10 estrias y 1 disco de friccion)</t>
    </r>
  </si>
  <si>
    <t xml:space="preserve"> Item N° : 164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</si>
  <si>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CADENA DE DISTRIBUCION</t>
    </r>
  </si>
  <si>
    <t xml:space="preserve"> Item N° : 165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</si>
  <si>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GUIA DE DISTRIBUCION</t>
    </r>
  </si>
  <si>
    <t xml:space="preserve"> Item N° : 166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</si>
  <si>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CADENA DE DISTRIBUCION</t>
    </r>
  </si>
  <si>
    <t xml:space="preserve"> Item N° : 167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</si>
  <si>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GUIA DE DISTRIBUCION</t>
    </r>
  </si>
  <si>
    <t xml:space="preserve"> Item N° : 168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</si>
  <si>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FALCON 400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CADENA DE DISTRIBUCION</t>
    </r>
  </si>
  <si>
    <t xml:space="preserve"> Item N° : 169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</si>
  <si>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FALCON 400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GUIA DE DISTRIBUCION</t>
    </r>
  </si>
  <si>
    <t xml:space="preserve"> Item N° : 170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</si>
  <si>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TENSOR DE GUIA DE DISTRIBUCION</t>
    </r>
  </si>
  <si>
    <t xml:space="preserve"> Item N° : 171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</si>
  <si>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TENSOR DE GUIA DE DISTRIBUCION</t>
    </r>
  </si>
  <si>
    <t xml:space="preserve"> Item N° : 172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</si>
  <si>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FALCON 400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TENSOR DE GUIA DE DISTRIBUCION</t>
    </r>
  </si>
  <si>
    <t xml:space="preserve"> Item N° : 173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</si>
  <si>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JUNTAS MOTOR C/ORING (INCLUYE JUNTA DE: TAPA CILINDRO, BASE DE CILINDRO, TAPA VALVULA, ESCAPE, CARTER, ENCENDIDO EMBRAGUE, BOMBA DE ACEITE)</t>
    </r>
  </si>
  <si>
    <t xml:space="preserve"> Item N° : 174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</si>
  <si>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JUNTAS MOTOR C/ORING (INCLUYE JUNTAS DE:  TAPA CILINDRO, BASE CILINDRO, TAPA EMBRAGUE, TAPA ALTERNADOR, TENSOR DISTRIBUCION, TAPA FILTRO ACEITE</t>
    </r>
  </si>
  <si>
    <t xml:space="preserve"> Item N° : 175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</si>
  <si>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JUNTAS MOTOR (INCLUYE: JUNTA TAPA CILINDRO, JUNTA BASE CILINDRO, JUNTA TAPA EMBRAGUE, JUNTA TAPA ALTERNADOR, JUNTA MEDIO BLOCK, JUNTA TAPA FILTRO ACEITE</t>
    </r>
  </si>
  <si>
    <t xml:space="preserve"> Item N° : 176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</si>
  <si>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RETENES DE VALVULA  (INCLUYE 4 RETENES)</t>
    </r>
  </si>
  <si>
    <t xml:space="preserve"> Item N° : 177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</si>
  <si>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RETENES DE VALVULA  (INCLUYE 2 RETENES)</t>
    </r>
  </si>
  <si>
    <t xml:space="preserve"> Item N° : 178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</si>
  <si>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RETENES DE VALVULA  (INCLUYE 2 RETENES)</t>
    </r>
  </si>
  <si>
    <t xml:space="preserve"> Item N° : 179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</si>
  <si>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CORVEN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TRIAX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JUNTAS   MOTOR C/ORING (INCLUYE JUNTAS DE:  TAPA CILINDRO, BASE CILINDRO, TAPA EMBRAGUE, TAPA ALTERNADOR, TENSOR DISTRIBUCION, TAPA FILTRO ACEITE)</t>
    </r>
  </si>
  <si>
    <t xml:space="preserve"> Item N° : 180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</si>
  <si>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CORVEN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TRIAX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JUNTAS   MOTOR C/ORING (INCLUYE JUNTAS DE:  TAPA CILINDRO, BASE CILINDRO, TAPA EMBRAGUE, TAPA ALTERNADOR, TENSOR DISTRIBUCION, TAPA FILTRO ACEITE)</t>
    </r>
  </si>
  <si>
    <t xml:space="preserve"> Item N° : 181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</si>
  <si>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CORVEN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TRIAX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VALVULAS DE ADMISION Y ESCAPE   INCLUYE 2 VALVULAS ( 1 DE ADMISION + 1 DE ESCAPE )</t>
    </r>
  </si>
  <si>
    <t xml:space="preserve"> Item N° : 182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</si>
  <si>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CORVEN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TRIAX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VALVULAS DE ADMISION Y ESCAPE  INCLUYE 2 VALVULAS ( 1 DE ADMISION + 1 DE ESCAPE )</t>
    </r>
  </si>
  <si>
    <t xml:space="preserve"> Item N° : 183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</si>
  <si>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VALVULAS DE ADMISION Y ESCAPE. INCLUYE 4 VALVULAS ( 2 DE ADMISION + 2 DE ESCAPE )</t>
    </r>
  </si>
  <si>
    <t xml:space="preserve"> Item N° : 184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</si>
  <si>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VALVULAS DE ADMISION Y ESCAPE  INCLUYE 2 VALVULAS ( 1 DE ADMISION + 1 DE ESCAPE )</t>
    </r>
  </si>
  <si>
    <t xml:space="preserve"> Item N° : 185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</si>
  <si>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VALVULAS DE ADMISION Y ESCAPE  INCLUYE 2 VALVULAS ( 1 DE ADMISION + 1 DE ESCAPE )</t>
    </r>
  </si>
  <si>
    <t xml:space="preserve"> Item N° : 186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</si>
  <si>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PISTON Y AROS  INCLUYE: PISTON + AROS  + PERNO Y SEGUROS.</t>
    </r>
  </si>
  <si>
    <t xml:space="preserve"> Item N° : 187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</si>
  <si>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PISTON Y AROS   INCLUYE: PISTON + AROS  + PERNO Y SEGUROS.</t>
    </r>
  </si>
  <si>
    <t xml:space="preserve"> Item N° : 188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</si>
  <si>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KIT DE PISTON Y AROS   INCLUYE: PISTON + AROS  + PERNO Y SEGUROS.</t>
    </r>
  </si>
  <si>
    <t xml:space="preserve"> Item N° : 189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</si>
  <si>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DISCO DE FRENO TRASERO   </t>
    </r>
  </si>
  <si>
    <t xml:space="preserve"> Item N° : 190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</si>
  <si>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UNIVERSAL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SOCALO PARA LAMPARA H4</t>
    </r>
  </si>
  <si>
    <t xml:space="preserve"> Item N° : 191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</si>
  <si>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</t>
    </r>
    <r>
      <rPr>
        <sz val="10"/>
        <rFont val="Century Gothic"/>
        <family val="2"/>
      </rPr>
      <t xml:space="preserve">: 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FUSIBLES DE 20 AMP</t>
    </r>
  </si>
  <si>
    <t xml:space="preserve"> Item N° : 192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</si>
  <si>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LAMPARA DE DOS POLOS 21/5W 12W</t>
    </r>
  </si>
  <si>
    <t xml:space="preserve"> Item N° : 193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</si>
  <si>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LAMPARA DE UN POLO 10 W</t>
    </r>
  </si>
  <si>
    <t xml:space="preserve"> Item N° : 194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</si>
  <si>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LAMPARA H4 12 V 35/35 PHILIPS</t>
    </r>
  </si>
  <si>
    <t xml:space="preserve"> Item N° : 195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</si>
  <si>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LAMPARA S-2 12V 35/35W</t>
    </r>
  </si>
  <si>
    <t xml:space="preserve"> Item N° : 196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</si>
  <si>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LAMPARA MUELITA 12V 10W</t>
    </r>
  </si>
  <si>
    <t xml:space="preserve"> Item N° : 197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</si>
  <si>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LAMPARA MUELITA 12V 5W</t>
    </r>
  </si>
  <si>
    <t xml:space="preserve"> Item N° : 198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</si>
  <si>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ESPEJOS RETROVISORES INCLUYE 2 ESPEJOS (1 DER Y 1V IZQ)</t>
    </r>
  </si>
  <si>
    <t xml:space="preserve"> Item N° : 199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</si>
  <si>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ESPEJOS RETROVISORES INCLUYE 2 ESPEJOS (1 DER Y 1V IZQ)</t>
    </r>
  </si>
  <si>
    <t xml:space="preserve"> Item N° : 200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</si>
  <si>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YAMAHA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XTZ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ESPEJOS RETROVISORES INCLUYE 2 ESPEJOS (1 DER Y 1V IZQ)</t>
    </r>
  </si>
  <si>
    <t xml:space="preserve"> Item N° : 201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</si>
  <si>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GILERA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SMX 200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ESPEJOS RETROVISORES INCLUYE 2 ESPEJOS (1 DER Y 1V IZQ)</t>
    </r>
  </si>
  <si>
    <t xml:space="preserve"> Item N° : 202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</si>
  <si>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BENELLI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TRK 502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ESPEJOS RETROVISORES INCLUYE 2 ESPEJOS (1 DER Y 1V IZQ)</t>
    </r>
  </si>
  <si>
    <t xml:space="preserve"> Item N° : 203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</si>
  <si>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125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FAROS DE GIROS INCLUYE 2 FAROS (1 DER Y 1V IZQ)</t>
    </r>
  </si>
  <si>
    <t xml:space="preserve"> Item N° : 204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</si>
  <si>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XR 250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FAROS DE GIROS INCLUYE 2 FAROS (1 DER Y 1V IZQ)</t>
    </r>
  </si>
  <si>
    <t xml:space="preserve"> Item N° : 205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</si>
  <si>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FALCON 400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FAROS DE GIROS INCLUYE 2 FAROS (1 DER Y 1V IZQ)</t>
    </r>
  </si>
  <si>
    <t xml:space="preserve"> Item N° : 206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</si>
  <si>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GILERA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>: SMX 200 CC.  JUEGO DE FAROS DE GIROS INCLUYE 2 FAROS (1 DER Y 1V IZQ)</t>
    </r>
  </si>
  <si>
    <t xml:space="preserve"> Item N° : 207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</si>
  <si>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BENELLI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TRK 502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JUEGO DE FAROS DE GIROS INCLUYE 2 FAROS (1 DER Y 1V IZQ)</t>
    </r>
  </si>
  <si>
    <t xml:space="preserve"> Item N° : 208</t>
  </si>
  <si>
    <r>
      <rPr>
        <u/>
        <sz val="10"/>
        <rFont val="Century Gothic"/>
        <family val="2"/>
      </rPr>
      <t xml:space="preserve">MARCA </t>
    </r>
    <r>
      <rPr>
        <sz val="10"/>
        <rFont val="Century Gothic"/>
        <family val="2"/>
      </rPr>
      <t>UNIVERSAL</t>
    </r>
    <r>
      <rPr>
        <u/>
        <sz val="10"/>
        <rFont val="Century Gothic"/>
        <family val="2"/>
      </rPr>
      <t xml:space="preserve">  MODELO: </t>
    </r>
    <r>
      <rPr>
        <sz val="10"/>
        <rFont val="Century Gothic"/>
        <family val="2"/>
      </rPr>
      <t xml:space="preserve">UNIVERSAL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PALANCA DE CAMBIO (PIE) MEDIDA Y FORMA ESTANDAR PARA MOTOS ENDURO</t>
    </r>
  </si>
  <si>
    <t xml:space="preserve"> Item N° : 209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</si>
  <si>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GILERA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SMX 200 CC.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FILTRO DE ACEITE</t>
    </r>
  </si>
  <si>
    <t>Plazos y lugares de entrega</t>
  </si>
  <si>
    <r>
      <rPr>
        <sz val="10"/>
        <color rgb="FF000000"/>
        <rFont val="Century Gothic"/>
      </rPr>
      <t xml:space="preserve">a) </t>
    </r>
    <r>
      <rPr>
        <b/>
        <sz val="10"/>
        <color rgb="FF000000"/>
        <rFont val="Century Gothic"/>
      </rPr>
      <t>LUGAR DE ENTREGA: Departamento Logística, sito en Av. Felix Avellaneda RP N° 33  KM 2</t>
    </r>
    <r>
      <rPr>
        <sz val="10"/>
        <color rgb="FF000000"/>
        <rFont val="Century Gothic"/>
      </rPr>
      <t>., SUMALAO - VALLE VIEJO. De 08 a 12 horas. 
b)</t>
    </r>
    <r>
      <rPr>
        <b/>
        <sz val="10"/>
        <color rgb="FF000000"/>
        <rFont val="Century Gothic"/>
      </rPr>
      <t xml:space="preserve"> FORMA DE LA ENTREGA</t>
    </r>
    <r>
      <rPr>
        <sz val="10"/>
        <color rgb="FF000000"/>
        <rFont val="Century Gothic"/>
      </rPr>
      <t>: Libre de flete, acarreo y embalaje, como así también, de todo riesgo de pérdida o destrucción total o parcial, por causas ajenas a la Institución.
c)  PLAZO DE ENTREGA:Las entregas se realizarán a requerimiento de acuerdo, a las Solicitudes de Provisión que se realicen. Se estima emitir una cantidad aproximada de 3 (Tres) Solicitudes de Provisión  de la cantidad solicitada, en un plazo de 3 (Tres) meses: 1° Solic.de Provisión: aprox.a los 2 (Dos) dias hábiles de la firma del instrumento contractual. 2° Solic.de Provisión: Aprox.  a los 30 días de la firma del instrumento contractual; y la 3° Solic.de Provisión: Aprox. a los 30 días de emitida la anterior. Plazo de cumplimiento de cada Solicitud de Provisión: a los 5 días hábiles de notificada la misma, según necesidades del Organismo solicitante. Forma de Pago: Se solicita Pagos parciales por cada Solicitud de Provisión emitida, una vez finalizada la entrega de las cantidades contenidas en la misma.</t>
    </r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</si>
  <si>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</si>
  <si>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</si>
  <si>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</si>
  <si>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 xml:space="preserve">30 (treinta)  días </t>
  </si>
  <si>
    <t>Garantia</t>
  </si>
  <si>
    <t>12 meses</t>
  </si>
  <si>
    <t>ACLARACIÒN PARA ITEMS, 99, 100, 101, 102 Y 105: DICHOS REPUESTOS DEBEN SER COMPATIBLES CON LOS SIGUIENES MODELOS DE MOTOS MARCA HONDA: XR 150 CC, XR 250 CC TORNADO Y CBX 250 CC TWISTER.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</si>
</sst>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&quot;$&quot;\ #,##0.00"/>
    <numFmt numFmtId="170" formatCode="_-&quot;$&quot;\ * #,##0.00_-;\-&quot;$&quot;\ * #,##0.00_-;_-&quot;$&quot;\ * &quot;-&quot;??_-;_-@_-"/>
  </numFmts>
  <fonts count="18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b/>
      <sz val="10"/>
      <color rgb="FF000000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name val="Century Gothic"/>
      <family val="2"/>
    </font>
    <font>
      <b/>
      <sz val="14"/>
      <name val="Arial"/>
      <family val="2"/>
    </font>
    <font>
      <sz val="10"/>
      <color rgb="FF000000"/>
      <name val="Century Gothic"/>
    </font>
    <font>
      <b/>
      <sz val="10"/>
      <color rgb="FF000000"/>
      <name val="Century Gothic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5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12">
    <xf numFmtId="0" fontId="0" fillId="0" borderId="0" xfId="0"/>
    <xf numFmtId="0" fontId="7" fillId="3" borderId="0" xfId="0" applyFont="1" applyFill="1"/>
    <xf numFmtId="0" fontId="7" fillId="3" borderId="0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center" wrapText="1"/>
    </xf>
    <xf numFmtId="167" fontId="10" fillId="3" borderId="0" xfId="0" applyNumberFormat="1" applyFont="1" applyFill="1" applyBorder="1"/>
    <xf numFmtId="0" fontId="7" fillId="3" borderId="0" xfId="0" applyFont="1" applyFill="1" applyBorder="1"/>
    <xf numFmtId="49" fontId="0" fillId="3" borderId="0" xfId="0" applyNumberFormat="1" applyFill="1"/>
    <xf numFmtId="0" fontId="0" fillId="3" borderId="0" xfId="0" applyFill="1"/>
    <xf numFmtId="0" fontId="13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  <xf numFmtId="0" fontId="8" fillId="3" borderId="12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vertical="top" wrapText="1"/>
    </xf>
    <xf numFmtId="0" fontId="8" fillId="3" borderId="12" xfId="0" applyFont="1" applyFill="1" applyBorder="1" applyAlignment="1">
      <alignment horizontal="center" vertical="center" wrapText="1"/>
    </xf>
    <xf numFmtId="3" fontId="7" fillId="3" borderId="12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left" vertical="center"/>
    </xf>
    <xf numFmtId="0" fontId="7" fillId="4" borderId="3" xfId="0" applyFont="1" applyFill="1" applyBorder="1"/>
    <xf numFmtId="0" fontId="7" fillId="4" borderId="5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7" fillId="4" borderId="0" xfId="0" applyFont="1" applyFill="1" applyBorder="1"/>
    <xf numFmtId="0" fontId="7" fillId="4" borderId="0" xfId="0" applyFont="1" applyFill="1" applyBorder="1" applyAlignment="1"/>
    <xf numFmtId="0" fontId="14" fillId="4" borderId="5" xfId="0" applyFont="1" applyFill="1" applyBorder="1" applyAlignment="1">
      <alignment vertical="center"/>
    </xf>
    <xf numFmtId="0" fontId="14" fillId="4" borderId="0" xfId="0" applyFont="1" applyFill="1" applyBorder="1" applyAlignment="1">
      <alignment vertical="center"/>
    </xf>
    <xf numFmtId="168" fontId="7" fillId="4" borderId="0" xfId="0" applyNumberFormat="1" applyFont="1" applyFill="1" applyBorder="1"/>
    <xf numFmtId="0" fontId="9" fillId="4" borderId="5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center" wrapText="1"/>
    </xf>
    <xf numFmtId="0" fontId="7" fillId="3" borderId="4" xfId="0" applyFont="1" applyFill="1" applyBorder="1"/>
    <xf numFmtId="0" fontId="7" fillId="3" borderId="6" xfId="0" applyFont="1" applyFill="1" applyBorder="1"/>
    <xf numFmtId="0" fontId="0" fillId="3" borderId="0" xfId="0" applyFill="1" applyBorder="1"/>
    <xf numFmtId="0" fontId="0" fillId="3" borderId="6" xfId="0" applyFill="1" applyBorder="1"/>
    <xf numFmtId="0" fontId="7" fillId="3" borderId="5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7" fillId="3" borderId="8" xfId="0" applyFont="1" applyFill="1" applyBorder="1"/>
    <xf numFmtId="0" fontId="7" fillId="3" borderId="9" xfId="0" applyFont="1" applyFill="1" applyBorder="1"/>
    <xf numFmtId="0" fontId="14" fillId="5" borderId="0" xfId="0" applyFont="1" applyFill="1" applyBorder="1" applyAlignment="1">
      <alignment horizontal="left" vertical="center"/>
    </xf>
    <xf numFmtId="0" fontId="7" fillId="5" borderId="0" xfId="0" applyFont="1" applyFill="1" applyBorder="1" applyAlignment="1">
      <alignment vertical="center"/>
    </xf>
    <xf numFmtId="0" fontId="7" fillId="5" borderId="0" xfId="0" applyFont="1" applyFill="1" applyBorder="1" applyAlignment="1"/>
    <xf numFmtId="0" fontId="7" fillId="5" borderId="0" xfId="0" applyFont="1" applyFill="1" applyBorder="1"/>
    <xf numFmtId="0" fontId="8" fillId="3" borderId="13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left"/>
    </xf>
    <xf numFmtId="0" fontId="7" fillId="3" borderId="6" xfId="0" applyFont="1" applyFill="1" applyBorder="1" applyAlignment="1"/>
    <xf numFmtId="0" fontId="6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left" vertical="center" wrapText="1"/>
    </xf>
    <xf numFmtId="3" fontId="7" fillId="3" borderId="19" xfId="0" applyNumberFormat="1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169" fontId="2" fillId="3" borderId="13" xfId="3" applyNumberFormat="1" applyFill="1" applyBorder="1"/>
    <xf numFmtId="164" fontId="7" fillId="3" borderId="13" xfId="1" applyNumberFormat="1" applyFont="1" applyFill="1" applyBorder="1" applyAlignment="1">
      <alignment horizontal="center" vertical="center"/>
    </xf>
    <xf numFmtId="164" fontId="7" fillId="3" borderId="20" xfId="1" applyNumberFormat="1" applyFont="1" applyFill="1" applyBorder="1" applyAlignment="1">
      <alignment horizontal="center" vertical="center"/>
    </xf>
    <xf numFmtId="167" fontId="7" fillId="3" borderId="13" xfId="1" applyNumberFormat="1" applyFont="1" applyFill="1" applyBorder="1" applyAlignment="1" applyProtection="1">
      <alignment horizontal="righ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/>
    </xf>
    <xf numFmtId="165" fontId="2" fillId="3" borderId="13" xfId="3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4" fillId="3" borderId="13" xfId="0" applyFont="1" applyFill="1" applyBorder="1"/>
    <xf numFmtId="0" fontId="8" fillId="3" borderId="13" xfId="0" applyFont="1" applyFill="1" applyBorder="1" applyAlignment="1">
      <alignment horizontal="left" vertical="center" wrapText="1"/>
    </xf>
    <xf numFmtId="0" fontId="8" fillId="3" borderId="22" xfId="0" applyFont="1" applyFill="1" applyBorder="1" applyAlignment="1">
      <alignment horizontal="left" vertical="center" wrapText="1"/>
    </xf>
    <xf numFmtId="0" fontId="7" fillId="3" borderId="22" xfId="0" applyFont="1" applyFill="1" applyBorder="1" applyAlignment="1">
      <alignment vertical="top" wrapText="1"/>
    </xf>
    <xf numFmtId="164" fontId="7" fillId="3" borderId="12" xfId="1" applyNumberFormat="1" applyFont="1" applyFill="1" applyBorder="1" applyAlignment="1">
      <alignment horizontal="center" vertical="center"/>
    </xf>
    <xf numFmtId="170" fontId="7" fillId="3" borderId="12" xfId="0" applyNumberFormat="1" applyFont="1" applyFill="1" applyBorder="1" applyAlignment="1">
      <alignment horizontal="center" vertical="center"/>
    </xf>
    <xf numFmtId="170" fontId="7" fillId="3" borderId="12" xfId="1" applyNumberFormat="1" applyFont="1" applyFill="1" applyBorder="1" applyAlignment="1">
      <alignment horizontal="center" vertical="center"/>
    </xf>
    <xf numFmtId="3" fontId="7" fillId="3" borderId="22" xfId="0" applyNumberFormat="1" applyFont="1" applyFill="1" applyBorder="1" applyAlignment="1">
      <alignment horizontal="center" vertical="center"/>
    </xf>
    <xf numFmtId="170" fontId="7" fillId="3" borderId="22" xfId="1" applyNumberFormat="1" applyFont="1" applyFill="1" applyBorder="1" applyAlignment="1">
      <alignment horizontal="center" vertical="center"/>
    </xf>
    <xf numFmtId="168" fontId="7" fillId="4" borderId="0" xfId="0" applyNumberFormat="1" applyFont="1" applyFill="1" applyBorder="1" applyAlignment="1">
      <alignment horizontal="left"/>
    </xf>
    <xf numFmtId="0" fontId="7" fillId="5" borderId="6" xfId="0" applyFont="1" applyFill="1" applyBorder="1" applyAlignment="1">
      <alignment horizontal="left" vertical="top" wrapText="1"/>
    </xf>
    <xf numFmtId="0" fontId="7" fillId="4" borderId="6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horizontal="left" vertical="top" wrapText="1"/>
    </xf>
    <xf numFmtId="0" fontId="14" fillId="4" borderId="0" xfId="0" applyFont="1" applyFill="1" applyBorder="1" applyAlignment="1">
      <alignment horizontal="left" vertical="center"/>
    </xf>
    <xf numFmtId="0" fontId="14" fillId="4" borderId="6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vertical="center"/>
    </xf>
    <xf numFmtId="0" fontId="7" fillId="4" borderId="6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top" wrapText="1"/>
    </xf>
    <xf numFmtId="0" fontId="7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top"/>
    </xf>
    <xf numFmtId="0" fontId="7" fillId="5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left" vertical="center" wrapText="1" indent="1"/>
    </xf>
    <xf numFmtId="0" fontId="13" fillId="3" borderId="0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wrapText="1"/>
    </xf>
    <xf numFmtId="0" fontId="7" fillId="5" borderId="0" xfId="0" applyFont="1" applyFill="1" applyBorder="1" applyAlignment="1">
      <alignment horizontal="left" vertical="top" wrapText="1"/>
    </xf>
    <xf numFmtId="0" fontId="14" fillId="4" borderId="0" xfId="0" applyFont="1" applyFill="1" applyBorder="1" applyAlignment="1">
      <alignment horizontal="left" vertical="center" wrapText="1"/>
    </xf>
    <xf numFmtId="168" fontId="7" fillId="4" borderId="0" xfId="0" applyNumberFormat="1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6" fillId="4" borderId="0" xfId="0" applyFont="1" applyFill="1" applyBorder="1" applyAlignment="1">
      <alignment horizontal="left" vertical="center" wrapText="1"/>
    </xf>
    <xf numFmtId="0" fontId="0" fillId="0" borderId="0" xfId="0" applyAlignment="1"/>
    <xf numFmtId="0" fontId="0" fillId="0" borderId="6" xfId="0" applyBorder="1" applyAlignment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43"/>
  <sheetViews>
    <sheetView tabSelected="1" view="pageBreakPreview" topLeftCell="A366" zoomScale="81" zoomScaleSheetLayoutView="81" workbookViewId="0">
      <selection activeCell="C435" sqref="C435:E435"/>
    </sheetView>
  </sheetViews>
  <sheetFormatPr defaultColWidth="11" defaultRowHeight="13.5"/>
  <cols>
    <col min="1" max="1" width="4.5703125" style="1" customWidth="1"/>
    <col min="2" max="2" width="17.140625" style="11" customWidth="1"/>
    <col min="3" max="3" width="21.140625" style="11" customWidth="1"/>
    <col min="4" max="4" width="14.7109375" style="1" customWidth="1"/>
    <col min="5" max="5" width="88.28515625" style="1" customWidth="1"/>
    <col min="6" max="6" width="12.42578125" style="1" customWidth="1"/>
    <col min="7" max="7" width="11.7109375" style="1" customWidth="1"/>
    <col min="8" max="8" width="13.85546875" style="1" customWidth="1"/>
    <col min="9" max="9" width="26.140625" style="1" customWidth="1"/>
    <col min="10" max="10" width="11" style="1"/>
    <col min="11" max="11" width="11.7109375" style="1" bestFit="1" customWidth="1"/>
    <col min="12" max="16384" width="11" style="1"/>
  </cols>
  <sheetData>
    <row r="2" spans="1:9" ht="28.5">
      <c r="B2" s="92" t="s">
        <v>0</v>
      </c>
      <c r="C2" s="92"/>
      <c r="D2" s="92"/>
      <c r="E2" s="92"/>
      <c r="F2" s="92"/>
      <c r="G2" s="92"/>
      <c r="H2" s="92"/>
    </row>
    <row r="4" spans="1:9" ht="18" customHeight="1">
      <c r="A4" s="93" t="s">
        <v>1</v>
      </c>
      <c r="B4" s="93"/>
      <c r="C4" s="94" t="s">
        <v>2</v>
      </c>
      <c r="D4" s="94"/>
      <c r="E4" s="94"/>
      <c r="F4" s="3"/>
      <c r="G4" s="4"/>
      <c r="H4" s="3"/>
    </row>
    <row r="5" spans="1:9" ht="27" customHeight="1">
      <c r="A5" s="93" t="s">
        <v>3</v>
      </c>
      <c r="B5" s="93"/>
      <c r="C5" s="95" t="s">
        <v>4</v>
      </c>
      <c r="D5" s="95"/>
      <c r="E5" s="95"/>
      <c r="F5" s="95"/>
      <c r="G5" s="95"/>
      <c r="H5" s="95"/>
      <c r="I5" s="95"/>
    </row>
    <row r="6" spans="1:9" ht="16.5" customHeight="1">
      <c r="A6" s="93" t="s">
        <v>5</v>
      </c>
      <c r="B6" s="93"/>
      <c r="C6" s="9">
        <v>2022</v>
      </c>
      <c r="D6" s="12"/>
      <c r="E6" s="12"/>
      <c r="F6" s="3"/>
      <c r="G6" s="4"/>
      <c r="H6" s="3"/>
    </row>
    <row r="7" spans="1:9" ht="16.5" customHeight="1">
      <c r="A7" s="93" t="s">
        <v>6</v>
      </c>
      <c r="B7" s="93"/>
      <c r="C7" s="9">
        <v>3</v>
      </c>
      <c r="D7" s="12"/>
      <c r="E7" s="12"/>
      <c r="F7" s="3"/>
      <c r="G7" s="4"/>
      <c r="H7" s="3"/>
    </row>
    <row r="8" spans="1:9" ht="14.25" thickBot="1">
      <c r="B8" s="10"/>
      <c r="C8" s="10"/>
      <c r="D8" s="3"/>
      <c r="E8" s="3"/>
      <c r="F8" s="3"/>
      <c r="G8" s="4"/>
      <c r="H8" s="3"/>
    </row>
    <row r="9" spans="1:9" ht="39.75" thickTop="1" thickBot="1">
      <c r="A9" s="45" t="s">
        <v>7</v>
      </c>
      <c r="B9" s="46" t="s">
        <v>8</v>
      </c>
      <c r="C9" s="46" t="s">
        <v>9</v>
      </c>
      <c r="D9" s="45" t="s">
        <v>10</v>
      </c>
      <c r="E9" s="48" t="s">
        <v>11</v>
      </c>
      <c r="F9" s="45" t="s">
        <v>12</v>
      </c>
      <c r="G9" s="52" t="s">
        <v>13</v>
      </c>
      <c r="H9" s="56" t="s">
        <v>14</v>
      </c>
      <c r="I9" s="56" t="s">
        <v>15</v>
      </c>
    </row>
    <row r="10" spans="1:9" ht="27.75" customHeight="1">
      <c r="A10" s="47">
        <v>1</v>
      </c>
      <c r="B10" s="13" t="s">
        <v>16</v>
      </c>
      <c r="C10" s="13" t="s">
        <v>17</v>
      </c>
      <c r="D10" s="16" t="s">
        <v>18</v>
      </c>
      <c r="E10" s="13" t="s">
        <v>19</v>
      </c>
      <c r="F10" s="62" t="s">
        <v>20</v>
      </c>
      <c r="G10" s="63">
        <v>2</v>
      </c>
      <c r="H10" s="64">
        <v>13201.5</v>
      </c>
      <c r="I10" s="57">
        <f>H10*G10</f>
        <v>26403</v>
      </c>
    </row>
    <row r="11" spans="1:9" ht="27" customHeight="1">
      <c r="A11" s="65">
        <v>2</v>
      </c>
      <c r="B11" s="13" t="s">
        <v>21</v>
      </c>
      <c r="C11" s="13" t="s">
        <v>17</v>
      </c>
      <c r="D11" s="16" t="s">
        <v>18</v>
      </c>
      <c r="E11" s="13" t="s">
        <v>22</v>
      </c>
      <c r="F11" s="16" t="s">
        <v>20</v>
      </c>
      <c r="G11" s="63">
        <v>1</v>
      </c>
      <c r="H11" s="64">
        <v>7386.6</v>
      </c>
      <c r="I11" s="57">
        <f t="shared" ref="I11:I17" si="0">PRODUCT(G11:H11)</f>
        <v>7386.6</v>
      </c>
    </row>
    <row r="12" spans="1:9" ht="28.5" customHeight="1">
      <c r="A12" s="61">
        <v>3</v>
      </c>
      <c r="B12" s="13" t="s">
        <v>23</v>
      </c>
      <c r="C12" s="13" t="s">
        <v>17</v>
      </c>
      <c r="D12" s="16" t="s">
        <v>18</v>
      </c>
      <c r="E12" s="13" t="s">
        <v>24</v>
      </c>
      <c r="F12" s="16" t="s">
        <v>20</v>
      </c>
      <c r="G12" s="67">
        <v>1</v>
      </c>
      <c r="H12" s="64">
        <v>7629</v>
      </c>
      <c r="I12" s="57">
        <f t="shared" si="0"/>
        <v>7629</v>
      </c>
    </row>
    <row r="13" spans="1:9" ht="31.5" customHeight="1">
      <c r="A13" s="47">
        <v>4</v>
      </c>
      <c r="B13" s="13" t="s">
        <v>25</v>
      </c>
      <c r="C13" s="13" t="s">
        <v>17</v>
      </c>
      <c r="D13" s="44" t="s">
        <v>18</v>
      </c>
      <c r="E13" s="13" t="s">
        <v>26</v>
      </c>
      <c r="F13" s="16" t="s">
        <v>20</v>
      </c>
      <c r="G13" s="63">
        <v>15</v>
      </c>
      <c r="H13" s="64">
        <v>18967</v>
      </c>
      <c r="I13" s="57">
        <f t="shared" si="0"/>
        <v>284505</v>
      </c>
    </row>
    <row r="14" spans="1:9" ht="30" customHeight="1">
      <c r="A14" s="61">
        <v>5</v>
      </c>
      <c r="B14" s="13" t="s">
        <v>25</v>
      </c>
      <c r="C14" s="13" t="s">
        <v>17</v>
      </c>
      <c r="D14" s="16" t="s">
        <v>18</v>
      </c>
      <c r="E14" s="13" t="s">
        <v>26</v>
      </c>
      <c r="F14" s="16" t="s">
        <v>20</v>
      </c>
      <c r="G14" s="66">
        <v>60</v>
      </c>
      <c r="H14" s="64">
        <v>13131.31</v>
      </c>
      <c r="I14" s="57">
        <f t="shared" si="0"/>
        <v>787878.6</v>
      </c>
    </row>
    <row r="15" spans="1:9" ht="28.5" customHeight="1">
      <c r="A15" s="47">
        <v>6</v>
      </c>
      <c r="B15" s="13" t="s">
        <v>25</v>
      </c>
      <c r="C15" s="54" t="s">
        <v>17</v>
      </c>
      <c r="D15" s="14" t="s">
        <v>18</v>
      </c>
      <c r="E15" s="15" t="s">
        <v>26</v>
      </c>
      <c r="F15" s="16" t="s">
        <v>20</v>
      </c>
      <c r="G15" s="55">
        <v>90</v>
      </c>
      <c r="H15" s="58">
        <v>15600</v>
      </c>
      <c r="I15" s="57">
        <f t="shared" si="0"/>
        <v>1404000</v>
      </c>
    </row>
    <row r="16" spans="1:9" ht="28.5" customHeight="1">
      <c r="A16" s="49">
        <v>7</v>
      </c>
      <c r="B16" s="13" t="s">
        <v>27</v>
      </c>
      <c r="C16" s="54" t="s">
        <v>17</v>
      </c>
      <c r="D16" s="14" t="s">
        <v>18</v>
      </c>
      <c r="E16" s="15" t="s">
        <v>28</v>
      </c>
      <c r="F16" s="16" t="s">
        <v>20</v>
      </c>
      <c r="G16" s="17">
        <v>60</v>
      </c>
      <c r="H16" s="59">
        <v>10400</v>
      </c>
      <c r="I16" s="57">
        <f t="shared" si="0"/>
        <v>624000</v>
      </c>
    </row>
    <row r="17" spans="1:9" ht="28.5" customHeight="1">
      <c r="A17" s="61">
        <v>8</v>
      </c>
      <c r="B17" s="13" t="s">
        <v>29</v>
      </c>
      <c r="C17" s="54" t="s">
        <v>17</v>
      </c>
      <c r="D17" s="14" t="s">
        <v>18</v>
      </c>
      <c r="E17" s="15" t="s">
        <v>30</v>
      </c>
      <c r="F17" s="16" t="s">
        <v>20</v>
      </c>
      <c r="G17" s="17">
        <v>30</v>
      </c>
      <c r="H17" s="59">
        <v>20865</v>
      </c>
      <c r="I17" s="57">
        <f t="shared" si="0"/>
        <v>625950</v>
      </c>
    </row>
    <row r="18" spans="1:9" ht="28.5" customHeight="1">
      <c r="A18" s="61">
        <v>9</v>
      </c>
      <c r="B18" s="13" t="s">
        <v>31</v>
      </c>
      <c r="C18" s="54" t="s">
        <v>17</v>
      </c>
      <c r="D18" s="14" t="s">
        <v>18</v>
      </c>
      <c r="E18" s="15" t="s">
        <v>32</v>
      </c>
      <c r="F18" s="16" t="s">
        <v>20</v>
      </c>
      <c r="G18" s="17">
        <v>3</v>
      </c>
      <c r="H18" s="59">
        <v>265200</v>
      </c>
      <c r="I18" s="60">
        <f t="shared" ref="I18:I68" si="1">G18*H18</f>
        <v>795600</v>
      </c>
    </row>
    <row r="19" spans="1:9" ht="28.5" customHeight="1">
      <c r="A19" s="61">
        <v>10</v>
      </c>
      <c r="B19" s="13" t="s">
        <v>33</v>
      </c>
      <c r="C19" s="54" t="s">
        <v>17</v>
      </c>
      <c r="D19" s="14" t="s">
        <v>18</v>
      </c>
      <c r="E19" s="15" t="s">
        <v>34</v>
      </c>
      <c r="F19" s="16" t="s">
        <v>20</v>
      </c>
      <c r="G19" s="17">
        <v>2</v>
      </c>
      <c r="H19" s="59">
        <v>34619</v>
      </c>
      <c r="I19" s="60">
        <f t="shared" si="1"/>
        <v>69238</v>
      </c>
    </row>
    <row r="20" spans="1:9" ht="28.5" customHeight="1">
      <c r="A20" s="61">
        <v>11</v>
      </c>
      <c r="B20" s="53" t="s">
        <v>35</v>
      </c>
      <c r="C20" s="54" t="s">
        <v>17</v>
      </c>
      <c r="D20" s="14" t="s">
        <v>18</v>
      </c>
      <c r="E20" s="15" t="s">
        <v>36</v>
      </c>
      <c r="F20" s="16" t="s">
        <v>20</v>
      </c>
      <c r="G20" s="17">
        <v>2</v>
      </c>
      <c r="H20" s="59">
        <v>25945.4</v>
      </c>
      <c r="I20" s="60">
        <f t="shared" si="1"/>
        <v>51890.8</v>
      </c>
    </row>
    <row r="21" spans="1:9" ht="28.5" customHeight="1">
      <c r="A21" s="61">
        <v>12</v>
      </c>
      <c r="B21" s="13" t="s">
        <v>37</v>
      </c>
      <c r="C21" s="54" t="s">
        <v>17</v>
      </c>
      <c r="D21" s="14" t="s">
        <v>18</v>
      </c>
      <c r="E21" s="15" t="s">
        <v>38</v>
      </c>
      <c r="F21" s="16" t="s">
        <v>20</v>
      </c>
      <c r="G21" s="17">
        <v>10</v>
      </c>
      <c r="H21" s="59">
        <v>8075.6</v>
      </c>
      <c r="I21" s="60">
        <f t="shared" si="1"/>
        <v>80756</v>
      </c>
    </row>
    <row r="22" spans="1:9" ht="28.5" customHeight="1">
      <c r="A22" s="61">
        <v>13</v>
      </c>
      <c r="B22" s="13" t="s">
        <v>39</v>
      </c>
      <c r="C22" s="54" t="s">
        <v>17</v>
      </c>
      <c r="D22" s="14" t="s">
        <v>18</v>
      </c>
      <c r="E22" s="15" t="s">
        <v>40</v>
      </c>
      <c r="F22" s="16" t="s">
        <v>20</v>
      </c>
      <c r="G22" s="17">
        <v>10</v>
      </c>
      <c r="H22" s="59">
        <v>7800</v>
      </c>
      <c r="I22" s="60">
        <f t="shared" si="1"/>
        <v>78000</v>
      </c>
    </row>
    <row r="23" spans="1:9" ht="28.5" customHeight="1">
      <c r="A23" s="61">
        <v>14</v>
      </c>
      <c r="B23" s="13" t="s">
        <v>39</v>
      </c>
      <c r="C23" s="54" t="s">
        <v>17</v>
      </c>
      <c r="D23" s="14" t="s">
        <v>18</v>
      </c>
      <c r="E23" s="15" t="s">
        <v>40</v>
      </c>
      <c r="F23" s="16" t="s">
        <v>20</v>
      </c>
      <c r="G23" s="17">
        <v>5</v>
      </c>
      <c r="H23" s="59">
        <v>7486.7</v>
      </c>
      <c r="I23" s="60">
        <f t="shared" si="1"/>
        <v>37433.5</v>
      </c>
    </row>
    <row r="24" spans="1:9" ht="28.5" customHeight="1">
      <c r="A24" s="61">
        <v>15</v>
      </c>
      <c r="B24" s="13" t="s">
        <v>41</v>
      </c>
      <c r="C24" s="54" t="s">
        <v>17</v>
      </c>
      <c r="D24" s="14" t="s">
        <v>18</v>
      </c>
      <c r="E24" s="15" t="s">
        <v>42</v>
      </c>
      <c r="F24" s="16" t="s">
        <v>20</v>
      </c>
      <c r="G24" s="17">
        <v>10</v>
      </c>
      <c r="H24" s="59">
        <v>5982.6</v>
      </c>
      <c r="I24" s="60">
        <f t="shared" si="1"/>
        <v>59826</v>
      </c>
    </row>
    <row r="25" spans="1:9" ht="28.5" customHeight="1">
      <c r="A25" s="61">
        <v>16</v>
      </c>
      <c r="B25" s="13" t="s">
        <v>43</v>
      </c>
      <c r="C25" s="54" t="s">
        <v>17</v>
      </c>
      <c r="D25" s="14" t="s">
        <v>18</v>
      </c>
      <c r="E25" s="15" t="s">
        <v>44</v>
      </c>
      <c r="F25" s="16" t="s">
        <v>20</v>
      </c>
      <c r="G25" s="17">
        <v>3</v>
      </c>
      <c r="H25" s="59">
        <v>247000</v>
      </c>
      <c r="I25" s="60">
        <f t="shared" si="1"/>
        <v>741000</v>
      </c>
    </row>
    <row r="26" spans="1:9" ht="28.5" customHeight="1">
      <c r="A26" s="61">
        <v>17</v>
      </c>
      <c r="B26" s="13" t="s">
        <v>45</v>
      </c>
      <c r="C26" s="54" t="s">
        <v>17</v>
      </c>
      <c r="D26" s="14" t="s">
        <v>18</v>
      </c>
      <c r="E26" s="15" t="s">
        <v>46</v>
      </c>
      <c r="F26" s="16" t="s">
        <v>20</v>
      </c>
      <c r="G26" s="17">
        <v>2</v>
      </c>
      <c r="H26" s="59">
        <v>130000</v>
      </c>
      <c r="I26" s="60">
        <f t="shared" si="1"/>
        <v>260000</v>
      </c>
    </row>
    <row r="27" spans="1:9" ht="28.5" customHeight="1">
      <c r="A27" s="61">
        <v>18</v>
      </c>
      <c r="B27" s="13" t="s">
        <v>47</v>
      </c>
      <c r="C27" s="54" t="s">
        <v>17</v>
      </c>
      <c r="D27" s="14" t="s">
        <v>18</v>
      </c>
      <c r="E27" s="15" t="s">
        <v>48</v>
      </c>
      <c r="F27" s="16" t="s">
        <v>20</v>
      </c>
      <c r="G27" s="17">
        <v>12</v>
      </c>
      <c r="H27" s="59">
        <v>4167.8</v>
      </c>
      <c r="I27" s="60">
        <f t="shared" si="1"/>
        <v>50013.600000000006</v>
      </c>
    </row>
    <row r="28" spans="1:9" ht="28.5" customHeight="1">
      <c r="A28" s="61">
        <v>19</v>
      </c>
      <c r="B28" s="13" t="s">
        <v>49</v>
      </c>
      <c r="C28" s="54" t="s">
        <v>17</v>
      </c>
      <c r="D28" s="14" t="s">
        <v>18</v>
      </c>
      <c r="E28" s="15" t="s">
        <v>50</v>
      </c>
      <c r="F28" s="16" t="s">
        <v>20</v>
      </c>
      <c r="G28" s="17">
        <v>8</v>
      </c>
      <c r="H28" s="59">
        <v>4782.7</v>
      </c>
      <c r="I28" s="60">
        <f t="shared" si="1"/>
        <v>38261.599999999999</v>
      </c>
    </row>
    <row r="29" spans="1:9" ht="28.5" customHeight="1">
      <c r="A29" s="61">
        <v>20</v>
      </c>
      <c r="B29" s="13" t="s">
        <v>49</v>
      </c>
      <c r="C29" s="54" t="s">
        <v>17</v>
      </c>
      <c r="D29" s="14" t="s">
        <v>18</v>
      </c>
      <c r="E29" s="15" t="s">
        <v>51</v>
      </c>
      <c r="F29" s="16" t="s">
        <v>20</v>
      </c>
      <c r="G29" s="17">
        <v>8</v>
      </c>
      <c r="H29" s="59">
        <v>4782.7</v>
      </c>
      <c r="I29" s="60">
        <f t="shared" si="1"/>
        <v>38261.599999999999</v>
      </c>
    </row>
    <row r="30" spans="1:9" ht="28.5" customHeight="1">
      <c r="A30" s="61">
        <v>21</v>
      </c>
      <c r="B30" s="13" t="s">
        <v>52</v>
      </c>
      <c r="C30" s="54" t="s">
        <v>17</v>
      </c>
      <c r="D30" s="14" t="s">
        <v>18</v>
      </c>
      <c r="E30" s="15" t="s">
        <v>53</v>
      </c>
      <c r="F30" s="16" t="s">
        <v>20</v>
      </c>
      <c r="G30" s="17">
        <v>8</v>
      </c>
      <c r="H30" s="59">
        <v>6084</v>
      </c>
      <c r="I30" s="60">
        <f t="shared" si="1"/>
        <v>48672</v>
      </c>
    </row>
    <row r="31" spans="1:9" ht="28.5" customHeight="1">
      <c r="A31" s="61">
        <v>22</v>
      </c>
      <c r="B31" s="13" t="s">
        <v>54</v>
      </c>
      <c r="C31" s="54" t="s">
        <v>17</v>
      </c>
      <c r="D31" s="14" t="s">
        <v>18</v>
      </c>
      <c r="E31" s="15" t="s">
        <v>55</v>
      </c>
      <c r="F31" s="16" t="s">
        <v>20</v>
      </c>
      <c r="G31" s="17">
        <v>5</v>
      </c>
      <c r="H31" s="59">
        <v>3900</v>
      </c>
      <c r="I31" s="60">
        <f t="shared" si="1"/>
        <v>19500</v>
      </c>
    </row>
    <row r="32" spans="1:9" ht="28.5" customHeight="1">
      <c r="A32" s="61">
        <v>23</v>
      </c>
      <c r="B32" s="13" t="s">
        <v>56</v>
      </c>
      <c r="C32" s="54" t="s">
        <v>17</v>
      </c>
      <c r="D32" s="14" t="s">
        <v>18</v>
      </c>
      <c r="E32" s="15" t="s">
        <v>57</v>
      </c>
      <c r="F32" s="16" t="s">
        <v>20</v>
      </c>
      <c r="G32" s="17">
        <v>5</v>
      </c>
      <c r="H32" s="59">
        <v>9100</v>
      </c>
      <c r="I32" s="60">
        <f t="shared" si="1"/>
        <v>45500</v>
      </c>
    </row>
    <row r="33" spans="1:9" ht="28.5" customHeight="1">
      <c r="A33" s="61">
        <v>24</v>
      </c>
      <c r="B33" s="13" t="s">
        <v>58</v>
      </c>
      <c r="C33" s="54" t="s">
        <v>17</v>
      </c>
      <c r="D33" s="14" t="s">
        <v>18</v>
      </c>
      <c r="E33" s="15" t="s">
        <v>59</v>
      </c>
      <c r="F33" s="16" t="s">
        <v>20</v>
      </c>
      <c r="G33" s="17">
        <v>4</v>
      </c>
      <c r="H33" s="59">
        <v>67791.100000000006</v>
      </c>
      <c r="I33" s="60">
        <f t="shared" si="1"/>
        <v>271164.40000000002</v>
      </c>
    </row>
    <row r="34" spans="1:9" ht="28.5" customHeight="1">
      <c r="A34" s="61">
        <v>25</v>
      </c>
      <c r="B34" s="13" t="s">
        <v>60</v>
      </c>
      <c r="C34" s="54" t="s">
        <v>17</v>
      </c>
      <c r="D34" s="14" t="s">
        <v>18</v>
      </c>
      <c r="E34" s="15" t="s">
        <v>61</v>
      </c>
      <c r="F34" s="16" t="s">
        <v>20</v>
      </c>
      <c r="G34" s="17">
        <v>6</v>
      </c>
      <c r="H34" s="59">
        <v>19500</v>
      </c>
      <c r="I34" s="60">
        <f t="shared" si="1"/>
        <v>117000</v>
      </c>
    </row>
    <row r="35" spans="1:9" ht="28.5" customHeight="1">
      <c r="A35" s="61">
        <v>26</v>
      </c>
      <c r="B35" s="13" t="s">
        <v>62</v>
      </c>
      <c r="C35" s="54" t="s">
        <v>17</v>
      </c>
      <c r="D35" s="14" t="s">
        <v>18</v>
      </c>
      <c r="E35" s="15" t="s">
        <v>63</v>
      </c>
      <c r="F35" s="16" t="s">
        <v>20</v>
      </c>
      <c r="G35" s="17">
        <v>2</v>
      </c>
      <c r="H35" s="59">
        <v>29900</v>
      </c>
      <c r="I35" s="60">
        <f t="shared" si="1"/>
        <v>59800</v>
      </c>
    </row>
    <row r="36" spans="1:9" ht="28.5" customHeight="1">
      <c r="A36" s="61">
        <v>27</v>
      </c>
      <c r="B36" s="13" t="s">
        <v>62</v>
      </c>
      <c r="C36" s="54" t="s">
        <v>17</v>
      </c>
      <c r="D36" s="14" t="s">
        <v>18</v>
      </c>
      <c r="E36" s="15" t="s">
        <v>63</v>
      </c>
      <c r="F36" s="16" t="s">
        <v>20</v>
      </c>
      <c r="G36" s="17">
        <v>2</v>
      </c>
      <c r="H36" s="59">
        <v>29900</v>
      </c>
      <c r="I36" s="60">
        <f t="shared" si="1"/>
        <v>59800</v>
      </c>
    </row>
    <row r="37" spans="1:9" ht="28.5" customHeight="1">
      <c r="A37" s="61">
        <v>28</v>
      </c>
      <c r="B37" s="13" t="s">
        <v>64</v>
      </c>
      <c r="C37" s="54" t="s">
        <v>17</v>
      </c>
      <c r="D37" s="14" t="s">
        <v>18</v>
      </c>
      <c r="E37" s="15" t="s">
        <v>65</v>
      </c>
      <c r="F37" s="16" t="s">
        <v>20</v>
      </c>
      <c r="G37" s="17">
        <v>2</v>
      </c>
      <c r="H37" s="59">
        <v>35100</v>
      </c>
      <c r="I37" s="60">
        <f t="shared" si="1"/>
        <v>70200</v>
      </c>
    </row>
    <row r="38" spans="1:9" ht="28.5" customHeight="1">
      <c r="A38" s="61">
        <v>29</v>
      </c>
      <c r="B38" s="13" t="s">
        <v>64</v>
      </c>
      <c r="C38" s="54" t="s">
        <v>17</v>
      </c>
      <c r="D38" s="14" t="s">
        <v>18</v>
      </c>
      <c r="E38" s="15" t="s">
        <v>65</v>
      </c>
      <c r="F38" s="16" t="s">
        <v>20</v>
      </c>
      <c r="G38" s="17">
        <v>2</v>
      </c>
      <c r="H38" s="59">
        <v>35100</v>
      </c>
      <c r="I38" s="60">
        <f t="shared" si="1"/>
        <v>70200</v>
      </c>
    </row>
    <row r="39" spans="1:9" ht="28.5" customHeight="1">
      <c r="A39" s="61">
        <v>30</v>
      </c>
      <c r="B39" s="13" t="s">
        <v>66</v>
      </c>
      <c r="C39" s="54" t="s">
        <v>17</v>
      </c>
      <c r="D39" s="14" t="s">
        <v>18</v>
      </c>
      <c r="E39" s="15" t="s">
        <v>67</v>
      </c>
      <c r="F39" s="16" t="s">
        <v>20</v>
      </c>
      <c r="G39" s="17">
        <v>5</v>
      </c>
      <c r="H39" s="59">
        <v>22088.3</v>
      </c>
      <c r="I39" s="60">
        <f t="shared" si="1"/>
        <v>110441.5</v>
      </c>
    </row>
    <row r="40" spans="1:9" ht="28.5" customHeight="1">
      <c r="A40" s="61">
        <v>31</v>
      </c>
      <c r="B40" s="13" t="s">
        <v>68</v>
      </c>
      <c r="C40" s="54" t="s">
        <v>17</v>
      </c>
      <c r="D40" s="14" t="s">
        <v>18</v>
      </c>
      <c r="E40" s="15" t="s">
        <v>69</v>
      </c>
      <c r="F40" s="16" t="s">
        <v>20</v>
      </c>
      <c r="G40" s="17">
        <v>2</v>
      </c>
      <c r="H40" s="59">
        <v>33293</v>
      </c>
      <c r="I40" s="60">
        <f t="shared" si="1"/>
        <v>66586</v>
      </c>
    </row>
    <row r="41" spans="1:9" ht="28.5" customHeight="1">
      <c r="A41" s="61">
        <v>32</v>
      </c>
      <c r="B41" s="13" t="s">
        <v>70</v>
      </c>
      <c r="C41" s="54" t="s">
        <v>17</v>
      </c>
      <c r="D41" s="14" t="s">
        <v>18</v>
      </c>
      <c r="E41" s="15" t="s">
        <v>71</v>
      </c>
      <c r="F41" s="16" t="s">
        <v>20</v>
      </c>
      <c r="G41" s="17">
        <v>8</v>
      </c>
      <c r="H41" s="59">
        <v>13000</v>
      </c>
      <c r="I41" s="60">
        <f t="shared" si="1"/>
        <v>104000</v>
      </c>
    </row>
    <row r="42" spans="1:9" ht="28.5" customHeight="1">
      <c r="A42" s="61">
        <v>33</v>
      </c>
      <c r="B42" s="13" t="s">
        <v>72</v>
      </c>
      <c r="C42" s="54" t="s">
        <v>17</v>
      </c>
      <c r="D42" s="14" t="s">
        <v>18</v>
      </c>
      <c r="E42" s="15" t="s">
        <v>73</v>
      </c>
      <c r="F42" s="16" t="s">
        <v>20</v>
      </c>
      <c r="G42" s="17">
        <v>2</v>
      </c>
      <c r="H42" s="59">
        <v>29900</v>
      </c>
      <c r="I42" s="60">
        <f t="shared" si="1"/>
        <v>59800</v>
      </c>
    </row>
    <row r="43" spans="1:9" ht="28.5" customHeight="1">
      <c r="A43" s="61">
        <v>34</v>
      </c>
      <c r="B43" s="13" t="s">
        <v>74</v>
      </c>
      <c r="C43" s="54" t="s">
        <v>17</v>
      </c>
      <c r="D43" s="14" t="s">
        <v>18</v>
      </c>
      <c r="E43" s="15" t="s">
        <v>75</v>
      </c>
      <c r="F43" s="16" t="s">
        <v>20</v>
      </c>
      <c r="G43" s="17">
        <v>20</v>
      </c>
      <c r="H43" s="59">
        <v>2746</v>
      </c>
      <c r="I43" s="60">
        <f t="shared" si="1"/>
        <v>54920</v>
      </c>
    </row>
    <row r="44" spans="1:9" ht="28.5" customHeight="1">
      <c r="A44" s="61">
        <v>35</v>
      </c>
      <c r="B44" s="13" t="s">
        <v>76</v>
      </c>
      <c r="C44" s="54" t="s">
        <v>17</v>
      </c>
      <c r="D44" s="14" t="s">
        <v>18</v>
      </c>
      <c r="E44" s="15" t="s">
        <v>77</v>
      </c>
      <c r="F44" s="16" t="s">
        <v>20</v>
      </c>
      <c r="G44" s="17">
        <v>3</v>
      </c>
      <c r="H44" s="59">
        <v>22100</v>
      </c>
      <c r="I44" s="60">
        <f t="shared" si="1"/>
        <v>66300</v>
      </c>
    </row>
    <row r="45" spans="1:9" ht="28.5" customHeight="1">
      <c r="A45" s="61">
        <v>36</v>
      </c>
      <c r="B45" s="13" t="s">
        <v>78</v>
      </c>
      <c r="C45" s="54" t="s">
        <v>17</v>
      </c>
      <c r="D45" s="14" t="s">
        <v>18</v>
      </c>
      <c r="E45" s="15" t="s">
        <v>79</v>
      </c>
      <c r="F45" s="16" t="s">
        <v>20</v>
      </c>
      <c r="G45" s="17">
        <v>8</v>
      </c>
      <c r="H45" s="59">
        <v>24050</v>
      </c>
      <c r="I45" s="60">
        <f t="shared" si="1"/>
        <v>192400</v>
      </c>
    </row>
    <row r="46" spans="1:9" ht="28.5" customHeight="1">
      <c r="A46" s="61">
        <v>37</v>
      </c>
      <c r="B46" s="13" t="s">
        <v>80</v>
      </c>
      <c r="C46" s="54" t="s">
        <v>17</v>
      </c>
      <c r="D46" s="14" t="s">
        <v>18</v>
      </c>
      <c r="E46" s="15" t="s">
        <v>81</v>
      </c>
      <c r="F46" s="16" t="s">
        <v>20</v>
      </c>
      <c r="G46" s="17">
        <v>3</v>
      </c>
      <c r="H46" s="59">
        <v>70000</v>
      </c>
      <c r="I46" s="60">
        <f t="shared" si="1"/>
        <v>210000</v>
      </c>
    </row>
    <row r="47" spans="1:9" ht="28.5" customHeight="1">
      <c r="A47" s="61">
        <v>38</v>
      </c>
      <c r="B47" s="13" t="s">
        <v>82</v>
      </c>
      <c r="C47" s="54" t="s">
        <v>17</v>
      </c>
      <c r="D47" s="14" t="s">
        <v>18</v>
      </c>
      <c r="E47" s="15" t="s">
        <v>83</v>
      </c>
      <c r="F47" s="16" t="s">
        <v>20</v>
      </c>
      <c r="G47" s="17">
        <v>2</v>
      </c>
      <c r="H47" s="59">
        <v>80000</v>
      </c>
      <c r="I47" s="60">
        <f t="shared" si="1"/>
        <v>160000</v>
      </c>
    </row>
    <row r="48" spans="1:9" ht="28.5" customHeight="1">
      <c r="A48" s="61">
        <v>39</v>
      </c>
      <c r="B48" s="13" t="s">
        <v>84</v>
      </c>
      <c r="C48" s="54" t="s">
        <v>17</v>
      </c>
      <c r="D48" s="14" t="s">
        <v>18</v>
      </c>
      <c r="E48" s="15" t="s">
        <v>85</v>
      </c>
      <c r="F48" s="16" t="s">
        <v>20</v>
      </c>
      <c r="G48" s="17">
        <v>2</v>
      </c>
      <c r="H48" s="59">
        <v>91000</v>
      </c>
      <c r="I48" s="60">
        <f t="shared" si="1"/>
        <v>182000</v>
      </c>
    </row>
    <row r="49" spans="1:9" ht="28.5" customHeight="1">
      <c r="A49" s="61">
        <v>40</v>
      </c>
      <c r="B49" s="13" t="s">
        <v>86</v>
      </c>
      <c r="C49" s="54" t="s">
        <v>17</v>
      </c>
      <c r="D49" s="14" t="s">
        <v>18</v>
      </c>
      <c r="E49" s="15" t="s">
        <v>87</v>
      </c>
      <c r="F49" s="16" t="s">
        <v>20</v>
      </c>
      <c r="G49" s="17">
        <v>4</v>
      </c>
      <c r="H49" s="59">
        <v>16350</v>
      </c>
      <c r="I49" s="60">
        <f t="shared" si="1"/>
        <v>65400</v>
      </c>
    </row>
    <row r="50" spans="1:9" ht="28.5" customHeight="1">
      <c r="A50" s="61">
        <v>41</v>
      </c>
      <c r="B50" s="13" t="s">
        <v>88</v>
      </c>
      <c r="C50" s="54" t="s">
        <v>17</v>
      </c>
      <c r="D50" s="14" t="s">
        <v>18</v>
      </c>
      <c r="E50" s="15" t="s">
        <v>89</v>
      </c>
      <c r="F50" s="16" t="s">
        <v>20</v>
      </c>
      <c r="G50" s="17">
        <v>6</v>
      </c>
      <c r="H50" s="59">
        <v>14300</v>
      </c>
      <c r="I50" s="60">
        <f t="shared" si="1"/>
        <v>85800</v>
      </c>
    </row>
    <row r="51" spans="1:9" ht="28.5" customHeight="1">
      <c r="A51" s="61">
        <v>42</v>
      </c>
      <c r="B51" s="13" t="s">
        <v>90</v>
      </c>
      <c r="C51" s="54" t="s">
        <v>17</v>
      </c>
      <c r="D51" s="14" t="s">
        <v>18</v>
      </c>
      <c r="E51" s="15" t="s">
        <v>91</v>
      </c>
      <c r="F51" s="16" t="s">
        <v>20</v>
      </c>
      <c r="G51" s="17">
        <v>5</v>
      </c>
      <c r="H51" s="59">
        <v>5323.5</v>
      </c>
      <c r="I51" s="60">
        <f t="shared" si="1"/>
        <v>26617.5</v>
      </c>
    </row>
    <row r="52" spans="1:9" ht="28.5" customHeight="1">
      <c r="A52" s="61">
        <v>43</v>
      </c>
      <c r="B52" s="13" t="s">
        <v>90</v>
      </c>
      <c r="C52" s="54" t="s">
        <v>17</v>
      </c>
      <c r="D52" s="14" t="s">
        <v>18</v>
      </c>
      <c r="E52" s="15" t="s">
        <v>91</v>
      </c>
      <c r="F52" s="16" t="s">
        <v>20</v>
      </c>
      <c r="G52" s="17">
        <v>5</v>
      </c>
      <c r="H52" s="59">
        <v>5323.5</v>
      </c>
      <c r="I52" s="60">
        <f t="shared" si="1"/>
        <v>26617.5</v>
      </c>
    </row>
    <row r="53" spans="1:9" ht="28.5" customHeight="1">
      <c r="A53" s="61">
        <v>44</v>
      </c>
      <c r="B53" s="13" t="s">
        <v>92</v>
      </c>
      <c r="C53" s="54" t="s">
        <v>17</v>
      </c>
      <c r="D53" s="14" t="s">
        <v>18</v>
      </c>
      <c r="E53" s="15" t="s">
        <v>93</v>
      </c>
      <c r="F53" s="16" t="s">
        <v>20</v>
      </c>
      <c r="G53" s="17">
        <v>3</v>
      </c>
      <c r="H53" s="59">
        <v>15600</v>
      </c>
      <c r="I53" s="60">
        <f t="shared" si="1"/>
        <v>46800</v>
      </c>
    </row>
    <row r="54" spans="1:9" ht="28.5" customHeight="1">
      <c r="A54" s="61">
        <v>45</v>
      </c>
      <c r="B54" s="13" t="s">
        <v>92</v>
      </c>
      <c r="C54" s="54" t="s">
        <v>17</v>
      </c>
      <c r="D54" s="14" t="s">
        <v>18</v>
      </c>
      <c r="E54" s="15" t="s">
        <v>93</v>
      </c>
      <c r="F54" s="16" t="s">
        <v>20</v>
      </c>
      <c r="G54" s="17">
        <v>3</v>
      </c>
      <c r="H54" s="59">
        <v>15600</v>
      </c>
      <c r="I54" s="60">
        <f t="shared" si="1"/>
        <v>46800</v>
      </c>
    </row>
    <row r="55" spans="1:9" ht="28.5" customHeight="1">
      <c r="A55" s="61">
        <v>46</v>
      </c>
      <c r="B55" s="13" t="s">
        <v>94</v>
      </c>
      <c r="C55" s="54" t="s">
        <v>17</v>
      </c>
      <c r="D55" s="14" t="s">
        <v>18</v>
      </c>
      <c r="E55" s="15" t="s">
        <v>95</v>
      </c>
      <c r="F55" s="16" t="s">
        <v>20</v>
      </c>
      <c r="G55" s="17">
        <v>8</v>
      </c>
      <c r="H55" s="59">
        <v>3413.8</v>
      </c>
      <c r="I55" s="60">
        <f t="shared" si="1"/>
        <v>27310.400000000001</v>
      </c>
    </row>
    <row r="56" spans="1:9" ht="28.5" customHeight="1">
      <c r="A56" s="61">
        <v>47</v>
      </c>
      <c r="B56" s="13" t="s">
        <v>96</v>
      </c>
      <c r="C56" s="54" t="s">
        <v>17</v>
      </c>
      <c r="D56" s="14" t="s">
        <v>18</v>
      </c>
      <c r="E56" s="15" t="s">
        <v>97</v>
      </c>
      <c r="F56" s="16" t="s">
        <v>20</v>
      </c>
      <c r="G56" s="17">
        <v>2</v>
      </c>
      <c r="H56" s="59">
        <v>71500</v>
      </c>
      <c r="I56" s="60">
        <f t="shared" si="1"/>
        <v>143000</v>
      </c>
    </row>
    <row r="57" spans="1:9" ht="28.5" customHeight="1">
      <c r="A57" s="61">
        <v>48</v>
      </c>
      <c r="B57" s="13" t="s">
        <v>96</v>
      </c>
      <c r="C57" s="54" t="s">
        <v>17</v>
      </c>
      <c r="D57" s="14" t="s">
        <v>18</v>
      </c>
      <c r="E57" s="15" t="s">
        <v>97</v>
      </c>
      <c r="F57" s="16" t="s">
        <v>20</v>
      </c>
      <c r="G57" s="17">
        <v>2</v>
      </c>
      <c r="H57" s="59">
        <v>71500</v>
      </c>
      <c r="I57" s="60">
        <f t="shared" si="1"/>
        <v>143000</v>
      </c>
    </row>
    <row r="58" spans="1:9" ht="28.5" customHeight="1">
      <c r="A58" s="61">
        <v>49</v>
      </c>
      <c r="B58" s="13" t="s">
        <v>98</v>
      </c>
      <c r="C58" s="54" t="s">
        <v>17</v>
      </c>
      <c r="D58" s="14" t="s">
        <v>18</v>
      </c>
      <c r="E58" s="15" t="s">
        <v>99</v>
      </c>
      <c r="F58" s="16" t="s">
        <v>20</v>
      </c>
      <c r="G58" s="17">
        <v>2</v>
      </c>
      <c r="H58" s="59">
        <v>156000</v>
      </c>
      <c r="I58" s="60">
        <f t="shared" si="1"/>
        <v>312000</v>
      </c>
    </row>
    <row r="59" spans="1:9" ht="28.5" customHeight="1">
      <c r="A59" s="61">
        <v>50</v>
      </c>
      <c r="B59" s="13" t="s">
        <v>98</v>
      </c>
      <c r="C59" s="54" t="s">
        <v>17</v>
      </c>
      <c r="D59" s="14" t="s">
        <v>18</v>
      </c>
      <c r="E59" s="15" t="s">
        <v>99</v>
      </c>
      <c r="F59" s="16" t="s">
        <v>20</v>
      </c>
      <c r="G59" s="17">
        <v>2</v>
      </c>
      <c r="H59" s="59">
        <v>156000</v>
      </c>
      <c r="I59" s="60">
        <f t="shared" si="1"/>
        <v>312000</v>
      </c>
    </row>
    <row r="60" spans="1:9" ht="28.5" customHeight="1">
      <c r="A60" s="61">
        <v>51</v>
      </c>
      <c r="B60" s="13" t="s">
        <v>100</v>
      </c>
      <c r="C60" s="54" t="s">
        <v>17</v>
      </c>
      <c r="D60" s="14" t="s">
        <v>18</v>
      </c>
      <c r="E60" s="15" t="s">
        <v>101</v>
      </c>
      <c r="F60" s="16" t="s">
        <v>20</v>
      </c>
      <c r="G60" s="17">
        <v>5</v>
      </c>
      <c r="H60" s="59">
        <v>16900</v>
      </c>
      <c r="I60" s="60">
        <f t="shared" si="1"/>
        <v>84500</v>
      </c>
    </row>
    <row r="61" spans="1:9" ht="28.5" customHeight="1">
      <c r="A61" s="61">
        <v>52</v>
      </c>
      <c r="B61" s="13" t="s">
        <v>102</v>
      </c>
      <c r="C61" s="54" t="s">
        <v>17</v>
      </c>
      <c r="D61" s="14" t="s">
        <v>18</v>
      </c>
      <c r="E61" s="15" t="s">
        <v>103</v>
      </c>
      <c r="F61" s="16" t="s">
        <v>20</v>
      </c>
      <c r="G61" s="17">
        <v>5</v>
      </c>
      <c r="H61" s="59">
        <v>44883.8</v>
      </c>
      <c r="I61" s="60">
        <f t="shared" si="1"/>
        <v>224419</v>
      </c>
    </row>
    <row r="62" spans="1:9" ht="28.5" customHeight="1">
      <c r="A62" s="61">
        <v>53</v>
      </c>
      <c r="B62" s="13" t="s">
        <v>104</v>
      </c>
      <c r="C62" s="54" t="s">
        <v>17</v>
      </c>
      <c r="D62" s="14" t="s">
        <v>18</v>
      </c>
      <c r="E62" s="15" t="s">
        <v>105</v>
      </c>
      <c r="F62" s="16" t="s">
        <v>20</v>
      </c>
      <c r="G62" s="17">
        <v>1</v>
      </c>
      <c r="H62" s="59">
        <v>15379</v>
      </c>
      <c r="I62" s="60">
        <f t="shared" si="1"/>
        <v>15379</v>
      </c>
    </row>
    <row r="63" spans="1:9" ht="28.5" customHeight="1">
      <c r="A63" s="61">
        <v>54</v>
      </c>
      <c r="B63" s="13" t="s">
        <v>106</v>
      </c>
      <c r="C63" s="54" t="s">
        <v>17</v>
      </c>
      <c r="D63" s="14" t="s">
        <v>18</v>
      </c>
      <c r="E63" s="15" t="s">
        <v>107</v>
      </c>
      <c r="F63" s="16" t="s">
        <v>20</v>
      </c>
      <c r="G63" s="17">
        <v>8</v>
      </c>
      <c r="H63" s="59">
        <v>19900</v>
      </c>
      <c r="I63" s="60">
        <f t="shared" si="1"/>
        <v>159200</v>
      </c>
    </row>
    <row r="64" spans="1:9" ht="28.5" customHeight="1">
      <c r="A64" s="61">
        <v>55</v>
      </c>
      <c r="B64" s="13" t="s">
        <v>108</v>
      </c>
      <c r="C64" s="54" t="s">
        <v>17</v>
      </c>
      <c r="D64" s="14" t="s">
        <v>18</v>
      </c>
      <c r="E64" s="15" t="s">
        <v>109</v>
      </c>
      <c r="F64" s="16" t="s">
        <v>20</v>
      </c>
      <c r="G64" s="17">
        <v>8</v>
      </c>
      <c r="H64" s="59">
        <v>15600</v>
      </c>
      <c r="I64" s="60">
        <f t="shared" si="1"/>
        <v>124800</v>
      </c>
    </row>
    <row r="65" spans="1:9" ht="28.5" customHeight="1">
      <c r="A65" s="61">
        <v>56</v>
      </c>
      <c r="B65" s="13" t="s">
        <v>110</v>
      </c>
      <c r="C65" s="54" t="s">
        <v>17</v>
      </c>
      <c r="D65" s="14" t="s">
        <v>18</v>
      </c>
      <c r="E65" s="15" t="s">
        <v>111</v>
      </c>
      <c r="F65" s="16" t="s">
        <v>20</v>
      </c>
      <c r="G65" s="17">
        <v>5</v>
      </c>
      <c r="H65" s="59">
        <v>7800</v>
      </c>
      <c r="I65" s="60">
        <f t="shared" si="1"/>
        <v>39000</v>
      </c>
    </row>
    <row r="66" spans="1:9" ht="28.5" customHeight="1">
      <c r="A66" s="61">
        <v>57</v>
      </c>
      <c r="B66" s="13" t="s">
        <v>112</v>
      </c>
      <c r="C66" s="54" t="s">
        <v>17</v>
      </c>
      <c r="D66" s="14" t="s">
        <v>18</v>
      </c>
      <c r="E66" s="15" t="s">
        <v>113</v>
      </c>
      <c r="F66" s="16" t="s">
        <v>20</v>
      </c>
      <c r="G66" s="17">
        <v>6</v>
      </c>
      <c r="H66" s="59">
        <v>7351.5</v>
      </c>
      <c r="I66" s="60">
        <f t="shared" si="1"/>
        <v>44109</v>
      </c>
    </row>
    <row r="67" spans="1:9" ht="28.5" customHeight="1">
      <c r="A67" s="61">
        <v>58</v>
      </c>
      <c r="B67" s="13" t="s">
        <v>114</v>
      </c>
      <c r="C67" s="54" t="s">
        <v>17</v>
      </c>
      <c r="D67" s="14" t="s">
        <v>18</v>
      </c>
      <c r="E67" s="15" t="s">
        <v>115</v>
      </c>
      <c r="F67" s="16" t="s">
        <v>20</v>
      </c>
      <c r="G67" s="17">
        <v>5</v>
      </c>
      <c r="H67" s="59">
        <v>3250</v>
      </c>
      <c r="I67" s="60">
        <f t="shared" si="1"/>
        <v>16250</v>
      </c>
    </row>
    <row r="68" spans="1:9" ht="28.5" customHeight="1">
      <c r="A68" s="61">
        <v>59</v>
      </c>
      <c r="B68" s="13" t="s">
        <v>116</v>
      </c>
      <c r="C68" s="54" t="s">
        <v>17</v>
      </c>
      <c r="D68" s="14" t="s">
        <v>18</v>
      </c>
      <c r="E68" s="15" t="s">
        <v>117</v>
      </c>
      <c r="F68" s="16" t="s">
        <v>20</v>
      </c>
      <c r="G68" s="17">
        <v>4</v>
      </c>
      <c r="H68" s="59">
        <v>5577</v>
      </c>
      <c r="I68" s="60">
        <f t="shared" si="1"/>
        <v>22308</v>
      </c>
    </row>
    <row r="69" spans="1:9" ht="28.5" customHeight="1">
      <c r="A69" s="61">
        <v>60</v>
      </c>
      <c r="B69" s="68" t="s">
        <v>118</v>
      </c>
      <c r="C69" s="54" t="s">
        <v>17</v>
      </c>
      <c r="D69" s="14" t="s">
        <v>18</v>
      </c>
      <c r="E69" s="15" t="s">
        <v>119</v>
      </c>
      <c r="F69" s="16" t="s">
        <v>20</v>
      </c>
      <c r="G69" s="17">
        <v>4</v>
      </c>
      <c r="H69" s="59">
        <v>3900</v>
      </c>
      <c r="I69" s="60">
        <f t="shared" ref="I69:I98" si="2">G69*H69</f>
        <v>15600</v>
      </c>
    </row>
    <row r="70" spans="1:9" ht="28.5" customHeight="1">
      <c r="A70" s="61">
        <v>61</v>
      </c>
      <c r="B70" s="13" t="s">
        <v>120</v>
      </c>
      <c r="C70" s="54" t="s">
        <v>17</v>
      </c>
      <c r="D70" s="14" t="s">
        <v>18</v>
      </c>
      <c r="E70" s="15" t="s">
        <v>121</v>
      </c>
      <c r="F70" s="16" t="s">
        <v>20</v>
      </c>
      <c r="G70" s="17">
        <v>4</v>
      </c>
      <c r="H70" s="59">
        <v>5610.8</v>
      </c>
      <c r="I70" s="60">
        <f t="shared" si="2"/>
        <v>22443.200000000001</v>
      </c>
    </row>
    <row r="71" spans="1:9" ht="28.5" customHeight="1">
      <c r="A71" s="61">
        <v>62</v>
      </c>
      <c r="B71" s="13" t="s">
        <v>122</v>
      </c>
      <c r="C71" s="54" t="s">
        <v>17</v>
      </c>
      <c r="D71" s="14" t="s">
        <v>18</v>
      </c>
      <c r="E71" s="15" t="s">
        <v>123</v>
      </c>
      <c r="F71" s="16" t="s">
        <v>20</v>
      </c>
      <c r="G71" s="17">
        <v>5</v>
      </c>
      <c r="H71" s="59">
        <v>7267</v>
      </c>
      <c r="I71" s="60">
        <f t="shared" si="2"/>
        <v>36335</v>
      </c>
    </row>
    <row r="72" spans="1:9" ht="28.5" customHeight="1">
      <c r="A72" s="61">
        <v>63</v>
      </c>
      <c r="B72" s="13" t="s">
        <v>124</v>
      </c>
      <c r="C72" s="54" t="s">
        <v>17</v>
      </c>
      <c r="D72" s="14" t="s">
        <v>18</v>
      </c>
      <c r="E72" s="15" t="s">
        <v>125</v>
      </c>
      <c r="F72" s="16" t="s">
        <v>20</v>
      </c>
      <c r="G72" s="17">
        <v>2</v>
      </c>
      <c r="H72" s="59">
        <v>17914</v>
      </c>
      <c r="I72" s="60">
        <f t="shared" si="2"/>
        <v>35828</v>
      </c>
    </row>
    <row r="73" spans="1:9" ht="28.5" customHeight="1">
      <c r="A73" s="61">
        <v>64</v>
      </c>
      <c r="B73" s="13" t="s">
        <v>126</v>
      </c>
      <c r="C73" s="54" t="s">
        <v>17</v>
      </c>
      <c r="D73" s="14" t="s">
        <v>18</v>
      </c>
      <c r="E73" s="15" t="s">
        <v>127</v>
      </c>
      <c r="F73" s="16" t="s">
        <v>20</v>
      </c>
      <c r="G73" s="17">
        <v>6</v>
      </c>
      <c r="H73" s="59">
        <v>780</v>
      </c>
      <c r="I73" s="60">
        <f t="shared" si="2"/>
        <v>4680</v>
      </c>
    </row>
    <row r="74" spans="1:9" ht="28.5" customHeight="1">
      <c r="A74" s="61">
        <v>65</v>
      </c>
      <c r="B74" s="13" t="s">
        <v>128</v>
      </c>
      <c r="C74" s="54" t="s">
        <v>17</v>
      </c>
      <c r="D74" s="14" t="s">
        <v>18</v>
      </c>
      <c r="E74" s="15" t="s">
        <v>129</v>
      </c>
      <c r="F74" s="16" t="s">
        <v>20</v>
      </c>
      <c r="G74" s="17">
        <v>8</v>
      </c>
      <c r="H74" s="59">
        <v>26000</v>
      </c>
      <c r="I74" s="60">
        <f t="shared" si="2"/>
        <v>208000</v>
      </c>
    </row>
    <row r="75" spans="1:9" ht="28.5" customHeight="1">
      <c r="A75" s="61">
        <v>66</v>
      </c>
      <c r="B75" s="13" t="s">
        <v>130</v>
      </c>
      <c r="C75" s="54" t="s">
        <v>17</v>
      </c>
      <c r="D75" s="14" t="s">
        <v>18</v>
      </c>
      <c r="E75" s="15" t="s">
        <v>131</v>
      </c>
      <c r="F75" s="16" t="s">
        <v>20</v>
      </c>
      <c r="G75" s="17">
        <v>10</v>
      </c>
      <c r="H75" s="59">
        <v>2966.6</v>
      </c>
      <c r="I75" s="60">
        <f t="shared" si="2"/>
        <v>29666</v>
      </c>
    </row>
    <row r="76" spans="1:9" ht="28.5" customHeight="1">
      <c r="A76" s="61">
        <v>67</v>
      </c>
      <c r="B76" s="13" t="s">
        <v>132</v>
      </c>
      <c r="C76" s="54" t="s">
        <v>17</v>
      </c>
      <c r="D76" s="14" t="s">
        <v>18</v>
      </c>
      <c r="E76" s="15" t="s">
        <v>133</v>
      </c>
      <c r="F76" s="16" t="s">
        <v>20</v>
      </c>
      <c r="G76" s="17">
        <v>10</v>
      </c>
      <c r="H76" s="59">
        <v>1605.5</v>
      </c>
      <c r="I76" s="60">
        <f t="shared" si="2"/>
        <v>16055</v>
      </c>
    </row>
    <row r="77" spans="1:9" ht="28.5" customHeight="1">
      <c r="A77" s="61">
        <v>68</v>
      </c>
      <c r="B77" s="13" t="s">
        <v>134</v>
      </c>
      <c r="C77" s="54" t="s">
        <v>17</v>
      </c>
      <c r="D77" s="14" t="s">
        <v>18</v>
      </c>
      <c r="E77" s="15" t="s">
        <v>135</v>
      </c>
      <c r="F77" s="16" t="s">
        <v>20</v>
      </c>
      <c r="G77" s="17">
        <v>6</v>
      </c>
      <c r="H77" s="59">
        <v>10400</v>
      </c>
      <c r="I77" s="60">
        <f t="shared" si="2"/>
        <v>62400</v>
      </c>
    </row>
    <row r="78" spans="1:9" ht="28.5" customHeight="1">
      <c r="A78" s="61">
        <v>69</v>
      </c>
      <c r="B78" s="13" t="s">
        <v>134</v>
      </c>
      <c r="C78" s="54" t="s">
        <v>17</v>
      </c>
      <c r="D78" s="14" t="s">
        <v>18</v>
      </c>
      <c r="E78" s="15" t="s">
        <v>135</v>
      </c>
      <c r="F78" s="16" t="s">
        <v>20</v>
      </c>
      <c r="G78" s="17">
        <v>3</v>
      </c>
      <c r="H78" s="59">
        <v>10400</v>
      </c>
      <c r="I78" s="60">
        <f t="shared" si="2"/>
        <v>31200</v>
      </c>
    </row>
    <row r="79" spans="1:9" ht="28.5" customHeight="1">
      <c r="A79" s="61">
        <v>70</v>
      </c>
      <c r="B79" s="13" t="s">
        <v>136</v>
      </c>
      <c r="C79" s="54" t="s">
        <v>17</v>
      </c>
      <c r="D79" s="14" t="s">
        <v>18</v>
      </c>
      <c r="E79" s="15" t="s">
        <v>137</v>
      </c>
      <c r="F79" s="16" t="s">
        <v>20</v>
      </c>
      <c r="G79" s="17">
        <v>6</v>
      </c>
      <c r="H79" s="59">
        <v>5200</v>
      </c>
      <c r="I79" s="60">
        <f t="shared" si="2"/>
        <v>31200</v>
      </c>
    </row>
    <row r="80" spans="1:9" ht="28.5" customHeight="1">
      <c r="A80" s="61">
        <v>71</v>
      </c>
      <c r="B80" s="13" t="s">
        <v>136</v>
      </c>
      <c r="C80" s="54" t="s">
        <v>17</v>
      </c>
      <c r="D80" s="14" t="s">
        <v>18</v>
      </c>
      <c r="E80" s="15" t="s">
        <v>137</v>
      </c>
      <c r="F80" s="16" t="s">
        <v>20</v>
      </c>
      <c r="G80" s="17">
        <v>3</v>
      </c>
      <c r="H80" s="59">
        <v>5200</v>
      </c>
      <c r="I80" s="60">
        <f t="shared" si="2"/>
        <v>15600</v>
      </c>
    </row>
    <row r="81" spans="1:9" ht="28.5" customHeight="1">
      <c r="A81" s="61">
        <v>72</v>
      </c>
      <c r="B81" s="13" t="s">
        <v>138</v>
      </c>
      <c r="C81" s="54" t="s">
        <v>17</v>
      </c>
      <c r="D81" s="14" t="s">
        <v>18</v>
      </c>
      <c r="E81" s="15" t="s">
        <v>139</v>
      </c>
      <c r="F81" s="16" t="s">
        <v>20</v>
      </c>
      <c r="G81" s="17">
        <v>6</v>
      </c>
      <c r="H81" s="59">
        <v>4444.7</v>
      </c>
      <c r="I81" s="60">
        <f t="shared" si="2"/>
        <v>26668.199999999997</v>
      </c>
    </row>
    <row r="82" spans="1:9" ht="28.5" customHeight="1">
      <c r="A82" s="61">
        <v>73</v>
      </c>
      <c r="B82" s="13" t="s">
        <v>138</v>
      </c>
      <c r="C82" s="54" t="s">
        <v>17</v>
      </c>
      <c r="D82" s="14" t="s">
        <v>18</v>
      </c>
      <c r="E82" s="15" t="s">
        <v>139</v>
      </c>
      <c r="F82" s="16" t="s">
        <v>20</v>
      </c>
      <c r="G82" s="17">
        <v>3</v>
      </c>
      <c r="H82" s="59">
        <v>4444.7</v>
      </c>
      <c r="I82" s="60">
        <f t="shared" si="2"/>
        <v>13334.099999999999</v>
      </c>
    </row>
    <row r="83" spans="1:9" ht="28.5" customHeight="1">
      <c r="A83" s="61">
        <v>74</v>
      </c>
      <c r="B83" s="13" t="s">
        <v>140</v>
      </c>
      <c r="C83" s="54" t="s">
        <v>17</v>
      </c>
      <c r="D83" s="14" t="s">
        <v>18</v>
      </c>
      <c r="E83" s="15" t="s">
        <v>141</v>
      </c>
      <c r="F83" s="16" t="s">
        <v>20</v>
      </c>
      <c r="G83" s="17">
        <v>10</v>
      </c>
      <c r="H83" s="59">
        <v>794.3</v>
      </c>
      <c r="I83" s="60">
        <f t="shared" si="2"/>
        <v>7943</v>
      </c>
    </row>
    <row r="84" spans="1:9" ht="28.5" customHeight="1">
      <c r="A84" s="61">
        <v>75</v>
      </c>
      <c r="B84" s="13" t="s">
        <v>128</v>
      </c>
      <c r="C84" s="54" t="s">
        <v>17</v>
      </c>
      <c r="D84" s="14" t="s">
        <v>18</v>
      </c>
      <c r="E84" s="15" t="s">
        <v>129</v>
      </c>
      <c r="F84" s="16" t="s">
        <v>20</v>
      </c>
      <c r="G84" s="17">
        <v>8</v>
      </c>
      <c r="H84" s="59">
        <v>14300</v>
      </c>
      <c r="I84" s="60">
        <f t="shared" si="2"/>
        <v>114400</v>
      </c>
    </row>
    <row r="85" spans="1:9" ht="28.5" customHeight="1">
      <c r="A85" s="61">
        <v>76</v>
      </c>
      <c r="B85" s="13" t="s">
        <v>80</v>
      </c>
      <c r="C85" s="54" t="s">
        <v>17</v>
      </c>
      <c r="D85" s="14" t="s">
        <v>18</v>
      </c>
      <c r="E85" s="15" t="s">
        <v>81</v>
      </c>
      <c r="F85" s="16" t="s">
        <v>142</v>
      </c>
      <c r="G85" s="17">
        <v>3</v>
      </c>
      <c r="H85" s="59">
        <v>24500</v>
      </c>
      <c r="I85" s="60">
        <f t="shared" si="2"/>
        <v>73500</v>
      </c>
    </row>
    <row r="86" spans="1:9" ht="28.5" customHeight="1">
      <c r="A86" s="61">
        <v>77</v>
      </c>
      <c r="B86" s="13" t="s">
        <v>41</v>
      </c>
      <c r="C86" s="54" t="s">
        <v>17</v>
      </c>
      <c r="D86" s="14" t="s">
        <v>18</v>
      </c>
      <c r="E86" s="15" t="s">
        <v>42</v>
      </c>
      <c r="F86" s="16" t="s">
        <v>20</v>
      </c>
      <c r="G86" s="17">
        <v>15</v>
      </c>
      <c r="H86" s="59">
        <v>9405.5</v>
      </c>
      <c r="I86" s="60">
        <f t="shared" si="2"/>
        <v>141082.5</v>
      </c>
    </row>
    <row r="87" spans="1:9" ht="28.5" customHeight="1">
      <c r="A87" s="61">
        <v>78</v>
      </c>
      <c r="B87" s="13" t="s">
        <v>143</v>
      </c>
      <c r="C87" s="54" t="s">
        <v>17</v>
      </c>
      <c r="D87" s="14" t="s">
        <v>18</v>
      </c>
      <c r="E87" s="15" t="s">
        <v>144</v>
      </c>
      <c r="F87" s="16" t="s">
        <v>20</v>
      </c>
      <c r="G87" s="17">
        <v>2</v>
      </c>
      <c r="H87" s="59">
        <v>26533</v>
      </c>
      <c r="I87" s="60">
        <f t="shared" si="2"/>
        <v>53066</v>
      </c>
    </row>
    <row r="88" spans="1:9" ht="28.5" customHeight="1">
      <c r="A88" s="61">
        <v>79</v>
      </c>
      <c r="B88" s="13" t="s">
        <v>145</v>
      </c>
      <c r="C88" s="54" t="s">
        <v>17</v>
      </c>
      <c r="D88" s="14" t="s">
        <v>18</v>
      </c>
      <c r="E88" s="15" t="s">
        <v>146</v>
      </c>
      <c r="F88" s="16" t="s">
        <v>20</v>
      </c>
      <c r="G88" s="17">
        <v>2</v>
      </c>
      <c r="H88" s="59">
        <v>19266</v>
      </c>
      <c r="I88" s="60">
        <f t="shared" si="2"/>
        <v>38532</v>
      </c>
    </row>
    <row r="89" spans="1:9" ht="28.5" customHeight="1">
      <c r="A89" s="61">
        <v>80</v>
      </c>
      <c r="B89" s="13" t="s">
        <v>147</v>
      </c>
      <c r="C89" s="54" t="s">
        <v>17</v>
      </c>
      <c r="D89" s="14" t="s">
        <v>18</v>
      </c>
      <c r="E89" s="15" t="s">
        <v>148</v>
      </c>
      <c r="F89" s="16" t="s">
        <v>20</v>
      </c>
      <c r="G89" s="17">
        <v>3</v>
      </c>
      <c r="H89" s="59">
        <v>14027</v>
      </c>
      <c r="I89" s="60">
        <f t="shared" si="2"/>
        <v>42081</v>
      </c>
    </row>
    <row r="90" spans="1:9" ht="28.5" customHeight="1">
      <c r="A90" s="61">
        <v>81</v>
      </c>
      <c r="B90" s="13" t="s">
        <v>147</v>
      </c>
      <c r="C90" s="54" t="s">
        <v>17</v>
      </c>
      <c r="D90" s="14" t="s">
        <v>18</v>
      </c>
      <c r="E90" s="15" t="s">
        <v>148</v>
      </c>
      <c r="F90" s="16" t="s">
        <v>20</v>
      </c>
      <c r="G90" s="17">
        <v>3</v>
      </c>
      <c r="H90" s="59">
        <v>14027</v>
      </c>
      <c r="I90" s="60">
        <f t="shared" si="2"/>
        <v>42081</v>
      </c>
    </row>
    <row r="91" spans="1:9" ht="28.5" customHeight="1">
      <c r="A91" s="61">
        <v>82</v>
      </c>
      <c r="B91" s="13" t="s">
        <v>149</v>
      </c>
      <c r="C91" s="54" t="s">
        <v>17</v>
      </c>
      <c r="D91" s="14" t="s">
        <v>18</v>
      </c>
      <c r="E91" s="15" t="s">
        <v>150</v>
      </c>
      <c r="F91" s="16" t="s">
        <v>20</v>
      </c>
      <c r="G91" s="17">
        <v>3</v>
      </c>
      <c r="H91" s="59">
        <v>24369.8</v>
      </c>
      <c r="I91" s="60">
        <f t="shared" si="2"/>
        <v>73109.399999999994</v>
      </c>
    </row>
    <row r="92" spans="1:9" ht="28.5" customHeight="1">
      <c r="A92" s="61">
        <v>83</v>
      </c>
      <c r="B92" s="13" t="s">
        <v>149</v>
      </c>
      <c r="C92" s="54" t="s">
        <v>17</v>
      </c>
      <c r="D92" s="14" t="s">
        <v>18</v>
      </c>
      <c r="E92" s="15" t="s">
        <v>150</v>
      </c>
      <c r="F92" s="16" t="s">
        <v>20</v>
      </c>
      <c r="G92" s="17">
        <v>3</v>
      </c>
      <c r="H92" s="59">
        <v>24369.8</v>
      </c>
      <c r="I92" s="60">
        <f t="shared" si="2"/>
        <v>73109.399999999994</v>
      </c>
    </row>
    <row r="93" spans="1:9" ht="28.5" customHeight="1">
      <c r="A93" s="61">
        <v>84</v>
      </c>
      <c r="B93" s="13" t="s">
        <v>151</v>
      </c>
      <c r="C93" s="54" t="s">
        <v>17</v>
      </c>
      <c r="D93" s="14" t="s">
        <v>18</v>
      </c>
      <c r="E93" s="15" t="s">
        <v>152</v>
      </c>
      <c r="F93" s="16" t="s">
        <v>20</v>
      </c>
      <c r="G93" s="17">
        <v>4</v>
      </c>
      <c r="H93" s="59">
        <v>29913</v>
      </c>
      <c r="I93" s="60">
        <f t="shared" si="2"/>
        <v>119652</v>
      </c>
    </row>
    <row r="94" spans="1:9" ht="28.5" customHeight="1">
      <c r="A94" s="61">
        <v>85</v>
      </c>
      <c r="B94" s="13" t="s">
        <v>151</v>
      </c>
      <c r="C94" s="54" t="s">
        <v>17</v>
      </c>
      <c r="D94" s="14" t="s">
        <v>18</v>
      </c>
      <c r="E94" s="15" t="s">
        <v>152</v>
      </c>
      <c r="F94" s="16" t="s">
        <v>20</v>
      </c>
      <c r="G94" s="17">
        <v>4</v>
      </c>
      <c r="H94" s="59">
        <v>29913</v>
      </c>
      <c r="I94" s="60">
        <f t="shared" si="2"/>
        <v>119652</v>
      </c>
    </row>
    <row r="95" spans="1:9" ht="28.5" customHeight="1">
      <c r="A95" s="61">
        <v>86</v>
      </c>
      <c r="B95" s="13" t="s">
        <v>153</v>
      </c>
      <c r="C95" s="54" t="s">
        <v>17</v>
      </c>
      <c r="D95" s="14" t="s">
        <v>18</v>
      </c>
      <c r="E95" s="15" t="s">
        <v>154</v>
      </c>
      <c r="F95" s="16" t="s">
        <v>20</v>
      </c>
      <c r="G95" s="17">
        <v>4</v>
      </c>
      <c r="H95" s="59">
        <v>58500</v>
      </c>
      <c r="I95" s="60">
        <f t="shared" si="2"/>
        <v>234000</v>
      </c>
    </row>
    <row r="96" spans="1:9" ht="28.5" customHeight="1">
      <c r="A96" s="61">
        <v>87</v>
      </c>
      <c r="B96" s="13" t="s">
        <v>153</v>
      </c>
      <c r="C96" s="54" t="s">
        <v>17</v>
      </c>
      <c r="D96" s="14" t="s">
        <v>18</v>
      </c>
      <c r="E96" s="15" t="s">
        <v>154</v>
      </c>
      <c r="F96" s="16" t="s">
        <v>20</v>
      </c>
      <c r="G96" s="17">
        <v>4</v>
      </c>
      <c r="H96" s="59">
        <v>58500</v>
      </c>
      <c r="I96" s="60">
        <f t="shared" si="2"/>
        <v>234000</v>
      </c>
    </row>
    <row r="97" spans="1:9" ht="28.5" customHeight="1">
      <c r="A97" s="61">
        <v>88</v>
      </c>
      <c r="B97" s="13" t="s">
        <v>155</v>
      </c>
      <c r="C97" s="54" t="s">
        <v>17</v>
      </c>
      <c r="D97" s="14" t="s">
        <v>18</v>
      </c>
      <c r="E97" s="15" t="s">
        <v>156</v>
      </c>
      <c r="F97" s="16" t="s">
        <v>20</v>
      </c>
      <c r="G97" s="17">
        <v>8</v>
      </c>
      <c r="H97" s="59">
        <v>9100</v>
      </c>
      <c r="I97" s="60">
        <f t="shared" si="2"/>
        <v>72800</v>
      </c>
    </row>
    <row r="98" spans="1:9" ht="28.5" customHeight="1">
      <c r="A98" s="61">
        <v>89</v>
      </c>
      <c r="B98" s="13" t="s">
        <v>157</v>
      </c>
      <c r="C98" s="54" t="s">
        <v>17</v>
      </c>
      <c r="D98" s="14" t="s">
        <v>18</v>
      </c>
      <c r="E98" s="15" t="s">
        <v>158</v>
      </c>
      <c r="F98" s="16" t="s">
        <v>20</v>
      </c>
      <c r="G98" s="17">
        <v>5</v>
      </c>
      <c r="H98" s="59">
        <v>19500</v>
      </c>
      <c r="I98" s="60">
        <f t="shared" si="2"/>
        <v>97500</v>
      </c>
    </row>
    <row r="99" spans="1:9" ht="28.5" customHeight="1">
      <c r="A99" s="61">
        <v>90</v>
      </c>
      <c r="B99" s="13" t="s">
        <v>159</v>
      </c>
      <c r="C99" s="54" t="s">
        <v>17</v>
      </c>
      <c r="D99" s="14" t="s">
        <v>18</v>
      </c>
      <c r="E99" s="15" t="s">
        <v>160</v>
      </c>
      <c r="F99" s="16" t="s">
        <v>20</v>
      </c>
      <c r="G99" s="17">
        <v>3</v>
      </c>
      <c r="H99" s="59">
        <v>30000</v>
      </c>
      <c r="I99" s="60">
        <f t="shared" ref="I99" si="3">G99*H99</f>
        <v>90000</v>
      </c>
    </row>
    <row r="100" spans="1:9" ht="28.5" customHeight="1">
      <c r="A100" s="61">
        <v>91</v>
      </c>
      <c r="B100" s="13" t="s">
        <v>161</v>
      </c>
      <c r="C100" s="54" t="s">
        <v>17</v>
      </c>
      <c r="D100" s="14" t="s">
        <v>18</v>
      </c>
      <c r="E100" s="15" t="s">
        <v>162</v>
      </c>
      <c r="F100" s="16" t="s">
        <v>20</v>
      </c>
      <c r="G100" s="17">
        <v>3</v>
      </c>
      <c r="H100" s="59">
        <v>49000</v>
      </c>
      <c r="I100" s="60">
        <f t="shared" ref="I100:I101" si="4">G100*H100</f>
        <v>147000</v>
      </c>
    </row>
    <row r="101" spans="1:9" ht="28.5" customHeight="1">
      <c r="A101" s="61">
        <v>92</v>
      </c>
      <c r="B101" s="13" t="s">
        <v>163</v>
      </c>
      <c r="C101" s="54" t="s">
        <v>17</v>
      </c>
      <c r="D101" s="14" t="s">
        <v>18</v>
      </c>
      <c r="E101" s="15" t="s">
        <v>164</v>
      </c>
      <c r="F101" s="16" t="s">
        <v>20</v>
      </c>
      <c r="G101" s="17">
        <v>5</v>
      </c>
      <c r="H101" s="59">
        <v>140000</v>
      </c>
      <c r="I101" s="60">
        <f t="shared" si="4"/>
        <v>700000</v>
      </c>
    </row>
    <row r="102" spans="1:9" ht="28.5" customHeight="1">
      <c r="A102" s="61">
        <v>93</v>
      </c>
      <c r="B102" s="13" t="s">
        <v>165</v>
      </c>
      <c r="C102" s="54" t="s">
        <v>17</v>
      </c>
      <c r="D102" s="14" t="s">
        <v>18</v>
      </c>
      <c r="E102" s="15" t="s">
        <v>166</v>
      </c>
      <c r="F102" s="16" t="s">
        <v>20</v>
      </c>
      <c r="G102" s="17">
        <v>3</v>
      </c>
      <c r="H102" s="59">
        <v>32000</v>
      </c>
      <c r="I102" s="60">
        <f t="shared" ref="I102:I103" si="5">G102*H102</f>
        <v>96000</v>
      </c>
    </row>
    <row r="103" spans="1:9" ht="28.5" customHeight="1">
      <c r="A103" s="61">
        <v>94</v>
      </c>
      <c r="B103" s="13" t="s">
        <v>167</v>
      </c>
      <c r="C103" s="54" t="s">
        <v>17</v>
      </c>
      <c r="D103" s="14" t="s">
        <v>18</v>
      </c>
      <c r="E103" s="15" t="s">
        <v>168</v>
      </c>
      <c r="F103" s="16" t="s">
        <v>20</v>
      </c>
      <c r="G103" s="17">
        <v>3</v>
      </c>
      <c r="H103" s="59">
        <v>45000</v>
      </c>
      <c r="I103" s="60">
        <f t="shared" si="5"/>
        <v>135000</v>
      </c>
    </row>
    <row r="104" spans="1:9" ht="28.5" customHeight="1">
      <c r="A104" s="61">
        <v>95</v>
      </c>
      <c r="B104" s="13" t="s">
        <v>169</v>
      </c>
      <c r="C104" s="54" t="s">
        <v>17</v>
      </c>
      <c r="D104" s="14" t="s">
        <v>18</v>
      </c>
      <c r="E104" s="15" t="s">
        <v>170</v>
      </c>
      <c r="F104" s="16" t="s">
        <v>20</v>
      </c>
      <c r="G104" s="17">
        <v>6</v>
      </c>
      <c r="H104" s="59">
        <v>20000</v>
      </c>
      <c r="I104" s="60">
        <f t="shared" ref="I104:I106" si="6">G104*H104</f>
        <v>120000</v>
      </c>
    </row>
    <row r="105" spans="1:9" ht="28.5" customHeight="1">
      <c r="A105" s="61">
        <v>96</v>
      </c>
      <c r="B105" s="13" t="s">
        <v>171</v>
      </c>
      <c r="C105" s="54" t="s">
        <v>17</v>
      </c>
      <c r="D105" s="14" t="s">
        <v>18</v>
      </c>
      <c r="E105" s="15" t="s">
        <v>172</v>
      </c>
      <c r="F105" s="16" t="s">
        <v>20</v>
      </c>
      <c r="G105" s="17">
        <v>6</v>
      </c>
      <c r="H105" s="59">
        <v>15000</v>
      </c>
      <c r="I105" s="60">
        <f t="shared" si="6"/>
        <v>90000</v>
      </c>
    </row>
    <row r="106" spans="1:9" ht="28.5" customHeight="1">
      <c r="A106" s="61">
        <v>97</v>
      </c>
      <c r="B106" s="13" t="s">
        <v>173</v>
      </c>
      <c r="C106" s="54" t="s">
        <v>17</v>
      </c>
      <c r="D106" s="14" t="s">
        <v>18</v>
      </c>
      <c r="E106" s="15" t="s">
        <v>174</v>
      </c>
      <c r="F106" s="16" t="s">
        <v>20</v>
      </c>
      <c r="G106" s="17">
        <v>4</v>
      </c>
      <c r="H106" s="59">
        <v>10500</v>
      </c>
      <c r="I106" s="60">
        <f t="shared" si="6"/>
        <v>42000</v>
      </c>
    </row>
    <row r="107" spans="1:9" ht="28.5" customHeight="1">
      <c r="A107" s="61">
        <v>98</v>
      </c>
      <c r="B107" s="13" t="s">
        <v>175</v>
      </c>
      <c r="C107" s="54" t="s">
        <v>17</v>
      </c>
      <c r="D107" s="14" t="s">
        <v>18</v>
      </c>
      <c r="E107" s="15" t="s">
        <v>176</v>
      </c>
      <c r="F107" s="16" t="s">
        <v>20</v>
      </c>
      <c r="G107" s="17">
        <v>12</v>
      </c>
      <c r="H107" s="59">
        <v>3000</v>
      </c>
      <c r="I107" s="60">
        <f t="shared" ref="I107" si="7">G107*H107</f>
        <v>36000</v>
      </c>
    </row>
    <row r="108" spans="1:9" ht="28.5" customHeight="1">
      <c r="A108" s="61">
        <v>99</v>
      </c>
      <c r="B108" s="13" t="s">
        <v>177</v>
      </c>
      <c r="C108" s="54" t="s">
        <v>17</v>
      </c>
      <c r="D108" s="14" t="s">
        <v>18</v>
      </c>
      <c r="E108" s="15" t="s">
        <v>178</v>
      </c>
      <c r="F108" s="16" t="s">
        <v>20</v>
      </c>
      <c r="G108" s="17">
        <v>6</v>
      </c>
      <c r="H108" s="59">
        <v>11000</v>
      </c>
      <c r="I108" s="60">
        <f t="shared" ref="I108:I113" si="8">G108*H108</f>
        <v>66000</v>
      </c>
    </row>
    <row r="109" spans="1:9" ht="28.5" customHeight="1">
      <c r="A109" s="61">
        <v>100</v>
      </c>
      <c r="B109" s="13" t="s">
        <v>179</v>
      </c>
      <c r="C109" s="54" t="s">
        <v>17</v>
      </c>
      <c r="D109" s="14" t="s">
        <v>18</v>
      </c>
      <c r="E109" s="15" t="s">
        <v>180</v>
      </c>
      <c r="F109" s="16" t="s">
        <v>20</v>
      </c>
      <c r="G109" s="17">
        <v>2</v>
      </c>
      <c r="H109" s="59">
        <v>23000</v>
      </c>
      <c r="I109" s="60">
        <f t="shared" si="8"/>
        <v>46000</v>
      </c>
    </row>
    <row r="110" spans="1:9" ht="28.5" customHeight="1">
      <c r="A110" s="61">
        <v>101</v>
      </c>
      <c r="B110" s="13" t="s">
        <v>181</v>
      </c>
      <c r="C110" s="54" t="s">
        <v>17</v>
      </c>
      <c r="D110" s="14" t="s">
        <v>18</v>
      </c>
      <c r="E110" s="15" t="s">
        <v>182</v>
      </c>
      <c r="F110" s="16" t="s">
        <v>20</v>
      </c>
      <c r="G110" s="17">
        <v>2</v>
      </c>
      <c r="H110" s="59">
        <v>25000</v>
      </c>
      <c r="I110" s="60">
        <f t="shared" si="8"/>
        <v>50000</v>
      </c>
    </row>
    <row r="111" spans="1:9" ht="28.5" customHeight="1">
      <c r="A111" s="61">
        <v>102</v>
      </c>
      <c r="B111" s="13" t="s">
        <v>106</v>
      </c>
      <c r="C111" s="54" t="s">
        <v>17</v>
      </c>
      <c r="D111" s="14" t="s">
        <v>18</v>
      </c>
      <c r="E111" s="15" t="s">
        <v>107</v>
      </c>
      <c r="F111" s="16" t="s">
        <v>20</v>
      </c>
      <c r="G111" s="17">
        <v>3</v>
      </c>
      <c r="H111" s="59">
        <v>20000</v>
      </c>
      <c r="I111" s="60">
        <f t="shared" si="8"/>
        <v>60000</v>
      </c>
    </row>
    <row r="112" spans="1:9" ht="28.5" customHeight="1">
      <c r="A112" s="61">
        <v>103</v>
      </c>
      <c r="B112" s="13" t="s">
        <v>60</v>
      </c>
      <c r="C112" s="54" t="s">
        <v>17</v>
      </c>
      <c r="D112" s="14" t="s">
        <v>18</v>
      </c>
      <c r="E112" s="15" t="s">
        <v>61</v>
      </c>
      <c r="F112" s="16" t="s">
        <v>20</v>
      </c>
      <c r="G112" s="17">
        <v>2</v>
      </c>
      <c r="H112" s="59">
        <v>70000</v>
      </c>
      <c r="I112" s="60">
        <f t="shared" si="8"/>
        <v>140000</v>
      </c>
    </row>
    <row r="113" spans="1:9" ht="28.5" customHeight="1">
      <c r="A113" s="61">
        <v>104</v>
      </c>
      <c r="B113" s="13" t="s">
        <v>183</v>
      </c>
      <c r="C113" s="54" t="s">
        <v>17</v>
      </c>
      <c r="D113" s="14" t="s">
        <v>18</v>
      </c>
      <c r="E113" s="15" t="s">
        <v>184</v>
      </c>
      <c r="F113" s="16" t="s">
        <v>20</v>
      </c>
      <c r="G113" s="17">
        <v>2</v>
      </c>
      <c r="H113" s="59">
        <v>24000</v>
      </c>
      <c r="I113" s="60">
        <f t="shared" si="8"/>
        <v>48000</v>
      </c>
    </row>
    <row r="114" spans="1:9" ht="28.5" customHeight="1">
      <c r="A114" s="61">
        <v>105</v>
      </c>
      <c r="B114" s="13" t="s">
        <v>185</v>
      </c>
      <c r="C114" s="54" t="s">
        <v>17</v>
      </c>
      <c r="D114" s="14" t="s">
        <v>18</v>
      </c>
      <c r="E114" s="15" t="s">
        <v>186</v>
      </c>
      <c r="F114" s="16" t="s">
        <v>20</v>
      </c>
      <c r="G114" s="17">
        <v>40</v>
      </c>
      <c r="H114" s="72">
        <v>1120</v>
      </c>
      <c r="I114" s="60">
        <f t="shared" ref="I114:I177" si="9">G114*H114</f>
        <v>44800</v>
      </c>
    </row>
    <row r="115" spans="1:9" ht="28.5" customHeight="1">
      <c r="A115" s="61">
        <v>106</v>
      </c>
      <c r="B115" s="13" t="s">
        <v>187</v>
      </c>
      <c r="C115" s="54" t="s">
        <v>17</v>
      </c>
      <c r="D115" s="14" t="s">
        <v>18</v>
      </c>
      <c r="E115" s="15" t="s">
        <v>188</v>
      </c>
      <c r="F115" s="16" t="s">
        <v>20</v>
      </c>
      <c r="G115" s="17">
        <v>10</v>
      </c>
      <c r="H115" s="72">
        <v>1372</v>
      </c>
      <c r="I115" s="60">
        <f t="shared" si="9"/>
        <v>13720</v>
      </c>
    </row>
    <row r="116" spans="1:9" ht="28.5" customHeight="1">
      <c r="A116" s="61">
        <v>107</v>
      </c>
      <c r="B116" s="13" t="s">
        <v>187</v>
      </c>
      <c r="C116" s="54" t="s">
        <v>17</v>
      </c>
      <c r="D116" s="14" t="s">
        <v>18</v>
      </c>
      <c r="E116" s="15" t="s">
        <v>188</v>
      </c>
      <c r="F116" s="16" t="s">
        <v>20</v>
      </c>
      <c r="G116" s="17">
        <v>40</v>
      </c>
      <c r="H116" s="72">
        <v>1022</v>
      </c>
      <c r="I116" s="60">
        <f t="shared" si="9"/>
        <v>40880</v>
      </c>
    </row>
    <row r="117" spans="1:9" ht="28.5" customHeight="1">
      <c r="A117" s="61">
        <v>108</v>
      </c>
      <c r="B117" s="13" t="s">
        <v>189</v>
      </c>
      <c r="C117" s="54" t="s">
        <v>17</v>
      </c>
      <c r="D117" s="14" t="s">
        <v>18</v>
      </c>
      <c r="E117" s="15" t="s">
        <v>190</v>
      </c>
      <c r="F117" s="16" t="s">
        <v>20</v>
      </c>
      <c r="G117" s="17">
        <v>40</v>
      </c>
      <c r="H117" s="72">
        <v>1400</v>
      </c>
      <c r="I117" s="60">
        <f t="shared" si="9"/>
        <v>56000</v>
      </c>
    </row>
    <row r="118" spans="1:9" ht="28.5" customHeight="1">
      <c r="A118" s="61">
        <v>109</v>
      </c>
      <c r="B118" s="13" t="s">
        <v>191</v>
      </c>
      <c r="C118" s="54" t="s">
        <v>17</v>
      </c>
      <c r="D118" s="14" t="s">
        <v>18</v>
      </c>
      <c r="E118" s="15" t="s">
        <v>192</v>
      </c>
      <c r="F118" s="16" t="s">
        <v>20</v>
      </c>
      <c r="G118" s="17">
        <v>50</v>
      </c>
      <c r="H118" s="72">
        <v>1400</v>
      </c>
      <c r="I118" s="60">
        <f t="shared" si="9"/>
        <v>70000</v>
      </c>
    </row>
    <row r="119" spans="1:9" ht="28.5" customHeight="1">
      <c r="A119" s="61">
        <v>110</v>
      </c>
      <c r="B119" s="13" t="s">
        <v>193</v>
      </c>
      <c r="C119" s="54" t="s">
        <v>17</v>
      </c>
      <c r="D119" s="14" t="s">
        <v>18</v>
      </c>
      <c r="E119" s="15" t="s">
        <v>194</v>
      </c>
      <c r="F119" s="16" t="s">
        <v>20</v>
      </c>
      <c r="G119" s="17">
        <v>20</v>
      </c>
      <c r="H119" s="72">
        <v>2660</v>
      </c>
      <c r="I119" s="60">
        <f t="shared" si="9"/>
        <v>53200</v>
      </c>
    </row>
    <row r="120" spans="1:9" ht="28.5" customHeight="1">
      <c r="A120" s="61">
        <v>111</v>
      </c>
      <c r="B120" s="13" t="s">
        <v>193</v>
      </c>
      <c r="C120" s="54" t="s">
        <v>17</v>
      </c>
      <c r="D120" s="14" t="s">
        <v>18</v>
      </c>
      <c r="E120" s="15" t="s">
        <v>194</v>
      </c>
      <c r="F120" s="16" t="s">
        <v>20</v>
      </c>
      <c r="G120" s="17">
        <v>40</v>
      </c>
      <c r="H120" s="72">
        <v>2660</v>
      </c>
      <c r="I120" s="60">
        <f t="shared" si="9"/>
        <v>106400</v>
      </c>
    </row>
    <row r="121" spans="1:9" ht="28.5" customHeight="1">
      <c r="A121" s="61">
        <v>112</v>
      </c>
      <c r="B121" s="13" t="s">
        <v>193</v>
      </c>
      <c r="C121" s="54" t="s">
        <v>17</v>
      </c>
      <c r="D121" s="14" t="s">
        <v>18</v>
      </c>
      <c r="E121" s="15" t="s">
        <v>194</v>
      </c>
      <c r="F121" s="16" t="s">
        <v>20</v>
      </c>
      <c r="G121" s="17">
        <v>50</v>
      </c>
      <c r="H121" s="72">
        <v>2660</v>
      </c>
      <c r="I121" s="60">
        <f t="shared" si="9"/>
        <v>133000</v>
      </c>
    </row>
    <row r="122" spans="1:9" ht="28.5" customHeight="1">
      <c r="A122" s="61">
        <v>113</v>
      </c>
      <c r="B122" s="13" t="s">
        <v>195</v>
      </c>
      <c r="C122" s="54" t="s">
        <v>17</v>
      </c>
      <c r="D122" s="14" t="s">
        <v>18</v>
      </c>
      <c r="E122" s="15" t="s">
        <v>196</v>
      </c>
      <c r="F122" s="16" t="s">
        <v>20</v>
      </c>
      <c r="G122" s="17">
        <v>80</v>
      </c>
      <c r="H122" s="72">
        <v>700</v>
      </c>
      <c r="I122" s="60">
        <f t="shared" si="9"/>
        <v>56000</v>
      </c>
    </row>
    <row r="123" spans="1:9" ht="28.5" customHeight="1">
      <c r="A123" s="61">
        <v>114</v>
      </c>
      <c r="B123" s="13" t="s">
        <v>197</v>
      </c>
      <c r="C123" s="54" t="s">
        <v>17</v>
      </c>
      <c r="D123" s="14" t="s">
        <v>18</v>
      </c>
      <c r="E123" s="15" t="s">
        <v>198</v>
      </c>
      <c r="F123" s="16" t="s">
        <v>20</v>
      </c>
      <c r="G123" s="17">
        <v>50</v>
      </c>
      <c r="H123" s="72">
        <v>266</v>
      </c>
      <c r="I123" s="60">
        <f t="shared" si="9"/>
        <v>13300</v>
      </c>
    </row>
    <row r="124" spans="1:9" ht="28.5" customHeight="1">
      <c r="A124" s="61">
        <v>115</v>
      </c>
      <c r="B124" s="13" t="s">
        <v>199</v>
      </c>
      <c r="C124" s="54" t="s">
        <v>17</v>
      </c>
      <c r="D124" s="14" t="s">
        <v>18</v>
      </c>
      <c r="E124" s="15" t="s">
        <v>200</v>
      </c>
      <c r="F124" s="16" t="s">
        <v>20</v>
      </c>
      <c r="G124" s="17">
        <v>20</v>
      </c>
      <c r="H124" s="72">
        <v>1330</v>
      </c>
      <c r="I124" s="60">
        <f t="shared" si="9"/>
        <v>26600</v>
      </c>
    </row>
    <row r="125" spans="1:9" ht="28.5" customHeight="1">
      <c r="A125" s="61">
        <v>116</v>
      </c>
      <c r="B125" s="13" t="s">
        <v>199</v>
      </c>
      <c r="C125" s="54" t="s">
        <v>17</v>
      </c>
      <c r="D125" s="14" t="s">
        <v>18</v>
      </c>
      <c r="E125" s="15" t="s">
        <v>200</v>
      </c>
      <c r="F125" s="16" t="s">
        <v>20</v>
      </c>
      <c r="G125" s="17">
        <v>20</v>
      </c>
      <c r="H125" s="72">
        <v>1330</v>
      </c>
      <c r="I125" s="60">
        <f t="shared" si="9"/>
        <v>26600</v>
      </c>
    </row>
    <row r="126" spans="1:9" ht="28.5" customHeight="1">
      <c r="A126" s="61">
        <v>117</v>
      </c>
      <c r="B126" s="13" t="s">
        <v>199</v>
      </c>
      <c r="C126" s="54" t="s">
        <v>17</v>
      </c>
      <c r="D126" s="14" t="s">
        <v>18</v>
      </c>
      <c r="E126" s="15" t="s">
        <v>200</v>
      </c>
      <c r="F126" s="16" t="s">
        <v>20</v>
      </c>
      <c r="G126" s="17">
        <v>10</v>
      </c>
      <c r="H126" s="72">
        <v>1330</v>
      </c>
      <c r="I126" s="60">
        <f t="shared" si="9"/>
        <v>13300</v>
      </c>
    </row>
    <row r="127" spans="1:9" ht="28.5" customHeight="1">
      <c r="A127" s="61">
        <v>118</v>
      </c>
      <c r="B127" s="13" t="s">
        <v>201</v>
      </c>
      <c r="C127" s="54" t="s">
        <v>17</v>
      </c>
      <c r="D127" s="14" t="s">
        <v>18</v>
      </c>
      <c r="E127" s="15" t="s">
        <v>202</v>
      </c>
      <c r="F127" s="16" t="s">
        <v>20</v>
      </c>
      <c r="G127" s="17">
        <v>25</v>
      </c>
      <c r="H127" s="72">
        <v>1400</v>
      </c>
      <c r="I127" s="60">
        <f t="shared" si="9"/>
        <v>35000</v>
      </c>
    </row>
    <row r="128" spans="1:9" ht="28.5" customHeight="1">
      <c r="A128" s="61">
        <v>119</v>
      </c>
      <c r="B128" s="13" t="s">
        <v>201</v>
      </c>
      <c r="C128" s="54" t="s">
        <v>17</v>
      </c>
      <c r="D128" s="14" t="s">
        <v>18</v>
      </c>
      <c r="E128" s="15" t="s">
        <v>202</v>
      </c>
      <c r="F128" s="16" t="s">
        <v>20</v>
      </c>
      <c r="G128" s="17">
        <v>10</v>
      </c>
      <c r="H128" s="72">
        <v>1400</v>
      </c>
      <c r="I128" s="60">
        <f t="shared" si="9"/>
        <v>14000</v>
      </c>
    </row>
    <row r="129" spans="1:9" ht="28.5" customHeight="1">
      <c r="A129" s="61">
        <v>120</v>
      </c>
      <c r="B129" s="13" t="s">
        <v>201</v>
      </c>
      <c r="C129" s="54" t="s">
        <v>17</v>
      </c>
      <c r="D129" s="14" t="s">
        <v>18</v>
      </c>
      <c r="E129" s="15" t="s">
        <v>202</v>
      </c>
      <c r="F129" s="16" t="s">
        <v>20</v>
      </c>
      <c r="G129" s="17">
        <v>30</v>
      </c>
      <c r="H129" s="72">
        <v>1400</v>
      </c>
      <c r="I129" s="60">
        <f t="shared" si="9"/>
        <v>42000</v>
      </c>
    </row>
    <row r="130" spans="1:9" ht="28.5" customHeight="1">
      <c r="A130" s="61">
        <v>121</v>
      </c>
      <c r="B130" s="13" t="s">
        <v>203</v>
      </c>
      <c r="C130" s="54" t="s">
        <v>17</v>
      </c>
      <c r="D130" s="14" t="s">
        <v>18</v>
      </c>
      <c r="E130" s="15" t="s">
        <v>204</v>
      </c>
      <c r="F130" s="16" t="s">
        <v>20</v>
      </c>
      <c r="G130" s="17">
        <v>5</v>
      </c>
      <c r="H130" s="72">
        <v>700</v>
      </c>
      <c r="I130" s="60">
        <f t="shared" si="9"/>
        <v>3500</v>
      </c>
    </row>
    <row r="131" spans="1:9" ht="28.5" customHeight="1">
      <c r="A131" s="61">
        <v>122</v>
      </c>
      <c r="B131" s="13" t="s">
        <v>203</v>
      </c>
      <c r="C131" s="54" t="s">
        <v>17</v>
      </c>
      <c r="D131" s="14" t="s">
        <v>18</v>
      </c>
      <c r="E131" s="15" t="s">
        <v>204</v>
      </c>
      <c r="F131" s="16" t="s">
        <v>20</v>
      </c>
      <c r="G131" s="17">
        <v>5</v>
      </c>
      <c r="H131" s="72">
        <v>840</v>
      </c>
      <c r="I131" s="60">
        <f t="shared" si="9"/>
        <v>4200</v>
      </c>
    </row>
    <row r="132" spans="1:9" ht="28.5" customHeight="1">
      <c r="A132" s="61">
        <v>123</v>
      </c>
      <c r="B132" s="13" t="s">
        <v>205</v>
      </c>
      <c r="C132" s="54" t="s">
        <v>17</v>
      </c>
      <c r="D132" s="14" t="s">
        <v>18</v>
      </c>
      <c r="E132" s="15" t="s">
        <v>206</v>
      </c>
      <c r="F132" s="16" t="s">
        <v>20</v>
      </c>
      <c r="G132" s="17">
        <v>15</v>
      </c>
      <c r="H132" s="72">
        <v>840</v>
      </c>
      <c r="I132" s="60">
        <f t="shared" si="9"/>
        <v>12600</v>
      </c>
    </row>
    <row r="133" spans="1:9" ht="28.5" customHeight="1">
      <c r="A133" s="61">
        <v>124</v>
      </c>
      <c r="B133" s="13" t="s">
        <v>205</v>
      </c>
      <c r="C133" s="54" t="s">
        <v>17</v>
      </c>
      <c r="D133" s="14" t="s">
        <v>18</v>
      </c>
      <c r="E133" s="15" t="s">
        <v>206</v>
      </c>
      <c r="F133" s="16" t="s">
        <v>20</v>
      </c>
      <c r="G133" s="17">
        <v>15</v>
      </c>
      <c r="H133" s="72">
        <v>700</v>
      </c>
      <c r="I133" s="60">
        <f t="shared" si="9"/>
        <v>10500</v>
      </c>
    </row>
    <row r="134" spans="1:9" ht="28.5" customHeight="1">
      <c r="A134" s="61">
        <v>125</v>
      </c>
      <c r="B134" s="13" t="s">
        <v>207</v>
      </c>
      <c r="C134" s="54" t="s">
        <v>17</v>
      </c>
      <c r="D134" s="14" t="s">
        <v>18</v>
      </c>
      <c r="E134" s="15" t="s">
        <v>208</v>
      </c>
      <c r="F134" s="16" t="s">
        <v>20</v>
      </c>
      <c r="G134" s="17">
        <v>50</v>
      </c>
      <c r="H134" s="72">
        <v>1960</v>
      </c>
      <c r="I134" s="60">
        <f t="shared" si="9"/>
        <v>98000</v>
      </c>
    </row>
    <row r="135" spans="1:9" ht="28.5" customHeight="1">
      <c r="A135" s="61">
        <v>126</v>
      </c>
      <c r="B135" s="13" t="s">
        <v>207</v>
      </c>
      <c r="C135" s="54" t="s">
        <v>17</v>
      </c>
      <c r="D135" s="14" t="s">
        <v>18</v>
      </c>
      <c r="E135" s="15" t="s">
        <v>208</v>
      </c>
      <c r="F135" s="16" t="s">
        <v>20</v>
      </c>
      <c r="G135" s="17">
        <v>50</v>
      </c>
      <c r="H135" s="72">
        <v>2100</v>
      </c>
      <c r="I135" s="60">
        <f t="shared" si="9"/>
        <v>105000</v>
      </c>
    </row>
    <row r="136" spans="1:9" ht="28.5" customHeight="1">
      <c r="A136" s="61">
        <v>127</v>
      </c>
      <c r="B136" s="13" t="s">
        <v>209</v>
      </c>
      <c r="C136" s="54" t="s">
        <v>17</v>
      </c>
      <c r="D136" s="14" t="s">
        <v>18</v>
      </c>
      <c r="E136" s="15" t="s">
        <v>210</v>
      </c>
      <c r="F136" s="16" t="s">
        <v>20</v>
      </c>
      <c r="G136" s="17">
        <v>40</v>
      </c>
      <c r="H136" s="72">
        <v>2520</v>
      </c>
      <c r="I136" s="60">
        <f t="shared" si="9"/>
        <v>100800</v>
      </c>
    </row>
    <row r="137" spans="1:9" ht="28.5" customHeight="1">
      <c r="A137" s="61">
        <v>128</v>
      </c>
      <c r="B137" s="13" t="s">
        <v>211</v>
      </c>
      <c r="C137" s="54" t="s">
        <v>17</v>
      </c>
      <c r="D137" s="14" t="s">
        <v>18</v>
      </c>
      <c r="E137" s="15" t="s">
        <v>212</v>
      </c>
      <c r="F137" s="16" t="s">
        <v>20</v>
      </c>
      <c r="G137" s="17">
        <v>25</v>
      </c>
      <c r="H137" s="72">
        <v>6020</v>
      </c>
      <c r="I137" s="60">
        <f t="shared" si="9"/>
        <v>150500</v>
      </c>
    </row>
    <row r="138" spans="1:9" ht="28.5" customHeight="1">
      <c r="A138" s="61">
        <v>129</v>
      </c>
      <c r="B138" s="13" t="s">
        <v>213</v>
      </c>
      <c r="C138" s="54" t="s">
        <v>17</v>
      </c>
      <c r="D138" s="14" t="s">
        <v>18</v>
      </c>
      <c r="E138" s="15" t="s">
        <v>214</v>
      </c>
      <c r="F138" s="16" t="s">
        <v>20</v>
      </c>
      <c r="G138" s="17">
        <v>30</v>
      </c>
      <c r="H138" s="72">
        <v>1330</v>
      </c>
      <c r="I138" s="60">
        <f t="shared" si="9"/>
        <v>39900</v>
      </c>
    </row>
    <row r="139" spans="1:9" ht="28.5" customHeight="1">
      <c r="A139" s="61">
        <v>130</v>
      </c>
      <c r="B139" s="13" t="s">
        <v>213</v>
      </c>
      <c r="C139" s="54" t="s">
        <v>17</v>
      </c>
      <c r="D139" s="14" t="s">
        <v>18</v>
      </c>
      <c r="E139" s="15" t="s">
        <v>214</v>
      </c>
      <c r="F139" s="16" t="s">
        <v>20</v>
      </c>
      <c r="G139" s="17">
        <v>30</v>
      </c>
      <c r="H139" s="72">
        <v>714</v>
      </c>
      <c r="I139" s="60">
        <f t="shared" si="9"/>
        <v>21420</v>
      </c>
    </row>
    <row r="140" spans="1:9" ht="28.5" customHeight="1">
      <c r="A140" s="61">
        <v>131</v>
      </c>
      <c r="B140" s="13" t="s">
        <v>215</v>
      </c>
      <c r="C140" s="54" t="s">
        <v>17</v>
      </c>
      <c r="D140" s="14" t="s">
        <v>18</v>
      </c>
      <c r="E140" s="15" t="s">
        <v>216</v>
      </c>
      <c r="F140" s="16" t="s">
        <v>20</v>
      </c>
      <c r="G140" s="17">
        <v>30</v>
      </c>
      <c r="H140" s="72">
        <v>2240</v>
      </c>
      <c r="I140" s="60">
        <f t="shared" si="9"/>
        <v>67200</v>
      </c>
    </row>
    <row r="141" spans="1:9" ht="28.5" customHeight="1">
      <c r="A141" s="61">
        <v>132</v>
      </c>
      <c r="B141" s="13" t="s">
        <v>217</v>
      </c>
      <c r="C141" s="54" t="s">
        <v>17</v>
      </c>
      <c r="D141" s="14" t="s">
        <v>18</v>
      </c>
      <c r="E141" s="15" t="s">
        <v>218</v>
      </c>
      <c r="F141" s="16" t="s">
        <v>20</v>
      </c>
      <c r="G141" s="17">
        <v>50</v>
      </c>
      <c r="H141" s="72">
        <v>1372</v>
      </c>
      <c r="I141" s="60">
        <f t="shared" si="9"/>
        <v>68600</v>
      </c>
    </row>
    <row r="142" spans="1:9" ht="28.5" customHeight="1">
      <c r="A142" s="61">
        <v>133</v>
      </c>
      <c r="B142" s="13" t="s">
        <v>219</v>
      </c>
      <c r="C142" s="54" t="s">
        <v>17</v>
      </c>
      <c r="D142" s="14" t="s">
        <v>18</v>
      </c>
      <c r="E142" s="15" t="s">
        <v>220</v>
      </c>
      <c r="F142" s="16" t="s">
        <v>20</v>
      </c>
      <c r="G142" s="17">
        <v>50</v>
      </c>
      <c r="H142" s="72">
        <v>1750</v>
      </c>
      <c r="I142" s="60">
        <f t="shared" si="9"/>
        <v>87500</v>
      </c>
    </row>
    <row r="143" spans="1:9" ht="28.5" customHeight="1">
      <c r="A143" s="61">
        <v>134</v>
      </c>
      <c r="B143" s="13" t="s">
        <v>221</v>
      </c>
      <c r="C143" s="54" t="s">
        <v>17</v>
      </c>
      <c r="D143" s="14" t="s">
        <v>18</v>
      </c>
      <c r="E143" s="15" t="s">
        <v>222</v>
      </c>
      <c r="F143" s="16" t="s">
        <v>20</v>
      </c>
      <c r="G143" s="17">
        <v>20</v>
      </c>
      <c r="H143" s="72">
        <v>1050</v>
      </c>
      <c r="I143" s="60">
        <f t="shared" si="9"/>
        <v>21000</v>
      </c>
    </row>
    <row r="144" spans="1:9" ht="28.5" customHeight="1">
      <c r="A144" s="61">
        <v>135</v>
      </c>
      <c r="B144" s="13" t="s">
        <v>213</v>
      </c>
      <c r="C144" s="54" t="s">
        <v>17</v>
      </c>
      <c r="D144" s="14" t="s">
        <v>18</v>
      </c>
      <c r="E144" s="15" t="s">
        <v>214</v>
      </c>
      <c r="F144" s="16" t="s">
        <v>20</v>
      </c>
      <c r="G144" s="17">
        <v>40</v>
      </c>
      <c r="H144" s="72">
        <v>714</v>
      </c>
      <c r="I144" s="60">
        <f t="shared" si="9"/>
        <v>28560</v>
      </c>
    </row>
    <row r="145" spans="1:9" ht="28.5" customHeight="1">
      <c r="A145" s="61">
        <v>136</v>
      </c>
      <c r="B145" s="13" t="s">
        <v>223</v>
      </c>
      <c r="C145" s="54" t="s">
        <v>17</v>
      </c>
      <c r="D145" s="14" t="s">
        <v>18</v>
      </c>
      <c r="E145" s="15" t="s">
        <v>224</v>
      </c>
      <c r="F145" s="16" t="s">
        <v>20</v>
      </c>
      <c r="G145" s="17">
        <v>35</v>
      </c>
      <c r="H145" s="72">
        <v>2940</v>
      </c>
      <c r="I145" s="60">
        <f t="shared" si="9"/>
        <v>102900</v>
      </c>
    </row>
    <row r="146" spans="1:9" ht="28.5" customHeight="1">
      <c r="A146" s="61">
        <v>137</v>
      </c>
      <c r="B146" s="13" t="s">
        <v>211</v>
      </c>
      <c r="C146" s="54" t="s">
        <v>17</v>
      </c>
      <c r="D146" s="14" t="s">
        <v>18</v>
      </c>
      <c r="E146" s="15" t="s">
        <v>212</v>
      </c>
      <c r="F146" s="16" t="s">
        <v>20</v>
      </c>
      <c r="G146" s="17">
        <v>15</v>
      </c>
      <c r="H146" s="72">
        <v>3080</v>
      </c>
      <c r="I146" s="60">
        <f t="shared" si="9"/>
        <v>46200</v>
      </c>
    </row>
    <row r="147" spans="1:9" ht="28.5" customHeight="1">
      <c r="A147" s="61">
        <v>138</v>
      </c>
      <c r="B147" s="13" t="s">
        <v>225</v>
      </c>
      <c r="C147" s="54" t="s">
        <v>17</v>
      </c>
      <c r="D147" s="14" t="s">
        <v>18</v>
      </c>
      <c r="E147" s="15" t="s">
        <v>226</v>
      </c>
      <c r="F147" s="16" t="s">
        <v>20</v>
      </c>
      <c r="G147" s="17">
        <v>25</v>
      </c>
      <c r="H147" s="72">
        <v>2184</v>
      </c>
      <c r="I147" s="60">
        <f t="shared" si="9"/>
        <v>54600</v>
      </c>
    </row>
    <row r="148" spans="1:9" ht="28.5" customHeight="1">
      <c r="A148" s="61">
        <v>139</v>
      </c>
      <c r="B148" s="13" t="s">
        <v>201</v>
      </c>
      <c r="C148" s="54" t="s">
        <v>17</v>
      </c>
      <c r="D148" s="14" t="s">
        <v>18</v>
      </c>
      <c r="E148" s="15" t="s">
        <v>202</v>
      </c>
      <c r="F148" s="16" t="s">
        <v>20</v>
      </c>
      <c r="G148" s="17">
        <v>10</v>
      </c>
      <c r="H148" s="72">
        <v>1680</v>
      </c>
      <c r="I148" s="60">
        <f t="shared" si="9"/>
        <v>16800</v>
      </c>
    </row>
    <row r="149" spans="1:9" ht="28.5" customHeight="1">
      <c r="A149" s="61">
        <v>140</v>
      </c>
      <c r="B149" s="13" t="s">
        <v>199</v>
      </c>
      <c r="C149" s="54" t="s">
        <v>17</v>
      </c>
      <c r="D149" s="14" t="s">
        <v>18</v>
      </c>
      <c r="E149" s="15" t="s">
        <v>200</v>
      </c>
      <c r="F149" s="16" t="s">
        <v>20</v>
      </c>
      <c r="G149" s="17">
        <v>10</v>
      </c>
      <c r="H149" s="72">
        <v>1820</v>
      </c>
      <c r="I149" s="60">
        <f t="shared" si="9"/>
        <v>18200</v>
      </c>
    </row>
    <row r="150" spans="1:9" ht="28.5" customHeight="1">
      <c r="A150" s="61">
        <v>141</v>
      </c>
      <c r="B150" s="13" t="s">
        <v>207</v>
      </c>
      <c r="C150" s="54" t="s">
        <v>17</v>
      </c>
      <c r="D150" s="14" t="s">
        <v>18</v>
      </c>
      <c r="E150" s="15" t="s">
        <v>208</v>
      </c>
      <c r="F150" s="16" t="s">
        <v>20</v>
      </c>
      <c r="G150" s="17">
        <v>30</v>
      </c>
      <c r="H150" s="72">
        <v>2100</v>
      </c>
      <c r="I150" s="60">
        <f t="shared" si="9"/>
        <v>63000</v>
      </c>
    </row>
    <row r="151" spans="1:9" ht="28.5" customHeight="1">
      <c r="A151" s="61">
        <v>142</v>
      </c>
      <c r="B151" s="13" t="s">
        <v>227</v>
      </c>
      <c r="C151" s="54" t="s">
        <v>17</v>
      </c>
      <c r="D151" s="14" t="s">
        <v>18</v>
      </c>
      <c r="E151" s="15" t="s">
        <v>228</v>
      </c>
      <c r="F151" s="16" t="s">
        <v>20</v>
      </c>
      <c r="G151" s="17">
        <v>25</v>
      </c>
      <c r="H151" s="72">
        <v>1890</v>
      </c>
      <c r="I151" s="60">
        <f t="shared" si="9"/>
        <v>47250</v>
      </c>
    </row>
    <row r="152" spans="1:9" ht="28.5" customHeight="1">
      <c r="A152" s="61">
        <v>143</v>
      </c>
      <c r="B152" s="13" t="s">
        <v>229</v>
      </c>
      <c r="C152" s="54" t="s">
        <v>17</v>
      </c>
      <c r="D152" s="14" t="s">
        <v>18</v>
      </c>
      <c r="E152" s="15" t="s">
        <v>230</v>
      </c>
      <c r="F152" s="16" t="s">
        <v>20</v>
      </c>
      <c r="G152" s="17">
        <v>20</v>
      </c>
      <c r="H152" s="72">
        <v>2254</v>
      </c>
      <c r="I152" s="60">
        <f t="shared" si="9"/>
        <v>45080</v>
      </c>
    </row>
    <row r="153" spans="1:9" ht="28.5" customHeight="1">
      <c r="A153" s="61">
        <v>144</v>
      </c>
      <c r="B153" s="69" t="s">
        <v>231</v>
      </c>
      <c r="C153" s="54" t="s">
        <v>17</v>
      </c>
      <c r="D153" s="14" t="s">
        <v>18</v>
      </c>
      <c r="E153" s="15" t="s">
        <v>232</v>
      </c>
      <c r="F153" s="16" t="s">
        <v>20</v>
      </c>
      <c r="G153" s="17">
        <v>30</v>
      </c>
      <c r="H153" s="72">
        <v>4410</v>
      </c>
      <c r="I153" s="60">
        <f t="shared" si="9"/>
        <v>132300</v>
      </c>
    </row>
    <row r="154" spans="1:9" ht="28.5" customHeight="1">
      <c r="A154" s="61">
        <v>145</v>
      </c>
      <c r="B154" s="69" t="s">
        <v>233</v>
      </c>
      <c r="C154" s="54" t="s">
        <v>17</v>
      </c>
      <c r="D154" s="14" t="s">
        <v>18</v>
      </c>
      <c r="E154" s="15" t="s">
        <v>234</v>
      </c>
      <c r="F154" s="16" t="s">
        <v>20</v>
      </c>
      <c r="G154" s="17">
        <v>25</v>
      </c>
      <c r="H154" s="73">
        <v>18200</v>
      </c>
      <c r="I154" s="60">
        <f t="shared" si="9"/>
        <v>455000</v>
      </c>
    </row>
    <row r="155" spans="1:9" ht="28.5" customHeight="1">
      <c r="A155" s="61">
        <v>146</v>
      </c>
      <c r="B155" s="69" t="s">
        <v>235</v>
      </c>
      <c r="C155" s="54" t="s">
        <v>17</v>
      </c>
      <c r="D155" s="14" t="s">
        <v>18</v>
      </c>
      <c r="E155" s="15" t="s">
        <v>236</v>
      </c>
      <c r="F155" s="16" t="s">
        <v>20</v>
      </c>
      <c r="G155" s="17">
        <v>25</v>
      </c>
      <c r="H155" s="73">
        <v>18200</v>
      </c>
      <c r="I155" s="60">
        <f t="shared" si="9"/>
        <v>455000</v>
      </c>
    </row>
    <row r="156" spans="1:9" ht="28.5" customHeight="1">
      <c r="A156" s="61">
        <v>147</v>
      </c>
      <c r="B156" s="69" t="s">
        <v>237</v>
      </c>
      <c r="C156" s="54" t="s">
        <v>17</v>
      </c>
      <c r="D156" s="14" t="s">
        <v>18</v>
      </c>
      <c r="E156" s="15" t="s">
        <v>238</v>
      </c>
      <c r="F156" s="16" t="s">
        <v>20</v>
      </c>
      <c r="G156" s="17">
        <v>3</v>
      </c>
      <c r="H156" s="73">
        <v>18900</v>
      </c>
      <c r="I156" s="60">
        <f t="shared" si="9"/>
        <v>56700</v>
      </c>
    </row>
    <row r="157" spans="1:9" ht="28.5" customHeight="1">
      <c r="A157" s="61">
        <v>148</v>
      </c>
      <c r="B157" s="69" t="s">
        <v>239</v>
      </c>
      <c r="C157" s="54" t="s">
        <v>17</v>
      </c>
      <c r="D157" s="14" t="s">
        <v>18</v>
      </c>
      <c r="E157" s="15" t="s">
        <v>240</v>
      </c>
      <c r="F157" s="16" t="s">
        <v>20</v>
      </c>
      <c r="G157" s="17">
        <v>3</v>
      </c>
      <c r="H157" s="73">
        <v>23940</v>
      </c>
      <c r="I157" s="60">
        <f t="shared" si="9"/>
        <v>71820</v>
      </c>
    </row>
    <row r="158" spans="1:9" ht="28.5" customHeight="1">
      <c r="A158" s="61">
        <v>149</v>
      </c>
      <c r="B158" s="69" t="s">
        <v>241</v>
      </c>
      <c r="C158" s="54" t="s">
        <v>17</v>
      </c>
      <c r="D158" s="14" t="s">
        <v>18</v>
      </c>
      <c r="E158" s="15" t="s">
        <v>242</v>
      </c>
      <c r="F158" s="16" t="s">
        <v>20</v>
      </c>
      <c r="G158" s="17">
        <v>2</v>
      </c>
      <c r="H158" s="73">
        <v>27860</v>
      </c>
      <c r="I158" s="60">
        <f t="shared" si="9"/>
        <v>55720</v>
      </c>
    </row>
    <row r="159" spans="1:9" ht="28.5" customHeight="1">
      <c r="A159" s="61">
        <v>150</v>
      </c>
      <c r="B159" s="69" t="s">
        <v>243</v>
      </c>
      <c r="C159" s="54" t="s">
        <v>17</v>
      </c>
      <c r="D159" s="14" t="s">
        <v>18</v>
      </c>
      <c r="E159" s="15" t="s">
        <v>244</v>
      </c>
      <c r="F159" s="16" t="s">
        <v>20</v>
      </c>
      <c r="G159" s="17">
        <v>10</v>
      </c>
      <c r="H159" s="73">
        <v>18200</v>
      </c>
      <c r="I159" s="60">
        <f t="shared" si="9"/>
        <v>182000</v>
      </c>
    </row>
    <row r="160" spans="1:9" ht="28.5" customHeight="1">
      <c r="A160" s="61">
        <v>151</v>
      </c>
      <c r="B160" s="69" t="s">
        <v>245</v>
      </c>
      <c r="C160" s="54" t="s">
        <v>17</v>
      </c>
      <c r="D160" s="14" t="s">
        <v>18</v>
      </c>
      <c r="E160" s="15" t="s">
        <v>246</v>
      </c>
      <c r="F160" s="16" t="s">
        <v>20</v>
      </c>
      <c r="G160" s="17">
        <v>3</v>
      </c>
      <c r="H160" s="73">
        <v>41409.199999999997</v>
      </c>
      <c r="I160" s="60">
        <f t="shared" si="9"/>
        <v>124227.59999999999</v>
      </c>
    </row>
    <row r="161" spans="1:9" ht="28.5" customHeight="1">
      <c r="A161" s="61">
        <v>152</v>
      </c>
      <c r="B161" s="13" t="s">
        <v>187</v>
      </c>
      <c r="C161" s="54" t="s">
        <v>17</v>
      </c>
      <c r="D161" s="14" t="s">
        <v>18</v>
      </c>
      <c r="E161" s="15" t="s">
        <v>188</v>
      </c>
      <c r="F161" s="16" t="s">
        <v>20</v>
      </c>
      <c r="G161" s="17">
        <v>10</v>
      </c>
      <c r="H161" s="73">
        <v>2660</v>
      </c>
      <c r="I161" s="60">
        <f t="shared" si="9"/>
        <v>26600</v>
      </c>
    </row>
    <row r="162" spans="1:9" ht="28.5" customHeight="1">
      <c r="A162" s="61">
        <v>153</v>
      </c>
      <c r="B162" s="13" t="s">
        <v>187</v>
      </c>
      <c r="C162" s="54" t="s">
        <v>17</v>
      </c>
      <c r="D162" s="14" t="s">
        <v>18</v>
      </c>
      <c r="E162" s="15" t="s">
        <v>188</v>
      </c>
      <c r="F162" s="16" t="s">
        <v>20</v>
      </c>
      <c r="G162" s="17">
        <v>20</v>
      </c>
      <c r="H162" s="73">
        <v>2380</v>
      </c>
      <c r="I162" s="60">
        <f t="shared" si="9"/>
        <v>47600</v>
      </c>
    </row>
    <row r="163" spans="1:9" ht="28.5" customHeight="1">
      <c r="A163" s="61">
        <v>154</v>
      </c>
      <c r="B163" s="13" t="s">
        <v>187</v>
      </c>
      <c r="C163" s="54" t="s">
        <v>17</v>
      </c>
      <c r="D163" s="14" t="s">
        <v>18</v>
      </c>
      <c r="E163" s="15" t="s">
        <v>188</v>
      </c>
      <c r="F163" s="16" t="s">
        <v>20</v>
      </c>
      <c r="G163" s="17">
        <v>3</v>
      </c>
      <c r="H163" s="74">
        <v>2479.4</v>
      </c>
      <c r="I163" s="60">
        <f t="shared" si="9"/>
        <v>7438.2000000000007</v>
      </c>
    </row>
    <row r="164" spans="1:9" ht="28.5" customHeight="1">
      <c r="A164" s="61">
        <v>155</v>
      </c>
      <c r="B164" s="13" t="s">
        <v>247</v>
      </c>
      <c r="C164" s="54" t="s">
        <v>17</v>
      </c>
      <c r="D164" s="14" t="s">
        <v>18</v>
      </c>
      <c r="E164" s="15" t="s">
        <v>248</v>
      </c>
      <c r="F164" s="16" t="s">
        <v>20</v>
      </c>
      <c r="G164" s="17">
        <v>30</v>
      </c>
      <c r="H164" s="74">
        <v>2590</v>
      </c>
      <c r="I164" s="60">
        <f t="shared" si="9"/>
        <v>77700</v>
      </c>
    </row>
    <row r="165" spans="1:9" ht="28.5" customHeight="1">
      <c r="A165" s="61">
        <v>156</v>
      </c>
      <c r="B165" s="13" t="s">
        <v>249</v>
      </c>
      <c r="C165" s="54" t="s">
        <v>17</v>
      </c>
      <c r="D165" s="14" t="s">
        <v>18</v>
      </c>
      <c r="E165" s="15" t="s">
        <v>250</v>
      </c>
      <c r="F165" s="16" t="s">
        <v>20</v>
      </c>
      <c r="G165" s="17">
        <v>30</v>
      </c>
      <c r="H165" s="74">
        <v>2100</v>
      </c>
      <c r="I165" s="60">
        <f t="shared" si="9"/>
        <v>63000</v>
      </c>
    </row>
    <row r="166" spans="1:9" ht="28.5" customHeight="1">
      <c r="A166" s="61">
        <v>157</v>
      </c>
      <c r="B166" s="13" t="s">
        <v>251</v>
      </c>
      <c r="C166" s="54" t="s">
        <v>17</v>
      </c>
      <c r="D166" s="14" t="s">
        <v>18</v>
      </c>
      <c r="E166" s="15" t="s">
        <v>252</v>
      </c>
      <c r="F166" s="16" t="s">
        <v>20</v>
      </c>
      <c r="G166" s="17">
        <v>3</v>
      </c>
      <c r="H166" s="74">
        <v>3500</v>
      </c>
      <c r="I166" s="60">
        <f t="shared" si="9"/>
        <v>10500</v>
      </c>
    </row>
    <row r="167" spans="1:9" ht="28.5" customHeight="1">
      <c r="A167" s="61">
        <v>158</v>
      </c>
      <c r="B167" s="13" t="s">
        <v>253</v>
      </c>
      <c r="C167" s="54" t="s">
        <v>17</v>
      </c>
      <c r="D167" s="14" t="s">
        <v>18</v>
      </c>
      <c r="E167" s="15" t="s">
        <v>254</v>
      </c>
      <c r="F167" s="16" t="s">
        <v>20</v>
      </c>
      <c r="G167" s="17">
        <v>5</v>
      </c>
      <c r="H167" s="74">
        <v>7700</v>
      </c>
      <c r="I167" s="60">
        <f t="shared" si="9"/>
        <v>38500</v>
      </c>
    </row>
    <row r="168" spans="1:9" ht="28.5" customHeight="1">
      <c r="A168" s="61">
        <v>159</v>
      </c>
      <c r="B168" s="13" t="s">
        <v>255</v>
      </c>
      <c r="C168" s="54" t="s">
        <v>17</v>
      </c>
      <c r="D168" s="14" t="s">
        <v>18</v>
      </c>
      <c r="E168" s="15" t="s">
        <v>256</v>
      </c>
      <c r="F168" s="16" t="s">
        <v>20</v>
      </c>
      <c r="G168" s="17">
        <v>5</v>
      </c>
      <c r="H168" s="74">
        <v>7700</v>
      </c>
      <c r="I168" s="60">
        <f t="shared" si="9"/>
        <v>38500</v>
      </c>
    </row>
    <row r="169" spans="1:9" ht="28.5" customHeight="1">
      <c r="A169" s="61">
        <v>160</v>
      </c>
      <c r="B169" s="13" t="s">
        <v>191</v>
      </c>
      <c r="C169" s="54" t="s">
        <v>17</v>
      </c>
      <c r="D169" s="14" t="s">
        <v>18</v>
      </c>
      <c r="E169" s="15" t="s">
        <v>192</v>
      </c>
      <c r="F169" s="16" t="s">
        <v>20</v>
      </c>
      <c r="G169" s="17">
        <v>5</v>
      </c>
      <c r="H169" s="74">
        <v>8400</v>
      </c>
      <c r="I169" s="60">
        <f t="shared" si="9"/>
        <v>42000</v>
      </c>
    </row>
    <row r="170" spans="1:9" ht="28.5" customHeight="1">
      <c r="A170" s="61">
        <v>161</v>
      </c>
      <c r="B170" s="13" t="s">
        <v>211</v>
      </c>
      <c r="C170" s="54" t="s">
        <v>17</v>
      </c>
      <c r="D170" s="14" t="s">
        <v>18</v>
      </c>
      <c r="E170" s="15" t="s">
        <v>212</v>
      </c>
      <c r="F170" s="16" t="s">
        <v>20</v>
      </c>
      <c r="G170" s="17">
        <v>25</v>
      </c>
      <c r="H170" s="74">
        <v>2590</v>
      </c>
      <c r="I170" s="60">
        <f t="shared" si="9"/>
        <v>64750</v>
      </c>
    </row>
    <row r="171" spans="1:9" ht="28.5" customHeight="1">
      <c r="A171" s="61">
        <v>162</v>
      </c>
      <c r="B171" s="13" t="s">
        <v>211</v>
      </c>
      <c r="C171" s="54" t="s">
        <v>17</v>
      </c>
      <c r="D171" s="14" t="s">
        <v>18</v>
      </c>
      <c r="E171" s="15" t="s">
        <v>212</v>
      </c>
      <c r="F171" s="16" t="s">
        <v>20</v>
      </c>
      <c r="G171" s="17">
        <v>20</v>
      </c>
      <c r="H171" s="74">
        <v>2240</v>
      </c>
      <c r="I171" s="60">
        <f t="shared" si="9"/>
        <v>44800</v>
      </c>
    </row>
    <row r="172" spans="1:9" ht="28.5" customHeight="1">
      <c r="A172" s="61">
        <v>163</v>
      </c>
      <c r="B172" s="13" t="s">
        <v>211</v>
      </c>
      <c r="C172" s="54" t="s">
        <v>17</v>
      </c>
      <c r="D172" s="14" t="s">
        <v>18</v>
      </c>
      <c r="E172" s="15" t="s">
        <v>212</v>
      </c>
      <c r="F172" s="16" t="s">
        <v>20</v>
      </c>
      <c r="G172" s="17">
        <v>3</v>
      </c>
      <c r="H172" s="74">
        <v>17500</v>
      </c>
      <c r="I172" s="60">
        <f t="shared" si="9"/>
        <v>52500</v>
      </c>
    </row>
    <row r="173" spans="1:9" ht="28.5" customHeight="1">
      <c r="A173" s="61">
        <v>164</v>
      </c>
      <c r="B173" s="13" t="s">
        <v>257</v>
      </c>
      <c r="C173" s="54" t="s">
        <v>17</v>
      </c>
      <c r="D173" s="14" t="s">
        <v>18</v>
      </c>
      <c r="E173" s="15" t="s">
        <v>258</v>
      </c>
      <c r="F173" s="16" t="s">
        <v>20</v>
      </c>
      <c r="G173" s="17">
        <v>7</v>
      </c>
      <c r="H173" s="74">
        <v>22400</v>
      </c>
      <c r="I173" s="60">
        <f t="shared" si="9"/>
        <v>156800</v>
      </c>
    </row>
    <row r="174" spans="1:9" ht="28.5" customHeight="1">
      <c r="A174" s="61">
        <v>165</v>
      </c>
      <c r="B174" s="13" t="s">
        <v>259</v>
      </c>
      <c r="C174" s="54" t="s">
        <v>17</v>
      </c>
      <c r="D174" s="14" t="s">
        <v>18</v>
      </c>
      <c r="E174" s="15" t="s">
        <v>260</v>
      </c>
      <c r="F174" s="16" t="s">
        <v>20</v>
      </c>
      <c r="G174" s="17">
        <v>7</v>
      </c>
      <c r="H174" s="74">
        <v>9800</v>
      </c>
      <c r="I174" s="60">
        <f t="shared" si="9"/>
        <v>68600</v>
      </c>
    </row>
    <row r="175" spans="1:9" ht="28.5" customHeight="1">
      <c r="A175" s="61">
        <v>166</v>
      </c>
      <c r="B175" s="13" t="s">
        <v>261</v>
      </c>
      <c r="C175" s="54" t="s">
        <v>17</v>
      </c>
      <c r="D175" s="14" t="s">
        <v>18</v>
      </c>
      <c r="E175" s="15" t="s">
        <v>262</v>
      </c>
      <c r="F175" s="16" t="s">
        <v>20</v>
      </c>
      <c r="G175" s="17">
        <v>7</v>
      </c>
      <c r="H175" s="74">
        <v>20020</v>
      </c>
      <c r="I175" s="60">
        <f t="shared" si="9"/>
        <v>140140</v>
      </c>
    </row>
    <row r="176" spans="1:9" ht="28.5" customHeight="1">
      <c r="A176" s="61">
        <v>167</v>
      </c>
      <c r="B176" s="13" t="s">
        <v>263</v>
      </c>
      <c r="C176" s="54" t="s">
        <v>17</v>
      </c>
      <c r="D176" s="14" t="s">
        <v>18</v>
      </c>
      <c r="E176" s="15" t="s">
        <v>264</v>
      </c>
      <c r="F176" s="16" t="s">
        <v>20</v>
      </c>
      <c r="G176" s="17">
        <v>7</v>
      </c>
      <c r="H176" s="74">
        <v>7700</v>
      </c>
      <c r="I176" s="60">
        <f t="shared" si="9"/>
        <v>53900</v>
      </c>
    </row>
    <row r="177" spans="1:9" ht="28.5" customHeight="1">
      <c r="A177" s="61">
        <v>168</v>
      </c>
      <c r="B177" s="13" t="s">
        <v>265</v>
      </c>
      <c r="C177" s="54" t="s">
        <v>17</v>
      </c>
      <c r="D177" s="14" t="s">
        <v>18</v>
      </c>
      <c r="E177" s="15" t="s">
        <v>266</v>
      </c>
      <c r="F177" s="16" t="s">
        <v>20</v>
      </c>
      <c r="G177" s="17">
        <v>3</v>
      </c>
      <c r="H177" s="74">
        <v>27580</v>
      </c>
      <c r="I177" s="60">
        <f t="shared" si="9"/>
        <v>82740</v>
      </c>
    </row>
    <row r="178" spans="1:9" ht="28.5" customHeight="1">
      <c r="A178" s="61">
        <v>169</v>
      </c>
      <c r="B178" s="13" t="s">
        <v>267</v>
      </c>
      <c r="C178" s="54" t="s">
        <v>17</v>
      </c>
      <c r="D178" s="14" t="s">
        <v>18</v>
      </c>
      <c r="E178" s="15" t="s">
        <v>268</v>
      </c>
      <c r="F178" s="16" t="s">
        <v>20</v>
      </c>
      <c r="G178" s="17">
        <v>3</v>
      </c>
      <c r="H178" s="74">
        <v>12040</v>
      </c>
      <c r="I178" s="60">
        <f t="shared" ref="I178:I218" si="10">G178*H178</f>
        <v>36120</v>
      </c>
    </row>
    <row r="179" spans="1:9" ht="28.5" customHeight="1">
      <c r="A179" s="61">
        <v>170</v>
      </c>
      <c r="B179" s="13" t="s">
        <v>269</v>
      </c>
      <c r="C179" s="54" t="s">
        <v>17</v>
      </c>
      <c r="D179" s="14" t="s">
        <v>18</v>
      </c>
      <c r="E179" s="15" t="s">
        <v>270</v>
      </c>
      <c r="F179" s="16" t="s">
        <v>20</v>
      </c>
      <c r="G179" s="17">
        <v>10</v>
      </c>
      <c r="H179" s="74">
        <v>4900</v>
      </c>
      <c r="I179" s="60">
        <f t="shared" si="10"/>
        <v>49000</v>
      </c>
    </row>
    <row r="180" spans="1:9" ht="28.5" customHeight="1">
      <c r="A180" s="61">
        <v>171</v>
      </c>
      <c r="B180" s="13" t="s">
        <v>271</v>
      </c>
      <c r="C180" s="54" t="s">
        <v>17</v>
      </c>
      <c r="D180" s="14" t="s">
        <v>18</v>
      </c>
      <c r="E180" s="15" t="s">
        <v>272</v>
      </c>
      <c r="F180" s="16" t="s">
        <v>20</v>
      </c>
      <c r="G180" s="17">
        <v>10</v>
      </c>
      <c r="H180" s="74">
        <v>6300</v>
      </c>
      <c r="I180" s="60">
        <f t="shared" si="10"/>
        <v>63000</v>
      </c>
    </row>
    <row r="181" spans="1:9" ht="28.5" customHeight="1">
      <c r="A181" s="61">
        <v>172</v>
      </c>
      <c r="B181" s="13" t="s">
        <v>273</v>
      </c>
      <c r="C181" s="54" t="s">
        <v>17</v>
      </c>
      <c r="D181" s="14" t="s">
        <v>18</v>
      </c>
      <c r="E181" s="15" t="s">
        <v>274</v>
      </c>
      <c r="F181" s="16" t="s">
        <v>20</v>
      </c>
      <c r="G181" s="17">
        <v>3</v>
      </c>
      <c r="H181" s="74">
        <v>8400</v>
      </c>
      <c r="I181" s="60">
        <f t="shared" si="10"/>
        <v>25200</v>
      </c>
    </row>
    <row r="182" spans="1:9" ht="28.5" customHeight="1">
      <c r="A182" s="61">
        <v>173</v>
      </c>
      <c r="B182" s="13" t="s">
        <v>275</v>
      </c>
      <c r="C182" s="54" t="s">
        <v>17</v>
      </c>
      <c r="D182" s="14" t="s">
        <v>18</v>
      </c>
      <c r="E182" s="15" t="s">
        <v>276</v>
      </c>
      <c r="F182" s="16" t="s">
        <v>20</v>
      </c>
      <c r="G182" s="17">
        <v>15</v>
      </c>
      <c r="H182" s="74">
        <v>2940</v>
      </c>
      <c r="I182" s="60">
        <f t="shared" si="10"/>
        <v>44100</v>
      </c>
    </row>
    <row r="183" spans="1:9" ht="28.5" customHeight="1">
      <c r="A183" s="61">
        <v>174</v>
      </c>
      <c r="B183" s="13" t="s">
        <v>277</v>
      </c>
      <c r="C183" s="54" t="s">
        <v>17</v>
      </c>
      <c r="D183" s="14" t="s">
        <v>18</v>
      </c>
      <c r="E183" s="15" t="s">
        <v>278</v>
      </c>
      <c r="F183" s="16" t="s">
        <v>20</v>
      </c>
      <c r="G183" s="17">
        <v>15</v>
      </c>
      <c r="H183" s="74">
        <v>8120</v>
      </c>
      <c r="I183" s="60">
        <f t="shared" si="10"/>
        <v>121800</v>
      </c>
    </row>
    <row r="184" spans="1:9" ht="28.5" customHeight="1">
      <c r="A184" s="61">
        <v>175</v>
      </c>
      <c r="B184" s="13" t="s">
        <v>279</v>
      </c>
      <c r="C184" s="54" t="s">
        <v>17</v>
      </c>
      <c r="D184" s="14" t="s">
        <v>18</v>
      </c>
      <c r="E184" s="15" t="s">
        <v>280</v>
      </c>
      <c r="F184" s="16" t="s">
        <v>20</v>
      </c>
      <c r="G184" s="17">
        <v>20</v>
      </c>
      <c r="H184" s="74">
        <v>1204</v>
      </c>
      <c r="I184" s="60">
        <f t="shared" si="10"/>
        <v>24080</v>
      </c>
    </row>
    <row r="185" spans="1:9" ht="28.5" customHeight="1">
      <c r="A185" s="61">
        <v>176</v>
      </c>
      <c r="B185" s="13" t="s">
        <v>281</v>
      </c>
      <c r="C185" s="54" t="s">
        <v>17</v>
      </c>
      <c r="D185" s="14" t="s">
        <v>18</v>
      </c>
      <c r="E185" s="15" t="s">
        <v>282</v>
      </c>
      <c r="F185" s="16" t="s">
        <v>20</v>
      </c>
      <c r="G185" s="17">
        <v>15</v>
      </c>
      <c r="H185" s="74">
        <v>5040</v>
      </c>
      <c r="I185" s="60">
        <f t="shared" si="10"/>
        <v>75600</v>
      </c>
    </row>
    <row r="186" spans="1:9" ht="28.5" customHeight="1">
      <c r="A186" s="61">
        <v>177</v>
      </c>
      <c r="B186" s="13" t="s">
        <v>283</v>
      </c>
      <c r="C186" s="54" t="s">
        <v>17</v>
      </c>
      <c r="D186" s="14" t="s">
        <v>18</v>
      </c>
      <c r="E186" s="15" t="s">
        <v>284</v>
      </c>
      <c r="F186" s="16" t="s">
        <v>20</v>
      </c>
      <c r="G186" s="17">
        <v>15</v>
      </c>
      <c r="H186" s="74">
        <v>5040</v>
      </c>
      <c r="I186" s="60">
        <f t="shared" si="10"/>
        <v>75600</v>
      </c>
    </row>
    <row r="187" spans="1:9" ht="28.5" customHeight="1">
      <c r="A187" s="61">
        <v>178</v>
      </c>
      <c r="B187" s="13" t="s">
        <v>285</v>
      </c>
      <c r="C187" s="54" t="s">
        <v>17</v>
      </c>
      <c r="D187" s="14" t="s">
        <v>18</v>
      </c>
      <c r="E187" s="15" t="s">
        <v>286</v>
      </c>
      <c r="F187" s="16" t="s">
        <v>20</v>
      </c>
      <c r="G187" s="17">
        <v>15</v>
      </c>
      <c r="H187" s="74">
        <v>4620</v>
      </c>
      <c r="I187" s="60">
        <f t="shared" si="10"/>
        <v>69300</v>
      </c>
    </row>
    <row r="188" spans="1:9" ht="28.5" customHeight="1">
      <c r="A188" s="61">
        <v>179</v>
      </c>
      <c r="B188" s="13" t="s">
        <v>287</v>
      </c>
      <c r="C188" s="54" t="s">
        <v>17</v>
      </c>
      <c r="D188" s="14" t="s">
        <v>18</v>
      </c>
      <c r="E188" s="15" t="s">
        <v>288</v>
      </c>
      <c r="F188" s="16" t="s">
        <v>20</v>
      </c>
      <c r="G188" s="17">
        <v>5</v>
      </c>
      <c r="H188" s="74">
        <v>4620</v>
      </c>
      <c r="I188" s="60">
        <f t="shared" si="10"/>
        <v>23100</v>
      </c>
    </row>
    <row r="189" spans="1:9" ht="28.5" customHeight="1">
      <c r="A189" s="61">
        <v>180</v>
      </c>
      <c r="B189" s="13" t="s">
        <v>289</v>
      </c>
      <c r="C189" s="54" t="s">
        <v>17</v>
      </c>
      <c r="D189" s="14" t="s">
        <v>18</v>
      </c>
      <c r="E189" s="15" t="s">
        <v>290</v>
      </c>
      <c r="F189" s="16" t="s">
        <v>20</v>
      </c>
      <c r="G189" s="17">
        <v>5</v>
      </c>
      <c r="H189" s="74">
        <v>2800</v>
      </c>
      <c r="I189" s="60">
        <f t="shared" si="10"/>
        <v>14000</v>
      </c>
    </row>
    <row r="190" spans="1:9" ht="28.5" customHeight="1">
      <c r="A190" s="61">
        <v>181</v>
      </c>
      <c r="B190" s="13" t="s">
        <v>291</v>
      </c>
      <c r="C190" s="54" t="s">
        <v>17</v>
      </c>
      <c r="D190" s="14" t="s">
        <v>18</v>
      </c>
      <c r="E190" s="15" t="s">
        <v>292</v>
      </c>
      <c r="F190" s="16" t="s">
        <v>20</v>
      </c>
      <c r="G190" s="17">
        <v>5</v>
      </c>
      <c r="H190" s="74">
        <v>2800</v>
      </c>
      <c r="I190" s="60">
        <f t="shared" si="10"/>
        <v>14000</v>
      </c>
    </row>
    <row r="191" spans="1:9" ht="28.5" customHeight="1">
      <c r="A191" s="61">
        <v>182</v>
      </c>
      <c r="B191" s="13" t="s">
        <v>293</v>
      </c>
      <c r="C191" s="54" t="s">
        <v>17</v>
      </c>
      <c r="D191" s="14" t="s">
        <v>18</v>
      </c>
      <c r="E191" s="15" t="s">
        <v>294</v>
      </c>
      <c r="F191" s="16" t="s">
        <v>20</v>
      </c>
      <c r="G191" s="17">
        <v>5</v>
      </c>
      <c r="H191" s="74">
        <v>10500</v>
      </c>
      <c r="I191" s="60">
        <f t="shared" si="10"/>
        <v>52500</v>
      </c>
    </row>
    <row r="192" spans="1:9" ht="28.5" customHeight="1">
      <c r="A192" s="61">
        <v>183</v>
      </c>
      <c r="B192" s="13" t="s">
        <v>295</v>
      </c>
      <c r="C192" s="54" t="s">
        <v>17</v>
      </c>
      <c r="D192" s="14" t="s">
        <v>18</v>
      </c>
      <c r="E192" s="15" t="s">
        <v>296</v>
      </c>
      <c r="F192" s="16" t="s">
        <v>20</v>
      </c>
      <c r="G192" s="17">
        <v>10</v>
      </c>
      <c r="H192" s="74">
        <v>9800</v>
      </c>
      <c r="I192" s="60">
        <f t="shared" si="10"/>
        <v>98000</v>
      </c>
    </row>
    <row r="193" spans="1:9" ht="28.5" customHeight="1">
      <c r="A193" s="61">
        <v>184</v>
      </c>
      <c r="B193" s="13" t="s">
        <v>297</v>
      </c>
      <c r="C193" s="54" t="s">
        <v>17</v>
      </c>
      <c r="D193" s="14" t="s">
        <v>18</v>
      </c>
      <c r="E193" s="15" t="s">
        <v>298</v>
      </c>
      <c r="F193" s="16" t="s">
        <v>20</v>
      </c>
      <c r="G193" s="17">
        <v>10</v>
      </c>
      <c r="H193" s="74">
        <v>9800</v>
      </c>
      <c r="I193" s="60">
        <f t="shared" si="10"/>
        <v>98000</v>
      </c>
    </row>
    <row r="194" spans="1:9" ht="28.5" customHeight="1">
      <c r="A194" s="61">
        <v>185</v>
      </c>
      <c r="B194" s="13" t="s">
        <v>299</v>
      </c>
      <c r="C194" s="54" t="s">
        <v>17</v>
      </c>
      <c r="D194" s="14" t="s">
        <v>18</v>
      </c>
      <c r="E194" s="15" t="s">
        <v>300</v>
      </c>
      <c r="F194" s="16" t="s">
        <v>20</v>
      </c>
      <c r="G194" s="17">
        <v>10</v>
      </c>
      <c r="H194" s="74">
        <v>5600</v>
      </c>
      <c r="I194" s="60">
        <f t="shared" si="10"/>
        <v>56000</v>
      </c>
    </row>
    <row r="195" spans="1:9" ht="28.5" customHeight="1">
      <c r="A195" s="61">
        <v>186</v>
      </c>
      <c r="B195" s="13" t="s">
        <v>301</v>
      </c>
      <c r="C195" s="54" t="s">
        <v>17</v>
      </c>
      <c r="D195" s="14" t="s">
        <v>18</v>
      </c>
      <c r="E195" s="15" t="s">
        <v>302</v>
      </c>
      <c r="F195" s="16" t="s">
        <v>20</v>
      </c>
      <c r="G195" s="17">
        <v>15</v>
      </c>
      <c r="H195" s="74">
        <v>11200</v>
      </c>
      <c r="I195" s="60">
        <f t="shared" si="10"/>
        <v>168000</v>
      </c>
    </row>
    <row r="196" spans="1:9" ht="28.5" customHeight="1">
      <c r="A196" s="61">
        <v>187</v>
      </c>
      <c r="B196" s="13" t="s">
        <v>303</v>
      </c>
      <c r="C196" s="54" t="s">
        <v>17</v>
      </c>
      <c r="D196" s="14" t="s">
        <v>18</v>
      </c>
      <c r="E196" s="15" t="s">
        <v>304</v>
      </c>
      <c r="F196" s="16" t="s">
        <v>20</v>
      </c>
      <c r="G196" s="17">
        <v>15</v>
      </c>
      <c r="H196" s="74">
        <v>10500</v>
      </c>
      <c r="I196" s="60">
        <f t="shared" si="10"/>
        <v>157500</v>
      </c>
    </row>
    <row r="197" spans="1:9" ht="28.5" customHeight="1">
      <c r="A197" s="61">
        <v>188</v>
      </c>
      <c r="B197" s="13" t="s">
        <v>305</v>
      </c>
      <c r="C197" s="54" t="s">
        <v>17</v>
      </c>
      <c r="D197" s="14" t="s">
        <v>18</v>
      </c>
      <c r="E197" s="15" t="s">
        <v>306</v>
      </c>
      <c r="F197" s="16" t="s">
        <v>20</v>
      </c>
      <c r="G197" s="17">
        <v>15</v>
      </c>
      <c r="H197" s="74">
        <v>6930</v>
      </c>
      <c r="I197" s="60">
        <f t="shared" si="10"/>
        <v>103950</v>
      </c>
    </row>
    <row r="198" spans="1:9" ht="28.5" customHeight="1">
      <c r="A198" s="61">
        <v>189</v>
      </c>
      <c r="B198" s="13" t="s">
        <v>307</v>
      </c>
      <c r="C198" s="54" t="s">
        <v>17</v>
      </c>
      <c r="D198" s="14" t="s">
        <v>18</v>
      </c>
      <c r="E198" s="15" t="s">
        <v>308</v>
      </c>
      <c r="F198" s="16" t="s">
        <v>20</v>
      </c>
      <c r="G198" s="17">
        <v>10</v>
      </c>
      <c r="H198" s="74">
        <v>8260</v>
      </c>
      <c r="I198" s="60">
        <f t="shared" si="10"/>
        <v>82600</v>
      </c>
    </row>
    <row r="199" spans="1:9" ht="28.5" customHeight="1">
      <c r="A199" s="61">
        <v>190</v>
      </c>
      <c r="B199" s="13" t="s">
        <v>309</v>
      </c>
      <c r="C199" s="54" t="s">
        <v>17</v>
      </c>
      <c r="D199" s="14" t="s">
        <v>18</v>
      </c>
      <c r="E199" s="15" t="s">
        <v>310</v>
      </c>
      <c r="F199" s="16" t="s">
        <v>20</v>
      </c>
      <c r="G199" s="17">
        <v>15</v>
      </c>
      <c r="H199" s="74">
        <v>2800</v>
      </c>
      <c r="I199" s="60">
        <f t="shared" si="10"/>
        <v>42000</v>
      </c>
    </row>
    <row r="200" spans="1:9" ht="28.5" customHeight="1">
      <c r="A200" s="61">
        <v>191</v>
      </c>
      <c r="B200" s="13" t="s">
        <v>311</v>
      </c>
      <c r="C200" s="54" t="s">
        <v>17</v>
      </c>
      <c r="D200" s="14" t="s">
        <v>18</v>
      </c>
      <c r="E200" s="15" t="s">
        <v>312</v>
      </c>
      <c r="F200" s="16" t="s">
        <v>20</v>
      </c>
      <c r="G200" s="17">
        <v>15</v>
      </c>
      <c r="H200" s="74">
        <v>490</v>
      </c>
      <c r="I200" s="60">
        <f t="shared" si="10"/>
        <v>7350</v>
      </c>
    </row>
    <row r="201" spans="1:9" ht="28.5" customHeight="1">
      <c r="A201" s="61">
        <v>192</v>
      </c>
      <c r="B201" s="13" t="s">
        <v>313</v>
      </c>
      <c r="C201" s="54" t="s">
        <v>17</v>
      </c>
      <c r="D201" s="14" t="s">
        <v>18</v>
      </c>
      <c r="E201" s="15" t="s">
        <v>314</v>
      </c>
      <c r="F201" s="16" t="s">
        <v>20</v>
      </c>
      <c r="G201" s="17">
        <v>80</v>
      </c>
      <c r="H201" s="74">
        <v>2520</v>
      </c>
      <c r="I201" s="60">
        <f t="shared" si="10"/>
        <v>201600</v>
      </c>
    </row>
    <row r="202" spans="1:9" ht="28.5" customHeight="1">
      <c r="A202" s="61">
        <v>193</v>
      </c>
      <c r="B202" s="13" t="s">
        <v>315</v>
      </c>
      <c r="C202" s="54" t="s">
        <v>17</v>
      </c>
      <c r="D202" s="14" t="s">
        <v>18</v>
      </c>
      <c r="E202" s="15" t="s">
        <v>316</v>
      </c>
      <c r="F202" s="16" t="s">
        <v>20</v>
      </c>
      <c r="G202" s="17">
        <v>100</v>
      </c>
      <c r="H202" s="74">
        <v>350</v>
      </c>
      <c r="I202" s="60">
        <f t="shared" si="10"/>
        <v>35000</v>
      </c>
    </row>
    <row r="203" spans="1:9" ht="28.5" customHeight="1">
      <c r="A203" s="61">
        <v>194</v>
      </c>
      <c r="B203" s="13" t="s">
        <v>317</v>
      </c>
      <c r="C203" s="54" t="s">
        <v>17</v>
      </c>
      <c r="D203" s="14" t="s">
        <v>18</v>
      </c>
      <c r="E203" s="15" t="s">
        <v>318</v>
      </c>
      <c r="F203" s="16" t="s">
        <v>20</v>
      </c>
      <c r="G203" s="17">
        <v>50</v>
      </c>
      <c r="H203" s="74">
        <v>2800</v>
      </c>
      <c r="I203" s="60">
        <f t="shared" si="10"/>
        <v>140000</v>
      </c>
    </row>
    <row r="204" spans="1:9" ht="28.5" customHeight="1">
      <c r="A204" s="61">
        <v>195</v>
      </c>
      <c r="B204" s="13" t="s">
        <v>319</v>
      </c>
      <c r="C204" s="54" t="s">
        <v>17</v>
      </c>
      <c r="D204" s="14" t="s">
        <v>18</v>
      </c>
      <c r="E204" s="15" t="s">
        <v>320</v>
      </c>
      <c r="F204" s="16" t="s">
        <v>20</v>
      </c>
      <c r="G204" s="17">
        <v>50</v>
      </c>
      <c r="H204" s="74">
        <v>1120</v>
      </c>
      <c r="I204" s="60">
        <f t="shared" si="10"/>
        <v>56000</v>
      </c>
    </row>
    <row r="205" spans="1:9" ht="28.5" customHeight="1">
      <c r="A205" s="61">
        <v>196</v>
      </c>
      <c r="B205" s="13" t="s">
        <v>321</v>
      </c>
      <c r="C205" s="54" t="s">
        <v>17</v>
      </c>
      <c r="D205" s="14" t="s">
        <v>18</v>
      </c>
      <c r="E205" s="15" t="s">
        <v>322</v>
      </c>
      <c r="F205" s="16" t="s">
        <v>20</v>
      </c>
      <c r="G205" s="17">
        <v>50</v>
      </c>
      <c r="H205" s="74">
        <v>420</v>
      </c>
      <c r="I205" s="60">
        <f t="shared" si="10"/>
        <v>21000</v>
      </c>
    </row>
    <row r="206" spans="1:9" ht="28.5" customHeight="1">
      <c r="A206" s="61">
        <v>197</v>
      </c>
      <c r="B206" s="13" t="s">
        <v>323</v>
      </c>
      <c r="C206" s="54" t="s">
        <v>17</v>
      </c>
      <c r="D206" s="14" t="s">
        <v>18</v>
      </c>
      <c r="E206" s="15" t="s">
        <v>324</v>
      </c>
      <c r="F206" s="16" t="s">
        <v>20</v>
      </c>
      <c r="G206" s="17">
        <v>50</v>
      </c>
      <c r="H206" s="74">
        <v>280</v>
      </c>
      <c r="I206" s="60">
        <f t="shared" si="10"/>
        <v>14000</v>
      </c>
    </row>
    <row r="207" spans="1:9" ht="28.5" customHeight="1">
      <c r="A207" s="61">
        <v>198</v>
      </c>
      <c r="B207" s="13" t="s">
        <v>325</v>
      </c>
      <c r="C207" s="54" t="s">
        <v>17</v>
      </c>
      <c r="D207" s="14" t="s">
        <v>18</v>
      </c>
      <c r="E207" s="15" t="s">
        <v>326</v>
      </c>
      <c r="F207" s="16" t="s">
        <v>20</v>
      </c>
      <c r="G207" s="17">
        <v>10</v>
      </c>
      <c r="H207" s="74">
        <v>11900</v>
      </c>
      <c r="I207" s="60">
        <f t="shared" si="10"/>
        <v>119000</v>
      </c>
    </row>
    <row r="208" spans="1:9" ht="28.5" customHeight="1">
      <c r="A208" s="61">
        <v>199</v>
      </c>
      <c r="B208" s="13" t="s">
        <v>327</v>
      </c>
      <c r="C208" s="54" t="s">
        <v>17</v>
      </c>
      <c r="D208" s="14" t="s">
        <v>18</v>
      </c>
      <c r="E208" s="15" t="s">
        <v>328</v>
      </c>
      <c r="F208" s="16" t="s">
        <v>20</v>
      </c>
      <c r="G208" s="17">
        <v>10</v>
      </c>
      <c r="H208" s="74">
        <v>11900</v>
      </c>
      <c r="I208" s="60">
        <f t="shared" si="10"/>
        <v>119000</v>
      </c>
    </row>
    <row r="209" spans="1:11" ht="28.5" customHeight="1">
      <c r="A209" s="61">
        <v>200</v>
      </c>
      <c r="B209" s="13" t="s">
        <v>329</v>
      </c>
      <c r="C209" s="54" t="s">
        <v>17</v>
      </c>
      <c r="D209" s="14" t="s">
        <v>18</v>
      </c>
      <c r="E209" s="15" t="s">
        <v>330</v>
      </c>
      <c r="F209" s="16" t="s">
        <v>20</v>
      </c>
      <c r="G209" s="17">
        <v>10</v>
      </c>
      <c r="H209" s="74">
        <v>11900</v>
      </c>
      <c r="I209" s="60">
        <f t="shared" si="10"/>
        <v>119000</v>
      </c>
    </row>
    <row r="210" spans="1:11" ht="28.5" customHeight="1">
      <c r="A210" s="61">
        <v>201</v>
      </c>
      <c r="B210" s="13" t="s">
        <v>331</v>
      </c>
      <c r="C210" s="54" t="s">
        <v>17</v>
      </c>
      <c r="D210" s="14" t="s">
        <v>18</v>
      </c>
      <c r="E210" s="15" t="s">
        <v>332</v>
      </c>
      <c r="F210" s="16" t="s">
        <v>20</v>
      </c>
      <c r="G210" s="17">
        <v>10</v>
      </c>
      <c r="H210" s="74">
        <v>10500</v>
      </c>
      <c r="I210" s="60">
        <f t="shared" si="10"/>
        <v>105000</v>
      </c>
    </row>
    <row r="211" spans="1:11" ht="28.5" customHeight="1">
      <c r="A211" s="61">
        <v>202</v>
      </c>
      <c r="B211" s="13" t="s">
        <v>333</v>
      </c>
      <c r="C211" s="54" t="s">
        <v>17</v>
      </c>
      <c r="D211" s="14" t="s">
        <v>18</v>
      </c>
      <c r="E211" s="15" t="s">
        <v>334</v>
      </c>
      <c r="F211" s="16" t="s">
        <v>20</v>
      </c>
      <c r="G211" s="17">
        <v>5</v>
      </c>
      <c r="H211" s="74">
        <v>8383.2000000000007</v>
      </c>
      <c r="I211" s="60">
        <f t="shared" si="10"/>
        <v>41916</v>
      </c>
    </row>
    <row r="212" spans="1:11" ht="28.5" customHeight="1">
      <c r="A212" s="61">
        <v>203</v>
      </c>
      <c r="B212" s="13" t="s">
        <v>335</v>
      </c>
      <c r="C212" s="54" t="s">
        <v>17</v>
      </c>
      <c r="D212" s="14" t="s">
        <v>18</v>
      </c>
      <c r="E212" s="15" t="s">
        <v>336</v>
      </c>
      <c r="F212" s="16" t="s">
        <v>20</v>
      </c>
      <c r="G212" s="17">
        <v>20</v>
      </c>
      <c r="H212" s="74">
        <v>2772</v>
      </c>
      <c r="I212" s="60">
        <f t="shared" si="10"/>
        <v>55440</v>
      </c>
    </row>
    <row r="213" spans="1:11" ht="28.5" customHeight="1">
      <c r="A213" s="61">
        <v>204</v>
      </c>
      <c r="B213" s="13" t="s">
        <v>337</v>
      </c>
      <c r="C213" s="54" t="s">
        <v>17</v>
      </c>
      <c r="D213" s="14" t="s">
        <v>18</v>
      </c>
      <c r="E213" s="15" t="s">
        <v>338</v>
      </c>
      <c r="F213" s="16" t="s">
        <v>20</v>
      </c>
      <c r="G213" s="17">
        <v>15</v>
      </c>
      <c r="H213" s="74">
        <v>3696</v>
      </c>
      <c r="I213" s="60">
        <f t="shared" si="10"/>
        <v>55440</v>
      </c>
    </row>
    <row r="214" spans="1:11" ht="28.5" customHeight="1">
      <c r="A214" s="61">
        <v>205</v>
      </c>
      <c r="B214" s="13" t="s">
        <v>339</v>
      </c>
      <c r="C214" s="54" t="s">
        <v>17</v>
      </c>
      <c r="D214" s="14" t="s">
        <v>18</v>
      </c>
      <c r="E214" s="15" t="s">
        <v>340</v>
      </c>
      <c r="F214" s="16" t="s">
        <v>20</v>
      </c>
      <c r="G214" s="17">
        <v>3</v>
      </c>
      <c r="H214" s="74">
        <v>10575.6</v>
      </c>
      <c r="I214" s="60">
        <f t="shared" si="10"/>
        <v>31726.800000000003</v>
      </c>
    </row>
    <row r="215" spans="1:11" ht="28.5" customHeight="1">
      <c r="A215" s="61">
        <v>206</v>
      </c>
      <c r="B215" s="13" t="s">
        <v>341</v>
      </c>
      <c r="C215" s="54" t="s">
        <v>17</v>
      </c>
      <c r="D215" s="14" t="s">
        <v>18</v>
      </c>
      <c r="E215" s="15" t="s">
        <v>342</v>
      </c>
      <c r="F215" s="16" t="s">
        <v>20</v>
      </c>
      <c r="G215" s="17">
        <v>10</v>
      </c>
      <c r="H215" s="74">
        <v>12892.6</v>
      </c>
      <c r="I215" s="60">
        <f t="shared" si="10"/>
        <v>128926</v>
      </c>
    </row>
    <row r="216" spans="1:11" ht="28.5" customHeight="1">
      <c r="A216" s="61">
        <v>207</v>
      </c>
      <c r="B216" s="13" t="s">
        <v>343</v>
      </c>
      <c r="C216" s="54" t="s">
        <v>17</v>
      </c>
      <c r="D216" s="14" t="s">
        <v>18</v>
      </c>
      <c r="E216" s="15" t="s">
        <v>344</v>
      </c>
      <c r="F216" s="16" t="s">
        <v>20</v>
      </c>
      <c r="G216" s="17">
        <v>3</v>
      </c>
      <c r="H216" s="74">
        <v>55378.400000000001</v>
      </c>
      <c r="I216" s="60">
        <f t="shared" si="10"/>
        <v>166135.20000000001</v>
      </c>
    </row>
    <row r="217" spans="1:11" ht="28.5" customHeight="1">
      <c r="A217" s="61">
        <v>208</v>
      </c>
      <c r="B217" s="13" t="s">
        <v>345</v>
      </c>
      <c r="C217" s="54" t="s">
        <v>17</v>
      </c>
      <c r="D217" s="14" t="s">
        <v>18</v>
      </c>
      <c r="E217" s="15" t="s">
        <v>346</v>
      </c>
      <c r="F217" s="16" t="s">
        <v>20</v>
      </c>
      <c r="G217" s="17">
        <v>15</v>
      </c>
      <c r="H217" s="74">
        <v>1472.8</v>
      </c>
      <c r="I217" s="60">
        <f t="shared" si="10"/>
        <v>22092</v>
      </c>
    </row>
    <row r="218" spans="1:11" ht="28.5" customHeight="1" thickBot="1">
      <c r="A218" s="61">
        <v>209</v>
      </c>
      <c r="B218" s="70" t="s">
        <v>347</v>
      </c>
      <c r="C218" s="54" t="s">
        <v>17</v>
      </c>
      <c r="D218" s="14" t="s">
        <v>18</v>
      </c>
      <c r="E218" s="71" t="s">
        <v>348</v>
      </c>
      <c r="F218" s="16" t="s">
        <v>20</v>
      </c>
      <c r="G218" s="75">
        <v>10</v>
      </c>
      <c r="H218" s="76">
        <v>2380</v>
      </c>
      <c r="I218" s="60">
        <f t="shared" si="10"/>
        <v>23800</v>
      </c>
    </row>
    <row r="219" spans="1:11" ht="28.5" customHeight="1">
      <c r="A219" s="49"/>
      <c r="B219" s="13"/>
      <c r="C219" s="54"/>
      <c r="D219" s="14"/>
      <c r="E219" s="15"/>
      <c r="F219" s="16"/>
      <c r="G219" s="17"/>
      <c r="H219" s="59"/>
      <c r="I219" s="60"/>
    </row>
    <row r="220" spans="1:11" ht="21" customHeight="1">
      <c r="I220" s="60">
        <f>SUM(I11:I219)</f>
        <v>21389564.199999999</v>
      </c>
    </row>
    <row r="221" spans="1:11" ht="6" customHeight="1" thickBot="1">
      <c r="I221" s="5"/>
    </row>
    <row r="222" spans="1:11">
      <c r="B222" s="18" t="s">
        <v>349</v>
      </c>
      <c r="C222" s="19"/>
      <c r="D222" s="20"/>
      <c r="E222" s="20"/>
      <c r="F222" s="20"/>
      <c r="G222" s="20"/>
      <c r="H222" s="20"/>
      <c r="I222" s="20"/>
      <c r="J222" s="31"/>
      <c r="K222" s="6"/>
    </row>
    <row r="223" spans="1:11">
      <c r="B223" s="26"/>
      <c r="C223" s="22"/>
      <c r="D223" s="23"/>
      <c r="E223" s="23"/>
      <c r="F223" s="23"/>
      <c r="G223" s="23"/>
      <c r="H223" s="23"/>
      <c r="I223" s="23"/>
      <c r="J223" s="32"/>
      <c r="K223" s="6"/>
    </row>
    <row r="224" spans="1:11" ht="15.75" customHeight="1">
      <c r="B224" s="21" t="s">
        <v>350</v>
      </c>
      <c r="C224" s="26" t="s">
        <v>351</v>
      </c>
      <c r="D224" s="86" t="s">
        <v>352</v>
      </c>
      <c r="E224" s="86"/>
      <c r="F224" s="86"/>
      <c r="G224" s="86"/>
      <c r="H224" s="86"/>
      <c r="I224" s="86"/>
      <c r="J224" s="32"/>
      <c r="K224" s="6"/>
    </row>
    <row r="225" spans="1:11" ht="17.25" customHeight="1">
      <c r="B225" s="21" t="s">
        <v>353</v>
      </c>
      <c r="C225" s="26" t="s">
        <v>351</v>
      </c>
      <c r="D225" s="86" t="s">
        <v>354</v>
      </c>
      <c r="E225" s="86"/>
      <c r="F225" s="86"/>
      <c r="G225" s="86"/>
      <c r="H225" s="86"/>
      <c r="I225" s="86"/>
      <c r="J225" s="32"/>
      <c r="K225" s="6"/>
    </row>
    <row r="226" spans="1:11" ht="16.5" customHeight="1">
      <c r="B226" s="21" t="s">
        <v>355</v>
      </c>
      <c r="C226" s="26" t="s">
        <v>351</v>
      </c>
      <c r="D226" s="86" t="s">
        <v>356</v>
      </c>
      <c r="E226" s="86"/>
      <c r="F226" s="86"/>
      <c r="G226" s="86"/>
      <c r="H226" s="86"/>
      <c r="I226" s="86"/>
      <c r="J226" s="32"/>
      <c r="K226" s="6"/>
    </row>
    <row r="227" spans="1:11" ht="20.25" customHeight="1">
      <c r="B227" s="21" t="s">
        <v>357</v>
      </c>
      <c r="C227" s="26" t="s">
        <v>351</v>
      </c>
      <c r="D227" s="86" t="s">
        <v>358</v>
      </c>
      <c r="E227" s="86"/>
      <c r="F227" s="86"/>
      <c r="G227" s="86"/>
      <c r="H227" s="86"/>
      <c r="I227" s="86"/>
      <c r="J227" s="32"/>
      <c r="K227" s="6"/>
    </row>
    <row r="228" spans="1:11" ht="27.75" customHeight="1">
      <c r="B228" s="21" t="s">
        <v>359</v>
      </c>
      <c r="C228" s="26" t="s">
        <v>351</v>
      </c>
      <c r="D228" s="86" t="s">
        <v>360</v>
      </c>
      <c r="E228" s="86"/>
      <c r="F228" s="86"/>
      <c r="G228" s="86"/>
      <c r="H228" s="86"/>
      <c r="I228" s="86"/>
      <c r="J228" s="32"/>
      <c r="K228" s="6"/>
    </row>
    <row r="229" spans="1:11" ht="30" customHeight="1">
      <c r="B229" s="21" t="s">
        <v>361</v>
      </c>
      <c r="C229" s="26" t="s">
        <v>351</v>
      </c>
      <c r="D229" s="86" t="s">
        <v>362</v>
      </c>
      <c r="E229" s="86"/>
      <c r="F229" s="86"/>
      <c r="G229" s="86"/>
      <c r="H229" s="86"/>
      <c r="I229" s="86"/>
      <c r="J229" s="32"/>
      <c r="K229" s="6"/>
    </row>
    <row r="230" spans="1:11">
      <c r="B230" s="21" t="s">
        <v>363</v>
      </c>
      <c r="C230" s="81" t="s">
        <v>351</v>
      </c>
      <c r="D230" s="22" t="s">
        <v>364</v>
      </c>
      <c r="E230" s="29"/>
      <c r="F230" s="29"/>
      <c r="G230" s="29"/>
      <c r="H230" s="29"/>
      <c r="I230" s="29"/>
      <c r="J230" s="32"/>
      <c r="K230" s="6"/>
    </row>
    <row r="231" spans="1:11" s="8" customFormat="1" ht="29.25" customHeight="1">
      <c r="A231" s="7"/>
      <c r="B231" s="21" t="s">
        <v>365</v>
      </c>
      <c r="C231" s="81" t="s">
        <v>351</v>
      </c>
      <c r="D231" s="86" t="s">
        <v>366</v>
      </c>
      <c r="E231" s="86"/>
      <c r="F231" s="86"/>
      <c r="G231" s="86"/>
      <c r="H231" s="86"/>
      <c r="I231" s="86"/>
      <c r="J231" s="34"/>
      <c r="K231" s="33"/>
    </row>
    <row r="232" spans="1:11">
      <c r="B232" s="21" t="s">
        <v>367</v>
      </c>
      <c r="C232" s="81" t="s">
        <v>351</v>
      </c>
      <c r="D232" s="84" t="s">
        <v>368</v>
      </c>
      <c r="E232" s="24"/>
      <c r="F232" s="23"/>
      <c r="G232" s="23"/>
      <c r="H232" s="23"/>
      <c r="I232" s="23"/>
      <c r="J232" s="32"/>
      <c r="K232" s="6"/>
    </row>
    <row r="233" spans="1:11">
      <c r="B233" s="21" t="s">
        <v>369</v>
      </c>
      <c r="C233" s="81" t="s">
        <v>351</v>
      </c>
      <c r="D233" s="84" t="s">
        <v>370</v>
      </c>
      <c r="E233" s="24"/>
      <c r="F233" s="23"/>
      <c r="G233" s="23"/>
      <c r="H233" s="23"/>
      <c r="I233" s="23"/>
      <c r="J233" s="32"/>
      <c r="K233" s="6"/>
    </row>
    <row r="234" spans="1:11">
      <c r="B234" s="21" t="s">
        <v>371</v>
      </c>
      <c r="C234" s="81" t="s">
        <v>351</v>
      </c>
      <c r="D234" s="84" t="s">
        <v>372</v>
      </c>
      <c r="E234" s="24"/>
      <c r="F234" s="23"/>
      <c r="G234" s="23"/>
      <c r="H234" s="23"/>
      <c r="I234" s="23"/>
      <c r="J234" s="32"/>
      <c r="K234" s="6"/>
    </row>
    <row r="235" spans="1:11">
      <c r="B235" s="21" t="s">
        <v>373</v>
      </c>
      <c r="C235" s="81" t="s">
        <v>351</v>
      </c>
      <c r="D235" s="27" t="s">
        <v>374</v>
      </c>
      <c r="E235" s="24"/>
      <c r="F235" s="23"/>
      <c r="G235" s="23"/>
      <c r="H235" s="23"/>
      <c r="I235" s="23"/>
      <c r="J235" s="32"/>
      <c r="K235" s="6"/>
    </row>
    <row r="236" spans="1:11">
      <c r="B236" s="21" t="s">
        <v>375</v>
      </c>
      <c r="C236" s="81" t="s">
        <v>351</v>
      </c>
      <c r="D236" s="89" t="s">
        <v>376</v>
      </c>
      <c r="E236" s="89"/>
      <c r="F236" s="89"/>
      <c r="G236" s="89"/>
      <c r="H236" s="89"/>
      <c r="I236" s="23"/>
      <c r="J236" s="32"/>
      <c r="K236" s="6"/>
    </row>
    <row r="237" spans="1:11">
      <c r="B237" s="21" t="s">
        <v>377</v>
      </c>
      <c r="C237" s="81" t="s">
        <v>351</v>
      </c>
      <c r="D237" s="89" t="s">
        <v>378</v>
      </c>
      <c r="E237" s="89"/>
      <c r="F237" s="89"/>
      <c r="G237" s="89"/>
      <c r="H237" s="89"/>
      <c r="I237" s="23"/>
      <c r="J237" s="32"/>
      <c r="K237" s="6"/>
    </row>
    <row r="238" spans="1:11">
      <c r="B238" s="21" t="s">
        <v>379</v>
      </c>
      <c r="C238" s="81" t="s">
        <v>351</v>
      </c>
      <c r="D238" s="84" t="s">
        <v>380</v>
      </c>
      <c r="E238" s="24"/>
      <c r="F238" s="23"/>
      <c r="G238" s="23"/>
      <c r="H238" s="23"/>
      <c r="I238" s="23"/>
      <c r="J238" s="32"/>
      <c r="K238" s="6"/>
    </row>
    <row r="239" spans="1:11">
      <c r="B239" s="21" t="s">
        <v>381</v>
      </c>
      <c r="C239" s="81" t="s">
        <v>351</v>
      </c>
      <c r="D239" s="22" t="s">
        <v>382</v>
      </c>
      <c r="E239" s="29"/>
      <c r="F239" s="29"/>
      <c r="G239" s="29"/>
      <c r="H239" s="29"/>
      <c r="I239" s="29"/>
      <c r="J239" s="32"/>
      <c r="K239" s="6"/>
    </row>
    <row r="240" spans="1:11" ht="30.75" customHeight="1">
      <c r="B240" s="21" t="s">
        <v>383</v>
      </c>
      <c r="C240" s="81" t="s">
        <v>351</v>
      </c>
      <c r="D240" s="86" t="s">
        <v>384</v>
      </c>
      <c r="E240" s="86"/>
      <c r="F240" s="86"/>
      <c r="G240" s="86"/>
      <c r="H240" s="86"/>
      <c r="I240" s="86"/>
      <c r="J240" s="79"/>
      <c r="K240" s="6"/>
    </row>
    <row r="241" spans="2:11" ht="13.5" customHeight="1">
      <c r="B241" s="21" t="s">
        <v>385</v>
      </c>
      <c r="C241" s="81" t="s">
        <v>351</v>
      </c>
      <c r="D241" s="86" t="s">
        <v>386</v>
      </c>
      <c r="E241" s="86"/>
      <c r="F241" s="86"/>
      <c r="G241" s="86"/>
      <c r="H241" s="86"/>
      <c r="I241" s="86"/>
      <c r="J241" s="32"/>
      <c r="K241" s="6"/>
    </row>
    <row r="242" spans="2:11" ht="13.5" customHeight="1">
      <c r="B242" s="21" t="s">
        <v>387</v>
      </c>
      <c r="C242" s="81" t="s">
        <v>351</v>
      </c>
      <c r="D242" s="86" t="s">
        <v>388</v>
      </c>
      <c r="E242" s="86"/>
      <c r="F242" s="86"/>
      <c r="G242" s="86"/>
      <c r="H242" s="86"/>
      <c r="I242" s="86"/>
      <c r="J242" s="32"/>
      <c r="K242" s="6"/>
    </row>
    <row r="243" spans="2:11" ht="13.5" customHeight="1">
      <c r="B243" s="21" t="s">
        <v>389</v>
      </c>
      <c r="C243" s="81" t="s">
        <v>351</v>
      </c>
      <c r="D243" s="86" t="s">
        <v>390</v>
      </c>
      <c r="E243" s="86"/>
      <c r="F243" s="86"/>
      <c r="G243" s="86"/>
      <c r="H243" s="86"/>
      <c r="I243" s="86"/>
      <c r="K243" s="6"/>
    </row>
    <row r="244" spans="2:11" ht="13.5" customHeight="1">
      <c r="B244" s="21" t="s">
        <v>391</v>
      </c>
      <c r="C244" s="81" t="s">
        <v>351</v>
      </c>
      <c r="D244" s="86" t="s">
        <v>392</v>
      </c>
      <c r="E244" s="86"/>
      <c r="F244" s="86"/>
      <c r="G244" s="86"/>
      <c r="H244" s="86"/>
      <c r="I244" s="86"/>
      <c r="J244" s="32"/>
      <c r="K244" s="6"/>
    </row>
    <row r="245" spans="2:11" ht="13.5" customHeight="1">
      <c r="B245" s="21" t="s">
        <v>393</v>
      </c>
      <c r="C245" s="81" t="s">
        <v>351</v>
      </c>
      <c r="D245" s="86" t="s">
        <v>394</v>
      </c>
      <c r="E245" s="86"/>
      <c r="F245" s="86"/>
      <c r="G245" s="86"/>
      <c r="H245" s="86"/>
      <c r="I245" s="86"/>
      <c r="J245" s="32"/>
      <c r="K245" s="6"/>
    </row>
    <row r="246" spans="2:11" ht="13.5" customHeight="1">
      <c r="B246" s="21" t="s">
        <v>395</v>
      </c>
      <c r="C246" s="81" t="s">
        <v>351</v>
      </c>
      <c r="D246" s="86" t="s">
        <v>396</v>
      </c>
      <c r="E246" s="86"/>
      <c r="F246" s="86"/>
      <c r="G246" s="86"/>
      <c r="H246" s="86"/>
      <c r="I246" s="86"/>
      <c r="K246" s="6"/>
    </row>
    <row r="247" spans="2:11">
      <c r="B247" s="21" t="s">
        <v>397</v>
      </c>
      <c r="C247" s="81" t="s">
        <v>351</v>
      </c>
      <c r="D247" s="84" t="s">
        <v>398</v>
      </c>
      <c r="E247" s="24"/>
      <c r="F247" s="23"/>
      <c r="G247" s="23"/>
      <c r="H247" s="23"/>
      <c r="I247" s="23"/>
      <c r="J247" s="32"/>
      <c r="K247" s="6"/>
    </row>
    <row r="248" spans="2:11">
      <c r="B248" s="21" t="s">
        <v>399</v>
      </c>
      <c r="C248" s="81" t="s">
        <v>351</v>
      </c>
      <c r="D248" s="84" t="s">
        <v>400</v>
      </c>
      <c r="E248" s="24"/>
      <c r="F248" s="23"/>
      <c r="G248" s="23"/>
      <c r="H248" s="23"/>
      <c r="I248" s="23"/>
      <c r="J248" s="32"/>
      <c r="K248" s="6"/>
    </row>
    <row r="249" spans="2:11">
      <c r="B249" s="21" t="s">
        <v>401</v>
      </c>
      <c r="C249" s="26" t="s">
        <v>402</v>
      </c>
      <c r="D249" s="26" t="s">
        <v>403</v>
      </c>
      <c r="E249" s="26"/>
      <c r="F249" s="26"/>
      <c r="G249" s="26"/>
      <c r="H249" s="26"/>
      <c r="I249" s="26"/>
      <c r="J249" s="82"/>
      <c r="K249" s="6"/>
    </row>
    <row r="250" spans="2:11">
      <c r="B250" s="21" t="s">
        <v>404</v>
      </c>
      <c r="C250" s="81" t="s">
        <v>351</v>
      </c>
      <c r="D250" s="84" t="s">
        <v>405</v>
      </c>
      <c r="E250" s="24"/>
      <c r="F250" s="23"/>
      <c r="G250" s="23"/>
      <c r="H250" s="23"/>
      <c r="I250" s="23"/>
      <c r="J250" s="32"/>
      <c r="K250" s="6"/>
    </row>
    <row r="251" spans="2:11">
      <c r="B251" s="21" t="s">
        <v>406</v>
      </c>
      <c r="C251" s="81" t="s">
        <v>351</v>
      </c>
      <c r="D251" s="84" t="s">
        <v>407</v>
      </c>
      <c r="E251" s="24"/>
      <c r="F251" s="23"/>
      <c r="G251" s="23"/>
      <c r="H251" s="23"/>
      <c r="I251" s="23"/>
      <c r="J251" s="32"/>
      <c r="K251" s="6"/>
    </row>
    <row r="252" spans="2:11">
      <c r="B252" s="21" t="s">
        <v>408</v>
      </c>
      <c r="C252" s="81" t="s">
        <v>351</v>
      </c>
      <c r="D252" s="84" t="s">
        <v>409</v>
      </c>
      <c r="E252" s="24"/>
      <c r="F252" s="23"/>
      <c r="G252" s="23"/>
      <c r="H252" s="23"/>
      <c r="I252" s="23"/>
      <c r="J252" s="32"/>
      <c r="K252" s="6"/>
    </row>
    <row r="253" spans="2:11" ht="32.25" customHeight="1">
      <c r="B253" s="21" t="s">
        <v>410</v>
      </c>
      <c r="C253" s="81" t="s">
        <v>351</v>
      </c>
      <c r="D253" s="88" t="s">
        <v>411</v>
      </c>
      <c r="E253" s="110"/>
      <c r="F253" s="110"/>
      <c r="G253" s="110"/>
      <c r="H253" s="110"/>
      <c r="I253" s="110"/>
      <c r="J253" s="111"/>
      <c r="K253" s="6"/>
    </row>
    <row r="254" spans="2:11">
      <c r="B254" s="21" t="s">
        <v>412</v>
      </c>
      <c r="C254" s="81" t="s">
        <v>351</v>
      </c>
      <c r="D254" s="90" t="s">
        <v>413</v>
      </c>
      <c r="E254" s="90"/>
      <c r="F254" s="90"/>
      <c r="G254" s="90"/>
      <c r="H254" s="90"/>
      <c r="I254" s="90"/>
      <c r="J254" s="50"/>
      <c r="K254" s="6"/>
    </row>
    <row r="255" spans="2:11" ht="31.5" customHeight="1">
      <c r="B255" s="21" t="s">
        <v>414</v>
      </c>
      <c r="C255" s="81" t="s">
        <v>351</v>
      </c>
      <c r="D255" s="86" t="s">
        <v>415</v>
      </c>
      <c r="E255" s="110"/>
      <c r="F255" s="110"/>
      <c r="G255" s="110"/>
      <c r="H255" s="110"/>
      <c r="I255" s="110"/>
      <c r="J255" s="111"/>
      <c r="K255" s="6"/>
    </row>
    <row r="256" spans="2:11">
      <c r="B256" s="21" t="s">
        <v>416</v>
      </c>
      <c r="C256" s="81" t="s">
        <v>351</v>
      </c>
      <c r="D256" s="22" t="s">
        <v>417</v>
      </c>
      <c r="E256" s="29"/>
      <c r="F256" s="29"/>
      <c r="G256" s="29"/>
      <c r="H256" s="29"/>
      <c r="I256" s="29"/>
      <c r="J256" s="50"/>
      <c r="K256" s="6"/>
    </row>
    <row r="257" spans="2:11">
      <c r="B257" s="21" t="s">
        <v>418</v>
      </c>
      <c r="C257" s="81" t="s">
        <v>351</v>
      </c>
      <c r="D257" s="22" t="s">
        <v>419</v>
      </c>
      <c r="E257" s="29"/>
      <c r="F257" s="29"/>
      <c r="G257" s="29"/>
      <c r="H257" s="29"/>
      <c r="I257" s="29"/>
      <c r="J257" s="50"/>
      <c r="K257" s="6"/>
    </row>
    <row r="258" spans="2:11">
      <c r="B258" s="21" t="s">
        <v>420</v>
      </c>
      <c r="C258" s="81" t="s">
        <v>351</v>
      </c>
      <c r="D258" s="22" t="s">
        <v>421</v>
      </c>
      <c r="E258" s="29"/>
      <c r="F258" s="29"/>
      <c r="G258" s="29"/>
      <c r="H258" s="29"/>
      <c r="I258" s="29"/>
      <c r="J258" s="50"/>
      <c r="K258" s="6"/>
    </row>
    <row r="259" spans="2:11" ht="13.5" customHeight="1">
      <c r="B259" s="21" t="s">
        <v>422</v>
      </c>
      <c r="C259" s="81" t="s">
        <v>351</v>
      </c>
      <c r="D259" s="86" t="s">
        <v>423</v>
      </c>
      <c r="E259" s="110"/>
      <c r="F259" s="110"/>
      <c r="G259" s="110"/>
      <c r="H259" s="110"/>
      <c r="I259" s="110"/>
      <c r="J259" s="111"/>
      <c r="K259" s="6"/>
    </row>
    <row r="260" spans="2:11" ht="13.5" customHeight="1">
      <c r="B260" s="21" t="s">
        <v>424</v>
      </c>
      <c r="C260" s="81" t="s">
        <v>351</v>
      </c>
      <c r="D260" s="88" t="s">
        <v>425</v>
      </c>
      <c r="E260" s="110"/>
      <c r="F260" s="110"/>
      <c r="G260" s="110"/>
      <c r="H260" s="110"/>
      <c r="I260" s="110"/>
      <c r="J260" s="111"/>
      <c r="K260" s="6"/>
    </row>
    <row r="261" spans="2:11">
      <c r="B261" s="21" t="s">
        <v>426</v>
      </c>
      <c r="C261" s="40" t="s">
        <v>351</v>
      </c>
      <c r="D261" s="41" t="s">
        <v>427</v>
      </c>
      <c r="E261" s="42"/>
      <c r="F261" s="43"/>
      <c r="G261" s="43"/>
      <c r="H261" s="43"/>
      <c r="I261" s="83"/>
      <c r="J261" s="85"/>
      <c r="K261" s="6"/>
    </row>
    <row r="262" spans="2:11">
      <c r="B262" s="21" t="s">
        <v>428</v>
      </c>
      <c r="C262" s="40" t="s">
        <v>351</v>
      </c>
      <c r="D262" s="41" t="s">
        <v>429</v>
      </c>
      <c r="E262" s="42"/>
      <c r="F262" s="43"/>
      <c r="G262" s="43"/>
      <c r="H262" s="43"/>
      <c r="I262" s="83"/>
      <c r="J262" s="85"/>
      <c r="K262" s="6"/>
    </row>
    <row r="263" spans="2:11">
      <c r="B263" s="21" t="s">
        <v>430</v>
      </c>
      <c r="C263" s="40" t="s">
        <v>351</v>
      </c>
      <c r="D263" s="41" t="s">
        <v>431</v>
      </c>
      <c r="E263" s="42"/>
      <c r="F263" s="83"/>
      <c r="G263" s="83"/>
      <c r="H263" s="83"/>
      <c r="I263" s="83"/>
      <c r="J263" s="85"/>
      <c r="K263" s="6"/>
    </row>
    <row r="264" spans="2:11">
      <c r="B264" s="21" t="s">
        <v>432</v>
      </c>
      <c r="C264" s="40" t="s">
        <v>351</v>
      </c>
      <c r="D264" s="41" t="s">
        <v>433</v>
      </c>
      <c r="E264" s="42"/>
      <c r="F264" s="83"/>
      <c r="G264" s="83"/>
      <c r="H264" s="83"/>
      <c r="I264" s="83"/>
      <c r="J264" s="85"/>
      <c r="K264" s="6"/>
    </row>
    <row r="265" spans="2:11" ht="17.25" customHeight="1">
      <c r="B265" s="21" t="s">
        <v>434</v>
      </c>
      <c r="C265" s="40" t="s">
        <v>351</v>
      </c>
      <c r="D265" s="41" t="s">
        <v>435</v>
      </c>
      <c r="E265" s="42"/>
      <c r="F265" s="83"/>
      <c r="G265" s="83"/>
      <c r="H265" s="83"/>
      <c r="I265" s="83"/>
      <c r="J265" s="85"/>
      <c r="K265" s="6"/>
    </row>
    <row r="266" spans="2:11">
      <c r="B266" s="21" t="s">
        <v>436</v>
      </c>
      <c r="C266" s="40" t="s">
        <v>351</v>
      </c>
      <c r="D266" s="41" t="s">
        <v>437</v>
      </c>
      <c r="E266" s="42"/>
      <c r="F266" s="83"/>
      <c r="G266" s="83"/>
      <c r="H266" s="83"/>
      <c r="I266" s="83"/>
      <c r="J266" s="85"/>
      <c r="K266" s="6"/>
    </row>
    <row r="267" spans="2:11">
      <c r="B267" s="21" t="s">
        <v>438</v>
      </c>
      <c r="C267" s="40" t="s">
        <v>351</v>
      </c>
      <c r="D267" s="41" t="s">
        <v>439</v>
      </c>
      <c r="E267" s="42"/>
      <c r="F267" s="83"/>
      <c r="G267" s="83" t="s">
        <v>440</v>
      </c>
      <c r="H267" s="83"/>
      <c r="I267" s="83"/>
      <c r="J267" s="85"/>
      <c r="K267" s="6"/>
    </row>
    <row r="268" spans="2:11">
      <c r="B268" s="21" t="s">
        <v>441</v>
      </c>
      <c r="C268" s="40" t="s">
        <v>351</v>
      </c>
      <c r="D268" s="41" t="s">
        <v>442</v>
      </c>
      <c r="E268" s="42"/>
      <c r="F268" s="83"/>
      <c r="G268" s="83"/>
      <c r="H268" s="83"/>
      <c r="I268" s="83"/>
      <c r="J268" s="85"/>
      <c r="K268" s="6"/>
    </row>
    <row r="269" spans="2:11">
      <c r="B269" s="21" t="s">
        <v>443</v>
      </c>
      <c r="C269" s="40" t="s">
        <v>351</v>
      </c>
      <c r="D269" s="41" t="s">
        <v>444</v>
      </c>
      <c r="E269" s="42"/>
      <c r="F269" s="83"/>
      <c r="G269" s="83"/>
      <c r="H269" s="83"/>
      <c r="I269" s="83"/>
      <c r="J269" s="85"/>
      <c r="K269" s="6"/>
    </row>
    <row r="270" spans="2:11">
      <c r="B270" s="21" t="s">
        <v>445</v>
      </c>
      <c r="C270" s="40" t="s">
        <v>351</v>
      </c>
      <c r="D270" s="41" t="s">
        <v>446</v>
      </c>
      <c r="E270" s="42"/>
      <c r="F270" s="83"/>
      <c r="G270" s="83"/>
      <c r="H270" s="83"/>
      <c r="I270" s="83"/>
      <c r="J270" s="85"/>
      <c r="K270" s="6"/>
    </row>
    <row r="271" spans="2:11">
      <c r="B271" s="21" t="s">
        <v>447</v>
      </c>
      <c r="C271" s="40" t="s">
        <v>351</v>
      </c>
      <c r="D271" s="41" t="s">
        <v>448</v>
      </c>
      <c r="E271" s="42"/>
      <c r="F271" s="83"/>
      <c r="G271" s="83"/>
      <c r="H271" s="83"/>
      <c r="I271" s="83"/>
      <c r="J271" s="85"/>
      <c r="K271" s="6"/>
    </row>
    <row r="272" spans="2:11">
      <c r="B272" s="21" t="s">
        <v>449</v>
      </c>
      <c r="C272" s="40" t="s">
        <v>351</v>
      </c>
      <c r="D272" s="41" t="s">
        <v>450</v>
      </c>
      <c r="E272" s="42"/>
      <c r="F272" s="83"/>
      <c r="G272" s="83"/>
      <c r="H272" s="83"/>
      <c r="I272" s="83"/>
      <c r="J272" s="85"/>
      <c r="K272" s="6"/>
    </row>
    <row r="273" spans="2:11">
      <c r="B273" s="21" t="s">
        <v>451</v>
      </c>
      <c r="C273" s="40" t="s">
        <v>351</v>
      </c>
      <c r="D273" s="41" t="s">
        <v>452</v>
      </c>
      <c r="E273" s="42"/>
      <c r="F273" s="83"/>
      <c r="G273" s="83"/>
      <c r="H273" s="83"/>
      <c r="I273" s="83"/>
      <c r="J273" s="85"/>
      <c r="K273" s="6"/>
    </row>
    <row r="274" spans="2:11">
      <c r="B274" s="21" t="s">
        <v>453</v>
      </c>
      <c r="C274" s="40" t="s">
        <v>351</v>
      </c>
      <c r="D274" s="41" t="s">
        <v>454</v>
      </c>
      <c r="E274" s="42"/>
      <c r="F274" s="83"/>
      <c r="G274" s="83"/>
      <c r="H274" s="83"/>
      <c r="I274" s="83"/>
      <c r="J274" s="85"/>
      <c r="K274" s="6"/>
    </row>
    <row r="275" spans="2:11">
      <c r="B275" s="21" t="s">
        <v>455</v>
      </c>
      <c r="C275" s="40" t="s">
        <v>351</v>
      </c>
      <c r="D275" s="41" t="s">
        <v>456</v>
      </c>
      <c r="E275" s="42"/>
      <c r="F275" s="43"/>
      <c r="G275" s="43"/>
      <c r="H275" s="43"/>
      <c r="I275" s="23"/>
      <c r="J275" s="32"/>
      <c r="K275" s="6"/>
    </row>
    <row r="276" spans="2:11">
      <c r="B276" s="21" t="s">
        <v>457</v>
      </c>
      <c r="C276" s="81" t="s">
        <v>351</v>
      </c>
      <c r="D276" s="84" t="s">
        <v>458</v>
      </c>
      <c r="F276" s="23"/>
      <c r="G276" s="23"/>
      <c r="H276" s="23"/>
      <c r="I276" s="23"/>
      <c r="J276" s="32"/>
      <c r="K276" s="6"/>
    </row>
    <row r="277" spans="2:11">
      <c r="B277" s="21" t="s">
        <v>459</v>
      </c>
      <c r="C277" s="81" t="s">
        <v>351</v>
      </c>
      <c r="D277" s="22" t="s">
        <v>460</v>
      </c>
      <c r="E277" s="29"/>
      <c r="F277" s="29"/>
      <c r="G277" s="29"/>
      <c r="H277" s="29"/>
      <c r="I277" s="29"/>
      <c r="J277" s="50"/>
      <c r="K277" s="6"/>
    </row>
    <row r="278" spans="2:11" ht="27.75" customHeight="1">
      <c r="B278" s="21" t="s">
        <v>461</v>
      </c>
      <c r="C278" s="81" t="s">
        <v>351</v>
      </c>
      <c r="D278" s="86" t="s">
        <v>462</v>
      </c>
      <c r="E278" s="86"/>
      <c r="F278" s="86"/>
      <c r="G278" s="86"/>
      <c r="H278" s="86"/>
      <c r="I278" s="86"/>
      <c r="J278" s="79"/>
      <c r="K278" s="6"/>
    </row>
    <row r="279" spans="2:11">
      <c r="B279" s="21" t="s">
        <v>463</v>
      </c>
      <c r="C279" s="81" t="s">
        <v>351</v>
      </c>
      <c r="D279" s="22" t="s">
        <v>464</v>
      </c>
      <c r="E279" s="29"/>
      <c r="F279" s="29"/>
      <c r="G279" s="29"/>
      <c r="H279" s="29"/>
      <c r="I279" s="29"/>
      <c r="J279" s="50"/>
      <c r="K279" s="6"/>
    </row>
    <row r="280" spans="2:11" ht="27" customHeight="1">
      <c r="B280" s="21" t="s">
        <v>465</v>
      </c>
      <c r="C280" s="40" t="s">
        <v>351</v>
      </c>
      <c r="D280" s="91" t="s">
        <v>466</v>
      </c>
      <c r="E280" s="110"/>
      <c r="F280" s="110"/>
      <c r="G280" s="110"/>
      <c r="H280" s="110"/>
      <c r="I280" s="110"/>
      <c r="J280" s="111"/>
      <c r="K280" s="6"/>
    </row>
    <row r="281" spans="2:11">
      <c r="B281" s="21" t="s">
        <v>467</v>
      </c>
      <c r="C281" s="81" t="s">
        <v>351</v>
      </c>
      <c r="D281" s="84" t="s">
        <v>468</v>
      </c>
      <c r="E281" s="24"/>
      <c r="F281" s="24"/>
      <c r="G281" s="24"/>
      <c r="H281" s="24"/>
      <c r="I281" s="24"/>
      <c r="J281" s="51"/>
      <c r="K281" s="6"/>
    </row>
    <row r="282" spans="2:11" ht="33.75" customHeight="1">
      <c r="B282" s="21" t="s">
        <v>469</v>
      </c>
      <c r="C282" s="81" t="s">
        <v>351</v>
      </c>
      <c r="D282" s="86" t="s">
        <v>470</v>
      </c>
      <c r="E282" s="110"/>
      <c r="F282" s="110"/>
      <c r="G282" s="110"/>
      <c r="H282" s="110"/>
      <c r="I282" s="110"/>
      <c r="J282" s="111"/>
      <c r="K282" s="6"/>
    </row>
    <row r="283" spans="2:11">
      <c r="B283" s="21" t="s">
        <v>471</v>
      </c>
      <c r="C283" s="81" t="s">
        <v>351</v>
      </c>
      <c r="D283" s="84" t="s">
        <v>472</v>
      </c>
      <c r="E283" s="24"/>
      <c r="F283" s="24"/>
      <c r="G283" s="24"/>
      <c r="H283" s="24"/>
      <c r="I283" s="24"/>
      <c r="J283" s="51"/>
      <c r="K283" s="6"/>
    </row>
    <row r="284" spans="2:11" ht="13.5" customHeight="1">
      <c r="B284" s="21" t="s">
        <v>473</v>
      </c>
      <c r="C284" s="81" t="s">
        <v>351</v>
      </c>
      <c r="D284" s="88" t="s">
        <v>474</v>
      </c>
      <c r="E284" s="110"/>
      <c r="F284" s="110"/>
      <c r="G284" s="110"/>
      <c r="H284" s="110"/>
      <c r="I284" s="110"/>
      <c r="J284" s="111"/>
      <c r="K284" s="6"/>
    </row>
    <row r="285" spans="2:11" ht="28.5" customHeight="1">
      <c r="B285" s="21" t="s">
        <v>475</v>
      </c>
      <c r="C285" s="81" t="s">
        <v>351</v>
      </c>
      <c r="D285" s="88" t="s">
        <v>476</v>
      </c>
      <c r="E285" s="110"/>
      <c r="F285" s="110"/>
      <c r="G285" s="110"/>
      <c r="H285" s="110"/>
      <c r="I285" s="110"/>
      <c r="J285" s="111"/>
      <c r="K285" s="6"/>
    </row>
    <row r="286" spans="2:11">
      <c r="B286" s="21" t="s">
        <v>477</v>
      </c>
      <c r="C286" s="40" t="s">
        <v>351</v>
      </c>
      <c r="D286" s="41" t="s">
        <v>478</v>
      </c>
      <c r="E286" s="42"/>
      <c r="F286" s="42"/>
      <c r="G286" s="42"/>
      <c r="H286" s="42"/>
      <c r="I286" s="42"/>
      <c r="J286" s="51"/>
      <c r="K286" s="6"/>
    </row>
    <row r="287" spans="2:11">
      <c r="B287" s="21" t="s">
        <v>479</v>
      </c>
      <c r="C287" s="81" t="s">
        <v>351</v>
      </c>
      <c r="D287" s="84" t="s">
        <v>480</v>
      </c>
      <c r="E287" s="24"/>
      <c r="F287" s="24"/>
      <c r="G287" s="24"/>
      <c r="H287" s="24"/>
      <c r="I287" s="24"/>
      <c r="J287" s="51"/>
      <c r="K287" s="6"/>
    </row>
    <row r="288" spans="2:11">
      <c r="B288" s="21" t="s">
        <v>481</v>
      </c>
      <c r="C288" s="81" t="s">
        <v>351</v>
      </c>
      <c r="D288" s="84" t="s">
        <v>482</v>
      </c>
      <c r="E288" s="24"/>
      <c r="F288" s="24"/>
      <c r="G288" s="24"/>
      <c r="H288" s="24"/>
      <c r="I288" s="24"/>
      <c r="J288" s="51"/>
      <c r="K288" s="6"/>
    </row>
    <row r="289" spans="2:11">
      <c r="B289" s="21" t="s">
        <v>483</v>
      </c>
      <c r="C289" s="81" t="s">
        <v>351</v>
      </c>
      <c r="D289" s="84" t="s">
        <v>484</v>
      </c>
      <c r="E289" s="24"/>
      <c r="F289" s="24"/>
      <c r="G289" s="24"/>
      <c r="H289" s="24"/>
      <c r="I289" s="24"/>
      <c r="J289" s="51"/>
      <c r="K289" s="6"/>
    </row>
    <row r="290" spans="2:11">
      <c r="B290" s="21" t="s">
        <v>485</v>
      </c>
      <c r="C290" s="81" t="s">
        <v>351</v>
      </c>
      <c r="D290" s="84" t="s">
        <v>486</v>
      </c>
      <c r="E290" s="24"/>
      <c r="F290" s="24"/>
      <c r="G290" s="24"/>
      <c r="H290" s="24"/>
      <c r="I290" s="24"/>
      <c r="J290" s="51"/>
      <c r="K290" s="6"/>
    </row>
    <row r="291" spans="2:11">
      <c r="B291" s="21" t="s">
        <v>487</v>
      </c>
      <c r="C291" s="81" t="s">
        <v>351</v>
      </c>
      <c r="D291" s="84" t="s">
        <v>488</v>
      </c>
      <c r="E291" s="24"/>
      <c r="F291" s="23"/>
      <c r="G291" s="23"/>
      <c r="H291" s="23"/>
      <c r="I291" s="23"/>
      <c r="J291" s="32"/>
      <c r="K291" s="6"/>
    </row>
    <row r="292" spans="2:11">
      <c r="B292" s="21" t="s">
        <v>489</v>
      </c>
      <c r="C292" s="81" t="s">
        <v>351</v>
      </c>
      <c r="D292" s="84" t="s">
        <v>490</v>
      </c>
      <c r="E292" s="24"/>
      <c r="F292" s="23"/>
      <c r="G292" s="23"/>
      <c r="H292" s="23"/>
      <c r="I292" s="23"/>
      <c r="J292" s="32"/>
      <c r="K292" s="6"/>
    </row>
    <row r="293" spans="2:11">
      <c r="B293" s="21" t="s">
        <v>491</v>
      </c>
      <c r="C293" s="81" t="s">
        <v>351</v>
      </c>
      <c r="D293" s="84" t="s">
        <v>492</v>
      </c>
      <c r="E293" s="24"/>
      <c r="F293" s="23"/>
      <c r="G293" s="23"/>
      <c r="H293" s="23"/>
      <c r="I293" s="23"/>
      <c r="J293" s="32"/>
      <c r="K293" s="6"/>
    </row>
    <row r="294" spans="2:11">
      <c r="B294" s="21" t="s">
        <v>493</v>
      </c>
      <c r="C294" s="81" t="s">
        <v>351</v>
      </c>
      <c r="D294" s="84" t="s">
        <v>494</v>
      </c>
      <c r="E294" s="24"/>
      <c r="F294" s="23"/>
      <c r="G294" s="23"/>
      <c r="H294" s="23"/>
      <c r="I294" s="23"/>
      <c r="J294" s="32"/>
      <c r="K294" s="6"/>
    </row>
    <row r="295" spans="2:11">
      <c r="B295" s="21" t="s">
        <v>495</v>
      </c>
      <c r="C295" s="81" t="s">
        <v>351</v>
      </c>
      <c r="D295" s="84" t="s">
        <v>496</v>
      </c>
      <c r="E295" s="24"/>
      <c r="F295" s="23"/>
      <c r="G295" s="23"/>
      <c r="H295" s="23"/>
      <c r="I295" s="23"/>
      <c r="J295" s="32"/>
      <c r="K295" s="6"/>
    </row>
    <row r="296" spans="2:11">
      <c r="B296" s="21" t="s">
        <v>497</v>
      </c>
      <c r="C296" s="81" t="s">
        <v>351</v>
      </c>
      <c r="D296" s="84" t="s">
        <v>498</v>
      </c>
      <c r="E296" s="24"/>
      <c r="F296" s="23"/>
      <c r="G296" s="23"/>
      <c r="H296" s="23"/>
      <c r="I296" s="23"/>
      <c r="J296" s="32"/>
      <c r="K296" s="6"/>
    </row>
    <row r="297" spans="2:11">
      <c r="B297" s="21" t="s">
        <v>499</v>
      </c>
      <c r="C297" s="81" t="s">
        <v>351</v>
      </c>
      <c r="D297" s="84" t="s">
        <v>500</v>
      </c>
      <c r="E297" s="24"/>
      <c r="F297" s="23"/>
      <c r="G297" s="23"/>
      <c r="H297" s="23"/>
      <c r="I297" s="23"/>
      <c r="J297" s="32"/>
      <c r="K297" s="6"/>
    </row>
    <row r="298" spans="2:11">
      <c r="B298" s="21" t="s">
        <v>501</v>
      </c>
      <c r="C298" s="81" t="s">
        <v>351</v>
      </c>
      <c r="D298" s="22" t="s">
        <v>502</v>
      </c>
      <c r="E298" s="29"/>
      <c r="F298" s="29"/>
      <c r="G298" s="29"/>
      <c r="H298" s="29"/>
      <c r="I298" s="29"/>
      <c r="J298" s="50"/>
      <c r="K298" s="6"/>
    </row>
    <row r="299" spans="2:11">
      <c r="B299" s="21" t="s">
        <v>503</v>
      </c>
      <c r="C299" s="81" t="s">
        <v>351</v>
      </c>
      <c r="D299" s="22" t="s">
        <v>504</v>
      </c>
      <c r="E299" s="29"/>
      <c r="F299" s="29"/>
      <c r="G299" s="29"/>
      <c r="H299" s="29"/>
      <c r="I299" s="29"/>
      <c r="J299" s="50"/>
      <c r="K299" s="6"/>
    </row>
    <row r="300" spans="2:11">
      <c r="B300" s="21" t="s">
        <v>505</v>
      </c>
      <c r="C300" s="81" t="s">
        <v>351</v>
      </c>
      <c r="D300" s="22" t="s">
        <v>506</v>
      </c>
      <c r="E300" s="29"/>
      <c r="F300" s="29"/>
      <c r="G300" s="29"/>
      <c r="H300" s="29"/>
      <c r="I300" s="29"/>
      <c r="J300" s="50"/>
      <c r="K300" s="6"/>
    </row>
    <row r="301" spans="2:11">
      <c r="B301" s="21" t="s">
        <v>507</v>
      </c>
      <c r="C301" s="81" t="s">
        <v>351</v>
      </c>
      <c r="D301" s="22" t="s">
        <v>508</v>
      </c>
      <c r="E301" s="29"/>
      <c r="F301" s="29"/>
      <c r="G301" s="29"/>
      <c r="H301" s="29"/>
      <c r="I301" s="29"/>
      <c r="J301" s="50"/>
      <c r="K301" s="6"/>
    </row>
    <row r="302" spans="2:11">
      <c r="B302" s="21" t="s">
        <v>509</v>
      </c>
      <c r="C302" s="81" t="s">
        <v>351</v>
      </c>
      <c r="D302" s="22" t="s">
        <v>510</v>
      </c>
      <c r="E302" s="29"/>
      <c r="F302" s="29"/>
      <c r="G302" s="29"/>
      <c r="H302" s="29"/>
      <c r="I302" s="29"/>
      <c r="J302" s="50"/>
      <c r="K302" s="6"/>
    </row>
    <row r="303" spans="2:11">
      <c r="B303" s="21" t="s">
        <v>511</v>
      </c>
      <c r="C303" s="81" t="s">
        <v>351</v>
      </c>
      <c r="D303" s="22" t="s">
        <v>512</v>
      </c>
      <c r="E303" s="29"/>
      <c r="F303" s="29"/>
      <c r="G303" s="29"/>
      <c r="H303" s="29"/>
      <c r="I303" s="29"/>
      <c r="J303" s="50"/>
      <c r="K303" s="6"/>
    </row>
    <row r="304" spans="2:11">
      <c r="B304" s="21" t="s">
        <v>513</v>
      </c>
      <c r="C304" s="81" t="s">
        <v>351</v>
      </c>
      <c r="D304" s="22" t="s">
        <v>514</v>
      </c>
      <c r="E304" s="29"/>
      <c r="F304" s="29"/>
      <c r="G304" s="29"/>
      <c r="H304" s="29"/>
      <c r="I304" s="29"/>
      <c r="J304" s="50"/>
      <c r="K304" s="6"/>
    </row>
    <row r="305" spans="2:11">
      <c r="B305" s="21" t="s">
        <v>515</v>
      </c>
      <c r="C305" s="81" t="s">
        <v>351</v>
      </c>
      <c r="D305" s="22" t="s">
        <v>516</v>
      </c>
      <c r="E305" s="29"/>
      <c r="F305" s="29"/>
      <c r="G305" s="29"/>
      <c r="H305" s="29"/>
      <c r="I305" s="29"/>
      <c r="J305" s="50"/>
      <c r="K305" s="6"/>
    </row>
    <row r="306" spans="2:11">
      <c r="B306" s="21" t="s">
        <v>517</v>
      </c>
      <c r="C306" s="81" t="s">
        <v>351</v>
      </c>
      <c r="D306" s="22" t="s">
        <v>518</v>
      </c>
      <c r="E306" s="29"/>
      <c r="F306" s="29"/>
      <c r="G306" s="29"/>
      <c r="H306" s="29"/>
      <c r="I306" s="29"/>
      <c r="J306" s="50"/>
      <c r="K306" s="6"/>
    </row>
    <row r="307" spans="2:11">
      <c r="B307" s="21" t="s">
        <v>519</v>
      </c>
      <c r="C307" s="81" t="s">
        <v>351</v>
      </c>
      <c r="D307" s="22" t="s">
        <v>520</v>
      </c>
      <c r="E307" s="29"/>
      <c r="F307" s="29"/>
      <c r="G307" s="29"/>
      <c r="H307" s="29"/>
      <c r="I307" s="29"/>
      <c r="J307" s="50"/>
      <c r="K307" s="6"/>
    </row>
    <row r="308" spans="2:11">
      <c r="B308" s="21" t="s">
        <v>521</v>
      </c>
      <c r="C308" s="81" t="s">
        <v>351</v>
      </c>
      <c r="D308" s="22" t="s">
        <v>522</v>
      </c>
      <c r="E308" s="29"/>
      <c r="F308" s="29"/>
      <c r="G308" s="29"/>
      <c r="H308" s="29"/>
      <c r="I308" s="29"/>
      <c r="J308" s="50"/>
      <c r="K308" s="6"/>
    </row>
    <row r="309" spans="2:11">
      <c r="B309" s="21" t="s">
        <v>523</v>
      </c>
      <c r="C309" s="81" t="s">
        <v>351</v>
      </c>
      <c r="D309" s="22" t="s">
        <v>524</v>
      </c>
      <c r="E309" s="29"/>
      <c r="F309" s="29"/>
      <c r="G309" s="29"/>
      <c r="H309" s="29"/>
      <c r="I309" s="29"/>
      <c r="J309" s="50"/>
      <c r="K309" s="6"/>
    </row>
    <row r="310" spans="2:11">
      <c r="B310" s="21" t="s">
        <v>525</v>
      </c>
      <c r="C310" s="81" t="s">
        <v>351</v>
      </c>
      <c r="D310" s="22" t="s">
        <v>526</v>
      </c>
      <c r="E310" s="29"/>
      <c r="F310" s="29"/>
      <c r="G310" s="29"/>
      <c r="H310" s="29"/>
      <c r="I310" s="29"/>
      <c r="J310" s="50"/>
      <c r="K310" s="6"/>
    </row>
    <row r="311" spans="2:11">
      <c r="B311" s="21" t="s">
        <v>527</v>
      </c>
      <c r="C311" s="81" t="s">
        <v>351</v>
      </c>
      <c r="D311" s="22" t="s">
        <v>528</v>
      </c>
      <c r="E311" s="29"/>
      <c r="F311" s="29"/>
      <c r="G311" s="29"/>
      <c r="H311" s="29"/>
      <c r="I311" s="29"/>
      <c r="J311" s="50"/>
      <c r="K311" s="6"/>
    </row>
    <row r="312" spans="2:11">
      <c r="B312" s="21" t="s">
        <v>529</v>
      </c>
      <c r="C312" s="81" t="s">
        <v>351</v>
      </c>
      <c r="D312" s="22" t="s">
        <v>530</v>
      </c>
      <c r="E312" s="29"/>
      <c r="F312" s="29"/>
      <c r="G312" s="29"/>
      <c r="H312" s="29"/>
      <c r="I312" s="29"/>
      <c r="J312" s="50"/>
      <c r="K312" s="6"/>
    </row>
    <row r="313" spans="2:11">
      <c r="B313" s="21" t="s">
        <v>531</v>
      </c>
      <c r="C313" s="81" t="s">
        <v>351</v>
      </c>
      <c r="D313" s="84" t="s">
        <v>532</v>
      </c>
      <c r="E313" s="83"/>
      <c r="F313" s="83"/>
      <c r="G313" s="83"/>
      <c r="H313" s="83"/>
      <c r="I313" s="83"/>
      <c r="J313" s="85"/>
      <c r="K313" s="6"/>
    </row>
    <row r="314" spans="2:11">
      <c r="B314" s="21" t="s">
        <v>533</v>
      </c>
      <c r="C314" s="40" t="s">
        <v>351</v>
      </c>
      <c r="D314" s="41" t="s">
        <v>534</v>
      </c>
      <c r="E314" s="42"/>
      <c r="F314" s="43"/>
      <c r="G314" s="83"/>
      <c r="H314" s="83"/>
      <c r="I314" s="83"/>
      <c r="J314" s="85"/>
      <c r="K314" s="6"/>
    </row>
    <row r="315" spans="2:11">
      <c r="B315" s="21" t="s">
        <v>535</v>
      </c>
      <c r="C315" s="40" t="s">
        <v>351</v>
      </c>
      <c r="D315" s="41" t="s">
        <v>536</v>
      </c>
      <c r="E315" s="42"/>
      <c r="F315" s="43"/>
      <c r="G315" s="43"/>
      <c r="H315" s="83"/>
      <c r="I315" s="83"/>
      <c r="J315" s="85"/>
      <c r="K315" s="6"/>
    </row>
    <row r="316" spans="2:11" ht="15.75" customHeight="1">
      <c r="B316" s="21" t="s">
        <v>537</v>
      </c>
      <c r="C316" s="81" t="s">
        <v>351</v>
      </c>
      <c r="D316" s="88" t="s">
        <v>538</v>
      </c>
      <c r="E316" s="110"/>
      <c r="F316" s="110"/>
      <c r="G316" s="110"/>
      <c r="H316" s="110"/>
      <c r="I316" s="110"/>
      <c r="J316" s="111"/>
      <c r="K316" s="6"/>
    </row>
    <row r="317" spans="2:11" ht="13.5" customHeight="1">
      <c r="B317" s="21" t="s">
        <v>539</v>
      </c>
      <c r="C317" s="81" t="s">
        <v>351</v>
      </c>
      <c r="D317" s="88" t="s">
        <v>540</v>
      </c>
      <c r="E317" s="110"/>
      <c r="F317" s="110"/>
      <c r="G317" s="110"/>
      <c r="H317" s="110"/>
      <c r="I317" s="110"/>
      <c r="J317" s="111"/>
      <c r="K317" s="6"/>
    </row>
    <row r="318" spans="2:11" ht="13.5" customHeight="1">
      <c r="B318" s="21" t="s">
        <v>541</v>
      </c>
      <c r="C318" s="81" t="s">
        <v>351</v>
      </c>
      <c r="D318" s="88" t="s">
        <v>542</v>
      </c>
      <c r="E318" s="110"/>
      <c r="F318" s="110"/>
      <c r="G318" s="110"/>
      <c r="H318" s="110"/>
      <c r="I318" s="110"/>
      <c r="J318" s="111"/>
      <c r="K318" s="6"/>
    </row>
    <row r="319" spans="2:11" ht="13.5" customHeight="1">
      <c r="B319" s="21" t="s">
        <v>543</v>
      </c>
      <c r="C319" s="81" t="s">
        <v>351</v>
      </c>
      <c r="D319" s="88" t="s">
        <v>544</v>
      </c>
      <c r="E319" s="110"/>
      <c r="F319" s="110"/>
      <c r="G319" s="110"/>
      <c r="H319" s="110"/>
      <c r="I319" s="110"/>
      <c r="J319" s="111"/>
      <c r="K319" s="6"/>
    </row>
    <row r="320" spans="2:11" ht="13.5" customHeight="1">
      <c r="B320" s="21" t="s">
        <v>545</v>
      </c>
      <c r="C320" s="81" t="s">
        <v>351</v>
      </c>
      <c r="D320" s="88" t="s">
        <v>546</v>
      </c>
      <c r="E320" s="110"/>
      <c r="F320" s="110"/>
      <c r="G320" s="110"/>
      <c r="H320" s="110"/>
      <c r="I320" s="110"/>
      <c r="J320" s="111"/>
      <c r="K320" s="6"/>
    </row>
    <row r="321" spans="2:11" ht="13.5" customHeight="1">
      <c r="B321" s="21" t="s">
        <v>547</v>
      </c>
      <c r="C321" s="81" t="s">
        <v>351</v>
      </c>
      <c r="D321" s="88" t="s">
        <v>548</v>
      </c>
      <c r="E321" s="110"/>
      <c r="F321" s="110"/>
      <c r="G321" s="110"/>
      <c r="H321" s="110"/>
      <c r="I321" s="110"/>
      <c r="J321" s="111"/>
      <c r="K321" s="6"/>
    </row>
    <row r="322" spans="2:11" ht="13.5" customHeight="1">
      <c r="B322" s="21" t="s">
        <v>549</v>
      </c>
      <c r="C322" s="81" t="s">
        <v>351</v>
      </c>
      <c r="D322" s="88" t="s">
        <v>550</v>
      </c>
      <c r="E322" s="110"/>
      <c r="F322" s="110"/>
      <c r="G322" s="110"/>
      <c r="H322" s="110"/>
      <c r="I322" s="110"/>
      <c r="J322" s="111"/>
      <c r="K322" s="6"/>
    </row>
    <row r="323" spans="2:11" ht="13.5" customHeight="1">
      <c r="B323" s="21" t="s">
        <v>551</v>
      </c>
      <c r="C323" s="81" t="s">
        <v>351</v>
      </c>
      <c r="D323" s="88" t="s">
        <v>552</v>
      </c>
      <c r="E323" s="110"/>
      <c r="F323" s="110"/>
      <c r="G323" s="110"/>
      <c r="H323" s="110"/>
      <c r="I323" s="110"/>
      <c r="J323" s="111"/>
      <c r="K323" s="6"/>
    </row>
    <row r="324" spans="2:11" ht="13.5" customHeight="1">
      <c r="B324" s="21" t="s">
        <v>553</v>
      </c>
      <c r="C324" s="81" t="s">
        <v>351</v>
      </c>
      <c r="D324" s="88" t="s">
        <v>554</v>
      </c>
      <c r="E324" s="110"/>
      <c r="F324" s="110"/>
      <c r="G324" s="110"/>
      <c r="H324" s="110"/>
      <c r="I324" s="110"/>
      <c r="J324" s="111"/>
      <c r="K324" s="6"/>
    </row>
    <row r="325" spans="2:11" ht="13.5" customHeight="1">
      <c r="B325" s="21" t="s">
        <v>555</v>
      </c>
      <c r="C325" s="81" t="s">
        <v>351</v>
      </c>
      <c r="D325" s="88" t="s">
        <v>556</v>
      </c>
      <c r="E325" s="110"/>
      <c r="F325" s="110"/>
      <c r="G325" s="110"/>
      <c r="H325" s="110"/>
      <c r="I325" s="110"/>
      <c r="J325" s="111"/>
      <c r="K325" s="6"/>
    </row>
    <row r="326" spans="2:11" ht="13.5" customHeight="1">
      <c r="B326" s="21" t="s">
        <v>557</v>
      </c>
      <c r="C326" s="81" t="s">
        <v>351</v>
      </c>
      <c r="D326" s="88" t="s">
        <v>558</v>
      </c>
      <c r="E326" s="110"/>
      <c r="F326" s="110"/>
      <c r="G326" s="110"/>
      <c r="H326" s="110"/>
      <c r="I326" s="110"/>
      <c r="J326" s="111"/>
      <c r="K326" s="6"/>
    </row>
    <row r="327" spans="2:11">
      <c r="B327" s="21" t="s">
        <v>559</v>
      </c>
      <c r="C327" s="81" t="s">
        <v>351</v>
      </c>
      <c r="D327" s="22" t="s">
        <v>560</v>
      </c>
      <c r="E327" s="29"/>
      <c r="F327" s="29"/>
      <c r="G327" s="29"/>
      <c r="H327" s="29"/>
      <c r="I327" s="29"/>
      <c r="J327" s="32"/>
      <c r="K327" s="6"/>
    </row>
    <row r="328" spans="2:11" ht="13.5" customHeight="1">
      <c r="B328" s="21" t="s">
        <v>561</v>
      </c>
      <c r="C328" s="40" t="s">
        <v>351</v>
      </c>
      <c r="D328" s="97" t="s">
        <v>562</v>
      </c>
      <c r="E328" s="97"/>
      <c r="F328" s="97"/>
      <c r="G328" s="97"/>
      <c r="H328" s="97"/>
      <c r="I328" s="97"/>
      <c r="J328" s="50"/>
      <c r="K328" s="6"/>
    </row>
    <row r="329" spans="2:11" ht="13.5" customHeight="1">
      <c r="B329" s="21" t="s">
        <v>563</v>
      </c>
      <c r="C329" s="81" t="s">
        <v>351</v>
      </c>
      <c r="D329" s="86" t="s">
        <v>564</v>
      </c>
      <c r="E329" s="110"/>
      <c r="F329" s="110"/>
      <c r="G329" s="110"/>
      <c r="H329" s="110"/>
      <c r="I329" s="110"/>
      <c r="J329" s="111"/>
      <c r="K329" s="6"/>
    </row>
    <row r="330" spans="2:11">
      <c r="B330" s="21" t="s">
        <v>565</v>
      </c>
      <c r="C330" s="81" t="s">
        <v>351</v>
      </c>
      <c r="D330" s="22" t="s">
        <v>566</v>
      </c>
      <c r="E330" s="29"/>
      <c r="F330" s="29"/>
      <c r="G330" s="29"/>
      <c r="H330" s="29"/>
      <c r="I330" s="29"/>
      <c r="J330" s="50"/>
      <c r="K330" s="6"/>
    </row>
    <row r="331" spans="2:11" ht="13.5" customHeight="1">
      <c r="B331" s="21" t="s">
        <v>567</v>
      </c>
      <c r="C331" s="81" t="s">
        <v>351</v>
      </c>
      <c r="D331" s="88" t="s">
        <v>568</v>
      </c>
      <c r="E331" s="110"/>
      <c r="F331" s="110"/>
      <c r="G331" s="110"/>
      <c r="H331" s="110"/>
      <c r="I331" s="110"/>
      <c r="J331" s="111"/>
      <c r="K331" s="6"/>
    </row>
    <row r="332" spans="2:11" ht="13.5" customHeight="1">
      <c r="B332" s="21" t="s">
        <v>569</v>
      </c>
      <c r="C332" s="81" t="s">
        <v>351</v>
      </c>
      <c r="D332" s="98" t="s">
        <v>570</v>
      </c>
      <c r="E332" s="110"/>
      <c r="F332" s="110"/>
      <c r="G332" s="110"/>
      <c r="H332" s="110"/>
      <c r="I332" s="110"/>
      <c r="J332" s="111"/>
      <c r="K332" s="6"/>
    </row>
    <row r="333" spans="2:11" ht="13.5" customHeight="1">
      <c r="B333" s="21" t="s">
        <v>571</v>
      </c>
      <c r="C333" s="81" t="s">
        <v>351</v>
      </c>
      <c r="D333" s="86" t="s">
        <v>572</v>
      </c>
      <c r="E333" s="110"/>
      <c r="F333" s="110"/>
      <c r="G333" s="110"/>
      <c r="H333" s="110"/>
      <c r="I333" s="110"/>
      <c r="J333" s="111"/>
      <c r="K333" s="6"/>
    </row>
    <row r="334" spans="2:11" ht="13.5" customHeight="1">
      <c r="B334" s="21" t="s">
        <v>573</v>
      </c>
      <c r="C334" s="81" t="s">
        <v>351</v>
      </c>
      <c r="D334" s="99" t="s">
        <v>574</v>
      </c>
      <c r="E334" s="110"/>
      <c r="F334" s="110"/>
      <c r="G334" s="110"/>
      <c r="H334" s="110"/>
      <c r="I334" s="110"/>
      <c r="J334" s="111"/>
      <c r="K334" s="6"/>
    </row>
    <row r="335" spans="2:11" ht="13.5" customHeight="1">
      <c r="B335" s="21" t="s">
        <v>575</v>
      </c>
      <c r="C335" s="81" t="s">
        <v>351</v>
      </c>
      <c r="D335" s="86" t="s">
        <v>576</v>
      </c>
      <c r="E335" s="110"/>
      <c r="F335" s="110"/>
      <c r="G335" s="110"/>
      <c r="H335" s="110"/>
      <c r="I335" s="110"/>
      <c r="J335" s="111"/>
      <c r="K335" s="6"/>
    </row>
    <row r="336" spans="2:11" ht="13.5" customHeight="1">
      <c r="B336" s="21" t="s">
        <v>577</v>
      </c>
      <c r="C336" s="81" t="s">
        <v>351</v>
      </c>
      <c r="D336" s="88" t="s">
        <v>578</v>
      </c>
      <c r="E336" s="110"/>
      <c r="F336" s="110"/>
      <c r="G336" s="110"/>
      <c r="H336" s="110"/>
      <c r="I336" s="110"/>
      <c r="J336" s="111"/>
      <c r="K336" s="6"/>
    </row>
    <row r="337" spans="2:11" ht="13.5" customHeight="1">
      <c r="B337" s="21" t="s">
        <v>579</v>
      </c>
      <c r="C337" s="81" t="s">
        <v>351</v>
      </c>
      <c r="D337" s="88" t="s">
        <v>580</v>
      </c>
      <c r="E337" s="110"/>
      <c r="F337" s="110"/>
      <c r="G337" s="110"/>
      <c r="H337" s="110"/>
      <c r="I337" s="110"/>
      <c r="J337" s="111"/>
      <c r="K337" s="6"/>
    </row>
    <row r="338" spans="2:11">
      <c r="B338" s="21" t="s">
        <v>581</v>
      </c>
      <c r="C338" s="81" t="s">
        <v>351</v>
      </c>
      <c r="D338" s="22" t="s">
        <v>582</v>
      </c>
      <c r="E338" s="29"/>
      <c r="F338" s="29"/>
      <c r="G338" s="29"/>
      <c r="H338" s="29"/>
      <c r="I338" s="29"/>
      <c r="J338" s="80"/>
      <c r="K338" s="6"/>
    </row>
    <row r="339" spans="2:11">
      <c r="B339" s="21" t="s">
        <v>583</v>
      </c>
      <c r="C339" s="81" t="s">
        <v>351</v>
      </c>
      <c r="D339" s="22" t="s">
        <v>584</v>
      </c>
      <c r="E339" s="29"/>
      <c r="F339" s="29"/>
      <c r="G339" s="29"/>
      <c r="H339" s="29"/>
      <c r="I339" s="29"/>
      <c r="J339" s="50"/>
      <c r="K339" s="6"/>
    </row>
    <row r="340" spans="2:11">
      <c r="B340" s="21" t="s">
        <v>585</v>
      </c>
      <c r="C340" s="81" t="s">
        <v>351</v>
      </c>
      <c r="D340" s="77" t="s">
        <v>586</v>
      </c>
      <c r="E340" s="29"/>
      <c r="F340" s="29"/>
      <c r="G340" s="29"/>
      <c r="H340" s="29"/>
      <c r="I340" s="29"/>
      <c r="J340" s="50"/>
      <c r="K340" s="6"/>
    </row>
    <row r="341" spans="2:11">
      <c r="B341" s="21" t="s">
        <v>587</v>
      </c>
      <c r="C341" s="81" t="s">
        <v>351</v>
      </c>
      <c r="D341" s="22" t="s">
        <v>588</v>
      </c>
      <c r="E341" s="29"/>
      <c r="F341" s="29"/>
      <c r="G341" s="29"/>
      <c r="H341" s="29"/>
      <c r="I341" s="29"/>
      <c r="J341" s="50"/>
      <c r="K341" s="6"/>
    </row>
    <row r="342" spans="2:11">
      <c r="B342" s="21" t="s">
        <v>589</v>
      </c>
      <c r="C342" s="81" t="s">
        <v>351</v>
      </c>
      <c r="D342" s="22" t="s">
        <v>590</v>
      </c>
      <c r="E342" s="29"/>
      <c r="F342" s="29"/>
      <c r="G342" s="29"/>
      <c r="H342" s="29"/>
      <c r="I342" s="29"/>
      <c r="J342" s="50"/>
      <c r="K342" s="6"/>
    </row>
    <row r="343" spans="2:11">
      <c r="B343" s="21" t="s">
        <v>591</v>
      </c>
      <c r="C343" s="81" t="s">
        <v>351</v>
      </c>
      <c r="D343" s="22" t="s">
        <v>592</v>
      </c>
      <c r="E343" s="29"/>
      <c r="F343" s="29"/>
      <c r="G343" s="29"/>
      <c r="H343" s="29"/>
      <c r="I343" s="29"/>
      <c r="J343" s="50"/>
      <c r="K343" s="6"/>
    </row>
    <row r="344" spans="2:11">
      <c r="B344" s="21" t="s">
        <v>593</v>
      </c>
      <c r="C344" s="81" t="s">
        <v>351</v>
      </c>
      <c r="D344" s="22" t="s">
        <v>594</v>
      </c>
      <c r="E344" s="29"/>
      <c r="F344" s="29"/>
      <c r="G344" s="29"/>
      <c r="H344" s="29"/>
      <c r="I344" s="29"/>
      <c r="J344" s="50"/>
      <c r="K344" s="6"/>
    </row>
    <row r="345" spans="2:11">
      <c r="B345" s="21" t="s">
        <v>595</v>
      </c>
      <c r="C345" s="81" t="s">
        <v>351</v>
      </c>
      <c r="D345" s="22" t="s">
        <v>596</v>
      </c>
      <c r="E345" s="29"/>
      <c r="F345" s="29"/>
      <c r="G345" s="29"/>
      <c r="H345" s="29"/>
      <c r="I345" s="29"/>
      <c r="J345" s="50"/>
      <c r="K345" s="6"/>
    </row>
    <row r="346" spans="2:11">
      <c r="B346" s="21" t="s">
        <v>597</v>
      </c>
      <c r="C346" s="81" t="s">
        <v>351</v>
      </c>
      <c r="D346" s="22" t="s">
        <v>598</v>
      </c>
      <c r="E346" s="29"/>
      <c r="F346" s="29"/>
      <c r="G346" s="29"/>
      <c r="H346" s="29"/>
      <c r="I346" s="29"/>
      <c r="J346" s="50"/>
      <c r="K346" s="6"/>
    </row>
    <row r="347" spans="2:11">
      <c r="B347" s="21" t="s">
        <v>599</v>
      </c>
      <c r="C347" s="81" t="s">
        <v>351</v>
      </c>
      <c r="D347" s="22" t="s">
        <v>600</v>
      </c>
      <c r="E347" s="29"/>
      <c r="F347" s="29"/>
      <c r="G347" s="29"/>
      <c r="H347" s="29"/>
      <c r="I347" s="29"/>
      <c r="J347" s="50"/>
      <c r="K347" s="6"/>
    </row>
    <row r="348" spans="2:11" ht="13.5" customHeight="1">
      <c r="B348" s="21" t="s">
        <v>601</v>
      </c>
      <c r="C348" s="81" t="s">
        <v>351</v>
      </c>
      <c r="D348" s="86" t="s">
        <v>602</v>
      </c>
      <c r="E348" s="110"/>
      <c r="F348" s="110"/>
      <c r="G348" s="110"/>
      <c r="H348" s="110"/>
      <c r="I348" s="110"/>
      <c r="J348" s="111"/>
      <c r="K348" s="6"/>
    </row>
    <row r="349" spans="2:11" ht="13.5" customHeight="1">
      <c r="B349" s="21" t="s">
        <v>603</v>
      </c>
      <c r="C349" s="40" t="s">
        <v>351</v>
      </c>
      <c r="D349" s="97" t="s">
        <v>604</v>
      </c>
      <c r="E349" s="110"/>
      <c r="F349" s="110"/>
      <c r="G349" s="110"/>
      <c r="H349" s="110"/>
      <c r="I349" s="110"/>
      <c r="J349" s="111"/>
      <c r="K349" s="6"/>
    </row>
    <row r="350" spans="2:11">
      <c r="B350" s="21" t="s">
        <v>605</v>
      </c>
      <c r="C350" s="81" t="s">
        <v>351</v>
      </c>
      <c r="D350" s="22" t="s">
        <v>606</v>
      </c>
      <c r="E350" s="29"/>
      <c r="F350" s="29"/>
      <c r="G350" s="29"/>
      <c r="H350" s="29"/>
      <c r="I350" s="29"/>
      <c r="J350" s="78"/>
      <c r="K350" s="6"/>
    </row>
    <row r="351" spans="2:11" ht="13.5" customHeight="1">
      <c r="B351" s="21" t="s">
        <v>607</v>
      </c>
      <c r="C351" s="81" t="s">
        <v>351</v>
      </c>
      <c r="D351" s="86" t="s">
        <v>608</v>
      </c>
      <c r="E351" s="110"/>
      <c r="F351" s="110"/>
      <c r="G351" s="110"/>
      <c r="H351" s="110"/>
      <c r="I351" s="110"/>
      <c r="J351" s="111"/>
      <c r="K351" s="6"/>
    </row>
    <row r="352" spans="2:11">
      <c r="B352" s="21" t="s">
        <v>609</v>
      </c>
      <c r="C352" s="81" t="s">
        <v>351</v>
      </c>
      <c r="D352" s="22" t="s">
        <v>610</v>
      </c>
      <c r="E352" s="29"/>
      <c r="F352" s="29"/>
      <c r="G352" s="29"/>
      <c r="H352" s="29"/>
      <c r="I352" s="29"/>
      <c r="J352" s="50"/>
      <c r="K352" s="6"/>
    </row>
    <row r="353" spans="2:11">
      <c r="B353" s="21" t="s">
        <v>611</v>
      </c>
      <c r="C353" s="81" t="s">
        <v>351</v>
      </c>
      <c r="D353" s="22" t="s">
        <v>612</v>
      </c>
      <c r="E353" s="29"/>
      <c r="F353" s="29"/>
      <c r="G353" s="29"/>
      <c r="H353" s="29"/>
      <c r="I353" s="29"/>
      <c r="J353" s="50"/>
      <c r="K353" s="6"/>
    </row>
    <row r="354" spans="2:11" ht="13.5" customHeight="1">
      <c r="B354" s="21" t="s">
        <v>613</v>
      </c>
      <c r="C354" s="81" t="s">
        <v>351</v>
      </c>
      <c r="D354" s="86" t="s">
        <v>614</v>
      </c>
      <c r="E354" s="110"/>
      <c r="F354" s="110"/>
      <c r="G354" s="110"/>
      <c r="H354" s="110"/>
      <c r="I354" s="110"/>
      <c r="J354" s="111"/>
      <c r="K354" s="6"/>
    </row>
    <row r="355" spans="2:11">
      <c r="B355" s="21" t="s">
        <v>615</v>
      </c>
      <c r="C355" s="81" t="s">
        <v>351</v>
      </c>
      <c r="D355" s="84" t="s">
        <v>616</v>
      </c>
      <c r="E355" s="24"/>
      <c r="F355" s="23"/>
      <c r="G355" s="23"/>
      <c r="H355" s="23"/>
      <c r="I355" s="23"/>
      <c r="J355" s="85"/>
      <c r="K355" s="6"/>
    </row>
    <row r="356" spans="2:11">
      <c r="B356" s="21" t="s">
        <v>617</v>
      </c>
      <c r="C356" s="81" t="s">
        <v>351</v>
      </c>
      <c r="D356" s="84" t="s">
        <v>618</v>
      </c>
      <c r="E356" s="24"/>
      <c r="F356" s="23"/>
      <c r="G356" s="83"/>
      <c r="H356" s="83"/>
      <c r="I356" s="83"/>
      <c r="J356" s="32"/>
      <c r="K356" s="6"/>
    </row>
    <row r="357" spans="2:11">
      <c r="B357" s="21" t="s">
        <v>619</v>
      </c>
      <c r="C357" s="81" t="s">
        <v>351</v>
      </c>
      <c r="D357" s="84" t="s">
        <v>620</v>
      </c>
      <c r="E357" s="24"/>
      <c r="F357" s="83"/>
      <c r="G357" s="83"/>
      <c r="H357" s="83"/>
      <c r="I357" s="83"/>
      <c r="J357" s="85"/>
      <c r="K357" s="6"/>
    </row>
    <row r="358" spans="2:11">
      <c r="B358" s="21" t="s">
        <v>621</v>
      </c>
      <c r="C358" s="81" t="s">
        <v>351</v>
      </c>
      <c r="D358" s="84" t="s">
        <v>622</v>
      </c>
      <c r="E358" s="24"/>
      <c r="F358" s="83"/>
      <c r="G358" s="83"/>
      <c r="H358" s="83"/>
      <c r="I358" s="83"/>
      <c r="J358" s="85"/>
      <c r="K358" s="6"/>
    </row>
    <row r="359" spans="2:11" ht="15" customHeight="1">
      <c r="B359" s="21" t="s">
        <v>623</v>
      </c>
      <c r="C359" s="81" t="s">
        <v>351</v>
      </c>
      <c r="D359" s="84" t="s">
        <v>624</v>
      </c>
      <c r="E359" s="24"/>
      <c r="F359" s="83"/>
      <c r="G359" s="83"/>
      <c r="H359" s="83"/>
      <c r="I359" s="83"/>
      <c r="J359" s="85"/>
      <c r="K359" s="6"/>
    </row>
    <row r="360" spans="2:11">
      <c r="B360" s="21" t="s">
        <v>625</v>
      </c>
      <c r="C360" s="81" t="s">
        <v>351</v>
      </c>
      <c r="D360" s="84" t="s">
        <v>626</v>
      </c>
      <c r="E360" s="24"/>
      <c r="F360" s="83"/>
      <c r="G360" s="83"/>
      <c r="H360" s="83"/>
      <c r="I360" s="83"/>
      <c r="J360" s="85"/>
      <c r="K360" s="6"/>
    </row>
    <row r="361" spans="2:11">
      <c r="B361" s="21" t="s">
        <v>627</v>
      </c>
      <c r="C361" s="81" t="s">
        <v>351</v>
      </c>
      <c r="D361" s="84" t="s">
        <v>628</v>
      </c>
      <c r="E361" s="24"/>
      <c r="F361" s="83"/>
      <c r="G361" s="83"/>
      <c r="H361" s="83"/>
      <c r="I361" s="83"/>
      <c r="J361" s="85"/>
      <c r="K361" s="6"/>
    </row>
    <row r="362" spans="2:11">
      <c r="B362" s="21" t="s">
        <v>629</v>
      </c>
      <c r="C362" s="81" t="s">
        <v>351</v>
      </c>
      <c r="D362" s="84" t="s">
        <v>630</v>
      </c>
      <c r="E362" s="24"/>
      <c r="F362" s="83"/>
      <c r="G362" s="83"/>
      <c r="H362" s="83"/>
      <c r="I362" s="83"/>
      <c r="J362" s="85"/>
      <c r="K362" s="6"/>
    </row>
    <row r="363" spans="2:11">
      <c r="B363" s="21" t="s">
        <v>631</v>
      </c>
      <c r="C363" s="81" t="s">
        <v>351</v>
      </c>
      <c r="D363" s="84" t="s">
        <v>632</v>
      </c>
      <c r="E363" s="24"/>
      <c r="F363" s="83"/>
      <c r="G363" s="83"/>
      <c r="H363" s="83"/>
      <c r="I363" s="83"/>
      <c r="J363" s="85"/>
      <c r="K363" s="6"/>
    </row>
    <row r="364" spans="2:11">
      <c r="B364" s="21" t="s">
        <v>633</v>
      </c>
      <c r="C364" s="81" t="s">
        <v>351</v>
      </c>
      <c r="D364" s="84" t="s">
        <v>634</v>
      </c>
      <c r="E364" s="24"/>
      <c r="F364" s="83"/>
      <c r="G364" s="83"/>
      <c r="H364" s="83"/>
      <c r="I364" s="83"/>
      <c r="J364" s="85"/>
      <c r="K364" s="6"/>
    </row>
    <row r="365" spans="2:11">
      <c r="B365" s="21" t="s">
        <v>635</v>
      </c>
      <c r="C365" s="81" t="s">
        <v>351</v>
      </c>
      <c r="D365" s="84" t="s">
        <v>636</v>
      </c>
      <c r="E365" s="83"/>
      <c r="F365" s="83"/>
      <c r="G365" s="83"/>
      <c r="H365" s="83"/>
      <c r="I365" s="83"/>
      <c r="J365" s="85"/>
      <c r="K365" s="6"/>
    </row>
    <row r="366" spans="2:11">
      <c r="B366" s="21" t="s">
        <v>637</v>
      </c>
      <c r="C366" s="81" t="s">
        <v>351</v>
      </c>
      <c r="D366" s="84" t="s">
        <v>638</v>
      </c>
      <c r="E366" s="24"/>
      <c r="F366" s="83"/>
      <c r="G366" s="83"/>
      <c r="H366" s="83"/>
      <c r="I366" s="83"/>
      <c r="J366" s="85"/>
      <c r="K366" s="6"/>
    </row>
    <row r="367" spans="2:11">
      <c r="B367" s="21" t="s">
        <v>639</v>
      </c>
      <c r="C367" s="81" t="s">
        <v>351</v>
      </c>
      <c r="D367" s="84" t="s">
        <v>640</v>
      </c>
      <c r="E367" s="24"/>
      <c r="F367" s="83"/>
      <c r="G367" s="83"/>
      <c r="H367" s="83"/>
      <c r="I367" s="83"/>
      <c r="J367" s="85"/>
      <c r="K367" s="6"/>
    </row>
    <row r="368" spans="2:11">
      <c r="B368" s="21" t="s">
        <v>641</v>
      </c>
      <c r="C368" s="81" t="s">
        <v>351</v>
      </c>
      <c r="D368" s="84" t="s">
        <v>642</v>
      </c>
      <c r="E368" s="24"/>
      <c r="F368" s="83"/>
      <c r="G368" s="83"/>
      <c r="H368" s="83"/>
      <c r="I368" s="83"/>
      <c r="J368" s="85"/>
      <c r="K368" s="6"/>
    </row>
    <row r="369" spans="2:11">
      <c r="B369" s="21" t="s">
        <v>643</v>
      </c>
      <c r="C369" s="81" t="s">
        <v>351</v>
      </c>
      <c r="D369" s="84" t="s">
        <v>644</v>
      </c>
      <c r="E369" s="24"/>
      <c r="F369" s="83"/>
      <c r="G369" s="83"/>
      <c r="H369" s="83"/>
      <c r="I369" s="83"/>
      <c r="J369" s="85"/>
      <c r="K369" s="6"/>
    </row>
    <row r="370" spans="2:11">
      <c r="B370" s="21" t="s">
        <v>645</v>
      </c>
      <c r="C370" s="81" t="s">
        <v>351</v>
      </c>
      <c r="D370" s="84" t="s">
        <v>646</v>
      </c>
      <c r="E370" s="24"/>
      <c r="F370" s="83"/>
      <c r="G370" s="83"/>
      <c r="H370" s="83"/>
      <c r="I370" s="83"/>
      <c r="J370" s="85"/>
      <c r="K370" s="6"/>
    </row>
    <row r="371" spans="2:11">
      <c r="B371" s="21" t="s">
        <v>647</v>
      </c>
      <c r="C371" s="81" t="s">
        <v>351</v>
      </c>
      <c r="D371" s="84" t="s">
        <v>648</v>
      </c>
      <c r="E371" s="24"/>
      <c r="F371" s="83"/>
      <c r="G371" s="83"/>
      <c r="H371" s="83"/>
      <c r="I371" s="83"/>
      <c r="J371" s="85"/>
      <c r="K371" s="6"/>
    </row>
    <row r="372" spans="2:11">
      <c r="B372" s="21" t="s">
        <v>649</v>
      </c>
      <c r="C372" s="81" t="s">
        <v>351</v>
      </c>
      <c r="D372" s="84" t="s">
        <v>650</v>
      </c>
      <c r="E372" s="24"/>
      <c r="F372" s="83"/>
      <c r="G372" s="83"/>
      <c r="H372" s="83"/>
      <c r="I372" s="83"/>
      <c r="J372" s="85"/>
      <c r="K372" s="6"/>
    </row>
    <row r="373" spans="2:11">
      <c r="B373" s="21" t="s">
        <v>651</v>
      </c>
      <c r="C373" s="81" t="s">
        <v>351</v>
      </c>
      <c r="D373" s="84" t="s">
        <v>652</v>
      </c>
      <c r="E373" s="24"/>
      <c r="F373" s="83"/>
      <c r="G373" s="83"/>
      <c r="H373" s="83"/>
      <c r="I373" s="83"/>
      <c r="J373" s="85"/>
      <c r="K373" s="6"/>
    </row>
    <row r="374" spans="2:11">
      <c r="B374" s="21" t="s">
        <v>653</v>
      </c>
      <c r="C374" s="81" t="s">
        <v>351</v>
      </c>
      <c r="D374" s="84" t="s">
        <v>654</v>
      </c>
      <c r="E374" s="24"/>
      <c r="F374" s="83"/>
      <c r="G374" s="83"/>
      <c r="H374" s="83"/>
      <c r="I374" s="83"/>
      <c r="J374" s="85"/>
      <c r="K374" s="6"/>
    </row>
    <row r="375" spans="2:11">
      <c r="B375" s="21" t="s">
        <v>655</v>
      </c>
      <c r="C375" s="81" t="s">
        <v>351</v>
      </c>
      <c r="D375" s="84" t="s">
        <v>656</v>
      </c>
      <c r="E375" s="24"/>
      <c r="F375" s="83"/>
      <c r="G375" s="83"/>
      <c r="H375" s="83"/>
      <c r="I375" s="83"/>
      <c r="J375" s="85"/>
      <c r="K375" s="6"/>
    </row>
    <row r="376" spans="2:11">
      <c r="B376" s="21" t="s">
        <v>657</v>
      </c>
      <c r="C376" s="81" t="s">
        <v>351</v>
      </c>
      <c r="D376" s="84" t="s">
        <v>658</v>
      </c>
      <c r="E376" s="24"/>
      <c r="F376" s="83"/>
      <c r="G376" s="83"/>
      <c r="H376" s="83"/>
      <c r="I376" s="83"/>
      <c r="J376" s="85"/>
      <c r="K376" s="6"/>
    </row>
    <row r="377" spans="2:11">
      <c r="B377" s="21" t="s">
        <v>659</v>
      </c>
      <c r="C377" s="81" t="s">
        <v>351</v>
      </c>
      <c r="D377" s="84" t="s">
        <v>660</v>
      </c>
      <c r="E377" s="24"/>
      <c r="F377" s="83"/>
      <c r="G377" s="83"/>
      <c r="H377" s="83"/>
      <c r="I377" s="83"/>
      <c r="J377" s="85"/>
      <c r="K377" s="6"/>
    </row>
    <row r="378" spans="2:11">
      <c r="B378" s="21" t="s">
        <v>661</v>
      </c>
      <c r="C378" s="81" t="s">
        <v>351</v>
      </c>
      <c r="D378" s="84" t="s">
        <v>662</v>
      </c>
      <c r="E378" s="24"/>
      <c r="F378" s="83"/>
      <c r="G378" s="83"/>
      <c r="H378" s="83"/>
      <c r="I378" s="83"/>
      <c r="J378" s="85"/>
      <c r="K378" s="6"/>
    </row>
    <row r="379" spans="2:11">
      <c r="B379" s="21" t="s">
        <v>663</v>
      </c>
      <c r="C379" s="81" t="s">
        <v>351</v>
      </c>
      <c r="D379" s="84" t="s">
        <v>664</v>
      </c>
      <c r="E379" s="24"/>
      <c r="F379" s="83"/>
      <c r="G379" s="83"/>
      <c r="H379" s="83"/>
      <c r="I379" s="83"/>
      <c r="J379" s="85"/>
      <c r="K379" s="6"/>
    </row>
    <row r="380" spans="2:11">
      <c r="B380" s="21" t="s">
        <v>665</v>
      </c>
      <c r="C380" s="81" t="s">
        <v>351</v>
      </c>
      <c r="D380" s="84" t="s">
        <v>666</v>
      </c>
      <c r="E380" s="24"/>
      <c r="F380" s="83"/>
      <c r="G380" s="83"/>
      <c r="H380" s="83"/>
      <c r="I380" s="83"/>
      <c r="J380" s="85"/>
      <c r="K380" s="6"/>
    </row>
    <row r="381" spans="2:11">
      <c r="B381" s="21" t="s">
        <v>667</v>
      </c>
      <c r="C381" s="81" t="s">
        <v>351</v>
      </c>
      <c r="D381" s="84" t="s">
        <v>668</v>
      </c>
      <c r="E381" s="24"/>
      <c r="F381" s="83"/>
      <c r="G381" s="83"/>
      <c r="H381" s="83"/>
      <c r="I381" s="83"/>
      <c r="J381" s="85"/>
      <c r="K381" s="6"/>
    </row>
    <row r="382" spans="2:11">
      <c r="B382" s="21" t="s">
        <v>669</v>
      </c>
      <c r="C382" s="81" t="s">
        <v>351</v>
      </c>
      <c r="D382" s="84" t="s">
        <v>670</v>
      </c>
      <c r="E382" s="24"/>
      <c r="F382" s="83"/>
      <c r="G382" s="83"/>
      <c r="H382" s="83"/>
      <c r="I382" s="83"/>
      <c r="J382" s="85"/>
      <c r="K382" s="6"/>
    </row>
    <row r="383" spans="2:11">
      <c r="B383" s="21" t="s">
        <v>671</v>
      </c>
      <c r="C383" s="81" t="s">
        <v>351</v>
      </c>
      <c r="D383" s="84" t="s">
        <v>672</v>
      </c>
      <c r="E383" s="24"/>
      <c r="F383" s="83"/>
      <c r="G383" s="83"/>
      <c r="H383" s="83"/>
      <c r="I383" s="83"/>
      <c r="J383" s="85"/>
      <c r="K383" s="6"/>
    </row>
    <row r="384" spans="2:11">
      <c r="B384" s="21" t="s">
        <v>673</v>
      </c>
      <c r="C384" s="81" t="s">
        <v>351</v>
      </c>
      <c r="D384" s="84" t="s">
        <v>674</v>
      </c>
      <c r="E384" s="24"/>
      <c r="F384" s="83"/>
      <c r="G384" s="83"/>
      <c r="H384" s="83"/>
      <c r="I384" s="83"/>
      <c r="J384" s="85"/>
      <c r="K384" s="6"/>
    </row>
    <row r="385" spans="2:11">
      <c r="B385" s="21" t="s">
        <v>675</v>
      </c>
      <c r="C385" s="81" t="s">
        <v>351</v>
      </c>
      <c r="D385" s="84" t="s">
        <v>676</v>
      </c>
      <c r="E385" s="24"/>
      <c r="F385" s="83"/>
      <c r="G385" s="83"/>
      <c r="H385" s="83"/>
      <c r="I385" s="83"/>
      <c r="J385" s="85"/>
      <c r="K385" s="6"/>
    </row>
    <row r="386" spans="2:11">
      <c r="B386" s="21" t="s">
        <v>677</v>
      </c>
      <c r="C386" s="81" t="s">
        <v>351</v>
      </c>
      <c r="D386" s="84" t="s">
        <v>678</v>
      </c>
      <c r="E386" s="24"/>
      <c r="F386" s="83"/>
      <c r="G386" s="83"/>
      <c r="H386" s="83"/>
      <c r="I386" s="83"/>
      <c r="J386" s="85"/>
      <c r="K386" s="6"/>
    </row>
    <row r="387" spans="2:11">
      <c r="B387" s="21" t="s">
        <v>679</v>
      </c>
      <c r="C387" s="81" t="s">
        <v>351</v>
      </c>
      <c r="D387" s="84" t="s">
        <v>680</v>
      </c>
      <c r="E387" s="24"/>
      <c r="F387" s="83"/>
      <c r="G387" s="83"/>
      <c r="H387" s="83"/>
      <c r="I387" s="83"/>
      <c r="J387" s="85"/>
      <c r="K387" s="6"/>
    </row>
    <row r="388" spans="2:11">
      <c r="B388" s="21" t="s">
        <v>681</v>
      </c>
      <c r="C388" s="81" t="s">
        <v>351</v>
      </c>
      <c r="D388" s="84" t="s">
        <v>682</v>
      </c>
      <c r="E388" s="24"/>
      <c r="F388" s="83"/>
      <c r="G388" s="83"/>
      <c r="H388" s="83"/>
      <c r="I388" s="83"/>
      <c r="J388" s="85"/>
      <c r="K388" s="6"/>
    </row>
    <row r="389" spans="2:11">
      <c r="B389" s="21" t="s">
        <v>683</v>
      </c>
      <c r="C389" s="81" t="s">
        <v>351</v>
      </c>
      <c r="D389" s="84" t="s">
        <v>684</v>
      </c>
      <c r="E389" s="24"/>
      <c r="F389" s="83"/>
      <c r="G389" s="83"/>
      <c r="H389" s="83"/>
      <c r="I389" s="83"/>
      <c r="J389" s="85"/>
      <c r="K389" s="6"/>
    </row>
    <row r="390" spans="2:11">
      <c r="B390" s="21" t="s">
        <v>685</v>
      </c>
      <c r="C390" s="81" t="s">
        <v>351</v>
      </c>
      <c r="D390" s="84" t="s">
        <v>686</v>
      </c>
      <c r="E390" s="24"/>
      <c r="F390" s="83"/>
      <c r="G390" s="83"/>
      <c r="H390" s="83"/>
      <c r="I390" s="83"/>
      <c r="J390" s="85"/>
      <c r="K390" s="6"/>
    </row>
    <row r="391" spans="2:11">
      <c r="B391" s="21" t="s">
        <v>687</v>
      </c>
      <c r="C391" s="81" t="s">
        <v>351</v>
      </c>
      <c r="D391" s="84" t="s">
        <v>688</v>
      </c>
      <c r="E391" s="24"/>
      <c r="F391" s="83"/>
      <c r="G391" s="83"/>
      <c r="H391" s="83"/>
      <c r="I391" s="83"/>
      <c r="J391" s="85"/>
      <c r="K391" s="6"/>
    </row>
    <row r="392" spans="2:11">
      <c r="B392" s="21" t="s">
        <v>689</v>
      </c>
      <c r="C392" s="81" t="s">
        <v>351</v>
      </c>
      <c r="D392" s="84" t="s">
        <v>690</v>
      </c>
      <c r="E392" s="24"/>
      <c r="F392" s="83"/>
      <c r="G392" s="83"/>
      <c r="H392" s="83"/>
      <c r="I392" s="83"/>
      <c r="J392" s="85"/>
      <c r="K392" s="6"/>
    </row>
    <row r="393" spans="2:11">
      <c r="B393" s="21" t="s">
        <v>691</v>
      </c>
      <c r="C393" s="81" t="s">
        <v>351</v>
      </c>
      <c r="D393" s="84" t="s">
        <v>692</v>
      </c>
      <c r="E393" s="24"/>
      <c r="F393" s="83"/>
      <c r="G393" s="83"/>
      <c r="H393" s="83"/>
      <c r="I393" s="83"/>
      <c r="J393" s="85"/>
      <c r="K393" s="6"/>
    </row>
    <row r="394" spans="2:11">
      <c r="B394" s="21" t="s">
        <v>693</v>
      </c>
      <c r="C394" s="81" t="s">
        <v>351</v>
      </c>
      <c r="D394" s="84" t="s">
        <v>694</v>
      </c>
      <c r="E394" s="24"/>
      <c r="F394" s="83"/>
      <c r="G394" s="83"/>
      <c r="H394" s="83"/>
      <c r="I394" s="83"/>
      <c r="J394" s="85"/>
      <c r="K394" s="6"/>
    </row>
    <row r="395" spans="2:11">
      <c r="B395" s="21" t="s">
        <v>695</v>
      </c>
      <c r="C395" s="81" t="s">
        <v>351</v>
      </c>
      <c r="D395" s="84" t="s">
        <v>696</v>
      </c>
      <c r="E395" s="24"/>
      <c r="F395" s="83"/>
      <c r="G395" s="83"/>
      <c r="H395" s="83"/>
      <c r="I395" s="83"/>
      <c r="J395" s="85"/>
      <c r="K395" s="6"/>
    </row>
    <row r="396" spans="2:11" ht="27.75" customHeight="1">
      <c r="B396" s="21" t="s">
        <v>697</v>
      </c>
      <c r="C396" s="81" t="s">
        <v>351</v>
      </c>
      <c r="D396" s="86" t="s">
        <v>698</v>
      </c>
      <c r="E396" s="86"/>
      <c r="F396" s="86"/>
      <c r="G396" s="86"/>
      <c r="H396" s="86"/>
      <c r="I396" s="86"/>
      <c r="J396" s="87"/>
      <c r="K396" s="6"/>
    </row>
    <row r="397" spans="2:11" ht="32.25" customHeight="1">
      <c r="B397" s="21" t="s">
        <v>699</v>
      </c>
      <c r="C397" s="81" t="s">
        <v>351</v>
      </c>
      <c r="D397" s="86" t="s">
        <v>700</v>
      </c>
      <c r="E397" s="86"/>
      <c r="F397" s="86"/>
      <c r="G397" s="86"/>
      <c r="H397" s="86"/>
      <c r="I397" s="86"/>
      <c r="J397" s="87"/>
      <c r="K397" s="6"/>
    </row>
    <row r="398" spans="2:11" ht="29.25" customHeight="1">
      <c r="B398" s="21" t="s">
        <v>701</v>
      </c>
      <c r="C398" s="81" t="s">
        <v>351</v>
      </c>
      <c r="D398" s="86" t="s">
        <v>702</v>
      </c>
      <c r="E398" s="86"/>
      <c r="F398" s="86"/>
      <c r="G398" s="86"/>
      <c r="H398" s="86"/>
      <c r="I398" s="86"/>
      <c r="J398" s="87"/>
      <c r="K398" s="6"/>
    </row>
    <row r="399" spans="2:11">
      <c r="B399" s="21" t="s">
        <v>703</v>
      </c>
      <c r="C399" s="81" t="s">
        <v>351</v>
      </c>
      <c r="D399" s="84" t="s">
        <v>704</v>
      </c>
      <c r="E399" s="24"/>
      <c r="F399" s="83"/>
      <c r="G399" s="83"/>
      <c r="H399" s="83"/>
      <c r="I399" s="83"/>
      <c r="J399" s="85"/>
      <c r="K399" s="6"/>
    </row>
    <row r="400" spans="2:11">
      <c r="B400" s="21" t="s">
        <v>705</v>
      </c>
      <c r="C400" s="81" t="s">
        <v>351</v>
      </c>
      <c r="D400" s="84" t="s">
        <v>706</v>
      </c>
      <c r="E400" s="24"/>
      <c r="F400" s="83"/>
      <c r="G400" s="83"/>
      <c r="H400" s="83"/>
      <c r="I400" s="83"/>
      <c r="J400" s="85"/>
      <c r="K400" s="6"/>
    </row>
    <row r="401" spans="2:11">
      <c r="B401" s="21" t="s">
        <v>707</v>
      </c>
      <c r="C401" s="81" t="s">
        <v>351</v>
      </c>
      <c r="D401" s="84" t="s">
        <v>708</v>
      </c>
      <c r="E401" s="24"/>
      <c r="F401" s="83"/>
      <c r="G401" s="83"/>
      <c r="H401" s="83"/>
      <c r="I401" s="83"/>
      <c r="J401" s="85"/>
      <c r="K401" s="6"/>
    </row>
    <row r="402" spans="2:11" ht="28.5" customHeight="1">
      <c r="B402" s="21" t="s">
        <v>709</v>
      </c>
      <c r="C402" s="81" t="s">
        <v>351</v>
      </c>
      <c r="D402" s="86" t="s">
        <v>710</v>
      </c>
      <c r="E402" s="86"/>
      <c r="F402" s="86"/>
      <c r="G402" s="86"/>
      <c r="H402" s="86"/>
      <c r="I402" s="86"/>
      <c r="J402" s="87"/>
      <c r="K402" s="6"/>
    </row>
    <row r="403" spans="2:11" ht="29.25" customHeight="1">
      <c r="B403" s="21" t="s">
        <v>711</v>
      </c>
      <c r="C403" s="81" t="s">
        <v>351</v>
      </c>
      <c r="D403" s="86" t="s">
        <v>712</v>
      </c>
      <c r="E403" s="86"/>
      <c r="F403" s="86"/>
      <c r="G403" s="86"/>
      <c r="H403" s="86"/>
      <c r="I403" s="86"/>
      <c r="J403" s="87"/>
      <c r="K403" s="6"/>
    </row>
    <row r="404" spans="2:11">
      <c r="B404" s="21" t="s">
        <v>713</v>
      </c>
      <c r="C404" s="81" t="s">
        <v>351</v>
      </c>
      <c r="D404" s="84" t="s">
        <v>714</v>
      </c>
      <c r="E404" s="24"/>
      <c r="F404" s="83"/>
      <c r="G404" s="83"/>
      <c r="H404" s="83"/>
      <c r="I404" s="83"/>
      <c r="J404" s="85"/>
      <c r="K404" s="6"/>
    </row>
    <row r="405" spans="2:11">
      <c r="B405" s="21" t="s">
        <v>715</v>
      </c>
      <c r="C405" s="81" t="s">
        <v>351</v>
      </c>
      <c r="D405" s="84" t="s">
        <v>716</v>
      </c>
      <c r="E405" s="24"/>
      <c r="F405" s="83"/>
      <c r="G405" s="83"/>
      <c r="H405" s="83"/>
      <c r="I405" s="83"/>
      <c r="J405" s="85"/>
      <c r="K405" s="6"/>
    </row>
    <row r="406" spans="2:11">
      <c r="B406" s="21" t="s">
        <v>717</v>
      </c>
      <c r="C406" s="81" t="s">
        <v>351</v>
      </c>
      <c r="D406" s="84" t="s">
        <v>718</v>
      </c>
      <c r="E406" s="24"/>
      <c r="F406" s="83"/>
      <c r="G406" s="83"/>
      <c r="H406" s="83"/>
      <c r="I406" s="83"/>
      <c r="J406" s="85"/>
      <c r="K406" s="6"/>
    </row>
    <row r="407" spans="2:11">
      <c r="B407" s="21" t="s">
        <v>719</v>
      </c>
      <c r="C407" s="81" t="s">
        <v>351</v>
      </c>
      <c r="D407" s="84" t="s">
        <v>720</v>
      </c>
      <c r="E407" s="24"/>
      <c r="F407" s="83"/>
      <c r="G407" s="83"/>
      <c r="H407" s="83"/>
      <c r="I407" s="83"/>
      <c r="J407" s="85"/>
      <c r="K407" s="6"/>
    </row>
    <row r="408" spans="2:11">
      <c r="B408" s="21" t="s">
        <v>721</v>
      </c>
      <c r="C408" s="81" t="s">
        <v>351</v>
      </c>
      <c r="D408" s="84" t="s">
        <v>722</v>
      </c>
      <c r="E408" s="24"/>
      <c r="F408" s="83"/>
      <c r="G408" s="83"/>
      <c r="H408" s="83"/>
      <c r="I408" s="83"/>
      <c r="J408" s="85"/>
      <c r="K408" s="6"/>
    </row>
    <row r="409" spans="2:11">
      <c r="B409" s="21" t="s">
        <v>723</v>
      </c>
      <c r="C409" s="81" t="s">
        <v>351</v>
      </c>
      <c r="D409" s="84" t="s">
        <v>724</v>
      </c>
      <c r="E409" s="24"/>
      <c r="F409" s="83"/>
      <c r="G409" s="83"/>
      <c r="H409" s="83"/>
      <c r="I409" s="83"/>
      <c r="J409" s="85"/>
      <c r="K409" s="6"/>
    </row>
    <row r="410" spans="2:11">
      <c r="B410" s="21" t="s">
        <v>725</v>
      </c>
      <c r="C410" s="81" t="s">
        <v>351</v>
      </c>
      <c r="D410" s="84" t="s">
        <v>726</v>
      </c>
      <c r="E410" s="24"/>
      <c r="F410" s="83"/>
      <c r="G410" s="83"/>
      <c r="H410" s="83"/>
      <c r="I410" s="83"/>
      <c r="J410" s="85"/>
      <c r="K410" s="6"/>
    </row>
    <row r="411" spans="2:11">
      <c r="B411" s="21" t="s">
        <v>727</v>
      </c>
      <c r="C411" s="81" t="s">
        <v>351</v>
      </c>
      <c r="D411" s="84" t="s">
        <v>728</v>
      </c>
      <c r="E411" s="24"/>
      <c r="F411" s="83"/>
      <c r="G411" s="83"/>
      <c r="H411" s="83"/>
      <c r="I411" s="83"/>
      <c r="J411" s="85"/>
      <c r="K411" s="6"/>
    </row>
    <row r="412" spans="2:11">
      <c r="B412" s="21" t="s">
        <v>729</v>
      </c>
      <c r="C412" s="81" t="s">
        <v>351</v>
      </c>
      <c r="D412" s="84" t="s">
        <v>730</v>
      </c>
      <c r="E412" s="24"/>
      <c r="F412" s="83"/>
      <c r="G412" s="83"/>
      <c r="H412" s="83"/>
      <c r="I412" s="83"/>
      <c r="J412" s="85"/>
      <c r="K412" s="6"/>
    </row>
    <row r="413" spans="2:11">
      <c r="B413" s="21" t="s">
        <v>731</v>
      </c>
      <c r="C413" s="81" t="s">
        <v>351</v>
      </c>
      <c r="D413" s="84" t="s">
        <v>732</v>
      </c>
      <c r="E413" s="24"/>
      <c r="F413" s="83"/>
      <c r="G413" s="83"/>
      <c r="H413" s="83"/>
      <c r="I413" s="83"/>
      <c r="J413" s="85"/>
      <c r="K413" s="6"/>
    </row>
    <row r="414" spans="2:11">
      <c r="B414" s="21" t="s">
        <v>733</v>
      </c>
      <c r="C414" s="81" t="s">
        <v>351</v>
      </c>
      <c r="D414" s="84" t="s">
        <v>734</v>
      </c>
      <c r="E414" s="24"/>
      <c r="F414" s="83"/>
      <c r="G414" s="83"/>
      <c r="H414" s="83"/>
      <c r="I414" s="83"/>
      <c r="J414" s="85"/>
      <c r="K414" s="6"/>
    </row>
    <row r="415" spans="2:11">
      <c r="B415" s="21" t="s">
        <v>735</v>
      </c>
      <c r="C415" s="81" t="s">
        <v>351</v>
      </c>
      <c r="D415" s="84" t="s">
        <v>736</v>
      </c>
      <c r="E415" s="24"/>
      <c r="F415" s="83"/>
      <c r="G415" s="83"/>
      <c r="H415" s="83"/>
      <c r="I415" s="83"/>
      <c r="J415" s="85"/>
      <c r="K415" s="6"/>
    </row>
    <row r="416" spans="2:11">
      <c r="B416" s="21" t="s">
        <v>737</v>
      </c>
      <c r="C416" s="81" t="s">
        <v>351</v>
      </c>
      <c r="D416" s="84" t="s">
        <v>738</v>
      </c>
      <c r="E416" s="24"/>
      <c r="F416" s="83"/>
      <c r="G416" s="83"/>
      <c r="H416" s="83"/>
      <c r="I416" s="83"/>
      <c r="J416" s="85"/>
      <c r="K416" s="6"/>
    </row>
    <row r="417" spans="2:11">
      <c r="B417" s="21" t="s">
        <v>739</v>
      </c>
      <c r="C417" s="81" t="s">
        <v>351</v>
      </c>
      <c r="D417" s="84" t="s">
        <v>740</v>
      </c>
      <c r="E417" s="24"/>
      <c r="F417" s="83"/>
      <c r="G417" s="83"/>
      <c r="H417" s="83"/>
      <c r="I417" s="83"/>
      <c r="J417" s="85"/>
      <c r="K417" s="6"/>
    </row>
    <row r="418" spans="2:11">
      <c r="B418" s="21" t="s">
        <v>741</v>
      </c>
      <c r="C418" s="81" t="s">
        <v>351</v>
      </c>
      <c r="D418" s="84" t="s">
        <v>742</v>
      </c>
      <c r="E418" s="24"/>
      <c r="F418" s="83"/>
      <c r="G418" s="83"/>
      <c r="H418" s="83"/>
      <c r="I418" s="83"/>
      <c r="J418" s="85"/>
      <c r="K418" s="6"/>
    </row>
    <row r="419" spans="2:11">
      <c r="B419" s="21" t="s">
        <v>743</v>
      </c>
      <c r="C419" s="81" t="s">
        <v>351</v>
      </c>
      <c r="D419" s="84" t="s">
        <v>744</v>
      </c>
      <c r="E419" s="24"/>
      <c r="F419" s="83"/>
      <c r="G419" s="83"/>
      <c r="H419" s="83"/>
      <c r="I419" s="83"/>
      <c r="J419" s="85"/>
      <c r="K419" s="6"/>
    </row>
    <row r="420" spans="2:11">
      <c r="B420" s="21" t="s">
        <v>745</v>
      </c>
      <c r="C420" s="81" t="s">
        <v>351</v>
      </c>
      <c r="D420" s="84" t="s">
        <v>746</v>
      </c>
      <c r="E420" s="24"/>
      <c r="F420" s="83"/>
      <c r="G420" s="83"/>
      <c r="H420" s="83"/>
      <c r="I420" s="83"/>
      <c r="J420" s="85"/>
      <c r="K420" s="6"/>
    </row>
    <row r="421" spans="2:11">
      <c r="B421" s="21" t="s">
        <v>747</v>
      </c>
      <c r="C421" s="81" t="s">
        <v>351</v>
      </c>
      <c r="D421" s="84" t="s">
        <v>748</v>
      </c>
      <c r="E421" s="24"/>
      <c r="F421" s="83"/>
      <c r="G421" s="83"/>
      <c r="H421" s="83"/>
      <c r="I421" s="83"/>
      <c r="J421" s="85"/>
      <c r="K421" s="6"/>
    </row>
    <row r="422" spans="2:11">
      <c r="B422" s="21" t="s">
        <v>749</v>
      </c>
      <c r="C422" s="81" t="s">
        <v>351</v>
      </c>
      <c r="D422" s="84" t="s">
        <v>750</v>
      </c>
      <c r="E422" s="24"/>
      <c r="F422" s="83"/>
      <c r="G422" s="83"/>
      <c r="H422" s="83"/>
      <c r="I422" s="83"/>
      <c r="J422" s="85"/>
      <c r="K422" s="6"/>
    </row>
    <row r="423" spans="2:11">
      <c r="B423" s="21" t="s">
        <v>751</v>
      </c>
      <c r="C423" s="81" t="s">
        <v>351</v>
      </c>
      <c r="D423" s="84" t="s">
        <v>752</v>
      </c>
      <c r="E423" s="24"/>
      <c r="F423" s="83"/>
      <c r="G423" s="83"/>
      <c r="H423" s="83"/>
      <c r="I423" s="83"/>
      <c r="J423" s="85"/>
      <c r="K423" s="6"/>
    </row>
    <row r="424" spans="2:11">
      <c r="B424" s="21" t="s">
        <v>753</v>
      </c>
      <c r="C424" s="81" t="s">
        <v>351</v>
      </c>
      <c r="D424" s="84" t="s">
        <v>754</v>
      </c>
      <c r="E424" s="24"/>
      <c r="F424" s="83"/>
      <c r="G424" s="83"/>
      <c r="H424" s="83"/>
      <c r="I424" s="83"/>
      <c r="J424" s="85"/>
      <c r="K424" s="6"/>
    </row>
    <row r="425" spans="2:11">
      <c r="B425" s="21" t="s">
        <v>755</v>
      </c>
      <c r="C425" s="81" t="s">
        <v>351</v>
      </c>
      <c r="D425" s="84" t="s">
        <v>756</v>
      </c>
      <c r="E425" s="24"/>
      <c r="F425" s="83"/>
      <c r="G425" s="83"/>
      <c r="H425" s="83"/>
      <c r="I425" s="83"/>
      <c r="J425" s="85"/>
      <c r="K425" s="6"/>
    </row>
    <row r="426" spans="2:11">
      <c r="B426" s="21" t="s">
        <v>757</v>
      </c>
      <c r="C426" s="81" t="s">
        <v>351</v>
      </c>
      <c r="D426" s="84" t="s">
        <v>758</v>
      </c>
      <c r="E426" s="24"/>
      <c r="F426" s="83"/>
      <c r="G426" s="83"/>
      <c r="H426" s="83"/>
      <c r="I426" s="83"/>
      <c r="J426" s="85"/>
      <c r="K426" s="6"/>
    </row>
    <row r="427" spans="2:11">
      <c r="B427" s="21" t="s">
        <v>759</v>
      </c>
      <c r="C427" s="81" t="s">
        <v>351</v>
      </c>
      <c r="D427" s="84" t="s">
        <v>760</v>
      </c>
      <c r="E427" s="24"/>
      <c r="F427" s="83"/>
      <c r="G427" s="83"/>
      <c r="H427" s="83"/>
      <c r="I427" s="83"/>
      <c r="J427" s="85"/>
      <c r="K427" s="6"/>
    </row>
    <row r="428" spans="2:11">
      <c r="B428" s="21" t="s">
        <v>761</v>
      </c>
      <c r="C428" s="81" t="s">
        <v>351</v>
      </c>
      <c r="D428" s="84" t="s">
        <v>762</v>
      </c>
      <c r="E428" s="24"/>
      <c r="F428" s="83"/>
      <c r="G428" s="83"/>
      <c r="H428" s="83"/>
      <c r="I428" s="83"/>
      <c r="J428" s="85"/>
      <c r="K428" s="6"/>
    </row>
    <row r="429" spans="2:11">
      <c r="B429" s="21" t="s">
        <v>763</v>
      </c>
      <c r="C429" s="81" t="s">
        <v>351</v>
      </c>
      <c r="D429" s="84" t="s">
        <v>764</v>
      </c>
      <c r="E429" s="24"/>
      <c r="F429" s="83"/>
      <c r="G429" s="83"/>
      <c r="H429" s="83"/>
      <c r="I429" s="83"/>
      <c r="J429" s="85"/>
      <c r="K429" s="6"/>
    </row>
    <row r="430" spans="2:11">
      <c r="B430" s="21" t="s">
        <v>765</v>
      </c>
      <c r="C430" s="81" t="s">
        <v>351</v>
      </c>
      <c r="D430" s="84" t="s">
        <v>766</v>
      </c>
      <c r="E430" s="24"/>
      <c r="F430" s="83"/>
      <c r="G430" s="83"/>
      <c r="H430" s="83"/>
      <c r="I430" s="83"/>
      <c r="J430" s="85"/>
      <c r="K430" s="6"/>
    </row>
    <row r="431" spans="2:11">
      <c r="B431" s="21" t="s">
        <v>767</v>
      </c>
      <c r="C431" s="81" t="s">
        <v>351</v>
      </c>
      <c r="D431" s="84" t="s">
        <v>768</v>
      </c>
      <c r="E431" s="24"/>
      <c r="F431" s="83"/>
      <c r="G431" s="83"/>
      <c r="H431" s="83"/>
      <c r="I431" s="83"/>
      <c r="J431" s="85"/>
      <c r="K431" s="6"/>
    </row>
    <row r="432" spans="2:11">
      <c r="B432" s="21" t="s">
        <v>769</v>
      </c>
      <c r="C432" s="81" t="s">
        <v>351</v>
      </c>
      <c r="D432" s="84" t="s">
        <v>770</v>
      </c>
      <c r="E432" s="29"/>
      <c r="F432" s="29"/>
      <c r="G432" s="29"/>
      <c r="H432" s="29"/>
      <c r="I432" s="29"/>
      <c r="J432" s="32"/>
      <c r="K432" s="6"/>
    </row>
    <row r="433" spans="2:11" ht="15" customHeight="1">
      <c r="B433" s="25"/>
      <c r="C433" s="81"/>
      <c r="D433" s="84"/>
      <c r="E433" s="24"/>
      <c r="F433" s="23"/>
      <c r="G433" s="83"/>
      <c r="H433" s="23"/>
      <c r="I433" s="23"/>
      <c r="J433" s="32"/>
      <c r="K433" s="6"/>
    </row>
    <row r="434" spans="2:11" ht="56.25" customHeight="1">
      <c r="B434" s="28" t="s">
        <v>771</v>
      </c>
      <c r="C434" s="22"/>
      <c r="D434" s="23"/>
      <c r="E434" s="29"/>
      <c r="F434" s="23"/>
      <c r="G434" s="23"/>
      <c r="H434" s="23"/>
      <c r="I434" s="23"/>
      <c r="J434" s="32"/>
      <c r="K434" s="6"/>
    </row>
    <row r="435" spans="2:11" ht="144.75" customHeight="1">
      <c r="B435" s="21"/>
      <c r="C435" s="109" t="s">
        <v>772</v>
      </c>
      <c r="D435" s="86"/>
      <c r="E435" s="86"/>
      <c r="F435" s="23"/>
      <c r="G435" s="23"/>
      <c r="H435" s="23"/>
      <c r="I435" s="23"/>
      <c r="J435" s="32"/>
      <c r="K435" s="6"/>
    </row>
    <row r="436" spans="2:11" ht="19.5" customHeight="1">
      <c r="B436" s="28" t="s">
        <v>773</v>
      </c>
      <c r="C436" s="22"/>
      <c r="D436" s="23"/>
      <c r="E436" s="29"/>
      <c r="F436" s="23"/>
      <c r="G436" s="23"/>
      <c r="H436" s="23"/>
      <c r="I436" s="23"/>
      <c r="J436" s="32"/>
      <c r="K436" s="6"/>
    </row>
    <row r="437" spans="2:11">
      <c r="B437" s="21"/>
      <c r="C437" s="86" t="s">
        <v>774</v>
      </c>
      <c r="D437" s="86"/>
      <c r="E437" s="86"/>
      <c r="F437" s="23"/>
      <c r="G437" s="23"/>
      <c r="H437" s="23"/>
      <c r="I437" s="23"/>
      <c r="J437" s="32"/>
      <c r="K437" s="6"/>
    </row>
    <row r="438" spans="2:11">
      <c r="B438" s="28" t="s">
        <v>775</v>
      </c>
      <c r="C438" s="83"/>
      <c r="D438" s="30"/>
      <c r="E438" s="30"/>
      <c r="F438" s="23"/>
      <c r="G438" s="23"/>
      <c r="H438" s="23"/>
      <c r="I438" s="23"/>
      <c r="J438" s="32"/>
      <c r="K438" s="6"/>
    </row>
    <row r="439" spans="2:11">
      <c r="B439" s="21"/>
      <c r="C439" s="96" t="s">
        <v>776</v>
      </c>
      <c r="D439" s="96"/>
      <c r="E439" s="96"/>
      <c r="F439" s="23"/>
      <c r="G439" s="23"/>
      <c r="H439" s="23"/>
      <c r="I439" s="23"/>
      <c r="J439" s="32"/>
      <c r="K439" s="6"/>
    </row>
    <row r="440" spans="2:11">
      <c r="B440" s="28" t="s">
        <v>777</v>
      </c>
      <c r="C440" s="22"/>
      <c r="D440" s="23"/>
      <c r="E440" s="23"/>
      <c r="F440" s="23"/>
      <c r="G440" s="23"/>
      <c r="H440" s="23"/>
      <c r="I440" s="23"/>
      <c r="J440" s="32"/>
      <c r="K440" s="6"/>
    </row>
    <row r="441" spans="2:11">
      <c r="B441" s="21"/>
      <c r="C441" s="22" t="s">
        <v>778</v>
      </c>
      <c r="D441" s="23"/>
      <c r="E441" s="23"/>
      <c r="F441" s="23"/>
      <c r="G441" s="23"/>
      <c r="H441" s="6"/>
      <c r="I441" s="6"/>
      <c r="J441" s="32"/>
      <c r="K441" s="6"/>
    </row>
    <row r="442" spans="2:11" ht="14.25" thickBot="1">
      <c r="B442" s="35"/>
      <c r="C442" s="2"/>
      <c r="D442" s="6"/>
      <c r="E442" s="6"/>
      <c r="F442" s="6"/>
      <c r="G442" s="6"/>
      <c r="H442" s="38"/>
      <c r="I442" s="38"/>
      <c r="J442" s="39"/>
      <c r="K442" s="6"/>
    </row>
    <row r="443" spans="2:11" ht="14.25" thickBot="1">
      <c r="B443" s="36"/>
      <c r="C443" s="37"/>
      <c r="D443" s="38"/>
      <c r="E443" s="38"/>
      <c r="F443" s="38"/>
      <c r="G443" s="38"/>
    </row>
  </sheetData>
  <mergeCells count="65">
    <mergeCell ref="C439:E439"/>
    <mergeCell ref="D325:J325"/>
    <mergeCell ref="D326:J326"/>
    <mergeCell ref="D328:I328"/>
    <mergeCell ref="D329:J329"/>
    <mergeCell ref="D331:J331"/>
    <mergeCell ref="D332:J332"/>
    <mergeCell ref="D333:J333"/>
    <mergeCell ref="D334:J334"/>
    <mergeCell ref="D335:J335"/>
    <mergeCell ref="D336:J336"/>
    <mergeCell ref="D337:J337"/>
    <mergeCell ref="D349:J349"/>
    <mergeCell ref="D351:J351"/>
    <mergeCell ref="D354:J354"/>
    <mergeCell ref="D396:J396"/>
    <mergeCell ref="A6:B6"/>
    <mergeCell ref="A7:B7"/>
    <mergeCell ref="D229:I229"/>
    <mergeCell ref="C435:E435"/>
    <mergeCell ref="C437:E437"/>
    <mergeCell ref="D318:J318"/>
    <mergeCell ref="D319:J319"/>
    <mergeCell ref="D320:J320"/>
    <mergeCell ref="D285:J285"/>
    <mergeCell ref="D316:J316"/>
    <mergeCell ref="D317:J317"/>
    <mergeCell ref="D225:I225"/>
    <mergeCell ref="D244:I244"/>
    <mergeCell ref="D245:I245"/>
    <mergeCell ref="D237:H237"/>
    <mergeCell ref="D241:I241"/>
    <mergeCell ref="B2:H2"/>
    <mergeCell ref="A4:B4"/>
    <mergeCell ref="C4:E4"/>
    <mergeCell ref="A5:B5"/>
    <mergeCell ref="C5:I5"/>
    <mergeCell ref="D224:I224"/>
    <mergeCell ref="D228:I228"/>
    <mergeCell ref="D231:I231"/>
    <mergeCell ref="D227:I227"/>
    <mergeCell ref="D348:J348"/>
    <mergeCell ref="D240:I240"/>
    <mergeCell ref="D278:I278"/>
    <mergeCell ref="D280:J280"/>
    <mergeCell ref="D282:J282"/>
    <mergeCell ref="D242:I242"/>
    <mergeCell ref="D243:I243"/>
    <mergeCell ref="D321:J321"/>
    <mergeCell ref="D322:J322"/>
    <mergeCell ref="D323:J323"/>
    <mergeCell ref="D324:J324"/>
    <mergeCell ref="D226:I226"/>
    <mergeCell ref="D246:I246"/>
    <mergeCell ref="D259:J259"/>
    <mergeCell ref="D236:H236"/>
    <mergeCell ref="D255:J255"/>
    <mergeCell ref="D254:I254"/>
    <mergeCell ref="D253:J253"/>
    <mergeCell ref="D397:J397"/>
    <mergeCell ref="D398:J398"/>
    <mergeCell ref="D402:J402"/>
    <mergeCell ref="D403:J403"/>
    <mergeCell ref="D260:J260"/>
    <mergeCell ref="D284:J284"/>
  </mergeCells>
  <pageMargins left="0.7" right="0.234375" top="0.52696078431372551" bottom="0.31862745098039214" header="0.51180555555555496" footer="0.51180555555555496"/>
  <pageSetup paperSize="190" scale="60" firstPageNumber="0" orientation="landscape" verticalDpi="300" r:id="rId1"/>
  <rowBreaks count="3" manualBreakCount="3">
    <brk id="221" max="9" man="1"/>
    <brk id="298" max="9" man="1"/>
    <brk id="433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sqref="A1:H6"/>
    </sheetView>
  </sheetViews>
  <sheetFormatPr defaultColWidth="11.42578125" defaultRowHeight="12.75"/>
  <sheetData>
    <row r="1" spans="1:8">
      <c r="A1" s="100" t="s">
        <v>779</v>
      </c>
      <c r="B1" s="101"/>
      <c r="C1" s="101"/>
      <c r="D1" s="101"/>
      <c r="E1" s="101"/>
      <c r="F1" s="101"/>
      <c r="G1" s="101"/>
      <c r="H1" s="102"/>
    </row>
    <row r="2" spans="1:8">
      <c r="A2" s="103"/>
      <c r="B2" s="104"/>
      <c r="C2" s="104"/>
      <c r="D2" s="104"/>
      <c r="E2" s="104"/>
      <c r="F2" s="104"/>
      <c r="G2" s="104"/>
      <c r="H2" s="105"/>
    </row>
    <row r="3" spans="1:8">
      <c r="A3" s="103"/>
      <c r="B3" s="104"/>
      <c r="C3" s="104"/>
      <c r="D3" s="104"/>
      <c r="E3" s="104"/>
      <c r="F3" s="104"/>
      <c r="G3" s="104"/>
      <c r="H3" s="105"/>
    </row>
    <row r="4" spans="1:8">
      <c r="A4" s="103"/>
      <c r="B4" s="104"/>
      <c r="C4" s="104"/>
      <c r="D4" s="104"/>
      <c r="E4" s="104"/>
      <c r="F4" s="104"/>
      <c r="G4" s="104"/>
      <c r="H4" s="105"/>
    </row>
    <row r="5" spans="1:8">
      <c r="A5" s="103"/>
      <c r="B5" s="104"/>
      <c r="C5" s="104"/>
      <c r="D5" s="104"/>
      <c r="E5" s="104"/>
      <c r="F5" s="104"/>
      <c r="G5" s="104"/>
      <c r="H5" s="105"/>
    </row>
    <row r="6" spans="1:8" ht="13.5" thickBot="1">
      <c r="A6" s="106"/>
      <c r="B6" s="107"/>
      <c r="C6" s="107"/>
      <c r="D6" s="107"/>
      <c r="E6" s="107"/>
      <c r="F6" s="107"/>
      <c r="G6" s="107"/>
      <c r="H6" s="108"/>
    </row>
  </sheetData>
  <mergeCells count="1">
    <mergeCell ref="A1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Javier Ponce</cp:lastModifiedBy>
  <cp:revision>2</cp:revision>
  <dcterms:created xsi:type="dcterms:W3CDTF">2020-07-17T23:44:49Z</dcterms:created>
  <dcterms:modified xsi:type="dcterms:W3CDTF">2022-09-08T15:19:35Z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