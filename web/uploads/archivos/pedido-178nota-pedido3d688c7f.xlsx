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Gastar'!$A$1:$Q$26</definedName>
  </definedNames>
  <calcPr calcId="144525"/>
</workbook>
</file>

<file path=xl/calcChain.xml><?xml version="1.0" encoding="utf-8"?>
<calcChain xmlns="http://schemas.openxmlformats.org/spreadsheetml/2006/main">
  <c r="A10" i="3" l="1"/>
  <c r="G6" i="3" l="1"/>
  <c r="D7" i="2"/>
  <c r="D3" i="2"/>
  <c r="D4" i="2"/>
  <c r="G4" i="3" l="1"/>
  <c r="G5" i="3"/>
  <c r="D1" i="3"/>
  <c r="K12" i="2"/>
  <c r="J12" i="2"/>
  <c r="J13" i="2" s="1"/>
  <c r="I12" i="2"/>
  <c r="C12" i="2"/>
  <c r="B12" i="2"/>
  <c r="I10" i="1"/>
  <c r="Q22" i="3" l="1"/>
</calcChain>
</file>

<file path=xl/sharedStrings.xml><?xml version="1.0" encoding="utf-8"?>
<sst xmlns="http://schemas.openxmlformats.org/spreadsheetml/2006/main" count="82" uniqueCount="76">
  <si>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</si>
  <si>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</si>
  <si>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</si>
  <si>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</si>
  <si>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</si>
  <si>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</si>
  <si>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</si>
  <si>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</si>
  <si>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</si>
  <si>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</si>
  <si>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</si>
  <si>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</si>
  <si>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</si>
  <si>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</si>
  <si>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</si>
  <si>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</si>
  <si>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</si>
  <si>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</si>
  <si>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</si>
  <si>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</si>
  <si>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</si>
  <si>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</si>
  <si>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</si>
  <si>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</si>
  <si>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</si>
  <si>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</si>
  <si>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</si>
  <si>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</si>
  <si>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</si>
  <si>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</si>
  <si>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</si>
  <si>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</si>
  <si>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</si>
  <si>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</si>
  <si>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</si>
  <si>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</si>
  <si>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</si>
  <si>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</si>
  <si>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</si>
  <si>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</si>
  <si>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</si>
  <si>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</si>
  <si>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</si>
  <si>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</si>
  <si>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</si>
  <si>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</si>
  <si>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</si>
  <si>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</si>
  <si>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</si>
  <si>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</si>
  <si>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</si>
  <si>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</si>
  <si>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</si>
  <si>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</si>
  <si>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Plazos y lugares de entrega</t>
  </si>
  <si>
    <t>Especificidades Item N° 1: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</si>
  <si>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HOSPITAL INT. DE NIÑOS – AV. VIRGEN DEL VALLE N° 1050-CATAMARCA DE 8:00 A 12:00HS., DEBIENDO CORRER LOS GASTOS DE FLETES, ACARREO, CARGA, DESCARGA, SEGURO, INSTALACION Y PUESTA EN FUNCIONAMIENTO A CARGO DEL ADJUDICATARIO.</t>
    </r>
  </si>
  <si>
    <t>SI</t>
  </si>
  <si>
    <t>Direccion Asistencial</t>
  </si>
  <si>
    <t>ECOGRAFOS; TIPO: DOPPLER COLOR, USO: EXAMENES ECOGRAFICOS MEDICOS</t>
  </si>
  <si>
    <t>4.3.3-5186.2</t>
  </si>
  <si>
    <t>EQUIPOS</t>
  </si>
  <si>
    <t>4.3.3</t>
  </si>
  <si>
    <t>038/2022</t>
  </si>
  <si>
    <t>Ecografo</t>
  </si>
  <si>
    <t>EQUIPO SANITARIO Y DE LABORATORIO</t>
  </si>
  <si>
    <t>1.1</t>
  </si>
  <si>
    <t>Direccion de Asistencial</t>
  </si>
  <si>
    <t>Para la adquisición de Ecografo destinado al servicio de Cardiologia del Hospital Interzonal de Niños Eva Peron, para el normal funcionamiento del organismo.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</si>
  <si>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cuarenta y cinco (45) días Habiles de notificada la Orden de Compra. </t>
    </r>
  </si>
  <si>
    <r>
      <t>Mantenimiento:</t>
    </r>
    <r>
      <rPr>
        <sz val="10"/>
        <rFont val="Times New Roman"/>
        <family val="1"/>
      </rPr>
      <t xml:space="preserve"> Cuarenta y Cinco (45) dias habiles.</t>
    </r>
  </si>
  <si>
    <t>Monitor de 21.5, Pantalla tactil de 9.9 modo M, Doppler color, Poppler power, Doppler pulsado, Doppler continuo, Doppler tisular, speckle tracking, 3D / 4D opcional, B-flow, Transductor 3SCRS cardio adulto, Transductor 6SRS cardio pediatrico, Transductor lineal, Transductor convexo y video printer digital.</t>
  </si>
  <si>
    <t>Configurado para aplicaciones: opcion cardiologica pediatrica y adulto, clinica abdominales, renal, clinica radiologica pediatrica, clinica paravpartes pequeñas, clinica para aplicaciones musculo esqueleticas, vasculares periferica y cerebrovascular. ECG: adulto y pediatrico.</t>
  </si>
  <si>
    <t>Caracteristicas Basicas:</t>
  </si>
  <si>
    <t>Costo total estimado: Seis Millones Quinientos Mil con 00/100.</t>
  </si>
  <si>
    <t>TOTAL DE PESOS: SEIS MILLONES QUINIENTOS MIL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</si>
</sst>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3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166" fontId="13" fillId="0" borderId="4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8" xfId="0" applyFont="1" applyBorder="1"/>
    <xf numFmtId="0" fontId="22" fillId="0" borderId="7" xfId="0" applyFont="1" applyBorder="1" applyAlignment="1">
      <alignment horizontal="left" indent="3"/>
    </xf>
    <xf numFmtId="166" fontId="15" fillId="0" borderId="0" xfId="0" applyNumberFormat="1" applyFont="1"/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46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47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indent="3"/>
    </xf>
    <xf numFmtId="0" fontId="19" fillId="0" borderId="16" xfId="0" applyFont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6" fontId="4" fillId="3" borderId="2" xfId="1" applyNumberFormat="1" applyFont="1" applyFill="1" applyBorder="1" applyAlignment="1" applyProtection="1">
      <alignment horizontal="right" vertical="center" wrapText="1"/>
    </xf>
    <xf numFmtId="3" fontId="4" fillId="3" borderId="3" xfId="0" applyNumberFormat="1" applyFont="1" applyFill="1" applyBorder="1" applyAlignment="1">
      <alignment horizontal="center" vertical="center"/>
    </xf>
    <xf numFmtId="0" fontId="22" fillId="0" borderId="9" xfId="0" applyFont="1" applyBorder="1" applyAlignment="1"/>
    <xf numFmtId="0" fontId="15" fillId="0" borderId="10" xfId="0" applyFont="1" applyBorder="1" applyAlignment="1">
      <alignment horizontal="center" wrapText="1"/>
    </xf>
    <xf numFmtId="0" fontId="15" fillId="0" borderId="10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vertical="center" wrapText="1"/>
    </xf>
    <xf numFmtId="0" fontId="4" fillId="3" borderId="50" xfId="0" applyFont="1" applyFill="1" applyBorder="1" applyAlignment="1">
      <alignment vertical="center" wrapText="1"/>
    </xf>
    <xf numFmtId="0" fontId="20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166" fontId="20" fillId="4" borderId="53" xfId="1" applyNumberFormat="1" applyFont="1" applyFill="1" applyBorder="1" applyAlignment="1" applyProtection="1">
      <alignment horizontal="right" vertical="center" wrapText="1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vertical="center" wrapText="1"/>
    </xf>
    <xf numFmtId="0" fontId="15" fillId="0" borderId="9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4" borderId="7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 indent="1"/>
    </xf>
    <xf numFmtId="0" fontId="7" fillId="3" borderId="17" xfId="0" applyFont="1" applyFill="1" applyBorder="1" applyAlignment="1">
      <alignment horizontal="left" vertical="center" wrapText="1"/>
    </xf>
    <xf numFmtId="167" fontId="7" fillId="3" borderId="16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left" vertical="center" wrapText="1"/>
    </xf>
    <xf numFmtId="0" fontId="4" fillId="3" borderId="49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24" fillId="0" borderId="33" xfId="0" applyFont="1" applyFill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1" xfId="0" applyFont="1" applyFill="1" applyBorder="1" applyAlignment="1">
      <alignment horizontal="left" vertical="center" wrapText="1" indent="1"/>
    </xf>
    <xf numFmtId="0" fontId="0" fillId="0" borderId="3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9" fillId="0" borderId="41" xfId="0" applyFont="1" applyBorder="1" applyAlignment="1">
      <alignment horizontal="left" vertical="center" wrapText="1"/>
    </xf>
    <xf numFmtId="0" fontId="0" fillId="0" borderId="23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="89" zoomScaleNormal="89" workbookViewId="0">
      <selection activeCell="H11" sqref="H11"/>
    </sheetView>
  </sheetViews>
  <sheetFormatPr baseColWidth="10" defaultColWidth="11" defaultRowHeight="12.75" x14ac:dyDescent="0.2"/>
  <cols>
    <col min="1" max="1" width="4.5703125" style="31" customWidth="1"/>
    <col min="2" max="2" width="15.140625" style="31" customWidth="1"/>
    <col min="3" max="3" width="13.5703125" style="31" customWidth="1"/>
    <col min="4" max="4" width="8.42578125" style="31" customWidth="1"/>
    <col min="5" max="5" width="43.28515625" style="31" customWidth="1"/>
    <col min="6" max="6" width="11" style="31"/>
    <col min="7" max="7" width="11.28515625" style="31" customWidth="1"/>
    <col min="8" max="8" width="13.85546875" style="31" customWidth="1"/>
    <col min="9" max="9" width="18.5703125" style="31" customWidth="1"/>
    <col min="10" max="11" width="11" style="31"/>
    <col min="12" max="12" width="12.7109375" style="31" bestFit="1" customWidth="1"/>
    <col min="13" max="16384" width="11" style="31"/>
  </cols>
  <sheetData>
    <row r="1" spans="1:12" ht="3.75" customHeight="1" x14ac:dyDescent="0.2"/>
    <row r="2" spans="1:12" ht="27" x14ac:dyDescent="0.35">
      <c r="B2" s="83" t="s">
        <v>0</v>
      </c>
      <c r="C2" s="83"/>
      <c r="D2" s="83"/>
      <c r="E2" s="83"/>
      <c r="F2" s="83"/>
      <c r="G2" s="83"/>
      <c r="H2" s="83"/>
    </row>
    <row r="3" spans="1:12" ht="12" customHeight="1" x14ac:dyDescent="0.2"/>
    <row r="4" spans="1:12" ht="18" customHeight="1" x14ac:dyDescent="0.25">
      <c r="A4" s="84" t="s">
        <v>1</v>
      </c>
      <c r="B4" s="84"/>
      <c r="C4" s="85" t="s">
        <v>53</v>
      </c>
      <c r="D4" s="85"/>
      <c r="E4" s="85"/>
      <c r="F4" s="32"/>
      <c r="G4" s="33"/>
      <c r="H4" s="32"/>
    </row>
    <row r="5" spans="1:12" ht="18" customHeight="1" x14ac:dyDescent="0.25">
      <c r="A5" s="84" t="s">
        <v>2</v>
      </c>
      <c r="B5" s="84"/>
      <c r="C5" s="85" t="s">
        <v>52</v>
      </c>
      <c r="D5" s="85"/>
      <c r="E5" s="85"/>
      <c r="F5" s="32"/>
      <c r="G5" s="33"/>
      <c r="H5" s="32"/>
    </row>
    <row r="6" spans="1:12" ht="16.5" customHeight="1" x14ac:dyDescent="0.25">
      <c r="A6" s="84" t="s">
        <v>3</v>
      </c>
      <c r="B6" s="84"/>
      <c r="C6" s="49">
        <v>2022</v>
      </c>
      <c r="D6" s="50"/>
      <c r="E6" s="50"/>
      <c r="F6" s="32"/>
      <c r="G6" s="33"/>
      <c r="H6" s="32"/>
    </row>
    <row r="7" spans="1:12" ht="16.5" customHeight="1" x14ac:dyDescent="0.25">
      <c r="A7" s="84" t="s">
        <v>4</v>
      </c>
      <c r="B7" s="84"/>
      <c r="C7" s="49">
        <v>2</v>
      </c>
      <c r="D7" s="50"/>
      <c r="E7" s="50"/>
      <c r="F7" s="32"/>
      <c r="G7" s="33"/>
      <c r="H7" s="32"/>
    </row>
    <row r="8" spans="1:12" ht="13.5" thickBot="1" x14ac:dyDescent="0.25">
      <c r="B8" s="32"/>
      <c r="C8" s="33"/>
      <c r="D8" s="32"/>
      <c r="E8" s="32"/>
      <c r="F8" s="32"/>
      <c r="G8" s="33"/>
      <c r="H8" s="32"/>
    </row>
    <row r="9" spans="1:12" ht="39" thickBot="1" x14ac:dyDescent="0.25">
      <c r="A9" s="60" t="s">
        <v>5</v>
      </c>
      <c r="B9" s="60" t="s">
        <v>6</v>
      </c>
      <c r="C9" s="60" t="s">
        <v>7</v>
      </c>
      <c r="D9" s="60" t="s">
        <v>8</v>
      </c>
      <c r="E9" s="60" t="s">
        <v>9</v>
      </c>
      <c r="F9" s="60" t="s">
        <v>10</v>
      </c>
      <c r="G9" s="60" t="s">
        <v>11</v>
      </c>
      <c r="H9" s="60" t="s">
        <v>12</v>
      </c>
      <c r="I9" s="60" t="s">
        <v>13</v>
      </c>
    </row>
    <row r="10" spans="1:12" ht="39.75" customHeight="1" thickBot="1" x14ac:dyDescent="0.25">
      <c r="A10" s="73">
        <v>1</v>
      </c>
      <c r="B10" s="78" t="s">
        <v>60</v>
      </c>
      <c r="C10" s="78" t="s">
        <v>61</v>
      </c>
      <c r="D10" s="74" t="s">
        <v>62</v>
      </c>
      <c r="E10" s="79" t="s">
        <v>59</v>
      </c>
      <c r="F10" s="75" t="s">
        <v>14</v>
      </c>
      <c r="G10" s="75">
        <v>1</v>
      </c>
      <c r="H10" s="76">
        <v>6500000</v>
      </c>
      <c r="I10" s="77">
        <f>H10*G10</f>
        <v>6500000</v>
      </c>
      <c r="L10" s="40"/>
    </row>
    <row r="11" spans="1:12" ht="13.5" thickBot="1" x14ac:dyDescent="0.25">
      <c r="I11" s="40"/>
    </row>
    <row r="12" spans="1:12" x14ac:dyDescent="0.2">
      <c r="B12" s="59" t="s">
        <v>54</v>
      </c>
      <c r="C12" s="35"/>
      <c r="D12" s="35"/>
      <c r="E12" s="36"/>
    </row>
    <row r="13" spans="1:12" ht="6.75" customHeight="1" x14ac:dyDescent="0.2">
      <c r="B13" s="89" t="s">
        <v>56</v>
      </c>
      <c r="C13" s="90"/>
      <c r="D13" s="90"/>
      <c r="E13" s="91"/>
    </row>
    <row r="14" spans="1:12" ht="45" customHeight="1" x14ac:dyDescent="0.2">
      <c r="B14" s="89"/>
      <c r="C14" s="90"/>
      <c r="D14" s="90"/>
      <c r="E14" s="91"/>
    </row>
    <row r="15" spans="1:12" ht="16.5" customHeight="1" x14ac:dyDescent="0.2">
      <c r="B15" s="89" t="s">
        <v>69</v>
      </c>
      <c r="C15" s="90"/>
      <c r="D15" s="90"/>
      <c r="E15" s="91"/>
    </row>
    <row r="16" spans="1:12" ht="15.75" customHeight="1" thickBot="1" x14ac:dyDescent="0.25">
      <c r="B16" s="66" t="s">
        <v>70</v>
      </c>
      <c r="C16" s="67"/>
      <c r="D16" s="68"/>
      <c r="E16" s="69"/>
    </row>
    <row r="17" spans="2:5" ht="13.5" thickBot="1" x14ac:dyDescent="0.25"/>
    <row r="18" spans="2:5" x14ac:dyDescent="0.2">
      <c r="B18" s="34" t="s">
        <v>55</v>
      </c>
      <c r="C18" s="35"/>
      <c r="D18" s="35"/>
      <c r="E18" s="36"/>
    </row>
    <row r="19" spans="2:5" x14ac:dyDescent="0.2">
      <c r="B19" s="39" t="s">
        <v>73</v>
      </c>
      <c r="C19" s="37"/>
      <c r="D19" s="37"/>
      <c r="E19" s="38"/>
    </row>
    <row r="20" spans="2:5" ht="54.75" customHeight="1" x14ac:dyDescent="0.2">
      <c r="B20" s="86" t="s">
        <v>71</v>
      </c>
      <c r="C20" s="87"/>
      <c r="D20" s="87"/>
      <c r="E20" s="88"/>
    </row>
    <row r="21" spans="2:5" ht="42.75" customHeight="1" thickBot="1" x14ac:dyDescent="0.25">
      <c r="B21" s="80" t="s">
        <v>72</v>
      </c>
      <c r="C21" s="81"/>
      <c r="D21" s="81"/>
      <c r="E21" s="82"/>
    </row>
  </sheetData>
  <mergeCells count="11">
    <mergeCell ref="B21:E21"/>
    <mergeCell ref="B2:H2"/>
    <mergeCell ref="A4:B4"/>
    <mergeCell ref="C4:E4"/>
    <mergeCell ref="A5:B5"/>
    <mergeCell ref="C5:E5"/>
    <mergeCell ref="B20:E20"/>
    <mergeCell ref="A6:B6"/>
    <mergeCell ref="A7:B7"/>
    <mergeCell ref="B13:E14"/>
    <mergeCell ref="B15:E15"/>
  </mergeCells>
  <printOptions horizontalCentered="1"/>
  <pageMargins left="0.11811023622047245" right="0.11811023622047245" top="0.35433070866141736" bottom="0.15748031496062992" header="0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topLeftCell="A4" zoomScale="110" zoomScaleNormal="110" workbookViewId="0">
      <selection activeCell="A13" sqref="A13:I13"/>
    </sheetView>
  </sheetViews>
  <sheetFormatPr baseColWidth="10" defaultColWidth="9.140625" defaultRowHeight="12.75" x14ac:dyDescent="0.2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5" style="43" customWidth="1"/>
    <col min="6" max="6" width="7.85546875" style="43" hidden="1" customWidth="1"/>
    <col min="7" max="7" width="48.5703125" style="43" hidden="1" customWidth="1"/>
    <col min="8" max="8" width="9.28515625" style="43" customWidth="1"/>
    <col min="9" max="9" width="15.5703125" style="43" customWidth="1"/>
    <col min="10" max="10" width="14.7109375" style="43" customWidth="1"/>
    <col min="11" max="11" width="15.5703125" style="43" customWidth="1"/>
    <col min="12" max="14" width="5.85546875" style="43" customWidth="1"/>
    <col min="15" max="15" width="12.5703125" style="43" customWidth="1"/>
    <col min="16" max="1024" width="9.140625" style="43"/>
    <col min="1025" max="16384" width="9.140625" style="44"/>
  </cols>
  <sheetData>
    <row r="1" spans="1:11" ht="18" customHeight="1" x14ac:dyDescent="0.2">
      <c r="A1" s="92" t="s">
        <v>15</v>
      </c>
      <c r="B1" s="92"/>
      <c r="C1" s="92"/>
      <c r="D1" s="92"/>
      <c r="E1" s="92"/>
      <c r="F1" s="92"/>
      <c r="G1" s="92"/>
      <c r="H1" s="92"/>
      <c r="I1" s="92"/>
      <c r="J1" s="41" t="s">
        <v>16</v>
      </c>
      <c r="K1" s="42" t="s">
        <v>63</v>
      </c>
    </row>
    <row r="2" spans="1:11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1" ht="18.75" customHeight="1" thickBot="1" x14ac:dyDescent="0.25">
      <c r="A3" s="93" t="s">
        <v>49</v>
      </c>
      <c r="B3" s="93"/>
      <c r="C3" s="93"/>
      <c r="D3" s="94" t="str">
        <f>'Necesidades Trimestrales'!C4</f>
        <v>040 - Ministerio de Salud</v>
      </c>
      <c r="E3" s="94"/>
      <c r="F3" s="94"/>
      <c r="G3" s="94"/>
      <c r="H3" s="94"/>
      <c r="I3" s="94"/>
      <c r="J3" s="94"/>
      <c r="K3" s="94"/>
    </row>
    <row r="4" spans="1:11" ht="18.75" customHeight="1" thickBot="1" x14ac:dyDescent="0.25">
      <c r="A4" s="95" t="s">
        <v>50</v>
      </c>
      <c r="B4" s="95"/>
      <c r="C4" s="95"/>
      <c r="D4" s="94" t="str">
        <f>'Necesidades Trimestrales'!C5</f>
        <v>024 - Hospital Interzonal de Niños</v>
      </c>
      <c r="E4" s="94"/>
      <c r="F4" s="94"/>
      <c r="G4" s="94"/>
      <c r="H4" s="94"/>
      <c r="I4" s="94"/>
      <c r="J4" s="94"/>
      <c r="K4" s="94"/>
    </row>
    <row r="5" spans="1:11" ht="18.75" customHeight="1" thickBot="1" x14ac:dyDescent="0.25">
      <c r="A5" s="95" t="s">
        <v>28</v>
      </c>
      <c r="B5" s="95"/>
      <c r="C5" s="95"/>
      <c r="D5" s="94" t="s">
        <v>52</v>
      </c>
      <c r="E5" s="94"/>
      <c r="F5" s="94"/>
      <c r="G5" s="94"/>
      <c r="H5" s="94"/>
      <c r="I5" s="94"/>
      <c r="J5" s="94"/>
      <c r="K5" s="94"/>
    </row>
    <row r="6" spans="1:11" ht="16.5" customHeight="1" thickBot="1" x14ac:dyDescent="0.25">
      <c r="A6" s="93" t="s">
        <v>51</v>
      </c>
      <c r="B6" s="93"/>
      <c r="C6" s="93"/>
      <c r="D6" s="94" t="s">
        <v>58</v>
      </c>
      <c r="E6" s="94"/>
      <c r="F6" s="94"/>
      <c r="G6" s="94"/>
      <c r="H6" s="94"/>
      <c r="I6" s="94"/>
      <c r="J6" s="94"/>
      <c r="K6" s="94"/>
    </row>
    <row r="7" spans="1:11" ht="16.5" customHeight="1" x14ac:dyDescent="0.2">
      <c r="A7" s="95" t="s">
        <v>17</v>
      </c>
      <c r="B7" s="95"/>
      <c r="C7" s="95"/>
      <c r="D7" s="94" t="str">
        <f>'Necesidades Trimestrales'!C7 &amp; "° Trimestre - Año " &amp; 'Necesidades Trimestrales'!C6</f>
        <v>2° Trimestre - Año 2022</v>
      </c>
      <c r="E7" s="94"/>
      <c r="F7" s="94"/>
      <c r="G7" s="94"/>
      <c r="H7" s="94"/>
      <c r="I7" s="94"/>
      <c r="J7" s="94"/>
      <c r="K7" s="94"/>
    </row>
    <row r="8" spans="1:11" ht="16.5" customHeight="1" x14ac:dyDescent="0.2">
      <c r="A8" s="97" t="s">
        <v>18</v>
      </c>
      <c r="B8" s="97"/>
      <c r="C8" s="97"/>
      <c r="D8" s="98" t="s">
        <v>64</v>
      </c>
      <c r="E8" s="98"/>
      <c r="F8" s="98"/>
      <c r="G8" s="98"/>
      <c r="H8" s="98"/>
      <c r="I8" s="98"/>
      <c r="J8" s="98"/>
      <c r="K8" s="98"/>
    </row>
    <row r="9" spans="1:11" ht="15.75" x14ac:dyDescent="0.2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1" ht="18.75" customHeight="1" x14ac:dyDescent="0.2">
      <c r="A10" s="99" t="s">
        <v>19</v>
      </c>
      <c r="B10" s="100" t="s">
        <v>20</v>
      </c>
      <c r="C10" s="100" t="s">
        <v>21</v>
      </c>
      <c r="D10" s="100"/>
      <c r="E10" s="100"/>
      <c r="F10" s="100"/>
      <c r="G10" s="100"/>
      <c r="H10" s="100" t="s">
        <v>22</v>
      </c>
      <c r="I10" s="100" t="s">
        <v>23</v>
      </c>
      <c r="J10" s="100" t="s">
        <v>24</v>
      </c>
      <c r="K10" s="101" t="s">
        <v>25</v>
      </c>
    </row>
    <row r="11" spans="1:11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1" ht="63.75" customHeight="1" thickBot="1" x14ac:dyDescent="0.25">
      <c r="A12" s="61">
        <v>1</v>
      </c>
      <c r="B12" s="70" t="str">
        <f>'Necesidades Trimestrales'!B10</f>
        <v>4.3.3-5186.2</v>
      </c>
      <c r="C12" s="102" t="str">
        <f>'Necesidades Trimestrales'!E10</f>
        <v>ECOGRAFOS; TIPO: DOPPLER COLOR, USO: EXAMENES ECOGRAFICOS MEDICOS</v>
      </c>
      <c r="D12" s="103"/>
      <c r="E12" s="103"/>
      <c r="F12" s="71"/>
      <c r="G12" s="72"/>
      <c r="H12" s="62" t="s">
        <v>57</v>
      </c>
      <c r="I12" s="63" t="str">
        <f>'Necesidades Trimestrales'!F10</f>
        <v>UNIDAD</v>
      </c>
      <c r="J12" s="64">
        <f>'Necesidades Trimestrales'!H10</f>
        <v>6500000</v>
      </c>
      <c r="K12" s="65">
        <f>'Necesidades Trimestrales'!G10</f>
        <v>1</v>
      </c>
    </row>
    <row r="13" spans="1:11" ht="31.5" customHeight="1" thickBot="1" x14ac:dyDescent="0.25">
      <c r="A13" s="94" t="s">
        <v>74</v>
      </c>
      <c r="B13" s="94"/>
      <c r="C13" s="94"/>
      <c r="D13" s="94"/>
      <c r="E13" s="94"/>
      <c r="F13" s="94"/>
      <c r="G13" s="94"/>
      <c r="H13" s="94"/>
      <c r="I13" s="94"/>
      <c r="J13" s="96">
        <f>SUMPRODUCT(J12:J12,K12:K12)</f>
        <v>6500000</v>
      </c>
      <c r="K13" s="96"/>
    </row>
  </sheetData>
  <mergeCells count="23"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E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topLeftCell="A13" zoomScale="130" zoomScaleNormal="130" workbookViewId="0">
      <selection activeCell="N19" sqref="N19"/>
    </sheetView>
  </sheetViews>
  <sheetFormatPr baseColWidth="10" defaultColWidth="4.85546875" defaultRowHeight="12.75" x14ac:dyDescent="0.2"/>
  <cols>
    <col min="7" max="7" width="4.85546875" style="2"/>
    <col min="9" max="9" width="2.85546875" customWidth="1"/>
    <col min="10" max="10" width="3.5703125" customWidth="1"/>
    <col min="11" max="11" width="3.28515625" customWidth="1"/>
    <col min="16" max="16" width="22.140625" customWidth="1"/>
    <col min="17" max="17" width="13.5703125" customWidth="1"/>
  </cols>
  <sheetData>
    <row r="1" spans="1:17" ht="15.75" customHeight="1" thickBot="1" x14ac:dyDescent="0.3">
      <c r="A1" s="104" t="s">
        <v>3</v>
      </c>
      <c r="B1" s="104"/>
      <c r="C1" s="104"/>
      <c r="D1" s="105">
        <f>'Necesidades Trimestrales'!C6</f>
        <v>2022</v>
      </c>
      <c r="E1" s="105"/>
      <c r="F1" s="3"/>
      <c r="G1" s="3"/>
      <c r="H1" s="4"/>
      <c r="I1" s="4"/>
      <c r="J1" s="4"/>
      <c r="K1" s="4"/>
      <c r="L1" s="4"/>
      <c r="M1" s="4"/>
      <c r="N1" s="4"/>
      <c r="P1" s="106" t="s">
        <v>26</v>
      </c>
      <c r="Q1" s="106"/>
    </row>
    <row r="2" spans="1:17" ht="15.75" customHeight="1" thickBot="1" x14ac:dyDescent="0.25">
      <c r="H2" s="4"/>
      <c r="I2" s="4"/>
      <c r="J2" s="4"/>
      <c r="K2" s="4"/>
      <c r="L2" s="4"/>
      <c r="M2" s="4"/>
      <c r="N2" s="4"/>
      <c r="P2" s="106"/>
      <c r="Q2" s="106"/>
    </row>
    <row r="4" spans="1:17" s="5" customFormat="1" ht="18" customHeight="1" thickBot="1" x14ac:dyDescent="0.25">
      <c r="A4" s="107" t="s">
        <v>27</v>
      </c>
      <c r="B4" s="107"/>
      <c r="C4" s="107"/>
      <c r="D4" s="107"/>
      <c r="E4" s="107"/>
      <c r="F4" s="107"/>
      <c r="G4" s="108" t="str">
        <f>' NotaPedido'!D3</f>
        <v>040 - Ministerio de Salud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1:17" s="5" customFormat="1" ht="18" customHeight="1" thickBot="1" x14ac:dyDescent="0.25">
      <c r="A5" s="109" t="s">
        <v>50</v>
      </c>
      <c r="B5" s="110"/>
      <c r="C5" s="110"/>
      <c r="D5" s="110"/>
      <c r="E5" s="110"/>
      <c r="F5" s="111"/>
      <c r="G5" s="108" t="str">
        <f>' NotaPedido'!D4</f>
        <v>024 - Hospital Interzonal de Niños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s="5" customFormat="1" ht="18" customHeight="1" thickBot="1" x14ac:dyDescent="0.25">
      <c r="A6" s="109" t="s">
        <v>28</v>
      </c>
      <c r="B6" s="110"/>
      <c r="C6" s="110"/>
      <c r="D6" s="110"/>
      <c r="E6" s="110"/>
      <c r="F6" s="111"/>
      <c r="G6" s="108" t="str">
        <f>' NotaPedido'!D5</f>
        <v>024 - Hospital Interzonal de Niños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</row>
    <row r="7" spans="1:17" s="5" customFormat="1" ht="18" customHeight="1" thickBot="1" x14ac:dyDescent="0.25">
      <c r="A7" s="109" t="s">
        <v>51</v>
      </c>
      <c r="B7" s="110"/>
      <c r="C7" s="110"/>
      <c r="D7" s="110"/>
      <c r="E7" s="110"/>
      <c r="F7" s="111"/>
      <c r="G7" s="108" t="s">
        <v>67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</row>
    <row r="8" spans="1:17" ht="18" customHeight="1" thickBot="1" x14ac:dyDescent="0.25">
      <c r="A8" s="112" t="s">
        <v>29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18" customHeight="1" x14ac:dyDescent="0.2">
      <c r="A9" s="117" t="s">
        <v>30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6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038/2022,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19" t="s">
        <v>31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x14ac:dyDescent="0.2">
      <c r="A13" s="120" t="s">
        <v>32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33</v>
      </c>
      <c r="P13" s="121"/>
      <c r="Q13" s="122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21"/>
      <c r="P14" s="121"/>
      <c r="Q14" s="122"/>
    </row>
    <row r="15" spans="1:17" ht="28.5" customHeight="1" x14ac:dyDescent="0.2">
      <c r="A15" s="51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8">
        <v>4</v>
      </c>
      <c r="J15" s="58">
        <v>3</v>
      </c>
      <c r="K15" s="58">
        <v>3</v>
      </c>
      <c r="L15" s="57"/>
      <c r="M15" s="52">
        <v>1</v>
      </c>
      <c r="N15" s="53" t="s">
        <v>66</v>
      </c>
      <c r="O15" s="113" t="s">
        <v>65</v>
      </c>
      <c r="P15" s="113"/>
      <c r="Q15" s="20">
        <v>6500000</v>
      </c>
    </row>
    <row r="16" spans="1:17" ht="17.25" customHeight="1" x14ac:dyDescent="0.2">
      <c r="A16" s="51"/>
      <c r="B16" s="55"/>
      <c r="C16" s="55"/>
      <c r="D16" s="55"/>
      <c r="E16" s="55"/>
      <c r="F16" s="55"/>
      <c r="G16" s="55"/>
      <c r="H16" s="55"/>
      <c r="I16" s="56"/>
      <c r="J16" s="56"/>
      <c r="K16" s="56"/>
      <c r="L16" s="55"/>
      <c r="M16" s="52"/>
      <c r="N16" s="53"/>
      <c r="O16" s="114"/>
      <c r="P16" s="115"/>
      <c r="Q16" s="20"/>
    </row>
    <row r="17" spans="1:18" ht="17.25" customHeight="1" x14ac:dyDescent="0.2">
      <c r="A17" s="51"/>
      <c r="B17" s="52"/>
      <c r="C17" s="52"/>
      <c r="D17" s="52"/>
      <c r="E17" s="52"/>
      <c r="F17" s="52"/>
      <c r="G17" s="52"/>
      <c r="H17" s="52"/>
      <c r="I17" s="54"/>
      <c r="J17" s="54"/>
      <c r="K17" s="54"/>
      <c r="L17" s="52"/>
      <c r="M17" s="52"/>
      <c r="N17" s="53"/>
      <c r="O17" s="114"/>
      <c r="P17" s="115"/>
      <c r="Q17" s="20"/>
    </row>
    <row r="18" spans="1:18" ht="23.25" customHeight="1" x14ac:dyDescent="0.2">
      <c r="A18" s="51"/>
      <c r="B18" s="52"/>
      <c r="C18" s="52"/>
      <c r="D18" s="52"/>
      <c r="E18" s="52"/>
      <c r="F18" s="52"/>
      <c r="G18" s="52"/>
      <c r="H18" s="52"/>
      <c r="I18" s="54"/>
      <c r="J18" s="54"/>
      <c r="K18" s="54"/>
      <c r="L18" s="52"/>
      <c r="M18" s="52"/>
      <c r="N18" s="53"/>
      <c r="O18" s="116"/>
      <c r="P18" s="115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15"/>
      <c r="P19" s="115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28"/>
      <c r="P20" s="128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29"/>
      <c r="P21" s="129"/>
      <c r="Q21" s="29"/>
    </row>
    <row r="22" spans="1:18" ht="29.25" customHeight="1" x14ac:dyDescent="0.2">
      <c r="A22" s="130" t="s">
        <v>75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30">
        <f>SUM(Q15:Q21)</f>
        <v>6500000</v>
      </c>
    </row>
    <row r="23" spans="1:18" ht="18" customHeight="1" thickBot="1" x14ac:dyDescent="0.25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</row>
    <row r="24" spans="1:18" ht="17.25" customHeight="1" thickBot="1" x14ac:dyDescent="0.25">
      <c r="A24" s="123" t="s">
        <v>48</v>
      </c>
      <c r="B24" s="124"/>
      <c r="C24" s="124"/>
      <c r="D24" s="124"/>
      <c r="E24" s="124"/>
      <c r="F24" s="125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8" ht="18" customHeight="1" thickBot="1" x14ac:dyDescent="0.25">
      <c r="A25" s="127" t="s">
        <v>68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  <row r="26" spans="1:18" ht="15" customHeight="1" x14ac:dyDescent="0.2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2022-03-23T14:49:48Z</cp:lastPrinted>
  <dcterms:created xsi:type="dcterms:W3CDTF">2020-07-17T23:44:49Z</dcterms:created>
  <dcterms:modified xsi:type="dcterms:W3CDTF">2022-03-29T13:20:01Z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