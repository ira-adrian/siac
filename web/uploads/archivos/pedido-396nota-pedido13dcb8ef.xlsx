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HSJB\descartables nutricion\"/>
    </mc:Choice>
  </mc:AlternateContent>
  <xr:revisionPtr revIDLastSave="0" documentId="13_ncr:1_{72E09D88-5EA5-462D-BC7B-033CE52DEC7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ESC. NUTRICION NT " sheetId="1" r:id="rId1"/>
    <sheet name="DESC. NUTRICION NPYE " sheetId="2" r:id="rId2"/>
    <sheet name="DESC. NUTRICION" sheetId="3" r:id="rId3"/>
  </sheets>
  <externalReferences>
    <externalReference r:id="rId4"/>
    <externalReference r:id="rId5"/>
  </externalReferences>
  <definedNames>
    <definedName name="_xlnm._FilterDatabase" localSheetId="0" hidden="1">'DESC. NUTRICION NT '!$A$9:$I$26</definedName>
    <definedName name="_xlnm.Print_Area" localSheetId="2">'DESC. NUTRICION'!$A$1:$Q$27</definedName>
    <definedName name="_xlnm.Print_Area" localSheetId="1">'DESC. NUTRICION NPYE '!$A$1:$K$29</definedName>
  </definedNames>
  <calcPr calcId="181029"/>
</workbook>
</file>

<file path=xl/calcChain.xml><?xml version="1.0" encoding="utf-8"?>
<calcChain xmlns="http://schemas.openxmlformats.org/spreadsheetml/2006/main">
  <c r="A26" i="3" l="1"/>
  <c r="A10" i="3"/>
  <c r="G7" i="3"/>
  <c r="G6" i="3"/>
  <c r="D1" i="3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K12" i="2"/>
  <c r="J12" i="2"/>
  <c r="I12" i="2"/>
  <c r="C12" i="2"/>
  <c r="B12" i="2"/>
  <c r="D7" i="2"/>
  <c r="D4" i="2"/>
  <c r="G5" i="3" s="1"/>
  <c r="D3" i="2"/>
  <c r="G4" i="3" s="1"/>
  <c r="Q23" i="3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9" i="2" l="1"/>
</calcChain>
</file>

<file path=xl/sharedStrings.xml><?xml version="1.0" encoding="utf-8"?>
<sst xmlns="http://schemas.openxmlformats.org/spreadsheetml/2006/main" count="213" uniqueCount="125">
  <si>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</si>
  <si>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</si>
  <si>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</si>
  <si>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</si>
  <si>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</si>
  <si>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</si>
  <si>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</si>
  <si>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</si>
  <si>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</si>
  <si>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</si>
  <si>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</si>
  <si>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</si>
  <si>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</si>
  <si>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</si>
  <si>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</si>
  <si>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</si>
  <si>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BAZAR Y MENAJE</t>
  </si>
  <si>
    <t>2.9.4</t>
  </si>
  <si>
    <t>UNIDAD</t>
  </si>
  <si>
    <t>2.9.4-4743.24</t>
  </si>
  <si>
    <t>BANDEJA P/TRANSP. DE ALIMENTO; DIMENSION: 18 X 14 X 4 Cm, TIPO: C/TAPA, MATERIAL: ALUMINIO APTO MICROONDAS, CAPACIDAD: 750 CM3</t>
  </si>
  <si>
    <t>2.9.4-6970.3</t>
  </si>
  <si>
    <t>COMPOTERAS; MATERIAL: POLICARBONATO, CAPACIDAD: 250 mL</t>
  </si>
  <si>
    <t>2.9.4-690.15</t>
  </si>
  <si>
    <t>CUCHARAS; TIPO: DE MESA, MATERIAL: PLASTICO</t>
  </si>
  <si>
    <t>2.9.4-690.16</t>
  </si>
  <si>
    <t>CUCHARAS; TIPO: TE, MATERIAL: PLASTICO</t>
  </si>
  <si>
    <t>2.9.4-689.15</t>
  </si>
  <si>
    <t>2.9.4.</t>
  </si>
  <si>
    <t>CUCHILLOS; TIPO: DE MESA, MATERIAL: PLASTICO</t>
  </si>
  <si>
    <t>2.9.4-692.10</t>
  </si>
  <si>
    <t>TENEDORES; TIPO: DE MESA, MATERIAL: PLASTICO</t>
  </si>
  <si>
    <t>2.5.8-3977.40</t>
  </si>
  <si>
    <t>FERRETERIA</t>
  </si>
  <si>
    <t>2.5.8</t>
  </si>
  <si>
    <t>BOLSAS DE POLIETILENO; TAMAÑO: 15 X 25 Cm, ESPESOR: 17 Mn, PRESENTACION: ROLLO X 200 UN</t>
  </si>
  <si>
    <t>2.9.4-1184.49</t>
  </si>
  <si>
    <t>VASOS; MATERIAL: POLIESTIRENO, TIPO: TERMICO, CAPACIDAD: 240 mL</t>
  </si>
  <si>
    <t>2.9.4-588.70</t>
  </si>
  <si>
    <t>VASOS PLASTICOS DESCARTABLES; MATERIAL: POLIESTIRENO, MOTIVO: LISO, CAPACIDAD: 240 CM3, PRESENTACION: ENVASE X 1000 UN, TIPO: APTO MICROONDAS</t>
  </si>
  <si>
    <t>2.3.4</t>
  </si>
  <si>
    <t>CAJAS</t>
  </si>
  <si>
    <t>2.5.8-1055.37</t>
  </si>
  <si>
    <t>BANDEJAS DE PLASTICO; MATERIAL: PLASTICO, LARGO X ANCHO: 233 X 170 mm, FORMA: OVAL, PRESENTACION: CAJA X 600</t>
  </si>
  <si>
    <t>2.5.8-5590.59</t>
  </si>
  <si>
    <t>LIBRERIA,PAP. Y UTILES OFICINA</t>
  </si>
  <si>
    <t>FILMS DE POLIETILENO; ESPESOR: 10 Mn, ANCHO: 45 Cm, PRESENTACION: ROLLO X 900 M, USO: ALIMENTARIO</t>
  </si>
  <si>
    <t>2.9.4-1184.42</t>
  </si>
  <si>
    <t>VASOS; MATERIAL: POLIESTIRENO EXPANDIDO, TIPO: DESCARTABLE, CAPACIDAD: 180 CM3</t>
  </si>
  <si>
    <t>2.3.4-938.59</t>
  </si>
  <si>
    <t>SERVILLETAS DE PAPEL; TIPO: ROLLO, MOTIVO: SIN, DIMENSION: 25 X 10 Cm, PRESENTACION: ENVASE X 3 UN</t>
  </si>
  <si>
    <t>PACK</t>
  </si>
  <si>
    <t>2.9.5-1909.206</t>
  </si>
  <si>
    <t>PROD. MEDICO/FARMACEUTICOS/LAB</t>
  </si>
  <si>
    <t>2.9.5</t>
  </si>
  <si>
    <t>GUANTES USO MEDICINAL; TIPO: DESCARTABLE, TAMAÑO: UNICO, MATERIAL: POLIETILENO, PRESENTACION: ENVASE X 100 UN, ESTERIL: SI, TALCO: NO, DESCARTABLE: SI</t>
  </si>
  <si>
    <t>Descripción técnica</t>
  </si>
  <si>
    <t>Plazos y lugares de entrega</t>
  </si>
  <si>
    <t>Calidad Minima esperada</t>
  </si>
  <si>
    <t>Mantenimiento</t>
  </si>
  <si>
    <t>Garantia</t>
  </si>
  <si>
    <t>Especificidades Item N° 11:</t>
  </si>
  <si>
    <t>Especificidades Item N° 16:</t>
  </si>
  <si>
    <t>VASO TÉRMICO PARA INFUSIONES X 180 CC. CON TAPAS</t>
  </si>
  <si>
    <t>NOTA DE PEDIDO</t>
  </si>
  <si>
    <t>N°</t>
  </si>
  <si>
    <t>373 - 2020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</si>
  <si>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</si>
  <si>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</si>
  <si>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</si>
  <si>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</si>
  <si>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</si>
  <si>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Nutrición</t>
  </si>
  <si>
    <t>PERIODO UTILIZACIÓN:</t>
  </si>
  <si>
    <t>OBJETO:</t>
  </si>
  <si>
    <t>Adquisición de Descartables Para Nutrición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</si>
  <si>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</si>
  <si>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</si>
  <si>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</si>
  <si>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</si>
  <si>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</si>
  <si>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</si>
  <si>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</si>
  <si>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</si>
  <si>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NOVECIENTOS SETENTA Y OCHO MIL DOSCIENTOS CON 00/100.-----------------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</si>
  <si>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</si>
  <si>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</si>
  <si>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</si>
  <si>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</si>
  <si>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</si>
  <si>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</si>
  <si>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</si>
  <si>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</si>
  <si>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</si>
  <si>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</si>
  <si>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</si>
  <si>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</si>
  <si>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</si>
  <si>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</si>
  <si>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</si>
  <si>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</si>
  <si>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</si>
  <si>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</si>
  <si>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</si>
  <si>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</si>
  <si>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</si>
  <si>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</si>
  <si>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</si>
  <si>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 xml:space="preserve">Productos de papel y carton </t>
  </si>
  <si>
    <t xml:space="preserve">Productos de material plastico </t>
  </si>
  <si>
    <t xml:space="preserve">Utensillos de cocina y comedor </t>
  </si>
  <si>
    <t>Utensillos Men, Med, Quir y Laborat.</t>
  </si>
  <si>
    <t>TOTAL DE PESOS: NOVECIENTOS SETENTA Y OCHO MIL DOSCIENTOS CON 00/100.-</t>
  </si>
  <si>
    <t>JUSTIFICACIÓN:</t>
  </si>
  <si>
    <t>BANDEJA P/TRANSP. DE ALIMENTO; CAPACIDAD: 700 GR, MATERIAL: ALUMINIO, TIPO: SIN VALOR, MEDIDAS: 14 X 10 X 4,5 Cm, INTERIOR: SIN VALOR, EXTERIOR: SIN VALOR, DIMENSION: 14 X 10 X 4,5 Cm, ACABADO: SIN VALOR</t>
  </si>
  <si>
    <t>2.9.4-4743.4</t>
  </si>
  <si>
    <t>BANDEJAS DE MESA; MATERIAL: PLASTICO, DIMENSION: 16,5 X 12 X 5,5 Cm, FORMA: RECTANGULAR</t>
  </si>
  <si>
    <t>2.9.4-1015.40</t>
  </si>
  <si>
    <t>ENVASE</t>
  </si>
  <si>
    <t>VASO PLASTICO REDONDO CON TAPA PARA POSTRES X 240 CC. X 1000 UNIDADES</t>
  </si>
  <si>
    <t>SERVILLETAS DE PAPEL; TIPO: LISAS, MOTIVO: SIN, DIMENSION: 33 X 33 Cm, PRESENTACION: PAQUETE X 1000 UN, COLOR: BLANCA</t>
  </si>
  <si>
    <t>2.3.4-938.46</t>
  </si>
  <si>
    <t>ver (*)</t>
  </si>
  <si>
    <t>(*) PLAZO DE ENTREGA: SEGÚN NECESIDAD DEL SERVICIO DE NUTRICION DEL HISJB       -              LUGAR DE ENTREGA: SERVICIO DE NUTRICION DEL HISJB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</si>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</sst>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color rgb="FF333333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sz val="9"/>
      <name val="Arial"/>
      <family val="2"/>
      <charset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9" fillId="0" borderId="0" applyBorder="0" applyProtection="0"/>
    <xf numFmtId="0" fontId="12" fillId="0" borderId="10" applyProtection="0"/>
    <xf numFmtId="166" fontId="13" fillId="0" borderId="0" applyBorder="0" applyProtection="0"/>
    <xf numFmtId="0" fontId="14" fillId="5" borderId="0" applyBorder="0" applyProtection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138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0" fontId="1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1" fillId="0" borderId="5" xfId="0" applyFont="1" applyBorder="1" applyAlignment="1">
      <alignment horizontal="left" indent="3"/>
    </xf>
    <xf numFmtId="0" fontId="1" fillId="0" borderId="5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left" indent="3"/>
    </xf>
    <xf numFmtId="0" fontId="1" fillId="0" borderId="8" xfId="0" applyFont="1" applyBorder="1"/>
    <xf numFmtId="0" fontId="1" fillId="0" borderId="9" xfId="0" applyFont="1" applyBorder="1"/>
    <xf numFmtId="0" fontId="15" fillId="0" borderId="11" xfId="0" applyFont="1" applyBorder="1" applyAlignment="1">
      <alignment horizontal="right" vertical="center"/>
    </xf>
    <xf numFmtId="0" fontId="16" fillId="2" borderId="12" xfId="0" applyFont="1" applyFill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7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 indent="1"/>
    </xf>
    <xf numFmtId="0" fontId="19" fillId="0" borderId="19" xfId="0" applyFont="1" applyBorder="1" applyAlignment="1">
      <alignment horizontal="center" vertical="center"/>
    </xf>
    <xf numFmtId="0" fontId="19" fillId="3" borderId="19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center" vertical="center"/>
    </xf>
    <xf numFmtId="0" fontId="19" fillId="3" borderId="19" xfId="0" applyFont="1" applyFill="1" applyBorder="1" applyAlignment="1">
      <alignment horizontal="center" vertical="center" wrapText="1"/>
    </xf>
    <xf numFmtId="165" fontId="19" fillId="3" borderId="19" xfId="1" applyNumberFormat="1" applyFont="1" applyFill="1" applyBorder="1" applyAlignment="1" applyProtection="1">
      <alignment horizontal="right" vertical="center" wrapText="1"/>
    </xf>
    <xf numFmtId="3" fontId="19" fillId="3" borderId="19" xfId="0" applyNumberFormat="1" applyFont="1" applyFill="1" applyBorder="1" applyAlignment="1">
      <alignment horizontal="center" vertical="center"/>
    </xf>
    <xf numFmtId="3" fontId="2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0" fontId="0" fillId="0" borderId="0" xfId="0" applyBorder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5" fillId="2" borderId="34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5" fillId="2" borderId="35" xfId="0" applyFont="1" applyFill="1" applyBorder="1" applyAlignment="1">
      <alignment horizontal="center" vertical="center"/>
    </xf>
    <xf numFmtId="165" fontId="25" fillId="3" borderId="36" xfId="3" applyNumberFormat="1" applyFont="1" applyFill="1" applyBorder="1" applyAlignment="1" applyProtection="1">
      <alignment horizontal="center" vertical="center"/>
    </xf>
    <xf numFmtId="0" fontId="25" fillId="3" borderId="37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40" xfId="0" applyFont="1" applyFill="1" applyBorder="1" applyAlignment="1">
      <alignment horizontal="center" vertical="center"/>
    </xf>
    <xf numFmtId="165" fontId="25" fillId="3" borderId="41" xfId="3" applyNumberFormat="1" applyFont="1" applyFill="1" applyBorder="1" applyAlignment="1" applyProtection="1">
      <alignment horizontal="center" vertical="center"/>
    </xf>
    <xf numFmtId="165" fontId="0" fillId="0" borderId="0" xfId="0" applyNumberFormat="1"/>
    <xf numFmtId="165" fontId="25" fillId="0" borderId="41" xfId="3" applyNumberFormat="1" applyFont="1" applyBorder="1" applyAlignment="1" applyProtection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5" fontId="0" fillId="0" borderId="41" xfId="3" applyNumberFormat="1" applyFont="1" applyBorder="1" applyAlignment="1" applyProtection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0" fillId="0" borderId="45" xfId="3" applyNumberFormat="1" applyFont="1" applyBorder="1" applyAlignment="1" applyProtection="1">
      <alignment horizontal="center" vertical="center"/>
    </xf>
    <xf numFmtId="165" fontId="24" fillId="3" borderId="46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27" fillId="6" borderId="48" xfId="0" applyFont="1" applyFill="1" applyBorder="1" applyAlignment="1">
      <alignment horizontal="center"/>
    </xf>
    <xf numFmtId="0" fontId="27" fillId="6" borderId="49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wrapText="1"/>
    </xf>
    <xf numFmtId="0" fontId="17" fillId="0" borderId="15" xfId="0" applyFont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 indent="1"/>
    </xf>
    <xf numFmtId="0" fontId="15" fillId="0" borderId="0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6" fillId="2" borderId="17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167" fontId="17" fillId="0" borderId="1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indent="1"/>
    </xf>
    <xf numFmtId="0" fontId="0" fillId="0" borderId="20" xfId="0" applyFont="1" applyBorder="1" applyAlignment="1">
      <alignment horizontal="center"/>
    </xf>
    <xf numFmtId="3" fontId="20" fillId="0" borderId="21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center" wrapText="1"/>
    </xf>
    <xf numFmtId="0" fontId="13" fillId="0" borderId="12" xfId="0" applyFont="1" applyBorder="1"/>
    <xf numFmtId="0" fontId="25" fillId="3" borderId="34" xfId="0" applyFont="1" applyFill="1" applyBorder="1" applyAlignment="1">
      <alignment horizontal="left" vertical="center" wrapText="1"/>
    </xf>
    <xf numFmtId="0" fontId="23" fillId="0" borderId="12" xfId="0" applyFont="1" applyBorder="1" applyAlignment="1">
      <alignment horizontal="left"/>
    </xf>
    <xf numFmtId="0" fontId="22" fillId="0" borderId="24" xfId="0" applyFont="1" applyBorder="1"/>
    <xf numFmtId="0" fontId="22" fillId="0" borderId="25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/>
    </xf>
    <xf numFmtId="0" fontId="22" fillId="2" borderId="46" xfId="0" applyFont="1" applyFill="1" applyBorder="1" applyAlignment="1">
      <alignment horizontal="left" vertical="center" wrapText="1" indent="1"/>
    </xf>
    <xf numFmtId="0" fontId="25" fillId="3" borderId="40" xfId="0" applyFont="1" applyFill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6" fillId="3" borderId="46" xfId="0" applyFont="1" applyFill="1" applyBorder="1" applyAlignment="1">
      <alignment horizontal="left" vertical="center" wrapText="1"/>
    </xf>
    <xf numFmtId="0" fontId="0" fillId="0" borderId="28" xfId="0" applyBorder="1"/>
    <xf numFmtId="0" fontId="20" fillId="0" borderId="20" xfId="0" applyFont="1" applyBorder="1" applyAlignment="1">
      <alignment vertical="center" wrapText="1"/>
    </xf>
    <xf numFmtId="0" fontId="20" fillId="0" borderId="47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165" fontId="7" fillId="4" borderId="1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Normal 4" xfId="7" xr:uid="{00000000-0005-0000-0000-000007000000}"/>
    <cellStyle name="Porcentaje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06554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SC.%20NUTRICION%20N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SC.%20NUTRICION%20NPY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. NUTRICION NT "/>
      <sheetName val="DESC. NUTRICION NPYE "/>
      <sheetName val="DESC. NUTRICION"/>
      <sheetName val="DESC"/>
    </sheetNames>
    <sheetDataSet>
      <sheetData sheetId="0">
        <row r="6">
          <cell r="C6">
            <v>2021</v>
          </cell>
        </row>
        <row r="7">
          <cell r="C7">
            <v>1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. NUTRICION NT "/>
      <sheetName val="DESC. NUTRICION NPYE "/>
      <sheetName val="DESC. NUTRICION"/>
      <sheetName val="DESC"/>
    </sheetNames>
    <sheetDataSet>
      <sheetData sheetId="0"/>
      <sheetData sheetId="1">
        <row r="1">
          <cell r="K1" t="str">
            <v>373 - 2020</v>
          </cell>
        </row>
        <row r="6">
          <cell r="D6" t="str">
            <v>Servicio de Nutrición</v>
          </cell>
        </row>
        <row r="8">
          <cell r="D8" t="str">
            <v>Adquisición de Descartables Para Nutrición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9"/>
  <sheetViews>
    <sheetView tabSelected="1" zoomScale="80" zoomScaleNormal="80" workbookViewId="0">
      <selection activeCell="L26" sqref="L26"/>
    </sheetView>
  </sheetViews>
  <sheetFormatPr baseColWidth="10" defaultColWidth="11" defaultRowHeight="12.75" x14ac:dyDescent="0.2"/>
  <cols>
    <col min="1" max="1" width="4.5703125" style="1" customWidth="1"/>
    <col min="2" max="2" width="14.71093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1" width="11" style="1"/>
    <col min="12" max="12" width="107.85546875" style="1" customWidth="1"/>
    <col min="13" max="16384" width="11" style="1"/>
  </cols>
  <sheetData>
    <row r="2" spans="1:12" ht="27" x14ac:dyDescent="0.35">
      <c r="B2" s="85" t="s">
        <v>0</v>
      </c>
      <c r="C2" s="85"/>
      <c r="D2" s="85"/>
      <c r="E2" s="85"/>
      <c r="F2" s="85"/>
      <c r="G2" s="85"/>
      <c r="H2" s="85"/>
    </row>
    <row r="4" spans="1:12" ht="18" customHeight="1" x14ac:dyDescent="0.25">
      <c r="A4" s="86" t="s">
        <v>1</v>
      </c>
      <c r="B4" s="86"/>
      <c r="C4" s="87" t="s">
        <v>2</v>
      </c>
      <c r="D4" s="87"/>
      <c r="E4" s="87"/>
      <c r="F4" s="2"/>
      <c r="G4" s="3"/>
      <c r="H4" s="2"/>
    </row>
    <row r="5" spans="1:12" ht="18" customHeight="1" x14ac:dyDescent="0.25">
      <c r="A5" s="86" t="s">
        <v>3</v>
      </c>
      <c r="B5" s="86"/>
      <c r="C5" s="87" t="s">
        <v>4</v>
      </c>
      <c r="D5" s="87"/>
      <c r="E5" s="87"/>
      <c r="F5" s="2"/>
      <c r="G5" s="3"/>
      <c r="H5" s="2"/>
    </row>
    <row r="6" spans="1:12" ht="16.5" customHeight="1" x14ac:dyDescent="0.25">
      <c r="A6" s="86" t="s">
        <v>5</v>
      </c>
      <c r="B6" s="86"/>
      <c r="C6" s="4">
        <v>2021</v>
      </c>
      <c r="D6" s="5"/>
      <c r="E6" s="5"/>
      <c r="F6" s="2"/>
      <c r="G6" s="3"/>
      <c r="H6" s="2"/>
    </row>
    <row r="7" spans="1:12" ht="16.5" customHeight="1" x14ac:dyDescent="0.25">
      <c r="A7" s="86" t="s">
        <v>6</v>
      </c>
      <c r="B7" s="86"/>
      <c r="C7" s="4">
        <v>1</v>
      </c>
      <c r="D7" s="5"/>
      <c r="E7" s="5"/>
      <c r="F7" s="2"/>
      <c r="G7" s="3"/>
      <c r="H7" s="2"/>
    </row>
    <row r="8" spans="1:12" ht="13.5" thickBot="1" x14ac:dyDescent="0.25">
      <c r="B8" s="2"/>
      <c r="C8" s="3"/>
      <c r="D8" s="2"/>
      <c r="E8" s="2"/>
      <c r="F8" s="2"/>
      <c r="G8" s="3"/>
      <c r="H8" s="2"/>
    </row>
    <row r="9" spans="1:12" ht="39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12" s="84" customFormat="1" ht="49.15" customHeight="1" thickBot="1" x14ac:dyDescent="0.25">
      <c r="A10" s="82">
        <v>1</v>
      </c>
      <c r="B10" s="83" t="s">
        <v>115</v>
      </c>
      <c r="C10" s="81" t="s">
        <v>16</v>
      </c>
      <c r="D10" s="7" t="s">
        <v>17</v>
      </c>
      <c r="E10" s="78" t="s">
        <v>114</v>
      </c>
      <c r="F10" s="8" t="s">
        <v>18</v>
      </c>
      <c r="G10" s="8">
        <v>18000</v>
      </c>
      <c r="H10" s="135">
        <v>18</v>
      </c>
      <c r="I10" s="9">
        <f t="shared" ref="I10:I26" si="0">G10*H10</f>
        <v>324000</v>
      </c>
      <c r="L10" s="84" t="s">
        <v>114</v>
      </c>
    </row>
    <row r="11" spans="1:12" s="84" customFormat="1" ht="49.15" customHeight="1" thickBot="1" x14ac:dyDescent="0.25">
      <c r="A11" s="82">
        <v>2</v>
      </c>
      <c r="B11" s="81" t="s">
        <v>19</v>
      </c>
      <c r="C11" s="81" t="s">
        <v>16</v>
      </c>
      <c r="D11" s="7" t="s">
        <v>17</v>
      </c>
      <c r="E11" s="78" t="s">
        <v>20</v>
      </c>
      <c r="F11" s="8" t="s">
        <v>18</v>
      </c>
      <c r="G11" s="8">
        <v>5000</v>
      </c>
      <c r="H11" s="135">
        <v>16</v>
      </c>
      <c r="I11" s="9">
        <f t="shared" si="0"/>
        <v>80000</v>
      </c>
      <c r="L11" s="136" t="s">
        <v>20</v>
      </c>
    </row>
    <row r="12" spans="1:12" s="84" customFormat="1" ht="31.9" customHeight="1" thickBot="1" x14ac:dyDescent="0.25">
      <c r="A12" s="82">
        <v>3</v>
      </c>
      <c r="B12" s="81" t="s">
        <v>21</v>
      </c>
      <c r="C12" s="81" t="s">
        <v>16</v>
      </c>
      <c r="D12" s="7" t="s">
        <v>17</v>
      </c>
      <c r="E12" s="79" t="s">
        <v>22</v>
      </c>
      <c r="F12" s="8" t="s">
        <v>18</v>
      </c>
      <c r="G12" s="8">
        <v>18000</v>
      </c>
      <c r="H12" s="135">
        <v>6.5</v>
      </c>
      <c r="I12" s="9">
        <f t="shared" si="0"/>
        <v>117000</v>
      </c>
      <c r="L12" t="s">
        <v>22</v>
      </c>
    </row>
    <row r="13" spans="1:12" s="84" customFormat="1" ht="31.9" customHeight="1" thickBot="1" x14ac:dyDescent="0.25">
      <c r="A13" s="82">
        <v>4</v>
      </c>
      <c r="B13" s="81" t="s">
        <v>23</v>
      </c>
      <c r="C13" s="81" t="s">
        <v>16</v>
      </c>
      <c r="D13" s="7" t="s">
        <v>17</v>
      </c>
      <c r="E13" s="78" t="s">
        <v>24</v>
      </c>
      <c r="F13" s="8" t="s">
        <v>18</v>
      </c>
      <c r="G13" s="8">
        <v>12000</v>
      </c>
      <c r="H13" s="9">
        <v>2.5</v>
      </c>
      <c r="I13" s="9">
        <f t="shared" si="0"/>
        <v>30000</v>
      </c>
      <c r="L13" t="s">
        <v>24</v>
      </c>
    </row>
    <row r="14" spans="1:12" s="84" customFormat="1" ht="31.9" customHeight="1" thickBot="1" x14ac:dyDescent="0.25">
      <c r="A14" s="82">
        <v>5</v>
      </c>
      <c r="B14" s="81" t="s">
        <v>25</v>
      </c>
      <c r="C14" s="81" t="s">
        <v>16</v>
      </c>
      <c r="D14" s="7" t="s">
        <v>17</v>
      </c>
      <c r="E14" s="78" t="s">
        <v>26</v>
      </c>
      <c r="F14" s="8" t="s">
        <v>18</v>
      </c>
      <c r="G14" s="8">
        <v>12000</v>
      </c>
      <c r="H14" s="9">
        <v>1.1000000000000001</v>
      </c>
      <c r="I14" s="9">
        <f t="shared" si="0"/>
        <v>13200.000000000002</v>
      </c>
      <c r="L14" t="s">
        <v>26</v>
      </c>
    </row>
    <row r="15" spans="1:12" s="84" customFormat="1" ht="31.9" customHeight="1" thickBot="1" x14ac:dyDescent="0.25">
      <c r="A15" s="82">
        <v>6</v>
      </c>
      <c r="B15" s="81" t="s">
        <v>27</v>
      </c>
      <c r="C15" s="81" t="s">
        <v>16</v>
      </c>
      <c r="D15" s="7" t="s">
        <v>28</v>
      </c>
      <c r="E15" s="78" t="s">
        <v>29</v>
      </c>
      <c r="F15" s="8" t="s">
        <v>18</v>
      </c>
      <c r="G15" s="8">
        <v>12000</v>
      </c>
      <c r="H15" s="9">
        <v>1.7</v>
      </c>
      <c r="I15" s="9">
        <f t="shared" si="0"/>
        <v>20400</v>
      </c>
      <c r="L15" t="s">
        <v>29</v>
      </c>
    </row>
    <row r="16" spans="1:12" s="84" customFormat="1" ht="31.9" customHeight="1" thickBot="1" x14ac:dyDescent="0.25">
      <c r="A16" s="82">
        <v>7</v>
      </c>
      <c r="B16" s="81" t="s">
        <v>30</v>
      </c>
      <c r="C16" s="81" t="s">
        <v>16</v>
      </c>
      <c r="D16" s="7" t="s">
        <v>17</v>
      </c>
      <c r="E16" s="78" t="s">
        <v>31</v>
      </c>
      <c r="F16" s="8" t="s">
        <v>18</v>
      </c>
      <c r="G16" s="8">
        <v>12000</v>
      </c>
      <c r="H16" s="9">
        <v>1.7</v>
      </c>
      <c r="I16" s="9">
        <f t="shared" si="0"/>
        <v>20400</v>
      </c>
      <c r="L16" t="s">
        <v>31</v>
      </c>
    </row>
    <row r="17" spans="1:13" s="84" customFormat="1" ht="39.6" customHeight="1" thickBot="1" x14ac:dyDescent="0.25">
      <c r="A17" s="82">
        <v>8</v>
      </c>
      <c r="B17" s="81" t="s">
        <v>117</v>
      </c>
      <c r="C17" s="81" t="s">
        <v>16</v>
      </c>
      <c r="D17" s="7" t="s">
        <v>17</v>
      </c>
      <c r="E17" s="78" t="s">
        <v>116</v>
      </c>
      <c r="F17" s="8" t="s">
        <v>18</v>
      </c>
      <c r="G17" s="8">
        <v>1500</v>
      </c>
      <c r="H17" s="9">
        <v>7</v>
      </c>
      <c r="I17" s="9">
        <f t="shared" si="0"/>
        <v>10500</v>
      </c>
      <c r="L17" s="137" t="s">
        <v>116</v>
      </c>
      <c r="M17" s="137" t="s">
        <v>124</v>
      </c>
    </row>
    <row r="18" spans="1:13" s="84" customFormat="1" ht="39.6" customHeight="1" thickBot="1" x14ac:dyDescent="0.25">
      <c r="A18" s="82">
        <v>9</v>
      </c>
      <c r="B18" s="81" t="s">
        <v>32</v>
      </c>
      <c r="C18" s="81" t="s">
        <v>33</v>
      </c>
      <c r="D18" s="7" t="s">
        <v>34</v>
      </c>
      <c r="E18" s="78" t="s">
        <v>35</v>
      </c>
      <c r="F18" s="8" t="s">
        <v>18</v>
      </c>
      <c r="G18" s="8">
        <v>50</v>
      </c>
      <c r="H18" s="9">
        <v>300</v>
      </c>
      <c r="I18" s="9">
        <f t="shared" si="0"/>
        <v>15000</v>
      </c>
      <c r="L18" t="s">
        <v>35</v>
      </c>
    </row>
    <row r="19" spans="1:13" s="84" customFormat="1" ht="31.9" customHeight="1" thickBot="1" x14ac:dyDescent="0.25">
      <c r="A19" s="82">
        <v>10</v>
      </c>
      <c r="B19" s="81" t="s">
        <v>36</v>
      </c>
      <c r="C19" s="81" t="s">
        <v>16</v>
      </c>
      <c r="D19" s="7" t="s">
        <v>17</v>
      </c>
      <c r="E19" s="78" t="s">
        <v>37</v>
      </c>
      <c r="F19" s="8" t="s">
        <v>18</v>
      </c>
      <c r="G19" s="8">
        <v>18000</v>
      </c>
      <c r="H19" s="9">
        <v>5</v>
      </c>
      <c r="I19" s="9">
        <f t="shared" si="0"/>
        <v>90000</v>
      </c>
      <c r="L19" t="s">
        <v>37</v>
      </c>
    </row>
    <row r="20" spans="1:13" s="84" customFormat="1" ht="52.15" customHeight="1" thickBot="1" x14ac:dyDescent="0.25">
      <c r="A20" s="82">
        <v>11</v>
      </c>
      <c r="B20" s="81" t="s">
        <v>38</v>
      </c>
      <c r="C20" s="81" t="s">
        <v>16</v>
      </c>
      <c r="D20" s="7" t="s">
        <v>17</v>
      </c>
      <c r="E20" s="79" t="s">
        <v>39</v>
      </c>
      <c r="F20" s="8" t="s">
        <v>118</v>
      </c>
      <c r="G20" s="8">
        <v>18</v>
      </c>
      <c r="H20" s="9">
        <v>8500</v>
      </c>
      <c r="I20" s="9">
        <f t="shared" si="0"/>
        <v>153000</v>
      </c>
      <c r="L20" s="136" t="s">
        <v>39</v>
      </c>
    </row>
    <row r="21" spans="1:13" s="84" customFormat="1" ht="52.15" customHeight="1" thickBot="1" x14ac:dyDescent="0.25">
      <c r="A21" s="82">
        <v>12</v>
      </c>
      <c r="B21" s="81" t="s">
        <v>121</v>
      </c>
      <c r="C21" s="81" t="s">
        <v>16</v>
      </c>
      <c r="D21" s="7" t="s">
        <v>40</v>
      </c>
      <c r="E21" s="78" t="s">
        <v>120</v>
      </c>
      <c r="F21" s="8" t="s">
        <v>41</v>
      </c>
      <c r="G21" s="8">
        <v>10</v>
      </c>
      <c r="H21" s="9">
        <v>1200</v>
      </c>
      <c r="I21" s="9">
        <f t="shared" si="0"/>
        <v>12000</v>
      </c>
      <c r="L21" s="136" t="s">
        <v>120</v>
      </c>
    </row>
    <row r="22" spans="1:13" s="84" customFormat="1" ht="52.15" customHeight="1" thickBot="1" x14ac:dyDescent="0.25">
      <c r="A22" s="82">
        <v>13</v>
      </c>
      <c r="B22" s="81" t="s">
        <v>42</v>
      </c>
      <c r="C22" s="81" t="s">
        <v>16</v>
      </c>
      <c r="D22" s="7" t="s">
        <v>34</v>
      </c>
      <c r="E22" s="78" t="s">
        <v>43</v>
      </c>
      <c r="F22" s="8" t="s">
        <v>41</v>
      </c>
      <c r="G22" s="8">
        <v>2</v>
      </c>
      <c r="H22" s="9">
        <v>21000</v>
      </c>
      <c r="I22" s="9">
        <f t="shared" si="0"/>
        <v>42000</v>
      </c>
      <c r="L22" s="136" t="s">
        <v>43</v>
      </c>
    </row>
    <row r="23" spans="1:13" s="84" customFormat="1" ht="52.15" customHeight="1" thickBot="1" x14ac:dyDescent="0.25">
      <c r="A23" s="82">
        <v>14</v>
      </c>
      <c r="B23" s="81" t="s">
        <v>44</v>
      </c>
      <c r="C23" s="81" t="s">
        <v>45</v>
      </c>
      <c r="D23" s="7" t="s">
        <v>34</v>
      </c>
      <c r="E23" s="80" t="s">
        <v>46</v>
      </c>
      <c r="F23" s="8" t="s">
        <v>18</v>
      </c>
      <c r="G23" s="8">
        <v>3</v>
      </c>
      <c r="H23" s="9">
        <v>1200</v>
      </c>
      <c r="I23" s="9">
        <f t="shared" si="0"/>
        <v>3600</v>
      </c>
      <c r="L23" s="136" t="s">
        <v>46</v>
      </c>
    </row>
    <row r="24" spans="1:13" s="84" customFormat="1" ht="52.15" customHeight="1" thickBot="1" x14ac:dyDescent="0.25">
      <c r="A24" s="82">
        <v>15</v>
      </c>
      <c r="B24" s="81" t="s">
        <v>47</v>
      </c>
      <c r="C24" s="81" t="s">
        <v>16</v>
      </c>
      <c r="D24" s="7" t="s">
        <v>17</v>
      </c>
      <c r="E24" s="80" t="s">
        <v>48</v>
      </c>
      <c r="F24" s="8" t="s">
        <v>18</v>
      </c>
      <c r="G24" s="8">
        <v>5000</v>
      </c>
      <c r="H24" s="9">
        <v>8</v>
      </c>
      <c r="I24" s="9">
        <f t="shared" si="0"/>
        <v>40000</v>
      </c>
      <c r="L24" t="s">
        <v>48</v>
      </c>
    </row>
    <row r="25" spans="1:13" s="84" customFormat="1" ht="52.15" customHeight="1" thickBot="1" x14ac:dyDescent="0.25">
      <c r="A25" s="82">
        <v>16</v>
      </c>
      <c r="B25" s="81" t="s">
        <v>49</v>
      </c>
      <c r="C25" s="81" t="s">
        <v>16</v>
      </c>
      <c r="D25" s="7" t="s">
        <v>40</v>
      </c>
      <c r="E25" s="78" t="s">
        <v>50</v>
      </c>
      <c r="F25" s="8" t="s">
        <v>51</v>
      </c>
      <c r="G25" s="8">
        <v>70</v>
      </c>
      <c r="H25" s="9">
        <v>90</v>
      </c>
      <c r="I25" s="9">
        <f t="shared" si="0"/>
        <v>6300</v>
      </c>
      <c r="L25" t="s">
        <v>50</v>
      </c>
    </row>
    <row r="26" spans="1:13" s="84" customFormat="1" ht="52.15" customHeight="1" thickBot="1" x14ac:dyDescent="0.25">
      <c r="A26" s="82">
        <v>17</v>
      </c>
      <c r="B26" s="81" t="s">
        <v>52</v>
      </c>
      <c r="C26" s="81" t="s">
        <v>53</v>
      </c>
      <c r="D26" s="7" t="s">
        <v>54</v>
      </c>
      <c r="E26" s="81" t="s">
        <v>55</v>
      </c>
      <c r="F26" s="8" t="s">
        <v>41</v>
      </c>
      <c r="G26" s="8">
        <v>10</v>
      </c>
      <c r="H26" s="9">
        <v>80</v>
      </c>
      <c r="I26" s="9">
        <f t="shared" si="0"/>
        <v>800</v>
      </c>
      <c r="L26" s="136" t="s">
        <v>55</v>
      </c>
    </row>
    <row r="28" spans="1:13" ht="15.75" x14ac:dyDescent="0.25">
      <c r="B28" s="88" t="s">
        <v>123</v>
      </c>
      <c r="C28" s="89"/>
      <c r="D28" s="89"/>
      <c r="E28" s="89"/>
      <c r="F28" s="89"/>
      <c r="G28" s="89"/>
      <c r="H28" s="89"/>
      <c r="I28" s="90"/>
    </row>
    <row r="30" spans="1:13" ht="13.5" thickBot="1" x14ac:dyDescent="0.25"/>
    <row r="31" spans="1:13" x14ac:dyDescent="0.2">
      <c r="B31" s="10" t="s">
        <v>61</v>
      </c>
      <c r="C31" s="11"/>
      <c r="D31" s="11"/>
      <c r="E31" s="12"/>
    </row>
    <row r="32" spans="1:13" x14ac:dyDescent="0.2">
      <c r="B32" s="13"/>
      <c r="C32" s="14"/>
      <c r="D32" s="14"/>
      <c r="E32" s="15"/>
    </row>
    <row r="33" spans="2:5" x14ac:dyDescent="0.2">
      <c r="B33" s="16" t="s">
        <v>56</v>
      </c>
      <c r="C33" s="14"/>
      <c r="D33" s="14"/>
      <c r="E33" s="15"/>
    </row>
    <row r="34" spans="2:5" x14ac:dyDescent="0.2">
      <c r="B34" s="16"/>
      <c r="C34" s="91" t="s">
        <v>119</v>
      </c>
      <c r="D34" s="91"/>
      <c r="E34" s="91"/>
    </row>
    <row r="35" spans="2:5" x14ac:dyDescent="0.2">
      <c r="B35" s="16" t="s">
        <v>57</v>
      </c>
      <c r="C35" s="14"/>
      <c r="D35" s="14"/>
      <c r="E35" s="15"/>
    </row>
    <row r="36" spans="2:5" x14ac:dyDescent="0.2">
      <c r="B36" s="17"/>
      <c r="C36" s="92" t="s">
        <v>122</v>
      </c>
      <c r="D36" s="92"/>
      <c r="E36" s="92"/>
    </row>
    <row r="37" spans="2:5" x14ac:dyDescent="0.2">
      <c r="B37" s="17"/>
      <c r="C37" s="93"/>
      <c r="D37" s="93"/>
      <c r="E37" s="93"/>
    </row>
    <row r="38" spans="2:5" x14ac:dyDescent="0.2">
      <c r="B38" s="16" t="s">
        <v>58</v>
      </c>
      <c r="C38" s="14"/>
      <c r="D38" s="14"/>
      <c r="E38" s="15"/>
    </row>
    <row r="39" spans="2:5" x14ac:dyDescent="0.2">
      <c r="B39" s="17"/>
      <c r="C39" s="94"/>
      <c r="D39" s="94"/>
      <c r="E39" s="94"/>
    </row>
    <row r="40" spans="2:5" x14ac:dyDescent="0.2">
      <c r="B40" s="16" t="s">
        <v>59</v>
      </c>
      <c r="C40" s="18"/>
      <c r="D40" s="18"/>
      <c r="E40" s="19"/>
    </row>
    <row r="41" spans="2:5" x14ac:dyDescent="0.2">
      <c r="B41" s="17"/>
      <c r="C41" s="94"/>
      <c r="D41" s="94"/>
      <c r="E41" s="94"/>
    </row>
    <row r="42" spans="2:5" x14ac:dyDescent="0.2">
      <c r="B42" s="16" t="s">
        <v>60</v>
      </c>
      <c r="C42" s="14"/>
      <c r="D42" s="14"/>
      <c r="E42" s="15"/>
    </row>
    <row r="43" spans="2:5" x14ac:dyDescent="0.2">
      <c r="B43" s="16"/>
      <c r="C43" s="93"/>
      <c r="D43" s="93"/>
      <c r="E43" s="93"/>
    </row>
    <row r="44" spans="2:5" ht="13.5" thickBot="1" x14ac:dyDescent="0.25">
      <c r="B44" s="20"/>
      <c r="C44" s="21"/>
      <c r="D44" s="21"/>
      <c r="E44" s="22"/>
    </row>
    <row r="45" spans="2:5" ht="13.5" thickBot="1" x14ac:dyDescent="0.25"/>
    <row r="46" spans="2:5" x14ac:dyDescent="0.2">
      <c r="B46" s="10" t="s">
        <v>62</v>
      </c>
      <c r="C46" s="11"/>
      <c r="D46" s="11"/>
      <c r="E46" s="12"/>
    </row>
    <row r="47" spans="2:5" x14ac:dyDescent="0.2">
      <c r="B47" s="13"/>
      <c r="C47" s="14"/>
      <c r="D47" s="14"/>
      <c r="E47" s="15"/>
    </row>
    <row r="48" spans="2:5" x14ac:dyDescent="0.2">
      <c r="B48" s="16" t="s">
        <v>56</v>
      </c>
      <c r="C48" s="14"/>
      <c r="D48" s="14"/>
      <c r="E48" s="15"/>
    </row>
    <row r="49" spans="2:5" x14ac:dyDescent="0.2">
      <c r="B49" s="16"/>
      <c r="C49" s="91" t="s">
        <v>63</v>
      </c>
      <c r="D49" s="91"/>
      <c r="E49" s="91"/>
    </row>
    <row r="50" spans="2:5" x14ac:dyDescent="0.2">
      <c r="B50" s="16" t="s">
        <v>57</v>
      </c>
      <c r="C50" s="14"/>
      <c r="D50" s="14"/>
      <c r="E50" s="15"/>
    </row>
    <row r="51" spans="2:5" x14ac:dyDescent="0.2">
      <c r="B51" s="17"/>
      <c r="C51" s="92" t="s">
        <v>122</v>
      </c>
      <c r="D51" s="92"/>
      <c r="E51" s="92"/>
    </row>
    <row r="52" spans="2:5" x14ac:dyDescent="0.2">
      <c r="B52" s="17"/>
      <c r="C52" s="93"/>
      <c r="D52" s="93"/>
      <c r="E52" s="93"/>
    </row>
    <row r="53" spans="2:5" x14ac:dyDescent="0.2">
      <c r="B53" s="16" t="s">
        <v>58</v>
      </c>
      <c r="C53" s="14"/>
      <c r="D53" s="14"/>
      <c r="E53" s="15"/>
    </row>
    <row r="54" spans="2:5" x14ac:dyDescent="0.2">
      <c r="B54" s="17"/>
      <c r="C54" s="94"/>
      <c r="D54" s="94"/>
      <c r="E54" s="94"/>
    </row>
    <row r="55" spans="2:5" x14ac:dyDescent="0.2">
      <c r="B55" s="16" t="s">
        <v>59</v>
      </c>
      <c r="C55" s="18"/>
      <c r="D55" s="18"/>
      <c r="E55" s="19"/>
    </row>
    <row r="56" spans="2:5" x14ac:dyDescent="0.2">
      <c r="B56" s="17"/>
      <c r="C56" s="94"/>
      <c r="D56" s="94"/>
      <c r="E56" s="94"/>
    </row>
    <row r="57" spans="2:5" x14ac:dyDescent="0.2">
      <c r="B57" s="16" t="s">
        <v>60</v>
      </c>
      <c r="C57" s="14"/>
      <c r="D57" s="14"/>
      <c r="E57" s="15"/>
    </row>
    <row r="58" spans="2:5" x14ac:dyDescent="0.2">
      <c r="B58" s="16"/>
      <c r="C58" s="93"/>
      <c r="D58" s="93"/>
      <c r="E58" s="93"/>
    </row>
    <row r="59" spans="2:5" ht="13.5" thickBot="1" x14ac:dyDescent="0.25">
      <c r="B59" s="20"/>
      <c r="C59" s="21"/>
      <c r="D59" s="21"/>
      <c r="E59" s="22"/>
    </row>
  </sheetData>
  <mergeCells count="20">
    <mergeCell ref="C58:E58"/>
    <mergeCell ref="C37:E37"/>
    <mergeCell ref="C39:E39"/>
    <mergeCell ref="C41:E41"/>
    <mergeCell ref="C43:E43"/>
    <mergeCell ref="C56:E56"/>
    <mergeCell ref="C49:E49"/>
    <mergeCell ref="C51:E51"/>
    <mergeCell ref="C52:E52"/>
    <mergeCell ref="C54:E54"/>
    <mergeCell ref="A6:B6"/>
    <mergeCell ref="B28:I28"/>
    <mergeCell ref="A7:B7"/>
    <mergeCell ref="C34:E34"/>
    <mergeCell ref="C36:E36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9"/>
  <sheetViews>
    <sheetView zoomScale="70" zoomScaleNormal="70" workbookViewId="0">
      <selection activeCell="U23" sqref="U23"/>
    </sheetView>
  </sheetViews>
  <sheetFormatPr baseColWidth="10" defaultColWidth="9.140625" defaultRowHeight="12.75" x14ac:dyDescent="0.2"/>
  <cols>
    <col min="1" max="1" width="5.5703125" style="25" customWidth="1"/>
    <col min="2" max="2" width="15.140625" style="25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2" style="25" customWidth="1"/>
    <col min="8" max="8" width="9.28515625" style="25" customWidth="1"/>
    <col min="9" max="9" width="15.5703125" style="25" customWidth="1"/>
    <col min="10" max="10" width="14.7109375" style="25" customWidth="1"/>
    <col min="11" max="11" width="15.5703125" style="25" customWidth="1"/>
    <col min="12" max="14" width="5.85546875" style="25" customWidth="1"/>
    <col min="15" max="15" width="12.5703125" style="25" customWidth="1"/>
    <col min="16" max="1024" width="9.140625" style="25"/>
  </cols>
  <sheetData>
    <row r="1" spans="1:11" ht="18" customHeight="1" thickBot="1" x14ac:dyDescent="0.25">
      <c r="A1" s="97" t="s">
        <v>64</v>
      </c>
      <c r="B1" s="97"/>
      <c r="C1" s="97"/>
      <c r="D1" s="97"/>
      <c r="E1" s="97"/>
      <c r="F1" s="97"/>
      <c r="G1" s="97"/>
      <c r="H1" s="97"/>
      <c r="I1" s="97"/>
      <c r="J1" s="23" t="s">
        <v>65</v>
      </c>
      <c r="K1" s="24" t="s">
        <v>66</v>
      </c>
    </row>
    <row r="2" spans="1:11" ht="18.75" customHeight="1" thickBot="1" x14ac:dyDescent="0.25">
      <c r="A2" s="26"/>
      <c r="B2" s="26"/>
      <c r="C2" s="26"/>
      <c r="D2" s="27"/>
      <c r="E2" s="27"/>
      <c r="F2" s="27"/>
      <c r="G2" s="27"/>
      <c r="H2" s="27"/>
      <c r="I2" s="27"/>
      <c r="J2" s="27"/>
      <c r="K2" s="27"/>
    </row>
    <row r="3" spans="1:11" ht="18.75" customHeight="1" thickBot="1" x14ac:dyDescent="0.25">
      <c r="A3" s="98" t="s">
        <v>67</v>
      </c>
      <c r="B3" s="98"/>
      <c r="C3" s="98"/>
      <c r="D3" s="96" t="str">
        <f>'DESC. NUTRICION NT '!C4</f>
        <v>40 - Ministerio de Salud</v>
      </c>
      <c r="E3" s="96"/>
      <c r="F3" s="96"/>
      <c r="G3" s="96"/>
      <c r="H3" s="96"/>
      <c r="I3" s="96"/>
      <c r="J3" s="96"/>
      <c r="K3" s="96"/>
    </row>
    <row r="4" spans="1:11" ht="18.75" customHeight="1" thickBot="1" x14ac:dyDescent="0.25">
      <c r="A4" s="95" t="s">
        <v>68</v>
      </c>
      <c r="B4" s="95"/>
      <c r="C4" s="95"/>
      <c r="D4" s="96" t="str">
        <f>'DESC. NUTRICION NT '!C5</f>
        <v>23 - Hospital Interzonal San Juan Bautista</v>
      </c>
      <c r="E4" s="96"/>
      <c r="F4" s="96"/>
      <c r="G4" s="96"/>
      <c r="H4" s="96"/>
      <c r="I4" s="96"/>
      <c r="J4" s="96"/>
      <c r="K4" s="96"/>
    </row>
    <row r="5" spans="1:11" ht="18.75" customHeight="1" thickBot="1" x14ac:dyDescent="0.25">
      <c r="A5" s="95" t="s">
        <v>69</v>
      </c>
      <c r="B5" s="95"/>
      <c r="C5" s="95"/>
      <c r="D5" s="96" t="s">
        <v>70</v>
      </c>
      <c r="E5" s="96"/>
      <c r="F5" s="96"/>
      <c r="G5" s="96"/>
      <c r="H5" s="96"/>
      <c r="I5" s="96"/>
      <c r="J5" s="96"/>
      <c r="K5" s="96"/>
    </row>
    <row r="6" spans="1:11" ht="16.5" customHeight="1" thickBot="1" x14ac:dyDescent="0.25">
      <c r="A6" s="98" t="s">
        <v>71</v>
      </c>
      <c r="B6" s="98"/>
      <c r="C6" s="98"/>
      <c r="D6" s="96" t="s">
        <v>72</v>
      </c>
      <c r="E6" s="96"/>
      <c r="F6" s="96"/>
      <c r="G6" s="96"/>
      <c r="H6" s="96"/>
      <c r="I6" s="96"/>
      <c r="J6" s="96"/>
      <c r="K6" s="96"/>
    </row>
    <row r="7" spans="1:11" ht="16.5" customHeight="1" thickBot="1" x14ac:dyDescent="0.25">
      <c r="A7" s="95" t="s">
        <v>73</v>
      </c>
      <c r="B7" s="95"/>
      <c r="C7" s="95"/>
      <c r="D7" s="96" t="str">
        <f>'[1]DESC. NUTRICION NT '!C7 &amp; "° Trimestre - Año " &amp; '[1]DESC. NUTRICION NT '!C6</f>
        <v>1° Trimestre - Año 2021</v>
      </c>
      <c r="E7" s="96"/>
      <c r="F7" s="96"/>
      <c r="G7" s="96"/>
      <c r="H7" s="96"/>
      <c r="I7" s="96"/>
      <c r="J7" s="96"/>
      <c r="K7" s="96"/>
    </row>
    <row r="8" spans="1:11" ht="16.5" customHeight="1" thickBot="1" x14ac:dyDescent="0.25">
      <c r="A8" s="99" t="s">
        <v>74</v>
      </c>
      <c r="B8" s="99"/>
      <c r="C8" s="99"/>
      <c r="D8" s="100" t="s">
        <v>75</v>
      </c>
      <c r="E8" s="100"/>
      <c r="F8" s="100"/>
      <c r="G8" s="100"/>
      <c r="H8" s="100"/>
      <c r="I8" s="100"/>
      <c r="J8" s="100"/>
      <c r="K8" s="100"/>
    </row>
    <row r="9" spans="1:11" ht="16.5" thickBot="1" x14ac:dyDescent="0.25">
      <c r="A9" s="28"/>
      <c r="B9" s="28"/>
      <c r="C9" s="28"/>
      <c r="D9" s="29"/>
      <c r="E9" s="29"/>
      <c r="F9" s="29"/>
      <c r="G9" s="29"/>
      <c r="H9" s="29"/>
      <c r="I9" s="29"/>
      <c r="J9" s="29"/>
      <c r="K9" s="29"/>
    </row>
    <row r="10" spans="1:11" ht="18.75" customHeight="1" thickBot="1" x14ac:dyDescent="0.25">
      <c r="A10" s="101" t="s">
        <v>76</v>
      </c>
      <c r="B10" s="102" t="s">
        <v>77</v>
      </c>
      <c r="C10" s="102" t="s">
        <v>78</v>
      </c>
      <c r="D10" s="102"/>
      <c r="E10" s="102"/>
      <c r="F10" s="102"/>
      <c r="G10" s="102"/>
      <c r="H10" s="102" t="s">
        <v>79</v>
      </c>
      <c r="I10" s="102" t="s">
        <v>80</v>
      </c>
      <c r="J10" s="102" t="s">
        <v>81</v>
      </c>
      <c r="K10" s="104" t="s">
        <v>82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4"/>
    </row>
    <row r="12" spans="1:11" ht="43.15" customHeight="1" thickBot="1" x14ac:dyDescent="0.25">
      <c r="A12" s="30">
        <v>1</v>
      </c>
      <c r="B12" s="31" t="str">
        <f>'DESC. NUTRICION NT '!B10</f>
        <v>2.9.4-4743.4</v>
      </c>
      <c r="C12" s="103" t="str">
        <f>'DESC. NUTRICION NT '!E10</f>
        <v>BANDEJA P/TRANSP. DE ALIMENTO; CAPACIDAD: 700 GR, MATERIAL: ALUMINIO, TIPO: SIN VALOR, MEDIDAS: 14 X 10 X 4,5 Cm, INTERIOR: SIN VALOR, EXTERIOR: SIN VALOR, DIMENSION: 14 X 10 X 4,5 Cm, ACABADO: SIN VALOR</v>
      </c>
      <c r="D12" s="103"/>
      <c r="E12" s="103"/>
      <c r="F12" s="103"/>
      <c r="G12" s="103"/>
      <c r="H12" s="32" t="s">
        <v>83</v>
      </c>
      <c r="I12" s="33" t="str">
        <f>'DESC. NUTRICION NT '!F10</f>
        <v>UNIDAD</v>
      </c>
      <c r="J12" s="34">
        <f>'DESC. NUTRICION NT '!H10</f>
        <v>18</v>
      </c>
      <c r="K12" s="35">
        <f>'DESC. NUTRICION NT '!G10</f>
        <v>18000</v>
      </c>
    </row>
    <row r="13" spans="1:11" ht="33.6" customHeight="1" thickBot="1" x14ac:dyDescent="0.25">
      <c r="A13" s="30">
        <v>2</v>
      </c>
      <c r="B13" s="31" t="str">
        <f>'DESC. NUTRICION NT '!B11</f>
        <v>2.9.4-4743.24</v>
      </c>
      <c r="C13" s="103" t="str">
        <f>'DESC. NUTRICION NT '!E11</f>
        <v>BANDEJA P/TRANSP. DE ALIMENTO; DIMENSION: 18 X 14 X 4 Cm, TIPO: C/TAPA, MATERIAL: ALUMINIO APTO MICROONDAS, CAPACIDAD: 750 CM3</v>
      </c>
      <c r="D13" s="103"/>
      <c r="E13" s="103"/>
      <c r="F13" s="103"/>
      <c r="G13" s="103"/>
      <c r="H13" s="32" t="s">
        <v>83</v>
      </c>
      <c r="I13" s="33" t="str">
        <f>'DESC. NUTRICION NT '!F11</f>
        <v>UNIDAD</v>
      </c>
      <c r="J13" s="34">
        <f>'DESC. NUTRICION NT '!H11</f>
        <v>16</v>
      </c>
      <c r="K13" s="35">
        <f>'DESC. NUTRICION NT '!G11</f>
        <v>5000</v>
      </c>
    </row>
    <row r="14" spans="1:11" ht="22.9" customHeight="1" thickBot="1" x14ac:dyDescent="0.25">
      <c r="A14" s="30">
        <v>3</v>
      </c>
      <c r="B14" s="31" t="str">
        <f>'DESC. NUTRICION NT '!B12</f>
        <v>2.9.4-6970.3</v>
      </c>
      <c r="C14" s="103" t="str">
        <f>'DESC. NUTRICION NT '!E12</f>
        <v>COMPOTERAS; MATERIAL: POLICARBONATO, CAPACIDAD: 250 mL</v>
      </c>
      <c r="D14" s="103"/>
      <c r="E14" s="103"/>
      <c r="F14" s="103"/>
      <c r="G14" s="103"/>
      <c r="H14" s="32" t="s">
        <v>83</v>
      </c>
      <c r="I14" s="33" t="str">
        <f>'DESC. NUTRICION NT '!F12</f>
        <v>UNIDAD</v>
      </c>
      <c r="J14" s="34">
        <f>'DESC. NUTRICION NT '!H12</f>
        <v>6.5</v>
      </c>
      <c r="K14" s="35">
        <f>'DESC. NUTRICION NT '!G12</f>
        <v>18000</v>
      </c>
    </row>
    <row r="15" spans="1:11" ht="22.9" customHeight="1" thickBot="1" x14ac:dyDescent="0.25">
      <c r="A15" s="30">
        <v>4</v>
      </c>
      <c r="B15" s="31" t="str">
        <f>'DESC. NUTRICION NT '!B13</f>
        <v>2.9.4-690.15</v>
      </c>
      <c r="C15" s="103" t="str">
        <f>'DESC. NUTRICION NT '!E13</f>
        <v>CUCHARAS; TIPO: DE MESA, MATERIAL: PLASTICO</v>
      </c>
      <c r="D15" s="103"/>
      <c r="E15" s="103"/>
      <c r="F15" s="103"/>
      <c r="G15" s="103"/>
      <c r="H15" s="32" t="s">
        <v>83</v>
      </c>
      <c r="I15" s="33" t="str">
        <f>'DESC. NUTRICION NT '!F13</f>
        <v>UNIDAD</v>
      </c>
      <c r="J15" s="34">
        <f>'DESC. NUTRICION NT '!H13</f>
        <v>2.5</v>
      </c>
      <c r="K15" s="35">
        <f>'DESC. NUTRICION NT '!G13</f>
        <v>12000</v>
      </c>
    </row>
    <row r="16" spans="1:11" ht="22.9" customHeight="1" thickBot="1" x14ac:dyDescent="0.25">
      <c r="A16" s="30">
        <v>5</v>
      </c>
      <c r="B16" s="31" t="str">
        <f>'DESC. NUTRICION NT '!B14</f>
        <v>2.9.4-690.16</v>
      </c>
      <c r="C16" s="103" t="str">
        <f>'DESC. NUTRICION NT '!E14</f>
        <v>CUCHARAS; TIPO: TE, MATERIAL: PLASTICO</v>
      </c>
      <c r="D16" s="103"/>
      <c r="E16" s="103"/>
      <c r="F16" s="103"/>
      <c r="G16" s="103"/>
      <c r="H16" s="32" t="s">
        <v>83</v>
      </c>
      <c r="I16" s="33" t="str">
        <f>'DESC. NUTRICION NT '!F14</f>
        <v>UNIDAD</v>
      </c>
      <c r="J16" s="34">
        <f>'DESC. NUTRICION NT '!H14</f>
        <v>1.1000000000000001</v>
      </c>
      <c r="K16" s="35">
        <f>'DESC. NUTRICION NT '!G14</f>
        <v>12000</v>
      </c>
    </row>
    <row r="17" spans="1:1024" ht="22.9" customHeight="1" thickBot="1" x14ac:dyDescent="0.25">
      <c r="A17" s="30">
        <v>6</v>
      </c>
      <c r="B17" s="31" t="str">
        <f>'DESC. NUTRICION NT '!B15</f>
        <v>2.9.4-689.15</v>
      </c>
      <c r="C17" s="103" t="str">
        <f>'DESC. NUTRICION NT '!E15</f>
        <v>CUCHILLOS; TIPO: DE MESA, MATERIAL: PLASTICO</v>
      </c>
      <c r="D17" s="103"/>
      <c r="E17" s="103"/>
      <c r="F17" s="103"/>
      <c r="G17" s="103"/>
      <c r="H17" s="32" t="s">
        <v>83</v>
      </c>
      <c r="I17" s="33" t="str">
        <f>'DESC. NUTRICION NT '!F15</f>
        <v>UNIDAD</v>
      </c>
      <c r="J17" s="34">
        <f>'DESC. NUTRICION NT '!H15</f>
        <v>1.7</v>
      </c>
      <c r="K17" s="35">
        <f>'DESC. NUTRICION NT '!G15</f>
        <v>12000</v>
      </c>
    </row>
    <row r="18" spans="1:1024" ht="22.9" customHeight="1" thickBot="1" x14ac:dyDescent="0.25">
      <c r="A18" s="30">
        <v>7</v>
      </c>
      <c r="B18" s="31" t="str">
        <f>'DESC. NUTRICION NT '!B16</f>
        <v>2.9.4-692.10</v>
      </c>
      <c r="C18" s="103" t="str">
        <f>'DESC. NUTRICION NT '!E16</f>
        <v>TENEDORES; TIPO: DE MESA, MATERIAL: PLASTICO</v>
      </c>
      <c r="D18" s="103"/>
      <c r="E18" s="103"/>
      <c r="F18" s="103"/>
      <c r="G18" s="103"/>
      <c r="H18" s="32" t="s">
        <v>83</v>
      </c>
      <c r="I18" s="33" t="str">
        <f>'DESC. NUTRICION NT '!F16</f>
        <v>UNIDAD</v>
      </c>
      <c r="J18" s="34">
        <f>'DESC. NUTRICION NT '!H16</f>
        <v>1.7</v>
      </c>
      <c r="K18" s="35">
        <f>'DESC. NUTRICION NT '!G16</f>
        <v>12000</v>
      </c>
    </row>
    <row r="19" spans="1:1024" ht="22.9" customHeight="1" thickBot="1" x14ac:dyDescent="0.25">
      <c r="A19" s="30">
        <v>8</v>
      </c>
      <c r="B19" s="31" t="str">
        <f>'DESC. NUTRICION NT '!B17</f>
        <v>2.9.4-1015.40</v>
      </c>
      <c r="C19" s="103" t="str">
        <f>'DESC. NUTRICION NT '!E17</f>
        <v>BANDEJAS DE MESA; MATERIAL: PLASTICO, DIMENSION: 16,5 X 12 X 5,5 Cm, FORMA: RECTANGULAR</v>
      </c>
      <c r="D19" s="103"/>
      <c r="E19" s="103"/>
      <c r="F19" s="103"/>
      <c r="G19" s="103"/>
      <c r="H19" s="32" t="s">
        <v>83</v>
      </c>
      <c r="I19" s="33" t="str">
        <f>'DESC. NUTRICION NT '!F17</f>
        <v>UNIDAD</v>
      </c>
      <c r="J19" s="34">
        <f>'DESC. NUTRICION NT '!H17</f>
        <v>7</v>
      </c>
      <c r="K19" s="35">
        <f>'DESC. NUTRICION NT '!G17</f>
        <v>1500</v>
      </c>
    </row>
    <row r="20" spans="1:1024" ht="22.9" customHeight="1" thickBot="1" x14ac:dyDescent="0.25">
      <c r="A20" s="30">
        <v>9</v>
      </c>
      <c r="B20" s="31" t="str">
        <f>'DESC. NUTRICION NT '!B18</f>
        <v>2.5.8-3977.40</v>
      </c>
      <c r="C20" s="103" t="str">
        <f>'DESC. NUTRICION NT '!E18</f>
        <v>BOLSAS DE POLIETILENO; TAMAÑO: 15 X 25 Cm, ESPESOR: 17 Mn, PRESENTACION: ROLLO X 200 UN</v>
      </c>
      <c r="D20" s="103"/>
      <c r="E20" s="103"/>
      <c r="F20" s="103"/>
      <c r="G20" s="103"/>
      <c r="H20" s="32" t="s">
        <v>83</v>
      </c>
      <c r="I20" s="33" t="str">
        <f>'DESC. NUTRICION NT '!F18</f>
        <v>UNIDAD</v>
      </c>
      <c r="J20" s="34">
        <f>'DESC. NUTRICION NT '!H18</f>
        <v>300</v>
      </c>
      <c r="K20" s="35">
        <f>'DESC. NUTRICION NT '!G18</f>
        <v>50</v>
      </c>
    </row>
    <row r="21" spans="1:1024" ht="22.9" customHeight="1" thickBot="1" x14ac:dyDescent="0.25">
      <c r="A21" s="30">
        <v>10</v>
      </c>
      <c r="B21" s="31" t="str">
        <f>'DESC. NUTRICION NT '!B19</f>
        <v>2.9.4-1184.49</v>
      </c>
      <c r="C21" s="103" t="str">
        <f>'DESC. NUTRICION NT '!E19</f>
        <v>VASOS; MATERIAL: POLIESTIRENO, TIPO: TERMICO, CAPACIDAD: 240 mL</v>
      </c>
      <c r="D21" s="103"/>
      <c r="E21" s="103"/>
      <c r="F21" s="103"/>
      <c r="G21" s="103"/>
      <c r="H21" s="32" t="s">
        <v>83</v>
      </c>
      <c r="I21" s="33" t="str">
        <f>'DESC. NUTRICION NT '!F19</f>
        <v>UNIDAD</v>
      </c>
      <c r="J21" s="34">
        <f>'DESC. NUTRICION NT '!H19</f>
        <v>5</v>
      </c>
      <c r="K21" s="35">
        <f>'DESC. NUTRICION NT '!G19</f>
        <v>18000</v>
      </c>
    </row>
    <row r="22" spans="1:1024" ht="36.6" customHeight="1" thickBot="1" x14ac:dyDescent="0.25">
      <c r="A22" s="30">
        <v>11</v>
      </c>
      <c r="B22" s="31" t="str">
        <f>'DESC. NUTRICION NT '!B20</f>
        <v>2.9.4-588.70</v>
      </c>
      <c r="C22" s="103" t="str">
        <f>'DESC. NUTRICION NT '!E20</f>
        <v>VASOS PLASTICOS DESCARTABLES; MATERIAL: POLIESTIRENO, MOTIVO: LISO, CAPACIDAD: 240 CM3, PRESENTACION: ENVASE X 1000 UN, TIPO: APTO MICROONDAS</v>
      </c>
      <c r="D22" s="103"/>
      <c r="E22" s="103"/>
      <c r="F22" s="103"/>
      <c r="G22" s="103"/>
      <c r="H22" s="32" t="s">
        <v>83</v>
      </c>
      <c r="I22" s="33" t="str">
        <f>'DESC. NUTRICION NT '!F20</f>
        <v>ENVASE</v>
      </c>
      <c r="J22" s="34">
        <f>'DESC. NUTRICION NT '!H20</f>
        <v>8500</v>
      </c>
      <c r="K22" s="35">
        <f>'DESC. NUTRICION NT '!G20</f>
        <v>18</v>
      </c>
    </row>
    <row r="23" spans="1:1024" ht="36.6" customHeight="1" thickBot="1" x14ac:dyDescent="0.25">
      <c r="A23" s="30">
        <v>12</v>
      </c>
      <c r="B23" s="31" t="str">
        <f>'DESC. NUTRICION NT '!B21</f>
        <v>2.3.4-938.46</v>
      </c>
      <c r="C23" s="103" t="str">
        <f>'DESC. NUTRICION NT '!E21</f>
        <v>SERVILLETAS DE PAPEL; TIPO: LISAS, MOTIVO: SIN, DIMENSION: 33 X 33 Cm, PRESENTACION: PAQUETE X 1000 UN, COLOR: BLANCA</v>
      </c>
      <c r="D23" s="103"/>
      <c r="E23" s="103"/>
      <c r="F23" s="103"/>
      <c r="G23" s="103"/>
      <c r="H23" s="32" t="s">
        <v>83</v>
      </c>
      <c r="I23" s="33" t="str">
        <f>'DESC. NUTRICION NT '!F21</f>
        <v>CAJAS</v>
      </c>
      <c r="J23" s="34">
        <f>'DESC. NUTRICION NT '!H21</f>
        <v>1200</v>
      </c>
      <c r="K23" s="35">
        <f>'DESC. NUTRICION NT '!G21</f>
        <v>10</v>
      </c>
    </row>
    <row r="24" spans="1:1024" ht="36.6" customHeight="1" thickBot="1" x14ac:dyDescent="0.25">
      <c r="A24" s="30">
        <v>13</v>
      </c>
      <c r="B24" s="31" t="str">
        <f>'DESC. NUTRICION NT '!B22</f>
        <v>2.5.8-1055.37</v>
      </c>
      <c r="C24" s="103" t="str">
        <f>'DESC. NUTRICION NT '!E22</f>
        <v>BANDEJAS DE PLASTICO; MATERIAL: PLASTICO, LARGO X ANCHO: 233 X 170 mm, FORMA: OVAL, PRESENTACION: CAJA X 600</v>
      </c>
      <c r="D24" s="103"/>
      <c r="E24" s="103"/>
      <c r="F24" s="103"/>
      <c r="G24" s="103"/>
      <c r="H24" s="32" t="s">
        <v>83</v>
      </c>
      <c r="I24" s="33" t="str">
        <f>'DESC. NUTRICION NT '!F22</f>
        <v>CAJAS</v>
      </c>
      <c r="J24" s="34">
        <f>'DESC. NUTRICION NT '!H22</f>
        <v>21000</v>
      </c>
      <c r="K24" s="35">
        <f>'DESC. NUTRICION NT '!G22</f>
        <v>2</v>
      </c>
    </row>
    <row r="25" spans="1:1024" ht="36.6" customHeight="1" thickBot="1" x14ac:dyDescent="0.25">
      <c r="A25" s="30">
        <v>14</v>
      </c>
      <c r="B25" s="31" t="str">
        <f>'DESC. NUTRICION NT '!B23</f>
        <v>2.5.8-5590.59</v>
      </c>
      <c r="C25" s="103" t="str">
        <f>'DESC. NUTRICION NT '!E23</f>
        <v>FILMS DE POLIETILENO; ESPESOR: 10 Mn, ANCHO: 45 Cm, PRESENTACION: ROLLO X 900 M, USO: ALIMENTARIO</v>
      </c>
      <c r="D25" s="103"/>
      <c r="E25" s="103"/>
      <c r="F25" s="103"/>
      <c r="G25" s="103"/>
      <c r="H25" s="32" t="s">
        <v>83</v>
      </c>
      <c r="I25" s="33" t="str">
        <f>'DESC. NUTRICION NT '!F23</f>
        <v>UNIDAD</v>
      </c>
      <c r="J25" s="34">
        <f>'DESC. NUTRICION NT '!H23</f>
        <v>1200</v>
      </c>
      <c r="K25" s="35">
        <f>'DESC. NUTRICION NT '!G23</f>
        <v>3</v>
      </c>
    </row>
    <row r="26" spans="1:1024" ht="36.6" customHeight="1" thickBot="1" x14ac:dyDescent="0.25">
      <c r="A26" s="30">
        <v>15</v>
      </c>
      <c r="B26" s="31" t="str">
        <f>'DESC. NUTRICION NT '!B24</f>
        <v>2.9.4-1184.42</v>
      </c>
      <c r="C26" s="103" t="str">
        <f>'DESC. NUTRICION NT '!E24</f>
        <v>VASOS; MATERIAL: POLIESTIRENO EXPANDIDO, TIPO: DESCARTABLE, CAPACIDAD: 180 CM3</v>
      </c>
      <c r="D26" s="103"/>
      <c r="E26" s="103"/>
      <c r="F26" s="103"/>
      <c r="G26" s="103"/>
      <c r="H26" s="32" t="s">
        <v>83</v>
      </c>
      <c r="I26" s="33" t="str">
        <f>'DESC. NUTRICION NT '!F24</f>
        <v>UNIDAD</v>
      </c>
      <c r="J26" s="34">
        <f>'DESC. NUTRICION NT '!H24</f>
        <v>8</v>
      </c>
      <c r="K26" s="35">
        <f>'DESC. NUTRICION NT '!G24</f>
        <v>5000</v>
      </c>
    </row>
    <row r="27" spans="1:1024" ht="36.6" customHeight="1" thickBot="1" x14ac:dyDescent="0.25">
      <c r="A27" s="30">
        <v>16</v>
      </c>
      <c r="B27" s="31" t="str">
        <f>'DESC. NUTRICION NT '!B25</f>
        <v>2.3.4-938.59</v>
      </c>
      <c r="C27" s="103" t="str">
        <f>'DESC. NUTRICION NT '!E25</f>
        <v>SERVILLETAS DE PAPEL; TIPO: ROLLO, MOTIVO: SIN, DIMENSION: 25 X 10 Cm, PRESENTACION: ENVASE X 3 UN</v>
      </c>
      <c r="D27" s="103"/>
      <c r="E27" s="103"/>
      <c r="F27" s="103"/>
      <c r="G27" s="103"/>
      <c r="H27" s="32" t="s">
        <v>83</v>
      </c>
      <c r="I27" s="33" t="str">
        <f>'DESC. NUTRICION NT '!F25</f>
        <v>PACK</v>
      </c>
      <c r="J27" s="34">
        <f>'DESC. NUTRICION NT '!H25</f>
        <v>90</v>
      </c>
      <c r="K27" s="35">
        <f>'DESC. NUTRICION NT '!G25</f>
        <v>70</v>
      </c>
    </row>
    <row r="28" spans="1:1024" ht="36.6" customHeight="1" thickBot="1" x14ac:dyDescent="0.25">
      <c r="A28" s="30">
        <v>17</v>
      </c>
      <c r="B28" s="31" t="str">
        <f>'DESC. NUTRICION NT '!B26</f>
        <v>2.9.5-1909.206</v>
      </c>
      <c r="C28" s="103" t="str">
        <f>'DESC. NUTRICION NT '!E26</f>
        <v>GUANTES USO MEDICINAL; TIPO: DESCARTABLE, TAMAÑO: UNICO, MATERIAL: POLIETILENO, PRESENTACION: ENVASE X 100 UN, ESTERIL: SI, TALCO: NO, DESCARTABLE: SI</v>
      </c>
      <c r="D28" s="103"/>
      <c r="E28" s="103"/>
      <c r="F28" s="103"/>
      <c r="G28" s="103"/>
      <c r="H28" s="32" t="s">
        <v>83</v>
      </c>
      <c r="I28" s="33" t="str">
        <f>'DESC. NUTRICION NT '!F26</f>
        <v>CAJAS</v>
      </c>
      <c r="J28" s="34">
        <f>'DESC. NUTRICION NT '!H26</f>
        <v>80</v>
      </c>
      <c r="K28" s="35">
        <f>'DESC. NUTRICION NT '!G26</f>
        <v>10</v>
      </c>
    </row>
    <row r="29" spans="1:1024" ht="20.25" customHeight="1" thickBot="1" x14ac:dyDescent="0.25">
      <c r="A29" s="105" t="s">
        <v>84</v>
      </c>
      <c r="B29" s="105"/>
      <c r="C29" s="105"/>
      <c r="D29" s="105"/>
      <c r="E29" s="105"/>
      <c r="F29" s="105"/>
      <c r="G29" s="105"/>
      <c r="H29" s="105"/>
      <c r="I29" s="105"/>
      <c r="J29" s="106">
        <f>SUMPRODUCT(J12:J28,K12:K28)</f>
        <v>978200</v>
      </c>
      <c r="K29" s="106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</sheetData>
  <mergeCells count="39">
    <mergeCell ref="A29:I29"/>
    <mergeCell ref="J29:K29"/>
    <mergeCell ref="C23:G23"/>
    <mergeCell ref="C24:G24"/>
    <mergeCell ref="C25:G25"/>
    <mergeCell ref="C26:G26"/>
    <mergeCell ref="C27:G27"/>
    <mergeCell ref="C28:G28"/>
    <mergeCell ref="C22:G22"/>
    <mergeCell ref="K10:K11"/>
    <mergeCell ref="C12:G12"/>
    <mergeCell ref="C13:G13"/>
    <mergeCell ref="C14:G14"/>
    <mergeCell ref="C15:G15"/>
    <mergeCell ref="C16:G16"/>
    <mergeCell ref="J10:J11"/>
    <mergeCell ref="C17:G17"/>
    <mergeCell ref="C18:G18"/>
    <mergeCell ref="C19:G19"/>
    <mergeCell ref="C20:G20"/>
    <mergeCell ref="C21:G2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opLeftCell="A7" zoomScale="120" zoomScaleNormal="120" workbookViewId="0">
      <selection activeCell="G5" sqref="G5:Q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38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thickBot="1" x14ac:dyDescent="0.3">
      <c r="A1" s="111" t="s">
        <v>5</v>
      </c>
      <c r="B1" s="111"/>
      <c r="C1" s="111"/>
      <c r="D1" s="112">
        <f>'[1]DESC. NUTRICION NT '!C6</f>
        <v>2021</v>
      </c>
      <c r="E1" s="112"/>
      <c r="F1" s="36"/>
      <c r="G1" s="36"/>
      <c r="H1" s="37"/>
      <c r="I1" s="37"/>
      <c r="J1" s="37"/>
      <c r="K1" s="37"/>
      <c r="L1" s="37"/>
      <c r="M1" s="37"/>
      <c r="N1" s="37"/>
      <c r="P1" s="113" t="s">
        <v>85</v>
      </c>
      <c r="Q1" s="113"/>
    </row>
    <row r="2" spans="1:17" ht="15.75" customHeight="1" thickBot="1" x14ac:dyDescent="0.25">
      <c r="H2" s="37"/>
      <c r="I2" s="37"/>
      <c r="J2" s="37"/>
      <c r="K2" s="37"/>
      <c r="L2" s="37"/>
      <c r="M2" s="37"/>
      <c r="N2" s="37"/>
      <c r="P2" s="113"/>
      <c r="Q2" s="113"/>
    </row>
    <row r="4" spans="1:17" s="39" customFormat="1" ht="18" customHeight="1" thickBot="1" x14ac:dyDescent="0.25">
      <c r="A4" s="114" t="s">
        <v>86</v>
      </c>
      <c r="B4" s="114"/>
      <c r="C4" s="114"/>
      <c r="D4" s="114"/>
      <c r="E4" s="114"/>
      <c r="F4" s="114"/>
      <c r="G4" s="110" t="str">
        <f>'DESC. NUTRICION NPYE '!D3</f>
        <v>40 - Ministerio de Salud</v>
      </c>
      <c r="H4" s="110"/>
      <c r="I4" s="110"/>
      <c r="J4" s="110"/>
      <c r="K4" s="110"/>
      <c r="L4" s="110"/>
      <c r="M4" s="110"/>
      <c r="N4" s="110"/>
      <c r="O4" s="110"/>
      <c r="P4" s="110"/>
      <c r="Q4" s="110"/>
    </row>
    <row r="5" spans="1:17" s="39" customFormat="1" ht="18" customHeight="1" thickBot="1" x14ac:dyDescent="0.25">
      <c r="A5" s="107" t="s">
        <v>68</v>
      </c>
      <c r="B5" s="108"/>
      <c r="C5" s="108"/>
      <c r="D5" s="108"/>
      <c r="E5" s="108"/>
      <c r="F5" s="109"/>
      <c r="G5" s="110" t="str">
        <f>'DESC. NUTRICION NPYE '!D4</f>
        <v>23 - Hospital Interzonal San Juan Bautista</v>
      </c>
      <c r="H5" s="110"/>
      <c r="I5" s="110"/>
      <c r="J5" s="110"/>
      <c r="K5" s="110"/>
      <c r="L5" s="110"/>
      <c r="M5" s="110"/>
      <c r="N5" s="110"/>
      <c r="O5" s="110"/>
      <c r="P5" s="110"/>
      <c r="Q5" s="110"/>
    </row>
    <row r="6" spans="1:17" s="39" customFormat="1" ht="18" customHeight="1" thickBot="1" x14ac:dyDescent="0.25">
      <c r="A6" s="107" t="s">
        <v>69</v>
      </c>
      <c r="B6" s="108"/>
      <c r="C6" s="108"/>
      <c r="D6" s="108"/>
      <c r="E6" s="108"/>
      <c r="F6" s="109"/>
      <c r="G6" s="110" t="str">
        <f>'DESC. NUTRICION NPYE '!D5</f>
        <v>168 - Direccion Asistencial</v>
      </c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s="39" customFormat="1" ht="18" customHeight="1" thickBot="1" x14ac:dyDescent="0.25">
      <c r="A7" s="107" t="s">
        <v>71</v>
      </c>
      <c r="B7" s="108"/>
      <c r="C7" s="108"/>
      <c r="D7" s="108"/>
      <c r="E7" s="108"/>
      <c r="F7" s="109"/>
      <c r="G7" s="110" t="str">
        <f>'DESC. NUTRICION NPYE '!D6</f>
        <v>Servicio de Nutrición</v>
      </c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1:17" ht="18" customHeight="1" thickBot="1" x14ac:dyDescent="0.25">
      <c r="A8" s="116" t="s">
        <v>87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 spans="1:17" ht="18" customHeight="1" x14ac:dyDescent="0.2">
      <c r="A9" s="117" t="s">
        <v>88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40"/>
      <c r="P9" s="40"/>
      <c r="Q9" s="41"/>
    </row>
    <row r="10" spans="1:17" ht="54.75" customHeight="1" x14ac:dyDescent="0.2">
      <c r="A10" s="118" t="str">
        <f>"Autorizo la realización de los  trámites correspondientes, a fin de proveer a  este Organismo los bienes y/o servicios que se detallan en Nota de Pedido N° " &amp; '[2]DESC. NUTRICION NPYE 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373 - 2020,  afectando la erogación resultante a los créditos presupuestarios aprobados a favor de esta Unidad Ejecutora, conforme al siguiente detalle: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</row>
    <row r="11" spans="1:17" ht="9" customHeight="1" thickBot="1" x14ac:dyDescent="0.25">
      <c r="A11" s="42"/>
      <c r="B11" s="43"/>
      <c r="C11" s="43"/>
      <c r="D11" s="43"/>
      <c r="E11" s="43"/>
      <c r="F11" s="43"/>
      <c r="G11" s="44"/>
      <c r="H11" s="43"/>
      <c r="I11" s="43"/>
      <c r="J11" s="43"/>
      <c r="K11" s="43"/>
      <c r="L11" s="43"/>
      <c r="M11" s="43"/>
      <c r="N11" s="43"/>
      <c r="O11" s="43"/>
      <c r="P11" s="43"/>
      <c r="Q11" s="45"/>
    </row>
    <row r="12" spans="1:17" ht="15.75" customHeight="1" thickBot="1" x14ac:dyDescent="0.25">
      <c r="A12" s="119" t="s">
        <v>89</v>
      </c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7" ht="15.75" customHeight="1" thickBot="1" x14ac:dyDescent="0.25">
      <c r="A13" s="120" t="s">
        <v>90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1" t="s">
        <v>91</v>
      </c>
      <c r="P13" s="121"/>
      <c r="Q13" s="122" t="s">
        <v>92</v>
      </c>
    </row>
    <row r="14" spans="1:17" ht="15.75" customHeight="1" thickBot="1" x14ac:dyDescent="0.25">
      <c r="A14" s="46" t="s">
        <v>93</v>
      </c>
      <c r="B14" s="47" t="s">
        <v>94</v>
      </c>
      <c r="C14" s="47" t="s">
        <v>95</v>
      </c>
      <c r="D14" s="47" t="s">
        <v>96</v>
      </c>
      <c r="E14" s="47" t="s">
        <v>97</v>
      </c>
      <c r="F14" s="47" t="s">
        <v>98</v>
      </c>
      <c r="G14" s="48" t="s">
        <v>99</v>
      </c>
      <c r="H14" s="47" t="s">
        <v>100</v>
      </c>
      <c r="I14" s="47" t="s">
        <v>101</v>
      </c>
      <c r="J14" s="47" t="s">
        <v>102</v>
      </c>
      <c r="K14" s="47" t="s">
        <v>102</v>
      </c>
      <c r="L14" s="47" t="s">
        <v>103</v>
      </c>
      <c r="M14" s="49" t="s">
        <v>104</v>
      </c>
      <c r="N14" s="50" t="s">
        <v>105</v>
      </c>
      <c r="O14" s="121"/>
      <c r="P14" s="121"/>
      <c r="Q14" s="122"/>
    </row>
    <row r="15" spans="1:17" ht="17.25" customHeight="1" x14ac:dyDescent="0.2">
      <c r="A15" s="51">
        <v>33</v>
      </c>
      <c r="B15" s="52"/>
      <c r="C15" s="52"/>
      <c r="D15" s="52">
        <v>2</v>
      </c>
      <c r="E15" s="52"/>
      <c r="F15" s="52">
        <v>4901</v>
      </c>
      <c r="G15" s="52">
        <v>3</v>
      </c>
      <c r="H15" s="52" t="s">
        <v>106</v>
      </c>
      <c r="I15" s="53">
        <v>2</v>
      </c>
      <c r="J15" s="53">
        <v>3</v>
      </c>
      <c r="K15" s="53">
        <v>4</v>
      </c>
      <c r="L15" s="52"/>
      <c r="M15" s="54">
        <v>1</v>
      </c>
      <c r="N15" s="52" t="s">
        <v>107</v>
      </c>
      <c r="O15" s="115" t="s">
        <v>108</v>
      </c>
      <c r="P15" s="115"/>
      <c r="Q15" s="55">
        <v>18300</v>
      </c>
    </row>
    <row r="16" spans="1:17" ht="17.25" customHeight="1" x14ac:dyDescent="0.2">
      <c r="A16" s="56">
        <v>33</v>
      </c>
      <c r="B16" s="57"/>
      <c r="C16" s="57"/>
      <c r="D16" s="57">
        <v>2</v>
      </c>
      <c r="E16" s="57"/>
      <c r="F16" s="57">
        <v>4901</v>
      </c>
      <c r="G16" s="57">
        <v>3</v>
      </c>
      <c r="H16" s="57" t="s">
        <v>106</v>
      </c>
      <c r="I16" s="57">
        <v>2</v>
      </c>
      <c r="J16" s="57">
        <v>5</v>
      </c>
      <c r="K16" s="57">
        <v>8</v>
      </c>
      <c r="L16" s="57"/>
      <c r="M16" s="58">
        <v>1</v>
      </c>
      <c r="N16" s="59" t="s">
        <v>107</v>
      </c>
      <c r="O16" s="124" t="s">
        <v>109</v>
      </c>
      <c r="P16" s="124"/>
      <c r="Q16" s="60">
        <v>60600</v>
      </c>
    </row>
    <row r="17" spans="1:19" ht="17.25" customHeight="1" x14ac:dyDescent="0.2">
      <c r="A17" s="56">
        <v>33</v>
      </c>
      <c r="B17" s="57"/>
      <c r="C17" s="57"/>
      <c r="D17" s="57">
        <v>2</v>
      </c>
      <c r="E17" s="57"/>
      <c r="F17" s="59">
        <v>4901</v>
      </c>
      <c r="G17" s="57">
        <v>3</v>
      </c>
      <c r="H17" s="57" t="s">
        <v>106</v>
      </c>
      <c r="I17" s="57">
        <v>2</v>
      </c>
      <c r="J17" s="57">
        <v>9</v>
      </c>
      <c r="K17" s="57">
        <v>4</v>
      </c>
      <c r="L17" s="57"/>
      <c r="M17" s="58">
        <v>1</v>
      </c>
      <c r="N17" s="59" t="s">
        <v>107</v>
      </c>
      <c r="O17" s="124" t="s">
        <v>110</v>
      </c>
      <c r="P17" s="124"/>
      <c r="Q17" s="60">
        <v>898500</v>
      </c>
      <c r="S17" s="61"/>
    </row>
    <row r="18" spans="1:19" ht="17.25" customHeight="1" x14ac:dyDescent="0.2">
      <c r="A18" s="56">
        <v>33</v>
      </c>
      <c r="B18" s="57"/>
      <c r="C18" s="57"/>
      <c r="D18" s="57">
        <v>2</v>
      </c>
      <c r="E18" s="57"/>
      <c r="F18" s="59">
        <v>4901</v>
      </c>
      <c r="G18" s="57">
        <v>3</v>
      </c>
      <c r="H18" s="57" t="s">
        <v>106</v>
      </c>
      <c r="I18" s="57">
        <v>2</v>
      </c>
      <c r="J18" s="57">
        <v>9</v>
      </c>
      <c r="K18" s="57">
        <v>5</v>
      </c>
      <c r="L18" s="57"/>
      <c r="M18" s="58">
        <v>1</v>
      </c>
      <c r="N18" s="59" t="s">
        <v>107</v>
      </c>
      <c r="O18" s="125" t="s">
        <v>111</v>
      </c>
      <c r="P18" s="125"/>
      <c r="Q18" s="62">
        <v>800</v>
      </c>
    </row>
    <row r="19" spans="1:19" ht="17.25" customHeight="1" x14ac:dyDescent="0.2">
      <c r="A19" s="63"/>
      <c r="B19" s="64"/>
      <c r="C19" s="64"/>
      <c r="D19" s="64"/>
      <c r="E19" s="64"/>
      <c r="F19" s="65"/>
      <c r="G19" s="64"/>
      <c r="H19" s="64"/>
      <c r="I19" s="64"/>
      <c r="J19" s="64"/>
      <c r="K19" s="64"/>
      <c r="L19" s="64"/>
      <c r="M19" s="66"/>
      <c r="N19" s="65"/>
      <c r="O19" s="126"/>
      <c r="P19" s="126"/>
      <c r="Q19" s="67"/>
    </row>
    <row r="20" spans="1:19" ht="17.25" customHeight="1" x14ac:dyDescent="0.2">
      <c r="A20" s="63"/>
      <c r="B20" s="64"/>
      <c r="C20" s="64"/>
      <c r="D20" s="64"/>
      <c r="E20" s="64"/>
      <c r="F20" s="65"/>
      <c r="G20" s="64"/>
      <c r="H20" s="64"/>
      <c r="I20" s="64"/>
      <c r="J20" s="64"/>
      <c r="K20" s="64"/>
      <c r="L20" s="64"/>
      <c r="M20" s="66"/>
      <c r="N20" s="65"/>
      <c r="O20" s="126"/>
      <c r="P20" s="126"/>
      <c r="Q20" s="67"/>
    </row>
    <row r="21" spans="1:19" ht="17.25" customHeight="1" x14ac:dyDescent="0.2">
      <c r="A21" s="68"/>
      <c r="B21" s="69"/>
      <c r="C21" s="69"/>
      <c r="D21" s="69"/>
      <c r="E21" s="69"/>
      <c r="F21" s="70"/>
      <c r="G21" s="69"/>
      <c r="H21" s="69"/>
      <c r="I21" s="69"/>
      <c r="J21" s="69"/>
      <c r="K21" s="69"/>
      <c r="L21" s="69"/>
      <c r="M21" s="71"/>
      <c r="N21" s="72"/>
      <c r="O21" s="127"/>
      <c r="P21" s="127"/>
      <c r="Q21" s="67"/>
      <c r="R21" s="40"/>
    </row>
    <row r="22" spans="1:19" ht="17.25" customHeight="1" thickBo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5"/>
      <c r="N22" s="74"/>
      <c r="O22" s="128"/>
      <c r="P22" s="128"/>
      <c r="Q22" s="76"/>
    </row>
    <row r="23" spans="1:19" ht="20.25" customHeight="1" thickBot="1" x14ac:dyDescent="0.25">
      <c r="A23" s="129" t="s">
        <v>112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77">
        <f>SUM(Q15:Q22)</f>
        <v>978200</v>
      </c>
    </row>
    <row r="24" spans="1:19" ht="18" customHeight="1" thickBo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9" ht="17.25" customHeight="1" thickBot="1" x14ac:dyDescent="0.25">
      <c r="A25" s="131" t="s">
        <v>113</v>
      </c>
      <c r="B25" s="132"/>
      <c r="C25" s="132"/>
      <c r="D25" s="132"/>
      <c r="E25" s="132"/>
      <c r="F25" s="133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</row>
    <row r="26" spans="1:19" ht="18" customHeight="1" thickBot="1" x14ac:dyDescent="0.25">
      <c r="A26" s="123" t="str">
        <f>"Para la "&amp; '[2]DESC. NUTRICION NPYE '!D8 &amp;" para ser destinados al " &amp; '[2]DESC. NUTRICION NPYE '!D6 &amp;"  del HISJB del Ministerio de Salud."</f>
        <v>Para la Adquisición de Descartables Para Nutrición para ser destinados al Servicio de Nutrición  del HISJB del Ministerio de Salud.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</row>
    <row r="27" spans="1:19" ht="15" customHeight="1" thickBot="1" x14ac:dyDescent="0.25">
      <c r="A27" s="123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DESC. NUTRICION NT </vt:lpstr>
      <vt:lpstr>DESC. NUTRICION NPYE </vt:lpstr>
      <vt:lpstr>DESC. NUTRICION</vt:lpstr>
      <vt:lpstr>'DESC. NUTRICION'!Área_de_impresión</vt:lpstr>
      <vt:lpstr>'DESC. NUTRICION NPYE 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JOHANA AYBAR</cp:lastModifiedBy>
  <cp:lastPrinted>2021-02-18T15:22:18Z</cp:lastPrinted>
  <dcterms:created xsi:type="dcterms:W3CDTF">2021-02-08T13:45:56Z</dcterms:created>
  <dcterms:modified xsi:type="dcterms:W3CDTF">2021-02-19T13:39:33Z</dcterms:modified>
</cp:coreProperties>
</file>