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pia antiinfecciosa\MP\"/>
    </mc:Choice>
  </mc:AlternateContent>
  <xr:revisionPtr revIDLastSave="0" documentId="13_ncr:1_{0F1432E4-B88E-496E-8DFA-218F33650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Trimestrales'!$A$9:$K$33</definedName>
  </definedNames>
  <calcPr calcId="181029"/>
</workbook>
</file>

<file path=xl/calcChain.xml><?xml version="1.0" encoding="utf-8"?>
<calcChain xmlns="http://schemas.openxmlformats.org/spreadsheetml/2006/main"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2" i="2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J36" i="2" l="1"/>
  <c r="Q23" i="3" l="1"/>
  <c r="A10" i="3"/>
  <c r="G7" i="3"/>
  <c r="G6" i="3"/>
  <c r="D1" i="3"/>
  <c r="D4" i="2"/>
  <c r="G5" i="3" s="1"/>
  <c r="D3" i="2"/>
  <c r="G4" i="3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<sst xmlns="http://schemas.openxmlformats.org/spreadsheetml/2006/main" count="193" uniqueCount="124">
  <si>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</si>
  <si>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</si>
  <si>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</si>
  <si>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</si>
  <si>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</si>
  <si>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</si>
  <si>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</si>
  <si>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</si>
  <si>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</si>
  <si>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</si>
  <si>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</si>
  <si>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</si>
  <si>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</si>
  <si>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</si>
  <si>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</si>
  <si>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</si>
  <si>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</si>
  <si>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FRASCO</t>
  </si>
  <si>
    <t>ENVASE</t>
  </si>
  <si>
    <t>UNIDAD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</si>
  <si>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</si>
  <si>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</si>
  <si>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</si>
  <si>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</si>
  <si>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</si>
  <si>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</si>
  <si>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</si>
  <si>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</si>
  <si>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</si>
  <si>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</si>
  <si>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</si>
  <si>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</si>
  <si>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</si>
  <si>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</si>
  <si>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</si>
  <si>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</si>
  <si>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</si>
  <si>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</si>
  <si>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</si>
  <si>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</si>
  <si>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</si>
  <si>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</si>
  <si>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</si>
  <si>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</si>
  <si>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</si>
  <si>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</si>
  <si>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</si>
  <si>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</si>
  <si>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</si>
  <si>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</si>
  <si>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</si>
  <si>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</si>
  <si>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</si>
  <si>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</si>
  <si>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</si>
  <si>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</si>
  <si>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</si>
  <si>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</si>
  <si>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</si>
  <si>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</si>
  <si>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</si>
  <si>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</si>
  <si>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</si>
  <si>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2.5.2-1821.440</t>
  </si>
  <si>
    <t>2.5.2-1821.389</t>
  </si>
  <si>
    <t>2.5.2-1821.8</t>
  </si>
  <si>
    <t>2.5.2-1821.5</t>
  </si>
  <si>
    <t>2.5.2-1821.94</t>
  </si>
  <si>
    <t>2.5.2-1821.502</t>
  </si>
  <si>
    <t>2.5.2-1821.321</t>
  </si>
  <si>
    <t>2.5.2-1821.405</t>
  </si>
  <si>
    <t>2.5.2-1821.214</t>
  </si>
  <si>
    <t>2.5.2-1821.387</t>
  </si>
  <si>
    <t>2.5.2-1724.140</t>
  </si>
  <si>
    <t>2.5.2-1724.117</t>
  </si>
  <si>
    <t>2.5.2-1821.458</t>
  </si>
  <si>
    <t>2.5.2-1725.68</t>
  </si>
  <si>
    <t>2.5.2-1724.23</t>
  </si>
  <si>
    <t>2.5.2-1883.186</t>
  </si>
  <si>
    <t>2.5.2-1883.149</t>
  </si>
  <si>
    <t>2.5.2-1724.98</t>
  </si>
  <si>
    <t>2.5.2-1821.13</t>
  </si>
  <si>
    <t>2.5.2-2455.27</t>
  </si>
  <si>
    <t>ANTIBIOTICOS P/PERSONAS; TIPO: ASOCIACION, DROGA GENERICA: AMOXICIL. 875 MG+CLAVUL.125 MG mGr, FORMA FARMACEUTICA: COMPRIMIDO, PRESENTACION: UNIDAD</t>
  </si>
  <si>
    <t>ANTIBIOTICOS P/PERSONAS; TIPO: ASOCIACION, DROGA GENERICA: AMPICILINA + SULBACTAN, FORMA FARMACEUTICA: FRASCO AMPOLLA, PRESENTACION: ENVASE X 1,5 GR</t>
  </si>
  <si>
    <t>ANTIBIOTICOS P/PERSONAS; TIPO: MONODROGA, DROGA GENERICA: AMPICILINA, FORMA FARMACEUTICA: AMPOLLA, PRESENTACION: 1 GR</t>
  </si>
  <si>
    <t>ANTIBIOTICOS P/PERSONAS; TIPO: MONODROGA, DROGA GENERICA: AMPICILINA, FORMA FARMACEUTICA: COMPRIMIDOS, PRESENTACION: 500 mGr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</si>
  <si>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</si>
  <si>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</si>
  <si>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ANTIBIOTICOS P/PERSONAS; TIPO: MONODROGA, DROGA GENERICA: CEFALEXINA 500 mGr, FORMA FARMACEUTICA: COMPRIMIDO, PRESENTACION: 1 UN</t>
  </si>
  <si>
    <t>ANTIBIOTICOS P/PERSONAS; TIPO: MONODROGA, DROGA GENERICA: CEFALOTINA SODICA, FORMA FARMACEUTICA: FRASCO AMPOLLA, PRESENTACION: 1 GR</t>
  </si>
  <si>
    <t>ANTIBIOTICOS P/PERSONAS; TIPO: MONODROGA, DROGA GENERICA: CEFTRIAXONA, FORMA FARMACEUTICA: FRASCO AMPOLLA, PRESENTACION: 1 GR</t>
  </si>
  <si>
    <t>ANESTESICOS GENERALES; DROGA GENERICA: PROPOFOL 200 mGr, FORMA FARMACEUTICA: AMPOLLA, PRESENTACION: ENVASE X 20 mL, TIPO: MONODROGA</t>
  </si>
  <si>
    <t>ANALGESICOS ; TIPO: MONODROGA, DROGA GENERICA: DICLOFENAC X 75 MG, FORMA FARMACEUTICA: COMPRIMIDO, PRESENTACION: UNIDAD</t>
  </si>
  <si>
    <t>ANTIBIOTICOS P/PERSONAS; TIPO: MONODROGA, DROGA GENERICA: DOXICICLINA 100 mGr, FORMA FARMACEUTICA: COMPRIMIDO, PRESENTACION: UNIDAD</t>
  </si>
  <si>
    <t>ANTIINFLAMATORIOS NO ESTEROIDE; TIPO: MONODROGA, DROGA GENERICA: IBUPROFENO, FORMA FARMACEUTICA: COMPRIMIDO, PRESENTACION: 400 mGr</t>
  </si>
  <si>
    <t>ANALGESICOS ; TIPO: MONODROGA, DROGA GENERICA: KETOROLAC, FORMA FARMACEUTICA: AMPOLLA, PRESENTACION: 30 mGr</t>
  </si>
  <si>
    <t>ANESTESICOS LOCALES; TIPO: MONODROGA, DROGA GENERICA: LIDOCAINA 2%S/EPINEFRINA, FORMA FARMACEUTICA: AMPOLLA, PRESENTACION: 5 mL</t>
  </si>
  <si>
    <t>ANESTESICOS LOCALES; TIPO: MONODROGA, DROGA GENERICA: LIDOCAINA, FORMA FARMACEUTICA: JALEA, PRESENTACION: ENVASE X 25 GR</t>
  </si>
  <si>
    <t>ANALGESICOS ; TIPO: MONODROGA, DROGA GENERICA: MORFINA CLORIDRATO 1%, FORMA FARMACEUTICA: AMPOLLA, PRESENTACION: 1 mL</t>
  </si>
  <si>
    <t>ANTIBIOTICOS P/PERSONAS; TIPO: MONODROGA, DROGA GENERICA: PENICILINA G. SODICA, FORMA FARMACEUTICA: AMPOLLA, PRESENTACION: 3.000.000 UI</t>
  </si>
  <si>
    <r>
      <t xml:space="preserve">ANALGESICOS 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</si>
  <si>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</si>
  <si>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t>ANESTESICOS LOCALES; TIPO: MONODROGA, DROGA GENERICA: BUPIVACAINA 0,5% HIPERBARICA, FORMA FARMACEUTICA: AMPOLLA, PRESENTACION: 4 ML CON AGUJA 27 G X 3 1/2 CON INTRODUCTOR</t>
  </si>
  <si>
    <t>2.5.2-1883.188</t>
  </si>
  <si>
    <t>ANTI GAMMA TOTAL; TIPO: INMUNOGLOBULINA HUMAN ANTI-RH, PRESENTACION: JERINGA PRELLENA 250-330MCG/ML</t>
  </si>
  <si>
    <t>2.5.2-5275.16</t>
  </si>
  <si>
    <t>ANALGESICOS ; TIPO: MONODROGA, DROGA GENERICA: PARACETAMOL 1 GR, FORMA FARMACEUTICA: COMPRIMIDO, PRESENTACION: UNIDAD</t>
  </si>
  <si>
    <t>2.5.2-1724.243</t>
  </si>
  <si>
    <t>ANALGÉSICOS ; TIPO: MONODROGA, DROGA GENÉRICA: PARACETAMOL 500 MGR, FORMA FARMACEÚTICA: COMPRIMIDO, PRESENTACIÓN: X UNIDAD</t>
  </si>
  <si>
    <t>2.5.2-1724.245</t>
  </si>
  <si>
    <t>SACHET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</si>
  <si>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10 ( DIEZ) DIAS HABILES</t>
    </r>
  </si>
  <si>
    <t>Mantenimiento:                                  45(CUARENTA Y CINCO( DIAS HABILES</t>
  </si>
  <si>
    <r>
      <rPr>
        <u/>
        <sz val="10"/>
        <rFont val="Times New Roman"/>
        <family val="1"/>
      </rPr>
      <t>Lugar de Entrega</t>
    </r>
    <r>
      <rPr>
        <sz val="10"/>
        <rFont val="Times New Roman"/>
        <family val="1"/>
      </rPr>
      <t>:                           SERVICIO DE FARMACIA DE 08:00 A 13:00HS., DEBIENDO CORRER LOS GASTOS DE FLETES, ACARREO, CARGA, DESCARGA Y SEGURO A CARGO DEL ADJUDICATARIO.</t>
    </r>
  </si>
  <si>
    <t>28- Maternidad Provincial 25 de Mayo</t>
  </si>
  <si>
    <t xml:space="preserve">169-Direccion Asistencial </t>
  </si>
  <si>
    <t>Servicio de Farmacia</t>
  </si>
  <si>
    <t>57/2022</t>
  </si>
  <si>
    <t>PRODUCTOS FARMACEUTICOS Y MEDICINALES</t>
  </si>
  <si>
    <t>Para la adquisición de  TERAPIA ANTIINFECCIOSA SISTEMICA/SUEROS INMUNES E INMUNOGLOBULINAS  Y MEDIOS DE CONTRASTES /ANALGESICOS ANTINFLAMATORIOS /MIORRELAJANTES/ANESTESICOS/ANALGESICOS OPIACIOS , destinados al Servicio de Farmacia de la Maternidad Provincial 25 de Mayo .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</si>
  <si>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 xml:space="preserve">:                               </t>
    </r>
    <r>
      <rPr>
        <b/>
        <sz val="10"/>
        <rFont val="Times New Roman"/>
        <family val="1"/>
      </rPr>
      <t xml:space="preserve"> ITEMS 1 al 24</t>
    </r>
  </si>
  <si>
    <t>Costo total estimado: UN MILLON OCHOCIENTOS SETENTA Y DOS MIL CIENTO TREINTA Y OCHO CON 40/100 .</t>
  </si>
  <si>
    <t xml:space="preserve">TOTAL DE PESOS: UN MILLON OCHOCIENTOS SETENTA Y DOS MIL CIENTO TREINTA Y OCHO CON 40/100.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</si>
</sst>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</numFmts>
  <fonts count="3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6"/>
  </cellStyleXfs>
  <cellXfs count="221">
    <xf numFmtId="0" fontId="0" fillId="0" borderId="0" xfId="0" applyFont="1" applyAlignment="1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3" fontId="20" fillId="0" borderId="0" xfId="0" applyNumberFormat="1" applyFont="1"/>
    <xf numFmtId="168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23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left"/>
    </xf>
    <xf numFmtId="0" fontId="10" fillId="0" borderId="24" xfId="0" applyFont="1" applyBorder="1"/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166" fontId="10" fillId="0" borderId="48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6" fontId="10" fillId="0" borderId="53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" fillId="0" borderId="6" xfId="0" applyFont="1" applyBorder="1"/>
    <xf numFmtId="0" fontId="7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9" fillId="0" borderId="60" xfId="0" applyFont="1" applyBorder="1" applyAlignment="1">
      <alignment horizontal="center" vertical="center" wrapText="1"/>
    </xf>
    <xf numFmtId="164" fontId="9" fillId="0" borderId="6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0" fillId="0" borderId="60" xfId="0" applyFont="1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 wrapText="1"/>
    </xf>
    <xf numFmtId="3" fontId="10" fillId="0" borderId="60" xfId="0" applyNumberFormat="1" applyFont="1" applyFill="1" applyBorder="1" applyAlignment="1">
      <alignment horizontal="center" vertical="center"/>
    </xf>
    <xf numFmtId="165" fontId="10" fillId="0" borderId="60" xfId="0" applyNumberFormat="1" applyFont="1" applyFill="1" applyBorder="1" applyAlignment="1">
      <alignment horizontal="center" vertical="center"/>
    </xf>
    <xf numFmtId="164" fontId="10" fillId="0" borderId="60" xfId="0" applyNumberFormat="1" applyFont="1" applyFill="1" applyBorder="1" applyAlignment="1">
      <alignment horizontal="right" vertical="center" wrapText="1"/>
    </xf>
    <xf numFmtId="0" fontId="26" fillId="0" borderId="60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vertical="center" wrapText="1"/>
    </xf>
    <xf numFmtId="0" fontId="26" fillId="0" borderId="60" xfId="0" applyFont="1" applyFill="1" applyBorder="1" applyAlignment="1">
      <alignment wrapText="1"/>
    </xf>
    <xf numFmtId="0" fontId="26" fillId="0" borderId="60" xfId="0" applyFont="1" applyFill="1" applyBorder="1" applyAlignment="1">
      <alignment horizontal="left" vertical="center" wrapText="1"/>
    </xf>
    <xf numFmtId="0" fontId="0" fillId="0" borderId="60" xfId="0" applyFont="1" applyFill="1" applyBorder="1" applyAlignment="1">
      <alignment horizontal="left" vertical="center" wrapText="1"/>
    </xf>
    <xf numFmtId="165" fontId="10" fillId="0" borderId="60" xfId="0" applyNumberFormat="1" applyFont="1" applyFill="1" applyBorder="1" applyAlignment="1">
      <alignment horizontal="right" vertical="center"/>
    </xf>
    <xf numFmtId="0" fontId="4" fillId="0" borderId="60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60" xfId="0" applyFont="1" applyFill="1" applyBorder="1" applyAlignment="1">
      <alignment horizontal="center" vertical="center"/>
    </xf>
    <xf numFmtId="164" fontId="10" fillId="0" borderId="60" xfId="0" applyNumberFormat="1" applyFont="1" applyFill="1" applyBorder="1" applyAlignment="1">
      <alignment horizontal="right" vertical="center"/>
    </xf>
    <xf numFmtId="0" fontId="29" fillId="0" borderId="60" xfId="0" applyFont="1" applyFill="1" applyBorder="1" applyAlignment="1">
      <alignment vertical="center"/>
    </xf>
    <xf numFmtId="0" fontId="0" fillId="0" borderId="6" xfId="0" applyFont="1" applyBorder="1" applyAlignment="1"/>
    <xf numFmtId="0" fontId="2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2" xfId="0" applyFont="1" applyBorder="1"/>
    <xf numFmtId="0" fontId="2" fillId="0" borderId="63" xfId="0" applyFont="1" applyBorder="1"/>
    <xf numFmtId="0" fontId="2" fillId="0" borderId="64" xfId="0" applyFont="1" applyBorder="1" applyAlignment="1">
      <alignment horizontal="left" vertical="center" wrapText="1"/>
    </xf>
    <xf numFmtId="0" fontId="2" fillId="0" borderId="65" xfId="0" applyFont="1" applyBorder="1" applyAlignment="1">
      <alignment horizontal="left" wrapText="1"/>
    </xf>
    <xf numFmtId="0" fontId="11" fillId="0" borderId="64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wrapText="1"/>
    </xf>
    <xf numFmtId="0" fontId="12" fillId="0" borderId="66" xfId="0" applyFont="1" applyBorder="1" applyAlignment="1">
      <alignment vertical="center"/>
    </xf>
    <xf numFmtId="0" fontId="2" fillId="0" borderId="67" xfId="0" applyFont="1" applyBorder="1" applyAlignment="1">
      <alignment vertical="center"/>
    </xf>
    <xf numFmtId="0" fontId="2" fillId="0" borderId="67" xfId="0" applyFont="1" applyBorder="1"/>
    <xf numFmtId="0" fontId="2" fillId="0" borderId="68" xfId="0" applyFont="1" applyBorder="1"/>
    <xf numFmtId="0" fontId="0" fillId="0" borderId="0" xfId="0" applyFont="1" applyAlignment="1"/>
    <xf numFmtId="0" fontId="0" fillId="0" borderId="0" xfId="0" applyFont="1" applyAlignment="1"/>
    <xf numFmtId="0" fontId="2" fillId="0" borderId="69" xfId="0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2" fillId="0" borderId="69" xfId="0" applyFont="1" applyBorder="1" applyAlignment="1">
      <alignment horizontal="center" vertical="center" wrapText="1"/>
    </xf>
    <xf numFmtId="166" fontId="2" fillId="0" borderId="69" xfId="0" applyNumberFormat="1" applyFont="1" applyBorder="1" applyAlignment="1">
      <alignment horizontal="right" vertical="center" wrapText="1"/>
    </xf>
    <xf numFmtId="3" fontId="2" fillId="0" borderId="69" xfId="0" applyNumberFormat="1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left" vertical="center" wrapText="1"/>
    </xf>
    <xf numFmtId="3" fontId="10" fillId="0" borderId="6" xfId="0" applyNumberFormat="1" applyFont="1" applyFill="1" applyBorder="1" applyAlignment="1">
      <alignment horizontal="center" vertical="center"/>
    </xf>
    <xf numFmtId="165" fontId="10" fillId="0" borderId="6" xfId="0" applyNumberFormat="1" applyFont="1" applyFill="1" applyBorder="1" applyAlignment="1">
      <alignment horizontal="right" vertical="center"/>
    </xf>
    <xf numFmtId="164" fontId="10" fillId="0" borderId="6" xfId="0" applyNumberFormat="1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0" borderId="65" xfId="0" applyFont="1" applyBorder="1"/>
    <xf numFmtId="0" fontId="4" fillId="0" borderId="64" xfId="0" applyFont="1" applyBorder="1"/>
    <xf numFmtId="0" fontId="0" fillId="0" borderId="0" xfId="0" applyFont="1" applyAlignment="1"/>
    <xf numFmtId="0" fontId="2" fillId="0" borderId="64" xfId="0" applyFont="1" applyBorder="1" applyAlignment="1">
      <alignment vertical="center"/>
    </xf>
    <xf numFmtId="0" fontId="2" fillId="0" borderId="65" xfId="0" applyFont="1" applyBorder="1"/>
    <xf numFmtId="0" fontId="2" fillId="2" borderId="6" xfId="0" applyFont="1" applyFill="1" applyBorder="1"/>
    <xf numFmtId="0" fontId="14" fillId="2" borderId="7" xfId="0" applyFont="1" applyFill="1" applyBorder="1" applyAlignment="1">
      <alignment horizontal="right" vertical="center"/>
    </xf>
    <xf numFmtId="0" fontId="15" fillId="3" borderId="8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27" xfId="0" applyFont="1" applyFill="1" applyBorder="1"/>
    <xf numFmtId="0" fontId="10" fillId="3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166" fontId="10" fillId="2" borderId="41" xfId="0" applyNumberFormat="1" applyFont="1" applyFill="1" applyBorder="1" applyAlignment="1">
      <alignment horizontal="center" vertical="center"/>
    </xf>
    <xf numFmtId="166" fontId="24" fillId="3" borderId="57" xfId="0" applyNumberFormat="1" applyFont="1" applyFill="1" applyBorder="1" applyAlignment="1">
      <alignment horizontal="center" vertical="center"/>
    </xf>
    <xf numFmtId="0" fontId="7" fillId="0" borderId="73" xfId="0" applyFont="1" applyBorder="1" applyAlignment="1">
      <alignment horizontal="left" wrapText="1"/>
    </xf>
    <xf numFmtId="0" fontId="2" fillId="0" borderId="73" xfId="0" applyFont="1" applyBorder="1"/>
    <xf numFmtId="0" fontId="7" fillId="0" borderId="71" xfId="0" applyFont="1" applyBorder="1" applyAlignment="1">
      <alignment horizontal="left" vertical="center" wrapText="1"/>
    </xf>
    <xf numFmtId="0" fontId="7" fillId="0" borderId="75" xfId="0" applyFont="1" applyBorder="1" applyAlignment="1">
      <alignment horizontal="left" wrapText="1"/>
    </xf>
    <xf numFmtId="0" fontId="7" fillId="0" borderId="76" xfId="0" applyFont="1" applyBorder="1" applyAlignment="1">
      <alignment horizontal="left" vertical="center" wrapText="1"/>
    </xf>
    <xf numFmtId="0" fontId="7" fillId="0" borderId="73" xfId="0" applyFont="1" applyBorder="1" applyAlignment="1">
      <alignment horizontal="center" wrapText="1"/>
    </xf>
    <xf numFmtId="0" fontId="7" fillId="0" borderId="75" xfId="0" applyFont="1" applyBorder="1" applyAlignment="1">
      <alignment horizontal="center" wrapText="1"/>
    </xf>
    <xf numFmtId="0" fontId="8" fillId="2" borderId="73" xfId="0" applyFont="1" applyFill="1" applyBorder="1" applyAlignment="1">
      <alignment horizontal="left" wrapText="1"/>
    </xf>
    <xf numFmtId="0" fontId="6" fillId="2" borderId="77" xfId="0" applyFont="1" applyFill="1" applyBorder="1" applyAlignment="1">
      <alignment horizontal="left" vertical="center" wrapText="1"/>
    </xf>
    <xf numFmtId="0" fontId="8" fillId="2" borderId="75" xfId="0" applyFont="1" applyFill="1" applyBorder="1" applyAlignment="1">
      <alignment horizontal="left" wrapText="1"/>
    </xf>
    <xf numFmtId="0" fontId="6" fillId="3" borderId="7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/>
    </xf>
    <xf numFmtId="0" fontId="5" fillId="2" borderId="60" xfId="0" applyFont="1" applyFill="1" applyBorder="1" applyAlignment="1">
      <alignment horizontal="left" vertical="center" wrapText="1"/>
    </xf>
    <xf numFmtId="0" fontId="4" fillId="2" borderId="70" xfId="0" applyFont="1" applyFill="1" applyBorder="1"/>
    <xf numFmtId="0" fontId="5" fillId="3" borderId="60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4" fillId="0" borderId="6" xfId="0" applyFont="1" applyBorder="1"/>
    <xf numFmtId="0" fontId="4" fillId="2" borderId="60" xfId="0" applyFont="1" applyFill="1" applyBorder="1"/>
    <xf numFmtId="0" fontId="6" fillId="2" borderId="73" xfId="0" applyFont="1" applyFill="1" applyBorder="1" applyAlignment="1">
      <alignment horizontal="left" wrapText="1"/>
    </xf>
    <xf numFmtId="0" fontId="4" fillId="2" borderId="73" xfId="0" applyFont="1" applyFill="1" applyBorder="1"/>
    <xf numFmtId="0" fontId="5" fillId="3" borderId="72" xfId="0" applyFont="1" applyFill="1" applyBorder="1" applyAlignment="1">
      <alignment horizontal="left" vertical="center" wrapText="1"/>
    </xf>
    <xf numFmtId="0" fontId="4" fillId="2" borderId="74" xfId="0" applyFont="1" applyFill="1" applyBorder="1"/>
    <xf numFmtId="0" fontId="6" fillId="3" borderId="77" xfId="0" applyFont="1" applyFill="1" applyBorder="1" applyAlignment="1">
      <alignment horizontal="left" wrapText="1"/>
    </xf>
    <xf numFmtId="0" fontId="4" fillId="2" borderId="75" xfId="0" applyFont="1" applyFill="1" applyBorder="1"/>
    <xf numFmtId="0" fontId="2" fillId="0" borderId="6" xfId="0" applyFont="1" applyBorder="1" applyAlignment="1">
      <alignment horizontal="left" wrapText="1"/>
    </xf>
    <xf numFmtId="0" fontId="2" fillId="0" borderId="64" xfId="0" applyFont="1" applyBorder="1" applyAlignment="1">
      <alignment horizontal="left" wrapText="1"/>
    </xf>
    <xf numFmtId="0" fontId="4" fillId="0" borderId="65" xfId="0" applyFont="1" applyBorder="1"/>
    <xf numFmtId="0" fontId="4" fillId="0" borderId="64" xfId="0" applyFont="1" applyBorder="1"/>
    <xf numFmtId="0" fontId="2" fillId="0" borderId="69" xfId="0" applyFont="1" applyBorder="1" applyAlignment="1">
      <alignment horizontal="left" vertical="center" wrapText="1"/>
    </xf>
    <xf numFmtId="0" fontId="4" fillId="0" borderId="69" xfId="0" applyFont="1" applyBorder="1"/>
    <xf numFmtId="0" fontId="1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5" fillId="3" borderId="13" xfId="0" applyFont="1" applyFill="1" applyBorder="1" applyAlignment="1">
      <alignment horizontal="left" vertical="center" wrapText="1"/>
    </xf>
    <xf numFmtId="0" fontId="4" fillId="2" borderId="14" xfId="0" applyFont="1" applyFill="1" applyBorder="1"/>
    <xf numFmtId="0" fontId="4" fillId="2" borderId="15" xfId="0" applyFont="1" applyFill="1" applyBorder="1"/>
    <xf numFmtId="0" fontId="15" fillId="3" borderId="20" xfId="0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/>
    <xf numFmtId="0" fontId="4" fillId="2" borderId="12" xfId="0" applyFont="1" applyFill="1" applyBorder="1"/>
    <xf numFmtId="0" fontId="15" fillId="2" borderId="13" xfId="0" applyFont="1" applyFill="1" applyBorder="1" applyAlignment="1">
      <alignment horizontal="left" vertical="center" wrapText="1"/>
    </xf>
    <xf numFmtId="0" fontId="18" fillId="3" borderId="16" xfId="0" applyFont="1" applyFill="1" applyBorder="1" applyAlignment="1">
      <alignment horizontal="left" vertical="center" wrapText="1"/>
    </xf>
    <xf numFmtId="0" fontId="4" fillId="2" borderId="17" xfId="0" applyFont="1" applyFill="1" applyBorder="1"/>
    <xf numFmtId="0" fontId="4" fillId="2" borderId="18" xfId="0" applyFont="1" applyFill="1" applyBorder="1"/>
    <xf numFmtId="0" fontId="18" fillId="3" borderId="13" xfId="0" applyFont="1" applyFill="1" applyBorder="1" applyAlignment="1">
      <alignment horizontal="left" vertical="center"/>
    </xf>
    <xf numFmtId="0" fontId="4" fillId="2" borderId="19" xfId="0" applyFont="1" applyFill="1" applyBorder="1"/>
    <xf numFmtId="0" fontId="18" fillId="3" borderId="10" xfId="0" applyFont="1" applyFill="1" applyBorder="1" applyAlignment="1">
      <alignment horizontal="left" vertical="center" wrapText="1"/>
    </xf>
    <xf numFmtId="0" fontId="19" fillId="0" borderId="69" xfId="0" applyFont="1" applyBorder="1" applyAlignment="1">
      <alignment horizontal="center" vertical="center"/>
    </xf>
    <xf numFmtId="0" fontId="15" fillId="0" borderId="69" xfId="0" applyFont="1" applyBorder="1" applyAlignment="1">
      <alignment horizontal="left" vertical="center" wrapText="1"/>
    </xf>
    <xf numFmtId="167" fontId="18" fillId="0" borderId="69" xfId="0" applyNumberFormat="1" applyFont="1" applyBorder="1" applyAlignment="1">
      <alignment horizontal="center" vertical="center"/>
    </xf>
    <xf numFmtId="0" fontId="22" fillId="3" borderId="58" xfId="0" applyFont="1" applyFill="1" applyBorder="1" applyAlignment="1">
      <alignment horizontal="left" vertical="center" wrapText="1"/>
    </xf>
    <xf numFmtId="0" fontId="4" fillId="2" borderId="5" xfId="0" applyFont="1" applyFill="1" applyBorder="1"/>
    <xf numFmtId="0" fontId="4" fillId="2" borderId="59" xfId="0" applyFont="1" applyFill="1" applyBorder="1"/>
    <xf numFmtId="0" fontId="4" fillId="2" borderId="23" xfId="0" applyFont="1" applyFill="1" applyBorder="1"/>
    <xf numFmtId="0" fontId="4" fillId="2" borderId="30" xfId="0" applyFont="1" applyFill="1" applyBorder="1"/>
    <xf numFmtId="0" fontId="4" fillId="2" borderId="24" xfId="0" applyFont="1" applyFill="1" applyBorder="1"/>
    <xf numFmtId="0" fontId="20" fillId="3" borderId="54" xfId="0" applyFont="1" applyFill="1" applyBorder="1" applyAlignment="1">
      <alignment horizontal="left" vertical="center" wrapText="1"/>
    </xf>
    <xf numFmtId="0" fontId="4" fillId="2" borderId="55" xfId="0" applyFont="1" applyFill="1" applyBorder="1"/>
    <xf numFmtId="0" fontId="4" fillId="2" borderId="56" xfId="0" applyFont="1" applyFill="1" applyBorder="1"/>
    <xf numFmtId="0" fontId="10" fillId="2" borderId="21" xfId="0" applyFont="1" applyFill="1" applyBorder="1"/>
    <xf numFmtId="0" fontId="4" fillId="2" borderId="31" xfId="0" applyFont="1" applyFill="1" applyBorder="1"/>
    <xf numFmtId="0" fontId="4" fillId="2" borderId="22" xfId="0" applyFont="1" applyFill="1" applyBorder="1"/>
    <xf numFmtId="0" fontId="10" fillId="0" borderId="46" xfId="0" applyFont="1" applyBorder="1" applyAlignment="1">
      <alignment horizontal="left" vertical="center"/>
    </xf>
    <xf numFmtId="0" fontId="4" fillId="0" borderId="47" xfId="0" applyFont="1" applyBorder="1"/>
    <xf numFmtId="0" fontId="10" fillId="0" borderId="51" xfId="0" applyFont="1" applyBorder="1" applyAlignment="1">
      <alignment horizontal="left" vertical="center"/>
    </xf>
    <xf numFmtId="0" fontId="4" fillId="0" borderId="52" xfId="0" applyFont="1" applyBorder="1"/>
    <xf numFmtId="0" fontId="20" fillId="2" borderId="13" xfId="0" applyFont="1" applyFill="1" applyBorder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10" fillId="2" borderId="10" xfId="0" applyFont="1" applyFill="1" applyBorder="1"/>
    <xf numFmtId="0" fontId="4" fillId="2" borderId="25" xfId="0" applyFont="1" applyFill="1" applyBorder="1"/>
    <xf numFmtId="0" fontId="22" fillId="2" borderId="10" xfId="0" applyFont="1" applyFill="1" applyBorder="1" applyAlignment="1">
      <alignment horizontal="left"/>
    </xf>
    <xf numFmtId="0" fontId="22" fillId="3" borderId="1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4" fillId="0" borderId="14" xfId="0" applyFont="1" applyBorder="1"/>
    <xf numFmtId="3" fontId="20" fillId="0" borderId="14" xfId="0" applyNumberFormat="1" applyFont="1" applyBorder="1" applyAlignment="1">
      <alignment horizontal="center"/>
    </xf>
    <xf numFmtId="0" fontId="4" fillId="0" borderId="15" xfId="0" applyFont="1" applyBorder="1"/>
    <xf numFmtId="0" fontId="23" fillId="2" borderId="10" xfId="0" applyFont="1" applyFill="1" applyBorder="1" applyAlignment="1">
      <alignment horizontal="left"/>
    </xf>
    <xf numFmtId="0" fontId="22" fillId="2" borderId="26" xfId="0" applyFont="1" applyFill="1" applyBorder="1"/>
    <xf numFmtId="0" fontId="0" fillId="2" borderId="0" xfId="0" applyFont="1" applyFill="1" applyAlignment="1"/>
    <xf numFmtId="0" fontId="22" fillId="3" borderId="28" xfId="0" applyFont="1" applyFill="1" applyBorder="1" applyAlignment="1">
      <alignment horizontal="left" vertical="center" wrapText="1"/>
    </xf>
    <xf numFmtId="0" fontId="4" fillId="2" borderId="3" xfId="0" applyFont="1" applyFill="1" applyBorder="1"/>
    <xf numFmtId="0" fontId="4" fillId="2" borderId="29" xfId="0" applyFont="1" applyFill="1" applyBorder="1"/>
    <xf numFmtId="0" fontId="24" fillId="0" borderId="21" xfId="0" applyFont="1" applyBorder="1" applyAlignment="1">
      <alignment horizontal="center" vertical="center"/>
    </xf>
    <xf numFmtId="0" fontId="4" fillId="0" borderId="31" xfId="0" applyFont="1" applyBorder="1"/>
    <xf numFmtId="0" fontId="24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25" xfId="0" applyFont="1" applyBorder="1"/>
    <xf numFmtId="0" fontId="22" fillId="2" borderId="31" xfId="0" applyFont="1" applyFill="1" applyBorder="1" applyAlignment="1">
      <alignment vertical="center" wrapText="1"/>
    </xf>
    <xf numFmtId="0" fontId="24" fillId="0" borderId="21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4" fillId="0" borderId="22" xfId="0" applyFont="1" applyBorder="1" applyAlignment="1">
      <alignment horizontal="center" vertical="center"/>
    </xf>
    <xf numFmtId="0" fontId="4" fillId="2" borderId="39" xfId="0" applyFont="1" applyFill="1" applyBorder="1" applyAlignment="1">
      <alignment horizontal="left" vertical="center" wrapText="1"/>
    </xf>
    <xf numFmtId="0" fontId="4" fillId="2" borderId="4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A7" zoomScale="72" zoomScaleNormal="72" workbookViewId="0">
      <selection activeCell="K13" sqref="K13"/>
    </sheetView>
  </sheetViews>
  <sheetFormatPr baseColWidth="10" defaultColWidth="12.5703125" defaultRowHeight="15" customHeight="1" x14ac:dyDescent="0.2"/>
  <cols>
    <col min="1" max="1" width="4.5703125" customWidth="1"/>
    <col min="2" max="2" width="16.5703125" style="43" customWidth="1"/>
    <col min="3" max="3" width="29.42578125" style="43" customWidth="1"/>
    <col min="4" max="4" width="13.42578125" customWidth="1"/>
    <col min="5" max="5" width="90.7109375" style="36" customWidth="1"/>
    <col min="6" max="6" width="15.7109375" customWidth="1"/>
    <col min="7" max="7" width="10.85546875" customWidth="1"/>
    <col min="8" max="8" width="16.85546875" style="43" customWidth="1"/>
    <col min="9" max="9" width="15.5703125" customWidth="1"/>
    <col min="10" max="10" width="38.85546875" customWidth="1"/>
    <col min="11" max="11" width="12.42578125" style="46" bestFit="1" customWidth="1"/>
    <col min="12" max="12" width="31" bestFit="1" customWidth="1"/>
    <col min="13" max="13" width="52.140625" bestFit="1" customWidth="1"/>
    <col min="14" max="14" width="38.28515625" bestFit="1" customWidth="1"/>
  </cols>
  <sheetData>
    <row r="1" spans="1:11" ht="12.75" customHeight="1" x14ac:dyDescent="0.2">
      <c r="A1" s="37"/>
      <c r="B1" s="45"/>
      <c r="C1" s="45"/>
      <c r="D1" s="37"/>
      <c r="E1" s="37"/>
      <c r="F1" s="37"/>
      <c r="G1" s="37"/>
      <c r="H1" s="45"/>
      <c r="I1" s="2"/>
      <c r="J1" s="1"/>
      <c r="K1" s="5"/>
    </row>
    <row r="2" spans="1:11" ht="26.25" customHeight="1" x14ac:dyDescent="0.35">
      <c r="A2" s="71"/>
      <c r="B2" s="137" t="s">
        <v>0</v>
      </c>
      <c r="C2" s="138"/>
      <c r="D2" s="138"/>
      <c r="E2" s="138"/>
      <c r="F2" s="138"/>
      <c r="G2" s="138"/>
      <c r="H2" s="138"/>
      <c r="I2" s="2"/>
      <c r="J2" s="1"/>
      <c r="K2" s="5"/>
    </row>
    <row r="3" spans="1:11" ht="12.75" customHeight="1" x14ac:dyDescent="0.2">
      <c r="A3" s="111"/>
      <c r="B3" s="133"/>
      <c r="C3" s="133"/>
      <c r="D3" s="111"/>
      <c r="E3" s="111"/>
      <c r="F3" s="37"/>
      <c r="G3" s="37"/>
      <c r="H3" s="45"/>
      <c r="I3" s="2"/>
      <c r="J3" s="1"/>
      <c r="K3" s="5"/>
    </row>
    <row r="4" spans="1:11" ht="41.25" customHeight="1" x14ac:dyDescent="0.25">
      <c r="A4" s="134" t="s">
        <v>1</v>
      </c>
      <c r="B4" s="139"/>
      <c r="C4" s="140" t="s">
        <v>2</v>
      </c>
      <c r="D4" s="141"/>
      <c r="E4" s="141"/>
      <c r="F4" s="122"/>
      <c r="G4" s="123"/>
      <c r="H4" s="124"/>
      <c r="I4" s="2"/>
      <c r="J4" s="1"/>
      <c r="K4" s="5"/>
    </row>
    <row r="5" spans="1:11" ht="20.100000000000001" customHeight="1" x14ac:dyDescent="0.25">
      <c r="A5" s="142" t="s">
        <v>3</v>
      </c>
      <c r="B5" s="143"/>
      <c r="C5" s="144" t="s">
        <v>115</v>
      </c>
      <c r="D5" s="145"/>
      <c r="E5" s="145"/>
      <c r="F5" s="125"/>
      <c r="G5" s="128"/>
      <c r="H5" s="126"/>
      <c r="I5" s="2"/>
      <c r="J5" s="1"/>
      <c r="K5" s="5"/>
    </row>
    <row r="6" spans="1:11" ht="20.100000000000001" customHeight="1" x14ac:dyDescent="0.2">
      <c r="A6" s="134" t="s">
        <v>4</v>
      </c>
      <c r="B6" s="135"/>
      <c r="C6" s="130">
        <v>2022</v>
      </c>
      <c r="D6" s="131"/>
      <c r="E6" s="131"/>
      <c r="F6" s="125"/>
      <c r="G6" s="128"/>
      <c r="H6" s="126"/>
      <c r="I6" s="2"/>
      <c r="J6" s="1"/>
      <c r="K6" s="5"/>
    </row>
    <row r="7" spans="1:11" ht="20.100000000000001" customHeight="1" x14ac:dyDescent="0.2">
      <c r="A7" s="136" t="s">
        <v>5</v>
      </c>
      <c r="B7" s="135"/>
      <c r="C7" s="132">
        <v>2</v>
      </c>
      <c r="D7" s="129"/>
      <c r="E7" s="129"/>
      <c r="F7" s="122"/>
      <c r="G7" s="127"/>
      <c r="H7" s="124"/>
      <c r="I7" s="2"/>
      <c r="J7" s="1"/>
      <c r="K7" s="5"/>
    </row>
    <row r="8" spans="1:11" ht="12.75" customHeight="1" x14ac:dyDescent="0.2">
      <c r="A8" s="1"/>
      <c r="B8" s="49"/>
      <c r="C8" s="47"/>
      <c r="D8" s="3"/>
      <c r="E8" s="38"/>
      <c r="F8" s="3"/>
      <c r="G8" s="4"/>
      <c r="H8" s="49"/>
      <c r="I8" s="2"/>
      <c r="J8" s="1"/>
      <c r="K8" s="5"/>
    </row>
    <row r="9" spans="1:11" s="67" customFormat="1" ht="25.5" customHeight="1" x14ac:dyDescent="0.2">
      <c r="A9" s="41" t="s">
        <v>6</v>
      </c>
      <c r="B9" s="41" t="s">
        <v>7</v>
      </c>
      <c r="C9" s="41" t="s">
        <v>8</v>
      </c>
      <c r="D9" s="41" t="s">
        <v>9</v>
      </c>
      <c r="E9" s="41" t="s">
        <v>10</v>
      </c>
      <c r="F9" s="41" t="s">
        <v>11</v>
      </c>
      <c r="G9" s="41" t="s">
        <v>12</v>
      </c>
      <c r="H9" s="41" t="s">
        <v>13</v>
      </c>
      <c r="I9" s="42" t="s">
        <v>14</v>
      </c>
      <c r="J9" s="66"/>
      <c r="K9" s="48"/>
    </row>
    <row r="10" spans="1:11" ht="45.75" customHeight="1" x14ac:dyDescent="0.2">
      <c r="A10" s="53">
        <v>1</v>
      </c>
      <c r="B10" s="59" t="s">
        <v>63</v>
      </c>
      <c r="C10" s="70" t="s">
        <v>62</v>
      </c>
      <c r="D10" s="55">
        <v>252</v>
      </c>
      <c r="E10" s="62" t="s">
        <v>83</v>
      </c>
      <c r="F10" s="53" t="s">
        <v>15</v>
      </c>
      <c r="G10" s="56">
        <v>500</v>
      </c>
      <c r="H10" s="57">
        <v>29.5</v>
      </c>
      <c r="I10" s="58">
        <f t="shared" ref="I10:I20" si="0">+G10*H10</f>
        <v>14750</v>
      </c>
      <c r="J10" s="43"/>
      <c r="K10" s="44"/>
    </row>
    <row r="11" spans="1:11" ht="43.5" customHeight="1" x14ac:dyDescent="0.2">
      <c r="A11" s="53">
        <v>2</v>
      </c>
      <c r="B11" s="59" t="s">
        <v>64</v>
      </c>
      <c r="C11" s="70" t="s">
        <v>62</v>
      </c>
      <c r="D11" s="55">
        <v>252</v>
      </c>
      <c r="E11" s="62" t="s">
        <v>84</v>
      </c>
      <c r="F11" s="53" t="s">
        <v>16</v>
      </c>
      <c r="G11" s="56">
        <v>700</v>
      </c>
      <c r="H11" s="57">
        <v>138</v>
      </c>
      <c r="I11" s="58">
        <f t="shared" si="0"/>
        <v>96600</v>
      </c>
      <c r="J11" s="43"/>
      <c r="K11" s="44"/>
    </row>
    <row r="12" spans="1:11" ht="48.75" customHeight="1" x14ac:dyDescent="0.2">
      <c r="A12" s="53">
        <v>3</v>
      </c>
      <c r="B12" s="59" t="s">
        <v>65</v>
      </c>
      <c r="C12" s="70" t="s">
        <v>62</v>
      </c>
      <c r="D12" s="55">
        <v>252</v>
      </c>
      <c r="E12" s="62" t="s">
        <v>85</v>
      </c>
      <c r="F12" s="53" t="s">
        <v>16</v>
      </c>
      <c r="G12" s="56">
        <v>1000</v>
      </c>
      <c r="H12" s="57">
        <v>99</v>
      </c>
      <c r="I12" s="58">
        <f t="shared" si="0"/>
        <v>99000</v>
      </c>
      <c r="J12" s="43"/>
      <c r="K12" s="44"/>
    </row>
    <row r="13" spans="1:11" ht="51" customHeight="1" x14ac:dyDescent="0.2">
      <c r="A13" s="53">
        <v>4</v>
      </c>
      <c r="B13" s="59" t="s">
        <v>66</v>
      </c>
      <c r="C13" s="70" t="s">
        <v>62</v>
      </c>
      <c r="D13" s="55">
        <v>252</v>
      </c>
      <c r="E13" s="62" t="s">
        <v>86</v>
      </c>
      <c r="F13" s="53" t="s">
        <v>15</v>
      </c>
      <c r="G13" s="56">
        <v>80</v>
      </c>
      <c r="H13" s="57">
        <v>17.079999999999998</v>
      </c>
      <c r="I13" s="58">
        <f t="shared" si="0"/>
        <v>1366.3999999999999</v>
      </c>
      <c r="J13" s="43"/>
      <c r="K13" s="44"/>
    </row>
    <row r="14" spans="1:11" ht="45.75" customHeight="1" x14ac:dyDescent="0.2">
      <c r="A14" s="53">
        <v>5</v>
      </c>
      <c r="B14" s="59" t="s">
        <v>68</v>
      </c>
      <c r="C14" s="70" t="s">
        <v>62</v>
      </c>
      <c r="D14" s="55">
        <v>252</v>
      </c>
      <c r="E14" s="62" t="s">
        <v>88</v>
      </c>
      <c r="F14" s="53" t="s">
        <v>17</v>
      </c>
      <c r="G14" s="56">
        <v>15</v>
      </c>
      <c r="H14" s="57">
        <v>310</v>
      </c>
      <c r="I14" s="58">
        <f t="shared" si="0"/>
        <v>4650</v>
      </c>
      <c r="J14" s="43"/>
      <c r="K14" s="44"/>
    </row>
    <row r="15" spans="1:11" ht="49.5" customHeight="1" x14ac:dyDescent="0.2">
      <c r="A15" s="53">
        <v>6</v>
      </c>
      <c r="B15" s="59" t="s">
        <v>67</v>
      </c>
      <c r="C15" s="70" t="s">
        <v>62</v>
      </c>
      <c r="D15" s="55">
        <v>252</v>
      </c>
      <c r="E15" s="60" t="s">
        <v>87</v>
      </c>
      <c r="F15" s="53" t="s">
        <v>15</v>
      </c>
      <c r="G15" s="56">
        <v>100</v>
      </c>
      <c r="H15" s="57">
        <v>36</v>
      </c>
      <c r="I15" s="58">
        <f t="shared" si="0"/>
        <v>3600</v>
      </c>
      <c r="J15" s="43"/>
      <c r="K15" s="44"/>
    </row>
    <row r="16" spans="1:11" ht="39" customHeight="1" x14ac:dyDescent="0.2">
      <c r="A16" s="53">
        <v>7</v>
      </c>
      <c r="B16" s="53" t="s">
        <v>104</v>
      </c>
      <c r="C16" s="70" t="s">
        <v>62</v>
      </c>
      <c r="D16" s="68">
        <v>252</v>
      </c>
      <c r="E16" s="63" t="s">
        <v>103</v>
      </c>
      <c r="F16" s="53" t="s">
        <v>16</v>
      </c>
      <c r="G16" s="56">
        <v>450</v>
      </c>
      <c r="H16" s="57">
        <v>1420</v>
      </c>
      <c r="I16" s="69">
        <f t="shared" si="0"/>
        <v>639000</v>
      </c>
      <c r="J16" s="43"/>
      <c r="K16" s="44"/>
    </row>
    <row r="17" spans="1:13" ht="44.25" customHeight="1" x14ac:dyDescent="0.2">
      <c r="A17" s="53">
        <v>8</v>
      </c>
      <c r="B17" s="59" t="s">
        <v>69</v>
      </c>
      <c r="C17" s="70" t="s">
        <v>62</v>
      </c>
      <c r="D17" s="55">
        <v>252</v>
      </c>
      <c r="E17" s="62" t="s">
        <v>89</v>
      </c>
      <c r="F17" s="53" t="s">
        <v>15</v>
      </c>
      <c r="G17" s="56">
        <v>500</v>
      </c>
      <c r="H17" s="57">
        <v>13.9</v>
      </c>
      <c r="I17" s="58">
        <f t="shared" si="0"/>
        <v>6950</v>
      </c>
      <c r="J17" s="43"/>
      <c r="K17" s="44"/>
    </row>
    <row r="18" spans="1:13" ht="52.5" customHeight="1" x14ac:dyDescent="0.2">
      <c r="A18" s="53">
        <v>9</v>
      </c>
      <c r="B18" s="59" t="s">
        <v>70</v>
      </c>
      <c r="C18" s="70" t="s">
        <v>62</v>
      </c>
      <c r="D18" s="55">
        <v>252</v>
      </c>
      <c r="E18" s="62" t="s">
        <v>90</v>
      </c>
      <c r="F18" s="53" t="s">
        <v>16</v>
      </c>
      <c r="G18" s="56">
        <v>2100</v>
      </c>
      <c r="H18" s="57">
        <v>145</v>
      </c>
      <c r="I18" s="58">
        <f t="shared" si="0"/>
        <v>304500</v>
      </c>
      <c r="J18" s="43"/>
      <c r="K18" s="44"/>
    </row>
    <row r="19" spans="1:13" ht="41.25" customHeight="1" x14ac:dyDescent="0.2">
      <c r="A19" s="53">
        <v>10</v>
      </c>
      <c r="B19" s="59" t="s">
        <v>71</v>
      </c>
      <c r="C19" s="70" t="s">
        <v>62</v>
      </c>
      <c r="D19" s="55">
        <v>252</v>
      </c>
      <c r="E19" s="62" t="s">
        <v>91</v>
      </c>
      <c r="F19" s="53" t="s">
        <v>16</v>
      </c>
      <c r="G19" s="56">
        <v>200</v>
      </c>
      <c r="H19" s="57">
        <v>130</v>
      </c>
      <c r="I19" s="58">
        <f t="shared" si="0"/>
        <v>26000</v>
      </c>
      <c r="J19" s="43"/>
      <c r="K19" s="44"/>
    </row>
    <row r="20" spans="1:13" ht="40.5" customHeight="1" x14ac:dyDescent="0.2">
      <c r="A20" s="53">
        <v>11</v>
      </c>
      <c r="B20" s="59" t="s">
        <v>72</v>
      </c>
      <c r="C20" s="70" t="s">
        <v>62</v>
      </c>
      <c r="D20" s="55">
        <v>252</v>
      </c>
      <c r="E20" s="62" t="s">
        <v>102</v>
      </c>
      <c r="F20" s="65" t="s">
        <v>111</v>
      </c>
      <c r="G20" s="56">
        <v>20</v>
      </c>
      <c r="H20" s="57">
        <v>122</v>
      </c>
      <c r="I20" s="58">
        <f t="shared" si="0"/>
        <v>2440</v>
      </c>
      <c r="J20" s="43"/>
      <c r="K20" s="44"/>
      <c r="M20" s="50"/>
    </row>
    <row r="21" spans="1:13" ht="47.25" customHeight="1" x14ac:dyDescent="0.2">
      <c r="A21" s="53">
        <v>12</v>
      </c>
      <c r="B21" s="59" t="s">
        <v>73</v>
      </c>
      <c r="C21" s="70" t="s">
        <v>62</v>
      </c>
      <c r="D21" s="55">
        <v>252</v>
      </c>
      <c r="E21" s="60" t="s">
        <v>93</v>
      </c>
      <c r="F21" s="53" t="s">
        <v>15</v>
      </c>
      <c r="G21" s="56">
        <v>1000</v>
      </c>
      <c r="H21" s="64">
        <v>3.05</v>
      </c>
      <c r="I21" s="58">
        <f t="shared" ref="I21:I33" si="1">+G21*H21</f>
        <v>3050</v>
      </c>
      <c r="J21" s="43"/>
      <c r="K21" s="44"/>
    </row>
    <row r="22" spans="1:13" ht="45.75" customHeight="1" x14ac:dyDescent="0.2">
      <c r="A22" s="53">
        <v>13</v>
      </c>
      <c r="B22" s="59" t="s">
        <v>74</v>
      </c>
      <c r="C22" s="70" t="s">
        <v>62</v>
      </c>
      <c r="D22" s="55">
        <v>252</v>
      </c>
      <c r="E22" s="60" t="s">
        <v>101</v>
      </c>
      <c r="F22" s="53" t="s">
        <v>16</v>
      </c>
      <c r="G22" s="56">
        <v>2000</v>
      </c>
      <c r="H22" s="64">
        <v>35.9</v>
      </c>
      <c r="I22" s="58">
        <f t="shared" si="1"/>
        <v>71800</v>
      </c>
      <c r="J22" s="43"/>
      <c r="K22" s="44"/>
      <c r="M22" s="52"/>
    </row>
    <row r="23" spans="1:13" ht="36.75" customHeight="1" x14ac:dyDescent="0.2">
      <c r="A23" s="53">
        <v>14</v>
      </c>
      <c r="B23" s="59" t="s">
        <v>75</v>
      </c>
      <c r="C23" s="70" t="s">
        <v>62</v>
      </c>
      <c r="D23" s="55">
        <v>252</v>
      </c>
      <c r="E23" s="62" t="s">
        <v>94</v>
      </c>
      <c r="F23" s="53" t="s">
        <v>15</v>
      </c>
      <c r="G23" s="56">
        <v>60</v>
      </c>
      <c r="H23" s="57">
        <v>18</v>
      </c>
      <c r="I23" s="58">
        <f t="shared" si="1"/>
        <v>1080</v>
      </c>
      <c r="J23" s="43"/>
      <c r="K23" s="44"/>
    </row>
    <row r="24" spans="1:13" ht="38.25" customHeight="1" x14ac:dyDescent="0.2">
      <c r="A24" s="53">
        <v>15</v>
      </c>
      <c r="B24" s="59" t="s">
        <v>76</v>
      </c>
      <c r="C24" s="70" t="s">
        <v>62</v>
      </c>
      <c r="D24" s="55">
        <v>252</v>
      </c>
      <c r="E24" s="61" t="s">
        <v>95</v>
      </c>
      <c r="F24" s="53" t="s">
        <v>15</v>
      </c>
      <c r="G24" s="56">
        <v>1500</v>
      </c>
      <c r="H24" s="57">
        <v>4.8</v>
      </c>
      <c r="I24" s="58">
        <f t="shared" si="1"/>
        <v>7200</v>
      </c>
      <c r="J24" s="43"/>
      <c r="K24" s="44"/>
    </row>
    <row r="25" spans="1:13" ht="34.5" customHeight="1" x14ac:dyDescent="0.2">
      <c r="A25" s="53">
        <v>16</v>
      </c>
      <c r="B25" s="53" t="s">
        <v>106</v>
      </c>
      <c r="C25" s="70" t="s">
        <v>62</v>
      </c>
      <c r="D25" s="55">
        <v>252</v>
      </c>
      <c r="E25" s="63" t="s">
        <v>105</v>
      </c>
      <c r="F25" s="53" t="s">
        <v>19</v>
      </c>
      <c r="G25" s="56">
        <v>30</v>
      </c>
      <c r="H25" s="57">
        <v>8375</v>
      </c>
      <c r="I25" s="58">
        <f t="shared" si="1"/>
        <v>251250</v>
      </c>
      <c r="J25" s="43"/>
      <c r="K25" s="44"/>
    </row>
    <row r="26" spans="1:13" ht="49.5" customHeight="1" x14ac:dyDescent="0.2">
      <c r="A26" s="53">
        <v>17</v>
      </c>
      <c r="B26" s="54" t="s">
        <v>77</v>
      </c>
      <c r="C26" s="70" t="s">
        <v>62</v>
      </c>
      <c r="D26" s="55">
        <v>252</v>
      </c>
      <c r="E26" s="63" t="s">
        <v>96</v>
      </c>
      <c r="F26" s="53" t="s">
        <v>16</v>
      </c>
      <c r="G26" s="56">
        <v>1500</v>
      </c>
      <c r="H26" s="57">
        <v>56</v>
      </c>
      <c r="I26" s="58">
        <f t="shared" si="1"/>
        <v>84000</v>
      </c>
      <c r="J26" s="43"/>
      <c r="K26" s="44"/>
    </row>
    <row r="27" spans="1:13" ht="51" customHeight="1" x14ac:dyDescent="0.2">
      <c r="A27" s="53">
        <v>18</v>
      </c>
      <c r="B27" s="54" t="s">
        <v>78</v>
      </c>
      <c r="C27" s="70" t="s">
        <v>62</v>
      </c>
      <c r="D27" s="55">
        <v>252</v>
      </c>
      <c r="E27" s="63" t="s">
        <v>97</v>
      </c>
      <c r="F27" s="53" t="s">
        <v>16</v>
      </c>
      <c r="G27" s="56">
        <v>600</v>
      </c>
      <c r="H27" s="57">
        <v>35</v>
      </c>
      <c r="I27" s="58">
        <f t="shared" si="1"/>
        <v>21000</v>
      </c>
      <c r="J27" s="43"/>
      <c r="K27" s="44"/>
    </row>
    <row r="28" spans="1:13" ht="54" customHeight="1" x14ac:dyDescent="0.2">
      <c r="A28" s="53">
        <v>19</v>
      </c>
      <c r="B28" s="54" t="s">
        <v>79</v>
      </c>
      <c r="C28" s="70" t="s">
        <v>62</v>
      </c>
      <c r="D28" s="55">
        <v>252</v>
      </c>
      <c r="E28" s="63" t="s">
        <v>98</v>
      </c>
      <c r="F28" s="53" t="s">
        <v>18</v>
      </c>
      <c r="G28" s="56">
        <v>30</v>
      </c>
      <c r="H28" s="57">
        <v>154.80000000000001</v>
      </c>
      <c r="I28" s="58">
        <f t="shared" si="1"/>
        <v>4644</v>
      </c>
      <c r="J28" s="43"/>
      <c r="K28" s="44"/>
    </row>
    <row r="29" spans="1:13" ht="45" customHeight="1" x14ac:dyDescent="0.2">
      <c r="A29" s="53">
        <v>20</v>
      </c>
      <c r="B29" s="59" t="s">
        <v>80</v>
      </c>
      <c r="C29" s="70" t="s">
        <v>62</v>
      </c>
      <c r="D29" s="55">
        <v>252</v>
      </c>
      <c r="E29" s="62" t="s">
        <v>99</v>
      </c>
      <c r="F29" s="53" t="s">
        <v>16</v>
      </c>
      <c r="G29" s="56">
        <v>100</v>
      </c>
      <c r="H29" s="57">
        <v>110</v>
      </c>
      <c r="I29" s="58">
        <f t="shared" si="1"/>
        <v>11000</v>
      </c>
      <c r="J29" s="43"/>
      <c r="K29" s="44"/>
      <c r="M29" s="51"/>
    </row>
    <row r="30" spans="1:13" ht="38.25" customHeight="1" x14ac:dyDescent="0.2">
      <c r="A30" s="53">
        <v>21</v>
      </c>
      <c r="B30" s="53" t="s">
        <v>108</v>
      </c>
      <c r="C30" s="70" t="s">
        <v>62</v>
      </c>
      <c r="D30" s="55">
        <v>252</v>
      </c>
      <c r="E30" s="62" t="s">
        <v>107</v>
      </c>
      <c r="F30" s="53" t="s">
        <v>15</v>
      </c>
      <c r="G30" s="56">
        <v>60</v>
      </c>
      <c r="H30" s="57">
        <v>9.8000000000000007</v>
      </c>
      <c r="I30" s="58">
        <f t="shared" si="1"/>
        <v>588</v>
      </c>
      <c r="J30" s="43"/>
      <c r="K30" s="44"/>
    </row>
    <row r="31" spans="1:13" ht="32.25" customHeight="1" x14ac:dyDescent="0.2">
      <c r="A31" s="53">
        <v>22</v>
      </c>
      <c r="B31" s="53" t="s">
        <v>110</v>
      </c>
      <c r="C31" s="70" t="s">
        <v>62</v>
      </c>
      <c r="D31" s="55">
        <v>252</v>
      </c>
      <c r="E31" s="63" t="s">
        <v>109</v>
      </c>
      <c r="F31" s="53" t="s">
        <v>15</v>
      </c>
      <c r="G31" s="56">
        <v>900</v>
      </c>
      <c r="H31" s="57">
        <v>5.3</v>
      </c>
      <c r="I31" s="58">
        <f t="shared" si="1"/>
        <v>4770</v>
      </c>
      <c r="J31" s="43"/>
      <c r="K31" s="44"/>
    </row>
    <row r="32" spans="1:13" ht="54.75" customHeight="1" x14ac:dyDescent="0.2">
      <c r="A32" s="53">
        <v>23</v>
      </c>
      <c r="B32" s="59" t="s">
        <v>81</v>
      </c>
      <c r="C32" s="70" t="s">
        <v>62</v>
      </c>
      <c r="D32" s="55">
        <v>252</v>
      </c>
      <c r="E32" s="62" t="s">
        <v>100</v>
      </c>
      <c r="F32" s="53" t="s">
        <v>16</v>
      </c>
      <c r="G32" s="56">
        <v>600</v>
      </c>
      <c r="H32" s="64">
        <v>189</v>
      </c>
      <c r="I32" s="58">
        <f t="shared" si="1"/>
        <v>113400</v>
      </c>
      <c r="J32" s="43"/>
      <c r="K32" s="44"/>
    </row>
    <row r="33" spans="1:11" ht="59.25" customHeight="1" x14ac:dyDescent="0.2">
      <c r="A33" s="53">
        <v>24</v>
      </c>
      <c r="B33" s="59" t="s">
        <v>82</v>
      </c>
      <c r="C33" s="70" t="s">
        <v>62</v>
      </c>
      <c r="D33" s="55">
        <v>252</v>
      </c>
      <c r="E33" s="62" t="s">
        <v>92</v>
      </c>
      <c r="F33" s="53" t="s">
        <v>16</v>
      </c>
      <c r="G33" s="56">
        <v>250</v>
      </c>
      <c r="H33" s="64">
        <v>398</v>
      </c>
      <c r="I33" s="58">
        <f t="shared" si="1"/>
        <v>99500</v>
      </c>
      <c r="J33" s="43"/>
      <c r="K33" s="44"/>
    </row>
    <row r="34" spans="1:11" s="90" customFormat="1" ht="12.75" x14ac:dyDescent="0.2">
      <c r="A34" s="96"/>
      <c r="B34" s="97"/>
      <c r="C34" s="98"/>
      <c r="D34" s="99"/>
      <c r="E34" s="100"/>
      <c r="F34" s="96"/>
      <c r="G34" s="101"/>
      <c r="H34" s="102"/>
      <c r="I34" s="103"/>
      <c r="J34" s="43"/>
      <c r="K34" s="104"/>
    </row>
    <row r="35" spans="1:11" s="90" customFormat="1" ht="12.75" x14ac:dyDescent="0.2">
      <c r="A35" s="96"/>
      <c r="B35" s="97"/>
      <c r="C35" s="98"/>
      <c r="D35" s="99"/>
      <c r="E35" s="100"/>
      <c r="F35" s="96"/>
      <c r="G35" s="101"/>
      <c r="H35" s="102"/>
      <c r="I35" s="103"/>
      <c r="J35" s="43"/>
      <c r="K35" s="104"/>
    </row>
    <row r="36" spans="1:11" ht="14.25" customHeight="1" x14ac:dyDescent="0.2"/>
    <row r="38" spans="1:11" s="89" customFormat="1" ht="15" customHeight="1" x14ac:dyDescent="0.2">
      <c r="B38" s="43"/>
      <c r="C38" s="43"/>
      <c r="H38" s="43"/>
      <c r="K38" s="46"/>
    </row>
    <row r="42" spans="1:11" ht="15" customHeight="1" thickBot="1" x14ac:dyDescent="0.25"/>
    <row r="43" spans="1:11" ht="15" customHeight="1" x14ac:dyDescent="0.2">
      <c r="B43" s="77" t="s">
        <v>121</v>
      </c>
      <c r="C43" s="78"/>
      <c r="D43" s="79"/>
      <c r="E43" s="80"/>
    </row>
    <row r="44" spans="1:11" s="108" customFormat="1" ht="15" customHeight="1" x14ac:dyDescent="0.2">
      <c r="B44" s="109"/>
      <c r="C44" s="45"/>
      <c r="D44" s="37"/>
      <c r="E44" s="110"/>
      <c r="H44" s="43"/>
      <c r="K44" s="46"/>
    </row>
    <row r="45" spans="1:11" ht="15" customHeight="1" x14ac:dyDescent="0.2">
      <c r="B45" s="147" t="s">
        <v>114</v>
      </c>
      <c r="C45" s="138"/>
      <c r="D45" s="138"/>
      <c r="E45" s="148"/>
    </row>
    <row r="46" spans="1:11" ht="15" customHeight="1" x14ac:dyDescent="0.2">
      <c r="B46" s="149"/>
      <c r="C46" s="138"/>
      <c r="D46" s="138"/>
      <c r="E46" s="148"/>
    </row>
    <row r="47" spans="1:11" s="108" customFormat="1" ht="15" customHeight="1" x14ac:dyDescent="0.2">
      <c r="B47" s="107"/>
      <c r="C47" s="105"/>
      <c r="D47" s="105"/>
      <c r="E47" s="106"/>
      <c r="H47" s="43"/>
      <c r="K47" s="46"/>
    </row>
    <row r="48" spans="1:11" ht="15" customHeight="1" x14ac:dyDescent="0.2">
      <c r="B48" s="147" t="s">
        <v>112</v>
      </c>
      <c r="C48" s="138"/>
      <c r="D48" s="138"/>
      <c r="E48" s="148"/>
    </row>
    <row r="49" spans="1:11" ht="15" customHeight="1" x14ac:dyDescent="0.2">
      <c r="B49" s="81"/>
      <c r="C49" s="72"/>
      <c r="D49" s="39"/>
      <c r="E49" s="82"/>
    </row>
    <row r="50" spans="1:11" ht="15" customHeight="1" x14ac:dyDescent="0.2">
      <c r="B50" s="83" t="s">
        <v>20</v>
      </c>
      <c r="C50" s="74"/>
      <c r="D50" s="40"/>
      <c r="E50" s="84"/>
    </row>
    <row r="51" spans="1:11" s="108" customFormat="1" ht="15" customHeight="1" x14ac:dyDescent="0.2">
      <c r="B51" s="83"/>
      <c r="C51" s="74"/>
      <c r="D51" s="40"/>
      <c r="E51" s="84"/>
      <c r="H51" s="43"/>
      <c r="K51" s="46"/>
    </row>
    <row r="52" spans="1:11" ht="15" customHeight="1" thickBot="1" x14ac:dyDescent="0.25">
      <c r="B52" s="85" t="s">
        <v>113</v>
      </c>
      <c r="C52" s="86"/>
      <c r="D52" s="87"/>
      <c r="E52" s="88"/>
    </row>
    <row r="54" spans="1:11" ht="15" customHeight="1" x14ac:dyDescent="0.2">
      <c r="A54" s="71"/>
      <c r="B54" s="45"/>
      <c r="C54" s="45"/>
      <c r="D54" s="37"/>
      <c r="E54" s="37"/>
      <c r="F54" s="71"/>
    </row>
    <row r="55" spans="1:11" ht="15" customHeight="1" x14ac:dyDescent="0.2">
      <c r="A55" s="71"/>
      <c r="B55" s="146"/>
      <c r="C55" s="138"/>
      <c r="D55" s="138"/>
      <c r="E55" s="138"/>
      <c r="F55" s="71"/>
    </row>
    <row r="56" spans="1:11" ht="15" customHeight="1" x14ac:dyDescent="0.2">
      <c r="A56" s="71"/>
      <c r="B56" s="138"/>
      <c r="C56" s="138"/>
      <c r="D56" s="138"/>
      <c r="E56" s="138"/>
      <c r="F56" s="71"/>
    </row>
    <row r="57" spans="1:11" ht="15" customHeight="1" x14ac:dyDescent="0.2">
      <c r="A57" s="71"/>
      <c r="B57" s="146"/>
      <c r="C57" s="138"/>
      <c r="D57" s="138"/>
      <c r="E57" s="138"/>
      <c r="F57" s="71"/>
    </row>
    <row r="58" spans="1:11" ht="15" customHeight="1" x14ac:dyDescent="0.2">
      <c r="A58" s="71"/>
      <c r="B58" s="72"/>
      <c r="C58" s="72"/>
      <c r="D58" s="39"/>
      <c r="E58" s="39"/>
      <c r="F58" s="71"/>
    </row>
    <row r="59" spans="1:11" ht="15" customHeight="1" x14ac:dyDescent="0.2">
      <c r="A59" s="71"/>
      <c r="B59" s="73"/>
      <c r="C59" s="74"/>
      <c r="D59" s="40"/>
      <c r="E59" s="40"/>
      <c r="F59" s="71"/>
    </row>
    <row r="60" spans="1:11" ht="15" customHeight="1" x14ac:dyDescent="0.2">
      <c r="A60" s="71"/>
      <c r="B60" s="75"/>
      <c r="C60" s="45"/>
      <c r="D60" s="37"/>
      <c r="E60" s="37"/>
      <c r="F60" s="71"/>
    </row>
    <row r="61" spans="1:11" ht="15" customHeight="1" x14ac:dyDescent="0.2">
      <c r="A61" s="71"/>
      <c r="B61" s="76"/>
      <c r="C61" s="76"/>
      <c r="D61" s="71"/>
      <c r="E61" s="71"/>
      <c r="F61" s="71"/>
    </row>
    <row r="62" spans="1:11" ht="15" customHeight="1" x14ac:dyDescent="0.2">
      <c r="A62" s="71"/>
      <c r="B62" s="45"/>
      <c r="C62" s="45"/>
      <c r="D62" s="37"/>
      <c r="E62" s="37"/>
      <c r="F62" s="71"/>
    </row>
    <row r="63" spans="1:11" ht="15" customHeight="1" x14ac:dyDescent="0.2">
      <c r="A63" s="71"/>
      <c r="B63" s="146"/>
      <c r="C63" s="138"/>
      <c r="D63" s="138"/>
      <c r="E63" s="138"/>
      <c r="F63" s="71"/>
    </row>
    <row r="64" spans="1:11" ht="15" customHeight="1" x14ac:dyDescent="0.2">
      <c r="A64" s="71"/>
      <c r="B64" s="138"/>
      <c r="C64" s="138"/>
      <c r="D64" s="138"/>
      <c r="E64" s="138"/>
      <c r="F64" s="71"/>
    </row>
    <row r="65" spans="1:6" ht="15" customHeight="1" x14ac:dyDescent="0.2">
      <c r="A65" s="71"/>
      <c r="B65" s="146"/>
      <c r="C65" s="138"/>
      <c r="D65" s="138"/>
      <c r="E65" s="138"/>
      <c r="F65" s="71"/>
    </row>
    <row r="66" spans="1:6" ht="15" customHeight="1" x14ac:dyDescent="0.2">
      <c r="A66" s="71"/>
      <c r="B66" s="72"/>
      <c r="C66" s="72"/>
      <c r="D66" s="39"/>
      <c r="E66" s="39"/>
      <c r="F66" s="71"/>
    </row>
    <row r="67" spans="1:6" ht="15" customHeight="1" x14ac:dyDescent="0.2">
      <c r="A67" s="71"/>
      <c r="B67" s="73"/>
      <c r="C67" s="74"/>
      <c r="D67" s="40"/>
      <c r="E67" s="40"/>
      <c r="F67" s="71"/>
    </row>
    <row r="68" spans="1:6" ht="15" customHeight="1" x14ac:dyDescent="0.2">
      <c r="A68" s="71"/>
      <c r="B68" s="75"/>
      <c r="C68" s="45"/>
      <c r="D68" s="37"/>
      <c r="E68" s="37"/>
      <c r="F68" s="71"/>
    </row>
    <row r="69" spans="1:6" ht="15" customHeight="1" x14ac:dyDescent="0.2">
      <c r="A69" s="71"/>
      <c r="B69" s="76"/>
      <c r="C69" s="76"/>
      <c r="D69" s="71"/>
      <c r="E69" s="71"/>
      <c r="F69" s="71"/>
    </row>
    <row r="70" spans="1:6" ht="15" customHeight="1" x14ac:dyDescent="0.2">
      <c r="A70" s="71"/>
      <c r="B70" s="45"/>
      <c r="C70" s="45"/>
      <c r="D70" s="37"/>
      <c r="E70" s="37"/>
      <c r="F70" s="71"/>
    </row>
    <row r="71" spans="1:6" ht="15" customHeight="1" x14ac:dyDescent="0.2">
      <c r="A71" s="71"/>
      <c r="B71" s="146"/>
      <c r="C71" s="138"/>
      <c r="D71" s="138"/>
      <c r="E71" s="138"/>
      <c r="F71" s="71"/>
    </row>
    <row r="72" spans="1:6" ht="15" customHeight="1" x14ac:dyDescent="0.2">
      <c r="A72" s="71"/>
      <c r="B72" s="138"/>
      <c r="C72" s="138"/>
      <c r="D72" s="138"/>
      <c r="E72" s="138"/>
      <c r="F72" s="71"/>
    </row>
    <row r="73" spans="1:6" ht="15" customHeight="1" x14ac:dyDescent="0.2">
      <c r="A73" s="71"/>
      <c r="B73" s="146"/>
      <c r="C73" s="138"/>
      <c r="D73" s="138"/>
      <c r="E73" s="138"/>
      <c r="F73" s="71"/>
    </row>
    <row r="74" spans="1:6" ht="15" customHeight="1" x14ac:dyDescent="0.2">
      <c r="A74" s="71"/>
      <c r="B74" s="72"/>
      <c r="C74" s="72"/>
      <c r="D74" s="39"/>
      <c r="E74" s="39"/>
      <c r="F74" s="71"/>
    </row>
    <row r="75" spans="1:6" ht="15" customHeight="1" x14ac:dyDescent="0.2">
      <c r="A75" s="71"/>
      <c r="B75" s="73"/>
      <c r="C75" s="74"/>
      <c r="D75" s="40"/>
      <c r="E75" s="40"/>
      <c r="F75" s="71"/>
    </row>
    <row r="76" spans="1:6" ht="15" customHeight="1" x14ac:dyDescent="0.2">
      <c r="A76" s="71"/>
      <c r="B76" s="75"/>
      <c r="C76" s="45"/>
      <c r="D76" s="37"/>
      <c r="E76" s="37"/>
      <c r="F76" s="71"/>
    </row>
    <row r="77" spans="1:6" ht="15" customHeight="1" x14ac:dyDescent="0.2">
      <c r="A77" s="71"/>
      <c r="B77" s="76"/>
      <c r="C77" s="76"/>
      <c r="D77" s="71"/>
      <c r="E77" s="71"/>
      <c r="F77" s="71"/>
    </row>
  </sheetData>
  <mergeCells count="15">
    <mergeCell ref="B63:E64"/>
    <mergeCell ref="B65:E65"/>
    <mergeCell ref="B71:E72"/>
    <mergeCell ref="B73:E73"/>
    <mergeCell ref="B45:E46"/>
    <mergeCell ref="B48:E48"/>
    <mergeCell ref="B55:E56"/>
    <mergeCell ref="B57:E57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zoomScale="86" zoomScaleNormal="86" workbookViewId="0">
      <selection activeCell="S14" sqref="S14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4" ht="12.75" customHeight="1" x14ac:dyDescent="0.2">
      <c r="A1" s="152" t="s">
        <v>21</v>
      </c>
      <c r="B1" s="153"/>
      <c r="C1" s="153"/>
      <c r="D1" s="153"/>
      <c r="E1" s="153"/>
      <c r="F1" s="153"/>
      <c r="G1" s="153"/>
      <c r="H1" s="153"/>
      <c r="I1" s="154"/>
      <c r="J1" s="112" t="s">
        <v>22</v>
      </c>
      <c r="K1" s="113" t="s">
        <v>118</v>
      </c>
    </row>
    <row r="2" spans="1:14" ht="12.75" customHeight="1" x14ac:dyDescent="0.2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4" ht="12.75" customHeight="1" x14ac:dyDescent="0.2">
      <c r="A3" s="160" t="s">
        <v>23</v>
      </c>
      <c r="B3" s="161"/>
      <c r="C3" s="162"/>
      <c r="D3" s="163" t="str">
        <f>'Necesidades Trimestrales'!C4</f>
        <v>040 - Ministerio de Salud</v>
      </c>
      <c r="E3" s="156"/>
      <c r="F3" s="156"/>
      <c r="G3" s="156"/>
      <c r="H3" s="156"/>
      <c r="I3" s="156"/>
      <c r="J3" s="156"/>
      <c r="K3" s="157"/>
    </row>
    <row r="4" spans="1:14" ht="12.75" customHeight="1" x14ac:dyDescent="0.2">
      <c r="A4" s="164" t="s">
        <v>24</v>
      </c>
      <c r="B4" s="165"/>
      <c r="C4" s="166"/>
      <c r="D4" s="155" t="str">
        <f>'Necesidades Trimestrales'!C5</f>
        <v>28- Maternidad Provincial 25 de Mayo</v>
      </c>
      <c r="E4" s="156"/>
      <c r="F4" s="156"/>
      <c r="G4" s="156"/>
      <c r="H4" s="156"/>
      <c r="I4" s="156"/>
      <c r="J4" s="156"/>
      <c r="K4" s="157"/>
    </row>
    <row r="5" spans="1:14" ht="12.75" customHeight="1" x14ac:dyDescent="0.2">
      <c r="A5" s="164" t="s">
        <v>25</v>
      </c>
      <c r="B5" s="165"/>
      <c r="C5" s="166"/>
      <c r="D5" s="155" t="s">
        <v>116</v>
      </c>
      <c r="E5" s="156"/>
      <c r="F5" s="156"/>
      <c r="G5" s="156"/>
      <c r="H5" s="156"/>
      <c r="I5" s="156"/>
      <c r="J5" s="156"/>
      <c r="K5" s="157"/>
    </row>
    <row r="6" spans="1:14" ht="12.75" customHeight="1" x14ac:dyDescent="0.2">
      <c r="A6" s="169" t="s">
        <v>26</v>
      </c>
      <c r="B6" s="161"/>
      <c r="C6" s="162"/>
      <c r="D6" s="155" t="s">
        <v>117</v>
      </c>
      <c r="E6" s="156"/>
      <c r="F6" s="156"/>
      <c r="G6" s="156"/>
      <c r="H6" s="156"/>
      <c r="I6" s="156"/>
      <c r="J6" s="156"/>
      <c r="K6" s="157"/>
    </row>
    <row r="7" spans="1:14" ht="12.75" customHeight="1" x14ac:dyDescent="0.2">
      <c r="A7" s="164" t="s">
        <v>27</v>
      </c>
      <c r="B7" s="165"/>
      <c r="C7" s="166"/>
      <c r="D7" s="155" t="s">
        <v>28</v>
      </c>
      <c r="E7" s="156"/>
      <c r="F7" s="156"/>
      <c r="G7" s="156"/>
      <c r="H7" s="156"/>
      <c r="I7" s="156"/>
      <c r="J7" s="156"/>
      <c r="K7" s="157"/>
    </row>
    <row r="8" spans="1:14" ht="36" customHeight="1" x14ac:dyDescent="0.2">
      <c r="A8" s="167" t="s">
        <v>29</v>
      </c>
      <c r="B8" s="156"/>
      <c r="C8" s="168"/>
      <c r="D8" s="158" t="s">
        <v>30</v>
      </c>
      <c r="E8" s="156"/>
      <c r="F8" s="156"/>
      <c r="G8" s="156"/>
      <c r="H8" s="156"/>
      <c r="I8" s="156"/>
      <c r="J8" s="156"/>
      <c r="K8" s="157"/>
    </row>
    <row r="9" spans="1:14" ht="12.75" customHeight="1" thickBot="1" x14ac:dyDescent="0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4" ht="12.75" customHeight="1" thickBot="1" x14ac:dyDescent="0.25">
      <c r="A10" s="170" t="s">
        <v>31</v>
      </c>
      <c r="B10" s="159" t="s">
        <v>32</v>
      </c>
      <c r="C10" s="159" t="s">
        <v>33</v>
      </c>
      <c r="D10" s="151"/>
      <c r="E10" s="151"/>
      <c r="F10" s="151"/>
      <c r="G10" s="151"/>
      <c r="H10" s="159" t="s">
        <v>34</v>
      </c>
      <c r="I10" s="159" t="s">
        <v>35</v>
      </c>
      <c r="J10" s="159" t="s">
        <v>36</v>
      </c>
      <c r="K10" s="159" t="s">
        <v>37</v>
      </c>
    </row>
    <row r="11" spans="1:14" ht="32.25" customHeight="1" thickBot="1" x14ac:dyDescent="0.25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</row>
    <row r="12" spans="1:14" ht="32.25" customHeight="1" thickBot="1" x14ac:dyDescent="0.25">
      <c r="A12" s="91">
        <f>+'Necesidades Trimestrales'!A10</f>
        <v>1</v>
      </c>
      <c r="B12" s="92" t="str">
        <f>+'Necesidades Trimestrales'!B10</f>
        <v>2.5.2-1821.440</v>
      </c>
      <c r="C12" s="150" t="str">
        <f>+'Necesidades Trimestrales'!E10</f>
        <v>ANTIBIOTICOS P/PERSONAS; TIPO: ASOCIACION, DROGA GENERICA: AMOXICIL. 875 MG+CLAVUL.125 MG mGr, FORMA FARMACEUTICA: COMPRIMIDO, PRESENTACION: UNIDAD</v>
      </c>
      <c r="D12" s="151"/>
      <c r="E12" s="151"/>
      <c r="F12" s="151"/>
      <c r="G12" s="151"/>
      <c r="H12" s="91" t="s">
        <v>38</v>
      </c>
      <c r="I12" s="93" t="str">
        <f>+'Necesidades Trimestrales'!F10</f>
        <v>COMPRIMIDO</v>
      </c>
      <c r="J12" s="94">
        <f>+'Necesidades Trimestrales'!H10</f>
        <v>29.5</v>
      </c>
      <c r="K12" s="95">
        <f>+'Necesidades Trimestrales'!G10</f>
        <v>500</v>
      </c>
    </row>
    <row r="13" spans="1:14" ht="32.25" customHeight="1" thickBot="1" x14ac:dyDescent="0.25">
      <c r="A13" s="91">
        <f>+'Necesidades Trimestrales'!A11</f>
        <v>2</v>
      </c>
      <c r="B13" s="92" t="str">
        <f>+'Necesidades Trimestrales'!B11</f>
        <v>2.5.2-1821.389</v>
      </c>
      <c r="C13" s="150" t="str">
        <f>+'Necesidades Trimestrales'!E11</f>
        <v>ANTIBIOTICOS P/PERSONAS; TIPO: ASOCIACION, DROGA GENERICA: AMPICILINA + SULBACTAN, FORMA FARMACEUTICA: FRASCO AMPOLLA, PRESENTACION: ENVASE X 1,5 GR</v>
      </c>
      <c r="D13" s="151"/>
      <c r="E13" s="151"/>
      <c r="F13" s="151"/>
      <c r="G13" s="151"/>
      <c r="H13" s="91" t="s">
        <v>38</v>
      </c>
      <c r="I13" s="93" t="str">
        <f>+'Necesidades Trimestrales'!F11</f>
        <v>AMPOLLA</v>
      </c>
      <c r="J13" s="94">
        <f>+'Necesidades Trimestrales'!H11</f>
        <v>138</v>
      </c>
      <c r="K13" s="95">
        <f>+'Necesidades Trimestrales'!G11</f>
        <v>700</v>
      </c>
      <c r="N13" s="108"/>
    </row>
    <row r="14" spans="1:14" ht="32.25" customHeight="1" thickBot="1" x14ac:dyDescent="0.25">
      <c r="A14" s="91">
        <f>+'Necesidades Trimestrales'!A12</f>
        <v>3</v>
      </c>
      <c r="B14" s="92" t="str">
        <f>+'Necesidades Trimestrales'!B12</f>
        <v>2.5.2-1821.8</v>
      </c>
      <c r="C14" s="150" t="str">
        <f>+'Necesidades Trimestrales'!E12</f>
        <v>ANTIBIOTICOS P/PERSONAS; TIPO: MONODROGA, DROGA GENERICA: AMPICILINA, FORMA FARMACEUTICA: AMPOLLA, PRESENTACION: 1 GR</v>
      </c>
      <c r="D14" s="151"/>
      <c r="E14" s="151"/>
      <c r="F14" s="151"/>
      <c r="G14" s="151"/>
      <c r="H14" s="91" t="s">
        <v>38</v>
      </c>
      <c r="I14" s="93" t="str">
        <f>+'Necesidades Trimestrales'!F12</f>
        <v>AMPOLLA</v>
      </c>
      <c r="J14" s="94">
        <f>+'Necesidades Trimestrales'!H12</f>
        <v>99</v>
      </c>
      <c r="K14" s="95">
        <f>+'Necesidades Trimestrales'!G12</f>
        <v>1000</v>
      </c>
      <c r="N14" s="108"/>
    </row>
    <row r="15" spans="1:14" ht="32.25" customHeight="1" thickBot="1" x14ac:dyDescent="0.25">
      <c r="A15" s="91">
        <f>+'Necesidades Trimestrales'!A13</f>
        <v>4</v>
      </c>
      <c r="B15" s="92" t="str">
        <f>+'Necesidades Trimestrales'!B13</f>
        <v>2.5.2-1821.5</v>
      </c>
      <c r="C15" s="150" t="str">
        <f>+'Necesidades Trimestrales'!E13</f>
        <v>ANTIBIOTICOS P/PERSONAS; TIPO: MONODROGA, DROGA GENERICA: AMPICILINA, FORMA FARMACEUTICA: COMPRIMIDOS, PRESENTACION: 500 mGr</v>
      </c>
      <c r="D15" s="151"/>
      <c r="E15" s="151"/>
      <c r="F15" s="151"/>
      <c r="G15" s="151"/>
      <c r="H15" s="91" t="s">
        <v>38</v>
      </c>
      <c r="I15" s="93" t="str">
        <f>+'Necesidades Trimestrales'!F13</f>
        <v>COMPRIMIDO</v>
      </c>
      <c r="J15" s="94">
        <f>+'Necesidades Trimestrales'!H13</f>
        <v>17.079999999999998</v>
      </c>
      <c r="K15" s="95">
        <f>+'Necesidades Trimestrales'!G13</f>
        <v>80</v>
      </c>
      <c r="N15" s="108"/>
    </row>
    <row r="16" spans="1:14" ht="32.25" customHeight="1" thickBot="1" x14ac:dyDescent="0.25">
      <c r="A16" s="91">
        <f>+'Necesidades Trimestrales'!A14</f>
        <v>5</v>
      </c>
      <c r="B16" s="92" t="str">
        <f>+'Necesidades Trimestrales'!B14</f>
        <v>2.5.2-1821.502</v>
      </c>
      <c r="C16" s="150" t="str">
        <f>+'Necesidades Trimestrales'!E14</f>
        <v>ANTIBIOTICOS P/PERSONAS; TIPO: MONODROGA, DROGA GENERICA: AZITROMICINA 200 mGr, FORMA FARMACEUTICA: SUSPENSION, PRESENTACION: ENVASE X 15 Ml</v>
      </c>
      <c r="D16" s="151"/>
      <c r="E16" s="151"/>
      <c r="F16" s="151"/>
      <c r="G16" s="151"/>
      <c r="H16" s="91" t="s">
        <v>38</v>
      </c>
      <c r="I16" s="93" t="str">
        <f>+'Necesidades Trimestrales'!F14</f>
        <v>FRASCO</v>
      </c>
      <c r="J16" s="94">
        <f>+'Necesidades Trimestrales'!H14</f>
        <v>310</v>
      </c>
      <c r="K16" s="95">
        <f>+'Necesidades Trimestrales'!G14</f>
        <v>15</v>
      </c>
      <c r="N16" s="108"/>
    </row>
    <row r="17" spans="1:14" ht="32.25" customHeight="1" thickBot="1" x14ac:dyDescent="0.25">
      <c r="A17" s="91">
        <f>+'Necesidades Trimestrales'!A15</f>
        <v>6</v>
      </c>
      <c r="B17" s="92" t="str">
        <f>+'Necesidades Trimestrales'!B15</f>
        <v>2.5.2-1821.94</v>
      </c>
      <c r="C17" s="150" t="str">
        <f>+'Necesidades Trimestrales'!E15</f>
        <v>ANTIBIOTICOS P/PERSONAS; TIPO: MONODROGA, DROGA GENERICA: AZITROMICINA, FORMA FARMACEUTICA: COMPRIMIDO, PRESENTACION: 500 mGr</v>
      </c>
      <c r="D17" s="151"/>
      <c r="E17" s="151"/>
      <c r="F17" s="151"/>
      <c r="G17" s="151"/>
      <c r="H17" s="91" t="s">
        <v>38</v>
      </c>
      <c r="I17" s="93" t="str">
        <f>+'Necesidades Trimestrales'!F15</f>
        <v>COMPRIMIDO</v>
      </c>
      <c r="J17" s="94">
        <f>+'Necesidades Trimestrales'!H15</f>
        <v>36</v>
      </c>
      <c r="K17" s="95">
        <f>+'Necesidades Trimestrales'!G15</f>
        <v>100</v>
      </c>
      <c r="N17" s="108"/>
    </row>
    <row r="18" spans="1:14" ht="32.25" customHeight="1" thickBot="1" x14ac:dyDescent="0.25">
      <c r="A18" s="91">
        <f>+'Necesidades Trimestrales'!A16</f>
        <v>7</v>
      </c>
      <c r="B18" s="92" t="str">
        <f>+'Necesidades Trimestrales'!B16</f>
        <v>2.5.2-1883.188</v>
      </c>
      <c r="C18" s="150" t="str">
        <f>+'Necesidades Trimestrales'!E16</f>
        <v>ANESTESICOS LOCALES; TIPO: MONODROGA, DROGA GENERICA: BUPIVACAINA 0,5% HIPERBARICA, FORMA FARMACEUTICA: AMPOLLA, PRESENTACION: 4 ML CON AGUJA 27 G X 3 1/2 CON INTRODUCTOR</v>
      </c>
      <c r="D18" s="151"/>
      <c r="E18" s="151"/>
      <c r="F18" s="151"/>
      <c r="G18" s="151"/>
      <c r="H18" s="91" t="s">
        <v>38</v>
      </c>
      <c r="I18" s="93" t="str">
        <f>+'Necesidades Trimestrales'!F16</f>
        <v>AMPOLLA</v>
      </c>
      <c r="J18" s="94">
        <f>+'Necesidades Trimestrales'!H16</f>
        <v>1420</v>
      </c>
      <c r="K18" s="95">
        <f>+'Necesidades Trimestrales'!G16</f>
        <v>450</v>
      </c>
      <c r="N18" s="108"/>
    </row>
    <row r="19" spans="1:14" ht="32.25" customHeight="1" thickBot="1" x14ac:dyDescent="0.25">
      <c r="A19" s="91">
        <f>+'Necesidades Trimestrales'!A17</f>
        <v>8</v>
      </c>
      <c r="B19" s="92" t="str">
        <f>+'Necesidades Trimestrales'!B17</f>
        <v>2.5.2-1821.321</v>
      </c>
      <c r="C19" s="150" t="str">
        <f>+'Necesidades Trimestrales'!E17</f>
        <v>ANTIBIOTICOS P/PERSONAS; TIPO: MONODROGA, DROGA GENERICA: CEFALEXINA 500 mGr, FORMA FARMACEUTICA: COMPRIMIDO, PRESENTACION: 1 UN</v>
      </c>
      <c r="D19" s="151"/>
      <c r="E19" s="151"/>
      <c r="F19" s="151"/>
      <c r="G19" s="151"/>
      <c r="H19" s="91" t="s">
        <v>38</v>
      </c>
      <c r="I19" s="93" t="str">
        <f>+'Necesidades Trimestrales'!F17</f>
        <v>COMPRIMIDO</v>
      </c>
      <c r="J19" s="94">
        <f>+'Necesidades Trimestrales'!H17</f>
        <v>13.9</v>
      </c>
      <c r="K19" s="95">
        <f>+'Necesidades Trimestrales'!G17</f>
        <v>500</v>
      </c>
      <c r="N19" s="108"/>
    </row>
    <row r="20" spans="1:14" ht="32.25" customHeight="1" thickBot="1" x14ac:dyDescent="0.25">
      <c r="A20" s="91">
        <f>+'Necesidades Trimestrales'!A18</f>
        <v>9</v>
      </c>
      <c r="B20" s="92" t="str">
        <f>+'Necesidades Trimestrales'!B18</f>
        <v>2.5.2-1821.405</v>
      </c>
      <c r="C20" s="150" t="str">
        <f>+'Necesidades Trimestrales'!E18</f>
        <v>ANTIBIOTICOS P/PERSONAS; TIPO: MONODROGA, DROGA GENERICA: CEFALOTINA SODICA, FORMA FARMACEUTICA: FRASCO AMPOLLA, PRESENTACION: 1 GR</v>
      </c>
      <c r="D20" s="151"/>
      <c r="E20" s="151"/>
      <c r="F20" s="151"/>
      <c r="G20" s="151"/>
      <c r="H20" s="91" t="s">
        <v>38</v>
      </c>
      <c r="I20" s="93" t="str">
        <f>+'Necesidades Trimestrales'!F18</f>
        <v>AMPOLLA</v>
      </c>
      <c r="J20" s="94">
        <f>+'Necesidades Trimestrales'!H18</f>
        <v>145</v>
      </c>
      <c r="K20" s="95">
        <f>+'Necesidades Trimestrales'!G18</f>
        <v>2100</v>
      </c>
      <c r="N20" s="108"/>
    </row>
    <row r="21" spans="1:14" ht="32.25" customHeight="1" thickBot="1" x14ac:dyDescent="0.25">
      <c r="A21" s="91">
        <f>+'Necesidades Trimestrales'!A19</f>
        <v>10</v>
      </c>
      <c r="B21" s="92" t="str">
        <f>+'Necesidades Trimestrales'!B19</f>
        <v>2.5.2-1821.214</v>
      </c>
      <c r="C21" s="150" t="str">
        <f>+'Necesidades Trimestrales'!E19</f>
        <v>ANTIBIOTICOS P/PERSONAS; TIPO: MONODROGA, DROGA GENERICA: CEFTRIAXONA, FORMA FARMACEUTICA: FRASCO AMPOLLA, PRESENTACION: 1 GR</v>
      </c>
      <c r="D21" s="151"/>
      <c r="E21" s="151"/>
      <c r="F21" s="151"/>
      <c r="G21" s="151"/>
      <c r="H21" s="91" t="s">
        <v>38</v>
      </c>
      <c r="I21" s="93" t="str">
        <f>+'Necesidades Trimestrales'!F19</f>
        <v>AMPOLLA</v>
      </c>
      <c r="J21" s="94">
        <f>+'Necesidades Trimestrales'!H19</f>
        <v>130</v>
      </c>
      <c r="K21" s="95">
        <f>+'Necesidades Trimestrales'!G19</f>
        <v>200</v>
      </c>
      <c r="N21" s="108"/>
    </row>
    <row r="22" spans="1:14" ht="32.25" customHeight="1" thickBot="1" x14ac:dyDescent="0.25">
      <c r="A22" s="91">
        <f>+'Necesidades Trimestrales'!A20</f>
        <v>11</v>
      </c>
      <c r="B22" s="92" t="str">
        <f>+'Necesidades Trimestrales'!B20</f>
        <v>2.5.2-1821.387</v>
      </c>
      <c r="C22" s="150" t="str">
        <f>+'Necesidades Trimestrales'!E20</f>
        <v>ANTIBIOTICOS P/PERSONAS; TIPO: MONODROGA, DROGA GENERICA: CIPROFLOXACINA, FORMA FARMACEUTICA: SACHET, PRESENTACION: ENVASE X 200 mGr</v>
      </c>
      <c r="D22" s="151"/>
      <c r="E22" s="151"/>
      <c r="F22" s="151"/>
      <c r="G22" s="151"/>
      <c r="H22" s="91" t="s">
        <v>38</v>
      </c>
      <c r="I22" s="93" t="str">
        <f>+'Necesidades Trimestrales'!F20</f>
        <v>SACHET</v>
      </c>
      <c r="J22" s="94">
        <f>+'Necesidades Trimestrales'!H20</f>
        <v>122</v>
      </c>
      <c r="K22" s="95">
        <f>+'Necesidades Trimestrales'!G20</f>
        <v>20</v>
      </c>
      <c r="N22" s="108"/>
    </row>
    <row r="23" spans="1:14" ht="32.25" customHeight="1" thickBot="1" x14ac:dyDescent="0.25">
      <c r="A23" s="91">
        <f>+'Necesidades Trimestrales'!A21</f>
        <v>12</v>
      </c>
      <c r="B23" s="92" t="str">
        <f>+'Necesidades Trimestrales'!B21</f>
        <v>2.5.2-1724.140</v>
      </c>
      <c r="C23" s="150" t="str">
        <f>+'Necesidades Trimestrales'!E21</f>
        <v>ANALGESICOS ; TIPO: MONODROGA, DROGA GENERICA: DICLOFENAC X 75 MG, FORMA FARMACEUTICA: COMPRIMIDO, PRESENTACION: UNIDAD</v>
      </c>
      <c r="D23" s="151"/>
      <c r="E23" s="151"/>
      <c r="F23" s="151"/>
      <c r="G23" s="151"/>
      <c r="H23" s="91" t="s">
        <v>38</v>
      </c>
      <c r="I23" s="93" t="str">
        <f>+'Necesidades Trimestrales'!F21</f>
        <v>COMPRIMIDO</v>
      </c>
      <c r="J23" s="94">
        <f>+'Necesidades Trimestrales'!H21</f>
        <v>3.05</v>
      </c>
      <c r="K23" s="95">
        <f>+'Necesidades Trimestrales'!G21</f>
        <v>1000</v>
      </c>
      <c r="N23" s="108"/>
    </row>
    <row r="24" spans="1:14" ht="32.25" customHeight="1" thickBot="1" x14ac:dyDescent="0.25">
      <c r="A24" s="91">
        <f>+'Necesidades Trimestrales'!A22</f>
        <v>13</v>
      </c>
      <c r="B24" s="92" t="str">
        <f>+'Necesidades Trimestrales'!B22</f>
        <v>2.5.2-1724.117</v>
      </c>
      <c r="C24" s="150" t="str">
        <f>+'Necesidades Trimestrales'!E22</f>
        <v>ANALGESICOS ; TIPO: ASOCIACION, DROGA GENERICA: DICLOFENAC SODICO, FORMA FARMACEUTICA: AMPOLLA, PRESENTACION: 3 Ml</v>
      </c>
      <c r="D24" s="151"/>
      <c r="E24" s="151"/>
      <c r="F24" s="151"/>
      <c r="G24" s="151"/>
      <c r="H24" s="91" t="s">
        <v>38</v>
      </c>
      <c r="I24" s="93" t="str">
        <f>+'Necesidades Trimestrales'!F22</f>
        <v>AMPOLLA</v>
      </c>
      <c r="J24" s="94">
        <f>+'Necesidades Trimestrales'!H22</f>
        <v>35.9</v>
      </c>
      <c r="K24" s="95">
        <f>+'Necesidades Trimestrales'!G22</f>
        <v>2000</v>
      </c>
      <c r="N24" s="108"/>
    </row>
    <row r="25" spans="1:14" ht="32.25" customHeight="1" thickBot="1" x14ac:dyDescent="0.25">
      <c r="A25" s="91">
        <f>+'Necesidades Trimestrales'!A23</f>
        <v>14</v>
      </c>
      <c r="B25" s="92" t="str">
        <f>+'Necesidades Trimestrales'!B23</f>
        <v>2.5.2-1821.458</v>
      </c>
      <c r="C25" s="150" t="str">
        <f>+'Necesidades Trimestrales'!E23</f>
        <v>ANTIBIOTICOS P/PERSONAS; TIPO: MONODROGA, DROGA GENERICA: DOXICICLINA 100 mGr, FORMA FARMACEUTICA: COMPRIMIDO, PRESENTACION: UNIDAD</v>
      </c>
      <c r="D25" s="151"/>
      <c r="E25" s="151"/>
      <c r="F25" s="151"/>
      <c r="G25" s="151"/>
      <c r="H25" s="91" t="s">
        <v>38</v>
      </c>
      <c r="I25" s="93" t="str">
        <f>+'Necesidades Trimestrales'!F23</f>
        <v>COMPRIMIDO</v>
      </c>
      <c r="J25" s="94">
        <f>+'Necesidades Trimestrales'!H23</f>
        <v>18</v>
      </c>
      <c r="K25" s="95">
        <f>+'Necesidades Trimestrales'!G23</f>
        <v>60</v>
      </c>
      <c r="N25" s="108"/>
    </row>
    <row r="26" spans="1:14" ht="32.25" customHeight="1" thickBot="1" x14ac:dyDescent="0.25">
      <c r="A26" s="91">
        <f>+'Necesidades Trimestrales'!A24</f>
        <v>15</v>
      </c>
      <c r="B26" s="92" t="str">
        <f>+'Necesidades Trimestrales'!B24</f>
        <v>2.5.2-1725.68</v>
      </c>
      <c r="C26" s="150" t="str">
        <f>+'Necesidades Trimestrales'!E24</f>
        <v>ANTIINFLAMATORIOS NO ESTEROIDE; TIPO: MONODROGA, DROGA GENERICA: IBUPROFENO, FORMA FARMACEUTICA: COMPRIMIDO, PRESENTACION: 400 mGr</v>
      </c>
      <c r="D26" s="151"/>
      <c r="E26" s="151"/>
      <c r="F26" s="151"/>
      <c r="G26" s="151"/>
      <c r="H26" s="91" t="s">
        <v>38</v>
      </c>
      <c r="I26" s="93" t="str">
        <f>+'Necesidades Trimestrales'!F24</f>
        <v>COMPRIMIDO</v>
      </c>
      <c r="J26" s="94">
        <f>+'Necesidades Trimestrales'!H24</f>
        <v>4.8</v>
      </c>
      <c r="K26" s="95">
        <f>+'Necesidades Trimestrales'!G24</f>
        <v>1500</v>
      </c>
      <c r="N26" s="108"/>
    </row>
    <row r="27" spans="1:14" ht="32.25" customHeight="1" thickBot="1" x14ac:dyDescent="0.25">
      <c r="A27" s="91">
        <f>+'Necesidades Trimestrales'!A25</f>
        <v>16</v>
      </c>
      <c r="B27" s="92" t="str">
        <f>+'Necesidades Trimestrales'!B25</f>
        <v>2.5.2-5275.16</v>
      </c>
      <c r="C27" s="150" t="str">
        <f>+'Necesidades Trimestrales'!E25</f>
        <v>ANTI GAMMA TOTAL; TIPO: INMUNOGLOBULINA HUMAN ANTI-RH, PRESENTACION: JERINGA PRELLENA 250-330MCG/ML</v>
      </c>
      <c r="D27" s="151"/>
      <c r="E27" s="151"/>
      <c r="F27" s="151"/>
      <c r="G27" s="151"/>
      <c r="H27" s="91" t="s">
        <v>38</v>
      </c>
      <c r="I27" s="93" t="str">
        <f>+'Necesidades Trimestrales'!F25</f>
        <v>UNIDAD</v>
      </c>
      <c r="J27" s="94">
        <f>+'Necesidades Trimestrales'!H25</f>
        <v>8375</v>
      </c>
      <c r="K27" s="95">
        <f>+'Necesidades Trimestrales'!G25</f>
        <v>30</v>
      </c>
      <c r="N27" s="108"/>
    </row>
    <row r="28" spans="1:14" ht="32.25" customHeight="1" thickBot="1" x14ac:dyDescent="0.25">
      <c r="A28" s="91">
        <f>+'Necesidades Trimestrales'!A26</f>
        <v>17</v>
      </c>
      <c r="B28" s="92" t="str">
        <f>+'Necesidades Trimestrales'!B26</f>
        <v>2.5.2-1724.23</v>
      </c>
      <c r="C28" s="150" t="str">
        <f>+'Necesidades Trimestrales'!E26</f>
        <v>ANALGESICOS ; TIPO: MONODROGA, DROGA GENERICA: KETOROLAC, FORMA FARMACEUTICA: AMPOLLA, PRESENTACION: 30 mGr</v>
      </c>
      <c r="D28" s="151"/>
      <c r="E28" s="151"/>
      <c r="F28" s="151"/>
      <c r="G28" s="151"/>
      <c r="H28" s="91" t="s">
        <v>38</v>
      </c>
      <c r="I28" s="93" t="str">
        <f>+'Necesidades Trimestrales'!F26</f>
        <v>AMPOLLA</v>
      </c>
      <c r="J28" s="94">
        <f>+'Necesidades Trimestrales'!H26</f>
        <v>56</v>
      </c>
      <c r="K28" s="95">
        <f>+'Necesidades Trimestrales'!G26</f>
        <v>1500</v>
      </c>
      <c r="N28" s="108"/>
    </row>
    <row r="29" spans="1:14" ht="32.25" customHeight="1" thickBot="1" x14ac:dyDescent="0.25">
      <c r="A29" s="91">
        <f>+'Necesidades Trimestrales'!A27</f>
        <v>18</v>
      </c>
      <c r="B29" s="92" t="str">
        <f>+'Necesidades Trimestrales'!B27</f>
        <v>2.5.2-1883.186</v>
      </c>
      <c r="C29" s="150" t="str">
        <f>+'Necesidades Trimestrales'!E27</f>
        <v>ANESTESICOS LOCALES; TIPO: MONODROGA, DROGA GENERICA: LIDOCAINA 2%S/EPINEFRINA, FORMA FARMACEUTICA: AMPOLLA, PRESENTACION: 5 mL</v>
      </c>
      <c r="D29" s="151"/>
      <c r="E29" s="151"/>
      <c r="F29" s="151"/>
      <c r="G29" s="151"/>
      <c r="H29" s="91" t="s">
        <v>38</v>
      </c>
      <c r="I29" s="93" t="str">
        <f>+'Necesidades Trimestrales'!F27</f>
        <v>AMPOLLA</v>
      </c>
      <c r="J29" s="94">
        <f>+'Necesidades Trimestrales'!H27</f>
        <v>35</v>
      </c>
      <c r="K29" s="95">
        <f>+'Necesidades Trimestrales'!G27</f>
        <v>600</v>
      </c>
      <c r="N29" s="108"/>
    </row>
    <row r="30" spans="1:14" ht="32.25" customHeight="1" thickBot="1" x14ac:dyDescent="0.25">
      <c r="A30" s="91">
        <f>+'Necesidades Trimestrales'!A28</f>
        <v>19</v>
      </c>
      <c r="B30" s="92" t="str">
        <f>+'Necesidades Trimestrales'!B28</f>
        <v>2.5.2-1883.149</v>
      </c>
      <c r="C30" s="150" t="str">
        <f>+'Necesidades Trimestrales'!E28</f>
        <v>ANESTESICOS LOCALES; TIPO: MONODROGA, DROGA GENERICA: LIDOCAINA, FORMA FARMACEUTICA: JALEA, PRESENTACION: ENVASE X 25 GR</v>
      </c>
      <c r="D30" s="151"/>
      <c r="E30" s="151"/>
      <c r="F30" s="151"/>
      <c r="G30" s="151"/>
      <c r="H30" s="91" t="s">
        <v>38</v>
      </c>
      <c r="I30" s="93" t="str">
        <f>+'Necesidades Trimestrales'!F28</f>
        <v>ENVASE</v>
      </c>
      <c r="J30" s="94">
        <f>+'Necesidades Trimestrales'!H28</f>
        <v>154.80000000000001</v>
      </c>
      <c r="K30" s="95">
        <f>+'Necesidades Trimestrales'!G28</f>
        <v>30</v>
      </c>
      <c r="N30" s="108"/>
    </row>
    <row r="31" spans="1:14" ht="32.25" customHeight="1" thickBot="1" x14ac:dyDescent="0.25">
      <c r="A31" s="91">
        <f>+'Necesidades Trimestrales'!A29</f>
        <v>20</v>
      </c>
      <c r="B31" s="92" t="str">
        <f>+'Necesidades Trimestrales'!B29</f>
        <v>2.5.2-1724.98</v>
      </c>
      <c r="C31" s="150" t="str">
        <f>+'Necesidades Trimestrales'!E29</f>
        <v>ANALGESICOS ; TIPO: MONODROGA, DROGA GENERICA: MORFINA CLORIDRATO 1%, FORMA FARMACEUTICA: AMPOLLA, PRESENTACION: 1 mL</v>
      </c>
      <c r="D31" s="151"/>
      <c r="E31" s="151"/>
      <c r="F31" s="151"/>
      <c r="G31" s="151"/>
      <c r="H31" s="91" t="s">
        <v>38</v>
      </c>
      <c r="I31" s="93" t="str">
        <f>+'Necesidades Trimestrales'!F29</f>
        <v>AMPOLLA</v>
      </c>
      <c r="J31" s="94">
        <f>+'Necesidades Trimestrales'!H29</f>
        <v>110</v>
      </c>
      <c r="K31" s="95">
        <f>+'Necesidades Trimestrales'!G29</f>
        <v>100</v>
      </c>
      <c r="N31" s="108"/>
    </row>
    <row r="32" spans="1:14" ht="32.25" customHeight="1" thickBot="1" x14ac:dyDescent="0.25">
      <c r="A32" s="91">
        <f>+'Necesidades Trimestrales'!A30</f>
        <v>21</v>
      </c>
      <c r="B32" s="92" t="str">
        <f>+'Necesidades Trimestrales'!B30</f>
        <v>2.5.2-1724.243</v>
      </c>
      <c r="C32" s="150" t="str">
        <f>+'Necesidades Trimestrales'!E30</f>
        <v>ANALGESICOS ; TIPO: MONODROGA, DROGA GENERICA: PARACETAMOL 1 GR, FORMA FARMACEUTICA: COMPRIMIDO, PRESENTACION: UNIDAD</v>
      </c>
      <c r="D32" s="151"/>
      <c r="E32" s="151"/>
      <c r="F32" s="151"/>
      <c r="G32" s="151"/>
      <c r="H32" s="91" t="s">
        <v>38</v>
      </c>
      <c r="I32" s="93" t="str">
        <f>+'Necesidades Trimestrales'!F30</f>
        <v>COMPRIMIDO</v>
      </c>
      <c r="J32" s="94">
        <f>+'Necesidades Trimestrales'!H30</f>
        <v>9.8000000000000007</v>
      </c>
      <c r="K32" s="95">
        <f>+'Necesidades Trimestrales'!G30</f>
        <v>60</v>
      </c>
      <c r="N32" s="108"/>
    </row>
    <row r="33" spans="1:14" ht="32.25" customHeight="1" thickBot="1" x14ac:dyDescent="0.25">
      <c r="A33" s="91">
        <f>+'Necesidades Trimestrales'!A31</f>
        <v>22</v>
      </c>
      <c r="B33" s="92" t="str">
        <f>+'Necesidades Trimestrales'!B31</f>
        <v>2.5.2-1724.245</v>
      </c>
      <c r="C33" s="150" t="str">
        <f>+'Necesidades Trimestrales'!E31</f>
        <v>ANALGÉSICOS ; TIPO: MONODROGA, DROGA GENÉRICA: PARACETAMOL 500 MGR, FORMA FARMACEÚTICA: COMPRIMIDO, PRESENTACIÓN: X UNIDAD</v>
      </c>
      <c r="D33" s="151"/>
      <c r="E33" s="151"/>
      <c r="F33" s="151"/>
      <c r="G33" s="151"/>
      <c r="H33" s="91" t="s">
        <v>38</v>
      </c>
      <c r="I33" s="93" t="str">
        <f>+'Necesidades Trimestrales'!F31</f>
        <v>COMPRIMIDO</v>
      </c>
      <c r="J33" s="94">
        <f>+'Necesidades Trimestrales'!H31</f>
        <v>5.3</v>
      </c>
      <c r="K33" s="95">
        <f>+'Necesidades Trimestrales'!G31</f>
        <v>900</v>
      </c>
      <c r="N33" s="108"/>
    </row>
    <row r="34" spans="1:14" ht="32.25" customHeight="1" thickBot="1" x14ac:dyDescent="0.25">
      <c r="A34" s="91">
        <f>+'Necesidades Trimestrales'!A32</f>
        <v>23</v>
      </c>
      <c r="B34" s="92" t="str">
        <f>+'Necesidades Trimestrales'!B32</f>
        <v>2.5.2-1821.13</v>
      </c>
      <c r="C34" s="150" t="str">
        <f>+'Necesidades Trimestrales'!E32</f>
        <v>ANTIBIOTICOS P/PERSONAS; TIPO: MONODROGA, DROGA GENERICA: PENICILINA G. SODICA, FORMA FARMACEUTICA: AMPOLLA, PRESENTACION: 3.000.000 UI</v>
      </c>
      <c r="D34" s="151"/>
      <c r="E34" s="151"/>
      <c r="F34" s="151"/>
      <c r="G34" s="151"/>
      <c r="H34" s="91" t="s">
        <v>38</v>
      </c>
      <c r="I34" s="93" t="str">
        <f>+'Necesidades Trimestrales'!F32</f>
        <v>AMPOLLA</v>
      </c>
      <c r="J34" s="94">
        <f>+'Necesidades Trimestrales'!H32</f>
        <v>189</v>
      </c>
      <c r="K34" s="95">
        <f>+'Necesidades Trimestrales'!G32</f>
        <v>600</v>
      </c>
      <c r="N34" s="108"/>
    </row>
    <row r="35" spans="1:14" ht="32.25" customHeight="1" thickBot="1" x14ac:dyDescent="0.25">
      <c r="A35" s="91">
        <f>+'Necesidades Trimestrales'!A33</f>
        <v>24</v>
      </c>
      <c r="B35" s="92" t="str">
        <f>+'Necesidades Trimestrales'!B33</f>
        <v>2.5.2-2455.27</v>
      </c>
      <c r="C35" s="150" t="str">
        <f>+'Necesidades Trimestrales'!E33</f>
        <v>ANESTESICOS GENERALES; DROGA GENERICA: PROPOFOL 200 mGr, FORMA FARMACEUTICA: AMPOLLA, PRESENTACION: ENVASE X 20 mL, TIPO: MONODROGA</v>
      </c>
      <c r="D35" s="151"/>
      <c r="E35" s="151"/>
      <c r="F35" s="151"/>
      <c r="G35" s="151"/>
      <c r="H35" s="91" t="s">
        <v>38</v>
      </c>
      <c r="I35" s="93" t="str">
        <f>+'Necesidades Trimestrales'!F33</f>
        <v>AMPOLLA</v>
      </c>
      <c r="J35" s="94">
        <f>+'Necesidades Trimestrales'!H33</f>
        <v>398</v>
      </c>
      <c r="K35" s="95">
        <f>+'Necesidades Trimestrales'!G33</f>
        <v>250</v>
      </c>
      <c r="N35" s="108"/>
    </row>
    <row r="36" spans="1:14" ht="12.75" customHeight="1" thickBot="1" x14ac:dyDescent="0.25">
      <c r="A36" s="171" t="s">
        <v>122</v>
      </c>
      <c r="B36" s="151"/>
      <c r="C36" s="151"/>
      <c r="D36" s="151"/>
      <c r="E36" s="151"/>
      <c r="F36" s="151"/>
      <c r="G36" s="151"/>
      <c r="H36" s="151"/>
      <c r="I36" s="151"/>
      <c r="J36" s="172">
        <f>SUMPRODUCT(J12:J35,K12:K35)</f>
        <v>1872138.4</v>
      </c>
      <c r="K36" s="151"/>
    </row>
  </sheetData>
  <mergeCells count="46">
    <mergeCell ref="C30:G30"/>
    <mergeCell ref="C29:G29"/>
    <mergeCell ref="C31:G31"/>
    <mergeCell ref="A36:I36"/>
    <mergeCell ref="J36:K36"/>
    <mergeCell ref="C34:G34"/>
    <mergeCell ref="C32:G32"/>
    <mergeCell ref="C33:G33"/>
    <mergeCell ref="C35:G35"/>
    <mergeCell ref="H10:H11"/>
    <mergeCell ref="I10:I11"/>
    <mergeCell ref="J10:J11"/>
    <mergeCell ref="C28:G28"/>
    <mergeCell ref="C27:G27"/>
    <mergeCell ref="C19:G19"/>
    <mergeCell ref="C20:G20"/>
    <mergeCell ref="C22:G22"/>
    <mergeCell ref="C26:G26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C25:G25"/>
    <mergeCell ref="A1:I1"/>
    <mergeCell ref="D6:K6"/>
    <mergeCell ref="D7:K7"/>
    <mergeCell ref="D8:K8"/>
    <mergeCell ref="K10:K11"/>
    <mergeCell ref="C23:G23"/>
    <mergeCell ref="C24:G24"/>
    <mergeCell ref="C13:G13"/>
    <mergeCell ref="C14:G14"/>
    <mergeCell ref="C12:G12"/>
    <mergeCell ref="C15:G15"/>
    <mergeCell ref="C16:G16"/>
    <mergeCell ref="C17:G17"/>
    <mergeCell ref="C21:G21"/>
    <mergeCell ref="C18:G18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Q19" sqref="Q19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18" width="11" customWidth="1"/>
  </cols>
  <sheetData>
    <row r="1" spans="1:18" ht="15.75" customHeight="1" x14ac:dyDescent="0.25">
      <c r="A1" s="199" t="s">
        <v>4</v>
      </c>
      <c r="B1" s="200"/>
      <c r="C1" s="200"/>
      <c r="D1" s="201">
        <f>'Necesidades Trimestrales'!C6</f>
        <v>2022</v>
      </c>
      <c r="E1" s="202"/>
      <c r="F1" s="10"/>
      <c r="G1" s="10"/>
      <c r="H1" s="11"/>
      <c r="I1" s="11"/>
      <c r="J1" s="11"/>
      <c r="K1" s="11"/>
      <c r="L1" s="11"/>
      <c r="M1" s="11"/>
      <c r="N1" s="11"/>
      <c r="P1" s="190" t="s">
        <v>39</v>
      </c>
      <c r="Q1" s="191"/>
    </row>
    <row r="2" spans="1:18" ht="15.75" customHeight="1" x14ac:dyDescent="0.2">
      <c r="G2" s="12"/>
      <c r="H2" s="11"/>
      <c r="I2" s="11"/>
      <c r="J2" s="11"/>
      <c r="K2" s="11"/>
      <c r="L2" s="11"/>
      <c r="M2" s="11"/>
      <c r="N2" s="11"/>
      <c r="P2" s="192"/>
      <c r="Q2" s="193"/>
    </row>
    <row r="3" spans="1:18" ht="12.75" customHeight="1" x14ac:dyDescent="0.2">
      <c r="G3" s="12"/>
    </row>
    <row r="4" spans="1:18" ht="18" customHeight="1" x14ac:dyDescent="0.2">
      <c r="A4" s="194" t="s">
        <v>40</v>
      </c>
      <c r="B4" s="161"/>
      <c r="C4" s="161"/>
      <c r="D4" s="161"/>
      <c r="E4" s="161"/>
      <c r="F4" s="195"/>
      <c r="G4" s="196" t="str">
        <f>' NotaPedido'!D3</f>
        <v>040 - 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95"/>
      <c r="R4" s="13"/>
    </row>
    <row r="5" spans="1:18" ht="18" customHeight="1" x14ac:dyDescent="0.2">
      <c r="A5" s="198" t="s">
        <v>24</v>
      </c>
      <c r="B5" s="161"/>
      <c r="C5" s="161"/>
      <c r="D5" s="161"/>
      <c r="E5" s="161"/>
      <c r="F5" s="195"/>
      <c r="G5" s="197" t="str">
        <f>' NotaPedido'!D4</f>
        <v>28- Maternidad Provincial 25 de Mayo</v>
      </c>
      <c r="H5" s="161"/>
      <c r="I5" s="161"/>
      <c r="J5" s="161"/>
      <c r="K5" s="161"/>
      <c r="L5" s="161"/>
      <c r="M5" s="161"/>
      <c r="N5" s="161"/>
      <c r="O5" s="161"/>
      <c r="P5" s="161"/>
      <c r="Q5" s="195"/>
      <c r="R5" s="13"/>
    </row>
    <row r="6" spans="1:18" ht="18" customHeight="1" x14ac:dyDescent="0.2">
      <c r="A6" s="198" t="s">
        <v>25</v>
      </c>
      <c r="B6" s="161"/>
      <c r="C6" s="161"/>
      <c r="D6" s="161"/>
      <c r="E6" s="161"/>
      <c r="F6" s="195"/>
      <c r="G6" s="197" t="str">
        <f>' NotaPedido'!D5</f>
        <v xml:space="preserve">169-Direccion Asistencial </v>
      </c>
      <c r="H6" s="161"/>
      <c r="I6" s="161"/>
      <c r="J6" s="161"/>
      <c r="K6" s="161"/>
      <c r="L6" s="161"/>
      <c r="M6" s="161"/>
      <c r="N6" s="161"/>
      <c r="O6" s="161"/>
      <c r="P6" s="161"/>
      <c r="Q6" s="195"/>
      <c r="R6" s="13"/>
    </row>
    <row r="7" spans="1:18" ht="18" customHeight="1" x14ac:dyDescent="0.2">
      <c r="A7" s="198" t="s">
        <v>26</v>
      </c>
      <c r="B7" s="161"/>
      <c r="C7" s="161"/>
      <c r="D7" s="161"/>
      <c r="E7" s="161"/>
      <c r="F7" s="195"/>
      <c r="G7" s="197" t="str">
        <f>' NotaPedido'!D6</f>
        <v>Servicio de Farmacia</v>
      </c>
      <c r="H7" s="161"/>
      <c r="I7" s="161"/>
      <c r="J7" s="161"/>
      <c r="K7" s="161"/>
      <c r="L7" s="161"/>
      <c r="M7" s="161"/>
      <c r="N7" s="161"/>
      <c r="O7" s="161"/>
      <c r="P7" s="161"/>
      <c r="Q7" s="195"/>
      <c r="R7" s="13"/>
    </row>
    <row r="8" spans="1:18" ht="18" customHeight="1" x14ac:dyDescent="0.2">
      <c r="A8" s="203" t="s">
        <v>41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95"/>
    </row>
    <row r="9" spans="1:18" ht="18" customHeight="1" x14ac:dyDescent="0.2">
      <c r="A9" s="204" t="s">
        <v>42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114"/>
      <c r="P9" s="114"/>
      <c r="Q9" s="115"/>
    </row>
    <row r="10" spans="1:18" ht="54.75" customHeight="1" x14ac:dyDescent="0.2">
      <c r="A10" s="206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57/2022,  afectando la erogación resultante a los créditos presupuestarios aprobados a favor de esta Unidad Ejecutora, conforme al siguiente detalle: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8"/>
    </row>
    <row r="11" spans="1:18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8" ht="15.75" customHeight="1" x14ac:dyDescent="0.2">
      <c r="A12" s="209" t="s">
        <v>43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191"/>
    </row>
    <row r="13" spans="1:18" ht="15.75" customHeight="1" x14ac:dyDescent="0.2">
      <c r="A13" s="211" t="s">
        <v>44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3"/>
      <c r="O13" s="215" t="s">
        <v>45</v>
      </c>
      <c r="P13" s="191"/>
      <c r="Q13" s="218" t="s">
        <v>46</v>
      </c>
    </row>
    <row r="14" spans="1:18" ht="15.75" customHeight="1" x14ac:dyDescent="0.2">
      <c r="A14" s="18" t="s">
        <v>47</v>
      </c>
      <c r="B14" s="19" t="s">
        <v>48</v>
      </c>
      <c r="C14" s="19" t="s">
        <v>49</v>
      </c>
      <c r="D14" s="19" t="s">
        <v>50</v>
      </c>
      <c r="E14" s="19" t="s">
        <v>51</v>
      </c>
      <c r="F14" s="19" t="s">
        <v>52</v>
      </c>
      <c r="G14" s="20" t="s">
        <v>53</v>
      </c>
      <c r="H14" s="19" t="s">
        <v>54</v>
      </c>
      <c r="I14" s="19" t="s">
        <v>55</v>
      </c>
      <c r="J14" s="19" t="s">
        <v>56</v>
      </c>
      <c r="K14" s="19" t="s">
        <v>56</v>
      </c>
      <c r="L14" s="19" t="s">
        <v>57</v>
      </c>
      <c r="M14" s="21" t="s">
        <v>58</v>
      </c>
      <c r="N14" s="22" t="s">
        <v>59</v>
      </c>
      <c r="O14" s="216"/>
      <c r="P14" s="217"/>
      <c r="Q14" s="217"/>
    </row>
    <row r="15" spans="1:18" ht="41.25" customHeight="1" x14ac:dyDescent="0.2">
      <c r="A15" s="116">
        <v>42</v>
      </c>
      <c r="B15" s="117"/>
      <c r="C15" s="117"/>
      <c r="D15" s="118">
        <v>2</v>
      </c>
      <c r="E15" s="117"/>
      <c r="F15" s="117">
        <v>4901</v>
      </c>
      <c r="G15" s="117">
        <v>3</v>
      </c>
      <c r="H15" s="117">
        <v>310</v>
      </c>
      <c r="I15" s="118">
        <v>2</v>
      </c>
      <c r="J15" s="118">
        <v>5</v>
      </c>
      <c r="K15" s="118">
        <v>2</v>
      </c>
      <c r="L15" s="117"/>
      <c r="M15" s="119">
        <v>1</v>
      </c>
      <c r="N15" s="117" t="s">
        <v>60</v>
      </c>
      <c r="O15" s="219" t="s">
        <v>119</v>
      </c>
      <c r="P15" s="220"/>
      <c r="Q15" s="120">
        <v>1872138.4</v>
      </c>
    </row>
    <row r="16" spans="1:18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85"/>
      <c r="P16" s="186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85"/>
      <c r="P17" s="186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85"/>
      <c r="P18" s="186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85"/>
      <c r="P19" s="186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85"/>
      <c r="P20" s="186"/>
      <c r="Q20" s="27"/>
    </row>
    <row r="21" spans="1:18" ht="17.25" customHeight="1" x14ac:dyDescent="0.2">
      <c r="A21" s="28"/>
      <c r="B21" s="29"/>
      <c r="C21" s="29"/>
      <c r="D21" s="29"/>
      <c r="E21" s="29"/>
      <c r="F21" s="26"/>
      <c r="G21" s="29"/>
      <c r="H21" s="29"/>
      <c r="I21" s="29"/>
      <c r="J21" s="29"/>
      <c r="K21" s="29"/>
      <c r="L21" s="29"/>
      <c r="M21" s="30"/>
      <c r="N21" s="31"/>
      <c r="O21" s="185"/>
      <c r="P21" s="186"/>
      <c r="Q21" s="27"/>
      <c r="R21" s="13"/>
    </row>
    <row r="22" spans="1:18" ht="17.25" customHeight="1" x14ac:dyDescent="0.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33"/>
      <c r="O22" s="187"/>
      <c r="P22" s="188"/>
      <c r="Q22" s="35"/>
    </row>
    <row r="23" spans="1:18" ht="34.5" customHeight="1" x14ac:dyDescent="0.2">
      <c r="A23" s="179" t="s">
        <v>123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1"/>
      <c r="Q23" s="121">
        <f>SUM(Q15:Q22)</f>
        <v>1872138.4</v>
      </c>
    </row>
    <row r="24" spans="1:18" ht="18" customHeight="1" x14ac:dyDescent="0.2">
      <c r="A24" s="182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4"/>
    </row>
    <row r="25" spans="1:18" ht="17.25" customHeight="1" x14ac:dyDescent="0.2">
      <c r="A25" s="189" t="s">
        <v>61</v>
      </c>
      <c r="B25" s="156"/>
      <c r="C25" s="156"/>
      <c r="D25" s="156"/>
      <c r="E25" s="156"/>
      <c r="F25" s="157"/>
      <c r="G25" s="214"/>
      <c r="H25" s="183"/>
      <c r="I25" s="183"/>
      <c r="J25" s="183"/>
      <c r="K25" s="183"/>
      <c r="L25" s="183"/>
      <c r="M25" s="183"/>
      <c r="N25" s="183"/>
      <c r="O25" s="183"/>
      <c r="P25" s="183"/>
      <c r="Q25" s="184"/>
    </row>
    <row r="26" spans="1:18" ht="18" customHeight="1" x14ac:dyDescent="0.2">
      <c r="A26" s="173" t="s">
        <v>120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5"/>
    </row>
    <row r="27" spans="1:18" ht="55.5" customHeight="1" x14ac:dyDescent="0.2">
      <c r="A27" s="176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8"/>
    </row>
    <row r="28" spans="1:18" ht="12.75" customHeight="1" x14ac:dyDescent="0.2">
      <c r="G28" s="12"/>
    </row>
    <row r="29" spans="1:18" ht="12.75" customHeight="1" x14ac:dyDescent="0.2">
      <c r="G29" s="12"/>
    </row>
    <row r="30" spans="1:18" ht="12.75" customHeight="1" x14ac:dyDescent="0.2">
      <c r="G30" s="12"/>
    </row>
    <row r="31" spans="1:18" ht="12.75" customHeight="1" x14ac:dyDescent="0.2">
      <c r="G31" s="12"/>
    </row>
    <row r="32" spans="1:18" ht="12.75" customHeight="1" x14ac:dyDescent="0.2">
      <c r="G32" s="12"/>
    </row>
    <row r="33" spans="7:7" ht="12.75" customHeight="1" x14ac:dyDescent="0.2">
      <c r="G33" s="12"/>
    </row>
    <row r="34" spans="7:7" ht="12.75" customHeight="1" x14ac:dyDescent="0.2">
      <c r="G34" s="12"/>
    </row>
    <row r="35" spans="7:7" ht="12.75" customHeight="1" x14ac:dyDescent="0.2">
      <c r="G35" s="12"/>
    </row>
    <row r="36" spans="7:7" ht="12.75" customHeight="1" x14ac:dyDescent="0.2">
      <c r="G36" s="12"/>
    </row>
    <row r="37" spans="7:7" ht="12.75" customHeight="1" x14ac:dyDescent="0.2">
      <c r="G37" s="12"/>
    </row>
    <row r="38" spans="7:7" ht="12.75" customHeight="1" x14ac:dyDescent="0.2">
      <c r="G38" s="12"/>
    </row>
    <row r="39" spans="7:7" ht="12.75" customHeight="1" x14ac:dyDescent="0.2">
      <c r="G39" s="12"/>
    </row>
    <row r="40" spans="7:7" ht="12.75" customHeight="1" x14ac:dyDescent="0.2">
      <c r="G40" s="12"/>
    </row>
    <row r="41" spans="7:7" ht="12.75" customHeight="1" x14ac:dyDescent="0.2">
      <c r="G41" s="12"/>
    </row>
    <row r="42" spans="7:7" ht="12.75" customHeight="1" x14ac:dyDescent="0.2">
      <c r="G42" s="12"/>
    </row>
    <row r="43" spans="7:7" ht="12.75" customHeight="1" x14ac:dyDescent="0.2">
      <c r="G43" s="12"/>
    </row>
    <row r="44" spans="7:7" ht="12.75" customHeight="1" x14ac:dyDescent="0.2">
      <c r="G44" s="12"/>
    </row>
    <row r="45" spans="7:7" ht="12.75" customHeight="1" x14ac:dyDescent="0.2">
      <c r="G45" s="12"/>
    </row>
    <row r="46" spans="7:7" ht="12.75" customHeight="1" x14ac:dyDescent="0.2">
      <c r="G46" s="12"/>
    </row>
    <row r="47" spans="7:7" ht="12.75" customHeight="1" x14ac:dyDescent="0.2">
      <c r="G47" s="12"/>
    </row>
    <row r="48" spans="7:7" ht="12.75" customHeight="1" x14ac:dyDescent="0.2">
      <c r="G48" s="12"/>
    </row>
    <row r="49" spans="7:7" ht="12.75" customHeight="1" x14ac:dyDescent="0.2">
      <c r="G49" s="12"/>
    </row>
    <row r="50" spans="7:7" ht="12.75" customHeight="1" x14ac:dyDescent="0.2">
      <c r="G50" s="12"/>
    </row>
    <row r="51" spans="7:7" ht="12.75" customHeight="1" x14ac:dyDescent="0.2">
      <c r="G51" s="12"/>
    </row>
    <row r="52" spans="7:7" ht="12.75" customHeight="1" x14ac:dyDescent="0.2">
      <c r="G52" s="12"/>
    </row>
    <row r="53" spans="7:7" ht="12.75" customHeight="1" x14ac:dyDescent="0.2">
      <c r="G53" s="12"/>
    </row>
    <row r="54" spans="7:7" ht="12.75" customHeight="1" x14ac:dyDescent="0.2">
      <c r="G54" s="12"/>
    </row>
    <row r="55" spans="7:7" ht="12.75" customHeight="1" x14ac:dyDescent="0.2">
      <c r="G55" s="12"/>
    </row>
    <row r="56" spans="7:7" ht="12.75" customHeight="1" x14ac:dyDescent="0.2">
      <c r="G56" s="12"/>
    </row>
    <row r="57" spans="7:7" ht="12.75" customHeight="1" x14ac:dyDescent="0.2">
      <c r="G57" s="12"/>
    </row>
    <row r="58" spans="7:7" ht="12.75" customHeight="1" x14ac:dyDescent="0.2">
      <c r="G58" s="12"/>
    </row>
    <row r="59" spans="7:7" ht="12.75" customHeight="1" x14ac:dyDescent="0.2">
      <c r="G59" s="12"/>
    </row>
    <row r="60" spans="7:7" ht="12.75" customHeight="1" x14ac:dyDescent="0.2">
      <c r="G60" s="12"/>
    </row>
    <row r="61" spans="7:7" ht="12.75" customHeight="1" x14ac:dyDescent="0.2">
      <c r="G61" s="12"/>
    </row>
    <row r="62" spans="7:7" ht="12.75" customHeight="1" x14ac:dyDescent="0.2">
      <c r="G62" s="12"/>
    </row>
    <row r="63" spans="7:7" ht="12.75" customHeight="1" x14ac:dyDescent="0.2">
      <c r="G63" s="12"/>
    </row>
    <row r="64" spans="7:7" ht="12.75" customHeight="1" x14ac:dyDescent="0.2">
      <c r="G64" s="12"/>
    </row>
    <row r="65" spans="7:7" ht="12.75" customHeight="1" x14ac:dyDescent="0.2">
      <c r="G65" s="12"/>
    </row>
    <row r="66" spans="7:7" ht="12.75" customHeight="1" x14ac:dyDescent="0.2">
      <c r="G66" s="12"/>
    </row>
    <row r="67" spans="7:7" ht="12.75" customHeight="1" x14ac:dyDescent="0.2">
      <c r="G67" s="12"/>
    </row>
    <row r="68" spans="7:7" ht="12.75" customHeight="1" x14ac:dyDescent="0.2">
      <c r="G68" s="12"/>
    </row>
    <row r="69" spans="7:7" ht="12.75" customHeight="1" x14ac:dyDescent="0.2">
      <c r="G69" s="12"/>
    </row>
    <row r="70" spans="7:7" ht="12.75" customHeight="1" x14ac:dyDescent="0.2">
      <c r="G70" s="12"/>
    </row>
    <row r="71" spans="7:7" ht="12.75" customHeight="1" x14ac:dyDescent="0.2">
      <c r="G71" s="12"/>
    </row>
    <row r="72" spans="7:7" ht="12.75" customHeight="1" x14ac:dyDescent="0.2">
      <c r="G72" s="12"/>
    </row>
    <row r="73" spans="7:7" ht="12.75" customHeight="1" x14ac:dyDescent="0.2">
      <c r="G73" s="12"/>
    </row>
    <row r="74" spans="7:7" ht="12.75" customHeight="1" x14ac:dyDescent="0.2">
      <c r="G74" s="12"/>
    </row>
    <row r="75" spans="7:7" ht="12.75" customHeight="1" x14ac:dyDescent="0.2">
      <c r="G75" s="12"/>
    </row>
    <row r="76" spans="7:7" ht="12.75" customHeight="1" x14ac:dyDescent="0.2">
      <c r="G76" s="12"/>
    </row>
    <row r="77" spans="7:7" ht="12.75" customHeight="1" x14ac:dyDescent="0.2">
      <c r="G77" s="12"/>
    </row>
    <row r="78" spans="7:7" ht="12.75" customHeight="1" x14ac:dyDescent="0.2">
      <c r="G78" s="12"/>
    </row>
    <row r="79" spans="7:7" ht="12.75" customHeight="1" x14ac:dyDescent="0.2">
      <c r="G79" s="12"/>
    </row>
    <row r="80" spans="7:7" ht="12.75" customHeight="1" x14ac:dyDescent="0.2">
      <c r="G80" s="12"/>
    </row>
    <row r="81" spans="7:7" ht="12.75" customHeight="1" x14ac:dyDescent="0.2">
      <c r="G81" s="12"/>
    </row>
    <row r="82" spans="7:7" ht="12.75" customHeight="1" x14ac:dyDescent="0.2">
      <c r="G82" s="12"/>
    </row>
    <row r="83" spans="7:7" ht="12.75" customHeight="1" x14ac:dyDescent="0.2">
      <c r="G83" s="12"/>
    </row>
    <row r="84" spans="7:7" ht="12.75" customHeight="1" x14ac:dyDescent="0.2">
      <c r="G84" s="12"/>
    </row>
    <row r="85" spans="7:7" ht="12.75" customHeight="1" x14ac:dyDescent="0.2">
      <c r="G85" s="12"/>
    </row>
    <row r="86" spans="7:7" ht="12.75" customHeight="1" x14ac:dyDescent="0.2">
      <c r="G86" s="12"/>
    </row>
    <row r="87" spans="7:7" ht="12.75" customHeight="1" x14ac:dyDescent="0.2">
      <c r="G87" s="12"/>
    </row>
    <row r="88" spans="7:7" ht="12.75" customHeight="1" x14ac:dyDescent="0.2">
      <c r="G88" s="12"/>
    </row>
    <row r="89" spans="7:7" ht="12.75" customHeight="1" x14ac:dyDescent="0.2">
      <c r="G89" s="12"/>
    </row>
    <row r="90" spans="7:7" ht="12.75" customHeight="1" x14ac:dyDescent="0.2">
      <c r="G90" s="12"/>
    </row>
    <row r="91" spans="7:7" ht="12.75" customHeight="1" x14ac:dyDescent="0.2">
      <c r="G91" s="12"/>
    </row>
    <row r="92" spans="7:7" ht="12.75" customHeight="1" x14ac:dyDescent="0.2">
      <c r="G92" s="12"/>
    </row>
    <row r="93" spans="7:7" ht="12.75" customHeight="1" x14ac:dyDescent="0.2">
      <c r="G93" s="12"/>
    </row>
    <row r="94" spans="7:7" ht="12.75" customHeight="1" x14ac:dyDescent="0.2">
      <c r="G94" s="12"/>
    </row>
    <row r="95" spans="7:7" ht="12.75" customHeight="1" x14ac:dyDescent="0.2">
      <c r="G95" s="12"/>
    </row>
    <row r="96" spans="7:7" ht="12.75" customHeight="1" x14ac:dyDescent="0.2">
      <c r="G96" s="12"/>
    </row>
    <row r="97" spans="7:7" ht="12.75" customHeight="1" x14ac:dyDescent="0.2">
      <c r="G97" s="12"/>
    </row>
    <row r="98" spans="7:7" ht="12.75" customHeight="1" x14ac:dyDescent="0.2">
      <c r="G98" s="12"/>
    </row>
    <row r="99" spans="7:7" ht="12.75" customHeight="1" x14ac:dyDescent="0.2">
      <c r="G99" s="12"/>
    </row>
    <row r="100" spans="7:7" ht="12.75" customHeight="1" x14ac:dyDescent="0.2">
      <c r="G100" s="12"/>
    </row>
  </sheetData>
  <mergeCells count="31"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6:Q27"/>
    <mergeCell ref="A23:P23"/>
    <mergeCell ref="A24:Q24"/>
    <mergeCell ref="O20:P20"/>
    <mergeCell ref="O21:P21"/>
    <mergeCell ref="O22:P22"/>
    <mergeCell ref="A25:F25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2022-05-24T14:32:26Z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