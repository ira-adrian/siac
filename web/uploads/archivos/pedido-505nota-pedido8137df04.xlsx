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DESARROLLO SOCIAL\garrafas\corregido\"/>
    </mc:Choice>
  </mc:AlternateContent>
  <xr:revisionPtr revIDLastSave="0" documentId="8_{6AD0EE5F-E26A-41C0-832B-30DBEE14ACD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0" r:id="rId1"/>
  </sheets>
  <externalReferences>
    <externalReference r:id="rId2"/>
  </externalReferences>
  <definedNames>
    <definedName name="_xlnm.Print_Area" localSheetId="0">'Necesidades Trimestrales'!$A$1:$P$30</definedName>
  </definedNames>
  <calcPr calcId="181029"/>
</workbook>
</file>

<file path=xl/calcChain.xml><?xml version="1.0" encoding="utf-8"?>
<calcChain xmlns="http://schemas.openxmlformats.org/spreadsheetml/2006/main">
  <c r="N10" i="10" l="1"/>
  <c r="N11" i="10" s="1"/>
  <c r="K10" i="10" l="1"/>
</calcChain>
</file>

<file path=xl/sharedStrings.xml><?xml version="1.0" encoding="utf-8"?>
<sst xmlns="http://schemas.openxmlformats.org/spreadsheetml/2006/main" count="47" uniqueCount="47">
  <si>
    <t>CANTIDAD</t>
  </si>
  <si>
    <t>Especificidades Item N° 1:</t>
  </si>
  <si>
    <t>Descripción técnica</t>
  </si>
  <si>
    <t>DESCRIPCIÓN</t>
  </si>
  <si>
    <t xml:space="preserve">JURISDICCIÓN: </t>
  </si>
  <si>
    <t>SAF:</t>
  </si>
  <si>
    <t>1. N° de envase.</t>
  </si>
  <si>
    <t>2. Identificación de la empresa fraccionadora.</t>
  </si>
  <si>
    <t>3. Nombre del fabricante.</t>
  </si>
  <si>
    <t>4. Matrícula del fabricante.</t>
  </si>
  <si>
    <t>5. Tara.</t>
  </si>
  <si>
    <t>6. Fecha de vencimiento.</t>
  </si>
  <si>
    <t>7. La válvula de maniobra deberá reunir los siguientes requisitos:</t>
  </si>
  <si>
    <t xml:space="preserve"> </t>
  </si>
  <si>
    <t>GAS EN GARRAFA; CAPACIDAD 45 KG</t>
  </si>
  <si>
    <t xml:space="preserve">Cantidad Solicitada: </t>
  </si>
  <si>
    <t>a) Los envases deberán contener los siguientes datos de identificación:</t>
  </si>
  <si>
    <t>b) Los oferentes deberán cumplir lo normado en las reglamentaciones nacionales, provinciales y/o municipales que rijan en la materia en cuanto a fabricación, fracccionamiento, comercializacion, transporte, etc.</t>
  </si>
  <si>
    <t>c) Cambios: el adjudicatario deberá garantizar que estará en condiciones de cambiar garrafas que no respondan a los parámetros establecidos.</t>
  </si>
  <si>
    <t>PEDIDO DE NECESIDADES TRIMESTRALES</t>
  </si>
  <si>
    <t>25- Direccion Provincial de Gestion Administrativa y RRHH</t>
  </si>
  <si>
    <t xml:space="preserve">   45- Ministerio de Desarrollo Social</t>
  </si>
  <si>
    <t>EJERCICIO</t>
  </si>
  <si>
    <t>TRIMESTRE</t>
  </si>
  <si>
    <t>ID</t>
  </si>
  <si>
    <t>2.5.6-798.7</t>
  </si>
  <si>
    <t>Codigo Item</t>
  </si>
  <si>
    <t xml:space="preserve">RUBRO DE COMPRA </t>
  </si>
  <si>
    <t>COMBUSTIBLES Y LUBRICANTES</t>
  </si>
  <si>
    <t>I.P.P</t>
  </si>
  <si>
    <t>2.5.6</t>
  </si>
  <si>
    <t>UNIDAD</t>
  </si>
  <si>
    <t>PRECIO UNITARIO ESTIMADO</t>
  </si>
  <si>
    <t>IMPORTE TOTAL ESTIMADO</t>
  </si>
  <si>
    <r>
      <rPr>
        <u/>
        <sz val="10"/>
        <rFont val="Times New Roman"/>
        <family val="1"/>
      </rPr>
      <t>Especificaciones Tecnicas:</t>
    </r>
    <r>
      <rPr>
        <sz val="10"/>
        <rFont val="Times New Roman"/>
        <family val="1"/>
      </rPr>
      <t xml:space="preserve"> </t>
    </r>
  </si>
  <si>
    <t>Plazos, lugares y formas de entrega</t>
  </si>
  <si>
    <t xml:space="preserve">* Estar limpia de todo elemento que pueda afectar su buen funcionamiento. </t>
  </si>
  <si>
    <t>* Estar en buenas condiciones el sistema de seguridad que impida el desarme accidental del conjunto vástago - cuerpo.</t>
  </si>
  <si>
    <t>* La rosca de la boca de salida deberá estar en óptimas condiciones y en caso de dudas se recurrirá al uso de los calibres que correspondan.</t>
  </si>
  <si>
    <t>* El volante de maniobra no deberá presentar deformaciones o roturas, debiendo contar ademas con una correcta sujeción al vástago.</t>
  </si>
  <si>
    <t>* La válvula no deberá presentar ningún tipo de fisura o rajadura.</t>
  </si>
  <si>
    <t>* El tipo de válvula deberá ser compatible al envase en el que está instalada.</t>
  </si>
  <si>
    <t>4° Trimestre - Año 2022</t>
  </si>
  <si>
    <t>Costo total estimado: NOVECIENTOS MIL CON 00/100.-</t>
  </si>
  <si>
    <t>Setenta y cinco (75) cargas de gas propano en garrafas con capacidad de 45 kg. c/u</t>
  </si>
  <si>
    <t xml:space="preserve">PROVISION DE RECARGA DE GAS PROPANO EN GARRAFAS DE 45 KG </t>
  </si>
  <si>
    <t xml:space="preserve">Las entregas  se realizaran en el Centro de Integracion e Identidad Ciudadana, Ruta Nacional 38 y Av. Nestor Kirchner - Catamarca, dependiente del Ministerio de Desarrollo Social, a requerimiento de acuerdo, a las Solicitudes de Provision que se realicen. Se estima emitir una cantidad aproximada de 3 (tres) Solicitudes de Provision de (1/3 aprox.) de la cantidad solicitada, en un plazo de 3 (tres) meses: 1° Solicitud de Provision: aproximadamente a los 3 (tres) dias hábiles de la firma del instrumento contractual. 2° Solicitud de Provision: al mes de la firma del instrumento contractual. 3° Solicitud de Provision: a los dos meses de la firma del instrumento contractual. Plazo de cumplimiento de cada Solitud de Provision de los 2 (dos) dias hábiles de notificada la misma, segun necesidad del Organismo solicitante. Forma de Pago: Se solicita pagos parciales por cada Solicitud de Provision emitida, una vez finalizada la entega de las cantidades contenidas en la misma.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</si>
</sst>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&quot;$&quot;\ #,##0.00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/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4" fontId="10" fillId="0" borderId="0" applyBorder="0" applyProtection="0"/>
    <xf numFmtId="0" fontId="1" fillId="0" borderId="1" applyProtection="0"/>
    <xf numFmtId="0" fontId="3" fillId="2" borderId="0" applyBorder="0" applyProtection="0"/>
    <xf numFmtId="0" fontId="10" fillId="0" borderId="0"/>
  </cellStyleXfs>
  <cellXfs count="75">
    <xf numFmtId="0" fontId="0" fillId="0" borderId="0" xfId="0"/>
    <xf numFmtId="0" fontId="11" fillId="0" borderId="0" xfId="0" applyFont="1" applyBorder="1"/>
    <xf numFmtId="167" fontId="4" fillId="3" borderId="17" xfId="0" applyNumberFormat="1" applyFont="1" applyFill="1" applyBorder="1" applyAlignment="1">
      <alignment horizontal="center" vertical="center"/>
    </xf>
    <xf numFmtId="0" fontId="2" fillId="0" borderId="0" xfId="4" applyFont="1" applyBorder="1" applyAlignment="1">
      <alignment vertical="center"/>
    </xf>
    <xf numFmtId="0" fontId="5" fillId="0" borderId="10" xfId="4" applyFont="1" applyBorder="1" applyAlignment="1">
      <alignment vertical="center"/>
    </xf>
    <xf numFmtId="0" fontId="5" fillId="0" borderId="0" xfId="4" applyFont="1" applyBorder="1" applyAlignment="1">
      <alignment vertical="center"/>
    </xf>
    <xf numFmtId="0" fontId="7" fillId="0" borderId="0" xfId="4" applyFont="1" applyBorder="1" applyAlignment="1">
      <alignment horizontal="left" vertical="center"/>
    </xf>
    <xf numFmtId="0" fontId="6" fillId="0" borderId="0" xfId="4" applyFont="1" applyBorder="1" applyAlignment="1">
      <alignment horizontal="left" vertical="center" wrapText="1" indent="1"/>
    </xf>
    <xf numFmtId="0" fontId="9" fillId="0" borderId="18" xfId="4" applyFont="1" applyBorder="1" applyAlignment="1">
      <alignment horizontal="center" vertical="center"/>
    </xf>
    <xf numFmtId="0" fontId="10" fillId="0" borderId="0" xfId="4"/>
    <xf numFmtId="0" fontId="4" fillId="3" borderId="17" xfId="4" applyFont="1" applyFill="1" applyBorder="1" applyAlignment="1">
      <alignment horizontal="center" vertical="center" wrapText="1"/>
    </xf>
    <xf numFmtId="0" fontId="11" fillId="0" borderId="3" xfId="0" applyFont="1" applyFill="1" applyBorder="1"/>
    <xf numFmtId="0" fontId="11" fillId="0" borderId="5" xfId="0" applyFont="1" applyFill="1" applyBorder="1"/>
    <xf numFmtId="0" fontId="11" fillId="0" borderId="0" xfId="0" applyFont="1" applyFill="1" applyBorder="1"/>
    <xf numFmtId="0" fontId="12" fillId="0" borderId="5" xfId="0" applyFont="1" applyFill="1" applyBorder="1" applyAlignment="1">
      <alignment horizontal="left" indent="3"/>
    </xf>
    <xf numFmtId="0" fontId="11" fillId="0" borderId="5" xfId="0" applyFont="1" applyFill="1" applyBorder="1" applyAlignment="1">
      <alignment horizontal="left" indent="3"/>
    </xf>
    <xf numFmtId="0" fontId="11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/>
    <xf numFmtId="0" fontId="4" fillId="0" borderId="12" xfId="4" applyFont="1" applyBorder="1" applyAlignment="1">
      <alignment horizontal="center" vertical="center"/>
    </xf>
    <xf numFmtId="0" fontId="2" fillId="0" borderId="3" xfId="4" applyFont="1" applyBorder="1" applyAlignment="1">
      <alignment vertical="center"/>
    </xf>
    <xf numFmtId="0" fontId="2" fillId="0" borderId="4" xfId="4" applyFont="1" applyBorder="1" applyAlignment="1">
      <alignment vertical="center"/>
    </xf>
    <xf numFmtId="0" fontId="2" fillId="0" borderId="6" xfId="4" applyFont="1" applyBorder="1" applyAlignment="1">
      <alignment vertical="center"/>
    </xf>
    <xf numFmtId="0" fontId="2" fillId="0" borderId="7" xfId="4" applyFont="1" applyBorder="1" applyAlignment="1">
      <alignment vertical="center"/>
    </xf>
    <xf numFmtId="0" fontId="2" fillId="0" borderId="8" xfId="4" applyFont="1" applyBorder="1" applyAlignment="1">
      <alignment vertical="center"/>
    </xf>
    <xf numFmtId="0" fontId="2" fillId="0" borderId="9" xfId="4" applyFont="1" applyBorder="1" applyAlignment="1">
      <alignment vertical="center"/>
    </xf>
    <xf numFmtId="0" fontId="11" fillId="0" borderId="0" xfId="0" applyFont="1" applyFill="1" applyBorder="1" applyAlignment="1">
      <alignment horizontal="left" wrapText="1"/>
    </xf>
    <xf numFmtId="0" fontId="6" fillId="0" borderId="19" xfId="4" applyFont="1" applyBorder="1" applyAlignment="1">
      <alignment horizontal="left" vertical="center" wrapText="1" indent="1"/>
    </xf>
    <xf numFmtId="0" fontId="2" fillId="0" borderId="0" xfId="4" applyFont="1" applyBorder="1" applyAlignment="1">
      <alignment vertical="center" wrapText="1"/>
    </xf>
    <xf numFmtId="0" fontId="4" fillId="0" borderId="12" xfId="4" applyFont="1" applyBorder="1" applyAlignment="1">
      <alignment horizontal="center" vertical="center" wrapText="1"/>
    </xf>
    <xf numFmtId="165" fontId="4" fillId="3" borderId="17" xfId="1" applyNumberFormat="1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>
      <alignment horizontal="left" wrapText="1"/>
    </xf>
    <xf numFmtId="0" fontId="11" fillId="0" borderId="0" xfId="0" applyFont="1" applyBorder="1" applyAlignment="1"/>
    <xf numFmtId="0" fontId="15" fillId="0" borderId="2" xfId="0" applyFont="1" applyFill="1" applyBorder="1"/>
    <xf numFmtId="166" fontId="14" fillId="0" borderId="12" xfId="4" applyNumberFormat="1" applyFont="1" applyBorder="1" applyAlignment="1">
      <alignment vertical="center"/>
    </xf>
    <xf numFmtId="0" fontId="7" fillId="0" borderId="11" xfId="4" applyFont="1" applyBorder="1" applyAlignment="1">
      <alignment horizontal="left" vertical="center" wrapText="1"/>
    </xf>
    <xf numFmtId="0" fontId="7" fillId="0" borderId="32" xfId="4" applyFont="1" applyBorder="1" applyAlignment="1">
      <alignment horizontal="left" vertical="center" wrapText="1"/>
    </xf>
    <xf numFmtId="0" fontId="6" fillId="3" borderId="12" xfId="4" applyFont="1" applyFill="1" applyBorder="1" applyAlignment="1">
      <alignment horizontal="left" vertical="center" wrapText="1" indent="1"/>
    </xf>
    <xf numFmtId="0" fontId="6" fillId="0" borderId="12" xfId="4" applyFont="1" applyBorder="1" applyAlignment="1">
      <alignment horizontal="left" vertical="center" wrapText="1" indent="1"/>
    </xf>
    <xf numFmtId="0" fontId="8" fillId="0" borderId="14" xfId="4" applyFont="1" applyBorder="1" applyAlignment="1">
      <alignment horizontal="center" vertical="center"/>
    </xf>
    <xf numFmtId="0" fontId="8" fillId="0" borderId="16" xfId="4" applyFont="1" applyBorder="1" applyAlignment="1">
      <alignment horizontal="center" vertical="center" wrapText="1"/>
    </xf>
    <xf numFmtId="0" fontId="6" fillId="3" borderId="19" xfId="4" applyFont="1" applyFill="1" applyBorder="1" applyAlignment="1">
      <alignment horizontal="left" vertical="center" wrapText="1"/>
    </xf>
    <xf numFmtId="0" fontId="6" fillId="3" borderId="22" xfId="4" applyFont="1" applyFill="1" applyBorder="1" applyAlignment="1">
      <alignment horizontal="left" vertical="center" wrapText="1"/>
    </xf>
    <xf numFmtId="0" fontId="6" fillId="3" borderId="20" xfId="4" applyFont="1" applyFill="1" applyBorder="1" applyAlignment="1">
      <alignment horizontal="left" vertical="center" wrapText="1"/>
    </xf>
    <xf numFmtId="0" fontId="7" fillId="0" borderId="13" xfId="4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 wrapText="1"/>
    </xf>
    <xf numFmtId="0" fontId="11" fillId="0" borderId="6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12" fillId="0" borderId="5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0" fontId="5" fillId="0" borderId="0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28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 wrapText="1"/>
    </xf>
    <xf numFmtId="0" fontId="8" fillId="0" borderId="29" xfId="4" applyFont="1" applyBorder="1" applyAlignment="1">
      <alignment horizontal="center" vertical="center" wrapText="1"/>
    </xf>
    <xf numFmtId="0" fontId="8" fillId="0" borderId="30" xfId="4" applyFont="1" applyBorder="1" applyAlignment="1">
      <alignment horizontal="center" vertical="center"/>
    </xf>
    <xf numFmtId="0" fontId="8" fillId="0" borderId="31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 wrapText="1"/>
    </xf>
    <xf numFmtId="0" fontId="8" fillId="0" borderId="28" xfId="4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3" xfId="4" applyFont="1" applyBorder="1" applyAlignment="1">
      <alignment horizontal="center" vertical="center" wrapText="1"/>
    </xf>
    <xf numFmtId="0" fontId="8" fillId="0" borderId="3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center" vertical="center" wrapText="1"/>
    </xf>
    <xf numFmtId="0" fontId="8" fillId="0" borderId="25" xfId="4" applyFont="1" applyBorder="1" applyAlignment="1">
      <alignment horizontal="center" vertical="center" wrapText="1"/>
    </xf>
    <xf numFmtId="0" fontId="8" fillId="0" borderId="8" xfId="4" applyFont="1" applyBorder="1" applyAlignment="1">
      <alignment horizontal="center" vertical="center" wrapText="1"/>
    </xf>
    <xf numFmtId="0" fontId="8" fillId="0" borderId="26" xfId="4" applyFont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4" fillId="3" borderId="19" xfId="4" quotePrefix="1" applyFont="1" applyFill="1" applyBorder="1" applyAlignment="1">
      <alignment horizontal="left" vertical="center" wrapText="1"/>
    </xf>
    <xf numFmtId="0" fontId="4" fillId="3" borderId="22" xfId="4" applyFont="1" applyFill="1" applyBorder="1" applyAlignment="1">
      <alignment horizontal="left" vertical="center" wrapText="1"/>
    </xf>
    <xf numFmtId="0" fontId="4" fillId="3" borderId="20" xfId="4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wrapText="1"/>
    </xf>
    <xf numFmtId="0" fontId="2" fillId="0" borderId="0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</cellXfs>
  <cellStyles count="5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9.118\escaneo\GUIL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4">
          <cell r="C4" t="str">
            <v>45- Ministerio de Desarrollo Social y Deporte</v>
          </cell>
        </row>
        <row r="11">
          <cell r="F11" t="str">
            <v>UNIDADES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48"/>
  <sheetViews>
    <sheetView tabSelected="1" zoomScale="85" zoomScaleNormal="85" workbookViewId="0">
      <selection activeCell="N28" sqref="N28"/>
    </sheetView>
  </sheetViews>
  <sheetFormatPr baseColWidth="10" defaultColWidth="9.140625" defaultRowHeight="12.75" x14ac:dyDescent="0.2"/>
  <cols>
    <col min="1" max="1" width="8.7109375" style="3" customWidth="1"/>
    <col min="2" max="2" width="11.7109375" style="3" customWidth="1"/>
    <col min="3" max="3" width="15.28515625" style="3" customWidth="1"/>
    <col min="4" max="4" width="5.5703125" style="3" customWidth="1"/>
    <col min="5" max="5" width="15.140625" style="3" customWidth="1"/>
    <col min="6" max="6" width="14.140625" style="3" customWidth="1"/>
    <col min="7" max="7" width="26" style="3" customWidth="1"/>
    <col min="8" max="8" width="8" style="3" customWidth="1"/>
    <col min="9" max="9" width="7.85546875" style="3" customWidth="1"/>
    <col min="10" max="10" width="22.7109375" style="3" customWidth="1"/>
    <col min="11" max="12" width="15" style="3" customWidth="1"/>
    <col min="13" max="13" width="13.42578125" style="3" customWidth="1"/>
    <col min="14" max="14" width="32.5703125" style="3" bestFit="1" customWidth="1"/>
    <col min="15" max="16" width="5.85546875" style="3" customWidth="1"/>
    <col min="17" max="17" width="12.5703125" style="3" customWidth="1"/>
    <col min="18" max="1026" width="9.140625" style="3"/>
    <col min="1027" max="16384" width="9.140625" style="9"/>
  </cols>
  <sheetData>
    <row r="1" spans="1:16" ht="18" customHeight="1" x14ac:dyDescent="0.2">
      <c r="A1" s="50" t="s">
        <v>19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ht="18.75" customHeight="1" thickBot="1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</row>
    <row r="3" spans="1:16" ht="18.75" customHeight="1" thickBot="1" x14ac:dyDescent="0.25">
      <c r="A3" s="34" t="s">
        <v>4</v>
      </c>
      <c r="B3" s="34"/>
      <c r="C3" s="34"/>
      <c r="D3" s="34"/>
      <c r="E3" s="34"/>
      <c r="F3" s="34"/>
      <c r="G3" s="40" t="s">
        <v>21</v>
      </c>
      <c r="H3" s="41"/>
      <c r="I3" s="41"/>
      <c r="J3" s="41"/>
      <c r="K3" s="41"/>
      <c r="L3" s="41"/>
      <c r="M3" s="42"/>
    </row>
    <row r="4" spans="1:16" ht="18.75" customHeight="1" thickBot="1" x14ac:dyDescent="0.25">
      <c r="A4" s="43" t="s">
        <v>5</v>
      </c>
      <c r="B4" s="43"/>
      <c r="C4" s="43"/>
      <c r="D4" s="43"/>
      <c r="E4" s="43"/>
      <c r="F4" s="43"/>
      <c r="G4" s="36" t="s">
        <v>20</v>
      </c>
      <c r="H4" s="36"/>
      <c r="I4" s="36"/>
      <c r="J4" s="36"/>
      <c r="K4" s="36"/>
      <c r="L4" s="36"/>
      <c r="M4" s="36"/>
    </row>
    <row r="5" spans="1:16" ht="16.5" customHeight="1" thickBot="1" x14ac:dyDescent="0.25">
      <c r="A5" s="34" t="s">
        <v>22</v>
      </c>
      <c r="B5" s="34"/>
      <c r="C5" s="34"/>
      <c r="D5" s="34"/>
      <c r="E5" s="34"/>
      <c r="F5" s="34"/>
      <c r="G5" s="36">
        <v>2022</v>
      </c>
      <c r="H5" s="36"/>
      <c r="I5" s="36"/>
      <c r="J5" s="36"/>
      <c r="K5" s="36"/>
      <c r="L5" s="36"/>
      <c r="M5" s="36"/>
    </row>
    <row r="6" spans="1:16" ht="16.5" customHeight="1" thickBot="1" x14ac:dyDescent="0.25">
      <c r="A6" s="34" t="s">
        <v>23</v>
      </c>
      <c r="B6" s="34"/>
      <c r="C6" s="34"/>
      <c r="D6" s="34"/>
      <c r="E6" s="34"/>
      <c r="F6" s="35"/>
      <c r="G6" s="36" t="s">
        <v>42</v>
      </c>
      <c r="H6" s="36"/>
      <c r="I6" s="36"/>
      <c r="J6" s="36"/>
      <c r="K6" s="36"/>
      <c r="L6" s="36"/>
      <c r="M6" s="36"/>
    </row>
    <row r="7" spans="1:16" ht="16.5" thickBot="1" x14ac:dyDescent="0.25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</row>
    <row r="8" spans="1:16" ht="18.75" customHeight="1" thickBot="1" x14ac:dyDescent="0.25">
      <c r="A8" s="38" t="s">
        <v>24</v>
      </c>
      <c r="B8" s="51" t="s">
        <v>26</v>
      </c>
      <c r="C8" s="53" t="s">
        <v>27</v>
      </c>
      <c r="D8" s="55" t="s">
        <v>29</v>
      </c>
      <c r="E8" s="60" t="s">
        <v>3</v>
      </c>
      <c r="F8" s="61"/>
      <c r="G8" s="61"/>
      <c r="H8" s="61"/>
      <c r="I8" s="61"/>
      <c r="J8" s="62"/>
      <c r="K8" s="39" t="s">
        <v>31</v>
      </c>
      <c r="L8" s="57" t="s">
        <v>0</v>
      </c>
      <c r="M8" s="39" t="s">
        <v>32</v>
      </c>
      <c r="N8" s="59" t="s">
        <v>33</v>
      </c>
    </row>
    <row r="9" spans="1:16" ht="24" customHeight="1" thickBot="1" x14ac:dyDescent="0.25">
      <c r="A9" s="38"/>
      <c r="B9" s="52"/>
      <c r="C9" s="54"/>
      <c r="D9" s="56"/>
      <c r="E9" s="63"/>
      <c r="F9" s="64"/>
      <c r="G9" s="64"/>
      <c r="H9" s="64"/>
      <c r="I9" s="64"/>
      <c r="J9" s="65"/>
      <c r="K9" s="39"/>
      <c r="L9" s="58"/>
      <c r="M9" s="39"/>
      <c r="N9" s="59"/>
    </row>
    <row r="10" spans="1:16" ht="50.25" customHeight="1" thickBot="1" x14ac:dyDescent="0.25">
      <c r="A10" s="8">
        <v>1</v>
      </c>
      <c r="B10" s="18" t="s">
        <v>25</v>
      </c>
      <c r="C10" s="28" t="s">
        <v>28</v>
      </c>
      <c r="D10" s="18" t="s">
        <v>30</v>
      </c>
      <c r="E10" s="68" t="s">
        <v>14</v>
      </c>
      <c r="F10" s="69"/>
      <c r="G10" s="69"/>
      <c r="H10" s="69"/>
      <c r="I10" s="69"/>
      <c r="J10" s="70"/>
      <c r="K10" s="10" t="str">
        <f>'[1]Necesidades Trimestrales'!F11</f>
        <v>UNIDADES</v>
      </c>
      <c r="L10" s="10">
        <v>75</v>
      </c>
      <c r="M10" s="29">
        <v>12000</v>
      </c>
      <c r="N10" s="2">
        <f>+L10*M10</f>
        <v>900000</v>
      </c>
    </row>
    <row r="11" spans="1:16" s="3" customFormat="1" ht="26.25" customHeight="1" thickBot="1" x14ac:dyDescent="0.25">
      <c r="A11" s="37" t="s">
        <v>43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26"/>
      <c r="M11" s="33"/>
      <c r="N11" s="33">
        <f>+N10</f>
        <v>900000</v>
      </c>
    </row>
    <row r="14" spans="1:16" x14ac:dyDescent="0.2">
      <c r="G14" s="27"/>
    </row>
    <row r="16" spans="1:16" ht="13.5" thickBot="1" x14ac:dyDescent="0.25"/>
    <row r="17" spans="1:12" x14ac:dyDescent="0.2">
      <c r="A17" s="32" t="s">
        <v>1</v>
      </c>
      <c r="B17" s="11"/>
      <c r="C17" s="11"/>
      <c r="D17" s="11"/>
      <c r="E17" s="19"/>
      <c r="F17" s="19"/>
      <c r="G17" s="19"/>
      <c r="H17" s="19"/>
      <c r="I17" s="19"/>
      <c r="J17" s="19"/>
      <c r="K17" s="19"/>
      <c r="L17" s="20"/>
    </row>
    <row r="18" spans="1:12" x14ac:dyDescent="0.2">
      <c r="A18" s="12"/>
      <c r="B18" s="13"/>
      <c r="C18" s="13"/>
      <c r="D18" s="13"/>
      <c r="L18" s="21"/>
    </row>
    <row r="19" spans="1:12" x14ac:dyDescent="0.2">
      <c r="A19" s="48" t="s">
        <v>2</v>
      </c>
      <c r="B19" s="49"/>
      <c r="C19" s="44" t="s">
        <v>45</v>
      </c>
      <c r="D19" s="44"/>
      <c r="E19" s="44"/>
      <c r="F19" s="44"/>
      <c r="G19" s="44"/>
      <c r="H19" s="44"/>
      <c r="I19" s="44"/>
      <c r="J19" s="44"/>
      <c r="L19" s="21"/>
    </row>
    <row r="20" spans="1:12" x14ac:dyDescent="0.2">
      <c r="A20" s="14"/>
      <c r="B20" s="46"/>
      <c r="C20" s="46"/>
      <c r="D20" s="47"/>
      <c r="L20" s="21"/>
    </row>
    <row r="21" spans="1:12" x14ac:dyDescent="0.2">
      <c r="A21" s="66" t="s">
        <v>15</v>
      </c>
      <c r="B21" s="67"/>
      <c r="C21" s="45" t="s">
        <v>44</v>
      </c>
      <c r="D21" s="45"/>
      <c r="E21" s="45"/>
      <c r="F21" s="45"/>
      <c r="G21" s="45"/>
      <c r="H21" s="25"/>
      <c r="L21" s="21"/>
    </row>
    <row r="22" spans="1:12" x14ac:dyDescent="0.2">
      <c r="A22" s="14"/>
      <c r="B22" s="16"/>
      <c r="C22" s="16"/>
      <c r="D22" s="16"/>
      <c r="L22" s="21"/>
    </row>
    <row r="23" spans="1:12" x14ac:dyDescent="0.2">
      <c r="A23" s="14" t="s">
        <v>35</v>
      </c>
      <c r="B23" s="13"/>
      <c r="C23" s="13"/>
      <c r="D23" s="13" t="s">
        <v>13</v>
      </c>
      <c r="L23" s="21"/>
    </row>
    <row r="24" spans="1:12" x14ac:dyDescent="0.2">
      <c r="A24" s="15"/>
      <c r="B24" s="17"/>
      <c r="C24" s="17"/>
      <c r="D24" s="17"/>
      <c r="E24" s="17"/>
      <c r="F24" s="17"/>
      <c r="G24" s="17"/>
      <c r="H24" s="17"/>
      <c r="L24" s="21"/>
    </row>
    <row r="25" spans="1:12" ht="12.75" customHeight="1" x14ac:dyDescent="0.2">
      <c r="A25" s="66"/>
      <c r="B25" s="45" t="s">
        <v>46</v>
      </c>
      <c r="C25" s="45"/>
      <c r="D25" s="45"/>
      <c r="E25" s="45"/>
      <c r="F25" s="45"/>
      <c r="G25" s="45"/>
      <c r="H25" s="45"/>
      <c r="I25" s="45"/>
      <c r="J25" s="45"/>
      <c r="K25" s="72"/>
      <c r="L25" s="73"/>
    </row>
    <row r="26" spans="1:12" ht="81.75" customHeight="1" x14ac:dyDescent="0.2">
      <c r="A26" s="66"/>
      <c r="B26" s="45"/>
      <c r="C26" s="45"/>
      <c r="D26" s="45"/>
      <c r="E26" s="45"/>
      <c r="F26" s="45"/>
      <c r="G26" s="45"/>
      <c r="H26" s="45"/>
      <c r="I26" s="45"/>
      <c r="J26" s="45"/>
      <c r="K26" s="72"/>
      <c r="L26" s="73"/>
    </row>
    <row r="27" spans="1:12" x14ac:dyDescent="0.2">
      <c r="A27" s="14"/>
      <c r="B27" s="30"/>
      <c r="C27" s="30"/>
      <c r="D27" s="30"/>
      <c r="E27" s="30"/>
      <c r="F27" s="30"/>
      <c r="G27" s="30"/>
      <c r="H27" s="30"/>
      <c r="I27" s="30"/>
      <c r="J27" s="30"/>
      <c r="L27" s="21"/>
    </row>
    <row r="28" spans="1:12" x14ac:dyDescent="0.2">
      <c r="A28" s="74" t="s">
        <v>34</v>
      </c>
      <c r="B28" s="74"/>
      <c r="C28" s="74"/>
      <c r="D28" s="17"/>
      <c r="E28" s="17"/>
      <c r="F28" s="17"/>
      <c r="G28" s="17"/>
      <c r="H28" s="17"/>
      <c r="L28" s="21"/>
    </row>
    <row r="29" spans="1:12" x14ac:dyDescent="0.2">
      <c r="A29" s="15"/>
      <c r="B29" s="17"/>
      <c r="C29" s="17"/>
      <c r="D29" s="17"/>
      <c r="E29" s="17"/>
      <c r="F29" s="17"/>
      <c r="G29" s="17"/>
      <c r="H29" s="17"/>
      <c r="L29" s="21"/>
    </row>
    <row r="30" spans="1:12" x14ac:dyDescent="0.2">
      <c r="A30" s="15"/>
      <c r="B30" s="1" t="s">
        <v>16</v>
      </c>
      <c r="C30" s="1"/>
      <c r="D30" s="1"/>
      <c r="E30" s="1"/>
      <c r="L30" s="21"/>
    </row>
    <row r="31" spans="1:12" x14ac:dyDescent="0.2">
      <c r="A31" s="15"/>
      <c r="B31" s="1" t="s">
        <v>6</v>
      </c>
      <c r="C31" s="1"/>
      <c r="D31" s="1"/>
      <c r="E31" s="1"/>
      <c r="L31" s="21"/>
    </row>
    <row r="32" spans="1:12" x14ac:dyDescent="0.2">
      <c r="A32" s="15"/>
      <c r="B32" s="1" t="s">
        <v>7</v>
      </c>
      <c r="C32" s="1"/>
      <c r="D32" s="1"/>
      <c r="E32" s="1"/>
      <c r="L32" s="21"/>
    </row>
    <row r="33" spans="1:12" x14ac:dyDescent="0.2">
      <c r="A33" s="15"/>
      <c r="B33" s="1" t="s">
        <v>8</v>
      </c>
      <c r="C33" s="1"/>
      <c r="D33" s="1"/>
      <c r="E33" s="1"/>
      <c r="L33" s="21"/>
    </row>
    <row r="34" spans="1:12" x14ac:dyDescent="0.2">
      <c r="A34" s="15"/>
      <c r="B34" s="31" t="s">
        <v>9</v>
      </c>
      <c r="C34" s="1"/>
      <c r="D34" s="1"/>
      <c r="E34" s="1"/>
      <c r="L34" s="21"/>
    </row>
    <row r="35" spans="1:12" x14ac:dyDescent="0.2">
      <c r="A35" s="15"/>
      <c r="B35" s="31" t="s">
        <v>10</v>
      </c>
      <c r="C35" s="1"/>
      <c r="D35" s="1"/>
      <c r="E35" s="1"/>
      <c r="L35" s="21"/>
    </row>
    <row r="36" spans="1:12" x14ac:dyDescent="0.2">
      <c r="A36" s="15"/>
      <c r="B36" s="31" t="s">
        <v>11</v>
      </c>
      <c r="C36" s="1"/>
      <c r="D36" s="1"/>
      <c r="E36" s="1"/>
      <c r="L36" s="21"/>
    </row>
    <row r="37" spans="1:12" x14ac:dyDescent="0.2">
      <c r="A37" s="15"/>
      <c r="B37" s="31" t="s">
        <v>12</v>
      </c>
      <c r="C37" s="1"/>
      <c r="D37" s="1"/>
      <c r="E37" s="1"/>
      <c r="L37" s="21"/>
    </row>
    <row r="38" spans="1:12" x14ac:dyDescent="0.2">
      <c r="A38" s="15"/>
      <c r="B38" s="31" t="s">
        <v>36</v>
      </c>
      <c r="C38" s="1"/>
      <c r="D38" s="1"/>
      <c r="E38" s="1"/>
      <c r="L38" s="21"/>
    </row>
    <row r="39" spans="1:12" x14ac:dyDescent="0.2">
      <c r="A39" s="15"/>
      <c r="B39" s="31" t="s">
        <v>37</v>
      </c>
      <c r="C39" s="1"/>
      <c r="D39" s="1"/>
      <c r="E39" s="1"/>
      <c r="L39" s="21"/>
    </row>
    <row r="40" spans="1:12" x14ac:dyDescent="0.2">
      <c r="A40" s="15"/>
      <c r="B40" s="31" t="s">
        <v>38</v>
      </c>
      <c r="C40" s="1"/>
      <c r="D40" s="1"/>
      <c r="E40" s="1"/>
      <c r="L40" s="21"/>
    </row>
    <row r="41" spans="1:12" x14ac:dyDescent="0.2">
      <c r="A41" s="15"/>
      <c r="B41" s="31" t="s">
        <v>39</v>
      </c>
      <c r="C41" s="1"/>
      <c r="D41" s="1"/>
      <c r="E41" s="1"/>
      <c r="L41" s="21"/>
    </row>
    <row r="42" spans="1:12" x14ac:dyDescent="0.2">
      <c r="A42" s="15"/>
      <c r="B42" s="31" t="s">
        <v>40</v>
      </c>
      <c r="C42" s="1"/>
      <c r="D42" s="1"/>
      <c r="E42" s="1"/>
      <c r="L42" s="21"/>
    </row>
    <row r="43" spans="1:12" x14ac:dyDescent="0.2">
      <c r="A43" s="15"/>
      <c r="B43" s="31" t="s">
        <v>41</v>
      </c>
      <c r="C43" s="1"/>
      <c r="D43" s="1"/>
      <c r="E43" s="1"/>
      <c r="L43" s="21"/>
    </row>
    <row r="44" spans="1:12" x14ac:dyDescent="0.2">
      <c r="A44" s="15"/>
      <c r="B44" s="71" t="s">
        <v>17</v>
      </c>
      <c r="C44" s="71"/>
      <c r="D44" s="71"/>
      <c r="E44" s="71"/>
      <c r="F44" s="71"/>
      <c r="G44" s="71"/>
      <c r="H44" s="71"/>
      <c r="I44" s="71"/>
      <c r="J44" s="71"/>
      <c r="K44" s="71"/>
      <c r="L44" s="21"/>
    </row>
    <row r="45" spans="1:12" x14ac:dyDescent="0.2">
      <c r="A45" s="15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21"/>
    </row>
    <row r="46" spans="1:12" x14ac:dyDescent="0.2">
      <c r="A46" s="15"/>
      <c r="B46" s="71" t="s">
        <v>18</v>
      </c>
      <c r="C46" s="71"/>
      <c r="D46" s="71"/>
      <c r="E46" s="71"/>
      <c r="F46" s="71"/>
      <c r="G46" s="71"/>
      <c r="H46" s="71"/>
      <c r="I46" s="71"/>
      <c r="J46" s="71"/>
      <c r="K46" s="71"/>
      <c r="L46" s="21"/>
    </row>
    <row r="47" spans="1:12" x14ac:dyDescent="0.2">
      <c r="A47" s="15"/>
      <c r="B47" s="17"/>
      <c r="C47" s="17"/>
      <c r="D47" s="17"/>
      <c r="E47" s="17"/>
      <c r="F47" s="17"/>
      <c r="G47" s="17"/>
      <c r="H47" s="17"/>
      <c r="L47" s="21"/>
    </row>
    <row r="48" spans="1:12" ht="13.5" thickBot="1" x14ac:dyDescent="0.2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4"/>
    </row>
  </sheetData>
  <mergeCells count="32">
    <mergeCell ref="B46:K46"/>
    <mergeCell ref="A25:A26"/>
    <mergeCell ref="K25:K26"/>
    <mergeCell ref="L25:L26"/>
    <mergeCell ref="A28:C28"/>
    <mergeCell ref="B44:K45"/>
    <mergeCell ref="C19:J19"/>
    <mergeCell ref="B25:J26"/>
    <mergeCell ref="B20:D20"/>
    <mergeCell ref="A19:B19"/>
    <mergeCell ref="A1:P1"/>
    <mergeCell ref="B8:B9"/>
    <mergeCell ref="C8:C9"/>
    <mergeCell ref="D8:D9"/>
    <mergeCell ref="L8:L9"/>
    <mergeCell ref="N8:N9"/>
    <mergeCell ref="M8:M9"/>
    <mergeCell ref="E8:J9"/>
    <mergeCell ref="A21:B21"/>
    <mergeCell ref="C21:G21"/>
    <mergeCell ref="E10:J10"/>
    <mergeCell ref="A3:F3"/>
    <mergeCell ref="G3:M3"/>
    <mergeCell ref="A4:F4"/>
    <mergeCell ref="G4:M4"/>
    <mergeCell ref="A5:F5"/>
    <mergeCell ref="G5:M5"/>
    <mergeCell ref="A6:F6"/>
    <mergeCell ref="G6:M6"/>
    <mergeCell ref="A11:K11"/>
    <mergeCell ref="A8:A9"/>
    <mergeCell ref="K8:K9"/>
  </mergeCells>
  <printOptions horizontalCentered="1"/>
  <pageMargins left="0.19685039370078741" right="0.19685039370078741" top="0.26" bottom="0.26" header="0.17" footer="0.17"/>
  <pageSetup paperSize="5" scale="9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2022-07-05T15:56:47Z</cp:lastPrinted>
  <dcterms:created xsi:type="dcterms:W3CDTF">2020-07-17T23:44:49Z</dcterms:created>
  <dcterms:modified xsi:type="dcterms:W3CDTF">2022-09-27T12:05:27Z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