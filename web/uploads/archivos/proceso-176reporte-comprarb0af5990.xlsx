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mc:AlternateContent xmlns:mc="http://schemas.openxmlformats.org/markup-compatibility/2006">
    <mc:Choice Requires="x15">
      <x15ac:absPath xmlns:x15ac="http://schemas.microsoft.com/office/spreadsheetml/2010/11/ac" url="C:\Users\ADRIAN\Downloads\"/>
    </mc:Choice>
  </mc:AlternateContent>
  <xr:revisionPtr revIDLastSave="0" documentId="13_ncr:1_{91578D5D-24E3-4AA8-AF77-5DFF6333C503}" xr6:coauthVersionLast="47" xr6:coauthVersionMax="47" xr10:uidLastSave="{00000000-0000-0000-0000-000000000000}"/>
  <bookViews>
    <workbookView xWindow="-120" yWindow="-120" windowWidth="29040" windowHeight="15840"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comparativo'!$G$8:$J$8,'Cuadro comparativo'!$K$8:$N$8,'Cuadro comparativo'!$O$8:$R$8,'Cuadro comparativo'!$S$8:$V$8,'Cuadro comparativo'!$W$8:$Z$8,'Cuadro comparativo'!$AA$8:$AD$8,'Cuadro comparativo'!$AE$8:$AH$8,'Cuadro comparativo'!$AI$8:$AL$8,'Cuadro comparativo'!$AM$8:$AP$8,'Cuadro comparativo'!$AQ$8:$AT$8,'Cuadro comparativo'!$AU$8:$AX$8,'Cuadro comparativo'!$AY$8:$BB$8</definedName>
    <definedName name="Titles">'Cuadro comparativo'!$A$8:$F$8</definedName>
  </definedNames>
  <calcPr calcId="181029"/>
</workbook>
</file>

<file path=xl/calcChain.xml><?xml version="1.0" encoding="utf-8"?>
<calcChain xmlns="http://schemas.openxmlformats.org/spreadsheetml/2006/main">
  <c r="I41" i="2" l="1"/>
  <c r="M41" i="2"/>
  <c r="Q41" i="2"/>
  <c r="U41" i="2"/>
  <c r="Y41" i="2"/>
  <c r="AC41" i="2"/>
  <c r="AG41" i="2"/>
  <c r="AK41" i="2"/>
  <c r="AO41" i="2"/>
  <c r="AS41" i="2"/>
  <c r="AW41" i="2"/>
  <c r="BA41" i="2"/>
</calcChain>
</file>

<file path=xl/sharedStrings.xml><?xml version="1.0" encoding="utf-8"?>
<sst xmlns="http://schemas.openxmlformats.org/spreadsheetml/2006/main" count="344" uniqueCount="230">
  <si>
    <t>Número expediente:</t>
  </si>
  <si>
    <t>EX-2022-01538194-   -CAT-DPCBS#MEC</t>
  </si>
  <si>
    <t>Número proceso de compra:</t>
  </si>
  <si>
    <t>100-0058-CPR22</t>
  </si>
  <si>
    <t>Nombre descriptivo proceso de compra:</t>
  </si>
  <si>
    <t>ADQUISICIÓN DE ANTISÉPTICOS Y DESINFECTANTES PARA DISTINTOS ORGANISMOS DE SALUD</t>
  </si>
  <si>
    <t>Unidad Operativa de Compras:</t>
  </si>
  <si>
    <t>Secretaria de Compras y Abastecimiento</t>
  </si>
  <si>
    <t>Fecha de Apertura:</t>
  </si>
  <si>
    <t>02/09/2022</t>
  </si>
  <si>
    <t>Renglón</t>
  </si>
  <si>
    <t>PROPATO HNOS. S.A.I.C.</t>
  </si>
  <si>
    <t>Pharma Express S.A.</t>
  </si>
  <si>
    <t>ELIO OMAR CANDUSSI</t>
  </si>
  <si>
    <t>ANA GABRIELA CORDOBA</t>
  </si>
  <si>
    <t>MEDICINA INTEGRAL SRL</t>
  </si>
  <si>
    <t>SANAR SRL</t>
  </si>
  <si>
    <t>MACROPHARMA S.A</t>
  </si>
  <si>
    <t>NOA PHARMA SRL</t>
  </si>
  <si>
    <t>CHRISTIAN EMANUEL ARATOMA ROMERO</t>
  </si>
  <si>
    <t>Adox SA</t>
  </si>
  <si>
    <t xml:space="preserve">DNM FARMA SA </t>
  </si>
  <si>
    <t>PRODUMED SRL</t>
  </si>
  <si>
    <t>Alternativa</t>
  </si>
  <si>
    <t>Código</t>
  </si>
  <si>
    <t>Descripción</t>
  </si>
  <si>
    <t>Cantidad solicitada</t>
  </si>
  <si>
    <t>Unidad de medida</t>
  </si>
  <si>
    <t>Precio unitario</t>
  </si>
  <si>
    <t>Cantidad ofertada</t>
  </si>
  <si>
    <t>Total por renglón</t>
  </si>
  <si>
    <t>Especificacion técnica</t>
  </si>
  <si>
    <t xml:space="preserve">1 </t>
  </si>
  <si>
    <t xml:space="preserve">2.5.1-5771.12 </t>
  </si>
  <si>
    <t xml:space="preserve">ANTISEPTICOS P/ MATERIALES; COMPUESTO QUIMICO: AC.ACETICO, ESTADO SOLIDO, CALIDAD FARMACEUTICA, 
CONCENTRACION/PUREZA 25/30 % , PRESENTACION: 5 KG, USO: EQUIPO </t>
  </si>
  <si>
    <t xml:space="preserve">UNIDAD </t>
  </si>
  <si>
    <t xml:space="preserve">2 </t>
  </si>
  <si>
    <t xml:space="preserve">2.5.1-5771.13 </t>
  </si>
  <si>
    <t xml:space="preserve">ANTISEPTICOS P/ MATERIALES ; COMPUESTO QUIMICO: AC. CITRICO, ESTADO: SOLIDO, 
CALIDAD: BIOLOGIA MOLECULAR, CONCENTRACION/PUREZA: 99,99 %, PRESENTACION: ENVASE X 1 
KG </t>
  </si>
  <si>
    <t xml:space="preserve">3 </t>
  </si>
  <si>
    <t xml:space="preserve">2.5.2-710.4 </t>
  </si>
  <si>
    <t xml:space="preserve">AGUA OXIGENADA; CAPACIDAD: 1000 CM3, VOLUMEN: 10, PRESENTACION: ENVASE X 
1000 CM3 </t>
  </si>
  <si>
    <t xml:space="preserve">AGUA OXIGENADA 10 VOL. 1000ml  DROGAL  PM: DISP. 
0642 </t>
  </si>
  <si>
    <t xml:space="preserve">Agua oxigenada 10 vol. x 1 lt - Marca Sanadrog 
</t>
  </si>
  <si>
    <t xml:space="preserve">AGUA OXIGENADA VOL 10 POR 1 LITRO MARCA: LAB TABLADA 
</t>
  </si>
  <si>
    <t xml:space="preserve">AGUA OXIGENADA 10VOL X 1000ML   TABLADA IBC  
e   Disp:6046/16 </t>
  </si>
  <si>
    <t xml:space="preserve">marca LAFARO  </t>
  </si>
  <si>
    <t xml:space="preserve">AGUA OXIGENADA 1000CM VOL 10% MARCA IQB CERT 56-2009/7175-11 EVASE 
X 1000 </t>
  </si>
  <si>
    <t xml:space="preserve">4 </t>
  </si>
  <si>
    <t xml:space="preserve">2.5.2-711.15 </t>
  </si>
  <si>
    <t xml:space="preserve">ALCOHOL USO MEDICINAL; PUREZA: 70 %, PRESENTACION: ENVASE X 1 
L </t>
  </si>
  <si>
    <t xml:space="preserve">ALCOHOL 70% 1000ml BIALCOHOL  PM: DISP. Nº1079/19 </t>
  </si>
  <si>
    <t xml:space="preserve">Alcohol al 70% x 1 lt. - Marca Bialcohol </t>
  </si>
  <si>
    <t xml:space="preserve">ALCOHOL AL 70% POR 1 LITRO. MARCA:BIALCOHOL PORTA </t>
  </si>
  <si>
    <t xml:space="preserve">ALCOHOL  70 %,  X 1 L   
   SAN IGINIO ANMAT Nº 6441/96  LEG 
71/41 MS Y AS RES 155/98 DISP1159/02 </t>
  </si>
  <si>
    <t xml:space="preserve">marca SANI INGINIO  </t>
  </si>
  <si>
    <t xml:space="preserve">PORTA - LAGAJO 7141 </t>
  </si>
  <si>
    <t xml:space="preserve">5 </t>
  </si>
  <si>
    <t xml:space="preserve">2.5.2-711.29 </t>
  </si>
  <si>
    <t xml:space="preserve">ALCOHOL USO MEDICINAL; PUREZA: 70 %, PRESENTACION: ENVASE X 500 
mL </t>
  </si>
  <si>
    <t xml:space="preserve">ALCOHOL 70% 500ml BIALCOHOL  PM: DISP. Nº1079/19 </t>
  </si>
  <si>
    <t xml:space="preserve">Alcohol al 70% x 500 ml - Marca Bialcohol </t>
  </si>
  <si>
    <t xml:space="preserve">ALCOHOL AL 70% POR 500cc MARCA: BIALCOHOL PORTA </t>
  </si>
  <si>
    <t xml:space="preserve">ALCOHOL  70 %,  X 500CC   SAN 
IGINIO ANMAT Nº 6441/96  LEG 71/41 MS Y AS 
RES 155/98 DISP1159/02 </t>
  </si>
  <si>
    <t xml:space="preserve">PORTA - LEGAJO 7141 </t>
  </si>
  <si>
    <t xml:space="preserve">ALCOHOL 70% LIQUIDO X 500ML - PORTA BIALCOHOL </t>
  </si>
  <si>
    <t xml:space="preserve">6 </t>
  </si>
  <si>
    <t xml:space="preserve">2.5.2-711.1 </t>
  </si>
  <si>
    <t xml:space="preserve">ALCOHOL USO MEDICINAL; PUREZA: 96 %, PRESENTACION: ENVASE X 500 
CM3, CAPACIDAD: 500 CM3 </t>
  </si>
  <si>
    <t xml:space="preserve">ALCOHOL PURO 96% 500ml BIALCOHOL  PM: DISP. Nº 1227/17 
</t>
  </si>
  <si>
    <t xml:space="preserve">Alcohol al 96% x 500 ml - Marca Bialcohol </t>
  </si>
  <si>
    <t xml:space="preserve">ALCOHOL AL 96% POR 500cc MARCA: BIALCOHOL PORTA </t>
  </si>
  <si>
    <t xml:space="preserve">ALCOHOL  96 %,  X 500CC    
 SAN IGINIO ANMAT Nº 6441/96  LEG 71/41 MS 
Y AS RES 155/98 DISP1159/02 </t>
  </si>
  <si>
    <t xml:space="preserve">marca SAN INGINIO  </t>
  </si>
  <si>
    <t xml:space="preserve">PORTA -LEGAJO 7141 </t>
  </si>
  <si>
    <t xml:space="preserve">ALCOHOL 96% MEDICINAL LIQUIDO X 500ML - PORTA BIALCOHOL </t>
  </si>
  <si>
    <t xml:space="preserve">7 </t>
  </si>
  <si>
    <t xml:space="preserve">2.5.2-711.32 </t>
  </si>
  <si>
    <t xml:space="preserve">ALCOHOL USO MEDICINAL; PUREZA: 96 %, PRESENTACION: ENVASE X 1000 
CM3 </t>
  </si>
  <si>
    <t xml:space="preserve">ALCOHOL PURO 96% 1000ml  BIALCOHOL  PM: DISP. Nº 
1227/17 </t>
  </si>
  <si>
    <t xml:space="preserve">Alcohol al 96% x 1000 ml - Marca Bialcohol </t>
  </si>
  <si>
    <t xml:space="preserve">ALCOHOL AL 96% POR 1 LITRO MARCA: BIALCOHOL PORTA </t>
  </si>
  <si>
    <t xml:space="preserve">ALCOHOL  96 %,  X 1L    
SAN IGINIO ANMAT Nº 6441/96  LEG 71/41 MS Y 
AS RES 155/98 DISP1159/02 </t>
  </si>
  <si>
    <t xml:space="preserve">ALCOHOL 96% MEDICINAL LIQUIDO X 1000ML - PORTA BIALCOHOL </t>
  </si>
  <si>
    <t xml:space="preserve">8 </t>
  </si>
  <si>
    <t xml:space="preserve">2.5.2-711.41 </t>
  </si>
  <si>
    <t xml:space="preserve">ALCOHOL USO MEDICINAL; PUREZA: 70 %, PRESENTACION: GEL ENVASE X 
250 CM3 </t>
  </si>
  <si>
    <t xml:space="preserve">ALCOHOL EN GEL 250ml C/GLICERINA C/DOSIF. BIALCOHOL  PM: EX-2020-61253959 
</t>
  </si>
  <si>
    <t xml:space="preserve">Alcohol en gel x 250 ml - Marca Bialcohol </t>
  </si>
  <si>
    <t xml:space="preserve">ALCOHOL AL 70% GEL POR 250CC MARCA: BIALCOHOL PORTA </t>
  </si>
  <si>
    <t xml:space="preserve">ALCOHOL EN GEL X 250 ML CON GLICERINA C/VALVULA DOSIF. 
- PORTA BIALCOHOL </t>
  </si>
  <si>
    <t xml:space="preserve">9 </t>
  </si>
  <si>
    <t xml:space="preserve">2.5.2-1723.110 </t>
  </si>
  <si>
    <t xml:space="preserve">ANTISEPTICOS LOCALES P/PERSONA; TIPO: DESINFECTANTE, DROGA GENERICA: ALCOHOL YODADO, FORMA 
FARMACEUTICA: SOLUCION, PRESENTACION: ENVASE X 1000 mL </t>
  </si>
  <si>
    <t xml:space="preserve">marca IQB </t>
  </si>
  <si>
    <t xml:space="preserve">10 </t>
  </si>
  <si>
    <t xml:space="preserve">2.5.1-9065.27 </t>
  </si>
  <si>
    <t xml:space="preserve">DESINFECTANTES Y DETERGENTES; PRINCIPIO ACTIVO: AMONIO CUATERNARIO, CALIDAD: COMERCIAL, CONCENTRACION/PUREZA: 
99 %, PRESENTACION: ENVASE X 5 L </t>
  </si>
  <si>
    <t xml:space="preserve">COVIDEX - PM2072 - SURFADEX 4N X 5 LITROS - 
DILUCION 2,5 ML X LITRO - RENDIMIENTO 2000 LITROS  
</t>
  </si>
  <si>
    <t xml:space="preserve">LIMPIEZA Y DESINFECCIÓN DE SUELOS, PAREDES, MATERIAL MÉDICO Y PRODUCTOS 
SANITARIOS NO INVASIVOS (ESTETOSCOPIOS, GLUCÓMETROS, MARTILLOS PARA COMPROBAR REFLEJOS, ETC.) 
ADECUADO PARA SUPERFICIES QUE PUEDAN ENTRAR EN CONTACTO CON LOS 
PRODUCTOS ALIMENTICIOS-UNICO PRODUCTO EN EL MERCADO CON DOSSIER CIENTIFICO Y 
CERTIFICACIÓN DE EFICIENCIA SOBRE EL Novel coronavirus (2019-nCoV). MARCA: SURFANIOS 
PREMIUM - Presentación bidón por 5 litros ANMAT 734-7 </t>
  </si>
  <si>
    <t xml:space="preserve">ADOX PETROVAC I Limpiador Desinfectante en base a amonios cuaternarios 
de 4ta generación para áreas críticas. RAPIDA ACCION. Presentación envase 
x litros. Marca ADOX. Origen: Argentina. Presentación secundaria: Caja por 
1 unidad. Aprobado por ANMAT. PM N° 259/38 Detergente con 
amonios cuaternarios de última generación para limpieza, sanitización y desinfección 
en un solo paso. Libre de aldehídos. Biodegradable. No corroe 
ni desprende olor. Petrovac puede ser utilizado sobre superficies de 
trabajo: mesas, máquinas, bandejas, sistemas de transporte, materiales, herramientas, suelos, 
paredes, techos, etc. Presentación: Bidón x 5 litros MAXIMO Rendimiento: 
2,5 ml. x litro solución. Rendimiento por bidón de 5L 
= 2000 litros de producto terminado. Se entregará uná bomba 
dosificadora cada 5 bidones </t>
  </si>
  <si>
    <t xml:space="preserve">11 </t>
  </si>
  <si>
    <t xml:space="preserve">2.5.2-1723.171 </t>
  </si>
  <si>
    <t xml:space="preserve">ANTISEPTICOS LOCALES P/PERSONA; TIPO: ASOCIACION, DROGA GENERICA: 2% CLORHEXIDINA+ALCOHOL, FORMA 
FARMACEUTICA: SOLUCION, PRESENTACION: ENVASE X 250 ML </t>
  </si>
  <si>
    <t xml:space="preserve">COVIDEX - PM 2072 - ST2250 - CLORHEXIDINA EN BASE 
ALCOHÓLICA X 250 ML   </t>
  </si>
  <si>
    <t xml:space="preserve">12 </t>
  </si>
  <si>
    <t xml:space="preserve">2.5.2-1723.172 </t>
  </si>
  <si>
    <t xml:space="preserve">ANTISEPTICOS LOCALES P/PERSONA; TIPO: MONODROGA, DROGA GENERICA: CLORHEXIDINA AL 2%, 
FORMA FARMACEUTICA: SOLUCION ACUOSA, PRESENTACION: ENVASE X 250 ML </t>
  </si>
  <si>
    <t xml:space="preserve">CLORHEXIDINA AL 2%,  SOLUCION ACUOSA ENVASE X 250 ML 
  COVIDEX  DISP 10728 </t>
  </si>
  <si>
    <t xml:space="preserve">COVIDEX -PM 2072 - STA2250 - CLORHEXIDINA EN BASE ACUOSA 
X 250ML  </t>
  </si>
  <si>
    <t xml:space="preserve"> CLORHEXIDINA 2% X 250 ML C/DOSIF LACLORHEX DESINF SERTEX 
  </t>
  </si>
  <si>
    <t xml:space="preserve">13 </t>
  </si>
  <si>
    <t xml:space="preserve">2.5.2-1723.166 </t>
  </si>
  <si>
    <t xml:space="preserve">ANTISEPTICOS LOCALES P/PERSONA; TIPO: MONODROGA, DROGA GENERICA: CLORHEXIDINA AL 4%, 
FORMA FARMACEUTICA: JABON MEDICINAL, PRESENTACION: ENVASE X 500 mL </t>
  </si>
  <si>
    <t xml:space="preserve">ANTISEPTICO CLORHEXIDINA JAB. 4% 500ml C/DOSIF. LACLORHEX  PM: CERT. 
45308 </t>
  </si>
  <si>
    <t xml:space="preserve">Clorhexidina al 4 % x 500 m - Marca Iqb 
</t>
  </si>
  <si>
    <t xml:space="preserve">CLORHEXIDINA AL 2%,  SOLUCION ACUOSA ENVASE X 500 ML 
 COVIDEX DISP 10728 </t>
  </si>
  <si>
    <t xml:space="preserve">CLORHEXIDINA AL 4% JABON X 500 ML MARCA IQB CERT 
46455 </t>
  </si>
  <si>
    <t xml:space="preserve">ELEA - ANMAT 46378 </t>
  </si>
  <si>
    <t xml:space="preserve">ADOX JL9 I Jabón Liquido Bactericida con clorhexidina. Ph Dérmico. 
Envase campana con valvula por 500 ml. Marca ADOX. Origen: 
Argentina. Aprobado por ANMAT Presentación: Caja por 18 unidades Principales 
características: ? Contiene Digluconato de clorhexidina segun las recomendaciones internacionales 
para lograr un seguro efecto germicida en el uso. ? 
Contiene agentes humectantes y emolientes que disminuyen el resecamiento debido 
a la accion de los componentes utilizados normalmente en este 
tipo de formulaciones. ? Su exclusivo envase aséptico descartable y 
sistema dispensador se encuentran especialmente diseñados para no entrar en 
contacto con las manos, evitando así las contaminaciones cruzadas. ? 
Contiene tensioactivos con alto poder espumigeno y aditivos que estabilizan 
la espuma </t>
  </si>
  <si>
    <t xml:space="preserve"> CLORHEXIDINA 4% X 500 ML C/DOSIF LACLORHEX SERTEX (S-1-24-1080) 
  </t>
  </si>
  <si>
    <t xml:space="preserve">14 </t>
  </si>
  <si>
    <t xml:space="preserve">2.5.2-1723.69 </t>
  </si>
  <si>
    <t xml:space="preserve">ANTISEPTICOS LOCALES P/PERSONA; TIPO: MONODROGA, DROGA GENERICA: CLOROXILENOL, FORMA FARMACEUTICA: 
SOLUCION, PRESENTACION: ENVASE X 5 L </t>
  </si>
  <si>
    <t xml:space="preserve">Cloroxilenon solucion jabonosa 5% x 5 lts. - Marca IQB 
</t>
  </si>
  <si>
    <t xml:space="preserve">marca IQB  </t>
  </si>
  <si>
    <t xml:space="preserve"> CLOROXILENOL X 5 LT ICUBEX (S-1)   </t>
  </si>
  <si>
    <t xml:space="preserve">15 </t>
  </si>
  <si>
    <t xml:space="preserve">2.5.1-9065.16 </t>
  </si>
  <si>
    <t xml:space="preserve">DESINFECTANTES Y DETERGENTES; PRINCIPIO ACTIVO: AMILASA, PROTEASA, LIPASA, CALIDAD: COMERCIAL, 
CONCENTRACION/PUREZA: 100 %, PRESENTACION: ENVASE X 5 L </t>
  </si>
  <si>
    <t xml:space="preserve">COVIDEX - RES 155/98 - TRIDEX - DETERGENTE TRIENZIMÁTICO X 
5 LITROS - AMILASA, LIPASA, PROTEASA, DOLICIÓN 2,5 ML X 
LITRO - RENDIMIENTO 2000 LITROS.  </t>
  </si>
  <si>
    <t xml:space="preserve">DETERGENTE TRI ENZIMÁTICO PARA INSTRUMENTAL MÉDICO-PRESENTACIÓN BIDÓN 5 LITROS C/BOMBA 
DOSIFICADORA • Muy alto poder detergente    demostrado 
• Formulación enzimática: eficaz    en todo tipo 
de manchas • Alto eficacia con cualquier tipo   
 de agua • Puede utilizarse con la gama  
  de desinfectantes de alto    nivel 
Anios • Aspecto: límpido azul • pH en dilución (0.5 
%) en agua de red: 7.6 aproximadamente • Densidad : 
˜ 1.08 COMPOSICIÓN Tensioactivos no iónico y aniónico, complejo enzimático 
(proteasa, lipasa y amilasa ), excipientes. MARCA: SYNERGY MT UNICO 
PRODUCTO EN EL MERCADO CON DOSSIER CIENTÍFICO ANMAT N° 734-25C 
SE PROVEERA 1 VALVULA DOSIFICADORA CADA 4 BIDONES DE 5 
LTS </t>
  </si>
  <si>
    <t xml:space="preserve">ADOX DM3 PLUS I Detergente multienzimatico. Bidon x 5 litros. 
ATOXICO. Libre de fenoles. Ultraconcentrado (3 ml/litro). Marca ADOX. Origen: 
Argentina. Aprobado por ANMAT. PM N° 259/20 Principales características: ? 
DM3 PLUS es un detergente líquido especialmente formulado para el 
lavado del material quirúrgico previamente a la esterilización o desinfección 
de alto nivel. ? Su fórmula ha sido especialmente diseñada 
para obtener una alta concentración de activos y buena estabilidad 
química y microbiológica. ? En el DM3 PLUS coexisten tres 
tipos de enzimas: una proteasa que permite la degradación de 
las manchas o incrustaciones proteicas en el medio acuoso de 
lavado, una lipasa que degrada sustratos lipídicos (grasas) y una 
amilasa que degrada almidones. ? La acción conjunta de estas 
3 enzimas hace que el producto cubra todas las necesidades 
de limpieza de materiales biológicos que puedan presentarse en el 
tratamiento de material quirúrgico. ? Entre los activos que componen 
el DM3 PLUS se encuentran tensioactivos no iónicos, responsables de 
las propiedades de detergente que tiene el producto, y que 
favorecen la estabilización de las enzimas; alcoholes y glicoles de 
cadena corta que actúan como agentes hidrótropos (permiten la disolución 
de altas concentraciones de tensioactivo en el agua de preparación) 
y como bacteriostáticos; iones inorgánicos que regulan el pH del 
producto en la zona de mayor eficiencia de la enzima 
proteasa y además actúan como cofactores enzimáticos; extractos vegetales que 
mejoran el efecto desengrasante; y agentes inhibidores de corrosión que 
evitan el ataque a los materiales metálicos una vez que 
el producto fue diluido con agua. ? Presentación: Bidón x 
5 litros ? MAXIMO Rendimiento: 3 ml. x litro solución. 
? Rendimiento por bidón de 5L = 1666 litros de 
producto terminado. ? INCLUYE 1 VALVULA DOSIFICADORA cada 5 bidones 
</t>
  </si>
  <si>
    <t xml:space="preserve">16 </t>
  </si>
  <si>
    <t xml:space="preserve">2.5.2-1726.492 </t>
  </si>
  <si>
    <t xml:space="preserve">SOLUCIONES P/MEDICINA; TIPO: FORMOL AL 40 %, PRESENTACION: ENVASE X 
1 L </t>
  </si>
  <si>
    <t xml:space="preserve">FORMOL SOLUCION 40% 1000ml DROGAL  PM: FARMACOPEA - NOTA 
</t>
  </si>
  <si>
    <t xml:space="preserve">TIPO FORMOL AL 40% ENVASE X1 L MARCA IQB CERT 
1461-5 </t>
  </si>
  <si>
    <t xml:space="preserve"> FORMOL 40% X 1 LT DROGAL (A-1-6)   
</t>
  </si>
  <si>
    <t xml:space="preserve">17 </t>
  </si>
  <si>
    <t xml:space="preserve">2.5.1-9065.53 </t>
  </si>
  <si>
    <t xml:space="preserve">DESINFECTANTES Y DETERGENTES; PRINCIPIO ACTIVO: GLUTARALDEHIDO CON SULFACTANTE, CALIDAD: BIOLOGIA 
MOLECULAR, CONCENTRACION/PUREZA: 2 %, PRESENTACION: ENVASE X 4 L </t>
  </si>
  <si>
    <t xml:space="preserve">GLUTARALDEHIDO CON SULFAC AL 2 %,  X 4 L 
 SERTEX PM 2173-2 </t>
  </si>
  <si>
    <t xml:space="preserve">GLUTARALDEHIDO CON SULFACTANTE PUREZA 2% ENVASE X 4 LITROS MARCA 
IQB CERT 1461-1 </t>
  </si>
  <si>
    <t xml:space="preserve">DESINFECTANTE DE ALTO NIVEL LISTO PARA SU USO- PRESENTACIÓN BIDÓN 
POR 5 LITROS Desinfectante de alto nivel / Esterilizante en 
frío de dispositivos médicos, material quirúrgico y médico, material de 
endoscopia y material termosensible. MARCA: STERANIOS 2% - ANMAT N° 
734-2 • Conservación del baño 30 días • Solución límpida 
de color verde. • Activo en Helicobacter pylori • Solución 
al 2% de Glutaraldehído tamponada a pH6 (Citrato de sodio) 
• STERANIOS 2% NG y STERANIOS 2% ECS son fórmulas 
con    compuestos que limitan y controlan la 
evaporación del glutaraldehído. • Esporicidia completa (5 log de reducción). 
• Amplia compatibilidad con todo tipo de materiales. • Caducidad: 
3 años a partir de la fecha de fabricación. • 
Se utiliza en asociación con todo tipo de producto de 
limpieza    predesinfectante. UNICO PRODUCTO EN EL MERCADO 
CON DOSSIER CIENTÍFICO  </t>
  </si>
  <si>
    <t xml:space="preserve"> GLUTARALDEHIDO 2% X 4 LT- 28 DIAS C/ SURFACTANTE 
SERTEX (A-1-4-160)   </t>
  </si>
  <si>
    <t xml:space="preserve">18 </t>
  </si>
  <si>
    <t xml:space="preserve">2.5.2-1723.143 </t>
  </si>
  <si>
    <t xml:space="preserve">ANTISEPTICOS LOCALES P/PERSONA; TIPO: MONODROGA, DROGA GENERICA: GLUTARALDEHIDO AL 2%, 
FORMA FARMACEUTICA: SOLUCION, PRESENTACION: ENVASE X 4 L </t>
  </si>
  <si>
    <t xml:space="preserve">GLUTARALDEHIDO AL 2% ENVASE X 4 LITROS MARCA IQB CERT 
1461-1 </t>
  </si>
  <si>
    <t xml:space="preserve">19 </t>
  </si>
  <si>
    <t xml:space="preserve">2.5.2-1723.30 </t>
  </si>
  <si>
    <t xml:space="preserve">ANTISEPTICOS LOCALES P/PERSONA; TIPO: MONODROGA, DROGA GENERICA: IODOPOVIDONA, FORMA FARMACEUTICA: 
SOLUCION, PRESENTACION: BIDON X 5 L </t>
  </si>
  <si>
    <t xml:space="preserve">ANTISEPTICO IODOPOVIDONA SOL. 10% 5000ml ICUBEX  PM: CERT. 40784 
</t>
  </si>
  <si>
    <t xml:space="preserve">IODOPOVIDONA SOLUCION,  BIDON X 5 L SERTEX 38.727 </t>
  </si>
  <si>
    <t xml:space="preserve">IODOPOVIDONA SOLUCION ENASE X5 LITROS MARCA IQB CERT 40784 </t>
  </si>
  <si>
    <t xml:space="preserve">IODOPOVIDONA 10% X 5 LTS POVIBAC SERTEX (A-1-4)  </t>
  </si>
  <si>
    <t xml:space="preserve">20 </t>
  </si>
  <si>
    <t xml:space="preserve">2.5.2-1723.50 </t>
  </si>
  <si>
    <t xml:space="preserve">ANTISEPTICOS LOCALES P/PERSONA; DROGA GENERICA: IODOPOVIDONA 10%, FORMA FARMACEUTICA: SOLUCION, 
PRESENTACION: ENVASE X 1 L, TIPO: MONODROGA </t>
  </si>
  <si>
    <t xml:space="preserve">ANTISEPTICO IODOPOVIDONA SOL. 10% 1000ml ICUBEX  PM: CERT. 40784 
</t>
  </si>
  <si>
    <t xml:space="preserve">Iodopovidona 10% solucion x 1 lt CON VALVULA - ICUBEX 
</t>
  </si>
  <si>
    <t xml:space="preserve">IODOPOVIDONA AL 10% ENVASE X1 L CON VALVULA ATOMIZADORA MARCA 
IQB CERT 40784 </t>
  </si>
  <si>
    <t xml:space="preserve">ELEA - ANMAT 34648 - SIN VALVULA  </t>
  </si>
  <si>
    <t xml:space="preserve"> IODOPOVIDONA 10% X 1 LT C/ TAPA POVIBAC SERTEX 
(A-1-12-480)   </t>
  </si>
  <si>
    <t xml:space="preserve">21 </t>
  </si>
  <si>
    <t xml:space="preserve">2.5.2-1723.104 </t>
  </si>
  <si>
    <t xml:space="preserve">ANTISEPTICOS LOCALES P/PERSONA; TIPO: MONODROGA, DROGA GENERICA: IODOPOVIDONA 5 %, 
FORMA FARMACEUTICA: JABON LIQUIDO, PRESENTACION: ENVASE X 1 L </t>
  </si>
  <si>
    <t xml:space="preserve">ANTISEPTICO IODOPOVIDONA JAB 5% 1000ml ICUBEX  PM: CERT. 40784 
</t>
  </si>
  <si>
    <t xml:space="preserve">Iodopovidona al 5% x 1 lt. C/ DOSIFICADOR - Marca 
ICUBEX </t>
  </si>
  <si>
    <t xml:space="preserve">IODOPOVIDONA AL 5% JABON LIQ  ENVASE X 1L MARCA 
IQB CERT 440784 </t>
  </si>
  <si>
    <t xml:space="preserve">ELEA ANMAT 34648 - SIN VALVULA  </t>
  </si>
  <si>
    <t xml:space="preserve"> IODOPOVIDONA 5% JABONOSA X 1 LT C/DOSIF SERTEX (A-1-12) 
  </t>
  </si>
  <si>
    <t xml:space="preserve">22 </t>
  </si>
  <si>
    <t xml:space="preserve">2.5.2-1723.146 </t>
  </si>
  <si>
    <t xml:space="preserve">ANTISEPTICOS LOCALES P/PERSONA; TIPO: MONODROGA, DROGA GENERICA: IODOPOVIDONA 5 %, 
FORMA FARMACEUTICA: JABON LIQUIDO, PRESENTACION: ENVASE X 5 L </t>
  </si>
  <si>
    <t xml:space="preserve">ANTISEPTICO IODOPOVIDONA JAB. 5% 5000ml ICUBEX  PM: CERT. 40784 
</t>
  </si>
  <si>
    <t xml:space="preserve">IODOPOVIDONA 5% JABON  BIDON X 5 L SERTEX 38.727 
</t>
  </si>
  <si>
    <t xml:space="preserve">IODOPOVIDONA AL 5%JABON LIQ X 5 L MARCA IQB CERT 
40784 </t>
  </si>
  <si>
    <t xml:space="preserve"> IODOPOVIDONA 5% JABONOSA X 5 LT ICUBEX   
</t>
  </si>
  <si>
    <t xml:space="preserve">23 </t>
  </si>
  <si>
    <t xml:space="preserve">2.5.2-1723.174 </t>
  </si>
  <si>
    <t xml:space="preserve">ANTISEPTICOS LOCALES P/PERSONA; TIPO: ANTIBACTERIANO, DROGA GENERICA: CLORHEXIDINA, FORMA FARMACEUTICA: 
JABON LIQUIDO, PRESENTACION: ENVASE X 800 ML BAG IN BOX 
</t>
  </si>
  <si>
    <t xml:space="preserve">COVIDEX - RES 155/98 - JC4800 - JABON BACTERICIDA CON 
CLORHEXIDINA X 800ML - SISTEMA CERRADO BAG IN BOX - 
PH DERMICO CON EMOLIENTES   </t>
  </si>
  <si>
    <t xml:space="preserve">ADOX JL9 I Jabón Liquido Bactericida con clorhexidina. Ph Dérmico. 
Envase BAG IN BOX por 800 ml. Marca ADOX. Origen: 
Argentina. Aprobado por ANMAT Presentación: Caja por 10 unidades Principales 
características: ? Contiene Digluconato de clorhexidina segun las recomendaciones internacionales 
para lograr un seguro efecto germicida en el uso. ? 
Contiene agentes humectantes y emolientes que disminuyen el resecamiento debido 
a la accion de los componentes utilizados normalmente en este 
tipo de formulaciones. ? Su exclusivo envase aséptico descartable y 
sistema dispensador se encuentran especialmente diseñados para no entrar en 
contacto con las manos, evitando así lascontaminaciones cruzadas. ? Contiene 
tensioactivos con alto poder espumigeno y aditivos que estabilizan la 
espuma. ? Dispenser manual en comodato (sistema mano / codo) 
para BAG IN BOX x 800 ml. Mca ADOX.  
</t>
  </si>
  <si>
    <t xml:space="preserve">24 </t>
  </si>
  <si>
    <t xml:space="preserve">2.5.2-1723.177 </t>
  </si>
  <si>
    <t xml:space="preserve">ANTISEPTICOS LOCALES P/PERSONA; TIPO: ASOCIACION, DROGA GENERICA: GLICERINA CON DERIVADOS 
DEL OLIVO, FORMA FARMACEUTICA: JABON LIQUIDO HIPOALERGENICO, PRESENTACION: ENVASE X 
800 ML BAG IN BOX </t>
  </si>
  <si>
    <t xml:space="preserve">COVIDEX - PM2072 - PH6800 - JABON NEUTRO PH DERMICO 
- SIN COLOR / SIN OLOR X 800ML - SISTEMA 
CERRADO BAG IN BOX.  </t>
  </si>
  <si>
    <t xml:space="preserve">ADOX JL4 I Jabón Líquido hipoalergenico. Ph Dérmico. No contiene 
cloruro de sodio, ni parabenos. Envase BAG IN BOX por 
800 ml. Marca ADOX. Origen: Argentina. Presentacion: Caja por 10 
unidades Aprobación ANMAT Principales características: ? Es un jabón fabricado 
con materias primas naturales que cumple con propiedades hipoalergénicas, suavizantes 
y humectantes. ? Se encuentra especialmente recomendado para piel hipersensible 
y delicada (con certificado ANMAT grado 2 y estudios de 
seguridad y eficacia dérmica) ? No tiene perfume, ni colorantes, 
lo cual significa que no va a afectar la piel 
sensible. ? No tiene alcalinidad libre, al contrario de los 
jabones comunes que sí la tienen y pueden ocasionar que 
la piel se reseque. ? Su exclusivo envase aséptico descartable 
y sistema dispensador se encuentran especialmente diseñados para no entrar 
en contacto con las manos, evitando así las contaminaciones cruzadas. 
? Contiene tensioactivos con alto poder espumigeno y aditivos que 
estabilizan la espuma ? Dispenser manual en comodato (sistema mano 
/ codo) para BAG IN BOX x 800 ml. Mca 
ADOX </t>
  </si>
  <si>
    <t xml:space="preserve">25 </t>
  </si>
  <si>
    <t xml:space="preserve">2.5.2-1723.175 </t>
  </si>
  <si>
    <t xml:space="preserve">ANTISEPTICOS LOCALES P/PERSONA; TIPO: ANTIBACTERIANO, DROGA GENERICA: CLORHEXIDINA, FORMA FARMACEUTICA: 
LOCION ALCOHOLICA BACTERICIDA, PRESENTACION: ENVASE X 800 ML BAG IN 
BOX </t>
  </si>
  <si>
    <t xml:space="preserve">COVIDEX - RES 155/98 - LC2800 - LOCION BACTERICIDA CON 
CLORHEXIDINA CON EMOLIENTES X 800ML - SISTEMA CERRADO BAG IN 
BOX  </t>
  </si>
  <si>
    <t xml:space="preserve">L9 I Loción alcohólica bactericida con clorhexidina, emolientes y suavizantes. 
Envase BAG IN BOX por 800 ml. Marca ADOX. Origen: 
Argentina. Presentación: Caja por 10 unidades.Aprobación ANMAT Principales características: ? 
Su exclusiva formulación combina el alcohol etílico (70% v/v) con 
clorhexidina y agentes emolientes naturales que previenen el resecamiento de 
la piel, propiciando así el uso frecuente por parte del 
personal. ? Posee certificado ANMAT grado 2 y estudios de 
seguridad y eficacia dérmica) ? La utilización de materias primas 
de alta calidad grado cosmético o USP permiten la obtención 
de un producto visualmente atractivo y estable. ? Ha sido 
desarrollado especialmente para la desinfección rápida de manos y/o piel 
cuando no es posible o necesario el lavado con jabón. 
? Posee una silicona químicamente modificada para hacerla soluble y 
compatible con el resto de los componentes, la cual brinda 
un efecto de lubricidad, y permite la formación de la 
película remanente al evaporarse los componentes volátiles luego de la 
aplicación? Su exclusivo envase aséptico descartable con válvula unidireccional, se 
encuentra especialmente recubierto por una caja que protege al producto 
de la acción de la luz, ? El sistema dispensador 
manual) se encuentra especialmente diseñado para no entrar en contacto 
con las manos, evitando así los riesgos de contaminaciones cruzadas. 
? Dispenser manual en comodato (sistema mano / codo) para 
BAG IN BOX x 800 ml. Mca ADOX. </t>
  </si>
  <si>
    <t xml:space="preserve">26 </t>
  </si>
  <si>
    <t xml:space="preserve">2.5.2-1723.178 </t>
  </si>
  <si>
    <t xml:space="preserve">ANTISEPTICOS LOCALES P/PERSONA; TIPO: ANTIBACTERIANO, DROGA GENERICA: ALCOHOL AL 70 
% + EMOLIENTES, FORMA FARMACEUTICA: LOCION BACTERICIDA, PRESENTACION: ENVASE X 
800 ML BAG IN BOX </t>
  </si>
  <si>
    <t xml:space="preserve">COVIDEX - RES 155/98 - LH1800 - LOCION HIDROLALCOHÓLICA X 
800ML CON EMOLIENTES - SISTEMA CERRADO BAG IN BOX.  
</t>
  </si>
  <si>
    <t xml:space="preserve">ADOX L7 I Loción alcohólica bactericida con emolientes y suavizantes. 
Envase BAG IN BOX por 800 ml. Marca ADOX. Origen: 
Argentina. Presentación: Caja por 10 unidades. Principales características: ? Su 
exclusiva formulación combina el alcohol etílico (70% v/v) y agentes 
emolientes naturales que previenen el resecamiento de la piel, propiciando 
así el uso frecuente por parte del personal. ? Posee 
certificado ANMAT grado 2 y estudios de seguridad y eficacia 
dérmica) ? La utilización de materias primas de alta calidad: 
grado cosmético o USP permiten la obtención de un producto 
visualmente atractivo y estable. ? Ha sido desarrollado especialmente para 
la desinfección rápida de manos y/o piel cuando no es 
posible o necesario el lavado con jabón. ? Posee una 
silicona químicamente modificada para hacerla soluble y compatible con el 
resto de los componentes, la cual brinda un efecto de 
lubricidad, y permite la formación de la película remanente al 
evaporarse los componentes volátiles luego de la aplicación. ? Su 
exclusivo envase aséptico descartable con válvula unidireccional, se encuentra especialmente 
recubierto por una caja que protege al producto de la 
acción de la luz, ? El sistema dispensador manual se 
encuentra especialmente diseñado para no entrar en contacto con las 
manos, evitando así los riesgos de contaminaciones cruzadas. ? Dispenser 
manual en comodato (sistema mano / codo) para BAG IN 
BOX x 800 ml. Mca ADOX.  </t>
  </si>
  <si>
    <t xml:space="preserve">27 </t>
  </si>
  <si>
    <t xml:space="preserve">2.5.1-9065.54 </t>
  </si>
  <si>
    <t xml:space="preserve">DESINFECTANTES Y DETERGENTES; PRINCIPIO ACTIVO: MONOPERSUFATO DE POTASIO, CONTROL: BACTERIAS, 
HONGOS, VIRUS, PRESENTACION: SOBRE X 20 G </t>
  </si>
  <si>
    <t xml:space="preserve">COVIDEX - PM 2072 - VIODEX X 10GR - MONOPERSULFATO 
DE POTASIO AL 2O% - LIMPIADOR DESINFECTANTE, BACTERICIDA, ESPORICIDA, FUNGICIDA 
Y VIRUCIDA, CADA SOBRE DE 10GR RINDE 1 LITRO DE 
DESINFECTANTE.  </t>
  </si>
  <si>
    <t xml:space="preserve">ADOX LT8 PLUS I Limpiador Desinfectante para áreas críticas para 
1 litro. Envase Monodosis 20 gr/litro. Marca ADOX. Origen: Argentina. 
Presentación mínima: Caja por 25 o 50 unidades. Aprobado por 
ANMAT. PM N° 259/29 Principales características: ? Nueva formulación a 
partir de una sal oxidante estabilizada, que en solución acuosa 
libera radicales de peróxido; los cuales poseen una alta actividad 
oxidante de materia orgánica, y por lo tanto, un excelente 
poder germicida. ? Estabilidad de 15 días (a partir de 
su activación) ? Es virucida, bactericida, fungicida y esporicida respetando 
las condiciones de uso. ? Limpia y desinfecta en un 
solo paso. ? Composición: Peroxosulfato ácido de potasio 0,46% activo 
por litro. ? Especialmente diseñado para todo tipo de superficies 
e instrumental quirúrgico. ? Es totalmente atoxico, no irritante y 
biodegradable. ? No es corrosivo y actúa a la vez 
como inhibidor de la corrosión. ? NO SE INACTIVA frente 
a materia orgánica. </t>
  </si>
  <si>
    <t xml:space="preserve">28 </t>
  </si>
  <si>
    <t xml:space="preserve">2.5.1-9065.55 </t>
  </si>
  <si>
    <t xml:space="preserve">DESINFECTANTES Y DETERGENTES; PRINCIPIO ACTIVO: MONOPERSULFATO DE POTASIO; CONTROL: BACTERIAS, 
HONGOS, VIRUS; PRESENTACION: BIDON 6 KG </t>
  </si>
  <si>
    <t xml:space="preserve">COVIDEX - PM 2072 - VIODEX X 1KG - MONOPERSULFATO 
DE POTASIO AL 2O% - LIMPIADOR DESINFECTANTE, BACTERICIDA, ESPORICIDA, FUNGICIDA 
Y VIRUCIDA. RENDIMIENTO 100 LITROS DE DESINFECTANTE.  </t>
  </si>
  <si>
    <t xml:space="preserve">ADOX LT8 PLUS I Limpiador desinfectante para áreas críticas. Nueva 
fórmula I Presentación MONOFASE envase para preparar 300 litros (20 
gr/litro). Estabilidad: 15 días desde su preparación. Marca ADOX. Origen: 
Argentina. Presentación: Caja por 1 unidad. X 6 Kg. Aprobado 
por ANMAT. PM N° 259/29 Principales características: ? Nueva formulación 
a partir de una sal oxidante estabilizada, que en solución 
acuosa libera radicales de peróxido; los cuales poseen una alta 
actividad oxidante de materia orgánica, y por lo tanto, un 
excelente poder germicida. ? Estabilidad de 15 días (a partir 
de su activación) ? Es virucida, bactericida, fungicida y esporicida 
respetando las condiciones de uso. ? Limpia y desinfecta en 
un solo paso. ? Composición: Peroxosulfato ácido de potasio 0,46% 
activo por litro. ? Especialmente diseñado para todo tipo de 
superficies e instrumental quirúrgico. ? Es totalmente atoxico, no irritante 
y biodegradable. ? No es corrosivo y actúa a la 
vez como inhibidor de la corrosión. ? NO SE INACTIVA 
frente a materia orgánica. </t>
  </si>
  <si>
    <t xml:space="preserve">29 </t>
  </si>
  <si>
    <t xml:space="preserve">2.5.2-1723.35 </t>
  </si>
  <si>
    <t xml:space="preserve">ANTISEPTICOS LOCALES P/PERSONA; TIPO: MONODROGA, DROGA GENERICA: NITROFURAZONA, FORMA FARMACEUTICA: 
SOLUCION, PRESENTACION: FRASCO X 1 L </t>
  </si>
  <si>
    <t xml:space="preserve">NITROFURAZONA SOLUCION 1000ml  IQB  PM: CERT. 40362 </t>
  </si>
  <si>
    <t xml:space="preserve">Nitrofurazona 2.2°/oo solucion x 1 litro - Marca IQB  
</t>
  </si>
  <si>
    <t xml:space="preserve">NITROFURAZONA SOL X LITRO SERTEX 46579 </t>
  </si>
  <si>
    <t xml:space="preserve">NITROFURAZONA FRASCO X 1L MARCA IQB CERT 40362 </t>
  </si>
  <si>
    <t xml:space="preserve"> NITROFURAZONA SERTEX 0.2% X 1 LT (A-1-12)   
</t>
  </si>
  <si>
    <t xml:space="preserve">30 </t>
  </si>
  <si>
    <t xml:space="preserve">2.5.2-1723.99 </t>
  </si>
  <si>
    <t xml:space="preserve">ANTISEPTICOS LOCALES P/PERSONA; TIPO: MONODROGA, DROGA GENERICA: ORTOFTALDEHIDO, FORMA FARMACEUTICA: 
SOLUCION, PRESENTACION: ENVASE X 5 L </t>
  </si>
  <si>
    <t xml:space="preserve">OPASTER DESINFECTANTE DE ALTO NIVEL DESINFECCIÓN DEL MATERIAL QUIRÚRGICO, MÉDICO, 
MATERIAL DE ENDOSCOPIO, MATERIAL TERMOSENSIBLE Y PRODUCTOS SANITARIOS • Solución 
lista para usar • Formulado a base de OPA • 
Espectro antimicrobiano completo • Control de la conformidad del baño 
mediante tira reactiva específica • Estabilidad del baño de inmersión: 
14 días • Caducidad larga: 24 meses UNICO PRODUCTO CON 
DOSSIER CIENTIFICO - ANMAT N° 734-20 Presentación Bidón por 5 
litros - MARCA: OPASTER </t>
  </si>
  <si>
    <t xml:space="preserve"> OPASTER ANIOS - ORTOFTALDEHIDO 0.55% X 5 LT EURO 
  </t>
  </si>
  <si>
    <t xml:space="preserve">31 </t>
  </si>
  <si>
    <t xml:space="preserve">2.5.1-5771.11 </t>
  </si>
  <si>
    <t xml:space="preserve">ANTISEPTICOS P/MATERIALES; TIPO: ASOCIACION, DROGA GENERICA: PEROXIDO DE HIDROGENO+ ACIDO 
PERACETICO, FORMA FARMACEUTICA: SOLUCION, PRESENTACION: ENVASE X 5LT, USO: EQUIPO 
</t>
  </si>
  <si>
    <t xml:space="preserve">Desinfectante de Alto Nivel/Esterilizante en frío - MARCA: ANIOXYDE 1000- 
BIDON X 5 LITROS • Producto patentado • Primer desinfectante 
de Alto     Nivel y esterilizante químico 
   resultante del Sistema Phéra ® • Producción 
extemporánea de    ácido peracético • Alternativa al 
Glutaraldehído • Formulado sin aldehído:     sin 
fijación de proteínas • Formulado sin ácido acético,   
  pH neutro • Comprobación de la eficacia  
  del baño por tira • Espectro completo en 
5 minutos UNICO PRODUCTO CON DOSSIER CIENTIFICO - ANMAT N° 
734-3 </t>
  </si>
  <si>
    <t xml:space="preserve"> ANT. PEROXIDO DE HIDROGENO + AC. PERACETICO X 5 
LT SURGIBAC PA PLUS EURO   </t>
  </si>
  <si>
    <t xml:space="preserve">SOLUCION ACIDO PERACETICO PURISTERIL 340 MARCA FRESENIUS ANMAT 169-112 STOCK 
DISPONIBLE AL MOMENTO DE COTIZAR: 30 UNIDADES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</si>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</sst>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A2ADD0"/>
        <bgColor rgb="FFA2ADD0"/>
      </patternFill>
    </fill>
  </fills>
  <borders count="1">
    <border>
      <left/>
      <right/>
      <top/>
      <bottom/>
      <diagonal/>
    </border>
  </borders>
  <cellStyleXfs count="1">
    <xf numFmtId="0" fontId="0" fillId="0" borderId="0" applyBorder="0"/>
  </cellStyleXfs>
  <cellXfs count="6">
    <xf numFmtId="0" fontId="0" fillId="0" borderId="0" xfId="0" applyNumberFormat="1" applyFill="1" applyAlignment="1" applyProtection="1"/>
    <xf numFmtId="0" fontId="1" fillId="2" borderId="0" xfId="0" applyNumberFormat="1" applyFont="1" applyFill="1" applyAlignment="1" applyProtection="1">
      <alignment horizontal="center"/>
    </xf>
    <xf numFmtId="0" fontId="1" fillId="2" borderId="0" xfId="0" applyNumberFormat="1" applyFont="1" applyFill="1" applyAlignment="1" applyProtection="1">
      <alignment horizontal="left"/>
    </xf>
    <xf numFmtId="164" fontId="0" fillId="0" borderId="0" xfId="0" applyNumberFormat="1" applyFill="1" applyAlignment="1" applyProtection="1"/>
    <xf numFmtId="0" fontId="0" fillId="0" borderId="0" xfId="0" applyNumberFormat="1" applyFill="1" applyAlignment="1" applyProtection="1">
      <alignment wrapText="1"/>
    </xf>
    <xf numFmtId="165"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41" totalsRowCount="1">
  <tableColumns count="6">
    <tableColumn id="1" xr3:uid="{00000000-0010-0000-0000-000001000000}" name="Renglón"/>
    <tableColumn id="2" xr3:uid="{00000000-0010-0000-0000-000002000000}" name="Alternativa"/>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J41" totalsRowCount="1">
  <tableColumns count="4">
    <tableColumn id="1" xr3:uid="{00000000-0010-0000-0100-000001000000}" name="Precio unitario"/>
    <tableColumn id="2" xr3:uid="{00000000-0010-0000-0100-000002000000}" name="Cantidad ofertada"/>
    <tableColumn id="3" xr3:uid="{00000000-0010-0000-0100-000003000000}" name="Total por renglón" totalsRowFunction="sum"/>
    <tableColumn id="4" xr3:uid="{00000000-0010-0000-0100-000004000000}" name="Especificacion técnica"/>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K9:N41" totalsRowCount="1">
  <tableColumns count="4">
    <tableColumn id="1" xr3:uid="{00000000-0010-0000-0200-000001000000}" name="Precio unitario"/>
    <tableColumn id="2" xr3:uid="{00000000-0010-0000-0200-000002000000}" name="Cantidad ofertada"/>
    <tableColumn id="3" xr3:uid="{00000000-0010-0000-0200-000003000000}" name="Total por renglón" totalsRowFunction="sum"/>
    <tableColumn id="4" xr3:uid="{00000000-0010-0000-0200-000004000000}" name="Especificacion técnica"/>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O9:R41" totalsRowCount="1">
  <tableColumns count="4">
    <tableColumn id="1" xr3:uid="{00000000-0010-0000-0300-000001000000}" name="Precio unitario"/>
    <tableColumn id="2" xr3:uid="{00000000-0010-0000-0300-000002000000}" name="Cantidad ofertada"/>
    <tableColumn id="3" xr3:uid="{00000000-0010-0000-0300-000003000000}" name="Total por renglón" totalsRowFunction="sum"/>
    <tableColumn id="4" xr3:uid="{00000000-0010-0000-0300-000004000000}" name="Especificacion técnica"/>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S9:V41" totalsRowCount="1">
  <tableColumns count="4">
    <tableColumn id="1" xr3:uid="{00000000-0010-0000-0400-000001000000}" name="Precio unitario"/>
    <tableColumn id="2" xr3:uid="{00000000-0010-0000-0400-000002000000}" name="Cantidad ofertada"/>
    <tableColumn id="3" xr3:uid="{00000000-0010-0000-0400-000003000000}" name="Total por renglón" totalsRowFunction="sum"/>
    <tableColumn id="4" xr3:uid="{00000000-0010-0000-0400-000004000000}" name="Especificacion técnica"/>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W9:Z41" totalsRowCount="1">
  <tableColumns count="4">
    <tableColumn id="1" xr3:uid="{00000000-0010-0000-0500-000001000000}" name="Precio unitario"/>
    <tableColumn id="2" xr3:uid="{00000000-0010-0000-0500-000002000000}" name="Cantidad ofertada"/>
    <tableColumn id="3" xr3:uid="{00000000-0010-0000-0500-000003000000}" name="Total por renglón" totalsRowFunction="sum"/>
    <tableColumn id="4" xr3:uid="{00000000-0010-0000-0500-000004000000}" name="Especificacion técnica"/>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A9:AD41" totalsRowCount="1">
  <tableColumns count="4">
    <tableColumn id="1" xr3:uid="{00000000-0010-0000-0600-000001000000}" name="Precio unitario"/>
    <tableColumn id="2" xr3:uid="{00000000-0010-0000-0600-000002000000}" name="Cantidad ofertada"/>
    <tableColumn id="3" xr3:uid="{00000000-0010-0000-0600-000003000000}" name="Total por renglón" totalsRowFunction="sum"/>
    <tableColumn id="4" xr3:uid="{00000000-0010-0000-0600-000004000000}" name="Especificacion técnica"/>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E9:AH41" totalsRowCount="1">
  <tableColumns count="4">
    <tableColumn id="1" xr3:uid="{00000000-0010-0000-0700-000001000000}" name="Precio unitario"/>
    <tableColumn id="2" xr3:uid="{00000000-0010-0000-0700-000002000000}" name="Cantidad ofertada"/>
    <tableColumn id="3" xr3:uid="{00000000-0010-0000-0700-000003000000}" name="Total por renglón" totalsRowFunction="sum"/>
    <tableColumn id="4" xr3:uid="{00000000-0010-0000-0700-000004000000}" name="Especificacion técnica"/>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I9:AL41" totalsRowCount="1">
  <tableColumns count="4">
    <tableColumn id="1" xr3:uid="{00000000-0010-0000-0800-000001000000}" name="Precio unitario"/>
    <tableColumn id="2" xr3:uid="{00000000-0010-0000-0800-000002000000}" name="Cantidad ofertada"/>
    <tableColumn id="3" xr3:uid="{00000000-0010-0000-0800-000003000000}" name="Total por renglón" totalsRowFunction="sum"/>
    <tableColumn id="4" xr3:uid="{00000000-0010-0000-0800-000004000000}" name="Especificacion técnica"/>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M9:AP41" totalsRowCount="1">
  <tableColumns count="4">
    <tableColumn id="1" xr3:uid="{00000000-0010-0000-0900-000001000000}" name="Precio unitario"/>
    <tableColumn id="2" xr3:uid="{00000000-0010-0000-0900-000002000000}" name="Cantidad ofertada"/>
    <tableColumn id="3" xr3:uid="{00000000-0010-0000-0900-000003000000}" name="Total por renglón" totalsRowFunction="sum"/>
    <tableColumn id="4" xr3:uid="{00000000-0010-0000-0900-000004000000}" name="Especificacion técnica"/>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Q9:AT41" totalsRowCount="1">
  <tableColumns count="4">
    <tableColumn id="1" xr3:uid="{00000000-0010-0000-0A00-000001000000}" name="Precio unitario"/>
    <tableColumn id="2" xr3:uid="{00000000-0010-0000-0A00-000002000000}" name="Cantidad ofertada"/>
    <tableColumn id="3" xr3:uid="{00000000-0010-0000-0A00-000003000000}" name="Total por renglón" totalsRowFunction="sum"/>
    <tableColumn id="4" xr3:uid="{00000000-0010-0000-0A00-000004000000}" name="Especificacion técnica"/>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U9:AX41" totalsRowCount="1">
  <tableColumns count="4">
    <tableColumn id="1" xr3:uid="{00000000-0010-0000-0B00-000001000000}" name="Precio unitario"/>
    <tableColumn id="2" xr3:uid="{00000000-0010-0000-0B00-000002000000}" name="Cantidad ofertada"/>
    <tableColumn id="3" xr3:uid="{00000000-0010-0000-0B00-000003000000}" name="Total por renglón" totalsRowFunction="sum"/>
    <tableColumn id="4" xr3:uid="{00000000-0010-0000-0B00-000004000000}" name="Especificacion técnica"/>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Y9:BB41" totalsRowCount="1">
  <tableColumns count="4">
    <tableColumn id="1" xr3:uid="{00000000-0010-0000-0C00-000001000000}" name="Precio unitario"/>
    <tableColumn id="2" xr3:uid="{00000000-0010-0000-0C00-000002000000}" name="Cantidad ofertada"/>
    <tableColumn id="3" xr3:uid="{00000000-0010-0000-0C00-000003000000}" name="Total por renglón" totalsRowFunction="sum"/>
    <tableColumn id="4" xr3:uid="{00000000-0010-0000-0C00-000004000000}" name="Especificacion técnic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41"/>
  <sheetViews>
    <sheetView tabSelected="1" workbookViewId="0">
      <pane xSplit="3" ySplit="9" topLeftCell="D10" activePane="bottomRight" state="frozenSplit"/>
      <selection pane="topRight"/>
      <selection pane="bottomLeft"/>
      <selection pane="bottomRight" activeCell="D10" sqref="D10"/>
    </sheetView>
  </sheetViews>
  <sheetFormatPr baseColWidth="10" defaultColWidth="9.140625" defaultRowHeight="15" x14ac:dyDescent="0.25"/>
  <cols>
    <col min="1" max="1" width="8.85546875" customWidth="1"/>
    <col min="2" max="2" width="11.28515625" customWidth="1"/>
    <col min="3" max="3" width="14.7109375" customWidth="1"/>
    <col min="4" max="4" width="113.140625" customWidth="1"/>
    <col min="5" max="5" width="83.7109375" customWidth="1"/>
    <col min="6" max="6" width="17.42578125" customWidth="1"/>
    <col min="7" max="7" width="14.28515625" customWidth="1"/>
    <col min="8" max="8" width="17.28515625" customWidth="1"/>
    <col min="9" max="9" width="16.5703125" customWidth="1"/>
    <col min="10" max="10" width="73.28515625" customWidth="1"/>
    <col min="11" max="11" width="14.28515625" customWidth="1"/>
    <col min="12" max="12" width="17.28515625" customWidth="1"/>
    <col min="13" max="13" width="16.5703125" customWidth="1"/>
    <col min="14" max="14" width="50.42578125" customWidth="1"/>
    <col min="15" max="15" width="14.28515625" customWidth="1"/>
    <col min="16" max="16" width="17.28515625" customWidth="1"/>
    <col min="17" max="17" width="16.5703125" customWidth="1"/>
    <col min="18" max="18" width="55" customWidth="1"/>
    <col min="19" max="19" width="14.28515625" customWidth="1"/>
    <col min="20" max="20" width="17.28515625" customWidth="1"/>
    <col min="21" max="21" width="16.5703125" customWidth="1"/>
    <col min="22" max="22" width="54" customWidth="1"/>
    <col min="23" max="23" width="14.28515625" customWidth="1"/>
    <col min="24" max="24" width="17.28515625" customWidth="1"/>
    <col min="25" max="25" width="16.5703125" customWidth="1"/>
    <col min="26" max="26" width="20.28515625" customWidth="1"/>
    <col min="27" max="27" width="14.28515625" customWidth="1"/>
    <col min="28" max="28" width="17.28515625" customWidth="1"/>
    <col min="29" max="29" width="16.5703125" customWidth="1"/>
    <col min="30" max="30" width="70" customWidth="1"/>
    <col min="31" max="31" width="14.28515625" customWidth="1"/>
    <col min="32" max="32" width="17.28515625" customWidth="1"/>
    <col min="33" max="33" width="16.5703125" customWidth="1"/>
    <col min="34" max="34" width="79.28515625" customWidth="1"/>
    <col min="35" max="35" width="14.28515625" customWidth="1"/>
    <col min="36" max="36" width="17.28515625" customWidth="1"/>
    <col min="37" max="37" width="16.5703125" customWidth="1"/>
    <col min="38" max="38" width="58.85546875" customWidth="1"/>
    <col min="39" max="39" width="14.28515625" customWidth="1"/>
    <col min="40" max="40" width="17.28515625" customWidth="1"/>
    <col min="41" max="41" width="16.5703125" customWidth="1"/>
    <col min="42" max="42" width="96.140625" customWidth="1"/>
    <col min="43" max="43" width="14.28515625" customWidth="1"/>
    <col min="44" max="44" width="17.28515625" customWidth="1"/>
    <col min="45" max="45" width="16.5703125" customWidth="1"/>
    <col min="46" max="46" width="85.85546875" customWidth="1"/>
    <col min="47" max="47" width="14.28515625" customWidth="1"/>
    <col min="48" max="48" width="17.28515625" customWidth="1"/>
    <col min="49" max="49" width="16.5703125" customWidth="1"/>
    <col min="50" max="50" width="63.42578125" customWidth="1"/>
    <col min="51" max="51" width="14.28515625" customWidth="1"/>
    <col min="52" max="52" width="17.28515625" customWidth="1"/>
    <col min="53" max="53" width="16.5703125" customWidth="1"/>
    <col min="54" max="54" width="79" customWidth="1"/>
  </cols>
  <sheetData>
    <row r="1" spans="1:54" x14ac:dyDescent="0.25">
      <c r="D1" s="2" t="s">
        <v>0</v>
      </c>
      <c r="E1" s="2" t="s">
        <v>1</v>
      </c>
    </row>
    <row r="2" spans="1:54" x14ac:dyDescent="0.25">
      <c r="D2" s="2" t="s">
        <v>2</v>
      </c>
      <c r="E2" s="2" t="s">
        <v>3</v>
      </c>
    </row>
    <row r="3" spans="1:54" x14ac:dyDescent="0.25">
      <c r="D3" s="2" t="s">
        <v>4</v>
      </c>
      <c r="E3" s="2" t="s">
        <v>5</v>
      </c>
    </row>
    <row r="4" spans="1:54" x14ac:dyDescent="0.25">
      <c r="D4" s="2" t="s">
        <v>6</v>
      </c>
      <c r="E4" s="2" t="s">
        <v>7</v>
      </c>
    </row>
    <row r="5" spans="1:54" x14ac:dyDescent="0.25">
      <c r="D5" s="2" t="s">
        <v>8</v>
      </c>
      <c r="E5" s="2" t="s">
        <v>9</v>
      </c>
    </row>
    <row r="8" spans="1:54" x14ac:dyDescent="0.25">
      <c r="A8" s="1" t="s">
        <v>10</v>
      </c>
      <c r="B8" s="1"/>
      <c r="C8" s="1"/>
      <c r="D8" s="1"/>
      <c r="E8" s="1"/>
      <c r="F8" s="1"/>
      <c r="G8" s="1" t="s">
        <v>11</v>
      </c>
      <c r="H8" s="1"/>
      <c r="I8" s="1"/>
      <c r="J8" s="1"/>
      <c r="K8" s="1" t="s">
        <v>12</v>
      </c>
      <c r="L8" s="1"/>
      <c r="M8" s="1"/>
      <c r="N8" s="1"/>
      <c r="O8" s="1" t="s">
        <v>13</v>
      </c>
      <c r="P8" s="1"/>
      <c r="Q8" s="1"/>
      <c r="R8" s="1"/>
      <c r="S8" s="1" t="s">
        <v>14</v>
      </c>
      <c r="T8" s="1"/>
      <c r="U8" s="1"/>
      <c r="V8" s="1"/>
      <c r="W8" s="1" t="s">
        <v>15</v>
      </c>
      <c r="X8" s="1"/>
      <c r="Y8" s="1"/>
      <c r="Z8" s="1"/>
      <c r="AA8" s="1" t="s">
        <v>16</v>
      </c>
      <c r="AB8" s="1"/>
      <c r="AC8" s="1"/>
      <c r="AD8" s="1"/>
      <c r="AE8" s="1" t="s">
        <v>17</v>
      </c>
      <c r="AF8" s="1"/>
      <c r="AG8" s="1"/>
      <c r="AH8" s="1"/>
      <c r="AI8" s="1" t="s">
        <v>18</v>
      </c>
      <c r="AJ8" s="1"/>
      <c r="AK8" s="1"/>
      <c r="AL8" s="1"/>
      <c r="AM8" s="1" t="s">
        <v>19</v>
      </c>
      <c r="AN8" s="1"/>
      <c r="AO8" s="1"/>
      <c r="AP8" s="1"/>
      <c r="AQ8" s="1" t="s">
        <v>20</v>
      </c>
      <c r="AR8" s="1"/>
      <c r="AS8" s="1"/>
      <c r="AT8" s="1"/>
      <c r="AU8" s="1" t="s">
        <v>21</v>
      </c>
      <c r="AV8" s="1"/>
      <c r="AW8" s="1"/>
      <c r="AX8" s="1"/>
      <c r="AY8" s="1" t="s">
        <v>22</v>
      </c>
      <c r="AZ8" s="1"/>
      <c r="BA8" s="1"/>
      <c r="BB8" s="1"/>
    </row>
    <row r="9" spans="1:54" x14ac:dyDescent="0.25">
      <c r="A9" t="s">
        <v>10</v>
      </c>
      <c r="B9" t="s">
        <v>23</v>
      </c>
      <c r="C9" t="s">
        <v>24</v>
      </c>
      <c r="D9" t="s">
        <v>25</v>
      </c>
      <c r="E9" t="s">
        <v>26</v>
      </c>
      <c r="F9" t="s">
        <v>27</v>
      </c>
      <c r="G9" s="3" t="s">
        <v>28</v>
      </c>
      <c r="H9" s="3" t="s">
        <v>29</v>
      </c>
      <c r="I9" t="s">
        <v>30</v>
      </c>
      <c r="J9" t="s">
        <v>31</v>
      </c>
      <c r="K9" s="3" t="s">
        <v>28</v>
      </c>
      <c r="L9" s="3" t="s">
        <v>29</v>
      </c>
      <c r="M9" t="s">
        <v>30</v>
      </c>
      <c r="N9" t="s">
        <v>31</v>
      </c>
      <c r="O9" s="3" t="s">
        <v>28</v>
      </c>
      <c r="P9" s="3" t="s">
        <v>29</v>
      </c>
      <c r="Q9" t="s">
        <v>30</v>
      </c>
      <c r="R9" t="s">
        <v>31</v>
      </c>
      <c r="S9" s="3" t="s">
        <v>28</v>
      </c>
      <c r="T9" s="3" t="s">
        <v>29</v>
      </c>
      <c r="U9" t="s">
        <v>30</v>
      </c>
      <c r="V9" t="s">
        <v>31</v>
      </c>
      <c r="W9" s="3" t="s">
        <v>28</v>
      </c>
      <c r="X9" s="3" t="s">
        <v>29</v>
      </c>
      <c r="Y9" t="s">
        <v>30</v>
      </c>
      <c r="Z9" t="s">
        <v>31</v>
      </c>
      <c r="AA9" s="3" t="s">
        <v>28</v>
      </c>
      <c r="AB9" s="3" t="s">
        <v>29</v>
      </c>
      <c r="AC9" t="s">
        <v>30</v>
      </c>
      <c r="AD9" t="s">
        <v>31</v>
      </c>
      <c r="AE9" s="3" t="s">
        <v>28</v>
      </c>
      <c r="AF9" s="3" t="s">
        <v>29</v>
      </c>
      <c r="AG9" t="s">
        <v>30</v>
      </c>
      <c r="AH9" t="s">
        <v>31</v>
      </c>
      <c r="AI9" s="3" t="s">
        <v>28</v>
      </c>
      <c r="AJ9" s="3" t="s">
        <v>29</v>
      </c>
      <c r="AK9" t="s">
        <v>30</v>
      </c>
      <c r="AL9" t="s">
        <v>31</v>
      </c>
      <c r="AM9" s="3" t="s">
        <v>28</v>
      </c>
      <c r="AN9" s="3" t="s">
        <v>29</v>
      </c>
      <c r="AO9" t="s">
        <v>30</v>
      </c>
      <c r="AP9" t="s">
        <v>31</v>
      </c>
      <c r="AQ9" s="3" t="s">
        <v>28</v>
      </c>
      <c r="AR9" s="3" t="s">
        <v>29</v>
      </c>
      <c r="AS9" t="s">
        <v>30</v>
      </c>
      <c r="AT9" t="s">
        <v>31</v>
      </c>
      <c r="AU9" s="3" t="s">
        <v>28</v>
      </c>
      <c r="AV9" s="3" t="s">
        <v>29</v>
      </c>
      <c r="AW9" t="s">
        <v>30</v>
      </c>
      <c r="AX9" t="s">
        <v>31</v>
      </c>
      <c r="AY9" s="3" t="s">
        <v>28</v>
      </c>
      <c r="AZ9" s="3" t="s">
        <v>29</v>
      </c>
      <c r="BA9" t="s">
        <v>30</v>
      </c>
      <c r="BB9" t="s">
        <v>31</v>
      </c>
    </row>
    <row r="10" spans="1:54" ht="30" x14ac:dyDescent="0.25">
      <c r="A10" t="s">
        <v>32</v>
      </c>
      <c r="B10" t="s">
        <v>32</v>
      </c>
      <c r="C10" t="s">
        <v>33</v>
      </c>
      <c r="D10" s="4" t="s">
        <v>34</v>
      </c>
      <c r="E10">
        <v>6</v>
      </c>
      <c r="F10" t="s">
        <v>35</v>
      </c>
      <c r="G10" s="3"/>
      <c r="H10" s="3"/>
      <c r="I10" s="5"/>
      <c r="K10" s="3"/>
      <c r="L10" s="3"/>
      <c r="M10" s="5"/>
      <c r="O10" s="3"/>
      <c r="P10" s="3"/>
      <c r="Q10" s="5"/>
      <c r="S10" s="3"/>
      <c r="T10" s="3"/>
      <c r="U10" s="5"/>
      <c r="W10" s="3"/>
      <c r="X10" s="3"/>
      <c r="Y10" s="5"/>
      <c r="AA10" s="3"/>
      <c r="AB10" s="3"/>
      <c r="AC10" s="5"/>
      <c r="AE10" s="3"/>
      <c r="AF10" s="3"/>
      <c r="AG10" s="5"/>
      <c r="AI10" s="3"/>
      <c r="AJ10" s="3"/>
      <c r="AK10" s="5"/>
      <c r="AM10" s="3"/>
      <c r="AN10" s="3"/>
      <c r="AO10" s="5"/>
      <c r="AQ10" s="3"/>
      <c r="AR10" s="3"/>
      <c r="AS10" s="5"/>
      <c r="AU10" s="3"/>
      <c r="AV10" s="3"/>
      <c r="AW10" s="5"/>
      <c r="AY10" s="3"/>
      <c r="AZ10" s="3"/>
      <c r="BA10" s="5"/>
    </row>
    <row r="11" spans="1:54" ht="45" x14ac:dyDescent="0.25">
      <c r="A11" t="s">
        <v>36</v>
      </c>
      <c r="B11" t="s">
        <v>32</v>
      </c>
      <c r="C11" t="s">
        <v>37</v>
      </c>
      <c r="D11" s="4" t="s">
        <v>38</v>
      </c>
      <c r="E11">
        <v>21</v>
      </c>
      <c r="F11" t="s">
        <v>35</v>
      </c>
      <c r="G11" s="3"/>
      <c r="H11" s="3"/>
      <c r="I11" s="5"/>
      <c r="K11" s="3"/>
      <c r="L11" s="3"/>
      <c r="M11" s="5"/>
      <c r="O11" s="3"/>
      <c r="P11" s="3"/>
      <c r="Q11" s="5"/>
      <c r="S11" s="3"/>
      <c r="T11" s="3"/>
      <c r="U11" s="5"/>
      <c r="W11" s="3"/>
      <c r="X11" s="3"/>
      <c r="Y11" s="5"/>
      <c r="AA11" s="3"/>
      <c r="AB11" s="3"/>
      <c r="AC11" s="5"/>
      <c r="AE11" s="3"/>
      <c r="AF11" s="3"/>
      <c r="AG11" s="5"/>
      <c r="AI11" s="3"/>
      <c r="AJ11" s="3"/>
      <c r="AK11" s="5"/>
      <c r="AM11" s="3"/>
      <c r="AN11" s="3"/>
      <c r="AO11" s="5"/>
      <c r="AQ11" s="3"/>
      <c r="AR11" s="3"/>
      <c r="AS11" s="5"/>
      <c r="AU11" s="3"/>
      <c r="AV11" s="3"/>
      <c r="AW11" s="5"/>
      <c r="AY11" s="3"/>
      <c r="AZ11" s="3"/>
      <c r="BA11" s="5"/>
    </row>
    <row r="12" spans="1:54" ht="45" x14ac:dyDescent="0.25">
      <c r="A12" t="s">
        <v>39</v>
      </c>
      <c r="B12" t="s">
        <v>32</v>
      </c>
      <c r="C12" t="s">
        <v>40</v>
      </c>
      <c r="D12" s="4" t="s">
        <v>41</v>
      </c>
      <c r="E12">
        <v>1200</v>
      </c>
      <c r="F12" t="s">
        <v>35</v>
      </c>
      <c r="G12" s="3">
        <v>324.75</v>
      </c>
      <c r="H12" s="3">
        <v>1200</v>
      </c>
      <c r="I12" s="5">
        <v>389700</v>
      </c>
      <c r="J12" s="4" t="s">
        <v>42</v>
      </c>
      <c r="K12" s="3">
        <v>278.32</v>
      </c>
      <c r="L12" s="3">
        <v>1200</v>
      </c>
      <c r="M12" s="5">
        <v>333984</v>
      </c>
      <c r="N12" s="4" t="s">
        <v>43</v>
      </c>
      <c r="O12" s="3">
        <v>507.6</v>
      </c>
      <c r="P12" s="3">
        <v>1200</v>
      </c>
      <c r="Q12" s="5">
        <v>609120</v>
      </c>
      <c r="R12" s="4" t="s">
        <v>44</v>
      </c>
      <c r="S12" s="3">
        <v>527.85</v>
      </c>
      <c r="T12" s="3">
        <v>1200</v>
      </c>
      <c r="U12" s="5">
        <v>633420</v>
      </c>
      <c r="V12" s="4" t="s">
        <v>45</v>
      </c>
      <c r="W12" s="3">
        <v>219</v>
      </c>
      <c r="X12" s="3">
        <v>1200</v>
      </c>
      <c r="Y12" s="5">
        <v>262800</v>
      </c>
      <c r="Z12" t="s">
        <v>46</v>
      </c>
      <c r="AA12" s="3">
        <v>450</v>
      </c>
      <c r="AB12" s="3">
        <v>1200</v>
      </c>
      <c r="AC12" s="5">
        <v>540000</v>
      </c>
      <c r="AD12" s="4" t="s">
        <v>47</v>
      </c>
      <c r="AE12" s="3"/>
      <c r="AF12" s="3"/>
      <c r="AG12" s="5"/>
      <c r="AI12" s="3"/>
      <c r="AJ12" s="3"/>
      <c r="AK12" s="5"/>
      <c r="AM12" s="3"/>
      <c r="AN12" s="3"/>
      <c r="AO12" s="5"/>
      <c r="AQ12" s="3"/>
      <c r="AR12" s="3"/>
      <c r="AS12" s="5"/>
      <c r="AU12" s="3"/>
      <c r="AV12" s="3"/>
      <c r="AW12" s="5"/>
      <c r="AY12" s="3"/>
      <c r="AZ12" s="3"/>
      <c r="BA12" s="5"/>
    </row>
    <row r="13" spans="1:54" ht="45" x14ac:dyDescent="0.25">
      <c r="A13" t="s">
        <v>48</v>
      </c>
      <c r="B13" t="s">
        <v>32</v>
      </c>
      <c r="C13" t="s">
        <v>49</v>
      </c>
      <c r="D13" s="4" t="s">
        <v>50</v>
      </c>
      <c r="E13">
        <v>10800</v>
      </c>
      <c r="F13" t="s">
        <v>35</v>
      </c>
      <c r="G13" s="3">
        <v>386.23</v>
      </c>
      <c r="H13" s="3">
        <v>10800</v>
      </c>
      <c r="I13" s="5">
        <v>4171284</v>
      </c>
      <c r="J13" t="s">
        <v>51</v>
      </c>
      <c r="K13" s="3">
        <v>318.27</v>
      </c>
      <c r="L13" s="3">
        <v>10800</v>
      </c>
      <c r="M13" s="5">
        <v>3437316</v>
      </c>
      <c r="N13" t="s">
        <v>52</v>
      </c>
      <c r="O13" s="3">
        <v>323.87</v>
      </c>
      <c r="P13" s="3">
        <v>10800</v>
      </c>
      <c r="Q13" s="5">
        <v>3497796</v>
      </c>
      <c r="R13" t="s">
        <v>53</v>
      </c>
      <c r="S13" s="3">
        <v>339.02</v>
      </c>
      <c r="T13" s="3">
        <v>10800</v>
      </c>
      <c r="U13" s="5">
        <v>3661416</v>
      </c>
      <c r="V13" s="4" t="s">
        <v>54</v>
      </c>
      <c r="W13" s="3">
        <v>290</v>
      </c>
      <c r="X13" s="3">
        <v>10800</v>
      </c>
      <c r="Y13" s="5">
        <v>3132000</v>
      </c>
      <c r="Z13" t="s">
        <v>55</v>
      </c>
      <c r="AA13" s="3"/>
      <c r="AB13" s="3"/>
      <c r="AC13" s="5"/>
      <c r="AE13" s="3">
        <v>316.24</v>
      </c>
      <c r="AF13" s="3">
        <v>10800</v>
      </c>
      <c r="AG13" s="5">
        <v>3415392</v>
      </c>
      <c r="AH13" t="s">
        <v>56</v>
      </c>
      <c r="AI13" s="3"/>
      <c r="AJ13" s="3"/>
      <c r="AK13" s="5"/>
      <c r="AM13" s="3"/>
      <c r="AN13" s="3"/>
      <c r="AO13" s="5"/>
      <c r="AQ13" s="3"/>
      <c r="AR13" s="3"/>
      <c r="AS13" s="5"/>
      <c r="AU13" s="3"/>
      <c r="AV13" s="3"/>
      <c r="AW13" s="5"/>
      <c r="AY13" s="3"/>
      <c r="AZ13" s="3"/>
      <c r="BA13" s="5"/>
    </row>
    <row r="14" spans="1:54" ht="45" x14ac:dyDescent="0.25">
      <c r="A14" t="s">
        <v>57</v>
      </c>
      <c r="B14" t="s">
        <v>32</v>
      </c>
      <c r="C14" t="s">
        <v>58</v>
      </c>
      <c r="D14" s="4" t="s">
        <v>59</v>
      </c>
      <c r="E14">
        <v>8000</v>
      </c>
      <c r="F14" t="s">
        <v>35</v>
      </c>
      <c r="G14" s="3">
        <v>225.15</v>
      </c>
      <c r="H14" s="3">
        <v>8000</v>
      </c>
      <c r="I14" s="5">
        <v>1801200</v>
      </c>
      <c r="J14" t="s">
        <v>60</v>
      </c>
      <c r="K14" s="3">
        <v>185.54</v>
      </c>
      <c r="L14" s="3">
        <v>8000</v>
      </c>
      <c r="M14" s="5">
        <v>1484320</v>
      </c>
      <c r="N14" t="s">
        <v>61</v>
      </c>
      <c r="O14" s="3">
        <v>188.63</v>
      </c>
      <c r="P14" s="3">
        <v>8000</v>
      </c>
      <c r="Q14" s="5">
        <v>1509040</v>
      </c>
      <c r="R14" t="s">
        <v>62</v>
      </c>
      <c r="S14" s="3">
        <v>209.07</v>
      </c>
      <c r="T14" s="3">
        <v>8000</v>
      </c>
      <c r="U14" s="5">
        <v>1672560</v>
      </c>
      <c r="V14" s="4" t="s">
        <v>63</v>
      </c>
      <c r="W14" s="3"/>
      <c r="X14" s="3"/>
      <c r="Y14" s="5"/>
      <c r="AA14" s="3"/>
      <c r="AB14" s="3"/>
      <c r="AC14" s="5"/>
      <c r="AE14" s="3">
        <v>184.4</v>
      </c>
      <c r="AF14" s="3">
        <v>8000</v>
      </c>
      <c r="AG14" s="5">
        <v>1475200</v>
      </c>
      <c r="AH14" t="s">
        <v>64</v>
      </c>
      <c r="AI14" s="3">
        <v>169</v>
      </c>
      <c r="AJ14" s="3">
        <v>8000</v>
      </c>
      <c r="AK14" s="5">
        <v>1352000</v>
      </c>
      <c r="AL14" t="s">
        <v>65</v>
      </c>
      <c r="AM14" s="3"/>
      <c r="AN14" s="3"/>
      <c r="AO14" s="5"/>
      <c r="AQ14" s="3"/>
      <c r="AR14" s="3"/>
      <c r="AS14" s="5"/>
      <c r="AU14" s="3"/>
      <c r="AV14" s="3"/>
      <c r="AW14" s="5"/>
      <c r="AY14" s="3"/>
      <c r="AZ14" s="3"/>
      <c r="BA14" s="5"/>
    </row>
    <row r="15" spans="1:54" ht="45" x14ac:dyDescent="0.25">
      <c r="A15" t="s">
        <v>66</v>
      </c>
      <c r="B15" t="s">
        <v>32</v>
      </c>
      <c r="C15" t="s">
        <v>67</v>
      </c>
      <c r="D15" s="4" t="s">
        <v>68</v>
      </c>
      <c r="E15">
        <v>500</v>
      </c>
      <c r="F15" t="s">
        <v>35</v>
      </c>
      <c r="G15" s="3">
        <v>268.73</v>
      </c>
      <c r="H15" s="3">
        <v>500</v>
      </c>
      <c r="I15" s="5">
        <v>134365</v>
      </c>
      <c r="J15" s="4" t="s">
        <v>69</v>
      </c>
      <c r="K15" s="3">
        <v>221.45</v>
      </c>
      <c r="L15" s="3">
        <v>500</v>
      </c>
      <c r="M15" s="5">
        <v>110725</v>
      </c>
      <c r="N15" t="s">
        <v>70</v>
      </c>
      <c r="O15" s="3">
        <v>225.3</v>
      </c>
      <c r="P15" s="3">
        <v>500</v>
      </c>
      <c r="Q15" s="5">
        <v>112650</v>
      </c>
      <c r="R15" t="s">
        <v>71</v>
      </c>
      <c r="S15" s="3">
        <v>216.2</v>
      </c>
      <c r="T15" s="3">
        <v>500</v>
      </c>
      <c r="U15" s="5">
        <v>108100</v>
      </c>
      <c r="V15" s="4" t="s">
        <v>72</v>
      </c>
      <c r="W15" s="3">
        <v>183.5</v>
      </c>
      <c r="X15" s="3">
        <v>500</v>
      </c>
      <c r="Y15" s="5">
        <v>91750</v>
      </c>
      <c r="Z15" t="s">
        <v>73</v>
      </c>
      <c r="AA15" s="3"/>
      <c r="AB15" s="3"/>
      <c r="AC15" s="5"/>
      <c r="AE15" s="3">
        <v>220.1</v>
      </c>
      <c r="AF15" s="3">
        <v>500</v>
      </c>
      <c r="AG15" s="5">
        <v>110050</v>
      </c>
      <c r="AH15" t="s">
        <v>74</v>
      </c>
      <c r="AI15" s="3">
        <v>202</v>
      </c>
      <c r="AJ15" s="3">
        <v>500</v>
      </c>
      <c r="AK15" s="5">
        <v>101000</v>
      </c>
      <c r="AL15" t="s">
        <v>75</v>
      </c>
      <c r="AM15" s="3"/>
      <c r="AN15" s="3"/>
      <c r="AO15" s="5"/>
      <c r="AQ15" s="3"/>
      <c r="AR15" s="3"/>
      <c r="AS15" s="5"/>
      <c r="AU15" s="3"/>
      <c r="AV15" s="3"/>
      <c r="AW15" s="5"/>
      <c r="AY15" s="3"/>
      <c r="AZ15" s="3"/>
      <c r="BA15" s="5"/>
    </row>
    <row r="16" spans="1:54" ht="45" x14ac:dyDescent="0.25">
      <c r="A16" t="s">
        <v>76</v>
      </c>
      <c r="B16" t="s">
        <v>32</v>
      </c>
      <c r="C16" t="s">
        <v>77</v>
      </c>
      <c r="D16" s="4" t="s">
        <v>78</v>
      </c>
      <c r="E16">
        <v>700</v>
      </c>
      <c r="F16" t="s">
        <v>35</v>
      </c>
      <c r="G16" s="3">
        <v>472.22</v>
      </c>
      <c r="H16" s="3">
        <v>700</v>
      </c>
      <c r="I16" s="5">
        <v>330554</v>
      </c>
      <c r="J16" s="4" t="s">
        <v>79</v>
      </c>
      <c r="K16" s="3">
        <v>389.16</v>
      </c>
      <c r="L16" s="3">
        <v>700</v>
      </c>
      <c r="M16" s="5">
        <v>272412</v>
      </c>
      <c r="N16" t="s">
        <v>80</v>
      </c>
      <c r="O16" s="3">
        <v>395.99</v>
      </c>
      <c r="P16" s="3">
        <v>700</v>
      </c>
      <c r="Q16" s="5">
        <v>277193</v>
      </c>
      <c r="R16" t="s">
        <v>81</v>
      </c>
      <c r="S16" s="3">
        <v>362.71</v>
      </c>
      <c r="T16" s="3">
        <v>700</v>
      </c>
      <c r="U16" s="5">
        <v>253897</v>
      </c>
      <c r="V16" s="4" t="s">
        <v>82</v>
      </c>
      <c r="W16" s="3">
        <v>337</v>
      </c>
      <c r="X16" s="3">
        <v>700</v>
      </c>
      <c r="Y16" s="5">
        <v>235900</v>
      </c>
      <c r="Z16" t="s">
        <v>73</v>
      </c>
      <c r="AA16" s="3"/>
      <c r="AB16" s="3"/>
      <c r="AC16" s="5"/>
      <c r="AE16" s="3">
        <v>386.78</v>
      </c>
      <c r="AF16" s="3">
        <v>700</v>
      </c>
      <c r="AG16" s="5">
        <v>270746</v>
      </c>
      <c r="AH16" t="s">
        <v>64</v>
      </c>
      <c r="AI16" s="3">
        <v>355</v>
      </c>
      <c r="AJ16" s="3">
        <v>700</v>
      </c>
      <c r="AK16" s="5">
        <v>248500</v>
      </c>
      <c r="AL16" t="s">
        <v>83</v>
      </c>
      <c r="AM16" s="3"/>
      <c r="AN16" s="3"/>
      <c r="AO16" s="5"/>
      <c r="AQ16" s="3"/>
      <c r="AR16" s="3"/>
      <c r="AS16" s="5"/>
      <c r="AU16" s="3"/>
      <c r="AV16" s="3"/>
      <c r="AW16" s="5"/>
      <c r="AY16" s="3"/>
      <c r="AZ16" s="3"/>
      <c r="BA16" s="5"/>
    </row>
    <row r="17" spans="1:53" ht="45" x14ac:dyDescent="0.25">
      <c r="A17" t="s">
        <v>84</v>
      </c>
      <c r="B17" t="s">
        <v>32</v>
      </c>
      <c r="C17" t="s">
        <v>85</v>
      </c>
      <c r="D17" s="4" t="s">
        <v>86</v>
      </c>
      <c r="E17">
        <v>3000</v>
      </c>
      <c r="F17" t="s">
        <v>35</v>
      </c>
      <c r="G17" s="3">
        <v>264.14999999999998</v>
      </c>
      <c r="H17" s="3">
        <v>3000</v>
      </c>
      <c r="I17" s="5">
        <v>792450</v>
      </c>
      <c r="J17" s="4" t="s">
        <v>87</v>
      </c>
      <c r="K17" s="3">
        <v>217.67</v>
      </c>
      <c r="L17" s="3">
        <v>3000</v>
      </c>
      <c r="M17" s="5">
        <v>653010</v>
      </c>
      <c r="N17" t="s">
        <v>88</v>
      </c>
      <c r="O17" s="3">
        <v>230</v>
      </c>
      <c r="P17" s="3">
        <v>3000</v>
      </c>
      <c r="Q17" s="5">
        <v>690000</v>
      </c>
      <c r="R17" t="s">
        <v>89</v>
      </c>
      <c r="S17" s="3"/>
      <c r="T17" s="3"/>
      <c r="U17" s="5"/>
      <c r="W17" s="3"/>
      <c r="X17" s="3"/>
      <c r="Y17" s="5"/>
      <c r="AA17" s="3"/>
      <c r="AB17" s="3"/>
      <c r="AC17" s="5"/>
      <c r="AE17" s="3"/>
      <c r="AF17" s="3"/>
      <c r="AG17" s="5"/>
      <c r="AI17" s="3">
        <v>199</v>
      </c>
      <c r="AJ17" s="3">
        <v>3000</v>
      </c>
      <c r="AK17" s="5">
        <v>597000</v>
      </c>
      <c r="AL17" s="4" t="s">
        <v>90</v>
      </c>
      <c r="AM17" s="3"/>
      <c r="AN17" s="3"/>
      <c r="AO17" s="5"/>
      <c r="AQ17" s="3"/>
      <c r="AR17" s="3"/>
      <c r="AS17" s="5"/>
      <c r="AU17" s="3"/>
      <c r="AV17" s="3"/>
      <c r="AW17" s="5"/>
      <c r="AY17" s="3"/>
      <c r="AZ17" s="3"/>
      <c r="BA17" s="5"/>
    </row>
    <row r="18" spans="1:53" ht="30" x14ac:dyDescent="0.25">
      <c r="A18" t="s">
        <v>91</v>
      </c>
      <c r="B18" t="s">
        <v>32</v>
      </c>
      <c r="C18" t="s">
        <v>92</v>
      </c>
      <c r="D18" s="4" t="s">
        <v>93</v>
      </c>
      <c r="E18">
        <v>60</v>
      </c>
      <c r="F18" t="s">
        <v>35</v>
      </c>
      <c r="G18" s="3"/>
      <c r="H18" s="3"/>
      <c r="I18" s="5"/>
      <c r="K18" s="3"/>
      <c r="L18" s="3"/>
      <c r="M18" s="5"/>
      <c r="O18" s="3"/>
      <c r="P18" s="3"/>
      <c r="Q18" s="5"/>
      <c r="S18" s="3"/>
      <c r="T18" s="3"/>
      <c r="U18" s="5"/>
      <c r="W18" s="3">
        <v>2080</v>
      </c>
      <c r="X18" s="3">
        <v>60</v>
      </c>
      <c r="Y18" s="5">
        <v>124800</v>
      </c>
      <c r="Z18" t="s">
        <v>94</v>
      </c>
      <c r="AA18" s="3"/>
      <c r="AB18" s="3"/>
      <c r="AC18" s="5"/>
      <c r="AE18" s="3"/>
      <c r="AF18" s="3"/>
      <c r="AG18" s="5"/>
      <c r="AI18" s="3"/>
      <c r="AJ18" s="3"/>
      <c r="AK18" s="5"/>
      <c r="AM18" s="3"/>
      <c r="AN18" s="3"/>
      <c r="AO18" s="5"/>
      <c r="AQ18" s="3"/>
      <c r="AR18" s="3"/>
      <c r="AS18" s="5"/>
      <c r="AU18" s="3"/>
      <c r="AV18" s="3"/>
      <c r="AW18" s="5"/>
      <c r="AY18" s="3"/>
      <c r="AZ18" s="3"/>
      <c r="BA18" s="5"/>
    </row>
    <row r="19" spans="1:53" ht="195" x14ac:dyDescent="0.25">
      <c r="A19" t="s">
        <v>95</v>
      </c>
      <c r="B19" t="s">
        <v>32</v>
      </c>
      <c r="C19" t="s">
        <v>96</v>
      </c>
      <c r="D19" s="4" t="s">
        <v>97</v>
      </c>
      <c r="E19">
        <v>30</v>
      </c>
      <c r="F19" t="s">
        <v>35</v>
      </c>
      <c r="G19" s="3"/>
      <c r="H19" s="3"/>
      <c r="I19" s="5"/>
      <c r="K19" s="3"/>
      <c r="L19" s="3"/>
      <c r="M19" s="5"/>
      <c r="O19" s="3"/>
      <c r="P19" s="3"/>
      <c r="Q19" s="5"/>
      <c r="S19" s="3"/>
      <c r="T19" s="3"/>
      <c r="U19" s="5"/>
      <c r="W19" s="3"/>
      <c r="X19" s="3"/>
      <c r="Y19" s="5"/>
      <c r="AA19" s="3"/>
      <c r="AB19" s="3"/>
      <c r="AC19" s="5"/>
      <c r="AE19" s="3">
        <v>10066.86</v>
      </c>
      <c r="AF19" s="3">
        <v>30</v>
      </c>
      <c r="AG19" s="5">
        <v>302005.8</v>
      </c>
      <c r="AH19" s="4" t="s">
        <v>98</v>
      </c>
      <c r="AI19" s="3"/>
      <c r="AJ19" s="3"/>
      <c r="AK19" s="5"/>
      <c r="AM19" s="3">
        <v>16168</v>
      </c>
      <c r="AN19" s="3">
        <v>30</v>
      </c>
      <c r="AO19" s="5">
        <v>485040</v>
      </c>
      <c r="AP19" s="4" t="s">
        <v>99</v>
      </c>
      <c r="AQ19" s="3">
        <v>13552</v>
      </c>
      <c r="AR19" s="3">
        <v>30</v>
      </c>
      <c r="AS19" s="5">
        <v>406560</v>
      </c>
      <c r="AT19" s="4" t="s">
        <v>100</v>
      </c>
      <c r="AU19" s="3"/>
      <c r="AV19" s="3"/>
      <c r="AW19" s="5"/>
      <c r="AY19" s="3"/>
      <c r="AZ19" s="3"/>
      <c r="BA19" s="5"/>
    </row>
    <row r="20" spans="1:53" ht="30" x14ac:dyDescent="0.25">
      <c r="A20" t="s">
        <v>101</v>
      </c>
      <c r="B20" t="s">
        <v>32</v>
      </c>
      <c r="C20" t="s">
        <v>102</v>
      </c>
      <c r="D20" s="4" t="s">
        <v>103</v>
      </c>
      <c r="E20">
        <v>150</v>
      </c>
      <c r="F20" t="s">
        <v>35</v>
      </c>
      <c r="G20" s="3"/>
      <c r="H20" s="3"/>
      <c r="I20" s="5"/>
      <c r="K20" s="3"/>
      <c r="L20" s="3"/>
      <c r="M20" s="5"/>
      <c r="O20" s="3"/>
      <c r="P20" s="3"/>
      <c r="Q20" s="5"/>
      <c r="S20" s="3"/>
      <c r="T20" s="3"/>
      <c r="U20" s="5"/>
      <c r="W20" s="3"/>
      <c r="X20" s="3"/>
      <c r="Y20" s="5"/>
      <c r="AA20" s="3"/>
      <c r="AB20" s="3"/>
      <c r="AC20" s="5"/>
      <c r="AE20" s="3">
        <v>1074.1199999999999</v>
      </c>
      <c r="AF20" s="3">
        <v>150</v>
      </c>
      <c r="AG20" s="5">
        <v>161118</v>
      </c>
      <c r="AH20" s="4" t="s">
        <v>104</v>
      </c>
      <c r="AI20" s="3"/>
      <c r="AJ20" s="3"/>
      <c r="AK20" s="5"/>
      <c r="AM20" s="3"/>
      <c r="AN20" s="3"/>
      <c r="AO20" s="5"/>
      <c r="AQ20" s="3"/>
      <c r="AR20" s="3"/>
      <c r="AS20" s="5"/>
      <c r="AU20" s="3"/>
      <c r="AV20" s="3"/>
      <c r="AW20" s="5"/>
      <c r="AY20" s="3"/>
      <c r="AZ20" s="3"/>
      <c r="BA20" s="5"/>
    </row>
    <row r="21" spans="1:53" ht="45" x14ac:dyDescent="0.25">
      <c r="A21" t="s">
        <v>105</v>
      </c>
      <c r="B21" t="s">
        <v>32</v>
      </c>
      <c r="C21" t="s">
        <v>106</v>
      </c>
      <c r="D21" s="4" t="s">
        <v>107</v>
      </c>
      <c r="E21">
        <v>470</v>
      </c>
      <c r="F21" t="s">
        <v>35</v>
      </c>
      <c r="G21" s="3"/>
      <c r="H21" s="3"/>
      <c r="I21" s="5"/>
      <c r="K21" s="3"/>
      <c r="L21" s="3"/>
      <c r="M21" s="5"/>
      <c r="O21" s="3"/>
      <c r="P21" s="3"/>
      <c r="Q21" s="5"/>
      <c r="S21" s="3">
        <v>850.77</v>
      </c>
      <c r="T21" s="3">
        <v>470</v>
      </c>
      <c r="U21" s="5">
        <v>399861.9</v>
      </c>
      <c r="V21" s="4" t="s">
        <v>108</v>
      </c>
      <c r="W21" s="3"/>
      <c r="X21" s="3"/>
      <c r="Y21" s="5"/>
      <c r="AA21" s="3"/>
      <c r="AB21" s="3"/>
      <c r="AC21" s="5"/>
      <c r="AE21" s="3">
        <v>1074.1199999999999</v>
      </c>
      <c r="AF21" s="3">
        <v>470</v>
      </c>
      <c r="AG21" s="5">
        <v>504836.4</v>
      </c>
      <c r="AH21" s="4" t="s">
        <v>109</v>
      </c>
      <c r="AI21" s="3"/>
      <c r="AJ21" s="3"/>
      <c r="AK21" s="5"/>
      <c r="AM21" s="3"/>
      <c r="AN21" s="3"/>
      <c r="AO21" s="5"/>
      <c r="AQ21" s="3"/>
      <c r="AR21" s="3"/>
      <c r="AS21" s="5"/>
      <c r="AU21" s="3">
        <v>439</v>
      </c>
      <c r="AV21" s="3">
        <v>470</v>
      </c>
      <c r="AW21" s="5">
        <v>206330</v>
      </c>
      <c r="AX21" s="4" t="s">
        <v>110</v>
      </c>
      <c r="AY21" s="3"/>
      <c r="AZ21" s="3"/>
      <c r="BA21" s="5"/>
    </row>
    <row r="22" spans="1:53" ht="195" x14ac:dyDescent="0.25">
      <c r="A22" t="s">
        <v>111</v>
      </c>
      <c r="B22" t="s">
        <v>32</v>
      </c>
      <c r="C22" t="s">
        <v>112</v>
      </c>
      <c r="D22" s="4" t="s">
        <v>113</v>
      </c>
      <c r="E22">
        <v>740</v>
      </c>
      <c r="F22" t="s">
        <v>35</v>
      </c>
      <c r="G22" s="3">
        <v>973.21</v>
      </c>
      <c r="H22" s="3">
        <v>740</v>
      </c>
      <c r="I22" s="5">
        <v>720175.4</v>
      </c>
      <c r="J22" s="4" t="s">
        <v>114</v>
      </c>
      <c r="K22" s="3">
        <v>1199.8599999999999</v>
      </c>
      <c r="L22" s="3">
        <v>740</v>
      </c>
      <c r="M22" s="5">
        <v>887896.4</v>
      </c>
      <c r="N22" s="4" t="s">
        <v>115</v>
      </c>
      <c r="O22" s="3"/>
      <c r="P22" s="3"/>
      <c r="Q22" s="5"/>
      <c r="S22" s="3">
        <v>686.55</v>
      </c>
      <c r="T22" s="3">
        <v>740</v>
      </c>
      <c r="U22" s="5">
        <v>508047</v>
      </c>
      <c r="V22" s="4" t="s">
        <v>116</v>
      </c>
      <c r="W22" s="3">
        <v>1115</v>
      </c>
      <c r="X22" s="3">
        <v>740</v>
      </c>
      <c r="Y22" s="5">
        <v>825100</v>
      </c>
      <c r="Z22" t="s">
        <v>94</v>
      </c>
      <c r="AA22" s="3">
        <v>1245</v>
      </c>
      <c r="AB22" s="3">
        <v>740</v>
      </c>
      <c r="AC22" s="5">
        <v>921300</v>
      </c>
      <c r="AD22" s="4" t="s">
        <v>117</v>
      </c>
      <c r="AE22" s="3">
        <v>2169.2600000000002</v>
      </c>
      <c r="AF22" s="3">
        <v>740</v>
      </c>
      <c r="AG22" s="5">
        <v>1605252.4</v>
      </c>
      <c r="AH22" t="s">
        <v>118</v>
      </c>
      <c r="AI22" s="3"/>
      <c r="AJ22" s="3"/>
      <c r="AK22" s="5"/>
      <c r="AM22" s="3"/>
      <c r="AN22" s="3"/>
      <c r="AO22" s="5"/>
      <c r="AQ22" s="3">
        <v>1210</v>
      </c>
      <c r="AR22" s="3">
        <v>740</v>
      </c>
      <c r="AS22" s="5">
        <v>895400</v>
      </c>
      <c r="AT22" s="4" t="s">
        <v>119</v>
      </c>
      <c r="AU22" s="3">
        <v>750</v>
      </c>
      <c r="AV22" s="3">
        <v>740</v>
      </c>
      <c r="AW22" s="5">
        <v>555000</v>
      </c>
      <c r="AX22" s="4" t="s">
        <v>120</v>
      </c>
      <c r="AY22" s="3"/>
      <c r="AZ22" s="3"/>
      <c r="BA22" s="5"/>
    </row>
    <row r="23" spans="1:53" ht="30" x14ac:dyDescent="0.25">
      <c r="A23" t="s">
        <v>121</v>
      </c>
      <c r="B23" t="s">
        <v>32</v>
      </c>
      <c r="C23" t="s">
        <v>122</v>
      </c>
      <c r="D23" s="4" t="s">
        <v>123</v>
      </c>
      <c r="E23">
        <v>154</v>
      </c>
      <c r="F23" t="s">
        <v>35</v>
      </c>
      <c r="G23" s="3"/>
      <c r="H23" s="3"/>
      <c r="I23" s="5"/>
      <c r="K23" s="3">
        <v>7685.34</v>
      </c>
      <c r="L23" s="3">
        <v>154</v>
      </c>
      <c r="M23" s="5">
        <v>1183542.3600000001</v>
      </c>
      <c r="N23" s="4" t="s">
        <v>124</v>
      </c>
      <c r="O23" s="3"/>
      <c r="P23" s="3"/>
      <c r="Q23" s="5"/>
      <c r="S23" s="3"/>
      <c r="T23" s="3"/>
      <c r="U23" s="5"/>
      <c r="W23" s="3">
        <v>7930</v>
      </c>
      <c r="X23" s="3">
        <v>154</v>
      </c>
      <c r="Y23" s="5">
        <v>1221220</v>
      </c>
      <c r="Z23" t="s">
        <v>125</v>
      </c>
      <c r="AA23" s="3"/>
      <c r="AB23" s="3"/>
      <c r="AC23" s="5"/>
      <c r="AE23" s="3"/>
      <c r="AF23" s="3"/>
      <c r="AG23" s="5"/>
      <c r="AI23" s="3"/>
      <c r="AJ23" s="3"/>
      <c r="AK23" s="5"/>
      <c r="AM23" s="3"/>
      <c r="AN23" s="3"/>
      <c r="AO23" s="5"/>
      <c r="AQ23" s="3"/>
      <c r="AR23" s="3"/>
      <c r="AS23" s="5"/>
      <c r="AU23" s="3">
        <v>5725</v>
      </c>
      <c r="AV23" s="3">
        <v>154</v>
      </c>
      <c r="AW23" s="5">
        <v>881650</v>
      </c>
      <c r="AX23" t="s">
        <v>126</v>
      </c>
      <c r="AY23" s="3"/>
      <c r="AZ23" s="3"/>
      <c r="BA23" s="5"/>
    </row>
    <row r="24" spans="1:53" ht="409.5" x14ac:dyDescent="0.25">
      <c r="A24" t="s">
        <v>127</v>
      </c>
      <c r="B24" t="s">
        <v>32</v>
      </c>
      <c r="C24" t="s">
        <v>128</v>
      </c>
      <c r="D24" s="4" t="s">
        <v>129</v>
      </c>
      <c r="E24">
        <v>220</v>
      </c>
      <c r="F24" t="s">
        <v>35</v>
      </c>
      <c r="G24" s="3"/>
      <c r="H24" s="3"/>
      <c r="I24" s="5"/>
      <c r="K24" s="3"/>
      <c r="L24" s="3"/>
      <c r="M24" s="5"/>
      <c r="O24" s="3"/>
      <c r="P24" s="3"/>
      <c r="Q24" s="5"/>
      <c r="S24" s="3"/>
      <c r="T24" s="3"/>
      <c r="U24" s="5"/>
      <c r="W24" s="3"/>
      <c r="X24" s="3"/>
      <c r="Y24" s="5"/>
      <c r="AA24" s="3"/>
      <c r="AB24" s="3"/>
      <c r="AC24" s="5"/>
      <c r="AE24" s="3">
        <v>9802.67</v>
      </c>
      <c r="AF24" s="3">
        <v>220</v>
      </c>
      <c r="AG24" s="5">
        <v>2156587.4</v>
      </c>
      <c r="AH24" s="4" t="s">
        <v>130</v>
      </c>
      <c r="AI24" s="3"/>
      <c r="AJ24" s="3"/>
      <c r="AK24" s="5"/>
      <c r="AM24" s="3">
        <v>10577</v>
      </c>
      <c r="AN24" s="3">
        <v>220</v>
      </c>
      <c r="AO24" s="5">
        <v>2326940</v>
      </c>
      <c r="AP24" s="4" t="s">
        <v>131</v>
      </c>
      <c r="AQ24" s="3">
        <v>8470</v>
      </c>
      <c r="AR24" s="3">
        <v>220</v>
      </c>
      <c r="AS24" s="5">
        <v>1863400</v>
      </c>
      <c r="AT24" s="4" t="s">
        <v>132</v>
      </c>
      <c r="AU24" s="3"/>
      <c r="AV24" s="3"/>
      <c r="AW24" s="5"/>
      <c r="AY24" s="3"/>
      <c r="AZ24" s="3"/>
      <c r="BA24" s="5"/>
    </row>
    <row r="25" spans="1:53" ht="30" x14ac:dyDescent="0.25">
      <c r="A25" t="s">
        <v>133</v>
      </c>
      <c r="B25" t="s">
        <v>32</v>
      </c>
      <c r="C25" t="s">
        <v>134</v>
      </c>
      <c r="D25" s="4" t="s">
        <v>135</v>
      </c>
      <c r="E25">
        <v>160</v>
      </c>
      <c r="F25" t="s">
        <v>35</v>
      </c>
      <c r="G25" s="3">
        <v>1424.93</v>
      </c>
      <c r="H25" s="3">
        <v>160</v>
      </c>
      <c r="I25" s="5">
        <v>227988.8</v>
      </c>
      <c r="J25" s="4" t="s">
        <v>136</v>
      </c>
      <c r="K25" s="3"/>
      <c r="L25" s="3"/>
      <c r="M25" s="5"/>
      <c r="O25" s="3"/>
      <c r="P25" s="3"/>
      <c r="Q25" s="5"/>
      <c r="S25" s="3"/>
      <c r="T25" s="3"/>
      <c r="U25" s="5"/>
      <c r="W25" s="3">
        <v>1415</v>
      </c>
      <c r="X25" s="3">
        <v>160</v>
      </c>
      <c r="Y25" s="5">
        <v>226400</v>
      </c>
      <c r="Z25" t="s">
        <v>94</v>
      </c>
      <c r="AA25" s="3">
        <v>1430</v>
      </c>
      <c r="AB25" s="3">
        <v>160</v>
      </c>
      <c r="AC25" s="5">
        <v>228800</v>
      </c>
      <c r="AD25" s="4" t="s">
        <v>137</v>
      </c>
      <c r="AE25" s="3"/>
      <c r="AF25" s="3"/>
      <c r="AG25" s="5"/>
      <c r="AI25" s="3"/>
      <c r="AJ25" s="3"/>
      <c r="AK25" s="5"/>
      <c r="AM25" s="3"/>
      <c r="AN25" s="3"/>
      <c r="AO25" s="5"/>
      <c r="AQ25" s="3"/>
      <c r="AR25" s="3"/>
      <c r="AS25" s="5"/>
      <c r="AU25" s="3">
        <v>942</v>
      </c>
      <c r="AV25" s="3">
        <v>160</v>
      </c>
      <c r="AW25" s="5">
        <v>150720</v>
      </c>
      <c r="AX25" s="4" t="s">
        <v>138</v>
      </c>
      <c r="AY25" s="3"/>
      <c r="AZ25" s="3"/>
      <c r="BA25" s="5"/>
    </row>
    <row r="26" spans="1:53" ht="225" x14ac:dyDescent="0.25">
      <c r="A26" t="s">
        <v>139</v>
      </c>
      <c r="B26" t="s">
        <v>32</v>
      </c>
      <c r="C26" t="s">
        <v>140</v>
      </c>
      <c r="D26" s="4" t="s">
        <v>141</v>
      </c>
      <c r="E26">
        <v>65</v>
      </c>
      <c r="F26" t="s">
        <v>35</v>
      </c>
      <c r="G26" s="3"/>
      <c r="H26" s="3"/>
      <c r="I26" s="5"/>
      <c r="K26" s="3"/>
      <c r="L26" s="3"/>
      <c r="M26" s="5"/>
      <c r="O26" s="3"/>
      <c r="P26" s="3"/>
      <c r="Q26" s="5"/>
      <c r="S26" s="3">
        <v>2689.85</v>
      </c>
      <c r="T26" s="3">
        <v>65</v>
      </c>
      <c r="U26" s="5">
        <v>174840.25</v>
      </c>
      <c r="V26" s="4" t="s">
        <v>142</v>
      </c>
      <c r="W26" s="3"/>
      <c r="X26" s="3"/>
      <c r="Y26" s="5"/>
      <c r="AA26" s="3">
        <v>2520</v>
      </c>
      <c r="AB26" s="3">
        <v>65</v>
      </c>
      <c r="AC26" s="5">
        <v>163800</v>
      </c>
      <c r="AD26" s="4" t="s">
        <v>143</v>
      </c>
      <c r="AE26" s="3"/>
      <c r="AF26" s="3"/>
      <c r="AG26" s="5"/>
      <c r="AI26" s="3"/>
      <c r="AJ26" s="3"/>
      <c r="AK26" s="5"/>
      <c r="AM26" s="3">
        <v>6694</v>
      </c>
      <c r="AN26" s="3">
        <v>65</v>
      </c>
      <c r="AO26" s="5">
        <v>435110</v>
      </c>
      <c r="AP26" s="4" t="s">
        <v>144</v>
      </c>
      <c r="AQ26" s="3"/>
      <c r="AR26" s="3"/>
      <c r="AS26" s="5"/>
      <c r="AU26" s="3">
        <v>1725</v>
      </c>
      <c r="AV26" s="3">
        <v>65</v>
      </c>
      <c r="AW26" s="5">
        <v>112125</v>
      </c>
      <c r="AX26" s="4" t="s">
        <v>145</v>
      </c>
      <c r="AY26" s="3"/>
      <c r="AZ26" s="3"/>
      <c r="BA26" s="5"/>
    </row>
    <row r="27" spans="1:53" ht="225" x14ac:dyDescent="0.25">
      <c r="A27" t="s">
        <v>146</v>
      </c>
      <c r="B27" t="s">
        <v>32</v>
      </c>
      <c r="C27" t="s">
        <v>147</v>
      </c>
      <c r="D27" s="4" t="s">
        <v>148</v>
      </c>
      <c r="E27">
        <v>30</v>
      </c>
      <c r="F27" t="s">
        <v>35</v>
      </c>
      <c r="G27" s="3"/>
      <c r="H27" s="3"/>
      <c r="I27" s="5"/>
      <c r="K27" s="3"/>
      <c r="L27" s="3"/>
      <c r="M27" s="5"/>
      <c r="O27" s="3"/>
      <c r="P27" s="3"/>
      <c r="Q27" s="5"/>
      <c r="S27" s="3"/>
      <c r="T27" s="3"/>
      <c r="U27" s="5"/>
      <c r="W27" s="3"/>
      <c r="X27" s="3"/>
      <c r="Y27" s="5"/>
      <c r="AA27" s="3">
        <v>4775</v>
      </c>
      <c r="AB27" s="3">
        <v>30</v>
      </c>
      <c r="AC27" s="5">
        <v>143250</v>
      </c>
      <c r="AD27" s="4" t="s">
        <v>149</v>
      </c>
      <c r="AE27" s="3"/>
      <c r="AF27" s="3"/>
      <c r="AG27" s="5"/>
      <c r="AI27" s="3"/>
      <c r="AJ27" s="3"/>
      <c r="AK27" s="5"/>
      <c r="AM27" s="3">
        <v>6694</v>
      </c>
      <c r="AN27" s="3">
        <v>30</v>
      </c>
      <c r="AO27" s="5">
        <v>200820</v>
      </c>
      <c r="AP27" s="4" t="s">
        <v>144</v>
      </c>
      <c r="AQ27" s="3"/>
      <c r="AR27" s="3"/>
      <c r="AS27" s="5"/>
      <c r="AU27" s="3"/>
      <c r="AV27" s="3"/>
      <c r="AW27" s="5"/>
      <c r="AY27" s="3"/>
      <c r="AZ27" s="3"/>
      <c r="BA27" s="5"/>
    </row>
    <row r="28" spans="1:53" ht="30" x14ac:dyDescent="0.25">
      <c r="A28" t="s">
        <v>150</v>
      </c>
      <c r="B28" t="s">
        <v>32</v>
      </c>
      <c r="C28" t="s">
        <v>151</v>
      </c>
      <c r="D28" s="4" t="s">
        <v>152</v>
      </c>
      <c r="E28">
        <v>225</v>
      </c>
      <c r="F28" t="s">
        <v>35</v>
      </c>
      <c r="G28" s="3">
        <v>5529.2</v>
      </c>
      <c r="H28" s="3">
        <v>225</v>
      </c>
      <c r="I28" s="5">
        <v>1244070</v>
      </c>
      <c r="J28" s="4" t="s">
        <v>153</v>
      </c>
      <c r="K28" s="3"/>
      <c r="L28" s="3"/>
      <c r="M28" s="5"/>
      <c r="O28" s="3"/>
      <c r="P28" s="3"/>
      <c r="Q28" s="5"/>
      <c r="S28" s="3">
        <v>6234.15</v>
      </c>
      <c r="T28" s="3">
        <v>225</v>
      </c>
      <c r="U28" s="5">
        <v>1402683.75</v>
      </c>
      <c r="V28" t="s">
        <v>154</v>
      </c>
      <c r="W28" s="3">
        <v>5556</v>
      </c>
      <c r="X28" s="3">
        <v>225</v>
      </c>
      <c r="Y28" s="5">
        <v>1250100</v>
      </c>
      <c r="Z28" t="s">
        <v>125</v>
      </c>
      <c r="AA28" s="3">
        <v>6210</v>
      </c>
      <c r="AB28" s="3">
        <v>225</v>
      </c>
      <c r="AC28" s="5">
        <v>1397250</v>
      </c>
      <c r="AD28" t="s">
        <v>155</v>
      </c>
      <c r="AE28" s="3"/>
      <c r="AF28" s="3"/>
      <c r="AG28" s="5"/>
      <c r="AI28" s="3"/>
      <c r="AJ28" s="3"/>
      <c r="AK28" s="5"/>
      <c r="AM28" s="3"/>
      <c r="AN28" s="3"/>
      <c r="AO28" s="5"/>
      <c r="AQ28" s="3"/>
      <c r="AR28" s="3"/>
      <c r="AS28" s="5"/>
      <c r="AU28" s="3">
        <v>4045</v>
      </c>
      <c r="AV28" s="3">
        <v>225</v>
      </c>
      <c r="AW28" s="5">
        <v>910125</v>
      </c>
      <c r="AX28" t="s">
        <v>156</v>
      </c>
      <c r="AY28" s="3"/>
      <c r="AZ28" s="3"/>
      <c r="BA28" s="5"/>
    </row>
    <row r="29" spans="1:53" ht="45" x14ac:dyDescent="0.25">
      <c r="A29" t="s">
        <v>157</v>
      </c>
      <c r="B29" t="s">
        <v>32</v>
      </c>
      <c r="C29" t="s">
        <v>158</v>
      </c>
      <c r="D29" s="4" t="s">
        <v>159</v>
      </c>
      <c r="E29">
        <v>1000</v>
      </c>
      <c r="F29" t="s">
        <v>35</v>
      </c>
      <c r="G29" s="3">
        <v>1300.6400000000001</v>
      </c>
      <c r="H29" s="3">
        <v>1000</v>
      </c>
      <c r="I29" s="5">
        <v>1300640</v>
      </c>
      <c r="J29" s="4" t="s">
        <v>160</v>
      </c>
      <c r="K29" s="3">
        <v>1588.35</v>
      </c>
      <c r="L29" s="3">
        <v>1000</v>
      </c>
      <c r="M29" s="5">
        <v>1588350</v>
      </c>
      <c r="N29" s="4" t="s">
        <v>161</v>
      </c>
      <c r="O29" s="3"/>
      <c r="P29" s="3"/>
      <c r="Q29" s="5"/>
      <c r="S29" s="3"/>
      <c r="T29" s="3"/>
      <c r="U29" s="5"/>
      <c r="W29" s="3"/>
      <c r="X29" s="3"/>
      <c r="Y29" s="5"/>
      <c r="AA29" s="3">
        <v>1460</v>
      </c>
      <c r="AB29" s="3">
        <v>1000</v>
      </c>
      <c r="AC29" s="5">
        <v>1460000</v>
      </c>
      <c r="AD29" s="4" t="s">
        <v>162</v>
      </c>
      <c r="AE29" s="3">
        <v>1523.16</v>
      </c>
      <c r="AF29" s="3">
        <v>1000</v>
      </c>
      <c r="AG29" s="5">
        <v>1523160</v>
      </c>
      <c r="AH29" t="s">
        <v>163</v>
      </c>
      <c r="AI29" s="3"/>
      <c r="AJ29" s="3"/>
      <c r="AK29" s="5"/>
      <c r="AM29" s="3"/>
      <c r="AN29" s="3"/>
      <c r="AO29" s="5"/>
      <c r="AQ29" s="3"/>
      <c r="AR29" s="3"/>
      <c r="AS29" s="5"/>
      <c r="AU29" s="3">
        <v>1114</v>
      </c>
      <c r="AV29" s="3">
        <v>1000</v>
      </c>
      <c r="AW29" s="5">
        <v>1114000</v>
      </c>
      <c r="AX29" s="4" t="s">
        <v>164</v>
      </c>
      <c r="AY29" s="3"/>
      <c r="AZ29" s="3"/>
      <c r="BA29" s="5"/>
    </row>
    <row r="30" spans="1:53" ht="30" x14ac:dyDescent="0.25">
      <c r="A30" t="s">
        <v>165</v>
      </c>
      <c r="B30" t="s">
        <v>32</v>
      </c>
      <c r="C30" t="s">
        <v>166</v>
      </c>
      <c r="D30" s="4" t="s">
        <v>167</v>
      </c>
      <c r="E30">
        <v>330</v>
      </c>
      <c r="F30" t="s">
        <v>35</v>
      </c>
      <c r="G30" s="3">
        <v>769.29</v>
      </c>
      <c r="H30" s="3">
        <v>330</v>
      </c>
      <c r="I30" s="5">
        <v>253865.7</v>
      </c>
      <c r="J30" s="4" t="s">
        <v>168</v>
      </c>
      <c r="K30" s="3">
        <v>944.2</v>
      </c>
      <c r="L30" s="3">
        <v>330</v>
      </c>
      <c r="M30" s="5">
        <v>311586</v>
      </c>
      <c r="N30" s="4" t="s">
        <v>169</v>
      </c>
      <c r="O30" s="3"/>
      <c r="P30" s="3"/>
      <c r="Q30" s="5"/>
      <c r="S30" s="3"/>
      <c r="T30" s="3"/>
      <c r="U30" s="5"/>
      <c r="W30" s="3"/>
      <c r="X30" s="3"/>
      <c r="Y30" s="5"/>
      <c r="AA30" s="3">
        <v>980</v>
      </c>
      <c r="AB30" s="3">
        <v>330</v>
      </c>
      <c r="AC30" s="5">
        <v>323400</v>
      </c>
      <c r="AD30" s="4" t="s">
        <v>170</v>
      </c>
      <c r="AE30" s="3">
        <v>1373.88</v>
      </c>
      <c r="AF30" s="3">
        <v>330</v>
      </c>
      <c r="AG30" s="5">
        <v>453380.4</v>
      </c>
      <c r="AH30" t="s">
        <v>171</v>
      </c>
      <c r="AI30" s="3"/>
      <c r="AJ30" s="3"/>
      <c r="AK30" s="5"/>
      <c r="AM30" s="3"/>
      <c r="AN30" s="3"/>
      <c r="AO30" s="5"/>
      <c r="AQ30" s="3"/>
      <c r="AR30" s="3"/>
      <c r="AS30" s="5"/>
      <c r="AU30" s="3">
        <v>625</v>
      </c>
      <c r="AV30" s="3">
        <v>330</v>
      </c>
      <c r="AW30" s="5">
        <v>206250</v>
      </c>
      <c r="AX30" s="4" t="s">
        <v>172</v>
      </c>
      <c r="AY30" s="3"/>
      <c r="AZ30" s="3"/>
      <c r="BA30" s="5"/>
    </row>
    <row r="31" spans="1:53" ht="30" x14ac:dyDescent="0.25">
      <c r="A31" t="s">
        <v>173</v>
      </c>
      <c r="B31" t="s">
        <v>32</v>
      </c>
      <c r="C31" t="s">
        <v>174</v>
      </c>
      <c r="D31" s="4" t="s">
        <v>175</v>
      </c>
      <c r="E31">
        <v>20</v>
      </c>
      <c r="F31" t="s">
        <v>35</v>
      </c>
      <c r="G31" s="3">
        <v>3235.14</v>
      </c>
      <c r="H31" s="3">
        <v>20</v>
      </c>
      <c r="I31" s="5">
        <v>64702.8</v>
      </c>
      <c r="J31" s="4" t="s">
        <v>176</v>
      </c>
      <c r="K31" s="3"/>
      <c r="L31" s="3"/>
      <c r="M31" s="5"/>
      <c r="O31" s="3"/>
      <c r="P31" s="3"/>
      <c r="Q31" s="5"/>
      <c r="S31" s="3">
        <v>3887</v>
      </c>
      <c r="T31" s="3">
        <v>20</v>
      </c>
      <c r="U31" s="5">
        <v>77740</v>
      </c>
      <c r="V31" s="4" t="s">
        <v>177</v>
      </c>
      <c r="W31" s="3">
        <v>3250</v>
      </c>
      <c r="X31" s="3">
        <v>20</v>
      </c>
      <c r="Y31" s="5">
        <v>65000</v>
      </c>
      <c r="Z31" t="s">
        <v>94</v>
      </c>
      <c r="AA31" s="3">
        <v>3650</v>
      </c>
      <c r="AB31" s="3">
        <v>20</v>
      </c>
      <c r="AC31" s="5">
        <v>73000</v>
      </c>
      <c r="AD31" s="4" t="s">
        <v>178</v>
      </c>
      <c r="AE31" s="3"/>
      <c r="AF31" s="3"/>
      <c r="AG31" s="5"/>
      <c r="AI31" s="3"/>
      <c r="AJ31" s="3"/>
      <c r="AK31" s="5"/>
      <c r="AM31" s="3"/>
      <c r="AN31" s="3"/>
      <c r="AO31" s="5"/>
      <c r="AQ31" s="3"/>
      <c r="AR31" s="3"/>
      <c r="AS31" s="5"/>
      <c r="AU31" s="3">
        <v>2449</v>
      </c>
      <c r="AV31" s="3">
        <v>20</v>
      </c>
      <c r="AW31" s="5">
        <v>48980</v>
      </c>
      <c r="AX31" s="4" t="s">
        <v>179</v>
      </c>
      <c r="AY31" s="3"/>
      <c r="AZ31" s="3"/>
      <c r="BA31" s="5"/>
    </row>
    <row r="32" spans="1:53" ht="225" x14ac:dyDescent="0.25">
      <c r="A32" t="s">
        <v>180</v>
      </c>
      <c r="B32" t="s">
        <v>32</v>
      </c>
      <c r="C32" t="s">
        <v>181</v>
      </c>
      <c r="D32" s="4" t="s">
        <v>182</v>
      </c>
      <c r="E32">
        <v>690</v>
      </c>
      <c r="F32" t="s">
        <v>35</v>
      </c>
      <c r="G32" s="3"/>
      <c r="H32" s="3"/>
      <c r="I32" s="5"/>
      <c r="K32" s="3"/>
      <c r="L32" s="3"/>
      <c r="M32" s="5"/>
      <c r="O32" s="3"/>
      <c r="P32" s="3"/>
      <c r="Q32" s="5"/>
      <c r="S32" s="3"/>
      <c r="T32" s="3"/>
      <c r="U32" s="5"/>
      <c r="W32" s="3"/>
      <c r="X32" s="3"/>
      <c r="Y32" s="5"/>
      <c r="AA32" s="3"/>
      <c r="AB32" s="3"/>
      <c r="AC32" s="5"/>
      <c r="AE32" s="3">
        <v>1763.72</v>
      </c>
      <c r="AF32" s="3">
        <v>690</v>
      </c>
      <c r="AG32" s="5">
        <v>1216966.8</v>
      </c>
      <c r="AH32" s="4" t="s">
        <v>183</v>
      </c>
      <c r="AI32" s="3"/>
      <c r="AJ32" s="3"/>
      <c r="AK32" s="5"/>
      <c r="AM32" s="3"/>
      <c r="AN32" s="3"/>
      <c r="AO32" s="5"/>
      <c r="AQ32" s="3">
        <v>1923.9</v>
      </c>
      <c r="AR32" s="3">
        <v>690</v>
      </c>
      <c r="AS32" s="5">
        <v>1327491</v>
      </c>
      <c r="AT32" s="4" t="s">
        <v>184</v>
      </c>
      <c r="AU32" s="3"/>
      <c r="AV32" s="3"/>
      <c r="AW32" s="5"/>
      <c r="AY32" s="3"/>
      <c r="AZ32" s="3"/>
      <c r="BA32" s="5"/>
    </row>
    <row r="33" spans="1:54" ht="270" x14ac:dyDescent="0.25">
      <c r="A33" t="s">
        <v>185</v>
      </c>
      <c r="B33" t="s">
        <v>32</v>
      </c>
      <c r="C33" t="s">
        <v>186</v>
      </c>
      <c r="D33" s="4" t="s">
        <v>187</v>
      </c>
      <c r="E33">
        <v>500</v>
      </c>
      <c r="F33" t="s">
        <v>35</v>
      </c>
      <c r="G33" s="3"/>
      <c r="H33" s="3"/>
      <c r="I33" s="5"/>
      <c r="K33" s="3"/>
      <c r="L33" s="3"/>
      <c r="M33" s="5"/>
      <c r="O33" s="3"/>
      <c r="P33" s="3"/>
      <c r="Q33" s="5"/>
      <c r="S33" s="3"/>
      <c r="T33" s="3"/>
      <c r="U33" s="5"/>
      <c r="W33" s="3"/>
      <c r="X33" s="3"/>
      <c r="Y33" s="5"/>
      <c r="AA33" s="3"/>
      <c r="AB33" s="3"/>
      <c r="AC33" s="5"/>
      <c r="AE33" s="3">
        <v>1468.72</v>
      </c>
      <c r="AF33" s="3">
        <v>500</v>
      </c>
      <c r="AG33" s="5">
        <v>734360</v>
      </c>
      <c r="AH33" s="4" t="s">
        <v>188</v>
      </c>
      <c r="AI33" s="3"/>
      <c r="AJ33" s="3"/>
      <c r="AK33" s="5"/>
      <c r="AM33" s="3"/>
      <c r="AN33" s="3"/>
      <c r="AO33" s="5"/>
      <c r="AQ33" s="3">
        <v>1512.5</v>
      </c>
      <c r="AR33" s="3">
        <v>500</v>
      </c>
      <c r="AS33" s="5">
        <v>756250</v>
      </c>
      <c r="AT33" s="4" t="s">
        <v>189</v>
      </c>
      <c r="AU33" s="3"/>
      <c r="AV33" s="3"/>
      <c r="AW33" s="5"/>
      <c r="AY33" s="3"/>
      <c r="AZ33" s="3"/>
      <c r="BA33" s="5"/>
    </row>
    <row r="34" spans="1:54" ht="360" x14ac:dyDescent="0.25">
      <c r="A34" t="s">
        <v>190</v>
      </c>
      <c r="B34" t="s">
        <v>32</v>
      </c>
      <c r="C34" t="s">
        <v>191</v>
      </c>
      <c r="D34" s="4" t="s">
        <v>192</v>
      </c>
      <c r="E34">
        <v>300</v>
      </c>
      <c r="F34" t="s">
        <v>35</v>
      </c>
      <c r="G34" s="3"/>
      <c r="H34" s="3"/>
      <c r="I34" s="5"/>
      <c r="K34" s="3"/>
      <c r="L34" s="3"/>
      <c r="M34" s="5"/>
      <c r="O34" s="3"/>
      <c r="P34" s="3"/>
      <c r="Q34" s="5"/>
      <c r="S34" s="3"/>
      <c r="T34" s="3"/>
      <c r="U34" s="5"/>
      <c r="W34" s="3"/>
      <c r="X34" s="3"/>
      <c r="Y34" s="5"/>
      <c r="AA34" s="3"/>
      <c r="AB34" s="3"/>
      <c r="AC34" s="5"/>
      <c r="AE34" s="3">
        <v>1919.26</v>
      </c>
      <c r="AF34" s="3">
        <v>300</v>
      </c>
      <c r="AG34" s="5">
        <v>575778</v>
      </c>
      <c r="AH34" s="4" t="s">
        <v>193</v>
      </c>
      <c r="AI34" s="3"/>
      <c r="AJ34" s="3"/>
      <c r="AK34" s="5"/>
      <c r="AM34" s="3"/>
      <c r="AN34" s="3"/>
      <c r="AO34" s="5"/>
      <c r="AQ34" s="3">
        <v>1573</v>
      </c>
      <c r="AR34" s="3">
        <v>300</v>
      </c>
      <c r="AS34" s="5">
        <v>471900</v>
      </c>
      <c r="AT34" s="4" t="s">
        <v>194</v>
      </c>
      <c r="AU34" s="3"/>
      <c r="AV34" s="3"/>
      <c r="AW34" s="5"/>
      <c r="AY34" s="3"/>
      <c r="AZ34" s="3"/>
      <c r="BA34" s="5"/>
    </row>
    <row r="35" spans="1:54" ht="345" x14ac:dyDescent="0.25">
      <c r="A35" t="s">
        <v>195</v>
      </c>
      <c r="B35" t="s">
        <v>32</v>
      </c>
      <c r="C35" t="s">
        <v>196</v>
      </c>
      <c r="D35" s="4" t="s">
        <v>197</v>
      </c>
      <c r="E35">
        <v>600</v>
      </c>
      <c r="F35" t="s">
        <v>35</v>
      </c>
      <c r="G35" s="3"/>
      <c r="H35" s="3"/>
      <c r="I35" s="5"/>
      <c r="K35" s="3"/>
      <c r="L35" s="3"/>
      <c r="M35" s="5"/>
      <c r="O35" s="3"/>
      <c r="P35" s="3"/>
      <c r="Q35" s="5"/>
      <c r="S35" s="3"/>
      <c r="T35" s="3"/>
      <c r="U35" s="5"/>
      <c r="W35" s="3"/>
      <c r="X35" s="3"/>
      <c r="Y35" s="5"/>
      <c r="AA35" s="3"/>
      <c r="AB35" s="3"/>
      <c r="AC35" s="5"/>
      <c r="AE35" s="3">
        <v>1518.11</v>
      </c>
      <c r="AF35" s="3">
        <v>600</v>
      </c>
      <c r="AG35" s="5">
        <v>910866</v>
      </c>
      <c r="AH35" s="4" t="s">
        <v>198</v>
      </c>
      <c r="AI35" s="3"/>
      <c r="AJ35" s="3"/>
      <c r="AK35" s="5"/>
      <c r="AM35" s="3"/>
      <c r="AN35" s="3"/>
      <c r="AO35" s="5"/>
      <c r="AQ35" s="3">
        <v>1391.5</v>
      </c>
      <c r="AR35" s="3">
        <v>600</v>
      </c>
      <c r="AS35" s="5">
        <v>834900</v>
      </c>
      <c r="AT35" s="4" t="s">
        <v>199</v>
      </c>
      <c r="AU35" s="3"/>
      <c r="AV35" s="3"/>
      <c r="AW35" s="5"/>
      <c r="AY35" s="3"/>
      <c r="AZ35" s="3"/>
      <c r="BA35" s="5"/>
    </row>
    <row r="36" spans="1:54" ht="240" x14ac:dyDescent="0.25">
      <c r="A36" t="s">
        <v>200</v>
      </c>
      <c r="B36" t="s">
        <v>32</v>
      </c>
      <c r="C36" t="s">
        <v>201</v>
      </c>
      <c r="D36" s="4" t="s">
        <v>202</v>
      </c>
      <c r="E36">
        <v>520</v>
      </c>
      <c r="F36" t="s">
        <v>35</v>
      </c>
      <c r="G36" s="3"/>
      <c r="H36" s="3"/>
      <c r="I36" s="5"/>
      <c r="K36" s="3"/>
      <c r="L36" s="3"/>
      <c r="M36" s="5"/>
      <c r="O36" s="3"/>
      <c r="P36" s="3"/>
      <c r="Q36" s="5"/>
      <c r="S36" s="3"/>
      <c r="T36" s="3"/>
      <c r="U36" s="5"/>
      <c r="W36" s="3"/>
      <c r="X36" s="3"/>
      <c r="Y36" s="5"/>
      <c r="AA36" s="3"/>
      <c r="AB36" s="3"/>
      <c r="AC36" s="5"/>
      <c r="AE36" s="3">
        <v>135.49</v>
      </c>
      <c r="AF36" s="3">
        <v>520</v>
      </c>
      <c r="AG36" s="5">
        <v>70454.8</v>
      </c>
      <c r="AH36" s="4" t="s">
        <v>203</v>
      </c>
      <c r="AI36" s="3"/>
      <c r="AJ36" s="3"/>
      <c r="AK36" s="5"/>
      <c r="AM36" s="3"/>
      <c r="AN36" s="3"/>
      <c r="AO36" s="5"/>
      <c r="AQ36" s="3">
        <v>278.3</v>
      </c>
      <c r="AR36" s="3">
        <v>520</v>
      </c>
      <c r="AS36" s="5">
        <v>144716</v>
      </c>
      <c r="AT36" s="4" t="s">
        <v>204</v>
      </c>
      <c r="AU36" s="3"/>
      <c r="AV36" s="3"/>
      <c r="AW36" s="5"/>
      <c r="AY36" s="3"/>
      <c r="AZ36" s="3"/>
      <c r="BA36" s="5"/>
    </row>
    <row r="37" spans="1:54" ht="255" x14ac:dyDescent="0.25">
      <c r="A37" t="s">
        <v>205</v>
      </c>
      <c r="B37" t="s">
        <v>32</v>
      </c>
      <c r="C37" t="s">
        <v>206</v>
      </c>
      <c r="D37" s="4" t="s">
        <v>207</v>
      </c>
      <c r="E37">
        <v>20</v>
      </c>
      <c r="F37" t="s">
        <v>35</v>
      </c>
      <c r="G37" s="3"/>
      <c r="H37" s="3"/>
      <c r="I37" s="5"/>
      <c r="K37" s="3"/>
      <c r="L37" s="3"/>
      <c r="M37" s="5"/>
      <c r="O37" s="3"/>
      <c r="P37" s="3"/>
      <c r="Q37" s="5"/>
      <c r="S37" s="3"/>
      <c r="T37" s="3"/>
      <c r="U37" s="5"/>
      <c r="W37" s="3"/>
      <c r="X37" s="3"/>
      <c r="Y37" s="5"/>
      <c r="AA37" s="3"/>
      <c r="AB37" s="3"/>
      <c r="AC37" s="5"/>
      <c r="AE37" s="3">
        <v>40647.11</v>
      </c>
      <c r="AF37" s="3">
        <v>20</v>
      </c>
      <c r="AG37" s="5">
        <v>812942.2</v>
      </c>
      <c r="AH37" s="4" t="s">
        <v>208</v>
      </c>
      <c r="AI37" s="3"/>
      <c r="AJ37" s="3"/>
      <c r="AK37" s="5"/>
      <c r="AM37" s="3"/>
      <c r="AN37" s="3"/>
      <c r="AO37" s="5"/>
      <c r="AQ37" s="3">
        <v>26620</v>
      </c>
      <c r="AR37" s="3">
        <v>20</v>
      </c>
      <c r="AS37" s="5">
        <v>532400</v>
      </c>
      <c r="AT37" s="4" t="s">
        <v>209</v>
      </c>
      <c r="AU37" s="3"/>
      <c r="AV37" s="3"/>
      <c r="AW37" s="5"/>
      <c r="AY37" s="3"/>
      <c r="AZ37" s="3"/>
      <c r="BA37" s="5"/>
    </row>
    <row r="38" spans="1:54" ht="30" x14ac:dyDescent="0.25">
      <c r="A38" t="s">
        <v>210</v>
      </c>
      <c r="B38" t="s">
        <v>32</v>
      </c>
      <c r="C38" t="s">
        <v>211</v>
      </c>
      <c r="D38" s="4" t="s">
        <v>212</v>
      </c>
      <c r="E38">
        <v>150</v>
      </c>
      <c r="F38" t="s">
        <v>35</v>
      </c>
      <c r="G38" s="3">
        <v>1634.81</v>
      </c>
      <c r="H38" s="3">
        <v>150</v>
      </c>
      <c r="I38" s="5">
        <v>245221.5</v>
      </c>
      <c r="J38" t="s">
        <v>213</v>
      </c>
      <c r="K38" s="3">
        <v>1929.55</v>
      </c>
      <c r="L38" s="3">
        <v>150</v>
      </c>
      <c r="M38" s="5">
        <v>289432.5</v>
      </c>
      <c r="N38" s="4" t="s">
        <v>214</v>
      </c>
      <c r="O38" s="3"/>
      <c r="P38" s="3"/>
      <c r="Q38" s="5"/>
      <c r="S38" s="3">
        <v>1838.39</v>
      </c>
      <c r="T38" s="3">
        <v>150</v>
      </c>
      <c r="U38" s="5">
        <v>275758.5</v>
      </c>
      <c r="V38" t="s">
        <v>215</v>
      </c>
      <c r="W38" s="3">
        <v>1793</v>
      </c>
      <c r="X38" s="3">
        <v>150</v>
      </c>
      <c r="Y38" s="5">
        <v>268950</v>
      </c>
      <c r="Z38" t="s">
        <v>94</v>
      </c>
      <c r="AA38" s="3">
        <v>2005</v>
      </c>
      <c r="AB38" s="3">
        <v>150</v>
      </c>
      <c r="AC38" s="5">
        <v>300750</v>
      </c>
      <c r="AD38" t="s">
        <v>216</v>
      </c>
      <c r="AE38" s="3"/>
      <c r="AF38" s="3"/>
      <c r="AG38" s="5"/>
      <c r="AI38" s="3"/>
      <c r="AJ38" s="3"/>
      <c r="AK38" s="5"/>
      <c r="AM38" s="3"/>
      <c r="AN38" s="3"/>
      <c r="AO38" s="5"/>
      <c r="AQ38" s="3"/>
      <c r="AR38" s="3"/>
      <c r="AS38" s="5"/>
      <c r="AU38" s="3">
        <v>1139</v>
      </c>
      <c r="AV38" s="3">
        <v>150</v>
      </c>
      <c r="AW38" s="5">
        <v>170850</v>
      </c>
      <c r="AX38" s="4" t="s">
        <v>217</v>
      </c>
      <c r="AY38" s="3"/>
      <c r="AZ38" s="3"/>
      <c r="BA38" s="5"/>
    </row>
    <row r="39" spans="1:54" ht="120" x14ac:dyDescent="0.25">
      <c r="A39" t="s">
        <v>218</v>
      </c>
      <c r="B39" t="s">
        <v>32</v>
      </c>
      <c r="C39" t="s">
        <v>219</v>
      </c>
      <c r="D39" s="4" t="s">
        <v>220</v>
      </c>
      <c r="E39">
        <v>60</v>
      </c>
      <c r="F39" t="s">
        <v>35</v>
      </c>
      <c r="G39" s="3"/>
      <c r="H39" s="3"/>
      <c r="I39" s="5"/>
      <c r="K39" s="3"/>
      <c r="L39" s="3"/>
      <c r="M39" s="5"/>
      <c r="O39" s="3"/>
      <c r="P39" s="3"/>
      <c r="Q39" s="5"/>
      <c r="S39" s="3"/>
      <c r="T39" s="3"/>
      <c r="U39" s="5"/>
      <c r="W39" s="3"/>
      <c r="X39" s="3"/>
      <c r="Y39" s="5"/>
      <c r="AA39" s="3"/>
      <c r="AB39" s="3"/>
      <c r="AC39" s="5"/>
      <c r="AE39" s="3"/>
      <c r="AF39" s="3"/>
      <c r="AG39" s="5"/>
      <c r="AI39" s="3"/>
      <c r="AJ39" s="3"/>
      <c r="AK39" s="5"/>
      <c r="AM39" s="3">
        <v>9700</v>
      </c>
      <c r="AN39" s="3">
        <v>60</v>
      </c>
      <c r="AO39" s="5">
        <v>582000</v>
      </c>
      <c r="AP39" s="4" t="s">
        <v>221</v>
      </c>
      <c r="AQ39" s="3"/>
      <c r="AR39" s="3"/>
      <c r="AS39" s="5"/>
      <c r="AU39" s="3">
        <v>12975</v>
      </c>
      <c r="AV39" s="3">
        <v>60</v>
      </c>
      <c r="AW39" s="5">
        <v>778500</v>
      </c>
      <c r="AX39" s="4" t="s">
        <v>222</v>
      </c>
      <c r="AY39" s="3"/>
      <c r="AZ39" s="3"/>
      <c r="BA39" s="5"/>
    </row>
    <row r="40" spans="1:54" ht="165" x14ac:dyDescent="0.25">
      <c r="A40" t="s">
        <v>223</v>
      </c>
      <c r="B40" t="s">
        <v>32</v>
      </c>
      <c r="C40" t="s">
        <v>224</v>
      </c>
      <c r="D40" s="4" t="s">
        <v>225</v>
      </c>
      <c r="E40">
        <v>30</v>
      </c>
      <c r="F40" t="s">
        <v>35</v>
      </c>
      <c r="G40" s="3"/>
      <c r="H40" s="3"/>
      <c r="I40" s="5"/>
      <c r="K40" s="3"/>
      <c r="L40" s="3"/>
      <c r="M40" s="5"/>
      <c r="O40" s="3"/>
      <c r="P40" s="3"/>
      <c r="Q40" s="5"/>
      <c r="S40" s="3"/>
      <c r="T40" s="3"/>
      <c r="U40" s="5"/>
      <c r="W40" s="3"/>
      <c r="X40" s="3"/>
      <c r="Y40" s="5"/>
      <c r="AA40" s="3"/>
      <c r="AB40" s="3"/>
      <c r="AC40" s="5"/>
      <c r="AE40" s="3"/>
      <c r="AF40" s="3"/>
      <c r="AG40" s="5"/>
      <c r="AI40" s="3"/>
      <c r="AJ40" s="3"/>
      <c r="AK40" s="5"/>
      <c r="AM40" s="3">
        <v>17461</v>
      </c>
      <c r="AN40" s="3">
        <v>30</v>
      </c>
      <c r="AO40" s="5">
        <v>523830</v>
      </c>
      <c r="AP40" s="4" t="s">
        <v>226</v>
      </c>
      <c r="AQ40" s="3"/>
      <c r="AR40" s="3"/>
      <c r="AS40" s="5"/>
      <c r="AU40" s="3">
        <v>3825</v>
      </c>
      <c r="AV40" s="3">
        <v>30</v>
      </c>
      <c r="AW40" s="5">
        <v>114750</v>
      </c>
      <c r="AX40" s="4" t="s">
        <v>227</v>
      </c>
      <c r="AY40" s="3">
        <v>5715.9</v>
      </c>
      <c r="AZ40" s="3">
        <v>30</v>
      </c>
      <c r="BA40" s="5">
        <v>171477</v>
      </c>
      <c r="BB40" s="4" t="s">
        <v>228</v>
      </c>
    </row>
    <row r="41" spans="1:54" x14ac:dyDescent="0.25">
      <c r="C41" t="s">
        <v>229</v>
      </c>
      <c r="D41" s="4"/>
      <c r="G41" s="3"/>
      <c r="H41" s="3"/>
      <c r="I41" s="5">
        <f>SUBTOTAL(109,Table2[Total por renglón])</f>
        <v>11676217.200000001</v>
      </c>
      <c r="K41" s="3"/>
      <c r="L41" s="3"/>
      <c r="M41" s="5">
        <f>SUBTOTAL(109,Table3[Total por renglón])</f>
        <v>10552574.260000002</v>
      </c>
      <c r="O41" s="3"/>
      <c r="P41" s="3"/>
      <c r="Q41" s="5">
        <f>SUBTOTAL(109,Table4[Total por renglón])</f>
        <v>6695799</v>
      </c>
      <c r="S41" s="3"/>
      <c r="T41" s="3"/>
      <c r="U41" s="5">
        <f>SUBTOTAL(109,Table5[Total por renglón])</f>
        <v>9168324.4000000004</v>
      </c>
      <c r="W41" s="3"/>
      <c r="X41" s="3"/>
      <c r="Y41" s="5">
        <f>SUBTOTAL(109,Table6[Total por renglón])</f>
        <v>7704020</v>
      </c>
      <c r="AA41" s="3"/>
      <c r="AB41" s="3"/>
      <c r="AC41" s="5">
        <f>SUBTOTAL(109,Table7[Total por renglón])</f>
        <v>5551550</v>
      </c>
      <c r="AE41" s="3"/>
      <c r="AF41" s="3"/>
      <c r="AG41" s="5">
        <f>SUBTOTAL(109,Table8[Total por renglón])</f>
        <v>16299096.200000001</v>
      </c>
      <c r="AI41" s="3"/>
      <c r="AJ41" s="3"/>
      <c r="AK41" s="5">
        <f>SUBTOTAL(109,Table9[Total por renglón])</f>
        <v>2298500</v>
      </c>
      <c r="AM41" s="3"/>
      <c r="AN41" s="3"/>
      <c r="AO41" s="5">
        <f>SUBTOTAL(109,Table10[Total por renglón])</f>
        <v>4553740</v>
      </c>
      <c r="AP41" s="4"/>
      <c r="AQ41" s="3"/>
      <c r="AR41" s="3"/>
      <c r="AS41" s="5">
        <f>SUBTOTAL(109,Table11[Total por renglón])</f>
        <v>7233017</v>
      </c>
      <c r="AU41" s="3"/>
      <c r="AV41" s="3"/>
      <c r="AW41" s="5">
        <f>SUBTOTAL(109,Table12[Total por renglón])</f>
        <v>5249280</v>
      </c>
      <c r="AX41" s="4"/>
      <c r="AY41" s="3"/>
      <c r="AZ41" s="3"/>
      <c r="BA41" s="5">
        <f>SUBTOTAL(109,Table13[Total por renglón])</f>
        <v>171477</v>
      </c>
      <c r="BB41" s="4"/>
    </row>
  </sheetData>
  <mergeCells count="13">
    <mergeCell ref="AU8:AX8"/>
    <mergeCell ref="AY8:BB8"/>
    <mergeCell ref="A8:F8"/>
    <mergeCell ref="AA8:AD8"/>
    <mergeCell ref="AE8:AH8"/>
    <mergeCell ref="AI8:AL8"/>
    <mergeCell ref="AM8:AP8"/>
    <mergeCell ref="AQ8:AT8"/>
    <mergeCell ref="G8:J8"/>
    <mergeCell ref="K8:N8"/>
    <mergeCell ref="O8:R8"/>
    <mergeCell ref="S8:V8"/>
    <mergeCell ref="W8:Z8"/>
  </mergeCells>
  <pageMargins left="0.75" right="0.75" top="0.75" bottom="0.5" header="0.5" footer="0.75"/>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ADRIAN</cp:lastModifiedBy>
  <dcterms:created xsi:type="dcterms:W3CDTF">2022-10-14T12:20:20Z</dcterms:created>
  <dcterms:modified xsi:type="dcterms:W3CDTF">2022-10-14T12:20:34Z</dcterms:modified>
</cp:coreProperties>
</file>