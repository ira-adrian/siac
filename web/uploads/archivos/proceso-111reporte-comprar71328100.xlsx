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C:\Users\COMPRAS\Desktop\SILVIA\2022\EQUIPOS Y UTILES MENORES\"/>
    </mc:Choice>
  </mc:AlternateContent>
  <xr:revisionPtr revIDLastSave="0" documentId="8_{3FBC78A0-5966-4CC9-A19F-B68816DD5C81}"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comparativo'!$O$8:$R$8,'Cuadro comparativo'!$S$8:$V$8,'Cuadro comparativo'!$W$8:$Z$8,'Cuadro comparativo'!$AA$8:$AD$8,'Cuadro comparativo'!$AE$8:$AH$8</definedName>
    <definedName name="Titles">'Cuadro comparativo'!$A$8:$F$8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32" i="2" l="1"/>
  <c r="M32" i="2"/>
  <c r="Q32" i="2"/>
  <c r="U32" i="2"/>
  <c r="Y32" i="2"/>
  <c r="AC32" i="2"/>
  <c r="AG32" i="2"/>
</calcChain>
</file>

<file path=xl/sharedStrings.xml><?xml version="1.0" encoding="utf-8"?>
<sst xmlns="http://schemas.openxmlformats.org/spreadsheetml/2006/main" count="223" uniqueCount="145">
  <si>
    <t>Número expediente:</t>
  </si>
  <si>
    <t>EX-2022-01087821-   -CAT-DPCBS#MEC</t>
  </si>
  <si>
    <t>Número proceso de compra:</t>
  </si>
  <si>
    <t>100-0036-CPR22</t>
  </si>
  <si>
    <t>Nombre descriptivo proceso de compra:</t>
  </si>
  <si>
    <t>ADQUISICIÓN DE EQUIPOS Y UTILES MENORES MÉDICOS CON DESTINO A HOSPITALES DE LA PROVINCIA-MS</t>
  </si>
  <si>
    <t>Unidad Operativa de Compras:</t>
  </si>
  <si>
    <t>Secretaria de Compras y Abastecimiento</t>
  </si>
  <si>
    <t>Fecha de Apertura:</t>
  </si>
  <si>
    <t>06/07/2022</t>
  </si>
  <si>
    <t>Renglón</t>
  </si>
  <si>
    <t>NATIVA SRL</t>
  </si>
  <si>
    <t>MEDICINA INTEGRAL SRL</t>
  </si>
  <si>
    <t>LOURDES AGUSTINA PEREZ RODRIGUEZ</t>
  </si>
  <si>
    <t>REHUE S.A.</t>
  </si>
  <si>
    <t>DROGUERIA PHARMA CENTER S.R.L</t>
  </si>
  <si>
    <t>MAURICIO MOSSE</t>
  </si>
  <si>
    <t>Instruequipos S.A.</t>
  </si>
  <si>
    <t>Alternativa</t>
  </si>
  <si>
    <t>Código</t>
  </si>
  <si>
    <t>Descripción</t>
  </si>
  <si>
    <t>Cantidad solicitada</t>
  </si>
  <si>
    <t>Unidad de medida</t>
  </si>
  <si>
    <t>Precio unitario</t>
  </si>
  <si>
    <t>Cantidad ofertada</t>
  </si>
  <si>
    <t>Total por renglón</t>
  </si>
  <si>
    <t>Especificacion técnica</t>
  </si>
  <si>
    <t xml:space="preserve">1 </t>
  </si>
  <si>
    <t xml:space="preserve">4.3.3-5415.6 </t>
  </si>
  <si>
    <t xml:space="preserve">BALANZAS P/PERSONAS; TIPO: ADULTO, PRECISION: 100 GR, ACCESORIO: ALTIMETRO, CAPACIDAD: 
250 Kg </t>
  </si>
  <si>
    <t xml:space="preserve">UNIDAD </t>
  </si>
  <si>
    <t xml:space="preserve">Balanza Digital Adultos hasta 300Kgs. Modelo: URBE II FULL Marca: 
SYSTEL -  Con Altímetro Visor indicador de peso de 
doble alto y 6 dígitos. Cabezal de ABS inyectado con 
inclinación regulable. Plataforma de diseño extra-bajo (87 mm) Piso de 
goma antideslizante de 300 x 360 mm. Salida serie para 
conexión a PC. (Norma RS 232c) Consumo: Excepcional bajo  
(3,3 watt en stand-by). Patas de goma antideslizante de altura 
regulable. Celda de carga con protección al impacto o Sobrepeso. 
Equipada con perchero porta-objetos </t>
  </si>
  <si>
    <t xml:space="preserve">2 </t>
  </si>
  <si>
    <t xml:space="preserve">4.3.3-5415.3 </t>
  </si>
  <si>
    <t xml:space="preserve">BALANZAS P/PERSONAS; TIPO: P/ADULTOS, PRECISION: 100 GR, ACCESORIO: ALTIMETRO, CAPACIDAD: 
150 Kg </t>
  </si>
  <si>
    <t xml:space="preserve">Balanza Modelo BPP-CA-S - Marca ROMA - Capacidad Máxima: 150 
kg - Capacidad Mínima 5 kg - Graduación Mínima: 100 
grs - Plataforma de apoyo en caucho antideslizante - Tallímetro 
rango de medición 1,10 m -Sistema de fácil lectura a 
barra y cursores. Escala graduada grabada en relieve, en acero 
inoxidable. Tratamiento anticorrosivo de superficies. Galvanizado electrolítico de componentes internos. 
Sistema de palancas oscilante. Dispositivo de traba de brazo. Asientos 
y cuchillas de acero con tratamiento térmico de extrema dureza 
y rectificado de precisión. Barras de deslizamiento de los cursores 
en acero revestidas metálica recubierta con pintura epoxi termoconvertible. Libre 
de mantenimiento. </t>
  </si>
  <si>
    <t xml:space="preserve">3 </t>
  </si>
  <si>
    <t xml:space="preserve">4.3.3-5415.7 </t>
  </si>
  <si>
    <t xml:space="preserve">BALANZAS P/PERSONAS; TIPO: PEDIATRICA, PRECISION: 100 GR, ACCESORIO: ESCALIMETRO, CAPACIDAD: 
50 Kg </t>
  </si>
  <si>
    <t xml:space="preserve">Balanza Modelo BPP-P-CA - marca ROMA  Capacidad Máxima: 150 
kg Capacidad Mínima 5 kg Graduación Mínima: 100 grs Plataforma 
de apoyo en caucho antideslizante Tallímetro rango de medición para 
pediatras 85 cm  a 150 cm - Sistema de 
fácil lectura a barra y cursores. Escala graduada grabada en 
relieve, en acero inoxidable. Tratamiento anticorrosivo de superficies. Galvanizado electrolítico 
de componentes internos. Sistema de palancas oscilante. Dispositivo de traba 
de brazo. Asientos y cuchillas de acero con tratamiento térmico 
de extrema dureza y rectificado de precisión. Barras de deslizamiento 
de los cursores en acero revestidas  de cromo duro. 
Estructura totalmente metálica recubierta con pintura epoxi termoconvertible. Libre de 
mantenimiento. </t>
  </si>
  <si>
    <t xml:space="preserve">4 </t>
  </si>
  <si>
    <t xml:space="preserve">2.9.5-8239.1 </t>
  </si>
  <si>
    <t xml:space="preserve">CHATAS; MATERIAL: PVC </t>
  </si>
  <si>
    <t xml:space="preserve">Chata plástica Marca SILFAB P19 </t>
  </si>
  <si>
    <t xml:space="preserve">chata material pvc. VERTICE </t>
  </si>
  <si>
    <t xml:space="preserve">CHATAS; MATERIAL: PVC MARCA: SILFAB      
    </t>
  </si>
  <si>
    <t xml:space="preserve">5 </t>
  </si>
  <si>
    <t xml:space="preserve">2.9.5-5041.6 </t>
  </si>
  <si>
    <t xml:space="preserve">COLLARES CERVICALES; MATERIAL: PLASTICO, TALLE: SIN VALOR, USO: INMOBILIZADORES LATERALES 
DE C </t>
  </si>
  <si>
    <t xml:space="preserve">Collar filadelfia p/traqueo - COLTEX   Inmovilizador cervical confeccionado 
en 2 piezas de plastazote de 13mm de espesor conformando 
el occipucio y la mandibula que limitan la flexo-extension y 
rotacion del cuello, ajustables entre sicon cierre de velcro.Tabiques plasticos 
de refuerzo posterior y anterior con orificio para traqueotomia. Se 
presenta en 5 talles Medidas (en cm):    
     P     
  CH      M  
    G     EG 
Circunferencia max:   33    43  
  48   50   52 Altura 
anterior:          
    9      
11    13  14   15 
</t>
  </si>
  <si>
    <t xml:space="preserve">collares cervicales materiales plastico COLTEX PM 1065-190 </t>
  </si>
  <si>
    <t xml:space="preserve">COLLARES CERVICALES; MATERIAL: PLASTICO, TALLE: SIN VALOR, USO: INMOBILIZADORES LATERALES 
MARCA: Bander green        
</t>
  </si>
  <si>
    <t xml:space="preserve">6 </t>
  </si>
  <si>
    <t xml:space="preserve">2.9.5-4208.17 </t>
  </si>
  <si>
    <t xml:space="preserve">ELEMENTOS P/RADIOLOGIA; TIPO: DELANTAL PLOMADO, PRESENTACION: UNIDAD </t>
  </si>
  <si>
    <t xml:space="preserve">ARGEN-X Protege al profesional y a sus pacientes con cortinas 
y barreras de 0,5 mm de  protección plomada en 
sus dos modelos, con protector de tiroides incorporado y sin 
el mismo, forrado en tela de avión lavable. Protector de 
tiroides Su uso es independiente y se adapta al chaleco 
plomado. De 0,5 mm de protección forrado en tela de 
avión. </t>
  </si>
  <si>
    <t xml:space="preserve">ELEMENTOS P/RADIOLOGIA; TIPO: DELANTAL PLOMADO, PRESENTACION: UNIDAD MARCA: ArgenX  
    </t>
  </si>
  <si>
    <t xml:space="preserve">DELANTAL PLOMADO MARCA CIRIGLIANO RX (INDUSTRIA ARGENTINA) TALLE M- TALLE 
L. PROTECCIÓN 0.5 MM CON CUBRE TIROIDE.  SE ADJUNTA 
FOLLETERÍA CON MAYOR INFORMACIÓN </t>
  </si>
  <si>
    <t xml:space="preserve">SEGÚN ANEXO I DEL PLIEGO DE BASES Y CONDICIONES PARTICULARES 
ELEMENTOS P/RADIOLOGIA; TIPO: DELANTAL PLOMADO, PRESENTACION: UNIDAD </t>
  </si>
  <si>
    <t xml:space="preserve">7 </t>
  </si>
  <si>
    <t xml:space="preserve">4.3.3-7798.1 </t>
  </si>
  <si>
    <t xml:space="preserve">DETECTORES DE LATIDOS; USO: P/LATIDOS FETALES, ALIMENTACION: ELECTRICA-BATERIA, FRECUENCIA: 1,1- 
2,1 MHZ, INTENSIDAD: 10 MW/CM2, CORRIENTE: 10 MW/CM2 </t>
  </si>
  <si>
    <t xml:space="preserve">Baby Sound Contec B10- El doppler fetal de bolsillo CONTEC 
es un dispositivo para la detección de la frecuencia cardíaca 
fetal. Permite visualización numérica y gráfica gracias a su pantalla 
LCD color. Intuitivo y fácil de utilizar es ideal para 
en clínicas, hospitales y consultorios ginecológicos para controles de seguimiento. 
 FUNCIONES • Diseño sencillo y fácil de operar. • 
Soporte de sonda con seguro magnético para prevenir caídas y 
golpes. • Pantalla LCD color para visualización de curvas o 
valores numéricos. • Indicador de batería en pantalla. • Funcionamiento 
a pilas AA ( no incluidas) • Función de auto-apagado 
luego de 60 segundos sin recibir señal. • Gran sensibilidad 
que permite distinguir los latidos fetales a partir de la 
semana 12.  • Parlante integrado y salida independiente para 
la conexión de auriculares. El doppler fetal de bolsillo CONTEC 
es un dispositivo para la detección de la frecuencia cardíaca 
fetal. Permite visualización numérica y gráfica gracias a su pantalla 
LCD color. Intuitivo y fácil de utilizar es ideal para 
en clínicas, hospitales y consultorios ginecológicos para controles de seguimiento. 
  </t>
  </si>
  <si>
    <t xml:space="preserve">"DETECTORES DE LATIDOS; USO: P/LATIDOS FETALES, ALIMENTACION: ELECTRICA- BATERIA, FRECUENCIA: 
1,1- 2,1 MHZ, INTENSIDAD: 10 MW/CM2, CORRIENTE: 10 MW/CM2"  
    MARCA:NEL     modelo:MD800 
</t>
  </si>
  <si>
    <t xml:space="preserve">Detector Fetal Leex SD3 - Ultrasonido doppler de bolsillo, de 
diseño compacto y sencillo de usar. Detector Fetal LEEX SD3 
brinda excelente sensibilidad en la detección de la frecuencia cardíaca 
fetal y ofrece libertad de trabajo médico por su portabilidad 
y larga durabilidad. El SD3 gracias a su versatilidad es 
ideal también para aplicaciones de diagnóstico doppler vascula   
SE ADJUNTA FOLLETERIA CON ESPECIFICACIONES TÉCNICAS </t>
  </si>
  <si>
    <t xml:space="preserve">8 </t>
  </si>
  <si>
    <t xml:space="preserve">4.3.3-2049.4 </t>
  </si>
  <si>
    <t xml:space="preserve">ESTETOSCOPIOS; TIPO: VIA AURICULAR, CAMPANA: DOBLE </t>
  </si>
  <si>
    <t xml:space="preserve">ESTETOSCOPIO MELIPAL / AURINCO </t>
  </si>
  <si>
    <t xml:space="preserve">ESTETOSCOPIOS; TIPO: VIA AURICULAR, CAMPANA: DOBLE MARCA: FEMMTO   
   </t>
  </si>
  <si>
    <t xml:space="preserve">-Campana Doble -Campana hecha de aleacion de Aluminio -47 mm 
Diámetro -Tubo de PVC -Auscultación de Corazón y Pulmones  
</t>
  </si>
  <si>
    <t xml:space="preserve">9 </t>
  </si>
  <si>
    <t xml:space="preserve">2.9.5-8874.9 </t>
  </si>
  <si>
    <t xml:space="preserve">INSTRUMENTAL MEDICO; DESCRIPCION: TABLA LARGA DE INMOVILIZACION, DESCARTABLE: NO, MATERIAL: 
POLIETILENO, ELEMENTO: TABLA LARGA DE INMOVILIZACION </t>
  </si>
  <si>
    <t xml:space="preserve">TABLA LARGA PLASTICA DE INMOVILIZACION ESPINAL Y TRASLADO, NEW EMERGENCY 
ECO (COLOR AMARILLA) DE 1,82 X 0,45 X 0,0445 M, 
TRASLUCIDA A RX, CT Y MRI, CONSTRUIDA ERGONOMICAMENTE EN HDPE 
(POLIETILENO DE ALTA DENSIDAD, LAVABLE ANTIESTATICO DE ALTA RESISTENCIA) SIN 
COSTURAS NI HUECOS P/EVITAR EL ALOJAMIENTO DE GERMENES PATOGENOS, ACABADO 
DELICADO, IMPERMEABLE (HEMORREPELENTE) Y ATOXICO CON FORMA, EXCLUSIVOS CALADOS P/INMOVILIZADOR 
CERVICAL, PECTORALES, ABDOMEN Y PIERNAS EN INDEPENDIENTE. MULTIFENESTRADA AMPLIOS ORIFICIOS 
PARA EMPUÑADURAS Y ORIFICIOS PARA TRES CINTURONES DE FIJACION DE 
RAPIDA LIBERACION COLOR NEGRO (SISTEMA ARAÑA, COMO ADICIONAL EXTRACOSTO), ADMITE 
UNA CARGA DE 180 KG, EXCELENTE CALIDAD, DISEÑO PARA SERVICIO 
EXTRAPESADO. SELLO CE MARK, UNION EUROPEA, NORMAS ISO 13485. APROBACION 
MINISTERIO DE SALUD DE LA NACION - ANMAT PM 1236-37 
</t>
  </si>
  <si>
    <t xml:space="preserve">"INSTRUMENTAL MEDICO; DESCRIPCION: TABLA LARGA DE INMOVILIZACION, DESCARTABLE: NO, MATERIAL: 
POLIETILENO, ELEMENTO: TABLA LARGA DE INMOVILIZACION" MARCA: Fiorino   
 Modelo New Emergency Eco  </t>
  </si>
  <si>
    <t xml:space="preserve">SEGÚN ANEXO I DEL PLIEGO DE BASES Y CONDICIONES PARTICULARES 
INSTRUMENTAL MEDICO; DESCRIPCION: TABLA LARGA DE INMOVILIZACION, DESCARTABLE: NO, MATERIAL: 
POLIETILENO, ELEMENTO: TABLA LARGA DE INMOVILIZACION </t>
  </si>
  <si>
    <t xml:space="preserve">10 </t>
  </si>
  <si>
    <t xml:space="preserve">2.9.5-8874.10 </t>
  </si>
  <si>
    <t xml:space="preserve">INSTRUMENTAL MEDICO; DESCRIPCION: TABLA PEDIATRICA, DESCARTABLE: NO, MATERIAL: MADERA, ELEMENTO: 
TABLA PEDIATRICA </t>
  </si>
  <si>
    <t xml:space="preserve">TABLA LARGA PLASTICA DE INMOVILIZACION ESPINAL Y TRASLADO PEDIATRICA NEW 
EMERGENCY  (COLOR AMARILLA) DE 1,365X 0,345 X 0,0445 M, 
TRASLUCIDA A RX, CT Y MRI, MANUFACTURADA EN HDPE (POLIETILENO 
DE ALTA DENSIDAD) LAVABLE ANTIESTATICO DE ALTA RESISTENCIA SIN COSTURAS 
NI HUECOS P/EVITAR EL ALOJAMIENTO DE GERMENES PATOGENOS, ACABADO DELICADO, 
IMPERMEABLE, HEMORREPELENTE Y ATOXICO CON CALADOS PARA SUJECION POR REGION/AREA. 
MULTIFENESTRADA 14 AMPLIOS ORIFICIOS PARA EMPUÑADURAS Y 12 ORIFICIOS AUXILIARES 
PARA FIJACION AUXILIAR (INMOVILIZADOR CERVICAL, PECTORALES, ABDOMEN Y MIEMBROS EN 
FORMA INDEPENDIENTE, APTA P/SISTEMA ARAÑA (NO INCLUIDO, ADICIONAL EXTRACOSTO). ADMITE 
UNA CARGA DE 180 KG. MONOPLANO NO INCLUYE SISTEMA "HEAD 
DROP" DONDE LA CABEZA PERMANECE EN UN PLANO INFERIOR AL 
RESTO DEL CUERPO, NO INCLUYE "EL ESTABILIZADOR LATERO CERVICAL HIS 
HEAD INMOBI SYSTEM SANITARY BABY, QUE LOGRA ESTE EFECTO Y 
TRABAJA COMO INMOVILIZADOR LATERO CERVICAL (DISPONIBLE COMO ADICIONAL EXTRACOSTO) PROVISTA 
DE TRES CINTURONES COLOR NEGRO DE RAPIDA LIBERACION. APROBACION MINISTERIO 
DE SALUD DE LA NACION - ANMAT PM 1236-37  
</t>
  </si>
  <si>
    <t xml:space="preserve">INSTRUMENTAL MEDICO; DESCRIPCION: TABLA PEDIATRICA, DESCARTABLE: NO, MATERIAL: MADERA, ELEMENTO: 
TABLA PEDIATRICA MARCA: Fiorino    _   
 Modelo: Fenólico        
       </t>
  </si>
  <si>
    <t xml:space="preserve">SEGÚN ANEXO I DEL PLIEGO DE BASES Y CONDICIONES PARTICULARES 
  INSTRUMENTAL MEDICO; DESCRIPCION: TABLA PEDIATRICA, DESCARTABLE: NO, MATERIAL: 
MADERA, ELEMENTO: TABLA PEDIATRICA </t>
  </si>
  <si>
    <t xml:space="preserve">11 </t>
  </si>
  <si>
    <t xml:space="preserve">2.9.5-8234.1 </t>
  </si>
  <si>
    <t xml:space="preserve">ORINALES; MATERIAL: MATERIAL PVC </t>
  </si>
  <si>
    <t xml:space="preserve">ORINAL MASCULINO P17 / FEMENINO P18 SILFAB </t>
  </si>
  <si>
    <t xml:space="preserve">orinales material pvc VERTICE PM 1326-060 </t>
  </si>
  <si>
    <t xml:space="preserve">ORINALES; MATERIAL: MATERIAL PVC MARCA: SILFAB     
</t>
  </si>
  <si>
    <t xml:space="preserve">12 </t>
  </si>
  <si>
    <t xml:space="preserve">4.3.3-5079.5 </t>
  </si>
  <si>
    <t xml:space="preserve">OTOSCOPIOS; TIPO: DE BOLSILLO C/LAMPARA, CANULAS: SIN, ALIMENTACION: A PILA 
</t>
  </si>
  <si>
    <t xml:space="preserve">OTOSCOPIO F. OPTICA LED (LUZ BLANCA) C/ ESTUCHE ECONOMICO HS-OT10N 
- BELMED </t>
  </si>
  <si>
    <t xml:space="preserve">OTOSCOPIOS; TIPO: DE BOLSILLO C/LAMPARA, CANULAS: SIN, ALIMENTACION: A PILA 
MARCA: BELMED         
  Modelo: LED  Voltaje 2.5V  </t>
  </si>
  <si>
    <t xml:space="preserve">OTOSCOPIOS; TIPO: DE BOLSILLO C/LAMPARA, CANULAS: SIN, ALIMENTACION: A PILA 
MARCA: RSS      Modelo: 786-829  
 Voltaje 3V  </t>
  </si>
  <si>
    <t xml:space="preserve">13 </t>
  </si>
  <si>
    <t xml:space="preserve">4.3.3-3999.3 </t>
  </si>
  <si>
    <t xml:space="preserve">OXIMETROS DE BOLSILLOS; RANGO: 0 - 100 %, TEMPERATURA DE 
TRABAJO: 0 A 50 °C, ALIMENTACION: 2 BATERIAS, PESO: 50 
A 70 GR </t>
  </si>
  <si>
    <t xml:space="preserve">OXIMETRO DE PULSO YK-82 , ADULTO/PEDIATRICO , LED CON CURVA, 
AUTOCONTENIDO (TIPO DIGIT), IDEAL PARA USO CLINICO HOSPITALARIO SIMPLE, HOME 
CARE GERIATRICOS, PSIQUIATRICOS, USO PERSONAL Y AMBULANCIAS, COMPACTO, LIVIANO, PARAMETROS 
SIMULTANEOS SPO2-PULSE (OXIMETRIA Y FRECUENCIA CARDIACA), INDICADOR DE BARRA DE 
PULSO CON EMISION AUDIBLE, 4 PANTALLAS COLOR DE GIRO 360° 
Y ONDA PLETISMOGRAFICA, TECNOLOGIA DE PROCESAMIENTO DE SEÑAL DIGITAL ANTIMOVIMIENTO, 
MEDICION PRECISA INCLUSO EN PACIENTES ALTERADOS E HIPERDINAMICOS Y EN 
CASO DE BAJA PERFUSION. PRECISION Y DURABILIDAD CONFIABLES. FUNCIONAMIENTO CON 
2 PILAS AAA , MUY BAJO CONSUMO. AUTOAPAGADO EN 8 
SEGUNDOS SIN DETECTAR SEÑAL; INDICADOR DE BATERIA BAJA Y DE 
DESCONEXION DE SENSOR O EN POSICION INCORRECTA. DIMENSIONES: 58X33X36 [MM]. 
PESO 60 G </t>
  </si>
  <si>
    <t xml:space="preserve">"OXIMETROS DE BOLSILLOS; RANGO: 0 - 100 %, TEMPERATURA DE 
TRABAJO: 0 A 50 °C, ALIMENTACION: 2 BATERIAS, PESO: 50 
A 70 GR" MARCA: Femmto, modelo: (YK-81A negro-blanco) (50DL-AZUL/BLANCO)  
    </t>
  </si>
  <si>
    <t xml:space="preserve">Oximetro de Pulso YK81A con curva  </t>
  </si>
  <si>
    <t xml:space="preserve">- Medición de SpO2: sensor LED de doble longitud de 
onda. Valor de medición de SpO2: 35%-100%, Exactitud de medición: 
menor o igual a 3%.  - Medición de frecuencia 
del pulso: 30 bpm-240bpm. Exactitud de medición de frecuencia del 
pulso: +/- 2bpm. - Con barra indicadora de pulso.  
</t>
  </si>
  <si>
    <t xml:space="preserve">14 </t>
  </si>
  <si>
    <t xml:space="preserve">4.3.3-7819.1 </t>
  </si>
  <si>
    <t xml:space="preserve">PEDIOMETROS; RANGO: 0 A 1 M, RESOLUCION: 0,5 Cm, MATERIAL: 
ALUMINIO Y PLASTICO </t>
  </si>
  <si>
    <t xml:space="preserve">PEDIOMETRO DE CRECIMIENTO 1.10m MARCA VARA  </t>
  </si>
  <si>
    <t xml:space="preserve">PEDIOMETROS; RANGO: 0 A 1 M, RESOLUCION: 0,5 Cm, MATERIAL: 
ALUMINIO Y PLASTICO MARCA: ROMA      
 </t>
  </si>
  <si>
    <t xml:space="preserve">PEDIOMETRO DE CRECIMIENTO 1.10m VARA </t>
  </si>
  <si>
    <t xml:space="preserve">15 </t>
  </si>
  <si>
    <t xml:space="preserve">4.3.3-4853.2 </t>
  </si>
  <si>
    <t xml:space="preserve">PIES DE SUEROS; RUEDAS: CON, MATERIAL: ACERO INOXIDABLE </t>
  </si>
  <si>
    <t xml:space="preserve">PIE DE SUERO CON BASE PLASTICA RODANTE DE 5 PATAS, 
CAÑO DE ACERO INOXIDABLE DE 25MM CON MASTIL REGULABLE EN 
CAÑO DE 22MM CON PARTE SUPERIOR DE DOS GANCHOS DEL 
MISMO MATERIAL </t>
  </si>
  <si>
    <t xml:space="preserve">PIES DE SUEROS; RUEDAS: CON, MATERIAL: ACERO INOXIDABLE  MARCA: 
Ortopedia libertad industria argentina /    SEGALINI  
   / MENCONI      
         </t>
  </si>
  <si>
    <t xml:space="preserve">SEGÚN ANEXO I DEL PLIEGO DE BASES Y CONDICIONES PARTICULARES 
PIES DE SUEROS; RUEDAS: CON, MATERIAL: ACERO INOXIDABLE </t>
  </si>
  <si>
    <t xml:space="preserve">16 </t>
  </si>
  <si>
    <t xml:space="preserve">4.3.3-130.13 </t>
  </si>
  <si>
    <t xml:space="preserve">TENSIOMETROS ARTERIALES; RANGO DE PRESION: +/- 3 mm hg, RANGO 
PULSACIONES: SIN, ALIMENTACION: SIN, TIPO: ANEROIDE </t>
  </si>
  <si>
    <t xml:space="preserve">Tensiometro aneroide con estetoscopio adulto EUROMIX </t>
  </si>
  <si>
    <t xml:space="preserve">tensiometros arteriales +/- 3 mm adulto. EUROMIX pm 788-9 </t>
  </si>
  <si>
    <t xml:space="preserve">TENSIOMETROS ARTERIALES; RANGO DE PRESION: +/- 3 mm hg, RANGO 
PULSACIONES: SIN, ALIMENTACION: SIN, TIPO: ANEROIDE MARCA: Genérica   
Modelo: BK2001         
 </t>
  </si>
  <si>
    <t xml:space="preserve">Tensiometro aneroide adulto Euromix </t>
  </si>
  <si>
    <t xml:space="preserve">- Cámara de látex de dos tubos - Manga de 
algodón - Robinete y manómetro - Pera con válvula final 
- Rango de medición: 0 – 300Hg - Cartuchera individual 
- Estetoscopio adulto campana simple  </t>
  </si>
  <si>
    <t xml:space="preserve">Tensiómetro  manual  aneroide  (analógico),  con  
manómetro  circular  de  fácil  lectura,  
brazalete  uso  adulto,  con estetoscopio de campana 
simple y olivas de plástico incluido. Aprobado por ANMAT. Marca 
JIANDA.  GARANTIA: 1 (UN) Año.  </t>
  </si>
  <si>
    <t xml:space="preserve">17 </t>
  </si>
  <si>
    <t xml:space="preserve">TENSIOMETRO ANEROIDE CON DOS BRAZALES INFANTIL + PEDIATRICO + ESTETOSCOPIO 
- EUROMIX </t>
  </si>
  <si>
    <t xml:space="preserve">TENSIOMETROS ARTERIALES +/- 3 MM aneroide PEDIATRICO euromix pm 788-9 
</t>
  </si>
  <si>
    <t xml:space="preserve">TENSIOMETROS ARTERIALES; RANGO DE PRESION: +/- 3 mm hg, RANGO 
PULSACIONES: SIN, ALIMENTACION: SIN, TIPO: ANEROIDE MARCA: Silfab   
  Modelo: I1300-P       
         </t>
  </si>
  <si>
    <t xml:space="preserve">18 </t>
  </si>
  <si>
    <t xml:space="preserve">Tensiometro aneroide con estetoscopio adulto obeso Euromix </t>
  </si>
  <si>
    <t xml:space="preserve">"TENSIOMETROS ARTERIALES; RANGO DE PRESION: +/- 3 mm hg, RANGO 
PULSACIONES: SIN, ALIMENTACION: SIN, TIPO: ANEROIDE" MARCA: Coronet  Modelo: 
HS-50C Obeso         
       </t>
  </si>
  <si>
    <t xml:space="preserve">19 </t>
  </si>
  <si>
    <t xml:space="preserve">4.3.3-3675.100 </t>
  </si>
  <si>
    <t xml:space="preserve">TERMOMETROS; TIPO: DIGITAL, ESCALA: GRADO CENTIGRADO, RANGO DE TEMPERATURA: -5 
A 50 °C </t>
  </si>
  <si>
    <t xml:space="preserve">Termometro digital ETEMP </t>
  </si>
  <si>
    <t xml:space="preserve">TERMOMETROS DIGITALES etempp pm 2106-15 </t>
  </si>
  <si>
    <t xml:space="preserve">TERMOMETROS; TIPO: DIGITAL, ESCALA: GRADO CENTIGRADO, RANGO DE TEMPERATURA: -5 
A 50 °C        
        MARCA: Citizen 
  Modelo: CTA301C </t>
  </si>
  <si>
    <t xml:space="preserve">Termometro digital. ETEMP </t>
  </si>
  <si>
    <t xml:space="preserve">•Termómetro digital •Práctico, preciso y fácil de usar •Punta rígida 
y alarma •Con apagado automático  </t>
  </si>
  <si>
    <t xml:space="preserve">20 </t>
  </si>
  <si>
    <t xml:space="preserve">4.3.3-4212.4 </t>
  </si>
  <si>
    <t xml:space="preserve">TUBOS DE OXIGENO; TIPO: CAPACIDAD 6 M3 </t>
  </si>
  <si>
    <t xml:space="preserve">Cilindros de acero para Gases Permanentes de Diametro Nominal 232mm, 
longitud 0,90 mts y Capacidad Hidraulica 30 Lts - 6 
m3 - Color blanco incluye tulipa fundicion, valvula O2 y 
Regulador Oxig con flowmeter </t>
  </si>
  <si>
    <t xml:space="preserve">SEGÚN ANEXO I DEL PLIEGO DE BASES Y CONDICIONES PARTICULARES 
TUBOS DE OXIGENO; TIPO: CAPACIDAD 6 M3 </t>
  </si>
  <si>
    <t xml:space="preserve">Cilindros de acero para Gases Permanentes de Diametro Nominal 232mm, 
longitud 1,16 mts y Capacidad Hidraulica 40 Lts - 8 
m3 - Color blanco incluye tulipa fundicion, valvula O2 y 
Regulador Oxig con flowmeter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</si>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</sst>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32"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32"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32"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32"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S9:V32" totalsRowCount="1">
  <tableColumns count="4">
    <tableColumn id="1" xr3:uid="{00000000-0010-0000-0400-000001000000}" name="Precio unitario"/>
    <tableColumn id="2" xr3:uid="{00000000-0010-0000-0400-000002000000}" name="Cantidad ofertada"/>
    <tableColumn id="3" xr3:uid="{00000000-0010-0000-0400-000003000000}" name="Total por renglón" totalsRowFunction="sum"/>
    <tableColumn id="4" xr3:uid="{00000000-0010-0000-0400-000004000000}" name="Especificacion técnica"/>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W9:Z32" totalsRowCount="1">
  <tableColumns count="4">
    <tableColumn id="1" xr3:uid="{00000000-0010-0000-0500-000001000000}" name="Precio unitario"/>
    <tableColumn id="2" xr3:uid="{00000000-0010-0000-0500-000002000000}" name="Cantidad ofertada"/>
    <tableColumn id="3" xr3:uid="{00000000-0010-0000-0500-000003000000}" name="Total por renglón" totalsRowFunction="sum"/>
    <tableColumn id="4" xr3:uid="{00000000-0010-0000-0500-000004000000}" name="Especificacion técnica"/>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A9:AD32" totalsRowCount="1">
  <tableColumns count="4">
    <tableColumn id="1" xr3:uid="{00000000-0010-0000-0600-000001000000}" name="Precio unitario"/>
    <tableColumn id="2" xr3:uid="{00000000-0010-0000-0600-000002000000}" name="Cantidad ofertada"/>
    <tableColumn id="3" xr3:uid="{00000000-0010-0000-0600-000003000000}" name="Total por renglón" totalsRowFunction="sum"/>
    <tableColumn id="4" xr3:uid="{00000000-0010-0000-0600-000004000000}" name="Especificacion técnica"/>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E9:AH32" totalsRowCount="1">
  <tableColumns count="4">
    <tableColumn id="1" xr3:uid="{00000000-0010-0000-0700-000001000000}" name="Precio unitario"/>
    <tableColumn id="2" xr3:uid="{00000000-0010-0000-0700-000002000000}" name="Cantidad ofertada"/>
    <tableColumn id="3" xr3:uid="{00000000-0010-0000-0700-000003000000}" name="Total por renglón" totalsRowFunction="sum"/>
    <tableColumn id="4" xr3:uid="{00000000-0010-0000-07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99.140625" customWidth="1"/>
    <col min="5" max="5" width="95.5703125" customWidth="1"/>
    <col min="6" max="6" width="17.42578125" customWidth="1"/>
    <col min="7" max="7" width="14.28515625" customWidth="1"/>
    <col min="8" max="8" width="17.28515625" customWidth="1"/>
    <col min="9" max="9" width="16.5703125" customWidth="1"/>
    <col min="10" max="10" width="99.7109375" customWidth="1"/>
    <col min="11" max="11" width="14.28515625" customWidth="1"/>
    <col min="12" max="12" width="17.28515625" customWidth="1"/>
    <col min="13" max="13" width="16.5703125" customWidth="1"/>
    <col min="14" max="14" width="69.5703125" customWidth="1"/>
    <col min="15" max="15" width="14.28515625" customWidth="1"/>
    <col min="16" max="16" width="17.28515625" customWidth="1"/>
    <col min="17" max="17" width="16.5703125" customWidth="1"/>
    <col min="18" max="18" width="99.140625" customWidth="1"/>
    <col min="19" max="19" width="14.28515625" customWidth="1"/>
    <col min="20" max="20" width="17.28515625" customWidth="1"/>
    <col min="21" max="21" width="16.5703125" customWidth="1"/>
    <col min="22" max="22" width="76" customWidth="1"/>
    <col min="23" max="23" width="14.28515625" customWidth="1"/>
    <col min="24" max="24" width="17.28515625" customWidth="1"/>
    <col min="25" max="25" width="16.5703125" customWidth="1"/>
    <col min="26" max="26" width="93.5703125" customWidth="1"/>
    <col min="27" max="27" width="14.28515625" customWidth="1"/>
    <col min="28" max="28" width="17.28515625" customWidth="1"/>
    <col min="29" max="29" width="16.5703125" customWidth="1"/>
    <col min="30" max="30" width="60.5703125" customWidth="1"/>
    <col min="31" max="31" width="14.28515625" customWidth="1"/>
    <col min="32" max="32" width="17.28515625" customWidth="1"/>
    <col min="33" max="33" width="16.5703125" customWidth="1"/>
    <col min="34" max="34" width="57.42578125" customWidth="1"/>
  </cols>
  <sheetData>
    <row r="1" spans="1:34" x14ac:dyDescent="0.25">
      <c r="D1" s="2" t="s">
        <v>0</v>
      </c>
      <c r="E1" s="2" t="s">
        <v>1</v>
      </c>
    </row>
    <row r="2" spans="1:34" x14ac:dyDescent="0.25">
      <c r="D2" s="2" t="s">
        <v>2</v>
      </c>
      <c r="E2" s="2" t="s">
        <v>3</v>
      </c>
    </row>
    <row r="3" spans="1:34" x14ac:dyDescent="0.25">
      <c r="D3" s="2" t="s">
        <v>4</v>
      </c>
      <c r="E3" s="2" t="s">
        <v>5</v>
      </c>
    </row>
    <row r="4" spans="1:34" x14ac:dyDescent="0.25">
      <c r="D4" s="2" t="s">
        <v>6</v>
      </c>
      <c r="E4" s="2" t="s">
        <v>7</v>
      </c>
    </row>
    <row r="5" spans="1:34" x14ac:dyDescent="0.25">
      <c r="D5" s="2" t="s">
        <v>8</v>
      </c>
      <c r="E5" s="2" t="s">
        <v>9</v>
      </c>
    </row>
    <row r="8" spans="1:34" x14ac:dyDescent="0.25">
      <c r="A8" s="1" t="s">
        <v>10</v>
      </c>
      <c r="B8" s="1"/>
      <c r="C8" s="1"/>
      <c r="D8" s="1"/>
      <c r="E8" s="1"/>
      <c r="F8" s="1"/>
      <c r="G8" s="1" t="s">
        <v>11</v>
      </c>
      <c r="H8" s="1"/>
      <c r="I8" s="1"/>
      <c r="J8" s="1"/>
      <c r="K8" s="1" t="s">
        <v>12</v>
      </c>
      <c r="L8" s="1"/>
      <c r="M8" s="1"/>
      <c r="N8" s="1"/>
      <c r="O8" s="1" t="s">
        <v>13</v>
      </c>
      <c r="P8" s="1"/>
      <c r="Q8" s="1"/>
      <c r="R8" s="1"/>
      <c r="S8" s="1" t="s">
        <v>14</v>
      </c>
      <c r="T8" s="1"/>
      <c r="U8" s="1"/>
      <c r="V8" s="1"/>
      <c r="W8" s="1" t="s">
        <v>15</v>
      </c>
      <c r="X8" s="1"/>
      <c r="Y8" s="1"/>
      <c r="Z8" s="1"/>
      <c r="AA8" s="1" t="s">
        <v>16</v>
      </c>
      <c r="AB8" s="1"/>
      <c r="AC8" s="1"/>
      <c r="AD8" s="1"/>
      <c r="AE8" s="1" t="s">
        <v>17</v>
      </c>
      <c r="AF8" s="1"/>
      <c r="AG8" s="1"/>
      <c r="AH8" s="1"/>
    </row>
    <row r="9" spans="1:34" x14ac:dyDescent="0.25">
      <c r="A9" t="s">
        <v>10</v>
      </c>
      <c r="B9" t="s">
        <v>18</v>
      </c>
      <c r="C9" t="s">
        <v>19</v>
      </c>
      <c r="D9" t="s">
        <v>20</v>
      </c>
      <c r="E9" t="s">
        <v>21</v>
      </c>
      <c r="F9" t="s">
        <v>22</v>
      </c>
      <c r="G9" s="3" t="s">
        <v>23</v>
      </c>
      <c r="H9" s="3" t="s">
        <v>24</v>
      </c>
      <c r="I9" t="s">
        <v>25</v>
      </c>
      <c r="J9" t="s">
        <v>26</v>
      </c>
      <c r="K9" s="3" t="s">
        <v>23</v>
      </c>
      <c r="L9" s="3" t="s">
        <v>24</v>
      </c>
      <c r="M9" t="s">
        <v>25</v>
      </c>
      <c r="N9" t="s">
        <v>26</v>
      </c>
      <c r="O9" s="3" t="s">
        <v>23</v>
      </c>
      <c r="P9" s="3" t="s">
        <v>24</v>
      </c>
      <c r="Q9" t="s">
        <v>25</v>
      </c>
      <c r="R9" t="s">
        <v>26</v>
      </c>
      <c r="S9" s="3" t="s">
        <v>23</v>
      </c>
      <c r="T9" s="3" t="s">
        <v>24</v>
      </c>
      <c r="U9" t="s">
        <v>25</v>
      </c>
      <c r="V9" t="s">
        <v>26</v>
      </c>
      <c r="W9" s="3" t="s">
        <v>23</v>
      </c>
      <c r="X9" s="3" t="s">
        <v>24</v>
      </c>
      <c r="Y9" t="s">
        <v>25</v>
      </c>
      <c r="Z9" t="s">
        <v>26</v>
      </c>
      <c r="AA9" s="3" t="s">
        <v>23</v>
      </c>
      <c r="AB9" s="3" t="s">
        <v>24</v>
      </c>
      <c r="AC9" t="s">
        <v>25</v>
      </c>
      <c r="AD9" t="s">
        <v>26</v>
      </c>
      <c r="AE9" s="3" t="s">
        <v>23</v>
      </c>
      <c r="AF9" s="3" t="s">
        <v>24</v>
      </c>
      <c r="AG9" t="s">
        <v>25</v>
      </c>
      <c r="AH9" t="s">
        <v>26</v>
      </c>
    </row>
    <row r="10" spans="1:34" ht="135" x14ac:dyDescent="0.25">
      <c r="A10" t="s">
        <v>27</v>
      </c>
      <c r="B10" t="s">
        <v>27</v>
      </c>
      <c r="C10" t="s">
        <v>28</v>
      </c>
      <c r="D10" s="4" t="s">
        <v>29</v>
      </c>
      <c r="E10">
        <v>10</v>
      </c>
      <c r="F10" t="s">
        <v>30</v>
      </c>
      <c r="G10" s="3">
        <v>185664</v>
      </c>
      <c r="H10" s="3">
        <v>10</v>
      </c>
      <c r="I10" s="5">
        <v>1856640</v>
      </c>
      <c r="J10" s="4" t="s">
        <v>31</v>
      </c>
      <c r="K10" s="3"/>
      <c r="L10" s="3"/>
      <c r="M10" s="5"/>
      <c r="O10" s="3"/>
      <c r="P10" s="3"/>
      <c r="Q10" s="5"/>
      <c r="S10" s="3"/>
      <c r="T10" s="3"/>
      <c r="U10" s="5"/>
      <c r="W10" s="3"/>
      <c r="X10" s="3"/>
      <c r="Y10" s="5"/>
      <c r="AA10" s="3"/>
      <c r="AB10" s="3"/>
      <c r="AC10" s="5"/>
      <c r="AE10" s="3"/>
      <c r="AF10" s="3"/>
      <c r="AG10" s="5"/>
    </row>
    <row r="11" spans="1:34" ht="165" x14ac:dyDescent="0.25">
      <c r="A11" t="s">
        <v>32</v>
      </c>
      <c r="B11" t="s">
        <v>27</v>
      </c>
      <c r="C11" t="s">
        <v>33</v>
      </c>
      <c r="D11" s="4" t="s">
        <v>34</v>
      </c>
      <c r="E11">
        <v>10</v>
      </c>
      <c r="F11" t="s">
        <v>30</v>
      </c>
      <c r="G11" s="3">
        <v>127990</v>
      </c>
      <c r="H11" s="3">
        <v>10</v>
      </c>
      <c r="I11" s="5">
        <v>1279900</v>
      </c>
      <c r="J11" s="4" t="s">
        <v>35</v>
      </c>
      <c r="K11" s="3"/>
      <c r="L11" s="3"/>
      <c r="M11" s="5"/>
      <c r="O11" s="3"/>
      <c r="P11" s="3"/>
      <c r="Q11" s="5"/>
      <c r="S11" s="3"/>
      <c r="T11" s="3"/>
      <c r="U11" s="5"/>
      <c r="W11" s="3"/>
      <c r="X11" s="3"/>
      <c r="Y11" s="5"/>
      <c r="AA11" s="3"/>
      <c r="AB11" s="3"/>
      <c r="AC11" s="5"/>
      <c r="AE11" s="3"/>
      <c r="AF11" s="3"/>
      <c r="AG11" s="5"/>
    </row>
    <row r="12" spans="1:34" ht="180" x14ac:dyDescent="0.25">
      <c r="A12" t="s">
        <v>36</v>
      </c>
      <c r="B12" t="s">
        <v>27</v>
      </c>
      <c r="C12" t="s">
        <v>37</v>
      </c>
      <c r="D12" s="4" t="s">
        <v>38</v>
      </c>
      <c r="E12">
        <v>10</v>
      </c>
      <c r="F12" t="s">
        <v>30</v>
      </c>
      <c r="G12" s="3">
        <v>142626</v>
      </c>
      <c r="H12" s="3">
        <v>10</v>
      </c>
      <c r="I12" s="5">
        <v>1426260</v>
      </c>
      <c r="J12" s="4" t="s">
        <v>39</v>
      </c>
      <c r="K12" s="3"/>
      <c r="L12" s="3"/>
      <c r="M12" s="5"/>
      <c r="O12" s="3"/>
      <c r="P12" s="3"/>
      <c r="Q12" s="5"/>
      <c r="S12" s="3"/>
      <c r="T12" s="3"/>
      <c r="U12" s="5"/>
      <c r="W12" s="3"/>
      <c r="X12" s="3"/>
      <c r="Y12" s="5"/>
      <c r="AA12" s="3"/>
      <c r="AB12" s="3"/>
      <c r="AC12" s="5"/>
      <c r="AE12" s="3"/>
      <c r="AF12" s="3"/>
      <c r="AG12" s="5"/>
    </row>
    <row r="13" spans="1:34" ht="30" x14ac:dyDescent="0.25">
      <c r="A13" t="s">
        <v>40</v>
      </c>
      <c r="B13" t="s">
        <v>27</v>
      </c>
      <c r="C13" t="s">
        <v>41</v>
      </c>
      <c r="D13" t="s">
        <v>42</v>
      </c>
      <c r="E13">
        <v>85</v>
      </c>
      <c r="F13" t="s">
        <v>30</v>
      </c>
      <c r="G13" s="3">
        <v>910</v>
      </c>
      <c r="H13" s="3">
        <v>85</v>
      </c>
      <c r="I13" s="5">
        <v>77350</v>
      </c>
      <c r="J13" t="s">
        <v>43</v>
      </c>
      <c r="K13" s="3">
        <v>788</v>
      </c>
      <c r="L13" s="3">
        <v>85</v>
      </c>
      <c r="M13" s="5">
        <v>66980</v>
      </c>
      <c r="N13" t="s">
        <v>44</v>
      </c>
      <c r="O13" s="3">
        <v>1070</v>
      </c>
      <c r="P13" s="3">
        <v>85</v>
      </c>
      <c r="Q13" s="5">
        <v>90950</v>
      </c>
      <c r="R13" s="4" t="s">
        <v>45</v>
      </c>
      <c r="S13" s="3"/>
      <c r="T13" s="3"/>
      <c r="U13" s="5"/>
      <c r="W13" s="3"/>
      <c r="X13" s="3"/>
      <c r="Y13" s="5"/>
      <c r="AA13" s="3"/>
      <c r="AB13" s="3"/>
      <c r="AC13" s="5"/>
      <c r="AE13" s="3"/>
      <c r="AF13" s="3"/>
      <c r="AG13" s="5"/>
    </row>
    <row r="14" spans="1:34" ht="225" x14ac:dyDescent="0.25">
      <c r="A14" t="s">
        <v>46</v>
      </c>
      <c r="B14" t="s">
        <v>27</v>
      </c>
      <c r="C14" t="s">
        <v>47</v>
      </c>
      <c r="D14" s="4" t="s">
        <v>48</v>
      </c>
      <c r="E14">
        <v>100</v>
      </c>
      <c r="F14" t="s">
        <v>30</v>
      </c>
      <c r="G14" s="3">
        <v>2400</v>
      </c>
      <c r="H14" s="3">
        <v>100</v>
      </c>
      <c r="I14" s="5">
        <v>240000</v>
      </c>
      <c r="J14" s="4" t="s">
        <v>49</v>
      </c>
      <c r="K14" s="3">
        <v>1872</v>
      </c>
      <c r="L14" s="3">
        <v>100</v>
      </c>
      <c r="M14" s="5">
        <v>187200</v>
      </c>
      <c r="N14" t="s">
        <v>50</v>
      </c>
      <c r="O14" s="3">
        <v>3530</v>
      </c>
      <c r="P14" s="3">
        <v>100</v>
      </c>
      <c r="Q14" s="5">
        <v>353000</v>
      </c>
      <c r="R14" s="4" t="s">
        <v>51</v>
      </c>
      <c r="S14" s="3"/>
      <c r="T14" s="3"/>
      <c r="U14" s="5"/>
      <c r="W14" s="3"/>
      <c r="X14" s="3"/>
      <c r="Y14" s="5"/>
      <c r="AA14" s="3"/>
      <c r="AB14" s="3"/>
      <c r="AC14" s="5"/>
      <c r="AE14" s="3"/>
      <c r="AF14" s="3"/>
      <c r="AG14" s="5"/>
    </row>
    <row r="15" spans="1:34" ht="105" x14ac:dyDescent="0.25">
      <c r="A15" t="s">
        <v>52</v>
      </c>
      <c r="B15" t="s">
        <v>27</v>
      </c>
      <c r="C15" t="s">
        <v>53</v>
      </c>
      <c r="D15" t="s">
        <v>54</v>
      </c>
      <c r="E15">
        <v>50</v>
      </c>
      <c r="F15" t="s">
        <v>30</v>
      </c>
      <c r="G15" s="3">
        <v>70785</v>
      </c>
      <c r="H15" s="3">
        <v>50</v>
      </c>
      <c r="I15" s="5">
        <v>3539250</v>
      </c>
      <c r="J15" s="4" t="s">
        <v>55</v>
      </c>
      <c r="K15" s="3"/>
      <c r="L15" s="3"/>
      <c r="M15" s="5"/>
      <c r="O15" s="3">
        <v>59900</v>
      </c>
      <c r="P15" s="3">
        <v>50</v>
      </c>
      <c r="Q15" s="5">
        <v>2995000</v>
      </c>
      <c r="R15" s="4" t="s">
        <v>56</v>
      </c>
      <c r="S15" s="3">
        <v>46657.599999999999</v>
      </c>
      <c r="T15" s="3">
        <v>50</v>
      </c>
      <c r="U15" s="5">
        <v>2332880</v>
      </c>
      <c r="V15" s="4" t="s">
        <v>57</v>
      </c>
      <c r="W15" s="3">
        <v>54000</v>
      </c>
      <c r="X15" s="3">
        <v>50</v>
      </c>
      <c r="Y15" s="5">
        <v>2700000</v>
      </c>
      <c r="Z15" s="4" t="s">
        <v>58</v>
      </c>
      <c r="AA15" s="3"/>
      <c r="AB15" s="3"/>
      <c r="AC15" s="5"/>
      <c r="AE15" s="3"/>
      <c r="AF15" s="3"/>
      <c r="AG15" s="5"/>
    </row>
    <row r="16" spans="1:34" ht="285" x14ac:dyDescent="0.25">
      <c r="A16" t="s">
        <v>59</v>
      </c>
      <c r="B16" t="s">
        <v>27</v>
      </c>
      <c r="C16" t="s">
        <v>60</v>
      </c>
      <c r="D16" s="4" t="s">
        <v>61</v>
      </c>
      <c r="E16">
        <v>15</v>
      </c>
      <c r="F16" t="s">
        <v>30</v>
      </c>
      <c r="G16" s="3">
        <v>15228</v>
      </c>
      <c r="H16" s="3">
        <v>15</v>
      </c>
      <c r="I16" s="5">
        <v>228420</v>
      </c>
      <c r="J16" s="4" t="s">
        <v>62</v>
      </c>
      <c r="K16" s="3"/>
      <c r="L16" s="3"/>
      <c r="M16" s="5"/>
      <c r="O16" s="3">
        <v>16720</v>
      </c>
      <c r="P16" s="3">
        <v>15</v>
      </c>
      <c r="Q16" s="5">
        <v>250800</v>
      </c>
      <c r="R16" s="4" t="s">
        <v>63</v>
      </c>
      <c r="S16" s="3">
        <v>34941</v>
      </c>
      <c r="T16" s="3">
        <v>15</v>
      </c>
      <c r="U16" s="5">
        <v>524115</v>
      </c>
      <c r="V16" s="4" t="s">
        <v>64</v>
      </c>
      <c r="W16" s="3"/>
      <c r="X16" s="3"/>
      <c r="Y16" s="5"/>
      <c r="AA16" s="3"/>
      <c r="AB16" s="3"/>
      <c r="AC16" s="5"/>
      <c r="AE16" s="3"/>
      <c r="AF16" s="3"/>
      <c r="AG16" s="5"/>
    </row>
    <row r="17" spans="1:34" ht="60" x14ac:dyDescent="0.25">
      <c r="A17" t="s">
        <v>65</v>
      </c>
      <c r="B17" t="s">
        <v>27</v>
      </c>
      <c r="C17" t="s">
        <v>66</v>
      </c>
      <c r="D17" t="s">
        <v>67</v>
      </c>
      <c r="E17">
        <v>140</v>
      </c>
      <c r="F17" t="s">
        <v>30</v>
      </c>
      <c r="G17" s="3">
        <v>845</v>
      </c>
      <c r="H17" s="3">
        <v>140</v>
      </c>
      <c r="I17" s="5">
        <v>118300</v>
      </c>
      <c r="J17" t="s">
        <v>68</v>
      </c>
      <c r="K17" s="3"/>
      <c r="L17" s="3"/>
      <c r="M17" s="5"/>
      <c r="O17" s="3">
        <v>2090</v>
      </c>
      <c r="P17" s="3">
        <v>140</v>
      </c>
      <c r="Q17" s="5">
        <v>292600</v>
      </c>
      <c r="R17" s="4" t="s">
        <v>69</v>
      </c>
      <c r="S17" s="3"/>
      <c r="T17" s="3"/>
      <c r="U17" s="5"/>
      <c r="W17" s="3"/>
      <c r="X17" s="3"/>
      <c r="Y17" s="5"/>
      <c r="AA17" s="3">
        <v>782</v>
      </c>
      <c r="AB17" s="3">
        <v>140</v>
      </c>
      <c r="AC17" s="5">
        <v>109480</v>
      </c>
      <c r="AD17" s="4" t="s">
        <v>70</v>
      </c>
      <c r="AE17" s="3"/>
      <c r="AF17" s="3"/>
      <c r="AG17" s="5"/>
    </row>
    <row r="18" spans="1:34" ht="210" x14ac:dyDescent="0.25">
      <c r="A18" t="s">
        <v>71</v>
      </c>
      <c r="B18" t="s">
        <v>27</v>
      </c>
      <c r="C18" t="s">
        <v>72</v>
      </c>
      <c r="D18" s="4" t="s">
        <v>73</v>
      </c>
      <c r="E18">
        <v>10</v>
      </c>
      <c r="F18" t="s">
        <v>30</v>
      </c>
      <c r="G18" s="3">
        <v>24711</v>
      </c>
      <c r="H18" s="3">
        <v>10</v>
      </c>
      <c r="I18" s="5">
        <v>247110</v>
      </c>
      <c r="J18" s="4" t="s">
        <v>74</v>
      </c>
      <c r="K18" s="3"/>
      <c r="L18" s="3"/>
      <c r="M18" s="5"/>
      <c r="O18" s="3">
        <v>28500</v>
      </c>
      <c r="P18" s="3">
        <v>10</v>
      </c>
      <c r="Q18" s="5">
        <v>285000</v>
      </c>
      <c r="R18" s="4" t="s">
        <v>75</v>
      </c>
      <c r="S18" s="3"/>
      <c r="T18" s="3"/>
      <c r="U18" s="5"/>
      <c r="W18" s="3">
        <v>53000</v>
      </c>
      <c r="X18" s="3">
        <v>10</v>
      </c>
      <c r="Y18" s="5">
        <v>530000</v>
      </c>
      <c r="Z18" s="4" t="s">
        <v>76</v>
      </c>
      <c r="AA18" s="3"/>
      <c r="AB18" s="3"/>
      <c r="AC18" s="5"/>
      <c r="AE18" s="3"/>
      <c r="AF18" s="3"/>
      <c r="AG18" s="5"/>
    </row>
    <row r="19" spans="1:34" ht="255" x14ac:dyDescent="0.25">
      <c r="A19" t="s">
        <v>77</v>
      </c>
      <c r="B19" t="s">
        <v>27</v>
      </c>
      <c r="C19" t="s">
        <v>78</v>
      </c>
      <c r="D19" s="4" t="s">
        <v>79</v>
      </c>
      <c r="E19">
        <v>10</v>
      </c>
      <c r="F19" t="s">
        <v>30</v>
      </c>
      <c r="G19" s="3">
        <v>36905</v>
      </c>
      <c r="H19" s="3">
        <v>10</v>
      </c>
      <c r="I19" s="5">
        <v>369050</v>
      </c>
      <c r="J19" s="4" t="s">
        <v>80</v>
      </c>
      <c r="K19" s="3"/>
      <c r="L19" s="3"/>
      <c r="M19" s="5"/>
      <c r="O19" s="3">
        <v>24780</v>
      </c>
      <c r="P19" s="3">
        <v>10</v>
      </c>
      <c r="Q19" s="5">
        <v>247800</v>
      </c>
      <c r="R19" s="4" t="s">
        <v>81</v>
      </c>
      <c r="S19" s="3"/>
      <c r="T19" s="3"/>
      <c r="U19" s="5"/>
      <c r="W19" s="3">
        <v>39000</v>
      </c>
      <c r="X19" s="3">
        <v>10</v>
      </c>
      <c r="Y19" s="5">
        <v>390000</v>
      </c>
      <c r="Z19" s="4" t="s">
        <v>82</v>
      </c>
      <c r="AA19" s="3"/>
      <c r="AB19" s="3"/>
      <c r="AC19" s="5"/>
      <c r="AE19" s="3"/>
      <c r="AF19" s="3"/>
      <c r="AG19" s="5"/>
    </row>
    <row r="20" spans="1:34" ht="45" x14ac:dyDescent="0.25">
      <c r="A20" t="s">
        <v>83</v>
      </c>
      <c r="B20" t="s">
        <v>27</v>
      </c>
      <c r="C20" t="s">
        <v>84</v>
      </c>
      <c r="D20" t="s">
        <v>85</v>
      </c>
      <c r="E20">
        <v>100</v>
      </c>
      <c r="F20" t="s">
        <v>30</v>
      </c>
      <c r="G20" s="3">
        <v>475</v>
      </c>
      <c r="H20" s="3">
        <v>100</v>
      </c>
      <c r="I20" s="5">
        <v>47500</v>
      </c>
      <c r="J20" t="s">
        <v>86</v>
      </c>
      <c r="K20" s="3">
        <v>250</v>
      </c>
      <c r="L20" s="3">
        <v>100</v>
      </c>
      <c r="M20" s="5">
        <v>25000</v>
      </c>
      <c r="N20" t="s">
        <v>87</v>
      </c>
      <c r="O20" s="3">
        <v>800</v>
      </c>
      <c r="P20" s="3">
        <v>100</v>
      </c>
      <c r="Q20" s="5">
        <v>80000</v>
      </c>
      <c r="R20" s="4" t="s">
        <v>88</v>
      </c>
      <c r="S20" s="3"/>
      <c r="T20" s="3"/>
      <c r="U20" s="5"/>
      <c r="W20" s="3"/>
      <c r="X20" s="3"/>
      <c r="Y20" s="5"/>
      <c r="AA20" s="3"/>
      <c r="AB20" s="3"/>
      <c r="AC20" s="5"/>
      <c r="AE20" s="3"/>
      <c r="AF20" s="3"/>
      <c r="AG20" s="5"/>
    </row>
    <row r="21" spans="1:34" ht="45" x14ac:dyDescent="0.25">
      <c r="A21" t="s">
        <v>89</v>
      </c>
      <c r="B21" t="s">
        <v>27</v>
      </c>
      <c r="C21" t="s">
        <v>90</v>
      </c>
      <c r="D21" s="4" t="s">
        <v>91</v>
      </c>
      <c r="E21">
        <v>14</v>
      </c>
      <c r="F21" t="s">
        <v>30</v>
      </c>
      <c r="G21" s="3">
        <v>12597</v>
      </c>
      <c r="H21" s="3">
        <v>14</v>
      </c>
      <c r="I21" s="5">
        <v>176358</v>
      </c>
      <c r="J21" s="4" t="s">
        <v>92</v>
      </c>
      <c r="K21" s="3"/>
      <c r="L21" s="3"/>
      <c r="M21" s="5"/>
      <c r="O21" s="3">
        <v>20990</v>
      </c>
      <c r="P21" s="3">
        <v>14</v>
      </c>
      <c r="Q21" s="5">
        <v>293860</v>
      </c>
      <c r="R21" s="4" t="s">
        <v>93</v>
      </c>
      <c r="S21" s="3"/>
      <c r="T21" s="3"/>
      <c r="U21" s="5"/>
      <c r="W21" s="3"/>
      <c r="X21" s="3"/>
      <c r="Y21" s="5"/>
      <c r="AA21" s="3"/>
      <c r="AB21" s="3"/>
      <c r="AC21" s="5"/>
      <c r="AE21" s="3"/>
      <c r="AF21" s="3"/>
      <c r="AG21" s="5"/>
    </row>
    <row r="22" spans="1:34" ht="45" x14ac:dyDescent="0.25">
      <c r="A22" t="s">
        <v>89</v>
      </c>
      <c r="B22" t="s">
        <v>32</v>
      </c>
      <c r="C22" t="s">
        <v>90</v>
      </c>
      <c r="D22" s="4" t="s">
        <v>91</v>
      </c>
      <c r="E22">
        <v>14</v>
      </c>
      <c r="F22" t="s">
        <v>30</v>
      </c>
      <c r="G22" s="3"/>
      <c r="H22" s="3"/>
      <c r="I22" s="5"/>
      <c r="K22" s="3"/>
      <c r="L22" s="3"/>
      <c r="M22" s="5"/>
      <c r="O22" s="3">
        <v>10700</v>
      </c>
      <c r="P22" s="3">
        <v>14</v>
      </c>
      <c r="Q22" s="5">
        <v>149800</v>
      </c>
      <c r="R22" s="4" t="s">
        <v>94</v>
      </c>
      <c r="S22" s="3"/>
      <c r="T22" s="3"/>
      <c r="U22" s="5"/>
      <c r="W22" s="3"/>
      <c r="X22" s="3"/>
      <c r="Y22" s="5"/>
      <c r="AA22" s="3"/>
      <c r="AB22" s="3"/>
      <c r="AC22" s="5"/>
      <c r="AE22" s="3"/>
      <c r="AF22" s="3"/>
      <c r="AG22" s="5"/>
    </row>
    <row r="23" spans="1:34" ht="180" x14ac:dyDescent="0.25">
      <c r="A23" t="s">
        <v>95</v>
      </c>
      <c r="B23" t="s">
        <v>27</v>
      </c>
      <c r="C23" t="s">
        <v>96</v>
      </c>
      <c r="D23" s="4" t="s">
        <v>97</v>
      </c>
      <c r="E23">
        <v>25</v>
      </c>
      <c r="F23" t="s">
        <v>30</v>
      </c>
      <c r="G23" s="3">
        <v>4099</v>
      </c>
      <c r="H23" s="3">
        <v>25</v>
      </c>
      <c r="I23" s="5">
        <v>102475</v>
      </c>
      <c r="J23" s="4" t="s">
        <v>98</v>
      </c>
      <c r="K23" s="3"/>
      <c r="L23" s="3"/>
      <c r="M23" s="5"/>
      <c r="O23" s="3">
        <v>2800</v>
      </c>
      <c r="P23" s="3">
        <v>25</v>
      </c>
      <c r="Q23" s="5">
        <v>70000</v>
      </c>
      <c r="R23" s="4" t="s">
        <v>99</v>
      </c>
      <c r="S23" s="3">
        <v>3351.59</v>
      </c>
      <c r="T23" s="3">
        <v>25</v>
      </c>
      <c r="U23" s="5">
        <v>83789.75</v>
      </c>
      <c r="V23" t="s">
        <v>100</v>
      </c>
      <c r="W23" s="3"/>
      <c r="X23" s="3"/>
      <c r="Y23" s="5"/>
      <c r="AA23" s="3">
        <v>7017</v>
      </c>
      <c r="AB23" s="3">
        <v>25</v>
      </c>
      <c r="AC23" s="5">
        <v>175425</v>
      </c>
      <c r="AD23" s="4" t="s">
        <v>101</v>
      </c>
      <c r="AE23" s="3"/>
      <c r="AF23" s="3"/>
      <c r="AG23" s="5"/>
    </row>
    <row r="24" spans="1:34" ht="60" x14ac:dyDescent="0.25">
      <c r="A24" t="s">
        <v>102</v>
      </c>
      <c r="B24" t="s">
        <v>27</v>
      </c>
      <c r="C24" t="s">
        <v>103</v>
      </c>
      <c r="D24" s="4" t="s">
        <v>104</v>
      </c>
      <c r="E24">
        <v>7</v>
      </c>
      <c r="F24" t="s">
        <v>30</v>
      </c>
      <c r="G24" s="3">
        <v>28205</v>
      </c>
      <c r="H24" s="3">
        <v>7</v>
      </c>
      <c r="I24" s="5">
        <v>197435</v>
      </c>
      <c r="J24" t="s">
        <v>105</v>
      </c>
      <c r="K24" s="3"/>
      <c r="L24" s="3"/>
      <c r="M24" s="5"/>
      <c r="O24" s="3">
        <v>19800</v>
      </c>
      <c r="P24" s="3">
        <v>7</v>
      </c>
      <c r="Q24" s="5">
        <v>138600</v>
      </c>
      <c r="R24" s="4" t="s">
        <v>106</v>
      </c>
      <c r="S24" s="3"/>
      <c r="T24" s="3"/>
      <c r="U24" s="5"/>
      <c r="W24" s="3"/>
      <c r="X24" s="3"/>
      <c r="Y24" s="5"/>
      <c r="AA24" s="3">
        <v>24838</v>
      </c>
      <c r="AB24" s="3">
        <v>7</v>
      </c>
      <c r="AC24" s="5">
        <v>173866</v>
      </c>
      <c r="AD24" t="s">
        <v>107</v>
      </c>
      <c r="AE24" s="3"/>
      <c r="AF24" s="3"/>
      <c r="AG24" s="5"/>
    </row>
    <row r="25" spans="1:34" ht="60" x14ac:dyDescent="0.25">
      <c r="A25" t="s">
        <v>108</v>
      </c>
      <c r="B25" t="s">
        <v>27</v>
      </c>
      <c r="C25" t="s">
        <v>109</v>
      </c>
      <c r="D25" t="s">
        <v>110</v>
      </c>
      <c r="E25">
        <v>200</v>
      </c>
      <c r="F25" t="s">
        <v>30</v>
      </c>
      <c r="G25" s="3">
        <v>15077</v>
      </c>
      <c r="H25" s="3">
        <v>200</v>
      </c>
      <c r="I25" s="5">
        <v>3015400</v>
      </c>
      <c r="J25" s="4" t="s">
        <v>111</v>
      </c>
      <c r="K25" s="3"/>
      <c r="L25" s="3"/>
      <c r="M25" s="5"/>
      <c r="O25" s="3">
        <v>19800</v>
      </c>
      <c r="P25" s="3">
        <v>200</v>
      </c>
      <c r="Q25" s="5">
        <v>3960000</v>
      </c>
      <c r="R25" s="4" t="s">
        <v>112</v>
      </c>
      <c r="S25" s="3"/>
      <c r="T25" s="3"/>
      <c r="U25" s="5"/>
      <c r="W25" s="3">
        <v>41000</v>
      </c>
      <c r="X25" s="3">
        <v>200</v>
      </c>
      <c r="Y25" s="5">
        <v>8200000</v>
      </c>
      <c r="Z25" s="4" t="s">
        <v>113</v>
      </c>
      <c r="AA25" s="3"/>
      <c r="AB25" s="3"/>
      <c r="AC25" s="5"/>
      <c r="AE25" s="3"/>
      <c r="AF25" s="3"/>
      <c r="AG25" s="5"/>
    </row>
    <row r="26" spans="1:34" ht="90" x14ac:dyDescent="0.25">
      <c r="A26" t="s">
        <v>114</v>
      </c>
      <c r="B26" t="s">
        <v>27</v>
      </c>
      <c r="C26" t="s">
        <v>115</v>
      </c>
      <c r="D26" s="4" t="s">
        <v>116</v>
      </c>
      <c r="E26">
        <v>70</v>
      </c>
      <c r="F26" t="s">
        <v>30</v>
      </c>
      <c r="G26" s="3">
        <v>2058</v>
      </c>
      <c r="H26" s="3">
        <v>70</v>
      </c>
      <c r="I26" s="5">
        <v>144060</v>
      </c>
      <c r="J26" t="s">
        <v>117</v>
      </c>
      <c r="K26" s="3">
        <v>1785</v>
      </c>
      <c r="L26" s="3">
        <v>70</v>
      </c>
      <c r="M26" s="5">
        <v>124950</v>
      </c>
      <c r="N26" t="s">
        <v>118</v>
      </c>
      <c r="O26" s="3">
        <v>5530</v>
      </c>
      <c r="P26" s="3">
        <v>70</v>
      </c>
      <c r="Q26" s="5">
        <v>387100</v>
      </c>
      <c r="R26" s="4" t="s">
        <v>119</v>
      </c>
      <c r="S26" s="3">
        <v>2023.41</v>
      </c>
      <c r="T26" s="3">
        <v>70</v>
      </c>
      <c r="U26" s="5">
        <v>141638.70000000001</v>
      </c>
      <c r="V26" t="s">
        <v>120</v>
      </c>
      <c r="W26" s="3"/>
      <c r="X26" s="3"/>
      <c r="Y26" s="5"/>
      <c r="AA26" s="3">
        <v>3287</v>
      </c>
      <c r="AB26" s="3">
        <v>70</v>
      </c>
      <c r="AC26" s="5">
        <v>230090</v>
      </c>
      <c r="AD26" s="4" t="s">
        <v>121</v>
      </c>
      <c r="AE26" s="3">
        <v>7122</v>
      </c>
      <c r="AF26" s="3">
        <v>70</v>
      </c>
      <c r="AG26" s="5">
        <v>498540</v>
      </c>
      <c r="AH26" s="4" t="s">
        <v>122</v>
      </c>
    </row>
    <row r="27" spans="1:34" ht="60" x14ac:dyDescent="0.25">
      <c r="A27" t="s">
        <v>123</v>
      </c>
      <c r="B27" t="s">
        <v>27</v>
      </c>
      <c r="C27" t="s">
        <v>115</v>
      </c>
      <c r="D27" s="4" t="s">
        <v>116</v>
      </c>
      <c r="E27">
        <v>70</v>
      </c>
      <c r="F27" t="s">
        <v>30</v>
      </c>
      <c r="G27" s="3">
        <v>2886</v>
      </c>
      <c r="H27" s="3">
        <v>70</v>
      </c>
      <c r="I27" s="5">
        <v>202020</v>
      </c>
      <c r="J27" s="4" t="s">
        <v>124</v>
      </c>
      <c r="K27" s="3">
        <v>2230</v>
      </c>
      <c r="L27" s="3">
        <v>70</v>
      </c>
      <c r="M27" s="5">
        <v>156100</v>
      </c>
      <c r="N27" s="4" t="s">
        <v>125</v>
      </c>
      <c r="O27" s="3">
        <v>5280</v>
      </c>
      <c r="P27" s="3">
        <v>70</v>
      </c>
      <c r="Q27" s="5">
        <v>369600</v>
      </c>
      <c r="R27" s="4" t="s">
        <v>126</v>
      </c>
      <c r="S27" s="3"/>
      <c r="T27" s="3"/>
      <c r="U27" s="5"/>
      <c r="W27" s="3"/>
      <c r="X27" s="3"/>
      <c r="Y27" s="5"/>
      <c r="AA27" s="3"/>
      <c r="AB27" s="3"/>
      <c r="AC27" s="5"/>
      <c r="AE27" s="3"/>
      <c r="AF27" s="3"/>
      <c r="AG27" s="5"/>
    </row>
    <row r="28" spans="1:34" ht="60" x14ac:dyDescent="0.25">
      <c r="A28" t="s">
        <v>127</v>
      </c>
      <c r="B28" t="s">
        <v>27</v>
      </c>
      <c r="C28" t="s">
        <v>115</v>
      </c>
      <c r="D28" s="4" t="s">
        <v>116</v>
      </c>
      <c r="E28">
        <v>70</v>
      </c>
      <c r="F28" t="s">
        <v>30</v>
      </c>
      <c r="G28" s="3">
        <v>2886</v>
      </c>
      <c r="H28" s="3">
        <v>70</v>
      </c>
      <c r="I28" s="5">
        <v>202020</v>
      </c>
      <c r="J28" t="s">
        <v>128</v>
      </c>
      <c r="K28" s="3"/>
      <c r="L28" s="3"/>
      <c r="M28" s="5"/>
      <c r="O28" s="3">
        <v>6600</v>
      </c>
      <c r="P28" s="3">
        <v>70</v>
      </c>
      <c r="Q28" s="5">
        <v>462000</v>
      </c>
      <c r="R28" s="4" t="s">
        <v>129</v>
      </c>
      <c r="S28" s="3"/>
      <c r="T28" s="3"/>
      <c r="U28" s="5"/>
      <c r="W28" s="3"/>
      <c r="X28" s="3"/>
      <c r="Y28" s="5"/>
      <c r="AA28" s="3"/>
      <c r="AB28" s="3"/>
      <c r="AC28" s="5"/>
      <c r="AE28" s="3"/>
      <c r="AF28" s="3"/>
      <c r="AG28" s="5"/>
    </row>
    <row r="29" spans="1:34" ht="60" x14ac:dyDescent="0.25">
      <c r="A29" t="s">
        <v>130</v>
      </c>
      <c r="B29" t="s">
        <v>27</v>
      </c>
      <c r="C29" t="s">
        <v>131</v>
      </c>
      <c r="D29" s="4" t="s">
        <v>132</v>
      </c>
      <c r="E29">
        <v>70</v>
      </c>
      <c r="F29" t="s">
        <v>30</v>
      </c>
      <c r="G29" s="3">
        <v>751</v>
      </c>
      <c r="H29" s="3">
        <v>70</v>
      </c>
      <c r="I29" s="5">
        <v>52570</v>
      </c>
      <c r="J29" t="s">
        <v>133</v>
      </c>
      <c r="K29" s="3">
        <v>605</v>
      </c>
      <c r="L29" s="3">
        <v>70</v>
      </c>
      <c r="M29" s="5">
        <v>42350</v>
      </c>
      <c r="N29" t="s">
        <v>134</v>
      </c>
      <c r="O29" s="3">
        <v>1120</v>
      </c>
      <c r="P29" s="3">
        <v>70</v>
      </c>
      <c r="Q29" s="5">
        <v>78400</v>
      </c>
      <c r="R29" s="4" t="s">
        <v>135</v>
      </c>
      <c r="S29" s="3">
        <v>564.97</v>
      </c>
      <c r="T29" s="3">
        <v>70</v>
      </c>
      <c r="U29" s="5">
        <v>39547.9</v>
      </c>
      <c r="V29" t="s">
        <v>136</v>
      </c>
      <c r="W29" s="3"/>
      <c r="X29" s="3"/>
      <c r="Y29" s="5"/>
      <c r="AA29" s="3">
        <v>610</v>
      </c>
      <c r="AB29" s="3">
        <v>70</v>
      </c>
      <c r="AC29" s="5">
        <v>42700</v>
      </c>
      <c r="AD29" s="4" t="s">
        <v>137</v>
      </c>
      <c r="AE29" s="3"/>
      <c r="AF29" s="3"/>
      <c r="AG29" s="5"/>
    </row>
    <row r="30" spans="1:34" ht="60" x14ac:dyDescent="0.25">
      <c r="A30" t="s">
        <v>138</v>
      </c>
      <c r="B30" t="s">
        <v>27</v>
      </c>
      <c r="C30" t="s">
        <v>139</v>
      </c>
      <c r="D30" t="s">
        <v>140</v>
      </c>
      <c r="E30">
        <v>70</v>
      </c>
      <c r="F30" t="s">
        <v>30</v>
      </c>
      <c r="G30" s="3">
        <v>110995</v>
      </c>
      <c r="H30" s="3">
        <v>70</v>
      </c>
      <c r="I30" s="5">
        <v>7769650</v>
      </c>
      <c r="J30" s="4" t="s">
        <v>141</v>
      </c>
      <c r="K30" s="3"/>
      <c r="L30" s="3"/>
      <c r="M30" s="5"/>
      <c r="O30" s="3"/>
      <c r="P30" s="3"/>
      <c r="Q30" s="5"/>
      <c r="S30" s="3"/>
      <c r="T30" s="3"/>
      <c r="U30" s="5"/>
      <c r="W30" s="3">
        <v>127000</v>
      </c>
      <c r="X30" s="3">
        <v>70</v>
      </c>
      <c r="Y30" s="5">
        <v>8890000</v>
      </c>
      <c r="Z30" s="4" t="s">
        <v>142</v>
      </c>
      <c r="AA30" s="3"/>
      <c r="AB30" s="3"/>
      <c r="AC30" s="5"/>
      <c r="AE30" s="3"/>
      <c r="AF30" s="3"/>
      <c r="AG30" s="5"/>
    </row>
    <row r="31" spans="1:34" ht="60" x14ac:dyDescent="0.25">
      <c r="A31" t="s">
        <v>138</v>
      </c>
      <c r="B31" t="s">
        <v>32</v>
      </c>
      <c r="C31" t="s">
        <v>139</v>
      </c>
      <c r="D31" t="s">
        <v>140</v>
      </c>
      <c r="E31">
        <v>70</v>
      </c>
      <c r="F31" t="s">
        <v>30</v>
      </c>
      <c r="G31" s="3">
        <v>124364</v>
      </c>
      <c r="H31" s="3">
        <v>70</v>
      </c>
      <c r="I31" s="5">
        <v>8705480</v>
      </c>
      <c r="J31" s="4" t="s">
        <v>143</v>
      </c>
      <c r="K31" s="3"/>
      <c r="L31" s="3"/>
      <c r="M31" s="5"/>
      <c r="O31" s="3"/>
      <c r="P31" s="3"/>
      <c r="Q31" s="5"/>
      <c r="S31" s="3"/>
      <c r="T31" s="3"/>
      <c r="U31" s="5"/>
      <c r="W31" s="3"/>
      <c r="X31" s="3"/>
      <c r="Y31" s="5"/>
      <c r="AA31" s="3"/>
      <c r="AB31" s="3"/>
      <c r="AC31" s="5"/>
      <c r="AE31" s="3"/>
      <c r="AF31" s="3"/>
      <c r="AG31" s="5"/>
    </row>
    <row r="32" spans="1:34" x14ac:dyDescent="0.25">
      <c r="C32" t="s">
        <v>144</v>
      </c>
      <c r="G32" s="3"/>
      <c r="H32" s="3"/>
      <c r="I32" s="5">
        <f>SUBTOTAL(109,Table2[Total por renglón])</f>
        <v>29997248</v>
      </c>
      <c r="J32" s="4"/>
      <c r="K32" s="3"/>
      <c r="L32" s="3"/>
      <c r="M32" s="5">
        <f>SUBTOTAL(109,Table3[Total por renglón])</f>
        <v>602580</v>
      </c>
      <c r="O32" s="3"/>
      <c r="P32" s="3"/>
      <c r="Q32" s="5">
        <f>SUBTOTAL(109,Table4[Total por renglón])</f>
        <v>10504510</v>
      </c>
      <c r="S32" s="3"/>
      <c r="T32" s="3"/>
      <c r="U32" s="5">
        <f>SUBTOTAL(109,Table5[Total por renglón])</f>
        <v>3121971.35</v>
      </c>
      <c r="W32" s="3"/>
      <c r="X32" s="3"/>
      <c r="Y32" s="5">
        <f>SUBTOTAL(109,Table6[Total por renglón])</f>
        <v>20710000</v>
      </c>
      <c r="AA32" s="3"/>
      <c r="AB32" s="3"/>
      <c r="AC32" s="5">
        <f>SUBTOTAL(109,Table7[Total por renglón])</f>
        <v>731561</v>
      </c>
      <c r="AE32" s="3"/>
      <c r="AF32" s="3"/>
      <c r="AG32" s="5">
        <f>SUBTOTAL(109,Table8[Total por renglón])</f>
        <v>498540</v>
      </c>
    </row>
  </sheetData>
  <mergeCells count="8">
    <mergeCell ref="AA8:AD8"/>
    <mergeCell ref="AE8:AH8"/>
    <mergeCell ref="A8:F8"/>
    <mergeCell ref="G8:J8"/>
    <mergeCell ref="K8:N8"/>
    <mergeCell ref="O8:R8"/>
    <mergeCell ref="S8:V8"/>
    <mergeCell ref="W8:Z8"/>
  </mergeCells>
  <pageMargins left="0.75" right="0.75" top="0.75" bottom="0.5" header="0.5" footer="0.75"/>
  <tableParts count="8">
    <tablePart r:id="rId1"/>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2022-07-06T13:31:44Z</dcterms:created>
  <dcterms:modified xsi:type="dcterms:W3CDTF">2022-07-06T13:32:19Z</dcterms:modified>
</cp:coreProperties>
</file>