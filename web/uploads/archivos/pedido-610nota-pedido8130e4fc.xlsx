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8_{F07A7980-81C4-4D61-9608-BC6EEDB44AE0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SAF 011" sheetId="1" r:id="rId1"/>
    <sheet name="ANEXO DOM VEHICULOS" sheetId="22" r:id="rId2"/>
    <sheet name="NP S.A." sheetId="2" r:id="rId3"/>
    <sheet name="APG S.A." sheetId="3" r:id="rId4"/>
    <sheet name="NP APS" sheetId="4" r:id="rId5"/>
    <sheet name="APG APS" sheetId="5" r:id="rId6"/>
    <sheet name="NP SAME" sheetId="6" r:id="rId7"/>
    <sheet name="APG SAME" sheetId="7" r:id="rId8"/>
    <sheet name="NP SASP" sheetId="8" r:id="rId9"/>
    <sheet name="APG SASP" sheetId="9" r:id="rId10"/>
    <sheet name="NP SyMA" sheetId="10" r:id="rId11"/>
    <sheet name="APG SyMA" sheetId="11" r:id="rId12"/>
    <sheet name="NP CVZ" sheetId="12" r:id="rId13"/>
    <sheet name="APG CVZ" sheetId="13" r:id="rId14"/>
    <sheet name="NP DISCAP" sheetId="14" r:id="rId15"/>
    <sheet name="APG DISCAP" sheetId="15" r:id="rId16"/>
    <sheet name="NP ASIST. SAN." sheetId="16" r:id="rId17"/>
    <sheet name="APG ASIST. SAN." sheetId="17" r:id="rId18"/>
    <sheet name="NP MS" sheetId="18" r:id="rId19"/>
    <sheet name="APG MS" sheetId="19" r:id="rId20"/>
    <sheet name="NP INTERR. MUN." sheetId="20" r:id="rId21"/>
    <sheet name="APG INTERR. MUN." sheetId="21" r:id="rId22"/>
  </sheets>
  <definedNames>
    <definedName name="_xlnm._FilterDatabase" localSheetId="0" hidden="1">'SAF 011'!$B$9:$BD$10</definedName>
  </definedNames>
  <calcPr calcId="181029"/>
</workbook>
</file>

<file path=xl/calcChain.xml><?xml version="1.0" encoding="utf-8"?>
<calcChain xmlns="http://schemas.openxmlformats.org/spreadsheetml/2006/main">
  <c r="K12" i="20" l="1"/>
  <c r="K12" i="18"/>
  <c r="K12" i="16"/>
  <c r="K12" i="14"/>
  <c r="K12" i="12"/>
  <c r="K12" i="10"/>
  <c r="K12" i="8"/>
  <c r="K12" i="6"/>
  <c r="K12" i="4"/>
  <c r="A41" i="21"/>
  <c r="G7" i="21"/>
  <c r="G6" i="21"/>
  <c r="J12" i="20"/>
  <c r="I12" i="20"/>
  <c r="C12" i="20"/>
  <c r="B12" i="20"/>
  <c r="D4" i="20"/>
  <c r="G5" i="21" s="1"/>
  <c r="D3" i="20"/>
  <c r="G4" i="21" s="1"/>
  <c r="A41" i="19"/>
  <c r="G7" i="19"/>
  <c r="G6" i="19"/>
  <c r="J12" i="18"/>
  <c r="I12" i="18"/>
  <c r="C12" i="18"/>
  <c r="B12" i="18"/>
  <c r="D4" i="18"/>
  <c r="G5" i="19" s="1"/>
  <c r="D3" i="18"/>
  <c r="G4" i="19" s="1"/>
  <c r="A41" i="17"/>
  <c r="G7" i="17"/>
  <c r="G6" i="17"/>
  <c r="J12" i="16"/>
  <c r="I12" i="16"/>
  <c r="C12" i="16"/>
  <c r="B12" i="16"/>
  <c r="D4" i="16"/>
  <c r="G5" i="17" s="1"/>
  <c r="D3" i="16"/>
  <c r="G4" i="17" s="1"/>
  <c r="A41" i="15"/>
  <c r="G7" i="15"/>
  <c r="G6" i="15"/>
  <c r="J12" i="14"/>
  <c r="I12" i="14"/>
  <c r="C12" i="14"/>
  <c r="B12" i="14"/>
  <c r="D4" i="14"/>
  <c r="G5" i="15" s="1"/>
  <c r="D3" i="14"/>
  <c r="G4" i="15" s="1"/>
  <c r="A41" i="13"/>
  <c r="G7" i="13"/>
  <c r="G6" i="13"/>
  <c r="J12" i="12"/>
  <c r="I12" i="12"/>
  <c r="C12" i="12"/>
  <c r="B12" i="12"/>
  <c r="D4" i="12"/>
  <c r="G5" i="13" s="1"/>
  <c r="D3" i="12"/>
  <c r="G4" i="13" s="1"/>
  <c r="A41" i="11"/>
  <c r="G7" i="11"/>
  <c r="G6" i="11"/>
  <c r="J12" i="10"/>
  <c r="I12" i="10"/>
  <c r="C12" i="10"/>
  <c r="B12" i="10"/>
  <c r="D4" i="10"/>
  <c r="G5" i="11" s="1"/>
  <c r="D3" i="10"/>
  <c r="G4" i="11" s="1"/>
  <c r="A41" i="9"/>
  <c r="G7" i="9"/>
  <c r="G6" i="9"/>
  <c r="J12" i="8"/>
  <c r="I12" i="8"/>
  <c r="C12" i="8"/>
  <c r="B12" i="8"/>
  <c r="D4" i="8"/>
  <c r="G5" i="9" s="1"/>
  <c r="D3" i="8"/>
  <c r="G4" i="9" s="1"/>
  <c r="A41" i="7"/>
  <c r="G7" i="7"/>
  <c r="G6" i="7"/>
  <c r="J12" i="6"/>
  <c r="I12" i="6"/>
  <c r="C12" i="6"/>
  <c r="B12" i="6"/>
  <c r="D4" i="6"/>
  <c r="G5" i="7" s="1"/>
  <c r="D3" i="6"/>
  <c r="G4" i="7" s="1"/>
  <c r="A41" i="5"/>
  <c r="G7" i="5"/>
  <c r="G6" i="5"/>
  <c r="J12" i="4"/>
  <c r="I12" i="4"/>
  <c r="C12" i="4"/>
  <c r="B12" i="4"/>
  <c r="D4" i="4"/>
  <c r="G5" i="5" s="1"/>
  <c r="D3" i="4"/>
  <c r="G4" i="5" s="1"/>
  <c r="A41" i="3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 s="1"/>
  <c r="J14" i="18"/>
  <c r="Q15" i="19" s="1"/>
  <c r="Q38" i="19" s="1"/>
  <c r="J14" i="16"/>
  <c r="Q15" i="17" s="1"/>
  <c r="Q38" i="17" s="1"/>
  <c r="J14" i="8"/>
  <c r="Q15" i="9" s="1"/>
  <c r="Q38" i="9" s="1"/>
  <c r="J14" i="4"/>
  <c r="Q15" i="5" s="1"/>
  <c r="Q38" i="5" s="1"/>
  <c r="J14" i="12"/>
  <c r="Q15" i="13" s="1"/>
  <c r="Q38" i="13" s="1"/>
  <c r="J14" i="20"/>
  <c r="Q15" i="21" s="1"/>
  <c r="Q38" i="21" s="1"/>
  <c r="J14" i="6"/>
  <c r="Q15" i="7" s="1"/>
  <c r="Q38" i="7" s="1"/>
  <c r="J14" i="10"/>
  <c r="Q15" i="11" s="1"/>
  <c r="Q38" i="11" s="1"/>
  <c r="J14" i="14"/>
  <c r="Q15" i="15" s="1"/>
  <c r="Q38" i="15" s="1"/>
  <c r="AE10" i="1"/>
  <c r="Y10" i="1"/>
  <c r="BB10" i="1" l="1"/>
  <c r="AS10" i="1" l="1"/>
  <c r="AY10" i="1" l="1"/>
  <c r="BA10" i="1" l="1"/>
  <c r="AG10" i="1" l="1"/>
  <c r="Q10" i="1"/>
  <c r="AI10" i="1" l="1"/>
  <c r="AK10" i="1"/>
  <c r="AW10" i="1"/>
  <c r="I10" i="1" l="1"/>
  <c r="Q11" i="1" l="1"/>
  <c r="BD10" i="1"/>
  <c r="BD11" i="1" s="1"/>
</calcChain>
</file>

<file path=xl/sharedStrings.xml><?xml version="1.0" encoding="utf-8"?>
<sst xmlns="http://schemas.openxmlformats.org/spreadsheetml/2006/main" count="1437" uniqueCount="765">
  <si>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</si>
  <si>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</si>
  <si>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</si>
  <si>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</si>
  <si>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</si>
  <si>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</si>
  <si>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</si>
  <si>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</si>
  <si>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</si>
  <si>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</si>
  <si>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</si>
  <si>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</si>
  <si>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</si>
  <si>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</si>
  <si>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</si>
  <si>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</si>
  <si>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</si>
  <si>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</si>
  <si>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</si>
  <si>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</si>
  <si>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</si>
  <si>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</si>
  <si>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</si>
  <si>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</si>
  <si>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</si>
  <si>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</si>
  <si>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</si>
  <si>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</si>
  <si>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</si>
  <si>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</si>
  <si>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</si>
  <si>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</si>
  <si>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</si>
  <si>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</si>
  <si>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</si>
  <si>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</si>
  <si>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</si>
  <si>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</si>
  <si>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</si>
  <si>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</si>
  <si>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</si>
  <si>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</si>
  <si>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</si>
  <si>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</si>
  <si>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</si>
  <si>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</si>
  <si>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</si>
  <si>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COMBUSTIBLES Y LUBRICANTES</t>
  </si>
  <si>
    <t>2.5.6</t>
  </si>
  <si>
    <t>LITROS</t>
  </si>
  <si>
    <t>TOTAL RUBRO COMBUSTIBLES</t>
  </si>
  <si>
    <t>TOTAL SAME</t>
  </si>
  <si>
    <t>EPIDEMIOLOGIA</t>
  </si>
  <si>
    <t>TOTAL EPIDEMIOLOGIA</t>
  </si>
  <si>
    <t>Se Entregarán Fraccionado bajo la forma de vales de 30 Lts. cada uno y cuando la cantidad adjudicada no permita la confección de dicho vale, para completar se emitirá uno por una cantidad menor hasta completar la cantidad solicitada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</si>
  <si>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</si>
  <si>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</si>
  <si>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</si>
  <si>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</si>
  <si>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</si>
  <si>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</si>
  <si>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</si>
  <si>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</si>
  <si>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UAI</t>
  </si>
  <si>
    <t>TOTAL UAI</t>
  </si>
  <si>
    <t>TOTAL SIRM</t>
  </si>
  <si>
    <t>SIRM</t>
  </si>
  <si>
    <t>CUARTO</t>
  </si>
  <si>
    <t>ITEM 1</t>
  </si>
  <si>
    <t>DETALLE TECNICO Y ESPECIFICACIONES</t>
  </si>
  <si>
    <t xml:space="preserve">SE ADJUNTA ANEXO CON LOS DOMINIOS Y MATRICULA DE LOS VEHICULOS PARA LOS QUE SE SOLICITA EL COMBUSTIBLE </t>
  </si>
  <si>
    <t>Plazos de entrega</t>
  </si>
  <si>
    <t>cinco (5) dias habiles</t>
  </si>
  <si>
    <t>Lugar de Entrega:</t>
  </si>
  <si>
    <t>SECRETARIA DE ADMINISTRACION - MS - CHACABUCO N° 169 - en el horario de 8:00hs a 12:00hs de lunes a viernes</t>
  </si>
  <si>
    <t>Calidad Minima esperada</t>
  </si>
  <si>
    <t>Mantenimiento</t>
  </si>
  <si>
    <t>cuarenta y cinco (45) días</t>
  </si>
  <si>
    <t>S.A.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</si>
  <si>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</si>
  <si>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</si>
  <si>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</si>
  <si>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</si>
  <si>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</si>
  <si>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</si>
  <si>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</si>
  <si>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</si>
  <si>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</si>
  <si>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</si>
  <si>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</si>
  <si>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</si>
  <si>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</si>
  <si>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</si>
  <si>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</si>
  <si>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</si>
  <si>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</si>
  <si>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</si>
  <si>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</si>
  <si>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</si>
  <si>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</si>
  <si>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</si>
  <si>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</si>
  <si>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</si>
  <si>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</si>
  <si>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</si>
  <si>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</si>
  <si>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</si>
  <si>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</si>
  <si>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</si>
  <si>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</si>
  <si>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</si>
  <si>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</si>
  <si>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</si>
  <si>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</si>
  <si>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</si>
  <si>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</si>
  <si>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</si>
  <si>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</si>
  <si>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Autorizo la realización de los  trámites correspondientes, a fin de proveer a  este Organismo los bienes/servicios que se detallan en Nota  de Pedido N° XX/2022 afectando la erogación resultante a los créditos presupuestarios aprobados a favor de esta Unidad Ejecutora, conforme al siguiente detalle:</t>
  </si>
  <si>
    <t>082 - DIR. PROV. DE ADMINISTRACION DEL MINISTERIO DE SALUD</t>
  </si>
  <si>
    <t>3 MESES</t>
  </si>
  <si>
    <t>ADQUISICION DEL RUBRO COMBUSTIBLE (GAS OIL)</t>
  </si>
  <si>
    <t>XX/2022</t>
  </si>
  <si>
    <t>Costo total estimado: PESOS CIENTO SESENTA Y SEIS MIL CUARENTA CON 00/100.-</t>
  </si>
  <si>
    <t>TOTAL DE PESOS: CIENTO SESENTA Y SEIS MIL CUARENTA CON 00/100.-</t>
  </si>
  <si>
    <t>2.5.6-793.29</t>
  </si>
  <si>
    <t>GAS OIL; PRESENTACION: POR LITRO, USO: MOTORES DIESEL, COMERCIALIZACION: GRADO 3</t>
  </si>
  <si>
    <t xml:space="preserve">*Se Entregarán Fraccionado bajo la forma de vales de 30 Lts. cada uno y cuando la cantidad adjudicada no permita la confección de dicho vale, para completar se emitirá uno por una cantidad menor hasta completar la cantidad solicitada.                                                                  </t>
  </si>
  <si>
    <t>750 - DIRECCION PROVINCIAL PRIMER NIVEL DE ATENCION PRIMARIA DE LA SALUD</t>
  </si>
  <si>
    <t>Costo total estimado: PESOS CINCUENTA Y NUEVE MIL TRESCIENTOS CON 00/100.-</t>
  </si>
  <si>
    <t>TOTAL DE PESOS: CINCUENTA Y NUEVE MIL TRESCIENTOS CON 00/100.-</t>
  </si>
  <si>
    <t>748 - DIR. PROV. SISTEMA DE ATENCION MEDICA DE EMERGENCIA</t>
  </si>
  <si>
    <t>Costo total estimado: PESOS CUATRO MILLONES NOVECIENTOS OCHENTA Y UN MIL DOSCIENTOS CON 00/100.-</t>
  </si>
  <si>
    <t>TOTAL DE PESOS: CUATRO MILLONES NOVECIENTOS OCHENTA Y UN MIL DOSCIENTOS CON 00/100.-</t>
  </si>
  <si>
    <t>743 - SECRETARIA DE ASISTENCIA EN SALUD PUBLICA</t>
  </si>
  <si>
    <t>Costo total estimado: PESOS TRES MILLONES SETECIENTOS NOVENTA Y CINCO MIL DOSCIENTOS CON 00/100.-</t>
  </si>
  <si>
    <t>TOTAL DE PESOS: TRES MILLONES SETECIENTOS NOVENTA Y CINCO MIL DOSCIENTOS CON 00/100.-</t>
  </si>
  <si>
    <t>488 - DIRECCION PROVINCIAL DE SALUD Y MEDIO AMBIENTE</t>
  </si>
  <si>
    <t>Costo total estimado: PESOS TRESCIENTOS CINCUENTA Y CINCO MIL OCHOCIENTOS CON 00/100.-</t>
  </si>
  <si>
    <t>TOTAL DE PESOS: TRESCIENTOS CINCUENTA Y CINCO MIL OCHOCIENTOS CON 00/100.-</t>
  </si>
  <si>
    <t>746 - DIRECCION DE CONTROL DE VECTORES Y ZOONOSIS</t>
  </si>
  <si>
    <t>093 - DIR. PROV. DE ATENCION INTEGRAL A PERSONAS CON DISCAPACIDAD</t>
  </si>
  <si>
    <t>Costo total estimado: PESOS CIENTO TREINTA MIL CUATROCIENTOS SESENTA CON 00/100.-</t>
  </si>
  <si>
    <t>TOTAL DE PESOS: CIENTO TREINTA MIL CUATROCIENTOS SESENTA CON 00/100.-</t>
  </si>
  <si>
    <t>476 - DIRECCION PROVINCIAL DE ASISTENCIA SANITARIA NIVEL I Y II</t>
  </si>
  <si>
    <t>Costo total estimado: PESOS SIETE MILLONES CUATROCIENTOS SETENTA Y UN MIL OCHOCIENTOS CON 00/100.-</t>
  </si>
  <si>
    <t>TOTAL DE PESOS: SIETE MILLONES CUATROCIENTOS SETENTA Y UN MIL OCHOCIENTOS CON 00/100.-</t>
  </si>
  <si>
    <t>352 - MINISTERIO DE SALUD</t>
  </si>
  <si>
    <t>Costo total estimado: PESOS CUATROCIENTOS TRES MIL DOSCIENTOS CUARENTA CON 00/100.-</t>
  </si>
  <si>
    <t>TOTAL DE PESOS: CUATROCIENTOS TRES MIL DOSCIENTOS CUARENTA CON 00/100.-</t>
  </si>
  <si>
    <t>379 - SECRETARIA DE INTERRELACION MUNICIPAL</t>
  </si>
  <si>
    <t>Costo total estimado: PESOS DOS MILLONES SEISCIENTOS NUEVE MIL DOSCIENTOS CON 00/100.-</t>
  </si>
  <si>
    <t>TOTAL DE PESOS: DOS MILLONES SETECIENTOS SEISCIENTOS NUEVE MIL DOSCIENTOS CON 00/100.-</t>
  </si>
  <si>
    <t>ANEXO VEHICULOS MINISTERIO DE SALUD</t>
  </si>
  <si>
    <t>Vehiculo</t>
  </si>
  <si>
    <t>Dominio</t>
  </si>
  <si>
    <t>Nº de Motor</t>
  </si>
  <si>
    <t>Nº de Chasis</t>
  </si>
  <si>
    <t>Año</t>
  </si>
  <si>
    <t xml:space="preserve">USO </t>
  </si>
  <si>
    <t>Fiat Ducato Maxi Carga Multijet JTD Furgon. Ambulancia.-</t>
  </si>
  <si>
    <t>NUB-239</t>
  </si>
  <si>
    <t>93W245G74D2109186</t>
  </si>
  <si>
    <t xml:space="preserve">AMBULANCIA </t>
  </si>
  <si>
    <t>NWM-372</t>
  </si>
  <si>
    <t>93W245G74D2109552</t>
  </si>
  <si>
    <t>NYF-582</t>
  </si>
  <si>
    <t>93W245G74E2121568</t>
  </si>
  <si>
    <t>AA-658-GZ</t>
  </si>
  <si>
    <t>93W245G84H2161256</t>
  </si>
  <si>
    <t>Fiat Ducato Maxi Carga Multijet. Ambulancia.-</t>
  </si>
  <si>
    <t>AA-702-NG</t>
  </si>
  <si>
    <t>93W245G82H2160424</t>
  </si>
  <si>
    <t>MPH-712</t>
  </si>
  <si>
    <t>93W245G84D2102211</t>
  </si>
  <si>
    <t>AB-518-CS</t>
  </si>
  <si>
    <t>93W245G84H2165048</t>
  </si>
  <si>
    <t>AB-518-CT</t>
  </si>
  <si>
    <t>93W245G84H2165113</t>
  </si>
  <si>
    <t>Renault Master L2H2 AA. Amubulancia.-</t>
  </si>
  <si>
    <t>AD-993-OD</t>
  </si>
  <si>
    <t>M9TB870C260128</t>
  </si>
  <si>
    <t>93YMAFESCKJ625829</t>
  </si>
  <si>
    <t>AD-993-OC</t>
  </si>
  <si>
    <t>M9TB870C260095</t>
  </si>
  <si>
    <t>93YMAFESCKJ625788</t>
  </si>
  <si>
    <t>Ford Transit 2,2 TDCI. Furgon. Ambulancia.-</t>
  </si>
  <si>
    <t>LYY-038</t>
  </si>
  <si>
    <t>WF0XXPTTFCTC58018</t>
  </si>
  <si>
    <t>CYRCCTC58018</t>
  </si>
  <si>
    <t>Ford Transit 2,2 L 125 T350 TA C/AA. Furgon Larga. Neonatal. Ambuancia.-</t>
  </si>
  <si>
    <t>MNW-260</t>
  </si>
  <si>
    <t>CYRCDTS07184</t>
  </si>
  <si>
    <t>WFOXXPTTFDTS07184</t>
  </si>
  <si>
    <t>Mercedez Benz Sprinter 313, combi 3550 9+1. Combi.-</t>
  </si>
  <si>
    <t>HQV-791</t>
  </si>
  <si>
    <t>8AC9036629E010749</t>
  </si>
  <si>
    <t xml:space="preserve">OFICIAL </t>
  </si>
  <si>
    <t>Frod Ranger XL 3,0 TDI DC 4x4 Plus L. Camioneta.-</t>
  </si>
  <si>
    <t>JRJ-105</t>
  </si>
  <si>
    <t>L1A008818</t>
  </si>
  <si>
    <t>8AFER13P48J398152</t>
  </si>
  <si>
    <t>transp.combustible</t>
  </si>
  <si>
    <t>Mercedez Benz 1114 Camion.-</t>
  </si>
  <si>
    <t>K-0022935</t>
  </si>
  <si>
    <t>Tanqueta Grosspal, chasis EGT2895,.-</t>
  </si>
  <si>
    <t>101-JRJ105</t>
  </si>
  <si>
    <t>Ford Ranger DC 4X4 L 2.2L. Camioneta.-</t>
  </si>
  <si>
    <t>AD-398-KY</t>
  </si>
  <si>
    <t>QJ2RKJ113446</t>
  </si>
  <si>
    <t>8AFAR23KXKJ113446</t>
  </si>
  <si>
    <t>Ford Rnger XL 3,0 TDI D/C 4x4 Plus Camioneta..-</t>
  </si>
  <si>
    <t>FPU-504</t>
  </si>
  <si>
    <t>C34197293</t>
  </si>
  <si>
    <t>8SAFDR13P56J473958</t>
  </si>
  <si>
    <t>Toyota Hilux SW4 4X4 SRX 2,8 TDI 6 M/T 7A. Camioneta.-</t>
  </si>
  <si>
    <t>AD-125-XM</t>
  </si>
  <si>
    <t>1GD-G029980</t>
  </si>
  <si>
    <t>8AJBA3FS8H026028</t>
  </si>
  <si>
    <t>Chevrolet Blazer DLX 2,8 TDI. Camioneta.-</t>
  </si>
  <si>
    <t>GRL-150</t>
  </si>
  <si>
    <t>M1A301900</t>
  </si>
  <si>
    <t>9BG116BJ08C407853</t>
  </si>
  <si>
    <t>Chevrolet Meriva GL 1,7 DTI. Sedan.-</t>
  </si>
  <si>
    <t>EQN-369</t>
  </si>
  <si>
    <t>Y17DT0881965</t>
  </si>
  <si>
    <t>9BGXF75804C217860</t>
  </si>
  <si>
    <t>Iveco Turbo Daily 49,12 Chasis. Furgon.-</t>
  </si>
  <si>
    <t>GEG-132</t>
  </si>
  <si>
    <t>93ZC4980168323467</t>
  </si>
  <si>
    <t>serv.especiales</t>
  </si>
  <si>
    <t>Renault Master 2,3 DC I Furgon.-</t>
  </si>
  <si>
    <t>PIQ-472</t>
  </si>
  <si>
    <t>M9TA876C029626</t>
  </si>
  <si>
    <t>93YMAIECATGJ94529</t>
  </si>
  <si>
    <t>TOYOTA HYLUX 4x4 CABINA DOBLE SR3.0 TDI. Camioneta.-</t>
  </si>
  <si>
    <t xml:space="preserve">OMA-771 </t>
  </si>
  <si>
    <t>1KDA586508</t>
  </si>
  <si>
    <t>8AJFZZ263F5027841</t>
  </si>
  <si>
    <t>Ford Ranger 3,0 TDI SC 4x2 Plus. Camioneta-</t>
  </si>
  <si>
    <t>INA-475</t>
  </si>
  <si>
    <t>D56285125</t>
  </si>
  <si>
    <t>8AFDR12P4AJ285846</t>
  </si>
  <si>
    <t>Chevrolet  S10 2,8 TDI 4x2 D/C  DLX EL. Camioneta.-</t>
  </si>
  <si>
    <t>FSI-818</t>
  </si>
  <si>
    <t>M1T253871</t>
  </si>
  <si>
    <t>9BG138AC06C417378</t>
  </si>
  <si>
    <t>Crysler RAM laramie 1500 pick up 4x4 doble cabina. Camioneta.-</t>
  </si>
  <si>
    <t>AD-189-SN</t>
  </si>
  <si>
    <t>TNXE6209711768</t>
  </si>
  <si>
    <t>3C6RRBET7HG94960</t>
  </si>
  <si>
    <t>Chevrolet  S10 2,8 TDI 4x2 D/C DLX EL. Camioneta.-</t>
  </si>
  <si>
    <t>GAJ-557</t>
  </si>
  <si>
    <t>M1T241375</t>
  </si>
  <si>
    <t>9BG138AC06C426943</t>
  </si>
  <si>
    <t>VW Caddy 1,9 SD. Furgon.-</t>
  </si>
  <si>
    <t>DMQ-710</t>
  </si>
  <si>
    <t>1Y635412</t>
  </si>
  <si>
    <t>8AWZZZ9EZYA520052</t>
  </si>
  <si>
    <t>Ford Rnger XL 3,0 TDI D/C 4x2 Plus. Camioneta.-</t>
  </si>
  <si>
    <t>GVM-697</t>
  </si>
  <si>
    <t>C34243556</t>
  </si>
  <si>
    <t>8AFER13P58J133751</t>
  </si>
  <si>
    <t>Ford Ranger XL T 3,0 TDI D/C 4x4 LIM. Camioneta.-</t>
  </si>
  <si>
    <t>GVU-547</t>
  </si>
  <si>
    <t>C34243362</t>
  </si>
  <si>
    <t>8AFER13P18J133746</t>
  </si>
  <si>
    <t>Ford Ranger XL T 3,0 TDI D/C 4x2 PLUS. Camioneta.-</t>
  </si>
  <si>
    <t>IPE-911</t>
  </si>
  <si>
    <t>D56289530</t>
  </si>
  <si>
    <t>8AFER10P6AJ299531</t>
  </si>
  <si>
    <t>Ford Ranger DC 4x2 XL Plus 3,0 D. Camioneta.-</t>
  </si>
  <si>
    <t>LCA-236</t>
  </si>
  <si>
    <t>L1A029545</t>
  </si>
  <si>
    <t>8AFDR12PXCJ490431</t>
  </si>
  <si>
    <t>Fiat Ducato. Minibus.-</t>
  </si>
  <si>
    <t>AD-266-ZZ</t>
  </si>
  <si>
    <t>93W245G84H2162641</t>
  </si>
  <si>
    <t>Renault trafic. Furgon.-</t>
  </si>
  <si>
    <t>DNR-926</t>
  </si>
  <si>
    <t>FSQJ606C012115</t>
  </si>
  <si>
    <t>8A1T31JZZYL086918</t>
  </si>
  <si>
    <t>Chevrolet S10 2,8 TED 4X2 LS Pick up . Camioneta.-</t>
  </si>
  <si>
    <t>AC-091-RR</t>
  </si>
  <si>
    <t>HRUF171781023</t>
  </si>
  <si>
    <t>9BG148CK0JC414811</t>
  </si>
  <si>
    <t>Ford Rnger XL 3,0 TDI D/C 4x2. Camioneta.-</t>
  </si>
  <si>
    <t>IPE-916</t>
  </si>
  <si>
    <t>D56290126</t>
  </si>
  <si>
    <t>8AFER10P7AJ299795</t>
  </si>
  <si>
    <t>Toyota hylux AK-SW4-4x4 SRX 2,8 TDI. Camioneta.-</t>
  </si>
  <si>
    <t>AD-125-XL</t>
  </si>
  <si>
    <t>1GD-4378200</t>
  </si>
  <si>
    <t>8AJBA3FS8J0250098</t>
  </si>
  <si>
    <t>Renault Kangoo 1,5 FDI PH3 confort.-</t>
  </si>
  <si>
    <t>PIQ-518</t>
  </si>
  <si>
    <t>K9KV714D274629</t>
  </si>
  <si>
    <t>8A1FC1E15GL128692</t>
  </si>
  <si>
    <t>Fiat Ducato Maxicargo minibus.-</t>
  </si>
  <si>
    <t>AD-339-IQ</t>
  </si>
  <si>
    <t>93W245G84H2164918</t>
  </si>
  <si>
    <t>Ford Ranger 2,2 TDI DC 4x4 FDI PH3 confort. Camioneta.-</t>
  </si>
  <si>
    <t>AD-644-GA</t>
  </si>
  <si>
    <t>QJ2RKJ140722</t>
  </si>
  <si>
    <t>8AFAR23K0KJ40722</t>
  </si>
  <si>
    <t>Fiat Ducato.-</t>
  </si>
  <si>
    <t>PBP-725</t>
  </si>
  <si>
    <t>93W245G84E2124180</t>
  </si>
  <si>
    <t>M. Benz Sprinter 413D Chasis 4025</t>
  </si>
  <si>
    <t>GUV-912</t>
  </si>
  <si>
    <t>8AC9046638A980886</t>
  </si>
  <si>
    <t>M. Benz Sprinter.-</t>
  </si>
  <si>
    <t>GUV-910</t>
  </si>
  <si>
    <t>8AC9046638A983668</t>
  </si>
  <si>
    <t>Iveco Daily.-</t>
  </si>
  <si>
    <t>CFD-686</t>
  </si>
  <si>
    <t>2CFC497010512985</t>
  </si>
  <si>
    <t>JRJ-107</t>
  </si>
  <si>
    <t>L1A008610</t>
  </si>
  <si>
    <t>8AFER13P6BJ398167</t>
  </si>
  <si>
    <t>Chevrolet  S10 2,8 TDI 4x2 D/C Plus. Camioneta.-</t>
  </si>
  <si>
    <t>FEC-345</t>
  </si>
  <si>
    <t>M1T228818</t>
  </si>
  <si>
    <t>9BG138AC05C437482</t>
  </si>
  <si>
    <t>Ford Ranger CS 4x2 XL Plus 2,3 LN. Camioneta.-</t>
  </si>
  <si>
    <t>LFK-381</t>
  </si>
  <si>
    <t>L1A029160</t>
  </si>
  <si>
    <t>8AFER11P9CJ489714</t>
  </si>
  <si>
    <t>INA-464</t>
  </si>
  <si>
    <t>D56285406</t>
  </si>
  <si>
    <t>8FDR12P0AJ285844</t>
  </si>
  <si>
    <t>Ford Ranger XL 2,3 DC 4x2 Plus L/10. Camioneta.-</t>
  </si>
  <si>
    <t>INA-469</t>
  </si>
  <si>
    <t>D56284588</t>
  </si>
  <si>
    <t>8AFDR12P5AJ284799</t>
  </si>
  <si>
    <t>Ford Ranger XL T 3,0 TDI D/C 4x2 PLUS L. Camioneta.-</t>
  </si>
  <si>
    <t>IPE-910</t>
  </si>
  <si>
    <t>D56288879</t>
  </si>
  <si>
    <t>8AFER10P6AJ299528</t>
  </si>
  <si>
    <t>Chevrolet  S10 2,8 TDI 4x2 D/C Plus cabina doble. Camioneta.-</t>
  </si>
  <si>
    <t>FHF-893</t>
  </si>
  <si>
    <t>M1T227437</t>
  </si>
  <si>
    <t>9BG138AC05C437033</t>
  </si>
  <si>
    <t>GUV-911</t>
  </si>
  <si>
    <t>M1A299771</t>
  </si>
  <si>
    <t>9GB138AJ08C406146</t>
  </si>
  <si>
    <t>M. Benz K-1318. Camion.-</t>
  </si>
  <si>
    <t>HND-463</t>
  </si>
  <si>
    <t>904976U0788672</t>
  </si>
  <si>
    <t>9BM6490429B609643</t>
  </si>
  <si>
    <t>transp.bs</t>
  </si>
  <si>
    <t>M. Benz Sprinter 313D Combi 3350 15+.-</t>
  </si>
  <si>
    <t>HLD-939</t>
  </si>
  <si>
    <t>AC9036629E000891</t>
  </si>
  <si>
    <t>FZN-762</t>
  </si>
  <si>
    <t>T253705</t>
  </si>
  <si>
    <t>9BG138AC06C417344</t>
  </si>
  <si>
    <t>Fiat Qubo 1,4 Active.-</t>
  </si>
  <si>
    <t>OJM-554</t>
  </si>
  <si>
    <t>10FSX16615615</t>
  </si>
  <si>
    <t>ZFA225000E6813590</t>
  </si>
  <si>
    <t>Ford Ranger Power DC 4x4  3,0 TDI XL. Camioneta.-</t>
  </si>
  <si>
    <t>JRJ-097</t>
  </si>
  <si>
    <t>L1A008849</t>
  </si>
  <si>
    <t>8AFER13P3BJ398174</t>
  </si>
  <si>
    <t>Chevrolet  S10 2,8 TDI STD 4x2 D/C Plus. Camioneta.-</t>
  </si>
  <si>
    <t>FEG-604</t>
  </si>
  <si>
    <t>M1T228932</t>
  </si>
  <si>
    <t>9BG138AC05C437427</t>
  </si>
  <si>
    <t>Renault Kangoo RL 1,6 2PLC.-</t>
  </si>
  <si>
    <t>FEG-608</t>
  </si>
  <si>
    <t>F8QP632UA57905</t>
  </si>
  <si>
    <t>8A1KCOJ156L655989</t>
  </si>
  <si>
    <t>Renault Master - Ambulancia.-</t>
  </si>
  <si>
    <t>GEU-277</t>
  </si>
  <si>
    <t>G9UA724C030714</t>
  </si>
  <si>
    <t>93YADCUE57J787157</t>
  </si>
  <si>
    <t>Renault Master- Ambulancia.-</t>
  </si>
  <si>
    <t>GUV-922</t>
  </si>
  <si>
    <t>G9UA724C035587</t>
  </si>
  <si>
    <t>93YADCUE58J896449</t>
  </si>
  <si>
    <t>Renault Master-PH3 DCI 120 L1H2  Ambulancia.-</t>
  </si>
  <si>
    <t>KNI-753</t>
  </si>
  <si>
    <t>G9UA754C268409</t>
  </si>
  <si>
    <t>93YADCUE6CJ897389</t>
  </si>
  <si>
    <t>Ford F-100  4x2 XL PLUS 3,9 D - Ambulacia.-</t>
  </si>
  <si>
    <t>ILC-099</t>
  </si>
  <si>
    <t>9EFFF22C99B859146</t>
  </si>
  <si>
    <t>Renault Master PH3 DCI 120 L1H2 - Ambulancia.-</t>
  </si>
  <si>
    <t>LAD-136</t>
  </si>
  <si>
    <t>G9UA754C270571</t>
  </si>
  <si>
    <t>93YADCUE6CJ969873</t>
  </si>
  <si>
    <t>Mercedez Benz Sprinter Furgon.-</t>
  </si>
  <si>
    <t>GWJ-779</t>
  </si>
  <si>
    <t>8AC90036628A984192</t>
  </si>
  <si>
    <t>Renault Master MASTER PH3 DCI 120 - Ambulancia.-</t>
  </si>
  <si>
    <t>LAD-135</t>
  </si>
  <si>
    <t>G9UA650C244170</t>
  </si>
  <si>
    <t>93YADC1E6J140233</t>
  </si>
  <si>
    <t>Chevrolet  S-10.-</t>
  </si>
  <si>
    <t>GWJ-742</t>
  </si>
  <si>
    <t>M1A304122</t>
  </si>
  <si>
    <t>9BG124AJ08C11312</t>
  </si>
  <si>
    <t>Chevrolet Zafira.-</t>
  </si>
  <si>
    <t>HUD-575</t>
  </si>
  <si>
    <t>1N0006130</t>
  </si>
  <si>
    <t>9BGTT75F09C131088</t>
  </si>
  <si>
    <t>Fiat Ducato Amxicargo 2,3 JTD. Ambulancia.-</t>
  </si>
  <si>
    <t>AA-842-EL</t>
  </si>
  <si>
    <t>93W245G84H2160838</t>
  </si>
  <si>
    <t>AA-842-EI</t>
  </si>
  <si>
    <t>93W245G84H2160833</t>
  </si>
  <si>
    <t>Toyota Hilux 4x4 c/s DX 2,4 TDI M/T. Ambulancia</t>
  </si>
  <si>
    <t>AA-793-NE</t>
  </si>
  <si>
    <t>2GD-0137533</t>
  </si>
  <si>
    <t>8AJFB8CB5H1550878</t>
  </si>
  <si>
    <t>AE-041-BD</t>
  </si>
  <si>
    <t>M9TB870C262154</t>
  </si>
  <si>
    <t>93YMAFESCLJ213469</t>
  </si>
  <si>
    <t>Fiat Ducato Maxi cargo 2,3 JTD Furgon. Ambulancia.-</t>
  </si>
  <si>
    <t>AA-842-EH</t>
  </si>
  <si>
    <t>93W245G84H2160832</t>
  </si>
  <si>
    <t>AA-842-EF</t>
  </si>
  <si>
    <t>93W245G84H2160831</t>
  </si>
  <si>
    <t>Fiat Ducato 2,3. Ambulancia.-</t>
  </si>
  <si>
    <t>NSE-229</t>
  </si>
  <si>
    <t>93W245G74D2109008</t>
  </si>
  <si>
    <t xml:space="preserve">Renault Master DCI120. Ambulancia - </t>
  </si>
  <si>
    <t>GUO-325</t>
  </si>
  <si>
    <t>G9UA7240035511</t>
  </si>
  <si>
    <t>93YADCUE58J896313</t>
  </si>
  <si>
    <t>Renault Master DCI120 - Ambulancia .-</t>
  </si>
  <si>
    <t>GJS-713</t>
  </si>
  <si>
    <t>G9UA724C030282</t>
  </si>
  <si>
    <t>93YADCUE57J787718</t>
  </si>
  <si>
    <t>Fiat iveco Daily. Ambulancia.-</t>
  </si>
  <si>
    <t>S/P</t>
  </si>
  <si>
    <t>93ZC4980158318123</t>
  </si>
  <si>
    <t>Ford Ranger XLC/C  4x4 2,8. Camioneta.-</t>
  </si>
  <si>
    <t>FYK-918</t>
  </si>
  <si>
    <t>B61618215</t>
  </si>
  <si>
    <t>8AFER13FX4J326463</t>
  </si>
  <si>
    <t>Chevrolet S10  2,8 TDI - Camioneta.-</t>
  </si>
  <si>
    <t>GDD-914</t>
  </si>
  <si>
    <t>M1A282868</t>
  </si>
  <si>
    <t>9BG138AJ07C413213</t>
  </si>
  <si>
    <t>Renautl Master 2,5 D - Ambulancia.-</t>
  </si>
  <si>
    <t>GJC-299</t>
  </si>
  <si>
    <t>J9UA724C030522</t>
  </si>
  <si>
    <t>93YADCUE57J787225</t>
  </si>
  <si>
    <t>Fiat Ducato Maxi cargo 2,3. Ambulancia</t>
  </si>
  <si>
    <t>AA-702-MN</t>
  </si>
  <si>
    <t>93W245G74H2161118</t>
  </si>
  <si>
    <t>Ford Transit 2,2 L 125 T350 TA C/AA - Ambulancia.-</t>
  </si>
  <si>
    <t>MNW-258</t>
  </si>
  <si>
    <t>CYRCDTT22471</t>
  </si>
  <si>
    <t>WFOXXPTTFDTT22471</t>
  </si>
  <si>
    <t>Chevrolet S10  2,8 T.I- Ambulancia.-</t>
  </si>
  <si>
    <t>ESH-451</t>
  </si>
  <si>
    <t>986124AC05C410447</t>
  </si>
  <si>
    <t>Chevrolet S10 2,8 TDI SID 4x2 - Ambulancia.-</t>
  </si>
  <si>
    <t>GDD-918</t>
  </si>
  <si>
    <t>M1A282927</t>
  </si>
  <si>
    <t>9BG1384J07C413214</t>
  </si>
  <si>
    <t>Renault Master DCI 120- Ambulancia.-</t>
  </si>
  <si>
    <t>GEU-279</t>
  </si>
  <si>
    <t>G9UA724C030527</t>
  </si>
  <si>
    <t>93YADCUE7J787131</t>
  </si>
  <si>
    <t>Mercedez Benz Sprinter - Ambulancia.-</t>
  </si>
  <si>
    <t>DCA-097</t>
  </si>
  <si>
    <t>8AC690311YA537340</t>
  </si>
  <si>
    <t>Ford Transit Furgon - Ambulancia.-</t>
  </si>
  <si>
    <t>MNW-259</t>
  </si>
  <si>
    <t>CYRCDTT23622</t>
  </si>
  <si>
    <t>WF0XXPTTFDTT2362</t>
  </si>
  <si>
    <t>Fiat Ducato Maxicargo 2,3 JTD. Ambulancia.-</t>
  </si>
  <si>
    <t>AA-842-EG</t>
  </si>
  <si>
    <t>93W245G84H2160827</t>
  </si>
  <si>
    <t>Renault Ambulancia.-</t>
  </si>
  <si>
    <t>AD-484-QZ</t>
  </si>
  <si>
    <t>A4MH737Q004131</t>
  </si>
  <si>
    <t>8A18SRD04KL428948</t>
  </si>
  <si>
    <t>AD-939-YG</t>
  </si>
  <si>
    <t>H4MH737Q013096</t>
  </si>
  <si>
    <t>8A18SRD04LL935267</t>
  </si>
  <si>
    <t>Fiat Ducato Ambulancia.-</t>
  </si>
  <si>
    <t>NHW-649</t>
  </si>
  <si>
    <t>93W245G84D2109862</t>
  </si>
  <si>
    <t>Toyota Hilux. Ambulancia.-</t>
  </si>
  <si>
    <t>AA-793-NF</t>
  </si>
  <si>
    <t>2GD-0106033</t>
  </si>
  <si>
    <t>8AJFB8CB2H1550532</t>
  </si>
  <si>
    <t>AA-842-EM</t>
  </si>
  <si>
    <t>93W245G84H2160779</t>
  </si>
  <si>
    <t>Iveco Daily - Ambulancia, Camion 3,5 Tn Modelo 4912-3300.-</t>
  </si>
  <si>
    <t>QAC-895</t>
  </si>
  <si>
    <t>93ZC4980158319325</t>
  </si>
  <si>
    <t>Chevrolet S10  - Ambulancia.-</t>
  </si>
  <si>
    <t>ESH-452</t>
  </si>
  <si>
    <t>9BG124AC05C410604</t>
  </si>
  <si>
    <t>Master Diesel DCI 120 - Ambulancia.-</t>
  </si>
  <si>
    <t>GEU-278</t>
  </si>
  <si>
    <t>G9UA724C030420</t>
  </si>
  <si>
    <t>93YADCUE57J787245</t>
  </si>
  <si>
    <t>Fiat Ducato Maxicargo 2,3 JTD.-</t>
  </si>
  <si>
    <t>AA-842-EJ</t>
  </si>
  <si>
    <t>93W245G84H2160835</t>
  </si>
  <si>
    <t>AA-842-ED</t>
  </si>
  <si>
    <t>93W245G84H2160784</t>
  </si>
  <si>
    <t>Renault Master 2,5 DCI Furgon corto. Ambulancia.-</t>
  </si>
  <si>
    <t>LOI-294</t>
  </si>
  <si>
    <t>69VA650C248593</t>
  </si>
  <si>
    <t>93YADCIE6DJ286241</t>
  </si>
  <si>
    <t>Nissan Patrol - Ambulancia.-</t>
  </si>
  <si>
    <t>RD280716B</t>
  </si>
  <si>
    <t>VSKAYG260U0594208</t>
  </si>
  <si>
    <t>Ford Ranger  - Ambulancia</t>
  </si>
  <si>
    <t>MNW-255</t>
  </si>
  <si>
    <t>QW2PDJ102410</t>
  </si>
  <si>
    <t>8AFAR21J4DJ102410</t>
  </si>
  <si>
    <t>Fiat Ducato Maxi Cargo - Ambulancia</t>
  </si>
  <si>
    <t>NHW-647</t>
  </si>
  <si>
    <t>93W245G84D1209434</t>
  </si>
  <si>
    <t>Renault Master 2,5 DCI - Ambulancia.-</t>
  </si>
  <si>
    <t>GUO-331</t>
  </si>
  <si>
    <t>G9UA724C035717</t>
  </si>
  <si>
    <t>93YADCUE58J896363</t>
  </si>
  <si>
    <t>Fiat Ducato Maxi Cargo 2,3 JPA- Ambulancia</t>
  </si>
  <si>
    <t>NYf-581</t>
  </si>
  <si>
    <t>93W245674EZ120871</t>
  </si>
  <si>
    <t>Fiat Ducato Maxi Cargo 2,3 JTD- Ambulancia</t>
  </si>
  <si>
    <t>AA-842-EB</t>
  </si>
  <si>
    <t>93W245G84H2160819</t>
  </si>
  <si>
    <t>AA-842-EC</t>
  </si>
  <si>
    <t>93W245G84H2160823</t>
  </si>
  <si>
    <t>Fiat Ducato Maxicargo L2B 2,3 TJ. Ambulancia.-</t>
  </si>
  <si>
    <t>NHW-648</t>
  </si>
  <si>
    <t>93W245G84D2109432</t>
  </si>
  <si>
    <t>Reanult Master  Ambulancia.-</t>
  </si>
  <si>
    <t>NXE-335</t>
  </si>
  <si>
    <t>M9TA876C016101</t>
  </si>
  <si>
    <t>93YMAFECAEJ262720</t>
  </si>
  <si>
    <t>Renault Kangoo  1,6. Camioneta-</t>
  </si>
  <si>
    <t>PEX-160</t>
  </si>
  <si>
    <t>K4MJ730Q160389</t>
  </si>
  <si>
    <t>8A1FC1315GL915416</t>
  </si>
  <si>
    <t>AA-842-EE</t>
  </si>
  <si>
    <t>96W245G84H2160826</t>
  </si>
  <si>
    <t>Fiat Ducato Maxicargo L4H2. Ambulancia</t>
  </si>
  <si>
    <t>AD-964-PG</t>
  </si>
  <si>
    <t>F1AE3481D7279698</t>
  </si>
  <si>
    <t>3C6DFVDK9KE510986</t>
  </si>
  <si>
    <t>Ford Ranger CS 4x4 XL PLUS 2,8L D- Ambulancia.-</t>
  </si>
  <si>
    <t>FKA-420</t>
  </si>
  <si>
    <t>C35191571</t>
  </si>
  <si>
    <t>8AFER11H86J457138</t>
  </si>
  <si>
    <t>Chevrolet S10.-</t>
  </si>
  <si>
    <t>GDD-910</t>
  </si>
  <si>
    <t>M1A282808</t>
  </si>
  <si>
    <t>9BG138AJ07C412832</t>
  </si>
  <si>
    <t>Fiat Ducato  - Ambulancia.-</t>
  </si>
  <si>
    <t>93W231F6031011212</t>
  </si>
  <si>
    <t>Fiat Ducato-Ambulancia.-</t>
  </si>
  <si>
    <t>MPH-695</t>
  </si>
  <si>
    <t>Ford Transit- Ambulancia.-</t>
  </si>
  <si>
    <t>POD-622</t>
  </si>
  <si>
    <t>CY24FTD15384</t>
  </si>
  <si>
    <t>WF0BXKTTGFTD15384</t>
  </si>
  <si>
    <t>Ford Ranger  CS 4x4 XL PLUS 2,8 L D- Ambulancia.-</t>
  </si>
  <si>
    <t>FKA-417</t>
  </si>
  <si>
    <t>C35191955</t>
  </si>
  <si>
    <t>8AFER11H06J457148</t>
  </si>
  <si>
    <t>Toyota Hilux 4x4- Ambulancia.-</t>
  </si>
  <si>
    <t>AA-793-NH</t>
  </si>
  <si>
    <t>2GD0106226</t>
  </si>
  <si>
    <t>BAJFBBCB1H155</t>
  </si>
  <si>
    <t>Renault Master TDI 2,8 L1H1 - Ambulancia.-</t>
  </si>
  <si>
    <t>MPD-320</t>
  </si>
  <si>
    <t>G9UA650C26371</t>
  </si>
  <si>
    <t>93YADC1D6DJ54222</t>
  </si>
  <si>
    <t>Fiat Ducato Maxi 2,8- Ambulancia.-</t>
  </si>
  <si>
    <t>LRW-049</t>
  </si>
  <si>
    <t>93W245G74E2120809</t>
  </si>
  <si>
    <t>M. Benz 415 CDIF3665. Ambulancia.-</t>
  </si>
  <si>
    <t>AA-683-ZG</t>
  </si>
  <si>
    <t>651955W0056914</t>
  </si>
  <si>
    <t>8AC906633GE118977</t>
  </si>
  <si>
    <t>Ford F-100  - Ambulancia.-</t>
  </si>
  <si>
    <t>5KAR20702</t>
  </si>
  <si>
    <t>8AFETNL23SJ001415</t>
  </si>
  <si>
    <t>Ford Ranger - Camioneta.-</t>
  </si>
  <si>
    <t>GJP-883</t>
  </si>
  <si>
    <t>C34224023</t>
  </si>
  <si>
    <t>8AFER13P97J066070</t>
  </si>
  <si>
    <t>AE-041-BC</t>
  </si>
  <si>
    <t>M9TB870C262203</t>
  </si>
  <si>
    <t>93YMAFESCLJ213466</t>
  </si>
  <si>
    <t>Toyota Hilux 4x4. Ambulancia.-</t>
  </si>
  <si>
    <t>ONU-072</t>
  </si>
  <si>
    <t>2KDA538356</t>
  </si>
  <si>
    <t>8AJDR22G7F4020209</t>
  </si>
  <si>
    <t>Renault Master 120 T - Ambulancia.-</t>
  </si>
  <si>
    <t>GUO-326</t>
  </si>
  <si>
    <t>G9UA724C0353</t>
  </si>
  <si>
    <t>93YADCUE58J896346</t>
  </si>
  <si>
    <t>Ford Ranger 4x4 2,8 XL Plus LD - Ambulancia.-</t>
  </si>
  <si>
    <t>FKA-416</t>
  </si>
  <si>
    <t>C35191696</t>
  </si>
  <si>
    <t>8AFER11H66J457137</t>
  </si>
  <si>
    <t>FKA-415</t>
  </si>
  <si>
    <t>FC35191569</t>
  </si>
  <si>
    <t>8AFER11H76J457146</t>
  </si>
  <si>
    <t>AA-842-EN</t>
  </si>
  <si>
    <t>93W245G84H2160775</t>
  </si>
  <si>
    <t>Renault Kangoo Express confort - Ambulancia.-</t>
  </si>
  <si>
    <t>AC-885-QD</t>
  </si>
  <si>
    <t>H4MH737Q001009</t>
  </si>
  <si>
    <t>8A18SRD04JL333398</t>
  </si>
  <si>
    <t>Ford Ranger CS 4x4 XL 2,8 LD -Ambulancia.-</t>
  </si>
  <si>
    <t>FKA-421</t>
  </si>
  <si>
    <t>C35191968</t>
  </si>
  <si>
    <t>8AFER11H96J457147</t>
  </si>
  <si>
    <t>Ford Ranger CS 4x4 XL 2,8 LD - Ambulancia.-</t>
  </si>
  <si>
    <t>FKA-419</t>
  </si>
  <si>
    <t>C35191538</t>
  </si>
  <si>
    <t>8AFER11HX6J457139</t>
  </si>
  <si>
    <t>F. Ranger DC 4x4 XL PLUS 3,0 - Camioneta.-</t>
  </si>
  <si>
    <t>JRW-547</t>
  </si>
  <si>
    <t>L1A008728</t>
  </si>
  <si>
    <t>8AFER13P3BJ390161</t>
  </si>
  <si>
    <t>MVI-344</t>
  </si>
  <si>
    <t>93W244F74D2107660</t>
  </si>
  <si>
    <t>Fiat Ducato Maxi cargo 2,3 JTD. Ambulancia.-</t>
  </si>
  <si>
    <t>ODK-341</t>
  </si>
  <si>
    <t>93W245G84E2119762</t>
  </si>
  <si>
    <t>Peugeot Boxer 350 MH 2,3 HDI Confort. Ambulancia.-</t>
  </si>
  <si>
    <t>OGC-878</t>
  </si>
  <si>
    <t>936ZCXMNBE2126896</t>
  </si>
  <si>
    <t>AA-842-EA</t>
  </si>
  <si>
    <t>93W245G84H2160841</t>
  </si>
  <si>
    <t>Toyota Hilux 4x4  - Ambulancia.-</t>
  </si>
  <si>
    <t>DCA-088</t>
  </si>
  <si>
    <t>3L4800423</t>
  </si>
  <si>
    <t>BAJ31LNA3X9102052</t>
  </si>
  <si>
    <t>Fiat Ducato Maxi Cargo L4H2.-</t>
  </si>
  <si>
    <t>AE-258-XT</t>
  </si>
  <si>
    <t>F1AE3481D7288562</t>
  </si>
  <si>
    <t>3C6DFVDK1LE129957</t>
  </si>
  <si>
    <t>TOYOTA HILUX 4X4 PICK-UP.-</t>
  </si>
  <si>
    <t>AE-454-BB</t>
  </si>
  <si>
    <t>2GD-0753775</t>
  </si>
  <si>
    <t>8AJFB8CB9L1560130</t>
  </si>
  <si>
    <t>Ford F-100  4x2 ST- Ambulancia.-</t>
  </si>
  <si>
    <t>RYARL8887</t>
  </si>
  <si>
    <t>AFETNN21RJO89293</t>
  </si>
  <si>
    <t>Ford Ranger XL Plus - Ambulancia.-</t>
  </si>
  <si>
    <t>ABC-121</t>
  </si>
  <si>
    <t>C36190445</t>
  </si>
  <si>
    <t>8AFER10F56J4</t>
  </si>
  <si>
    <t>Fiat Ducato maxicargo 2,3 JTD - Ambulancia.-</t>
  </si>
  <si>
    <t>NHW-646</t>
  </si>
  <si>
    <t>93W245G84D2109591</t>
  </si>
  <si>
    <t>AA-842-EO</t>
  </si>
  <si>
    <t>93W245G84H2160825</t>
  </si>
  <si>
    <t>FKA-418</t>
  </si>
  <si>
    <t>C35191961</t>
  </si>
  <si>
    <t>8AFER11H06J457151</t>
  </si>
  <si>
    <t>Toyota Hilux 4x4 c/s. Ambulancia.-</t>
  </si>
  <si>
    <t>AA-793-NG</t>
  </si>
  <si>
    <t>2GD0137686</t>
  </si>
  <si>
    <t>8AJFB8CB3H1550880</t>
  </si>
  <si>
    <t>Ford Ranger 4x4  XL Plus 3,0 L - Ambulancia.-</t>
  </si>
  <si>
    <t>LBC-804</t>
  </si>
  <si>
    <t>L1A030321</t>
  </si>
  <si>
    <t>8AFER13P8CJ486509</t>
  </si>
  <si>
    <t>FXH-094</t>
  </si>
  <si>
    <t>M1A275990</t>
  </si>
  <si>
    <t>9BG116BJ07C406216</t>
  </si>
  <si>
    <t>Peugeot Boxer Premiun 2.2 HDI 435MH 130. Ambulancia.-</t>
  </si>
  <si>
    <t>AE-677-KC</t>
  </si>
  <si>
    <t>10TRJN3381337</t>
  </si>
  <si>
    <t>VF3YDTMFBM2P20555</t>
  </si>
  <si>
    <t>CITROEN JUMPER 2.2 HDI FUR L2H2- FURGON</t>
  </si>
  <si>
    <t>AE-677-KB</t>
  </si>
  <si>
    <t>10TRJN3091034</t>
  </si>
  <si>
    <t>VF7YDTMFBM2P34153</t>
  </si>
  <si>
    <t>AE-677-LG</t>
  </si>
  <si>
    <t>10TRJP1702135</t>
  </si>
  <si>
    <t>VF3YDTMFBM271918</t>
  </si>
  <si>
    <t>RENAULT KANGOO II EXPRESS CONFORT 1.6 SCE</t>
  </si>
  <si>
    <t>AE-262-PC</t>
  </si>
  <si>
    <t>H4MH737Q020390</t>
  </si>
  <si>
    <t>8A18SRD04LL342980</t>
  </si>
  <si>
    <t>K-018492</t>
  </si>
  <si>
    <t>GOAB12965</t>
  </si>
  <si>
    <t>KBIJGM04184</t>
  </si>
  <si>
    <t>Toyota Hilux 4x4 CS DX 2,4 TDI 6 MT- Ambulancia.-</t>
  </si>
  <si>
    <t>AE-677-LI</t>
  </si>
  <si>
    <t>2GD0883798</t>
  </si>
  <si>
    <t>8AJD3CB4M5542249</t>
  </si>
  <si>
    <t>AE-677-LH</t>
  </si>
  <si>
    <t>2GD0880326</t>
  </si>
  <si>
    <t>8AJDB3CB9M5542084</t>
  </si>
  <si>
    <t>Mercedes Benz 310/D. Ambulancia.-</t>
  </si>
  <si>
    <t>CKQ-193</t>
  </si>
  <si>
    <t>8AC6990330VA512920</t>
  </si>
  <si>
    <t>AE-677-LK</t>
  </si>
  <si>
    <t>2GD0900959</t>
  </si>
  <si>
    <t>8AJDB3CB5M5542258</t>
  </si>
  <si>
    <t>AE-414-KY</t>
  </si>
  <si>
    <t>2GD0711512</t>
  </si>
  <si>
    <t>8AJFB8CB2L1560244</t>
  </si>
  <si>
    <t>Fiat Qubo 1,4 8V active sedan 5 puertas</t>
  </si>
  <si>
    <t>MQC-888</t>
  </si>
  <si>
    <t>10FSX16559345</t>
  </si>
  <si>
    <t>ZFA225000D0323934</t>
  </si>
  <si>
    <t>AE-677-LJ</t>
  </si>
  <si>
    <t>2GD0875349</t>
  </si>
  <si>
    <t>8SJDB3CB2M5542069</t>
  </si>
  <si>
    <t>Toyota Hilux 4x4 C/S DX 2,4 TDI 6MT. Ambulancia.-</t>
  </si>
  <si>
    <t>AE-236-MM</t>
  </si>
  <si>
    <t>2GD-G153814</t>
  </si>
  <si>
    <t>8AJDB3CD7L1302720</t>
  </si>
  <si>
    <t>Mercedez Benz Sprin 313/CDI3550 - Ambulancia.-</t>
  </si>
  <si>
    <t>HQV-792</t>
  </si>
  <si>
    <t>8AC9036629E010752</t>
  </si>
  <si>
    <t>AE-414-KZ</t>
  </si>
  <si>
    <t>2GD-0711978</t>
  </si>
  <si>
    <t>8AJFB8CB0L1560257</t>
  </si>
  <si>
    <t>AE-454-BA</t>
  </si>
  <si>
    <t>2GD-0756654</t>
  </si>
  <si>
    <t>8AJFB8CB2L1560177</t>
  </si>
  <si>
    <t>AE-454-BC</t>
  </si>
  <si>
    <t>2GD-0754623</t>
  </si>
  <si>
    <t>8AJFB8CBXL1560170</t>
  </si>
  <si>
    <t>AE-414-KX</t>
  </si>
  <si>
    <t>2GD-0756084</t>
  </si>
  <si>
    <t>8AJFB8CB5L1560173</t>
  </si>
  <si>
    <t>Ford F-100- Ambulancia.-</t>
  </si>
  <si>
    <t>K009976</t>
  </si>
  <si>
    <t>LLAE17831</t>
  </si>
  <si>
    <t>KBIJLR12992</t>
  </si>
  <si>
    <t>Ford Transit 2,2 L 125 T 350. Furgon Ambulancia.-</t>
  </si>
  <si>
    <t>MBW-830</t>
  </si>
  <si>
    <t>CYRCCTC58015</t>
  </si>
  <si>
    <t>WF0XXPTTCTC58015</t>
  </si>
  <si>
    <t>Ford Ranger DC 4x4 XLT AT 3,2 D Pick Up. Camioneta.-</t>
  </si>
  <si>
    <t>AE-947-WZ</t>
  </si>
  <si>
    <t>SA2S-NJ251452</t>
  </si>
  <si>
    <t>8AFAR23W5NJ251452</t>
  </si>
  <si>
    <t>Toyota Hilyx 4x4 C/S DX 2,4 TDI 6 M/T</t>
  </si>
  <si>
    <t>AE-212-GE</t>
  </si>
  <si>
    <t>2GD-G108393</t>
  </si>
  <si>
    <t>8AJFB8CBXK1558448</t>
  </si>
  <si>
    <t>MITSUBISHI  L 200 4X2</t>
  </si>
  <si>
    <t>4D56JB4848</t>
  </si>
  <si>
    <t>JMYJNK340WP003216</t>
  </si>
  <si>
    <t>Ford Transit 2,2 L 350 M TE</t>
  </si>
  <si>
    <t>AF-050-JP</t>
  </si>
  <si>
    <t>CYR5MTM38344</t>
  </si>
  <si>
    <t>WF0AXKTTGMTM38344</t>
  </si>
  <si>
    <t>Fiat Ducato Maxi Carga Multijet JTD Furgon.-</t>
  </si>
  <si>
    <t>AA-358-FO</t>
  </si>
  <si>
    <t>93W245G74H2161151</t>
  </si>
  <si>
    <t>*Los ofertantes deberan garantizar la provision del insumo en el interior de la provincia de Catamarca, contando con surtidores ubicados en el Valle Central y en por lo menos dos zonas del interior de la provincia, preferentemente Este y  Oeste Catamarqueño.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</si>
</sst>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_-* #,##0.00&quot; €&quot;_-;\-* #,##0.00&quot; €&quot;_-;_-* \-??&quot; €&quot;_-;_-@_-"/>
    <numFmt numFmtId="168" formatCode="[$$-2C0A]\ #,##0.00"/>
    <numFmt numFmtId="169" formatCode="dd\-mm\-yy;@"/>
    <numFmt numFmtId="170" formatCode="_(\$* #,##0.00_);_(\$* \(#,##0.00\);_(\$* \-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7" fontId="8" fillId="0" borderId="0" applyBorder="0" applyProtection="0"/>
    <xf numFmtId="0" fontId="12" fillId="0" borderId="8" applyProtection="0"/>
    <xf numFmtId="0" fontId="13" fillId="4" borderId="0" applyBorder="0" applyProtection="0"/>
    <xf numFmtId="0" fontId="8" fillId="0" borderId="0"/>
    <xf numFmtId="0" fontId="8" fillId="0" borderId="0"/>
    <xf numFmtId="167" fontId="8" fillId="0" borderId="0" applyBorder="0" applyProtection="0"/>
    <xf numFmtId="0" fontId="12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7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  <xf numFmtId="170" fontId="33" fillId="0" borderId="0" applyBorder="0" applyProtection="0"/>
  </cellStyleXfs>
  <cellXfs count="218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/>
    <xf numFmtId="166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7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5" xfId="0" applyFont="1" applyBorder="1"/>
    <xf numFmtId="0" fontId="10" fillId="0" borderId="0" xfId="0" applyFont="1"/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 wrapText="1"/>
    </xf>
    <xf numFmtId="165" fontId="9" fillId="0" borderId="2" xfId="0" applyNumberFormat="1" applyFont="1" applyBorder="1" applyAlignment="1">
      <alignment horizontal="center" vertical="center"/>
    </xf>
    <xf numFmtId="166" fontId="9" fillId="0" borderId="2" xfId="0" applyNumberFormat="1" applyFont="1" applyFill="1" applyBorder="1" applyAlignment="1">
      <alignment horizontal="center" vertical="center"/>
    </xf>
    <xf numFmtId="166" fontId="10" fillId="2" borderId="6" xfId="2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8" fillId="0" borderId="0" xfId="0" applyFont="1"/>
    <xf numFmtId="166" fontId="9" fillId="0" borderId="4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0" fillId="0" borderId="1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14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" fillId="0" borderId="14" xfId="5" applyFont="1" applyFill="1" applyBorder="1" applyAlignment="1">
      <alignment vertical="center"/>
    </xf>
    <xf numFmtId="0" fontId="20" fillId="0" borderId="13" xfId="5" applyFont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/>
    </xf>
    <xf numFmtId="0" fontId="3" fillId="0" borderId="14" xfId="5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 wrapText="1"/>
    </xf>
    <xf numFmtId="166" fontId="23" fillId="0" borderId="18" xfId="0" applyNumberFormat="1" applyFont="1" applyBorder="1" applyAlignment="1">
      <alignment horizontal="right" vertical="center"/>
    </xf>
    <xf numFmtId="0" fontId="24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166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5" fillId="0" borderId="13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 indent="1"/>
    </xf>
    <xf numFmtId="166" fontId="24" fillId="0" borderId="0" xfId="0" applyNumberFormat="1" applyFont="1" applyBorder="1" applyAlignment="1">
      <alignment horizontal="left" vertical="center" wrapText="1" indent="1"/>
    </xf>
    <xf numFmtId="0" fontId="24" fillId="0" borderId="14" xfId="0" applyFont="1" applyBorder="1" applyAlignment="1">
      <alignment horizontal="left" vertical="center" wrapText="1" indent="1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6" fontId="27" fillId="0" borderId="31" xfId="0" applyNumberFormat="1" applyFont="1" applyBorder="1" applyAlignment="1">
      <alignment horizontal="center" vertical="center" wrapText="1"/>
    </xf>
    <xf numFmtId="3" fontId="27" fillId="0" borderId="32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left" vertical="center"/>
    </xf>
    <xf numFmtId="0" fontId="29" fillId="0" borderId="34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 wrapText="1"/>
    </xf>
    <xf numFmtId="166" fontId="29" fillId="0" borderId="34" xfId="0" applyNumberFormat="1" applyFont="1" applyBorder="1" applyAlignment="1">
      <alignment horizontal="center" vertical="center" wrapText="1"/>
    </xf>
    <xf numFmtId="3" fontId="29" fillId="0" borderId="35" xfId="0" applyNumberFormat="1" applyFont="1" applyBorder="1" applyAlignment="1">
      <alignment horizontal="center" vertical="center"/>
    </xf>
    <xf numFmtId="3" fontId="31" fillId="0" borderId="11" xfId="0" applyNumberFormat="1" applyFont="1" applyBorder="1" applyAlignment="1"/>
    <xf numFmtId="169" fontId="0" fillId="0" borderId="11" xfId="0" applyNumberFormat="1" applyBorder="1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166" fontId="0" fillId="0" borderId="14" xfId="0" applyNumberFormat="1" applyBorder="1"/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166" fontId="0" fillId="0" borderId="43" xfId="0" applyNumberFormat="1" applyBorder="1"/>
    <xf numFmtId="0" fontId="36" fillId="0" borderId="4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47" xfId="0" applyFont="1" applyBorder="1" applyAlignment="1">
      <alignment horizontal="left" vertical="center"/>
    </xf>
    <xf numFmtId="0" fontId="36" fillId="0" borderId="48" xfId="0" applyFont="1" applyBorder="1" applyAlignment="1">
      <alignment horizontal="center" vertical="center"/>
    </xf>
    <xf numFmtId="0" fontId="36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166" fontId="0" fillId="0" borderId="53" xfId="33" applyNumberFormat="1" applyFont="1" applyBorder="1" applyAlignment="1" applyProtection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166" fontId="0" fillId="0" borderId="58" xfId="33" applyNumberFormat="1" applyFont="1" applyBorder="1" applyAlignment="1" applyProtection="1">
      <alignment horizontal="center" vertical="center"/>
    </xf>
    <xf numFmtId="0" fontId="34" fillId="0" borderId="54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4" fillId="0" borderId="56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66" fontId="0" fillId="0" borderId="62" xfId="33" applyNumberFormat="1" applyFont="1" applyBorder="1" applyAlignment="1" applyProtection="1">
      <alignment horizontal="center" vertical="center"/>
    </xf>
    <xf numFmtId="166" fontId="36" fillId="0" borderId="64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1" fillId="0" borderId="13" xfId="5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horizontal="center" vertical="center" wrapText="1"/>
    </xf>
    <xf numFmtId="0" fontId="21" fillId="0" borderId="14" xfId="5" applyFont="1" applyFill="1" applyBorder="1" applyAlignment="1">
      <alignment horizontal="center" vertical="center" wrapText="1"/>
    </xf>
    <xf numFmtId="166" fontId="36" fillId="0" borderId="64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/>
    </xf>
    <xf numFmtId="0" fontId="38" fillId="0" borderId="9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4" xfId="5" applyFont="1" applyFill="1" applyBorder="1" applyAlignment="1">
      <alignment horizontal="left" vertical="center" wrapText="1"/>
    </xf>
    <xf numFmtId="0" fontId="21" fillId="0" borderId="13" xfId="5" applyFont="1" applyFill="1" applyBorder="1" applyAlignment="1">
      <alignment horizontal="center" vertical="center" wrapText="1"/>
    </xf>
    <xf numFmtId="0" fontId="21" fillId="0" borderId="0" xfId="5" applyFont="1" applyFill="1" applyBorder="1" applyAlignment="1">
      <alignment horizontal="center" vertical="center" wrapText="1"/>
    </xf>
    <xf numFmtId="0" fontId="21" fillId="0" borderId="14" xfId="5" applyFont="1" applyFill="1" applyBorder="1" applyAlignment="1">
      <alignment horizontal="center" vertical="center" wrapText="1"/>
    </xf>
    <xf numFmtId="0" fontId="3" fillId="0" borderId="0" xfId="5" applyFont="1" applyBorder="1" applyAlignment="1">
      <alignment horizontal="left" vertical="center"/>
    </xf>
    <xf numFmtId="0" fontId="3" fillId="0" borderId="14" xfId="5" applyFont="1" applyBorder="1" applyAlignment="1">
      <alignment horizontal="left" vertical="center"/>
    </xf>
    <xf numFmtId="0" fontId="37" fillId="0" borderId="13" xfId="5" applyFont="1" applyFill="1" applyBorder="1" applyAlignment="1">
      <alignment horizontal="center" vertical="center" wrapText="1"/>
    </xf>
    <xf numFmtId="0" fontId="37" fillId="0" borderId="0" xfId="5" applyFont="1" applyFill="1" applyBorder="1" applyAlignment="1">
      <alignment horizontal="center" vertical="center" wrapText="1"/>
    </xf>
    <xf numFmtId="0" fontId="37" fillId="0" borderId="14" xfId="5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5" fillId="0" borderId="24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 indent="1"/>
    </xf>
    <xf numFmtId="0" fontId="22" fillId="0" borderId="1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 wrapText="1" indent="1"/>
    </xf>
    <xf numFmtId="0" fontId="26" fillId="0" borderId="29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30" fillId="0" borderId="23" xfId="0" applyFont="1" applyFill="1" applyBorder="1" applyAlignment="1">
      <alignment horizontal="left" vertical="center" wrapText="1" indent="1"/>
    </xf>
    <xf numFmtId="168" fontId="25" fillId="0" borderId="36" xfId="0" applyNumberFormat="1" applyFont="1" applyBorder="1" applyAlignment="1">
      <alignment horizontal="center" vertical="center"/>
    </xf>
    <xf numFmtId="168" fontId="25" fillId="0" borderId="37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 wrapText="1"/>
    </xf>
    <xf numFmtId="166" fontId="26" fillId="0" borderId="28" xfId="0" applyNumberFormat="1" applyFont="1" applyBorder="1" applyAlignment="1">
      <alignment horizontal="center" vertical="center" wrapText="1"/>
    </xf>
    <xf numFmtId="0" fontId="34" fillId="0" borderId="41" xfId="0" applyFont="1" applyBorder="1" applyAlignment="1">
      <alignment horizontal="left"/>
    </xf>
    <xf numFmtId="0" fontId="0" fillId="0" borderId="36" xfId="0" applyFont="1" applyBorder="1" applyAlignment="1">
      <alignment horizontal="center"/>
    </xf>
    <xf numFmtId="3" fontId="31" fillId="0" borderId="37" xfId="0" applyNumberFormat="1" applyFont="1" applyBorder="1" applyAlignment="1">
      <alignment horizontal="center"/>
    </xf>
    <xf numFmtId="0" fontId="32" fillId="0" borderId="19" xfId="0" applyFont="1" applyBorder="1" applyAlignment="1">
      <alignment horizontal="center" vertical="center" wrapText="1"/>
    </xf>
    <xf numFmtId="0" fontId="33" fillId="0" borderId="38" xfId="0" applyFont="1" applyBorder="1"/>
    <xf numFmtId="0" fontId="34" fillId="0" borderId="39" xfId="0" applyFont="1" applyBorder="1" applyAlignment="1">
      <alignment horizontal="left" indent="1"/>
    </xf>
    <xf numFmtId="0" fontId="29" fillId="0" borderId="38" xfId="0" applyFont="1" applyBorder="1" applyAlignment="1">
      <alignment horizontal="left" vertical="center" wrapText="1"/>
    </xf>
    <xf numFmtId="0" fontId="35" fillId="0" borderId="40" xfId="0" applyFont="1" applyBorder="1" applyAlignment="1">
      <alignment horizontal="left"/>
    </xf>
    <xf numFmtId="0" fontId="0" fillId="0" borderId="57" xfId="0" applyFont="1" applyBorder="1" applyAlignment="1">
      <alignment horizontal="center" vertical="center"/>
    </xf>
    <xf numFmtId="49" fontId="34" fillId="0" borderId="42" xfId="0" applyNumberFormat="1" applyFont="1" applyBorder="1" applyAlignment="1">
      <alignment horizontal="justify" vertical="center" wrapText="1"/>
    </xf>
    <xf numFmtId="0" fontId="36" fillId="0" borderId="41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6" fontId="36" fillId="0" borderId="45" xfId="0" applyNumberFormat="1" applyFont="1" applyBorder="1" applyAlignment="1">
      <alignment horizontal="center" vertical="center"/>
    </xf>
    <xf numFmtId="0" fontId="0" fillId="0" borderId="51" xfId="0" applyFont="1" applyBorder="1" applyAlignment="1">
      <alignment horizontal="left" vertical="center" wrapText="1"/>
    </xf>
    <xf numFmtId="0" fontId="0" fillId="0" borderId="57" xfId="0" applyFont="1" applyBorder="1" applyAlignment="1">
      <alignment horizontal="left" vertical="center"/>
    </xf>
    <xf numFmtId="0" fontId="31" fillId="0" borderId="23" xfId="0" applyFont="1" applyBorder="1" applyAlignment="1">
      <alignment vertical="center" wrapText="1"/>
    </xf>
    <xf numFmtId="0" fontId="34" fillId="0" borderId="45" xfId="0" applyFont="1" applyBorder="1" applyAlignment="1">
      <alignment vertical="center" wrapText="1"/>
    </xf>
    <xf numFmtId="0" fontId="34" fillId="0" borderId="65" xfId="0" applyFont="1" applyBorder="1" applyAlignment="1">
      <alignment horizontal="left" vertical="center" wrapText="1" indent="1"/>
    </xf>
    <xf numFmtId="0" fontId="0" fillId="0" borderId="57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31" fillId="0" borderId="63" xfId="0" applyFont="1" applyFill="1" applyBorder="1" applyAlignment="1">
      <alignment horizontal="left" vertical="center" wrapText="1"/>
    </xf>
    <xf numFmtId="0" fontId="0" fillId="0" borderId="41" xfId="0" applyBorder="1"/>
    <xf numFmtId="168" fontId="25" fillId="0" borderId="36" xfId="0" applyNumberFormat="1" applyFont="1" applyFill="1" applyBorder="1" applyAlignment="1">
      <alignment horizontal="center" vertical="center"/>
    </xf>
    <xf numFmtId="168" fontId="25" fillId="0" borderId="37" xfId="0" applyNumberFormat="1" applyFont="1" applyFill="1" applyBorder="1" applyAlignment="1">
      <alignment horizontal="center" vertical="center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6962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6"/>
  <sheetViews>
    <sheetView tabSelected="1" zoomScale="90" zoomScaleNormal="90" workbookViewId="0">
      <selection activeCell="D19" sqref="D19"/>
    </sheetView>
  </sheetViews>
  <sheetFormatPr baseColWidth="10" defaultRowHeight="15" x14ac:dyDescent="0.25"/>
  <cols>
    <col min="1" max="1" width="11.42578125" style="34"/>
    <col min="2" max="2" width="5.42578125" style="30" bestFit="1" customWidth="1"/>
    <col min="3" max="3" width="13.85546875" style="30" bestFit="1" customWidth="1"/>
    <col min="4" max="4" width="37" style="30" customWidth="1"/>
    <col min="5" max="5" width="5.5703125" style="30" customWidth="1"/>
    <col min="6" max="6" width="99.85546875" style="31" customWidth="1"/>
    <col min="7" max="7" width="15.5703125" style="30" bestFit="1" customWidth="1"/>
    <col min="8" max="8" width="5.5703125" style="30" hidden="1" customWidth="1"/>
    <col min="9" max="9" width="12.42578125" style="30" hidden="1" customWidth="1"/>
    <col min="10" max="10" width="8" style="30" hidden="1" customWidth="1"/>
    <col min="11" max="11" width="14.5703125" style="56" hidden="1" customWidth="1"/>
    <col min="12" max="12" width="12.42578125" style="30" hidden="1" customWidth="1"/>
    <col min="13" max="13" width="15.85546875" style="30" hidden="1" customWidth="1"/>
    <col min="14" max="14" width="8.28515625" style="30" hidden="1" customWidth="1"/>
    <col min="15" max="15" width="14.140625" style="30" hidden="1" customWidth="1"/>
    <col min="16" max="16" width="5.42578125" style="30" hidden="1" customWidth="1"/>
    <col min="17" max="17" width="12.42578125" style="30" hidden="1" customWidth="1"/>
    <col min="18" max="18" width="14.7109375" style="30" hidden="1" customWidth="1"/>
    <col min="19" max="19" width="14.42578125" style="30" hidden="1" customWidth="1"/>
    <col min="20" max="20" width="10.5703125" style="32" hidden="1" customWidth="1"/>
    <col min="21" max="21" width="13.85546875" style="56" hidden="1" customWidth="1"/>
    <col min="22" max="22" width="14.7109375" style="30" hidden="1" customWidth="1"/>
    <col min="23" max="23" width="16.42578125" style="30" hidden="1" customWidth="1"/>
    <col min="24" max="24" width="6" style="30" hidden="1" customWidth="1"/>
    <col min="25" max="25" width="18.42578125" style="56" hidden="1" customWidth="1"/>
    <col min="26" max="26" width="10.140625" style="30" hidden="1" customWidth="1"/>
    <col min="27" max="27" width="13.85546875" style="30" hidden="1" customWidth="1"/>
    <col min="28" max="28" width="14.42578125" style="30" hidden="1" customWidth="1"/>
    <col min="29" max="29" width="14.42578125" style="56" hidden="1" customWidth="1"/>
    <col min="30" max="30" width="6.42578125" style="30" hidden="1" customWidth="1"/>
    <col min="31" max="31" width="13.85546875" style="30" hidden="1" customWidth="1"/>
    <col min="32" max="32" width="10.140625" style="30" hidden="1" customWidth="1"/>
    <col min="33" max="33" width="13.5703125" style="56" hidden="1" customWidth="1"/>
    <col min="34" max="34" width="12.140625" style="30" hidden="1" customWidth="1"/>
    <col min="35" max="35" width="13" style="30" hidden="1" customWidth="1"/>
    <col min="36" max="36" width="10.5703125" style="30" hidden="1" customWidth="1"/>
    <col min="37" max="37" width="12.42578125" style="56" hidden="1" customWidth="1"/>
    <col min="38" max="38" width="7.7109375" style="30" hidden="1" customWidth="1"/>
    <col min="39" max="39" width="14.85546875" style="30" hidden="1" customWidth="1"/>
    <col min="40" max="40" width="6.5703125" style="30" hidden="1" customWidth="1"/>
    <col min="41" max="41" width="14.85546875" style="56" hidden="1" customWidth="1"/>
    <col min="42" max="42" width="14.85546875" style="30" hidden="1" customWidth="1"/>
    <col min="43" max="43" width="13.5703125" style="30" hidden="1" customWidth="1"/>
    <col min="44" max="44" width="13.85546875" style="30" hidden="1" customWidth="1"/>
    <col min="45" max="45" width="14.85546875" style="56" hidden="1" customWidth="1"/>
    <col min="46" max="46" width="15.28515625" style="38" hidden="1" customWidth="1"/>
    <col min="47" max="47" width="15.28515625" style="56" hidden="1" customWidth="1"/>
    <col min="48" max="48" width="7.28515625" style="38" hidden="1" customWidth="1"/>
    <col min="49" max="49" width="14.85546875" style="56" hidden="1" customWidth="1"/>
    <col min="50" max="50" width="13.85546875" style="38" hidden="1" customWidth="1"/>
    <col min="51" max="53" width="13.85546875" style="43" hidden="1" customWidth="1"/>
    <col min="54" max="54" width="11.28515625" style="32" bestFit="1" customWidth="1"/>
    <col min="55" max="55" width="13.85546875" style="56" customWidth="1"/>
    <col min="56" max="56" width="16.28515625" style="33" bestFit="1" customWidth="1"/>
    <col min="57" max="57" width="62" customWidth="1"/>
  </cols>
  <sheetData>
    <row r="1" spans="2:60" x14ac:dyDescent="0.25">
      <c r="B1" s="1">
        <v>2022</v>
      </c>
      <c r="C1" s="2"/>
      <c r="D1" s="3"/>
      <c r="E1" s="3"/>
      <c r="F1" s="4"/>
      <c r="G1" s="3"/>
      <c r="H1" s="3"/>
      <c r="I1" s="3"/>
      <c r="J1" s="3"/>
      <c r="K1" s="9"/>
      <c r="L1" s="3"/>
      <c r="M1" s="3"/>
      <c r="N1" s="5"/>
      <c r="O1" s="6"/>
      <c r="P1" s="7"/>
      <c r="Q1" s="3"/>
      <c r="R1" s="5"/>
      <c r="S1" s="3"/>
      <c r="T1" s="7"/>
      <c r="U1" s="9"/>
      <c r="V1" s="5"/>
      <c r="W1" s="3"/>
      <c r="X1" s="7"/>
      <c r="Y1" s="9"/>
      <c r="Z1" s="7"/>
      <c r="AA1" s="3"/>
      <c r="AB1" s="7"/>
      <c r="AC1" s="9"/>
      <c r="AD1" s="7"/>
      <c r="AE1" s="3"/>
      <c r="AF1" s="7"/>
      <c r="AG1" s="9"/>
      <c r="AH1" s="7"/>
      <c r="AI1" s="3"/>
      <c r="AJ1" s="7"/>
      <c r="AK1" s="9"/>
      <c r="AL1" s="7"/>
      <c r="AM1" s="3"/>
      <c r="AN1" s="7"/>
      <c r="AO1" s="9"/>
      <c r="AP1" s="7"/>
      <c r="AQ1" s="3"/>
      <c r="AR1" s="7"/>
      <c r="AS1" s="9"/>
      <c r="AT1" s="41"/>
      <c r="AU1" s="9"/>
      <c r="AV1" s="41"/>
      <c r="AW1" s="9"/>
      <c r="AX1" s="41"/>
      <c r="AY1" s="3"/>
      <c r="AZ1" s="3"/>
      <c r="BA1" s="3"/>
      <c r="BB1" s="7"/>
      <c r="BC1" s="8"/>
      <c r="BD1" s="9"/>
    </row>
    <row r="2" spans="2:60" s="67" customFormat="1" ht="18.75" x14ac:dyDescent="0.3">
      <c r="B2" s="65"/>
      <c r="C2" s="163" t="s">
        <v>0</v>
      </c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66"/>
    </row>
    <row r="3" spans="2:60" x14ac:dyDescent="0.25">
      <c r="B3" s="3"/>
      <c r="C3" s="2"/>
      <c r="D3" s="3"/>
      <c r="E3" s="3"/>
      <c r="F3" s="4"/>
      <c r="G3" s="3"/>
      <c r="H3" s="3"/>
      <c r="I3" s="3"/>
      <c r="J3" s="3"/>
      <c r="K3" s="9"/>
      <c r="L3" s="3"/>
      <c r="M3" s="3"/>
      <c r="N3" s="5"/>
      <c r="O3" s="6"/>
      <c r="P3" s="7"/>
      <c r="Q3" s="3"/>
      <c r="R3" s="5"/>
      <c r="S3" s="3"/>
      <c r="T3" s="7"/>
      <c r="U3" s="9"/>
      <c r="V3" s="5"/>
      <c r="W3" s="3"/>
      <c r="X3" s="7"/>
      <c r="Y3" s="9"/>
      <c r="Z3" s="7"/>
      <c r="AA3" s="3"/>
      <c r="AB3" s="7"/>
      <c r="AC3" s="9"/>
      <c r="AD3" s="7"/>
      <c r="AE3" s="3"/>
      <c r="AF3" s="7"/>
      <c r="AG3" s="9"/>
      <c r="AH3" s="7"/>
      <c r="AI3" s="3"/>
      <c r="AJ3" s="7"/>
      <c r="AK3" s="9"/>
      <c r="AL3" s="7"/>
      <c r="AM3" s="3"/>
      <c r="AN3" s="7"/>
      <c r="AO3" s="9"/>
      <c r="AP3" s="7"/>
      <c r="AQ3" s="3"/>
      <c r="AR3" s="7"/>
      <c r="AS3" s="9"/>
      <c r="AT3" s="41"/>
      <c r="AU3" s="9"/>
      <c r="AV3" s="41"/>
      <c r="AW3" s="9"/>
      <c r="AX3" s="41"/>
      <c r="AY3" s="3"/>
      <c r="AZ3" s="3"/>
      <c r="BA3" s="3"/>
      <c r="BB3" s="7"/>
      <c r="BC3" s="8"/>
      <c r="BD3" s="9"/>
    </row>
    <row r="4" spans="2:60" x14ac:dyDescent="0.25">
      <c r="B4" s="162" t="s">
        <v>1</v>
      </c>
      <c r="C4" s="162"/>
      <c r="D4" s="149" t="s">
        <v>2</v>
      </c>
      <c r="E4" s="149"/>
      <c r="F4" s="149"/>
      <c r="G4" s="10"/>
      <c r="H4" s="10"/>
      <c r="I4" s="10"/>
      <c r="J4" s="10"/>
      <c r="K4" s="55"/>
      <c r="L4" s="10"/>
      <c r="M4" s="10"/>
      <c r="N4" s="11"/>
      <c r="O4" s="12"/>
      <c r="P4" s="13"/>
      <c r="Q4" s="10"/>
      <c r="R4" s="11"/>
      <c r="S4" s="10"/>
      <c r="T4" s="13"/>
      <c r="U4" s="55"/>
      <c r="V4" s="11"/>
      <c r="W4" s="10"/>
      <c r="X4" s="13"/>
      <c r="Y4" s="55"/>
      <c r="Z4" s="13"/>
      <c r="AA4" s="10"/>
      <c r="AB4" s="13"/>
      <c r="AC4" s="55"/>
      <c r="AD4" s="13"/>
      <c r="AE4" s="10"/>
      <c r="AF4" s="13"/>
      <c r="AG4" s="55"/>
      <c r="AH4" s="13"/>
      <c r="AI4" s="10"/>
      <c r="AJ4" s="13"/>
      <c r="AK4" s="55"/>
      <c r="AL4" s="13"/>
      <c r="AM4" s="10"/>
      <c r="AN4" s="13"/>
      <c r="AO4" s="55"/>
      <c r="AP4" s="13"/>
      <c r="AQ4" s="10"/>
      <c r="AR4" s="13"/>
      <c r="AS4" s="55"/>
      <c r="AT4" s="36"/>
      <c r="AU4" s="55"/>
      <c r="AV4" s="36"/>
      <c r="AW4" s="55"/>
      <c r="AX4" s="36"/>
      <c r="AY4" s="10"/>
      <c r="AZ4" s="10"/>
      <c r="BA4" s="10"/>
      <c r="BB4" s="13"/>
      <c r="BC4" s="8"/>
      <c r="BD4" s="9"/>
    </row>
    <row r="5" spans="2:60" ht="15" customHeight="1" x14ac:dyDescent="0.25">
      <c r="B5" s="162" t="s">
        <v>3</v>
      </c>
      <c r="C5" s="162"/>
      <c r="D5" s="149" t="s">
        <v>4</v>
      </c>
      <c r="E5" s="149"/>
      <c r="F5" s="149"/>
      <c r="G5" s="10"/>
      <c r="H5" s="10"/>
      <c r="I5" s="10"/>
      <c r="J5" s="10"/>
      <c r="K5" s="55"/>
      <c r="L5" s="10"/>
      <c r="M5" s="10"/>
      <c r="N5" s="11"/>
      <c r="O5" s="12"/>
      <c r="P5" s="13"/>
      <c r="Q5" s="10"/>
      <c r="R5" s="11"/>
      <c r="S5" s="10"/>
      <c r="T5" s="13"/>
      <c r="U5" s="55"/>
      <c r="V5" s="11"/>
      <c r="W5" s="10"/>
      <c r="X5" s="13"/>
      <c r="Y5" s="55"/>
      <c r="Z5" s="13"/>
      <c r="AA5" s="10"/>
      <c r="AB5" s="13"/>
      <c r="AC5" s="55"/>
      <c r="AD5" s="13"/>
      <c r="AE5" s="10"/>
      <c r="AF5" s="13"/>
      <c r="AG5" s="55"/>
      <c r="AH5" s="13"/>
      <c r="AI5" s="10"/>
      <c r="AJ5" s="13"/>
      <c r="AK5" s="55"/>
      <c r="AL5" s="13"/>
      <c r="AM5" s="10"/>
      <c r="AN5" s="13"/>
      <c r="AO5" s="55"/>
      <c r="AP5" s="13"/>
      <c r="AQ5" s="10"/>
      <c r="AR5" s="13"/>
      <c r="AS5" s="55"/>
      <c r="AT5" s="36"/>
      <c r="AU5" s="55"/>
      <c r="AV5" s="36"/>
      <c r="AW5" s="55"/>
      <c r="AX5" s="36"/>
      <c r="AY5" s="10"/>
      <c r="AZ5" s="10"/>
      <c r="BA5" s="10"/>
      <c r="BB5" s="13"/>
      <c r="BC5" s="8"/>
      <c r="BD5" s="9"/>
    </row>
    <row r="6" spans="2:60" x14ac:dyDescent="0.25">
      <c r="B6" s="162" t="s">
        <v>5</v>
      </c>
      <c r="C6" s="162"/>
      <c r="D6" s="150">
        <v>2022</v>
      </c>
      <c r="E6" s="151"/>
      <c r="F6" s="150"/>
      <c r="G6" s="10"/>
      <c r="H6" s="10"/>
      <c r="I6" s="10"/>
      <c r="J6" s="10"/>
      <c r="K6" s="55"/>
      <c r="L6" s="10"/>
      <c r="M6" s="10"/>
      <c r="N6" s="11"/>
      <c r="O6" s="12"/>
      <c r="P6" s="13"/>
      <c r="Q6" s="10"/>
      <c r="R6" s="11"/>
      <c r="S6" s="10"/>
      <c r="T6" s="13"/>
      <c r="U6" s="55"/>
      <c r="V6" s="11"/>
      <c r="W6" s="10"/>
      <c r="X6" s="13"/>
      <c r="Y6" s="55"/>
      <c r="Z6" s="13"/>
      <c r="AA6" s="10"/>
      <c r="AB6" s="13"/>
      <c r="AC6" s="55"/>
      <c r="AD6" s="13"/>
      <c r="AE6" s="10"/>
      <c r="AF6" s="13"/>
      <c r="AG6" s="55"/>
      <c r="AH6" s="13"/>
      <c r="AI6" s="10"/>
      <c r="AJ6" s="13"/>
      <c r="AK6" s="55"/>
      <c r="AL6" s="13"/>
      <c r="AM6" s="10"/>
      <c r="AN6" s="13"/>
      <c r="AO6" s="55"/>
      <c r="AP6" s="13"/>
      <c r="AQ6" s="10"/>
      <c r="AR6" s="13"/>
      <c r="AS6" s="55"/>
      <c r="AT6" s="36"/>
      <c r="AU6" s="55"/>
      <c r="AV6" s="36"/>
      <c r="AW6" s="55"/>
      <c r="AX6" s="36"/>
      <c r="AY6" s="10"/>
      <c r="AZ6" s="10"/>
      <c r="BA6" s="10"/>
      <c r="BB6" s="13"/>
      <c r="BC6" s="8"/>
      <c r="BD6" s="9"/>
    </row>
    <row r="7" spans="2:60" ht="14.45" customHeight="1" x14ac:dyDescent="0.25">
      <c r="B7" s="162" t="s">
        <v>6</v>
      </c>
      <c r="C7" s="162"/>
      <c r="D7" s="150" t="s">
        <v>67</v>
      </c>
      <c r="E7" s="151"/>
      <c r="F7" s="150"/>
      <c r="G7" s="10"/>
      <c r="H7" s="10"/>
      <c r="I7" s="10"/>
      <c r="J7" s="10"/>
      <c r="K7" s="55"/>
      <c r="L7" s="10"/>
      <c r="M7" s="10"/>
      <c r="N7" s="11"/>
      <c r="O7" s="12"/>
      <c r="P7" s="13"/>
      <c r="Q7" s="10"/>
      <c r="R7" s="11"/>
      <c r="S7" s="10"/>
      <c r="T7" s="13"/>
      <c r="U7" s="55"/>
      <c r="V7" s="11"/>
      <c r="W7" s="10"/>
      <c r="X7" s="13"/>
      <c r="Y7" s="55"/>
      <c r="Z7" s="13"/>
      <c r="AA7" s="10"/>
      <c r="AB7" s="13"/>
      <c r="AC7" s="55"/>
      <c r="AD7" s="13"/>
      <c r="AE7" s="10"/>
      <c r="AF7" s="13"/>
      <c r="AG7" s="55"/>
      <c r="AH7" s="13"/>
      <c r="AI7" s="10"/>
      <c r="AJ7" s="13"/>
      <c r="AK7" s="55"/>
      <c r="AL7" s="13"/>
      <c r="AM7" s="10"/>
      <c r="AN7" s="13"/>
      <c r="AO7" s="55"/>
      <c r="AP7" s="13"/>
      <c r="AQ7" s="10"/>
      <c r="AR7" s="13"/>
      <c r="AS7" s="55"/>
      <c r="AT7" s="36"/>
      <c r="AU7" s="55"/>
      <c r="AV7" s="36"/>
      <c r="AW7" s="55"/>
      <c r="AX7" s="36"/>
      <c r="AY7" s="10"/>
      <c r="AZ7" s="10"/>
      <c r="BA7" s="10"/>
      <c r="BB7" s="13"/>
      <c r="BC7" s="8"/>
      <c r="BD7" s="9"/>
    </row>
    <row r="8" spans="2:60" x14ac:dyDescent="0.25">
      <c r="B8" s="3"/>
      <c r="C8" s="10"/>
      <c r="D8" s="10"/>
      <c r="E8" s="10"/>
      <c r="F8" s="14"/>
      <c r="G8" s="10"/>
      <c r="H8" s="10"/>
      <c r="I8" s="10"/>
      <c r="J8" s="10"/>
      <c r="K8" s="55"/>
      <c r="L8" s="10"/>
      <c r="M8" s="10"/>
      <c r="N8" s="11"/>
      <c r="O8" s="12"/>
      <c r="P8" s="13"/>
      <c r="Q8" s="10"/>
      <c r="R8" s="11"/>
      <c r="S8" s="10"/>
      <c r="T8" s="13"/>
      <c r="U8" s="55"/>
      <c r="V8" s="11"/>
      <c r="W8" s="10"/>
      <c r="X8" s="13"/>
      <c r="Y8" s="55"/>
      <c r="Z8" s="13"/>
      <c r="AA8" s="10"/>
      <c r="AB8" s="13"/>
      <c r="AC8" s="55"/>
      <c r="AD8" s="13"/>
      <c r="AE8" s="10"/>
      <c r="AF8" s="13"/>
      <c r="AG8" s="55"/>
      <c r="AH8" s="13"/>
      <c r="AI8" s="10"/>
      <c r="AJ8" s="13"/>
      <c r="AK8" s="55"/>
      <c r="AL8" s="13"/>
      <c r="AM8" s="10"/>
      <c r="AN8" s="13"/>
      <c r="AO8" s="55"/>
      <c r="AP8" s="13"/>
      <c r="AQ8" s="10"/>
      <c r="AR8" s="13"/>
      <c r="AS8" s="55"/>
      <c r="AT8" s="36"/>
      <c r="AU8" s="55"/>
      <c r="AV8" s="36"/>
      <c r="AW8" s="55"/>
      <c r="AX8" s="36"/>
      <c r="AY8" s="10"/>
      <c r="AZ8" s="10"/>
      <c r="BA8" s="10"/>
      <c r="BB8" s="13"/>
      <c r="BC8" s="8"/>
      <c r="BD8" s="9"/>
    </row>
    <row r="9" spans="2:60" ht="51.75" thickBot="1" x14ac:dyDescent="0.3">
      <c r="B9" s="15" t="s">
        <v>7</v>
      </c>
      <c r="C9" s="15" t="s">
        <v>8</v>
      </c>
      <c r="D9" s="16" t="s">
        <v>9</v>
      </c>
      <c r="E9" s="15" t="s">
        <v>10</v>
      </c>
      <c r="F9" s="17" t="s">
        <v>11</v>
      </c>
      <c r="G9" s="16" t="s">
        <v>12</v>
      </c>
      <c r="H9" s="16" t="s">
        <v>78</v>
      </c>
      <c r="I9" s="16" t="s">
        <v>13</v>
      </c>
      <c r="J9" s="42" t="s">
        <v>14</v>
      </c>
      <c r="K9" s="23" t="s">
        <v>15</v>
      </c>
      <c r="L9" s="16" t="s">
        <v>16</v>
      </c>
      <c r="M9" s="16" t="s">
        <v>17</v>
      </c>
      <c r="N9" s="18" t="s">
        <v>18</v>
      </c>
      <c r="O9" s="19" t="s">
        <v>19</v>
      </c>
      <c r="P9" s="20" t="s">
        <v>20</v>
      </c>
      <c r="Q9" s="16" t="s">
        <v>21</v>
      </c>
      <c r="R9" s="18" t="s">
        <v>22</v>
      </c>
      <c r="S9" s="16" t="s">
        <v>23</v>
      </c>
      <c r="T9" s="20" t="s">
        <v>24</v>
      </c>
      <c r="U9" s="23" t="s">
        <v>25</v>
      </c>
      <c r="V9" s="18" t="s">
        <v>26</v>
      </c>
      <c r="W9" s="16" t="s">
        <v>27</v>
      </c>
      <c r="X9" s="20" t="s">
        <v>28</v>
      </c>
      <c r="Y9" s="23" t="s">
        <v>51</v>
      </c>
      <c r="Z9" s="20" t="s">
        <v>63</v>
      </c>
      <c r="AA9" s="16" t="s">
        <v>64</v>
      </c>
      <c r="AB9" s="20" t="s">
        <v>29</v>
      </c>
      <c r="AC9" s="23" t="s">
        <v>30</v>
      </c>
      <c r="AD9" s="21" t="s">
        <v>31</v>
      </c>
      <c r="AE9" s="16" t="s">
        <v>32</v>
      </c>
      <c r="AF9" s="20" t="s">
        <v>33</v>
      </c>
      <c r="AG9" s="23" t="s">
        <v>34</v>
      </c>
      <c r="AH9" s="20" t="s">
        <v>35</v>
      </c>
      <c r="AI9" s="16" t="s">
        <v>36</v>
      </c>
      <c r="AJ9" s="20" t="s">
        <v>57</v>
      </c>
      <c r="AK9" s="23" t="s">
        <v>58</v>
      </c>
      <c r="AL9" s="20" t="s">
        <v>61</v>
      </c>
      <c r="AM9" s="16" t="s">
        <v>62</v>
      </c>
      <c r="AN9" s="21" t="s">
        <v>37</v>
      </c>
      <c r="AO9" s="23" t="s">
        <v>38</v>
      </c>
      <c r="AP9" s="21" t="s">
        <v>39</v>
      </c>
      <c r="AQ9" s="16" t="s">
        <v>40</v>
      </c>
      <c r="AR9" s="21" t="s">
        <v>41</v>
      </c>
      <c r="AS9" s="84" t="s">
        <v>42</v>
      </c>
      <c r="AT9" s="40" t="s">
        <v>52</v>
      </c>
      <c r="AU9" s="23" t="s">
        <v>53</v>
      </c>
      <c r="AV9" s="40" t="s">
        <v>55</v>
      </c>
      <c r="AW9" s="23" t="s">
        <v>56</v>
      </c>
      <c r="AX9" s="40" t="s">
        <v>59</v>
      </c>
      <c r="AY9" s="16" t="s">
        <v>60</v>
      </c>
      <c r="AZ9" s="69" t="s">
        <v>66</v>
      </c>
      <c r="BA9" s="69" t="s">
        <v>65</v>
      </c>
      <c r="BB9" s="89" t="s">
        <v>43</v>
      </c>
      <c r="BC9" s="22" t="s">
        <v>44</v>
      </c>
      <c r="BD9" s="23" t="s">
        <v>45</v>
      </c>
      <c r="BE9" s="24" t="s">
        <v>46</v>
      </c>
      <c r="BF9" s="34"/>
    </row>
    <row r="10" spans="2:60" s="29" customFormat="1" ht="51.75" thickBot="1" x14ac:dyDescent="0.25">
      <c r="B10" s="57">
        <v>1</v>
      </c>
      <c r="C10" s="25" t="s">
        <v>125</v>
      </c>
      <c r="D10" s="25" t="s">
        <v>47</v>
      </c>
      <c r="E10" s="25" t="s">
        <v>48</v>
      </c>
      <c r="F10" s="58" t="s">
        <v>126</v>
      </c>
      <c r="G10" s="57" t="s">
        <v>49</v>
      </c>
      <c r="H10" s="46">
        <v>700</v>
      </c>
      <c r="I10" s="48">
        <f>+H10*BC10</f>
        <v>166040</v>
      </c>
      <c r="J10" s="46"/>
      <c r="K10" s="48"/>
      <c r="L10" s="48"/>
      <c r="M10" s="46"/>
      <c r="N10" s="46"/>
      <c r="O10" s="48"/>
      <c r="P10" s="46">
        <v>250</v>
      </c>
      <c r="Q10" s="48">
        <f>+P10*BC10</f>
        <v>59300</v>
      </c>
      <c r="R10" s="46"/>
      <c r="S10" s="48"/>
      <c r="T10" s="63"/>
      <c r="U10" s="48"/>
      <c r="V10" s="57"/>
      <c r="W10" s="59"/>
      <c r="X10" s="46">
        <v>21000</v>
      </c>
      <c r="Y10" s="48">
        <f>+X10*BC10</f>
        <v>4981200</v>
      </c>
      <c r="Z10" s="46"/>
      <c r="AA10" s="46"/>
      <c r="AB10" s="46"/>
      <c r="AC10" s="48"/>
      <c r="AD10" s="46">
        <v>16000</v>
      </c>
      <c r="AE10" s="48">
        <f>+AD10*BC10</f>
        <v>3795200</v>
      </c>
      <c r="AF10" s="46">
        <v>1500</v>
      </c>
      <c r="AG10" s="48">
        <f>+AF10*BC10</f>
        <v>355800</v>
      </c>
      <c r="AH10" s="46">
        <v>700</v>
      </c>
      <c r="AI10" s="48">
        <f>+AH10*BC10</f>
        <v>166040</v>
      </c>
      <c r="AJ10" s="46">
        <v>550</v>
      </c>
      <c r="AK10" s="48">
        <f>+AJ10*BC10</f>
        <v>130460</v>
      </c>
      <c r="AL10" s="46"/>
      <c r="AM10" s="48"/>
      <c r="AN10" s="46"/>
      <c r="AO10" s="48"/>
      <c r="AP10" s="46"/>
      <c r="AQ10" s="48"/>
      <c r="AR10" s="85">
        <v>31500</v>
      </c>
      <c r="AS10" s="86">
        <f>+AR10*BC10</f>
        <v>7471800</v>
      </c>
      <c r="AT10" s="47"/>
      <c r="AU10" s="48"/>
      <c r="AV10" s="47">
        <v>1700</v>
      </c>
      <c r="AW10" s="48">
        <f>+AV10*BC10</f>
        <v>403240</v>
      </c>
      <c r="AX10" s="64">
        <v>0</v>
      </c>
      <c r="AY10" s="68">
        <f>+AX10*BC10</f>
        <v>0</v>
      </c>
      <c r="AZ10" s="87">
        <v>11000</v>
      </c>
      <c r="BA10" s="88">
        <f>+AZ10*BC10</f>
        <v>2609200</v>
      </c>
      <c r="BB10" s="39">
        <f>+AR10+AP10+AN10+AL10+AJ10+AH10+AF10+AD10+AB10+Z10+X10+V10+T10+R10+P10+N10+L10+J10+AT10+H10+AV10+AX10+AZ10</f>
        <v>84900</v>
      </c>
      <c r="BC10" s="60">
        <v>237.2</v>
      </c>
      <c r="BD10" s="35">
        <f>+BB10*BC10</f>
        <v>20138280</v>
      </c>
      <c r="BE10" s="51" t="s">
        <v>54</v>
      </c>
      <c r="BF10" s="52"/>
      <c r="BG10" s="52"/>
      <c r="BH10" s="52"/>
    </row>
    <row r="11" spans="2:60" s="54" customFormat="1" ht="13.5" thickBot="1" x14ac:dyDescent="0.25">
      <c r="B11" s="49"/>
      <c r="C11" s="62"/>
      <c r="D11" s="27"/>
      <c r="E11" s="27"/>
      <c r="F11" s="26" t="s">
        <v>50</v>
      </c>
      <c r="G11" s="27"/>
      <c r="H11" s="27"/>
      <c r="I11" s="27"/>
      <c r="J11" s="27"/>
      <c r="K11" s="50"/>
      <c r="L11" s="27"/>
      <c r="M11" s="27"/>
      <c r="N11" s="27"/>
      <c r="O11" s="27"/>
      <c r="P11" s="27"/>
      <c r="Q11" s="50">
        <f t="shared" ref="Q11" si="0">+P11*BC11</f>
        <v>0</v>
      </c>
      <c r="R11" s="27"/>
      <c r="S11" s="27"/>
      <c r="T11" s="28"/>
      <c r="U11" s="50"/>
      <c r="V11" s="27"/>
      <c r="W11" s="27"/>
      <c r="X11" s="27"/>
      <c r="Y11" s="50"/>
      <c r="Z11" s="27"/>
      <c r="AA11" s="27"/>
      <c r="AB11" s="27"/>
      <c r="AC11" s="50"/>
      <c r="AD11" s="27"/>
      <c r="AE11" s="27"/>
      <c r="AF11" s="27"/>
      <c r="AG11" s="50"/>
      <c r="AH11" s="27"/>
      <c r="AI11" s="27"/>
      <c r="AJ11" s="27"/>
      <c r="AK11" s="50"/>
      <c r="AL11" s="27"/>
      <c r="AM11" s="27"/>
      <c r="AN11" s="27"/>
      <c r="AO11" s="50"/>
      <c r="AP11" s="27"/>
      <c r="AQ11" s="27"/>
      <c r="AR11" s="27"/>
      <c r="AS11" s="50"/>
      <c r="AT11" s="37"/>
      <c r="AU11" s="50"/>
      <c r="AV11" s="37"/>
      <c r="AW11" s="50"/>
      <c r="AX11" s="45"/>
      <c r="AY11" s="44"/>
      <c r="AZ11" s="44"/>
      <c r="BA11" s="44"/>
      <c r="BB11" s="39"/>
      <c r="BC11" s="50"/>
      <c r="BD11" s="61">
        <f>+SUM(BD10:BD10)</f>
        <v>20138280</v>
      </c>
      <c r="BE11" s="53"/>
    </row>
    <row r="12" spans="2:60" ht="15.75" thickBot="1" x14ac:dyDescent="0.3"/>
    <row r="13" spans="2:60" ht="18.75" x14ac:dyDescent="0.25">
      <c r="D13" s="164" t="s">
        <v>68</v>
      </c>
      <c r="E13" s="165"/>
      <c r="F13" s="166"/>
    </row>
    <row r="14" spans="2:60" ht="54" customHeight="1" x14ac:dyDescent="0.25">
      <c r="D14" s="70" t="s">
        <v>69</v>
      </c>
      <c r="E14" s="167" t="s">
        <v>127</v>
      </c>
      <c r="F14" s="168"/>
    </row>
    <row r="15" spans="2:60" ht="35.25" customHeight="1" x14ac:dyDescent="0.25">
      <c r="D15" s="174" t="s">
        <v>764</v>
      </c>
      <c r="E15" s="175"/>
      <c r="F15" s="176"/>
    </row>
    <row r="16" spans="2:60" s="34" customFormat="1" x14ac:dyDescent="0.25">
      <c r="B16" s="43"/>
      <c r="C16" s="43"/>
      <c r="D16" s="152"/>
      <c r="E16" s="153"/>
      <c r="F16" s="154"/>
      <c r="G16" s="43"/>
      <c r="H16" s="43"/>
      <c r="I16" s="43"/>
      <c r="J16" s="43"/>
      <c r="K16" s="56"/>
      <c r="L16" s="43"/>
      <c r="M16" s="43"/>
      <c r="N16" s="43"/>
      <c r="O16" s="43"/>
      <c r="P16" s="43"/>
      <c r="Q16" s="43"/>
      <c r="R16" s="43"/>
      <c r="S16" s="43"/>
      <c r="T16" s="32"/>
      <c r="U16" s="56"/>
      <c r="V16" s="43"/>
      <c r="W16" s="43"/>
      <c r="X16" s="43"/>
      <c r="Y16" s="56"/>
      <c r="Z16" s="43"/>
      <c r="AA16" s="43"/>
      <c r="AB16" s="43"/>
      <c r="AC16" s="56"/>
      <c r="AD16" s="43"/>
      <c r="AE16" s="43"/>
      <c r="AF16" s="43"/>
      <c r="AG16" s="56"/>
      <c r="AH16" s="43"/>
      <c r="AI16" s="43"/>
      <c r="AJ16" s="43"/>
      <c r="AK16" s="56"/>
      <c r="AL16" s="43"/>
      <c r="AM16" s="43"/>
      <c r="AN16" s="43"/>
      <c r="AO16" s="56"/>
      <c r="AP16" s="43"/>
      <c r="AQ16" s="43"/>
      <c r="AR16" s="43"/>
      <c r="AS16" s="56"/>
      <c r="AT16" s="38"/>
      <c r="AU16" s="56"/>
      <c r="AV16" s="38"/>
      <c r="AW16" s="56"/>
      <c r="AX16" s="38"/>
      <c r="AY16" s="43"/>
      <c r="AZ16" s="43"/>
      <c r="BA16" s="43"/>
      <c r="BB16" s="32"/>
      <c r="BC16" s="56"/>
      <c r="BD16" s="56"/>
    </row>
    <row r="17" spans="4:6" x14ac:dyDescent="0.25">
      <c r="D17" s="169" t="s">
        <v>70</v>
      </c>
      <c r="E17" s="170"/>
      <c r="F17" s="171"/>
    </row>
    <row r="18" spans="4:6" x14ac:dyDescent="0.25">
      <c r="D18" s="70"/>
      <c r="E18" s="71"/>
      <c r="F18" s="72"/>
    </row>
    <row r="19" spans="4:6" x14ac:dyDescent="0.25">
      <c r="D19" s="70" t="s">
        <v>71</v>
      </c>
      <c r="E19" s="73" t="s">
        <v>72</v>
      </c>
      <c r="F19" s="74"/>
    </row>
    <row r="20" spans="4:6" x14ac:dyDescent="0.25">
      <c r="D20" s="70"/>
      <c r="E20" s="75"/>
      <c r="F20" s="74"/>
    </row>
    <row r="21" spans="4:6" x14ac:dyDescent="0.25">
      <c r="D21" s="70" t="s">
        <v>73</v>
      </c>
      <c r="E21" s="167" t="s">
        <v>74</v>
      </c>
      <c r="F21" s="168"/>
    </row>
    <row r="22" spans="4:6" x14ac:dyDescent="0.25">
      <c r="D22" s="70"/>
      <c r="E22" s="76"/>
      <c r="F22" s="77"/>
    </row>
    <row r="23" spans="4:6" x14ac:dyDescent="0.25">
      <c r="D23" s="78" t="s">
        <v>75</v>
      </c>
      <c r="E23" s="79"/>
      <c r="F23" s="80"/>
    </row>
    <row r="24" spans="4:6" x14ac:dyDescent="0.25">
      <c r="D24" s="78"/>
      <c r="E24" s="79"/>
      <c r="F24" s="80"/>
    </row>
    <row r="25" spans="4:6" x14ac:dyDescent="0.25">
      <c r="D25" s="78" t="s">
        <v>76</v>
      </c>
      <c r="E25" s="172" t="s">
        <v>77</v>
      </c>
      <c r="F25" s="173"/>
    </row>
    <row r="26" spans="4:6" ht="15.75" thickBot="1" x14ac:dyDescent="0.3">
      <c r="D26" s="81"/>
      <c r="E26" s="82"/>
      <c r="F26" s="83"/>
    </row>
  </sheetData>
  <mergeCells count="11">
    <mergeCell ref="D13:F13"/>
    <mergeCell ref="E14:F14"/>
    <mergeCell ref="D17:F17"/>
    <mergeCell ref="E21:F21"/>
    <mergeCell ref="E25:F25"/>
    <mergeCell ref="D15:F15"/>
    <mergeCell ref="B7:C7"/>
    <mergeCell ref="C2:BC2"/>
    <mergeCell ref="B4:C4"/>
    <mergeCell ref="B5:C5"/>
    <mergeCell ref="B6:C6"/>
  </mergeCells>
  <conditionalFormatting sqref="C11">
    <cfRule type="duplicateValues" dxfId="13" priority="226"/>
  </conditionalFormatting>
  <conditionalFormatting sqref="F11">
    <cfRule type="duplicateValues" dxfId="12" priority="227"/>
  </conditionalFormatting>
  <conditionalFormatting sqref="F11">
    <cfRule type="duplicateValues" dxfId="11" priority="228"/>
    <cfRule type="duplicateValues" dxfId="10" priority="229"/>
  </conditionalFormatting>
  <conditionalFormatting sqref="F11 C11">
    <cfRule type="duplicateValues" dxfId="9" priority="230"/>
  </conditionalFormatting>
  <conditionalFormatting sqref="F11">
    <cfRule type="duplicateValues" dxfId="8" priority="231"/>
  </conditionalFormatting>
  <conditionalFormatting sqref="C1:C9 F1:F9">
    <cfRule type="duplicateValues" dxfId="7" priority="257"/>
  </conditionalFormatting>
  <conditionalFormatting sqref="F1:F9 C1:C9">
    <cfRule type="duplicateValues" dxfId="6" priority="258"/>
  </conditionalFormatting>
  <conditionalFormatting sqref="C1:C9">
    <cfRule type="duplicateValues" dxfId="5" priority="621"/>
  </conditionalFormatting>
  <conditionalFormatting sqref="F1:F9">
    <cfRule type="duplicateValues" dxfId="4" priority="622"/>
  </conditionalFormatting>
  <conditionalFormatting sqref="F1:F9">
    <cfRule type="duplicateValues" dxfId="3" priority="623"/>
    <cfRule type="duplicateValues" dxfId="2" priority="624"/>
  </conditionalFormatting>
  <conditionalFormatting sqref="D14:D25">
    <cfRule type="duplicateValues" dxfId="1" priority="1"/>
  </conditionalFormatting>
  <conditionalFormatting sqref="D14:D2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8"/>
  <sheetViews>
    <sheetView workbookViewId="0">
      <selection activeCell="B184" sqref="B184"/>
    </sheetView>
  </sheetViews>
  <sheetFormatPr baseColWidth="10" defaultRowHeight="15" x14ac:dyDescent="0.25"/>
  <cols>
    <col min="1" max="1" width="4" bestFit="1" customWidth="1"/>
    <col min="2" max="2" width="66.140625" bestFit="1" customWidth="1"/>
    <col min="3" max="3" width="11.140625" bestFit="1" customWidth="1"/>
    <col min="4" max="4" width="19.7109375" bestFit="1" customWidth="1"/>
    <col min="5" max="5" width="21.42578125" bestFit="1" customWidth="1"/>
    <col min="6" max="6" width="5" bestFit="1" customWidth="1"/>
    <col min="7" max="7" width="18.28515625" bestFit="1" customWidth="1"/>
  </cols>
  <sheetData>
    <row r="1" spans="1:7" ht="18.75" x14ac:dyDescent="0.3">
      <c r="A1" s="177" t="s">
        <v>153</v>
      </c>
      <c r="B1" s="177"/>
      <c r="C1" s="177"/>
      <c r="D1" s="177"/>
      <c r="E1" s="177"/>
      <c r="F1" s="177"/>
      <c r="G1" s="177"/>
    </row>
    <row r="2" spans="1:7" x14ac:dyDescent="0.25">
      <c r="A2" s="34"/>
      <c r="B2" s="34"/>
      <c r="C2" s="157"/>
      <c r="D2" s="157"/>
      <c r="E2" s="157"/>
      <c r="F2" s="157"/>
      <c r="G2" s="157"/>
    </row>
    <row r="3" spans="1:7" ht="15.75" x14ac:dyDescent="0.25">
      <c r="A3" s="158"/>
      <c r="B3" s="158" t="s">
        <v>154</v>
      </c>
      <c r="C3" s="158" t="s">
        <v>155</v>
      </c>
      <c r="D3" s="158" t="s">
        <v>156</v>
      </c>
      <c r="E3" s="158" t="s">
        <v>157</v>
      </c>
      <c r="F3" s="158" t="s">
        <v>158</v>
      </c>
      <c r="G3" s="158" t="s">
        <v>159</v>
      </c>
    </row>
    <row r="4" spans="1:7" x14ac:dyDescent="0.25">
      <c r="A4" s="159">
        <v>1</v>
      </c>
      <c r="B4" s="159" t="s">
        <v>160</v>
      </c>
      <c r="C4" s="160" t="s">
        <v>161</v>
      </c>
      <c r="D4" s="160">
        <v>7166186</v>
      </c>
      <c r="E4" s="160" t="s">
        <v>162</v>
      </c>
      <c r="F4" s="160">
        <v>2014</v>
      </c>
      <c r="G4" s="160" t="s">
        <v>163</v>
      </c>
    </row>
    <row r="5" spans="1:7" x14ac:dyDescent="0.25">
      <c r="A5" s="159">
        <v>2</v>
      </c>
      <c r="B5" s="159" t="s">
        <v>160</v>
      </c>
      <c r="C5" s="160" t="s">
        <v>164</v>
      </c>
      <c r="D5" s="160">
        <v>7167174</v>
      </c>
      <c r="E5" s="160" t="s">
        <v>165</v>
      </c>
      <c r="F5" s="160">
        <v>2014</v>
      </c>
      <c r="G5" s="160" t="s">
        <v>163</v>
      </c>
    </row>
    <row r="6" spans="1:7" x14ac:dyDescent="0.25">
      <c r="A6" s="159">
        <v>3</v>
      </c>
      <c r="B6" s="159" t="s">
        <v>160</v>
      </c>
      <c r="C6" s="160" t="s">
        <v>166</v>
      </c>
      <c r="D6" s="160">
        <v>7188314</v>
      </c>
      <c r="E6" s="160" t="s">
        <v>167</v>
      </c>
      <c r="F6" s="160">
        <v>2014</v>
      </c>
      <c r="G6" s="160" t="s">
        <v>163</v>
      </c>
    </row>
    <row r="7" spans="1:7" x14ac:dyDescent="0.25">
      <c r="A7" s="159">
        <v>4</v>
      </c>
      <c r="B7" s="159" t="s">
        <v>160</v>
      </c>
      <c r="C7" s="160" t="s">
        <v>168</v>
      </c>
      <c r="D7" s="160">
        <v>72497599</v>
      </c>
      <c r="E7" s="160" t="s">
        <v>169</v>
      </c>
      <c r="F7" s="160">
        <v>2017</v>
      </c>
      <c r="G7" s="160" t="s">
        <v>163</v>
      </c>
    </row>
    <row r="8" spans="1:7" x14ac:dyDescent="0.25">
      <c r="A8" s="159">
        <v>5</v>
      </c>
      <c r="B8" s="159" t="s">
        <v>170</v>
      </c>
      <c r="C8" s="160" t="s">
        <v>171</v>
      </c>
      <c r="D8" s="160">
        <v>72497500</v>
      </c>
      <c r="E8" s="160" t="s">
        <v>172</v>
      </c>
      <c r="F8" s="160">
        <v>2017</v>
      </c>
      <c r="G8" s="160" t="s">
        <v>163</v>
      </c>
    </row>
    <row r="9" spans="1:7" x14ac:dyDescent="0.25">
      <c r="A9" s="159">
        <v>6</v>
      </c>
      <c r="B9" s="159" t="s">
        <v>160</v>
      </c>
      <c r="C9" s="160" t="s">
        <v>173</v>
      </c>
      <c r="D9" s="160">
        <v>7155140</v>
      </c>
      <c r="E9" s="160" t="s">
        <v>174</v>
      </c>
      <c r="F9" s="160">
        <v>2013</v>
      </c>
      <c r="G9" s="160" t="s">
        <v>163</v>
      </c>
    </row>
    <row r="10" spans="1:7" x14ac:dyDescent="0.25">
      <c r="A10" s="159">
        <v>7</v>
      </c>
      <c r="B10" s="159" t="s">
        <v>160</v>
      </c>
      <c r="C10" s="160" t="s">
        <v>175</v>
      </c>
      <c r="D10" s="160">
        <v>7257521</v>
      </c>
      <c r="E10" s="160" t="s">
        <v>176</v>
      </c>
      <c r="F10" s="160">
        <v>2017</v>
      </c>
      <c r="G10" s="160" t="s">
        <v>163</v>
      </c>
    </row>
    <row r="11" spans="1:7" x14ac:dyDescent="0.25">
      <c r="A11" s="159">
        <v>8</v>
      </c>
      <c r="B11" s="159" t="s">
        <v>160</v>
      </c>
      <c r="C11" s="160" t="s">
        <v>177</v>
      </c>
      <c r="D11" s="160">
        <v>7257618</v>
      </c>
      <c r="E11" s="160" t="s">
        <v>178</v>
      </c>
      <c r="F11" s="160">
        <v>2017</v>
      </c>
      <c r="G11" s="160" t="s">
        <v>163</v>
      </c>
    </row>
    <row r="12" spans="1:7" x14ac:dyDescent="0.25">
      <c r="A12" s="159">
        <v>9</v>
      </c>
      <c r="B12" s="159" t="s">
        <v>179</v>
      </c>
      <c r="C12" s="160" t="s">
        <v>180</v>
      </c>
      <c r="D12" s="160" t="s">
        <v>181</v>
      </c>
      <c r="E12" s="160" t="s">
        <v>182</v>
      </c>
      <c r="F12" s="160">
        <v>2019</v>
      </c>
      <c r="G12" s="160" t="s">
        <v>163</v>
      </c>
    </row>
    <row r="13" spans="1:7" x14ac:dyDescent="0.25">
      <c r="A13" s="159">
        <v>10</v>
      </c>
      <c r="B13" s="159" t="s">
        <v>179</v>
      </c>
      <c r="C13" s="160" t="s">
        <v>183</v>
      </c>
      <c r="D13" s="160" t="s">
        <v>184</v>
      </c>
      <c r="E13" s="160" t="s">
        <v>185</v>
      </c>
      <c r="F13" s="160">
        <v>2019</v>
      </c>
      <c r="G13" s="160" t="s">
        <v>163</v>
      </c>
    </row>
    <row r="14" spans="1:7" x14ac:dyDescent="0.25">
      <c r="A14" s="159">
        <v>11</v>
      </c>
      <c r="B14" s="159" t="s">
        <v>186</v>
      </c>
      <c r="C14" s="160" t="s">
        <v>187</v>
      </c>
      <c r="D14" s="160" t="s">
        <v>188</v>
      </c>
      <c r="E14" s="160" t="s">
        <v>189</v>
      </c>
      <c r="F14" s="160">
        <v>2013</v>
      </c>
      <c r="G14" s="160" t="s">
        <v>163</v>
      </c>
    </row>
    <row r="15" spans="1:7" x14ac:dyDescent="0.25">
      <c r="A15" s="159">
        <v>12</v>
      </c>
      <c r="B15" s="159" t="s">
        <v>190</v>
      </c>
      <c r="C15" s="160" t="s">
        <v>191</v>
      </c>
      <c r="D15" s="160" t="s">
        <v>192</v>
      </c>
      <c r="E15" s="160" t="s">
        <v>193</v>
      </c>
      <c r="F15" s="160">
        <v>2013</v>
      </c>
      <c r="G15" s="160" t="s">
        <v>163</v>
      </c>
    </row>
    <row r="16" spans="1:7" x14ac:dyDescent="0.25">
      <c r="A16" s="159">
        <v>13</v>
      </c>
      <c r="B16" s="159" t="s">
        <v>194</v>
      </c>
      <c r="C16" s="160" t="s">
        <v>195</v>
      </c>
      <c r="D16" s="161">
        <v>61198170090932</v>
      </c>
      <c r="E16" s="160" t="s">
        <v>196</v>
      </c>
      <c r="F16" s="160">
        <v>2008</v>
      </c>
      <c r="G16" s="160" t="s">
        <v>197</v>
      </c>
    </row>
    <row r="17" spans="1:7" x14ac:dyDescent="0.25">
      <c r="A17" s="159">
        <v>14</v>
      </c>
      <c r="B17" s="159" t="s">
        <v>198</v>
      </c>
      <c r="C17" s="160" t="s">
        <v>199</v>
      </c>
      <c r="D17" s="160" t="s">
        <v>200</v>
      </c>
      <c r="E17" s="160" t="s">
        <v>201</v>
      </c>
      <c r="F17" s="160">
        <v>2011</v>
      </c>
      <c r="G17" s="160" t="s">
        <v>202</v>
      </c>
    </row>
    <row r="18" spans="1:7" x14ac:dyDescent="0.25">
      <c r="A18" s="159">
        <v>15</v>
      </c>
      <c r="B18" s="159" t="s">
        <v>203</v>
      </c>
      <c r="C18" s="160" t="s">
        <v>204</v>
      </c>
      <c r="D18" s="161">
        <v>37290710141314</v>
      </c>
      <c r="E18" s="161">
        <v>38400712097854</v>
      </c>
      <c r="F18" s="160">
        <v>1993</v>
      </c>
      <c r="G18" s="160" t="s">
        <v>197</v>
      </c>
    </row>
    <row r="19" spans="1:7" x14ac:dyDescent="0.25">
      <c r="A19" s="159">
        <v>16</v>
      </c>
      <c r="B19" s="159" t="s">
        <v>205</v>
      </c>
      <c r="C19" s="160" t="s">
        <v>206</v>
      </c>
      <c r="D19" s="160"/>
      <c r="E19" s="160"/>
      <c r="F19" s="160"/>
      <c r="G19" s="160" t="s">
        <v>202</v>
      </c>
    </row>
    <row r="20" spans="1:7" x14ac:dyDescent="0.25">
      <c r="A20" s="159">
        <v>17</v>
      </c>
      <c r="B20" s="159" t="s">
        <v>207</v>
      </c>
      <c r="C20" s="160" t="s">
        <v>208</v>
      </c>
      <c r="D20" s="160" t="s">
        <v>209</v>
      </c>
      <c r="E20" s="160" t="s">
        <v>210</v>
      </c>
      <c r="F20" s="160">
        <v>2018</v>
      </c>
      <c r="G20" s="160" t="s">
        <v>197</v>
      </c>
    </row>
    <row r="21" spans="1:7" x14ac:dyDescent="0.25">
      <c r="A21" s="159">
        <v>18</v>
      </c>
      <c r="B21" s="159" t="s">
        <v>211</v>
      </c>
      <c r="C21" s="160" t="s">
        <v>212</v>
      </c>
      <c r="D21" s="160" t="s">
        <v>213</v>
      </c>
      <c r="E21" s="160" t="s">
        <v>214</v>
      </c>
      <c r="F21" s="160">
        <v>2008</v>
      </c>
      <c r="G21" s="160" t="s">
        <v>197</v>
      </c>
    </row>
    <row r="22" spans="1:7" x14ac:dyDescent="0.25">
      <c r="A22" s="159">
        <v>19</v>
      </c>
      <c r="B22" s="159" t="s">
        <v>215</v>
      </c>
      <c r="C22" s="160" t="s">
        <v>216</v>
      </c>
      <c r="D22" s="160" t="s">
        <v>217</v>
      </c>
      <c r="E22" s="160" t="s">
        <v>218</v>
      </c>
      <c r="F22" s="160">
        <v>2018</v>
      </c>
      <c r="G22" s="160" t="s">
        <v>197</v>
      </c>
    </row>
    <row r="23" spans="1:7" x14ac:dyDescent="0.25">
      <c r="A23" s="159">
        <v>20</v>
      </c>
      <c r="B23" s="159" t="s">
        <v>219</v>
      </c>
      <c r="C23" s="160" t="s">
        <v>220</v>
      </c>
      <c r="D23" s="160" t="s">
        <v>221</v>
      </c>
      <c r="E23" s="160" t="s">
        <v>222</v>
      </c>
      <c r="F23" s="160">
        <v>2007</v>
      </c>
      <c r="G23" s="160" t="s">
        <v>197</v>
      </c>
    </row>
    <row r="24" spans="1:7" x14ac:dyDescent="0.25">
      <c r="A24" s="159">
        <v>21</v>
      </c>
      <c r="B24" s="159" t="s">
        <v>223</v>
      </c>
      <c r="C24" s="160" t="s">
        <v>224</v>
      </c>
      <c r="D24" s="160" t="s">
        <v>225</v>
      </c>
      <c r="E24" s="160" t="s">
        <v>226</v>
      </c>
      <c r="F24" s="160">
        <v>2006</v>
      </c>
      <c r="G24" s="160" t="s">
        <v>197</v>
      </c>
    </row>
    <row r="25" spans="1:7" x14ac:dyDescent="0.25">
      <c r="A25" s="159">
        <v>22</v>
      </c>
      <c r="B25" s="159" t="s">
        <v>227</v>
      </c>
      <c r="C25" s="160" t="s">
        <v>228</v>
      </c>
      <c r="D25" s="160">
        <v>36214211157</v>
      </c>
      <c r="E25" s="160" t="s">
        <v>229</v>
      </c>
      <c r="F25" s="160">
        <v>2007</v>
      </c>
      <c r="G25" s="160" t="s">
        <v>230</v>
      </c>
    </row>
    <row r="26" spans="1:7" x14ac:dyDescent="0.25">
      <c r="A26" s="159">
        <v>23</v>
      </c>
      <c r="B26" s="159" t="s">
        <v>231</v>
      </c>
      <c r="C26" s="160" t="s">
        <v>232</v>
      </c>
      <c r="D26" s="160" t="s">
        <v>233</v>
      </c>
      <c r="E26" s="160" t="s">
        <v>234</v>
      </c>
      <c r="F26" s="160">
        <v>2015</v>
      </c>
      <c r="G26" s="160" t="s">
        <v>230</v>
      </c>
    </row>
    <row r="27" spans="1:7" x14ac:dyDescent="0.25">
      <c r="A27" s="159">
        <v>24</v>
      </c>
      <c r="B27" s="159" t="s">
        <v>235</v>
      </c>
      <c r="C27" s="160" t="s">
        <v>236</v>
      </c>
      <c r="D27" s="160" t="s">
        <v>237</v>
      </c>
      <c r="E27" s="160" t="s">
        <v>238</v>
      </c>
      <c r="F27" s="160">
        <v>2015</v>
      </c>
      <c r="G27" s="160" t="s">
        <v>197</v>
      </c>
    </row>
    <row r="28" spans="1:7" x14ac:dyDescent="0.25">
      <c r="A28" s="159">
        <v>25</v>
      </c>
      <c r="B28" s="159" t="s">
        <v>239</v>
      </c>
      <c r="C28" s="160" t="s">
        <v>240</v>
      </c>
      <c r="D28" s="160" t="s">
        <v>241</v>
      </c>
      <c r="E28" s="160" t="s">
        <v>242</v>
      </c>
      <c r="F28" s="160">
        <v>2009</v>
      </c>
      <c r="G28" s="160" t="s">
        <v>197</v>
      </c>
    </row>
    <row r="29" spans="1:7" x14ac:dyDescent="0.25">
      <c r="A29" s="159">
        <v>26</v>
      </c>
      <c r="B29" s="159" t="s">
        <v>243</v>
      </c>
      <c r="C29" s="160" t="s">
        <v>244</v>
      </c>
      <c r="D29" s="160" t="s">
        <v>245</v>
      </c>
      <c r="E29" s="160" t="s">
        <v>246</v>
      </c>
      <c r="F29" s="160">
        <v>2005</v>
      </c>
      <c r="G29" s="160" t="s">
        <v>197</v>
      </c>
    </row>
    <row r="30" spans="1:7" x14ac:dyDescent="0.25">
      <c r="A30" s="159">
        <v>27</v>
      </c>
      <c r="B30" s="159" t="s">
        <v>247</v>
      </c>
      <c r="C30" s="160" t="s">
        <v>248</v>
      </c>
      <c r="D30" s="160" t="s">
        <v>249</v>
      </c>
      <c r="E30" s="160" t="s">
        <v>250</v>
      </c>
      <c r="F30" s="160">
        <v>2017</v>
      </c>
      <c r="G30" s="160" t="s">
        <v>197</v>
      </c>
    </row>
    <row r="31" spans="1:7" x14ac:dyDescent="0.25">
      <c r="A31" s="159">
        <v>28</v>
      </c>
      <c r="B31" s="159" t="s">
        <v>251</v>
      </c>
      <c r="C31" s="160" t="s">
        <v>252</v>
      </c>
      <c r="D31" s="160" t="s">
        <v>253</v>
      </c>
      <c r="E31" s="160" t="s">
        <v>254</v>
      </c>
      <c r="F31" s="160">
        <v>2007</v>
      </c>
      <c r="G31" s="160" t="s">
        <v>197</v>
      </c>
    </row>
    <row r="32" spans="1:7" x14ac:dyDescent="0.25">
      <c r="A32" s="159">
        <v>29</v>
      </c>
      <c r="B32" s="159" t="s">
        <v>255</v>
      </c>
      <c r="C32" s="160" t="s">
        <v>256</v>
      </c>
      <c r="D32" s="160" t="s">
        <v>257</v>
      </c>
      <c r="E32" s="160" t="s">
        <v>258</v>
      </c>
      <c r="F32" s="160">
        <v>2000</v>
      </c>
      <c r="G32" s="160" t="s">
        <v>197</v>
      </c>
    </row>
    <row r="33" spans="1:7" x14ac:dyDescent="0.25">
      <c r="A33" s="159">
        <v>30</v>
      </c>
      <c r="B33" s="159" t="s">
        <v>259</v>
      </c>
      <c r="C33" s="160" t="s">
        <v>260</v>
      </c>
      <c r="D33" s="160" t="s">
        <v>261</v>
      </c>
      <c r="E33" s="160" t="s">
        <v>262</v>
      </c>
      <c r="F33" s="160">
        <v>2007</v>
      </c>
      <c r="G33" s="160" t="s">
        <v>197</v>
      </c>
    </row>
    <row r="34" spans="1:7" x14ac:dyDescent="0.25">
      <c r="A34" s="159">
        <v>31</v>
      </c>
      <c r="B34" s="159" t="s">
        <v>263</v>
      </c>
      <c r="C34" s="160" t="s">
        <v>264</v>
      </c>
      <c r="D34" s="160" t="s">
        <v>265</v>
      </c>
      <c r="E34" s="160" t="s">
        <v>266</v>
      </c>
      <c r="F34" s="160">
        <v>2007</v>
      </c>
      <c r="G34" s="160" t="s">
        <v>197</v>
      </c>
    </row>
    <row r="35" spans="1:7" x14ac:dyDescent="0.25">
      <c r="A35" s="159">
        <v>32</v>
      </c>
      <c r="B35" s="159" t="s">
        <v>267</v>
      </c>
      <c r="C35" s="160" t="s">
        <v>268</v>
      </c>
      <c r="D35" s="160" t="s">
        <v>269</v>
      </c>
      <c r="E35" s="160" t="s">
        <v>270</v>
      </c>
      <c r="F35" s="160">
        <v>2010</v>
      </c>
      <c r="G35" s="160" t="s">
        <v>197</v>
      </c>
    </row>
    <row r="36" spans="1:7" x14ac:dyDescent="0.25">
      <c r="A36" s="159">
        <v>33</v>
      </c>
      <c r="B36" s="159" t="s">
        <v>271</v>
      </c>
      <c r="C36" s="160" t="s">
        <v>272</v>
      </c>
      <c r="D36" s="160" t="s">
        <v>273</v>
      </c>
      <c r="E36" s="160" t="s">
        <v>274</v>
      </c>
      <c r="F36" s="160">
        <v>2012</v>
      </c>
      <c r="G36" s="160" t="s">
        <v>197</v>
      </c>
    </row>
    <row r="37" spans="1:7" x14ac:dyDescent="0.25">
      <c r="A37" s="159">
        <v>34</v>
      </c>
      <c r="B37" s="159" t="s">
        <v>275</v>
      </c>
      <c r="C37" s="160" t="s">
        <v>276</v>
      </c>
      <c r="D37" s="160">
        <v>7253701</v>
      </c>
      <c r="E37" s="160" t="s">
        <v>277</v>
      </c>
      <c r="F37" s="160">
        <v>2017</v>
      </c>
      <c r="G37" s="160" t="s">
        <v>230</v>
      </c>
    </row>
    <row r="38" spans="1:7" x14ac:dyDescent="0.25">
      <c r="A38" s="159">
        <v>35</v>
      </c>
      <c r="B38" s="159" t="s">
        <v>278</v>
      </c>
      <c r="C38" s="160" t="s">
        <v>279</v>
      </c>
      <c r="D38" s="160" t="s">
        <v>280</v>
      </c>
      <c r="E38" s="160" t="s">
        <v>281</v>
      </c>
      <c r="F38" s="160">
        <v>1999</v>
      </c>
      <c r="G38" s="160" t="s">
        <v>197</v>
      </c>
    </row>
    <row r="39" spans="1:7" x14ac:dyDescent="0.25">
      <c r="A39" s="159">
        <v>36</v>
      </c>
      <c r="B39" s="159" t="s">
        <v>282</v>
      </c>
      <c r="C39" s="160" t="s">
        <v>283</v>
      </c>
      <c r="D39" s="160" t="s">
        <v>284</v>
      </c>
      <c r="E39" s="160" t="s">
        <v>285</v>
      </c>
      <c r="F39" s="160">
        <v>2017</v>
      </c>
      <c r="G39" s="160" t="s">
        <v>197</v>
      </c>
    </row>
    <row r="40" spans="1:7" x14ac:dyDescent="0.25">
      <c r="A40" s="159">
        <v>37</v>
      </c>
      <c r="B40" s="159" t="s">
        <v>286</v>
      </c>
      <c r="C40" s="160" t="s">
        <v>287</v>
      </c>
      <c r="D40" s="160" t="s">
        <v>288</v>
      </c>
      <c r="E40" s="160" t="s">
        <v>289</v>
      </c>
      <c r="F40" s="160">
        <v>2010</v>
      </c>
      <c r="G40" s="160" t="s">
        <v>197</v>
      </c>
    </row>
    <row r="41" spans="1:7" x14ac:dyDescent="0.25">
      <c r="A41" s="159">
        <v>38</v>
      </c>
      <c r="B41" s="159" t="s">
        <v>290</v>
      </c>
      <c r="C41" s="160" t="s">
        <v>291</v>
      </c>
      <c r="D41" s="160" t="s">
        <v>292</v>
      </c>
      <c r="E41" s="160" t="s">
        <v>293</v>
      </c>
      <c r="F41" s="160">
        <v>2018</v>
      </c>
      <c r="G41" s="160" t="s">
        <v>197</v>
      </c>
    </row>
    <row r="42" spans="1:7" x14ac:dyDescent="0.25">
      <c r="A42" s="159">
        <v>39</v>
      </c>
      <c r="B42" s="159" t="s">
        <v>294</v>
      </c>
      <c r="C42" s="160" t="s">
        <v>295</v>
      </c>
      <c r="D42" s="160" t="s">
        <v>296</v>
      </c>
      <c r="E42" s="160" t="s">
        <v>297</v>
      </c>
      <c r="F42" s="160">
        <v>2015</v>
      </c>
      <c r="G42" s="160" t="s">
        <v>197</v>
      </c>
    </row>
    <row r="43" spans="1:7" x14ac:dyDescent="0.25">
      <c r="A43" s="159">
        <v>40</v>
      </c>
      <c r="B43" s="159" t="s">
        <v>298</v>
      </c>
      <c r="C43" s="160" t="s">
        <v>299</v>
      </c>
      <c r="D43" s="160">
        <v>7257339</v>
      </c>
      <c r="E43" s="160" t="s">
        <v>300</v>
      </c>
      <c r="F43" s="160">
        <v>2018</v>
      </c>
      <c r="G43" s="160" t="s">
        <v>230</v>
      </c>
    </row>
    <row r="44" spans="1:7" x14ac:dyDescent="0.25">
      <c r="A44" s="159">
        <v>41</v>
      </c>
      <c r="B44" s="159" t="s">
        <v>301</v>
      </c>
      <c r="C44" s="160" t="s">
        <v>302</v>
      </c>
      <c r="D44" s="160" t="s">
        <v>303</v>
      </c>
      <c r="E44" s="160" t="s">
        <v>304</v>
      </c>
      <c r="F44" s="160">
        <v>2019</v>
      </c>
      <c r="G44" s="160" t="s">
        <v>197</v>
      </c>
    </row>
    <row r="45" spans="1:7" x14ac:dyDescent="0.25">
      <c r="A45" s="159">
        <v>42</v>
      </c>
      <c r="B45" s="159" t="s">
        <v>305</v>
      </c>
      <c r="C45" s="160" t="s">
        <v>306</v>
      </c>
      <c r="D45" s="160">
        <v>7191895</v>
      </c>
      <c r="E45" s="160" t="s">
        <v>307</v>
      </c>
      <c r="F45" s="160">
        <v>2014</v>
      </c>
      <c r="G45" s="160" t="s">
        <v>197</v>
      </c>
    </row>
    <row r="46" spans="1:7" x14ac:dyDescent="0.25">
      <c r="A46" s="159">
        <v>43</v>
      </c>
      <c r="B46" s="159" t="s">
        <v>308</v>
      </c>
      <c r="C46" s="160" t="s">
        <v>309</v>
      </c>
      <c r="D46" s="161">
        <v>61198170071973</v>
      </c>
      <c r="E46" s="160" t="s">
        <v>310</v>
      </c>
      <c r="F46" s="160">
        <v>2008</v>
      </c>
      <c r="G46" s="160" t="s">
        <v>197</v>
      </c>
    </row>
    <row r="47" spans="1:7" x14ac:dyDescent="0.25">
      <c r="A47" s="159">
        <v>44</v>
      </c>
      <c r="B47" s="159" t="s">
        <v>311</v>
      </c>
      <c r="C47" s="160" t="s">
        <v>312</v>
      </c>
      <c r="D47" s="161">
        <v>61198170074409</v>
      </c>
      <c r="E47" s="160" t="s">
        <v>313</v>
      </c>
      <c r="F47" s="160">
        <v>2008</v>
      </c>
      <c r="G47" s="160" t="s">
        <v>197</v>
      </c>
    </row>
    <row r="48" spans="1:7" x14ac:dyDescent="0.25">
      <c r="A48" s="159">
        <v>45</v>
      </c>
      <c r="B48" s="159" t="s">
        <v>314</v>
      </c>
      <c r="C48" s="160" t="s">
        <v>315</v>
      </c>
      <c r="D48" s="160">
        <v>37112506669</v>
      </c>
      <c r="E48" s="160" t="s">
        <v>316</v>
      </c>
      <c r="F48" s="160">
        <v>1997</v>
      </c>
      <c r="G48" s="160" t="s">
        <v>197</v>
      </c>
    </row>
    <row r="49" spans="1:7" x14ac:dyDescent="0.25">
      <c r="A49" s="159">
        <v>46</v>
      </c>
      <c r="B49" s="159" t="s">
        <v>198</v>
      </c>
      <c r="C49" s="160" t="s">
        <v>317</v>
      </c>
      <c r="D49" s="160" t="s">
        <v>318</v>
      </c>
      <c r="E49" s="160" t="s">
        <v>319</v>
      </c>
      <c r="F49" s="160">
        <v>2011</v>
      </c>
      <c r="G49" s="160" t="s">
        <v>197</v>
      </c>
    </row>
    <row r="50" spans="1:7" x14ac:dyDescent="0.25">
      <c r="A50" s="159">
        <v>47</v>
      </c>
      <c r="B50" s="159" t="s">
        <v>320</v>
      </c>
      <c r="C50" s="160" t="s">
        <v>321</v>
      </c>
      <c r="D50" s="160" t="s">
        <v>322</v>
      </c>
      <c r="E50" s="160" t="s">
        <v>323</v>
      </c>
      <c r="F50" s="160">
        <v>2006</v>
      </c>
      <c r="G50" s="160" t="s">
        <v>197</v>
      </c>
    </row>
    <row r="51" spans="1:7" x14ac:dyDescent="0.25">
      <c r="A51" s="159">
        <v>48</v>
      </c>
      <c r="B51" s="159" t="s">
        <v>324</v>
      </c>
      <c r="C51" s="160" t="s">
        <v>325</v>
      </c>
      <c r="D51" s="160" t="s">
        <v>326</v>
      </c>
      <c r="E51" s="160" t="s">
        <v>327</v>
      </c>
      <c r="F51" s="160">
        <v>2013</v>
      </c>
      <c r="G51" s="160" t="s">
        <v>197</v>
      </c>
    </row>
    <row r="52" spans="1:7" x14ac:dyDescent="0.25">
      <c r="A52" s="159">
        <v>49</v>
      </c>
      <c r="B52" s="159" t="s">
        <v>267</v>
      </c>
      <c r="C52" s="160" t="s">
        <v>328</v>
      </c>
      <c r="D52" s="160" t="s">
        <v>329</v>
      </c>
      <c r="E52" s="160" t="s">
        <v>330</v>
      </c>
      <c r="F52" s="160">
        <v>2009</v>
      </c>
      <c r="G52" s="160" t="s">
        <v>197</v>
      </c>
    </row>
    <row r="53" spans="1:7" x14ac:dyDescent="0.25">
      <c r="A53" s="159">
        <v>50</v>
      </c>
      <c r="B53" s="159" t="s">
        <v>331</v>
      </c>
      <c r="C53" s="160" t="s">
        <v>332</v>
      </c>
      <c r="D53" s="160" t="s">
        <v>333</v>
      </c>
      <c r="E53" s="160" t="s">
        <v>334</v>
      </c>
      <c r="F53" s="160">
        <v>2010</v>
      </c>
      <c r="G53" s="160" t="s">
        <v>197</v>
      </c>
    </row>
    <row r="54" spans="1:7" x14ac:dyDescent="0.25">
      <c r="A54" s="159">
        <v>51</v>
      </c>
      <c r="B54" s="159" t="s">
        <v>335</v>
      </c>
      <c r="C54" s="160" t="s">
        <v>336</v>
      </c>
      <c r="D54" s="160" t="s">
        <v>337</v>
      </c>
      <c r="E54" s="160" t="s">
        <v>338</v>
      </c>
      <c r="F54" s="160">
        <v>2010</v>
      </c>
      <c r="G54" s="160" t="s">
        <v>197</v>
      </c>
    </row>
    <row r="55" spans="1:7" x14ac:dyDescent="0.25">
      <c r="A55" s="159">
        <v>52</v>
      </c>
      <c r="B55" s="159" t="s">
        <v>339</v>
      </c>
      <c r="C55" s="160" t="s">
        <v>340</v>
      </c>
      <c r="D55" s="160" t="s">
        <v>341</v>
      </c>
      <c r="E55" s="160" t="s">
        <v>342</v>
      </c>
      <c r="F55" s="160">
        <v>2005</v>
      </c>
      <c r="G55" s="160" t="s">
        <v>197</v>
      </c>
    </row>
    <row r="56" spans="1:7" x14ac:dyDescent="0.25">
      <c r="A56" s="159">
        <v>53</v>
      </c>
      <c r="B56" s="159" t="s">
        <v>339</v>
      </c>
      <c r="C56" s="160" t="s">
        <v>343</v>
      </c>
      <c r="D56" s="160" t="s">
        <v>344</v>
      </c>
      <c r="E56" s="160" t="s">
        <v>345</v>
      </c>
      <c r="F56" s="160">
        <v>2007</v>
      </c>
      <c r="G56" s="160" t="s">
        <v>197</v>
      </c>
    </row>
    <row r="57" spans="1:7" x14ac:dyDescent="0.25">
      <c r="A57" s="159">
        <v>54</v>
      </c>
      <c r="B57" s="159" t="s">
        <v>346</v>
      </c>
      <c r="C57" s="160" t="s">
        <v>347</v>
      </c>
      <c r="D57" s="160" t="s">
        <v>348</v>
      </c>
      <c r="E57" s="160" t="s">
        <v>349</v>
      </c>
      <c r="F57" s="160">
        <v>2008</v>
      </c>
      <c r="G57" s="160" t="s">
        <v>350</v>
      </c>
    </row>
    <row r="58" spans="1:7" x14ac:dyDescent="0.25">
      <c r="A58" s="159">
        <v>55</v>
      </c>
      <c r="B58" s="159" t="s">
        <v>351</v>
      </c>
      <c r="C58" s="160" t="s">
        <v>352</v>
      </c>
      <c r="D58" s="161">
        <v>61198170084869</v>
      </c>
      <c r="E58" s="160" t="s">
        <v>353</v>
      </c>
      <c r="F58" s="160">
        <v>2006</v>
      </c>
      <c r="G58" s="160" t="s">
        <v>230</v>
      </c>
    </row>
    <row r="59" spans="1:7" x14ac:dyDescent="0.25">
      <c r="A59" s="159">
        <v>56</v>
      </c>
      <c r="B59" s="159" t="s">
        <v>251</v>
      </c>
      <c r="C59" s="160" t="s">
        <v>354</v>
      </c>
      <c r="D59" s="160" t="s">
        <v>355</v>
      </c>
      <c r="E59" s="160" t="s">
        <v>356</v>
      </c>
      <c r="F59" s="160">
        <v>2006</v>
      </c>
      <c r="G59" s="160" t="s">
        <v>197</v>
      </c>
    </row>
    <row r="60" spans="1:7" x14ac:dyDescent="0.25">
      <c r="A60" s="159">
        <v>57</v>
      </c>
      <c r="B60" s="159" t="s">
        <v>357</v>
      </c>
      <c r="C60" s="160" t="s">
        <v>358</v>
      </c>
      <c r="D60" s="160" t="s">
        <v>359</v>
      </c>
      <c r="E60" s="160" t="s">
        <v>360</v>
      </c>
      <c r="F60" s="160">
        <v>2014</v>
      </c>
      <c r="G60" s="160" t="s">
        <v>197</v>
      </c>
    </row>
    <row r="61" spans="1:7" x14ac:dyDescent="0.25">
      <c r="A61" s="159">
        <v>58</v>
      </c>
      <c r="B61" s="159" t="s">
        <v>361</v>
      </c>
      <c r="C61" s="160" t="s">
        <v>362</v>
      </c>
      <c r="D61" s="160" t="s">
        <v>363</v>
      </c>
      <c r="E61" s="160" t="s">
        <v>364</v>
      </c>
      <c r="F61" s="160">
        <v>2010</v>
      </c>
      <c r="G61" s="160" t="s">
        <v>197</v>
      </c>
    </row>
    <row r="62" spans="1:7" x14ac:dyDescent="0.25">
      <c r="A62" s="159">
        <v>59</v>
      </c>
      <c r="B62" s="159" t="s">
        <v>365</v>
      </c>
      <c r="C62" s="160" t="s">
        <v>366</v>
      </c>
      <c r="D62" s="160" t="s">
        <v>367</v>
      </c>
      <c r="E62" s="160" t="s">
        <v>368</v>
      </c>
      <c r="F62" s="160">
        <v>2005</v>
      </c>
      <c r="G62" s="160" t="s">
        <v>197</v>
      </c>
    </row>
    <row r="63" spans="1:7" x14ac:dyDescent="0.25">
      <c r="A63" s="159">
        <v>60</v>
      </c>
      <c r="B63" s="159" t="s">
        <v>369</v>
      </c>
      <c r="C63" s="160" t="s">
        <v>370</v>
      </c>
      <c r="D63" s="160" t="s">
        <v>371</v>
      </c>
      <c r="E63" s="160" t="s">
        <v>372</v>
      </c>
      <c r="F63" s="160">
        <v>2005</v>
      </c>
      <c r="G63" s="160" t="s">
        <v>197</v>
      </c>
    </row>
    <row r="64" spans="1:7" x14ac:dyDescent="0.25">
      <c r="A64" s="159">
        <v>61</v>
      </c>
      <c r="B64" s="159" t="s">
        <v>373</v>
      </c>
      <c r="C64" s="160" t="s">
        <v>374</v>
      </c>
      <c r="D64" s="160" t="s">
        <v>375</v>
      </c>
      <c r="E64" s="160" t="s">
        <v>376</v>
      </c>
      <c r="F64" s="160">
        <v>2007</v>
      </c>
      <c r="G64" s="160" t="s">
        <v>163</v>
      </c>
    </row>
    <row r="65" spans="1:7" x14ac:dyDescent="0.25">
      <c r="A65" s="159">
        <v>62</v>
      </c>
      <c r="B65" s="159" t="s">
        <v>377</v>
      </c>
      <c r="C65" s="160" t="s">
        <v>378</v>
      </c>
      <c r="D65" s="160" t="s">
        <v>379</v>
      </c>
      <c r="E65" s="160" t="s">
        <v>380</v>
      </c>
      <c r="F65" s="160">
        <v>2008</v>
      </c>
      <c r="G65" s="160" t="s">
        <v>163</v>
      </c>
    </row>
    <row r="66" spans="1:7" x14ac:dyDescent="0.25">
      <c r="A66" s="159">
        <v>63</v>
      </c>
      <c r="B66" s="159" t="s">
        <v>381</v>
      </c>
      <c r="C66" s="160" t="s">
        <v>382</v>
      </c>
      <c r="D66" s="160" t="s">
        <v>383</v>
      </c>
      <c r="E66" s="160" t="s">
        <v>384</v>
      </c>
      <c r="F66" s="160">
        <v>2011</v>
      </c>
      <c r="G66" s="160" t="s">
        <v>163</v>
      </c>
    </row>
    <row r="67" spans="1:7" x14ac:dyDescent="0.25">
      <c r="A67" s="159">
        <v>64</v>
      </c>
      <c r="B67" s="159" t="s">
        <v>385</v>
      </c>
      <c r="C67" s="160" t="s">
        <v>386</v>
      </c>
      <c r="D67" s="160">
        <v>36071580</v>
      </c>
      <c r="E67" s="160" t="s">
        <v>387</v>
      </c>
      <c r="F67" s="160">
        <v>2010</v>
      </c>
      <c r="G67" s="160" t="s">
        <v>163</v>
      </c>
    </row>
    <row r="68" spans="1:7" x14ac:dyDescent="0.25">
      <c r="A68" s="159">
        <v>65</v>
      </c>
      <c r="B68" s="159" t="s">
        <v>388</v>
      </c>
      <c r="C68" s="160" t="s">
        <v>389</v>
      </c>
      <c r="D68" s="160" t="s">
        <v>390</v>
      </c>
      <c r="E68" s="160" t="s">
        <v>391</v>
      </c>
      <c r="F68" s="160">
        <v>2012</v>
      </c>
      <c r="G68" s="160" t="s">
        <v>163</v>
      </c>
    </row>
    <row r="69" spans="1:7" x14ac:dyDescent="0.25">
      <c r="A69" s="159">
        <v>66</v>
      </c>
      <c r="B69" s="159" t="s">
        <v>392</v>
      </c>
      <c r="C69" s="160" t="s">
        <v>393</v>
      </c>
      <c r="D69" s="161">
        <v>61198170074458</v>
      </c>
      <c r="E69" s="160" t="s">
        <v>394</v>
      </c>
      <c r="F69" s="160">
        <v>2008</v>
      </c>
      <c r="G69" s="160" t="s">
        <v>197</v>
      </c>
    </row>
    <row r="70" spans="1:7" x14ac:dyDescent="0.25">
      <c r="A70" s="159">
        <v>67</v>
      </c>
      <c r="B70" s="159" t="s">
        <v>395</v>
      </c>
      <c r="C70" s="160" t="s">
        <v>396</v>
      </c>
      <c r="D70" s="160" t="s">
        <v>397</v>
      </c>
      <c r="E70" s="160" t="s">
        <v>398</v>
      </c>
      <c r="F70" s="160">
        <v>2012</v>
      </c>
      <c r="G70" s="160" t="s">
        <v>163</v>
      </c>
    </row>
    <row r="71" spans="1:7" x14ac:dyDescent="0.25">
      <c r="A71" s="159">
        <v>68</v>
      </c>
      <c r="B71" s="159" t="s">
        <v>399</v>
      </c>
      <c r="C71" s="160" t="s">
        <v>400</v>
      </c>
      <c r="D71" s="160" t="s">
        <v>401</v>
      </c>
      <c r="E71" s="160" t="s">
        <v>402</v>
      </c>
      <c r="F71" s="160">
        <v>2008</v>
      </c>
      <c r="G71" s="160" t="s">
        <v>197</v>
      </c>
    </row>
    <row r="72" spans="1:7" x14ac:dyDescent="0.25">
      <c r="A72" s="159">
        <v>69</v>
      </c>
      <c r="B72" s="159" t="s">
        <v>403</v>
      </c>
      <c r="C72" s="160" t="s">
        <v>404</v>
      </c>
      <c r="D72" s="160" t="s">
        <v>405</v>
      </c>
      <c r="E72" s="160" t="s">
        <v>406</v>
      </c>
      <c r="F72" s="160">
        <v>2008</v>
      </c>
      <c r="G72" s="160" t="s">
        <v>197</v>
      </c>
    </row>
    <row r="73" spans="1:7" x14ac:dyDescent="0.25">
      <c r="A73" s="159">
        <v>70</v>
      </c>
      <c r="B73" s="159" t="s">
        <v>407</v>
      </c>
      <c r="C73" s="160" t="s">
        <v>408</v>
      </c>
      <c r="D73" s="160">
        <v>7250765</v>
      </c>
      <c r="E73" s="160" t="s">
        <v>409</v>
      </c>
      <c r="F73" s="160">
        <v>2016</v>
      </c>
      <c r="G73" s="160" t="s">
        <v>163</v>
      </c>
    </row>
    <row r="74" spans="1:7" x14ac:dyDescent="0.25">
      <c r="A74" s="159">
        <v>71</v>
      </c>
      <c r="B74" s="159" t="s">
        <v>407</v>
      </c>
      <c r="C74" s="160" t="s">
        <v>410</v>
      </c>
      <c r="D74" s="160">
        <v>7250728</v>
      </c>
      <c r="E74" s="160" t="s">
        <v>411</v>
      </c>
      <c r="F74" s="160">
        <v>2016</v>
      </c>
      <c r="G74" s="160" t="s">
        <v>163</v>
      </c>
    </row>
    <row r="75" spans="1:7" x14ac:dyDescent="0.25">
      <c r="A75" s="159">
        <v>72</v>
      </c>
      <c r="B75" s="159" t="s">
        <v>412</v>
      </c>
      <c r="C75" s="160" t="s">
        <v>413</v>
      </c>
      <c r="D75" s="160" t="s">
        <v>414</v>
      </c>
      <c r="E75" s="160" t="s">
        <v>415</v>
      </c>
      <c r="F75" s="160">
        <v>2017</v>
      </c>
      <c r="G75" s="160" t="s">
        <v>163</v>
      </c>
    </row>
    <row r="76" spans="1:7" x14ac:dyDescent="0.25">
      <c r="A76" s="159">
        <v>73</v>
      </c>
      <c r="B76" s="159" t="s">
        <v>377</v>
      </c>
      <c r="C76" s="160" t="s">
        <v>416</v>
      </c>
      <c r="D76" s="160" t="s">
        <v>417</v>
      </c>
      <c r="E76" s="160" t="s">
        <v>418</v>
      </c>
      <c r="F76" s="160">
        <v>2020</v>
      </c>
      <c r="G76" s="160" t="s">
        <v>163</v>
      </c>
    </row>
    <row r="77" spans="1:7" x14ac:dyDescent="0.25">
      <c r="A77" s="159">
        <v>74</v>
      </c>
      <c r="B77" s="159" t="s">
        <v>419</v>
      </c>
      <c r="C77" s="160" t="s">
        <v>420</v>
      </c>
      <c r="D77" s="160">
        <v>7250726</v>
      </c>
      <c r="E77" s="160" t="s">
        <v>421</v>
      </c>
      <c r="F77" s="160">
        <v>2016</v>
      </c>
      <c r="G77" s="160" t="s">
        <v>163</v>
      </c>
    </row>
    <row r="78" spans="1:7" x14ac:dyDescent="0.25">
      <c r="A78" s="159">
        <v>75</v>
      </c>
      <c r="B78" s="159" t="s">
        <v>419</v>
      </c>
      <c r="C78" s="160" t="s">
        <v>422</v>
      </c>
      <c r="D78" s="160">
        <v>7250640</v>
      </c>
      <c r="E78" s="160" t="s">
        <v>423</v>
      </c>
      <c r="F78" s="160">
        <v>2016</v>
      </c>
      <c r="G78" s="160" t="s">
        <v>163</v>
      </c>
    </row>
    <row r="79" spans="1:7" x14ac:dyDescent="0.25">
      <c r="A79" s="159">
        <v>76</v>
      </c>
      <c r="B79" s="159" t="s">
        <v>424</v>
      </c>
      <c r="C79" s="160" t="s">
        <v>425</v>
      </c>
      <c r="D79" s="160">
        <v>7166125</v>
      </c>
      <c r="E79" s="160" t="s">
        <v>426</v>
      </c>
      <c r="F79" s="160">
        <v>2014</v>
      </c>
      <c r="G79" s="160" t="s">
        <v>163</v>
      </c>
    </row>
    <row r="80" spans="1:7" x14ac:dyDescent="0.25">
      <c r="A80" s="159">
        <v>77</v>
      </c>
      <c r="B80" s="159" t="s">
        <v>427</v>
      </c>
      <c r="C80" s="160" t="s">
        <v>428</v>
      </c>
      <c r="D80" s="160" t="s">
        <v>429</v>
      </c>
      <c r="E80" s="160" t="s">
        <v>430</v>
      </c>
      <c r="F80" s="160">
        <v>2007</v>
      </c>
      <c r="G80" s="160" t="s">
        <v>163</v>
      </c>
    </row>
    <row r="81" spans="1:7" x14ac:dyDescent="0.25">
      <c r="A81" s="159">
        <v>78</v>
      </c>
      <c r="B81" s="159" t="s">
        <v>431</v>
      </c>
      <c r="C81" s="160" t="s">
        <v>432</v>
      </c>
      <c r="D81" s="160" t="s">
        <v>433</v>
      </c>
      <c r="E81" s="160" t="s">
        <v>434</v>
      </c>
      <c r="F81" s="160">
        <v>2007</v>
      </c>
      <c r="G81" s="160" t="s">
        <v>163</v>
      </c>
    </row>
    <row r="82" spans="1:7" x14ac:dyDescent="0.25">
      <c r="A82" s="159">
        <v>79</v>
      </c>
      <c r="B82" s="159" t="s">
        <v>435</v>
      </c>
      <c r="C82" s="160" t="s">
        <v>436</v>
      </c>
      <c r="D82" s="160">
        <v>37344067044</v>
      </c>
      <c r="E82" s="160" t="s">
        <v>437</v>
      </c>
      <c r="F82" s="160">
        <v>2005</v>
      </c>
      <c r="G82" s="160" t="s">
        <v>163</v>
      </c>
    </row>
    <row r="83" spans="1:7" x14ac:dyDescent="0.25">
      <c r="A83" s="159">
        <v>80</v>
      </c>
      <c r="B83" s="159" t="s">
        <v>438</v>
      </c>
      <c r="C83" s="160" t="s">
        <v>439</v>
      </c>
      <c r="D83" s="160" t="s">
        <v>440</v>
      </c>
      <c r="E83" s="160" t="s">
        <v>441</v>
      </c>
      <c r="F83" s="160">
        <v>2007</v>
      </c>
      <c r="G83" s="160" t="s">
        <v>197</v>
      </c>
    </row>
    <row r="84" spans="1:7" x14ac:dyDescent="0.25">
      <c r="A84" s="159">
        <v>81</v>
      </c>
      <c r="B84" s="159" t="s">
        <v>442</v>
      </c>
      <c r="C84" s="160" t="s">
        <v>443</v>
      </c>
      <c r="D84" s="160" t="s">
        <v>444</v>
      </c>
      <c r="E84" s="160" t="s">
        <v>445</v>
      </c>
      <c r="F84" s="160">
        <v>2007</v>
      </c>
      <c r="G84" s="160" t="s">
        <v>197</v>
      </c>
    </row>
    <row r="85" spans="1:7" x14ac:dyDescent="0.25">
      <c r="A85" s="159">
        <v>82</v>
      </c>
      <c r="B85" s="159" t="s">
        <v>446</v>
      </c>
      <c r="C85" s="160" t="s">
        <v>447</v>
      </c>
      <c r="D85" s="160" t="s">
        <v>448</v>
      </c>
      <c r="E85" s="160" t="s">
        <v>449</v>
      </c>
      <c r="F85" s="160">
        <v>2007</v>
      </c>
      <c r="G85" s="160" t="s">
        <v>163</v>
      </c>
    </row>
    <row r="86" spans="1:7" x14ac:dyDescent="0.25">
      <c r="A86" s="159">
        <v>83</v>
      </c>
      <c r="B86" s="159" t="s">
        <v>450</v>
      </c>
      <c r="C86" s="160" t="s">
        <v>451</v>
      </c>
      <c r="D86" s="160">
        <v>7251288</v>
      </c>
      <c r="E86" s="160" t="s">
        <v>452</v>
      </c>
      <c r="F86" s="160">
        <v>2016</v>
      </c>
      <c r="G86" s="160" t="s">
        <v>163</v>
      </c>
    </row>
    <row r="87" spans="1:7" x14ac:dyDescent="0.25">
      <c r="A87" s="159">
        <v>84</v>
      </c>
      <c r="B87" s="159" t="s">
        <v>453</v>
      </c>
      <c r="C87" s="160" t="s">
        <v>454</v>
      </c>
      <c r="D87" s="160" t="s">
        <v>455</v>
      </c>
      <c r="E87" s="160" t="s">
        <v>456</v>
      </c>
      <c r="F87" s="160">
        <v>2013</v>
      </c>
      <c r="G87" s="160" t="s">
        <v>163</v>
      </c>
    </row>
    <row r="88" spans="1:7" x14ac:dyDescent="0.25">
      <c r="A88" s="159">
        <v>85</v>
      </c>
      <c r="B88" s="159" t="s">
        <v>457</v>
      </c>
      <c r="C88" s="160" t="s">
        <v>458</v>
      </c>
      <c r="D88" s="160">
        <v>40704192268</v>
      </c>
      <c r="E88" s="160" t="s">
        <v>459</v>
      </c>
      <c r="F88" s="160">
        <v>2014</v>
      </c>
      <c r="G88" s="160" t="s">
        <v>163</v>
      </c>
    </row>
    <row r="89" spans="1:7" x14ac:dyDescent="0.25">
      <c r="A89" s="159">
        <v>86</v>
      </c>
      <c r="B89" s="159" t="s">
        <v>460</v>
      </c>
      <c r="C89" s="160" t="s">
        <v>461</v>
      </c>
      <c r="D89" s="160" t="s">
        <v>462</v>
      </c>
      <c r="E89" s="160" t="s">
        <v>463</v>
      </c>
      <c r="F89" s="160">
        <v>2007</v>
      </c>
      <c r="G89" s="160" t="s">
        <v>163</v>
      </c>
    </row>
    <row r="90" spans="1:7" x14ac:dyDescent="0.25">
      <c r="A90" s="159">
        <v>87</v>
      </c>
      <c r="B90" s="159" t="s">
        <v>464</v>
      </c>
      <c r="C90" s="160" t="s">
        <v>465</v>
      </c>
      <c r="D90" s="160" t="s">
        <v>466</v>
      </c>
      <c r="E90" s="160" t="s">
        <v>467</v>
      </c>
      <c r="F90" s="160">
        <v>2007</v>
      </c>
      <c r="G90" s="160" t="s">
        <v>163</v>
      </c>
    </row>
    <row r="91" spans="1:7" x14ac:dyDescent="0.25">
      <c r="A91" s="159">
        <v>88</v>
      </c>
      <c r="B91" s="159" t="s">
        <v>468</v>
      </c>
      <c r="C91" s="160" t="s">
        <v>469</v>
      </c>
      <c r="D91" s="161">
        <v>632999105118976</v>
      </c>
      <c r="E91" s="160" t="s">
        <v>470</v>
      </c>
      <c r="F91" s="160">
        <v>2000</v>
      </c>
      <c r="G91" s="160" t="s">
        <v>163</v>
      </c>
    </row>
    <row r="92" spans="1:7" x14ac:dyDescent="0.25">
      <c r="A92" s="159">
        <v>89</v>
      </c>
      <c r="B92" s="159" t="s">
        <v>471</v>
      </c>
      <c r="C92" s="160" t="s">
        <v>472</v>
      </c>
      <c r="D92" s="160" t="s">
        <v>473</v>
      </c>
      <c r="E92" s="160" t="s">
        <v>474</v>
      </c>
      <c r="F92" s="160">
        <v>2013</v>
      </c>
      <c r="G92" s="160" t="s">
        <v>163</v>
      </c>
    </row>
    <row r="93" spans="1:7" x14ac:dyDescent="0.25">
      <c r="A93" s="159">
        <v>90</v>
      </c>
      <c r="B93" s="159" t="s">
        <v>475</v>
      </c>
      <c r="C93" s="160" t="s">
        <v>476</v>
      </c>
      <c r="D93" s="160">
        <v>7250638</v>
      </c>
      <c r="E93" s="160" t="s">
        <v>477</v>
      </c>
      <c r="F93" s="160">
        <v>2016</v>
      </c>
      <c r="G93" s="160" t="s">
        <v>163</v>
      </c>
    </row>
    <row r="94" spans="1:7" x14ac:dyDescent="0.25">
      <c r="A94" s="159">
        <v>91</v>
      </c>
      <c r="B94" s="159" t="s">
        <v>478</v>
      </c>
      <c r="C94" s="160" t="s">
        <v>479</v>
      </c>
      <c r="D94" s="160" t="s">
        <v>480</v>
      </c>
      <c r="E94" s="160" t="s">
        <v>481</v>
      </c>
      <c r="F94" s="160">
        <v>2018</v>
      </c>
      <c r="G94" s="160" t="s">
        <v>163</v>
      </c>
    </row>
    <row r="95" spans="1:7" x14ac:dyDescent="0.25">
      <c r="A95" s="159">
        <v>92</v>
      </c>
      <c r="B95" s="159" t="s">
        <v>478</v>
      </c>
      <c r="C95" s="160" t="s">
        <v>482</v>
      </c>
      <c r="D95" s="160" t="s">
        <v>483</v>
      </c>
      <c r="E95" s="160" t="s">
        <v>484</v>
      </c>
      <c r="F95" s="160">
        <v>2018</v>
      </c>
      <c r="G95" s="160" t="s">
        <v>163</v>
      </c>
    </row>
    <row r="96" spans="1:7" x14ac:dyDescent="0.25">
      <c r="A96" s="159">
        <v>93</v>
      </c>
      <c r="B96" s="159" t="s">
        <v>485</v>
      </c>
      <c r="C96" s="160" t="s">
        <v>486</v>
      </c>
      <c r="D96" s="160">
        <v>7167190</v>
      </c>
      <c r="E96" s="160" t="s">
        <v>487</v>
      </c>
      <c r="F96" s="160">
        <v>2013</v>
      </c>
      <c r="G96" s="160" t="s">
        <v>163</v>
      </c>
    </row>
    <row r="97" spans="1:7" x14ac:dyDescent="0.25">
      <c r="A97" s="159">
        <v>94</v>
      </c>
      <c r="B97" s="159" t="s">
        <v>488</v>
      </c>
      <c r="C97" s="160" t="s">
        <v>489</v>
      </c>
      <c r="D97" s="160" t="s">
        <v>490</v>
      </c>
      <c r="E97" s="160" t="s">
        <v>491</v>
      </c>
      <c r="F97" s="160">
        <v>2016</v>
      </c>
      <c r="G97" s="160" t="s">
        <v>163</v>
      </c>
    </row>
    <row r="98" spans="1:7" x14ac:dyDescent="0.25">
      <c r="A98" s="159">
        <v>95</v>
      </c>
      <c r="B98" s="159" t="s">
        <v>485</v>
      </c>
      <c r="C98" s="160" t="s">
        <v>492</v>
      </c>
      <c r="D98" s="160">
        <v>7250657</v>
      </c>
      <c r="E98" s="160" t="s">
        <v>493</v>
      </c>
      <c r="F98" s="160">
        <v>2016</v>
      </c>
      <c r="G98" s="160" t="s">
        <v>163</v>
      </c>
    </row>
    <row r="99" spans="1:7" x14ac:dyDescent="0.25">
      <c r="A99" s="159">
        <v>96</v>
      </c>
      <c r="B99" s="159" t="s">
        <v>494</v>
      </c>
      <c r="C99" s="160" t="s">
        <v>495</v>
      </c>
      <c r="D99" s="160">
        <v>37344093481</v>
      </c>
      <c r="E99" s="160" t="s">
        <v>496</v>
      </c>
      <c r="F99" s="160">
        <v>2006</v>
      </c>
      <c r="G99" s="160" t="s">
        <v>230</v>
      </c>
    </row>
    <row r="100" spans="1:7" x14ac:dyDescent="0.25">
      <c r="A100" s="159">
        <v>97</v>
      </c>
      <c r="B100" s="159" t="s">
        <v>497</v>
      </c>
      <c r="C100" s="160" t="s">
        <v>498</v>
      </c>
      <c r="D100" s="160">
        <v>40704192455</v>
      </c>
      <c r="E100" s="160" t="s">
        <v>499</v>
      </c>
      <c r="F100" s="160">
        <v>2004</v>
      </c>
      <c r="G100" s="160" t="s">
        <v>163</v>
      </c>
    </row>
    <row r="101" spans="1:7" x14ac:dyDescent="0.25">
      <c r="A101" s="159">
        <v>98</v>
      </c>
      <c r="B101" s="159" t="s">
        <v>500</v>
      </c>
      <c r="C101" s="160" t="s">
        <v>501</v>
      </c>
      <c r="D101" s="160" t="s">
        <v>502</v>
      </c>
      <c r="E101" s="160" t="s">
        <v>503</v>
      </c>
      <c r="F101" s="160">
        <v>2008</v>
      </c>
      <c r="G101" s="160" t="s">
        <v>163</v>
      </c>
    </row>
    <row r="102" spans="1:7" x14ac:dyDescent="0.25">
      <c r="A102" s="159">
        <v>99</v>
      </c>
      <c r="B102" s="159" t="s">
        <v>504</v>
      </c>
      <c r="C102" s="160" t="s">
        <v>505</v>
      </c>
      <c r="D102" s="160">
        <v>7250764</v>
      </c>
      <c r="E102" s="160" t="s">
        <v>506</v>
      </c>
      <c r="F102" s="160">
        <v>2016</v>
      </c>
      <c r="G102" s="160" t="s">
        <v>197</v>
      </c>
    </row>
    <row r="103" spans="1:7" x14ac:dyDescent="0.25">
      <c r="A103" s="159">
        <v>100</v>
      </c>
      <c r="B103" s="159" t="s">
        <v>504</v>
      </c>
      <c r="C103" s="160" t="s">
        <v>507</v>
      </c>
      <c r="D103" s="160">
        <v>7250709</v>
      </c>
      <c r="E103" s="160" t="s">
        <v>508</v>
      </c>
      <c r="F103" s="160">
        <v>2016</v>
      </c>
      <c r="G103" s="160" t="s">
        <v>163</v>
      </c>
    </row>
    <row r="104" spans="1:7" x14ac:dyDescent="0.25">
      <c r="A104" s="159">
        <v>101</v>
      </c>
      <c r="B104" s="159" t="s">
        <v>509</v>
      </c>
      <c r="C104" s="160" t="s">
        <v>510</v>
      </c>
      <c r="D104" s="160" t="s">
        <v>511</v>
      </c>
      <c r="E104" s="160" t="s">
        <v>512</v>
      </c>
      <c r="F104" s="160">
        <v>2012</v>
      </c>
      <c r="G104" s="160" t="s">
        <v>163</v>
      </c>
    </row>
    <row r="105" spans="1:7" x14ac:dyDescent="0.25">
      <c r="A105" s="159">
        <v>102</v>
      </c>
      <c r="B105" s="159" t="s">
        <v>513</v>
      </c>
      <c r="C105" s="160" t="s">
        <v>436</v>
      </c>
      <c r="D105" s="160" t="s">
        <v>514</v>
      </c>
      <c r="E105" s="160" t="s">
        <v>515</v>
      </c>
      <c r="F105" s="160">
        <v>1997</v>
      </c>
      <c r="G105" s="160" t="s">
        <v>163</v>
      </c>
    </row>
    <row r="106" spans="1:7" x14ac:dyDescent="0.25">
      <c r="A106" s="159">
        <v>103</v>
      </c>
      <c r="B106" s="159" t="s">
        <v>516</v>
      </c>
      <c r="C106" s="160" t="s">
        <v>517</v>
      </c>
      <c r="D106" s="160" t="s">
        <v>518</v>
      </c>
      <c r="E106" s="160" t="s">
        <v>519</v>
      </c>
      <c r="F106" s="160">
        <v>2013</v>
      </c>
      <c r="G106" s="160" t="s">
        <v>163</v>
      </c>
    </row>
    <row r="107" spans="1:7" x14ac:dyDescent="0.25">
      <c r="A107" s="159">
        <v>104</v>
      </c>
      <c r="B107" s="159" t="s">
        <v>520</v>
      </c>
      <c r="C107" s="160" t="s">
        <v>521</v>
      </c>
      <c r="D107" s="160">
        <v>7167101</v>
      </c>
      <c r="E107" s="160" t="s">
        <v>522</v>
      </c>
      <c r="F107" s="160">
        <v>2013</v>
      </c>
      <c r="G107" s="160" t="s">
        <v>163</v>
      </c>
    </row>
    <row r="108" spans="1:7" x14ac:dyDescent="0.25">
      <c r="A108" s="159">
        <v>105</v>
      </c>
      <c r="B108" s="159" t="s">
        <v>523</v>
      </c>
      <c r="C108" s="160" t="s">
        <v>524</v>
      </c>
      <c r="D108" s="160" t="s">
        <v>525</v>
      </c>
      <c r="E108" s="160" t="s">
        <v>526</v>
      </c>
      <c r="F108" s="160">
        <v>2007</v>
      </c>
      <c r="G108" s="160" t="s">
        <v>163</v>
      </c>
    </row>
    <row r="109" spans="1:7" x14ac:dyDescent="0.25">
      <c r="A109" s="159">
        <v>106</v>
      </c>
      <c r="B109" s="159" t="s">
        <v>527</v>
      </c>
      <c r="C109" s="160" t="s">
        <v>528</v>
      </c>
      <c r="D109" s="160">
        <v>7187302</v>
      </c>
      <c r="E109" s="160" t="s">
        <v>529</v>
      </c>
      <c r="F109" s="160">
        <v>2014</v>
      </c>
      <c r="G109" s="160" t="s">
        <v>163</v>
      </c>
    </row>
    <row r="110" spans="1:7" x14ac:dyDescent="0.25">
      <c r="A110" s="159">
        <v>107</v>
      </c>
      <c r="B110" s="159" t="s">
        <v>530</v>
      </c>
      <c r="C110" s="160" t="s">
        <v>531</v>
      </c>
      <c r="D110" s="160">
        <v>7250706</v>
      </c>
      <c r="E110" s="160" t="s">
        <v>532</v>
      </c>
      <c r="F110" s="160">
        <v>2016</v>
      </c>
      <c r="G110" s="160" t="s">
        <v>163</v>
      </c>
    </row>
    <row r="111" spans="1:7" x14ac:dyDescent="0.25">
      <c r="A111" s="159">
        <v>108</v>
      </c>
      <c r="B111" s="159" t="s">
        <v>530</v>
      </c>
      <c r="C111" s="160" t="s">
        <v>533</v>
      </c>
      <c r="D111" s="160">
        <v>7250703</v>
      </c>
      <c r="E111" s="160" t="s">
        <v>534</v>
      </c>
      <c r="F111" s="160">
        <v>2016</v>
      </c>
      <c r="G111" s="160" t="s">
        <v>163</v>
      </c>
    </row>
    <row r="112" spans="1:7" x14ac:dyDescent="0.25">
      <c r="A112" s="159">
        <v>109</v>
      </c>
      <c r="B112" s="159" t="s">
        <v>535</v>
      </c>
      <c r="C112" s="160" t="s">
        <v>536</v>
      </c>
      <c r="D112" s="160">
        <v>7167125</v>
      </c>
      <c r="E112" s="160" t="s">
        <v>537</v>
      </c>
      <c r="F112" s="160">
        <v>2014</v>
      </c>
      <c r="G112" s="160" t="s">
        <v>163</v>
      </c>
    </row>
    <row r="113" spans="1:7" x14ac:dyDescent="0.25">
      <c r="A113" s="159">
        <v>110</v>
      </c>
      <c r="B113" s="159" t="s">
        <v>538</v>
      </c>
      <c r="C113" s="160" t="s">
        <v>539</v>
      </c>
      <c r="D113" s="160" t="s">
        <v>540</v>
      </c>
      <c r="E113" s="160" t="s">
        <v>541</v>
      </c>
      <c r="F113" s="160">
        <v>2014</v>
      </c>
      <c r="G113" s="160" t="s">
        <v>163</v>
      </c>
    </row>
    <row r="114" spans="1:7" x14ac:dyDescent="0.25">
      <c r="A114" s="159">
        <v>111</v>
      </c>
      <c r="B114" s="159" t="s">
        <v>542</v>
      </c>
      <c r="C114" s="160" t="s">
        <v>543</v>
      </c>
      <c r="D114" s="160" t="s">
        <v>544</v>
      </c>
      <c r="E114" s="160" t="s">
        <v>545</v>
      </c>
      <c r="F114" s="160">
        <v>2015</v>
      </c>
      <c r="G114" s="160" t="s">
        <v>197</v>
      </c>
    </row>
    <row r="115" spans="1:7" x14ac:dyDescent="0.25">
      <c r="A115" s="159">
        <v>112</v>
      </c>
      <c r="B115" s="159" t="s">
        <v>535</v>
      </c>
      <c r="C115" s="160" t="s">
        <v>546</v>
      </c>
      <c r="D115" s="160">
        <v>7250752</v>
      </c>
      <c r="E115" s="160" t="s">
        <v>547</v>
      </c>
      <c r="F115" s="160">
        <v>2016</v>
      </c>
      <c r="G115" s="160" t="s">
        <v>163</v>
      </c>
    </row>
    <row r="116" spans="1:7" x14ac:dyDescent="0.25">
      <c r="A116" s="159">
        <v>113</v>
      </c>
      <c r="B116" s="159" t="s">
        <v>548</v>
      </c>
      <c r="C116" s="160" t="s">
        <v>549</v>
      </c>
      <c r="D116" s="160" t="s">
        <v>550</v>
      </c>
      <c r="E116" s="160" t="s">
        <v>551</v>
      </c>
      <c r="F116" s="160">
        <v>2019</v>
      </c>
      <c r="G116" s="160" t="s">
        <v>163</v>
      </c>
    </row>
    <row r="117" spans="1:7" x14ac:dyDescent="0.25">
      <c r="A117" s="159">
        <v>114</v>
      </c>
      <c r="B117" s="159" t="s">
        <v>552</v>
      </c>
      <c r="C117" s="160" t="s">
        <v>553</v>
      </c>
      <c r="D117" s="160" t="s">
        <v>554</v>
      </c>
      <c r="E117" s="160" t="s">
        <v>555</v>
      </c>
      <c r="F117" s="160">
        <v>2007</v>
      </c>
      <c r="G117" s="160" t="s">
        <v>163</v>
      </c>
    </row>
    <row r="118" spans="1:7" x14ac:dyDescent="0.25">
      <c r="A118" s="159">
        <v>115</v>
      </c>
      <c r="B118" s="159" t="s">
        <v>556</v>
      </c>
      <c r="C118" s="160" t="s">
        <v>557</v>
      </c>
      <c r="D118" s="160" t="s">
        <v>558</v>
      </c>
      <c r="E118" s="160" t="s">
        <v>559</v>
      </c>
      <c r="F118" s="160">
        <v>2007</v>
      </c>
      <c r="G118" s="160" t="s">
        <v>197</v>
      </c>
    </row>
    <row r="119" spans="1:7" x14ac:dyDescent="0.25">
      <c r="A119" s="159">
        <v>116</v>
      </c>
      <c r="B119" s="159" t="s">
        <v>560</v>
      </c>
      <c r="C119" s="160" t="s">
        <v>436</v>
      </c>
      <c r="D119" s="160">
        <v>7450514</v>
      </c>
      <c r="E119" s="160" t="s">
        <v>561</v>
      </c>
      <c r="F119" s="160">
        <v>2003</v>
      </c>
      <c r="G119" s="160" t="s">
        <v>163</v>
      </c>
    </row>
    <row r="120" spans="1:7" x14ac:dyDescent="0.25">
      <c r="A120" s="159">
        <v>117</v>
      </c>
      <c r="B120" s="159" t="s">
        <v>562</v>
      </c>
      <c r="C120" s="160" t="s">
        <v>563</v>
      </c>
      <c r="D120" s="160">
        <v>7155140</v>
      </c>
      <c r="E120" s="160" t="s">
        <v>174</v>
      </c>
      <c r="F120" s="160">
        <v>2013</v>
      </c>
      <c r="G120" s="160" t="s">
        <v>163</v>
      </c>
    </row>
    <row r="121" spans="1:7" x14ac:dyDescent="0.25">
      <c r="A121" s="159">
        <v>118</v>
      </c>
      <c r="B121" s="159" t="s">
        <v>564</v>
      </c>
      <c r="C121" s="160" t="s">
        <v>565</v>
      </c>
      <c r="D121" s="160" t="s">
        <v>566</v>
      </c>
      <c r="E121" s="160" t="s">
        <v>567</v>
      </c>
      <c r="F121" s="160">
        <v>2016</v>
      </c>
      <c r="G121" s="160" t="s">
        <v>163</v>
      </c>
    </row>
    <row r="122" spans="1:7" x14ac:dyDescent="0.25">
      <c r="A122" s="159">
        <v>119</v>
      </c>
      <c r="B122" s="159" t="s">
        <v>568</v>
      </c>
      <c r="C122" s="160" t="s">
        <v>569</v>
      </c>
      <c r="D122" s="160" t="s">
        <v>570</v>
      </c>
      <c r="E122" s="160" t="s">
        <v>571</v>
      </c>
      <c r="F122" s="160">
        <v>2006</v>
      </c>
      <c r="G122" s="160" t="s">
        <v>163</v>
      </c>
    </row>
    <row r="123" spans="1:7" x14ac:dyDescent="0.25">
      <c r="A123" s="159">
        <v>120</v>
      </c>
      <c r="B123" s="159" t="s">
        <v>572</v>
      </c>
      <c r="C123" s="160" t="s">
        <v>573</v>
      </c>
      <c r="D123" s="160" t="s">
        <v>574</v>
      </c>
      <c r="E123" s="160" t="s">
        <v>575</v>
      </c>
      <c r="F123" s="160">
        <v>2017</v>
      </c>
      <c r="G123" s="160" t="s">
        <v>163</v>
      </c>
    </row>
    <row r="124" spans="1:7" x14ac:dyDescent="0.25">
      <c r="A124" s="159">
        <v>121</v>
      </c>
      <c r="B124" s="159" t="s">
        <v>576</v>
      </c>
      <c r="C124" s="160" t="s">
        <v>577</v>
      </c>
      <c r="D124" s="160" t="s">
        <v>578</v>
      </c>
      <c r="E124" s="160" t="s">
        <v>579</v>
      </c>
      <c r="F124" s="160">
        <v>2013</v>
      </c>
      <c r="G124" s="160" t="s">
        <v>163</v>
      </c>
    </row>
    <row r="125" spans="1:7" x14ac:dyDescent="0.25">
      <c r="A125" s="159">
        <v>122</v>
      </c>
      <c r="B125" s="159" t="s">
        <v>580</v>
      </c>
      <c r="C125" s="160" t="s">
        <v>581</v>
      </c>
      <c r="D125" s="160">
        <v>7187332</v>
      </c>
      <c r="E125" s="160" t="s">
        <v>582</v>
      </c>
      <c r="F125" s="160">
        <v>2014</v>
      </c>
      <c r="G125" s="160" t="s">
        <v>163</v>
      </c>
    </row>
    <row r="126" spans="1:7" x14ac:dyDescent="0.25">
      <c r="A126" s="159">
        <v>123</v>
      </c>
      <c r="B126" s="159" t="s">
        <v>583</v>
      </c>
      <c r="C126" s="160" t="s">
        <v>584</v>
      </c>
      <c r="D126" s="160" t="s">
        <v>585</v>
      </c>
      <c r="E126" s="160" t="s">
        <v>586</v>
      </c>
      <c r="F126" s="160">
        <v>2016</v>
      </c>
      <c r="G126" s="160" t="s">
        <v>163</v>
      </c>
    </row>
    <row r="127" spans="1:7" x14ac:dyDescent="0.25">
      <c r="A127" s="159">
        <v>124</v>
      </c>
      <c r="B127" s="159" t="s">
        <v>587</v>
      </c>
      <c r="C127" s="160" t="s">
        <v>436</v>
      </c>
      <c r="D127" s="160" t="s">
        <v>588</v>
      </c>
      <c r="E127" s="160" t="s">
        <v>589</v>
      </c>
      <c r="F127" s="160">
        <v>1995</v>
      </c>
      <c r="G127" s="160" t="s">
        <v>163</v>
      </c>
    </row>
    <row r="128" spans="1:7" x14ac:dyDescent="0.25">
      <c r="A128" s="159">
        <v>125</v>
      </c>
      <c r="B128" s="159" t="s">
        <v>590</v>
      </c>
      <c r="C128" s="160" t="s">
        <v>591</v>
      </c>
      <c r="D128" s="160" t="s">
        <v>592</v>
      </c>
      <c r="E128" s="160" t="s">
        <v>593</v>
      </c>
      <c r="F128" s="160">
        <v>2007</v>
      </c>
      <c r="G128" s="160" t="s">
        <v>197</v>
      </c>
    </row>
    <row r="129" spans="1:7" x14ac:dyDescent="0.25">
      <c r="A129" s="159">
        <v>126</v>
      </c>
      <c r="B129" s="159" t="s">
        <v>377</v>
      </c>
      <c r="C129" s="160" t="s">
        <v>594</v>
      </c>
      <c r="D129" s="160" t="s">
        <v>595</v>
      </c>
      <c r="E129" s="160" t="s">
        <v>596</v>
      </c>
      <c r="F129" s="160">
        <v>2020</v>
      </c>
      <c r="G129" s="160" t="s">
        <v>163</v>
      </c>
    </row>
    <row r="130" spans="1:7" x14ac:dyDescent="0.25">
      <c r="A130" s="159">
        <v>127</v>
      </c>
      <c r="B130" s="159" t="s">
        <v>597</v>
      </c>
      <c r="C130" s="160" t="s">
        <v>598</v>
      </c>
      <c r="D130" s="160" t="s">
        <v>599</v>
      </c>
      <c r="E130" s="160" t="s">
        <v>600</v>
      </c>
      <c r="F130" s="160">
        <v>2015</v>
      </c>
      <c r="G130" s="160" t="s">
        <v>163</v>
      </c>
    </row>
    <row r="131" spans="1:7" x14ac:dyDescent="0.25">
      <c r="A131" s="159">
        <v>128</v>
      </c>
      <c r="B131" s="159" t="s">
        <v>601</v>
      </c>
      <c r="C131" s="160" t="s">
        <v>602</v>
      </c>
      <c r="D131" s="160" t="s">
        <v>603</v>
      </c>
      <c r="E131" s="160" t="s">
        <v>604</v>
      </c>
      <c r="F131" s="160">
        <v>2008</v>
      </c>
      <c r="G131" s="160" t="s">
        <v>163</v>
      </c>
    </row>
    <row r="132" spans="1:7" x14ac:dyDescent="0.25">
      <c r="A132" s="159">
        <v>129</v>
      </c>
      <c r="B132" s="159" t="s">
        <v>605</v>
      </c>
      <c r="C132" s="160" t="s">
        <v>606</v>
      </c>
      <c r="D132" s="160" t="s">
        <v>607</v>
      </c>
      <c r="E132" s="160" t="s">
        <v>608</v>
      </c>
      <c r="F132" s="160">
        <v>2005</v>
      </c>
      <c r="G132" s="160" t="s">
        <v>163</v>
      </c>
    </row>
    <row r="133" spans="1:7" x14ac:dyDescent="0.25">
      <c r="A133" s="159">
        <v>130</v>
      </c>
      <c r="B133" s="159" t="s">
        <v>605</v>
      </c>
      <c r="C133" s="160" t="s">
        <v>609</v>
      </c>
      <c r="D133" s="160" t="s">
        <v>610</v>
      </c>
      <c r="E133" s="160" t="s">
        <v>611</v>
      </c>
      <c r="F133" s="160">
        <v>2005</v>
      </c>
      <c r="G133" s="160" t="s">
        <v>163</v>
      </c>
    </row>
    <row r="134" spans="1:7" x14ac:dyDescent="0.25">
      <c r="A134" s="159">
        <v>131</v>
      </c>
      <c r="B134" s="159" t="s">
        <v>535</v>
      </c>
      <c r="C134" s="160" t="s">
        <v>612</v>
      </c>
      <c r="D134" s="160">
        <v>7250622</v>
      </c>
      <c r="E134" s="160" t="s">
        <v>613</v>
      </c>
      <c r="F134" s="160">
        <v>2016</v>
      </c>
      <c r="G134" s="160" t="s">
        <v>163</v>
      </c>
    </row>
    <row r="135" spans="1:7" x14ac:dyDescent="0.25">
      <c r="A135" s="159">
        <v>132</v>
      </c>
      <c r="B135" s="159" t="s">
        <v>614</v>
      </c>
      <c r="C135" s="160" t="s">
        <v>615</v>
      </c>
      <c r="D135" s="160" t="s">
        <v>616</v>
      </c>
      <c r="E135" s="160" t="s">
        <v>617</v>
      </c>
      <c r="F135" s="160">
        <v>2017</v>
      </c>
      <c r="G135" s="160" t="s">
        <v>163</v>
      </c>
    </row>
    <row r="136" spans="1:7" x14ac:dyDescent="0.25">
      <c r="A136" s="159">
        <v>133</v>
      </c>
      <c r="B136" s="159" t="s">
        <v>618</v>
      </c>
      <c r="C136" s="160" t="s">
        <v>619</v>
      </c>
      <c r="D136" s="160" t="s">
        <v>620</v>
      </c>
      <c r="E136" s="160" t="s">
        <v>621</v>
      </c>
      <c r="F136" s="160">
        <v>2006</v>
      </c>
      <c r="G136" s="160" t="s">
        <v>163</v>
      </c>
    </row>
    <row r="137" spans="1:7" x14ac:dyDescent="0.25">
      <c r="A137" s="159">
        <v>134</v>
      </c>
      <c r="B137" s="159" t="s">
        <v>622</v>
      </c>
      <c r="C137" s="160" t="s">
        <v>623</v>
      </c>
      <c r="D137" s="160" t="s">
        <v>624</v>
      </c>
      <c r="E137" s="160" t="s">
        <v>625</v>
      </c>
      <c r="F137" s="160">
        <v>2006</v>
      </c>
      <c r="G137" s="160" t="s">
        <v>163</v>
      </c>
    </row>
    <row r="138" spans="1:7" x14ac:dyDescent="0.25">
      <c r="A138" s="159">
        <v>135</v>
      </c>
      <c r="B138" s="159" t="s">
        <v>626</v>
      </c>
      <c r="C138" s="160" t="s">
        <v>627</v>
      </c>
      <c r="D138" s="160" t="s">
        <v>628</v>
      </c>
      <c r="E138" s="160" t="s">
        <v>629</v>
      </c>
      <c r="F138" s="160">
        <v>2011</v>
      </c>
      <c r="G138" s="160" t="s">
        <v>197</v>
      </c>
    </row>
    <row r="139" spans="1:7" x14ac:dyDescent="0.25">
      <c r="A139" s="159">
        <v>136</v>
      </c>
      <c r="B139" s="159" t="s">
        <v>424</v>
      </c>
      <c r="C139" s="160" t="s">
        <v>630</v>
      </c>
      <c r="D139" s="160">
        <v>7163588</v>
      </c>
      <c r="E139" s="160" t="s">
        <v>631</v>
      </c>
      <c r="F139" s="160">
        <v>2013</v>
      </c>
      <c r="G139" s="160" t="s">
        <v>163</v>
      </c>
    </row>
    <row r="140" spans="1:7" x14ac:dyDescent="0.25">
      <c r="A140" s="159">
        <v>137</v>
      </c>
      <c r="B140" s="159" t="s">
        <v>632</v>
      </c>
      <c r="C140" s="160" t="s">
        <v>633</v>
      </c>
      <c r="D140" s="160">
        <v>7185078</v>
      </c>
      <c r="E140" s="160" t="s">
        <v>634</v>
      </c>
      <c r="F140" s="160">
        <v>2014</v>
      </c>
      <c r="G140" s="160" t="s">
        <v>163</v>
      </c>
    </row>
    <row r="141" spans="1:7" x14ac:dyDescent="0.25">
      <c r="A141" s="159">
        <v>138</v>
      </c>
      <c r="B141" s="159" t="s">
        <v>635</v>
      </c>
      <c r="C141" s="160" t="s">
        <v>636</v>
      </c>
      <c r="D141" s="160">
        <v>7196131</v>
      </c>
      <c r="E141" s="160" t="s">
        <v>637</v>
      </c>
      <c r="F141" s="160">
        <v>2014</v>
      </c>
      <c r="G141" s="160" t="s">
        <v>163</v>
      </c>
    </row>
    <row r="142" spans="1:7" x14ac:dyDescent="0.25">
      <c r="A142" s="159">
        <v>139</v>
      </c>
      <c r="B142" s="159" t="s">
        <v>535</v>
      </c>
      <c r="C142" s="160" t="s">
        <v>638</v>
      </c>
      <c r="D142" s="160">
        <v>7252679</v>
      </c>
      <c r="E142" s="160" t="s">
        <v>639</v>
      </c>
      <c r="F142" s="160">
        <v>2016</v>
      </c>
      <c r="G142" s="160" t="s">
        <v>163</v>
      </c>
    </row>
    <row r="143" spans="1:7" x14ac:dyDescent="0.25">
      <c r="A143" s="159">
        <v>140</v>
      </c>
      <c r="B143" s="159" t="s">
        <v>640</v>
      </c>
      <c r="C143" s="160" t="s">
        <v>641</v>
      </c>
      <c r="D143" s="160" t="s">
        <v>642</v>
      </c>
      <c r="E143" s="160" t="s">
        <v>643</v>
      </c>
      <c r="F143" s="160">
        <v>2000</v>
      </c>
      <c r="G143" s="160" t="s">
        <v>163</v>
      </c>
    </row>
    <row r="144" spans="1:7" x14ac:dyDescent="0.25">
      <c r="A144" s="159">
        <v>141</v>
      </c>
      <c r="B144" s="159" t="s">
        <v>644</v>
      </c>
      <c r="C144" s="160" t="s">
        <v>645</v>
      </c>
      <c r="D144" s="160" t="s">
        <v>646</v>
      </c>
      <c r="E144" s="160" t="s">
        <v>647</v>
      </c>
      <c r="F144" s="160">
        <v>2020</v>
      </c>
      <c r="G144" s="160" t="s">
        <v>197</v>
      </c>
    </row>
    <row r="145" spans="1:7" x14ac:dyDescent="0.25">
      <c r="A145" s="159">
        <v>142</v>
      </c>
      <c r="B145" s="159" t="s">
        <v>648</v>
      </c>
      <c r="C145" s="160" t="s">
        <v>649</v>
      </c>
      <c r="D145" s="160" t="s">
        <v>650</v>
      </c>
      <c r="E145" s="160" t="s">
        <v>651</v>
      </c>
      <c r="F145" s="160">
        <v>2020</v>
      </c>
      <c r="G145" s="160" t="s">
        <v>163</v>
      </c>
    </row>
    <row r="146" spans="1:7" x14ac:dyDescent="0.25">
      <c r="A146" s="159">
        <v>143</v>
      </c>
      <c r="B146" s="159" t="s">
        <v>652</v>
      </c>
      <c r="C146" s="160" t="s">
        <v>436</v>
      </c>
      <c r="D146" s="160" t="s">
        <v>653</v>
      </c>
      <c r="E146" s="160" t="s">
        <v>654</v>
      </c>
      <c r="F146" s="160">
        <v>1995</v>
      </c>
      <c r="G146" s="160" t="s">
        <v>163</v>
      </c>
    </row>
    <row r="147" spans="1:7" x14ac:dyDescent="0.25">
      <c r="A147" s="159">
        <v>144</v>
      </c>
      <c r="B147" s="159" t="s">
        <v>655</v>
      </c>
      <c r="C147" s="160" t="s">
        <v>656</v>
      </c>
      <c r="D147" s="160" t="s">
        <v>657</v>
      </c>
      <c r="E147" s="160" t="s">
        <v>658</v>
      </c>
      <c r="F147" s="160">
        <v>2005</v>
      </c>
      <c r="G147" s="160" t="s">
        <v>163</v>
      </c>
    </row>
    <row r="148" spans="1:7" x14ac:dyDescent="0.25">
      <c r="A148" s="159">
        <v>145</v>
      </c>
      <c r="B148" s="159" t="s">
        <v>659</v>
      </c>
      <c r="C148" s="160" t="s">
        <v>660</v>
      </c>
      <c r="D148" s="160">
        <v>7167242</v>
      </c>
      <c r="E148" s="160" t="s">
        <v>661</v>
      </c>
      <c r="F148" s="160">
        <v>2013</v>
      </c>
      <c r="G148" s="160" t="s">
        <v>163</v>
      </c>
    </row>
    <row r="149" spans="1:7" x14ac:dyDescent="0.25">
      <c r="A149" s="159">
        <v>146</v>
      </c>
      <c r="B149" s="159" t="s">
        <v>659</v>
      </c>
      <c r="C149" s="160" t="s">
        <v>662</v>
      </c>
      <c r="D149" s="160">
        <v>7250753</v>
      </c>
      <c r="E149" s="160" t="s">
        <v>663</v>
      </c>
      <c r="F149" s="160">
        <v>2016</v>
      </c>
      <c r="G149" s="160" t="s">
        <v>163</v>
      </c>
    </row>
    <row r="150" spans="1:7" x14ac:dyDescent="0.25">
      <c r="A150" s="159">
        <v>147</v>
      </c>
      <c r="B150" s="159" t="s">
        <v>605</v>
      </c>
      <c r="C150" s="160" t="s">
        <v>664</v>
      </c>
      <c r="D150" s="160" t="s">
        <v>665</v>
      </c>
      <c r="E150" s="160" t="s">
        <v>666</v>
      </c>
      <c r="F150" s="160">
        <v>2006</v>
      </c>
      <c r="G150" s="160" t="s">
        <v>163</v>
      </c>
    </row>
    <row r="151" spans="1:7" x14ac:dyDescent="0.25">
      <c r="A151" s="159">
        <v>148</v>
      </c>
      <c r="B151" s="159" t="s">
        <v>667</v>
      </c>
      <c r="C151" s="160" t="s">
        <v>668</v>
      </c>
      <c r="D151" s="160" t="s">
        <v>669</v>
      </c>
      <c r="E151" s="160" t="s">
        <v>670</v>
      </c>
      <c r="F151" s="160">
        <v>2016</v>
      </c>
      <c r="G151" s="160" t="s">
        <v>163</v>
      </c>
    </row>
    <row r="152" spans="1:7" x14ac:dyDescent="0.25">
      <c r="A152" s="159">
        <v>149</v>
      </c>
      <c r="B152" s="159" t="s">
        <v>671</v>
      </c>
      <c r="C152" s="160" t="s">
        <v>672</v>
      </c>
      <c r="D152" s="160" t="s">
        <v>673</v>
      </c>
      <c r="E152" s="160" t="s">
        <v>674</v>
      </c>
      <c r="F152" s="160">
        <v>2012</v>
      </c>
      <c r="G152" s="160" t="s">
        <v>163</v>
      </c>
    </row>
    <row r="153" spans="1:7" x14ac:dyDescent="0.25">
      <c r="A153" s="159">
        <v>150</v>
      </c>
      <c r="B153" s="159" t="s">
        <v>219</v>
      </c>
      <c r="C153" s="160" t="s">
        <v>675</v>
      </c>
      <c r="D153" s="160" t="s">
        <v>676</v>
      </c>
      <c r="E153" s="160" t="s">
        <v>677</v>
      </c>
      <c r="F153" s="160">
        <v>2007</v>
      </c>
      <c r="G153" s="160" t="s">
        <v>197</v>
      </c>
    </row>
    <row r="154" spans="1:7" x14ac:dyDescent="0.25">
      <c r="A154" s="159">
        <v>151</v>
      </c>
      <c r="B154" s="159" t="s">
        <v>678</v>
      </c>
      <c r="C154" s="160" t="s">
        <v>679</v>
      </c>
      <c r="D154" s="160" t="s">
        <v>680</v>
      </c>
      <c r="E154" s="160" t="s">
        <v>681</v>
      </c>
      <c r="F154" s="160">
        <v>2020</v>
      </c>
      <c r="G154" s="160" t="s">
        <v>163</v>
      </c>
    </row>
    <row r="155" spans="1:7" x14ac:dyDescent="0.25">
      <c r="A155" s="159">
        <v>152</v>
      </c>
      <c r="B155" s="159" t="s">
        <v>682</v>
      </c>
      <c r="C155" s="160" t="s">
        <v>683</v>
      </c>
      <c r="D155" s="160" t="s">
        <v>684</v>
      </c>
      <c r="E155" s="160" t="s">
        <v>685</v>
      </c>
      <c r="F155" s="160">
        <v>2020</v>
      </c>
      <c r="G155" s="160" t="s">
        <v>163</v>
      </c>
    </row>
    <row r="156" spans="1:7" x14ac:dyDescent="0.25">
      <c r="A156" s="159">
        <v>153</v>
      </c>
      <c r="B156" s="159" t="s">
        <v>678</v>
      </c>
      <c r="C156" s="160" t="s">
        <v>686</v>
      </c>
      <c r="D156" s="160" t="s">
        <v>687</v>
      </c>
      <c r="E156" s="160" t="s">
        <v>688</v>
      </c>
      <c r="F156" s="160">
        <v>2021</v>
      </c>
      <c r="G156" s="160" t="s">
        <v>197</v>
      </c>
    </row>
    <row r="157" spans="1:7" x14ac:dyDescent="0.25">
      <c r="A157" s="159">
        <v>154</v>
      </c>
      <c r="B157" s="159" t="s">
        <v>689</v>
      </c>
      <c r="C157" s="160" t="s">
        <v>690</v>
      </c>
      <c r="D157" s="160" t="s">
        <v>691</v>
      </c>
      <c r="E157" s="160" t="s">
        <v>692</v>
      </c>
      <c r="F157" s="160">
        <v>2020</v>
      </c>
      <c r="G157" s="160" t="s">
        <v>163</v>
      </c>
    </row>
    <row r="158" spans="1:7" x14ac:dyDescent="0.25">
      <c r="A158" s="159">
        <v>155</v>
      </c>
      <c r="B158" s="159" t="s">
        <v>587</v>
      </c>
      <c r="C158" s="160" t="s">
        <v>693</v>
      </c>
      <c r="D158" s="160" t="s">
        <v>694</v>
      </c>
      <c r="E158" s="160" t="s">
        <v>695</v>
      </c>
      <c r="F158" s="160">
        <v>1985</v>
      </c>
      <c r="G158" s="160" t="s">
        <v>163</v>
      </c>
    </row>
    <row r="159" spans="1:7" x14ac:dyDescent="0.25">
      <c r="A159" s="159">
        <v>156</v>
      </c>
      <c r="B159" s="159" t="s">
        <v>696</v>
      </c>
      <c r="C159" s="160" t="s">
        <v>697</v>
      </c>
      <c r="D159" s="160" t="s">
        <v>698</v>
      </c>
      <c r="E159" s="160" t="s">
        <v>699</v>
      </c>
      <c r="F159" s="160">
        <v>2021</v>
      </c>
      <c r="G159" s="160" t="s">
        <v>163</v>
      </c>
    </row>
    <row r="160" spans="1:7" x14ac:dyDescent="0.25">
      <c r="A160" s="159">
        <v>157</v>
      </c>
      <c r="B160" s="159" t="s">
        <v>696</v>
      </c>
      <c r="C160" s="160" t="s">
        <v>700</v>
      </c>
      <c r="D160" s="160" t="s">
        <v>701</v>
      </c>
      <c r="E160" s="160" t="s">
        <v>702</v>
      </c>
      <c r="F160" s="160">
        <v>2021</v>
      </c>
      <c r="G160" s="160" t="s">
        <v>163</v>
      </c>
    </row>
    <row r="161" spans="1:7" x14ac:dyDescent="0.25">
      <c r="A161" s="159">
        <v>158</v>
      </c>
      <c r="B161" s="159" t="s">
        <v>703</v>
      </c>
      <c r="C161" s="160" t="s">
        <v>704</v>
      </c>
      <c r="D161" s="161">
        <v>632999910061336</v>
      </c>
      <c r="E161" s="160" t="s">
        <v>705</v>
      </c>
      <c r="F161" s="160">
        <v>1998</v>
      </c>
      <c r="G161" s="160" t="s">
        <v>163</v>
      </c>
    </row>
    <row r="162" spans="1:7" x14ac:dyDescent="0.25">
      <c r="A162" s="159">
        <v>159</v>
      </c>
      <c r="B162" s="159" t="s">
        <v>696</v>
      </c>
      <c r="C162" s="160" t="s">
        <v>706</v>
      </c>
      <c r="D162" s="160" t="s">
        <v>707</v>
      </c>
      <c r="E162" s="160" t="s">
        <v>708</v>
      </c>
      <c r="F162" s="160">
        <v>2021</v>
      </c>
      <c r="G162" s="160" t="s">
        <v>163</v>
      </c>
    </row>
    <row r="163" spans="1:7" x14ac:dyDescent="0.25">
      <c r="A163" s="159">
        <v>160</v>
      </c>
      <c r="B163" s="159" t="s">
        <v>696</v>
      </c>
      <c r="C163" s="160" t="s">
        <v>709</v>
      </c>
      <c r="D163" s="160" t="s">
        <v>710</v>
      </c>
      <c r="E163" s="160" t="s">
        <v>711</v>
      </c>
      <c r="F163" s="160">
        <v>2020</v>
      </c>
      <c r="G163" s="160" t="s">
        <v>163</v>
      </c>
    </row>
    <row r="164" spans="1:7" x14ac:dyDescent="0.25">
      <c r="A164" s="159">
        <v>161</v>
      </c>
      <c r="B164" s="159" t="s">
        <v>712</v>
      </c>
      <c r="C164" s="160" t="s">
        <v>713</v>
      </c>
      <c r="D164" s="160" t="s">
        <v>714</v>
      </c>
      <c r="E164" s="160" t="s">
        <v>715</v>
      </c>
      <c r="F164" s="160">
        <v>2013</v>
      </c>
      <c r="G164" s="160" t="s">
        <v>197</v>
      </c>
    </row>
    <row r="165" spans="1:7" x14ac:dyDescent="0.25">
      <c r="A165" s="159">
        <v>162</v>
      </c>
      <c r="B165" s="159" t="s">
        <v>696</v>
      </c>
      <c r="C165" s="160" t="s">
        <v>716</v>
      </c>
      <c r="D165" s="160" t="s">
        <v>717</v>
      </c>
      <c r="E165" s="160" t="s">
        <v>718</v>
      </c>
      <c r="F165" s="160">
        <v>2021</v>
      </c>
      <c r="G165" s="160" t="s">
        <v>163</v>
      </c>
    </row>
    <row r="166" spans="1:7" x14ac:dyDescent="0.25">
      <c r="A166" s="159">
        <v>163</v>
      </c>
      <c r="B166" s="159" t="s">
        <v>719</v>
      </c>
      <c r="C166" s="160" t="s">
        <v>720</v>
      </c>
      <c r="D166" s="160" t="s">
        <v>721</v>
      </c>
      <c r="E166" s="160" t="s">
        <v>722</v>
      </c>
      <c r="F166" s="160">
        <v>2020</v>
      </c>
      <c r="G166" s="160" t="s">
        <v>163</v>
      </c>
    </row>
    <row r="167" spans="1:7" x14ac:dyDescent="0.25">
      <c r="A167" s="159">
        <v>164</v>
      </c>
      <c r="B167" s="159" t="s">
        <v>723</v>
      </c>
      <c r="C167" s="160" t="s">
        <v>724</v>
      </c>
      <c r="D167" s="161">
        <v>6119817009030</v>
      </c>
      <c r="E167" s="160" t="s">
        <v>725</v>
      </c>
      <c r="F167" s="160">
        <v>2008</v>
      </c>
      <c r="G167" s="160" t="s">
        <v>163</v>
      </c>
    </row>
    <row r="168" spans="1:7" x14ac:dyDescent="0.25">
      <c r="A168" s="159">
        <v>165</v>
      </c>
      <c r="B168" s="159" t="s">
        <v>648</v>
      </c>
      <c r="C168" s="160" t="s">
        <v>726</v>
      </c>
      <c r="D168" s="160" t="s">
        <v>727</v>
      </c>
      <c r="E168" s="160" t="s">
        <v>728</v>
      </c>
      <c r="F168" s="160">
        <v>2020</v>
      </c>
      <c r="G168" s="160" t="s">
        <v>163</v>
      </c>
    </row>
    <row r="169" spans="1:7" x14ac:dyDescent="0.25">
      <c r="A169" s="159">
        <v>166</v>
      </c>
      <c r="B169" s="159" t="s">
        <v>648</v>
      </c>
      <c r="C169" s="160" t="s">
        <v>729</v>
      </c>
      <c r="D169" s="160" t="s">
        <v>730</v>
      </c>
      <c r="E169" s="160" t="s">
        <v>731</v>
      </c>
      <c r="F169" s="160">
        <v>2020</v>
      </c>
      <c r="G169" s="160" t="s">
        <v>163</v>
      </c>
    </row>
    <row r="170" spans="1:7" x14ac:dyDescent="0.25">
      <c r="A170" s="159">
        <v>167</v>
      </c>
      <c r="B170" s="159" t="s">
        <v>648</v>
      </c>
      <c r="C170" s="160" t="s">
        <v>732</v>
      </c>
      <c r="D170" s="160" t="s">
        <v>733</v>
      </c>
      <c r="E170" s="160" t="s">
        <v>734</v>
      </c>
      <c r="F170" s="160">
        <v>2020</v>
      </c>
      <c r="G170" s="160" t="s">
        <v>163</v>
      </c>
    </row>
    <row r="171" spans="1:7" x14ac:dyDescent="0.25">
      <c r="A171" s="159">
        <v>168</v>
      </c>
      <c r="B171" s="159" t="s">
        <v>648</v>
      </c>
      <c r="C171" s="160" t="s">
        <v>735</v>
      </c>
      <c r="D171" s="160" t="s">
        <v>736</v>
      </c>
      <c r="E171" s="160" t="s">
        <v>737</v>
      </c>
      <c r="F171" s="160">
        <v>2020</v>
      </c>
      <c r="G171" s="160" t="s">
        <v>163</v>
      </c>
    </row>
    <row r="172" spans="1:7" x14ac:dyDescent="0.25">
      <c r="A172" s="159">
        <v>169</v>
      </c>
      <c r="B172" s="159" t="s">
        <v>738</v>
      </c>
      <c r="C172" s="160" t="s">
        <v>739</v>
      </c>
      <c r="D172" s="160" t="s">
        <v>740</v>
      </c>
      <c r="E172" s="160" t="s">
        <v>741</v>
      </c>
      <c r="F172" s="160">
        <v>1990</v>
      </c>
      <c r="G172" s="160" t="s">
        <v>163</v>
      </c>
    </row>
    <row r="173" spans="1:7" x14ac:dyDescent="0.25">
      <c r="A173" s="159">
        <v>170</v>
      </c>
      <c r="B173" s="159" t="s">
        <v>742</v>
      </c>
      <c r="C173" s="160" t="s">
        <v>743</v>
      </c>
      <c r="D173" s="160" t="s">
        <v>744</v>
      </c>
      <c r="E173" s="160" t="s">
        <v>745</v>
      </c>
      <c r="F173" s="160">
        <v>2013</v>
      </c>
      <c r="G173" s="160" t="s">
        <v>163</v>
      </c>
    </row>
    <row r="174" spans="1:7" x14ac:dyDescent="0.25">
      <c r="A174" s="159">
        <v>171</v>
      </c>
      <c r="B174" s="159" t="s">
        <v>746</v>
      </c>
      <c r="C174" s="160" t="s">
        <v>747</v>
      </c>
      <c r="D174" s="160" t="s">
        <v>748</v>
      </c>
      <c r="E174" s="160" t="s">
        <v>749</v>
      </c>
      <c r="F174" s="160">
        <v>2021</v>
      </c>
      <c r="G174" s="160" t="s">
        <v>197</v>
      </c>
    </row>
    <row r="175" spans="1:7" x14ac:dyDescent="0.25">
      <c r="A175" s="159">
        <v>172</v>
      </c>
      <c r="B175" s="159" t="s">
        <v>750</v>
      </c>
      <c r="C175" s="160" t="s">
        <v>751</v>
      </c>
      <c r="D175" s="160" t="s">
        <v>752</v>
      </c>
      <c r="E175" s="160" t="s">
        <v>753</v>
      </c>
      <c r="F175" s="160">
        <v>2020</v>
      </c>
      <c r="G175" s="160" t="s">
        <v>163</v>
      </c>
    </row>
    <row r="176" spans="1:7" x14ac:dyDescent="0.25">
      <c r="A176" s="159">
        <v>173</v>
      </c>
      <c r="B176" s="159" t="s">
        <v>754</v>
      </c>
      <c r="C176" s="160" t="s">
        <v>436</v>
      </c>
      <c r="D176" s="160" t="s">
        <v>755</v>
      </c>
      <c r="E176" s="160" t="s">
        <v>756</v>
      </c>
      <c r="F176" s="160">
        <v>1998</v>
      </c>
      <c r="G176" s="160" t="s">
        <v>197</v>
      </c>
    </row>
    <row r="177" spans="1:7" x14ac:dyDescent="0.25">
      <c r="A177" s="159">
        <v>174</v>
      </c>
      <c r="B177" s="159" t="s">
        <v>757</v>
      </c>
      <c r="C177" s="160" t="s">
        <v>758</v>
      </c>
      <c r="D177" s="160" t="s">
        <v>759</v>
      </c>
      <c r="E177" s="160" t="s">
        <v>760</v>
      </c>
      <c r="F177" s="160">
        <v>2021</v>
      </c>
      <c r="G177" s="160" t="s">
        <v>163</v>
      </c>
    </row>
    <row r="178" spans="1:7" x14ac:dyDescent="0.25">
      <c r="A178" s="159">
        <v>175</v>
      </c>
      <c r="B178" s="159" t="s">
        <v>761</v>
      </c>
      <c r="C178" s="160" t="s">
        <v>762</v>
      </c>
      <c r="D178" s="160">
        <v>7251418</v>
      </c>
      <c r="E178" s="160" t="s">
        <v>763</v>
      </c>
      <c r="F178" s="160">
        <v>2016</v>
      </c>
      <c r="G178" s="160" t="s">
        <v>163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G23" sqref="G2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119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119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011'!H10</f>
        <v>700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19.5" thickBot="1" x14ac:dyDescent="0.3">
      <c r="A14" s="187" t="s">
        <v>123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166040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topLeftCell="A13" workbookViewId="0">
      <selection activeCell="H16" sqref="H16"/>
    </sheetView>
  </sheetViews>
  <sheetFormatPr baseColWidth="10" defaultRowHeight="15" x14ac:dyDescent="0.25"/>
  <cols>
    <col min="1" max="5" width="4.42578125" customWidth="1"/>
    <col min="6" max="6" width="6.140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S.A.'!D3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S.A.'!D4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S.A.'!D5</f>
        <v>082 - DIR. PROV. DE ADMINISTRACION DEL MINISTERIO DE SALUD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S.A.'!D6</f>
        <v>082 - DIR. PROV. DE ADMINISTRACION DEL MINISTERIO DE SALUD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34</v>
      </c>
      <c r="B15" s="131"/>
      <c r="C15" s="131"/>
      <c r="D15" s="131">
        <v>1</v>
      </c>
      <c r="E15" s="131"/>
      <c r="F15" s="131">
        <v>4901</v>
      </c>
      <c r="G15" s="131">
        <v>1</v>
      </c>
      <c r="H15" s="131">
        <v>6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S.A.'!J14</f>
        <v>166040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45" customHeight="1" thickBot="1" x14ac:dyDescent="0.3">
      <c r="A38" s="214" t="s">
        <v>124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166040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S.A.'!D8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activeCell="B12" sqref="B12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128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128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011'!P10</f>
        <v>250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19.5" thickBot="1" x14ac:dyDescent="0.3">
      <c r="A14" s="187" t="s">
        <v>129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59300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19" workbookViewId="0">
      <selection activeCell="Q32" sqref="Q32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APS'!D3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APS'!D4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APS'!D5</f>
        <v>750 - DIRECCION PROVINCIAL PRIMER NIVEL DE ATENCION PRIMARIA DE LA SALUD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APS'!D6</f>
        <v>750 - DIRECCION PROVINCIAL PRIMER NIVEL DE ATENCION PRIMARIA DE LA SALUD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47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APS'!J14</f>
        <v>59300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15.75" thickBot="1" x14ac:dyDescent="0.3">
      <c r="A38" s="214" t="s">
        <v>130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59300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APS'!D8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>
      <selection activeCell="E29" sqref="E29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131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131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011'!X10</f>
        <v>21000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36.75" customHeight="1" thickBot="1" x14ac:dyDescent="0.3">
      <c r="A14" s="187" t="s">
        <v>132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4981200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"/>
  <sheetViews>
    <sheetView topLeftCell="A7" workbookViewId="0">
      <selection activeCell="R32" sqref="R32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SAME'!D3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SAME'!D4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SAME'!D5</f>
        <v>748 - DIR. PROV. SISTEMA DE ATENCION MEDICA DE EMERGENCIA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SAME'!D6</f>
        <v>748 - DIR. PROV. SISTEMA DE ATENCION MEDICA DE EMERGENCIA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30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SAME'!J14</f>
        <v>4981200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s="156" customFormat="1" ht="38.25" customHeight="1" thickBot="1" x14ac:dyDescent="0.3">
      <c r="A38" s="214" t="s">
        <v>133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55">
        <f>SUM(Q15:Q37)</f>
        <v>4981200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SAME'!D8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H28" sqref="H28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134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134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011'!AD10</f>
        <v>16000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s="156" customFormat="1" ht="35.25" customHeight="1" thickBot="1" x14ac:dyDescent="0.3">
      <c r="A14" s="187" t="s">
        <v>135</v>
      </c>
      <c r="B14" s="187"/>
      <c r="C14" s="187"/>
      <c r="D14" s="187"/>
      <c r="E14" s="187"/>
      <c r="F14" s="187"/>
      <c r="G14" s="187"/>
      <c r="H14" s="187"/>
      <c r="I14" s="187"/>
      <c r="J14" s="216">
        <f>+K12*J12</f>
        <v>3795200</v>
      </c>
      <c r="K14" s="217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2"/>
  <sheetViews>
    <sheetView topLeftCell="A10" workbookViewId="0">
      <selection activeCell="N20" sqref="N20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SASP'!D3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SASP'!D4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SASP'!D5</f>
        <v>743 - SECRETARIA DE ASISTENCIA EN SALUD PUBLICA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SASP'!D6</f>
        <v>743 - SECRETARIA DE ASISTENCIA EN SALUD PUBLICA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3</v>
      </c>
      <c r="B15" s="131"/>
      <c r="C15" s="131"/>
      <c r="D15" s="131">
        <v>1</v>
      </c>
      <c r="E15" s="131"/>
      <c r="F15" s="131">
        <v>4901</v>
      </c>
      <c r="G15" s="131">
        <v>1</v>
      </c>
      <c r="H15" s="131">
        <v>3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SASP'!J14</f>
        <v>3795200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33.75" customHeight="1" thickBot="1" x14ac:dyDescent="0.3">
      <c r="A38" s="214" t="s">
        <v>136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3795200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SASP'!D8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>
      <selection activeCell="G22" sqref="G22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30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137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137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011'!AF10</f>
        <v>1500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19.5" thickBot="1" x14ac:dyDescent="0.3">
      <c r="A14" s="187" t="s">
        <v>138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355800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topLeftCell="A4" workbookViewId="0">
      <selection activeCell="T30" sqref="T30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5" width="14.85546875" style="34" customWidth="1"/>
    <col min="16" max="16" width="16.14062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SyMA'!D3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SyMA'!D4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SyMA'!D5</f>
        <v>488 - DIRECCION PROVINCIAL DE SALUD Y MEDIO AMBIENTE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SyMA'!D6</f>
        <v>488 - DIRECCION PROVINCIAL DE SALUD Y MEDIO AMBIENTE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22</v>
      </c>
      <c r="B15" s="131"/>
      <c r="C15" s="131"/>
      <c r="D15" s="131">
        <v>1</v>
      </c>
      <c r="E15" s="131"/>
      <c r="F15" s="131">
        <v>4901</v>
      </c>
      <c r="G15" s="131">
        <v>4</v>
      </c>
      <c r="H15" s="131">
        <v>4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SyMA'!J14</f>
        <v>355800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15.75" thickBot="1" x14ac:dyDescent="0.3">
      <c r="A38" s="214" t="s">
        <v>139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355800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SyMA'!D8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4"/>
  <sheetViews>
    <sheetView workbookViewId="0">
      <selection activeCell="D7" sqref="D7:K7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140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140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011'!AH10</f>
        <v>700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19.5" thickBot="1" x14ac:dyDescent="0.3">
      <c r="A14" s="187" t="s">
        <v>123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166040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2"/>
  <sheetViews>
    <sheetView topLeftCell="A10" workbookViewId="0">
      <selection activeCell="X39" sqref="X39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CVZ'!D3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CVZ'!D4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CVZ'!D5</f>
        <v>746 - DIRECCION DE CONTROL DE VECTORES Y ZOONOSIS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CVZ'!D6</f>
        <v>746 - DIRECCION DE CONTROL DE VECTORES Y ZOONOSIS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23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CVZ'!J14</f>
        <v>166040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15.75" thickBot="1" x14ac:dyDescent="0.3">
      <c r="A38" s="214" t="s">
        <v>124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166040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CVZ'!D8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4"/>
  <sheetViews>
    <sheetView workbookViewId="0">
      <selection activeCell="A14" sqref="A14:I14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141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141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011'!AJ10</f>
        <v>550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19.5" thickBot="1" x14ac:dyDescent="0.3">
      <c r="A14" s="187" t="s">
        <v>142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130460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2"/>
  <sheetViews>
    <sheetView topLeftCell="A4" workbookViewId="0">
      <selection activeCell="H16" sqref="H16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DISCAP'!D3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DISCAP'!D4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DISCAP'!D5</f>
        <v>093 - DIR. PROV. DE ATENCION INTEGRAL A PERSONAS CON DISCAPACIDAD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DISCAP'!D6</f>
        <v>093 - DIR. PROV. DE ATENCION INTEGRAL A PERSONAS CON DISCAPACIDAD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26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DISCAP'!J14</f>
        <v>130460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15.75" thickBot="1" x14ac:dyDescent="0.3">
      <c r="A38" s="214" t="s">
        <v>143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130460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DISCAP'!D8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4"/>
  <sheetViews>
    <sheetView topLeftCell="B1" workbookViewId="0">
      <selection activeCell="A14" sqref="A14:I14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144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144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011'!AR10</f>
        <v>31500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46.5" customHeight="1" thickBot="1" x14ac:dyDescent="0.3">
      <c r="A14" s="187" t="s">
        <v>145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7471800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2"/>
  <sheetViews>
    <sheetView topLeftCell="A13" workbookViewId="0">
      <selection activeCell="Z38" sqref="Z38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ASIST. SAN.'!D3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ASIST. SAN.'!D4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ASIST. SAN.'!D5</f>
        <v>476 - DIRECCION PROVINCIAL DE ASISTENCIA SANITARIA NIVEL I Y II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ASIST. SAN.'!D6</f>
        <v>476 - DIRECCION PROVINCIAL DE ASISTENCIA SANITARIA NIVEL I Y II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21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ASIST. SAN.'!J14</f>
        <v>7471800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32.25" customHeight="1" thickBot="1" x14ac:dyDescent="0.3">
      <c r="A38" s="214" t="s">
        <v>146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7471800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ASIST. SAN.'!D8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4"/>
  <sheetViews>
    <sheetView workbookViewId="0">
      <selection activeCell="A14" sqref="A14:I14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147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147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011'!AV10</f>
        <v>1700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19.5" thickBot="1" x14ac:dyDescent="0.3">
      <c r="A14" s="187" t="s">
        <v>148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403240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2"/>
  <sheetViews>
    <sheetView topLeftCell="A10" workbookViewId="0">
      <selection activeCell="I15" sqref="I15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MS'!D3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MS'!D4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MS'!D5</f>
        <v>352 - MINISTERIO DE SALUD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MS'!D6</f>
        <v>352 - MINISTERIO DE SALUD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1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MS'!J14</f>
        <v>403240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15.75" thickBot="1" x14ac:dyDescent="0.3">
      <c r="A38" s="214" t="s">
        <v>149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403240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MS'!D8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4"/>
  <sheetViews>
    <sheetView workbookViewId="0">
      <selection activeCell="K28" sqref="K28"/>
    </sheetView>
  </sheetViews>
  <sheetFormatPr baseColWidth="10" defaultRowHeight="1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28.5703125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6384" width="11.42578125" style="34"/>
  </cols>
  <sheetData>
    <row r="1" spans="1:11" ht="30.75" thickBot="1" x14ac:dyDescent="0.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90" t="s">
        <v>80</v>
      </c>
      <c r="K1" s="91" t="s">
        <v>122</v>
      </c>
    </row>
    <row r="2" spans="1:11" ht="16.5" thickBot="1" x14ac:dyDescent="0.3">
      <c r="A2" s="92"/>
      <c r="B2" s="93"/>
      <c r="C2" s="93"/>
      <c r="D2" s="94"/>
      <c r="E2" s="94"/>
      <c r="F2" s="94"/>
      <c r="G2" s="94"/>
      <c r="H2" s="94"/>
      <c r="I2" s="94"/>
      <c r="J2" s="95"/>
      <c r="K2" s="96"/>
    </row>
    <row r="3" spans="1:11" ht="16.5" thickBot="1" x14ac:dyDescent="0.3">
      <c r="A3" s="181" t="s">
        <v>81</v>
      </c>
      <c r="B3" s="181"/>
      <c r="C3" s="181"/>
      <c r="D3" s="179" t="str">
        <f>'SAF 011'!D4</f>
        <v>040 - MINISTERIO DE SALUD</v>
      </c>
      <c r="E3" s="179"/>
      <c r="F3" s="179"/>
      <c r="G3" s="179"/>
      <c r="H3" s="179"/>
      <c r="I3" s="179"/>
      <c r="J3" s="179"/>
      <c r="K3" s="179"/>
    </row>
    <row r="4" spans="1:11" ht="16.5" customHeight="1" thickBot="1" x14ac:dyDescent="0.3">
      <c r="A4" s="178" t="s">
        <v>82</v>
      </c>
      <c r="B4" s="178"/>
      <c r="C4" s="178"/>
      <c r="D4" s="179" t="str">
        <f>'SAF 011'!D5</f>
        <v>011 - DIRECCION PROVINCIAL DE ADMINISTRACION - MINISTERIO DE SALUD</v>
      </c>
      <c r="E4" s="179"/>
      <c r="F4" s="179"/>
      <c r="G4" s="179"/>
      <c r="H4" s="179"/>
      <c r="I4" s="179"/>
      <c r="J4" s="179"/>
      <c r="K4" s="179"/>
    </row>
    <row r="5" spans="1:11" ht="16.5" thickBot="1" x14ac:dyDescent="0.3">
      <c r="A5" s="178" t="s">
        <v>83</v>
      </c>
      <c r="B5" s="178"/>
      <c r="C5" s="178"/>
      <c r="D5" s="179" t="s">
        <v>150</v>
      </c>
      <c r="E5" s="179"/>
      <c r="F5" s="179"/>
      <c r="G5" s="179"/>
      <c r="H5" s="179"/>
      <c r="I5" s="179"/>
      <c r="J5" s="179"/>
      <c r="K5" s="179"/>
    </row>
    <row r="6" spans="1:11" ht="16.5" thickBot="1" x14ac:dyDescent="0.3">
      <c r="A6" s="181" t="s">
        <v>84</v>
      </c>
      <c r="B6" s="181"/>
      <c r="C6" s="181"/>
      <c r="D6" s="179" t="s">
        <v>150</v>
      </c>
      <c r="E6" s="179"/>
      <c r="F6" s="179"/>
      <c r="G6" s="179"/>
      <c r="H6" s="179"/>
      <c r="I6" s="179"/>
      <c r="J6" s="179"/>
      <c r="K6" s="179"/>
    </row>
    <row r="7" spans="1:11" ht="16.5" thickBot="1" x14ac:dyDescent="0.3">
      <c r="A7" s="178" t="s">
        <v>85</v>
      </c>
      <c r="B7" s="178"/>
      <c r="C7" s="178"/>
      <c r="D7" s="179" t="s">
        <v>120</v>
      </c>
      <c r="E7" s="179"/>
      <c r="F7" s="179"/>
      <c r="G7" s="179"/>
      <c r="H7" s="179"/>
      <c r="I7" s="179"/>
      <c r="J7" s="179"/>
      <c r="K7" s="179"/>
    </row>
    <row r="8" spans="1:11" ht="16.5" thickBot="1" x14ac:dyDescent="0.3">
      <c r="A8" s="182" t="s">
        <v>86</v>
      </c>
      <c r="B8" s="182"/>
      <c r="C8" s="182"/>
      <c r="D8" s="183" t="s">
        <v>121</v>
      </c>
      <c r="E8" s="183"/>
      <c r="F8" s="183"/>
      <c r="G8" s="183"/>
      <c r="H8" s="183"/>
      <c r="I8" s="183"/>
      <c r="J8" s="183"/>
      <c r="K8" s="183"/>
    </row>
    <row r="9" spans="1:11" ht="16.5" thickBot="1" x14ac:dyDescent="0.3">
      <c r="A9" s="97"/>
      <c r="B9" s="98"/>
      <c r="C9" s="98"/>
      <c r="D9" s="99"/>
      <c r="E9" s="99"/>
      <c r="F9" s="99"/>
      <c r="G9" s="99"/>
      <c r="H9" s="99"/>
      <c r="I9" s="99"/>
      <c r="J9" s="100"/>
      <c r="K9" s="101"/>
    </row>
    <row r="10" spans="1:11" ht="15.75" thickBot="1" x14ac:dyDescent="0.3">
      <c r="A10" s="190" t="s">
        <v>87</v>
      </c>
      <c r="B10" s="191" t="s">
        <v>88</v>
      </c>
      <c r="C10" s="191" t="s">
        <v>89</v>
      </c>
      <c r="D10" s="191"/>
      <c r="E10" s="191"/>
      <c r="F10" s="191"/>
      <c r="G10" s="191"/>
      <c r="H10" s="191" t="s">
        <v>90</v>
      </c>
      <c r="I10" s="191" t="s">
        <v>91</v>
      </c>
      <c r="J10" s="192" t="s">
        <v>92</v>
      </c>
      <c r="K10" s="184" t="s">
        <v>93</v>
      </c>
    </row>
    <row r="11" spans="1:11" ht="25.5" customHeight="1" thickBot="1" x14ac:dyDescent="0.3">
      <c r="A11" s="190"/>
      <c r="B11" s="191"/>
      <c r="C11" s="191"/>
      <c r="D11" s="191"/>
      <c r="E11" s="191"/>
      <c r="F11" s="191"/>
      <c r="G11" s="191"/>
      <c r="H11" s="191"/>
      <c r="I11" s="191"/>
      <c r="J11" s="192"/>
      <c r="K11" s="184"/>
    </row>
    <row r="12" spans="1:11" ht="31.5" customHeight="1" x14ac:dyDescent="0.25">
      <c r="A12" s="102">
        <v>1</v>
      </c>
      <c r="B12" s="103" t="str">
        <f>'SAF 011'!C10</f>
        <v>2.5.6-793.29</v>
      </c>
      <c r="C12" s="185" t="str">
        <f>'SAF 011'!F10</f>
        <v>GAS OIL; PRESENTACION: POR LITRO, USO: MOTORES DIESEL, COMERCIALIZACION: GRADO 3</v>
      </c>
      <c r="D12" s="185"/>
      <c r="E12" s="185"/>
      <c r="F12" s="185"/>
      <c r="G12" s="185"/>
      <c r="H12" s="103" t="s">
        <v>94</v>
      </c>
      <c r="I12" s="104" t="str">
        <f>'SAF 011'!G10</f>
        <v>LITROS</v>
      </c>
      <c r="J12" s="105">
        <f>'SAF 011'!BC10</f>
        <v>237.2</v>
      </c>
      <c r="K12" s="106">
        <f>'SAF 011'!AZ10</f>
        <v>11000</v>
      </c>
    </row>
    <row r="13" spans="1:11" ht="16.5" thickBot="1" x14ac:dyDescent="0.3">
      <c r="A13" s="107"/>
      <c r="B13" s="108"/>
      <c r="C13" s="186"/>
      <c r="D13" s="186"/>
      <c r="E13" s="186"/>
      <c r="F13" s="186"/>
      <c r="G13" s="186"/>
      <c r="H13" s="109"/>
      <c r="I13" s="110"/>
      <c r="J13" s="111"/>
      <c r="K13" s="112"/>
    </row>
    <row r="14" spans="1:11" ht="19.5" thickBot="1" x14ac:dyDescent="0.3">
      <c r="A14" s="187" t="s">
        <v>151</v>
      </c>
      <c r="B14" s="187"/>
      <c r="C14" s="187"/>
      <c r="D14" s="187"/>
      <c r="E14" s="187"/>
      <c r="F14" s="187"/>
      <c r="G14" s="187"/>
      <c r="H14" s="187"/>
      <c r="I14" s="187"/>
      <c r="J14" s="188">
        <f>+K12*J12</f>
        <v>2609200</v>
      </c>
      <c r="K14" s="189"/>
    </row>
  </sheetData>
  <mergeCells count="24">
    <mergeCell ref="K10:K11"/>
    <mergeCell ref="C12:G12"/>
    <mergeCell ref="C13:G13"/>
    <mergeCell ref="A14:I14"/>
    <mergeCell ref="J14:K14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42"/>
  <sheetViews>
    <sheetView topLeftCell="A13" workbookViewId="0">
      <selection activeCell="A38" sqref="A38:P38"/>
    </sheetView>
  </sheetViews>
  <sheetFormatPr baseColWidth="10" defaultRowHeight="15" x14ac:dyDescent="0.25"/>
  <cols>
    <col min="1" max="5" width="4.42578125" style="34" customWidth="1"/>
    <col min="6" max="6" width="6.140625" style="34" customWidth="1"/>
    <col min="7" max="14" width="4.42578125" style="34" customWidth="1"/>
    <col min="15" max="16" width="14.85546875" style="34" customWidth="1"/>
    <col min="17" max="17" width="14.7109375" style="34" customWidth="1"/>
    <col min="18" max="16384" width="11.42578125" style="34"/>
  </cols>
  <sheetData>
    <row r="1" spans="1:17" ht="15.75" thickBot="1" x14ac:dyDescent="0.3">
      <c r="A1" s="194" t="s">
        <v>5</v>
      </c>
      <c r="B1" s="194"/>
      <c r="C1" s="194"/>
      <c r="D1" s="195">
        <v>2022</v>
      </c>
      <c r="E1" s="195"/>
      <c r="F1" s="113"/>
      <c r="G1" s="113"/>
      <c r="H1" s="114"/>
      <c r="I1" s="114"/>
      <c r="J1" s="114"/>
      <c r="K1" s="114"/>
      <c r="L1" s="114"/>
      <c r="M1" s="114"/>
      <c r="N1" s="114"/>
      <c r="O1" s="115"/>
      <c r="P1" s="196" t="s">
        <v>95</v>
      </c>
      <c r="Q1" s="196"/>
    </row>
    <row r="2" spans="1:17" ht="15.75" thickBot="1" x14ac:dyDescent="0.3">
      <c r="A2" s="116"/>
      <c r="B2" s="117"/>
      <c r="C2" s="117"/>
      <c r="D2" s="117"/>
      <c r="E2" s="117"/>
      <c r="F2" s="117"/>
      <c r="G2" s="118"/>
      <c r="H2" s="119"/>
      <c r="I2" s="119"/>
      <c r="J2" s="119"/>
      <c r="K2" s="119"/>
      <c r="L2" s="119"/>
      <c r="M2" s="119"/>
      <c r="N2" s="119"/>
      <c r="O2" s="117"/>
      <c r="P2" s="196"/>
      <c r="Q2" s="196"/>
    </row>
    <row r="3" spans="1:17" ht="15.75" thickBot="1" x14ac:dyDescent="0.3">
      <c r="A3" s="116"/>
      <c r="B3" s="117"/>
      <c r="C3" s="117"/>
      <c r="D3" s="117"/>
      <c r="E3" s="117"/>
      <c r="F3" s="117"/>
      <c r="G3" s="118"/>
      <c r="H3" s="117"/>
      <c r="I3" s="117"/>
      <c r="J3" s="117"/>
      <c r="K3" s="117"/>
      <c r="L3" s="117"/>
      <c r="M3" s="117"/>
      <c r="N3" s="117"/>
      <c r="O3" s="117"/>
      <c r="P3" s="117"/>
      <c r="Q3" s="120"/>
    </row>
    <row r="4" spans="1:17" ht="15.75" thickBot="1" x14ac:dyDescent="0.3">
      <c r="A4" s="197" t="s">
        <v>96</v>
      </c>
      <c r="B4" s="197"/>
      <c r="C4" s="197"/>
      <c r="D4" s="197"/>
      <c r="E4" s="197"/>
      <c r="F4" s="197"/>
      <c r="G4" s="198" t="str">
        <f>'NP INTERR. MUN.'!D3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198"/>
    </row>
    <row r="5" spans="1:17" ht="15.75" thickBot="1" x14ac:dyDescent="0.3">
      <c r="A5" s="199" t="s">
        <v>82</v>
      </c>
      <c r="B5" s="199"/>
      <c r="C5" s="199"/>
      <c r="D5" s="199"/>
      <c r="E5" s="199"/>
      <c r="F5" s="199"/>
      <c r="G5" s="198" t="str">
        <f>'NP INTERR. MUN.'!D4</f>
        <v>011 - DIRECCION PROVINCIAL DE ADMINISTRACION -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ht="15.75" thickBot="1" x14ac:dyDescent="0.3">
      <c r="A6" s="199" t="s">
        <v>83</v>
      </c>
      <c r="B6" s="199"/>
      <c r="C6" s="199"/>
      <c r="D6" s="199"/>
      <c r="E6" s="199"/>
      <c r="F6" s="199"/>
      <c r="G6" s="198" t="str">
        <f>'NP INTERR. MUN.'!D5</f>
        <v>379 - SECRETARIA DE INTERRELACION MUNICIPAL</v>
      </c>
      <c r="H6" s="198"/>
      <c r="I6" s="198"/>
      <c r="J6" s="198"/>
      <c r="K6" s="198"/>
      <c r="L6" s="198"/>
      <c r="M6" s="198"/>
      <c r="N6" s="198"/>
      <c r="O6" s="198"/>
      <c r="P6" s="198"/>
      <c r="Q6" s="198"/>
    </row>
    <row r="7" spans="1:17" ht="15.75" thickBot="1" x14ac:dyDescent="0.3">
      <c r="A7" s="199" t="s">
        <v>84</v>
      </c>
      <c r="B7" s="199"/>
      <c r="C7" s="199"/>
      <c r="D7" s="199"/>
      <c r="E7" s="199"/>
      <c r="F7" s="199"/>
      <c r="G7" s="198" t="str">
        <f>'NP INTERR. MUN.'!D6</f>
        <v>379 - SECRETARIA DE INTERRELACION MUNICIPAL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</row>
    <row r="8" spans="1:17" ht="15.75" thickBot="1" x14ac:dyDescent="0.3">
      <c r="A8" s="200" t="s">
        <v>97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</row>
    <row r="9" spans="1:17" x14ac:dyDescent="0.25">
      <c r="A9" s="193" t="s">
        <v>98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</row>
    <row r="10" spans="1:17" ht="56.25" customHeight="1" x14ac:dyDescent="0.25">
      <c r="A10" s="202" t="s">
        <v>118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</row>
    <row r="11" spans="1:17" ht="15.75" thickBot="1" x14ac:dyDescent="0.3">
      <c r="A11" s="121"/>
      <c r="B11" s="122"/>
      <c r="C11" s="122"/>
      <c r="D11" s="122"/>
      <c r="E11" s="122"/>
      <c r="F11" s="122"/>
      <c r="G11" s="123"/>
      <c r="H11" s="122"/>
      <c r="I11" s="122"/>
      <c r="J11" s="122"/>
      <c r="K11" s="122"/>
      <c r="L11" s="122"/>
      <c r="M11" s="122"/>
      <c r="N11" s="122"/>
      <c r="O11" s="122"/>
      <c r="P11" s="122"/>
      <c r="Q11" s="124"/>
    </row>
    <row r="12" spans="1:17" ht="15.75" thickBot="1" x14ac:dyDescent="0.3">
      <c r="A12" s="203" t="s">
        <v>99</v>
      </c>
      <c r="B12" s="203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</row>
    <row r="13" spans="1:17" ht="15.75" thickBot="1" x14ac:dyDescent="0.3">
      <c r="A13" s="204" t="s">
        <v>100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5" t="s">
        <v>101</v>
      </c>
      <c r="P13" s="205"/>
      <c r="Q13" s="206" t="s">
        <v>102</v>
      </c>
    </row>
    <row r="14" spans="1:17" ht="15.75" thickBot="1" x14ac:dyDescent="0.3">
      <c r="A14" s="125" t="s">
        <v>103</v>
      </c>
      <c r="B14" s="126" t="s">
        <v>104</v>
      </c>
      <c r="C14" s="126" t="s">
        <v>105</v>
      </c>
      <c r="D14" s="126" t="s">
        <v>106</v>
      </c>
      <c r="E14" s="126" t="s">
        <v>107</v>
      </c>
      <c r="F14" s="126" t="s">
        <v>108</v>
      </c>
      <c r="G14" s="127" t="s">
        <v>109</v>
      </c>
      <c r="H14" s="126" t="s">
        <v>110</v>
      </c>
      <c r="I14" s="126" t="s">
        <v>111</v>
      </c>
      <c r="J14" s="126" t="s">
        <v>112</v>
      </c>
      <c r="K14" s="126" t="s">
        <v>112</v>
      </c>
      <c r="L14" s="126" t="s">
        <v>113</v>
      </c>
      <c r="M14" s="128" t="s">
        <v>114</v>
      </c>
      <c r="N14" s="129" t="s">
        <v>115</v>
      </c>
      <c r="O14" s="205"/>
      <c r="P14" s="205"/>
      <c r="Q14" s="206"/>
    </row>
    <row r="15" spans="1:17" x14ac:dyDescent="0.25">
      <c r="A15" s="130">
        <v>50</v>
      </c>
      <c r="B15" s="131"/>
      <c r="C15" s="131"/>
      <c r="D15" s="131">
        <v>1</v>
      </c>
      <c r="E15" s="131"/>
      <c r="F15" s="131">
        <v>4901</v>
      </c>
      <c r="G15" s="131">
        <v>3</v>
      </c>
      <c r="H15" s="131">
        <v>1</v>
      </c>
      <c r="I15" s="131">
        <v>2</v>
      </c>
      <c r="J15" s="131">
        <v>5</v>
      </c>
      <c r="K15" s="131">
        <v>6</v>
      </c>
      <c r="L15" s="131"/>
      <c r="M15" s="132">
        <v>1</v>
      </c>
      <c r="N15" s="131" t="s">
        <v>116</v>
      </c>
      <c r="O15" s="207" t="s">
        <v>47</v>
      </c>
      <c r="P15" s="207"/>
      <c r="Q15" s="133">
        <f>'NP INTERR. MUN.'!J14</f>
        <v>2609200</v>
      </c>
    </row>
    <row r="16" spans="1:17" x14ac:dyDescent="0.25">
      <c r="A16" s="134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6"/>
      <c r="N16" s="137"/>
      <c r="O16" s="208"/>
      <c r="P16" s="208"/>
      <c r="Q16" s="138"/>
    </row>
    <row r="17" spans="1:17" x14ac:dyDescent="0.25">
      <c r="A17" s="134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6"/>
      <c r="N17" s="137"/>
      <c r="O17" s="208"/>
      <c r="P17" s="208"/>
      <c r="Q17" s="138"/>
    </row>
    <row r="18" spans="1:17" x14ac:dyDescent="0.25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N18" s="137"/>
      <c r="O18" s="208"/>
      <c r="P18" s="208"/>
      <c r="Q18" s="138"/>
    </row>
    <row r="19" spans="1:17" x14ac:dyDescent="0.25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6"/>
      <c r="N19" s="137"/>
      <c r="O19" s="208"/>
      <c r="P19" s="208"/>
      <c r="Q19" s="138"/>
    </row>
    <row r="20" spans="1:17" x14ac:dyDescent="0.25">
      <c r="A20" s="134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6"/>
      <c r="N20" s="137"/>
      <c r="O20" s="201"/>
      <c r="P20" s="201"/>
      <c r="Q20" s="138"/>
    </row>
    <row r="21" spans="1:17" x14ac:dyDescent="0.25">
      <c r="A21" s="134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6"/>
      <c r="N21" s="137"/>
      <c r="O21" s="201"/>
      <c r="P21" s="201"/>
      <c r="Q21" s="138"/>
    </row>
    <row r="22" spans="1:17" x14ac:dyDescent="0.25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6"/>
      <c r="N22" s="137"/>
      <c r="O22" s="201"/>
      <c r="P22" s="201"/>
      <c r="Q22" s="138"/>
    </row>
    <row r="23" spans="1:17" x14ac:dyDescent="0.25">
      <c r="A23" s="134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6"/>
      <c r="N23" s="137"/>
      <c r="O23" s="201"/>
      <c r="P23" s="201"/>
      <c r="Q23" s="138"/>
    </row>
    <row r="24" spans="1:17" x14ac:dyDescent="0.25">
      <c r="A24" s="134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6"/>
      <c r="N24" s="137"/>
      <c r="O24" s="201"/>
      <c r="P24" s="201"/>
      <c r="Q24" s="138"/>
    </row>
    <row r="25" spans="1:17" x14ac:dyDescent="0.25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137"/>
      <c r="O25" s="201"/>
      <c r="P25" s="201"/>
      <c r="Q25" s="138"/>
    </row>
    <row r="26" spans="1:17" x14ac:dyDescent="0.25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137"/>
      <c r="O26" s="201"/>
      <c r="P26" s="201"/>
      <c r="Q26" s="138"/>
    </row>
    <row r="27" spans="1:17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137"/>
      <c r="O27" s="201"/>
      <c r="P27" s="201"/>
      <c r="Q27" s="138"/>
    </row>
    <row r="28" spans="1:17" x14ac:dyDescent="0.25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7"/>
      <c r="O28" s="201"/>
      <c r="P28" s="201"/>
      <c r="Q28" s="138"/>
    </row>
    <row r="29" spans="1:17" x14ac:dyDescent="0.25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137"/>
      <c r="O29" s="201"/>
      <c r="P29" s="201"/>
      <c r="Q29" s="138"/>
    </row>
    <row r="30" spans="1:17" x14ac:dyDescent="0.2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137"/>
      <c r="O30" s="201"/>
      <c r="P30" s="201"/>
      <c r="Q30" s="138"/>
    </row>
    <row r="31" spans="1:17" x14ac:dyDescent="0.25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137"/>
      <c r="O31" s="201"/>
      <c r="P31" s="201"/>
      <c r="Q31" s="138"/>
    </row>
    <row r="32" spans="1:17" x14ac:dyDescent="0.25">
      <c r="A32" s="134"/>
      <c r="B32" s="135"/>
      <c r="C32" s="135"/>
      <c r="D32" s="135"/>
      <c r="E32" s="135"/>
      <c r="F32" s="137"/>
      <c r="G32" s="135"/>
      <c r="H32" s="135"/>
      <c r="I32" s="135"/>
      <c r="J32" s="135"/>
      <c r="K32" s="135"/>
      <c r="L32" s="135"/>
      <c r="M32" s="136"/>
      <c r="N32" s="137"/>
      <c r="O32" s="208"/>
      <c r="P32" s="208"/>
      <c r="Q32" s="138"/>
    </row>
    <row r="33" spans="1:17" x14ac:dyDescent="0.25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137"/>
      <c r="O33" s="208"/>
      <c r="P33" s="208"/>
      <c r="Q33" s="138"/>
    </row>
    <row r="34" spans="1:17" x14ac:dyDescent="0.25">
      <c r="A34" s="134"/>
      <c r="B34" s="135"/>
      <c r="C34" s="135"/>
      <c r="D34" s="135"/>
      <c r="E34" s="135"/>
      <c r="F34" s="137"/>
      <c r="G34" s="135"/>
      <c r="H34" s="135"/>
      <c r="I34" s="135"/>
      <c r="J34" s="135"/>
      <c r="K34" s="135"/>
      <c r="L34" s="135"/>
      <c r="M34" s="136"/>
      <c r="N34" s="137"/>
      <c r="O34" s="208"/>
      <c r="P34" s="208"/>
      <c r="Q34" s="138"/>
    </row>
    <row r="35" spans="1:17" x14ac:dyDescent="0.25">
      <c r="A35" s="134"/>
      <c r="B35" s="135"/>
      <c r="C35" s="135"/>
      <c r="D35" s="135"/>
      <c r="E35" s="135"/>
      <c r="F35" s="137"/>
      <c r="G35" s="135"/>
      <c r="H35" s="135"/>
      <c r="I35" s="135"/>
      <c r="J35" s="135"/>
      <c r="K35" s="135"/>
      <c r="L35" s="135"/>
      <c r="M35" s="136"/>
      <c r="N35" s="137"/>
      <c r="O35" s="208"/>
      <c r="P35" s="208"/>
      <c r="Q35" s="138"/>
    </row>
    <row r="36" spans="1:17" x14ac:dyDescent="0.25">
      <c r="A36" s="139"/>
      <c r="B36" s="140"/>
      <c r="C36" s="140"/>
      <c r="D36" s="140"/>
      <c r="E36" s="140"/>
      <c r="F36" s="141"/>
      <c r="G36" s="140"/>
      <c r="H36" s="140"/>
      <c r="I36" s="140"/>
      <c r="J36" s="140"/>
      <c r="K36" s="140"/>
      <c r="L36" s="140"/>
      <c r="M36" s="142"/>
      <c r="N36" s="143"/>
      <c r="O36" s="212"/>
      <c r="P36" s="212"/>
      <c r="Q36" s="138"/>
    </row>
    <row r="37" spans="1:17" ht="15.75" thickBo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45"/>
      <c r="O37" s="213"/>
      <c r="P37" s="213"/>
      <c r="Q37" s="147"/>
    </row>
    <row r="38" spans="1:17" ht="33" customHeight="1" thickBot="1" x14ac:dyDescent="0.3">
      <c r="A38" s="214" t="s">
        <v>152</v>
      </c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148">
        <f>SUM(Q15:Q37)</f>
        <v>2609200</v>
      </c>
    </row>
    <row r="39" spans="1:17" ht="15.75" thickBot="1" x14ac:dyDescent="0.3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</row>
    <row r="40" spans="1:17" ht="15.75" thickBot="1" x14ac:dyDescent="0.3">
      <c r="A40" s="209" t="s">
        <v>117</v>
      </c>
      <c r="B40" s="209"/>
      <c r="C40" s="209"/>
      <c r="D40" s="209"/>
      <c r="E40" s="209"/>
      <c r="F40" s="209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</row>
    <row r="41" spans="1:17" ht="15.75" thickBot="1" x14ac:dyDescent="0.3">
      <c r="A41" s="211" t="str">
        <f>'NP INTERR. MUN.'!D8</f>
        <v>ADQUISICION DEL RUBRO COMBUSTIBLE (GAS OIL)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</row>
    <row r="42" spans="1:17" ht="15.75" thickBot="1" x14ac:dyDescent="0.3">
      <c r="A42" s="211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SAF 011</vt:lpstr>
      <vt:lpstr>ANEXO DOM VEHICULOS</vt:lpstr>
      <vt:lpstr>NP S.A.</vt:lpstr>
      <vt:lpstr>APG S.A.</vt:lpstr>
      <vt:lpstr>NP APS</vt:lpstr>
      <vt:lpstr>APG APS</vt:lpstr>
      <vt:lpstr>NP SAME</vt:lpstr>
      <vt:lpstr>APG SAME</vt:lpstr>
      <vt:lpstr>NP SASP</vt:lpstr>
      <vt:lpstr>APG SASP</vt:lpstr>
      <vt:lpstr>NP SyMA</vt:lpstr>
      <vt:lpstr>APG SyMA</vt:lpstr>
      <vt:lpstr>NP CVZ</vt:lpstr>
      <vt:lpstr>APG CVZ</vt:lpstr>
      <vt:lpstr>NP DISCAP</vt:lpstr>
      <vt:lpstr>APG DISCAP</vt:lpstr>
      <vt:lpstr>NP ASIST. SAN.</vt:lpstr>
      <vt:lpstr>APG ASIST. SAN.</vt:lpstr>
      <vt:lpstr>NP MS</vt:lpstr>
      <vt:lpstr>APG MS</vt:lpstr>
      <vt:lpstr>NP INTERR. MUN.</vt:lpstr>
      <vt:lpstr>APG INTERR. MUN.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RODOLFO SARTOR</cp:lastModifiedBy>
  <dcterms:created xsi:type="dcterms:W3CDTF">2021-11-12T17:27:33Z</dcterms:created>
  <dcterms:modified xsi:type="dcterms:W3CDTF">2022-11-11T14:09:06Z</dcterms:modified>
</cp:coreProperties>
</file>