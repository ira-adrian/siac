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9F7A87C1-C1BD-4705-86DB-304BB89D9B58}" xr6:coauthVersionLast="46" xr6:coauthVersionMax="46" xr10:uidLastSave="{00000000-0000-0000-0000-000000000000}"/>
  <bookViews>
    <workbookView xWindow="-120" yWindow="-120" windowWidth="29040" windowHeight="15840" tabRatio="721" xr2:uid="{00000000-000D-0000-FFFF-FFFF00000000}"/>
  </bookViews>
  <sheets>
    <sheet name="Necesidades Trimestrales " sheetId="3" r:id="rId1"/>
    <sheet name=" NotaPedido CANCER" sheetId="22" r:id="rId2"/>
    <sheet name="APG CANCER" sheetId="23" r:id="rId3"/>
    <sheet name="NP BCO DE SANGRE" sheetId="10" r:id="rId4"/>
    <sheet name="APG BCO DE SANGRE" sheetId="11" r:id="rId5"/>
    <sheet name="NP BCO DE FARMACIA" sheetId="17" r:id="rId6"/>
    <sheet name="APG FARMACIA " sheetId="12" r:id="rId7"/>
    <sheet name=" NotaPedido ODONTOLOGIA" sheetId="18" r:id="rId8"/>
    <sheet name="APG ODONTOLOGIA" sheetId="13" r:id="rId9"/>
    <sheet name=" NotaPedido SAME" sheetId="19" r:id="rId10"/>
    <sheet name="APG SAME" sheetId="14" r:id="rId11"/>
    <sheet name=" NotaPedido materno" sheetId="20" r:id="rId12"/>
    <sheet name="APG materno" sheetId="15" r:id="rId13"/>
    <sheet name=" NotaPedido CUR" sheetId="21" r:id="rId14"/>
    <sheet name="APG CUR" sheetId="16" r:id="rId15"/>
  </sheets>
  <definedNames>
    <definedName name="_xlnm._FilterDatabase" localSheetId="0" hidden="1">'Necesidades Trimestrales '!$A$9:$AS$9</definedName>
    <definedName name="_xlnm.Print_Area" localSheetId="1">' NotaPedido CANCER'!$A$1:$K$25</definedName>
    <definedName name="_xlnm.Print_Area" localSheetId="13">' NotaPedido CUR'!$A$1:$K$31</definedName>
    <definedName name="_xlnm.Print_Area" localSheetId="11">' NotaPedido materno'!$A$1:$K$28</definedName>
    <definedName name="_xlnm.Print_Area" localSheetId="7">' NotaPedido ODONTOLOGIA'!$A$1:$K$24</definedName>
    <definedName name="_xlnm.Print_Area" localSheetId="9">' NotaPedido SAME'!$A$1:$K$31</definedName>
    <definedName name="_xlnm.Print_Area" localSheetId="4">'APG BCO DE SANGRE'!$A$1:$Q$27</definedName>
    <definedName name="_xlnm.Print_Area" localSheetId="2">'APG CANCER'!$A$1:$Q$27</definedName>
    <definedName name="_xlnm.Print_Area" localSheetId="14">'APG CUR'!$A$1:$Q$27</definedName>
    <definedName name="_xlnm.Print_Area" localSheetId="6">'APG FARMACIA '!$A$1:$Q$27</definedName>
    <definedName name="_xlnm.Print_Area" localSheetId="12">'APG materno'!$A$1:$Q$27</definedName>
    <definedName name="_xlnm.Print_Area" localSheetId="8">'APG ODONTOLOGIA'!$A$1:$Q$27</definedName>
    <definedName name="_xlnm.Print_Area" localSheetId="10">'APG SAME'!$A$1:$Q$27</definedName>
    <definedName name="_xlnm.Print_Area" localSheetId="5">'NP BCO DE FARMACIA'!$A$1:$K$49</definedName>
    <definedName name="_xlnm.Print_Area" localSheetId="3">'NP BCO DE SANGRE'!$A$1:$K$20</definedName>
  </definedNames>
  <calcPr calcId="181029"/>
</workbook>
</file>

<file path=xl/calcChain.xml><?xml version="1.0" encoding="utf-8"?>
<calcChain xmlns="http://schemas.openxmlformats.org/spreadsheetml/2006/main">
  <c r="M13" i="20" l="1"/>
  <c r="M14" i="20"/>
  <c r="M15" i="20"/>
  <c r="M16" i="20"/>
  <c r="K12" i="20"/>
  <c r="M12" i="20" s="1"/>
  <c r="M22" i="22"/>
  <c r="M21" i="22"/>
  <c r="M20" i="22"/>
  <c r="M19" i="22"/>
  <c r="M18" i="22"/>
  <c r="M17" i="22"/>
  <c r="M16" i="22"/>
  <c r="M15" i="22"/>
  <c r="M14" i="22"/>
  <c r="M13" i="22"/>
  <c r="M12" i="22"/>
  <c r="P17" i="3"/>
  <c r="Y17" i="3"/>
  <c r="Z17" i="3" s="1"/>
  <c r="AQ17" i="3"/>
  <c r="AS17" i="3" s="1"/>
  <c r="P18" i="3"/>
  <c r="Z18" i="3"/>
  <c r="AQ18" i="3"/>
  <c r="AS18" i="3" s="1"/>
  <c r="P19" i="3"/>
  <c r="Z19" i="3"/>
  <c r="AQ19" i="3"/>
  <c r="AS19" i="3" s="1"/>
  <c r="P20" i="3"/>
  <c r="AQ20" i="3"/>
  <c r="AS20" i="3" s="1"/>
  <c r="P21" i="3"/>
  <c r="AQ21" i="3"/>
  <c r="AS21" i="3" s="1"/>
  <c r="J24" i="22" l="1"/>
  <c r="P52" i="3"/>
  <c r="Q15" i="23" s="1"/>
  <c r="Q23" i="23" s="1"/>
  <c r="J27" i="20"/>
  <c r="M15" i="21"/>
  <c r="M14" i="21"/>
  <c r="M13" i="21"/>
  <c r="M12" i="21"/>
  <c r="Z23" i="3"/>
  <c r="M15" i="19"/>
  <c r="M14" i="19"/>
  <c r="M13" i="19"/>
  <c r="M12" i="19"/>
  <c r="M13" i="18"/>
  <c r="M14" i="18"/>
  <c r="M15" i="18"/>
  <c r="M12" i="18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4" i="17"/>
  <c r="M45" i="17"/>
  <c r="M46" i="17"/>
  <c r="M12" i="17"/>
  <c r="R35" i="3"/>
  <c r="J43" i="17"/>
  <c r="K43" i="17"/>
  <c r="M43" i="17" s="1"/>
  <c r="M13" i="10"/>
  <c r="M14" i="10"/>
  <c r="M15" i="10"/>
  <c r="M12" i="10"/>
  <c r="J23" i="18" l="1"/>
  <c r="J48" i="17"/>
  <c r="J30" i="21"/>
  <c r="J30" i="19"/>
  <c r="J19" i="10"/>
  <c r="AR46" i="3"/>
  <c r="Q46" i="3"/>
  <c r="AQ46" i="3" s="1"/>
  <c r="AS46" i="3" l="1"/>
  <c r="R46" i="3"/>
  <c r="V24" i="3" l="1"/>
  <c r="Z24" i="3"/>
  <c r="AJ25" i="3"/>
  <c r="AJ24" i="3"/>
  <c r="R11" i="3"/>
  <c r="R12" i="3"/>
  <c r="R13" i="3"/>
  <c r="R14" i="3"/>
  <c r="R15" i="3"/>
  <c r="R16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6" i="3"/>
  <c r="R37" i="3"/>
  <c r="R38" i="3"/>
  <c r="R39" i="3"/>
  <c r="R40" i="3"/>
  <c r="R41" i="3"/>
  <c r="R42" i="3"/>
  <c r="R43" i="3"/>
  <c r="R44" i="3"/>
  <c r="R45" i="3"/>
  <c r="R47" i="3"/>
  <c r="R48" i="3"/>
  <c r="R49" i="3"/>
  <c r="R50" i="3"/>
  <c r="R51" i="3"/>
  <c r="R10" i="3"/>
  <c r="L50" i="3"/>
  <c r="T51" i="3"/>
  <c r="T11" i="3"/>
  <c r="T10" i="3"/>
  <c r="L25" i="3"/>
  <c r="L23" i="3"/>
  <c r="V23" i="3"/>
  <c r="L24" i="3"/>
  <c r="AQ11" i="3"/>
  <c r="AS11" i="3" s="1"/>
  <c r="AQ12" i="3"/>
  <c r="AS12" i="3" s="1"/>
  <c r="AQ13" i="3"/>
  <c r="AS13" i="3" s="1"/>
  <c r="AQ14" i="3"/>
  <c r="AS14" i="3" s="1"/>
  <c r="AQ15" i="3"/>
  <c r="AS15" i="3" s="1"/>
  <c r="AQ16" i="3"/>
  <c r="AS16" i="3" s="1"/>
  <c r="AQ22" i="3"/>
  <c r="AS22" i="3" s="1"/>
  <c r="AQ23" i="3"/>
  <c r="AS23" i="3" s="1"/>
  <c r="AQ24" i="3"/>
  <c r="AS24" i="3" s="1"/>
  <c r="AQ25" i="3"/>
  <c r="AS25" i="3" s="1"/>
  <c r="AQ26" i="3"/>
  <c r="AS26" i="3" s="1"/>
  <c r="AQ27" i="3"/>
  <c r="AS27" i="3" s="1"/>
  <c r="AQ28" i="3"/>
  <c r="AS28" i="3" s="1"/>
  <c r="AQ29" i="3"/>
  <c r="AS29" i="3" s="1"/>
  <c r="AQ30" i="3"/>
  <c r="AS30" i="3" s="1"/>
  <c r="AQ31" i="3"/>
  <c r="AS31" i="3" s="1"/>
  <c r="AQ32" i="3"/>
  <c r="AS32" i="3" s="1"/>
  <c r="AQ33" i="3"/>
  <c r="AS33" i="3" s="1"/>
  <c r="AQ34" i="3"/>
  <c r="AS34" i="3" s="1"/>
  <c r="AQ35" i="3"/>
  <c r="AS35" i="3" s="1"/>
  <c r="AQ36" i="3"/>
  <c r="AS36" i="3" s="1"/>
  <c r="AQ37" i="3"/>
  <c r="AS37" i="3" s="1"/>
  <c r="AQ38" i="3"/>
  <c r="AS38" i="3" s="1"/>
  <c r="AQ39" i="3"/>
  <c r="AS39" i="3" s="1"/>
  <c r="AQ40" i="3"/>
  <c r="AS40" i="3" s="1"/>
  <c r="AQ41" i="3"/>
  <c r="AS41" i="3" s="1"/>
  <c r="AQ42" i="3"/>
  <c r="AS42" i="3" s="1"/>
  <c r="AQ43" i="3"/>
  <c r="AS43" i="3" s="1"/>
  <c r="AQ44" i="3"/>
  <c r="AS44" i="3" s="1"/>
  <c r="AQ45" i="3"/>
  <c r="AS45" i="3" s="1"/>
  <c r="AQ47" i="3"/>
  <c r="AS47" i="3" s="1"/>
  <c r="AQ48" i="3"/>
  <c r="AS48" i="3" s="1"/>
  <c r="AQ49" i="3"/>
  <c r="AS49" i="3" s="1"/>
  <c r="AQ50" i="3"/>
  <c r="AS50" i="3" s="1"/>
  <c r="AQ51" i="3"/>
  <c r="AS51" i="3" s="1"/>
  <c r="AQ10" i="3"/>
  <c r="AS10" i="3" s="1"/>
  <c r="T50" i="3"/>
  <c r="Z52" i="3" l="1"/>
  <c r="Q15" i="15" s="1"/>
  <c r="Q23" i="15" s="1"/>
  <c r="L52" i="3"/>
  <c r="Q15" i="11" s="1"/>
  <c r="AJ52" i="3"/>
  <c r="Q15" i="16" s="1"/>
  <c r="Q23" i="16" s="1"/>
  <c r="V52" i="3"/>
  <c r="Q15" i="14" s="1"/>
  <c r="Q23" i="14" s="1"/>
  <c r="T52" i="3"/>
  <c r="Q15" i="13" s="1"/>
  <c r="Q23" i="13" s="1"/>
  <c r="R52" i="3"/>
  <c r="Q15" i="12" s="1"/>
  <c r="Q23" i="12" s="1"/>
  <c r="AS52" i="3"/>
  <c r="Q23" i="11" l="1"/>
</calcChain>
</file>

<file path=xl/sharedStrings.xml><?xml version="1.0" encoding="utf-8"?>
<sst xmlns="http://schemas.openxmlformats.org/spreadsheetml/2006/main" count="816" uniqueCount="189">
  <si>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</si>
  <si>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</si>
  <si>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</si>
  <si>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</si>
  <si>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</si>
  <si>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</si>
  <si>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</si>
  <si>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</si>
  <si>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</si>
  <si>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</si>
  <si>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</si>
  <si>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</si>
  <si>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</si>
  <si>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</si>
  <si>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</si>
  <si>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</si>
  <si>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</si>
  <si>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</si>
  <si>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</si>
  <si>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</si>
  <si>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</si>
  <si>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</si>
  <si>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</si>
  <si>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</si>
  <si>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</si>
  <si>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</si>
  <si>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</si>
  <si>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</si>
  <si>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</si>
  <si>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</si>
  <si>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</si>
  <si>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</si>
  <si>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</si>
  <si>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</si>
  <si>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</si>
  <si>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</si>
  <si>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</si>
  <si>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</si>
  <si>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</si>
  <si>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</si>
  <si>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</si>
  <si>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</si>
  <si>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</si>
  <si>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</si>
  <si>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</si>
  <si>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</si>
  <si>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</si>
  <si>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</si>
  <si>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</si>
  <si>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</si>
  <si>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</si>
  <si>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</si>
  <si>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</si>
  <si>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</si>
  <si>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GASA CORTADA DE 5CM X 5CM  X 1 KILO</t>
  </si>
  <si>
    <t>ALGODON X 500 GR</t>
  </si>
  <si>
    <t>BARBIJO HEMORREPELENTE QUIRURGICO TRIPLE CAPA</t>
  </si>
  <si>
    <t>BARBIJOS DE ALTA EFICIENCIA TIPO N95</t>
  </si>
  <si>
    <t>CAL SODADA X KG</t>
  </si>
  <si>
    <t>CHATA PLASTICA X 1</t>
  </si>
  <si>
    <t>CLAMP UMBILICAL</t>
  </si>
  <si>
    <t xml:space="preserve">CUBRE CAMILLA CON ELASTICO 30 GR </t>
  </si>
  <si>
    <t xml:space="preserve">ELECTRODO DESCARTABLE ADULTO </t>
  </si>
  <si>
    <t>GEL BASE PARA ECOGRAFIA X 1 KG</t>
  </si>
  <si>
    <t>GUANTES DE EXAMINACION TAMAÑO L X 100</t>
  </si>
  <si>
    <t>GUANTES DE EXAMINACION TAMAÑO M X 100</t>
  </si>
  <si>
    <t>GUANTES DE EXAMINACON TAMAÑO S X 100</t>
  </si>
  <si>
    <t>GUANTES DE NITRILO TAMAÑO L X 100</t>
  </si>
  <si>
    <t>GUANTES DE NITRILO TAMAÑO M X 100</t>
  </si>
  <si>
    <t>JERINGA DESCARTABLE DE 20CC  S/AGUJA</t>
  </si>
  <si>
    <t>JERINGA DESCARTABLE DE 5 CC S/AGUJA</t>
  </si>
  <si>
    <t>JERINGA DESCARTABLE DE 60 CC S/ AGUJA</t>
  </si>
  <si>
    <t xml:space="preserve">JERINGA DESCARTABLE PARA INSULINA 100 UI CON AGUJA </t>
  </si>
  <si>
    <t>KIT DESCARTABLE CAMISOLIN 40 GRS + COFIA + BOTAS PAR</t>
  </si>
  <si>
    <t>MAMELUCO LAMINADO TALLE L</t>
  </si>
  <si>
    <t>MAMELUCO LAMINADO TALLE M</t>
  </si>
  <si>
    <t>MAMELUCO LAMINADO TALLE XL</t>
  </si>
  <si>
    <t>MAMELUCO LAMINADO TALLE XXL</t>
  </si>
  <si>
    <t>OVATA DE ALGODÓN X 15 CM</t>
  </si>
  <si>
    <t>OVATA DE ALGODÓN X 20 CM</t>
  </si>
  <si>
    <t>PAPEL PARA ELECTROCARDIOGRAMA 50 X 30</t>
  </si>
  <si>
    <t xml:space="preserve">TELA ADHESIVA 2.5 MM X 9.00 MTS </t>
  </si>
  <si>
    <t xml:space="preserve">TELA ADHESIVA 5 MM X 9.00 MTS </t>
  </si>
  <si>
    <t xml:space="preserve">TELA ADHESIVA HIPOALERGENICA MICROPORE 2.5 CM </t>
  </si>
  <si>
    <t>TELA ADHESIVA HIPOALERGENICA MICROPORE 5 CM</t>
  </si>
  <si>
    <t>TIRAS REACTIVAS PARA DETERMINACION GLUCOSA X 50 UNIDADES</t>
  </si>
  <si>
    <t>TUBO CONECTOR EN "Y" KT-95 EST. X 1</t>
  </si>
  <si>
    <t>VENDA CAMBRIC  5 CM</t>
  </si>
  <si>
    <t>VENDA ENYESADA X 10 CM X 20 METROS DE FRAGUADO RAPIDO</t>
  </si>
  <si>
    <t>11 - DIR. PROV DE ADMINISTRACION - MINISTERIO DE SALUD</t>
  </si>
  <si>
    <t>TOTAL</t>
  </si>
  <si>
    <t>Descripción técnica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</si>
  <si>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</si>
  <si>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</si>
  <si>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</si>
  <si>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</si>
  <si>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</si>
  <si>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</si>
  <si>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</si>
  <si>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</si>
  <si>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</si>
  <si>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</si>
  <si>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</si>
  <si>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</si>
  <si>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</si>
  <si>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</si>
  <si>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</si>
  <si>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</si>
  <si>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</si>
  <si>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</si>
  <si>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</si>
  <si>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</si>
  <si>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</si>
  <si>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</si>
  <si>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</si>
  <si>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</si>
  <si>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</si>
  <si>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</si>
  <si>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</si>
  <si>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</si>
  <si>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</si>
  <si>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</si>
  <si>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</si>
  <si>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</si>
  <si>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</si>
  <si>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</si>
  <si>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</si>
  <si>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</si>
  <si>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</si>
  <si>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</si>
  <si>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</si>
  <si>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</si>
  <si>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</si>
  <si>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</si>
  <si>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</si>
  <si>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</si>
  <si>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</si>
  <si>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</si>
  <si>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</si>
  <si>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APARATO PARA MEDICION DE GLUCOSA EN SANGRE</t>
  </si>
  <si>
    <t>SI</t>
  </si>
  <si>
    <t>Adquisicion de Insumos Comunes</t>
  </si>
  <si>
    <t>Útiles Menores Médico, Quirúrgico y de Laboratorio</t>
  </si>
  <si>
    <t>Adquisición de Insumos Comunes.</t>
  </si>
  <si>
    <t>747 - DIRECCION PROVINCIAL BANCO DE SANGRE</t>
  </si>
  <si>
    <t xml:space="preserve"> 03/2021</t>
  </si>
  <si>
    <t>Autorizo la realización de los  trámites correspondientes, a fin de proveer a  este Organismo los bienes que se detallan en Nota de pedido y Entrega N°03/2021,  afectando la erogación resultante a los créditos presupuestarios aprobados a favor de esta Unidad Ejecutora, conforme al siguiente detalle:</t>
  </si>
  <si>
    <t>TOTAL DE PESOS:  Doscientos Veintinueve Mil con 00/100</t>
  </si>
  <si>
    <t>469 - DIRECCION PROVINCIAL DE FARMACIA E INSUMOS</t>
  </si>
  <si>
    <t>Autorizo la realización de los  trámites correspondientes, a fin de proveer a  este Organismo los bienes que se detallan en Nota de pedido y Entrega N°07/2021,  afectando la erogación resultante a los créditos presupuestarios aprobados a favor de esta Unidad Ejecutora, conforme al siguiente detalle:</t>
  </si>
  <si>
    <t>470 - DIRECCION PROVINCIAL DE ODONTOLOGIA</t>
  </si>
  <si>
    <t>Autorizo la realización de los  trámites correspondientes, a fin de proveer a  este Organismo los bienes que se detallan en Nota de pedido y Entrega N°05/2021,  afectando la erogación resultante a los créditos presupuestarios aprobados a favor de esta Unidad Ejecutora, conforme al siguiente detalle:</t>
  </si>
  <si>
    <t>TOTAL DE PESOS:  Noventa y Nueve Mil Quinientos con 00/100</t>
  </si>
  <si>
    <t>748 - DIR.PROVINCIAL DEL SISTEMA DE ATENCION MEDICA DE EMERGENCIA</t>
  </si>
  <si>
    <t>Autorizo la realización de los  trámites correspondientes, a fin de proveer a  este Organismo los bienes que se detallan en Nota de pedido y Entrega N°06/2021,  afectando la erogación resultante a los créditos presupuestarios aprobados a favor de esta Unidad Ejecutora, conforme al siguiente detalle:</t>
  </si>
  <si>
    <t>TOTAL DE PESOS:  Trescientos Treinta Mil con 00/100</t>
  </si>
  <si>
    <t>162 - DIR.PROVINCIAL MATERNIDAD, INFANCIA Y ADOLESCENCIA</t>
  </si>
  <si>
    <t>160 - DIR.PROVINCIAL CENTRO UNICO DE REFERENCIA</t>
  </si>
  <si>
    <t>TOTAL DE PESOS:  Sesenta y Seis Mil  con 00/100</t>
  </si>
  <si>
    <t>TOTAL DE PESOS:  Cuarenta Millones Seiscientos Cincuenta y Un Mil Ochocientos Sesenta y Cinco con 00/100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</si>
  <si>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</si>
  <si>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DIR. PROV. DE FARMACIA E INSUMOS - CHACABUCO N° 169 - en el horario de 8:00hs a 12:00hs de lunes a viernes</t>
  </si>
  <si>
    <t>DETALLE TECNICO</t>
  </si>
  <si>
    <t>Costo total estimado: Doscientos Veintinueve Mil con 00/100</t>
  </si>
  <si>
    <t xml:space="preserve"> 07/2021</t>
  </si>
  <si>
    <t>Costo total estimado: Cuarenta Millones Seiscientos Cincuenta y Un Mil Ochocientos Sesenta y Cinco con 00/100</t>
  </si>
  <si>
    <t xml:space="preserve"> 05/2021</t>
  </si>
  <si>
    <t>Costo total estimado: Noventa y Nueve Mil Quinientos con 00/100</t>
  </si>
  <si>
    <t xml:space="preserve"> 06/2021</t>
  </si>
  <si>
    <t>Costo total estimado: Trescientos Treinta Mil con 00/100</t>
  </si>
  <si>
    <t>Costo total estimado: Sesenta y Seis Mil  con 00/100</t>
  </si>
  <si>
    <t>PROD. MEDICO/FARMACEUTICOS/LAB</t>
  </si>
  <si>
    <t>2.9.5</t>
  </si>
  <si>
    <t>ESPECULO VAGINA PEQUEÑO</t>
  </si>
  <si>
    <t>ESPECULO VAGINAL MEDIANO</t>
  </si>
  <si>
    <t>ESPECULO VAGINAL GRANDE</t>
  </si>
  <si>
    <t>ESPATULAS DE AYRE</t>
  </si>
  <si>
    <t>PORTAOBJETOS P/MICROSCOPIO; MATERIAL: VIDRIO, PRESENTACION: CAJA X 100 UN, TAMAÑO: 25 X 76 X 1,2 mm</t>
  </si>
  <si>
    <t>PROD.MEDICOS/FARMACEUTICOS/LAB.</t>
  </si>
  <si>
    <t xml:space="preserve"> 4/2021</t>
  </si>
  <si>
    <t>159 - DIRECCION PROVINCIAL DE CANCER</t>
  </si>
  <si>
    <t>Costo total estimado: CIENTO DIECISEIS MIL NOVECIENTOS CINCUENTA CON 00/100</t>
  </si>
  <si>
    <t>Autorizo la realización de los  trámites correspondientes, a fin de proveer a  este Organismo los bienes que se detallan en Nota de pedido y Entrega N°4/2021,  afectando la erogación resultante a los créditos presupuestarios aprobados a favor de esta Unidad Ejecutora, conforme al siguiente detalle:</t>
  </si>
  <si>
    <t>TOTAL DE PESOS:   CIENTO DIECISEIS MIL NOVECIENTOS CINCUENTA CON 00/100</t>
  </si>
  <si>
    <t>Adquisición de Insumo comun.</t>
  </si>
  <si>
    <t>Adquisicion de Insumo Comun</t>
  </si>
  <si>
    <t>Costo total estimado: Cuarenta y Un Mil Setecientos con 00/100</t>
  </si>
  <si>
    <t>TOTAL DE PESOS: Cuarenta y Un Mil Setecientos con 00/100</t>
  </si>
  <si>
    <t>GUIA PARA BOMBA SILICONADA TIPO MP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</si>
</sst>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_-[$$-2C0A]* #,##0.00_-;\-[$$-2C0A]* #,##0.00_-;_-[$$-2C0A]* &quot;-&quot;??_-;_-@_-"/>
    <numFmt numFmtId="172" formatCode="&quot;$&quot;#,##0.00"/>
    <numFmt numFmtId="173" formatCode="_-&quot;$&quot;\ * #,##0.000_-;\-&quot;$&quot;\ * #,##0.000_-;_-&quot;$&quot;\ * &quot;-&quot;??_-;_-@_-"/>
    <numFmt numFmtId="174" formatCode="_(\$* #,##0.00_);_(\$* \(#,##0.00\);_(\$* \-??_);_(@_)"/>
    <numFmt numFmtId="175" formatCode="dd\-mm\-yy;@"/>
  </numFmts>
  <fonts count="3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0"/>
      <name val="Arial"/>
      <family val="2"/>
      <charset val="1"/>
    </font>
    <font>
      <sz val="11"/>
      <color theme="1"/>
      <name val="Arial"/>
      <family val="2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</borders>
  <cellStyleXfs count="24">
    <xf numFmtId="0" fontId="0" fillId="0" borderId="0"/>
    <xf numFmtId="166" fontId="5" fillId="0" borderId="0" applyBorder="0" applyProtection="0"/>
    <xf numFmtId="0" fontId="3" fillId="0" borderId="1" applyProtection="0"/>
    <xf numFmtId="0" fontId="4" fillId="2" borderId="0" applyBorder="0" applyProtection="0"/>
    <xf numFmtId="0" fontId="11" fillId="0" borderId="0"/>
    <xf numFmtId="165" fontId="11" fillId="0" borderId="0" applyBorder="0" applyAlignment="0" applyProtection="0"/>
    <xf numFmtId="0" fontId="11" fillId="0" borderId="0"/>
    <xf numFmtId="0" fontId="11" fillId="0" borderId="0"/>
    <xf numFmtId="0" fontId="11" fillId="0" borderId="0"/>
    <xf numFmtId="0" fontId="2" fillId="0" borderId="0"/>
    <xf numFmtId="0" fontId="5" fillId="0" borderId="0"/>
    <xf numFmtId="166" fontId="5" fillId="0" borderId="0" applyBorder="0" applyProtection="0"/>
    <xf numFmtId="0" fontId="3" fillId="0" borderId="1" applyProtection="0"/>
    <xf numFmtId="0" fontId="5" fillId="0" borderId="0"/>
    <xf numFmtId="165" fontId="5" fillId="0" borderId="0" applyBorder="0" applyAlignment="0" applyProtection="0"/>
    <xf numFmtId="0" fontId="5" fillId="0" borderId="0"/>
    <xf numFmtId="0" fontId="5" fillId="0" borderId="0"/>
    <xf numFmtId="0" fontId="5" fillId="0" borderId="0"/>
    <xf numFmtId="0" fontId="18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6" fontId="5" fillId="0" borderId="0" applyBorder="0" applyProtection="0"/>
    <xf numFmtId="174" fontId="24" fillId="0" borderId="0" applyBorder="0" applyProtection="0"/>
  </cellStyleXfs>
  <cellXfs count="319">
    <xf numFmtId="0" fontId="0" fillId="0" borderId="0" xfId="0"/>
    <xf numFmtId="0" fontId="6" fillId="0" borderId="0" xfId="0" applyFont="1"/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3" fontId="12" fillId="4" borderId="2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170" fontId="6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 wrapText="1"/>
    </xf>
    <xf numFmtId="170" fontId="13" fillId="0" borderId="8" xfId="0" applyNumberFormat="1" applyFont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center" vertical="center" wrapText="1"/>
    </xf>
    <xf numFmtId="167" fontId="6" fillId="0" borderId="0" xfId="0" applyNumberFormat="1" applyFont="1" applyAlignment="1">
      <alignment vertical="center"/>
    </xf>
    <xf numFmtId="167" fontId="13" fillId="0" borderId="8" xfId="0" applyNumberFormat="1" applyFont="1" applyBorder="1" applyAlignment="1">
      <alignment vertical="center" wrapText="1"/>
    </xf>
    <xf numFmtId="0" fontId="15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1" fontId="6" fillId="0" borderId="8" xfId="0" applyNumberFormat="1" applyFont="1" applyBorder="1" applyAlignment="1">
      <alignment horizontal="center"/>
    </xf>
    <xf numFmtId="170" fontId="6" fillId="0" borderId="8" xfId="0" applyNumberFormat="1" applyFont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6" fillId="0" borderId="8" xfId="0" applyNumberFormat="1" applyFont="1" applyBorder="1" applyAlignment="1">
      <alignment horizontal="center" vertical="center"/>
    </xf>
    <xf numFmtId="167" fontId="6" fillId="0" borderId="8" xfId="0" applyNumberFormat="1" applyFont="1" applyBorder="1" applyAlignment="1">
      <alignment vertical="center"/>
    </xf>
    <xf numFmtId="3" fontId="0" fillId="0" borderId="8" xfId="0" applyNumberFormat="1" applyBorder="1" applyAlignment="1">
      <alignment horizontal="center"/>
    </xf>
    <xf numFmtId="172" fontId="6" fillId="0" borderId="0" xfId="0" applyNumberFormat="1" applyFont="1" applyAlignment="1">
      <alignment horizontal="center"/>
    </xf>
    <xf numFmtId="172" fontId="8" fillId="0" borderId="0" xfId="0" applyNumberFormat="1" applyFont="1" applyAlignment="1">
      <alignment horizontal="center" wrapText="1"/>
    </xf>
    <xf numFmtId="172" fontId="13" fillId="0" borderId="8" xfId="0" applyNumberFormat="1" applyFont="1" applyBorder="1" applyAlignment="1">
      <alignment horizontal="center" vertical="center" wrapText="1"/>
    </xf>
    <xf numFmtId="172" fontId="6" fillId="0" borderId="8" xfId="0" applyNumberFormat="1" applyFont="1" applyBorder="1" applyAlignment="1">
      <alignment horizontal="center"/>
    </xf>
    <xf numFmtId="171" fontId="6" fillId="0" borderId="8" xfId="0" applyNumberFormat="1" applyFont="1" applyBorder="1" applyAlignment="1">
      <alignment horizontal="center"/>
    </xf>
    <xf numFmtId="3" fontId="12" fillId="4" borderId="8" xfId="13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vertical="center" wrapText="1"/>
    </xf>
    <xf numFmtId="172" fontId="12" fillId="0" borderId="0" xfId="1" applyNumberFormat="1" applyFont="1" applyAlignment="1">
      <alignment horizontal="right" vertical="center"/>
    </xf>
    <xf numFmtId="172" fontId="12" fillId="0" borderId="8" xfId="1" applyNumberFormat="1" applyFont="1" applyBorder="1" applyAlignment="1">
      <alignment horizontal="right" vertical="center" wrapText="1"/>
    </xf>
    <xf numFmtId="172" fontId="6" fillId="0" borderId="8" xfId="0" applyNumberFormat="1" applyFont="1" applyBorder="1" applyAlignment="1">
      <alignment horizontal="right" vertical="center"/>
    </xf>
    <xf numFmtId="172" fontId="0" fillId="0" borderId="8" xfId="0" applyNumberFormat="1" applyBorder="1" applyAlignment="1">
      <alignment horizontal="right"/>
    </xf>
    <xf numFmtId="3" fontId="6" fillId="0" borderId="0" xfId="0" applyNumberFormat="1" applyFont="1"/>
    <xf numFmtId="172" fontId="21" fillId="0" borderId="8" xfId="0" applyNumberFormat="1" applyFont="1" applyBorder="1" applyAlignment="1">
      <alignment horizontal="right"/>
    </xf>
    <xf numFmtId="0" fontId="22" fillId="0" borderId="16" xfId="13" applyFont="1" applyBorder="1" applyAlignment="1">
      <alignment horizontal="right" vertical="center"/>
    </xf>
    <xf numFmtId="17" fontId="23" fillId="3" borderId="17" xfId="13" applyNumberFormat="1" applyFont="1" applyFill="1" applyBorder="1" applyAlignment="1">
      <alignment horizontal="center" vertical="center"/>
    </xf>
    <xf numFmtId="0" fontId="24" fillId="0" borderId="0" xfId="13" applyFont="1" applyBorder="1" applyAlignment="1">
      <alignment vertical="center"/>
    </xf>
    <xf numFmtId="0" fontId="22" fillId="0" borderId="18" xfId="13" applyFont="1" applyBorder="1" applyAlignment="1">
      <alignment vertical="center"/>
    </xf>
    <xf numFmtId="0" fontId="22" fillId="0" borderId="0" xfId="13" applyFont="1" applyBorder="1" applyAlignment="1">
      <alignment vertical="center"/>
    </xf>
    <xf numFmtId="0" fontId="25" fillId="0" borderId="0" xfId="13" applyFont="1" applyBorder="1" applyAlignment="1">
      <alignment horizontal="left" vertical="center"/>
    </xf>
    <xf numFmtId="0" fontId="27" fillId="4" borderId="25" xfId="13" applyFont="1" applyFill="1" applyBorder="1" applyAlignment="1">
      <alignment horizontal="center" vertical="center"/>
    </xf>
    <xf numFmtId="0" fontId="27" fillId="4" borderId="25" xfId="13" applyFont="1" applyFill="1" applyBorder="1" applyAlignment="1">
      <alignment horizontal="left" vertical="center"/>
    </xf>
    <xf numFmtId="0" fontId="27" fillId="3" borderId="25" xfId="13" applyFont="1" applyFill="1" applyBorder="1" applyAlignment="1">
      <alignment horizontal="center" vertical="center"/>
    </xf>
    <xf numFmtId="0" fontId="5" fillId="0" borderId="11" xfId="13" applyBorder="1" applyAlignment="1">
      <alignment horizontal="center" vertical="center"/>
    </xf>
    <xf numFmtId="3" fontId="5" fillId="4" borderId="25" xfId="13" applyNumberFormat="1" applyFont="1" applyFill="1" applyBorder="1" applyAlignment="1">
      <alignment horizontal="center" vertical="center"/>
    </xf>
    <xf numFmtId="44" fontId="24" fillId="0" borderId="0" xfId="13" applyNumberFormat="1" applyFont="1" applyBorder="1" applyAlignment="1">
      <alignment vertical="center"/>
    </xf>
    <xf numFmtId="0" fontId="27" fillId="4" borderId="26" xfId="13" applyFont="1" applyFill="1" applyBorder="1" applyAlignment="1">
      <alignment horizontal="center" vertical="center"/>
    </xf>
    <xf numFmtId="0" fontId="27" fillId="4" borderId="26" xfId="13" applyFont="1" applyFill="1" applyBorder="1" applyAlignment="1">
      <alignment horizontal="left" vertical="center"/>
    </xf>
    <xf numFmtId="0" fontId="20" fillId="4" borderId="27" xfId="13" applyFont="1" applyFill="1" applyBorder="1" applyAlignment="1">
      <alignment horizontal="left" vertical="center" wrapText="1"/>
    </xf>
    <xf numFmtId="0" fontId="20" fillId="4" borderId="4" xfId="13" applyFont="1" applyFill="1" applyBorder="1" applyAlignment="1">
      <alignment horizontal="left" vertical="center" wrapText="1"/>
    </xf>
    <xf numFmtId="0" fontId="20" fillId="4" borderId="5" xfId="13" applyFont="1" applyFill="1" applyBorder="1" applyAlignment="1">
      <alignment horizontal="left" vertical="center" wrapText="1"/>
    </xf>
    <xf numFmtId="0" fontId="27" fillId="3" borderId="26" xfId="13" applyFont="1" applyFill="1" applyBorder="1" applyAlignment="1">
      <alignment horizontal="center" vertical="center"/>
    </xf>
    <xf numFmtId="44" fontId="5" fillId="4" borderId="26" xfId="22" applyNumberFormat="1" applyFont="1" applyFill="1" applyBorder="1" applyAlignment="1" applyProtection="1">
      <alignment horizontal="center" vertical="center" wrapText="1"/>
    </xf>
    <xf numFmtId="3" fontId="5" fillId="4" borderId="26" xfId="13" applyNumberFormat="1" applyFont="1" applyFill="1" applyBorder="1" applyAlignment="1">
      <alignment horizontal="center" vertical="center"/>
    </xf>
    <xf numFmtId="0" fontId="28" fillId="0" borderId="28" xfId="13" applyFont="1" applyBorder="1" applyAlignment="1">
      <alignment horizontal="center" vertical="center"/>
    </xf>
    <xf numFmtId="0" fontId="28" fillId="0" borderId="28" xfId="13" applyFont="1" applyBorder="1" applyAlignment="1">
      <alignment horizontal="left" vertical="center"/>
    </xf>
    <xf numFmtId="0" fontId="27" fillId="0" borderId="28" xfId="13" applyFont="1" applyBorder="1" applyAlignment="1">
      <alignment horizontal="center" vertical="center"/>
    </xf>
    <xf numFmtId="44" fontId="5" fillId="0" borderId="28" xfId="22" applyNumberFormat="1" applyFont="1" applyBorder="1" applyAlignment="1">
      <alignment vertical="center"/>
    </xf>
    <xf numFmtId="3" fontId="5" fillId="4" borderId="28" xfId="13" applyNumberFormat="1" applyFont="1" applyFill="1" applyBorder="1" applyAlignment="1">
      <alignment horizontal="center" vertical="center"/>
    </xf>
    <xf numFmtId="0" fontId="28" fillId="0" borderId="30" xfId="13" applyFont="1" applyBorder="1" applyAlignment="1">
      <alignment horizontal="center" vertical="center"/>
    </xf>
    <xf numFmtId="0" fontId="28" fillId="0" borderId="30" xfId="13" applyFont="1" applyBorder="1" applyAlignment="1">
      <alignment horizontal="left" vertical="center"/>
    </xf>
    <xf numFmtId="0" fontId="27" fillId="0" borderId="30" xfId="13" applyFont="1" applyBorder="1" applyAlignment="1">
      <alignment horizontal="center" vertical="center"/>
    </xf>
    <xf numFmtId="0" fontId="27" fillId="0" borderId="31" xfId="13" applyFont="1" applyBorder="1" applyAlignment="1">
      <alignment horizontal="center" vertical="center" wrapText="1"/>
    </xf>
    <xf numFmtId="44" fontId="27" fillId="0" borderId="30" xfId="13" applyNumberFormat="1" applyFont="1" applyBorder="1" applyAlignment="1">
      <alignment horizontal="center" vertical="center" wrapText="1"/>
    </xf>
    <xf numFmtId="3" fontId="27" fillId="0" borderId="30" xfId="13" applyNumberFormat="1" applyFont="1" applyBorder="1" applyAlignment="1">
      <alignment horizontal="center" vertical="center"/>
    </xf>
    <xf numFmtId="0" fontId="28" fillId="0" borderId="32" xfId="13" applyFont="1" applyBorder="1" applyAlignment="1">
      <alignment horizontal="center" vertical="center"/>
    </xf>
    <xf numFmtId="0" fontId="28" fillId="0" borderId="32" xfId="13" applyFont="1" applyBorder="1" applyAlignment="1">
      <alignment horizontal="left" vertical="center"/>
    </xf>
    <xf numFmtId="0" fontId="23" fillId="0" borderId="0" xfId="13" applyFont="1" applyBorder="1" applyAlignment="1">
      <alignment horizontal="left" vertical="center" wrapText="1" indent="1"/>
    </xf>
    <xf numFmtId="0" fontId="5" fillId="0" borderId="0" xfId="13"/>
    <xf numFmtId="44" fontId="5" fillId="0" borderId="0" xfId="13" applyNumberFormat="1"/>
    <xf numFmtId="3" fontId="29" fillId="0" borderId="0" xfId="13" applyNumberFormat="1" applyFont="1" applyBorder="1" applyAlignment="1"/>
    <xf numFmtId="175" fontId="5" fillId="0" borderId="0" xfId="13" applyNumberFormat="1" applyAlignment="1">
      <alignment horizontal="left"/>
    </xf>
    <xf numFmtId="0" fontId="5" fillId="0" borderId="0" xfId="13" applyAlignment="1">
      <alignment horizontal="left"/>
    </xf>
    <xf numFmtId="0" fontId="24" fillId="0" borderId="0" xfId="13" applyFont="1"/>
    <xf numFmtId="0" fontId="5" fillId="0" borderId="0" xfId="13" applyBorder="1"/>
    <xf numFmtId="0" fontId="5" fillId="0" borderId="16" xfId="13" applyBorder="1"/>
    <xf numFmtId="0" fontId="5" fillId="0" borderId="38" xfId="13" applyBorder="1"/>
    <xf numFmtId="0" fontId="5" fillId="0" borderId="18" xfId="13" applyBorder="1"/>
    <xf numFmtId="0" fontId="5" fillId="0" borderId="18" xfId="13" applyBorder="1" applyAlignment="1">
      <alignment horizontal="left"/>
    </xf>
    <xf numFmtId="0" fontId="5" fillId="0" borderId="39" xfId="13" applyBorder="1"/>
    <xf numFmtId="0" fontId="33" fillId="0" borderId="42" xfId="13" applyFont="1" applyBorder="1" applyAlignment="1">
      <alignment horizontal="center" vertical="center"/>
    </xf>
    <xf numFmtId="0" fontId="33" fillId="0" borderId="43" xfId="13" applyFont="1" applyBorder="1" applyAlignment="1">
      <alignment horizontal="center" vertical="center"/>
    </xf>
    <xf numFmtId="0" fontId="33" fillId="0" borderId="43" xfId="13" applyFont="1" applyBorder="1" applyAlignment="1">
      <alignment horizontal="left" vertical="center"/>
    </xf>
    <xf numFmtId="0" fontId="33" fillId="0" borderId="44" xfId="13" applyFont="1" applyBorder="1" applyAlignment="1">
      <alignment horizontal="center" vertical="center"/>
    </xf>
    <xf numFmtId="0" fontId="33" fillId="0" borderId="45" xfId="13" applyFont="1" applyBorder="1" applyAlignment="1">
      <alignment horizontal="center" vertical="center"/>
    </xf>
    <xf numFmtId="0" fontId="5" fillId="3" borderId="46" xfId="13" applyFont="1" applyFill="1" applyBorder="1" applyAlignment="1">
      <alignment horizontal="center" vertical="center"/>
    </xf>
    <xf numFmtId="0" fontId="5" fillId="3" borderId="47" xfId="13" applyFont="1" applyFill="1" applyBorder="1" applyAlignment="1">
      <alignment horizontal="center" vertical="center"/>
    </xf>
    <xf numFmtId="0" fontId="5" fillId="0" borderId="47" xfId="13" applyFont="1" applyBorder="1" applyAlignment="1">
      <alignment horizontal="center" vertical="center"/>
    </xf>
    <xf numFmtId="0" fontId="5" fillId="3" borderId="48" xfId="13" applyFont="1" applyFill="1" applyBorder="1" applyAlignment="1">
      <alignment horizontal="center" vertical="center"/>
    </xf>
    <xf numFmtId="0" fontId="5" fillId="3" borderId="47" xfId="13" applyFill="1" applyBorder="1" applyAlignment="1">
      <alignment horizontal="center" vertical="center"/>
    </xf>
    <xf numFmtId="168" fontId="0" fillId="0" borderId="49" xfId="23" applyNumberFormat="1" applyFont="1" applyBorder="1" applyAlignment="1" applyProtection="1">
      <alignment horizontal="center" vertical="center"/>
    </xf>
    <xf numFmtId="0" fontId="5" fillId="0" borderId="50" xfId="13" applyFont="1" applyBorder="1" applyAlignment="1">
      <alignment horizontal="center" vertical="center"/>
    </xf>
    <xf numFmtId="0" fontId="5" fillId="0" borderId="51" xfId="13" applyFont="1" applyBorder="1" applyAlignment="1">
      <alignment horizontal="center" vertical="center"/>
    </xf>
    <xf numFmtId="0" fontId="5" fillId="0" borderId="52" xfId="13" applyFont="1" applyBorder="1" applyAlignment="1">
      <alignment horizontal="center" vertical="center"/>
    </xf>
    <xf numFmtId="0" fontId="5" fillId="0" borderId="53" xfId="13" applyFont="1" applyBorder="1" applyAlignment="1">
      <alignment horizontal="center" vertical="center"/>
    </xf>
    <xf numFmtId="168" fontId="0" fillId="0" borderId="54" xfId="23" applyNumberFormat="1" applyFont="1" applyBorder="1" applyAlignment="1" applyProtection="1">
      <alignment horizontal="center" vertical="center"/>
    </xf>
    <xf numFmtId="0" fontId="31" fillId="0" borderId="50" xfId="13" applyFont="1" applyBorder="1" applyAlignment="1">
      <alignment horizontal="center" vertical="center"/>
    </xf>
    <xf numFmtId="0" fontId="31" fillId="0" borderId="51" xfId="13" applyFont="1" applyBorder="1" applyAlignment="1">
      <alignment horizontal="center" vertical="center"/>
    </xf>
    <xf numFmtId="0" fontId="5" fillId="0" borderId="53" xfId="13" applyBorder="1" applyAlignment="1">
      <alignment horizontal="center" vertical="center"/>
    </xf>
    <xf numFmtId="0" fontId="31" fillId="0" borderId="52" xfId="13" applyFont="1" applyBorder="1" applyAlignment="1">
      <alignment horizontal="center" vertical="center"/>
    </xf>
    <xf numFmtId="0" fontId="31" fillId="0" borderId="53" xfId="13" applyFont="1" applyBorder="1" applyAlignment="1">
      <alignment horizontal="center" vertical="center"/>
    </xf>
    <xf numFmtId="0" fontId="5" fillId="0" borderId="55" xfId="13" applyBorder="1" applyAlignment="1">
      <alignment horizontal="center" vertical="center"/>
    </xf>
    <xf numFmtId="0" fontId="5" fillId="0" borderId="56" xfId="13" applyBorder="1" applyAlignment="1">
      <alignment horizontal="center" vertical="center"/>
    </xf>
    <xf numFmtId="0" fontId="5" fillId="0" borderId="57" xfId="13" applyBorder="1" applyAlignment="1">
      <alignment horizontal="center" vertical="center"/>
    </xf>
    <xf numFmtId="168" fontId="0" fillId="0" borderId="58" xfId="23" applyNumberFormat="1" applyFont="1" applyBorder="1" applyAlignment="1" applyProtection="1">
      <alignment horizontal="center" vertical="center"/>
    </xf>
    <xf numFmtId="168" fontId="33" fillId="0" borderId="59" xfId="13" applyNumberFormat="1" applyFont="1" applyBorder="1" applyAlignment="1">
      <alignment horizontal="center" vertical="center"/>
    </xf>
    <xf numFmtId="172" fontId="16" fillId="0" borderId="8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3" fontId="16" fillId="0" borderId="8" xfId="0" applyNumberFormat="1" applyFont="1" applyBorder="1" applyAlignment="1">
      <alignment horizontal="center" vertical="center"/>
    </xf>
    <xf numFmtId="172" fontId="16" fillId="0" borderId="8" xfId="0" applyNumberFormat="1" applyFont="1" applyBorder="1" applyAlignment="1">
      <alignment horizontal="right"/>
    </xf>
    <xf numFmtId="0" fontId="21" fillId="0" borderId="8" xfId="0" applyFont="1" applyBorder="1" applyAlignment="1">
      <alignment horizontal="center" vertical="center" wrapText="1"/>
    </xf>
    <xf numFmtId="44" fontId="34" fillId="4" borderId="0" xfId="13" applyNumberFormat="1" applyFont="1" applyFill="1" applyBorder="1" applyAlignment="1">
      <alignment vertical="center"/>
    </xf>
    <xf numFmtId="3" fontId="29" fillId="0" borderId="0" xfId="0" applyNumberFormat="1" applyFont="1" applyBorder="1" applyAlignment="1"/>
    <xf numFmtId="17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4" fillId="0" borderId="0" xfId="0" applyFont="1"/>
    <xf numFmtId="0" fontId="0" fillId="0" borderId="0" xfId="0" applyBorder="1"/>
    <xf numFmtId="0" fontId="0" fillId="0" borderId="16" xfId="0" applyBorder="1"/>
    <xf numFmtId="0" fontId="0" fillId="0" borderId="38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39" xfId="0" applyBorder="1"/>
    <xf numFmtId="0" fontId="33" fillId="0" borderId="42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33" fillId="0" borderId="43" xfId="0" applyFont="1" applyBorder="1" applyAlignment="1">
      <alignment horizontal="left" vertical="center"/>
    </xf>
    <xf numFmtId="0" fontId="33" fillId="0" borderId="44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 vertical="center"/>
    </xf>
    <xf numFmtId="0" fontId="0" fillId="3" borderId="46" xfId="0" applyFont="1" applyFill="1" applyBorder="1" applyAlignment="1">
      <alignment horizontal="center" vertical="center"/>
    </xf>
    <xf numFmtId="0" fontId="0" fillId="3" borderId="47" xfId="0" applyFont="1" applyFill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3" borderId="48" xfId="0" applyFont="1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68" fontId="33" fillId="0" borderId="59" xfId="0" applyNumberFormat="1" applyFont="1" applyBorder="1" applyAlignment="1">
      <alignment horizontal="center" vertical="center"/>
    </xf>
    <xf numFmtId="0" fontId="23" fillId="0" borderId="0" xfId="13" applyFont="1" applyBorder="1" applyAlignment="1">
      <alignment horizontal="left" vertical="center" wrapText="1" indent="1"/>
    </xf>
    <xf numFmtId="0" fontId="15" fillId="0" borderId="0" xfId="0" applyFont="1" applyAlignment="1">
      <alignment horizontal="center" vertical="center" wrapText="1"/>
    </xf>
    <xf numFmtId="0" fontId="23" fillId="0" borderId="0" xfId="13" applyFont="1" applyBorder="1" applyAlignment="1">
      <alignment horizontal="left" vertical="center" wrapText="1" indent="1"/>
    </xf>
    <xf numFmtId="0" fontId="6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vertical="center"/>
    </xf>
    <xf numFmtId="0" fontId="5" fillId="4" borderId="8" xfId="13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12" fillId="0" borderId="8" xfId="0" applyFont="1" applyBorder="1" applyAlignment="1">
      <alignment horizontal="center"/>
    </xf>
    <xf numFmtId="0" fontId="12" fillId="4" borderId="8" xfId="0" applyFont="1" applyFill="1" applyBorder="1" applyAlignment="1">
      <alignment horizontal="center" vertical="center" wrapText="1"/>
    </xf>
    <xf numFmtId="1" fontId="12" fillId="4" borderId="8" xfId="0" applyNumberFormat="1" applyFont="1" applyFill="1" applyBorder="1" applyAlignment="1">
      <alignment horizontal="center" vertical="center" wrapText="1"/>
    </xf>
    <xf numFmtId="170" fontId="12" fillId="4" borderId="8" xfId="0" applyNumberFormat="1" applyFont="1" applyFill="1" applyBorder="1" applyAlignment="1">
      <alignment horizontal="center" vertical="center" wrapText="1"/>
    </xf>
    <xf numFmtId="3" fontId="12" fillId="4" borderId="8" xfId="0" applyNumberFormat="1" applyFont="1" applyFill="1" applyBorder="1" applyAlignment="1">
      <alignment horizontal="center" vertical="center" wrapText="1"/>
    </xf>
    <xf numFmtId="169" fontId="12" fillId="4" borderId="8" xfId="0" applyNumberFormat="1" applyFont="1" applyFill="1" applyBorder="1" applyAlignment="1">
      <alignment horizontal="center" vertical="center" wrapText="1"/>
    </xf>
    <xf numFmtId="3" fontId="12" fillId="0" borderId="8" xfId="13" applyNumberFormat="1" applyFont="1" applyBorder="1" applyAlignment="1">
      <alignment horizontal="center" vertical="center" wrapText="1"/>
    </xf>
    <xf numFmtId="170" fontId="12" fillId="4" borderId="8" xfId="1" applyNumberFormat="1" applyFont="1" applyFill="1" applyBorder="1" applyAlignment="1" applyProtection="1">
      <alignment horizontal="right" vertical="center" wrapText="1"/>
    </xf>
    <xf numFmtId="170" fontId="35" fillId="3" borderId="8" xfId="0" applyNumberFormat="1" applyFont="1" applyFill="1" applyBorder="1" applyAlignment="1">
      <alignment horizontal="right" vertical="center" wrapText="1"/>
    </xf>
    <xf numFmtId="3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3" fontId="12" fillId="0" borderId="8" xfId="0" applyNumberFormat="1" applyFont="1" applyBorder="1" applyAlignment="1">
      <alignment horizontal="center" vertical="center" wrapText="1"/>
    </xf>
    <xf numFmtId="1" fontId="12" fillId="0" borderId="8" xfId="0" applyNumberFormat="1" applyFont="1" applyBorder="1" applyAlignment="1">
      <alignment horizontal="center" vertical="center"/>
    </xf>
    <xf numFmtId="0" fontId="35" fillId="4" borderId="8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/>
    </xf>
    <xf numFmtId="0" fontId="6" fillId="0" borderId="8" xfId="13" applyFont="1" applyBorder="1" applyAlignment="1">
      <alignment horizontal="center"/>
    </xf>
    <xf numFmtId="170" fontId="6" fillId="0" borderId="8" xfId="0" applyNumberFormat="1" applyFont="1" applyBorder="1" applyAlignment="1">
      <alignment horizontal="right" vertical="center"/>
    </xf>
    <xf numFmtId="0" fontId="6" fillId="0" borderId="61" xfId="13" applyFont="1" applyBorder="1" applyAlignment="1">
      <alignment horizontal="center"/>
    </xf>
    <xf numFmtId="3" fontId="0" fillId="0" borderId="8" xfId="0" applyNumberFormat="1" applyBorder="1" applyAlignment="1">
      <alignment horizontal="center" vertical="center"/>
    </xf>
    <xf numFmtId="0" fontId="5" fillId="0" borderId="8" xfId="13" applyBorder="1" applyAlignment="1">
      <alignment horizontal="center" vertical="center"/>
    </xf>
    <xf numFmtId="167" fontId="36" fillId="0" borderId="0" xfId="0" applyNumberFormat="1" applyFont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left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33" xfId="13" applyFont="1" applyBorder="1" applyAlignment="1">
      <alignment horizontal="left" vertical="center"/>
    </xf>
    <xf numFmtId="0" fontId="5" fillId="0" borderId="10" xfId="13" applyFont="1" applyBorder="1" applyAlignment="1">
      <alignment horizontal="left" vertical="center"/>
    </xf>
    <xf numFmtId="0" fontId="5" fillId="0" borderId="34" xfId="13" applyFont="1" applyBorder="1" applyAlignment="1">
      <alignment horizontal="left" vertical="center"/>
    </xf>
    <xf numFmtId="0" fontId="19" fillId="0" borderId="12" xfId="13" applyFont="1" applyBorder="1" applyAlignment="1">
      <alignment horizontal="left" vertical="center"/>
    </xf>
    <xf numFmtId="0" fontId="19" fillId="0" borderId="3" xfId="13" applyFont="1" applyBorder="1" applyAlignment="1">
      <alignment horizontal="left" vertical="center"/>
    </xf>
    <xf numFmtId="0" fontId="19" fillId="0" borderId="7" xfId="13" applyFont="1" applyBorder="1" applyAlignment="1">
      <alignment horizontal="left" vertical="center"/>
    </xf>
    <xf numFmtId="164" fontId="16" fillId="0" borderId="3" xfId="13" applyNumberFormat="1" applyFont="1" applyBorder="1" applyAlignment="1">
      <alignment horizontal="center" vertical="center" wrapText="1"/>
    </xf>
    <xf numFmtId="164" fontId="16" fillId="0" borderId="7" xfId="13" applyNumberFormat="1" applyFont="1" applyBorder="1" applyAlignment="1">
      <alignment horizontal="center" vertical="center" wrapText="1"/>
    </xf>
    <xf numFmtId="0" fontId="23" fillId="0" borderId="0" xfId="13" applyFont="1" applyBorder="1" applyAlignment="1">
      <alignment horizontal="left" vertical="center" wrapText="1" indent="1"/>
    </xf>
    <xf numFmtId="169" fontId="25" fillId="0" borderId="0" xfId="13" applyNumberFormat="1" applyFont="1" applyBorder="1" applyAlignment="1">
      <alignment horizontal="center" vertical="center"/>
    </xf>
    <xf numFmtId="0" fontId="5" fillId="4" borderId="29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26" fillId="0" borderId="23" xfId="13" applyFont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left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2" fillId="4" borderId="15" xfId="0" applyFont="1" applyFill="1" applyBorder="1" applyAlignment="1">
      <alignment horizontal="left" vertical="center" wrapText="1"/>
    </xf>
    <xf numFmtId="0" fontId="12" fillId="4" borderId="29" xfId="0" applyFont="1" applyFill="1" applyBorder="1" applyAlignment="1">
      <alignment horizontal="left" vertical="center" wrapText="1"/>
    </xf>
    <xf numFmtId="0" fontId="12" fillId="4" borderId="9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26" fillId="0" borderId="24" xfId="13" applyFont="1" applyBorder="1" applyAlignment="1">
      <alignment horizontal="center" vertical="center" wrapText="1"/>
    </xf>
    <xf numFmtId="0" fontId="26" fillId="0" borderId="22" xfId="13" applyFont="1" applyBorder="1" applyAlignment="1">
      <alignment horizontal="center" vertical="center"/>
    </xf>
    <xf numFmtId="0" fontId="25" fillId="0" borderId="19" xfId="13" applyFont="1" applyBorder="1" applyAlignment="1">
      <alignment horizontal="left" vertical="center" wrapText="1"/>
    </xf>
    <xf numFmtId="0" fontId="23" fillId="0" borderId="20" xfId="13" applyFont="1" applyBorder="1" applyAlignment="1">
      <alignment horizontal="left" vertical="center" wrapText="1" indent="1"/>
    </xf>
    <xf numFmtId="0" fontId="25" fillId="0" borderId="21" xfId="13" applyFont="1" applyBorder="1" applyAlignment="1">
      <alignment horizontal="left" vertical="center" wrapText="1"/>
    </xf>
    <xf numFmtId="0" fontId="25" fillId="0" borderId="22" xfId="13" applyFont="1" applyBorder="1" applyAlignment="1">
      <alignment horizontal="left" vertical="center"/>
    </xf>
    <xf numFmtId="0" fontId="23" fillId="0" borderId="23" xfId="13" applyFont="1" applyBorder="1" applyAlignment="1">
      <alignment horizontal="left" vertical="center" wrapText="1" indent="1"/>
    </xf>
    <xf numFmtId="0" fontId="22" fillId="0" borderId="0" xfId="13" applyFont="1" applyBorder="1" applyAlignment="1">
      <alignment horizontal="center" vertical="center"/>
    </xf>
    <xf numFmtId="0" fontId="31" fillId="3" borderId="59" xfId="13" applyFont="1" applyFill="1" applyBorder="1" applyAlignment="1">
      <alignment horizontal="left" vertical="center" wrapText="1" indent="1"/>
    </xf>
    <xf numFmtId="0" fontId="5" fillId="0" borderId="62" xfId="13" applyBorder="1" applyAlignment="1">
      <alignment horizontal="left" vertical="center" wrapText="1"/>
    </xf>
    <xf numFmtId="0" fontId="5" fillId="0" borderId="63" xfId="13" applyFont="1" applyBorder="1" applyAlignment="1">
      <alignment horizontal="left" vertical="center" wrapText="1"/>
    </xf>
    <xf numFmtId="0" fontId="5" fillId="0" borderId="53" xfId="13" applyBorder="1" applyAlignment="1">
      <alignment horizontal="left" vertical="center"/>
    </xf>
    <xf numFmtId="0" fontId="5" fillId="0" borderId="53" xfId="13" applyFont="1" applyBorder="1" applyAlignment="1">
      <alignment horizontal="left" vertical="center"/>
    </xf>
    <xf numFmtId="0" fontId="5" fillId="0" borderId="56" xfId="13" applyBorder="1" applyAlignment="1">
      <alignment horizontal="left" vertical="center"/>
    </xf>
    <xf numFmtId="0" fontId="29" fillId="0" borderId="59" xfId="13" applyFont="1" applyBorder="1" applyAlignment="1">
      <alignment horizontal="left" vertical="center" wrapText="1"/>
    </xf>
    <xf numFmtId="0" fontId="5" fillId="0" borderId="40" xfId="13" applyBorder="1"/>
    <xf numFmtId="0" fontId="29" fillId="0" borderId="12" xfId="13" applyFont="1" applyBorder="1" applyAlignment="1">
      <alignment vertical="center" wrapText="1"/>
    </xf>
    <xf numFmtId="0" fontId="29" fillId="0" borderId="60" xfId="13" applyFont="1" applyBorder="1" applyAlignment="1">
      <alignment vertical="center" wrapText="1"/>
    </xf>
    <xf numFmtId="0" fontId="29" fillId="0" borderId="23" xfId="13" applyFont="1" applyBorder="1" applyAlignment="1">
      <alignment vertical="center" wrapText="1"/>
    </xf>
    <xf numFmtId="0" fontId="31" fillId="0" borderId="41" xfId="13" applyFont="1" applyBorder="1" applyAlignment="1">
      <alignment vertical="center" wrapText="1"/>
    </xf>
    <xf numFmtId="0" fontId="5" fillId="0" borderId="47" xfId="13" applyBorder="1" applyAlignment="1">
      <alignment horizontal="left" vertical="center" wrapText="1"/>
    </xf>
    <xf numFmtId="0" fontId="5" fillId="0" borderId="47" xfId="13" applyFont="1" applyBorder="1" applyAlignment="1">
      <alignment horizontal="left" vertical="center" wrapText="1"/>
    </xf>
    <xf numFmtId="0" fontId="27" fillId="0" borderId="19" xfId="13" applyFont="1" applyBorder="1" applyAlignment="1">
      <alignment horizontal="left" vertical="center" wrapText="1"/>
    </xf>
    <xf numFmtId="0" fontId="27" fillId="0" borderId="35" xfId="13" applyFont="1" applyBorder="1" applyAlignment="1">
      <alignment horizontal="left" vertical="center" wrapText="1"/>
    </xf>
    <xf numFmtId="0" fontId="27" fillId="0" borderId="36" xfId="13" applyFont="1" applyBorder="1" applyAlignment="1">
      <alignment horizontal="left" vertical="center" wrapText="1"/>
    </xf>
    <xf numFmtId="0" fontId="31" fillId="4" borderId="17" xfId="13" applyFont="1" applyFill="1" applyBorder="1" applyAlignment="1">
      <alignment horizontal="left" indent="1"/>
    </xf>
    <xf numFmtId="0" fontId="32" fillId="0" borderId="17" xfId="13" applyFont="1" applyBorder="1" applyAlignment="1">
      <alignment horizontal="left"/>
    </xf>
    <xf numFmtId="0" fontId="31" fillId="0" borderId="37" xfId="13" applyFont="1" applyBorder="1"/>
    <xf numFmtId="0" fontId="31" fillId="4" borderId="37" xfId="13" applyNumberFormat="1" applyFont="1" applyFill="1" applyBorder="1" applyAlignment="1">
      <alignment horizontal="left" vertical="justify" wrapText="1" indent="1"/>
    </xf>
    <xf numFmtId="0" fontId="31" fillId="4" borderId="0" xfId="13" applyNumberFormat="1" applyFont="1" applyFill="1" applyBorder="1" applyAlignment="1">
      <alignment horizontal="left" vertical="justify" wrapText="1" indent="1"/>
    </xf>
    <xf numFmtId="0" fontId="31" fillId="4" borderId="16" xfId="13" applyNumberFormat="1" applyFont="1" applyFill="1" applyBorder="1" applyAlignment="1">
      <alignment horizontal="left" vertical="justify" wrapText="1" indent="1"/>
    </xf>
    <xf numFmtId="0" fontId="33" fillId="0" borderId="40" xfId="13" applyFont="1" applyBorder="1" applyAlignment="1">
      <alignment horizontal="center" vertical="center"/>
    </xf>
    <xf numFmtId="0" fontId="33" fillId="0" borderId="17" xfId="13" applyFont="1" applyBorder="1" applyAlignment="1">
      <alignment horizontal="center" vertical="center"/>
    </xf>
    <xf numFmtId="0" fontId="33" fillId="0" borderId="40" xfId="13" applyFont="1" applyBorder="1" applyAlignment="1">
      <alignment horizontal="center" vertical="center" wrapText="1"/>
    </xf>
    <xf numFmtId="0" fontId="33" fillId="0" borderId="41" xfId="13" applyFont="1" applyBorder="1" applyAlignment="1">
      <alignment horizontal="center" vertical="center"/>
    </xf>
    <xf numFmtId="0" fontId="31" fillId="0" borderId="17" xfId="13" applyFont="1" applyBorder="1" applyAlignment="1">
      <alignment horizontal="left" indent="1"/>
    </xf>
    <xf numFmtId="0" fontId="5" fillId="0" borderId="12" xfId="13" applyFont="1" applyBorder="1" applyAlignment="1">
      <alignment horizontal="center"/>
    </xf>
    <xf numFmtId="0" fontId="29" fillId="0" borderId="7" xfId="13" applyNumberFormat="1" applyFont="1" applyBorder="1" applyAlignment="1">
      <alignment horizontal="center"/>
    </xf>
    <xf numFmtId="0" fontId="30" fillId="0" borderId="17" xfId="13" applyFont="1" applyBorder="1" applyAlignment="1">
      <alignment horizontal="center" vertical="center" wrapText="1"/>
    </xf>
    <xf numFmtId="0" fontId="24" fillId="0" borderId="17" xfId="13" applyFont="1" applyBorder="1"/>
    <xf numFmtId="173" fontId="16" fillId="0" borderId="3" xfId="13" applyNumberFormat="1" applyFont="1" applyBorder="1" applyAlignment="1">
      <alignment horizontal="center" vertical="center" wrapText="1"/>
    </xf>
    <xf numFmtId="173" fontId="16" fillId="0" borderId="7" xfId="13" applyNumberFormat="1" applyFont="1" applyBorder="1" applyAlignment="1">
      <alignment horizontal="center" vertical="center" wrapText="1"/>
    </xf>
    <xf numFmtId="0" fontId="26" fillId="0" borderId="64" xfId="13" applyFont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5" fillId="4" borderId="2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31" fillId="3" borderId="59" xfId="0" applyFont="1" applyFill="1" applyBorder="1" applyAlignment="1">
      <alignment horizontal="left" vertical="center" wrapText="1" indent="1"/>
    </xf>
    <xf numFmtId="0" fontId="0" fillId="0" borderId="53" xfId="0" applyBorder="1" applyAlignment="1">
      <alignment horizontal="left" vertical="center"/>
    </xf>
    <xf numFmtId="0" fontId="0" fillId="0" borderId="53" xfId="0" applyFont="1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29" fillId="0" borderId="59" xfId="0" applyFont="1" applyBorder="1" applyAlignment="1">
      <alignment horizontal="left" vertical="center" wrapText="1"/>
    </xf>
    <xf numFmtId="0" fontId="0" fillId="0" borderId="40" xfId="0" applyBorder="1"/>
    <xf numFmtId="0" fontId="29" fillId="0" borderId="12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3" xfId="0" applyFont="1" applyBorder="1" applyAlignment="1">
      <alignment vertical="center" wrapText="1"/>
    </xf>
    <xf numFmtId="0" fontId="31" fillId="0" borderId="41" xfId="0" applyFont="1" applyBorder="1" applyAlignment="1">
      <alignment vertical="center" wrapText="1"/>
    </xf>
    <xf numFmtId="0" fontId="0" fillId="0" borderId="47" xfId="0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7" fillId="0" borderId="36" xfId="0" applyFont="1" applyBorder="1" applyAlignment="1">
      <alignment horizontal="left" vertical="center" wrapText="1"/>
    </xf>
    <xf numFmtId="0" fontId="31" fillId="0" borderId="17" xfId="0" applyFont="1" applyBorder="1" applyAlignment="1">
      <alignment horizontal="left" indent="1"/>
    </xf>
    <xf numFmtId="0" fontId="32" fillId="0" borderId="17" xfId="0" applyFont="1" applyBorder="1" applyAlignment="1">
      <alignment horizontal="left"/>
    </xf>
    <xf numFmtId="0" fontId="31" fillId="0" borderId="37" xfId="0" applyFont="1" applyBorder="1"/>
    <xf numFmtId="0" fontId="31" fillId="4" borderId="37" xfId="0" applyNumberFormat="1" applyFont="1" applyFill="1" applyBorder="1" applyAlignment="1">
      <alignment horizontal="left" vertical="justify" wrapText="1" indent="1"/>
    </xf>
    <xf numFmtId="0" fontId="31" fillId="4" borderId="0" xfId="0" applyNumberFormat="1" applyFont="1" applyFill="1" applyBorder="1" applyAlignment="1">
      <alignment horizontal="left" vertical="justify" wrapText="1" indent="1"/>
    </xf>
    <xf numFmtId="0" fontId="31" fillId="4" borderId="16" xfId="0" applyNumberFormat="1" applyFont="1" applyFill="1" applyBorder="1" applyAlignment="1">
      <alignment horizontal="left" vertical="justify" wrapText="1" indent="1"/>
    </xf>
    <xf numFmtId="0" fontId="33" fillId="0" borderId="40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 wrapText="1"/>
    </xf>
    <xf numFmtId="0" fontId="33" fillId="0" borderId="4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/>
    </xf>
    <xf numFmtId="0" fontId="29" fillId="0" borderId="7" xfId="0" applyNumberFormat="1" applyFont="1" applyBorder="1" applyAlignment="1">
      <alignment horizontal="center"/>
    </xf>
    <xf numFmtId="0" fontId="30" fillId="0" borderId="17" xfId="0" applyFont="1" applyBorder="1" applyAlignment="1">
      <alignment horizontal="center" vertical="center" wrapText="1"/>
    </xf>
    <xf numFmtId="0" fontId="24" fillId="0" borderId="17" xfId="0" applyFont="1" applyBorder="1"/>
    <xf numFmtId="0" fontId="5" fillId="4" borderId="29" xfId="0" applyFont="1" applyFill="1" applyBorder="1" applyAlignment="1">
      <alignment horizontal="left" vertical="top"/>
    </xf>
    <xf numFmtId="0" fontId="5" fillId="4" borderId="9" xfId="0" applyFont="1" applyFill="1" applyBorder="1" applyAlignment="1">
      <alignment horizontal="left" vertical="top"/>
    </xf>
    <xf numFmtId="0" fontId="5" fillId="4" borderId="6" xfId="0" applyFont="1" applyFill="1" applyBorder="1" applyAlignment="1">
      <alignment horizontal="left" vertical="top"/>
    </xf>
    <xf numFmtId="0" fontId="5" fillId="4" borderId="29" xfId="13" applyFont="1" applyFill="1" applyBorder="1" applyAlignment="1">
      <alignment horizontal="left" vertical="top" wrapText="1"/>
    </xf>
    <xf numFmtId="0" fontId="5" fillId="4" borderId="9" xfId="13" applyFont="1" applyFill="1" applyBorder="1" applyAlignment="1">
      <alignment horizontal="left" vertical="top" wrapText="1"/>
    </xf>
    <xf numFmtId="0" fontId="5" fillId="4" borderId="6" xfId="13" applyFont="1" applyFill="1" applyBorder="1" applyAlignment="1">
      <alignment horizontal="left" vertical="top" wrapText="1"/>
    </xf>
    <xf numFmtId="0" fontId="5" fillId="4" borderId="13" xfId="0" applyFont="1" applyFill="1" applyBorder="1" applyAlignment="1">
      <alignment horizontal="left" vertical="top"/>
    </xf>
    <xf numFmtId="0" fontId="5" fillId="4" borderId="14" xfId="0" applyFont="1" applyFill="1" applyBorder="1" applyAlignment="1">
      <alignment horizontal="left" vertical="top"/>
    </xf>
    <xf numFmtId="0" fontId="5" fillId="4" borderId="15" xfId="0" applyFont="1" applyFill="1" applyBorder="1" applyAlignment="1">
      <alignment horizontal="left" vertical="top"/>
    </xf>
    <xf numFmtId="0" fontId="20" fillId="4" borderId="29" xfId="13" applyFont="1" applyFill="1" applyBorder="1" applyAlignment="1">
      <alignment horizontal="left" vertical="center" wrapText="1"/>
    </xf>
    <xf numFmtId="0" fontId="20" fillId="4" borderId="9" xfId="13" applyFont="1" applyFill="1" applyBorder="1" applyAlignment="1">
      <alignment horizontal="left" vertical="center" wrapText="1"/>
    </xf>
    <xf numFmtId="0" fontId="20" fillId="4" borderId="6" xfId="13" applyFont="1" applyFill="1" applyBorder="1" applyAlignment="1">
      <alignment horizontal="left" vertical="center" wrapText="1"/>
    </xf>
    <xf numFmtId="0" fontId="5" fillId="0" borderId="29" xfId="13" applyBorder="1" applyAlignment="1">
      <alignment horizontal="left" vertical="center"/>
    </xf>
    <xf numFmtId="0" fontId="5" fillId="0" borderId="9" xfId="13" applyBorder="1" applyAlignment="1">
      <alignment horizontal="left" vertical="center"/>
    </xf>
    <xf numFmtId="0" fontId="5" fillId="0" borderId="6" xfId="13" applyBorder="1" applyAlignment="1">
      <alignment horizontal="left" vertical="center"/>
    </xf>
    <xf numFmtId="0" fontId="35" fillId="4" borderId="13" xfId="0" applyFont="1" applyFill="1" applyBorder="1" applyAlignment="1">
      <alignment horizontal="left" vertical="center" wrapText="1"/>
    </xf>
    <xf numFmtId="0" fontId="35" fillId="4" borderId="14" xfId="0" applyFont="1" applyFill="1" applyBorder="1" applyAlignment="1">
      <alignment horizontal="left" vertical="center" wrapText="1"/>
    </xf>
    <xf numFmtId="0" fontId="35" fillId="4" borderId="15" xfId="0" applyFont="1" applyFill="1" applyBorder="1" applyAlignment="1">
      <alignment horizontal="left" vertical="center" wrapText="1"/>
    </xf>
    <xf numFmtId="0" fontId="35" fillId="4" borderId="29" xfId="0" applyFont="1" applyFill="1" applyBorder="1" applyAlignment="1">
      <alignment horizontal="left" vertical="center" wrapText="1"/>
    </xf>
    <xf numFmtId="0" fontId="35" fillId="4" borderId="9" xfId="0" applyFont="1" applyFill="1" applyBorder="1" applyAlignment="1">
      <alignment horizontal="left" vertical="center" wrapText="1"/>
    </xf>
    <xf numFmtId="0" fontId="35" fillId="4" borderId="6" xfId="0" applyFont="1" applyFill="1" applyBorder="1" applyAlignment="1">
      <alignment horizontal="left" vertical="center" wrapText="1"/>
    </xf>
  </cellXfs>
  <cellStyles count="24">
    <cellStyle name="Encabezado 1" xfId="2" xr:uid="{00000000-0005-0000-0000-000000000000}"/>
    <cellStyle name="Encabezado 1 2" xfId="12" xr:uid="{00000000-0005-0000-0000-000001000000}"/>
    <cellStyle name="Millares 2" xfId="21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22" xr:uid="{00000000-0005-0000-0000-000007000000}"/>
    <cellStyle name="Moneda_AUTORIZACION Y NOTA DE PEDIDO" xfId="23" xr:uid="{00000000-0005-0000-0000-000008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0" xr:uid="{00000000-0005-0000-0000-000011000000}"/>
    <cellStyle name="Normal 4" xfId="8" xr:uid="{00000000-0005-0000-0000-000012000000}"/>
    <cellStyle name="Normal 4 2" xfId="17" xr:uid="{00000000-0005-0000-0000-000013000000}"/>
    <cellStyle name="Normal 4 3" xfId="19" xr:uid="{00000000-0005-0000-0000-000014000000}"/>
    <cellStyle name="Normal 5" xfId="9" xr:uid="{00000000-0005-0000-0000-000015000000}"/>
    <cellStyle name="Normal 6" xfId="10" xr:uid="{00000000-0005-0000-0000-000016000000}"/>
    <cellStyle name="Normal 7" xfId="18" xr:uid="{00000000-0005-0000-0000-000017000000}"/>
  </cellStyles>
  <dxfs count="51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6"/>
  <sheetViews>
    <sheetView tabSelected="1" topLeftCell="A8" zoomScale="80" zoomScaleNormal="80" workbookViewId="0">
      <selection activeCell="B43" sqref="B43"/>
    </sheetView>
  </sheetViews>
  <sheetFormatPr baseColWidth="10" defaultColWidth="11" defaultRowHeight="15" x14ac:dyDescent="0.25"/>
  <cols>
    <col min="1" max="1" width="6.42578125" style="21" customWidth="1"/>
    <col min="2" max="2" width="16" style="20" customWidth="1"/>
    <col min="3" max="3" width="37.85546875" style="21" customWidth="1"/>
    <col min="4" max="4" width="8.42578125" style="3" customWidth="1"/>
    <col min="5" max="5" width="84.42578125" style="24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15.140625" style="3" hidden="1" customWidth="1"/>
    <col min="11" max="11" width="12.85546875" style="6" hidden="1" customWidth="1"/>
    <col min="12" max="12" width="18.85546875" style="8" hidden="1" customWidth="1"/>
    <col min="13" max="13" width="18.85546875" style="10" hidden="1" customWidth="1"/>
    <col min="14" max="14" width="18.85546875" style="3" hidden="1" customWidth="1"/>
    <col min="15" max="15" width="18.85546875" style="6" hidden="1" customWidth="1"/>
    <col min="16" max="16" width="18.85546875" style="3" hidden="1" customWidth="1"/>
    <col min="17" max="17" width="18.85546875" style="10" hidden="1" customWidth="1"/>
    <col min="18" max="18" width="18.85546875" style="34" hidden="1" customWidth="1"/>
    <col min="19" max="19" width="18.85546875" style="6" hidden="1" customWidth="1"/>
    <col min="20" max="20" width="18.85546875" style="3" hidden="1" customWidth="1"/>
    <col min="21" max="21" width="18.85546875" style="10" hidden="1" customWidth="1"/>
    <col min="22" max="22" width="18.85546875" style="3" hidden="1" customWidth="1"/>
    <col min="23" max="23" width="18.85546875" style="10" hidden="1" customWidth="1"/>
    <col min="24" max="24" width="18.85546875" style="3" hidden="1" customWidth="1"/>
    <col min="25" max="25" width="18.85546875" style="10" hidden="1" customWidth="1"/>
    <col min="26" max="26" width="18.85546875" style="3" hidden="1" customWidth="1"/>
    <col min="27" max="27" width="18.85546875" style="10" hidden="1" customWidth="1"/>
    <col min="28" max="28" width="18.85546875" style="3" hidden="1" customWidth="1"/>
    <col min="29" max="29" width="18.85546875" style="10" hidden="1" customWidth="1"/>
    <col min="30" max="30" width="18.85546875" style="3" hidden="1" customWidth="1"/>
    <col min="31" max="31" width="18.85546875" style="10" hidden="1" customWidth="1"/>
    <col min="32" max="32" width="18.85546875" style="3" hidden="1" customWidth="1"/>
    <col min="33" max="33" width="18.85546875" style="10" hidden="1" customWidth="1"/>
    <col min="34" max="34" width="18.85546875" style="3" hidden="1" customWidth="1"/>
    <col min="35" max="35" width="18.85546875" style="10" hidden="1" customWidth="1"/>
    <col min="36" max="36" width="18.85546875" style="3" hidden="1" customWidth="1"/>
    <col min="37" max="37" width="18.85546875" style="10" hidden="1" customWidth="1"/>
    <col min="38" max="38" width="18.85546875" style="3" hidden="1" customWidth="1"/>
    <col min="39" max="39" width="18.85546875" style="10" hidden="1" customWidth="1"/>
    <col min="40" max="40" width="18.85546875" style="3" hidden="1" customWidth="1"/>
    <col min="41" max="41" width="18.85546875" style="10" hidden="1" customWidth="1"/>
    <col min="42" max="42" width="18.85546875" style="3" hidden="1" customWidth="1"/>
    <col min="43" max="43" width="16.42578125" style="12" customWidth="1"/>
    <col min="44" max="44" width="24.5703125" style="43" customWidth="1"/>
    <col min="45" max="45" width="22.5703125" style="18" customWidth="1"/>
    <col min="46" max="16384" width="11" style="1"/>
  </cols>
  <sheetData>
    <row r="1" spans="1:48" x14ac:dyDescent="0.25">
      <c r="A1" s="4">
        <v>2021</v>
      </c>
    </row>
    <row r="2" spans="1:48" ht="25.5" x14ac:dyDescent="0.35">
      <c r="B2" s="194" t="s">
        <v>15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5"/>
      <c r="AR2" s="196"/>
    </row>
    <row r="4" spans="1:48" ht="18" customHeight="1" x14ac:dyDescent="0.25">
      <c r="A4" s="193" t="s">
        <v>0</v>
      </c>
      <c r="B4" s="193"/>
      <c r="C4" s="197" t="s">
        <v>13</v>
      </c>
      <c r="D4" s="197"/>
      <c r="E4" s="197"/>
      <c r="F4" s="2"/>
      <c r="G4" s="2"/>
      <c r="H4" s="2"/>
      <c r="I4" s="2"/>
      <c r="J4" s="2"/>
      <c r="K4" s="5"/>
      <c r="L4" s="9"/>
      <c r="M4" s="11"/>
      <c r="N4" s="2"/>
      <c r="O4" s="5"/>
      <c r="P4" s="2"/>
      <c r="Q4" s="11"/>
      <c r="R4" s="35"/>
      <c r="S4" s="5"/>
      <c r="T4" s="2"/>
      <c r="U4" s="11"/>
      <c r="V4" s="2"/>
      <c r="W4" s="11"/>
      <c r="X4" s="2"/>
      <c r="Y4" s="11"/>
      <c r="Z4" s="2"/>
      <c r="AA4" s="11"/>
      <c r="AB4" s="2"/>
      <c r="AC4" s="11"/>
      <c r="AD4" s="2"/>
      <c r="AE4" s="11"/>
      <c r="AF4" s="2"/>
      <c r="AG4" s="11"/>
      <c r="AH4" s="2"/>
      <c r="AI4" s="11"/>
      <c r="AJ4" s="2"/>
      <c r="AK4" s="11"/>
      <c r="AL4" s="2"/>
      <c r="AM4" s="11"/>
      <c r="AN4" s="2"/>
      <c r="AO4" s="11"/>
      <c r="AP4" s="2"/>
      <c r="AQ4" s="13"/>
    </row>
    <row r="5" spans="1:48" ht="18" customHeight="1" x14ac:dyDescent="0.25">
      <c r="A5" s="193" t="s">
        <v>1</v>
      </c>
      <c r="B5" s="193"/>
      <c r="C5" s="197" t="s">
        <v>89</v>
      </c>
      <c r="D5" s="197"/>
      <c r="E5" s="197"/>
      <c r="F5" s="2"/>
      <c r="G5" s="2"/>
      <c r="H5" s="2"/>
      <c r="I5" s="2"/>
      <c r="J5" s="2"/>
      <c r="K5" s="5"/>
      <c r="L5" s="9"/>
      <c r="M5" s="11"/>
      <c r="N5" s="2"/>
      <c r="O5" s="5"/>
      <c r="P5" s="2"/>
      <c r="Q5" s="11"/>
      <c r="R5" s="35"/>
      <c r="S5" s="5"/>
      <c r="T5" s="2"/>
      <c r="U5" s="11"/>
      <c r="V5" s="2"/>
      <c r="W5" s="11"/>
      <c r="X5" s="2"/>
      <c r="Y5" s="11"/>
      <c r="Z5" s="2"/>
      <c r="AA5" s="11"/>
      <c r="AB5" s="2"/>
      <c r="AC5" s="11"/>
      <c r="AD5" s="2"/>
      <c r="AE5" s="11"/>
      <c r="AF5" s="2"/>
      <c r="AG5" s="11"/>
      <c r="AH5" s="2"/>
      <c r="AI5" s="11"/>
      <c r="AJ5" s="2"/>
      <c r="AK5" s="11"/>
      <c r="AL5" s="2"/>
      <c r="AM5" s="11"/>
      <c r="AN5" s="2"/>
      <c r="AO5" s="11"/>
      <c r="AP5" s="2"/>
      <c r="AQ5" s="13"/>
    </row>
    <row r="6" spans="1:48" ht="16.5" customHeight="1" x14ac:dyDescent="0.2">
      <c r="A6" s="193" t="s">
        <v>2</v>
      </c>
      <c r="B6" s="193"/>
      <c r="C6" s="40">
        <v>2021</v>
      </c>
      <c r="D6" s="41"/>
      <c r="E6" s="42"/>
      <c r="F6" s="2"/>
      <c r="G6" s="2"/>
      <c r="H6" s="2"/>
      <c r="I6" s="2"/>
      <c r="J6" s="2"/>
      <c r="K6" s="5"/>
      <c r="L6" s="9"/>
      <c r="M6" s="11"/>
      <c r="N6" s="2"/>
      <c r="O6" s="5"/>
      <c r="P6" s="2"/>
      <c r="Q6" s="11"/>
      <c r="R6" s="35"/>
      <c r="S6" s="5"/>
      <c r="T6" s="2"/>
      <c r="U6" s="11"/>
      <c r="V6" s="2"/>
      <c r="W6" s="11"/>
      <c r="X6" s="2"/>
      <c r="Y6" s="11"/>
      <c r="Z6" s="2"/>
      <c r="AA6" s="11"/>
      <c r="AB6" s="2"/>
      <c r="AC6" s="11"/>
      <c r="AD6" s="2"/>
      <c r="AE6" s="11"/>
      <c r="AF6" s="2"/>
      <c r="AG6" s="11"/>
      <c r="AH6" s="2"/>
      <c r="AI6" s="11"/>
      <c r="AJ6" s="2"/>
      <c r="AK6" s="11"/>
      <c r="AL6" s="2"/>
      <c r="AM6" s="11"/>
      <c r="AN6" s="2"/>
      <c r="AO6" s="11"/>
      <c r="AP6" s="2"/>
      <c r="AQ6" s="13"/>
    </row>
    <row r="7" spans="1:48" ht="31.5" customHeight="1" x14ac:dyDescent="0.2">
      <c r="A7" s="193" t="s">
        <v>3</v>
      </c>
      <c r="B7" s="193"/>
      <c r="C7" s="40" t="s">
        <v>14</v>
      </c>
      <c r="D7" s="41"/>
      <c r="E7" s="42"/>
      <c r="F7" s="2"/>
      <c r="G7" s="2"/>
      <c r="H7" s="2"/>
      <c r="I7" s="2"/>
      <c r="J7" s="2"/>
      <c r="K7" s="5"/>
      <c r="L7" s="9"/>
      <c r="M7" s="11"/>
      <c r="N7" s="2"/>
      <c r="O7" s="5"/>
      <c r="P7" s="2"/>
      <c r="Q7" s="11"/>
      <c r="R7" s="35"/>
      <c r="S7" s="5"/>
      <c r="T7" s="2"/>
      <c r="U7" s="11"/>
      <c r="V7" s="2"/>
      <c r="W7" s="11"/>
      <c r="X7" s="2"/>
      <c r="Y7" s="11"/>
      <c r="Z7" s="2"/>
      <c r="AA7" s="11"/>
      <c r="AB7" s="2"/>
      <c r="AC7" s="11"/>
      <c r="AD7" s="2"/>
      <c r="AE7" s="11"/>
      <c r="AF7" s="2"/>
      <c r="AG7" s="11"/>
      <c r="AH7" s="2"/>
      <c r="AI7" s="11"/>
      <c r="AJ7" s="2"/>
      <c r="AK7" s="11"/>
      <c r="AL7" s="2"/>
      <c r="AM7" s="11"/>
      <c r="AN7" s="2"/>
      <c r="AO7" s="11"/>
      <c r="AP7" s="2"/>
      <c r="AQ7" s="13"/>
    </row>
    <row r="8" spans="1:48" ht="2.25" customHeight="1" x14ac:dyDescent="0.25">
      <c r="B8" s="22"/>
      <c r="C8" s="23"/>
      <c r="D8" s="2"/>
      <c r="E8" s="23"/>
      <c r="F8" s="2"/>
      <c r="G8" s="2"/>
      <c r="H8" s="2"/>
      <c r="I8" s="2"/>
      <c r="J8" s="2"/>
      <c r="K8" s="5"/>
      <c r="L8" s="9"/>
      <c r="M8" s="11"/>
      <c r="N8" s="2"/>
      <c r="O8" s="5"/>
      <c r="P8" s="2"/>
      <c r="Q8" s="11"/>
      <c r="R8" s="35"/>
      <c r="S8" s="5"/>
      <c r="T8" s="2"/>
      <c r="U8" s="11"/>
      <c r="V8" s="2"/>
      <c r="W8" s="11"/>
      <c r="X8" s="2"/>
      <c r="Y8" s="11"/>
      <c r="Z8" s="2"/>
      <c r="AA8" s="11"/>
      <c r="AB8" s="2"/>
      <c r="AC8" s="11"/>
      <c r="AD8" s="2"/>
      <c r="AE8" s="11"/>
      <c r="AF8" s="2"/>
      <c r="AG8" s="11"/>
      <c r="AH8" s="2"/>
      <c r="AI8" s="11"/>
      <c r="AJ8" s="2"/>
      <c r="AK8" s="11"/>
      <c r="AL8" s="2"/>
      <c r="AM8" s="11"/>
      <c r="AN8" s="2"/>
      <c r="AO8" s="11"/>
      <c r="AP8" s="2"/>
      <c r="AQ8" s="13"/>
    </row>
    <row r="9" spans="1:48" ht="42.75" x14ac:dyDescent="0.2">
      <c r="A9" s="14" t="s">
        <v>4</v>
      </c>
      <c r="B9" s="14" t="s">
        <v>5</v>
      </c>
      <c r="C9" s="7" t="s">
        <v>6</v>
      </c>
      <c r="D9" s="14" t="s">
        <v>7</v>
      </c>
      <c r="E9" s="7" t="s">
        <v>8</v>
      </c>
      <c r="F9" s="7" t="s">
        <v>9</v>
      </c>
      <c r="G9" s="7" t="s">
        <v>16</v>
      </c>
      <c r="H9" s="7" t="s">
        <v>18</v>
      </c>
      <c r="I9" s="7" t="s">
        <v>19</v>
      </c>
      <c r="J9" s="7" t="s">
        <v>20</v>
      </c>
      <c r="K9" s="15" t="s">
        <v>21</v>
      </c>
      <c r="L9" s="16" t="s">
        <v>22</v>
      </c>
      <c r="M9" s="17" t="s">
        <v>23</v>
      </c>
      <c r="N9" s="7" t="s">
        <v>24</v>
      </c>
      <c r="O9" s="15" t="s">
        <v>25</v>
      </c>
      <c r="P9" s="7" t="s">
        <v>26</v>
      </c>
      <c r="Q9" s="17" t="s">
        <v>27</v>
      </c>
      <c r="R9" s="36" t="s">
        <v>28</v>
      </c>
      <c r="S9" s="15" t="s">
        <v>29</v>
      </c>
      <c r="T9" s="7" t="s">
        <v>30</v>
      </c>
      <c r="U9" s="17" t="s">
        <v>32</v>
      </c>
      <c r="V9" s="7" t="s">
        <v>33</v>
      </c>
      <c r="W9" s="17" t="s">
        <v>34</v>
      </c>
      <c r="X9" s="7" t="s">
        <v>35</v>
      </c>
      <c r="Y9" s="17" t="s">
        <v>36</v>
      </c>
      <c r="Z9" s="7" t="s">
        <v>37</v>
      </c>
      <c r="AA9" s="17" t="s">
        <v>38</v>
      </c>
      <c r="AB9" s="7" t="s">
        <v>39</v>
      </c>
      <c r="AC9" s="17" t="s">
        <v>40</v>
      </c>
      <c r="AD9" s="7" t="s">
        <v>41</v>
      </c>
      <c r="AE9" s="17" t="s">
        <v>42</v>
      </c>
      <c r="AF9" s="7" t="s">
        <v>43</v>
      </c>
      <c r="AG9" s="17" t="s">
        <v>44</v>
      </c>
      <c r="AH9" s="7" t="s">
        <v>45</v>
      </c>
      <c r="AI9" s="17" t="s">
        <v>46</v>
      </c>
      <c r="AJ9" s="7" t="s">
        <v>47</v>
      </c>
      <c r="AK9" s="17" t="s">
        <v>48</v>
      </c>
      <c r="AL9" s="7" t="s">
        <v>49</v>
      </c>
      <c r="AM9" s="17" t="s">
        <v>50</v>
      </c>
      <c r="AN9" s="7" t="s">
        <v>51</v>
      </c>
      <c r="AO9" s="17" t="s">
        <v>52</v>
      </c>
      <c r="AP9" s="7" t="s">
        <v>53</v>
      </c>
      <c r="AQ9" s="17" t="s">
        <v>17</v>
      </c>
      <c r="AR9" s="44" t="s">
        <v>10</v>
      </c>
      <c r="AS9" s="19" t="s">
        <v>11</v>
      </c>
    </row>
    <row r="10" spans="1:48" x14ac:dyDescent="0.25">
      <c r="A10" s="25">
        <v>1</v>
      </c>
      <c r="B10" s="26"/>
      <c r="C10" s="165" t="s">
        <v>171</v>
      </c>
      <c r="D10" s="184" t="s">
        <v>172</v>
      </c>
      <c r="E10" s="166" t="s">
        <v>56</v>
      </c>
      <c r="F10" s="27" t="s">
        <v>12</v>
      </c>
      <c r="G10" s="27"/>
      <c r="H10" s="27"/>
      <c r="I10" s="27"/>
      <c r="J10" s="27"/>
      <c r="K10" s="28"/>
      <c r="L10" s="29"/>
      <c r="M10" s="30"/>
      <c r="N10" s="27"/>
      <c r="O10" s="28"/>
      <c r="P10" s="27"/>
      <c r="Q10" s="30">
        <v>800000</v>
      </c>
      <c r="R10" s="37">
        <f>+Q10*AR10</f>
        <v>10400000</v>
      </c>
      <c r="S10" s="28">
        <v>1000</v>
      </c>
      <c r="T10" s="38">
        <f>+S10*AR10</f>
        <v>13000</v>
      </c>
      <c r="U10" s="30"/>
      <c r="V10" s="27"/>
      <c r="W10" s="30"/>
      <c r="X10" s="27"/>
      <c r="Y10" s="30"/>
      <c r="Z10" s="27"/>
      <c r="AA10" s="30"/>
      <c r="AB10" s="27"/>
      <c r="AC10" s="30"/>
      <c r="AD10" s="27"/>
      <c r="AE10" s="30"/>
      <c r="AF10" s="27"/>
      <c r="AG10" s="30"/>
      <c r="AH10" s="27"/>
      <c r="AI10" s="30"/>
      <c r="AJ10" s="27"/>
      <c r="AK10" s="30"/>
      <c r="AL10" s="27"/>
      <c r="AM10" s="30"/>
      <c r="AN10" s="27"/>
      <c r="AO10" s="30"/>
      <c r="AP10" s="27"/>
      <c r="AQ10" s="39">
        <f t="shared" ref="AQ10:AQ51" si="0">+AO10+AM10+AK10+AI10+AG10+AE10+AC10+AA10+Y10+W10+U10+S10+Q10+O10+M10+K10+I10+G10</f>
        <v>801000</v>
      </c>
      <c r="AR10" s="45">
        <v>13</v>
      </c>
      <c r="AS10" s="32">
        <f>+AR10*AQ10</f>
        <v>10413000</v>
      </c>
      <c r="AT10" s="47"/>
      <c r="AU10" s="47"/>
      <c r="AV10" s="47"/>
    </row>
    <row r="11" spans="1:48" x14ac:dyDescent="0.25">
      <c r="A11" s="25">
        <v>2</v>
      </c>
      <c r="B11" s="26"/>
      <c r="C11" s="165" t="s">
        <v>171</v>
      </c>
      <c r="D11" s="184" t="s">
        <v>172</v>
      </c>
      <c r="E11" s="166" t="s">
        <v>57</v>
      </c>
      <c r="F11" s="27" t="s">
        <v>12</v>
      </c>
      <c r="G11" s="27"/>
      <c r="H11" s="27"/>
      <c r="I11" s="27"/>
      <c r="J11" s="27"/>
      <c r="K11" s="28"/>
      <c r="L11" s="29"/>
      <c r="M11" s="30"/>
      <c r="N11" s="27"/>
      <c r="O11" s="28"/>
      <c r="P11" s="27"/>
      <c r="Q11" s="30">
        <v>2000</v>
      </c>
      <c r="R11" s="37">
        <f t="shared" ref="R11:R51" si="1">+Q11*AR11</f>
        <v>260000</v>
      </c>
      <c r="S11" s="28">
        <v>300</v>
      </c>
      <c r="T11" s="38">
        <f>+S11*AR11</f>
        <v>39000</v>
      </c>
      <c r="U11" s="30"/>
      <c r="V11" s="27"/>
      <c r="W11" s="30"/>
      <c r="X11" s="27"/>
      <c r="Y11" s="30"/>
      <c r="Z11" s="27"/>
      <c r="AA11" s="30"/>
      <c r="AB11" s="27"/>
      <c r="AC11" s="30"/>
      <c r="AD11" s="27"/>
      <c r="AE11" s="30"/>
      <c r="AF11" s="27"/>
      <c r="AG11" s="30"/>
      <c r="AH11" s="27"/>
      <c r="AI11" s="30"/>
      <c r="AJ11" s="27"/>
      <c r="AK11" s="30"/>
      <c r="AL11" s="27"/>
      <c r="AM11" s="30"/>
      <c r="AN11" s="27"/>
      <c r="AO11" s="30"/>
      <c r="AP11" s="27"/>
      <c r="AQ11" s="39">
        <f t="shared" si="0"/>
        <v>2300</v>
      </c>
      <c r="AR11" s="45">
        <v>130</v>
      </c>
      <c r="AS11" s="32">
        <f t="shared" ref="AS11:AS51" si="2">+AR11*AQ11</f>
        <v>299000</v>
      </c>
      <c r="AT11" s="47"/>
      <c r="AU11" s="47"/>
      <c r="AV11" s="47"/>
    </row>
    <row r="12" spans="1:48" x14ac:dyDescent="0.25">
      <c r="A12" s="25">
        <v>3</v>
      </c>
      <c r="B12" s="26"/>
      <c r="C12" s="165" t="s">
        <v>171</v>
      </c>
      <c r="D12" s="184" t="s">
        <v>172</v>
      </c>
      <c r="E12" s="166" t="s">
        <v>58</v>
      </c>
      <c r="F12" s="27" t="s">
        <v>12</v>
      </c>
      <c r="G12" s="27"/>
      <c r="H12" s="27"/>
      <c r="I12" s="27"/>
      <c r="J12" s="27"/>
      <c r="K12" s="28"/>
      <c r="L12" s="29"/>
      <c r="M12" s="30"/>
      <c r="N12" s="27"/>
      <c r="O12" s="28"/>
      <c r="P12" s="27"/>
      <c r="Q12" s="30">
        <v>20</v>
      </c>
      <c r="R12" s="37">
        <f t="shared" si="1"/>
        <v>4600</v>
      </c>
      <c r="S12" s="28"/>
      <c r="T12" s="27"/>
      <c r="U12" s="30"/>
      <c r="V12" s="27"/>
      <c r="W12" s="30"/>
      <c r="X12" s="27"/>
      <c r="Y12" s="30"/>
      <c r="Z12" s="27"/>
      <c r="AA12" s="30"/>
      <c r="AB12" s="27"/>
      <c r="AC12" s="30"/>
      <c r="AD12" s="27"/>
      <c r="AE12" s="30"/>
      <c r="AF12" s="27"/>
      <c r="AG12" s="30"/>
      <c r="AH12" s="27"/>
      <c r="AI12" s="30"/>
      <c r="AJ12" s="27"/>
      <c r="AK12" s="30"/>
      <c r="AL12" s="27"/>
      <c r="AM12" s="30"/>
      <c r="AN12" s="27"/>
      <c r="AO12" s="30"/>
      <c r="AP12" s="27"/>
      <c r="AQ12" s="39">
        <f t="shared" si="0"/>
        <v>20</v>
      </c>
      <c r="AR12" s="45">
        <v>230</v>
      </c>
      <c r="AS12" s="32">
        <f t="shared" si="2"/>
        <v>4600</v>
      </c>
      <c r="AT12" s="47"/>
      <c r="AU12" s="47"/>
      <c r="AV12" s="47"/>
    </row>
    <row r="13" spans="1:48" x14ac:dyDescent="0.25">
      <c r="A13" s="25">
        <v>4</v>
      </c>
      <c r="B13" s="26"/>
      <c r="C13" s="165" t="s">
        <v>171</v>
      </c>
      <c r="D13" s="184" t="s">
        <v>172</v>
      </c>
      <c r="E13" s="167" t="s">
        <v>59</v>
      </c>
      <c r="F13" s="27" t="s">
        <v>12</v>
      </c>
      <c r="G13" s="27"/>
      <c r="H13" s="27"/>
      <c r="I13" s="27"/>
      <c r="J13" s="27"/>
      <c r="K13" s="28"/>
      <c r="L13" s="29"/>
      <c r="M13" s="30"/>
      <c r="N13" s="27"/>
      <c r="O13" s="28"/>
      <c r="P13" s="27"/>
      <c r="Q13" s="30">
        <v>10</v>
      </c>
      <c r="R13" s="37">
        <f t="shared" si="1"/>
        <v>5600</v>
      </c>
      <c r="S13" s="28"/>
      <c r="T13" s="27"/>
      <c r="U13" s="30"/>
      <c r="V13" s="27"/>
      <c r="W13" s="30"/>
      <c r="X13" s="27"/>
      <c r="Y13" s="30"/>
      <c r="Z13" s="27"/>
      <c r="AA13" s="30"/>
      <c r="AB13" s="27"/>
      <c r="AC13" s="30"/>
      <c r="AD13" s="27"/>
      <c r="AE13" s="30"/>
      <c r="AF13" s="27"/>
      <c r="AG13" s="30"/>
      <c r="AH13" s="27"/>
      <c r="AI13" s="30"/>
      <c r="AJ13" s="27"/>
      <c r="AK13" s="30"/>
      <c r="AL13" s="27"/>
      <c r="AM13" s="30"/>
      <c r="AN13" s="27"/>
      <c r="AO13" s="30"/>
      <c r="AP13" s="27"/>
      <c r="AQ13" s="39">
        <f t="shared" si="0"/>
        <v>10</v>
      </c>
      <c r="AR13" s="45">
        <v>560</v>
      </c>
      <c r="AS13" s="32">
        <f t="shared" si="2"/>
        <v>5600</v>
      </c>
      <c r="AT13" s="47"/>
      <c r="AU13" s="47"/>
      <c r="AV13" s="47"/>
    </row>
    <row r="14" spans="1:48" x14ac:dyDescent="0.25">
      <c r="A14" s="25">
        <v>5</v>
      </c>
      <c r="B14" s="26"/>
      <c r="C14" s="165" t="s">
        <v>171</v>
      </c>
      <c r="D14" s="184" t="s">
        <v>172</v>
      </c>
      <c r="E14" s="167" t="s">
        <v>60</v>
      </c>
      <c r="F14" s="27" t="s">
        <v>12</v>
      </c>
      <c r="G14" s="27"/>
      <c r="H14" s="27"/>
      <c r="I14" s="27"/>
      <c r="J14" s="27"/>
      <c r="K14" s="28"/>
      <c r="L14" s="29"/>
      <c r="M14" s="30"/>
      <c r="N14" s="27"/>
      <c r="O14" s="28"/>
      <c r="P14" s="27"/>
      <c r="Q14" s="30">
        <v>3000</v>
      </c>
      <c r="R14" s="37">
        <f t="shared" si="1"/>
        <v>24000</v>
      </c>
      <c r="S14" s="28"/>
      <c r="T14" s="27"/>
      <c r="U14" s="30"/>
      <c r="V14" s="27"/>
      <c r="W14" s="30"/>
      <c r="X14" s="27"/>
      <c r="Y14" s="30"/>
      <c r="Z14" s="27"/>
      <c r="AA14" s="30"/>
      <c r="AB14" s="27"/>
      <c r="AC14" s="30"/>
      <c r="AD14" s="27"/>
      <c r="AE14" s="30"/>
      <c r="AF14" s="27"/>
      <c r="AG14" s="30"/>
      <c r="AH14" s="27"/>
      <c r="AI14" s="30"/>
      <c r="AJ14" s="27"/>
      <c r="AK14" s="30"/>
      <c r="AL14" s="27"/>
      <c r="AM14" s="30"/>
      <c r="AN14" s="27"/>
      <c r="AO14" s="30"/>
      <c r="AP14" s="27"/>
      <c r="AQ14" s="39">
        <f t="shared" si="0"/>
        <v>3000</v>
      </c>
      <c r="AR14" s="45">
        <v>8</v>
      </c>
      <c r="AS14" s="32">
        <f t="shared" si="2"/>
        <v>24000</v>
      </c>
      <c r="AT14" s="47"/>
      <c r="AU14" s="47"/>
      <c r="AV14" s="47"/>
    </row>
    <row r="15" spans="1:48" x14ac:dyDescent="0.25">
      <c r="A15" s="25">
        <v>6</v>
      </c>
      <c r="B15" s="26"/>
      <c r="C15" s="165" t="s">
        <v>171</v>
      </c>
      <c r="D15" s="184" t="s">
        <v>172</v>
      </c>
      <c r="E15" s="168" t="s">
        <v>61</v>
      </c>
      <c r="F15" s="27" t="s">
        <v>12</v>
      </c>
      <c r="G15" s="27"/>
      <c r="H15" s="27"/>
      <c r="I15" s="27"/>
      <c r="J15" s="27"/>
      <c r="K15" s="28"/>
      <c r="L15" s="29"/>
      <c r="M15" s="30"/>
      <c r="N15" s="27"/>
      <c r="O15" s="28"/>
      <c r="P15" s="27"/>
      <c r="Q15" s="30">
        <v>200</v>
      </c>
      <c r="R15" s="37">
        <f t="shared" si="1"/>
        <v>26000</v>
      </c>
      <c r="S15" s="28"/>
      <c r="T15" s="27"/>
      <c r="U15" s="30"/>
      <c r="V15" s="27"/>
      <c r="W15" s="30"/>
      <c r="X15" s="27"/>
      <c r="Y15" s="30"/>
      <c r="Z15" s="27"/>
      <c r="AA15" s="30"/>
      <c r="AB15" s="27"/>
      <c r="AC15" s="30"/>
      <c r="AD15" s="27"/>
      <c r="AE15" s="30"/>
      <c r="AF15" s="27"/>
      <c r="AG15" s="30"/>
      <c r="AH15" s="27"/>
      <c r="AI15" s="30"/>
      <c r="AJ15" s="27"/>
      <c r="AK15" s="30"/>
      <c r="AL15" s="27"/>
      <c r="AM15" s="30"/>
      <c r="AN15" s="27"/>
      <c r="AO15" s="30"/>
      <c r="AP15" s="27"/>
      <c r="AQ15" s="39">
        <f t="shared" si="0"/>
        <v>200</v>
      </c>
      <c r="AR15" s="45">
        <v>130</v>
      </c>
      <c r="AS15" s="32">
        <f t="shared" si="2"/>
        <v>26000</v>
      </c>
      <c r="AT15" s="47"/>
      <c r="AU15" s="47"/>
      <c r="AV15" s="47"/>
    </row>
    <row r="16" spans="1:48" x14ac:dyDescent="0.25">
      <c r="A16" s="25">
        <v>7</v>
      </c>
      <c r="B16" s="26"/>
      <c r="C16" s="165" t="s">
        <v>171</v>
      </c>
      <c r="D16" s="184" t="s">
        <v>172</v>
      </c>
      <c r="E16" s="167" t="s">
        <v>62</v>
      </c>
      <c r="F16" s="27" t="s">
        <v>12</v>
      </c>
      <c r="G16" s="27"/>
      <c r="H16" s="27"/>
      <c r="I16" s="27"/>
      <c r="J16" s="27"/>
      <c r="K16" s="28"/>
      <c r="L16" s="29"/>
      <c r="M16" s="30"/>
      <c r="N16" s="27"/>
      <c r="O16" s="28"/>
      <c r="P16" s="27"/>
      <c r="Q16" s="30">
        <v>5000</v>
      </c>
      <c r="R16" s="37">
        <f t="shared" si="1"/>
        <v>40500</v>
      </c>
      <c r="S16" s="28"/>
      <c r="T16" s="27"/>
      <c r="U16" s="30"/>
      <c r="V16" s="27"/>
      <c r="W16" s="30"/>
      <c r="X16" s="27"/>
      <c r="Y16" s="30"/>
      <c r="Z16" s="27"/>
      <c r="AA16" s="30"/>
      <c r="AB16" s="27"/>
      <c r="AC16" s="30"/>
      <c r="AD16" s="27"/>
      <c r="AE16" s="30"/>
      <c r="AF16" s="27"/>
      <c r="AG16" s="30"/>
      <c r="AH16" s="27"/>
      <c r="AI16" s="30"/>
      <c r="AJ16" s="27"/>
      <c r="AK16" s="30"/>
      <c r="AL16" s="27"/>
      <c r="AM16" s="30"/>
      <c r="AN16" s="27"/>
      <c r="AO16" s="30"/>
      <c r="AP16" s="27"/>
      <c r="AQ16" s="39">
        <f t="shared" si="0"/>
        <v>5000</v>
      </c>
      <c r="AR16" s="45">
        <v>8.1</v>
      </c>
      <c r="AS16" s="32">
        <f t="shared" si="2"/>
        <v>40500</v>
      </c>
      <c r="AT16" s="47"/>
      <c r="AU16" s="47"/>
      <c r="AV16" s="47"/>
    </row>
    <row r="17" spans="1:48" ht="14.25" x14ac:dyDescent="0.2">
      <c r="A17" s="25">
        <v>8</v>
      </c>
      <c r="B17" s="170"/>
      <c r="C17" s="185" t="s">
        <v>178</v>
      </c>
      <c r="D17" s="184" t="s">
        <v>172</v>
      </c>
      <c r="E17" s="183" t="s">
        <v>173</v>
      </c>
      <c r="F17" s="171" t="s">
        <v>12</v>
      </c>
      <c r="G17" s="171"/>
      <c r="H17" s="171"/>
      <c r="I17" s="171"/>
      <c r="J17" s="171"/>
      <c r="K17" s="172"/>
      <c r="L17" s="173"/>
      <c r="M17" s="174"/>
      <c r="N17" s="171"/>
      <c r="O17" s="174">
        <v>1000</v>
      </c>
      <c r="P17" s="175">
        <f>+O17*AR17</f>
        <v>33000</v>
      </c>
      <c r="Q17" s="174"/>
      <c r="R17" s="175"/>
      <c r="S17" s="172"/>
      <c r="T17" s="175"/>
      <c r="U17" s="174"/>
      <c r="V17" s="175"/>
      <c r="W17" s="174"/>
      <c r="X17" s="175"/>
      <c r="Y17" s="174">
        <f>2*100</f>
        <v>200</v>
      </c>
      <c r="Z17" s="175">
        <f>+Y17*AR17</f>
        <v>6600</v>
      </c>
      <c r="AA17" s="174"/>
      <c r="AB17" s="175"/>
      <c r="AC17" s="174"/>
      <c r="AD17" s="175"/>
      <c r="AE17" s="174"/>
      <c r="AF17" s="175"/>
      <c r="AG17" s="174"/>
      <c r="AH17" s="175"/>
      <c r="AI17" s="174"/>
      <c r="AJ17" s="175"/>
      <c r="AK17" s="174"/>
      <c r="AL17" s="175"/>
      <c r="AM17" s="174"/>
      <c r="AN17" s="175"/>
      <c r="AO17" s="174"/>
      <c r="AP17" s="175"/>
      <c r="AQ17" s="176">
        <f t="shared" si="0"/>
        <v>1200</v>
      </c>
      <c r="AR17" s="177">
        <v>33</v>
      </c>
      <c r="AS17" s="178">
        <f>+AR17*AQ17</f>
        <v>39600</v>
      </c>
    </row>
    <row r="18" spans="1:48" ht="14.25" x14ac:dyDescent="0.2">
      <c r="A18" s="25">
        <v>9</v>
      </c>
      <c r="B18" s="170"/>
      <c r="C18" s="192" t="s">
        <v>178</v>
      </c>
      <c r="D18" s="184" t="s">
        <v>172</v>
      </c>
      <c r="E18" s="183" t="s">
        <v>174</v>
      </c>
      <c r="F18" s="171" t="s">
        <v>12</v>
      </c>
      <c r="G18" s="171"/>
      <c r="H18" s="171"/>
      <c r="I18" s="171"/>
      <c r="J18" s="171"/>
      <c r="K18" s="172"/>
      <c r="L18" s="173"/>
      <c r="M18" s="174"/>
      <c r="N18" s="171"/>
      <c r="O18" s="174">
        <v>1500</v>
      </c>
      <c r="P18" s="175">
        <f>+O18*AR18</f>
        <v>57000</v>
      </c>
      <c r="Q18" s="179"/>
      <c r="R18" s="173"/>
      <c r="S18" s="172"/>
      <c r="T18" s="173"/>
      <c r="U18" s="174"/>
      <c r="V18" s="173"/>
      <c r="W18" s="174"/>
      <c r="X18" s="173"/>
      <c r="Y18" s="174">
        <v>300</v>
      </c>
      <c r="Z18" s="175">
        <f>+Y18*AR18</f>
        <v>11400</v>
      </c>
      <c r="AA18" s="174"/>
      <c r="AB18" s="175"/>
      <c r="AC18" s="174"/>
      <c r="AD18" s="175"/>
      <c r="AE18" s="174"/>
      <c r="AF18" s="175"/>
      <c r="AG18" s="174"/>
      <c r="AH18" s="175"/>
      <c r="AI18" s="174"/>
      <c r="AJ18" s="175"/>
      <c r="AK18" s="174"/>
      <c r="AL18" s="175"/>
      <c r="AM18" s="174"/>
      <c r="AN18" s="175"/>
      <c r="AO18" s="174"/>
      <c r="AP18" s="175"/>
      <c r="AQ18" s="176">
        <f t="shared" si="0"/>
        <v>1800</v>
      </c>
      <c r="AR18" s="177">
        <v>38</v>
      </c>
      <c r="AS18" s="178">
        <f>+AR18*AQ18</f>
        <v>68400</v>
      </c>
    </row>
    <row r="19" spans="1:48" ht="14.25" x14ac:dyDescent="0.2">
      <c r="A19" s="25">
        <v>10</v>
      </c>
      <c r="B19" s="170"/>
      <c r="C19" s="192" t="s">
        <v>178</v>
      </c>
      <c r="D19" s="184" t="s">
        <v>172</v>
      </c>
      <c r="E19" s="183" t="s">
        <v>175</v>
      </c>
      <c r="F19" s="171" t="s">
        <v>12</v>
      </c>
      <c r="G19" s="171"/>
      <c r="H19" s="171"/>
      <c r="I19" s="171"/>
      <c r="J19" s="171"/>
      <c r="K19" s="172"/>
      <c r="L19" s="173"/>
      <c r="M19" s="174"/>
      <c r="N19" s="171"/>
      <c r="O19" s="174">
        <v>500</v>
      </c>
      <c r="P19" s="175">
        <f>+O19*AR19</f>
        <v>18000</v>
      </c>
      <c r="Q19" s="179"/>
      <c r="R19" s="173"/>
      <c r="S19" s="172"/>
      <c r="T19" s="173"/>
      <c r="U19" s="174"/>
      <c r="V19" s="173"/>
      <c r="W19" s="174"/>
      <c r="X19" s="173"/>
      <c r="Y19" s="174">
        <v>200</v>
      </c>
      <c r="Z19" s="175">
        <f>+Y19*AR19</f>
        <v>7200</v>
      </c>
      <c r="AA19" s="174"/>
      <c r="AB19" s="175"/>
      <c r="AC19" s="174"/>
      <c r="AD19" s="175"/>
      <c r="AE19" s="174"/>
      <c r="AF19" s="175"/>
      <c r="AG19" s="174"/>
      <c r="AH19" s="175"/>
      <c r="AI19" s="174"/>
      <c r="AJ19" s="175"/>
      <c r="AK19" s="174"/>
      <c r="AL19" s="175"/>
      <c r="AM19" s="174"/>
      <c r="AN19" s="175"/>
      <c r="AO19" s="174"/>
      <c r="AP19" s="175"/>
      <c r="AQ19" s="176">
        <f t="shared" si="0"/>
        <v>700</v>
      </c>
      <c r="AR19" s="177">
        <v>36</v>
      </c>
      <c r="AS19" s="178">
        <f>+AR19*AQ19</f>
        <v>25200</v>
      </c>
    </row>
    <row r="20" spans="1:48" ht="14.25" x14ac:dyDescent="0.2">
      <c r="A20" s="25">
        <v>11</v>
      </c>
      <c r="B20" s="170"/>
      <c r="C20" s="192" t="s">
        <v>178</v>
      </c>
      <c r="D20" s="184" t="s">
        <v>172</v>
      </c>
      <c r="E20" s="183" t="s">
        <v>176</v>
      </c>
      <c r="F20" s="171" t="s">
        <v>12</v>
      </c>
      <c r="G20" s="171"/>
      <c r="H20" s="171"/>
      <c r="I20" s="171"/>
      <c r="J20" s="171"/>
      <c r="K20" s="172"/>
      <c r="L20" s="173"/>
      <c r="M20" s="174"/>
      <c r="N20" s="171"/>
      <c r="O20" s="174">
        <v>10</v>
      </c>
      <c r="P20" s="175">
        <f>+O20*AR20</f>
        <v>6050</v>
      </c>
      <c r="Q20" s="179"/>
      <c r="R20" s="173"/>
      <c r="S20" s="172"/>
      <c r="T20" s="173"/>
      <c r="U20" s="174"/>
      <c r="V20" s="173"/>
      <c r="W20" s="174"/>
      <c r="X20" s="173"/>
      <c r="Y20" s="174"/>
      <c r="Z20" s="173"/>
      <c r="AA20" s="174"/>
      <c r="AB20" s="173"/>
      <c r="AC20" s="174"/>
      <c r="AD20" s="173"/>
      <c r="AE20" s="174"/>
      <c r="AF20" s="173"/>
      <c r="AG20" s="174"/>
      <c r="AH20" s="173"/>
      <c r="AI20" s="174"/>
      <c r="AJ20" s="173"/>
      <c r="AK20" s="174"/>
      <c r="AL20" s="173"/>
      <c r="AM20" s="174"/>
      <c r="AN20" s="173"/>
      <c r="AO20" s="174"/>
      <c r="AP20" s="173"/>
      <c r="AQ20" s="176">
        <f t="shared" si="0"/>
        <v>10</v>
      </c>
      <c r="AR20" s="177">
        <v>605</v>
      </c>
      <c r="AS20" s="178">
        <f>+AR20*AQ20</f>
        <v>6050</v>
      </c>
    </row>
    <row r="21" spans="1:48" ht="28.5" x14ac:dyDescent="0.2">
      <c r="A21" s="25">
        <v>12</v>
      </c>
      <c r="B21" s="170"/>
      <c r="C21" s="192" t="s">
        <v>178</v>
      </c>
      <c r="D21" s="184" t="s">
        <v>172</v>
      </c>
      <c r="E21" s="183" t="s">
        <v>177</v>
      </c>
      <c r="F21" s="171" t="s">
        <v>12</v>
      </c>
      <c r="G21" s="180"/>
      <c r="H21" s="180"/>
      <c r="I21" s="180"/>
      <c r="J21" s="171"/>
      <c r="K21" s="172"/>
      <c r="L21" s="173"/>
      <c r="M21" s="174"/>
      <c r="N21" s="171"/>
      <c r="O21" s="174">
        <v>20</v>
      </c>
      <c r="P21" s="175">
        <f>+O21*AR21</f>
        <v>2900</v>
      </c>
      <c r="Q21" s="181"/>
      <c r="R21" s="179"/>
      <c r="S21" s="182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6">
        <f t="shared" si="0"/>
        <v>20</v>
      </c>
      <c r="AR21" s="177">
        <v>145</v>
      </c>
      <c r="AS21" s="178">
        <f>+AR21*AQ21</f>
        <v>2900</v>
      </c>
    </row>
    <row r="22" spans="1:48" x14ac:dyDescent="0.25">
      <c r="A22" s="25">
        <v>13</v>
      </c>
      <c r="B22" s="26"/>
      <c r="C22" s="165" t="s">
        <v>171</v>
      </c>
      <c r="D22" s="184" t="s">
        <v>172</v>
      </c>
      <c r="E22" s="166" t="s">
        <v>63</v>
      </c>
      <c r="F22" s="27" t="s">
        <v>12</v>
      </c>
      <c r="G22" s="27"/>
      <c r="H22" s="27"/>
      <c r="I22" s="27"/>
      <c r="J22" s="27"/>
      <c r="K22" s="28"/>
      <c r="L22" s="29"/>
      <c r="M22" s="30"/>
      <c r="N22" s="27"/>
      <c r="O22" s="28"/>
      <c r="P22" s="27"/>
      <c r="Q22" s="30">
        <v>10</v>
      </c>
      <c r="R22" s="37">
        <f t="shared" si="1"/>
        <v>1500</v>
      </c>
      <c r="S22" s="28"/>
      <c r="T22" s="27"/>
      <c r="U22" s="30"/>
      <c r="V22" s="27"/>
      <c r="W22" s="30"/>
      <c r="X22" s="27"/>
      <c r="Y22" s="30"/>
      <c r="Z22" s="27"/>
      <c r="AA22" s="30"/>
      <c r="AB22" s="27"/>
      <c r="AC22" s="30"/>
      <c r="AD22" s="27"/>
      <c r="AE22" s="30"/>
      <c r="AF22" s="27"/>
      <c r="AG22" s="30"/>
      <c r="AH22" s="27"/>
      <c r="AI22" s="30"/>
      <c r="AJ22" s="27"/>
      <c r="AK22" s="30"/>
      <c r="AL22" s="27"/>
      <c r="AM22" s="30"/>
      <c r="AN22" s="27"/>
      <c r="AO22" s="30"/>
      <c r="AP22" s="27"/>
      <c r="AQ22" s="39">
        <f t="shared" si="0"/>
        <v>10</v>
      </c>
      <c r="AR22" s="45">
        <v>150</v>
      </c>
      <c r="AS22" s="32">
        <f t="shared" si="2"/>
        <v>1500</v>
      </c>
      <c r="AT22" s="47"/>
      <c r="AU22" s="47"/>
      <c r="AV22" s="47"/>
    </row>
    <row r="23" spans="1:48" x14ac:dyDescent="0.25">
      <c r="A23" s="25">
        <v>14</v>
      </c>
      <c r="B23" s="26"/>
      <c r="C23" s="165" t="s">
        <v>171</v>
      </c>
      <c r="D23" s="184" t="s">
        <v>172</v>
      </c>
      <c r="E23" s="166" t="s">
        <v>64</v>
      </c>
      <c r="F23" s="27" t="s">
        <v>12</v>
      </c>
      <c r="G23" s="27"/>
      <c r="H23" s="27"/>
      <c r="I23" s="27"/>
      <c r="J23" s="27"/>
      <c r="K23" s="28">
        <v>50</v>
      </c>
      <c r="L23" s="29">
        <f>+K23*AR23</f>
        <v>55000</v>
      </c>
      <c r="M23" s="30"/>
      <c r="N23" s="27"/>
      <c r="O23" s="28"/>
      <c r="P23" s="27"/>
      <c r="Q23" s="30">
        <v>500</v>
      </c>
      <c r="R23" s="37">
        <f t="shared" si="1"/>
        <v>550000</v>
      </c>
      <c r="S23" s="28"/>
      <c r="T23" s="27"/>
      <c r="U23" s="30">
        <v>150</v>
      </c>
      <c r="V23" s="38">
        <f>+U23*AR23</f>
        <v>165000</v>
      </c>
      <c r="W23" s="30"/>
      <c r="X23" s="27"/>
      <c r="Y23" s="30">
        <v>5</v>
      </c>
      <c r="Z23" s="37">
        <f>+Y23*AR23</f>
        <v>5500</v>
      </c>
      <c r="AA23" s="30"/>
      <c r="AB23" s="27"/>
      <c r="AC23" s="30"/>
      <c r="AD23" s="27"/>
      <c r="AE23" s="30"/>
      <c r="AF23" s="27"/>
      <c r="AG23" s="30"/>
      <c r="AH23" s="27"/>
      <c r="AI23" s="30"/>
      <c r="AJ23" s="27"/>
      <c r="AK23" s="30"/>
      <c r="AL23" s="27"/>
      <c r="AM23" s="30"/>
      <c r="AN23" s="27"/>
      <c r="AO23" s="30"/>
      <c r="AP23" s="27"/>
      <c r="AQ23" s="39">
        <f t="shared" si="0"/>
        <v>705</v>
      </c>
      <c r="AR23" s="45">
        <v>1100</v>
      </c>
      <c r="AS23" s="32">
        <f t="shared" si="2"/>
        <v>775500</v>
      </c>
      <c r="AT23" s="47"/>
      <c r="AU23" s="47"/>
      <c r="AV23" s="47"/>
    </row>
    <row r="24" spans="1:48" x14ac:dyDescent="0.25">
      <c r="A24" s="25">
        <v>15</v>
      </c>
      <c r="B24" s="26"/>
      <c r="C24" s="165" t="s">
        <v>171</v>
      </c>
      <c r="D24" s="184" t="s">
        <v>172</v>
      </c>
      <c r="E24" s="166" t="s">
        <v>65</v>
      </c>
      <c r="F24" s="27" t="s">
        <v>12</v>
      </c>
      <c r="G24" s="27"/>
      <c r="H24" s="27"/>
      <c r="I24" s="27"/>
      <c r="J24" s="27"/>
      <c r="K24" s="28">
        <v>50</v>
      </c>
      <c r="L24" s="29">
        <f>+K24*AR24</f>
        <v>55000</v>
      </c>
      <c r="M24" s="30"/>
      <c r="N24" s="27"/>
      <c r="O24" s="28"/>
      <c r="P24" s="27"/>
      <c r="Q24" s="30">
        <v>4000</v>
      </c>
      <c r="R24" s="37">
        <f t="shared" si="1"/>
        <v>4400000</v>
      </c>
      <c r="S24" s="28"/>
      <c r="T24" s="27"/>
      <c r="U24" s="30">
        <v>150</v>
      </c>
      <c r="V24" s="38">
        <f>+U24*AR24</f>
        <v>165000</v>
      </c>
      <c r="W24" s="30"/>
      <c r="X24" s="27"/>
      <c r="Y24" s="30">
        <v>10</v>
      </c>
      <c r="Z24" s="38">
        <f>+Y24*AR24</f>
        <v>11000</v>
      </c>
      <c r="AA24" s="30"/>
      <c r="AB24" s="27"/>
      <c r="AC24" s="30"/>
      <c r="AD24" s="27"/>
      <c r="AE24" s="30"/>
      <c r="AF24" s="27"/>
      <c r="AG24" s="30"/>
      <c r="AH24" s="27"/>
      <c r="AI24" s="30">
        <v>30</v>
      </c>
      <c r="AJ24" s="38">
        <f>+AI24*AR24</f>
        <v>33000</v>
      </c>
      <c r="AK24" s="30"/>
      <c r="AL24" s="27"/>
      <c r="AM24" s="30"/>
      <c r="AN24" s="27"/>
      <c r="AO24" s="30"/>
      <c r="AP24" s="27"/>
      <c r="AQ24" s="39">
        <f t="shared" si="0"/>
        <v>4240</v>
      </c>
      <c r="AR24" s="45">
        <v>1100</v>
      </c>
      <c r="AS24" s="32">
        <f t="shared" si="2"/>
        <v>4664000</v>
      </c>
      <c r="AT24" s="47"/>
      <c r="AU24" s="47"/>
      <c r="AV24" s="47"/>
    </row>
    <row r="25" spans="1:48" x14ac:dyDescent="0.25">
      <c r="A25" s="25">
        <v>16</v>
      </c>
      <c r="B25" s="26"/>
      <c r="C25" s="165" t="s">
        <v>171</v>
      </c>
      <c r="D25" s="184" t="s">
        <v>172</v>
      </c>
      <c r="E25" s="166" t="s">
        <v>66</v>
      </c>
      <c r="F25" s="27" t="s">
        <v>12</v>
      </c>
      <c r="G25" s="27"/>
      <c r="H25" s="27"/>
      <c r="I25" s="27"/>
      <c r="J25" s="27"/>
      <c r="K25" s="28">
        <v>50</v>
      </c>
      <c r="L25" s="29">
        <f>+K25*AR25</f>
        <v>55000</v>
      </c>
      <c r="M25" s="30"/>
      <c r="N25" s="27"/>
      <c r="O25" s="28"/>
      <c r="P25" s="27"/>
      <c r="Q25" s="30">
        <v>1500</v>
      </c>
      <c r="R25" s="37">
        <f t="shared" si="1"/>
        <v>1650000</v>
      </c>
      <c r="S25" s="28"/>
      <c r="T25" s="27"/>
      <c r="U25" s="30"/>
      <c r="V25" s="27"/>
      <c r="W25" s="30"/>
      <c r="X25" s="27"/>
      <c r="Y25" s="30"/>
      <c r="Z25" s="27"/>
      <c r="AA25" s="30"/>
      <c r="AB25" s="27"/>
      <c r="AC25" s="30"/>
      <c r="AD25" s="27"/>
      <c r="AE25" s="30"/>
      <c r="AF25" s="27"/>
      <c r="AG25" s="30"/>
      <c r="AH25" s="27"/>
      <c r="AI25" s="30">
        <v>30</v>
      </c>
      <c r="AJ25" s="38">
        <f>+AI25*AR25</f>
        <v>33000</v>
      </c>
      <c r="AK25" s="30"/>
      <c r="AL25" s="27"/>
      <c r="AM25" s="30"/>
      <c r="AN25" s="27"/>
      <c r="AO25" s="30"/>
      <c r="AP25" s="27"/>
      <c r="AQ25" s="39">
        <f t="shared" si="0"/>
        <v>1580</v>
      </c>
      <c r="AR25" s="45">
        <v>1100</v>
      </c>
      <c r="AS25" s="32">
        <f t="shared" si="2"/>
        <v>1738000</v>
      </c>
      <c r="AT25" s="47"/>
      <c r="AU25" s="47"/>
      <c r="AV25" s="47"/>
    </row>
    <row r="26" spans="1:48" x14ac:dyDescent="0.25">
      <c r="A26" s="25">
        <v>17</v>
      </c>
      <c r="B26" s="26"/>
      <c r="C26" s="165" t="s">
        <v>171</v>
      </c>
      <c r="D26" s="184" t="s">
        <v>172</v>
      </c>
      <c r="E26" s="166" t="s">
        <v>67</v>
      </c>
      <c r="F26" s="27" t="s">
        <v>12</v>
      </c>
      <c r="G26" s="27"/>
      <c r="H26" s="27"/>
      <c r="I26" s="27"/>
      <c r="J26" s="27"/>
      <c r="K26" s="28"/>
      <c r="L26" s="29"/>
      <c r="M26" s="30"/>
      <c r="N26" s="27"/>
      <c r="O26" s="28"/>
      <c r="P26" s="27"/>
      <c r="Q26" s="30">
        <v>500</v>
      </c>
      <c r="R26" s="37">
        <f t="shared" si="1"/>
        <v>1300000</v>
      </c>
      <c r="S26" s="28"/>
      <c r="T26" s="27"/>
      <c r="U26" s="30"/>
      <c r="V26" s="27"/>
      <c r="W26" s="30"/>
      <c r="X26" s="27"/>
      <c r="Y26" s="30"/>
      <c r="Z26" s="27"/>
      <c r="AA26" s="30"/>
      <c r="AB26" s="27"/>
      <c r="AC26" s="30"/>
      <c r="AD26" s="27"/>
      <c r="AE26" s="30"/>
      <c r="AF26" s="27"/>
      <c r="AG26" s="30"/>
      <c r="AH26" s="27"/>
      <c r="AI26" s="30"/>
      <c r="AJ26" s="27"/>
      <c r="AK26" s="30"/>
      <c r="AL26" s="27"/>
      <c r="AM26" s="30"/>
      <c r="AN26" s="27"/>
      <c r="AO26" s="30"/>
      <c r="AP26" s="27"/>
      <c r="AQ26" s="39">
        <f t="shared" si="0"/>
        <v>500</v>
      </c>
      <c r="AR26" s="45">
        <v>2600</v>
      </c>
      <c r="AS26" s="32">
        <f t="shared" si="2"/>
        <v>1300000</v>
      </c>
      <c r="AT26" s="47"/>
      <c r="AU26" s="47"/>
      <c r="AV26" s="47"/>
    </row>
    <row r="27" spans="1:48" x14ac:dyDescent="0.25">
      <c r="A27" s="25">
        <v>18</v>
      </c>
      <c r="B27" s="26"/>
      <c r="C27" s="165" t="s">
        <v>171</v>
      </c>
      <c r="D27" s="184" t="s">
        <v>172</v>
      </c>
      <c r="E27" s="166" t="s">
        <v>68</v>
      </c>
      <c r="F27" s="27" t="s">
        <v>12</v>
      </c>
      <c r="G27" s="27"/>
      <c r="H27" s="27"/>
      <c r="I27" s="27"/>
      <c r="J27" s="27"/>
      <c r="K27" s="28"/>
      <c r="L27" s="29"/>
      <c r="M27" s="30"/>
      <c r="N27" s="27"/>
      <c r="O27" s="28"/>
      <c r="P27" s="27"/>
      <c r="Q27" s="30">
        <v>500</v>
      </c>
      <c r="R27" s="37">
        <f t="shared" si="1"/>
        <v>1300000</v>
      </c>
      <c r="S27" s="28"/>
      <c r="T27" s="27"/>
      <c r="U27" s="30"/>
      <c r="V27" s="27"/>
      <c r="W27" s="30"/>
      <c r="X27" s="27"/>
      <c r="Y27" s="30"/>
      <c r="Z27" s="27"/>
      <c r="AA27" s="30"/>
      <c r="AB27" s="27"/>
      <c r="AC27" s="30"/>
      <c r="AD27" s="27"/>
      <c r="AE27" s="30"/>
      <c r="AF27" s="27"/>
      <c r="AG27" s="30"/>
      <c r="AH27" s="27"/>
      <c r="AI27" s="30"/>
      <c r="AJ27" s="27"/>
      <c r="AK27" s="30"/>
      <c r="AL27" s="27"/>
      <c r="AM27" s="30"/>
      <c r="AN27" s="27"/>
      <c r="AO27" s="30"/>
      <c r="AP27" s="27"/>
      <c r="AQ27" s="39">
        <f t="shared" si="0"/>
        <v>500</v>
      </c>
      <c r="AR27" s="45">
        <v>2600</v>
      </c>
      <c r="AS27" s="32">
        <f t="shared" si="2"/>
        <v>1300000</v>
      </c>
      <c r="AT27" s="47"/>
      <c r="AU27" s="47"/>
      <c r="AV27" s="47"/>
    </row>
    <row r="28" spans="1:48" x14ac:dyDescent="0.25">
      <c r="A28" s="25">
        <v>19</v>
      </c>
      <c r="B28" s="26"/>
      <c r="C28" s="165" t="s">
        <v>171</v>
      </c>
      <c r="D28" s="184" t="s">
        <v>172</v>
      </c>
      <c r="E28" s="166" t="s">
        <v>69</v>
      </c>
      <c r="F28" s="27" t="s">
        <v>12</v>
      </c>
      <c r="G28" s="27"/>
      <c r="H28" s="27"/>
      <c r="I28" s="27"/>
      <c r="J28" s="27"/>
      <c r="K28" s="28"/>
      <c r="L28" s="29"/>
      <c r="M28" s="30"/>
      <c r="N28" s="27"/>
      <c r="O28" s="28"/>
      <c r="P28" s="27"/>
      <c r="Q28" s="30">
        <v>5000</v>
      </c>
      <c r="R28" s="37">
        <f t="shared" si="1"/>
        <v>55199.999999999993</v>
      </c>
      <c r="S28" s="28"/>
      <c r="T28" s="27"/>
      <c r="U28" s="30"/>
      <c r="V28" s="27"/>
      <c r="W28" s="30"/>
      <c r="X28" s="27"/>
      <c r="Y28" s="30"/>
      <c r="Z28" s="27"/>
      <c r="AA28" s="30"/>
      <c r="AB28" s="27"/>
      <c r="AC28" s="30"/>
      <c r="AD28" s="27"/>
      <c r="AE28" s="30"/>
      <c r="AF28" s="27"/>
      <c r="AG28" s="30"/>
      <c r="AH28" s="27"/>
      <c r="AI28" s="30"/>
      <c r="AJ28" s="27"/>
      <c r="AK28" s="30"/>
      <c r="AL28" s="27"/>
      <c r="AM28" s="30"/>
      <c r="AN28" s="27"/>
      <c r="AO28" s="30"/>
      <c r="AP28" s="27"/>
      <c r="AQ28" s="39">
        <f t="shared" si="0"/>
        <v>5000</v>
      </c>
      <c r="AR28" s="45">
        <v>11.04</v>
      </c>
      <c r="AS28" s="32">
        <f t="shared" si="2"/>
        <v>55199.999999999993</v>
      </c>
      <c r="AT28" s="47"/>
      <c r="AU28" s="47"/>
      <c r="AV28" s="47"/>
    </row>
    <row r="29" spans="1:48" x14ac:dyDescent="0.25">
      <c r="A29" s="25">
        <v>20</v>
      </c>
      <c r="B29" s="26"/>
      <c r="C29" s="165" t="s">
        <v>171</v>
      </c>
      <c r="D29" s="184" t="s">
        <v>172</v>
      </c>
      <c r="E29" s="166" t="s">
        <v>70</v>
      </c>
      <c r="F29" s="27" t="s">
        <v>12</v>
      </c>
      <c r="G29" s="27"/>
      <c r="H29" s="27"/>
      <c r="I29" s="27"/>
      <c r="J29" s="27"/>
      <c r="K29" s="28"/>
      <c r="L29" s="29"/>
      <c r="M29" s="30"/>
      <c r="N29" s="27"/>
      <c r="O29" s="28"/>
      <c r="P29" s="27"/>
      <c r="Q29" s="30">
        <v>200000</v>
      </c>
      <c r="R29" s="37">
        <f t="shared" si="1"/>
        <v>826000</v>
      </c>
      <c r="S29" s="28"/>
      <c r="T29" s="27"/>
      <c r="U29" s="30"/>
      <c r="V29" s="27"/>
      <c r="W29" s="30"/>
      <c r="X29" s="27"/>
      <c r="Y29" s="30"/>
      <c r="Z29" s="27"/>
      <c r="AA29" s="30"/>
      <c r="AB29" s="27"/>
      <c r="AC29" s="30"/>
      <c r="AD29" s="27"/>
      <c r="AE29" s="30"/>
      <c r="AF29" s="27"/>
      <c r="AG29" s="30"/>
      <c r="AH29" s="27"/>
      <c r="AI29" s="30"/>
      <c r="AJ29" s="27"/>
      <c r="AK29" s="30"/>
      <c r="AL29" s="27"/>
      <c r="AM29" s="30"/>
      <c r="AN29" s="27"/>
      <c r="AO29" s="30"/>
      <c r="AP29" s="27"/>
      <c r="AQ29" s="39">
        <f t="shared" si="0"/>
        <v>200000</v>
      </c>
      <c r="AR29" s="45">
        <v>4.13</v>
      </c>
      <c r="AS29" s="32">
        <f t="shared" si="2"/>
        <v>826000</v>
      </c>
      <c r="AT29" s="47"/>
      <c r="AU29" s="47"/>
      <c r="AV29" s="47"/>
    </row>
    <row r="30" spans="1:48" x14ac:dyDescent="0.25">
      <c r="A30" s="25">
        <v>21</v>
      </c>
      <c r="B30" s="26"/>
      <c r="C30" s="165" t="s">
        <v>171</v>
      </c>
      <c r="D30" s="184" t="s">
        <v>172</v>
      </c>
      <c r="E30" s="166" t="s">
        <v>71</v>
      </c>
      <c r="F30" s="27" t="s">
        <v>12</v>
      </c>
      <c r="G30" s="27"/>
      <c r="H30" s="27"/>
      <c r="I30" s="27"/>
      <c r="J30" s="27"/>
      <c r="K30" s="28"/>
      <c r="L30" s="29"/>
      <c r="M30" s="30"/>
      <c r="N30" s="27"/>
      <c r="O30" s="28"/>
      <c r="P30" s="27"/>
      <c r="Q30" s="30">
        <v>1000</v>
      </c>
      <c r="R30" s="37">
        <f t="shared" si="1"/>
        <v>27080</v>
      </c>
      <c r="S30" s="28"/>
      <c r="T30" s="27"/>
      <c r="U30" s="30"/>
      <c r="V30" s="27"/>
      <c r="W30" s="30"/>
      <c r="X30" s="27"/>
      <c r="Y30" s="30"/>
      <c r="Z30" s="27"/>
      <c r="AA30" s="30"/>
      <c r="AB30" s="27"/>
      <c r="AC30" s="30"/>
      <c r="AD30" s="27"/>
      <c r="AE30" s="30"/>
      <c r="AF30" s="27"/>
      <c r="AG30" s="30"/>
      <c r="AH30" s="27"/>
      <c r="AI30" s="30"/>
      <c r="AJ30" s="27"/>
      <c r="AK30" s="30"/>
      <c r="AL30" s="27"/>
      <c r="AM30" s="30"/>
      <c r="AN30" s="27"/>
      <c r="AO30" s="30"/>
      <c r="AP30" s="27"/>
      <c r="AQ30" s="39">
        <f t="shared" si="0"/>
        <v>1000</v>
      </c>
      <c r="AR30" s="45">
        <v>27.08</v>
      </c>
      <c r="AS30" s="32">
        <f t="shared" si="2"/>
        <v>27080</v>
      </c>
      <c r="AT30" s="47"/>
      <c r="AU30" s="47"/>
      <c r="AV30" s="47"/>
    </row>
    <row r="31" spans="1:48" x14ac:dyDescent="0.25">
      <c r="A31" s="25">
        <v>22</v>
      </c>
      <c r="B31" s="26"/>
      <c r="C31" s="165" t="s">
        <v>171</v>
      </c>
      <c r="D31" s="184" t="s">
        <v>172</v>
      </c>
      <c r="E31" s="166" t="s">
        <v>72</v>
      </c>
      <c r="F31" s="27" t="s">
        <v>12</v>
      </c>
      <c r="G31" s="27"/>
      <c r="H31" s="27"/>
      <c r="I31" s="27"/>
      <c r="J31" s="27"/>
      <c r="K31" s="28"/>
      <c r="L31" s="29"/>
      <c r="M31" s="30"/>
      <c r="N31" s="27"/>
      <c r="O31" s="28"/>
      <c r="P31" s="27"/>
      <c r="Q31" s="30">
        <v>80000</v>
      </c>
      <c r="R31" s="37">
        <f t="shared" si="1"/>
        <v>252000</v>
      </c>
      <c r="S31" s="28"/>
      <c r="T31" s="27"/>
      <c r="U31" s="30"/>
      <c r="V31" s="27"/>
      <c r="W31" s="30"/>
      <c r="X31" s="27"/>
      <c r="Y31" s="30"/>
      <c r="Z31" s="27"/>
      <c r="AA31" s="30"/>
      <c r="AB31" s="27"/>
      <c r="AC31" s="30"/>
      <c r="AD31" s="27"/>
      <c r="AE31" s="30"/>
      <c r="AF31" s="27"/>
      <c r="AG31" s="30"/>
      <c r="AH31" s="27"/>
      <c r="AI31" s="30"/>
      <c r="AJ31" s="27"/>
      <c r="AK31" s="30"/>
      <c r="AL31" s="27"/>
      <c r="AM31" s="30"/>
      <c r="AN31" s="27"/>
      <c r="AO31" s="30"/>
      <c r="AP31" s="27"/>
      <c r="AQ31" s="39">
        <f t="shared" si="0"/>
        <v>80000</v>
      </c>
      <c r="AR31" s="45">
        <v>3.15</v>
      </c>
      <c r="AS31" s="32">
        <f t="shared" si="2"/>
        <v>252000</v>
      </c>
      <c r="AT31" s="47"/>
      <c r="AU31" s="47"/>
      <c r="AV31" s="47"/>
    </row>
    <row r="32" spans="1:48" x14ac:dyDescent="0.25">
      <c r="A32" s="25">
        <v>23</v>
      </c>
      <c r="B32" s="26"/>
      <c r="C32" s="165" t="s">
        <v>171</v>
      </c>
      <c r="D32" s="184" t="s">
        <v>172</v>
      </c>
      <c r="E32" s="166" t="s">
        <v>73</v>
      </c>
      <c r="F32" s="27" t="s">
        <v>12</v>
      </c>
      <c r="G32" s="27"/>
      <c r="H32" s="27"/>
      <c r="I32" s="27"/>
      <c r="J32" s="27"/>
      <c r="K32" s="28"/>
      <c r="L32" s="29"/>
      <c r="M32" s="30"/>
      <c r="N32" s="27"/>
      <c r="O32" s="28"/>
      <c r="P32" s="27"/>
      <c r="Q32" s="30">
        <v>40000</v>
      </c>
      <c r="R32" s="37">
        <f t="shared" si="1"/>
        <v>9680000</v>
      </c>
      <c r="S32" s="28"/>
      <c r="T32" s="27"/>
      <c r="U32" s="30"/>
      <c r="V32" s="27"/>
      <c r="W32" s="30"/>
      <c r="X32" s="27"/>
      <c r="Y32" s="30"/>
      <c r="Z32" s="27"/>
      <c r="AA32" s="30"/>
      <c r="AB32" s="27"/>
      <c r="AC32" s="30"/>
      <c r="AD32" s="27"/>
      <c r="AE32" s="30"/>
      <c r="AF32" s="27"/>
      <c r="AG32" s="30"/>
      <c r="AH32" s="27"/>
      <c r="AI32" s="30"/>
      <c r="AJ32" s="27"/>
      <c r="AK32" s="30"/>
      <c r="AL32" s="27"/>
      <c r="AM32" s="30"/>
      <c r="AN32" s="27"/>
      <c r="AO32" s="30"/>
      <c r="AP32" s="27"/>
      <c r="AQ32" s="39">
        <f t="shared" si="0"/>
        <v>40000</v>
      </c>
      <c r="AR32" s="45">
        <v>242</v>
      </c>
      <c r="AS32" s="32">
        <f t="shared" si="2"/>
        <v>9680000</v>
      </c>
      <c r="AT32" s="47"/>
      <c r="AU32" s="47"/>
      <c r="AV32" s="47"/>
    </row>
    <row r="33" spans="1:48" x14ac:dyDescent="0.25">
      <c r="A33" s="25">
        <v>24</v>
      </c>
      <c r="B33" s="26"/>
      <c r="C33" s="165" t="s">
        <v>171</v>
      </c>
      <c r="D33" s="184" t="s">
        <v>172</v>
      </c>
      <c r="E33" s="167" t="s">
        <v>74</v>
      </c>
      <c r="F33" s="27" t="s">
        <v>12</v>
      </c>
      <c r="G33" s="27"/>
      <c r="H33" s="27"/>
      <c r="I33" s="27"/>
      <c r="J33" s="27"/>
      <c r="K33" s="28"/>
      <c r="L33" s="29"/>
      <c r="M33" s="30"/>
      <c r="N33" s="27"/>
      <c r="O33" s="28"/>
      <c r="P33" s="27"/>
      <c r="Q33" s="30">
        <v>2000</v>
      </c>
      <c r="R33" s="37">
        <f t="shared" si="1"/>
        <v>1700000</v>
      </c>
      <c r="S33" s="28"/>
      <c r="T33" s="27"/>
      <c r="U33" s="30"/>
      <c r="V33" s="27"/>
      <c r="W33" s="30"/>
      <c r="X33" s="27"/>
      <c r="Y33" s="30"/>
      <c r="Z33" s="27"/>
      <c r="AA33" s="30"/>
      <c r="AB33" s="27"/>
      <c r="AC33" s="30"/>
      <c r="AD33" s="27"/>
      <c r="AE33" s="30"/>
      <c r="AF33" s="27"/>
      <c r="AG33" s="30"/>
      <c r="AH33" s="27"/>
      <c r="AI33" s="30"/>
      <c r="AJ33" s="27"/>
      <c r="AK33" s="30"/>
      <c r="AL33" s="27"/>
      <c r="AM33" s="30"/>
      <c r="AN33" s="27"/>
      <c r="AO33" s="30"/>
      <c r="AP33" s="27"/>
      <c r="AQ33" s="39">
        <f t="shared" si="0"/>
        <v>2000</v>
      </c>
      <c r="AR33" s="45">
        <v>850</v>
      </c>
      <c r="AS33" s="32">
        <f t="shared" si="2"/>
        <v>1700000</v>
      </c>
      <c r="AT33" s="47"/>
      <c r="AU33" s="47"/>
      <c r="AV33" s="47"/>
    </row>
    <row r="34" spans="1:48" x14ac:dyDescent="0.25">
      <c r="A34" s="25">
        <v>25</v>
      </c>
      <c r="B34" s="26"/>
      <c r="C34" s="165" t="s">
        <v>171</v>
      </c>
      <c r="D34" s="184" t="s">
        <v>172</v>
      </c>
      <c r="E34" s="167" t="s">
        <v>75</v>
      </c>
      <c r="F34" s="27" t="s">
        <v>12</v>
      </c>
      <c r="G34" s="27"/>
      <c r="H34" s="27"/>
      <c r="I34" s="27"/>
      <c r="J34" s="27"/>
      <c r="K34" s="28"/>
      <c r="L34" s="29"/>
      <c r="M34" s="30"/>
      <c r="N34" s="27"/>
      <c r="O34" s="28"/>
      <c r="P34" s="27"/>
      <c r="Q34" s="30">
        <v>2000</v>
      </c>
      <c r="R34" s="37">
        <f t="shared" si="1"/>
        <v>1700000</v>
      </c>
      <c r="S34" s="28"/>
      <c r="T34" s="27"/>
      <c r="U34" s="30"/>
      <c r="V34" s="27"/>
      <c r="W34" s="30"/>
      <c r="X34" s="27"/>
      <c r="Y34" s="30"/>
      <c r="Z34" s="27"/>
      <c r="AA34" s="30"/>
      <c r="AB34" s="27"/>
      <c r="AC34" s="30"/>
      <c r="AD34" s="27"/>
      <c r="AE34" s="30"/>
      <c r="AF34" s="27"/>
      <c r="AG34" s="30"/>
      <c r="AH34" s="27"/>
      <c r="AI34" s="30"/>
      <c r="AJ34" s="27"/>
      <c r="AK34" s="30"/>
      <c r="AL34" s="27"/>
      <c r="AM34" s="30"/>
      <c r="AN34" s="27"/>
      <c r="AO34" s="30"/>
      <c r="AP34" s="27"/>
      <c r="AQ34" s="39">
        <f t="shared" si="0"/>
        <v>2000</v>
      </c>
      <c r="AR34" s="45">
        <v>850</v>
      </c>
      <c r="AS34" s="32">
        <f t="shared" si="2"/>
        <v>1700000</v>
      </c>
      <c r="AT34" s="47"/>
      <c r="AU34" s="47"/>
      <c r="AV34" s="47"/>
    </row>
    <row r="35" spans="1:48" x14ac:dyDescent="0.25">
      <c r="A35" s="25">
        <v>26</v>
      </c>
      <c r="B35" s="26"/>
      <c r="C35" s="165" t="s">
        <v>171</v>
      </c>
      <c r="D35" s="184" t="s">
        <v>172</v>
      </c>
      <c r="E35" s="167" t="s">
        <v>76</v>
      </c>
      <c r="F35" s="27" t="s">
        <v>12</v>
      </c>
      <c r="G35" s="27"/>
      <c r="H35" s="27"/>
      <c r="I35" s="27"/>
      <c r="J35" s="27"/>
      <c r="K35" s="28"/>
      <c r="L35" s="29"/>
      <c r="M35" s="30"/>
      <c r="N35" s="27"/>
      <c r="O35" s="28"/>
      <c r="P35" s="27"/>
      <c r="Q35" s="30">
        <v>2000</v>
      </c>
      <c r="R35" s="37">
        <f>+Q35*AR35</f>
        <v>1700000</v>
      </c>
      <c r="S35" s="28"/>
      <c r="T35" s="27"/>
      <c r="U35" s="30"/>
      <c r="V35" s="27"/>
      <c r="W35" s="30"/>
      <c r="X35" s="27"/>
      <c r="Y35" s="30"/>
      <c r="Z35" s="27"/>
      <c r="AA35" s="30"/>
      <c r="AB35" s="27"/>
      <c r="AC35" s="30"/>
      <c r="AD35" s="27"/>
      <c r="AE35" s="30"/>
      <c r="AF35" s="27"/>
      <c r="AG35" s="30"/>
      <c r="AH35" s="27"/>
      <c r="AI35" s="30"/>
      <c r="AJ35" s="27"/>
      <c r="AK35" s="30"/>
      <c r="AL35" s="27"/>
      <c r="AM35" s="30"/>
      <c r="AN35" s="27"/>
      <c r="AO35" s="30"/>
      <c r="AP35" s="27"/>
      <c r="AQ35" s="39">
        <f t="shared" si="0"/>
        <v>2000</v>
      </c>
      <c r="AR35" s="45">
        <v>850</v>
      </c>
      <c r="AS35" s="32">
        <f t="shared" si="2"/>
        <v>1700000</v>
      </c>
      <c r="AT35" s="47"/>
      <c r="AU35" s="47"/>
      <c r="AV35" s="47"/>
    </row>
    <row r="36" spans="1:48" x14ac:dyDescent="0.25">
      <c r="A36" s="25">
        <v>27</v>
      </c>
      <c r="B36" s="26"/>
      <c r="C36" s="165" t="s">
        <v>171</v>
      </c>
      <c r="D36" s="184" t="s">
        <v>172</v>
      </c>
      <c r="E36" s="167" t="s">
        <v>77</v>
      </c>
      <c r="F36" s="27" t="s">
        <v>12</v>
      </c>
      <c r="G36" s="27"/>
      <c r="H36" s="27"/>
      <c r="I36" s="27"/>
      <c r="J36" s="27"/>
      <c r="K36" s="28"/>
      <c r="L36" s="29"/>
      <c r="M36" s="30"/>
      <c r="N36" s="27"/>
      <c r="O36" s="28"/>
      <c r="P36" s="27"/>
      <c r="Q36" s="30">
        <v>1000</v>
      </c>
      <c r="R36" s="37">
        <f t="shared" si="1"/>
        <v>850000</v>
      </c>
      <c r="S36" s="28"/>
      <c r="T36" s="27"/>
      <c r="U36" s="30"/>
      <c r="V36" s="27"/>
      <c r="W36" s="30"/>
      <c r="X36" s="27"/>
      <c r="Y36" s="30"/>
      <c r="Z36" s="27"/>
      <c r="AA36" s="30"/>
      <c r="AB36" s="27"/>
      <c r="AC36" s="30"/>
      <c r="AD36" s="27"/>
      <c r="AE36" s="30"/>
      <c r="AF36" s="27"/>
      <c r="AG36" s="30"/>
      <c r="AH36" s="27"/>
      <c r="AI36" s="30"/>
      <c r="AJ36" s="27"/>
      <c r="AK36" s="30"/>
      <c r="AL36" s="27"/>
      <c r="AM36" s="30"/>
      <c r="AN36" s="27"/>
      <c r="AO36" s="30"/>
      <c r="AP36" s="27"/>
      <c r="AQ36" s="39">
        <f t="shared" si="0"/>
        <v>1000</v>
      </c>
      <c r="AR36" s="45">
        <v>850</v>
      </c>
      <c r="AS36" s="32">
        <f t="shared" si="2"/>
        <v>850000</v>
      </c>
      <c r="AT36" s="47"/>
      <c r="AU36" s="47"/>
      <c r="AV36" s="47"/>
    </row>
    <row r="37" spans="1:48" x14ac:dyDescent="0.25">
      <c r="A37" s="25">
        <v>28</v>
      </c>
      <c r="B37" s="26"/>
      <c r="C37" s="165" t="s">
        <v>171</v>
      </c>
      <c r="D37" s="184" t="s">
        <v>172</v>
      </c>
      <c r="E37" s="166" t="s">
        <v>78</v>
      </c>
      <c r="F37" s="27" t="s">
        <v>12</v>
      </c>
      <c r="G37" s="27"/>
      <c r="H37" s="27"/>
      <c r="I37" s="27"/>
      <c r="J37" s="27"/>
      <c r="K37" s="28"/>
      <c r="L37" s="29"/>
      <c r="M37" s="30"/>
      <c r="N37" s="27"/>
      <c r="O37" s="28"/>
      <c r="P37" s="27"/>
      <c r="Q37" s="30">
        <v>500</v>
      </c>
      <c r="R37" s="37">
        <f t="shared" si="1"/>
        <v>30000</v>
      </c>
      <c r="S37" s="28"/>
      <c r="T37" s="27"/>
      <c r="U37" s="30"/>
      <c r="V37" s="27"/>
      <c r="W37" s="30"/>
      <c r="X37" s="27"/>
      <c r="Y37" s="30"/>
      <c r="Z37" s="27"/>
      <c r="AA37" s="30"/>
      <c r="AB37" s="27"/>
      <c r="AC37" s="30"/>
      <c r="AD37" s="27"/>
      <c r="AE37" s="30"/>
      <c r="AF37" s="27"/>
      <c r="AG37" s="30"/>
      <c r="AH37" s="27"/>
      <c r="AI37" s="30"/>
      <c r="AJ37" s="27"/>
      <c r="AK37" s="30"/>
      <c r="AL37" s="27"/>
      <c r="AM37" s="30"/>
      <c r="AN37" s="27"/>
      <c r="AO37" s="30"/>
      <c r="AP37" s="27"/>
      <c r="AQ37" s="39">
        <f t="shared" si="0"/>
        <v>500</v>
      </c>
      <c r="AR37" s="45">
        <v>60</v>
      </c>
      <c r="AS37" s="32">
        <f t="shared" si="2"/>
        <v>30000</v>
      </c>
      <c r="AT37" s="47"/>
      <c r="AU37" s="47"/>
      <c r="AV37" s="47"/>
    </row>
    <row r="38" spans="1:48" x14ac:dyDescent="0.25">
      <c r="A38" s="25">
        <v>29</v>
      </c>
      <c r="B38" s="26"/>
      <c r="C38" s="165" t="s">
        <v>171</v>
      </c>
      <c r="D38" s="184" t="s">
        <v>172</v>
      </c>
      <c r="E38" s="166" t="s">
        <v>188</v>
      </c>
      <c r="F38" s="27" t="s">
        <v>12</v>
      </c>
      <c r="G38" s="27"/>
      <c r="H38" s="27"/>
      <c r="I38" s="27"/>
      <c r="J38" s="27"/>
      <c r="K38" s="28"/>
      <c r="L38" s="29"/>
      <c r="M38" s="30"/>
      <c r="N38" s="27"/>
      <c r="O38" s="28"/>
      <c r="P38" s="27"/>
      <c r="Q38" s="30">
        <v>1000</v>
      </c>
      <c r="R38" s="37">
        <f t="shared" si="1"/>
        <v>75000</v>
      </c>
      <c r="S38" s="28"/>
      <c r="T38" s="27"/>
      <c r="U38" s="30"/>
      <c r="V38" s="27"/>
      <c r="W38" s="30"/>
      <c r="X38" s="27"/>
      <c r="Y38" s="30"/>
      <c r="Z38" s="27"/>
      <c r="AA38" s="30"/>
      <c r="AB38" s="27"/>
      <c r="AC38" s="30"/>
      <c r="AD38" s="27"/>
      <c r="AE38" s="30"/>
      <c r="AF38" s="27"/>
      <c r="AG38" s="30"/>
      <c r="AH38" s="27"/>
      <c r="AI38" s="30"/>
      <c r="AJ38" s="27"/>
      <c r="AK38" s="30"/>
      <c r="AL38" s="27"/>
      <c r="AM38" s="30"/>
      <c r="AN38" s="27"/>
      <c r="AO38" s="30"/>
      <c r="AP38" s="27"/>
      <c r="AQ38" s="39">
        <f t="shared" si="0"/>
        <v>1000</v>
      </c>
      <c r="AR38" s="45">
        <v>75</v>
      </c>
      <c r="AS38" s="32">
        <f t="shared" si="2"/>
        <v>75000</v>
      </c>
      <c r="AT38" s="47"/>
      <c r="AU38" s="47"/>
      <c r="AV38" s="47"/>
    </row>
    <row r="39" spans="1:48" x14ac:dyDescent="0.25">
      <c r="A39" s="25">
        <v>30</v>
      </c>
      <c r="B39" s="26"/>
      <c r="C39" s="165" t="s">
        <v>171</v>
      </c>
      <c r="D39" s="184" t="s">
        <v>172</v>
      </c>
      <c r="E39" s="166" t="s">
        <v>79</v>
      </c>
      <c r="F39" s="27" t="s">
        <v>12</v>
      </c>
      <c r="G39" s="27"/>
      <c r="H39" s="27"/>
      <c r="I39" s="27"/>
      <c r="J39" s="27"/>
      <c r="K39" s="28"/>
      <c r="L39" s="29"/>
      <c r="M39" s="30"/>
      <c r="N39" s="27"/>
      <c r="O39" s="28"/>
      <c r="P39" s="27"/>
      <c r="Q39" s="30">
        <v>500</v>
      </c>
      <c r="R39" s="37">
        <f t="shared" si="1"/>
        <v>47985</v>
      </c>
      <c r="S39" s="28"/>
      <c r="T39" s="27"/>
      <c r="U39" s="30"/>
      <c r="V39" s="27"/>
      <c r="W39" s="30"/>
      <c r="X39" s="27"/>
      <c r="Y39" s="30"/>
      <c r="Z39" s="27"/>
      <c r="AA39" s="30"/>
      <c r="AB39" s="27"/>
      <c r="AC39" s="30"/>
      <c r="AD39" s="27"/>
      <c r="AE39" s="30"/>
      <c r="AF39" s="27"/>
      <c r="AG39" s="30"/>
      <c r="AH39" s="27"/>
      <c r="AI39" s="30"/>
      <c r="AJ39" s="27"/>
      <c r="AK39" s="30"/>
      <c r="AL39" s="27"/>
      <c r="AM39" s="30"/>
      <c r="AN39" s="27"/>
      <c r="AO39" s="30"/>
      <c r="AP39" s="27"/>
      <c r="AQ39" s="39">
        <f t="shared" si="0"/>
        <v>500</v>
      </c>
      <c r="AR39" s="45">
        <v>95.97</v>
      </c>
      <c r="AS39" s="32">
        <f t="shared" si="2"/>
        <v>47985</v>
      </c>
      <c r="AT39" s="47"/>
      <c r="AU39" s="47"/>
      <c r="AV39" s="47"/>
    </row>
    <row r="40" spans="1:48" x14ac:dyDescent="0.25">
      <c r="A40" s="25">
        <v>31</v>
      </c>
      <c r="B40" s="26"/>
      <c r="C40" s="165" t="s">
        <v>171</v>
      </c>
      <c r="D40" s="184" t="s">
        <v>172</v>
      </c>
      <c r="E40" s="166" t="s">
        <v>80</v>
      </c>
      <c r="F40" s="27" t="s">
        <v>12</v>
      </c>
      <c r="G40" s="27"/>
      <c r="H40" s="27"/>
      <c r="I40" s="27"/>
      <c r="J40" s="27"/>
      <c r="K40" s="28"/>
      <c r="L40" s="29"/>
      <c r="M40" s="30"/>
      <c r="N40" s="27"/>
      <c r="O40" s="28"/>
      <c r="P40" s="27"/>
      <c r="Q40" s="30">
        <v>500</v>
      </c>
      <c r="R40" s="37">
        <f t="shared" si="1"/>
        <v>66500</v>
      </c>
      <c r="S40" s="28"/>
      <c r="T40" s="27"/>
      <c r="U40" s="30"/>
      <c r="V40" s="27"/>
      <c r="W40" s="30"/>
      <c r="X40" s="27"/>
      <c r="Y40" s="30"/>
      <c r="Z40" s="27"/>
      <c r="AA40" s="30"/>
      <c r="AB40" s="27"/>
      <c r="AC40" s="30"/>
      <c r="AD40" s="27"/>
      <c r="AE40" s="30"/>
      <c r="AF40" s="27"/>
      <c r="AG40" s="30"/>
      <c r="AH40" s="27"/>
      <c r="AI40" s="30"/>
      <c r="AJ40" s="27"/>
      <c r="AK40" s="30"/>
      <c r="AL40" s="27"/>
      <c r="AM40" s="30"/>
      <c r="AN40" s="27"/>
      <c r="AO40" s="30"/>
      <c r="AP40" s="27"/>
      <c r="AQ40" s="39">
        <f t="shared" si="0"/>
        <v>500</v>
      </c>
      <c r="AR40" s="45">
        <v>133</v>
      </c>
      <c r="AS40" s="32">
        <f t="shared" si="2"/>
        <v>66500</v>
      </c>
      <c r="AT40" s="47"/>
      <c r="AU40" s="47"/>
      <c r="AV40" s="47"/>
    </row>
    <row r="41" spans="1:48" x14ac:dyDescent="0.25">
      <c r="A41" s="25">
        <v>32</v>
      </c>
      <c r="B41" s="26"/>
      <c r="C41" s="165" t="s">
        <v>171</v>
      </c>
      <c r="D41" s="184" t="s">
        <v>172</v>
      </c>
      <c r="E41" s="166" t="s">
        <v>81</v>
      </c>
      <c r="F41" s="27" t="s">
        <v>12</v>
      </c>
      <c r="G41" s="27"/>
      <c r="H41" s="27"/>
      <c r="I41" s="27"/>
      <c r="J41" s="27"/>
      <c r="K41" s="28"/>
      <c r="L41" s="29"/>
      <c r="M41" s="30"/>
      <c r="N41" s="27"/>
      <c r="O41" s="28"/>
      <c r="P41" s="27"/>
      <c r="Q41" s="33">
        <v>5000</v>
      </c>
      <c r="R41" s="37">
        <f t="shared" si="1"/>
        <v>589100</v>
      </c>
      <c r="S41" s="28"/>
      <c r="T41" s="27"/>
      <c r="U41" s="30"/>
      <c r="V41" s="27"/>
      <c r="W41" s="30"/>
      <c r="X41" s="27"/>
      <c r="Y41" s="30"/>
      <c r="Z41" s="27"/>
      <c r="AA41" s="30"/>
      <c r="AB41" s="27"/>
      <c r="AC41" s="30"/>
      <c r="AD41" s="27"/>
      <c r="AE41" s="30"/>
      <c r="AF41" s="27"/>
      <c r="AG41" s="30"/>
      <c r="AH41" s="27"/>
      <c r="AI41" s="30"/>
      <c r="AJ41" s="27"/>
      <c r="AK41" s="30"/>
      <c r="AL41" s="27"/>
      <c r="AM41" s="30"/>
      <c r="AN41" s="27"/>
      <c r="AO41" s="30"/>
      <c r="AP41" s="27"/>
      <c r="AQ41" s="39">
        <f t="shared" si="0"/>
        <v>5000</v>
      </c>
      <c r="AR41" s="46">
        <v>117.82</v>
      </c>
      <c r="AS41" s="32">
        <f t="shared" si="2"/>
        <v>589100</v>
      </c>
      <c r="AT41" s="47"/>
      <c r="AU41" s="47"/>
      <c r="AV41" s="47"/>
    </row>
    <row r="42" spans="1:48" x14ac:dyDescent="0.25">
      <c r="A42" s="25">
        <v>33</v>
      </c>
      <c r="B42" s="26"/>
      <c r="C42" s="165" t="s">
        <v>171</v>
      </c>
      <c r="D42" s="184" t="s">
        <v>172</v>
      </c>
      <c r="E42" s="166" t="s">
        <v>82</v>
      </c>
      <c r="F42" s="27" t="s">
        <v>12</v>
      </c>
      <c r="G42" s="27"/>
      <c r="H42" s="27"/>
      <c r="I42" s="27"/>
      <c r="J42" s="27"/>
      <c r="K42" s="28"/>
      <c r="L42" s="29"/>
      <c r="M42" s="30"/>
      <c r="N42" s="27"/>
      <c r="O42" s="28"/>
      <c r="P42" s="27"/>
      <c r="Q42" s="33">
        <v>3000</v>
      </c>
      <c r="R42" s="37">
        <f t="shared" si="1"/>
        <v>660000</v>
      </c>
      <c r="S42" s="28"/>
      <c r="T42" s="27"/>
      <c r="U42" s="30"/>
      <c r="V42" s="27"/>
      <c r="W42" s="30"/>
      <c r="X42" s="27"/>
      <c r="Y42" s="30"/>
      <c r="Z42" s="27"/>
      <c r="AA42" s="30"/>
      <c r="AB42" s="27"/>
      <c r="AC42" s="30"/>
      <c r="AD42" s="27"/>
      <c r="AE42" s="30"/>
      <c r="AF42" s="27"/>
      <c r="AG42" s="30"/>
      <c r="AH42" s="27"/>
      <c r="AI42" s="30"/>
      <c r="AJ42" s="27"/>
      <c r="AK42" s="30"/>
      <c r="AL42" s="27"/>
      <c r="AM42" s="30"/>
      <c r="AN42" s="27"/>
      <c r="AO42" s="30"/>
      <c r="AP42" s="27"/>
      <c r="AQ42" s="39">
        <f t="shared" si="0"/>
        <v>3000</v>
      </c>
      <c r="AR42" s="46">
        <v>220</v>
      </c>
      <c r="AS42" s="32">
        <f t="shared" si="2"/>
        <v>660000</v>
      </c>
      <c r="AT42" s="47"/>
      <c r="AU42" s="47"/>
      <c r="AV42" s="47"/>
    </row>
    <row r="43" spans="1:48" x14ac:dyDescent="0.25">
      <c r="A43" s="25">
        <v>34</v>
      </c>
      <c r="B43" s="26"/>
      <c r="C43" s="165" t="s">
        <v>171</v>
      </c>
      <c r="D43" s="184" t="s">
        <v>172</v>
      </c>
      <c r="E43" s="166" t="s">
        <v>83</v>
      </c>
      <c r="F43" s="27" t="s">
        <v>12</v>
      </c>
      <c r="G43" s="27"/>
      <c r="H43" s="27"/>
      <c r="I43" s="27"/>
      <c r="J43" s="27"/>
      <c r="K43" s="28"/>
      <c r="L43" s="29"/>
      <c r="M43" s="30"/>
      <c r="N43" s="27"/>
      <c r="O43" s="28"/>
      <c r="P43" s="27"/>
      <c r="Q43" s="33">
        <v>1000</v>
      </c>
      <c r="R43" s="37">
        <f t="shared" si="1"/>
        <v>46700</v>
      </c>
      <c r="S43" s="28"/>
      <c r="T43" s="27"/>
      <c r="U43" s="30"/>
      <c r="V43" s="27"/>
      <c r="W43" s="30"/>
      <c r="X43" s="27"/>
      <c r="Y43" s="30"/>
      <c r="Z43" s="27"/>
      <c r="AA43" s="30"/>
      <c r="AB43" s="27"/>
      <c r="AC43" s="30"/>
      <c r="AD43" s="27"/>
      <c r="AE43" s="30"/>
      <c r="AF43" s="27"/>
      <c r="AG43" s="30"/>
      <c r="AH43" s="27"/>
      <c r="AI43" s="30"/>
      <c r="AJ43" s="27"/>
      <c r="AK43" s="30"/>
      <c r="AL43" s="27"/>
      <c r="AM43" s="30"/>
      <c r="AN43" s="27"/>
      <c r="AO43" s="30"/>
      <c r="AP43" s="27"/>
      <c r="AQ43" s="39">
        <f t="shared" si="0"/>
        <v>1000</v>
      </c>
      <c r="AR43" s="46">
        <v>46.7</v>
      </c>
      <c r="AS43" s="32">
        <f t="shared" si="2"/>
        <v>46700</v>
      </c>
      <c r="AT43" s="47"/>
      <c r="AU43" s="47"/>
      <c r="AV43" s="47"/>
    </row>
    <row r="44" spans="1:48" x14ac:dyDescent="0.25">
      <c r="A44" s="25">
        <v>35</v>
      </c>
      <c r="B44" s="26"/>
      <c r="C44" s="165" t="s">
        <v>171</v>
      </c>
      <c r="D44" s="184" t="s">
        <v>172</v>
      </c>
      <c r="E44" s="166" t="s">
        <v>84</v>
      </c>
      <c r="F44" s="27" t="s">
        <v>12</v>
      </c>
      <c r="G44" s="27"/>
      <c r="H44" s="27"/>
      <c r="I44" s="27"/>
      <c r="J44" s="37"/>
      <c r="K44" s="28"/>
      <c r="L44" s="29"/>
      <c r="M44" s="30"/>
      <c r="N44" s="27"/>
      <c r="O44" s="28"/>
      <c r="P44" s="27"/>
      <c r="Q44" s="33">
        <v>1000</v>
      </c>
      <c r="R44" s="37">
        <f t="shared" si="1"/>
        <v>85000</v>
      </c>
      <c r="S44" s="28"/>
      <c r="T44" s="27"/>
      <c r="U44" s="30"/>
      <c r="V44" s="27"/>
      <c r="W44" s="30"/>
      <c r="X44" s="27"/>
      <c r="Y44" s="30"/>
      <c r="Z44" s="27"/>
      <c r="AA44" s="30"/>
      <c r="AB44" s="27"/>
      <c r="AC44" s="30"/>
      <c r="AD44" s="27"/>
      <c r="AE44" s="30"/>
      <c r="AF44" s="27"/>
      <c r="AG44" s="30"/>
      <c r="AH44" s="27"/>
      <c r="AI44" s="30"/>
      <c r="AJ44" s="27"/>
      <c r="AK44" s="30"/>
      <c r="AL44" s="27"/>
      <c r="AM44" s="30"/>
      <c r="AN44" s="27"/>
      <c r="AO44" s="30"/>
      <c r="AP44" s="27"/>
      <c r="AQ44" s="39">
        <f t="shared" si="0"/>
        <v>1000</v>
      </c>
      <c r="AR44" s="46">
        <v>85</v>
      </c>
      <c r="AS44" s="32">
        <f t="shared" si="2"/>
        <v>85000</v>
      </c>
      <c r="AT44" s="47"/>
      <c r="AU44" s="47"/>
      <c r="AV44" s="47"/>
    </row>
    <row r="45" spans="1:48" x14ac:dyDescent="0.25">
      <c r="A45" s="25">
        <v>36</v>
      </c>
      <c r="B45" s="26"/>
      <c r="C45" s="165" t="s">
        <v>171</v>
      </c>
      <c r="D45" s="184" t="s">
        <v>172</v>
      </c>
      <c r="E45" s="167" t="s">
        <v>85</v>
      </c>
      <c r="F45" s="27" t="s">
        <v>12</v>
      </c>
      <c r="G45" s="27"/>
      <c r="H45" s="27"/>
      <c r="I45" s="27"/>
      <c r="J45" s="27"/>
      <c r="K45" s="28"/>
      <c r="L45" s="29"/>
      <c r="M45" s="30"/>
      <c r="N45" s="27"/>
      <c r="O45" s="28"/>
      <c r="P45" s="27"/>
      <c r="Q45" s="30">
        <v>1000</v>
      </c>
      <c r="R45" s="37">
        <f t="shared" si="1"/>
        <v>1400000</v>
      </c>
      <c r="S45" s="28"/>
      <c r="T45" s="27"/>
      <c r="U45" s="30"/>
      <c r="V45" s="27"/>
      <c r="W45" s="30"/>
      <c r="X45" s="27"/>
      <c r="Y45" s="30"/>
      <c r="Z45" s="27"/>
      <c r="AA45" s="30"/>
      <c r="AB45" s="27"/>
      <c r="AC45" s="30"/>
      <c r="AD45" s="27"/>
      <c r="AE45" s="30"/>
      <c r="AF45" s="27"/>
      <c r="AG45" s="30"/>
      <c r="AH45" s="27"/>
      <c r="AI45" s="30"/>
      <c r="AJ45" s="27"/>
      <c r="AK45" s="30"/>
      <c r="AL45" s="27"/>
      <c r="AM45" s="30"/>
      <c r="AN45" s="27"/>
      <c r="AO45" s="30"/>
      <c r="AP45" s="27"/>
      <c r="AQ45" s="39">
        <f t="shared" si="0"/>
        <v>1000</v>
      </c>
      <c r="AR45" s="45">
        <v>1400</v>
      </c>
      <c r="AS45" s="32">
        <f t="shared" si="2"/>
        <v>1400000</v>
      </c>
      <c r="AT45" s="47"/>
      <c r="AU45" s="47"/>
      <c r="AV45" s="47"/>
    </row>
    <row r="46" spans="1:48" x14ac:dyDescent="0.25">
      <c r="A46" s="25">
        <v>37</v>
      </c>
      <c r="B46" s="26"/>
      <c r="C46" s="165" t="s">
        <v>171</v>
      </c>
      <c r="D46" s="184" t="s">
        <v>172</v>
      </c>
      <c r="E46" s="167" t="s">
        <v>139</v>
      </c>
      <c r="F46" s="27" t="s">
        <v>12</v>
      </c>
      <c r="G46" s="27"/>
      <c r="H46" s="27"/>
      <c r="I46" s="27"/>
      <c r="J46" s="27"/>
      <c r="K46" s="28"/>
      <c r="L46" s="29"/>
      <c r="M46" s="30"/>
      <c r="N46" s="27"/>
      <c r="O46" s="28"/>
      <c r="P46" s="27"/>
      <c r="Q46" s="30">
        <f>+Q45*0.2</f>
        <v>200</v>
      </c>
      <c r="R46" s="37">
        <f>+Q46*AR46</f>
        <v>677600</v>
      </c>
      <c r="S46" s="28"/>
      <c r="T46" s="27"/>
      <c r="U46" s="30"/>
      <c r="V46" s="27"/>
      <c r="W46" s="30"/>
      <c r="X46" s="27"/>
      <c r="Y46" s="30"/>
      <c r="Z46" s="27"/>
      <c r="AA46" s="30"/>
      <c r="AB46" s="27"/>
      <c r="AC46" s="30"/>
      <c r="AD46" s="27"/>
      <c r="AE46" s="30"/>
      <c r="AF46" s="27"/>
      <c r="AG46" s="30"/>
      <c r="AH46" s="27"/>
      <c r="AI46" s="30"/>
      <c r="AJ46" s="27"/>
      <c r="AK46" s="30"/>
      <c r="AL46" s="27"/>
      <c r="AM46" s="30"/>
      <c r="AN46" s="27"/>
      <c r="AO46" s="30"/>
      <c r="AP46" s="27"/>
      <c r="AQ46" s="39">
        <f t="shared" si="0"/>
        <v>200</v>
      </c>
      <c r="AR46" s="45">
        <f>2800*1.21</f>
        <v>3388</v>
      </c>
      <c r="AS46" s="32">
        <f t="shared" si="2"/>
        <v>677600</v>
      </c>
      <c r="AT46" s="47"/>
      <c r="AU46" s="47"/>
      <c r="AV46" s="47"/>
    </row>
    <row r="47" spans="1:48" x14ac:dyDescent="0.25">
      <c r="A47" s="25">
        <v>38</v>
      </c>
      <c r="B47" s="26"/>
      <c r="C47" s="165" t="s">
        <v>171</v>
      </c>
      <c r="D47" s="184" t="s">
        <v>172</v>
      </c>
      <c r="E47" s="167" t="s">
        <v>86</v>
      </c>
      <c r="F47" s="27" t="s">
        <v>12</v>
      </c>
      <c r="G47" s="27"/>
      <c r="H47" s="27"/>
      <c r="I47" s="27"/>
      <c r="J47" s="27"/>
      <c r="K47" s="28"/>
      <c r="L47" s="29"/>
      <c r="M47" s="30"/>
      <c r="N47" s="27"/>
      <c r="O47" s="28"/>
      <c r="P47" s="27"/>
      <c r="Q47" s="30">
        <v>100</v>
      </c>
      <c r="R47" s="37">
        <f t="shared" si="1"/>
        <v>10000</v>
      </c>
      <c r="S47" s="28"/>
      <c r="T47" s="27"/>
      <c r="U47" s="30"/>
      <c r="V47" s="27"/>
      <c r="W47" s="30"/>
      <c r="X47" s="27"/>
      <c r="Y47" s="30"/>
      <c r="Z47" s="27"/>
      <c r="AA47" s="30"/>
      <c r="AB47" s="27"/>
      <c r="AC47" s="30"/>
      <c r="AD47" s="27"/>
      <c r="AE47" s="30"/>
      <c r="AF47" s="27"/>
      <c r="AG47" s="30"/>
      <c r="AH47" s="27"/>
      <c r="AI47" s="30"/>
      <c r="AJ47" s="27"/>
      <c r="AK47" s="30"/>
      <c r="AL47" s="27"/>
      <c r="AM47" s="30"/>
      <c r="AN47" s="27"/>
      <c r="AO47" s="30"/>
      <c r="AP47" s="27"/>
      <c r="AQ47" s="39">
        <f t="shared" si="0"/>
        <v>100</v>
      </c>
      <c r="AR47" s="45">
        <v>100</v>
      </c>
      <c r="AS47" s="32">
        <f t="shared" si="2"/>
        <v>10000</v>
      </c>
      <c r="AT47" s="47"/>
      <c r="AU47" s="47"/>
      <c r="AV47" s="47"/>
    </row>
    <row r="48" spans="1:48" x14ac:dyDescent="0.25">
      <c r="A48" s="25">
        <v>39</v>
      </c>
      <c r="B48" s="26"/>
      <c r="C48" s="165" t="s">
        <v>171</v>
      </c>
      <c r="D48" s="184" t="s">
        <v>172</v>
      </c>
      <c r="E48" s="167" t="s">
        <v>87</v>
      </c>
      <c r="F48" s="27" t="s">
        <v>12</v>
      </c>
      <c r="G48" s="27"/>
      <c r="H48" s="27"/>
      <c r="I48" s="27"/>
      <c r="J48" s="27"/>
      <c r="K48" s="28"/>
      <c r="L48" s="29"/>
      <c r="M48" s="30"/>
      <c r="N48" s="27"/>
      <c r="O48" s="28"/>
      <c r="P48" s="27"/>
      <c r="Q48" s="30">
        <v>10000</v>
      </c>
      <c r="R48" s="37">
        <f t="shared" si="1"/>
        <v>170000</v>
      </c>
      <c r="S48" s="28"/>
      <c r="T48" s="27"/>
      <c r="U48" s="30"/>
      <c r="V48" s="27"/>
      <c r="W48" s="30"/>
      <c r="X48" s="27"/>
      <c r="Y48" s="30"/>
      <c r="Z48" s="27"/>
      <c r="AA48" s="30"/>
      <c r="AB48" s="27"/>
      <c r="AC48" s="30"/>
      <c r="AD48" s="27"/>
      <c r="AE48" s="30"/>
      <c r="AF48" s="27"/>
      <c r="AG48" s="30"/>
      <c r="AH48" s="27"/>
      <c r="AI48" s="30"/>
      <c r="AJ48" s="27"/>
      <c r="AK48" s="30"/>
      <c r="AL48" s="27"/>
      <c r="AM48" s="30"/>
      <c r="AN48" s="27"/>
      <c r="AO48" s="30"/>
      <c r="AP48" s="27"/>
      <c r="AQ48" s="39">
        <f t="shared" si="0"/>
        <v>10000</v>
      </c>
      <c r="AR48" s="45">
        <v>17</v>
      </c>
      <c r="AS48" s="32">
        <f t="shared" si="2"/>
        <v>170000</v>
      </c>
      <c r="AT48" s="47"/>
      <c r="AU48" s="47"/>
      <c r="AV48" s="47"/>
    </row>
    <row r="49" spans="1:48" x14ac:dyDescent="0.25">
      <c r="A49" s="25">
        <v>40</v>
      </c>
      <c r="B49" s="26"/>
      <c r="C49" s="165" t="s">
        <v>171</v>
      </c>
      <c r="D49" s="184" t="s">
        <v>172</v>
      </c>
      <c r="E49" s="166" t="s">
        <v>88</v>
      </c>
      <c r="F49" s="27" t="s">
        <v>12</v>
      </c>
      <c r="G49" s="27"/>
      <c r="H49" s="27"/>
      <c r="I49" s="27"/>
      <c r="J49" s="27"/>
      <c r="K49" s="28"/>
      <c r="L49" s="29"/>
      <c r="M49" s="30"/>
      <c r="N49" s="27"/>
      <c r="O49" s="28"/>
      <c r="P49" s="27"/>
      <c r="Q49" s="30">
        <v>500</v>
      </c>
      <c r="R49" s="37">
        <f t="shared" si="1"/>
        <v>41500</v>
      </c>
      <c r="S49" s="28"/>
      <c r="T49" s="27"/>
      <c r="U49" s="30"/>
      <c r="V49" s="27"/>
      <c r="W49" s="30"/>
      <c r="X49" s="27"/>
      <c r="Y49" s="30"/>
      <c r="Z49" s="27"/>
      <c r="AA49" s="30"/>
      <c r="AB49" s="27"/>
      <c r="AC49" s="30"/>
      <c r="AD49" s="27"/>
      <c r="AE49" s="30"/>
      <c r="AF49" s="27"/>
      <c r="AG49" s="30"/>
      <c r="AH49" s="27"/>
      <c r="AI49" s="30"/>
      <c r="AJ49" s="27"/>
      <c r="AK49" s="30"/>
      <c r="AL49" s="27"/>
      <c r="AM49" s="30"/>
      <c r="AN49" s="27"/>
      <c r="AO49" s="30"/>
      <c r="AP49" s="27"/>
      <c r="AQ49" s="39">
        <f t="shared" si="0"/>
        <v>500</v>
      </c>
      <c r="AR49" s="45">
        <v>83</v>
      </c>
      <c r="AS49" s="32">
        <f t="shared" si="2"/>
        <v>41500</v>
      </c>
      <c r="AT49" s="47"/>
      <c r="AU49" s="47"/>
      <c r="AV49" s="47"/>
    </row>
    <row r="50" spans="1:48" x14ac:dyDescent="0.25">
      <c r="A50" s="25">
        <v>41</v>
      </c>
      <c r="B50" s="26"/>
      <c r="C50" s="165" t="s">
        <v>171</v>
      </c>
      <c r="D50" s="184" t="s">
        <v>172</v>
      </c>
      <c r="E50" s="169" t="s">
        <v>55</v>
      </c>
      <c r="F50" s="27" t="s">
        <v>12</v>
      </c>
      <c r="G50" s="27"/>
      <c r="H50" s="27"/>
      <c r="I50" s="27"/>
      <c r="J50" s="38"/>
      <c r="K50" s="28">
        <v>40</v>
      </c>
      <c r="L50" s="29">
        <f>+K50*AR50</f>
        <v>64000</v>
      </c>
      <c r="M50" s="30"/>
      <c r="N50" s="27"/>
      <c r="O50" s="28"/>
      <c r="P50" s="27"/>
      <c r="Q50" s="30"/>
      <c r="R50" s="37">
        <f t="shared" si="1"/>
        <v>0</v>
      </c>
      <c r="S50" s="28">
        <v>10</v>
      </c>
      <c r="T50" s="38">
        <f>+S50*AR50</f>
        <v>16000</v>
      </c>
      <c r="U50" s="30"/>
      <c r="V50" s="27"/>
      <c r="W50" s="30"/>
      <c r="X50" s="27"/>
      <c r="Y50" s="30"/>
      <c r="Z50" s="27"/>
      <c r="AA50" s="30"/>
      <c r="AB50" s="27"/>
      <c r="AC50" s="30"/>
      <c r="AD50" s="27"/>
      <c r="AE50" s="30"/>
      <c r="AF50" s="27"/>
      <c r="AG50" s="30"/>
      <c r="AH50" s="27"/>
      <c r="AI50" s="30"/>
      <c r="AJ50" s="27"/>
      <c r="AK50" s="30"/>
      <c r="AL50" s="27"/>
      <c r="AM50" s="30"/>
      <c r="AN50" s="27"/>
      <c r="AO50" s="30"/>
      <c r="AP50" s="27"/>
      <c r="AQ50" s="39">
        <f t="shared" si="0"/>
        <v>50</v>
      </c>
      <c r="AR50" s="45">
        <v>1600</v>
      </c>
      <c r="AS50" s="32">
        <f t="shared" si="2"/>
        <v>80000</v>
      </c>
      <c r="AT50" s="47"/>
      <c r="AU50" s="47"/>
      <c r="AV50" s="47"/>
    </row>
    <row r="51" spans="1:48" x14ac:dyDescent="0.25">
      <c r="A51" s="25">
        <v>42</v>
      </c>
      <c r="B51" s="26"/>
      <c r="C51" s="165" t="s">
        <v>171</v>
      </c>
      <c r="D51" s="184" t="s">
        <v>172</v>
      </c>
      <c r="E51" s="169" t="s">
        <v>54</v>
      </c>
      <c r="F51" s="27" t="s">
        <v>12</v>
      </c>
      <c r="G51" s="27"/>
      <c r="H51" s="27"/>
      <c r="I51" s="27"/>
      <c r="J51" s="27"/>
      <c r="K51" s="28"/>
      <c r="L51" s="29"/>
      <c r="M51" s="30"/>
      <c r="N51" s="27"/>
      <c r="O51" s="28"/>
      <c r="P51" s="27"/>
      <c r="Q51" s="31"/>
      <c r="R51" s="37">
        <f t="shared" si="1"/>
        <v>0</v>
      </c>
      <c r="S51" s="28">
        <v>20</v>
      </c>
      <c r="T51" s="38">
        <f>+S51*AR51</f>
        <v>31500</v>
      </c>
      <c r="U51" s="30"/>
      <c r="V51" s="27"/>
      <c r="W51" s="30"/>
      <c r="X51" s="27"/>
      <c r="Y51" s="30"/>
      <c r="Z51" s="27"/>
      <c r="AA51" s="30"/>
      <c r="AB51" s="27"/>
      <c r="AC51" s="30"/>
      <c r="AD51" s="27"/>
      <c r="AE51" s="30"/>
      <c r="AF51" s="27"/>
      <c r="AG51" s="30"/>
      <c r="AH51" s="27"/>
      <c r="AI51" s="30"/>
      <c r="AJ51" s="27"/>
      <c r="AK51" s="30"/>
      <c r="AL51" s="27"/>
      <c r="AM51" s="30"/>
      <c r="AN51" s="27"/>
      <c r="AO51" s="30"/>
      <c r="AP51" s="27"/>
      <c r="AQ51" s="39">
        <f t="shared" si="0"/>
        <v>20</v>
      </c>
      <c r="AR51" s="45">
        <v>1575</v>
      </c>
      <c r="AS51" s="32">
        <f t="shared" si="2"/>
        <v>31500</v>
      </c>
      <c r="AT51" s="47"/>
      <c r="AU51" s="47"/>
      <c r="AV51" s="47"/>
    </row>
    <row r="52" spans="1:48" x14ac:dyDescent="0.25">
      <c r="A52" s="25"/>
      <c r="B52" s="26"/>
      <c r="C52" s="25"/>
      <c r="D52" s="27"/>
      <c r="E52" s="127" t="s">
        <v>90</v>
      </c>
      <c r="F52" s="27"/>
      <c r="G52" s="27"/>
      <c r="H52" s="27"/>
      <c r="I52" s="27"/>
      <c r="J52" s="121"/>
      <c r="K52" s="122"/>
      <c r="L52" s="121">
        <f>SUM(L10:L51)</f>
        <v>229000</v>
      </c>
      <c r="M52" s="123"/>
      <c r="N52" s="124"/>
      <c r="O52" s="122"/>
      <c r="P52" s="124">
        <f>SUM(P10:P51)</f>
        <v>116950</v>
      </c>
      <c r="Q52" s="125"/>
      <c r="R52" s="121">
        <f>SUM(R10:R51)</f>
        <v>40651865</v>
      </c>
      <c r="S52" s="122"/>
      <c r="T52" s="126">
        <f>SUM(T10:T51)</f>
        <v>99500</v>
      </c>
      <c r="U52" s="123"/>
      <c r="V52" s="121">
        <f>SUM(V10:V51)</f>
        <v>330000</v>
      </c>
      <c r="W52" s="123"/>
      <c r="X52" s="124"/>
      <c r="Y52" s="123"/>
      <c r="Z52" s="121">
        <f>SUM(Z10:Z51)</f>
        <v>41700</v>
      </c>
      <c r="AA52" s="123"/>
      <c r="AB52" s="124"/>
      <c r="AC52" s="123"/>
      <c r="AD52" s="124"/>
      <c r="AE52" s="123"/>
      <c r="AF52" s="124"/>
      <c r="AG52" s="123"/>
      <c r="AH52" s="124"/>
      <c r="AI52" s="123"/>
      <c r="AJ52" s="121">
        <f>SUM(AJ10:AJ51)</f>
        <v>66000</v>
      </c>
      <c r="AK52" s="30"/>
      <c r="AL52" s="27"/>
      <c r="AM52" s="30"/>
      <c r="AN52" s="27"/>
      <c r="AO52" s="30"/>
      <c r="AP52" s="27"/>
      <c r="AQ52" s="31"/>
      <c r="AR52" s="45"/>
      <c r="AS52" s="48">
        <f>SUM(AS10:AS51)</f>
        <v>41535015</v>
      </c>
      <c r="AT52" s="47"/>
      <c r="AU52" s="47"/>
    </row>
    <row r="53" spans="1:48" x14ac:dyDescent="0.25">
      <c r="AS53" s="191"/>
    </row>
    <row r="54" spans="1:48" ht="147" customHeight="1" x14ac:dyDescent="0.2">
      <c r="B54" s="163" t="s">
        <v>162</v>
      </c>
      <c r="C54" s="199" t="s">
        <v>160</v>
      </c>
      <c r="D54" s="199"/>
      <c r="E54" s="199"/>
      <c r="F54" s="199"/>
      <c r="G54" s="199"/>
      <c r="H54" s="199"/>
      <c r="I54" s="199"/>
      <c r="J54" s="199"/>
      <c r="K54" s="199"/>
      <c r="R54" s="3"/>
    </row>
    <row r="55" spans="1:48" x14ac:dyDescent="0.25">
      <c r="R55" s="3"/>
    </row>
    <row r="56" spans="1:48" ht="30" x14ac:dyDescent="0.25">
      <c r="B56" s="20" t="s">
        <v>91</v>
      </c>
      <c r="R56" s="3"/>
    </row>
    <row r="57" spans="1:48" x14ac:dyDescent="0.25">
      <c r="R57" s="3"/>
    </row>
    <row r="58" spans="1:48" x14ac:dyDescent="0.25">
      <c r="B58" s="20" t="s">
        <v>92</v>
      </c>
      <c r="C58" s="21" t="s">
        <v>93</v>
      </c>
      <c r="R58" s="3"/>
    </row>
    <row r="59" spans="1:48" x14ac:dyDescent="0.25">
      <c r="R59" s="3"/>
    </row>
    <row r="60" spans="1:48" ht="30" x14ac:dyDescent="0.25">
      <c r="B60" s="20" t="s">
        <v>94</v>
      </c>
      <c r="C60" s="198" t="s">
        <v>161</v>
      </c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</row>
    <row r="61" spans="1:48" x14ac:dyDescent="0.25"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8"/>
      <c r="AD61" s="198"/>
      <c r="AE61" s="198"/>
    </row>
    <row r="62" spans="1:48" x14ac:dyDescent="0.25"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</row>
    <row r="63" spans="1:48" x14ac:dyDescent="0.25"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8"/>
      <c r="AC63" s="198"/>
      <c r="AD63" s="198"/>
      <c r="AE63" s="198"/>
    </row>
    <row r="64" spans="1:48" ht="30" x14ac:dyDescent="0.25">
      <c r="B64" s="20" t="s">
        <v>95</v>
      </c>
      <c r="R64" s="3"/>
    </row>
    <row r="65" spans="2:18" x14ac:dyDescent="0.25">
      <c r="R65" s="3"/>
    </row>
    <row r="66" spans="2:18" x14ac:dyDescent="0.25">
      <c r="B66" s="20" t="s">
        <v>96</v>
      </c>
      <c r="C66" s="21" t="s">
        <v>97</v>
      </c>
      <c r="R66" s="3"/>
    </row>
  </sheetData>
  <mergeCells count="12">
    <mergeCell ref="C60:AE60"/>
    <mergeCell ref="C61:AE61"/>
    <mergeCell ref="C62:AE62"/>
    <mergeCell ref="C63:AE63"/>
    <mergeCell ref="A7:B7"/>
    <mergeCell ref="C54:K54"/>
    <mergeCell ref="A6:B6"/>
    <mergeCell ref="B2:AR2"/>
    <mergeCell ref="A4:B4"/>
    <mergeCell ref="C4:E4"/>
    <mergeCell ref="A5:B5"/>
    <mergeCell ref="C5:E5"/>
  </mergeCells>
  <conditionalFormatting sqref="B67:B1048576 B1:B16 B22:B53">
    <cfRule type="duplicateValues" dxfId="50" priority="39"/>
  </conditionalFormatting>
  <conditionalFormatting sqref="E50:E53 E1:E9 E67:E1048576">
    <cfRule type="duplicateValues" dxfId="49" priority="8226"/>
    <cfRule type="duplicateValues" dxfId="48" priority="8227"/>
  </conditionalFormatting>
  <conditionalFormatting sqref="E51:E53 E67:E1048576">
    <cfRule type="duplicateValues" dxfId="47" priority="8475"/>
  </conditionalFormatting>
  <conditionalFormatting sqref="E50:E53 E1:E9 E67:E1048576">
    <cfRule type="duplicateValues" dxfId="46" priority="8485"/>
  </conditionalFormatting>
  <conditionalFormatting sqref="E50:E53 E1:E9 B1:B16 B67:B1048576 E67:E1048576 B22:B53">
    <cfRule type="duplicateValues" dxfId="45" priority="8486"/>
  </conditionalFormatting>
  <conditionalFormatting sqref="E50:E53 B1:B16 E1:E9 B67:B1048576 E67:E1048576 B22:B53">
    <cfRule type="duplicateValues" dxfId="44" priority="8489"/>
  </conditionalFormatting>
  <conditionalFormatting sqref="B54:B66">
    <cfRule type="duplicateValues" dxfId="43" priority="8"/>
  </conditionalFormatting>
  <conditionalFormatting sqref="E55:E59 E64:E66">
    <cfRule type="duplicateValues" dxfId="42" priority="7"/>
  </conditionalFormatting>
  <conditionalFormatting sqref="B54:B66 E55:E59 E64:E66">
    <cfRule type="duplicateValues" dxfId="41" priority="9"/>
  </conditionalFormatting>
  <conditionalFormatting sqref="B54:B66">
    <cfRule type="duplicateValues" dxfId="40" priority="10"/>
  </conditionalFormatting>
  <conditionalFormatting sqref="E55:E59 B54:B66 E64:E66">
    <cfRule type="duplicateValues" dxfId="39" priority="11"/>
  </conditionalFormatting>
  <conditionalFormatting sqref="E55:E59 E64:E66">
    <cfRule type="duplicateValues" dxfId="38" priority="12"/>
    <cfRule type="duplicateValues" dxfId="37" priority="13"/>
  </conditionalFormatting>
  <conditionalFormatting sqref="B17:B21">
    <cfRule type="duplicateValues" dxfId="36" priority="1"/>
  </conditionalFormatting>
  <conditionalFormatting sqref="E17:E21">
    <cfRule type="duplicateValues" dxfId="35" priority="2"/>
    <cfRule type="duplicateValues" dxfId="34" priority="3"/>
  </conditionalFormatting>
  <conditionalFormatting sqref="E17:E21">
    <cfRule type="duplicateValues" dxfId="33" priority="4"/>
  </conditionalFormatting>
  <conditionalFormatting sqref="B17:B21 E17:E21">
    <cfRule type="duplicateValues" dxfId="32" priority="5"/>
  </conditionalFormatting>
  <conditionalFormatting sqref="B17:B21 E17:E21">
    <cfRule type="duplicateValues" dxfId="31" priority="6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4"/>
  <sheetViews>
    <sheetView zoomScale="80" zoomScaleNormal="80" workbookViewId="0">
      <selection activeCell="J24" sqref="J24:K24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7" t="s">
        <v>98</v>
      </c>
      <c r="B1" s="227"/>
      <c r="C1" s="227"/>
      <c r="D1" s="227"/>
      <c r="E1" s="227"/>
      <c r="F1" s="227"/>
      <c r="G1" s="227"/>
      <c r="H1" s="227"/>
      <c r="I1" s="227"/>
      <c r="J1" s="49" t="s">
        <v>99</v>
      </c>
      <c r="K1" s="50" t="s">
        <v>179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2" t="s">
        <v>100</v>
      </c>
      <c r="B3" s="222"/>
      <c r="C3" s="222"/>
      <c r="D3" s="223" t="s">
        <v>101</v>
      </c>
      <c r="E3" s="223"/>
      <c r="F3" s="223"/>
      <c r="G3" s="223"/>
      <c r="H3" s="223"/>
      <c r="I3" s="223"/>
      <c r="J3" s="223"/>
      <c r="K3" s="223"/>
    </row>
    <row r="4" spans="1:13" ht="18.75" customHeight="1" thickBot="1" x14ac:dyDescent="0.25">
      <c r="A4" s="224" t="s">
        <v>102</v>
      </c>
      <c r="B4" s="224"/>
      <c r="C4" s="224"/>
      <c r="D4" s="223" t="s">
        <v>103</v>
      </c>
      <c r="E4" s="223"/>
      <c r="F4" s="223"/>
      <c r="G4" s="223"/>
      <c r="H4" s="223"/>
      <c r="I4" s="223"/>
      <c r="J4" s="223"/>
      <c r="K4" s="223"/>
    </row>
    <row r="5" spans="1:13" ht="18.75" customHeight="1" thickBot="1" x14ac:dyDescent="0.25">
      <c r="A5" s="224" t="s">
        <v>104</v>
      </c>
      <c r="B5" s="224"/>
      <c r="C5" s="224"/>
      <c r="D5" s="223" t="s">
        <v>180</v>
      </c>
      <c r="E5" s="223"/>
      <c r="F5" s="223"/>
      <c r="G5" s="223"/>
      <c r="H5" s="223"/>
      <c r="I5" s="223"/>
      <c r="J5" s="223"/>
      <c r="K5" s="223"/>
    </row>
    <row r="6" spans="1:13" ht="16.5" customHeight="1" thickBot="1" x14ac:dyDescent="0.25">
      <c r="A6" s="222" t="s">
        <v>105</v>
      </c>
      <c r="B6" s="222"/>
      <c r="C6" s="222"/>
      <c r="D6" s="223" t="s">
        <v>180</v>
      </c>
      <c r="E6" s="223"/>
      <c r="F6" s="223"/>
      <c r="G6" s="223"/>
      <c r="H6" s="223"/>
      <c r="I6" s="223"/>
      <c r="J6" s="223"/>
      <c r="K6" s="223"/>
    </row>
    <row r="7" spans="1:13" ht="16.5" customHeight="1" thickBot="1" x14ac:dyDescent="0.25">
      <c r="A7" s="224" t="s">
        <v>106</v>
      </c>
      <c r="B7" s="224"/>
      <c r="C7" s="224"/>
      <c r="D7" s="223" t="s">
        <v>107</v>
      </c>
      <c r="E7" s="223"/>
      <c r="F7" s="223"/>
      <c r="G7" s="223"/>
      <c r="H7" s="223"/>
      <c r="I7" s="223"/>
      <c r="J7" s="223"/>
      <c r="K7" s="223"/>
    </row>
    <row r="8" spans="1:13" ht="16.5" customHeight="1" thickBot="1" x14ac:dyDescent="0.25">
      <c r="A8" s="225" t="s">
        <v>108</v>
      </c>
      <c r="B8" s="225"/>
      <c r="C8" s="225"/>
      <c r="D8" s="226" t="s">
        <v>185</v>
      </c>
      <c r="E8" s="226"/>
      <c r="F8" s="226"/>
      <c r="G8" s="226"/>
      <c r="H8" s="226"/>
      <c r="I8" s="226"/>
      <c r="J8" s="226"/>
      <c r="K8" s="226"/>
    </row>
    <row r="9" spans="1:13" ht="16.5" thickBot="1" x14ac:dyDescent="0.25">
      <c r="A9" s="54"/>
      <c r="B9" s="54"/>
      <c r="C9" s="54"/>
      <c r="D9" s="164"/>
      <c r="E9" s="164"/>
      <c r="F9" s="164"/>
      <c r="G9" s="164"/>
      <c r="H9" s="164"/>
      <c r="I9" s="164"/>
      <c r="J9" s="164"/>
      <c r="K9" s="164"/>
    </row>
    <row r="10" spans="1:13" ht="18.75" customHeight="1" thickBot="1" x14ac:dyDescent="0.25">
      <c r="A10" s="221" t="s">
        <v>109</v>
      </c>
      <c r="B10" s="220" t="s">
        <v>110</v>
      </c>
      <c r="C10" s="220" t="s">
        <v>111</v>
      </c>
      <c r="D10" s="220"/>
      <c r="E10" s="220"/>
      <c r="F10" s="220"/>
      <c r="G10" s="220"/>
      <c r="H10" s="220" t="s">
        <v>112</v>
      </c>
      <c r="I10" s="220" t="s">
        <v>113</v>
      </c>
      <c r="J10" s="220" t="s">
        <v>114</v>
      </c>
      <c r="K10" s="213" t="s">
        <v>115</v>
      </c>
    </row>
    <row r="11" spans="1:13" ht="24" customHeight="1" thickBot="1" x14ac:dyDescent="0.25">
      <c r="A11" s="221"/>
      <c r="B11" s="220"/>
      <c r="C11" s="220"/>
      <c r="D11" s="220"/>
      <c r="E11" s="220"/>
      <c r="F11" s="220"/>
      <c r="G11" s="220"/>
      <c r="H11" s="220"/>
      <c r="I11" s="220"/>
      <c r="J11" s="220"/>
      <c r="K11" s="213"/>
    </row>
    <row r="12" spans="1:13" s="51" customFormat="1" ht="32.25" customHeight="1" thickBot="1" x14ac:dyDescent="0.25">
      <c r="A12" s="55">
        <v>1</v>
      </c>
      <c r="B12" s="56"/>
      <c r="C12" s="214" t="s">
        <v>173</v>
      </c>
      <c r="D12" s="215"/>
      <c r="E12" s="215"/>
      <c r="F12" s="215"/>
      <c r="G12" s="216"/>
      <c r="H12" s="57" t="s">
        <v>140</v>
      </c>
      <c r="I12" s="171" t="s">
        <v>12</v>
      </c>
      <c r="J12" s="177">
        <v>33</v>
      </c>
      <c r="K12" s="174">
        <v>1000</v>
      </c>
      <c r="M12" s="128">
        <f>+K12*J12</f>
        <v>33000</v>
      </c>
    </row>
    <row r="13" spans="1:13" s="51" customFormat="1" ht="32.25" customHeight="1" thickBot="1" x14ac:dyDescent="0.25">
      <c r="A13" s="61">
        <v>2</v>
      </c>
      <c r="B13" s="62"/>
      <c r="C13" s="217" t="s">
        <v>174</v>
      </c>
      <c r="D13" s="218"/>
      <c r="E13" s="218"/>
      <c r="F13" s="218"/>
      <c r="G13" s="219"/>
      <c r="H13" s="57" t="s">
        <v>140</v>
      </c>
      <c r="I13" s="171" t="s">
        <v>12</v>
      </c>
      <c r="J13" s="177">
        <v>38</v>
      </c>
      <c r="K13" s="174">
        <v>1500</v>
      </c>
      <c r="M13" s="128">
        <f t="shared" ref="M13:M22" si="0">+K13*J13</f>
        <v>57000</v>
      </c>
    </row>
    <row r="14" spans="1:13" s="51" customFormat="1" ht="32.25" customHeight="1" thickBot="1" x14ac:dyDescent="0.25">
      <c r="A14" s="55">
        <v>3</v>
      </c>
      <c r="B14" s="62"/>
      <c r="C14" s="217" t="s">
        <v>175</v>
      </c>
      <c r="D14" s="218"/>
      <c r="E14" s="218"/>
      <c r="F14" s="218"/>
      <c r="G14" s="219"/>
      <c r="H14" s="57" t="s">
        <v>140</v>
      </c>
      <c r="I14" s="171" t="s">
        <v>12</v>
      </c>
      <c r="J14" s="177">
        <v>36</v>
      </c>
      <c r="K14" s="174">
        <v>500</v>
      </c>
      <c r="M14" s="128">
        <f t="shared" si="0"/>
        <v>18000</v>
      </c>
    </row>
    <row r="15" spans="1:13" s="51" customFormat="1" ht="32.25" customHeight="1" thickBot="1" x14ac:dyDescent="0.25">
      <c r="A15" s="61">
        <v>4</v>
      </c>
      <c r="B15" s="62"/>
      <c r="C15" s="217" t="s">
        <v>176</v>
      </c>
      <c r="D15" s="218"/>
      <c r="E15" s="218"/>
      <c r="F15" s="218"/>
      <c r="G15" s="219"/>
      <c r="H15" s="57" t="s">
        <v>140</v>
      </c>
      <c r="I15" s="171" t="s">
        <v>12</v>
      </c>
      <c r="J15" s="177">
        <v>605</v>
      </c>
      <c r="K15" s="174">
        <v>10</v>
      </c>
      <c r="M15" s="128">
        <f t="shared" si="0"/>
        <v>6050</v>
      </c>
    </row>
    <row r="16" spans="1:13" s="51" customFormat="1" ht="32.25" customHeight="1" thickBot="1" x14ac:dyDescent="0.25">
      <c r="A16" s="55">
        <v>5</v>
      </c>
      <c r="B16" s="62"/>
      <c r="C16" s="217" t="s">
        <v>177</v>
      </c>
      <c r="D16" s="218"/>
      <c r="E16" s="218"/>
      <c r="F16" s="218"/>
      <c r="G16" s="219"/>
      <c r="H16" s="57" t="s">
        <v>140</v>
      </c>
      <c r="I16" s="171" t="s">
        <v>12</v>
      </c>
      <c r="J16" s="177">
        <v>145</v>
      </c>
      <c r="K16" s="174">
        <v>20</v>
      </c>
      <c r="M16" s="128">
        <f t="shared" si="0"/>
        <v>2900</v>
      </c>
    </row>
    <row r="17" spans="1:13" s="51" customFormat="1" ht="32.25" customHeight="1" thickBot="1" x14ac:dyDescent="0.25">
      <c r="A17" s="61"/>
      <c r="B17" s="62"/>
      <c r="C17" s="210"/>
      <c r="D17" s="211"/>
      <c r="E17" s="211"/>
      <c r="F17" s="211"/>
      <c r="G17" s="212"/>
      <c r="H17" s="57"/>
      <c r="I17" s="186"/>
      <c r="J17" s="187"/>
      <c r="K17" s="33"/>
      <c r="M17" s="128">
        <f t="shared" si="0"/>
        <v>0</v>
      </c>
    </row>
    <row r="18" spans="1:13" s="51" customFormat="1" ht="32.25" customHeight="1" thickBot="1" x14ac:dyDescent="0.25">
      <c r="A18" s="55"/>
      <c r="B18" s="62"/>
      <c r="C18" s="210"/>
      <c r="D18" s="211"/>
      <c r="E18" s="211"/>
      <c r="F18" s="211"/>
      <c r="G18" s="212"/>
      <c r="H18" s="57"/>
      <c r="I18" s="188"/>
      <c r="J18" s="187"/>
      <c r="K18" s="31"/>
      <c r="M18" s="128">
        <f t="shared" si="0"/>
        <v>0</v>
      </c>
    </row>
    <row r="19" spans="1:13" s="51" customFormat="1" ht="32.25" customHeight="1" thickBot="1" x14ac:dyDescent="0.25">
      <c r="A19" s="61"/>
      <c r="B19" s="62"/>
      <c r="C19" s="210"/>
      <c r="D19" s="211"/>
      <c r="E19" s="211"/>
      <c r="F19" s="211"/>
      <c r="G19" s="212"/>
      <c r="H19" s="57"/>
      <c r="I19" s="188"/>
      <c r="J19" s="187"/>
      <c r="K19" s="189"/>
      <c r="M19" s="128">
        <f t="shared" si="0"/>
        <v>0</v>
      </c>
    </row>
    <row r="20" spans="1:13" s="51" customFormat="1" ht="32.25" customHeight="1" thickBot="1" x14ac:dyDescent="0.25">
      <c r="A20" s="55"/>
      <c r="B20" s="62"/>
      <c r="C20" s="210"/>
      <c r="D20" s="211"/>
      <c r="E20" s="211"/>
      <c r="F20" s="211"/>
      <c r="G20" s="212"/>
      <c r="H20" s="57"/>
      <c r="I20" s="188"/>
      <c r="J20" s="187"/>
      <c r="K20" s="189"/>
      <c r="M20" s="128">
        <f t="shared" si="0"/>
        <v>0</v>
      </c>
    </row>
    <row r="21" spans="1:13" s="51" customFormat="1" ht="15.95" customHeight="1" thickBot="1" x14ac:dyDescent="0.25">
      <c r="A21" s="61"/>
      <c r="B21" s="70"/>
      <c r="C21" s="210"/>
      <c r="D21" s="211"/>
      <c r="E21" s="211"/>
      <c r="F21" s="211"/>
      <c r="G21" s="212"/>
      <c r="H21" s="57"/>
      <c r="I21" s="188"/>
      <c r="J21" s="187"/>
      <c r="K21" s="189"/>
      <c r="M21" s="128">
        <f t="shared" si="0"/>
        <v>0</v>
      </c>
    </row>
    <row r="22" spans="1:13" s="51" customFormat="1" ht="15.95" customHeight="1" x14ac:dyDescent="0.2">
      <c r="A22" s="55"/>
      <c r="B22" s="75"/>
      <c r="C22" s="210"/>
      <c r="D22" s="211"/>
      <c r="E22" s="211"/>
      <c r="F22" s="211"/>
      <c r="G22" s="212"/>
      <c r="H22" s="57"/>
      <c r="I22" s="188"/>
      <c r="J22" s="187"/>
      <c r="K22" s="189"/>
      <c r="M22" s="128">
        <f t="shared" si="0"/>
        <v>0</v>
      </c>
    </row>
    <row r="23" spans="1:13" s="51" customFormat="1" ht="15.95" customHeight="1" thickBot="1" x14ac:dyDescent="0.25">
      <c r="A23" s="80"/>
      <c r="B23" s="81"/>
      <c r="C23" s="200"/>
      <c r="D23" s="201"/>
      <c r="E23" s="201"/>
      <c r="F23" s="201"/>
      <c r="G23" s="202"/>
      <c r="H23" s="76"/>
      <c r="I23" s="77"/>
      <c r="J23" s="78"/>
      <c r="K23" s="79"/>
      <c r="M23" s="60"/>
    </row>
    <row r="24" spans="1:13" s="51" customFormat="1" ht="15.95" customHeight="1" thickBot="1" x14ac:dyDescent="0.25">
      <c r="A24" s="203" t="s">
        <v>181</v>
      </c>
      <c r="B24" s="204"/>
      <c r="C24" s="204"/>
      <c r="D24" s="204"/>
      <c r="E24" s="204"/>
      <c r="F24" s="204"/>
      <c r="G24" s="204"/>
      <c r="H24" s="204"/>
      <c r="I24" s="205"/>
      <c r="J24" s="206">
        <f>SUM(M12:M22)</f>
        <v>116950</v>
      </c>
      <c r="K24" s="207"/>
      <c r="M24" s="60"/>
    </row>
    <row r="25" spans="1:13" s="51" customFormat="1" ht="15.95" customHeight="1" x14ac:dyDescent="0.2">
      <c r="A25" s="208"/>
      <c r="B25" s="208"/>
      <c r="C25" s="208"/>
      <c r="D25" s="208"/>
      <c r="E25" s="208"/>
      <c r="F25" s="208"/>
      <c r="G25" s="208"/>
      <c r="H25" s="208"/>
      <c r="I25" s="208"/>
      <c r="J25" s="209"/>
      <c r="K25" s="209"/>
      <c r="M25" s="60"/>
    </row>
    <row r="26" spans="1:13" s="51" customFormat="1" ht="15.95" customHeight="1" x14ac:dyDescent="0.2">
      <c r="M26" s="60"/>
    </row>
    <row r="27" spans="1:13" s="51" customFormat="1" ht="15.95" customHeight="1" x14ac:dyDescent="0.2">
      <c r="M27" s="60"/>
    </row>
    <row r="28" spans="1:13" s="51" customFormat="1" ht="15.95" customHeight="1" x14ac:dyDescent="0.2">
      <c r="M28" s="60"/>
    </row>
    <row r="29" spans="1:13" s="51" customFormat="1" ht="15.95" customHeight="1" x14ac:dyDescent="0.2">
      <c r="M29" s="60"/>
    </row>
    <row r="30" spans="1:13" s="51" customFormat="1" ht="15.95" customHeight="1" x14ac:dyDescent="0.2">
      <c r="M30" s="60"/>
    </row>
    <row r="31" spans="1:13" s="51" customFormat="1" ht="15.95" customHeight="1" x14ac:dyDescent="0.2"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2:1024" s="51" customFormat="1" ht="15.95" customHeight="1" x14ac:dyDescent="0.2">
      <c r="M49" s="60"/>
    </row>
    <row r="50" spans="12:1024" s="51" customFormat="1" ht="15.95" customHeight="1" x14ac:dyDescent="0.2">
      <c r="M50" s="60"/>
    </row>
    <row r="51" spans="12:1024" s="51" customFormat="1" ht="15.95" customHeight="1" x14ac:dyDescent="0.2">
      <c r="M51" s="60"/>
    </row>
    <row r="52" spans="12:1024" s="51" customFormat="1" ht="15.95" customHeight="1" x14ac:dyDescent="0.2">
      <c r="M52" s="60"/>
    </row>
    <row r="53" spans="12:1024" s="51" customFormat="1" ht="15.95" customHeight="1" x14ac:dyDescent="0.2">
      <c r="M53" s="60"/>
    </row>
    <row r="54" spans="12:1024" s="51" customFormat="1" ht="15.95" customHeight="1" x14ac:dyDescent="0.2">
      <c r="M54" s="60"/>
    </row>
    <row r="55" spans="12:1024" s="51" customFormat="1" ht="15.95" customHeight="1" x14ac:dyDescent="0.2">
      <c r="M55" s="60"/>
    </row>
    <row r="56" spans="12:1024" s="51" customFormat="1" ht="15.95" customHeight="1" x14ac:dyDescent="0.2">
      <c r="M56" s="60"/>
    </row>
    <row r="57" spans="12:1024" s="51" customFormat="1" ht="15.95" customHeight="1" x14ac:dyDescent="0.2">
      <c r="M57" s="60"/>
    </row>
    <row r="58" spans="12:1024" s="51" customFormat="1" ht="15.95" customHeight="1" x14ac:dyDescent="0.2">
      <c r="M58" s="60"/>
    </row>
    <row r="59" spans="12:1024" ht="15.95" customHeight="1" x14ac:dyDescent="0.2">
      <c r="M59" s="60"/>
    </row>
    <row r="60" spans="12:1024" ht="15.95" customHeight="1" x14ac:dyDescent="0.2">
      <c r="M60" s="60"/>
    </row>
    <row r="61" spans="12:1024" ht="15.95" customHeight="1" x14ac:dyDescent="0.2">
      <c r="M61" s="60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15.9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  <row r="70" spans="12:1024" ht="15.95" customHeight="1" x14ac:dyDescent="0.2">
      <c r="L70" s="83"/>
      <c r="M70" s="84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  <c r="IX70" s="83"/>
      <c r="IY70" s="83"/>
      <c r="IZ70" s="83"/>
      <c r="JA70" s="83"/>
      <c r="JB70" s="83"/>
      <c r="JC70" s="83"/>
      <c r="JD70" s="83"/>
      <c r="JE70" s="83"/>
      <c r="JF70" s="83"/>
      <c r="JG70" s="83"/>
      <c r="JH70" s="83"/>
      <c r="JI70" s="83"/>
      <c r="JJ70" s="83"/>
      <c r="JK70" s="83"/>
      <c r="JL70" s="83"/>
      <c r="JM70" s="83"/>
      <c r="JN70" s="83"/>
      <c r="JO70" s="83"/>
      <c r="JP70" s="83"/>
      <c r="JQ70" s="83"/>
      <c r="JR70" s="83"/>
      <c r="JS70" s="83"/>
      <c r="JT70" s="83"/>
      <c r="JU70" s="83"/>
      <c r="JV70" s="83"/>
      <c r="JW70" s="83"/>
      <c r="JX70" s="83"/>
      <c r="JY70" s="83"/>
      <c r="JZ70" s="83"/>
      <c r="KA70" s="83"/>
      <c r="KB70" s="83"/>
      <c r="KC70" s="83"/>
      <c r="KD70" s="83"/>
      <c r="KE70" s="83"/>
      <c r="KF70" s="83"/>
      <c r="KG70" s="83"/>
      <c r="KH70" s="83"/>
      <c r="KI70" s="83"/>
      <c r="KJ70" s="83"/>
      <c r="KK70" s="83"/>
      <c r="KL70" s="83"/>
      <c r="KM70" s="83"/>
      <c r="KN70" s="83"/>
      <c r="KO70" s="83"/>
      <c r="KP70" s="83"/>
      <c r="KQ70" s="83"/>
      <c r="KR70" s="83"/>
      <c r="KS70" s="83"/>
      <c r="KT70" s="83"/>
      <c r="KU70" s="83"/>
      <c r="KV70" s="83"/>
      <c r="KW70" s="83"/>
      <c r="KX70" s="83"/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83"/>
      <c r="LL70" s="83"/>
      <c r="LM70" s="83"/>
      <c r="LN70" s="83"/>
      <c r="LO70" s="83"/>
      <c r="LP70" s="83"/>
      <c r="LQ70" s="83"/>
      <c r="LR70" s="83"/>
      <c r="LS70" s="83"/>
      <c r="LT70" s="83"/>
      <c r="LU70" s="83"/>
      <c r="LV70" s="83"/>
      <c r="LW70" s="83"/>
      <c r="LX70" s="83"/>
      <c r="LY70" s="83"/>
      <c r="LZ70" s="83"/>
      <c r="MA70" s="83"/>
      <c r="MB70" s="83"/>
      <c r="MC70" s="83"/>
      <c r="MD70" s="83"/>
      <c r="ME70" s="83"/>
      <c r="MF70" s="83"/>
      <c r="MG70" s="83"/>
      <c r="MH70" s="83"/>
      <c r="MI70" s="83"/>
      <c r="MJ70" s="83"/>
      <c r="MK70" s="83"/>
      <c r="ML70" s="83"/>
      <c r="MM70" s="83"/>
      <c r="MN70" s="83"/>
      <c r="MO70" s="83"/>
      <c r="MP70" s="83"/>
      <c r="MQ70" s="83"/>
      <c r="MR70" s="83"/>
      <c r="MS70" s="83"/>
      <c r="MT70" s="83"/>
      <c r="MU70" s="83"/>
      <c r="MV70" s="83"/>
      <c r="MW70" s="83"/>
      <c r="MX70" s="83"/>
      <c r="MY70" s="83"/>
      <c r="MZ70" s="83"/>
      <c r="NA70" s="83"/>
      <c r="NB70" s="83"/>
      <c r="NC70" s="83"/>
      <c r="ND70" s="83"/>
      <c r="NE70" s="83"/>
      <c r="NF70" s="83"/>
      <c r="NG70" s="83"/>
      <c r="NH70" s="83"/>
      <c r="NI70" s="83"/>
      <c r="NJ70" s="83"/>
      <c r="NK70" s="83"/>
      <c r="NL70" s="83"/>
      <c r="NM70" s="83"/>
      <c r="NN70" s="83"/>
      <c r="NO70" s="83"/>
      <c r="NP70" s="83"/>
      <c r="NQ70" s="83"/>
      <c r="NR70" s="83"/>
      <c r="NS70" s="83"/>
      <c r="NT70" s="83"/>
      <c r="NU70" s="83"/>
      <c r="NV70" s="83"/>
      <c r="NW70" s="83"/>
      <c r="NX70" s="83"/>
      <c r="NY70" s="83"/>
      <c r="NZ70" s="83"/>
      <c r="OA70" s="83"/>
      <c r="OB70" s="83"/>
      <c r="OC70" s="83"/>
      <c r="OD70" s="83"/>
      <c r="OE70" s="83"/>
      <c r="OF70" s="83"/>
      <c r="OG70" s="83"/>
      <c r="OH70" s="83"/>
      <c r="OI70" s="83"/>
      <c r="OJ70" s="83"/>
      <c r="OK70" s="83"/>
      <c r="OL70" s="83"/>
      <c r="OM70" s="83"/>
      <c r="ON70" s="83"/>
      <c r="OO70" s="83"/>
      <c r="OP70" s="83"/>
      <c r="OQ70" s="83"/>
      <c r="OR70" s="83"/>
      <c r="OS70" s="83"/>
      <c r="OT70" s="83"/>
      <c r="OU70" s="83"/>
      <c r="OV70" s="83"/>
      <c r="OW70" s="83"/>
      <c r="OX70" s="83"/>
      <c r="OY70" s="83"/>
      <c r="OZ70" s="83"/>
      <c r="PA70" s="83"/>
      <c r="PB70" s="83"/>
      <c r="PC70" s="83"/>
      <c r="PD70" s="83"/>
      <c r="PE70" s="83"/>
      <c r="PF70" s="83"/>
      <c r="PG70" s="83"/>
      <c r="PH70" s="83"/>
      <c r="PI70" s="83"/>
      <c r="PJ70" s="83"/>
      <c r="PK70" s="83"/>
      <c r="PL70" s="83"/>
      <c r="PM70" s="83"/>
      <c r="PN70" s="83"/>
      <c r="PO70" s="83"/>
      <c r="PP70" s="83"/>
      <c r="PQ70" s="83"/>
      <c r="PR70" s="83"/>
      <c r="PS70" s="83"/>
      <c r="PT70" s="83"/>
      <c r="PU70" s="83"/>
      <c r="PV70" s="83"/>
      <c r="PW70" s="83"/>
      <c r="PX70" s="83"/>
      <c r="PY70" s="83"/>
      <c r="PZ70" s="83"/>
      <c r="QA70" s="83"/>
      <c r="QB70" s="83"/>
      <c r="QC70" s="83"/>
      <c r="QD70" s="83"/>
      <c r="QE70" s="83"/>
      <c r="QF70" s="83"/>
      <c r="QG70" s="83"/>
      <c r="QH70" s="83"/>
      <c r="QI70" s="83"/>
      <c r="QJ70" s="83"/>
      <c r="QK70" s="83"/>
      <c r="QL70" s="83"/>
      <c r="QM70" s="83"/>
      <c r="QN70" s="83"/>
      <c r="QO70" s="83"/>
      <c r="QP70" s="83"/>
      <c r="QQ70" s="83"/>
      <c r="QR70" s="83"/>
      <c r="QS70" s="83"/>
      <c r="QT70" s="83"/>
      <c r="QU70" s="83"/>
      <c r="QV70" s="83"/>
      <c r="QW70" s="83"/>
      <c r="QX70" s="83"/>
      <c r="QY70" s="83"/>
      <c r="QZ70" s="83"/>
      <c r="RA70" s="83"/>
      <c r="RB70" s="83"/>
      <c r="RC70" s="83"/>
      <c r="RD70" s="83"/>
      <c r="RE70" s="83"/>
      <c r="RF70" s="83"/>
      <c r="RG70" s="83"/>
      <c r="RH70" s="83"/>
      <c r="RI70" s="83"/>
      <c r="RJ70" s="83"/>
      <c r="RK70" s="83"/>
      <c r="RL70" s="83"/>
      <c r="RM70" s="83"/>
      <c r="RN70" s="83"/>
      <c r="RO70" s="83"/>
      <c r="RP70" s="83"/>
      <c r="RQ70" s="83"/>
      <c r="RR70" s="83"/>
      <c r="RS70" s="83"/>
      <c r="RT70" s="83"/>
      <c r="RU70" s="83"/>
      <c r="RV70" s="83"/>
      <c r="RW70" s="83"/>
      <c r="RX70" s="83"/>
      <c r="RY70" s="83"/>
      <c r="RZ70" s="83"/>
      <c r="SA70" s="83"/>
      <c r="SB70" s="83"/>
      <c r="SC70" s="83"/>
      <c r="SD70" s="83"/>
      <c r="SE70" s="83"/>
      <c r="SF70" s="83"/>
      <c r="SG70" s="83"/>
      <c r="SH70" s="83"/>
      <c r="SI70" s="83"/>
      <c r="SJ70" s="83"/>
      <c r="SK70" s="83"/>
      <c r="SL70" s="83"/>
      <c r="SM70" s="83"/>
      <c r="SN70" s="83"/>
      <c r="SO70" s="83"/>
      <c r="SP70" s="83"/>
      <c r="SQ70" s="83"/>
      <c r="SR70" s="83"/>
      <c r="SS70" s="83"/>
      <c r="ST70" s="83"/>
      <c r="SU70" s="83"/>
      <c r="SV70" s="83"/>
      <c r="SW70" s="83"/>
      <c r="SX70" s="83"/>
      <c r="SY70" s="83"/>
      <c r="SZ70" s="83"/>
      <c r="TA70" s="83"/>
      <c r="TB70" s="83"/>
      <c r="TC70" s="83"/>
      <c r="TD70" s="83"/>
      <c r="TE70" s="83"/>
      <c r="TF70" s="83"/>
      <c r="TG70" s="83"/>
      <c r="TH70" s="83"/>
      <c r="TI70" s="83"/>
      <c r="TJ70" s="83"/>
      <c r="TK70" s="83"/>
      <c r="TL70" s="83"/>
      <c r="TM70" s="83"/>
      <c r="TN70" s="83"/>
      <c r="TO70" s="83"/>
      <c r="TP70" s="83"/>
      <c r="TQ70" s="83"/>
      <c r="TR70" s="83"/>
      <c r="TS70" s="83"/>
      <c r="TT70" s="83"/>
      <c r="TU70" s="83"/>
      <c r="TV70" s="83"/>
      <c r="TW70" s="83"/>
      <c r="TX70" s="83"/>
      <c r="TY70" s="83"/>
      <c r="TZ70" s="83"/>
      <c r="UA70" s="83"/>
      <c r="UB70" s="83"/>
      <c r="UC70" s="83"/>
      <c r="UD70" s="83"/>
      <c r="UE70" s="83"/>
      <c r="UF70" s="83"/>
      <c r="UG70" s="83"/>
      <c r="UH70" s="83"/>
      <c r="UI70" s="83"/>
      <c r="UJ70" s="83"/>
      <c r="UK70" s="83"/>
      <c r="UL70" s="83"/>
      <c r="UM70" s="83"/>
      <c r="UN70" s="83"/>
      <c r="UO70" s="83"/>
      <c r="UP70" s="83"/>
      <c r="UQ70" s="83"/>
      <c r="UR70" s="83"/>
      <c r="US70" s="83"/>
      <c r="UT70" s="83"/>
      <c r="UU70" s="83"/>
      <c r="UV70" s="83"/>
      <c r="UW70" s="83"/>
      <c r="UX70" s="83"/>
      <c r="UY70" s="83"/>
      <c r="UZ70" s="83"/>
      <c r="VA70" s="83"/>
      <c r="VB70" s="83"/>
      <c r="VC70" s="83"/>
      <c r="VD70" s="83"/>
      <c r="VE70" s="83"/>
      <c r="VF70" s="83"/>
      <c r="VG70" s="83"/>
      <c r="VH70" s="83"/>
      <c r="VI70" s="83"/>
      <c r="VJ70" s="83"/>
      <c r="VK70" s="83"/>
      <c r="VL70" s="83"/>
      <c r="VM70" s="83"/>
      <c r="VN70" s="83"/>
      <c r="VO70" s="83"/>
      <c r="VP70" s="83"/>
      <c r="VQ70" s="83"/>
      <c r="VR70" s="83"/>
      <c r="VS70" s="83"/>
      <c r="VT70" s="83"/>
      <c r="VU70" s="83"/>
      <c r="VV70" s="83"/>
      <c r="VW70" s="83"/>
      <c r="VX70" s="83"/>
      <c r="VY70" s="83"/>
      <c r="VZ70" s="83"/>
      <c r="WA70" s="83"/>
      <c r="WB70" s="83"/>
      <c r="WC70" s="83"/>
      <c r="WD70" s="83"/>
      <c r="WE70" s="83"/>
      <c r="WF70" s="83"/>
      <c r="WG70" s="83"/>
      <c r="WH70" s="83"/>
      <c r="WI70" s="83"/>
      <c r="WJ70" s="83"/>
      <c r="WK70" s="83"/>
      <c r="WL70" s="83"/>
      <c r="WM70" s="83"/>
      <c r="WN70" s="83"/>
      <c r="WO70" s="83"/>
      <c r="WP70" s="83"/>
      <c r="WQ70" s="83"/>
      <c r="WR70" s="83"/>
      <c r="WS70" s="83"/>
      <c r="WT70" s="83"/>
      <c r="WU70" s="83"/>
      <c r="WV70" s="83"/>
      <c r="WW70" s="83"/>
      <c r="WX70" s="83"/>
      <c r="WY70" s="83"/>
      <c r="WZ70" s="83"/>
      <c r="XA70" s="83"/>
      <c r="XB70" s="83"/>
      <c r="XC70" s="83"/>
      <c r="XD70" s="83"/>
      <c r="XE70" s="83"/>
      <c r="XF70" s="83"/>
      <c r="XG70" s="83"/>
      <c r="XH70" s="83"/>
      <c r="XI70" s="83"/>
      <c r="XJ70" s="83"/>
      <c r="XK70" s="83"/>
      <c r="XL70" s="83"/>
      <c r="XM70" s="83"/>
      <c r="XN70" s="83"/>
      <c r="XO70" s="83"/>
      <c r="XP70" s="83"/>
      <c r="XQ70" s="83"/>
      <c r="XR70" s="83"/>
      <c r="XS70" s="83"/>
      <c r="XT70" s="83"/>
      <c r="XU70" s="83"/>
      <c r="XV70" s="83"/>
      <c r="XW70" s="83"/>
      <c r="XX70" s="83"/>
      <c r="XY70" s="83"/>
      <c r="XZ70" s="83"/>
      <c r="YA70" s="83"/>
      <c r="YB70" s="83"/>
      <c r="YC70" s="83"/>
      <c r="YD70" s="83"/>
      <c r="YE70" s="83"/>
      <c r="YF70" s="83"/>
      <c r="YG70" s="83"/>
      <c r="YH70" s="83"/>
      <c r="YI70" s="83"/>
      <c r="YJ70" s="83"/>
      <c r="YK70" s="83"/>
      <c r="YL70" s="83"/>
      <c r="YM70" s="83"/>
      <c r="YN70" s="83"/>
      <c r="YO70" s="83"/>
      <c r="YP70" s="83"/>
      <c r="YQ70" s="83"/>
      <c r="YR70" s="83"/>
      <c r="YS70" s="83"/>
      <c r="YT70" s="83"/>
      <c r="YU70" s="83"/>
      <c r="YV70" s="83"/>
      <c r="YW70" s="83"/>
      <c r="YX70" s="83"/>
      <c r="YY70" s="83"/>
      <c r="YZ70" s="83"/>
      <c r="ZA70" s="83"/>
      <c r="ZB70" s="83"/>
      <c r="ZC70" s="83"/>
      <c r="ZD70" s="83"/>
      <c r="ZE70" s="83"/>
      <c r="ZF70" s="83"/>
      <c r="ZG70" s="83"/>
      <c r="ZH70" s="83"/>
      <c r="ZI70" s="83"/>
      <c r="ZJ70" s="83"/>
      <c r="ZK70" s="83"/>
      <c r="ZL70" s="83"/>
      <c r="ZM70" s="83"/>
      <c r="ZN70" s="83"/>
      <c r="ZO70" s="83"/>
      <c r="ZP70" s="83"/>
      <c r="ZQ70" s="83"/>
      <c r="ZR70" s="83"/>
      <c r="ZS70" s="83"/>
      <c r="ZT70" s="83"/>
      <c r="ZU70" s="83"/>
      <c r="ZV70" s="83"/>
      <c r="ZW70" s="83"/>
      <c r="ZX70" s="83"/>
      <c r="ZY70" s="83"/>
      <c r="ZZ70" s="83"/>
      <c r="AAA70" s="83"/>
      <c r="AAB70" s="83"/>
      <c r="AAC70" s="83"/>
      <c r="AAD70" s="83"/>
      <c r="AAE70" s="83"/>
      <c r="AAF70" s="83"/>
      <c r="AAG70" s="83"/>
      <c r="AAH70" s="83"/>
      <c r="AAI70" s="83"/>
      <c r="AAJ70" s="83"/>
      <c r="AAK70" s="83"/>
      <c r="AAL70" s="83"/>
      <c r="AAM70" s="83"/>
      <c r="AAN70" s="83"/>
      <c r="AAO70" s="83"/>
      <c r="AAP70" s="83"/>
      <c r="AAQ70" s="83"/>
      <c r="AAR70" s="83"/>
      <c r="AAS70" s="83"/>
      <c r="AAT70" s="83"/>
      <c r="AAU70" s="83"/>
      <c r="AAV70" s="83"/>
      <c r="AAW70" s="83"/>
      <c r="AAX70" s="83"/>
      <c r="AAY70" s="83"/>
      <c r="AAZ70" s="83"/>
      <c r="ABA70" s="83"/>
      <c r="ABB70" s="83"/>
      <c r="ABC70" s="83"/>
      <c r="ABD70" s="83"/>
      <c r="ABE70" s="83"/>
      <c r="ABF70" s="83"/>
      <c r="ABG70" s="83"/>
      <c r="ABH70" s="83"/>
      <c r="ABI70" s="83"/>
      <c r="ABJ70" s="83"/>
      <c r="ABK70" s="83"/>
      <c r="ABL70" s="83"/>
      <c r="ABM70" s="83"/>
      <c r="ABN70" s="83"/>
      <c r="ABO70" s="83"/>
      <c r="ABP70" s="83"/>
      <c r="ABQ70" s="83"/>
      <c r="ABR70" s="83"/>
      <c r="ABS70" s="83"/>
      <c r="ABT70" s="83"/>
      <c r="ABU70" s="83"/>
      <c r="ABV70" s="83"/>
      <c r="ABW70" s="83"/>
      <c r="ABX70" s="83"/>
      <c r="ABY70" s="83"/>
      <c r="ABZ70" s="83"/>
      <c r="ACA70" s="83"/>
      <c r="ACB70" s="83"/>
      <c r="ACC70" s="83"/>
      <c r="ACD70" s="83"/>
      <c r="ACE70" s="83"/>
      <c r="ACF70" s="83"/>
      <c r="ACG70" s="83"/>
      <c r="ACH70" s="83"/>
      <c r="ACI70" s="83"/>
      <c r="ACJ70" s="83"/>
      <c r="ACK70" s="83"/>
      <c r="ACL70" s="83"/>
      <c r="ACM70" s="83"/>
      <c r="ACN70" s="83"/>
      <c r="ACO70" s="83"/>
      <c r="ACP70" s="83"/>
      <c r="ACQ70" s="83"/>
      <c r="ACR70" s="83"/>
      <c r="ACS70" s="83"/>
      <c r="ACT70" s="83"/>
      <c r="ACU70" s="83"/>
      <c r="ACV70" s="83"/>
      <c r="ACW70" s="83"/>
      <c r="ACX70" s="83"/>
      <c r="ACY70" s="83"/>
      <c r="ACZ70" s="83"/>
      <c r="ADA70" s="83"/>
      <c r="ADB70" s="83"/>
      <c r="ADC70" s="83"/>
      <c r="ADD70" s="83"/>
      <c r="ADE70" s="83"/>
      <c r="ADF70" s="83"/>
      <c r="ADG70" s="83"/>
      <c r="ADH70" s="83"/>
      <c r="ADI70" s="83"/>
      <c r="ADJ70" s="83"/>
      <c r="ADK70" s="83"/>
      <c r="ADL70" s="83"/>
      <c r="ADM70" s="83"/>
      <c r="ADN70" s="83"/>
      <c r="ADO70" s="83"/>
      <c r="ADP70" s="83"/>
      <c r="ADQ70" s="83"/>
      <c r="ADR70" s="83"/>
      <c r="ADS70" s="83"/>
      <c r="ADT70" s="83"/>
      <c r="ADU70" s="83"/>
      <c r="ADV70" s="83"/>
      <c r="ADW70" s="83"/>
      <c r="ADX70" s="83"/>
      <c r="ADY70" s="83"/>
      <c r="ADZ70" s="83"/>
      <c r="AEA70" s="83"/>
      <c r="AEB70" s="83"/>
      <c r="AEC70" s="83"/>
      <c r="AED70" s="83"/>
      <c r="AEE70" s="83"/>
      <c r="AEF70" s="83"/>
      <c r="AEG70" s="83"/>
      <c r="AEH70" s="83"/>
      <c r="AEI70" s="83"/>
      <c r="AEJ70" s="83"/>
      <c r="AEK70" s="83"/>
      <c r="AEL70" s="83"/>
      <c r="AEM70" s="83"/>
      <c r="AEN70" s="83"/>
      <c r="AEO70" s="83"/>
      <c r="AEP70" s="83"/>
      <c r="AEQ70" s="83"/>
      <c r="AER70" s="83"/>
      <c r="AES70" s="83"/>
      <c r="AET70" s="83"/>
      <c r="AEU70" s="83"/>
      <c r="AEV70" s="83"/>
      <c r="AEW70" s="83"/>
      <c r="AEX70" s="83"/>
      <c r="AEY70" s="83"/>
      <c r="AEZ70" s="83"/>
      <c r="AFA70" s="83"/>
      <c r="AFB70" s="83"/>
      <c r="AFC70" s="83"/>
      <c r="AFD70" s="83"/>
      <c r="AFE70" s="83"/>
      <c r="AFF70" s="83"/>
      <c r="AFG70" s="83"/>
      <c r="AFH70" s="83"/>
      <c r="AFI70" s="83"/>
      <c r="AFJ70" s="83"/>
      <c r="AFK70" s="83"/>
      <c r="AFL70" s="83"/>
      <c r="AFM70" s="83"/>
      <c r="AFN70" s="83"/>
      <c r="AFO70" s="83"/>
      <c r="AFP70" s="83"/>
      <c r="AFQ70" s="83"/>
      <c r="AFR70" s="83"/>
      <c r="AFS70" s="83"/>
      <c r="AFT70" s="83"/>
      <c r="AFU70" s="83"/>
      <c r="AFV70" s="83"/>
      <c r="AFW70" s="83"/>
      <c r="AFX70" s="83"/>
      <c r="AFY70" s="83"/>
      <c r="AFZ70" s="83"/>
      <c r="AGA70" s="83"/>
      <c r="AGB70" s="83"/>
      <c r="AGC70" s="83"/>
      <c r="AGD70" s="83"/>
      <c r="AGE70" s="83"/>
      <c r="AGF70" s="83"/>
      <c r="AGG70" s="83"/>
      <c r="AGH70" s="83"/>
      <c r="AGI70" s="83"/>
      <c r="AGJ70" s="83"/>
      <c r="AGK70" s="83"/>
      <c r="AGL70" s="83"/>
      <c r="AGM70" s="83"/>
      <c r="AGN70" s="83"/>
      <c r="AGO70" s="83"/>
      <c r="AGP70" s="83"/>
      <c r="AGQ70" s="83"/>
      <c r="AGR70" s="83"/>
      <c r="AGS70" s="83"/>
      <c r="AGT70" s="83"/>
      <c r="AGU70" s="83"/>
      <c r="AGV70" s="83"/>
      <c r="AGW70" s="83"/>
      <c r="AGX70" s="83"/>
      <c r="AGY70" s="83"/>
      <c r="AGZ70" s="83"/>
      <c r="AHA70" s="83"/>
      <c r="AHB70" s="83"/>
      <c r="AHC70" s="83"/>
      <c r="AHD70" s="83"/>
      <c r="AHE70" s="83"/>
      <c r="AHF70" s="83"/>
      <c r="AHG70" s="83"/>
      <c r="AHH70" s="83"/>
      <c r="AHI70" s="83"/>
      <c r="AHJ70" s="83"/>
      <c r="AHK70" s="83"/>
      <c r="AHL70" s="83"/>
      <c r="AHM70" s="83"/>
      <c r="AHN70" s="83"/>
      <c r="AHO70" s="83"/>
      <c r="AHP70" s="83"/>
      <c r="AHQ70" s="83"/>
      <c r="AHR70" s="83"/>
      <c r="AHS70" s="83"/>
      <c r="AHT70" s="83"/>
      <c r="AHU70" s="83"/>
      <c r="AHV70" s="83"/>
      <c r="AHW70" s="83"/>
      <c r="AHX70" s="83"/>
      <c r="AHY70" s="83"/>
      <c r="AHZ70" s="83"/>
      <c r="AIA70" s="83"/>
      <c r="AIB70" s="83"/>
      <c r="AIC70" s="83"/>
      <c r="AID70" s="83"/>
      <c r="AIE70" s="83"/>
      <c r="AIF70" s="83"/>
      <c r="AIG70" s="83"/>
      <c r="AIH70" s="83"/>
      <c r="AII70" s="83"/>
      <c r="AIJ70" s="83"/>
      <c r="AIK70" s="83"/>
      <c r="AIL70" s="83"/>
      <c r="AIM70" s="83"/>
      <c r="AIN70" s="83"/>
      <c r="AIO70" s="83"/>
      <c r="AIP70" s="83"/>
      <c r="AIQ70" s="83"/>
      <c r="AIR70" s="83"/>
      <c r="AIS70" s="83"/>
      <c r="AIT70" s="83"/>
      <c r="AIU70" s="83"/>
      <c r="AIV70" s="83"/>
      <c r="AIW70" s="83"/>
      <c r="AIX70" s="83"/>
      <c r="AIY70" s="83"/>
      <c r="AIZ70" s="83"/>
      <c r="AJA70" s="83"/>
      <c r="AJB70" s="83"/>
      <c r="AJC70" s="83"/>
      <c r="AJD70" s="83"/>
      <c r="AJE70" s="83"/>
      <c r="AJF70" s="83"/>
      <c r="AJG70" s="83"/>
      <c r="AJH70" s="83"/>
      <c r="AJI70" s="83"/>
      <c r="AJJ70" s="83"/>
      <c r="AJK70" s="83"/>
      <c r="AJL70" s="83"/>
      <c r="AJM70" s="83"/>
      <c r="AJN70" s="83"/>
      <c r="AJO70" s="83"/>
      <c r="AJP70" s="83"/>
      <c r="AJQ70" s="83"/>
      <c r="AJR70" s="83"/>
      <c r="AJS70" s="83"/>
      <c r="AJT70" s="83"/>
      <c r="AJU70" s="83"/>
      <c r="AJV70" s="83"/>
      <c r="AJW70" s="83"/>
      <c r="AJX70" s="83"/>
      <c r="AJY70" s="83"/>
      <c r="AJZ70" s="83"/>
      <c r="AKA70" s="83"/>
      <c r="AKB70" s="83"/>
      <c r="AKC70" s="83"/>
      <c r="AKD70" s="83"/>
      <c r="AKE70" s="83"/>
      <c r="AKF70" s="83"/>
      <c r="AKG70" s="83"/>
      <c r="AKH70" s="83"/>
      <c r="AKI70" s="83"/>
      <c r="AKJ70" s="83"/>
      <c r="AKK70" s="83"/>
      <c r="AKL70" s="83"/>
      <c r="AKM70" s="83"/>
      <c r="AKN70" s="83"/>
      <c r="AKO70" s="83"/>
      <c r="AKP70" s="83"/>
      <c r="AKQ70" s="83"/>
      <c r="AKR70" s="83"/>
      <c r="AKS70" s="83"/>
      <c r="AKT70" s="83"/>
      <c r="AKU70" s="83"/>
      <c r="AKV70" s="83"/>
      <c r="AKW70" s="83"/>
      <c r="AKX70" s="83"/>
      <c r="AKY70" s="83"/>
      <c r="AKZ70" s="83"/>
      <c r="ALA70" s="83"/>
      <c r="ALB70" s="83"/>
      <c r="ALC70" s="83"/>
      <c r="ALD70" s="83"/>
      <c r="ALE70" s="83"/>
      <c r="ALF70" s="83"/>
      <c r="ALG70" s="83"/>
      <c r="ALH70" s="83"/>
      <c r="ALI70" s="83"/>
      <c r="ALJ70" s="83"/>
      <c r="ALK70" s="83"/>
      <c r="ALL70" s="83"/>
      <c r="ALM70" s="83"/>
      <c r="ALN70" s="83"/>
      <c r="ALO70" s="83"/>
      <c r="ALP70" s="83"/>
      <c r="ALQ70" s="83"/>
      <c r="ALR70" s="83"/>
      <c r="ALS70" s="83"/>
      <c r="ALT70" s="83"/>
      <c r="ALU70" s="83"/>
      <c r="ALV70" s="83"/>
      <c r="ALW70" s="83"/>
      <c r="ALX70" s="83"/>
      <c r="ALY70" s="83"/>
      <c r="ALZ70" s="83"/>
      <c r="AMA70" s="83"/>
      <c r="AMB70" s="83"/>
      <c r="AMC70" s="83"/>
      <c r="AMD70" s="83"/>
      <c r="AME70" s="83"/>
      <c r="AMF70" s="83"/>
      <c r="AMG70" s="83"/>
      <c r="AMH70" s="83"/>
      <c r="AMI70" s="83"/>
      <c r="AMJ70" s="83"/>
    </row>
    <row r="71" spans="12:1024" ht="15.95" customHeight="1" x14ac:dyDescent="0.2">
      <c r="L71" s="83"/>
      <c r="M71" s="84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  <c r="IW71" s="83"/>
      <c r="IX71" s="83"/>
      <c r="IY71" s="83"/>
      <c r="IZ71" s="83"/>
      <c r="JA71" s="83"/>
      <c r="JB71" s="83"/>
      <c r="JC71" s="83"/>
      <c r="JD71" s="83"/>
      <c r="JE71" s="83"/>
      <c r="JF71" s="83"/>
      <c r="JG71" s="83"/>
      <c r="JH71" s="83"/>
      <c r="JI71" s="83"/>
      <c r="JJ71" s="83"/>
      <c r="JK71" s="83"/>
      <c r="JL71" s="83"/>
      <c r="JM71" s="83"/>
      <c r="JN71" s="83"/>
      <c r="JO71" s="83"/>
      <c r="JP71" s="83"/>
      <c r="JQ71" s="83"/>
      <c r="JR71" s="83"/>
      <c r="JS71" s="83"/>
      <c r="JT71" s="83"/>
      <c r="JU71" s="83"/>
      <c r="JV71" s="83"/>
      <c r="JW71" s="83"/>
      <c r="JX71" s="83"/>
      <c r="JY71" s="83"/>
      <c r="JZ71" s="83"/>
      <c r="KA71" s="83"/>
      <c r="KB71" s="83"/>
      <c r="KC71" s="83"/>
      <c r="KD71" s="83"/>
      <c r="KE71" s="83"/>
      <c r="KF71" s="83"/>
      <c r="KG71" s="83"/>
      <c r="KH71" s="83"/>
      <c r="KI71" s="83"/>
      <c r="KJ71" s="83"/>
      <c r="KK71" s="83"/>
      <c r="KL71" s="83"/>
      <c r="KM71" s="83"/>
      <c r="KN71" s="83"/>
      <c r="KO71" s="83"/>
      <c r="KP71" s="83"/>
      <c r="KQ71" s="83"/>
      <c r="KR71" s="83"/>
      <c r="KS71" s="83"/>
      <c r="KT71" s="83"/>
      <c r="KU71" s="83"/>
      <c r="KV71" s="83"/>
      <c r="KW71" s="83"/>
      <c r="KX71" s="83"/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83"/>
      <c r="LL71" s="83"/>
      <c r="LM71" s="83"/>
      <c r="LN71" s="83"/>
      <c r="LO71" s="83"/>
      <c r="LP71" s="83"/>
      <c r="LQ71" s="83"/>
      <c r="LR71" s="83"/>
      <c r="LS71" s="83"/>
      <c r="LT71" s="83"/>
      <c r="LU71" s="83"/>
      <c r="LV71" s="83"/>
      <c r="LW71" s="83"/>
      <c r="LX71" s="83"/>
      <c r="LY71" s="83"/>
      <c r="LZ71" s="83"/>
      <c r="MA71" s="83"/>
      <c r="MB71" s="83"/>
      <c r="MC71" s="83"/>
      <c r="MD71" s="83"/>
      <c r="ME71" s="83"/>
      <c r="MF71" s="83"/>
      <c r="MG71" s="83"/>
      <c r="MH71" s="83"/>
      <c r="MI71" s="83"/>
      <c r="MJ71" s="83"/>
      <c r="MK71" s="83"/>
      <c r="ML71" s="83"/>
      <c r="MM71" s="83"/>
      <c r="MN71" s="83"/>
      <c r="MO71" s="83"/>
      <c r="MP71" s="83"/>
      <c r="MQ71" s="83"/>
      <c r="MR71" s="83"/>
      <c r="MS71" s="83"/>
      <c r="MT71" s="83"/>
      <c r="MU71" s="83"/>
      <c r="MV71" s="83"/>
      <c r="MW71" s="83"/>
      <c r="MX71" s="83"/>
      <c r="MY71" s="83"/>
      <c r="MZ71" s="83"/>
      <c r="NA71" s="83"/>
      <c r="NB71" s="83"/>
      <c r="NC71" s="83"/>
      <c r="ND71" s="83"/>
      <c r="NE71" s="83"/>
      <c r="NF71" s="83"/>
      <c r="NG71" s="83"/>
      <c r="NH71" s="83"/>
      <c r="NI71" s="83"/>
      <c r="NJ71" s="83"/>
      <c r="NK71" s="83"/>
      <c r="NL71" s="83"/>
      <c r="NM71" s="83"/>
      <c r="NN71" s="83"/>
      <c r="NO71" s="83"/>
      <c r="NP71" s="83"/>
      <c r="NQ71" s="83"/>
      <c r="NR71" s="83"/>
      <c r="NS71" s="83"/>
      <c r="NT71" s="83"/>
      <c r="NU71" s="83"/>
      <c r="NV71" s="83"/>
      <c r="NW71" s="83"/>
      <c r="NX71" s="83"/>
      <c r="NY71" s="83"/>
      <c r="NZ71" s="83"/>
      <c r="OA71" s="83"/>
      <c r="OB71" s="83"/>
      <c r="OC71" s="83"/>
      <c r="OD71" s="83"/>
      <c r="OE71" s="83"/>
      <c r="OF71" s="83"/>
      <c r="OG71" s="83"/>
      <c r="OH71" s="83"/>
      <c r="OI71" s="83"/>
      <c r="OJ71" s="83"/>
      <c r="OK71" s="83"/>
      <c r="OL71" s="83"/>
      <c r="OM71" s="83"/>
      <c r="ON71" s="83"/>
      <c r="OO71" s="83"/>
      <c r="OP71" s="83"/>
      <c r="OQ71" s="83"/>
      <c r="OR71" s="83"/>
      <c r="OS71" s="83"/>
      <c r="OT71" s="83"/>
      <c r="OU71" s="83"/>
      <c r="OV71" s="83"/>
      <c r="OW71" s="83"/>
      <c r="OX71" s="83"/>
      <c r="OY71" s="83"/>
      <c r="OZ71" s="83"/>
      <c r="PA71" s="83"/>
      <c r="PB71" s="83"/>
      <c r="PC71" s="83"/>
      <c r="PD71" s="83"/>
      <c r="PE71" s="83"/>
      <c r="PF71" s="83"/>
      <c r="PG71" s="83"/>
      <c r="PH71" s="83"/>
      <c r="PI71" s="83"/>
      <c r="PJ71" s="83"/>
      <c r="PK71" s="83"/>
      <c r="PL71" s="83"/>
      <c r="PM71" s="83"/>
      <c r="PN71" s="83"/>
      <c r="PO71" s="83"/>
      <c r="PP71" s="83"/>
      <c r="PQ71" s="83"/>
      <c r="PR71" s="83"/>
      <c r="PS71" s="83"/>
      <c r="PT71" s="83"/>
      <c r="PU71" s="83"/>
      <c r="PV71" s="83"/>
      <c r="PW71" s="83"/>
      <c r="PX71" s="83"/>
      <c r="PY71" s="83"/>
      <c r="PZ71" s="83"/>
      <c r="QA71" s="83"/>
      <c r="QB71" s="83"/>
      <c r="QC71" s="83"/>
      <c r="QD71" s="83"/>
      <c r="QE71" s="83"/>
      <c r="QF71" s="83"/>
      <c r="QG71" s="83"/>
      <c r="QH71" s="83"/>
      <c r="QI71" s="83"/>
      <c r="QJ71" s="83"/>
      <c r="QK71" s="83"/>
      <c r="QL71" s="83"/>
      <c r="QM71" s="83"/>
      <c r="QN71" s="83"/>
      <c r="QO71" s="83"/>
      <c r="QP71" s="83"/>
      <c r="QQ71" s="83"/>
      <c r="QR71" s="83"/>
      <c r="QS71" s="83"/>
      <c r="QT71" s="83"/>
      <c r="QU71" s="83"/>
      <c r="QV71" s="83"/>
      <c r="QW71" s="83"/>
      <c r="QX71" s="83"/>
      <c r="QY71" s="83"/>
      <c r="QZ71" s="83"/>
      <c r="RA71" s="83"/>
      <c r="RB71" s="83"/>
      <c r="RC71" s="83"/>
      <c r="RD71" s="83"/>
      <c r="RE71" s="83"/>
      <c r="RF71" s="83"/>
      <c r="RG71" s="83"/>
      <c r="RH71" s="83"/>
      <c r="RI71" s="83"/>
      <c r="RJ71" s="83"/>
      <c r="RK71" s="83"/>
      <c r="RL71" s="83"/>
      <c r="RM71" s="83"/>
      <c r="RN71" s="83"/>
      <c r="RO71" s="83"/>
      <c r="RP71" s="83"/>
      <c r="RQ71" s="83"/>
      <c r="RR71" s="83"/>
      <c r="RS71" s="83"/>
      <c r="RT71" s="83"/>
      <c r="RU71" s="83"/>
      <c r="RV71" s="83"/>
      <c r="RW71" s="83"/>
      <c r="RX71" s="83"/>
      <c r="RY71" s="83"/>
      <c r="RZ71" s="83"/>
      <c r="SA71" s="83"/>
      <c r="SB71" s="83"/>
      <c r="SC71" s="83"/>
      <c r="SD71" s="83"/>
      <c r="SE71" s="83"/>
      <c r="SF71" s="83"/>
      <c r="SG71" s="83"/>
      <c r="SH71" s="83"/>
      <c r="SI71" s="83"/>
      <c r="SJ71" s="83"/>
      <c r="SK71" s="83"/>
      <c r="SL71" s="83"/>
      <c r="SM71" s="83"/>
      <c r="SN71" s="83"/>
      <c r="SO71" s="83"/>
      <c r="SP71" s="83"/>
      <c r="SQ71" s="83"/>
      <c r="SR71" s="83"/>
      <c r="SS71" s="83"/>
      <c r="ST71" s="83"/>
      <c r="SU71" s="83"/>
      <c r="SV71" s="83"/>
      <c r="SW71" s="83"/>
      <c r="SX71" s="83"/>
      <c r="SY71" s="83"/>
      <c r="SZ71" s="83"/>
      <c r="TA71" s="83"/>
      <c r="TB71" s="83"/>
      <c r="TC71" s="83"/>
      <c r="TD71" s="83"/>
      <c r="TE71" s="83"/>
      <c r="TF71" s="83"/>
      <c r="TG71" s="83"/>
      <c r="TH71" s="83"/>
      <c r="TI71" s="83"/>
      <c r="TJ71" s="83"/>
      <c r="TK71" s="83"/>
      <c r="TL71" s="83"/>
      <c r="TM71" s="83"/>
      <c r="TN71" s="83"/>
      <c r="TO71" s="83"/>
      <c r="TP71" s="83"/>
      <c r="TQ71" s="83"/>
      <c r="TR71" s="83"/>
      <c r="TS71" s="83"/>
      <c r="TT71" s="83"/>
      <c r="TU71" s="83"/>
      <c r="TV71" s="83"/>
      <c r="TW71" s="83"/>
      <c r="TX71" s="83"/>
      <c r="TY71" s="83"/>
      <c r="TZ71" s="83"/>
      <c r="UA71" s="83"/>
      <c r="UB71" s="83"/>
      <c r="UC71" s="83"/>
      <c r="UD71" s="83"/>
      <c r="UE71" s="83"/>
      <c r="UF71" s="83"/>
      <c r="UG71" s="83"/>
      <c r="UH71" s="83"/>
      <c r="UI71" s="83"/>
      <c r="UJ71" s="83"/>
      <c r="UK71" s="83"/>
      <c r="UL71" s="83"/>
      <c r="UM71" s="83"/>
      <c r="UN71" s="83"/>
      <c r="UO71" s="83"/>
      <c r="UP71" s="83"/>
      <c r="UQ71" s="83"/>
      <c r="UR71" s="83"/>
      <c r="US71" s="83"/>
      <c r="UT71" s="83"/>
      <c r="UU71" s="83"/>
      <c r="UV71" s="83"/>
      <c r="UW71" s="83"/>
      <c r="UX71" s="83"/>
      <c r="UY71" s="83"/>
      <c r="UZ71" s="83"/>
      <c r="VA71" s="83"/>
      <c r="VB71" s="83"/>
      <c r="VC71" s="83"/>
      <c r="VD71" s="83"/>
      <c r="VE71" s="83"/>
      <c r="VF71" s="83"/>
      <c r="VG71" s="83"/>
      <c r="VH71" s="83"/>
      <c r="VI71" s="83"/>
      <c r="VJ71" s="83"/>
      <c r="VK71" s="83"/>
      <c r="VL71" s="83"/>
      <c r="VM71" s="83"/>
      <c r="VN71" s="83"/>
      <c r="VO71" s="83"/>
      <c r="VP71" s="83"/>
      <c r="VQ71" s="83"/>
      <c r="VR71" s="83"/>
      <c r="VS71" s="83"/>
      <c r="VT71" s="83"/>
      <c r="VU71" s="83"/>
      <c r="VV71" s="83"/>
      <c r="VW71" s="83"/>
      <c r="VX71" s="83"/>
      <c r="VY71" s="83"/>
      <c r="VZ71" s="83"/>
      <c r="WA71" s="83"/>
      <c r="WB71" s="83"/>
      <c r="WC71" s="83"/>
      <c r="WD71" s="83"/>
      <c r="WE71" s="83"/>
      <c r="WF71" s="83"/>
      <c r="WG71" s="83"/>
      <c r="WH71" s="83"/>
      <c r="WI71" s="83"/>
      <c r="WJ71" s="83"/>
      <c r="WK71" s="83"/>
      <c r="WL71" s="83"/>
      <c r="WM71" s="83"/>
      <c r="WN71" s="83"/>
      <c r="WO71" s="83"/>
      <c r="WP71" s="83"/>
      <c r="WQ71" s="83"/>
      <c r="WR71" s="83"/>
      <c r="WS71" s="83"/>
      <c r="WT71" s="83"/>
      <c r="WU71" s="83"/>
      <c r="WV71" s="83"/>
      <c r="WW71" s="83"/>
      <c r="WX71" s="83"/>
      <c r="WY71" s="83"/>
      <c r="WZ71" s="83"/>
      <c r="XA71" s="83"/>
      <c r="XB71" s="83"/>
      <c r="XC71" s="83"/>
      <c r="XD71" s="83"/>
      <c r="XE71" s="83"/>
      <c r="XF71" s="83"/>
      <c r="XG71" s="83"/>
      <c r="XH71" s="83"/>
      <c r="XI71" s="83"/>
      <c r="XJ71" s="83"/>
      <c r="XK71" s="83"/>
      <c r="XL71" s="83"/>
      <c r="XM71" s="83"/>
      <c r="XN71" s="83"/>
      <c r="XO71" s="83"/>
      <c r="XP71" s="83"/>
      <c r="XQ71" s="83"/>
      <c r="XR71" s="83"/>
      <c r="XS71" s="83"/>
      <c r="XT71" s="83"/>
      <c r="XU71" s="83"/>
      <c r="XV71" s="83"/>
      <c r="XW71" s="83"/>
      <c r="XX71" s="83"/>
      <c r="XY71" s="83"/>
      <c r="XZ71" s="83"/>
      <c r="YA71" s="83"/>
      <c r="YB71" s="83"/>
      <c r="YC71" s="83"/>
      <c r="YD71" s="83"/>
      <c r="YE71" s="83"/>
      <c r="YF71" s="83"/>
      <c r="YG71" s="83"/>
      <c r="YH71" s="83"/>
      <c r="YI71" s="83"/>
      <c r="YJ71" s="83"/>
      <c r="YK71" s="83"/>
      <c r="YL71" s="83"/>
      <c r="YM71" s="83"/>
      <c r="YN71" s="83"/>
      <c r="YO71" s="83"/>
      <c r="YP71" s="83"/>
      <c r="YQ71" s="83"/>
      <c r="YR71" s="83"/>
      <c r="YS71" s="83"/>
      <c r="YT71" s="83"/>
      <c r="YU71" s="83"/>
      <c r="YV71" s="83"/>
      <c r="YW71" s="83"/>
      <c r="YX71" s="83"/>
      <c r="YY71" s="83"/>
      <c r="YZ71" s="83"/>
      <c r="ZA71" s="83"/>
      <c r="ZB71" s="83"/>
      <c r="ZC71" s="83"/>
      <c r="ZD71" s="83"/>
      <c r="ZE71" s="83"/>
      <c r="ZF71" s="83"/>
      <c r="ZG71" s="83"/>
      <c r="ZH71" s="83"/>
      <c r="ZI71" s="83"/>
      <c r="ZJ71" s="83"/>
      <c r="ZK71" s="83"/>
      <c r="ZL71" s="83"/>
      <c r="ZM71" s="83"/>
      <c r="ZN71" s="83"/>
      <c r="ZO71" s="83"/>
      <c r="ZP71" s="83"/>
      <c r="ZQ71" s="83"/>
      <c r="ZR71" s="83"/>
      <c r="ZS71" s="83"/>
      <c r="ZT71" s="83"/>
      <c r="ZU71" s="83"/>
      <c r="ZV71" s="83"/>
      <c r="ZW71" s="83"/>
      <c r="ZX71" s="83"/>
      <c r="ZY71" s="83"/>
      <c r="ZZ71" s="83"/>
      <c r="AAA71" s="83"/>
      <c r="AAB71" s="83"/>
      <c r="AAC71" s="83"/>
      <c r="AAD71" s="83"/>
      <c r="AAE71" s="83"/>
      <c r="AAF71" s="83"/>
      <c r="AAG71" s="83"/>
      <c r="AAH71" s="83"/>
      <c r="AAI71" s="83"/>
      <c r="AAJ71" s="83"/>
      <c r="AAK71" s="83"/>
      <c r="AAL71" s="83"/>
      <c r="AAM71" s="83"/>
      <c r="AAN71" s="83"/>
      <c r="AAO71" s="83"/>
      <c r="AAP71" s="83"/>
      <c r="AAQ71" s="83"/>
      <c r="AAR71" s="83"/>
      <c r="AAS71" s="83"/>
      <c r="AAT71" s="83"/>
      <c r="AAU71" s="83"/>
      <c r="AAV71" s="83"/>
      <c r="AAW71" s="83"/>
      <c r="AAX71" s="83"/>
      <c r="AAY71" s="83"/>
      <c r="AAZ71" s="83"/>
      <c r="ABA71" s="83"/>
      <c r="ABB71" s="83"/>
      <c r="ABC71" s="83"/>
      <c r="ABD71" s="83"/>
      <c r="ABE71" s="83"/>
      <c r="ABF71" s="83"/>
      <c r="ABG71" s="83"/>
      <c r="ABH71" s="83"/>
      <c r="ABI71" s="83"/>
      <c r="ABJ71" s="83"/>
      <c r="ABK71" s="83"/>
      <c r="ABL71" s="83"/>
      <c r="ABM71" s="83"/>
      <c r="ABN71" s="83"/>
      <c r="ABO71" s="83"/>
      <c r="ABP71" s="83"/>
      <c r="ABQ71" s="83"/>
      <c r="ABR71" s="83"/>
      <c r="ABS71" s="83"/>
      <c r="ABT71" s="83"/>
      <c r="ABU71" s="83"/>
      <c r="ABV71" s="83"/>
      <c r="ABW71" s="83"/>
      <c r="ABX71" s="83"/>
      <c r="ABY71" s="83"/>
      <c r="ABZ71" s="83"/>
      <c r="ACA71" s="83"/>
      <c r="ACB71" s="83"/>
      <c r="ACC71" s="83"/>
      <c r="ACD71" s="83"/>
      <c r="ACE71" s="83"/>
      <c r="ACF71" s="83"/>
      <c r="ACG71" s="83"/>
      <c r="ACH71" s="83"/>
      <c r="ACI71" s="83"/>
      <c r="ACJ71" s="83"/>
      <c r="ACK71" s="83"/>
      <c r="ACL71" s="83"/>
      <c r="ACM71" s="83"/>
      <c r="ACN71" s="83"/>
      <c r="ACO71" s="83"/>
      <c r="ACP71" s="83"/>
      <c r="ACQ71" s="83"/>
      <c r="ACR71" s="83"/>
      <c r="ACS71" s="83"/>
      <c r="ACT71" s="83"/>
      <c r="ACU71" s="83"/>
      <c r="ACV71" s="83"/>
      <c r="ACW71" s="83"/>
      <c r="ACX71" s="83"/>
      <c r="ACY71" s="83"/>
      <c r="ACZ71" s="83"/>
      <c r="ADA71" s="83"/>
      <c r="ADB71" s="83"/>
      <c r="ADC71" s="83"/>
      <c r="ADD71" s="83"/>
      <c r="ADE71" s="83"/>
      <c r="ADF71" s="83"/>
      <c r="ADG71" s="83"/>
      <c r="ADH71" s="83"/>
      <c r="ADI71" s="83"/>
      <c r="ADJ71" s="83"/>
      <c r="ADK71" s="83"/>
      <c r="ADL71" s="83"/>
      <c r="ADM71" s="83"/>
      <c r="ADN71" s="83"/>
      <c r="ADO71" s="83"/>
      <c r="ADP71" s="83"/>
      <c r="ADQ71" s="83"/>
      <c r="ADR71" s="83"/>
      <c r="ADS71" s="83"/>
      <c r="ADT71" s="83"/>
      <c r="ADU71" s="83"/>
      <c r="ADV71" s="83"/>
      <c r="ADW71" s="83"/>
      <c r="ADX71" s="83"/>
      <c r="ADY71" s="83"/>
      <c r="ADZ71" s="83"/>
      <c r="AEA71" s="83"/>
      <c r="AEB71" s="83"/>
      <c r="AEC71" s="83"/>
      <c r="AED71" s="83"/>
      <c r="AEE71" s="83"/>
      <c r="AEF71" s="83"/>
      <c r="AEG71" s="83"/>
      <c r="AEH71" s="83"/>
      <c r="AEI71" s="83"/>
      <c r="AEJ71" s="83"/>
      <c r="AEK71" s="83"/>
      <c r="AEL71" s="83"/>
      <c r="AEM71" s="83"/>
      <c r="AEN71" s="83"/>
      <c r="AEO71" s="83"/>
      <c r="AEP71" s="83"/>
      <c r="AEQ71" s="83"/>
      <c r="AER71" s="83"/>
      <c r="AES71" s="83"/>
      <c r="AET71" s="83"/>
      <c r="AEU71" s="83"/>
      <c r="AEV71" s="83"/>
      <c r="AEW71" s="83"/>
      <c r="AEX71" s="83"/>
      <c r="AEY71" s="83"/>
      <c r="AEZ71" s="83"/>
      <c r="AFA71" s="83"/>
      <c r="AFB71" s="83"/>
      <c r="AFC71" s="83"/>
      <c r="AFD71" s="83"/>
      <c r="AFE71" s="83"/>
      <c r="AFF71" s="83"/>
      <c r="AFG71" s="83"/>
      <c r="AFH71" s="83"/>
      <c r="AFI71" s="83"/>
      <c r="AFJ71" s="83"/>
      <c r="AFK71" s="83"/>
      <c r="AFL71" s="83"/>
      <c r="AFM71" s="83"/>
      <c r="AFN71" s="83"/>
      <c r="AFO71" s="83"/>
      <c r="AFP71" s="83"/>
      <c r="AFQ71" s="83"/>
      <c r="AFR71" s="83"/>
      <c r="AFS71" s="83"/>
      <c r="AFT71" s="83"/>
      <c r="AFU71" s="83"/>
      <c r="AFV71" s="83"/>
      <c r="AFW71" s="83"/>
      <c r="AFX71" s="83"/>
      <c r="AFY71" s="83"/>
      <c r="AFZ71" s="83"/>
      <c r="AGA71" s="83"/>
      <c r="AGB71" s="83"/>
      <c r="AGC71" s="83"/>
      <c r="AGD71" s="83"/>
      <c r="AGE71" s="83"/>
      <c r="AGF71" s="83"/>
      <c r="AGG71" s="83"/>
      <c r="AGH71" s="83"/>
      <c r="AGI71" s="83"/>
      <c r="AGJ71" s="83"/>
      <c r="AGK71" s="83"/>
      <c r="AGL71" s="83"/>
      <c r="AGM71" s="83"/>
      <c r="AGN71" s="83"/>
      <c r="AGO71" s="83"/>
      <c r="AGP71" s="83"/>
      <c r="AGQ71" s="83"/>
      <c r="AGR71" s="83"/>
      <c r="AGS71" s="83"/>
      <c r="AGT71" s="83"/>
      <c r="AGU71" s="83"/>
      <c r="AGV71" s="83"/>
      <c r="AGW71" s="83"/>
      <c r="AGX71" s="83"/>
      <c r="AGY71" s="83"/>
      <c r="AGZ71" s="83"/>
      <c r="AHA71" s="83"/>
      <c r="AHB71" s="83"/>
      <c r="AHC71" s="83"/>
      <c r="AHD71" s="83"/>
      <c r="AHE71" s="83"/>
      <c r="AHF71" s="83"/>
      <c r="AHG71" s="83"/>
      <c r="AHH71" s="83"/>
      <c r="AHI71" s="83"/>
      <c r="AHJ71" s="83"/>
      <c r="AHK71" s="83"/>
      <c r="AHL71" s="83"/>
      <c r="AHM71" s="83"/>
      <c r="AHN71" s="83"/>
      <c r="AHO71" s="83"/>
      <c r="AHP71" s="83"/>
      <c r="AHQ71" s="83"/>
      <c r="AHR71" s="83"/>
      <c r="AHS71" s="83"/>
      <c r="AHT71" s="83"/>
      <c r="AHU71" s="83"/>
      <c r="AHV71" s="83"/>
      <c r="AHW71" s="83"/>
      <c r="AHX71" s="83"/>
      <c r="AHY71" s="83"/>
      <c r="AHZ71" s="83"/>
      <c r="AIA71" s="83"/>
      <c r="AIB71" s="83"/>
      <c r="AIC71" s="83"/>
      <c r="AID71" s="83"/>
      <c r="AIE71" s="83"/>
      <c r="AIF71" s="83"/>
      <c r="AIG71" s="83"/>
      <c r="AIH71" s="83"/>
      <c r="AII71" s="83"/>
      <c r="AIJ71" s="83"/>
      <c r="AIK71" s="83"/>
      <c r="AIL71" s="83"/>
      <c r="AIM71" s="83"/>
      <c r="AIN71" s="83"/>
      <c r="AIO71" s="83"/>
      <c r="AIP71" s="83"/>
      <c r="AIQ71" s="83"/>
      <c r="AIR71" s="83"/>
      <c r="AIS71" s="83"/>
      <c r="AIT71" s="83"/>
      <c r="AIU71" s="83"/>
      <c r="AIV71" s="83"/>
      <c r="AIW71" s="83"/>
      <c r="AIX71" s="83"/>
      <c r="AIY71" s="83"/>
      <c r="AIZ71" s="83"/>
      <c r="AJA71" s="83"/>
      <c r="AJB71" s="83"/>
      <c r="AJC71" s="83"/>
      <c r="AJD71" s="83"/>
      <c r="AJE71" s="83"/>
      <c r="AJF71" s="83"/>
      <c r="AJG71" s="83"/>
      <c r="AJH71" s="83"/>
      <c r="AJI71" s="83"/>
      <c r="AJJ71" s="83"/>
      <c r="AJK71" s="83"/>
      <c r="AJL71" s="83"/>
      <c r="AJM71" s="83"/>
      <c r="AJN71" s="83"/>
      <c r="AJO71" s="83"/>
      <c r="AJP71" s="83"/>
      <c r="AJQ71" s="83"/>
      <c r="AJR71" s="83"/>
      <c r="AJS71" s="83"/>
      <c r="AJT71" s="83"/>
      <c r="AJU71" s="83"/>
      <c r="AJV71" s="83"/>
      <c r="AJW71" s="83"/>
      <c r="AJX71" s="83"/>
      <c r="AJY71" s="83"/>
      <c r="AJZ71" s="83"/>
      <c r="AKA71" s="83"/>
      <c r="AKB71" s="83"/>
      <c r="AKC71" s="83"/>
      <c r="AKD71" s="83"/>
      <c r="AKE71" s="83"/>
      <c r="AKF71" s="83"/>
      <c r="AKG71" s="83"/>
      <c r="AKH71" s="83"/>
      <c r="AKI71" s="83"/>
      <c r="AKJ71" s="83"/>
      <c r="AKK71" s="83"/>
      <c r="AKL71" s="83"/>
      <c r="AKM71" s="83"/>
      <c r="AKN71" s="83"/>
      <c r="AKO71" s="83"/>
      <c r="AKP71" s="83"/>
      <c r="AKQ71" s="83"/>
      <c r="AKR71" s="83"/>
      <c r="AKS71" s="83"/>
      <c r="AKT71" s="83"/>
      <c r="AKU71" s="83"/>
      <c r="AKV71" s="83"/>
      <c r="AKW71" s="83"/>
      <c r="AKX71" s="83"/>
      <c r="AKY71" s="83"/>
      <c r="AKZ71" s="83"/>
      <c r="ALA71" s="83"/>
      <c r="ALB71" s="83"/>
      <c r="ALC71" s="83"/>
      <c r="ALD71" s="83"/>
      <c r="ALE71" s="83"/>
      <c r="ALF71" s="83"/>
      <c r="ALG71" s="83"/>
      <c r="ALH71" s="83"/>
      <c r="ALI71" s="83"/>
      <c r="ALJ71" s="83"/>
      <c r="ALK71" s="83"/>
      <c r="ALL71" s="83"/>
      <c r="ALM71" s="83"/>
      <c r="ALN71" s="83"/>
      <c r="ALO71" s="83"/>
      <c r="ALP71" s="83"/>
      <c r="ALQ71" s="83"/>
      <c r="ALR71" s="83"/>
      <c r="ALS71" s="83"/>
      <c r="ALT71" s="83"/>
      <c r="ALU71" s="83"/>
      <c r="ALV71" s="83"/>
      <c r="ALW71" s="83"/>
      <c r="ALX71" s="83"/>
      <c r="ALY71" s="83"/>
      <c r="ALZ71" s="83"/>
      <c r="AMA71" s="83"/>
      <c r="AMB71" s="83"/>
      <c r="AMC71" s="83"/>
      <c r="AMD71" s="83"/>
      <c r="AME71" s="83"/>
      <c r="AMF71" s="83"/>
      <c r="AMG71" s="83"/>
      <c r="AMH71" s="83"/>
      <c r="AMI71" s="83"/>
      <c r="AMJ71" s="83"/>
    </row>
    <row r="72" spans="12:1024" ht="15.95" customHeight="1" x14ac:dyDescent="0.2">
      <c r="L72" s="83"/>
      <c r="M72" s="84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  <c r="IW72" s="83"/>
      <c r="IX72" s="83"/>
      <c r="IY72" s="83"/>
      <c r="IZ72" s="83"/>
      <c r="JA72" s="83"/>
      <c r="JB72" s="83"/>
      <c r="JC72" s="83"/>
      <c r="JD72" s="83"/>
      <c r="JE72" s="83"/>
      <c r="JF72" s="83"/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3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83"/>
      <c r="LL72" s="83"/>
      <c r="LM72" s="83"/>
      <c r="LN72" s="83"/>
      <c r="LO72" s="83"/>
      <c r="LP72" s="83"/>
      <c r="LQ72" s="83"/>
      <c r="LR72" s="83"/>
      <c r="LS72" s="83"/>
      <c r="LT72" s="83"/>
      <c r="LU72" s="83"/>
      <c r="LV72" s="83"/>
      <c r="LW72" s="83"/>
      <c r="LX72" s="83"/>
      <c r="LY72" s="83"/>
      <c r="LZ72" s="83"/>
      <c r="MA72" s="83"/>
      <c r="MB72" s="83"/>
      <c r="MC72" s="83"/>
      <c r="MD72" s="83"/>
      <c r="ME72" s="83"/>
      <c r="MF72" s="83"/>
      <c r="MG72" s="83"/>
      <c r="MH72" s="83"/>
      <c r="MI72" s="83"/>
      <c r="MJ72" s="83"/>
      <c r="MK72" s="83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83"/>
      <c r="OS72" s="83"/>
      <c r="OT72" s="83"/>
      <c r="OU72" s="83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3"/>
      <c r="PT72" s="83"/>
      <c r="PU72" s="83"/>
      <c r="PV72" s="83"/>
      <c r="PW72" s="83"/>
      <c r="PX72" s="83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3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3"/>
      <c r="TL72" s="83"/>
      <c r="TM72" s="83"/>
      <c r="TN72" s="83"/>
      <c r="TO72" s="83"/>
      <c r="TP72" s="83"/>
      <c r="TQ72" s="83"/>
      <c r="TR72" s="83"/>
      <c r="TS72" s="83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83"/>
      <c r="WA72" s="83"/>
      <c r="WB72" s="83"/>
      <c r="WC72" s="83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3"/>
      <c r="XB72" s="83"/>
      <c r="XC72" s="83"/>
      <c r="XD72" s="83"/>
      <c r="XE72" s="83"/>
      <c r="XF72" s="83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3"/>
      <c r="AAB72" s="83"/>
      <c r="AAC72" s="83"/>
      <c r="AAD72" s="83"/>
      <c r="AAE72" s="83"/>
      <c r="AAF72" s="83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3"/>
      <c r="AAU72" s="83"/>
      <c r="AAV72" s="83"/>
      <c r="AAW72" s="83"/>
      <c r="AAX72" s="83"/>
      <c r="AAY72" s="83"/>
      <c r="AAZ72" s="83"/>
      <c r="ABA72" s="83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83"/>
      <c r="ADI72" s="83"/>
      <c r="ADJ72" s="83"/>
      <c r="ADK72" s="83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3"/>
      <c r="AEJ72" s="83"/>
      <c r="AEK72" s="83"/>
      <c r="AEL72" s="83"/>
      <c r="AEM72" s="83"/>
      <c r="AEN72" s="83"/>
      <c r="AEO72" s="83"/>
      <c r="AEP72" s="83"/>
      <c r="AEQ72" s="83"/>
      <c r="AER72" s="83"/>
      <c r="AES72" s="83"/>
      <c r="AET72" s="83"/>
      <c r="AEU72" s="83"/>
      <c r="AEV72" s="83"/>
      <c r="AEW72" s="83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3"/>
      <c r="AHI72" s="83"/>
      <c r="AHJ72" s="83"/>
      <c r="AHK72" s="83"/>
      <c r="AHL72" s="83"/>
      <c r="AHM72" s="83"/>
      <c r="AHN72" s="83"/>
      <c r="AHO72" s="83"/>
      <c r="AHP72" s="83"/>
      <c r="AHQ72" s="83"/>
      <c r="AHR72" s="83"/>
      <c r="AHS72" s="83"/>
      <c r="AHT72" s="83"/>
      <c r="AHU72" s="83"/>
      <c r="AHV72" s="83"/>
      <c r="AHW72" s="83"/>
      <c r="AHX72" s="83"/>
      <c r="AHY72" s="83"/>
      <c r="AHZ72" s="83"/>
      <c r="AIA72" s="83"/>
      <c r="AIB72" s="83"/>
      <c r="AIC72" s="83"/>
      <c r="AID72" s="83"/>
      <c r="AIE72" s="83"/>
      <c r="AIF72" s="83"/>
      <c r="AIG72" s="83"/>
      <c r="AIH72" s="83"/>
      <c r="AII72" s="83"/>
      <c r="AIJ72" s="83"/>
      <c r="AIK72" s="83"/>
      <c r="AIL72" s="83"/>
      <c r="AIM72" s="83"/>
      <c r="AIN72" s="83"/>
      <c r="AIO72" s="83"/>
      <c r="AIP72" s="83"/>
      <c r="AIQ72" s="83"/>
      <c r="AIR72" s="83"/>
      <c r="AIS72" s="83"/>
      <c r="AIT72" s="83"/>
      <c r="AIU72" s="83"/>
      <c r="AIV72" s="83"/>
      <c r="AIW72" s="83"/>
      <c r="AIX72" s="83"/>
      <c r="AIY72" s="83"/>
      <c r="AIZ72" s="83"/>
      <c r="AJA72" s="83"/>
      <c r="AJB72" s="83"/>
      <c r="AJC72" s="83"/>
      <c r="AJD72" s="83"/>
      <c r="AJE72" s="83"/>
      <c r="AJF72" s="83"/>
      <c r="AJG72" s="83"/>
      <c r="AJH72" s="83"/>
      <c r="AJI72" s="83"/>
      <c r="AJJ72" s="83"/>
      <c r="AJK72" s="83"/>
      <c r="AJL72" s="83"/>
      <c r="AJM72" s="83"/>
      <c r="AJN72" s="83"/>
      <c r="AJO72" s="83"/>
      <c r="AJP72" s="83"/>
      <c r="AJQ72" s="83"/>
      <c r="AJR72" s="83"/>
      <c r="AJS72" s="83"/>
      <c r="AJT72" s="83"/>
      <c r="AJU72" s="83"/>
      <c r="AJV72" s="83"/>
      <c r="AJW72" s="83"/>
      <c r="AJX72" s="83"/>
      <c r="AJY72" s="83"/>
      <c r="AJZ72" s="83"/>
      <c r="AKA72" s="83"/>
      <c r="AKB72" s="83"/>
      <c r="AKC72" s="83"/>
      <c r="AKD72" s="83"/>
      <c r="AKE72" s="83"/>
      <c r="AKF72" s="83"/>
      <c r="AKG72" s="83"/>
      <c r="AKH72" s="83"/>
      <c r="AKI72" s="83"/>
      <c r="AKJ72" s="83"/>
      <c r="AKK72" s="83"/>
      <c r="AKL72" s="83"/>
      <c r="AKM72" s="83"/>
      <c r="AKN72" s="83"/>
      <c r="AKO72" s="83"/>
      <c r="AKP72" s="83"/>
      <c r="AKQ72" s="83"/>
      <c r="AKR72" s="83"/>
      <c r="AKS72" s="83"/>
      <c r="AKT72" s="83"/>
      <c r="AKU72" s="83"/>
      <c r="AKV72" s="83"/>
      <c r="AKW72" s="83"/>
      <c r="AKX72" s="83"/>
      <c r="AKY72" s="83"/>
      <c r="AKZ72" s="83"/>
      <c r="ALA72" s="83"/>
      <c r="ALB72" s="83"/>
      <c r="ALC72" s="83"/>
      <c r="ALD72" s="83"/>
      <c r="ALE72" s="83"/>
      <c r="ALF72" s="83"/>
      <c r="ALG72" s="83"/>
      <c r="ALH72" s="83"/>
      <c r="ALI72" s="83"/>
      <c r="ALJ72" s="83"/>
      <c r="ALK72" s="83"/>
      <c r="ALL72" s="83"/>
      <c r="ALM72" s="83"/>
      <c r="ALN72" s="83"/>
      <c r="ALO72" s="83"/>
      <c r="ALP72" s="83"/>
      <c r="ALQ72" s="83"/>
      <c r="ALR72" s="83"/>
      <c r="ALS72" s="83"/>
      <c r="ALT72" s="83"/>
      <c r="ALU72" s="83"/>
      <c r="ALV72" s="83"/>
      <c r="ALW72" s="83"/>
      <c r="ALX72" s="83"/>
      <c r="ALY72" s="83"/>
      <c r="ALZ72" s="83"/>
      <c r="AMA72" s="83"/>
      <c r="AMB72" s="83"/>
      <c r="AMC72" s="83"/>
      <c r="AMD72" s="83"/>
      <c r="AME72" s="83"/>
      <c r="AMF72" s="83"/>
      <c r="AMG72" s="83"/>
      <c r="AMH72" s="83"/>
      <c r="AMI72" s="83"/>
      <c r="AMJ72" s="83"/>
    </row>
    <row r="73" spans="12:1024" ht="15.95" customHeight="1" x14ac:dyDescent="0.2">
      <c r="L73" s="83"/>
      <c r="M73" s="8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3"/>
      <c r="LQ73" s="83"/>
      <c r="LR73" s="83"/>
      <c r="LS73" s="83"/>
      <c r="LT73" s="83"/>
      <c r="LU73" s="83"/>
      <c r="LV73" s="83"/>
      <c r="LW73" s="83"/>
      <c r="LX73" s="83"/>
      <c r="LY73" s="83"/>
      <c r="LZ73" s="83"/>
      <c r="MA73" s="83"/>
      <c r="MB73" s="83"/>
      <c r="MC73" s="83"/>
      <c r="MD73" s="83"/>
      <c r="ME73" s="83"/>
      <c r="MF73" s="83"/>
      <c r="MG73" s="83"/>
      <c r="MH73" s="83"/>
      <c r="MI73" s="83"/>
      <c r="MJ73" s="83"/>
      <c r="MK73" s="83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83"/>
      <c r="OS73" s="83"/>
      <c r="OT73" s="83"/>
      <c r="OU73" s="83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3"/>
      <c r="PT73" s="83"/>
      <c r="PU73" s="83"/>
      <c r="PV73" s="83"/>
      <c r="PW73" s="83"/>
      <c r="PX73" s="83"/>
      <c r="PY73" s="83"/>
      <c r="PZ73" s="83"/>
      <c r="QA73" s="83"/>
      <c r="QB73" s="83"/>
      <c r="QC73" s="83"/>
      <c r="QD73" s="83"/>
      <c r="QE73" s="83"/>
      <c r="QF73" s="83"/>
      <c r="QG73" s="83"/>
      <c r="QH73" s="83"/>
      <c r="QI73" s="83"/>
      <c r="QJ73" s="83"/>
      <c r="QK73" s="83"/>
      <c r="QL73" s="83"/>
      <c r="QM73" s="83"/>
      <c r="QN73" s="83"/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3"/>
      <c r="ST73" s="83"/>
      <c r="SU73" s="83"/>
      <c r="SV73" s="83"/>
      <c r="SW73" s="83"/>
      <c r="SX73" s="83"/>
      <c r="SY73" s="83"/>
      <c r="SZ73" s="83"/>
      <c r="TA73" s="83"/>
      <c r="TB73" s="83"/>
      <c r="TC73" s="83"/>
      <c r="TD73" s="83"/>
      <c r="TE73" s="83"/>
      <c r="TF73" s="83"/>
      <c r="TG73" s="83"/>
      <c r="TH73" s="83"/>
      <c r="TI73" s="83"/>
      <c r="TJ73" s="83"/>
      <c r="TK73" s="83"/>
      <c r="TL73" s="83"/>
      <c r="TM73" s="83"/>
      <c r="TN73" s="83"/>
      <c r="TO73" s="83"/>
      <c r="TP73" s="83"/>
      <c r="TQ73" s="83"/>
      <c r="TR73" s="83"/>
      <c r="TS73" s="83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83"/>
      <c r="WA73" s="83"/>
      <c r="WB73" s="83"/>
      <c r="WC73" s="83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3"/>
      <c r="XB73" s="83"/>
      <c r="XC73" s="83"/>
      <c r="XD73" s="83"/>
      <c r="XE73" s="83"/>
      <c r="XF73" s="83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3"/>
      <c r="AAB73" s="83"/>
      <c r="AAC73" s="83"/>
      <c r="AAD73" s="83"/>
      <c r="AAE73" s="83"/>
      <c r="AAF73" s="83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3"/>
      <c r="AAU73" s="83"/>
      <c r="AAV73" s="83"/>
      <c r="AAW73" s="83"/>
      <c r="AAX73" s="83"/>
      <c r="AAY73" s="83"/>
      <c r="AAZ73" s="83"/>
      <c r="ABA73" s="83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83"/>
      <c r="ADI73" s="83"/>
      <c r="ADJ73" s="83"/>
      <c r="ADK73" s="83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3"/>
      <c r="AEJ73" s="83"/>
      <c r="AEK73" s="83"/>
      <c r="AEL73" s="83"/>
      <c r="AEM73" s="83"/>
      <c r="AEN73" s="83"/>
      <c r="AEO73" s="83"/>
      <c r="AEP73" s="83"/>
      <c r="AEQ73" s="83"/>
      <c r="AER73" s="83"/>
      <c r="AES73" s="83"/>
      <c r="AET73" s="83"/>
      <c r="AEU73" s="83"/>
      <c r="AEV73" s="83"/>
      <c r="AEW73" s="83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3"/>
      <c r="AHI73" s="83"/>
      <c r="AHJ73" s="83"/>
      <c r="AHK73" s="83"/>
      <c r="AHL73" s="83"/>
      <c r="AHM73" s="83"/>
      <c r="AHN73" s="83"/>
      <c r="AHO73" s="83"/>
      <c r="AHP73" s="83"/>
      <c r="AHQ73" s="83"/>
      <c r="AHR73" s="83"/>
      <c r="AHS73" s="83"/>
      <c r="AHT73" s="83"/>
      <c r="AHU73" s="83"/>
      <c r="AHV73" s="83"/>
      <c r="AHW73" s="83"/>
      <c r="AHX73" s="83"/>
      <c r="AHY73" s="83"/>
      <c r="AHZ73" s="83"/>
      <c r="AIA73" s="83"/>
      <c r="AIB73" s="83"/>
      <c r="AIC73" s="83"/>
      <c r="AID73" s="83"/>
      <c r="AIE73" s="83"/>
      <c r="AIF73" s="83"/>
      <c r="AIG73" s="83"/>
      <c r="AIH73" s="83"/>
      <c r="AII73" s="83"/>
      <c r="AIJ73" s="83"/>
      <c r="AIK73" s="83"/>
      <c r="AIL73" s="83"/>
      <c r="AIM73" s="83"/>
      <c r="AIN73" s="83"/>
      <c r="AIO73" s="83"/>
      <c r="AIP73" s="83"/>
      <c r="AIQ73" s="83"/>
      <c r="AIR73" s="83"/>
      <c r="AIS73" s="83"/>
      <c r="AIT73" s="83"/>
      <c r="AIU73" s="83"/>
      <c r="AIV73" s="83"/>
      <c r="AIW73" s="83"/>
      <c r="AIX73" s="83"/>
      <c r="AIY73" s="83"/>
      <c r="AIZ73" s="83"/>
      <c r="AJA73" s="83"/>
      <c r="AJB73" s="83"/>
      <c r="AJC73" s="83"/>
      <c r="AJD73" s="83"/>
      <c r="AJE73" s="83"/>
      <c r="AJF73" s="83"/>
      <c r="AJG73" s="83"/>
      <c r="AJH73" s="83"/>
      <c r="AJI73" s="83"/>
      <c r="AJJ73" s="83"/>
      <c r="AJK73" s="83"/>
      <c r="AJL73" s="83"/>
      <c r="AJM73" s="83"/>
      <c r="AJN73" s="83"/>
      <c r="AJO73" s="83"/>
      <c r="AJP73" s="83"/>
      <c r="AJQ73" s="83"/>
      <c r="AJR73" s="83"/>
      <c r="AJS73" s="83"/>
      <c r="AJT73" s="83"/>
      <c r="AJU73" s="83"/>
      <c r="AJV73" s="83"/>
      <c r="AJW73" s="83"/>
      <c r="AJX73" s="83"/>
      <c r="AJY73" s="83"/>
      <c r="AJZ73" s="83"/>
      <c r="AKA73" s="83"/>
      <c r="AKB73" s="83"/>
      <c r="AKC73" s="83"/>
      <c r="AKD73" s="83"/>
      <c r="AKE73" s="83"/>
      <c r="AKF73" s="83"/>
      <c r="AKG73" s="83"/>
      <c r="AKH73" s="83"/>
      <c r="AKI73" s="83"/>
      <c r="AKJ73" s="83"/>
      <c r="AKK73" s="83"/>
      <c r="AKL73" s="83"/>
      <c r="AKM73" s="83"/>
      <c r="AKN73" s="83"/>
      <c r="AKO73" s="83"/>
      <c r="AKP73" s="83"/>
      <c r="AKQ73" s="83"/>
      <c r="AKR73" s="83"/>
      <c r="AKS73" s="83"/>
      <c r="AKT73" s="83"/>
      <c r="AKU73" s="83"/>
      <c r="AKV73" s="83"/>
      <c r="AKW73" s="83"/>
      <c r="AKX73" s="83"/>
      <c r="AKY73" s="83"/>
      <c r="AKZ73" s="83"/>
      <c r="ALA73" s="83"/>
      <c r="ALB73" s="83"/>
      <c r="ALC73" s="83"/>
      <c r="ALD73" s="83"/>
      <c r="ALE73" s="83"/>
      <c r="ALF73" s="83"/>
      <c r="ALG73" s="83"/>
      <c r="ALH73" s="83"/>
      <c r="ALI73" s="83"/>
      <c r="ALJ73" s="83"/>
      <c r="ALK73" s="83"/>
      <c r="ALL73" s="83"/>
      <c r="ALM73" s="83"/>
      <c r="ALN73" s="83"/>
      <c r="ALO73" s="83"/>
      <c r="ALP73" s="83"/>
      <c r="ALQ73" s="83"/>
      <c r="ALR73" s="83"/>
      <c r="ALS73" s="83"/>
      <c r="ALT73" s="83"/>
      <c r="ALU73" s="83"/>
      <c r="ALV73" s="83"/>
      <c r="ALW73" s="83"/>
      <c r="ALX73" s="83"/>
      <c r="ALY73" s="83"/>
      <c r="ALZ73" s="83"/>
      <c r="AMA73" s="83"/>
      <c r="AMB73" s="83"/>
      <c r="AMC73" s="83"/>
      <c r="AMD73" s="83"/>
      <c r="AME73" s="83"/>
      <c r="AMF73" s="83"/>
      <c r="AMG73" s="83"/>
      <c r="AMH73" s="83"/>
      <c r="AMI73" s="83"/>
      <c r="AMJ73" s="83"/>
    </row>
    <row r="74" spans="12:1024" ht="20.25" customHeight="1" x14ac:dyDescent="0.2">
      <c r="L74" s="83"/>
      <c r="M74" s="84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  <c r="HZ74" s="83"/>
      <c r="IA74" s="83"/>
      <c r="IB74" s="83"/>
      <c r="IC74" s="83"/>
      <c r="ID74" s="83"/>
      <c r="IE74" s="83"/>
      <c r="IF74" s="83"/>
      <c r="IG74" s="83"/>
      <c r="IH74" s="83"/>
      <c r="II74" s="83"/>
      <c r="IJ74" s="83"/>
      <c r="IK74" s="83"/>
      <c r="IL74" s="83"/>
      <c r="IM74" s="83"/>
      <c r="IN74" s="83"/>
      <c r="IO74" s="83"/>
      <c r="IP74" s="83"/>
      <c r="IQ74" s="83"/>
      <c r="IR74" s="83"/>
      <c r="IS74" s="83"/>
      <c r="IT74" s="83"/>
      <c r="IU74" s="83"/>
      <c r="IV74" s="83"/>
      <c r="IW74" s="83"/>
      <c r="IX74" s="83"/>
      <c r="IY74" s="83"/>
      <c r="IZ74" s="83"/>
      <c r="JA74" s="83"/>
      <c r="JB74" s="83"/>
      <c r="JC74" s="83"/>
      <c r="JD74" s="83"/>
      <c r="JE74" s="83"/>
      <c r="JF74" s="83"/>
      <c r="JG74" s="83"/>
      <c r="JH74" s="83"/>
      <c r="JI74" s="83"/>
      <c r="JJ74" s="83"/>
      <c r="JK74" s="83"/>
      <c r="JL74" s="83"/>
      <c r="JM74" s="83"/>
      <c r="JN74" s="83"/>
      <c r="JO74" s="83"/>
      <c r="JP74" s="83"/>
      <c r="JQ74" s="83"/>
      <c r="JR74" s="83"/>
      <c r="JS74" s="83"/>
      <c r="JT74" s="83"/>
      <c r="JU74" s="83"/>
      <c r="JV74" s="83"/>
      <c r="JW74" s="83"/>
      <c r="JX74" s="83"/>
      <c r="JY74" s="83"/>
      <c r="JZ74" s="83"/>
      <c r="KA74" s="83"/>
      <c r="KB74" s="83"/>
      <c r="KC74" s="83"/>
      <c r="KD74" s="83"/>
      <c r="KE74" s="83"/>
      <c r="KF74" s="83"/>
      <c r="KG74" s="83"/>
      <c r="KH74" s="83"/>
      <c r="KI74" s="83"/>
      <c r="KJ74" s="83"/>
      <c r="KK74" s="83"/>
      <c r="KL74" s="83"/>
      <c r="KM74" s="83"/>
      <c r="KN74" s="83"/>
      <c r="KO74" s="83"/>
      <c r="KP74" s="83"/>
      <c r="KQ74" s="83"/>
      <c r="KR74" s="83"/>
      <c r="KS74" s="83"/>
      <c r="KT74" s="83"/>
      <c r="KU74" s="83"/>
      <c r="KV74" s="83"/>
      <c r="KW74" s="83"/>
      <c r="KX74" s="83"/>
      <c r="KY74" s="83"/>
      <c r="KZ74" s="83"/>
      <c r="LA74" s="83"/>
      <c r="LB74" s="83"/>
      <c r="LC74" s="83"/>
      <c r="LD74" s="83"/>
      <c r="LE74" s="83"/>
      <c r="LF74" s="83"/>
      <c r="LG74" s="83"/>
      <c r="LH74" s="83"/>
      <c r="LI74" s="83"/>
      <c r="LJ74" s="83"/>
      <c r="LK74" s="83"/>
      <c r="LL74" s="83"/>
      <c r="LM74" s="83"/>
      <c r="LN74" s="83"/>
      <c r="LO74" s="83"/>
      <c r="LP74" s="83"/>
      <c r="LQ74" s="83"/>
      <c r="LR74" s="83"/>
      <c r="LS74" s="83"/>
      <c r="LT74" s="83"/>
      <c r="LU74" s="83"/>
      <c r="LV74" s="83"/>
      <c r="LW74" s="83"/>
      <c r="LX74" s="83"/>
      <c r="LY74" s="83"/>
      <c r="LZ74" s="83"/>
      <c r="MA74" s="83"/>
      <c r="MB74" s="83"/>
      <c r="MC74" s="83"/>
      <c r="MD74" s="83"/>
      <c r="ME74" s="83"/>
      <c r="MF74" s="83"/>
      <c r="MG74" s="83"/>
      <c r="MH74" s="83"/>
      <c r="MI74" s="83"/>
      <c r="MJ74" s="83"/>
      <c r="MK74" s="83"/>
      <c r="ML74" s="83"/>
      <c r="MM74" s="83"/>
      <c r="MN74" s="83"/>
      <c r="MO74" s="83"/>
      <c r="MP74" s="83"/>
      <c r="MQ74" s="83"/>
      <c r="MR74" s="83"/>
      <c r="MS74" s="83"/>
      <c r="MT74" s="83"/>
      <c r="MU74" s="83"/>
      <c r="MV74" s="83"/>
      <c r="MW74" s="83"/>
      <c r="MX74" s="83"/>
      <c r="MY74" s="83"/>
      <c r="MZ74" s="83"/>
      <c r="NA74" s="83"/>
      <c r="NB74" s="83"/>
      <c r="NC74" s="83"/>
      <c r="ND74" s="83"/>
      <c r="NE74" s="83"/>
      <c r="NF74" s="83"/>
      <c r="NG74" s="83"/>
      <c r="NH74" s="83"/>
      <c r="NI74" s="83"/>
      <c r="NJ74" s="83"/>
      <c r="NK74" s="83"/>
      <c r="NL74" s="83"/>
      <c r="NM74" s="83"/>
      <c r="NN74" s="83"/>
      <c r="NO74" s="83"/>
      <c r="NP74" s="83"/>
      <c r="NQ74" s="83"/>
      <c r="NR74" s="83"/>
      <c r="NS74" s="83"/>
      <c r="NT74" s="83"/>
      <c r="NU74" s="83"/>
      <c r="NV74" s="83"/>
      <c r="NW74" s="83"/>
      <c r="NX74" s="83"/>
      <c r="NY74" s="83"/>
      <c r="NZ74" s="83"/>
      <c r="OA74" s="83"/>
      <c r="OB74" s="83"/>
      <c r="OC74" s="83"/>
      <c r="OD74" s="83"/>
      <c r="OE74" s="83"/>
      <c r="OF74" s="83"/>
      <c r="OG74" s="83"/>
      <c r="OH74" s="83"/>
      <c r="OI74" s="83"/>
      <c r="OJ74" s="83"/>
      <c r="OK74" s="83"/>
      <c r="OL74" s="83"/>
      <c r="OM74" s="83"/>
      <c r="ON74" s="83"/>
      <c r="OO74" s="83"/>
      <c r="OP74" s="83"/>
      <c r="OQ74" s="83"/>
      <c r="OR74" s="83"/>
      <c r="OS74" s="83"/>
      <c r="OT74" s="83"/>
      <c r="OU74" s="83"/>
      <c r="OV74" s="83"/>
      <c r="OW74" s="83"/>
      <c r="OX74" s="83"/>
      <c r="OY74" s="83"/>
      <c r="OZ74" s="83"/>
      <c r="PA74" s="83"/>
      <c r="PB74" s="83"/>
      <c r="PC74" s="83"/>
      <c r="PD74" s="83"/>
      <c r="PE74" s="83"/>
      <c r="PF74" s="83"/>
      <c r="PG74" s="83"/>
      <c r="PH74" s="83"/>
      <c r="PI74" s="83"/>
      <c r="PJ74" s="83"/>
      <c r="PK74" s="83"/>
      <c r="PL74" s="83"/>
      <c r="PM74" s="83"/>
      <c r="PN74" s="83"/>
      <c r="PO74" s="83"/>
      <c r="PP74" s="83"/>
      <c r="PQ74" s="83"/>
      <c r="PR74" s="83"/>
      <c r="PS74" s="83"/>
      <c r="PT74" s="83"/>
      <c r="PU74" s="83"/>
      <c r="PV74" s="83"/>
      <c r="PW74" s="83"/>
      <c r="PX74" s="83"/>
      <c r="PY74" s="83"/>
      <c r="PZ74" s="83"/>
      <c r="QA74" s="83"/>
      <c r="QB74" s="83"/>
      <c r="QC74" s="83"/>
      <c r="QD74" s="83"/>
      <c r="QE74" s="83"/>
      <c r="QF74" s="83"/>
      <c r="QG74" s="83"/>
      <c r="QH74" s="83"/>
      <c r="QI74" s="83"/>
      <c r="QJ74" s="83"/>
      <c r="QK74" s="83"/>
      <c r="QL74" s="83"/>
      <c r="QM74" s="83"/>
      <c r="QN74" s="83"/>
      <c r="QO74" s="83"/>
      <c r="QP74" s="83"/>
      <c r="QQ74" s="83"/>
      <c r="QR74" s="83"/>
      <c r="QS74" s="83"/>
      <c r="QT74" s="83"/>
      <c r="QU74" s="83"/>
      <c r="QV74" s="83"/>
      <c r="QW74" s="83"/>
      <c r="QX74" s="83"/>
      <c r="QY74" s="83"/>
      <c r="QZ74" s="83"/>
      <c r="RA74" s="83"/>
      <c r="RB74" s="83"/>
      <c r="RC74" s="83"/>
      <c r="RD74" s="83"/>
      <c r="RE74" s="83"/>
      <c r="RF74" s="83"/>
      <c r="RG74" s="83"/>
      <c r="RH74" s="83"/>
      <c r="RI74" s="83"/>
      <c r="RJ74" s="83"/>
      <c r="RK74" s="83"/>
      <c r="RL74" s="83"/>
      <c r="RM74" s="83"/>
      <c r="RN74" s="83"/>
      <c r="RO74" s="83"/>
      <c r="RP74" s="83"/>
      <c r="RQ74" s="83"/>
      <c r="RR74" s="83"/>
      <c r="RS74" s="83"/>
      <c r="RT74" s="83"/>
      <c r="RU74" s="83"/>
      <c r="RV74" s="83"/>
      <c r="RW74" s="83"/>
      <c r="RX74" s="83"/>
      <c r="RY74" s="83"/>
      <c r="RZ74" s="83"/>
      <c r="SA74" s="83"/>
      <c r="SB74" s="83"/>
      <c r="SC74" s="83"/>
      <c r="SD74" s="83"/>
      <c r="SE74" s="83"/>
      <c r="SF74" s="83"/>
      <c r="SG74" s="83"/>
      <c r="SH74" s="83"/>
      <c r="SI74" s="83"/>
      <c r="SJ74" s="83"/>
      <c r="SK74" s="83"/>
      <c r="SL74" s="83"/>
      <c r="SM74" s="83"/>
      <c r="SN74" s="83"/>
      <c r="SO74" s="83"/>
      <c r="SP74" s="83"/>
      <c r="SQ74" s="83"/>
      <c r="SR74" s="83"/>
      <c r="SS74" s="83"/>
      <c r="ST74" s="83"/>
      <c r="SU74" s="83"/>
      <c r="SV74" s="83"/>
      <c r="SW74" s="83"/>
      <c r="SX74" s="83"/>
      <c r="SY74" s="83"/>
      <c r="SZ74" s="83"/>
      <c r="TA74" s="83"/>
      <c r="TB74" s="83"/>
      <c r="TC74" s="83"/>
      <c r="TD74" s="83"/>
      <c r="TE74" s="83"/>
      <c r="TF74" s="83"/>
      <c r="TG74" s="83"/>
      <c r="TH74" s="83"/>
      <c r="TI74" s="83"/>
      <c r="TJ74" s="83"/>
      <c r="TK74" s="83"/>
      <c r="TL74" s="83"/>
      <c r="TM74" s="83"/>
      <c r="TN74" s="83"/>
      <c r="TO74" s="83"/>
      <c r="TP74" s="83"/>
      <c r="TQ74" s="83"/>
      <c r="TR74" s="83"/>
      <c r="TS74" s="83"/>
      <c r="TT74" s="83"/>
      <c r="TU74" s="83"/>
      <c r="TV74" s="83"/>
      <c r="TW74" s="83"/>
      <c r="TX74" s="83"/>
      <c r="TY74" s="83"/>
      <c r="TZ74" s="83"/>
      <c r="UA74" s="83"/>
      <c r="UB74" s="83"/>
      <c r="UC74" s="83"/>
      <c r="UD74" s="83"/>
      <c r="UE74" s="83"/>
      <c r="UF74" s="83"/>
      <c r="UG74" s="83"/>
      <c r="UH74" s="83"/>
      <c r="UI74" s="83"/>
      <c r="UJ74" s="83"/>
      <c r="UK74" s="83"/>
      <c r="UL74" s="83"/>
      <c r="UM74" s="83"/>
      <c r="UN74" s="83"/>
      <c r="UO74" s="83"/>
      <c r="UP74" s="83"/>
      <c r="UQ74" s="83"/>
      <c r="UR74" s="83"/>
      <c r="US74" s="83"/>
      <c r="UT74" s="83"/>
      <c r="UU74" s="83"/>
      <c r="UV74" s="83"/>
      <c r="UW74" s="83"/>
      <c r="UX74" s="83"/>
      <c r="UY74" s="83"/>
      <c r="UZ74" s="83"/>
      <c r="VA74" s="83"/>
      <c r="VB74" s="83"/>
      <c r="VC74" s="83"/>
      <c r="VD74" s="83"/>
      <c r="VE74" s="83"/>
      <c r="VF74" s="83"/>
      <c r="VG74" s="83"/>
      <c r="VH74" s="83"/>
      <c r="VI74" s="83"/>
      <c r="VJ74" s="83"/>
      <c r="VK74" s="83"/>
      <c r="VL74" s="83"/>
      <c r="VM74" s="83"/>
      <c r="VN74" s="83"/>
      <c r="VO74" s="83"/>
      <c r="VP74" s="83"/>
      <c r="VQ74" s="83"/>
      <c r="VR74" s="83"/>
      <c r="VS74" s="83"/>
      <c r="VT74" s="83"/>
      <c r="VU74" s="83"/>
      <c r="VV74" s="83"/>
      <c r="VW74" s="83"/>
      <c r="VX74" s="83"/>
      <c r="VY74" s="83"/>
      <c r="VZ74" s="83"/>
      <c r="WA74" s="83"/>
      <c r="WB74" s="83"/>
      <c r="WC74" s="83"/>
      <c r="WD74" s="83"/>
      <c r="WE74" s="83"/>
      <c r="WF74" s="83"/>
      <c r="WG74" s="83"/>
      <c r="WH74" s="83"/>
      <c r="WI74" s="83"/>
      <c r="WJ74" s="83"/>
      <c r="WK74" s="83"/>
      <c r="WL74" s="83"/>
      <c r="WM74" s="83"/>
      <c r="WN74" s="83"/>
      <c r="WO74" s="83"/>
      <c r="WP74" s="83"/>
      <c r="WQ74" s="83"/>
      <c r="WR74" s="83"/>
      <c r="WS74" s="83"/>
      <c r="WT74" s="83"/>
      <c r="WU74" s="83"/>
      <c r="WV74" s="83"/>
      <c r="WW74" s="83"/>
      <c r="WX74" s="83"/>
      <c r="WY74" s="83"/>
      <c r="WZ74" s="83"/>
      <c r="XA74" s="83"/>
      <c r="XB74" s="83"/>
      <c r="XC74" s="83"/>
      <c r="XD74" s="83"/>
      <c r="XE74" s="83"/>
      <c r="XF74" s="83"/>
      <c r="XG74" s="83"/>
      <c r="XH74" s="83"/>
      <c r="XI74" s="83"/>
      <c r="XJ74" s="83"/>
      <c r="XK74" s="83"/>
      <c r="XL74" s="83"/>
      <c r="XM74" s="83"/>
      <c r="XN74" s="83"/>
      <c r="XO74" s="83"/>
      <c r="XP74" s="83"/>
      <c r="XQ74" s="83"/>
      <c r="XR74" s="83"/>
      <c r="XS74" s="83"/>
      <c r="XT74" s="83"/>
      <c r="XU74" s="83"/>
      <c r="XV74" s="83"/>
      <c r="XW74" s="83"/>
      <c r="XX74" s="83"/>
      <c r="XY74" s="83"/>
      <c r="XZ74" s="83"/>
      <c r="YA74" s="83"/>
      <c r="YB74" s="83"/>
      <c r="YC74" s="83"/>
      <c r="YD74" s="83"/>
      <c r="YE74" s="83"/>
      <c r="YF74" s="83"/>
      <c r="YG74" s="83"/>
      <c r="YH74" s="83"/>
      <c r="YI74" s="83"/>
      <c r="YJ74" s="83"/>
      <c r="YK74" s="83"/>
      <c r="YL74" s="83"/>
      <c r="YM74" s="83"/>
      <c r="YN74" s="83"/>
      <c r="YO74" s="83"/>
      <c r="YP74" s="83"/>
      <c r="YQ74" s="83"/>
      <c r="YR74" s="83"/>
      <c r="YS74" s="83"/>
      <c r="YT74" s="83"/>
      <c r="YU74" s="83"/>
      <c r="YV74" s="83"/>
      <c r="YW74" s="83"/>
      <c r="YX74" s="83"/>
      <c r="YY74" s="83"/>
      <c r="YZ74" s="83"/>
      <c r="ZA74" s="83"/>
      <c r="ZB74" s="83"/>
      <c r="ZC74" s="83"/>
      <c r="ZD74" s="83"/>
      <c r="ZE74" s="83"/>
      <c r="ZF74" s="83"/>
      <c r="ZG74" s="83"/>
      <c r="ZH74" s="83"/>
      <c r="ZI74" s="83"/>
      <c r="ZJ74" s="83"/>
      <c r="ZK74" s="83"/>
      <c r="ZL74" s="83"/>
      <c r="ZM74" s="83"/>
      <c r="ZN74" s="83"/>
      <c r="ZO74" s="83"/>
      <c r="ZP74" s="83"/>
      <c r="ZQ74" s="83"/>
      <c r="ZR74" s="83"/>
      <c r="ZS74" s="83"/>
      <c r="ZT74" s="83"/>
      <c r="ZU74" s="83"/>
      <c r="ZV74" s="83"/>
      <c r="ZW74" s="83"/>
      <c r="ZX74" s="83"/>
      <c r="ZY74" s="83"/>
      <c r="ZZ74" s="83"/>
      <c r="AAA74" s="83"/>
      <c r="AAB74" s="83"/>
      <c r="AAC74" s="83"/>
      <c r="AAD74" s="83"/>
      <c r="AAE74" s="83"/>
      <c r="AAF74" s="83"/>
      <c r="AAG74" s="83"/>
      <c r="AAH74" s="83"/>
      <c r="AAI74" s="83"/>
      <c r="AAJ74" s="83"/>
      <c r="AAK74" s="83"/>
      <c r="AAL74" s="83"/>
      <c r="AAM74" s="83"/>
      <c r="AAN74" s="83"/>
      <c r="AAO74" s="83"/>
      <c r="AAP74" s="83"/>
      <c r="AAQ74" s="83"/>
      <c r="AAR74" s="83"/>
      <c r="AAS74" s="83"/>
      <c r="AAT74" s="83"/>
      <c r="AAU74" s="83"/>
      <c r="AAV74" s="83"/>
      <c r="AAW74" s="83"/>
      <c r="AAX74" s="83"/>
      <c r="AAY74" s="83"/>
      <c r="AAZ74" s="83"/>
      <c r="ABA74" s="83"/>
      <c r="ABB74" s="83"/>
      <c r="ABC74" s="83"/>
      <c r="ABD74" s="83"/>
      <c r="ABE74" s="83"/>
      <c r="ABF74" s="83"/>
      <c r="ABG74" s="83"/>
      <c r="ABH74" s="83"/>
      <c r="ABI74" s="83"/>
      <c r="ABJ74" s="83"/>
      <c r="ABK74" s="83"/>
      <c r="ABL74" s="83"/>
      <c r="ABM74" s="83"/>
      <c r="ABN74" s="83"/>
      <c r="ABO74" s="83"/>
      <c r="ABP74" s="83"/>
      <c r="ABQ74" s="83"/>
      <c r="ABR74" s="83"/>
      <c r="ABS74" s="83"/>
      <c r="ABT74" s="83"/>
      <c r="ABU74" s="83"/>
      <c r="ABV74" s="83"/>
      <c r="ABW74" s="83"/>
      <c r="ABX74" s="83"/>
      <c r="ABY74" s="83"/>
      <c r="ABZ74" s="83"/>
      <c r="ACA74" s="83"/>
      <c r="ACB74" s="83"/>
      <c r="ACC74" s="83"/>
      <c r="ACD74" s="83"/>
      <c r="ACE74" s="83"/>
      <c r="ACF74" s="83"/>
      <c r="ACG74" s="83"/>
      <c r="ACH74" s="83"/>
      <c r="ACI74" s="83"/>
      <c r="ACJ74" s="83"/>
      <c r="ACK74" s="83"/>
      <c r="ACL74" s="83"/>
      <c r="ACM74" s="83"/>
      <c r="ACN74" s="83"/>
      <c r="ACO74" s="83"/>
      <c r="ACP74" s="83"/>
      <c r="ACQ74" s="83"/>
      <c r="ACR74" s="83"/>
      <c r="ACS74" s="83"/>
      <c r="ACT74" s="83"/>
      <c r="ACU74" s="83"/>
      <c r="ACV74" s="83"/>
      <c r="ACW74" s="83"/>
      <c r="ACX74" s="83"/>
      <c r="ACY74" s="83"/>
      <c r="ACZ74" s="83"/>
      <c r="ADA74" s="83"/>
      <c r="ADB74" s="83"/>
      <c r="ADC74" s="83"/>
      <c r="ADD74" s="83"/>
      <c r="ADE74" s="83"/>
      <c r="ADF74" s="83"/>
      <c r="ADG74" s="83"/>
      <c r="ADH74" s="83"/>
      <c r="ADI74" s="83"/>
      <c r="ADJ74" s="83"/>
      <c r="ADK74" s="83"/>
      <c r="ADL74" s="83"/>
      <c r="ADM74" s="83"/>
      <c r="ADN74" s="83"/>
      <c r="ADO74" s="83"/>
      <c r="ADP74" s="83"/>
      <c r="ADQ74" s="83"/>
      <c r="ADR74" s="83"/>
      <c r="ADS74" s="83"/>
      <c r="ADT74" s="83"/>
      <c r="ADU74" s="83"/>
      <c r="ADV74" s="83"/>
      <c r="ADW74" s="83"/>
      <c r="ADX74" s="83"/>
      <c r="ADY74" s="83"/>
      <c r="ADZ74" s="83"/>
      <c r="AEA74" s="83"/>
      <c r="AEB74" s="83"/>
      <c r="AEC74" s="83"/>
      <c r="AED74" s="83"/>
      <c r="AEE74" s="83"/>
      <c r="AEF74" s="83"/>
      <c r="AEG74" s="83"/>
      <c r="AEH74" s="83"/>
      <c r="AEI74" s="83"/>
      <c r="AEJ74" s="83"/>
      <c r="AEK74" s="83"/>
      <c r="AEL74" s="83"/>
      <c r="AEM74" s="83"/>
      <c r="AEN74" s="83"/>
      <c r="AEO74" s="83"/>
      <c r="AEP74" s="83"/>
      <c r="AEQ74" s="83"/>
      <c r="AER74" s="83"/>
      <c r="AES74" s="83"/>
      <c r="AET74" s="83"/>
      <c r="AEU74" s="83"/>
      <c r="AEV74" s="83"/>
      <c r="AEW74" s="83"/>
      <c r="AEX74" s="83"/>
      <c r="AEY74" s="83"/>
      <c r="AEZ74" s="83"/>
      <c r="AFA74" s="83"/>
      <c r="AFB74" s="83"/>
      <c r="AFC74" s="83"/>
      <c r="AFD74" s="83"/>
      <c r="AFE74" s="83"/>
      <c r="AFF74" s="83"/>
      <c r="AFG74" s="83"/>
      <c r="AFH74" s="83"/>
      <c r="AFI74" s="83"/>
      <c r="AFJ74" s="83"/>
      <c r="AFK74" s="83"/>
      <c r="AFL74" s="83"/>
      <c r="AFM74" s="83"/>
      <c r="AFN74" s="83"/>
      <c r="AFO74" s="83"/>
      <c r="AFP74" s="83"/>
      <c r="AFQ74" s="83"/>
      <c r="AFR74" s="83"/>
      <c r="AFS74" s="83"/>
      <c r="AFT74" s="83"/>
      <c r="AFU74" s="83"/>
      <c r="AFV74" s="83"/>
      <c r="AFW74" s="83"/>
      <c r="AFX74" s="83"/>
      <c r="AFY74" s="83"/>
      <c r="AFZ74" s="83"/>
      <c r="AGA74" s="83"/>
      <c r="AGB74" s="83"/>
      <c r="AGC74" s="83"/>
      <c r="AGD74" s="83"/>
      <c r="AGE74" s="83"/>
      <c r="AGF74" s="83"/>
      <c r="AGG74" s="83"/>
      <c r="AGH74" s="83"/>
      <c r="AGI74" s="83"/>
      <c r="AGJ74" s="83"/>
      <c r="AGK74" s="83"/>
      <c r="AGL74" s="83"/>
      <c r="AGM74" s="83"/>
      <c r="AGN74" s="83"/>
      <c r="AGO74" s="83"/>
      <c r="AGP74" s="83"/>
      <c r="AGQ74" s="83"/>
      <c r="AGR74" s="83"/>
      <c r="AGS74" s="83"/>
      <c r="AGT74" s="83"/>
      <c r="AGU74" s="83"/>
      <c r="AGV74" s="83"/>
      <c r="AGW74" s="83"/>
      <c r="AGX74" s="83"/>
      <c r="AGY74" s="83"/>
      <c r="AGZ74" s="83"/>
      <c r="AHA74" s="83"/>
      <c r="AHB74" s="83"/>
      <c r="AHC74" s="83"/>
      <c r="AHD74" s="83"/>
      <c r="AHE74" s="83"/>
      <c r="AHF74" s="83"/>
      <c r="AHG74" s="83"/>
      <c r="AHH74" s="83"/>
      <c r="AHI74" s="83"/>
      <c r="AHJ74" s="83"/>
      <c r="AHK74" s="83"/>
      <c r="AHL74" s="83"/>
      <c r="AHM74" s="83"/>
      <c r="AHN74" s="83"/>
      <c r="AHO74" s="83"/>
      <c r="AHP74" s="83"/>
      <c r="AHQ74" s="83"/>
      <c r="AHR74" s="83"/>
      <c r="AHS74" s="83"/>
      <c r="AHT74" s="83"/>
      <c r="AHU74" s="83"/>
      <c r="AHV74" s="83"/>
      <c r="AHW74" s="83"/>
      <c r="AHX74" s="83"/>
      <c r="AHY74" s="83"/>
      <c r="AHZ74" s="83"/>
      <c r="AIA74" s="83"/>
      <c r="AIB74" s="83"/>
      <c r="AIC74" s="83"/>
      <c r="AID74" s="83"/>
      <c r="AIE74" s="83"/>
      <c r="AIF74" s="83"/>
      <c r="AIG74" s="83"/>
      <c r="AIH74" s="83"/>
      <c r="AII74" s="83"/>
      <c r="AIJ74" s="83"/>
      <c r="AIK74" s="83"/>
      <c r="AIL74" s="83"/>
      <c r="AIM74" s="83"/>
      <c r="AIN74" s="83"/>
      <c r="AIO74" s="83"/>
      <c r="AIP74" s="83"/>
      <c r="AIQ74" s="83"/>
      <c r="AIR74" s="83"/>
      <c r="AIS74" s="83"/>
      <c r="AIT74" s="83"/>
      <c r="AIU74" s="83"/>
      <c r="AIV74" s="83"/>
      <c r="AIW74" s="83"/>
      <c r="AIX74" s="83"/>
      <c r="AIY74" s="83"/>
      <c r="AIZ74" s="83"/>
      <c r="AJA74" s="83"/>
      <c r="AJB74" s="83"/>
      <c r="AJC74" s="83"/>
      <c r="AJD74" s="83"/>
      <c r="AJE74" s="83"/>
      <c r="AJF74" s="83"/>
      <c r="AJG74" s="83"/>
      <c r="AJH74" s="83"/>
      <c r="AJI74" s="83"/>
      <c r="AJJ74" s="83"/>
      <c r="AJK74" s="83"/>
      <c r="AJL74" s="83"/>
      <c r="AJM74" s="83"/>
      <c r="AJN74" s="83"/>
      <c r="AJO74" s="83"/>
      <c r="AJP74" s="83"/>
      <c r="AJQ74" s="83"/>
      <c r="AJR74" s="83"/>
      <c r="AJS74" s="83"/>
      <c r="AJT74" s="83"/>
      <c r="AJU74" s="83"/>
      <c r="AJV74" s="83"/>
      <c r="AJW74" s="83"/>
      <c r="AJX74" s="83"/>
      <c r="AJY74" s="83"/>
      <c r="AJZ74" s="83"/>
      <c r="AKA74" s="83"/>
      <c r="AKB74" s="83"/>
      <c r="AKC74" s="83"/>
      <c r="AKD74" s="83"/>
      <c r="AKE74" s="83"/>
      <c r="AKF74" s="83"/>
      <c r="AKG74" s="83"/>
      <c r="AKH74" s="83"/>
      <c r="AKI74" s="83"/>
      <c r="AKJ74" s="83"/>
      <c r="AKK74" s="83"/>
      <c r="AKL74" s="83"/>
      <c r="AKM74" s="83"/>
      <c r="AKN74" s="83"/>
      <c r="AKO74" s="83"/>
      <c r="AKP74" s="83"/>
      <c r="AKQ74" s="83"/>
      <c r="AKR74" s="83"/>
      <c r="AKS74" s="83"/>
      <c r="AKT74" s="83"/>
      <c r="AKU74" s="83"/>
      <c r="AKV74" s="83"/>
      <c r="AKW74" s="83"/>
      <c r="AKX74" s="83"/>
      <c r="AKY74" s="83"/>
      <c r="AKZ74" s="83"/>
      <c r="ALA74" s="83"/>
      <c r="ALB74" s="83"/>
      <c r="ALC74" s="83"/>
      <c r="ALD74" s="83"/>
      <c r="ALE74" s="83"/>
      <c r="ALF74" s="83"/>
      <c r="ALG74" s="83"/>
      <c r="ALH74" s="83"/>
      <c r="ALI74" s="83"/>
      <c r="ALJ74" s="83"/>
      <c r="ALK74" s="83"/>
      <c r="ALL74" s="83"/>
      <c r="ALM74" s="83"/>
      <c r="ALN74" s="83"/>
      <c r="ALO74" s="83"/>
      <c r="ALP74" s="83"/>
      <c r="ALQ74" s="83"/>
      <c r="ALR74" s="83"/>
      <c r="ALS74" s="83"/>
      <c r="ALT74" s="83"/>
      <c r="ALU74" s="83"/>
      <c r="ALV74" s="83"/>
      <c r="ALW74" s="83"/>
      <c r="ALX74" s="83"/>
      <c r="ALY74" s="83"/>
      <c r="ALZ74" s="83"/>
      <c r="AMA74" s="83"/>
      <c r="AMB74" s="83"/>
      <c r="AMC74" s="83"/>
      <c r="AMD74" s="83"/>
      <c r="AME74" s="83"/>
      <c r="AMF74" s="83"/>
      <c r="AMG74" s="83"/>
      <c r="AMH74" s="83"/>
      <c r="AMI74" s="83"/>
      <c r="AMJ74" s="83"/>
    </row>
  </sheetData>
  <mergeCells count="36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C22:G22"/>
    <mergeCell ref="K10:K11"/>
    <mergeCell ref="C12:G12"/>
    <mergeCell ref="C13:G13"/>
    <mergeCell ref="C14:G14"/>
    <mergeCell ref="C15:G15"/>
    <mergeCell ref="C16:G16"/>
    <mergeCell ref="J10:J11"/>
    <mergeCell ref="C17:G17"/>
    <mergeCell ref="C18:G18"/>
    <mergeCell ref="C19:G19"/>
    <mergeCell ref="C20:G20"/>
    <mergeCell ref="C21:G21"/>
    <mergeCell ref="C23:G23"/>
    <mergeCell ref="A24:I24"/>
    <mergeCell ref="J24:K24"/>
    <mergeCell ref="A25:I25"/>
    <mergeCell ref="J25:K25"/>
  </mergeCells>
  <conditionalFormatting sqref="C12:C16">
    <cfRule type="duplicateValues" dxfId="30" priority="3"/>
    <cfRule type="duplicateValues" dxfId="29" priority="4"/>
  </conditionalFormatting>
  <conditionalFormatting sqref="C12:C16">
    <cfRule type="duplicateValues" dxfId="28" priority="2"/>
  </conditionalFormatting>
  <conditionalFormatting sqref="C12:C16">
    <cfRule type="duplicateValues" dxfId="27" priority="1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3" workbookViewId="0">
      <selection activeCell="A26" sqref="A26:Q27"/>
    </sheetView>
  </sheetViews>
  <sheetFormatPr baseColWidth="10" defaultColWidth="11" defaultRowHeight="12.75" x14ac:dyDescent="0.2"/>
  <cols>
    <col min="1" max="5" width="4.42578125" style="83" customWidth="1"/>
    <col min="6" max="6" width="5.5703125" style="83" customWidth="1"/>
    <col min="7" max="7" width="4.42578125" style="87" customWidth="1"/>
    <col min="8" max="14" width="4.42578125" style="83" customWidth="1"/>
    <col min="15" max="16" width="14.85546875" style="83" customWidth="1"/>
    <col min="17" max="17" width="14.7109375" style="83" customWidth="1"/>
    <col min="18" max="16384" width="11" style="83"/>
  </cols>
  <sheetData>
    <row r="1" spans="1:17" ht="15.75" customHeight="1" thickBot="1" x14ac:dyDescent="0.3">
      <c r="A1" s="256" t="s">
        <v>2</v>
      </c>
      <c r="B1" s="256"/>
      <c r="C1" s="256"/>
      <c r="D1" s="257">
        <v>2021</v>
      </c>
      <c r="E1" s="257"/>
      <c r="F1" s="85"/>
      <c r="G1" s="85"/>
      <c r="H1" s="86"/>
      <c r="I1" s="86"/>
      <c r="J1" s="86"/>
      <c r="K1" s="86"/>
      <c r="L1" s="86"/>
      <c r="M1" s="86"/>
      <c r="N1" s="86"/>
      <c r="P1" s="258" t="s">
        <v>116</v>
      </c>
      <c r="Q1" s="258"/>
    </row>
    <row r="2" spans="1:17" ht="15.75" customHeight="1" thickBot="1" x14ac:dyDescent="0.25">
      <c r="H2" s="86"/>
      <c r="I2" s="86"/>
      <c r="J2" s="86"/>
      <c r="K2" s="86"/>
      <c r="L2" s="86"/>
      <c r="M2" s="86"/>
      <c r="N2" s="86"/>
      <c r="P2" s="258"/>
      <c r="Q2" s="258"/>
    </row>
    <row r="4" spans="1:17" s="88" customFormat="1" ht="18" customHeight="1" thickBot="1" x14ac:dyDescent="0.25">
      <c r="A4" s="259" t="s">
        <v>117</v>
      </c>
      <c r="B4" s="259"/>
      <c r="C4" s="259"/>
      <c r="D4" s="259"/>
      <c r="E4" s="259"/>
      <c r="F4" s="259"/>
      <c r="G4" s="255" t="s">
        <v>101</v>
      </c>
      <c r="H4" s="255"/>
      <c r="I4" s="255"/>
      <c r="J4" s="255"/>
      <c r="K4" s="255"/>
      <c r="L4" s="255"/>
      <c r="M4" s="255"/>
      <c r="N4" s="255"/>
      <c r="O4" s="255"/>
      <c r="P4" s="255"/>
      <c r="Q4" s="255"/>
    </row>
    <row r="5" spans="1:17" s="88" customFormat="1" ht="18" customHeight="1" thickBot="1" x14ac:dyDescent="0.25">
      <c r="A5" s="242" t="s">
        <v>102</v>
      </c>
      <c r="B5" s="243"/>
      <c r="C5" s="243"/>
      <c r="D5" s="243"/>
      <c r="E5" s="243"/>
      <c r="F5" s="244"/>
      <c r="G5" s="255" t="s">
        <v>118</v>
      </c>
      <c r="H5" s="255"/>
      <c r="I5" s="255"/>
      <c r="J5" s="255"/>
      <c r="K5" s="255"/>
      <c r="L5" s="255"/>
      <c r="M5" s="255"/>
      <c r="N5" s="255"/>
      <c r="O5" s="255"/>
      <c r="P5" s="255"/>
      <c r="Q5" s="255"/>
    </row>
    <row r="6" spans="1:17" s="88" customFormat="1" ht="18" customHeight="1" thickBot="1" x14ac:dyDescent="0.25">
      <c r="A6" s="242" t="s">
        <v>104</v>
      </c>
      <c r="B6" s="243"/>
      <c r="C6" s="243"/>
      <c r="D6" s="243"/>
      <c r="E6" s="243"/>
      <c r="F6" s="244"/>
      <c r="G6" s="245" t="s">
        <v>180</v>
      </c>
      <c r="H6" s="245"/>
      <c r="I6" s="245"/>
      <c r="J6" s="245"/>
      <c r="K6" s="245"/>
      <c r="L6" s="245"/>
      <c r="M6" s="245"/>
      <c r="N6" s="245"/>
      <c r="O6" s="245"/>
      <c r="P6" s="245"/>
      <c r="Q6" s="245"/>
    </row>
    <row r="7" spans="1:17" s="88" customFormat="1" ht="18" customHeight="1" thickBot="1" x14ac:dyDescent="0.25">
      <c r="A7" s="242" t="s">
        <v>105</v>
      </c>
      <c r="B7" s="243"/>
      <c r="C7" s="243"/>
      <c r="D7" s="243"/>
      <c r="E7" s="243"/>
      <c r="F7" s="244"/>
      <c r="G7" s="245" t="s">
        <v>180</v>
      </c>
      <c r="H7" s="245"/>
      <c r="I7" s="245"/>
      <c r="J7" s="245"/>
      <c r="K7" s="245"/>
      <c r="L7" s="245"/>
      <c r="M7" s="245"/>
      <c r="N7" s="245"/>
      <c r="O7" s="245"/>
      <c r="P7" s="245"/>
      <c r="Q7" s="245"/>
    </row>
    <row r="8" spans="1:17" ht="18" customHeight="1" thickBot="1" x14ac:dyDescent="0.25">
      <c r="A8" s="246" t="s">
        <v>119</v>
      </c>
      <c r="B8" s="246"/>
      <c r="C8" s="246"/>
      <c r="D8" s="246"/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</row>
    <row r="9" spans="1:17" ht="18" customHeight="1" x14ac:dyDescent="0.2">
      <c r="A9" s="247" t="s">
        <v>120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89"/>
      <c r="P9" s="89"/>
      <c r="Q9" s="90"/>
    </row>
    <row r="10" spans="1:17" ht="57" customHeight="1" x14ac:dyDescent="0.2">
      <c r="A10" s="248" t="s">
        <v>182</v>
      </c>
      <c r="B10" s="249"/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50"/>
    </row>
    <row r="11" spans="1:17" ht="9" customHeight="1" thickBot="1" x14ac:dyDescent="0.25">
      <c r="A11" s="91"/>
      <c r="B11" s="92"/>
      <c r="C11" s="92"/>
      <c r="D11" s="92"/>
      <c r="E11" s="92"/>
      <c r="F11" s="92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4"/>
    </row>
    <row r="12" spans="1:17" ht="15.75" customHeight="1" thickBot="1" x14ac:dyDescent="0.25">
      <c r="A12" s="251" t="s">
        <v>121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</row>
    <row r="13" spans="1:17" ht="15.75" customHeight="1" thickBot="1" x14ac:dyDescent="0.25">
      <c r="A13" s="252" t="s">
        <v>122</v>
      </c>
      <c r="B13" s="252"/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3" t="s">
        <v>123</v>
      </c>
      <c r="P13" s="253"/>
      <c r="Q13" s="254" t="s">
        <v>124</v>
      </c>
    </row>
    <row r="14" spans="1:17" ht="15.75" customHeight="1" thickBot="1" x14ac:dyDescent="0.25">
      <c r="A14" s="95" t="s">
        <v>125</v>
      </c>
      <c r="B14" s="96" t="s">
        <v>126</v>
      </c>
      <c r="C14" s="96" t="s">
        <v>127</v>
      </c>
      <c r="D14" s="96" t="s">
        <v>128</v>
      </c>
      <c r="E14" s="96" t="s">
        <v>129</v>
      </c>
      <c r="F14" s="96" t="s">
        <v>130</v>
      </c>
      <c r="G14" s="97" t="s">
        <v>131</v>
      </c>
      <c r="H14" s="96" t="s">
        <v>132</v>
      </c>
      <c r="I14" s="96" t="s">
        <v>133</v>
      </c>
      <c r="J14" s="96" t="s">
        <v>134</v>
      </c>
      <c r="K14" s="96" t="s">
        <v>134</v>
      </c>
      <c r="L14" s="96" t="s">
        <v>135</v>
      </c>
      <c r="M14" s="98" t="s">
        <v>31</v>
      </c>
      <c r="N14" s="99" t="s">
        <v>136</v>
      </c>
      <c r="O14" s="253"/>
      <c r="P14" s="253"/>
      <c r="Q14" s="254"/>
    </row>
    <row r="15" spans="1:17" ht="33.75" customHeight="1" x14ac:dyDescent="0.2">
      <c r="A15" s="100">
        <v>44</v>
      </c>
      <c r="B15" s="101"/>
      <c r="C15" s="101"/>
      <c r="D15" s="101">
        <v>1</v>
      </c>
      <c r="E15" s="101"/>
      <c r="F15" s="101">
        <v>4901</v>
      </c>
      <c r="G15" s="101">
        <v>3</v>
      </c>
      <c r="H15" s="101">
        <v>1</v>
      </c>
      <c r="I15" s="102">
        <v>2</v>
      </c>
      <c r="J15" s="102">
        <v>9</v>
      </c>
      <c r="K15" s="102">
        <v>5</v>
      </c>
      <c r="L15" s="101"/>
      <c r="M15" s="103">
        <v>1</v>
      </c>
      <c r="N15" s="104" t="s">
        <v>137</v>
      </c>
      <c r="O15" s="240" t="s">
        <v>142</v>
      </c>
      <c r="P15" s="241"/>
      <c r="Q15" s="105">
        <f>+'Necesidades Trimestrales '!P52</f>
        <v>116950</v>
      </c>
    </row>
    <row r="16" spans="1:17" ht="29.25" customHeight="1" x14ac:dyDescent="0.2">
      <c r="A16" s="106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8"/>
      <c r="N16" s="109"/>
      <c r="O16" s="229"/>
      <c r="P16" s="230"/>
      <c r="Q16" s="110"/>
    </row>
    <row r="17" spans="1:18" ht="17.25" customHeight="1" x14ac:dyDescent="0.2">
      <c r="A17" s="106"/>
      <c r="B17" s="107"/>
      <c r="C17" s="107"/>
      <c r="D17" s="107"/>
      <c r="E17" s="107"/>
      <c r="F17" s="109"/>
      <c r="G17" s="107"/>
      <c r="H17" s="107"/>
      <c r="I17" s="107"/>
      <c r="J17" s="107"/>
      <c r="K17" s="107"/>
      <c r="L17" s="107"/>
      <c r="M17" s="108"/>
      <c r="N17" s="109"/>
      <c r="O17" s="231"/>
      <c r="P17" s="232"/>
      <c r="Q17" s="110"/>
    </row>
    <row r="18" spans="1:18" ht="17.25" customHeight="1" x14ac:dyDescent="0.2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09"/>
      <c r="O18" s="232"/>
      <c r="P18" s="232"/>
      <c r="Q18" s="110"/>
    </row>
    <row r="19" spans="1:18" ht="17.25" customHeight="1" x14ac:dyDescent="0.2">
      <c r="A19" s="106"/>
      <c r="B19" s="107"/>
      <c r="C19" s="107"/>
      <c r="D19" s="107"/>
      <c r="E19" s="107"/>
      <c r="F19" s="109"/>
      <c r="G19" s="107"/>
      <c r="H19" s="107"/>
      <c r="I19" s="107"/>
      <c r="J19" s="107"/>
      <c r="K19" s="107"/>
      <c r="L19" s="107"/>
      <c r="M19" s="108"/>
      <c r="N19" s="109"/>
      <c r="O19" s="232"/>
      <c r="P19" s="232"/>
      <c r="Q19" s="110"/>
    </row>
    <row r="20" spans="1:18" ht="17.25" customHeight="1" x14ac:dyDescent="0.2">
      <c r="A20" s="106"/>
      <c r="B20" s="107"/>
      <c r="C20" s="107"/>
      <c r="D20" s="107"/>
      <c r="E20" s="107"/>
      <c r="F20" s="109"/>
      <c r="G20" s="107"/>
      <c r="H20" s="107"/>
      <c r="I20" s="107"/>
      <c r="J20" s="107"/>
      <c r="K20" s="107"/>
      <c r="L20" s="107"/>
      <c r="M20" s="108"/>
      <c r="N20" s="109"/>
      <c r="O20" s="232"/>
      <c r="P20" s="232"/>
      <c r="Q20" s="110"/>
    </row>
    <row r="21" spans="1:18" ht="17.25" customHeight="1" x14ac:dyDescent="0.2">
      <c r="A21" s="111"/>
      <c r="B21" s="112"/>
      <c r="C21" s="112"/>
      <c r="D21" s="112"/>
      <c r="E21" s="112"/>
      <c r="F21" s="113"/>
      <c r="G21" s="112"/>
      <c r="H21" s="112"/>
      <c r="I21" s="112"/>
      <c r="J21" s="112"/>
      <c r="K21" s="112"/>
      <c r="L21" s="112"/>
      <c r="M21" s="114"/>
      <c r="N21" s="115"/>
      <c r="O21" s="231"/>
      <c r="P21" s="231"/>
      <c r="Q21" s="110"/>
      <c r="R21" s="89"/>
    </row>
    <row r="22" spans="1:18" ht="17.25" customHeight="1" thickBot="1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17"/>
      <c r="O22" s="233"/>
      <c r="P22" s="233"/>
      <c r="Q22" s="119"/>
    </row>
    <row r="23" spans="1:18" ht="36" customHeight="1" thickBot="1" x14ac:dyDescent="0.25">
      <c r="A23" s="234" t="s">
        <v>183</v>
      </c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120">
        <f>SUM(Q15:Q22)</f>
        <v>116950</v>
      </c>
    </row>
    <row r="24" spans="1:18" ht="18" customHeight="1" thickBot="1" x14ac:dyDescent="0.25">
      <c r="A24" s="235"/>
      <c r="B24" s="235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</row>
    <row r="25" spans="1:18" ht="17.25" customHeight="1" thickBot="1" x14ac:dyDescent="0.25">
      <c r="A25" s="236" t="s">
        <v>138</v>
      </c>
      <c r="B25" s="237"/>
      <c r="C25" s="237"/>
      <c r="D25" s="237"/>
      <c r="E25" s="237"/>
      <c r="F25" s="238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</row>
    <row r="26" spans="1:18" ht="18" customHeight="1" thickBot="1" x14ac:dyDescent="0.25">
      <c r="A26" s="228" t="s">
        <v>184</v>
      </c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</row>
    <row r="27" spans="1:18" ht="28.5" customHeight="1" thickBot="1" x14ac:dyDescent="0.25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69"/>
  <sheetViews>
    <sheetView zoomScale="80" zoomScaleNormal="80" workbookViewId="0">
      <selection activeCell="G16" sqref="G16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7" t="s">
        <v>98</v>
      </c>
      <c r="B1" s="227"/>
      <c r="C1" s="227"/>
      <c r="D1" s="227"/>
      <c r="E1" s="227"/>
      <c r="F1" s="227"/>
      <c r="G1" s="227"/>
      <c r="H1" s="227"/>
      <c r="I1" s="227"/>
      <c r="J1" s="49" t="s">
        <v>99</v>
      </c>
      <c r="K1" s="50" t="s">
        <v>145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2" t="s">
        <v>100</v>
      </c>
      <c r="B3" s="222"/>
      <c r="C3" s="222"/>
      <c r="D3" s="223" t="s">
        <v>101</v>
      </c>
      <c r="E3" s="223"/>
      <c r="F3" s="223"/>
      <c r="G3" s="223"/>
      <c r="H3" s="223"/>
      <c r="I3" s="223"/>
      <c r="J3" s="223"/>
      <c r="K3" s="223"/>
    </row>
    <row r="4" spans="1:13" ht="18.75" customHeight="1" thickBot="1" x14ac:dyDescent="0.25">
      <c r="A4" s="224" t="s">
        <v>102</v>
      </c>
      <c r="B4" s="224"/>
      <c r="C4" s="224"/>
      <c r="D4" s="223" t="s">
        <v>103</v>
      </c>
      <c r="E4" s="223"/>
      <c r="F4" s="223"/>
      <c r="G4" s="223"/>
      <c r="H4" s="223"/>
      <c r="I4" s="223"/>
      <c r="J4" s="223"/>
      <c r="K4" s="223"/>
    </row>
    <row r="5" spans="1:13" ht="18.75" customHeight="1" thickBot="1" x14ac:dyDescent="0.25">
      <c r="A5" s="224" t="s">
        <v>104</v>
      </c>
      <c r="B5" s="224"/>
      <c r="C5" s="224"/>
      <c r="D5" s="223" t="s">
        <v>144</v>
      </c>
      <c r="E5" s="223"/>
      <c r="F5" s="223"/>
      <c r="G5" s="223"/>
      <c r="H5" s="223"/>
      <c r="I5" s="223"/>
      <c r="J5" s="223"/>
      <c r="K5" s="223"/>
    </row>
    <row r="6" spans="1:13" ht="16.5" customHeight="1" thickBot="1" x14ac:dyDescent="0.25">
      <c r="A6" s="222" t="s">
        <v>105</v>
      </c>
      <c r="B6" s="222"/>
      <c r="C6" s="222"/>
      <c r="D6" s="223" t="s">
        <v>144</v>
      </c>
      <c r="E6" s="223"/>
      <c r="F6" s="223"/>
      <c r="G6" s="223"/>
      <c r="H6" s="223"/>
      <c r="I6" s="223"/>
      <c r="J6" s="223"/>
      <c r="K6" s="223"/>
    </row>
    <row r="7" spans="1:13" ht="16.5" customHeight="1" thickBot="1" x14ac:dyDescent="0.25">
      <c r="A7" s="224" t="s">
        <v>106</v>
      </c>
      <c r="B7" s="224"/>
      <c r="C7" s="224"/>
      <c r="D7" s="223" t="s">
        <v>107</v>
      </c>
      <c r="E7" s="223"/>
      <c r="F7" s="223"/>
      <c r="G7" s="223"/>
      <c r="H7" s="223"/>
      <c r="I7" s="223"/>
      <c r="J7" s="223"/>
      <c r="K7" s="223"/>
    </row>
    <row r="8" spans="1:13" ht="16.5" customHeight="1" thickBot="1" x14ac:dyDescent="0.25">
      <c r="A8" s="225" t="s">
        <v>108</v>
      </c>
      <c r="B8" s="225"/>
      <c r="C8" s="225"/>
      <c r="D8" s="226" t="s">
        <v>141</v>
      </c>
      <c r="E8" s="226"/>
      <c r="F8" s="226"/>
      <c r="G8" s="226"/>
      <c r="H8" s="226"/>
      <c r="I8" s="226"/>
      <c r="J8" s="226"/>
      <c r="K8" s="226"/>
    </row>
    <row r="9" spans="1:13" ht="16.5" thickBot="1" x14ac:dyDescent="0.25">
      <c r="A9" s="54"/>
      <c r="B9" s="54"/>
      <c r="C9" s="54"/>
      <c r="D9" s="82"/>
      <c r="E9" s="82"/>
      <c r="F9" s="82"/>
      <c r="G9" s="82"/>
      <c r="H9" s="82"/>
      <c r="I9" s="82"/>
      <c r="J9" s="82"/>
      <c r="K9" s="82"/>
    </row>
    <row r="10" spans="1:13" ht="18.75" customHeight="1" thickBot="1" x14ac:dyDescent="0.25">
      <c r="A10" s="221" t="s">
        <v>109</v>
      </c>
      <c r="B10" s="220" t="s">
        <v>110</v>
      </c>
      <c r="C10" s="220" t="s">
        <v>111</v>
      </c>
      <c r="D10" s="220"/>
      <c r="E10" s="220"/>
      <c r="F10" s="220"/>
      <c r="G10" s="220"/>
      <c r="H10" s="220" t="s">
        <v>112</v>
      </c>
      <c r="I10" s="220" t="s">
        <v>113</v>
      </c>
      <c r="J10" s="220" t="s">
        <v>114</v>
      </c>
      <c r="K10" s="213" t="s">
        <v>115</v>
      </c>
    </row>
    <row r="11" spans="1:13" ht="24" customHeight="1" thickBot="1" x14ac:dyDescent="0.25">
      <c r="A11" s="221"/>
      <c r="B11" s="220"/>
      <c r="C11" s="220"/>
      <c r="D11" s="220"/>
      <c r="E11" s="220"/>
      <c r="F11" s="220"/>
      <c r="G11" s="220"/>
      <c r="H11" s="220"/>
      <c r="I11" s="220"/>
      <c r="J11" s="220"/>
      <c r="K11" s="262"/>
    </row>
    <row r="12" spans="1:13" s="51" customFormat="1" ht="32.25" customHeight="1" thickBot="1" x14ac:dyDescent="0.25">
      <c r="A12" s="55">
        <v>1</v>
      </c>
      <c r="B12" s="56"/>
      <c r="C12" s="263" t="s">
        <v>64</v>
      </c>
      <c r="D12" s="264"/>
      <c r="E12" s="264"/>
      <c r="F12" s="264"/>
      <c r="G12" s="265"/>
      <c r="H12" s="57" t="s">
        <v>140</v>
      </c>
      <c r="I12" s="27" t="s">
        <v>12</v>
      </c>
      <c r="J12" s="45">
        <v>1100</v>
      </c>
      <c r="K12" s="190">
        <v>50</v>
      </c>
      <c r="M12" s="128">
        <f>+K12*J12</f>
        <v>55000</v>
      </c>
    </row>
    <row r="13" spans="1:13" s="51" customFormat="1" ht="32.25" customHeight="1" thickBot="1" x14ac:dyDescent="0.25">
      <c r="A13" s="61">
        <v>2</v>
      </c>
      <c r="B13" s="62"/>
      <c r="C13" s="266" t="s">
        <v>65</v>
      </c>
      <c r="D13" s="267"/>
      <c r="E13" s="267"/>
      <c r="F13" s="267"/>
      <c r="G13" s="268"/>
      <c r="H13" s="57" t="s">
        <v>140</v>
      </c>
      <c r="I13" s="27" t="s">
        <v>12</v>
      </c>
      <c r="J13" s="45">
        <v>1100</v>
      </c>
      <c r="K13" s="190">
        <v>50</v>
      </c>
      <c r="M13" s="128">
        <f t="shared" ref="M13:M15" si="0">+K13*J13</f>
        <v>55000</v>
      </c>
    </row>
    <row r="14" spans="1:13" s="51" customFormat="1" ht="32.25" customHeight="1" thickBot="1" x14ac:dyDescent="0.25">
      <c r="A14" s="61">
        <v>3</v>
      </c>
      <c r="B14" s="62"/>
      <c r="C14" s="266" t="s">
        <v>66</v>
      </c>
      <c r="D14" s="267"/>
      <c r="E14" s="267"/>
      <c r="F14" s="267"/>
      <c r="G14" s="268"/>
      <c r="H14" s="57" t="s">
        <v>140</v>
      </c>
      <c r="I14" s="27" t="s">
        <v>12</v>
      </c>
      <c r="J14" s="45">
        <v>1100</v>
      </c>
      <c r="K14" s="190">
        <v>50</v>
      </c>
      <c r="M14" s="128">
        <f t="shared" si="0"/>
        <v>55000</v>
      </c>
    </row>
    <row r="15" spans="1:13" s="51" customFormat="1" ht="32.25" customHeight="1" x14ac:dyDescent="0.2">
      <c r="A15" s="61">
        <v>4</v>
      </c>
      <c r="B15" s="62"/>
      <c r="C15" s="210" t="s">
        <v>55</v>
      </c>
      <c r="D15" s="211"/>
      <c r="E15" s="211"/>
      <c r="F15" s="211"/>
      <c r="G15" s="212"/>
      <c r="H15" s="57" t="s">
        <v>140</v>
      </c>
      <c r="I15" s="27" t="s">
        <v>12</v>
      </c>
      <c r="J15" s="45">
        <v>1600</v>
      </c>
      <c r="K15" s="190">
        <v>40</v>
      </c>
      <c r="M15" s="128">
        <f t="shared" si="0"/>
        <v>64000</v>
      </c>
    </row>
    <row r="16" spans="1:13" s="51" customFormat="1" ht="32.25" customHeight="1" x14ac:dyDescent="0.2">
      <c r="A16" s="61"/>
      <c r="B16" s="62"/>
      <c r="C16" s="63"/>
      <c r="D16" s="64"/>
      <c r="E16" s="64"/>
      <c r="F16" s="64"/>
      <c r="G16" s="65"/>
      <c r="H16" s="66"/>
      <c r="I16" s="27"/>
      <c r="J16" s="67"/>
      <c r="K16" s="68"/>
      <c r="M16" s="60"/>
    </row>
    <row r="17" spans="1:13" s="51" customFormat="1" ht="32.25" customHeight="1" x14ac:dyDescent="0.2">
      <c r="A17" s="61"/>
      <c r="B17" s="62"/>
      <c r="C17" s="63"/>
      <c r="D17" s="64"/>
      <c r="E17" s="64"/>
      <c r="F17" s="64"/>
      <c r="G17" s="65"/>
      <c r="H17" s="66"/>
      <c r="I17" s="58"/>
      <c r="J17" s="67"/>
      <c r="K17" s="68"/>
      <c r="M17" s="60"/>
    </row>
    <row r="18" spans="1:13" s="51" customFormat="1" ht="15.95" customHeight="1" thickBot="1" x14ac:dyDescent="0.25">
      <c r="A18" s="80"/>
      <c r="B18" s="81"/>
      <c r="C18" s="200"/>
      <c r="D18" s="201"/>
      <c r="E18" s="201"/>
      <c r="F18" s="201"/>
      <c r="G18" s="202"/>
      <c r="H18" s="76"/>
      <c r="I18" s="77"/>
      <c r="J18" s="78"/>
      <c r="K18" s="79"/>
      <c r="M18" s="60"/>
    </row>
    <row r="19" spans="1:13" s="51" customFormat="1" ht="15.95" customHeight="1" thickBot="1" x14ac:dyDescent="0.25">
      <c r="A19" s="203" t="s">
        <v>163</v>
      </c>
      <c r="B19" s="204"/>
      <c r="C19" s="204"/>
      <c r="D19" s="204"/>
      <c r="E19" s="204"/>
      <c r="F19" s="204"/>
      <c r="G19" s="204"/>
      <c r="H19" s="204"/>
      <c r="I19" s="205"/>
      <c r="J19" s="260">
        <f>SUM(M12:M15)</f>
        <v>229000</v>
      </c>
      <c r="K19" s="261"/>
      <c r="M19" s="60"/>
    </row>
    <row r="20" spans="1:13" s="51" customFormat="1" ht="15.95" customHeight="1" x14ac:dyDescent="0.2">
      <c r="A20" s="208"/>
      <c r="B20" s="208"/>
      <c r="C20" s="208"/>
      <c r="D20" s="208"/>
      <c r="E20" s="208"/>
      <c r="F20" s="208"/>
      <c r="G20" s="208"/>
      <c r="H20" s="208"/>
      <c r="I20" s="208"/>
      <c r="J20" s="209"/>
      <c r="K20" s="209"/>
      <c r="M20" s="60"/>
    </row>
    <row r="21" spans="1:13" s="51" customFormat="1" ht="15.95" customHeight="1" x14ac:dyDescent="0.2">
      <c r="M21" s="60"/>
    </row>
    <row r="22" spans="1:13" s="51" customFormat="1" ht="15.95" customHeight="1" x14ac:dyDescent="0.2">
      <c r="M22" s="60"/>
    </row>
    <row r="23" spans="1:13" s="51" customFormat="1" ht="15.95" customHeight="1" x14ac:dyDescent="0.2">
      <c r="M23" s="60"/>
    </row>
    <row r="24" spans="1:13" s="51" customFormat="1" ht="15.95" customHeight="1" x14ac:dyDescent="0.2">
      <c r="M24" s="60"/>
    </row>
    <row r="25" spans="1:13" s="51" customFormat="1" ht="15.95" customHeight="1" x14ac:dyDescent="0.2">
      <c r="M25" s="60"/>
    </row>
    <row r="26" spans="1:13" s="51" customFormat="1" ht="15.95" customHeight="1" x14ac:dyDescent="0.2">
      <c r="M26" s="60"/>
    </row>
    <row r="27" spans="1:13" s="51" customFormat="1" ht="15.95" customHeight="1" x14ac:dyDescent="0.2">
      <c r="M27" s="60"/>
    </row>
    <row r="28" spans="1:13" s="51" customFormat="1" ht="15.95" customHeight="1" x14ac:dyDescent="0.2">
      <c r="M28" s="60"/>
    </row>
    <row r="29" spans="1:13" s="51" customFormat="1" ht="15.95" customHeight="1" x14ac:dyDescent="0.2">
      <c r="M29" s="60"/>
    </row>
    <row r="30" spans="1:13" s="51" customFormat="1" ht="15.95" customHeight="1" x14ac:dyDescent="0.2">
      <c r="M30" s="60"/>
    </row>
    <row r="31" spans="1:13" s="51" customFormat="1" ht="15.95" customHeight="1" x14ac:dyDescent="0.2"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2:1024" s="51" customFormat="1" ht="15.95" customHeight="1" x14ac:dyDescent="0.2">
      <c r="M49" s="60"/>
    </row>
    <row r="50" spans="12:1024" s="51" customFormat="1" ht="15.95" customHeight="1" x14ac:dyDescent="0.2">
      <c r="M50" s="60"/>
    </row>
    <row r="51" spans="12:1024" s="51" customFormat="1" ht="15.95" customHeight="1" x14ac:dyDescent="0.2">
      <c r="M51" s="60"/>
    </row>
    <row r="52" spans="12:1024" ht="15.95" customHeight="1" x14ac:dyDescent="0.2">
      <c r="M52" s="60"/>
    </row>
    <row r="53" spans="12:1024" ht="15.95" customHeight="1" x14ac:dyDescent="0.2">
      <c r="M53" s="60"/>
    </row>
    <row r="54" spans="12:1024" ht="15.95" customHeight="1" x14ac:dyDescent="0.2">
      <c r="M54" s="60"/>
    </row>
    <row r="55" spans="12:1024" ht="15.95" customHeight="1" x14ac:dyDescent="0.2">
      <c r="M55" s="60"/>
    </row>
    <row r="56" spans="12:1024" ht="15.95" customHeight="1" x14ac:dyDescent="0.2">
      <c r="M56" s="60"/>
    </row>
    <row r="57" spans="12:1024" ht="15.95" customHeight="1" x14ac:dyDescent="0.2">
      <c r="L57" s="83"/>
      <c r="M57" s="84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  <c r="FU57" s="83"/>
      <c r="FV57" s="83"/>
      <c r="FW57" s="83"/>
      <c r="FX57" s="83"/>
      <c r="FY57" s="83"/>
      <c r="FZ57" s="83"/>
      <c r="GA57" s="83"/>
      <c r="GB57" s="83"/>
      <c r="GC57" s="83"/>
      <c r="GD57" s="83"/>
      <c r="GE57" s="83"/>
      <c r="GF57" s="83"/>
      <c r="GG57" s="83"/>
      <c r="GH57" s="83"/>
      <c r="GI57" s="83"/>
      <c r="GJ57" s="83"/>
      <c r="GK57" s="83"/>
      <c r="GL57" s="83"/>
      <c r="GM57" s="83"/>
      <c r="GN57" s="83"/>
      <c r="GO57" s="83"/>
      <c r="GP57" s="83"/>
      <c r="GQ57" s="83"/>
      <c r="GR57" s="83"/>
      <c r="GS57" s="83"/>
      <c r="GT57" s="83"/>
      <c r="GU57" s="83"/>
      <c r="GV57" s="83"/>
      <c r="GW57" s="83"/>
      <c r="GX57" s="83"/>
      <c r="GY57" s="83"/>
      <c r="GZ57" s="83"/>
      <c r="HA57" s="83"/>
      <c r="HB57" s="83"/>
      <c r="HC57" s="83"/>
      <c r="HD57" s="83"/>
      <c r="HE57" s="83"/>
      <c r="HF57" s="83"/>
      <c r="HG57" s="83"/>
      <c r="HH57" s="83"/>
      <c r="HI57" s="83"/>
      <c r="HJ57" s="83"/>
      <c r="HK57" s="83"/>
      <c r="HL57" s="83"/>
      <c r="HM57" s="83"/>
      <c r="HN57" s="83"/>
      <c r="HO57" s="83"/>
      <c r="HP57" s="83"/>
      <c r="HQ57" s="83"/>
      <c r="HR57" s="83"/>
      <c r="HS57" s="83"/>
      <c r="HT57" s="83"/>
      <c r="HU57" s="83"/>
      <c r="HV57" s="83"/>
      <c r="HW57" s="83"/>
      <c r="HX57" s="83"/>
      <c r="HY57" s="83"/>
      <c r="HZ57" s="83"/>
      <c r="IA57" s="83"/>
      <c r="IB57" s="83"/>
      <c r="IC57" s="83"/>
      <c r="ID57" s="83"/>
      <c r="IE57" s="83"/>
      <c r="IF57" s="83"/>
      <c r="IG57" s="83"/>
      <c r="IH57" s="83"/>
      <c r="II57" s="83"/>
      <c r="IJ57" s="83"/>
      <c r="IK57" s="83"/>
      <c r="IL57" s="83"/>
      <c r="IM57" s="83"/>
      <c r="IN57" s="83"/>
      <c r="IO57" s="83"/>
      <c r="IP57" s="83"/>
      <c r="IQ57" s="83"/>
      <c r="IR57" s="83"/>
      <c r="IS57" s="83"/>
      <c r="IT57" s="83"/>
      <c r="IU57" s="83"/>
      <c r="IV57" s="83"/>
      <c r="IW57" s="83"/>
      <c r="IX57" s="83"/>
      <c r="IY57" s="83"/>
      <c r="IZ57" s="83"/>
      <c r="JA57" s="83"/>
      <c r="JB57" s="83"/>
      <c r="JC57" s="83"/>
      <c r="JD57" s="83"/>
      <c r="JE57" s="83"/>
      <c r="JF57" s="83"/>
      <c r="JG57" s="83"/>
      <c r="JH57" s="83"/>
      <c r="JI57" s="83"/>
      <c r="JJ57" s="83"/>
      <c r="JK57" s="83"/>
      <c r="JL57" s="83"/>
      <c r="JM57" s="83"/>
      <c r="JN57" s="83"/>
      <c r="JO57" s="83"/>
      <c r="JP57" s="83"/>
      <c r="JQ57" s="83"/>
      <c r="JR57" s="83"/>
      <c r="JS57" s="83"/>
      <c r="JT57" s="83"/>
      <c r="JU57" s="83"/>
      <c r="JV57" s="83"/>
      <c r="JW57" s="83"/>
      <c r="JX57" s="83"/>
      <c r="JY57" s="83"/>
      <c r="JZ57" s="83"/>
      <c r="KA57" s="83"/>
      <c r="KB57" s="83"/>
      <c r="KC57" s="83"/>
      <c r="KD57" s="83"/>
      <c r="KE57" s="83"/>
      <c r="KF57" s="83"/>
      <c r="KG57" s="83"/>
      <c r="KH57" s="83"/>
      <c r="KI57" s="83"/>
      <c r="KJ57" s="83"/>
      <c r="KK57" s="83"/>
      <c r="KL57" s="83"/>
      <c r="KM57" s="83"/>
      <c r="KN57" s="83"/>
      <c r="KO57" s="83"/>
      <c r="KP57" s="83"/>
      <c r="KQ57" s="83"/>
      <c r="KR57" s="83"/>
      <c r="KS57" s="83"/>
      <c r="KT57" s="83"/>
      <c r="KU57" s="83"/>
      <c r="KV57" s="83"/>
      <c r="KW57" s="83"/>
      <c r="KX57" s="83"/>
      <c r="KY57" s="83"/>
      <c r="KZ57" s="83"/>
      <c r="LA57" s="83"/>
      <c r="LB57" s="83"/>
      <c r="LC57" s="83"/>
      <c r="LD57" s="83"/>
      <c r="LE57" s="83"/>
      <c r="LF57" s="83"/>
      <c r="LG57" s="83"/>
      <c r="LH57" s="83"/>
      <c r="LI57" s="83"/>
      <c r="LJ57" s="83"/>
      <c r="LK57" s="83"/>
      <c r="LL57" s="83"/>
      <c r="LM57" s="83"/>
      <c r="LN57" s="83"/>
      <c r="LO57" s="83"/>
      <c r="LP57" s="83"/>
      <c r="LQ57" s="83"/>
      <c r="LR57" s="83"/>
      <c r="LS57" s="83"/>
      <c r="LT57" s="83"/>
      <c r="LU57" s="83"/>
      <c r="LV57" s="83"/>
      <c r="LW57" s="83"/>
      <c r="LX57" s="83"/>
      <c r="LY57" s="83"/>
      <c r="LZ57" s="83"/>
      <c r="MA57" s="83"/>
      <c r="MB57" s="83"/>
      <c r="MC57" s="83"/>
      <c r="MD57" s="83"/>
      <c r="ME57" s="83"/>
      <c r="MF57" s="83"/>
      <c r="MG57" s="83"/>
      <c r="MH57" s="83"/>
      <c r="MI57" s="83"/>
      <c r="MJ57" s="83"/>
      <c r="MK57" s="83"/>
      <c r="ML57" s="83"/>
      <c r="MM57" s="83"/>
      <c r="MN57" s="83"/>
      <c r="MO57" s="83"/>
      <c r="MP57" s="83"/>
      <c r="MQ57" s="83"/>
      <c r="MR57" s="83"/>
      <c r="MS57" s="83"/>
      <c r="MT57" s="83"/>
      <c r="MU57" s="83"/>
      <c r="MV57" s="83"/>
      <c r="MW57" s="83"/>
      <c r="MX57" s="83"/>
      <c r="MY57" s="83"/>
      <c r="MZ57" s="83"/>
      <c r="NA57" s="83"/>
      <c r="NB57" s="83"/>
      <c r="NC57" s="83"/>
      <c r="ND57" s="83"/>
      <c r="NE57" s="83"/>
      <c r="NF57" s="83"/>
      <c r="NG57" s="83"/>
      <c r="NH57" s="83"/>
      <c r="NI57" s="83"/>
      <c r="NJ57" s="83"/>
      <c r="NK57" s="83"/>
      <c r="NL57" s="83"/>
      <c r="NM57" s="83"/>
      <c r="NN57" s="83"/>
      <c r="NO57" s="83"/>
      <c r="NP57" s="83"/>
      <c r="NQ57" s="83"/>
      <c r="NR57" s="83"/>
      <c r="NS57" s="83"/>
      <c r="NT57" s="83"/>
      <c r="NU57" s="83"/>
      <c r="NV57" s="83"/>
      <c r="NW57" s="83"/>
      <c r="NX57" s="83"/>
      <c r="NY57" s="83"/>
      <c r="NZ57" s="83"/>
      <c r="OA57" s="83"/>
      <c r="OB57" s="83"/>
      <c r="OC57" s="83"/>
      <c r="OD57" s="83"/>
      <c r="OE57" s="83"/>
      <c r="OF57" s="83"/>
      <c r="OG57" s="83"/>
      <c r="OH57" s="83"/>
      <c r="OI57" s="83"/>
      <c r="OJ57" s="83"/>
      <c r="OK57" s="83"/>
      <c r="OL57" s="83"/>
      <c r="OM57" s="83"/>
      <c r="ON57" s="83"/>
      <c r="OO57" s="83"/>
      <c r="OP57" s="83"/>
      <c r="OQ57" s="83"/>
      <c r="OR57" s="83"/>
      <c r="OS57" s="83"/>
      <c r="OT57" s="83"/>
      <c r="OU57" s="83"/>
      <c r="OV57" s="83"/>
      <c r="OW57" s="83"/>
      <c r="OX57" s="83"/>
      <c r="OY57" s="83"/>
      <c r="OZ57" s="83"/>
      <c r="PA57" s="83"/>
      <c r="PB57" s="83"/>
      <c r="PC57" s="83"/>
      <c r="PD57" s="83"/>
      <c r="PE57" s="83"/>
      <c r="PF57" s="83"/>
      <c r="PG57" s="83"/>
      <c r="PH57" s="83"/>
      <c r="PI57" s="83"/>
      <c r="PJ57" s="83"/>
      <c r="PK57" s="83"/>
      <c r="PL57" s="83"/>
      <c r="PM57" s="83"/>
      <c r="PN57" s="83"/>
      <c r="PO57" s="83"/>
      <c r="PP57" s="83"/>
      <c r="PQ57" s="83"/>
      <c r="PR57" s="83"/>
      <c r="PS57" s="83"/>
      <c r="PT57" s="83"/>
      <c r="PU57" s="83"/>
      <c r="PV57" s="83"/>
      <c r="PW57" s="83"/>
      <c r="PX57" s="83"/>
      <c r="PY57" s="83"/>
      <c r="PZ57" s="83"/>
      <c r="QA57" s="83"/>
      <c r="QB57" s="83"/>
      <c r="QC57" s="83"/>
      <c r="QD57" s="83"/>
      <c r="QE57" s="83"/>
      <c r="QF57" s="83"/>
      <c r="QG57" s="83"/>
      <c r="QH57" s="83"/>
      <c r="QI57" s="83"/>
      <c r="QJ57" s="83"/>
      <c r="QK57" s="83"/>
      <c r="QL57" s="83"/>
      <c r="QM57" s="83"/>
      <c r="QN57" s="83"/>
      <c r="QO57" s="83"/>
      <c r="QP57" s="83"/>
      <c r="QQ57" s="83"/>
      <c r="QR57" s="83"/>
      <c r="QS57" s="83"/>
      <c r="QT57" s="83"/>
      <c r="QU57" s="83"/>
      <c r="QV57" s="83"/>
      <c r="QW57" s="83"/>
      <c r="QX57" s="83"/>
      <c r="QY57" s="83"/>
      <c r="QZ57" s="83"/>
      <c r="RA57" s="83"/>
      <c r="RB57" s="83"/>
      <c r="RC57" s="83"/>
      <c r="RD57" s="83"/>
      <c r="RE57" s="83"/>
      <c r="RF57" s="83"/>
      <c r="RG57" s="83"/>
      <c r="RH57" s="83"/>
      <c r="RI57" s="83"/>
      <c r="RJ57" s="83"/>
      <c r="RK57" s="83"/>
      <c r="RL57" s="83"/>
      <c r="RM57" s="83"/>
      <c r="RN57" s="83"/>
      <c r="RO57" s="83"/>
      <c r="RP57" s="83"/>
      <c r="RQ57" s="83"/>
      <c r="RR57" s="83"/>
      <c r="RS57" s="83"/>
      <c r="RT57" s="83"/>
      <c r="RU57" s="83"/>
      <c r="RV57" s="83"/>
      <c r="RW57" s="83"/>
      <c r="RX57" s="83"/>
      <c r="RY57" s="83"/>
      <c r="RZ57" s="83"/>
      <c r="SA57" s="83"/>
      <c r="SB57" s="83"/>
      <c r="SC57" s="83"/>
      <c r="SD57" s="83"/>
      <c r="SE57" s="83"/>
      <c r="SF57" s="83"/>
      <c r="SG57" s="83"/>
      <c r="SH57" s="83"/>
      <c r="SI57" s="83"/>
      <c r="SJ57" s="83"/>
      <c r="SK57" s="83"/>
      <c r="SL57" s="83"/>
      <c r="SM57" s="83"/>
      <c r="SN57" s="83"/>
      <c r="SO57" s="83"/>
      <c r="SP57" s="83"/>
      <c r="SQ57" s="83"/>
      <c r="SR57" s="83"/>
      <c r="SS57" s="83"/>
      <c r="ST57" s="83"/>
      <c r="SU57" s="83"/>
      <c r="SV57" s="83"/>
      <c r="SW57" s="83"/>
      <c r="SX57" s="83"/>
      <c r="SY57" s="83"/>
      <c r="SZ57" s="83"/>
      <c r="TA57" s="83"/>
      <c r="TB57" s="83"/>
      <c r="TC57" s="83"/>
      <c r="TD57" s="83"/>
      <c r="TE57" s="83"/>
      <c r="TF57" s="83"/>
      <c r="TG57" s="83"/>
      <c r="TH57" s="83"/>
      <c r="TI57" s="83"/>
      <c r="TJ57" s="83"/>
      <c r="TK57" s="83"/>
      <c r="TL57" s="83"/>
      <c r="TM57" s="83"/>
      <c r="TN57" s="83"/>
      <c r="TO57" s="83"/>
      <c r="TP57" s="83"/>
      <c r="TQ57" s="83"/>
      <c r="TR57" s="83"/>
      <c r="TS57" s="83"/>
      <c r="TT57" s="83"/>
      <c r="TU57" s="83"/>
      <c r="TV57" s="83"/>
      <c r="TW57" s="83"/>
      <c r="TX57" s="83"/>
      <c r="TY57" s="83"/>
      <c r="TZ57" s="83"/>
      <c r="UA57" s="83"/>
      <c r="UB57" s="83"/>
      <c r="UC57" s="83"/>
      <c r="UD57" s="83"/>
      <c r="UE57" s="83"/>
      <c r="UF57" s="83"/>
      <c r="UG57" s="83"/>
      <c r="UH57" s="83"/>
      <c r="UI57" s="83"/>
      <c r="UJ57" s="83"/>
      <c r="UK57" s="83"/>
      <c r="UL57" s="83"/>
      <c r="UM57" s="83"/>
      <c r="UN57" s="83"/>
      <c r="UO57" s="83"/>
      <c r="UP57" s="83"/>
      <c r="UQ57" s="83"/>
      <c r="UR57" s="83"/>
      <c r="US57" s="83"/>
      <c r="UT57" s="83"/>
      <c r="UU57" s="83"/>
      <c r="UV57" s="83"/>
      <c r="UW57" s="83"/>
      <c r="UX57" s="83"/>
      <c r="UY57" s="83"/>
      <c r="UZ57" s="83"/>
      <c r="VA57" s="83"/>
      <c r="VB57" s="83"/>
      <c r="VC57" s="83"/>
      <c r="VD57" s="83"/>
      <c r="VE57" s="83"/>
      <c r="VF57" s="83"/>
      <c r="VG57" s="83"/>
      <c r="VH57" s="83"/>
      <c r="VI57" s="83"/>
      <c r="VJ57" s="83"/>
      <c r="VK57" s="83"/>
      <c r="VL57" s="83"/>
      <c r="VM57" s="83"/>
      <c r="VN57" s="83"/>
      <c r="VO57" s="83"/>
      <c r="VP57" s="83"/>
      <c r="VQ57" s="83"/>
      <c r="VR57" s="83"/>
      <c r="VS57" s="83"/>
      <c r="VT57" s="83"/>
      <c r="VU57" s="83"/>
      <c r="VV57" s="83"/>
      <c r="VW57" s="83"/>
      <c r="VX57" s="83"/>
      <c r="VY57" s="83"/>
      <c r="VZ57" s="83"/>
      <c r="WA57" s="83"/>
      <c r="WB57" s="83"/>
      <c r="WC57" s="83"/>
      <c r="WD57" s="83"/>
      <c r="WE57" s="83"/>
      <c r="WF57" s="83"/>
      <c r="WG57" s="83"/>
      <c r="WH57" s="83"/>
      <c r="WI57" s="83"/>
      <c r="WJ57" s="83"/>
      <c r="WK57" s="83"/>
      <c r="WL57" s="83"/>
      <c r="WM57" s="83"/>
      <c r="WN57" s="83"/>
      <c r="WO57" s="83"/>
      <c r="WP57" s="83"/>
      <c r="WQ57" s="83"/>
      <c r="WR57" s="83"/>
      <c r="WS57" s="83"/>
      <c r="WT57" s="83"/>
      <c r="WU57" s="83"/>
      <c r="WV57" s="83"/>
      <c r="WW57" s="83"/>
      <c r="WX57" s="83"/>
      <c r="WY57" s="83"/>
      <c r="WZ57" s="83"/>
      <c r="XA57" s="83"/>
      <c r="XB57" s="83"/>
      <c r="XC57" s="83"/>
      <c r="XD57" s="83"/>
      <c r="XE57" s="83"/>
      <c r="XF57" s="83"/>
      <c r="XG57" s="83"/>
      <c r="XH57" s="83"/>
      <c r="XI57" s="83"/>
      <c r="XJ57" s="83"/>
      <c r="XK57" s="83"/>
      <c r="XL57" s="83"/>
      <c r="XM57" s="83"/>
      <c r="XN57" s="83"/>
      <c r="XO57" s="83"/>
      <c r="XP57" s="83"/>
      <c r="XQ57" s="83"/>
      <c r="XR57" s="83"/>
      <c r="XS57" s="83"/>
      <c r="XT57" s="83"/>
      <c r="XU57" s="83"/>
      <c r="XV57" s="83"/>
      <c r="XW57" s="83"/>
      <c r="XX57" s="83"/>
      <c r="XY57" s="83"/>
      <c r="XZ57" s="83"/>
      <c r="YA57" s="83"/>
      <c r="YB57" s="83"/>
      <c r="YC57" s="83"/>
      <c r="YD57" s="83"/>
      <c r="YE57" s="83"/>
      <c r="YF57" s="83"/>
      <c r="YG57" s="83"/>
      <c r="YH57" s="83"/>
      <c r="YI57" s="83"/>
      <c r="YJ57" s="83"/>
      <c r="YK57" s="83"/>
      <c r="YL57" s="83"/>
      <c r="YM57" s="83"/>
      <c r="YN57" s="83"/>
      <c r="YO57" s="83"/>
      <c r="YP57" s="83"/>
      <c r="YQ57" s="83"/>
      <c r="YR57" s="83"/>
      <c r="YS57" s="83"/>
      <c r="YT57" s="83"/>
      <c r="YU57" s="83"/>
      <c r="YV57" s="83"/>
      <c r="YW57" s="83"/>
      <c r="YX57" s="83"/>
      <c r="YY57" s="83"/>
      <c r="YZ57" s="83"/>
      <c r="ZA57" s="83"/>
      <c r="ZB57" s="83"/>
      <c r="ZC57" s="83"/>
      <c r="ZD57" s="83"/>
      <c r="ZE57" s="83"/>
      <c r="ZF57" s="83"/>
      <c r="ZG57" s="83"/>
      <c r="ZH57" s="83"/>
      <c r="ZI57" s="83"/>
      <c r="ZJ57" s="83"/>
      <c r="ZK57" s="83"/>
      <c r="ZL57" s="83"/>
      <c r="ZM57" s="83"/>
      <c r="ZN57" s="83"/>
      <c r="ZO57" s="83"/>
      <c r="ZP57" s="83"/>
      <c r="ZQ57" s="83"/>
      <c r="ZR57" s="83"/>
      <c r="ZS57" s="83"/>
      <c r="ZT57" s="83"/>
      <c r="ZU57" s="83"/>
      <c r="ZV57" s="83"/>
      <c r="ZW57" s="83"/>
      <c r="ZX57" s="83"/>
      <c r="ZY57" s="83"/>
      <c r="ZZ57" s="83"/>
      <c r="AAA57" s="83"/>
      <c r="AAB57" s="83"/>
      <c r="AAC57" s="83"/>
      <c r="AAD57" s="83"/>
      <c r="AAE57" s="83"/>
      <c r="AAF57" s="83"/>
      <c r="AAG57" s="83"/>
      <c r="AAH57" s="83"/>
      <c r="AAI57" s="83"/>
      <c r="AAJ57" s="83"/>
      <c r="AAK57" s="83"/>
      <c r="AAL57" s="83"/>
      <c r="AAM57" s="83"/>
      <c r="AAN57" s="83"/>
      <c r="AAO57" s="83"/>
      <c r="AAP57" s="83"/>
      <c r="AAQ57" s="83"/>
      <c r="AAR57" s="83"/>
      <c r="AAS57" s="83"/>
      <c r="AAT57" s="83"/>
      <c r="AAU57" s="83"/>
      <c r="AAV57" s="83"/>
      <c r="AAW57" s="83"/>
      <c r="AAX57" s="83"/>
      <c r="AAY57" s="83"/>
      <c r="AAZ57" s="83"/>
      <c r="ABA57" s="83"/>
      <c r="ABB57" s="83"/>
      <c r="ABC57" s="83"/>
      <c r="ABD57" s="83"/>
      <c r="ABE57" s="83"/>
      <c r="ABF57" s="83"/>
      <c r="ABG57" s="83"/>
      <c r="ABH57" s="83"/>
      <c r="ABI57" s="83"/>
      <c r="ABJ57" s="83"/>
      <c r="ABK57" s="83"/>
      <c r="ABL57" s="83"/>
      <c r="ABM57" s="83"/>
      <c r="ABN57" s="83"/>
      <c r="ABO57" s="83"/>
      <c r="ABP57" s="83"/>
      <c r="ABQ57" s="83"/>
      <c r="ABR57" s="83"/>
      <c r="ABS57" s="83"/>
      <c r="ABT57" s="83"/>
      <c r="ABU57" s="83"/>
      <c r="ABV57" s="83"/>
      <c r="ABW57" s="83"/>
      <c r="ABX57" s="83"/>
      <c r="ABY57" s="83"/>
      <c r="ABZ57" s="83"/>
      <c r="ACA57" s="83"/>
      <c r="ACB57" s="83"/>
      <c r="ACC57" s="83"/>
      <c r="ACD57" s="83"/>
      <c r="ACE57" s="83"/>
      <c r="ACF57" s="83"/>
      <c r="ACG57" s="83"/>
      <c r="ACH57" s="83"/>
      <c r="ACI57" s="83"/>
      <c r="ACJ57" s="83"/>
      <c r="ACK57" s="83"/>
      <c r="ACL57" s="83"/>
      <c r="ACM57" s="83"/>
      <c r="ACN57" s="83"/>
      <c r="ACO57" s="83"/>
      <c r="ACP57" s="83"/>
      <c r="ACQ57" s="83"/>
      <c r="ACR57" s="83"/>
      <c r="ACS57" s="83"/>
      <c r="ACT57" s="83"/>
      <c r="ACU57" s="83"/>
      <c r="ACV57" s="83"/>
      <c r="ACW57" s="83"/>
      <c r="ACX57" s="83"/>
      <c r="ACY57" s="83"/>
      <c r="ACZ57" s="83"/>
      <c r="ADA57" s="83"/>
      <c r="ADB57" s="83"/>
      <c r="ADC57" s="83"/>
      <c r="ADD57" s="83"/>
      <c r="ADE57" s="83"/>
      <c r="ADF57" s="83"/>
      <c r="ADG57" s="83"/>
      <c r="ADH57" s="83"/>
      <c r="ADI57" s="83"/>
      <c r="ADJ57" s="83"/>
      <c r="ADK57" s="83"/>
      <c r="ADL57" s="83"/>
      <c r="ADM57" s="83"/>
      <c r="ADN57" s="83"/>
      <c r="ADO57" s="83"/>
      <c r="ADP57" s="83"/>
      <c r="ADQ57" s="83"/>
      <c r="ADR57" s="83"/>
      <c r="ADS57" s="83"/>
      <c r="ADT57" s="83"/>
      <c r="ADU57" s="83"/>
      <c r="ADV57" s="83"/>
      <c r="ADW57" s="83"/>
      <c r="ADX57" s="83"/>
      <c r="ADY57" s="83"/>
      <c r="ADZ57" s="83"/>
      <c r="AEA57" s="83"/>
      <c r="AEB57" s="83"/>
      <c r="AEC57" s="83"/>
      <c r="AED57" s="83"/>
      <c r="AEE57" s="83"/>
      <c r="AEF57" s="83"/>
      <c r="AEG57" s="83"/>
      <c r="AEH57" s="83"/>
      <c r="AEI57" s="83"/>
      <c r="AEJ57" s="83"/>
      <c r="AEK57" s="83"/>
      <c r="AEL57" s="83"/>
      <c r="AEM57" s="83"/>
      <c r="AEN57" s="83"/>
      <c r="AEO57" s="83"/>
      <c r="AEP57" s="83"/>
      <c r="AEQ57" s="83"/>
      <c r="AER57" s="83"/>
      <c r="AES57" s="83"/>
      <c r="AET57" s="83"/>
      <c r="AEU57" s="83"/>
      <c r="AEV57" s="83"/>
      <c r="AEW57" s="83"/>
      <c r="AEX57" s="83"/>
      <c r="AEY57" s="83"/>
      <c r="AEZ57" s="83"/>
      <c r="AFA57" s="83"/>
      <c r="AFB57" s="83"/>
      <c r="AFC57" s="83"/>
      <c r="AFD57" s="83"/>
      <c r="AFE57" s="83"/>
      <c r="AFF57" s="83"/>
      <c r="AFG57" s="83"/>
      <c r="AFH57" s="83"/>
      <c r="AFI57" s="83"/>
      <c r="AFJ57" s="83"/>
      <c r="AFK57" s="83"/>
      <c r="AFL57" s="83"/>
      <c r="AFM57" s="83"/>
      <c r="AFN57" s="83"/>
      <c r="AFO57" s="83"/>
      <c r="AFP57" s="83"/>
      <c r="AFQ57" s="83"/>
      <c r="AFR57" s="83"/>
      <c r="AFS57" s="83"/>
      <c r="AFT57" s="83"/>
      <c r="AFU57" s="83"/>
      <c r="AFV57" s="83"/>
      <c r="AFW57" s="83"/>
      <c r="AFX57" s="83"/>
      <c r="AFY57" s="83"/>
      <c r="AFZ57" s="83"/>
      <c r="AGA57" s="83"/>
      <c r="AGB57" s="83"/>
      <c r="AGC57" s="83"/>
      <c r="AGD57" s="83"/>
      <c r="AGE57" s="83"/>
      <c r="AGF57" s="83"/>
      <c r="AGG57" s="83"/>
      <c r="AGH57" s="83"/>
      <c r="AGI57" s="83"/>
      <c r="AGJ57" s="83"/>
      <c r="AGK57" s="83"/>
      <c r="AGL57" s="83"/>
      <c r="AGM57" s="83"/>
      <c r="AGN57" s="83"/>
      <c r="AGO57" s="83"/>
      <c r="AGP57" s="83"/>
      <c r="AGQ57" s="83"/>
      <c r="AGR57" s="83"/>
      <c r="AGS57" s="83"/>
      <c r="AGT57" s="83"/>
      <c r="AGU57" s="83"/>
      <c r="AGV57" s="83"/>
      <c r="AGW57" s="83"/>
      <c r="AGX57" s="83"/>
      <c r="AGY57" s="83"/>
      <c r="AGZ57" s="83"/>
      <c r="AHA57" s="83"/>
      <c r="AHB57" s="83"/>
      <c r="AHC57" s="83"/>
      <c r="AHD57" s="83"/>
      <c r="AHE57" s="83"/>
      <c r="AHF57" s="83"/>
      <c r="AHG57" s="83"/>
      <c r="AHH57" s="83"/>
      <c r="AHI57" s="83"/>
      <c r="AHJ57" s="83"/>
      <c r="AHK57" s="83"/>
      <c r="AHL57" s="83"/>
      <c r="AHM57" s="83"/>
      <c r="AHN57" s="83"/>
      <c r="AHO57" s="83"/>
      <c r="AHP57" s="83"/>
      <c r="AHQ57" s="83"/>
      <c r="AHR57" s="83"/>
      <c r="AHS57" s="83"/>
      <c r="AHT57" s="83"/>
      <c r="AHU57" s="83"/>
      <c r="AHV57" s="83"/>
      <c r="AHW57" s="83"/>
      <c r="AHX57" s="83"/>
      <c r="AHY57" s="83"/>
      <c r="AHZ57" s="83"/>
      <c r="AIA57" s="83"/>
      <c r="AIB57" s="83"/>
      <c r="AIC57" s="83"/>
      <c r="AID57" s="83"/>
      <c r="AIE57" s="83"/>
      <c r="AIF57" s="83"/>
      <c r="AIG57" s="83"/>
      <c r="AIH57" s="83"/>
      <c r="AII57" s="83"/>
      <c r="AIJ57" s="83"/>
      <c r="AIK57" s="83"/>
      <c r="AIL57" s="83"/>
      <c r="AIM57" s="83"/>
      <c r="AIN57" s="83"/>
      <c r="AIO57" s="83"/>
      <c r="AIP57" s="83"/>
      <c r="AIQ57" s="83"/>
      <c r="AIR57" s="83"/>
      <c r="AIS57" s="83"/>
      <c r="AIT57" s="83"/>
      <c r="AIU57" s="83"/>
      <c r="AIV57" s="83"/>
      <c r="AIW57" s="83"/>
      <c r="AIX57" s="83"/>
      <c r="AIY57" s="83"/>
      <c r="AIZ57" s="83"/>
      <c r="AJA57" s="83"/>
      <c r="AJB57" s="83"/>
      <c r="AJC57" s="83"/>
      <c r="AJD57" s="83"/>
      <c r="AJE57" s="83"/>
      <c r="AJF57" s="83"/>
      <c r="AJG57" s="83"/>
      <c r="AJH57" s="83"/>
      <c r="AJI57" s="83"/>
      <c r="AJJ57" s="83"/>
      <c r="AJK57" s="83"/>
      <c r="AJL57" s="83"/>
      <c r="AJM57" s="83"/>
      <c r="AJN57" s="83"/>
      <c r="AJO57" s="83"/>
      <c r="AJP57" s="83"/>
      <c r="AJQ57" s="83"/>
      <c r="AJR57" s="83"/>
      <c r="AJS57" s="83"/>
      <c r="AJT57" s="83"/>
      <c r="AJU57" s="83"/>
      <c r="AJV57" s="83"/>
      <c r="AJW57" s="83"/>
      <c r="AJX57" s="83"/>
      <c r="AJY57" s="83"/>
      <c r="AJZ57" s="83"/>
      <c r="AKA57" s="83"/>
      <c r="AKB57" s="83"/>
      <c r="AKC57" s="83"/>
      <c r="AKD57" s="83"/>
      <c r="AKE57" s="83"/>
      <c r="AKF57" s="83"/>
      <c r="AKG57" s="83"/>
      <c r="AKH57" s="83"/>
      <c r="AKI57" s="83"/>
      <c r="AKJ57" s="83"/>
      <c r="AKK57" s="83"/>
      <c r="AKL57" s="83"/>
      <c r="AKM57" s="83"/>
      <c r="AKN57" s="83"/>
      <c r="AKO57" s="83"/>
      <c r="AKP57" s="83"/>
      <c r="AKQ57" s="83"/>
      <c r="AKR57" s="83"/>
      <c r="AKS57" s="83"/>
      <c r="AKT57" s="83"/>
      <c r="AKU57" s="83"/>
      <c r="AKV57" s="83"/>
      <c r="AKW57" s="83"/>
      <c r="AKX57" s="83"/>
      <c r="AKY57" s="83"/>
      <c r="AKZ57" s="83"/>
      <c r="ALA57" s="83"/>
      <c r="ALB57" s="83"/>
      <c r="ALC57" s="83"/>
      <c r="ALD57" s="83"/>
      <c r="ALE57" s="83"/>
      <c r="ALF57" s="83"/>
      <c r="ALG57" s="83"/>
      <c r="ALH57" s="83"/>
      <c r="ALI57" s="83"/>
      <c r="ALJ57" s="83"/>
      <c r="ALK57" s="83"/>
      <c r="ALL57" s="83"/>
      <c r="ALM57" s="83"/>
      <c r="ALN57" s="83"/>
      <c r="ALO57" s="83"/>
      <c r="ALP57" s="83"/>
      <c r="ALQ57" s="83"/>
      <c r="ALR57" s="83"/>
      <c r="ALS57" s="83"/>
      <c r="ALT57" s="83"/>
      <c r="ALU57" s="83"/>
      <c r="ALV57" s="83"/>
      <c r="ALW57" s="83"/>
      <c r="ALX57" s="83"/>
      <c r="ALY57" s="83"/>
      <c r="ALZ57" s="83"/>
      <c r="AMA57" s="83"/>
      <c r="AMB57" s="83"/>
      <c r="AMC57" s="83"/>
      <c r="AMD57" s="83"/>
      <c r="AME57" s="83"/>
      <c r="AMF57" s="83"/>
      <c r="AMG57" s="83"/>
      <c r="AMH57" s="83"/>
      <c r="AMI57" s="83"/>
      <c r="AMJ57" s="83"/>
    </row>
    <row r="58" spans="12:1024" ht="15.95" customHeight="1" x14ac:dyDescent="0.2">
      <c r="L58" s="83"/>
      <c r="M58" s="84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  <c r="FU58" s="83"/>
      <c r="FV58" s="83"/>
      <c r="FW58" s="83"/>
      <c r="FX58" s="83"/>
      <c r="FY58" s="83"/>
      <c r="FZ58" s="83"/>
      <c r="GA58" s="83"/>
      <c r="GB58" s="83"/>
      <c r="GC58" s="83"/>
      <c r="GD58" s="83"/>
      <c r="GE58" s="83"/>
      <c r="GF58" s="83"/>
      <c r="GG58" s="83"/>
      <c r="GH58" s="83"/>
      <c r="GI58" s="83"/>
      <c r="GJ58" s="83"/>
      <c r="GK58" s="83"/>
      <c r="GL58" s="83"/>
      <c r="GM58" s="83"/>
      <c r="GN58" s="83"/>
      <c r="GO58" s="83"/>
      <c r="GP58" s="83"/>
      <c r="GQ58" s="83"/>
      <c r="GR58" s="83"/>
      <c r="GS58" s="83"/>
      <c r="GT58" s="83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/>
      <c r="HN58" s="83"/>
      <c r="HO58" s="83"/>
      <c r="HP58" s="83"/>
      <c r="HQ58" s="83"/>
      <c r="HR58" s="83"/>
      <c r="HS58" s="83"/>
      <c r="HT58" s="83"/>
      <c r="HU58" s="83"/>
      <c r="HV58" s="83"/>
      <c r="HW58" s="83"/>
      <c r="HX58" s="83"/>
      <c r="HY58" s="83"/>
      <c r="HZ58" s="83"/>
      <c r="IA58" s="83"/>
      <c r="IB58" s="83"/>
      <c r="IC58" s="83"/>
      <c r="ID58" s="83"/>
      <c r="IE58" s="83"/>
      <c r="IF58" s="83"/>
      <c r="IG58" s="83"/>
      <c r="IH58" s="83"/>
      <c r="II58" s="83"/>
      <c r="IJ58" s="83"/>
      <c r="IK58" s="83"/>
      <c r="IL58" s="83"/>
      <c r="IM58" s="83"/>
      <c r="IN58" s="83"/>
      <c r="IO58" s="83"/>
      <c r="IP58" s="83"/>
      <c r="IQ58" s="83"/>
      <c r="IR58" s="83"/>
      <c r="IS58" s="83"/>
      <c r="IT58" s="83"/>
      <c r="IU58" s="83"/>
      <c r="IV58" s="83"/>
      <c r="IW58" s="83"/>
      <c r="IX58" s="83"/>
      <c r="IY58" s="83"/>
      <c r="IZ58" s="83"/>
      <c r="JA58" s="83"/>
      <c r="JB58" s="83"/>
      <c r="JC58" s="83"/>
      <c r="JD58" s="83"/>
      <c r="JE58" s="83"/>
      <c r="JF58" s="83"/>
      <c r="JG58" s="83"/>
      <c r="JH58" s="83"/>
      <c r="JI58" s="83"/>
      <c r="JJ58" s="83"/>
      <c r="JK58" s="83"/>
      <c r="JL58" s="83"/>
      <c r="JM58" s="83"/>
      <c r="JN58" s="83"/>
      <c r="JO58" s="83"/>
      <c r="JP58" s="83"/>
      <c r="JQ58" s="83"/>
      <c r="JR58" s="83"/>
      <c r="JS58" s="83"/>
      <c r="JT58" s="83"/>
      <c r="JU58" s="83"/>
      <c r="JV58" s="83"/>
      <c r="JW58" s="83"/>
      <c r="JX58" s="83"/>
      <c r="JY58" s="83"/>
      <c r="JZ58" s="83"/>
      <c r="KA58" s="83"/>
      <c r="KB58" s="83"/>
      <c r="KC58" s="83"/>
      <c r="KD58" s="83"/>
      <c r="KE58" s="83"/>
      <c r="KF58" s="83"/>
      <c r="KG58" s="83"/>
      <c r="KH58" s="83"/>
      <c r="KI58" s="83"/>
      <c r="KJ58" s="83"/>
      <c r="KK58" s="83"/>
      <c r="KL58" s="83"/>
      <c r="KM58" s="83"/>
      <c r="KN58" s="83"/>
      <c r="KO58" s="83"/>
      <c r="KP58" s="83"/>
      <c r="KQ58" s="83"/>
      <c r="KR58" s="83"/>
      <c r="KS58" s="83"/>
      <c r="KT58" s="83"/>
      <c r="KU58" s="83"/>
      <c r="KV58" s="83"/>
      <c r="KW58" s="83"/>
      <c r="KX58" s="83"/>
      <c r="KY58" s="83"/>
      <c r="KZ58" s="83"/>
      <c r="LA58" s="83"/>
      <c r="LB58" s="83"/>
      <c r="LC58" s="83"/>
      <c r="LD58" s="83"/>
      <c r="LE58" s="83"/>
      <c r="LF58" s="83"/>
      <c r="LG58" s="83"/>
      <c r="LH58" s="83"/>
      <c r="LI58" s="83"/>
      <c r="LJ58" s="83"/>
      <c r="LK58" s="83"/>
      <c r="LL58" s="83"/>
      <c r="LM58" s="83"/>
      <c r="LN58" s="83"/>
      <c r="LO58" s="83"/>
      <c r="LP58" s="83"/>
      <c r="LQ58" s="83"/>
      <c r="LR58" s="83"/>
      <c r="LS58" s="83"/>
      <c r="LT58" s="83"/>
      <c r="LU58" s="83"/>
      <c r="LV58" s="83"/>
      <c r="LW58" s="83"/>
      <c r="LX58" s="83"/>
      <c r="LY58" s="83"/>
      <c r="LZ58" s="83"/>
      <c r="MA58" s="83"/>
      <c r="MB58" s="83"/>
      <c r="MC58" s="83"/>
      <c r="MD58" s="83"/>
      <c r="ME58" s="83"/>
      <c r="MF58" s="83"/>
      <c r="MG58" s="83"/>
      <c r="MH58" s="83"/>
      <c r="MI58" s="83"/>
      <c r="MJ58" s="83"/>
      <c r="MK58" s="83"/>
      <c r="ML58" s="83"/>
      <c r="MM58" s="83"/>
      <c r="MN58" s="83"/>
      <c r="MO58" s="83"/>
      <c r="MP58" s="83"/>
      <c r="MQ58" s="83"/>
      <c r="MR58" s="83"/>
      <c r="MS58" s="83"/>
      <c r="MT58" s="83"/>
      <c r="MU58" s="83"/>
      <c r="MV58" s="83"/>
      <c r="MW58" s="83"/>
      <c r="MX58" s="83"/>
      <c r="MY58" s="83"/>
      <c r="MZ58" s="83"/>
      <c r="NA58" s="83"/>
      <c r="NB58" s="83"/>
      <c r="NC58" s="83"/>
      <c r="ND58" s="83"/>
      <c r="NE58" s="83"/>
      <c r="NF58" s="83"/>
      <c r="NG58" s="83"/>
      <c r="NH58" s="83"/>
      <c r="NI58" s="83"/>
      <c r="NJ58" s="83"/>
      <c r="NK58" s="83"/>
      <c r="NL58" s="83"/>
      <c r="NM58" s="83"/>
      <c r="NN58" s="83"/>
      <c r="NO58" s="83"/>
      <c r="NP58" s="83"/>
      <c r="NQ58" s="83"/>
      <c r="NR58" s="83"/>
      <c r="NS58" s="83"/>
      <c r="NT58" s="83"/>
      <c r="NU58" s="83"/>
      <c r="NV58" s="83"/>
      <c r="NW58" s="83"/>
      <c r="NX58" s="83"/>
      <c r="NY58" s="83"/>
      <c r="NZ58" s="83"/>
      <c r="OA58" s="83"/>
      <c r="OB58" s="83"/>
      <c r="OC58" s="83"/>
      <c r="OD58" s="83"/>
      <c r="OE58" s="83"/>
      <c r="OF58" s="83"/>
      <c r="OG58" s="83"/>
      <c r="OH58" s="83"/>
      <c r="OI58" s="83"/>
      <c r="OJ58" s="83"/>
      <c r="OK58" s="83"/>
      <c r="OL58" s="83"/>
      <c r="OM58" s="83"/>
      <c r="ON58" s="83"/>
      <c r="OO58" s="83"/>
      <c r="OP58" s="83"/>
      <c r="OQ58" s="83"/>
      <c r="OR58" s="83"/>
      <c r="OS58" s="83"/>
      <c r="OT58" s="83"/>
      <c r="OU58" s="83"/>
      <c r="OV58" s="83"/>
      <c r="OW58" s="83"/>
      <c r="OX58" s="83"/>
      <c r="OY58" s="83"/>
      <c r="OZ58" s="83"/>
      <c r="PA58" s="83"/>
      <c r="PB58" s="83"/>
      <c r="PC58" s="83"/>
      <c r="PD58" s="83"/>
      <c r="PE58" s="83"/>
      <c r="PF58" s="83"/>
      <c r="PG58" s="83"/>
      <c r="PH58" s="83"/>
      <c r="PI58" s="83"/>
      <c r="PJ58" s="83"/>
      <c r="PK58" s="83"/>
      <c r="PL58" s="83"/>
      <c r="PM58" s="83"/>
      <c r="PN58" s="83"/>
      <c r="PO58" s="83"/>
      <c r="PP58" s="83"/>
      <c r="PQ58" s="83"/>
      <c r="PR58" s="83"/>
      <c r="PS58" s="83"/>
      <c r="PT58" s="83"/>
      <c r="PU58" s="83"/>
      <c r="PV58" s="83"/>
      <c r="PW58" s="83"/>
      <c r="PX58" s="83"/>
      <c r="PY58" s="83"/>
      <c r="PZ58" s="83"/>
      <c r="QA58" s="83"/>
      <c r="QB58" s="83"/>
      <c r="QC58" s="83"/>
      <c r="QD58" s="83"/>
      <c r="QE58" s="83"/>
      <c r="QF58" s="83"/>
      <c r="QG58" s="83"/>
      <c r="QH58" s="83"/>
      <c r="QI58" s="83"/>
      <c r="QJ58" s="83"/>
      <c r="QK58" s="83"/>
      <c r="QL58" s="83"/>
      <c r="QM58" s="83"/>
      <c r="QN58" s="83"/>
      <c r="QO58" s="83"/>
      <c r="QP58" s="83"/>
      <c r="QQ58" s="83"/>
      <c r="QR58" s="83"/>
      <c r="QS58" s="83"/>
      <c r="QT58" s="83"/>
      <c r="QU58" s="83"/>
      <c r="QV58" s="83"/>
      <c r="QW58" s="83"/>
      <c r="QX58" s="83"/>
      <c r="QY58" s="83"/>
      <c r="QZ58" s="83"/>
      <c r="RA58" s="83"/>
      <c r="RB58" s="83"/>
      <c r="RC58" s="83"/>
      <c r="RD58" s="83"/>
      <c r="RE58" s="83"/>
      <c r="RF58" s="83"/>
      <c r="RG58" s="83"/>
      <c r="RH58" s="83"/>
      <c r="RI58" s="83"/>
      <c r="RJ58" s="83"/>
      <c r="RK58" s="83"/>
      <c r="RL58" s="83"/>
      <c r="RM58" s="83"/>
      <c r="RN58" s="83"/>
      <c r="RO58" s="83"/>
      <c r="RP58" s="83"/>
      <c r="RQ58" s="83"/>
      <c r="RR58" s="83"/>
      <c r="RS58" s="83"/>
      <c r="RT58" s="83"/>
      <c r="RU58" s="83"/>
      <c r="RV58" s="83"/>
      <c r="RW58" s="83"/>
      <c r="RX58" s="83"/>
      <c r="RY58" s="83"/>
      <c r="RZ58" s="83"/>
      <c r="SA58" s="83"/>
      <c r="SB58" s="83"/>
      <c r="SC58" s="83"/>
      <c r="SD58" s="83"/>
      <c r="SE58" s="83"/>
      <c r="SF58" s="83"/>
      <c r="SG58" s="83"/>
      <c r="SH58" s="83"/>
      <c r="SI58" s="83"/>
      <c r="SJ58" s="83"/>
      <c r="SK58" s="83"/>
      <c r="SL58" s="83"/>
      <c r="SM58" s="83"/>
      <c r="SN58" s="83"/>
      <c r="SO58" s="83"/>
      <c r="SP58" s="83"/>
      <c r="SQ58" s="83"/>
      <c r="SR58" s="83"/>
      <c r="SS58" s="83"/>
      <c r="ST58" s="83"/>
      <c r="SU58" s="83"/>
      <c r="SV58" s="83"/>
      <c r="SW58" s="83"/>
      <c r="SX58" s="83"/>
      <c r="SY58" s="83"/>
      <c r="SZ58" s="83"/>
      <c r="TA58" s="83"/>
      <c r="TB58" s="83"/>
      <c r="TC58" s="83"/>
      <c r="TD58" s="83"/>
      <c r="TE58" s="83"/>
      <c r="TF58" s="83"/>
      <c r="TG58" s="83"/>
      <c r="TH58" s="83"/>
      <c r="TI58" s="83"/>
      <c r="TJ58" s="83"/>
      <c r="TK58" s="83"/>
      <c r="TL58" s="83"/>
      <c r="TM58" s="83"/>
      <c r="TN58" s="83"/>
      <c r="TO58" s="83"/>
      <c r="TP58" s="83"/>
      <c r="TQ58" s="83"/>
      <c r="TR58" s="83"/>
      <c r="TS58" s="83"/>
      <c r="TT58" s="83"/>
      <c r="TU58" s="83"/>
      <c r="TV58" s="83"/>
      <c r="TW58" s="83"/>
      <c r="TX58" s="83"/>
      <c r="TY58" s="83"/>
      <c r="TZ58" s="83"/>
      <c r="UA58" s="83"/>
      <c r="UB58" s="83"/>
      <c r="UC58" s="83"/>
      <c r="UD58" s="83"/>
      <c r="UE58" s="83"/>
      <c r="UF58" s="83"/>
      <c r="UG58" s="83"/>
      <c r="UH58" s="83"/>
      <c r="UI58" s="83"/>
      <c r="UJ58" s="83"/>
      <c r="UK58" s="83"/>
      <c r="UL58" s="83"/>
      <c r="UM58" s="83"/>
      <c r="UN58" s="83"/>
      <c r="UO58" s="83"/>
      <c r="UP58" s="83"/>
      <c r="UQ58" s="83"/>
      <c r="UR58" s="83"/>
      <c r="US58" s="83"/>
      <c r="UT58" s="83"/>
      <c r="UU58" s="83"/>
      <c r="UV58" s="83"/>
      <c r="UW58" s="83"/>
      <c r="UX58" s="83"/>
      <c r="UY58" s="83"/>
      <c r="UZ58" s="83"/>
      <c r="VA58" s="83"/>
      <c r="VB58" s="83"/>
      <c r="VC58" s="83"/>
      <c r="VD58" s="83"/>
      <c r="VE58" s="83"/>
      <c r="VF58" s="83"/>
      <c r="VG58" s="83"/>
      <c r="VH58" s="83"/>
      <c r="VI58" s="83"/>
      <c r="VJ58" s="83"/>
      <c r="VK58" s="83"/>
      <c r="VL58" s="83"/>
      <c r="VM58" s="83"/>
      <c r="VN58" s="83"/>
      <c r="VO58" s="83"/>
      <c r="VP58" s="83"/>
      <c r="VQ58" s="83"/>
      <c r="VR58" s="83"/>
      <c r="VS58" s="83"/>
      <c r="VT58" s="83"/>
      <c r="VU58" s="83"/>
      <c r="VV58" s="83"/>
      <c r="VW58" s="83"/>
      <c r="VX58" s="83"/>
      <c r="VY58" s="83"/>
      <c r="VZ58" s="83"/>
      <c r="WA58" s="83"/>
      <c r="WB58" s="83"/>
      <c r="WC58" s="83"/>
      <c r="WD58" s="83"/>
      <c r="WE58" s="83"/>
      <c r="WF58" s="83"/>
      <c r="WG58" s="83"/>
      <c r="WH58" s="83"/>
      <c r="WI58" s="83"/>
      <c r="WJ58" s="83"/>
      <c r="WK58" s="83"/>
      <c r="WL58" s="83"/>
      <c r="WM58" s="83"/>
      <c r="WN58" s="83"/>
      <c r="WO58" s="83"/>
      <c r="WP58" s="83"/>
      <c r="WQ58" s="83"/>
      <c r="WR58" s="83"/>
      <c r="WS58" s="83"/>
      <c r="WT58" s="83"/>
      <c r="WU58" s="83"/>
      <c r="WV58" s="83"/>
      <c r="WW58" s="83"/>
      <c r="WX58" s="83"/>
      <c r="WY58" s="83"/>
      <c r="WZ58" s="83"/>
      <c r="XA58" s="83"/>
      <c r="XB58" s="83"/>
      <c r="XC58" s="83"/>
      <c r="XD58" s="83"/>
      <c r="XE58" s="83"/>
      <c r="XF58" s="83"/>
      <c r="XG58" s="83"/>
      <c r="XH58" s="83"/>
      <c r="XI58" s="83"/>
      <c r="XJ58" s="83"/>
      <c r="XK58" s="83"/>
      <c r="XL58" s="83"/>
      <c r="XM58" s="83"/>
      <c r="XN58" s="83"/>
      <c r="XO58" s="83"/>
      <c r="XP58" s="83"/>
      <c r="XQ58" s="83"/>
      <c r="XR58" s="83"/>
      <c r="XS58" s="83"/>
      <c r="XT58" s="83"/>
      <c r="XU58" s="83"/>
      <c r="XV58" s="83"/>
      <c r="XW58" s="83"/>
      <c r="XX58" s="83"/>
      <c r="XY58" s="83"/>
      <c r="XZ58" s="83"/>
      <c r="YA58" s="83"/>
      <c r="YB58" s="83"/>
      <c r="YC58" s="83"/>
      <c r="YD58" s="83"/>
      <c r="YE58" s="83"/>
      <c r="YF58" s="83"/>
      <c r="YG58" s="83"/>
      <c r="YH58" s="83"/>
      <c r="YI58" s="83"/>
      <c r="YJ58" s="83"/>
      <c r="YK58" s="83"/>
      <c r="YL58" s="83"/>
      <c r="YM58" s="83"/>
      <c r="YN58" s="83"/>
      <c r="YO58" s="83"/>
      <c r="YP58" s="83"/>
      <c r="YQ58" s="83"/>
      <c r="YR58" s="83"/>
      <c r="YS58" s="83"/>
      <c r="YT58" s="83"/>
      <c r="YU58" s="83"/>
      <c r="YV58" s="83"/>
      <c r="YW58" s="83"/>
      <c r="YX58" s="83"/>
      <c r="YY58" s="83"/>
      <c r="YZ58" s="83"/>
      <c r="ZA58" s="83"/>
      <c r="ZB58" s="83"/>
      <c r="ZC58" s="83"/>
      <c r="ZD58" s="83"/>
      <c r="ZE58" s="83"/>
      <c r="ZF58" s="83"/>
      <c r="ZG58" s="83"/>
      <c r="ZH58" s="83"/>
      <c r="ZI58" s="83"/>
      <c r="ZJ58" s="83"/>
      <c r="ZK58" s="83"/>
      <c r="ZL58" s="83"/>
      <c r="ZM58" s="83"/>
      <c r="ZN58" s="83"/>
      <c r="ZO58" s="83"/>
      <c r="ZP58" s="83"/>
      <c r="ZQ58" s="83"/>
      <c r="ZR58" s="83"/>
      <c r="ZS58" s="83"/>
      <c r="ZT58" s="83"/>
      <c r="ZU58" s="83"/>
      <c r="ZV58" s="83"/>
      <c r="ZW58" s="83"/>
      <c r="ZX58" s="83"/>
      <c r="ZY58" s="83"/>
      <c r="ZZ58" s="83"/>
      <c r="AAA58" s="83"/>
      <c r="AAB58" s="83"/>
      <c r="AAC58" s="83"/>
      <c r="AAD58" s="83"/>
      <c r="AAE58" s="83"/>
      <c r="AAF58" s="83"/>
      <c r="AAG58" s="83"/>
      <c r="AAH58" s="83"/>
      <c r="AAI58" s="83"/>
      <c r="AAJ58" s="83"/>
      <c r="AAK58" s="83"/>
      <c r="AAL58" s="83"/>
      <c r="AAM58" s="83"/>
      <c r="AAN58" s="83"/>
      <c r="AAO58" s="83"/>
      <c r="AAP58" s="83"/>
      <c r="AAQ58" s="83"/>
      <c r="AAR58" s="83"/>
      <c r="AAS58" s="83"/>
      <c r="AAT58" s="83"/>
      <c r="AAU58" s="83"/>
      <c r="AAV58" s="83"/>
      <c r="AAW58" s="83"/>
      <c r="AAX58" s="83"/>
      <c r="AAY58" s="83"/>
      <c r="AAZ58" s="83"/>
      <c r="ABA58" s="83"/>
      <c r="ABB58" s="83"/>
      <c r="ABC58" s="83"/>
      <c r="ABD58" s="83"/>
      <c r="ABE58" s="83"/>
      <c r="ABF58" s="83"/>
      <c r="ABG58" s="83"/>
      <c r="ABH58" s="83"/>
      <c r="ABI58" s="83"/>
      <c r="ABJ58" s="83"/>
      <c r="ABK58" s="83"/>
      <c r="ABL58" s="83"/>
      <c r="ABM58" s="83"/>
      <c r="ABN58" s="83"/>
      <c r="ABO58" s="83"/>
      <c r="ABP58" s="83"/>
      <c r="ABQ58" s="83"/>
      <c r="ABR58" s="83"/>
      <c r="ABS58" s="83"/>
      <c r="ABT58" s="83"/>
      <c r="ABU58" s="83"/>
      <c r="ABV58" s="83"/>
      <c r="ABW58" s="83"/>
      <c r="ABX58" s="83"/>
      <c r="ABY58" s="83"/>
      <c r="ABZ58" s="83"/>
      <c r="ACA58" s="83"/>
      <c r="ACB58" s="83"/>
      <c r="ACC58" s="83"/>
      <c r="ACD58" s="83"/>
      <c r="ACE58" s="83"/>
      <c r="ACF58" s="83"/>
      <c r="ACG58" s="83"/>
      <c r="ACH58" s="83"/>
      <c r="ACI58" s="83"/>
      <c r="ACJ58" s="83"/>
      <c r="ACK58" s="83"/>
      <c r="ACL58" s="83"/>
      <c r="ACM58" s="83"/>
      <c r="ACN58" s="83"/>
      <c r="ACO58" s="83"/>
      <c r="ACP58" s="83"/>
      <c r="ACQ58" s="83"/>
      <c r="ACR58" s="83"/>
      <c r="ACS58" s="83"/>
      <c r="ACT58" s="83"/>
      <c r="ACU58" s="83"/>
      <c r="ACV58" s="83"/>
      <c r="ACW58" s="83"/>
      <c r="ACX58" s="83"/>
      <c r="ACY58" s="83"/>
      <c r="ACZ58" s="83"/>
      <c r="ADA58" s="83"/>
      <c r="ADB58" s="83"/>
      <c r="ADC58" s="83"/>
      <c r="ADD58" s="83"/>
      <c r="ADE58" s="83"/>
      <c r="ADF58" s="83"/>
      <c r="ADG58" s="83"/>
      <c r="ADH58" s="83"/>
      <c r="ADI58" s="83"/>
      <c r="ADJ58" s="83"/>
      <c r="ADK58" s="83"/>
      <c r="ADL58" s="83"/>
      <c r="ADM58" s="83"/>
      <c r="ADN58" s="83"/>
      <c r="ADO58" s="83"/>
      <c r="ADP58" s="83"/>
      <c r="ADQ58" s="83"/>
      <c r="ADR58" s="83"/>
      <c r="ADS58" s="83"/>
      <c r="ADT58" s="83"/>
      <c r="ADU58" s="83"/>
      <c r="ADV58" s="83"/>
      <c r="ADW58" s="83"/>
      <c r="ADX58" s="83"/>
      <c r="ADY58" s="83"/>
      <c r="ADZ58" s="83"/>
      <c r="AEA58" s="83"/>
      <c r="AEB58" s="83"/>
      <c r="AEC58" s="83"/>
      <c r="AED58" s="83"/>
      <c r="AEE58" s="83"/>
      <c r="AEF58" s="83"/>
      <c r="AEG58" s="83"/>
      <c r="AEH58" s="83"/>
      <c r="AEI58" s="83"/>
      <c r="AEJ58" s="83"/>
      <c r="AEK58" s="83"/>
      <c r="AEL58" s="83"/>
      <c r="AEM58" s="83"/>
      <c r="AEN58" s="83"/>
      <c r="AEO58" s="83"/>
      <c r="AEP58" s="83"/>
      <c r="AEQ58" s="83"/>
      <c r="AER58" s="83"/>
      <c r="AES58" s="83"/>
      <c r="AET58" s="83"/>
      <c r="AEU58" s="83"/>
      <c r="AEV58" s="83"/>
      <c r="AEW58" s="83"/>
      <c r="AEX58" s="83"/>
      <c r="AEY58" s="83"/>
      <c r="AEZ58" s="83"/>
      <c r="AFA58" s="83"/>
      <c r="AFB58" s="83"/>
      <c r="AFC58" s="83"/>
      <c r="AFD58" s="83"/>
      <c r="AFE58" s="83"/>
      <c r="AFF58" s="83"/>
      <c r="AFG58" s="83"/>
      <c r="AFH58" s="83"/>
      <c r="AFI58" s="83"/>
      <c r="AFJ58" s="83"/>
      <c r="AFK58" s="83"/>
      <c r="AFL58" s="83"/>
      <c r="AFM58" s="83"/>
      <c r="AFN58" s="83"/>
      <c r="AFO58" s="83"/>
      <c r="AFP58" s="83"/>
      <c r="AFQ58" s="83"/>
      <c r="AFR58" s="83"/>
      <c r="AFS58" s="83"/>
      <c r="AFT58" s="83"/>
      <c r="AFU58" s="83"/>
      <c r="AFV58" s="83"/>
      <c r="AFW58" s="83"/>
      <c r="AFX58" s="83"/>
      <c r="AFY58" s="83"/>
      <c r="AFZ58" s="83"/>
      <c r="AGA58" s="83"/>
      <c r="AGB58" s="83"/>
      <c r="AGC58" s="83"/>
      <c r="AGD58" s="83"/>
      <c r="AGE58" s="83"/>
      <c r="AGF58" s="83"/>
      <c r="AGG58" s="83"/>
      <c r="AGH58" s="83"/>
      <c r="AGI58" s="83"/>
      <c r="AGJ58" s="83"/>
      <c r="AGK58" s="83"/>
      <c r="AGL58" s="83"/>
      <c r="AGM58" s="83"/>
      <c r="AGN58" s="83"/>
      <c r="AGO58" s="83"/>
      <c r="AGP58" s="83"/>
      <c r="AGQ58" s="83"/>
      <c r="AGR58" s="83"/>
      <c r="AGS58" s="83"/>
      <c r="AGT58" s="83"/>
      <c r="AGU58" s="83"/>
      <c r="AGV58" s="83"/>
      <c r="AGW58" s="83"/>
      <c r="AGX58" s="83"/>
      <c r="AGY58" s="83"/>
      <c r="AGZ58" s="83"/>
      <c r="AHA58" s="83"/>
      <c r="AHB58" s="83"/>
      <c r="AHC58" s="83"/>
      <c r="AHD58" s="83"/>
      <c r="AHE58" s="83"/>
      <c r="AHF58" s="83"/>
      <c r="AHG58" s="83"/>
      <c r="AHH58" s="83"/>
      <c r="AHI58" s="83"/>
      <c r="AHJ58" s="83"/>
      <c r="AHK58" s="83"/>
      <c r="AHL58" s="83"/>
      <c r="AHM58" s="83"/>
      <c r="AHN58" s="83"/>
      <c r="AHO58" s="83"/>
      <c r="AHP58" s="83"/>
      <c r="AHQ58" s="83"/>
      <c r="AHR58" s="83"/>
      <c r="AHS58" s="83"/>
      <c r="AHT58" s="83"/>
      <c r="AHU58" s="83"/>
      <c r="AHV58" s="83"/>
      <c r="AHW58" s="83"/>
      <c r="AHX58" s="83"/>
      <c r="AHY58" s="83"/>
      <c r="AHZ58" s="83"/>
      <c r="AIA58" s="83"/>
      <c r="AIB58" s="83"/>
      <c r="AIC58" s="83"/>
      <c r="AID58" s="83"/>
      <c r="AIE58" s="83"/>
      <c r="AIF58" s="83"/>
      <c r="AIG58" s="83"/>
      <c r="AIH58" s="83"/>
      <c r="AII58" s="83"/>
      <c r="AIJ58" s="83"/>
      <c r="AIK58" s="83"/>
      <c r="AIL58" s="83"/>
      <c r="AIM58" s="83"/>
      <c r="AIN58" s="83"/>
      <c r="AIO58" s="83"/>
      <c r="AIP58" s="83"/>
      <c r="AIQ58" s="83"/>
      <c r="AIR58" s="83"/>
      <c r="AIS58" s="83"/>
      <c r="AIT58" s="83"/>
      <c r="AIU58" s="83"/>
      <c r="AIV58" s="83"/>
      <c r="AIW58" s="83"/>
      <c r="AIX58" s="83"/>
      <c r="AIY58" s="83"/>
      <c r="AIZ58" s="83"/>
      <c r="AJA58" s="83"/>
      <c r="AJB58" s="83"/>
      <c r="AJC58" s="83"/>
      <c r="AJD58" s="83"/>
      <c r="AJE58" s="83"/>
      <c r="AJF58" s="83"/>
      <c r="AJG58" s="83"/>
      <c r="AJH58" s="83"/>
      <c r="AJI58" s="83"/>
      <c r="AJJ58" s="83"/>
      <c r="AJK58" s="83"/>
      <c r="AJL58" s="83"/>
      <c r="AJM58" s="83"/>
      <c r="AJN58" s="83"/>
      <c r="AJO58" s="83"/>
      <c r="AJP58" s="83"/>
      <c r="AJQ58" s="83"/>
      <c r="AJR58" s="83"/>
      <c r="AJS58" s="83"/>
      <c r="AJT58" s="83"/>
      <c r="AJU58" s="83"/>
      <c r="AJV58" s="83"/>
      <c r="AJW58" s="83"/>
      <c r="AJX58" s="83"/>
      <c r="AJY58" s="83"/>
      <c r="AJZ58" s="83"/>
      <c r="AKA58" s="83"/>
      <c r="AKB58" s="83"/>
      <c r="AKC58" s="83"/>
      <c r="AKD58" s="83"/>
      <c r="AKE58" s="83"/>
      <c r="AKF58" s="83"/>
      <c r="AKG58" s="83"/>
      <c r="AKH58" s="83"/>
      <c r="AKI58" s="83"/>
      <c r="AKJ58" s="83"/>
      <c r="AKK58" s="83"/>
      <c r="AKL58" s="83"/>
      <c r="AKM58" s="83"/>
      <c r="AKN58" s="83"/>
      <c r="AKO58" s="83"/>
      <c r="AKP58" s="83"/>
      <c r="AKQ58" s="83"/>
      <c r="AKR58" s="83"/>
      <c r="AKS58" s="83"/>
      <c r="AKT58" s="83"/>
      <c r="AKU58" s="83"/>
      <c r="AKV58" s="83"/>
      <c r="AKW58" s="83"/>
      <c r="AKX58" s="83"/>
      <c r="AKY58" s="83"/>
      <c r="AKZ58" s="83"/>
      <c r="ALA58" s="83"/>
      <c r="ALB58" s="83"/>
      <c r="ALC58" s="83"/>
      <c r="ALD58" s="83"/>
      <c r="ALE58" s="83"/>
      <c r="ALF58" s="83"/>
      <c r="ALG58" s="83"/>
      <c r="ALH58" s="83"/>
      <c r="ALI58" s="83"/>
      <c r="ALJ58" s="83"/>
      <c r="ALK58" s="83"/>
      <c r="ALL58" s="83"/>
      <c r="ALM58" s="83"/>
      <c r="ALN58" s="83"/>
      <c r="ALO58" s="83"/>
      <c r="ALP58" s="83"/>
      <c r="ALQ58" s="83"/>
      <c r="ALR58" s="83"/>
      <c r="ALS58" s="83"/>
      <c r="ALT58" s="83"/>
      <c r="ALU58" s="83"/>
      <c r="ALV58" s="83"/>
      <c r="ALW58" s="83"/>
      <c r="ALX58" s="83"/>
      <c r="ALY58" s="83"/>
      <c r="ALZ58" s="83"/>
      <c r="AMA58" s="83"/>
      <c r="AMB58" s="83"/>
      <c r="AMC58" s="83"/>
      <c r="AMD58" s="83"/>
      <c r="AME58" s="83"/>
      <c r="AMF58" s="83"/>
      <c r="AMG58" s="83"/>
      <c r="AMH58" s="83"/>
      <c r="AMI58" s="83"/>
      <c r="AMJ58" s="83"/>
    </row>
    <row r="59" spans="12:1024" ht="15.95" customHeight="1" x14ac:dyDescent="0.2">
      <c r="L59" s="83"/>
      <c r="M59" s="84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  <c r="FU59" s="83"/>
      <c r="FV59" s="83"/>
      <c r="FW59" s="83"/>
      <c r="FX59" s="83"/>
      <c r="FY59" s="83"/>
      <c r="FZ59" s="83"/>
      <c r="GA59" s="83"/>
      <c r="GB59" s="83"/>
      <c r="GC59" s="83"/>
      <c r="GD59" s="83"/>
      <c r="GE59" s="83"/>
      <c r="GF59" s="83"/>
      <c r="GG59" s="83"/>
      <c r="GH59" s="83"/>
      <c r="GI59" s="83"/>
      <c r="GJ59" s="83"/>
      <c r="GK59" s="83"/>
      <c r="GL59" s="83"/>
      <c r="GM59" s="83"/>
      <c r="GN59" s="83"/>
      <c r="GO59" s="83"/>
      <c r="GP59" s="83"/>
      <c r="GQ59" s="83"/>
      <c r="GR59" s="83"/>
      <c r="GS59" s="83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3"/>
      <c r="HE59" s="83"/>
      <c r="HF59" s="83"/>
      <c r="HG59" s="83"/>
      <c r="HH59" s="83"/>
      <c r="HI59" s="83"/>
      <c r="HJ59" s="83"/>
      <c r="HK59" s="83"/>
      <c r="HL59" s="83"/>
      <c r="HM59" s="83"/>
      <c r="HN59" s="83"/>
      <c r="HO59" s="83"/>
      <c r="HP59" s="83"/>
      <c r="HQ59" s="83"/>
      <c r="HR59" s="83"/>
      <c r="HS59" s="83"/>
      <c r="HT59" s="83"/>
      <c r="HU59" s="83"/>
      <c r="HV59" s="83"/>
      <c r="HW59" s="83"/>
      <c r="HX59" s="83"/>
      <c r="HY59" s="83"/>
      <c r="HZ59" s="83"/>
      <c r="IA59" s="83"/>
      <c r="IB59" s="83"/>
      <c r="IC59" s="83"/>
      <c r="ID59" s="83"/>
      <c r="IE59" s="83"/>
      <c r="IF59" s="83"/>
      <c r="IG59" s="83"/>
      <c r="IH59" s="83"/>
      <c r="II59" s="83"/>
      <c r="IJ59" s="83"/>
      <c r="IK59" s="83"/>
      <c r="IL59" s="83"/>
      <c r="IM59" s="83"/>
      <c r="IN59" s="83"/>
      <c r="IO59" s="83"/>
      <c r="IP59" s="83"/>
      <c r="IQ59" s="83"/>
      <c r="IR59" s="83"/>
      <c r="IS59" s="83"/>
      <c r="IT59" s="83"/>
      <c r="IU59" s="83"/>
      <c r="IV59" s="83"/>
      <c r="IW59" s="83"/>
      <c r="IX59" s="83"/>
      <c r="IY59" s="83"/>
      <c r="IZ59" s="83"/>
      <c r="JA59" s="83"/>
      <c r="JB59" s="83"/>
      <c r="JC59" s="83"/>
      <c r="JD59" s="83"/>
      <c r="JE59" s="83"/>
      <c r="JF59" s="83"/>
      <c r="JG59" s="83"/>
      <c r="JH59" s="83"/>
      <c r="JI59" s="83"/>
      <c r="JJ59" s="83"/>
      <c r="JK59" s="83"/>
      <c r="JL59" s="83"/>
      <c r="JM59" s="83"/>
      <c r="JN59" s="83"/>
      <c r="JO59" s="83"/>
      <c r="JP59" s="83"/>
      <c r="JQ59" s="83"/>
      <c r="JR59" s="83"/>
      <c r="JS59" s="83"/>
      <c r="JT59" s="83"/>
      <c r="JU59" s="83"/>
      <c r="JV59" s="83"/>
      <c r="JW59" s="83"/>
      <c r="JX59" s="83"/>
      <c r="JY59" s="83"/>
      <c r="JZ59" s="83"/>
      <c r="KA59" s="83"/>
      <c r="KB59" s="83"/>
      <c r="KC59" s="83"/>
      <c r="KD59" s="83"/>
      <c r="KE59" s="83"/>
      <c r="KF59" s="83"/>
      <c r="KG59" s="83"/>
      <c r="KH59" s="83"/>
      <c r="KI59" s="83"/>
      <c r="KJ59" s="83"/>
      <c r="KK59" s="83"/>
      <c r="KL59" s="83"/>
      <c r="KM59" s="83"/>
      <c r="KN59" s="83"/>
      <c r="KO59" s="83"/>
      <c r="KP59" s="83"/>
      <c r="KQ59" s="83"/>
      <c r="KR59" s="83"/>
      <c r="KS59" s="83"/>
      <c r="KT59" s="83"/>
      <c r="KU59" s="83"/>
      <c r="KV59" s="83"/>
      <c r="KW59" s="83"/>
      <c r="KX59" s="83"/>
      <c r="KY59" s="83"/>
      <c r="KZ59" s="83"/>
      <c r="LA59" s="83"/>
      <c r="LB59" s="83"/>
      <c r="LC59" s="83"/>
      <c r="LD59" s="83"/>
      <c r="LE59" s="83"/>
      <c r="LF59" s="83"/>
      <c r="LG59" s="83"/>
      <c r="LH59" s="83"/>
      <c r="LI59" s="83"/>
      <c r="LJ59" s="83"/>
      <c r="LK59" s="83"/>
      <c r="LL59" s="83"/>
      <c r="LM59" s="83"/>
      <c r="LN59" s="83"/>
      <c r="LO59" s="83"/>
      <c r="LP59" s="83"/>
      <c r="LQ59" s="83"/>
      <c r="LR59" s="83"/>
      <c r="LS59" s="83"/>
      <c r="LT59" s="83"/>
      <c r="LU59" s="83"/>
      <c r="LV59" s="83"/>
      <c r="LW59" s="83"/>
      <c r="LX59" s="83"/>
      <c r="LY59" s="83"/>
      <c r="LZ59" s="83"/>
      <c r="MA59" s="83"/>
      <c r="MB59" s="83"/>
      <c r="MC59" s="83"/>
      <c r="MD59" s="83"/>
      <c r="ME59" s="83"/>
      <c r="MF59" s="83"/>
      <c r="MG59" s="83"/>
      <c r="MH59" s="83"/>
      <c r="MI59" s="83"/>
      <c r="MJ59" s="83"/>
      <c r="MK59" s="83"/>
      <c r="ML59" s="83"/>
      <c r="MM59" s="83"/>
      <c r="MN59" s="83"/>
      <c r="MO59" s="83"/>
      <c r="MP59" s="83"/>
      <c r="MQ59" s="83"/>
      <c r="MR59" s="83"/>
      <c r="MS59" s="83"/>
      <c r="MT59" s="83"/>
      <c r="MU59" s="83"/>
      <c r="MV59" s="83"/>
      <c r="MW59" s="83"/>
      <c r="MX59" s="83"/>
      <c r="MY59" s="83"/>
      <c r="MZ59" s="83"/>
      <c r="NA59" s="83"/>
      <c r="NB59" s="83"/>
      <c r="NC59" s="83"/>
      <c r="ND59" s="83"/>
      <c r="NE59" s="83"/>
      <c r="NF59" s="83"/>
      <c r="NG59" s="83"/>
      <c r="NH59" s="83"/>
      <c r="NI59" s="83"/>
      <c r="NJ59" s="83"/>
      <c r="NK59" s="83"/>
      <c r="NL59" s="83"/>
      <c r="NM59" s="83"/>
      <c r="NN59" s="83"/>
      <c r="NO59" s="83"/>
      <c r="NP59" s="83"/>
      <c r="NQ59" s="83"/>
      <c r="NR59" s="83"/>
      <c r="NS59" s="83"/>
      <c r="NT59" s="83"/>
      <c r="NU59" s="83"/>
      <c r="NV59" s="83"/>
      <c r="NW59" s="83"/>
      <c r="NX59" s="83"/>
      <c r="NY59" s="83"/>
      <c r="NZ59" s="83"/>
      <c r="OA59" s="83"/>
      <c r="OB59" s="83"/>
      <c r="OC59" s="83"/>
      <c r="OD59" s="83"/>
      <c r="OE59" s="83"/>
      <c r="OF59" s="83"/>
      <c r="OG59" s="83"/>
      <c r="OH59" s="83"/>
      <c r="OI59" s="83"/>
      <c r="OJ59" s="83"/>
      <c r="OK59" s="83"/>
      <c r="OL59" s="83"/>
      <c r="OM59" s="83"/>
      <c r="ON59" s="83"/>
      <c r="OO59" s="83"/>
      <c r="OP59" s="83"/>
      <c r="OQ59" s="83"/>
      <c r="OR59" s="83"/>
      <c r="OS59" s="83"/>
      <c r="OT59" s="83"/>
      <c r="OU59" s="83"/>
      <c r="OV59" s="83"/>
      <c r="OW59" s="83"/>
      <c r="OX59" s="83"/>
      <c r="OY59" s="83"/>
      <c r="OZ59" s="83"/>
      <c r="PA59" s="83"/>
      <c r="PB59" s="83"/>
      <c r="PC59" s="83"/>
      <c r="PD59" s="83"/>
      <c r="PE59" s="83"/>
      <c r="PF59" s="83"/>
      <c r="PG59" s="83"/>
      <c r="PH59" s="83"/>
      <c r="PI59" s="83"/>
      <c r="PJ59" s="83"/>
      <c r="PK59" s="83"/>
      <c r="PL59" s="83"/>
      <c r="PM59" s="83"/>
      <c r="PN59" s="83"/>
      <c r="PO59" s="83"/>
      <c r="PP59" s="83"/>
      <c r="PQ59" s="83"/>
      <c r="PR59" s="83"/>
      <c r="PS59" s="83"/>
      <c r="PT59" s="83"/>
      <c r="PU59" s="83"/>
      <c r="PV59" s="83"/>
      <c r="PW59" s="83"/>
      <c r="PX59" s="83"/>
      <c r="PY59" s="83"/>
      <c r="PZ59" s="83"/>
      <c r="QA59" s="83"/>
      <c r="QB59" s="83"/>
      <c r="QC59" s="83"/>
      <c r="QD59" s="83"/>
      <c r="QE59" s="83"/>
      <c r="QF59" s="83"/>
      <c r="QG59" s="83"/>
      <c r="QH59" s="83"/>
      <c r="QI59" s="83"/>
      <c r="QJ59" s="83"/>
      <c r="QK59" s="83"/>
      <c r="QL59" s="83"/>
      <c r="QM59" s="83"/>
      <c r="QN59" s="83"/>
      <c r="QO59" s="83"/>
      <c r="QP59" s="83"/>
      <c r="QQ59" s="83"/>
      <c r="QR59" s="83"/>
      <c r="QS59" s="83"/>
      <c r="QT59" s="83"/>
      <c r="QU59" s="83"/>
      <c r="QV59" s="83"/>
      <c r="QW59" s="83"/>
      <c r="QX59" s="83"/>
      <c r="QY59" s="83"/>
      <c r="QZ59" s="83"/>
      <c r="RA59" s="83"/>
      <c r="RB59" s="83"/>
      <c r="RC59" s="83"/>
      <c r="RD59" s="83"/>
      <c r="RE59" s="83"/>
      <c r="RF59" s="83"/>
      <c r="RG59" s="83"/>
      <c r="RH59" s="83"/>
      <c r="RI59" s="83"/>
      <c r="RJ59" s="83"/>
      <c r="RK59" s="83"/>
      <c r="RL59" s="83"/>
      <c r="RM59" s="83"/>
      <c r="RN59" s="83"/>
      <c r="RO59" s="83"/>
      <c r="RP59" s="83"/>
      <c r="RQ59" s="83"/>
      <c r="RR59" s="83"/>
      <c r="RS59" s="83"/>
      <c r="RT59" s="83"/>
      <c r="RU59" s="83"/>
      <c r="RV59" s="83"/>
      <c r="RW59" s="83"/>
      <c r="RX59" s="83"/>
      <c r="RY59" s="83"/>
      <c r="RZ59" s="83"/>
      <c r="SA59" s="83"/>
      <c r="SB59" s="83"/>
      <c r="SC59" s="83"/>
      <c r="SD59" s="83"/>
      <c r="SE59" s="83"/>
      <c r="SF59" s="83"/>
      <c r="SG59" s="83"/>
      <c r="SH59" s="83"/>
      <c r="SI59" s="83"/>
      <c r="SJ59" s="83"/>
      <c r="SK59" s="83"/>
      <c r="SL59" s="83"/>
      <c r="SM59" s="83"/>
      <c r="SN59" s="83"/>
      <c r="SO59" s="83"/>
      <c r="SP59" s="83"/>
      <c r="SQ59" s="83"/>
      <c r="SR59" s="83"/>
      <c r="SS59" s="83"/>
      <c r="ST59" s="83"/>
      <c r="SU59" s="83"/>
      <c r="SV59" s="83"/>
      <c r="SW59" s="83"/>
      <c r="SX59" s="83"/>
      <c r="SY59" s="83"/>
      <c r="SZ59" s="83"/>
      <c r="TA59" s="83"/>
      <c r="TB59" s="83"/>
      <c r="TC59" s="83"/>
      <c r="TD59" s="83"/>
      <c r="TE59" s="83"/>
      <c r="TF59" s="83"/>
      <c r="TG59" s="83"/>
      <c r="TH59" s="83"/>
      <c r="TI59" s="83"/>
      <c r="TJ59" s="83"/>
      <c r="TK59" s="83"/>
      <c r="TL59" s="83"/>
      <c r="TM59" s="83"/>
      <c r="TN59" s="83"/>
      <c r="TO59" s="83"/>
      <c r="TP59" s="83"/>
      <c r="TQ59" s="83"/>
      <c r="TR59" s="83"/>
      <c r="TS59" s="83"/>
      <c r="TT59" s="83"/>
      <c r="TU59" s="83"/>
      <c r="TV59" s="83"/>
      <c r="TW59" s="83"/>
      <c r="TX59" s="83"/>
      <c r="TY59" s="83"/>
      <c r="TZ59" s="83"/>
      <c r="UA59" s="83"/>
      <c r="UB59" s="83"/>
      <c r="UC59" s="83"/>
      <c r="UD59" s="83"/>
      <c r="UE59" s="83"/>
      <c r="UF59" s="83"/>
      <c r="UG59" s="83"/>
      <c r="UH59" s="83"/>
      <c r="UI59" s="83"/>
      <c r="UJ59" s="83"/>
      <c r="UK59" s="83"/>
      <c r="UL59" s="83"/>
      <c r="UM59" s="83"/>
      <c r="UN59" s="83"/>
      <c r="UO59" s="83"/>
      <c r="UP59" s="83"/>
      <c r="UQ59" s="83"/>
      <c r="UR59" s="83"/>
      <c r="US59" s="83"/>
      <c r="UT59" s="83"/>
      <c r="UU59" s="83"/>
      <c r="UV59" s="83"/>
      <c r="UW59" s="83"/>
      <c r="UX59" s="83"/>
      <c r="UY59" s="83"/>
      <c r="UZ59" s="83"/>
      <c r="VA59" s="83"/>
      <c r="VB59" s="83"/>
      <c r="VC59" s="83"/>
      <c r="VD59" s="83"/>
      <c r="VE59" s="83"/>
      <c r="VF59" s="83"/>
      <c r="VG59" s="83"/>
      <c r="VH59" s="83"/>
      <c r="VI59" s="83"/>
      <c r="VJ59" s="83"/>
      <c r="VK59" s="83"/>
      <c r="VL59" s="83"/>
      <c r="VM59" s="83"/>
      <c r="VN59" s="83"/>
      <c r="VO59" s="83"/>
      <c r="VP59" s="83"/>
      <c r="VQ59" s="83"/>
      <c r="VR59" s="83"/>
      <c r="VS59" s="83"/>
      <c r="VT59" s="83"/>
      <c r="VU59" s="83"/>
      <c r="VV59" s="83"/>
      <c r="VW59" s="83"/>
      <c r="VX59" s="83"/>
      <c r="VY59" s="83"/>
      <c r="VZ59" s="83"/>
      <c r="WA59" s="83"/>
      <c r="WB59" s="83"/>
      <c r="WC59" s="83"/>
      <c r="WD59" s="83"/>
      <c r="WE59" s="83"/>
      <c r="WF59" s="83"/>
      <c r="WG59" s="83"/>
      <c r="WH59" s="83"/>
      <c r="WI59" s="83"/>
      <c r="WJ59" s="83"/>
      <c r="WK59" s="83"/>
      <c r="WL59" s="83"/>
      <c r="WM59" s="83"/>
      <c r="WN59" s="83"/>
      <c r="WO59" s="83"/>
      <c r="WP59" s="83"/>
      <c r="WQ59" s="83"/>
      <c r="WR59" s="83"/>
      <c r="WS59" s="83"/>
      <c r="WT59" s="83"/>
      <c r="WU59" s="83"/>
      <c r="WV59" s="83"/>
      <c r="WW59" s="83"/>
      <c r="WX59" s="83"/>
      <c r="WY59" s="83"/>
      <c r="WZ59" s="83"/>
      <c r="XA59" s="83"/>
      <c r="XB59" s="83"/>
      <c r="XC59" s="83"/>
      <c r="XD59" s="83"/>
      <c r="XE59" s="83"/>
      <c r="XF59" s="83"/>
      <c r="XG59" s="83"/>
      <c r="XH59" s="83"/>
      <c r="XI59" s="83"/>
      <c r="XJ59" s="83"/>
      <c r="XK59" s="83"/>
      <c r="XL59" s="83"/>
      <c r="XM59" s="83"/>
      <c r="XN59" s="83"/>
      <c r="XO59" s="83"/>
      <c r="XP59" s="83"/>
      <c r="XQ59" s="83"/>
      <c r="XR59" s="83"/>
      <c r="XS59" s="83"/>
      <c r="XT59" s="83"/>
      <c r="XU59" s="83"/>
      <c r="XV59" s="83"/>
      <c r="XW59" s="83"/>
      <c r="XX59" s="83"/>
      <c r="XY59" s="83"/>
      <c r="XZ59" s="83"/>
      <c r="YA59" s="83"/>
      <c r="YB59" s="83"/>
      <c r="YC59" s="83"/>
      <c r="YD59" s="83"/>
      <c r="YE59" s="83"/>
      <c r="YF59" s="83"/>
      <c r="YG59" s="83"/>
      <c r="YH59" s="83"/>
      <c r="YI59" s="83"/>
      <c r="YJ59" s="83"/>
      <c r="YK59" s="83"/>
      <c r="YL59" s="83"/>
      <c r="YM59" s="83"/>
      <c r="YN59" s="83"/>
      <c r="YO59" s="83"/>
      <c r="YP59" s="83"/>
      <c r="YQ59" s="83"/>
      <c r="YR59" s="83"/>
      <c r="YS59" s="83"/>
      <c r="YT59" s="83"/>
      <c r="YU59" s="83"/>
      <c r="YV59" s="83"/>
      <c r="YW59" s="83"/>
      <c r="YX59" s="83"/>
      <c r="YY59" s="83"/>
      <c r="YZ59" s="83"/>
      <c r="ZA59" s="83"/>
      <c r="ZB59" s="83"/>
      <c r="ZC59" s="83"/>
      <c r="ZD59" s="83"/>
      <c r="ZE59" s="83"/>
      <c r="ZF59" s="83"/>
      <c r="ZG59" s="83"/>
      <c r="ZH59" s="83"/>
      <c r="ZI59" s="83"/>
      <c r="ZJ59" s="83"/>
      <c r="ZK59" s="83"/>
      <c r="ZL59" s="83"/>
      <c r="ZM59" s="83"/>
      <c r="ZN59" s="83"/>
      <c r="ZO59" s="83"/>
      <c r="ZP59" s="83"/>
      <c r="ZQ59" s="83"/>
      <c r="ZR59" s="83"/>
      <c r="ZS59" s="83"/>
      <c r="ZT59" s="83"/>
      <c r="ZU59" s="83"/>
      <c r="ZV59" s="83"/>
      <c r="ZW59" s="83"/>
      <c r="ZX59" s="83"/>
      <c r="ZY59" s="83"/>
      <c r="ZZ59" s="83"/>
      <c r="AAA59" s="83"/>
      <c r="AAB59" s="83"/>
      <c r="AAC59" s="83"/>
      <c r="AAD59" s="83"/>
      <c r="AAE59" s="83"/>
      <c r="AAF59" s="83"/>
      <c r="AAG59" s="83"/>
      <c r="AAH59" s="83"/>
      <c r="AAI59" s="83"/>
      <c r="AAJ59" s="83"/>
      <c r="AAK59" s="83"/>
      <c r="AAL59" s="83"/>
      <c r="AAM59" s="83"/>
      <c r="AAN59" s="83"/>
      <c r="AAO59" s="83"/>
      <c r="AAP59" s="83"/>
      <c r="AAQ59" s="83"/>
      <c r="AAR59" s="83"/>
      <c r="AAS59" s="83"/>
      <c r="AAT59" s="83"/>
      <c r="AAU59" s="83"/>
      <c r="AAV59" s="83"/>
      <c r="AAW59" s="83"/>
      <c r="AAX59" s="83"/>
      <c r="AAY59" s="83"/>
      <c r="AAZ59" s="83"/>
      <c r="ABA59" s="83"/>
      <c r="ABB59" s="83"/>
      <c r="ABC59" s="83"/>
      <c r="ABD59" s="83"/>
      <c r="ABE59" s="83"/>
      <c r="ABF59" s="83"/>
      <c r="ABG59" s="83"/>
      <c r="ABH59" s="83"/>
      <c r="ABI59" s="83"/>
      <c r="ABJ59" s="83"/>
      <c r="ABK59" s="83"/>
      <c r="ABL59" s="83"/>
      <c r="ABM59" s="83"/>
      <c r="ABN59" s="83"/>
      <c r="ABO59" s="83"/>
      <c r="ABP59" s="83"/>
      <c r="ABQ59" s="83"/>
      <c r="ABR59" s="83"/>
      <c r="ABS59" s="83"/>
      <c r="ABT59" s="83"/>
      <c r="ABU59" s="83"/>
      <c r="ABV59" s="83"/>
      <c r="ABW59" s="83"/>
      <c r="ABX59" s="83"/>
      <c r="ABY59" s="83"/>
      <c r="ABZ59" s="83"/>
      <c r="ACA59" s="83"/>
      <c r="ACB59" s="83"/>
      <c r="ACC59" s="83"/>
      <c r="ACD59" s="83"/>
      <c r="ACE59" s="83"/>
      <c r="ACF59" s="83"/>
      <c r="ACG59" s="83"/>
      <c r="ACH59" s="83"/>
      <c r="ACI59" s="83"/>
      <c r="ACJ59" s="83"/>
      <c r="ACK59" s="83"/>
      <c r="ACL59" s="83"/>
      <c r="ACM59" s="83"/>
      <c r="ACN59" s="83"/>
      <c r="ACO59" s="83"/>
      <c r="ACP59" s="83"/>
      <c r="ACQ59" s="83"/>
      <c r="ACR59" s="83"/>
      <c r="ACS59" s="83"/>
      <c r="ACT59" s="83"/>
      <c r="ACU59" s="83"/>
      <c r="ACV59" s="83"/>
      <c r="ACW59" s="83"/>
      <c r="ACX59" s="83"/>
      <c r="ACY59" s="83"/>
      <c r="ACZ59" s="83"/>
      <c r="ADA59" s="83"/>
      <c r="ADB59" s="83"/>
      <c r="ADC59" s="83"/>
      <c r="ADD59" s="83"/>
      <c r="ADE59" s="83"/>
      <c r="ADF59" s="83"/>
      <c r="ADG59" s="83"/>
      <c r="ADH59" s="83"/>
      <c r="ADI59" s="83"/>
      <c r="ADJ59" s="83"/>
      <c r="ADK59" s="83"/>
      <c r="ADL59" s="83"/>
      <c r="ADM59" s="83"/>
      <c r="ADN59" s="83"/>
      <c r="ADO59" s="83"/>
      <c r="ADP59" s="83"/>
      <c r="ADQ59" s="83"/>
      <c r="ADR59" s="83"/>
      <c r="ADS59" s="83"/>
      <c r="ADT59" s="83"/>
      <c r="ADU59" s="83"/>
      <c r="ADV59" s="83"/>
      <c r="ADW59" s="83"/>
      <c r="ADX59" s="83"/>
      <c r="ADY59" s="83"/>
      <c r="ADZ59" s="83"/>
      <c r="AEA59" s="83"/>
      <c r="AEB59" s="83"/>
      <c r="AEC59" s="83"/>
      <c r="AED59" s="83"/>
      <c r="AEE59" s="83"/>
      <c r="AEF59" s="83"/>
      <c r="AEG59" s="83"/>
      <c r="AEH59" s="83"/>
      <c r="AEI59" s="83"/>
      <c r="AEJ59" s="83"/>
      <c r="AEK59" s="83"/>
      <c r="AEL59" s="83"/>
      <c r="AEM59" s="83"/>
      <c r="AEN59" s="83"/>
      <c r="AEO59" s="83"/>
      <c r="AEP59" s="83"/>
      <c r="AEQ59" s="83"/>
      <c r="AER59" s="83"/>
      <c r="AES59" s="83"/>
      <c r="AET59" s="83"/>
      <c r="AEU59" s="83"/>
      <c r="AEV59" s="83"/>
      <c r="AEW59" s="83"/>
      <c r="AEX59" s="83"/>
      <c r="AEY59" s="83"/>
      <c r="AEZ59" s="83"/>
      <c r="AFA59" s="83"/>
      <c r="AFB59" s="83"/>
      <c r="AFC59" s="83"/>
      <c r="AFD59" s="83"/>
      <c r="AFE59" s="83"/>
      <c r="AFF59" s="83"/>
      <c r="AFG59" s="83"/>
      <c r="AFH59" s="83"/>
      <c r="AFI59" s="83"/>
      <c r="AFJ59" s="83"/>
      <c r="AFK59" s="83"/>
      <c r="AFL59" s="83"/>
      <c r="AFM59" s="83"/>
      <c r="AFN59" s="83"/>
      <c r="AFO59" s="83"/>
      <c r="AFP59" s="83"/>
      <c r="AFQ59" s="83"/>
      <c r="AFR59" s="83"/>
      <c r="AFS59" s="83"/>
      <c r="AFT59" s="83"/>
      <c r="AFU59" s="83"/>
      <c r="AFV59" s="83"/>
      <c r="AFW59" s="83"/>
      <c r="AFX59" s="83"/>
      <c r="AFY59" s="83"/>
      <c r="AFZ59" s="83"/>
      <c r="AGA59" s="83"/>
      <c r="AGB59" s="83"/>
      <c r="AGC59" s="83"/>
      <c r="AGD59" s="83"/>
      <c r="AGE59" s="83"/>
      <c r="AGF59" s="83"/>
      <c r="AGG59" s="83"/>
      <c r="AGH59" s="83"/>
      <c r="AGI59" s="83"/>
      <c r="AGJ59" s="83"/>
      <c r="AGK59" s="83"/>
      <c r="AGL59" s="83"/>
      <c r="AGM59" s="83"/>
      <c r="AGN59" s="83"/>
      <c r="AGO59" s="83"/>
      <c r="AGP59" s="83"/>
      <c r="AGQ59" s="83"/>
      <c r="AGR59" s="83"/>
      <c r="AGS59" s="83"/>
      <c r="AGT59" s="83"/>
      <c r="AGU59" s="83"/>
      <c r="AGV59" s="83"/>
      <c r="AGW59" s="83"/>
      <c r="AGX59" s="83"/>
      <c r="AGY59" s="83"/>
      <c r="AGZ59" s="83"/>
      <c r="AHA59" s="83"/>
      <c r="AHB59" s="83"/>
      <c r="AHC59" s="83"/>
      <c r="AHD59" s="83"/>
      <c r="AHE59" s="83"/>
      <c r="AHF59" s="83"/>
      <c r="AHG59" s="83"/>
      <c r="AHH59" s="83"/>
      <c r="AHI59" s="83"/>
      <c r="AHJ59" s="83"/>
      <c r="AHK59" s="83"/>
      <c r="AHL59" s="83"/>
      <c r="AHM59" s="83"/>
      <c r="AHN59" s="83"/>
      <c r="AHO59" s="83"/>
      <c r="AHP59" s="83"/>
      <c r="AHQ59" s="83"/>
      <c r="AHR59" s="83"/>
      <c r="AHS59" s="83"/>
      <c r="AHT59" s="83"/>
      <c r="AHU59" s="83"/>
      <c r="AHV59" s="83"/>
      <c r="AHW59" s="83"/>
      <c r="AHX59" s="83"/>
      <c r="AHY59" s="83"/>
      <c r="AHZ59" s="83"/>
      <c r="AIA59" s="83"/>
      <c r="AIB59" s="83"/>
      <c r="AIC59" s="83"/>
      <c r="AID59" s="83"/>
      <c r="AIE59" s="83"/>
      <c r="AIF59" s="83"/>
      <c r="AIG59" s="83"/>
      <c r="AIH59" s="83"/>
      <c r="AII59" s="83"/>
      <c r="AIJ59" s="83"/>
      <c r="AIK59" s="83"/>
      <c r="AIL59" s="83"/>
      <c r="AIM59" s="83"/>
      <c r="AIN59" s="83"/>
      <c r="AIO59" s="83"/>
      <c r="AIP59" s="83"/>
      <c r="AIQ59" s="83"/>
      <c r="AIR59" s="83"/>
      <c r="AIS59" s="83"/>
      <c r="AIT59" s="83"/>
      <c r="AIU59" s="83"/>
      <c r="AIV59" s="83"/>
      <c r="AIW59" s="83"/>
      <c r="AIX59" s="83"/>
      <c r="AIY59" s="83"/>
      <c r="AIZ59" s="83"/>
      <c r="AJA59" s="83"/>
      <c r="AJB59" s="83"/>
      <c r="AJC59" s="83"/>
      <c r="AJD59" s="83"/>
      <c r="AJE59" s="83"/>
      <c r="AJF59" s="83"/>
      <c r="AJG59" s="83"/>
      <c r="AJH59" s="83"/>
      <c r="AJI59" s="83"/>
      <c r="AJJ59" s="83"/>
      <c r="AJK59" s="83"/>
      <c r="AJL59" s="83"/>
      <c r="AJM59" s="83"/>
      <c r="AJN59" s="83"/>
      <c r="AJO59" s="83"/>
      <c r="AJP59" s="83"/>
      <c r="AJQ59" s="83"/>
      <c r="AJR59" s="83"/>
      <c r="AJS59" s="83"/>
      <c r="AJT59" s="83"/>
      <c r="AJU59" s="83"/>
      <c r="AJV59" s="83"/>
      <c r="AJW59" s="83"/>
      <c r="AJX59" s="83"/>
      <c r="AJY59" s="83"/>
      <c r="AJZ59" s="83"/>
      <c r="AKA59" s="83"/>
      <c r="AKB59" s="83"/>
      <c r="AKC59" s="83"/>
      <c r="AKD59" s="83"/>
      <c r="AKE59" s="83"/>
      <c r="AKF59" s="83"/>
      <c r="AKG59" s="83"/>
      <c r="AKH59" s="83"/>
      <c r="AKI59" s="83"/>
      <c r="AKJ59" s="83"/>
      <c r="AKK59" s="83"/>
      <c r="AKL59" s="83"/>
      <c r="AKM59" s="83"/>
      <c r="AKN59" s="83"/>
      <c r="AKO59" s="83"/>
      <c r="AKP59" s="83"/>
      <c r="AKQ59" s="83"/>
      <c r="AKR59" s="83"/>
      <c r="AKS59" s="83"/>
      <c r="AKT59" s="83"/>
      <c r="AKU59" s="83"/>
      <c r="AKV59" s="83"/>
      <c r="AKW59" s="83"/>
      <c r="AKX59" s="83"/>
      <c r="AKY59" s="83"/>
      <c r="AKZ59" s="83"/>
      <c r="ALA59" s="83"/>
      <c r="ALB59" s="83"/>
      <c r="ALC59" s="83"/>
      <c r="ALD59" s="83"/>
      <c r="ALE59" s="83"/>
      <c r="ALF59" s="83"/>
      <c r="ALG59" s="83"/>
      <c r="ALH59" s="83"/>
      <c r="ALI59" s="83"/>
      <c r="ALJ59" s="83"/>
      <c r="ALK59" s="83"/>
      <c r="ALL59" s="83"/>
      <c r="ALM59" s="83"/>
      <c r="ALN59" s="83"/>
      <c r="ALO59" s="83"/>
      <c r="ALP59" s="83"/>
      <c r="ALQ59" s="83"/>
      <c r="ALR59" s="83"/>
      <c r="ALS59" s="83"/>
      <c r="ALT59" s="83"/>
      <c r="ALU59" s="83"/>
      <c r="ALV59" s="83"/>
      <c r="ALW59" s="83"/>
      <c r="ALX59" s="83"/>
      <c r="ALY59" s="83"/>
      <c r="ALZ59" s="83"/>
      <c r="AMA59" s="83"/>
      <c r="AMB59" s="83"/>
      <c r="AMC59" s="83"/>
      <c r="AMD59" s="83"/>
      <c r="AME59" s="83"/>
      <c r="AMF59" s="83"/>
      <c r="AMG59" s="83"/>
      <c r="AMH59" s="83"/>
      <c r="AMI59" s="83"/>
      <c r="AMJ59" s="83"/>
    </row>
    <row r="60" spans="12:1024" ht="15.95" customHeight="1" x14ac:dyDescent="0.2">
      <c r="L60" s="83"/>
      <c r="M60" s="84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  <c r="FU60" s="83"/>
      <c r="FV60" s="83"/>
      <c r="FW60" s="83"/>
      <c r="FX60" s="83"/>
      <c r="FY60" s="83"/>
      <c r="FZ60" s="83"/>
      <c r="GA60" s="83"/>
      <c r="GB60" s="83"/>
      <c r="GC60" s="83"/>
      <c r="GD60" s="83"/>
      <c r="GE60" s="83"/>
      <c r="GF60" s="83"/>
      <c r="GG60" s="83"/>
      <c r="GH60" s="83"/>
      <c r="GI60" s="83"/>
      <c r="GJ60" s="83"/>
      <c r="GK60" s="83"/>
      <c r="GL60" s="83"/>
      <c r="GM60" s="83"/>
      <c r="GN60" s="83"/>
      <c r="GO60" s="83"/>
      <c r="GP60" s="83"/>
      <c r="GQ60" s="83"/>
      <c r="GR60" s="83"/>
      <c r="GS60" s="83"/>
      <c r="GT60" s="83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/>
      <c r="HN60" s="83"/>
      <c r="HO60" s="83"/>
      <c r="HP60" s="83"/>
      <c r="HQ60" s="83"/>
      <c r="HR60" s="83"/>
      <c r="HS60" s="83"/>
      <c r="HT60" s="83"/>
      <c r="HU60" s="83"/>
      <c r="HV60" s="83"/>
      <c r="HW60" s="83"/>
      <c r="HX60" s="83"/>
      <c r="HY60" s="83"/>
      <c r="HZ60" s="83"/>
      <c r="IA60" s="83"/>
      <c r="IB60" s="83"/>
      <c r="IC60" s="83"/>
      <c r="ID60" s="83"/>
      <c r="IE60" s="83"/>
      <c r="IF60" s="83"/>
      <c r="IG60" s="83"/>
      <c r="IH60" s="83"/>
      <c r="II60" s="83"/>
      <c r="IJ60" s="83"/>
      <c r="IK60" s="83"/>
      <c r="IL60" s="83"/>
      <c r="IM60" s="83"/>
      <c r="IN60" s="83"/>
      <c r="IO60" s="83"/>
      <c r="IP60" s="83"/>
      <c r="IQ60" s="83"/>
      <c r="IR60" s="83"/>
      <c r="IS60" s="83"/>
      <c r="IT60" s="83"/>
      <c r="IU60" s="83"/>
      <c r="IV60" s="83"/>
      <c r="IW60" s="83"/>
      <c r="IX60" s="83"/>
      <c r="IY60" s="83"/>
      <c r="IZ60" s="83"/>
      <c r="JA60" s="83"/>
      <c r="JB60" s="83"/>
      <c r="JC60" s="83"/>
      <c r="JD60" s="83"/>
      <c r="JE60" s="83"/>
      <c r="JF60" s="83"/>
      <c r="JG60" s="83"/>
      <c r="JH60" s="83"/>
      <c r="JI60" s="83"/>
      <c r="JJ60" s="83"/>
      <c r="JK60" s="83"/>
      <c r="JL60" s="83"/>
      <c r="JM60" s="83"/>
      <c r="JN60" s="83"/>
      <c r="JO60" s="83"/>
      <c r="JP60" s="83"/>
      <c r="JQ60" s="83"/>
      <c r="JR60" s="83"/>
      <c r="JS60" s="83"/>
      <c r="JT60" s="83"/>
      <c r="JU60" s="83"/>
      <c r="JV60" s="83"/>
      <c r="JW60" s="83"/>
      <c r="JX60" s="83"/>
      <c r="JY60" s="83"/>
      <c r="JZ60" s="83"/>
      <c r="KA60" s="83"/>
      <c r="KB60" s="83"/>
      <c r="KC60" s="83"/>
      <c r="KD60" s="83"/>
      <c r="KE60" s="83"/>
      <c r="KF60" s="83"/>
      <c r="KG60" s="83"/>
      <c r="KH60" s="83"/>
      <c r="KI60" s="83"/>
      <c r="KJ60" s="83"/>
      <c r="KK60" s="83"/>
      <c r="KL60" s="83"/>
      <c r="KM60" s="83"/>
      <c r="KN60" s="83"/>
      <c r="KO60" s="83"/>
      <c r="KP60" s="83"/>
      <c r="KQ60" s="83"/>
      <c r="KR60" s="83"/>
      <c r="KS60" s="83"/>
      <c r="KT60" s="83"/>
      <c r="KU60" s="83"/>
      <c r="KV60" s="83"/>
      <c r="KW60" s="83"/>
      <c r="KX60" s="83"/>
      <c r="KY60" s="83"/>
      <c r="KZ60" s="83"/>
      <c r="LA60" s="83"/>
      <c r="LB60" s="83"/>
      <c r="LC60" s="83"/>
      <c r="LD60" s="83"/>
      <c r="LE60" s="83"/>
      <c r="LF60" s="83"/>
      <c r="LG60" s="83"/>
      <c r="LH60" s="83"/>
      <c r="LI60" s="83"/>
      <c r="LJ60" s="83"/>
      <c r="LK60" s="83"/>
      <c r="LL60" s="83"/>
      <c r="LM60" s="83"/>
      <c r="LN60" s="83"/>
      <c r="LO60" s="83"/>
      <c r="LP60" s="83"/>
      <c r="LQ60" s="83"/>
      <c r="LR60" s="83"/>
      <c r="LS60" s="83"/>
      <c r="LT60" s="83"/>
      <c r="LU60" s="83"/>
      <c r="LV60" s="83"/>
      <c r="LW60" s="83"/>
      <c r="LX60" s="83"/>
      <c r="LY60" s="83"/>
      <c r="LZ60" s="83"/>
      <c r="MA60" s="83"/>
      <c r="MB60" s="83"/>
      <c r="MC60" s="83"/>
      <c r="MD60" s="83"/>
      <c r="ME60" s="83"/>
      <c r="MF60" s="83"/>
      <c r="MG60" s="83"/>
      <c r="MH60" s="83"/>
      <c r="MI60" s="83"/>
      <c r="MJ60" s="83"/>
      <c r="MK60" s="83"/>
      <c r="ML60" s="83"/>
      <c r="MM60" s="83"/>
      <c r="MN60" s="83"/>
      <c r="MO60" s="83"/>
      <c r="MP60" s="83"/>
      <c r="MQ60" s="83"/>
      <c r="MR60" s="83"/>
      <c r="MS60" s="83"/>
      <c r="MT60" s="83"/>
      <c r="MU60" s="83"/>
      <c r="MV60" s="83"/>
      <c r="MW60" s="83"/>
      <c r="MX60" s="83"/>
      <c r="MY60" s="83"/>
      <c r="MZ60" s="83"/>
      <c r="NA60" s="83"/>
      <c r="NB60" s="83"/>
      <c r="NC60" s="83"/>
      <c r="ND60" s="83"/>
      <c r="NE60" s="83"/>
      <c r="NF60" s="83"/>
      <c r="NG60" s="83"/>
      <c r="NH60" s="83"/>
      <c r="NI60" s="83"/>
      <c r="NJ60" s="83"/>
      <c r="NK60" s="83"/>
      <c r="NL60" s="83"/>
      <c r="NM60" s="83"/>
      <c r="NN60" s="83"/>
      <c r="NO60" s="83"/>
      <c r="NP60" s="83"/>
      <c r="NQ60" s="83"/>
      <c r="NR60" s="83"/>
      <c r="NS60" s="83"/>
      <c r="NT60" s="83"/>
      <c r="NU60" s="83"/>
      <c r="NV60" s="83"/>
      <c r="NW60" s="83"/>
      <c r="NX60" s="83"/>
      <c r="NY60" s="83"/>
      <c r="NZ60" s="83"/>
      <c r="OA60" s="83"/>
      <c r="OB60" s="83"/>
      <c r="OC60" s="83"/>
      <c r="OD60" s="83"/>
      <c r="OE60" s="83"/>
      <c r="OF60" s="83"/>
      <c r="OG60" s="83"/>
      <c r="OH60" s="83"/>
      <c r="OI60" s="83"/>
      <c r="OJ60" s="83"/>
      <c r="OK60" s="83"/>
      <c r="OL60" s="83"/>
      <c r="OM60" s="83"/>
      <c r="ON60" s="83"/>
      <c r="OO60" s="83"/>
      <c r="OP60" s="83"/>
      <c r="OQ60" s="83"/>
      <c r="OR60" s="83"/>
      <c r="OS60" s="83"/>
      <c r="OT60" s="83"/>
      <c r="OU60" s="83"/>
      <c r="OV60" s="83"/>
      <c r="OW60" s="83"/>
      <c r="OX60" s="83"/>
      <c r="OY60" s="83"/>
      <c r="OZ60" s="83"/>
      <c r="PA60" s="83"/>
      <c r="PB60" s="83"/>
      <c r="PC60" s="83"/>
      <c r="PD60" s="83"/>
      <c r="PE60" s="83"/>
      <c r="PF60" s="83"/>
      <c r="PG60" s="83"/>
      <c r="PH60" s="83"/>
      <c r="PI60" s="83"/>
      <c r="PJ60" s="83"/>
      <c r="PK60" s="83"/>
      <c r="PL60" s="83"/>
      <c r="PM60" s="83"/>
      <c r="PN60" s="83"/>
      <c r="PO60" s="83"/>
      <c r="PP60" s="83"/>
      <c r="PQ60" s="83"/>
      <c r="PR60" s="83"/>
      <c r="PS60" s="83"/>
      <c r="PT60" s="83"/>
      <c r="PU60" s="83"/>
      <c r="PV60" s="83"/>
      <c r="PW60" s="83"/>
      <c r="PX60" s="83"/>
      <c r="PY60" s="83"/>
      <c r="PZ60" s="83"/>
      <c r="QA60" s="83"/>
      <c r="QB60" s="83"/>
      <c r="QC60" s="83"/>
      <c r="QD60" s="83"/>
      <c r="QE60" s="83"/>
      <c r="QF60" s="83"/>
      <c r="QG60" s="83"/>
      <c r="QH60" s="83"/>
      <c r="QI60" s="83"/>
      <c r="QJ60" s="83"/>
      <c r="QK60" s="83"/>
      <c r="QL60" s="83"/>
      <c r="QM60" s="83"/>
      <c r="QN60" s="83"/>
      <c r="QO60" s="83"/>
      <c r="QP60" s="83"/>
      <c r="QQ60" s="83"/>
      <c r="QR60" s="83"/>
      <c r="QS60" s="83"/>
      <c r="QT60" s="83"/>
      <c r="QU60" s="83"/>
      <c r="QV60" s="83"/>
      <c r="QW60" s="83"/>
      <c r="QX60" s="83"/>
      <c r="QY60" s="83"/>
      <c r="QZ60" s="83"/>
      <c r="RA60" s="83"/>
      <c r="RB60" s="83"/>
      <c r="RC60" s="83"/>
      <c r="RD60" s="83"/>
      <c r="RE60" s="83"/>
      <c r="RF60" s="83"/>
      <c r="RG60" s="83"/>
      <c r="RH60" s="83"/>
      <c r="RI60" s="83"/>
      <c r="RJ60" s="83"/>
      <c r="RK60" s="83"/>
      <c r="RL60" s="83"/>
      <c r="RM60" s="83"/>
      <c r="RN60" s="83"/>
      <c r="RO60" s="83"/>
      <c r="RP60" s="83"/>
      <c r="RQ60" s="83"/>
      <c r="RR60" s="83"/>
      <c r="RS60" s="83"/>
      <c r="RT60" s="83"/>
      <c r="RU60" s="83"/>
      <c r="RV60" s="83"/>
      <c r="RW60" s="83"/>
      <c r="RX60" s="83"/>
      <c r="RY60" s="83"/>
      <c r="RZ60" s="83"/>
      <c r="SA60" s="83"/>
      <c r="SB60" s="83"/>
      <c r="SC60" s="83"/>
      <c r="SD60" s="83"/>
      <c r="SE60" s="83"/>
      <c r="SF60" s="83"/>
      <c r="SG60" s="83"/>
      <c r="SH60" s="83"/>
      <c r="SI60" s="83"/>
      <c r="SJ60" s="83"/>
      <c r="SK60" s="83"/>
      <c r="SL60" s="83"/>
      <c r="SM60" s="83"/>
      <c r="SN60" s="83"/>
      <c r="SO60" s="83"/>
      <c r="SP60" s="83"/>
      <c r="SQ60" s="83"/>
      <c r="SR60" s="83"/>
      <c r="SS60" s="83"/>
      <c r="ST60" s="83"/>
      <c r="SU60" s="83"/>
      <c r="SV60" s="83"/>
      <c r="SW60" s="83"/>
      <c r="SX60" s="83"/>
      <c r="SY60" s="83"/>
      <c r="SZ60" s="83"/>
      <c r="TA60" s="83"/>
      <c r="TB60" s="83"/>
      <c r="TC60" s="83"/>
      <c r="TD60" s="83"/>
      <c r="TE60" s="83"/>
      <c r="TF60" s="83"/>
      <c r="TG60" s="83"/>
      <c r="TH60" s="83"/>
      <c r="TI60" s="83"/>
      <c r="TJ60" s="83"/>
      <c r="TK60" s="83"/>
      <c r="TL60" s="83"/>
      <c r="TM60" s="83"/>
      <c r="TN60" s="83"/>
      <c r="TO60" s="83"/>
      <c r="TP60" s="83"/>
      <c r="TQ60" s="83"/>
      <c r="TR60" s="83"/>
      <c r="TS60" s="83"/>
      <c r="TT60" s="83"/>
      <c r="TU60" s="83"/>
      <c r="TV60" s="83"/>
      <c r="TW60" s="83"/>
      <c r="TX60" s="83"/>
      <c r="TY60" s="83"/>
      <c r="TZ60" s="83"/>
      <c r="UA60" s="83"/>
      <c r="UB60" s="83"/>
      <c r="UC60" s="83"/>
      <c r="UD60" s="83"/>
      <c r="UE60" s="83"/>
      <c r="UF60" s="83"/>
      <c r="UG60" s="83"/>
      <c r="UH60" s="83"/>
      <c r="UI60" s="83"/>
      <c r="UJ60" s="83"/>
      <c r="UK60" s="83"/>
      <c r="UL60" s="83"/>
      <c r="UM60" s="83"/>
      <c r="UN60" s="83"/>
      <c r="UO60" s="83"/>
      <c r="UP60" s="83"/>
      <c r="UQ60" s="83"/>
      <c r="UR60" s="83"/>
      <c r="US60" s="83"/>
      <c r="UT60" s="83"/>
      <c r="UU60" s="83"/>
      <c r="UV60" s="83"/>
      <c r="UW60" s="83"/>
      <c r="UX60" s="83"/>
      <c r="UY60" s="83"/>
      <c r="UZ60" s="83"/>
      <c r="VA60" s="83"/>
      <c r="VB60" s="83"/>
      <c r="VC60" s="83"/>
      <c r="VD60" s="83"/>
      <c r="VE60" s="83"/>
      <c r="VF60" s="83"/>
      <c r="VG60" s="83"/>
      <c r="VH60" s="83"/>
      <c r="VI60" s="83"/>
      <c r="VJ60" s="83"/>
      <c r="VK60" s="83"/>
      <c r="VL60" s="83"/>
      <c r="VM60" s="83"/>
      <c r="VN60" s="83"/>
      <c r="VO60" s="83"/>
      <c r="VP60" s="83"/>
      <c r="VQ60" s="83"/>
      <c r="VR60" s="83"/>
      <c r="VS60" s="83"/>
      <c r="VT60" s="83"/>
      <c r="VU60" s="83"/>
      <c r="VV60" s="83"/>
      <c r="VW60" s="83"/>
      <c r="VX60" s="83"/>
      <c r="VY60" s="83"/>
      <c r="VZ60" s="83"/>
      <c r="WA60" s="83"/>
      <c r="WB60" s="83"/>
      <c r="WC60" s="83"/>
      <c r="WD60" s="83"/>
      <c r="WE60" s="83"/>
      <c r="WF60" s="83"/>
      <c r="WG60" s="83"/>
      <c r="WH60" s="83"/>
      <c r="WI60" s="83"/>
      <c r="WJ60" s="83"/>
      <c r="WK60" s="83"/>
      <c r="WL60" s="83"/>
      <c r="WM60" s="83"/>
      <c r="WN60" s="83"/>
      <c r="WO60" s="83"/>
      <c r="WP60" s="83"/>
      <c r="WQ60" s="83"/>
      <c r="WR60" s="83"/>
      <c r="WS60" s="83"/>
      <c r="WT60" s="83"/>
      <c r="WU60" s="83"/>
      <c r="WV60" s="83"/>
      <c r="WW60" s="83"/>
      <c r="WX60" s="83"/>
      <c r="WY60" s="83"/>
      <c r="WZ60" s="83"/>
      <c r="XA60" s="83"/>
      <c r="XB60" s="83"/>
      <c r="XC60" s="83"/>
      <c r="XD60" s="83"/>
      <c r="XE60" s="83"/>
      <c r="XF60" s="83"/>
      <c r="XG60" s="83"/>
      <c r="XH60" s="83"/>
      <c r="XI60" s="83"/>
      <c r="XJ60" s="83"/>
      <c r="XK60" s="83"/>
      <c r="XL60" s="83"/>
      <c r="XM60" s="83"/>
      <c r="XN60" s="83"/>
      <c r="XO60" s="83"/>
      <c r="XP60" s="83"/>
      <c r="XQ60" s="83"/>
      <c r="XR60" s="83"/>
      <c r="XS60" s="83"/>
      <c r="XT60" s="83"/>
      <c r="XU60" s="83"/>
      <c r="XV60" s="83"/>
      <c r="XW60" s="83"/>
      <c r="XX60" s="83"/>
      <c r="XY60" s="83"/>
      <c r="XZ60" s="83"/>
      <c r="YA60" s="83"/>
      <c r="YB60" s="83"/>
      <c r="YC60" s="83"/>
      <c r="YD60" s="83"/>
      <c r="YE60" s="83"/>
      <c r="YF60" s="83"/>
      <c r="YG60" s="83"/>
      <c r="YH60" s="83"/>
      <c r="YI60" s="83"/>
      <c r="YJ60" s="83"/>
      <c r="YK60" s="83"/>
      <c r="YL60" s="83"/>
      <c r="YM60" s="83"/>
      <c r="YN60" s="83"/>
      <c r="YO60" s="83"/>
      <c r="YP60" s="83"/>
      <c r="YQ60" s="83"/>
      <c r="YR60" s="83"/>
      <c r="YS60" s="83"/>
      <c r="YT60" s="83"/>
      <c r="YU60" s="83"/>
      <c r="YV60" s="83"/>
      <c r="YW60" s="83"/>
      <c r="YX60" s="83"/>
      <c r="YY60" s="83"/>
      <c r="YZ60" s="83"/>
      <c r="ZA60" s="83"/>
      <c r="ZB60" s="83"/>
      <c r="ZC60" s="83"/>
      <c r="ZD60" s="83"/>
      <c r="ZE60" s="83"/>
      <c r="ZF60" s="83"/>
      <c r="ZG60" s="83"/>
      <c r="ZH60" s="83"/>
      <c r="ZI60" s="83"/>
      <c r="ZJ60" s="83"/>
      <c r="ZK60" s="83"/>
      <c r="ZL60" s="83"/>
      <c r="ZM60" s="83"/>
      <c r="ZN60" s="83"/>
      <c r="ZO60" s="83"/>
      <c r="ZP60" s="83"/>
      <c r="ZQ60" s="83"/>
      <c r="ZR60" s="83"/>
      <c r="ZS60" s="83"/>
      <c r="ZT60" s="83"/>
      <c r="ZU60" s="83"/>
      <c r="ZV60" s="83"/>
      <c r="ZW60" s="83"/>
      <c r="ZX60" s="83"/>
      <c r="ZY60" s="83"/>
      <c r="ZZ60" s="83"/>
      <c r="AAA60" s="83"/>
      <c r="AAB60" s="83"/>
      <c r="AAC60" s="83"/>
      <c r="AAD60" s="83"/>
      <c r="AAE60" s="83"/>
      <c r="AAF60" s="83"/>
      <c r="AAG60" s="83"/>
      <c r="AAH60" s="83"/>
      <c r="AAI60" s="83"/>
      <c r="AAJ60" s="83"/>
      <c r="AAK60" s="83"/>
      <c r="AAL60" s="83"/>
      <c r="AAM60" s="83"/>
      <c r="AAN60" s="83"/>
      <c r="AAO60" s="83"/>
      <c r="AAP60" s="83"/>
      <c r="AAQ60" s="83"/>
      <c r="AAR60" s="83"/>
      <c r="AAS60" s="83"/>
      <c r="AAT60" s="83"/>
      <c r="AAU60" s="83"/>
      <c r="AAV60" s="83"/>
      <c r="AAW60" s="83"/>
      <c r="AAX60" s="83"/>
      <c r="AAY60" s="83"/>
      <c r="AAZ60" s="83"/>
      <c r="ABA60" s="83"/>
      <c r="ABB60" s="83"/>
      <c r="ABC60" s="83"/>
      <c r="ABD60" s="83"/>
      <c r="ABE60" s="83"/>
      <c r="ABF60" s="83"/>
      <c r="ABG60" s="83"/>
      <c r="ABH60" s="83"/>
      <c r="ABI60" s="83"/>
      <c r="ABJ60" s="83"/>
      <c r="ABK60" s="83"/>
      <c r="ABL60" s="83"/>
      <c r="ABM60" s="83"/>
      <c r="ABN60" s="83"/>
      <c r="ABO60" s="83"/>
      <c r="ABP60" s="83"/>
      <c r="ABQ60" s="83"/>
      <c r="ABR60" s="83"/>
      <c r="ABS60" s="83"/>
      <c r="ABT60" s="83"/>
      <c r="ABU60" s="83"/>
      <c r="ABV60" s="83"/>
      <c r="ABW60" s="83"/>
      <c r="ABX60" s="83"/>
      <c r="ABY60" s="83"/>
      <c r="ABZ60" s="83"/>
      <c r="ACA60" s="83"/>
      <c r="ACB60" s="83"/>
      <c r="ACC60" s="83"/>
      <c r="ACD60" s="83"/>
      <c r="ACE60" s="83"/>
      <c r="ACF60" s="83"/>
      <c r="ACG60" s="83"/>
      <c r="ACH60" s="83"/>
      <c r="ACI60" s="83"/>
      <c r="ACJ60" s="83"/>
      <c r="ACK60" s="83"/>
      <c r="ACL60" s="83"/>
      <c r="ACM60" s="83"/>
      <c r="ACN60" s="83"/>
      <c r="ACO60" s="83"/>
      <c r="ACP60" s="83"/>
      <c r="ACQ60" s="83"/>
      <c r="ACR60" s="83"/>
      <c r="ACS60" s="83"/>
      <c r="ACT60" s="83"/>
      <c r="ACU60" s="83"/>
      <c r="ACV60" s="83"/>
      <c r="ACW60" s="83"/>
      <c r="ACX60" s="83"/>
      <c r="ACY60" s="83"/>
      <c r="ACZ60" s="83"/>
      <c r="ADA60" s="83"/>
      <c r="ADB60" s="83"/>
      <c r="ADC60" s="83"/>
      <c r="ADD60" s="83"/>
      <c r="ADE60" s="83"/>
      <c r="ADF60" s="83"/>
      <c r="ADG60" s="83"/>
      <c r="ADH60" s="83"/>
      <c r="ADI60" s="83"/>
      <c r="ADJ60" s="83"/>
      <c r="ADK60" s="83"/>
      <c r="ADL60" s="83"/>
      <c r="ADM60" s="83"/>
      <c r="ADN60" s="83"/>
      <c r="ADO60" s="83"/>
      <c r="ADP60" s="83"/>
      <c r="ADQ60" s="83"/>
      <c r="ADR60" s="83"/>
      <c r="ADS60" s="83"/>
      <c r="ADT60" s="83"/>
      <c r="ADU60" s="83"/>
      <c r="ADV60" s="83"/>
      <c r="ADW60" s="83"/>
      <c r="ADX60" s="83"/>
      <c r="ADY60" s="83"/>
      <c r="ADZ60" s="83"/>
      <c r="AEA60" s="83"/>
      <c r="AEB60" s="83"/>
      <c r="AEC60" s="83"/>
      <c r="AED60" s="83"/>
      <c r="AEE60" s="83"/>
      <c r="AEF60" s="83"/>
      <c r="AEG60" s="83"/>
      <c r="AEH60" s="83"/>
      <c r="AEI60" s="83"/>
      <c r="AEJ60" s="83"/>
      <c r="AEK60" s="83"/>
      <c r="AEL60" s="83"/>
      <c r="AEM60" s="83"/>
      <c r="AEN60" s="83"/>
      <c r="AEO60" s="83"/>
      <c r="AEP60" s="83"/>
      <c r="AEQ60" s="83"/>
      <c r="AER60" s="83"/>
      <c r="AES60" s="83"/>
      <c r="AET60" s="83"/>
      <c r="AEU60" s="83"/>
      <c r="AEV60" s="83"/>
      <c r="AEW60" s="83"/>
      <c r="AEX60" s="83"/>
      <c r="AEY60" s="83"/>
      <c r="AEZ60" s="83"/>
      <c r="AFA60" s="83"/>
      <c r="AFB60" s="83"/>
      <c r="AFC60" s="83"/>
      <c r="AFD60" s="83"/>
      <c r="AFE60" s="83"/>
      <c r="AFF60" s="83"/>
      <c r="AFG60" s="83"/>
      <c r="AFH60" s="83"/>
      <c r="AFI60" s="83"/>
      <c r="AFJ60" s="83"/>
      <c r="AFK60" s="83"/>
      <c r="AFL60" s="83"/>
      <c r="AFM60" s="83"/>
      <c r="AFN60" s="83"/>
      <c r="AFO60" s="83"/>
      <c r="AFP60" s="83"/>
      <c r="AFQ60" s="83"/>
      <c r="AFR60" s="83"/>
      <c r="AFS60" s="83"/>
      <c r="AFT60" s="83"/>
      <c r="AFU60" s="83"/>
      <c r="AFV60" s="83"/>
      <c r="AFW60" s="83"/>
      <c r="AFX60" s="83"/>
      <c r="AFY60" s="83"/>
      <c r="AFZ60" s="83"/>
      <c r="AGA60" s="83"/>
      <c r="AGB60" s="83"/>
      <c r="AGC60" s="83"/>
      <c r="AGD60" s="83"/>
      <c r="AGE60" s="83"/>
      <c r="AGF60" s="83"/>
      <c r="AGG60" s="83"/>
      <c r="AGH60" s="83"/>
      <c r="AGI60" s="83"/>
      <c r="AGJ60" s="83"/>
      <c r="AGK60" s="83"/>
      <c r="AGL60" s="83"/>
      <c r="AGM60" s="83"/>
      <c r="AGN60" s="83"/>
      <c r="AGO60" s="83"/>
      <c r="AGP60" s="83"/>
      <c r="AGQ60" s="83"/>
      <c r="AGR60" s="83"/>
      <c r="AGS60" s="83"/>
      <c r="AGT60" s="83"/>
      <c r="AGU60" s="83"/>
      <c r="AGV60" s="83"/>
      <c r="AGW60" s="83"/>
      <c r="AGX60" s="83"/>
      <c r="AGY60" s="83"/>
      <c r="AGZ60" s="83"/>
      <c r="AHA60" s="83"/>
      <c r="AHB60" s="83"/>
      <c r="AHC60" s="83"/>
      <c r="AHD60" s="83"/>
      <c r="AHE60" s="83"/>
      <c r="AHF60" s="83"/>
      <c r="AHG60" s="83"/>
      <c r="AHH60" s="83"/>
      <c r="AHI60" s="83"/>
      <c r="AHJ60" s="83"/>
      <c r="AHK60" s="83"/>
      <c r="AHL60" s="83"/>
      <c r="AHM60" s="83"/>
      <c r="AHN60" s="83"/>
      <c r="AHO60" s="83"/>
      <c r="AHP60" s="83"/>
      <c r="AHQ60" s="83"/>
      <c r="AHR60" s="83"/>
      <c r="AHS60" s="83"/>
      <c r="AHT60" s="83"/>
      <c r="AHU60" s="83"/>
      <c r="AHV60" s="83"/>
      <c r="AHW60" s="83"/>
      <c r="AHX60" s="83"/>
      <c r="AHY60" s="83"/>
      <c r="AHZ60" s="83"/>
      <c r="AIA60" s="83"/>
      <c r="AIB60" s="83"/>
      <c r="AIC60" s="83"/>
      <c r="AID60" s="83"/>
      <c r="AIE60" s="83"/>
      <c r="AIF60" s="83"/>
      <c r="AIG60" s="83"/>
      <c r="AIH60" s="83"/>
      <c r="AII60" s="83"/>
      <c r="AIJ60" s="83"/>
      <c r="AIK60" s="83"/>
      <c r="AIL60" s="83"/>
      <c r="AIM60" s="83"/>
      <c r="AIN60" s="83"/>
      <c r="AIO60" s="83"/>
      <c r="AIP60" s="83"/>
      <c r="AIQ60" s="83"/>
      <c r="AIR60" s="83"/>
      <c r="AIS60" s="83"/>
      <c r="AIT60" s="83"/>
      <c r="AIU60" s="83"/>
      <c r="AIV60" s="83"/>
      <c r="AIW60" s="83"/>
      <c r="AIX60" s="83"/>
      <c r="AIY60" s="83"/>
      <c r="AIZ60" s="83"/>
      <c r="AJA60" s="83"/>
      <c r="AJB60" s="83"/>
      <c r="AJC60" s="83"/>
      <c r="AJD60" s="83"/>
      <c r="AJE60" s="83"/>
      <c r="AJF60" s="83"/>
      <c r="AJG60" s="83"/>
      <c r="AJH60" s="83"/>
      <c r="AJI60" s="83"/>
      <c r="AJJ60" s="83"/>
      <c r="AJK60" s="83"/>
      <c r="AJL60" s="83"/>
      <c r="AJM60" s="83"/>
      <c r="AJN60" s="83"/>
      <c r="AJO60" s="83"/>
      <c r="AJP60" s="83"/>
      <c r="AJQ60" s="83"/>
      <c r="AJR60" s="83"/>
      <c r="AJS60" s="83"/>
      <c r="AJT60" s="83"/>
      <c r="AJU60" s="83"/>
      <c r="AJV60" s="83"/>
      <c r="AJW60" s="83"/>
      <c r="AJX60" s="83"/>
      <c r="AJY60" s="83"/>
      <c r="AJZ60" s="83"/>
      <c r="AKA60" s="83"/>
      <c r="AKB60" s="83"/>
      <c r="AKC60" s="83"/>
      <c r="AKD60" s="83"/>
      <c r="AKE60" s="83"/>
      <c r="AKF60" s="83"/>
      <c r="AKG60" s="83"/>
      <c r="AKH60" s="83"/>
      <c r="AKI60" s="83"/>
      <c r="AKJ60" s="83"/>
      <c r="AKK60" s="83"/>
      <c r="AKL60" s="83"/>
      <c r="AKM60" s="83"/>
      <c r="AKN60" s="83"/>
      <c r="AKO60" s="83"/>
      <c r="AKP60" s="83"/>
      <c r="AKQ60" s="83"/>
      <c r="AKR60" s="83"/>
      <c r="AKS60" s="83"/>
      <c r="AKT60" s="83"/>
      <c r="AKU60" s="83"/>
      <c r="AKV60" s="83"/>
      <c r="AKW60" s="83"/>
      <c r="AKX60" s="83"/>
      <c r="AKY60" s="83"/>
      <c r="AKZ60" s="83"/>
      <c r="ALA60" s="83"/>
      <c r="ALB60" s="83"/>
      <c r="ALC60" s="83"/>
      <c r="ALD60" s="83"/>
      <c r="ALE60" s="83"/>
      <c r="ALF60" s="83"/>
      <c r="ALG60" s="83"/>
      <c r="ALH60" s="83"/>
      <c r="ALI60" s="83"/>
      <c r="ALJ60" s="83"/>
      <c r="ALK60" s="83"/>
      <c r="ALL60" s="83"/>
      <c r="ALM60" s="83"/>
      <c r="ALN60" s="83"/>
      <c r="ALO60" s="83"/>
      <c r="ALP60" s="83"/>
      <c r="ALQ60" s="83"/>
      <c r="ALR60" s="83"/>
      <c r="ALS60" s="83"/>
      <c r="ALT60" s="83"/>
      <c r="ALU60" s="83"/>
      <c r="ALV60" s="83"/>
      <c r="ALW60" s="83"/>
      <c r="ALX60" s="83"/>
      <c r="ALY60" s="83"/>
      <c r="ALZ60" s="83"/>
      <c r="AMA60" s="83"/>
      <c r="AMB60" s="83"/>
      <c r="AMC60" s="83"/>
      <c r="AMD60" s="83"/>
      <c r="AME60" s="83"/>
      <c r="AMF60" s="83"/>
      <c r="AMG60" s="83"/>
      <c r="AMH60" s="83"/>
      <c r="AMI60" s="83"/>
      <c r="AMJ60" s="83"/>
    </row>
    <row r="61" spans="12:1024" ht="15.95" customHeight="1" x14ac:dyDescent="0.2">
      <c r="L61" s="83"/>
      <c r="M61" s="84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3"/>
      <c r="IQ61" s="83"/>
      <c r="IR61" s="83"/>
      <c r="IS61" s="83"/>
      <c r="IT61" s="83"/>
      <c r="IU61" s="83"/>
      <c r="IV61" s="83"/>
      <c r="IW61" s="83"/>
      <c r="IX61" s="83"/>
      <c r="IY61" s="83"/>
      <c r="IZ61" s="83"/>
      <c r="JA61" s="83"/>
      <c r="JB61" s="83"/>
      <c r="JC61" s="83"/>
      <c r="JD61" s="83"/>
      <c r="JE61" s="83"/>
      <c r="JF61" s="83"/>
      <c r="JG61" s="83"/>
      <c r="JH61" s="83"/>
      <c r="JI61" s="83"/>
      <c r="JJ61" s="83"/>
      <c r="JK61" s="83"/>
      <c r="JL61" s="83"/>
      <c r="JM61" s="83"/>
      <c r="JN61" s="83"/>
      <c r="JO61" s="83"/>
      <c r="JP61" s="83"/>
      <c r="JQ61" s="83"/>
      <c r="JR61" s="83"/>
      <c r="JS61" s="83"/>
      <c r="JT61" s="83"/>
      <c r="JU61" s="83"/>
      <c r="JV61" s="83"/>
      <c r="JW61" s="83"/>
      <c r="JX61" s="83"/>
      <c r="JY61" s="83"/>
      <c r="JZ61" s="83"/>
      <c r="KA61" s="83"/>
      <c r="KB61" s="83"/>
      <c r="KC61" s="83"/>
      <c r="KD61" s="83"/>
      <c r="KE61" s="83"/>
      <c r="KF61" s="83"/>
      <c r="KG61" s="83"/>
      <c r="KH61" s="83"/>
      <c r="KI61" s="83"/>
      <c r="KJ61" s="83"/>
      <c r="KK61" s="83"/>
      <c r="KL61" s="83"/>
      <c r="KM61" s="83"/>
      <c r="KN61" s="83"/>
      <c r="KO61" s="83"/>
      <c r="KP61" s="83"/>
      <c r="KQ61" s="83"/>
      <c r="KR61" s="83"/>
      <c r="KS61" s="83"/>
      <c r="KT61" s="83"/>
      <c r="KU61" s="83"/>
      <c r="KV61" s="83"/>
      <c r="KW61" s="83"/>
      <c r="KX61" s="83"/>
      <c r="KY61" s="83"/>
      <c r="KZ61" s="83"/>
      <c r="LA61" s="83"/>
      <c r="LB61" s="83"/>
      <c r="LC61" s="83"/>
      <c r="LD61" s="83"/>
      <c r="LE61" s="83"/>
      <c r="LF61" s="83"/>
      <c r="LG61" s="83"/>
      <c r="LH61" s="83"/>
      <c r="LI61" s="83"/>
      <c r="LJ61" s="83"/>
      <c r="LK61" s="83"/>
      <c r="LL61" s="83"/>
      <c r="LM61" s="83"/>
      <c r="LN61" s="83"/>
      <c r="LO61" s="83"/>
      <c r="LP61" s="83"/>
      <c r="LQ61" s="83"/>
      <c r="LR61" s="83"/>
      <c r="LS61" s="83"/>
      <c r="LT61" s="83"/>
      <c r="LU61" s="83"/>
      <c r="LV61" s="83"/>
      <c r="LW61" s="83"/>
      <c r="LX61" s="83"/>
      <c r="LY61" s="83"/>
      <c r="LZ61" s="83"/>
      <c r="MA61" s="83"/>
      <c r="MB61" s="83"/>
      <c r="MC61" s="83"/>
      <c r="MD61" s="83"/>
      <c r="ME61" s="83"/>
      <c r="MF61" s="83"/>
      <c r="MG61" s="83"/>
      <c r="MH61" s="83"/>
      <c r="MI61" s="83"/>
      <c r="MJ61" s="83"/>
      <c r="MK61" s="83"/>
      <c r="ML61" s="83"/>
      <c r="MM61" s="83"/>
      <c r="MN61" s="83"/>
      <c r="MO61" s="83"/>
      <c r="MP61" s="83"/>
      <c r="MQ61" s="83"/>
      <c r="MR61" s="83"/>
      <c r="MS61" s="83"/>
      <c r="MT61" s="83"/>
      <c r="MU61" s="83"/>
      <c r="MV61" s="83"/>
      <c r="MW61" s="83"/>
      <c r="MX61" s="83"/>
      <c r="MY61" s="83"/>
      <c r="MZ61" s="83"/>
      <c r="NA61" s="83"/>
      <c r="NB61" s="83"/>
      <c r="NC61" s="83"/>
      <c r="ND61" s="83"/>
      <c r="NE61" s="83"/>
      <c r="NF61" s="83"/>
      <c r="NG61" s="83"/>
      <c r="NH61" s="83"/>
      <c r="NI61" s="83"/>
      <c r="NJ61" s="83"/>
      <c r="NK61" s="83"/>
      <c r="NL61" s="83"/>
      <c r="NM61" s="83"/>
      <c r="NN61" s="83"/>
      <c r="NO61" s="83"/>
      <c r="NP61" s="83"/>
      <c r="NQ61" s="83"/>
      <c r="NR61" s="83"/>
      <c r="NS61" s="83"/>
      <c r="NT61" s="83"/>
      <c r="NU61" s="83"/>
      <c r="NV61" s="83"/>
      <c r="NW61" s="83"/>
      <c r="NX61" s="83"/>
      <c r="NY61" s="83"/>
      <c r="NZ61" s="83"/>
      <c r="OA61" s="83"/>
      <c r="OB61" s="83"/>
      <c r="OC61" s="83"/>
      <c r="OD61" s="83"/>
      <c r="OE61" s="83"/>
      <c r="OF61" s="83"/>
      <c r="OG61" s="83"/>
      <c r="OH61" s="83"/>
      <c r="OI61" s="83"/>
      <c r="OJ61" s="83"/>
      <c r="OK61" s="83"/>
      <c r="OL61" s="83"/>
      <c r="OM61" s="83"/>
      <c r="ON61" s="83"/>
      <c r="OO61" s="83"/>
      <c r="OP61" s="83"/>
      <c r="OQ61" s="83"/>
      <c r="OR61" s="83"/>
      <c r="OS61" s="83"/>
      <c r="OT61" s="83"/>
      <c r="OU61" s="83"/>
      <c r="OV61" s="83"/>
      <c r="OW61" s="83"/>
      <c r="OX61" s="83"/>
      <c r="OY61" s="83"/>
      <c r="OZ61" s="83"/>
      <c r="PA61" s="83"/>
      <c r="PB61" s="83"/>
      <c r="PC61" s="83"/>
      <c r="PD61" s="83"/>
      <c r="PE61" s="83"/>
      <c r="PF61" s="83"/>
      <c r="PG61" s="83"/>
      <c r="PH61" s="83"/>
      <c r="PI61" s="83"/>
      <c r="PJ61" s="83"/>
      <c r="PK61" s="83"/>
      <c r="PL61" s="83"/>
      <c r="PM61" s="83"/>
      <c r="PN61" s="83"/>
      <c r="PO61" s="83"/>
      <c r="PP61" s="83"/>
      <c r="PQ61" s="83"/>
      <c r="PR61" s="83"/>
      <c r="PS61" s="83"/>
      <c r="PT61" s="83"/>
      <c r="PU61" s="83"/>
      <c r="PV61" s="83"/>
      <c r="PW61" s="83"/>
      <c r="PX61" s="83"/>
      <c r="PY61" s="83"/>
      <c r="PZ61" s="83"/>
      <c r="QA61" s="83"/>
      <c r="QB61" s="83"/>
      <c r="QC61" s="83"/>
      <c r="QD61" s="83"/>
      <c r="QE61" s="83"/>
      <c r="QF61" s="83"/>
      <c r="QG61" s="83"/>
      <c r="QH61" s="83"/>
      <c r="QI61" s="83"/>
      <c r="QJ61" s="83"/>
      <c r="QK61" s="83"/>
      <c r="QL61" s="83"/>
      <c r="QM61" s="83"/>
      <c r="QN61" s="83"/>
      <c r="QO61" s="83"/>
      <c r="QP61" s="83"/>
      <c r="QQ61" s="83"/>
      <c r="QR61" s="83"/>
      <c r="QS61" s="83"/>
      <c r="QT61" s="83"/>
      <c r="QU61" s="83"/>
      <c r="QV61" s="83"/>
      <c r="QW61" s="83"/>
      <c r="QX61" s="83"/>
      <c r="QY61" s="83"/>
      <c r="QZ61" s="83"/>
      <c r="RA61" s="83"/>
      <c r="RB61" s="83"/>
      <c r="RC61" s="83"/>
      <c r="RD61" s="83"/>
      <c r="RE61" s="83"/>
      <c r="RF61" s="83"/>
      <c r="RG61" s="83"/>
      <c r="RH61" s="83"/>
      <c r="RI61" s="83"/>
      <c r="RJ61" s="83"/>
      <c r="RK61" s="83"/>
      <c r="RL61" s="83"/>
      <c r="RM61" s="83"/>
      <c r="RN61" s="83"/>
      <c r="RO61" s="83"/>
      <c r="RP61" s="83"/>
      <c r="RQ61" s="83"/>
      <c r="RR61" s="83"/>
      <c r="RS61" s="83"/>
      <c r="RT61" s="83"/>
      <c r="RU61" s="83"/>
      <c r="RV61" s="83"/>
      <c r="RW61" s="83"/>
      <c r="RX61" s="83"/>
      <c r="RY61" s="83"/>
      <c r="RZ61" s="83"/>
      <c r="SA61" s="83"/>
      <c r="SB61" s="83"/>
      <c r="SC61" s="83"/>
      <c r="SD61" s="83"/>
      <c r="SE61" s="83"/>
      <c r="SF61" s="83"/>
      <c r="SG61" s="83"/>
      <c r="SH61" s="83"/>
      <c r="SI61" s="83"/>
      <c r="SJ61" s="83"/>
      <c r="SK61" s="83"/>
      <c r="SL61" s="83"/>
      <c r="SM61" s="83"/>
      <c r="SN61" s="83"/>
      <c r="SO61" s="83"/>
      <c r="SP61" s="83"/>
      <c r="SQ61" s="83"/>
      <c r="SR61" s="83"/>
      <c r="SS61" s="83"/>
      <c r="ST61" s="83"/>
      <c r="SU61" s="83"/>
      <c r="SV61" s="83"/>
      <c r="SW61" s="83"/>
      <c r="SX61" s="83"/>
      <c r="SY61" s="83"/>
      <c r="SZ61" s="83"/>
      <c r="TA61" s="83"/>
      <c r="TB61" s="83"/>
      <c r="TC61" s="83"/>
      <c r="TD61" s="83"/>
      <c r="TE61" s="83"/>
      <c r="TF61" s="83"/>
      <c r="TG61" s="83"/>
      <c r="TH61" s="83"/>
      <c r="TI61" s="83"/>
      <c r="TJ61" s="83"/>
      <c r="TK61" s="83"/>
      <c r="TL61" s="83"/>
      <c r="TM61" s="83"/>
      <c r="TN61" s="83"/>
      <c r="TO61" s="83"/>
      <c r="TP61" s="83"/>
      <c r="TQ61" s="83"/>
      <c r="TR61" s="83"/>
      <c r="TS61" s="83"/>
      <c r="TT61" s="83"/>
      <c r="TU61" s="83"/>
      <c r="TV61" s="83"/>
      <c r="TW61" s="83"/>
      <c r="TX61" s="83"/>
      <c r="TY61" s="83"/>
      <c r="TZ61" s="83"/>
      <c r="UA61" s="83"/>
      <c r="UB61" s="83"/>
      <c r="UC61" s="83"/>
      <c r="UD61" s="83"/>
      <c r="UE61" s="83"/>
      <c r="UF61" s="83"/>
      <c r="UG61" s="83"/>
      <c r="UH61" s="83"/>
      <c r="UI61" s="83"/>
      <c r="UJ61" s="83"/>
      <c r="UK61" s="83"/>
      <c r="UL61" s="83"/>
      <c r="UM61" s="83"/>
      <c r="UN61" s="83"/>
      <c r="UO61" s="83"/>
      <c r="UP61" s="83"/>
      <c r="UQ61" s="83"/>
      <c r="UR61" s="83"/>
      <c r="US61" s="83"/>
      <c r="UT61" s="83"/>
      <c r="UU61" s="83"/>
      <c r="UV61" s="83"/>
      <c r="UW61" s="83"/>
      <c r="UX61" s="83"/>
      <c r="UY61" s="83"/>
      <c r="UZ61" s="83"/>
      <c r="VA61" s="83"/>
      <c r="VB61" s="83"/>
      <c r="VC61" s="83"/>
      <c r="VD61" s="83"/>
      <c r="VE61" s="83"/>
      <c r="VF61" s="83"/>
      <c r="VG61" s="83"/>
      <c r="VH61" s="83"/>
      <c r="VI61" s="83"/>
      <c r="VJ61" s="83"/>
      <c r="VK61" s="83"/>
      <c r="VL61" s="83"/>
      <c r="VM61" s="83"/>
      <c r="VN61" s="83"/>
      <c r="VO61" s="83"/>
      <c r="VP61" s="83"/>
      <c r="VQ61" s="83"/>
      <c r="VR61" s="83"/>
      <c r="VS61" s="83"/>
      <c r="VT61" s="83"/>
      <c r="VU61" s="83"/>
      <c r="VV61" s="83"/>
      <c r="VW61" s="83"/>
      <c r="VX61" s="83"/>
      <c r="VY61" s="83"/>
      <c r="VZ61" s="83"/>
      <c r="WA61" s="83"/>
      <c r="WB61" s="83"/>
      <c r="WC61" s="83"/>
      <c r="WD61" s="83"/>
      <c r="WE61" s="83"/>
      <c r="WF61" s="83"/>
      <c r="WG61" s="83"/>
      <c r="WH61" s="83"/>
      <c r="WI61" s="83"/>
      <c r="WJ61" s="83"/>
      <c r="WK61" s="83"/>
      <c r="WL61" s="83"/>
      <c r="WM61" s="83"/>
      <c r="WN61" s="83"/>
      <c r="WO61" s="83"/>
      <c r="WP61" s="83"/>
      <c r="WQ61" s="83"/>
      <c r="WR61" s="83"/>
      <c r="WS61" s="83"/>
      <c r="WT61" s="83"/>
      <c r="WU61" s="83"/>
      <c r="WV61" s="83"/>
      <c r="WW61" s="83"/>
      <c r="WX61" s="83"/>
      <c r="WY61" s="83"/>
      <c r="WZ61" s="83"/>
      <c r="XA61" s="83"/>
      <c r="XB61" s="83"/>
      <c r="XC61" s="83"/>
      <c r="XD61" s="83"/>
      <c r="XE61" s="83"/>
      <c r="XF61" s="83"/>
      <c r="XG61" s="83"/>
      <c r="XH61" s="83"/>
      <c r="XI61" s="83"/>
      <c r="XJ61" s="83"/>
      <c r="XK61" s="83"/>
      <c r="XL61" s="83"/>
      <c r="XM61" s="83"/>
      <c r="XN61" s="83"/>
      <c r="XO61" s="83"/>
      <c r="XP61" s="83"/>
      <c r="XQ61" s="83"/>
      <c r="XR61" s="83"/>
      <c r="XS61" s="83"/>
      <c r="XT61" s="83"/>
      <c r="XU61" s="83"/>
      <c r="XV61" s="83"/>
      <c r="XW61" s="83"/>
      <c r="XX61" s="83"/>
      <c r="XY61" s="83"/>
      <c r="XZ61" s="83"/>
      <c r="YA61" s="83"/>
      <c r="YB61" s="83"/>
      <c r="YC61" s="83"/>
      <c r="YD61" s="83"/>
      <c r="YE61" s="83"/>
      <c r="YF61" s="83"/>
      <c r="YG61" s="83"/>
      <c r="YH61" s="83"/>
      <c r="YI61" s="83"/>
      <c r="YJ61" s="83"/>
      <c r="YK61" s="83"/>
      <c r="YL61" s="83"/>
      <c r="YM61" s="83"/>
      <c r="YN61" s="83"/>
      <c r="YO61" s="83"/>
      <c r="YP61" s="83"/>
      <c r="YQ61" s="83"/>
      <c r="YR61" s="83"/>
      <c r="YS61" s="83"/>
      <c r="YT61" s="83"/>
      <c r="YU61" s="83"/>
      <c r="YV61" s="83"/>
      <c r="YW61" s="83"/>
      <c r="YX61" s="83"/>
      <c r="YY61" s="83"/>
      <c r="YZ61" s="83"/>
      <c r="ZA61" s="83"/>
      <c r="ZB61" s="83"/>
      <c r="ZC61" s="83"/>
      <c r="ZD61" s="83"/>
      <c r="ZE61" s="83"/>
      <c r="ZF61" s="83"/>
      <c r="ZG61" s="83"/>
      <c r="ZH61" s="83"/>
      <c r="ZI61" s="83"/>
      <c r="ZJ61" s="83"/>
      <c r="ZK61" s="83"/>
      <c r="ZL61" s="83"/>
      <c r="ZM61" s="83"/>
      <c r="ZN61" s="83"/>
      <c r="ZO61" s="83"/>
      <c r="ZP61" s="83"/>
      <c r="ZQ61" s="83"/>
      <c r="ZR61" s="83"/>
      <c r="ZS61" s="83"/>
      <c r="ZT61" s="83"/>
      <c r="ZU61" s="83"/>
      <c r="ZV61" s="83"/>
      <c r="ZW61" s="83"/>
      <c r="ZX61" s="83"/>
      <c r="ZY61" s="83"/>
      <c r="ZZ61" s="83"/>
      <c r="AAA61" s="83"/>
      <c r="AAB61" s="83"/>
      <c r="AAC61" s="83"/>
      <c r="AAD61" s="83"/>
      <c r="AAE61" s="83"/>
      <c r="AAF61" s="83"/>
      <c r="AAG61" s="83"/>
      <c r="AAH61" s="83"/>
      <c r="AAI61" s="83"/>
      <c r="AAJ61" s="83"/>
      <c r="AAK61" s="83"/>
      <c r="AAL61" s="83"/>
      <c r="AAM61" s="83"/>
      <c r="AAN61" s="83"/>
      <c r="AAO61" s="83"/>
      <c r="AAP61" s="83"/>
      <c r="AAQ61" s="83"/>
      <c r="AAR61" s="83"/>
      <c r="AAS61" s="83"/>
      <c r="AAT61" s="83"/>
      <c r="AAU61" s="83"/>
      <c r="AAV61" s="83"/>
      <c r="AAW61" s="83"/>
      <c r="AAX61" s="83"/>
      <c r="AAY61" s="83"/>
      <c r="AAZ61" s="83"/>
      <c r="ABA61" s="83"/>
      <c r="ABB61" s="83"/>
      <c r="ABC61" s="83"/>
      <c r="ABD61" s="83"/>
      <c r="ABE61" s="83"/>
      <c r="ABF61" s="83"/>
      <c r="ABG61" s="83"/>
      <c r="ABH61" s="83"/>
      <c r="ABI61" s="83"/>
      <c r="ABJ61" s="83"/>
      <c r="ABK61" s="83"/>
      <c r="ABL61" s="83"/>
      <c r="ABM61" s="83"/>
      <c r="ABN61" s="83"/>
      <c r="ABO61" s="83"/>
      <c r="ABP61" s="83"/>
      <c r="ABQ61" s="83"/>
      <c r="ABR61" s="83"/>
      <c r="ABS61" s="83"/>
      <c r="ABT61" s="83"/>
      <c r="ABU61" s="83"/>
      <c r="ABV61" s="83"/>
      <c r="ABW61" s="83"/>
      <c r="ABX61" s="83"/>
      <c r="ABY61" s="83"/>
      <c r="ABZ61" s="83"/>
      <c r="ACA61" s="83"/>
      <c r="ACB61" s="83"/>
      <c r="ACC61" s="83"/>
      <c r="ACD61" s="83"/>
      <c r="ACE61" s="83"/>
      <c r="ACF61" s="83"/>
      <c r="ACG61" s="83"/>
      <c r="ACH61" s="83"/>
      <c r="ACI61" s="83"/>
      <c r="ACJ61" s="83"/>
      <c r="ACK61" s="83"/>
      <c r="ACL61" s="83"/>
      <c r="ACM61" s="83"/>
      <c r="ACN61" s="83"/>
      <c r="ACO61" s="83"/>
      <c r="ACP61" s="83"/>
      <c r="ACQ61" s="83"/>
      <c r="ACR61" s="83"/>
      <c r="ACS61" s="83"/>
      <c r="ACT61" s="83"/>
      <c r="ACU61" s="83"/>
      <c r="ACV61" s="83"/>
      <c r="ACW61" s="83"/>
      <c r="ACX61" s="83"/>
      <c r="ACY61" s="83"/>
      <c r="ACZ61" s="83"/>
      <c r="ADA61" s="83"/>
      <c r="ADB61" s="83"/>
      <c r="ADC61" s="83"/>
      <c r="ADD61" s="83"/>
      <c r="ADE61" s="83"/>
      <c r="ADF61" s="83"/>
      <c r="ADG61" s="83"/>
      <c r="ADH61" s="83"/>
      <c r="ADI61" s="83"/>
      <c r="ADJ61" s="83"/>
      <c r="ADK61" s="83"/>
      <c r="ADL61" s="83"/>
      <c r="ADM61" s="83"/>
      <c r="ADN61" s="83"/>
      <c r="ADO61" s="83"/>
      <c r="ADP61" s="83"/>
      <c r="ADQ61" s="83"/>
      <c r="ADR61" s="83"/>
      <c r="ADS61" s="83"/>
      <c r="ADT61" s="83"/>
      <c r="ADU61" s="83"/>
      <c r="ADV61" s="83"/>
      <c r="ADW61" s="83"/>
      <c r="ADX61" s="83"/>
      <c r="ADY61" s="83"/>
      <c r="ADZ61" s="83"/>
      <c r="AEA61" s="83"/>
      <c r="AEB61" s="83"/>
      <c r="AEC61" s="83"/>
      <c r="AED61" s="83"/>
      <c r="AEE61" s="83"/>
      <c r="AEF61" s="83"/>
      <c r="AEG61" s="83"/>
      <c r="AEH61" s="83"/>
      <c r="AEI61" s="83"/>
      <c r="AEJ61" s="83"/>
      <c r="AEK61" s="83"/>
      <c r="AEL61" s="83"/>
      <c r="AEM61" s="83"/>
      <c r="AEN61" s="83"/>
      <c r="AEO61" s="83"/>
      <c r="AEP61" s="83"/>
      <c r="AEQ61" s="83"/>
      <c r="AER61" s="83"/>
      <c r="AES61" s="83"/>
      <c r="AET61" s="83"/>
      <c r="AEU61" s="83"/>
      <c r="AEV61" s="83"/>
      <c r="AEW61" s="83"/>
      <c r="AEX61" s="83"/>
      <c r="AEY61" s="83"/>
      <c r="AEZ61" s="83"/>
      <c r="AFA61" s="83"/>
      <c r="AFB61" s="83"/>
      <c r="AFC61" s="83"/>
      <c r="AFD61" s="83"/>
      <c r="AFE61" s="83"/>
      <c r="AFF61" s="83"/>
      <c r="AFG61" s="83"/>
      <c r="AFH61" s="83"/>
      <c r="AFI61" s="83"/>
      <c r="AFJ61" s="83"/>
      <c r="AFK61" s="83"/>
      <c r="AFL61" s="83"/>
      <c r="AFM61" s="83"/>
      <c r="AFN61" s="83"/>
      <c r="AFO61" s="83"/>
      <c r="AFP61" s="83"/>
      <c r="AFQ61" s="83"/>
      <c r="AFR61" s="83"/>
      <c r="AFS61" s="83"/>
      <c r="AFT61" s="83"/>
      <c r="AFU61" s="83"/>
      <c r="AFV61" s="83"/>
      <c r="AFW61" s="83"/>
      <c r="AFX61" s="83"/>
      <c r="AFY61" s="83"/>
      <c r="AFZ61" s="83"/>
      <c r="AGA61" s="83"/>
      <c r="AGB61" s="83"/>
      <c r="AGC61" s="83"/>
      <c r="AGD61" s="83"/>
      <c r="AGE61" s="83"/>
      <c r="AGF61" s="83"/>
      <c r="AGG61" s="83"/>
      <c r="AGH61" s="83"/>
      <c r="AGI61" s="83"/>
      <c r="AGJ61" s="83"/>
      <c r="AGK61" s="83"/>
      <c r="AGL61" s="83"/>
      <c r="AGM61" s="83"/>
      <c r="AGN61" s="83"/>
      <c r="AGO61" s="83"/>
      <c r="AGP61" s="83"/>
      <c r="AGQ61" s="83"/>
      <c r="AGR61" s="83"/>
      <c r="AGS61" s="83"/>
      <c r="AGT61" s="83"/>
      <c r="AGU61" s="83"/>
      <c r="AGV61" s="83"/>
      <c r="AGW61" s="83"/>
      <c r="AGX61" s="83"/>
      <c r="AGY61" s="83"/>
      <c r="AGZ61" s="83"/>
      <c r="AHA61" s="83"/>
      <c r="AHB61" s="83"/>
      <c r="AHC61" s="83"/>
      <c r="AHD61" s="83"/>
      <c r="AHE61" s="83"/>
      <c r="AHF61" s="83"/>
      <c r="AHG61" s="83"/>
      <c r="AHH61" s="83"/>
      <c r="AHI61" s="83"/>
      <c r="AHJ61" s="83"/>
      <c r="AHK61" s="83"/>
      <c r="AHL61" s="83"/>
      <c r="AHM61" s="83"/>
      <c r="AHN61" s="83"/>
      <c r="AHO61" s="83"/>
      <c r="AHP61" s="83"/>
      <c r="AHQ61" s="83"/>
      <c r="AHR61" s="83"/>
      <c r="AHS61" s="83"/>
      <c r="AHT61" s="83"/>
      <c r="AHU61" s="83"/>
      <c r="AHV61" s="83"/>
      <c r="AHW61" s="83"/>
      <c r="AHX61" s="83"/>
      <c r="AHY61" s="83"/>
      <c r="AHZ61" s="83"/>
      <c r="AIA61" s="83"/>
      <c r="AIB61" s="83"/>
      <c r="AIC61" s="83"/>
      <c r="AID61" s="83"/>
      <c r="AIE61" s="83"/>
      <c r="AIF61" s="83"/>
      <c r="AIG61" s="83"/>
      <c r="AIH61" s="83"/>
      <c r="AII61" s="83"/>
      <c r="AIJ61" s="83"/>
      <c r="AIK61" s="83"/>
      <c r="AIL61" s="83"/>
      <c r="AIM61" s="83"/>
      <c r="AIN61" s="83"/>
      <c r="AIO61" s="83"/>
      <c r="AIP61" s="83"/>
      <c r="AIQ61" s="83"/>
      <c r="AIR61" s="83"/>
      <c r="AIS61" s="83"/>
      <c r="AIT61" s="83"/>
      <c r="AIU61" s="83"/>
      <c r="AIV61" s="83"/>
      <c r="AIW61" s="83"/>
      <c r="AIX61" s="83"/>
      <c r="AIY61" s="83"/>
      <c r="AIZ61" s="83"/>
      <c r="AJA61" s="83"/>
      <c r="AJB61" s="83"/>
      <c r="AJC61" s="83"/>
      <c r="AJD61" s="83"/>
      <c r="AJE61" s="83"/>
      <c r="AJF61" s="83"/>
      <c r="AJG61" s="83"/>
      <c r="AJH61" s="83"/>
      <c r="AJI61" s="83"/>
      <c r="AJJ61" s="83"/>
      <c r="AJK61" s="83"/>
      <c r="AJL61" s="83"/>
      <c r="AJM61" s="83"/>
      <c r="AJN61" s="83"/>
      <c r="AJO61" s="83"/>
      <c r="AJP61" s="83"/>
      <c r="AJQ61" s="83"/>
      <c r="AJR61" s="83"/>
      <c r="AJS61" s="83"/>
      <c r="AJT61" s="83"/>
      <c r="AJU61" s="83"/>
      <c r="AJV61" s="83"/>
      <c r="AJW61" s="83"/>
      <c r="AJX61" s="83"/>
      <c r="AJY61" s="83"/>
      <c r="AJZ61" s="83"/>
      <c r="AKA61" s="83"/>
      <c r="AKB61" s="83"/>
      <c r="AKC61" s="83"/>
      <c r="AKD61" s="83"/>
      <c r="AKE61" s="83"/>
      <c r="AKF61" s="83"/>
      <c r="AKG61" s="83"/>
      <c r="AKH61" s="83"/>
      <c r="AKI61" s="83"/>
      <c r="AKJ61" s="83"/>
      <c r="AKK61" s="83"/>
      <c r="AKL61" s="83"/>
      <c r="AKM61" s="83"/>
      <c r="AKN61" s="83"/>
      <c r="AKO61" s="83"/>
      <c r="AKP61" s="83"/>
      <c r="AKQ61" s="83"/>
      <c r="AKR61" s="83"/>
      <c r="AKS61" s="83"/>
      <c r="AKT61" s="83"/>
      <c r="AKU61" s="83"/>
      <c r="AKV61" s="83"/>
      <c r="AKW61" s="83"/>
      <c r="AKX61" s="83"/>
      <c r="AKY61" s="83"/>
      <c r="AKZ61" s="83"/>
      <c r="ALA61" s="83"/>
      <c r="ALB61" s="83"/>
      <c r="ALC61" s="83"/>
      <c r="ALD61" s="83"/>
      <c r="ALE61" s="83"/>
      <c r="ALF61" s="83"/>
      <c r="ALG61" s="83"/>
      <c r="ALH61" s="83"/>
      <c r="ALI61" s="83"/>
      <c r="ALJ61" s="83"/>
      <c r="ALK61" s="83"/>
      <c r="ALL61" s="83"/>
      <c r="ALM61" s="83"/>
      <c r="ALN61" s="83"/>
      <c r="ALO61" s="83"/>
      <c r="ALP61" s="83"/>
      <c r="ALQ61" s="83"/>
      <c r="ALR61" s="83"/>
      <c r="ALS61" s="83"/>
      <c r="ALT61" s="83"/>
      <c r="ALU61" s="83"/>
      <c r="ALV61" s="83"/>
      <c r="ALW61" s="83"/>
      <c r="ALX61" s="83"/>
      <c r="ALY61" s="83"/>
      <c r="ALZ61" s="83"/>
      <c r="AMA61" s="83"/>
      <c r="AMB61" s="83"/>
      <c r="AMC61" s="83"/>
      <c r="AMD61" s="83"/>
      <c r="AME61" s="83"/>
      <c r="AMF61" s="83"/>
      <c r="AMG61" s="83"/>
      <c r="AMH61" s="83"/>
      <c r="AMI61" s="83"/>
      <c r="AMJ61" s="83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20.2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9:I19"/>
    <mergeCell ref="J19:K19"/>
    <mergeCell ref="A20:I20"/>
    <mergeCell ref="J20:K20"/>
    <mergeCell ref="K10:K11"/>
    <mergeCell ref="C12:G12"/>
    <mergeCell ref="C13:G13"/>
    <mergeCell ref="C18:G18"/>
    <mergeCell ref="A10:A11"/>
    <mergeCell ref="B10:B11"/>
    <mergeCell ref="C10:G11"/>
    <mergeCell ref="H10:H11"/>
    <mergeCell ref="I10:I11"/>
    <mergeCell ref="J10:J11"/>
    <mergeCell ref="C14:G14"/>
    <mergeCell ref="C15:G15"/>
  </mergeCells>
  <conditionalFormatting sqref="C15">
    <cfRule type="duplicateValues" dxfId="26" priority="1"/>
    <cfRule type="duplicateValues" dxfId="25" priority="2"/>
  </conditionalFormatting>
  <conditionalFormatting sqref="C15">
    <cfRule type="duplicateValues" dxfId="24" priority="3"/>
  </conditionalFormatting>
  <conditionalFormatting sqref="C15">
    <cfRule type="duplicateValues" dxfId="23" priority="4"/>
  </conditionalFormatting>
  <conditionalFormatting sqref="C15">
    <cfRule type="duplicateValues" dxfId="22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10" workbookViewId="0">
      <selection activeCell="A23" sqref="A23:P23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4" t="s">
        <v>2</v>
      </c>
      <c r="B1" s="294"/>
      <c r="C1" s="294"/>
      <c r="D1" s="295">
        <v>2021</v>
      </c>
      <c r="E1" s="295"/>
      <c r="F1" s="129"/>
      <c r="G1" s="129"/>
      <c r="H1" s="130"/>
      <c r="I1" s="130"/>
      <c r="J1" s="130"/>
      <c r="K1" s="130"/>
      <c r="L1" s="130"/>
      <c r="M1" s="130"/>
      <c r="N1" s="130"/>
      <c r="P1" s="296" t="s">
        <v>116</v>
      </c>
      <c r="Q1" s="296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6"/>
      <c r="Q2" s="296"/>
    </row>
    <row r="4" spans="1:17" s="132" customFormat="1" ht="18" customHeight="1" thickBot="1" x14ac:dyDescent="0.25">
      <c r="A4" s="297" t="s">
        <v>117</v>
      </c>
      <c r="B4" s="297"/>
      <c r="C4" s="297"/>
      <c r="D4" s="297"/>
      <c r="E4" s="297"/>
      <c r="F4" s="297"/>
      <c r="G4" s="284" t="s">
        <v>101</v>
      </c>
      <c r="H4" s="284"/>
      <c r="I4" s="284"/>
      <c r="J4" s="284"/>
      <c r="K4" s="284"/>
      <c r="L4" s="284"/>
      <c r="M4" s="284"/>
      <c r="N4" s="284"/>
      <c r="O4" s="284"/>
      <c r="P4" s="284"/>
      <c r="Q4" s="284"/>
    </row>
    <row r="5" spans="1:17" s="132" customFormat="1" ht="18" customHeight="1" thickBot="1" x14ac:dyDescent="0.25">
      <c r="A5" s="281" t="s">
        <v>102</v>
      </c>
      <c r="B5" s="282"/>
      <c r="C5" s="282"/>
      <c r="D5" s="282"/>
      <c r="E5" s="282"/>
      <c r="F5" s="283"/>
      <c r="G5" s="284" t="s">
        <v>118</v>
      </c>
      <c r="H5" s="284"/>
      <c r="I5" s="284"/>
      <c r="J5" s="284"/>
      <c r="K5" s="284"/>
      <c r="L5" s="284"/>
      <c r="M5" s="284"/>
      <c r="N5" s="284"/>
      <c r="O5" s="284"/>
      <c r="P5" s="284"/>
      <c r="Q5" s="284"/>
    </row>
    <row r="6" spans="1:17" s="132" customFormat="1" ht="18" customHeight="1" thickBot="1" x14ac:dyDescent="0.25">
      <c r="A6" s="281" t="s">
        <v>104</v>
      </c>
      <c r="B6" s="282"/>
      <c r="C6" s="282"/>
      <c r="D6" s="282"/>
      <c r="E6" s="282"/>
      <c r="F6" s="283"/>
      <c r="G6" s="284" t="s">
        <v>144</v>
      </c>
      <c r="H6" s="284"/>
      <c r="I6" s="284"/>
      <c r="J6" s="284"/>
      <c r="K6" s="284"/>
      <c r="L6" s="284"/>
      <c r="M6" s="284"/>
      <c r="N6" s="284"/>
      <c r="O6" s="284"/>
      <c r="P6" s="284"/>
      <c r="Q6" s="284"/>
    </row>
    <row r="7" spans="1:17" s="132" customFormat="1" ht="18" customHeight="1" thickBot="1" x14ac:dyDescent="0.25">
      <c r="A7" s="281" t="s">
        <v>105</v>
      </c>
      <c r="B7" s="282"/>
      <c r="C7" s="282"/>
      <c r="D7" s="282"/>
      <c r="E7" s="282"/>
      <c r="F7" s="283"/>
      <c r="G7" s="284" t="s">
        <v>144</v>
      </c>
      <c r="H7" s="284"/>
      <c r="I7" s="284"/>
      <c r="J7" s="284"/>
      <c r="K7" s="284"/>
      <c r="L7" s="284"/>
      <c r="M7" s="284"/>
      <c r="N7" s="284"/>
      <c r="O7" s="284"/>
      <c r="P7" s="284"/>
      <c r="Q7" s="284"/>
    </row>
    <row r="8" spans="1:17" ht="18" customHeight="1" thickBot="1" x14ac:dyDescent="0.25">
      <c r="A8" s="285" t="s">
        <v>119</v>
      </c>
      <c r="B8" s="285"/>
      <c r="C8" s="285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</row>
    <row r="9" spans="1:17" ht="18" customHeight="1" x14ac:dyDescent="0.2">
      <c r="A9" s="286" t="s">
        <v>120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133"/>
      <c r="P9" s="133"/>
      <c r="Q9" s="134"/>
    </row>
    <row r="10" spans="1:17" ht="57" customHeight="1" x14ac:dyDescent="0.2">
      <c r="A10" s="287" t="s">
        <v>146</v>
      </c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9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0" t="s">
        <v>121</v>
      </c>
      <c r="B12" s="290"/>
      <c r="C12" s="290"/>
      <c r="D12" s="290"/>
      <c r="E12" s="290"/>
      <c r="F12" s="290"/>
      <c r="G12" s="290"/>
      <c r="H12" s="290"/>
      <c r="I12" s="290"/>
      <c r="J12" s="290"/>
      <c r="K12" s="290"/>
      <c r="L12" s="290"/>
      <c r="M12" s="290"/>
      <c r="N12" s="290"/>
      <c r="O12" s="290"/>
      <c r="P12" s="290"/>
      <c r="Q12" s="290"/>
    </row>
    <row r="13" spans="1:17" ht="15.75" customHeight="1" thickBot="1" x14ac:dyDescent="0.25">
      <c r="A13" s="291" t="s">
        <v>122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291"/>
      <c r="O13" s="292" t="s">
        <v>123</v>
      </c>
      <c r="P13" s="292"/>
      <c r="Q13" s="293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2"/>
      <c r="P14" s="292"/>
      <c r="Q14" s="293"/>
    </row>
    <row r="15" spans="1:17" ht="33.75" customHeight="1" x14ac:dyDescent="0.2">
      <c r="A15" s="144">
        <v>27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79" t="s">
        <v>142</v>
      </c>
      <c r="P15" s="280"/>
      <c r="Q15" s="105">
        <f>+'Necesidades Trimestrales '!L52</f>
        <v>229000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0"/>
      <c r="P16" s="271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0"/>
      <c r="P17" s="271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1"/>
      <c r="P18" s="271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1"/>
      <c r="P19" s="271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1"/>
      <c r="P20" s="271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0"/>
      <c r="P21" s="270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2"/>
      <c r="P22" s="272"/>
      <c r="Q22" s="119"/>
    </row>
    <row r="23" spans="1:18" ht="36" customHeight="1" thickBot="1" x14ac:dyDescent="0.25">
      <c r="A23" s="273" t="s">
        <v>147</v>
      </c>
      <c r="B23" s="273"/>
      <c r="C23" s="273"/>
      <c r="D23" s="273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161">
        <f>SUM(Q15:Q22)</f>
        <v>229000</v>
      </c>
    </row>
    <row r="24" spans="1:18" ht="18" customHeight="1" thickBot="1" x14ac:dyDescent="0.25">
      <c r="A24" s="274"/>
      <c r="B24" s="274"/>
      <c r="C24" s="274"/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74"/>
      <c r="P24" s="274"/>
      <c r="Q24" s="274"/>
    </row>
    <row r="25" spans="1:18" ht="17.25" customHeight="1" thickBot="1" x14ac:dyDescent="0.25">
      <c r="A25" s="275" t="s">
        <v>138</v>
      </c>
      <c r="B25" s="276"/>
      <c r="C25" s="276"/>
      <c r="D25" s="276"/>
      <c r="E25" s="276"/>
      <c r="F25" s="277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8"/>
    </row>
    <row r="26" spans="1:18" ht="18" customHeight="1" thickBot="1" x14ac:dyDescent="0.25">
      <c r="A26" s="269" t="s">
        <v>143</v>
      </c>
      <c r="B26" s="269"/>
      <c r="C26" s="269"/>
      <c r="D26" s="269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</row>
    <row r="27" spans="1:18" ht="28.5" customHeight="1" thickBot="1" x14ac:dyDescent="0.25">
      <c r="A27" s="269"/>
      <c r="B27" s="269"/>
      <c r="C27" s="269"/>
      <c r="D27" s="269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98"/>
  <sheetViews>
    <sheetView zoomScale="80" zoomScaleNormal="80" workbookViewId="0">
      <selection activeCell="C36" sqref="C36:G36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22.2851562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7" t="s">
        <v>98</v>
      </c>
      <c r="B1" s="227"/>
      <c r="C1" s="227"/>
      <c r="D1" s="227"/>
      <c r="E1" s="227"/>
      <c r="F1" s="227"/>
      <c r="G1" s="227"/>
      <c r="H1" s="227"/>
      <c r="I1" s="227"/>
      <c r="J1" s="49" t="s">
        <v>99</v>
      </c>
      <c r="K1" s="50" t="s">
        <v>164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2" t="s">
        <v>100</v>
      </c>
      <c r="B3" s="222"/>
      <c r="C3" s="222"/>
      <c r="D3" s="223" t="s">
        <v>101</v>
      </c>
      <c r="E3" s="223"/>
      <c r="F3" s="223"/>
      <c r="G3" s="223"/>
      <c r="H3" s="223"/>
      <c r="I3" s="223"/>
      <c r="J3" s="223"/>
      <c r="K3" s="223"/>
    </row>
    <row r="4" spans="1:13" ht="18.75" customHeight="1" thickBot="1" x14ac:dyDescent="0.25">
      <c r="A4" s="224" t="s">
        <v>102</v>
      </c>
      <c r="B4" s="224"/>
      <c r="C4" s="224"/>
      <c r="D4" s="223" t="s">
        <v>103</v>
      </c>
      <c r="E4" s="223"/>
      <c r="F4" s="223"/>
      <c r="G4" s="223"/>
      <c r="H4" s="223"/>
      <c r="I4" s="223"/>
      <c r="J4" s="223"/>
      <c r="K4" s="223"/>
    </row>
    <row r="5" spans="1:13" ht="18.75" customHeight="1" thickBot="1" x14ac:dyDescent="0.25">
      <c r="A5" s="224" t="s">
        <v>104</v>
      </c>
      <c r="B5" s="224"/>
      <c r="C5" s="224"/>
      <c r="D5" s="223" t="s">
        <v>148</v>
      </c>
      <c r="E5" s="223"/>
      <c r="F5" s="223"/>
      <c r="G5" s="223"/>
      <c r="H5" s="223"/>
      <c r="I5" s="223"/>
      <c r="J5" s="223"/>
      <c r="K5" s="223"/>
    </row>
    <row r="6" spans="1:13" ht="16.5" customHeight="1" thickBot="1" x14ac:dyDescent="0.25">
      <c r="A6" s="222" t="s">
        <v>105</v>
      </c>
      <c r="B6" s="222"/>
      <c r="C6" s="222"/>
      <c r="D6" s="223" t="s">
        <v>148</v>
      </c>
      <c r="E6" s="223"/>
      <c r="F6" s="223"/>
      <c r="G6" s="223"/>
      <c r="H6" s="223"/>
      <c r="I6" s="223"/>
      <c r="J6" s="223"/>
      <c r="K6" s="223"/>
    </row>
    <row r="7" spans="1:13" ht="16.5" customHeight="1" thickBot="1" x14ac:dyDescent="0.25">
      <c r="A7" s="224" t="s">
        <v>106</v>
      </c>
      <c r="B7" s="224"/>
      <c r="C7" s="224"/>
      <c r="D7" s="223" t="s">
        <v>107</v>
      </c>
      <c r="E7" s="223"/>
      <c r="F7" s="223"/>
      <c r="G7" s="223"/>
      <c r="H7" s="223"/>
      <c r="I7" s="223"/>
      <c r="J7" s="223"/>
      <c r="K7" s="223"/>
    </row>
    <row r="8" spans="1:13" ht="16.5" customHeight="1" thickBot="1" x14ac:dyDescent="0.25">
      <c r="A8" s="225" t="s">
        <v>108</v>
      </c>
      <c r="B8" s="225"/>
      <c r="C8" s="225"/>
      <c r="D8" s="226" t="s">
        <v>141</v>
      </c>
      <c r="E8" s="226"/>
      <c r="F8" s="226"/>
      <c r="G8" s="226"/>
      <c r="H8" s="226"/>
      <c r="I8" s="226"/>
      <c r="J8" s="226"/>
      <c r="K8" s="226"/>
    </row>
    <row r="9" spans="1:13" ht="16.5" thickBot="1" x14ac:dyDescent="0.25">
      <c r="A9" s="54"/>
      <c r="B9" s="54"/>
      <c r="C9" s="54"/>
      <c r="D9" s="162"/>
      <c r="E9" s="162"/>
      <c r="F9" s="162"/>
      <c r="G9" s="162"/>
      <c r="H9" s="162"/>
      <c r="I9" s="162"/>
      <c r="J9" s="162"/>
      <c r="K9" s="162"/>
    </row>
    <row r="10" spans="1:13" ht="18.75" customHeight="1" thickBot="1" x14ac:dyDescent="0.25">
      <c r="A10" s="221" t="s">
        <v>109</v>
      </c>
      <c r="B10" s="220" t="s">
        <v>110</v>
      </c>
      <c r="C10" s="220" t="s">
        <v>111</v>
      </c>
      <c r="D10" s="220"/>
      <c r="E10" s="220"/>
      <c r="F10" s="220"/>
      <c r="G10" s="220"/>
      <c r="H10" s="220" t="s">
        <v>112</v>
      </c>
      <c r="I10" s="220" t="s">
        <v>113</v>
      </c>
      <c r="J10" s="220" t="s">
        <v>114</v>
      </c>
      <c r="K10" s="213" t="s">
        <v>115</v>
      </c>
    </row>
    <row r="11" spans="1:13" ht="24" customHeight="1" thickBot="1" x14ac:dyDescent="0.25">
      <c r="A11" s="221"/>
      <c r="B11" s="220"/>
      <c r="C11" s="220"/>
      <c r="D11" s="220"/>
      <c r="E11" s="220"/>
      <c r="F11" s="220"/>
      <c r="G11" s="220"/>
      <c r="H11" s="220"/>
      <c r="I11" s="220"/>
      <c r="J11" s="220"/>
      <c r="K11" s="213"/>
    </row>
    <row r="12" spans="1:13" s="51" customFormat="1" ht="32.25" customHeight="1" thickBot="1" x14ac:dyDescent="0.25">
      <c r="A12" s="55">
        <v>1</v>
      </c>
      <c r="B12" s="56"/>
      <c r="C12" s="304" t="s">
        <v>56</v>
      </c>
      <c r="D12" s="305"/>
      <c r="E12" s="305"/>
      <c r="F12" s="305"/>
      <c r="G12" s="306"/>
      <c r="H12" s="57" t="s">
        <v>140</v>
      </c>
      <c r="I12" s="27" t="s">
        <v>12</v>
      </c>
      <c r="J12" s="45">
        <v>13</v>
      </c>
      <c r="K12" s="30">
        <v>800000</v>
      </c>
      <c r="M12" s="128">
        <f>+K12*J12</f>
        <v>10400000</v>
      </c>
    </row>
    <row r="13" spans="1:13" s="51" customFormat="1" ht="32.25" customHeight="1" thickBot="1" x14ac:dyDescent="0.25">
      <c r="A13" s="61">
        <v>2</v>
      </c>
      <c r="B13" s="62"/>
      <c r="C13" s="298" t="s">
        <v>57</v>
      </c>
      <c r="D13" s="299"/>
      <c r="E13" s="299"/>
      <c r="F13" s="299"/>
      <c r="G13" s="300"/>
      <c r="H13" s="57" t="s">
        <v>140</v>
      </c>
      <c r="I13" s="27" t="s">
        <v>12</v>
      </c>
      <c r="J13" s="45">
        <v>130</v>
      </c>
      <c r="K13" s="30">
        <v>2000</v>
      </c>
      <c r="M13" s="128">
        <f t="shared" ref="M13:M46" si="0">+K13*J13</f>
        <v>260000</v>
      </c>
    </row>
    <row r="14" spans="1:13" s="51" customFormat="1" ht="32.25" customHeight="1" thickBot="1" x14ac:dyDescent="0.25">
      <c r="A14" s="61">
        <v>3</v>
      </c>
      <c r="B14" s="62"/>
      <c r="C14" s="298" t="s">
        <v>58</v>
      </c>
      <c r="D14" s="299"/>
      <c r="E14" s="299"/>
      <c r="F14" s="299"/>
      <c r="G14" s="300"/>
      <c r="H14" s="57" t="s">
        <v>140</v>
      </c>
      <c r="I14" s="27" t="s">
        <v>12</v>
      </c>
      <c r="J14" s="45">
        <v>230</v>
      </c>
      <c r="K14" s="30">
        <v>20</v>
      </c>
      <c r="M14" s="128">
        <f t="shared" si="0"/>
        <v>4600</v>
      </c>
    </row>
    <row r="15" spans="1:13" s="51" customFormat="1" ht="32.25" customHeight="1" thickBot="1" x14ac:dyDescent="0.25">
      <c r="A15" s="55">
        <v>4</v>
      </c>
      <c r="B15" s="62"/>
      <c r="C15" s="298" t="s">
        <v>59</v>
      </c>
      <c r="D15" s="299"/>
      <c r="E15" s="299"/>
      <c r="F15" s="299"/>
      <c r="G15" s="300"/>
      <c r="H15" s="57" t="s">
        <v>140</v>
      </c>
      <c r="I15" s="27" t="s">
        <v>12</v>
      </c>
      <c r="J15" s="45">
        <v>560</v>
      </c>
      <c r="K15" s="30">
        <v>10</v>
      </c>
      <c r="M15" s="128">
        <f t="shared" si="0"/>
        <v>5600</v>
      </c>
    </row>
    <row r="16" spans="1:13" s="51" customFormat="1" ht="32.25" customHeight="1" thickBot="1" x14ac:dyDescent="0.25">
      <c r="A16" s="61">
        <v>5</v>
      </c>
      <c r="B16" s="62"/>
      <c r="C16" s="298" t="s">
        <v>60</v>
      </c>
      <c r="D16" s="299"/>
      <c r="E16" s="299"/>
      <c r="F16" s="299"/>
      <c r="G16" s="300"/>
      <c r="H16" s="57" t="s">
        <v>140</v>
      </c>
      <c r="I16" s="27" t="s">
        <v>12</v>
      </c>
      <c r="J16" s="45">
        <v>8</v>
      </c>
      <c r="K16" s="30">
        <v>3000</v>
      </c>
      <c r="M16" s="128">
        <f t="shared" si="0"/>
        <v>24000</v>
      </c>
    </row>
    <row r="17" spans="1:13" s="51" customFormat="1" ht="32.25" customHeight="1" thickBot="1" x14ac:dyDescent="0.25">
      <c r="A17" s="61">
        <v>6</v>
      </c>
      <c r="B17" s="62"/>
      <c r="C17" s="301" t="s">
        <v>61</v>
      </c>
      <c r="D17" s="302"/>
      <c r="E17" s="302"/>
      <c r="F17" s="302"/>
      <c r="G17" s="303"/>
      <c r="H17" s="57" t="s">
        <v>140</v>
      </c>
      <c r="I17" s="27" t="s">
        <v>12</v>
      </c>
      <c r="J17" s="45">
        <v>130</v>
      </c>
      <c r="K17" s="30">
        <v>200</v>
      </c>
      <c r="M17" s="128">
        <f t="shared" si="0"/>
        <v>26000</v>
      </c>
    </row>
    <row r="18" spans="1:13" s="51" customFormat="1" ht="32.25" customHeight="1" thickBot="1" x14ac:dyDescent="0.25">
      <c r="A18" s="55">
        <v>7</v>
      </c>
      <c r="B18" s="62"/>
      <c r="C18" s="298" t="s">
        <v>62</v>
      </c>
      <c r="D18" s="299"/>
      <c r="E18" s="299"/>
      <c r="F18" s="299"/>
      <c r="G18" s="300"/>
      <c r="H18" s="57" t="s">
        <v>140</v>
      </c>
      <c r="I18" s="27" t="s">
        <v>12</v>
      </c>
      <c r="J18" s="45">
        <v>8.1</v>
      </c>
      <c r="K18" s="30">
        <v>5000</v>
      </c>
      <c r="M18" s="128">
        <f t="shared" si="0"/>
        <v>40500</v>
      </c>
    </row>
    <row r="19" spans="1:13" s="51" customFormat="1" ht="32.25" customHeight="1" thickBot="1" x14ac:dyDescent="0.25">
      <c r="A19" s="61">
        <v>8</v>
      </c>
      <c r="B19" s="62"/>
      <c r="C19" s="298" t="s">
        <v>63</v>
      </c>
      <c r="D19" s="299"/>
      <c r="E19" s="299"/>
      <c r="F19" s="299"/>
      <c r="G19" s="300"/>
      <c r="H19" s="57" t="s">
        <v>140</v>
      </c>
      <c r="I19" s="27" t="s">
        <v>12</v>
      </c>
      <c r="J19" s="45">
        <v>150</v>
      </c>
      <c r="K19" s="30">
        <v>10</v>
      </c>
      <c r="M19" s="128">
        <f t="shared" si="0"/>
        <v>1500</v>
      </c>
    </row>
    <row r="20" spans="1:13" s="51" customFormat="1" ht="32.25" customHeight="1" thickBot="1" x14ac:dyDescent="0.25">
      <c r="A20" s="61">
        <v>9</v>
      </c>
      <c r="B20" s="62"/>
      <c r="C20" s="298" t="s">
        <v>64</v>
      </c>
      <c r="D20" s="299"/>
      <c r="E20" s="299"/>
      <c r="F20" s="299"/>
      <c r="G20" s="300"/>
      <c r="H20" s="57" t="s">
        <v>140</v>
      </c>
      <c r="I20" s="27" t="s">
        <v>12</v>
      </c>
      <c r="J20" s="45">
        <v>1100</v>
      </c>
      <c r="K20" s="30">
        <v>500</v>
      </c>
      <c r="M20" s="128">
        <f t="shared" si="0"/>
        <v>550000</v>
      </c>
    </row>
    <row r="21" spans="1:13" s="51" customFormat="1" ht="32.25" customHeight="1" thickBot="1" x14ac:dyDescent="0.25">
      <c r="A21" s="55">
        <v>10</v>
      </c>
      <c r="B21" s="62"/>
      <c r="C21" s="298" t="s">
        <v>65</v>
      </c>
      <c r="D21" s="299"/>
      <c r="E21" s="299"/>
      <c r="F21" s="299"/>
      <c r="G21" s="300"/>
      <c r="H21" s="57" t="s">
        <v>140</v>
      </c>
      <c r="I21" s="27" t="s">
        <v>12</v>
      </c>
      <c r="J21" s="45">
        <v>1100</v>
      </c>
      <c r="K21" s="30">
        <v>4000</v>
      </c>
      <c r="M21" s="128">
        <f t="shared" si="0"/>
        <v>4400000</v>
      </c>
    </row>
    <row r="22" spans="1:13" s="51" customFormat="1" ht="32.25" customHeight="1" thickBot="1" x14ac:dyDescent="0.25">
      <c r="A22" s="61">
        <v>11</v>
      </c>
      <c r="B22" s="62"/>
      <c r="C22" s="298" t="s">
        <v>66</v>
      </c>
      <c r="D22" s="299"/>
      <c r="E22" s="299"/>
      <c r="F22" s="299"/>
      <c r="G22" s="300"/>
      <c r="H22" s="57" t="s">
        <v>140</v>
      </c>
      <c r="I22" s="27" t="s">
        <v>12</v>
      </c>
      <c r="J22" s="45">
        <v>1100</v>
      </c>
      <c r="K22" s="30">
        <v>1500</v>
      </c>
      <c r="M22" s="128">
        <f t="shared" si="0"/>
        <v>1650000</v>
      </c>
    </row>
    <row r="23" spans="1:13" s="51" customFormat="1" ht="32.25" customHeight="1" thickBot="1" x14ac:dyDescent="0.25">
      <c r="A23" s="61">
        <v>12</v>
      </c>
      <c r="B23" s="62"/>
      <c r="C23" s="298" t="s">
        <v>67</v>
      </c>
      <c r="D23" s="299"/>
      <c r="E23" s="299"/>
      <c r="F23" s="299"/>
      <c r="G23" s="300"/>
      <c r="H23" s="57" t="s">
        <v>140</v>
      </c>
      <c r="I23" s="27" t="s">
        <v>12</v>
      </c>
      <c r="J23" s="45">
        <v>2600</v>
      </c>
      <c r="K23" s="30">
        <v>500</v>
      </c>
      <c r="M23" s="128">
        <f t="shared" si="0"/>
        <v>1300000</v>
      </c>
    </row>
    <row r="24" spans="1:13" s="51" customFormat="1" ht="32.25" customHeight="1" thickBot="1" x14ac:dyDescent="0.25">
      <c r="A24" s="55">
        <v>13</v>
      </c>
      <c r="B24" s="62"/>
      <c r="C24" s="298" t="s">
        <v>68</v>
      </c>
      <c r="D24" s="299"/>
      <c r="E24" s="299"/>
      <c r="F24" s="299"/>
      <c r="G24" s="300"/>
      <c r="H24" s="57" t="s">
        <v>140</v>
      </c>
      <c r="I24" s="27" t="s">
        <v>12</v>
      </c>
      <c r="J24" s="45">
        <v>2600</v>
      </c>
      <c r="K24" s="30">
        <v>500</v>
      </c>
      <c r="M24" s="128">
        <f t="shared" si="0"/>
        <v>1300000</v>
      </c>
    </row>
    <row r="25" spans="1:13" s="51" customFormat="1" ht="32.25" customHeight="1" thickBot="1" x14ac:dyDescent="0.25">
      <c r="A25" s="61">
        <v>14</v>
      </c>
      <c r="B25" s="62"/>
      <c r="C25" s="298" t="s">
        <v>69</v>
      </c>
      <c r="D25" s="299"/>
      <c r="E25" s="299"/>
      <c r="F25" s="299"/>
      <c r="G25" s="300"/>
      <c r="H25" s="57" t="s">
        <v>140</v>
      </c>
      <c r="I25" s="27" t="s">
        <v>12</v>
      </c>
      <c r="J25" s="45">
        <v>11.04</v>
      </c>
      <c r="K25" s="30">
        <v>5000</v>
      </c>
      <c r="M25" s="128">
        <f t="shared" si="0"/>
        <v>55199.999999999993</v>
      </c>
    </row>
    <row r="26" spans="1:13" s="51" customFormat="1" ht="32.25" customHeight="1" thickBot="1" x14ac:dyDescent="0.25">
      <c r="A26" s="61">
        <v>15</v>
      </c>
      <c r="B26" s="62"/>
      <c r="C26" s="298" t="s">
        <v>70</v>
      </c>
      <c r="D26" s="299"/>
      <c r="E26" s="299"/>
      <c r="F26" s="299"/>
      <c r="G26" s="300"/>
      <c r="H26" s="57" t="s">
        <v>140</v>
      </c>
      <c r="I26" s="27" t="s">
        <v>12</v>
      </c>
      <c r="J26" s="45">
        <v>4.13</v>
      </c>
      <c r="K26" s="30">
        <v>200000</v>
      </c>
      <c r="M26" s="128">
        <f t="shared" si="0"/>
        <v>826000</v>
      </c>
    </row>
    <row r="27" spans="1:13" s="51" customFormat="1" ht="32.25" customHeight="1" thickBot="1" x14ac:dyDescent="0.25">
      <c r="A27" s="55">
        <v>16</v>
      </c>
      <c r="B27" s="62"/>
      <c r="C27" s="298" t="s">
        <v>71</v>
      </c>
      <c r="D27" s="299"/>
      <c r="E27" s="299"/>
      <c r="F27" s="299"/>
      <c r="G27" s="300"/>
      <c r="H27" s="57" t="s">
        <v>140</v>
      </c>
      <c r="I27" s="27" t="s">
        <v>12</v>
      </c>
      <c r="J27" s="45">
        <v>27.08</v>
      </c>
      <c r="K27" s="30">
        <v>1000</v>
      </c>
      <c r="M27" s="128">
        <f t="shared" si="0"/>
        <v>27080</v>
      </c>
    </row>
    <row r="28" spans="1:13" s="51" customFormat="1" ht="32.25" customHeight="1" thickBot="1" x14ac:dyDescent="0.25">
      <c r="A28" s="61">
        <v>17</v>
      </c>
      <c r="B28" s="62"/>
      <c r="C28" s="298" t="s">
        <v>72</v>
      </c>
      <c r="D28" s="299"/>
      <c r="E28" s="299"/>
      <c r="F28" s="299"/>
      <c r="G28" s="300"/>
      <c r="H28" s="57" t="s">
        <v>140</v>
      </c>
      <c r="I28" s="27" t="s">
        <v>12</v>
      </c>
      <c r="J28" s="45">
        <v>3.15</v>
      </c>
      <c r="K28" s="30">
        <v>80000</v>
      </c>
      <c r="M28" s="128">
        <f t="shared" si="0"/>
        <v>252000</v>
      </c>
    </row>
    <row r="29" spans="1:13" s="51" customFormat="1" ht="32.25" customHeight="1" thickBot="1" x14ac:dyDescent="0.25">
      <c r="A29" s="61">
        <v>18</v>
      </c>
      <c r="B29" s="62"/>
      <c r="C29" s="298" t="s">
        <v>73</v>
      </c>
      <c r="D29" s="299"/>
      <c r="E29" s="299"/>
      <c r="F29" s="299"/>
      <c r="G29" s="300"/>
      <c r="H29" s="57" t="s">
        <v>140</v>
      </c>
      <c r="I29" s="27" t="s">
        <v>12</v>
      </c>
      <c r="J29" s="45">
        <v>242</v>
      </c>
      <c r="K29" s="30">
        <v>40000</v>
      </c>
      <c r="M29" s="128">
        <f t="shared" si="0"/>
        <v>9680000</v>
      </c>
    </row>
    <row r="30" spans="1:13" s="51" customFormat="1" ht="32.25" customHeight="1" thickBot="1" x14ac:dyDescent="0.25">
      <c r="A30" s="55">
        <v>19</v>
      </c>
      <c r="B30" s="62"/>
      <c r="C30" s="298" t="s">
        <v>74</v>
      </c>
      <c r="D30" s="299"/>
      <c r="E30" s="299"/>
      <c r="F30" s="299"/>
      <c r="G30" s="300"/>
      <c r="H30" s="57" t="s">
        <v>140</v>
      </c>
      <c r="I30" s="27" t="s">
        <v>12</v>
      </c>
      <c r="J30" s="45">
        <v>850</v>
      </c>
      <c r="K30" s="30">
        <v>2000</v>
      </c>
      <c r="M30" s="128">
        <f t="shared" si="0"/>
        <v>1700000</v>
      </c>
    </row>
    <row r="31" spans="1:13" s="51" customFormat="1" ht="32.25" customHeight="1" thickBot="1" x14ac:dyDescent="0.25">
      <c r="A31" s="61">
        <v>20</v>
      </c>
      <c r="B31" s="62"/>
      <c r="C31" s="298" t="s">
        <v>75</v>
      </c>
      <c r="D31" s="299"/>
      <c r="E31" s="299"/>
      <c r="F31" s="299"/>
      <c r="G31" s="300"/>
      <c r="H31" s="57" t="s">
        <v>140</v>
      </c>
      <c r="I31" s="27" t="s">
        <v>12</v>
      </c>
      <c r="J31" s="45">
        <v>850</v>
      </c>
      <c r="K31" s="30">
        <v>2000</v>
      </c>
      <c r="M31" s="128">
        <f t="shared" si="0"/>
        <v>1700000</v>
      </c>
    </row>
    <row r="32" spans="1:13" s="51" customFormat="1" ht="32.25" customHeight="1" thickBot="1" x14ac:dyDescent="0.25">
      <c r="A32" s="61">
        <v>21</v>
      </c>
      <c r="B32" s="62"/>
      <c r="C32" s="298" t="s">
        <v>76</v>
      </c>
      <c r="D32" s="299"/>
      <c r="E32" s="299"/>
      <c r="F32" s="299"/>
      <c r="G32" s="300"/>
      <c r="H32" s="57" t="s">
        <v>140</v>
      </c>
      <c r="I32" s="27" t="s">
        <v>12</v>
      </c>
      <c r="J32" s="45">
        <v>850</v>
      </c>
      <c r="K32" s="30">
        <v>2000</v>
      </c>
      <c r="M32" s="128">
        <f t="shared" si="0"/>
        <v>1700000</v>
      </c>
    </row>
    <row r="33" spans="1:13" s="51" customFormat="1" ht="32.25" customHeight="1" thickBot="1" x14ac:dyDescent="0.25">
      <c r="A33" s="55">
        <v>22</v>
      </c>
      <c r="B33" s="62"/>
      <c r="C33" s="298" t="s">
        <v>77</v>
      </c>
      <c r="D33" s="299"/>
      <c r="E33" s="299"/>
      <c r="F33" s="299"/>
      <c r="G33" s="300"/>
      <c r="H33" s="57" t="s">
        <v>140</v>
      </c>
      <c r="I33" s="27" t="s">
        <v>12</v>
      </c>
      <c r="J33" s="45">
        <v>850</v>
      </c>
      <c r="K33" s="30">
        <v>1000</v>
      </c>
      <c r="M33" s="128">
        <f t="shared" si="0"/>
        <v>850000</v>
      </c>
    </row>
    <row r="34" spans="1:13" s="51" customFormat="1" ht="32.25" customHeight="1" thickBot="1" x14ac:dyDescent="0.25">
      <c r="A34" s="61">
        <v>23</v>
      </c>
      <c r="B34" s="62"/>
      <c r="C34" s="298" t="s">
        <v>78</v>
      </c>
      <c r="D34" s="299"/>
      <c r="E34" s="299"/>
      <c r="F34" s="299"/>
      <c r="G34" s="300"/>
      <c r="H34" s="57" t="s">
        <v>140</v>
      </c>
      <c r="I34" s="27" t="s">
        <v>12</v>
      </c>
      <c r="J34" s="45">
        <v>60</v>
      </c>
      <c r="K34" s="30">
        <v>500</v>
      </c>
      <c r="M34" s="128">
        <f t="shared" si="0"/>
        <v>30000</v>
      </c>
    </row>
    <row r="35" spans="1:13" s="51" customFormat="1" ht="32.25" customHeight="1" thickBot="1" x14ac:dyDescent="0.25">
      <c r="A35" s="61">
        <v>24</v>
      </c>
      <c r="B35" s="62"/>
      <c r="C35" s="298" t="s">
        <v>188</v>
      </c>
      <c r="D35" s="299"/>
      <c r="E35" s="299"/>
      <c r="F35" s="299"/>
      <c r="G35" s="300"/>
      <c r="H35" s="57" t="s">
        <v>140</v>
      </c>
      <c r="I35" s="27" t="s">
        <v>12</v>
      </c>
      <c r="J35" s="45">
        <v>75</v>
      </c>
      <c r="K35" s="30">
        <v>1000</v>
      </c>
      <c r="M35" s="128">
        <f t="shared" si="0"/>
        <v>75000</v>
      </c>
    </row>
    <row r="36" spans="1:13" s="51" customFormat="1" ht="32.25" customHeight="1" thickBot="1" x14ac:dyDescent="0.25">
      <c r="A36" s="61">
        <v>25</v>
      </c>
      <c r="B36" s="62"/>
      <c r="C36" s="298" t="s">
        <v>79</v>
      </c>
      <c r="D36" s="299"/>
      <c r="E36" s="299"/>
      <c r="F36" s="299"/>
      <c r="G36" s="300"/>
      <c r="H36" s="57" t="s">
        <v>140</v>
      </c>
      <c r="I36" s="27" t="s">
        <v>12</v>
      </c>
      <c r="J36" s="45">
        <v>95.97</v>
      </c>
      <c r="K36" s="30">
        <v>500</v>
      </c>
      <c r="M36" s="128">
        <f t="shared" si="0"/>
        <v>47985</v>
      </c>
    </row>
    <row r="37" spans="1:13" s="51" customFormat="1" ht="32.25" customHeight="1" thickBot="1" x14ac:dyDescent="0.25">
      <c r="A37" s="55">
        <v>26</v>
      </c>
      <c r="B37" s="62"/>
      <c r="C37" s="298" t="s">
        <v>80</v>
      </c>
      <c r="D37" s="299"/>
      <c r="E37" s="299"/>
      <c r="F37" s="299"/>
      <c r="G37" s="300"/>
      <c r="H37" s="57" t="s">
        <v>140</v>
      </c>
      <c r="I37" s="27" t="s">
        <v>12</v>
      </c>
      <c r="J37" s="45">
        <v>133</v>
      </c>
      <c r="K37" s="30">
        <v>500</v>
      </c>
      <c r="M37" s="128">
        <f t="shared" si="0"/>
        <v>66500</v>
      </c>
    </row>
    <row r="38" spans="1:13" s="51" customFormat="1" ht="32.25" customHeight="1" thickBot="1" x14ac:dyDescent="0.25">
      <c r="A38" s="61">
        <v>27</v>
      </c>
      <c r="B38" s="62"/>
      <c r="C38" s="298" t="s">
        <v>81</v>
      </c>
      <c r="D38" s="299"/>
      <c r="E38" s="299"/>
      <c r="F38" s="299"/>
      <c r="G38" s="300"/>
      <c r="H38" s="57" t="s">
        <v>140</v>
      </c>
      <c r="I38" s="27" t="s">
        <v>12</v>
      </c>
      <c r="J38" s="46">
        <v>117.82</v>
      </c>
      <c r="K38" s="33">
        <v>5000</v>
      </c>
      <c r="M38" s="128">
        <f t="shared" si="0"/>
        <v>589100</v>
      </c>
    </row>
    <row r="39" spans="1:13" s="51" customFormat="1" ht="32.25" customHeight="1" thickBot="1" x14ac:dyDescent="0.25">
      <c r="A39" s="61">
        <v>28</v>
      </c>
      <c r="B39" s="62"/>
      <c r="C39" s="298" t="s">
        <v>82</v>
      </c>
      <c r="D39" s="299"/>
      <c r="E39" s="299"/>
      <c r="F39" s="299"/>
      <c r="G39" s="300"/>
      <c r="H39" s="57" t="s">
        <v>140</v>
      </c>
      <c r="I39" s="27" t="s">
        <v>12</v>
      </c>
      <c r="J39" s="46">
        <v>220</v>
      </c>
      <c r="K39" s="33">
        <v>3000</v>
      </c>
      <c r="M39" s="128">
        <f t="shared" si="0"/>
        <v>660000</v>
      </c>
    </row>
    <row r="40" spans="1:13" s="51" customFormat="1" ht="32.25" customHeight="1" thickBot="1" x14ac:dyDescent="0.25">
      <c r="A40" s="61">
        <v>29</v>
      </c>
      <c r="B40" s="62"/>
      <c r="C40" s="298" t="s">
        <v>83</v>
      </c>
      <c r="D40" s="299"/>
      <c r="E40" s="299"/>
      <c r="F40" s="299"/>
      <c r="G40" s="300"/>
      <c r="H40" s="57" t="s">
        <v>140</v>
      </c>
      <c r="I40" s="27" t="s">
        <v>12</v>
      </c>
      <c r="J40" s="46">
        <v>46.7</v>
      </c>
      <c r="K40" s="33">
        <v>1000</v>
      </c>
      <c r="M40" s="128">
        <f t="shared" si="0"/>
        <v>46700</v>
      </c>
    </row>
    <row r="41" spans="1:13" s="51" customFormat="1" ht="32.25" customHeight="1" thickBot="1" x14ac:dyDescent="0.25">
      <c r="A41" s="55">
        <v>30</v>
      </c>
      <c r="B41" s="62"/>
      <c r="C41" s="298" t="s">
        <v>84</v>
      </c>
      <c r="D41" s="299"/>
      <c r="E41" s="299"/>
      <c r="F41" s="299"/>
      <c r="G41" s="300"/>
      <c r="H41" s="57" t="s">
        <v>140</v>
      </c>
      <c r="I41" s="27" t="s">
        <v>12</v>
      </c>
      <c r="J41" s="46">
        <v>85</v>
      </c>
      <c r="K41" s="33">
        <v>1000</v>
      </c>
      <c r="M41" s="128">
        <f t="shared" si="0"/>
        <v>85000</v>
      </c>
    </row>
    <row r="42" spans="1:13" s="51" customFormat="1" ht="32.25" customHeight="1" thickBot="1" x14ac:dyDescent="0.25">
      <c r="A42" s="61">
        <v>31</v>
      </c>
      <c r="B42" s="62"/>
      <c r="C42" s="298" t="s">
        <v>85</v>
      </c>
      <c r="D42" s="299"/>
      <c r="E42" s="299"/>
      <c r="F42" s="299"/>
      <c r="G42" s="300"/>
      <c r="H42" s="57" t="s">
        <v>140</v>
      </c>
      <c r="I42" s="27" t="s">
        <v>12</v>
      </c>
      <c r="J42" s="45">
        <v>1400</v>
      </c>
      <c r="K42" s="30">
        <v>1000</v>
      </c>
      <c r="M42" s="128">
        <f t="shared" si="0"/>
        <v>1400000</v>
      </c>
    </row>
    <row r="43" spans="1:13" s="51" customFormat="1" ht="32.25" customHeight="1" thickBot="1" x14ac:dyDescent="0.25">
      <c r="A43" s="61">
        <v>32</v>
      </c>
      <c r="B43" s="62"/>
      <c r="C43" s="298" t="s">
        <v>139</v>
      </c>
      <c r="D43" s="299"/>
      <c r="E43" s="299"/>
      <c r="F43" s="299"/>
      <c r="G43" s="300"/>
      <c r="H43" s="57" t="s">
        <v>140</v>
      </c>
      <c r="I43" s="27" t="s">
        <v>12</v>
      </c>
      <c r="J43" s="45">
        <f>2800*1.21</f>
        <v>3388</v>
      </c>
      <c r="K43" s="30">
        <f>+K42*0.2</f>
        <v>200</v>
      </c>
      <c r="M43" s="128">
        <f t="shared" si="0"/>
        <v>677600</v>
      </c>
    </row>
    <row r="44" spans="1:13" s="51" customFormat="1" ht="32.25" customHeight="1" thickBot="1" x14ac:dyDescent="0.25">
      <c r="A44" s="61">
        <v>33</v>
      </c>
      <c r="B44" s="62"/>
      <c r="C44" s="298" t="s">
        <v>86</v>
      </c>
      <c r="D44" s="299"/>
      <c r="E44" s="299"/>
      <c r="F44" s="299"/>
      <c r="G44" s="300"/>
      <c r="H44" s="57" t="s">
        <v>140</v>
      </c>
      <c r="I44" s="27" t="s">
        <v>12</v>
      </c>
      <c r="J44" s="45">
        <v>100</v>
      </c>
      <c r="K44" s="30">
        <v>100</v>
      </c>
      <c r="M44" s="128">
        <f t="shared" si="0"/>
        <v>10000</v>
      </c>
    </row>
    <row r="45" spans="1:13" s="51" customFormat="1" ht="32.25" customHeight="1" thickBot="1" x14ac:dyDescent="0.25">
      <c r="A45" s="55">
        <v>34</v>
      </c>
      <c r="B45" s="62"/>
      <c r="C45" s="298" t="s">
        <v>87</v>
      </c>
      <c r="D45" s="299"/>
      <c r="E45" s="299"/>
      <c r="F45" s="299"/>
      <c r="G45" s="300"/>
      <c r="H45" s="57" t="s">
        <v>140</v>
      </c>
      <c r="I45" s="27" t="s">
        <v>12</v>
      </c>
      <c r="J45" s="45">
        <v>17</v>
      </c>
      <c r="K45" s="30">
        <v>10000</v>
      </c>
      <c r="M45" s="128">
        <f t="shared" si="0"/>
        <v>170000</v>
      </c>
    </row>
    <row r="46" spans="1:13" s="51" customFormat="1" ht="32.25" customHeight="1" x14ac:dyDescent="0.2">
      <c r="A46" s="61">
        <v>35</v>
      </c>
      <c r="B46" s="62"/>
      <c r="C46" s="298" t="s">
        <v>88</v>
      </c>
      <c r="D46" s="299"/>
      <c r="E46" s="299"/>
      <c r="F46" s="299"/>
      <c r="G46" s="300"/>
      <c r="H46" s="57" t="s">
        <v>140</v>
      </c>
      <c r="I46" s="27" t="s">
        <v>12</v>
      </c>
      <c r="J46" s="45">
        <v>83</v>
      </c>
      <c r="K46" s="30">
        <v>500</v>
      </c>
      <c r="M46" s="128">
        <f t="shared" si="0"/>
        <v>41500</v>
      </c>
    </row>
    <row r="47" spans="1:13" s="51" customFormat="1" ht="15.95" customHeight="1" thickBot="1" x14ac:dyDescent="0.25">
      <c r="A47" s="61"/>
      <c r="B47" s="81"/>
      <c r="C47" s="200"/>
      <c r="D47" s="201"/>
      <c r="E47" s="201"/>
      <c r="F47" s="201"/>
      <c r="G47" s="202"/>
      <c r="H47" s="76"/>
      <c r="I47" s="77"/>
      <c r="J47" s="78"/>
      <c r="K47" s="79"/>
      <c r="M47" s="60"/>
    </row>
    <row r="48" spans="1:13" s="51" customFormat="1" ht="15.95" customHeight="1" thickBot="1" x14ac:dyDescent="0.25">
      <c r="A48" s="203" t="s">
        <v>165</v>
      </c>
      <c r="B48" s="204"/>
      <c r="C48" s="204"/>
      <c r="D48" s="204"/>
      <c r="E48" s="204"/>
      <c r="F48" s="204"/>
      <c r="G48" s="204"/>
      <c r="H48" s="204"/>
      <c r="I48" s="205"/>
      <c r="J48" s="260">
        <f>SUM(M12:M46)</f>
        <v>40651865</v>
      </c>
      <c r="K48" s="261"/>
      <c r="M48" s="60"/>
    </row>
    <row r="49" spans="1:13" s="51" customFormat="1" ht="15.95" customHeight="1" x14ac:dyDescent="0.2">
      <c r="A49" s="208"/>
      <c r="B49" s="208"/>
      <c r="C49" s="208"/>
      <c r="D49" s="208"/>
      <c r="E49" s="208"/>
      <c r="F49" s="208"/>
      <c r="G49" s="208"/>
      <c r="H49" s="208"/>
      <c r="I49" s="208"/>
      <c r="J49" s="209"/>
      <c r="K49" s="209"/>
      <c r="M49" s="60"/>
    </row>
    <row r="50" spans="1:13" s="51" customFormat="1" ht="15.95" customHeight="1" x14ac:dyDescent="0.2">
      <c r="M50" s="60"/>
    </row>
    <row r="51" spans="1:13" s="51" customFormat="1" ht="15.95" customHeight="1" x14ac:dyDescent="0.2">
      <c r="M51" s="60"/>
    </row>
    <row r="52" spans="1:13" s="51" customFormat="1" ht="15.95" customHeight="1" x14ac:dyDescent="0.2">
      <c r="M52" s="60"/>
    </row>
    <row r="53" spans="1:13" s="51" customFormat="1" ht="15.95" customHeight="1" x14ac:dyDescent="0.2">
      <c r="M53" s="60"/>
    </row>
    <row r="54" spans="1:13" s="51" customFormat="1" ht="15.95" customHeight="1" x14ac:dyDescent="0.2">
      <c r="M54" s="60"/>
    </row>
    <row r="55" spans="1:13" s="51" customFormat="1" ht="15.95" customHeight="1" x14ac:dyDescent="0.2">
      <c r="M55" s="60"/>
    </row>
    <row r="56" spans="1:13" s="51" customFormat="1" ht="15.95" customHeight="1" x14ac:dyDescent="0.2">
      <c r="M56" s="60"/>
    </row>
    <row r="57" spans="1:13" s="51" customFormat="1" ht="15.95" customHeight="1" x14ac:dyDescent="0.2">
      <c r="M57" s="60"/>
    </row>
    <row r="58" spans="1:13" s="51" customFormat="1" ht="15.95" customHeight="1" x14ac:dyDescent="0.2">
      <c r="M58" s="60"/>
    </row>
    <row r="59" spans="1:13" s="51" customFormat="1" ht="15.95" customHeight="1" x14ac:dyDescent="0.2">
      <c r="M59" s="60"/>
    </row>
    <row r="60" spans="1:13" s="51" customFormat="1" ht="15.95" customHeight="1" x14ac:dyDescent="0.2">
      <c r="M60" s="60"/>
    </row>
    <row r="61" spans="1:13" s="51" customFormat="1" ht="15.95" customHeight="1" x14ac:dyDescent="0.2">
      <c r="M61" s="60"/>
    </row>
    <row r="62" spans="1:13" s="51" customFormat="1" ht="15.95" customHeight="1" x14ac:dyDescent="0.2">
      <c r="M62" s="60"/>
    </row>
    <row r="63" spans="1:13" s="51" customFormat="1" ht="15.95" customHeight="1" x14ac:dyDescent="0.2">
      <c r="M63" s="60"/>
    </row>
    <row r="64" spans="1:13" s="51" customFormat="1" ht="15.95" customHeight="1" x14ac:dyDescent="0.2">
      <c r="M64" s="60"/>
    </row>
    <row r="65" spans="13:13" s="51" customFormat="1" ht="15.95" customHeight="1" x14ac:dyDescent="0.2">
      <c r="M65" s="60"/>
    </row>
    <row r="66" spans="13:13" s="51" customFormat="1" ht="15.95" customHeight="1" x14ac:dyDescent="0.2">
      <c r="M66" s="60"/>
    </row>
    <row r="67" spans="13:13" s="51" customFormat="1" ht="15.95" customHeight="1" x14ac:dyDescent="0.2">
      <c r="M67" s="60"/>
    </row>
    <row r="68" spans="13:13" s="51" customFormat="1" ht="15.95" customHeight="1" x14ac:dyDescent="0.2">
      <c r="M68" s="60"/>
    </row>
    <row r="69" spans="13:13" s="51" customFormat="1" ht="15.95" customHeight="1" x14ac:dyDescent="0.2">
      <c r="M69" s="60"/>
    </row>
    <row r="70" spans="13:13" s="51" customFormat="1" ht="15.95" customHeight="1" x14ac:dyDescent="0.2">
      <c r="M70" s="60"/>
    </row>
    <row r="71" spans="13:13" s="51" customFormat="1" ht="15.95" customHeight="1" x14ac:dyDescent="0.2">
      <c r="M71" s="60"/>
    </row>
    <row r="72" spans="13:13" s="51" customFormat="1" ht="15.95" customHeight="1" x14ac:dyDescent="0.2">
      <c r="M72" s="60"/>
    </row>
    <row r="73" spans="13:13" s="51" customFormat="1" ht="15.95" customHeight="1" x14ac:dyDescent="0.2">
      <c r="M73" s="60"/>
    </row>
    <row r="74" spans="13:13" s="51" customFormat="1" ht="15.95" customHeight="1" x14ac:dyDescent="0.2">
      <c r="M74" s="60"/>
    </row>
    <row r="75" spans="13:13" s="51" customFormat="1" ht="15.95" customHeight="1" x14ac:dyDescent="0.2">
      <c r="M75" s="60"/>
    </row>
    <row r="76" spans="13:13" s="51" customFormat="1" ht="15.95" customHeight="1" x14ac:dyDescent="0.2">
      <c r="M76" s="60"/>
    </row>
    <row r="77" spans="13:13" s="51" customFormat="1" ht="15.95" customHeight="1" x14ac:dyDescent="0.2">
      <c r="M77" s="60"/>
    </row>
    <row r="78" spans="13:13" s="51" customFormat="1" ht="15.95" customHeight="1" x14ac:dyDescent="0.2">
      <c r="M78" s="60"/>
    </row>
    <row r="79" spans="13:13" s="51" customFormat="1" ht="15.95" customHeight="1" x14ac:dyDescent="0.2">
      <c r="M79" s="60"/>
    </row>
    <row r="80" spans="13:13" s="51" customFormat="1" ht="15.95" customHeight="1" x14ac:dyDescent="0.2">
      <c r="M80" s="60"/>
    </row>
    <row r="81" spans="12:1024" ht="15.95" customHeight="1" x14ac:dyDescent="0.2">
      <c r="M81" s="60"/>
    </row>
    <row r="82" spans="12:1024" ht="15.95" customHeight="1" x14ac:dyDescent="0.2">
      <c r="M82" s="60"/>
    </row>
    <row r="83" spans="12:1024" ht="15.95" customHeight="1" x14ac:dyDescent="0.2">
      <c r="M83" s="60"/>
    </row>
    <row r="84" spans="12:1024" ht="15.95" customHeight="1" x14ac:dyDescent="0.2">
      <c r="M84" s="60"/>
    </row>
    <row r="85" spans="12:1024" ht="15.95" customHeight="1" x14ac:dyDescent="0.2">
      <c r="M85" s="60"/>
    </row>
    <row r="86" spans="12:1024" ht="15.95" customHeight="1" x14ac:dyDescent="0.2">
      <c r="L86" s="83"/>
      <c r="M86" s="84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3"/>
      <c r="DE86" s="83"/>
      <c r="DF86" s="83"/>
      <c r="DG86" s="83"/>
      <c r="DH86" s="83"/>
      <c r="DI86" s="83"/>
      <c r="DJ86" s="83"/>
      <c r="DK86" s="83"/>
      <c r="DL86" s="83"/>
      <c r="DM86" s="83"/>
      <c r="DN86" s="83"/>
      <c r="DO86" s="83"/>
      <c r="DP86" s="83"/>
      <c r="DQ86" s="83"/>
      <c r="DR86" s="83"/>
      <c r="DS86" s="83"/>
      <c r="DT86" s="83"/>
      <c r="DU86" s="83"/>
      <c r="DV86" s="83"/>
      <c r="DW86" s="83"/>
      <c r="DX86" s="83"/>
      <c r="DY86" s="83"/>
      <c r="DZ86" s="83"/>
      <c r="EA86" s="83"/>
      <c r="EB86" s="83"/>
      <c r="EC86" s="83"/>
      <c r="ED86" s="83"/>
      <c r="EE86" s="83"/>
      <c r="EF86" s="83"/>
      <c r="EG86" s="83"/>
      <c r="EH86" s="83"/>
      <c r="EI86" s="83"/>
      <c r="EJ86" s="83"/>
      <c r="EK86" s="83"/>
      <c r="EL86" s="83"/>
      <c r="EM86" s="83"/>
      <c r="EN86" s="83"/>
      <c r="EO86" s="83"/>
      <c r="EP86" s="83"/>
      <c r="EQ86" s="83"/>
      <c r="ER86" s="83"/>
      <c r="ES86" s="83"/>
      <c r="ET86" s="83"/>
      <c r="EU86" s="83"/>
      <c r="EV86" s="83"/>
      <c r="EW86" s="83"/>
      <c r="EX86" s="83"/>
      <c r="EY86" s="83"/>
      <c r="EZ86" s="83"/>
      <c r="FA86" s="83"/>
      <c r="FB86" s="83"/>
      <c r="FC86" s="83"/>
      <c r="FD86" s="83"/>
      <c r="FE86" s="83"/>
      <c r="FF86" s="83"/>
      <c r="FG86" s="83"/>
      <c r="FH86" s="83"/>
      <c r="FI86" s="83"/>
      <c r="FJ86" s="83"/>
      <c r="FK86" s="83"/>
      <c r="FL86" s="83"/>
      <c r="FM86" s="83"/>
      <c r="FN86" s="83"/>
      <c r="FO86" s="83"/>
      <c r="FP86" s="83"/>
      <c r="FQ86" s="83"/>
      <c r="FR86" s="83"/>
      <c r="FS86" s="83"/>
      <c r="FT86" s="83"/>
      <c r="FU86" s="83"/>
      <c r="FV86" s="83"/>
      <c r="FW86" s="83"/>
      <c r="FX86" s="83"/>
      <c r="FY86" s="83"/>
      <c r="FZ86" s="83"/>
      <c r="GA86" s="83"/>
      <c r="GB86" s="83"/>
      <c r="GC86" s="83"/>
      <c r="GD86" s="83"/>
      <c r="GE86" s="83"/>
      <c r="GF86" s="83"/>
      <c r="GG86" s="83"/>
      <c r="GH86" s="83"/>
      <c r="GI86" s="83"/>
      <c r="GJ86" s="83"/>
      <c r="GK86" s="83"/>
      <c r="GL86" s="83"/>
      <c r="GM86" s="83"/>
      <c r="GN86" s="83"/>
      <c r="GO86" s="83"/>
      <c r="GP86" s="83"/>
      <c r="GQ86" s="83"/>
      <c r="GR86" s="83"/>
      <c r="GS86" s="83"/>
      <c r="GT86" s="83"/>
      <c r="GU86" s="83"/>
      <c r="GV86" s="83"/>
      <c r="GW86" s="83"/>
      <c r="GX86" s="83"/>
      <c r="GY86" s="83"/>
      <c r="GZ86" s="83"/>
      <c r="HA86" s="83"/>
      <c r="HB86" s="83"/>
      <c r="HC86" s="83"/>
      <c r="HD86" s="83"/>
      <c r="HE86" s="83"/>
      <c r="HF86" s="83"/>
      <c r="HG86" s="83"/>
      <c r="HH86" s="83"/>
      <c r="HI86" s="83"/>
      <c r="HJ86" s="83"/>
      <c r="HK86" s="83"/>
      <c r="HL86" s="83"/>
      <c r="HM86" s="83"/>
      <c r="HN86" s="83"/>
      <c r="HO86" s="83"/>
      <c r="HP86" s="83"/>
      <c r="HQ86" s="83"/>
      <c r="HR86" s="83"/>
      <c r="HS86" s="83"/>
      <c r="HT86" s="83"/>
      <c r="HU86" s="83"/>
      <c r="HV86" s="83"/>
      <c r="HW86" s="83"/>
      <c r="HX86" s="83"/>
      <c r="HY86" s="83"/>
      <c r="HZ86" s="83"/>
      <c r="IA86" s="83"/>
      <c r="IB86" s="83"/>
      <c r="IC86" s="83"/>
      <c r="ID86" s="83"/>
      <c r="IE86" s="83"/>
      <c r="IF86" s="83"/>
      <c r="IG86" s="83"/>
      <c r="IH86" s="83"/>
      <c r="II86" s="83"/>
      <c r="IJ86" s="83"/>
      <c r="IK86" s="83"/>
      <c r="IL86" s="83"/>
      <c r="IM86" s="83"/>
      <c r="IN86" s="83"/>
      <c r="IO86" s="83"/>
      <c r="IP86" s="83"/>
      <c r="IQ86" s="83"/>
      <c r="IR86" s="83"/>
      <c r="IS86" s="83"/>
      <c r="IT86" s="83"/>
      <c r="IU86" s="83"/>
      <c r="IV86" s="83"/>
      <c r="IW86" s="83"/>
      <c r="IX86" s="83"/>
      <c r="IY86" s="83"/>
      <c r="IZ86" s="83"/>
      <c r="JA86" s="83"/>
      <c r="JB86" s="83"/>
      <c r="JC86" s="83"/>
      <c r="JD86" s="83"/>
      <c r="JE86" s="83"/>
      <c r="JF86" s="83"/>
      <c r="JG86" s="83"/>
      <c r="JH86" s="83"/>
      <c r="JI86" s="83"/>
      <c r="JJ86" s="83"/>
      <c r="JK86" s="83"/>
      <c r="JL86" s="83"/>
      <c r="JM86" s="83"/>
      <c r="JN86" s="83"/>
      <c r="JO86" s="83"/>
      <c r="JP86" s="83"/>
      <c r="JQ86" s="83"/>
      <c r="JR86" s="83"/>
      <c r="JS86" s="83"/>
      <c r="JT86" s="83"/>
      <c r="JU86" s="83"/>
      <c r="JV86" s="83"/>
      <c r="JW86" s="83"/>
      <c r="JX86" s="83"/>
      <c r="JY86" s="83"/>
      <c r="JZ86" s="83"/>
      <c r="KA86" s="83"/>
      <c r="KB86" s="83"/>
      <c r="KC86" s="83"/>
      <c r="KD86" s="83"/>
      <c r="KE86" s="83"/>
      <c r="KF86" s="83"/>
      <c r="KG86" s="83"/>
      <c r="KH86" s="83"/>
      <c r="KI86" s="83"/>
      <c r="KJ86" s="83"/>
      <c r="KK86" s="83"/>
      <c r="KL86" s="83"/>
      <c r="KM86" s="83"/>
      <c r="KN86" s="83"/>
      <c r="KO86" s="83"/>
      <c r="KP86" s="83"/>
      <c r="KQ86" s="83"/>
      <c r="KR86" s="83"/>
      <c r="KS86" s="83"/>
      <c r="KT86" s="83"/>
      <c r="KU86" s="83"/>
      <c r="KV86" s="83"/>
      <c r="KW86" s="83"/>
      <c r="KX86" s="83"/>
      <c r="KY86" s="83"/>
      <c r="KZ86" s="83"/>
      <c r="LA86" s="83"/>
      <c r="LB86" s="83"/>
      <c r="LC86" s="83"/>
      <c r="LD86" s="83"/>
      <c r="LE86" s="83"/>
      <c r="LF86" s="83"/>
      <c r="LG86" s="83"/>
      <c r="LH86" s="83"/>
      <c r="LI86" s="83"/>
      <c r="LJ86" s="83"/>
      <c r="LK86" s="83"/>
      <c r="LL86" s="83"/>
      <c r="LM86" s="83"/>
      <c r="LN86" s="83"/>
      <c r="LO86" s="83"/>
      <c r="LP86" s="83"/>
      <c r="LQ86" s="83"/>
      <c r="LR86" s="83"/>
      <c r="LS86" s="83"/>
      <c r="LT86" s="83"/>
      <c r="LU86" s="83"/>
      <c r="LV86" s="83"/>
      <c r="LW86" s="83"/>
      <c r="LX86" s="83"/>
      <c r="LY86" s="83"/>
      <c r="LZ86" s="83"/>
      <c r="MA86" s="83"/>
      <c r="MB86" s="83"/>
      <c r="MC86" s="83"/>
      <c r="MD86" s="83"/>
      <c r="ME86" s="83"/>
      <c r="MF86" s="83"/>
      <c r="MG86" s="83"/>
      <c r="MH86" s="83"/>
      <c r="MI86" s="83"/>
      <c r="MJ86" s="83"/>
      <c r="MK86" s="83"/>
      <c r="ML86" s="83"/>
      <c r="MM86" s="83"/>
      <c r="MN86" s="83"/>
      <c r="MO86" s="83"/>
      <c r="MP86" s="83"/>
      <c r="MQ86" s="83"/>
      <c r="MR86" s="83"/>
      <c r="MS86" s="83"/>
      <c r="MT86" s="83"/>
      <c r="MU86" s="83"/>
      <c r="MV86" s="83"/>
      <c r="MW86" s="83"/>
      <c r="MX86" s="83"/>
      <c r="MY86" s="83"/>
      <c r="MZ86" s="83"/>
      <c r="NA86" s="83"/>
      <c r="NB86" s="83"/>
      <c r="NC86" s="83"/>
      <c r="ND86" s="83"/>
      <c r="NE86" s="83"/>
      <c r="NF86" s="83"/>
      <c r="NG86" s="83"/>
      <c r="NH86" s="83"/>
      <c r="NI86" s="83"/>
      <c r="NJ86" s="83"/>
      <c r="NK86" s="83"/>
      <c r="NL86" s="83"/>
      <c r="NM86" s="83"/>
      <c r="NN86" s="83"/>
      <c r="NO86" s="83"/>
      <c r="NP86" s="83"/>
      <c r="NQ86" s="83"/>
      <c r="NR86" s="83"/>
      <c r="NS86" s="83"/>
      <c r="NT86" s="83"/>
      <c r="NU86" s="83"/>
      <c r="NV86" s="83"/>
      <c r="NW86" s="83"/>
      <c r="NX86" s="83"/>
      <c r="NY86" s="83"/>
      <c r="NZ86" s="83"/>
      <c r="OA86" s="83"/>
      <c r="OB86" s="83"/>
      <c r="OC86" s="83"/>
      <c r="OD86" s="83"/>
      <c r="OE86" s="83"/>
      <c r="OF86" s="83"/>
      <c r="OG86" s="83"/>
      <c r="OH86" s="83"/>
      <c r="OI86" s="83"/>
      <c r="OJ86" s="83"/>
      <c r="OK86" s="83"/>
      <c r="OL86" s="83"/>
      <c r="OM86" s="83"/>
      <c r="ON86" s="83"/>
      <c r="OO86" s="83"/>
      <c r="OP86" s="83"/>
      <c r="OQ86" s="83"/>
      <c r="OR86" s="83"/>
      <c r="OS86" s="83"/>
      <c r="OT86" s="83"/>
      <c r="OU86" s="83"/>
      <c r="OV86" s="83"/>
      <c r="OW86" s="83"/>
      <c r="OX86" s="83"/>
      <c r="OY86" s="83"/>
      <c r="OZ86" s="83"/>
      <c r="PA86" s="83"/>
      <c r="PB86" s="83"/>
      <c r="PC86" s="83"/>
      <c r="PD86" s="83"/>
      <c r="PE86" s="83"/>
      <c r="PF86" s="83"/>
      <c r="PG86" s="83"/>
      <c r="PH86" s="83"/>
      <c r="PI86" s="83"/>
      <c r="PJ86" s="83"/>
      <c r="PK86" s="83"/>
      <c r="PL86" s="83"/>
      <c r="PM86" s="83"/>
      <c r="PN86" s="83"/>
      <c r="PO86" s="83"/>
      <c r="PP86" s="83"/>
      <c r="PQ86" s="83"/>
      <c r="PR86" s="83"/>
      <c r="PS86" s="83"/>
      <c r="PT86" s="83"/>
      <c r="PU86" s="83"/>
      <c r="PV86" s="83"/>
      <c r="PW86" s="83"/>
      <c r="PX86" s="83"/>
      <c r="PY86" s="83"/>
      <c r="PZ86" s="83"/>
      <c r="QA86" s="83"/>
      <c r="QB86" s="83"/>
      <c r="QC86" s="83"/>
      <c r="QD86" s="83"/>
      <c r="QE86" s="83"/>
      <c r="QF86" s="83"/>
      <c r="QG86" s="83"/>
      <c r="QH86" s="83"/>
      <c r="QI86" s="83"/>
      <c r="QJ86" s="83"/>
      <c r="QK86" s="83"/>
      <c r="QL86" s="83"/>
      <c r="QM86" s="83"/>
      <c r="QN86" s="83"/>
      <c r="QO86" s="83"/>
      <c r="QP86" s="83"/>
      <c r="QQ86" s="83"/>
      <c r="QR86" s="83"/>
      <c r="QS86" s="83"/>
      <c r="QT86" s="83"/>
      <c r="QU86" s="83"/>
      <c r="QV86" s="83"/>
      <c r="QW86" s="83"/>
      <c r="QX86" s="83"/>
      <c r="QY86" s="83"/>
      <c r="QZ86" s="83"/>
      <c r="RA86" s="83"/>
      <c r="RB86" s="83"/>
      <c r="RC86" s="83"/>
      <c r="RD86" s="83"/>
      <c r="RE86" s="83"/>
      <c r="RF86" s="83"/>
      <c r="RG86" s="83"/>
      <c r="RH86" s="83"/>
      <c r="RI86" s="83"/>
      <c r="RJ86" s="83"/>
      <c r="RK86" s="83"/>
      <c r="RL86" s="83"/>
      <c r="RM86" s="83"/>
      <c r="RN86" s="83"/>
      <c r="RO86" s="83"/>
      <c r="RP86" s="83"/>
      <c r="RQ86" s="83"/>
      <c r="RR86" s="83"/>
      <c r="RS86" s="83"/>
      <c r="RT86" s="83"/>
      <c r="RU86" s="83"/>
      <c r="RV86" s="83"/>
      <c r="RW86" s="83"/>
      <c r="RX86" s="83"/>
      <c r="RY86" s="83"/>
      <c r="RZ86" s="83"/>
      <c r="SA86" s="83"/>
      <c r="SB86" s="83"/>
      <c r="SC86" s="83"/>
      <c r="SD86" s="83"/>
      <c r="SE86" s="83"/>
      <c r="SF86" s="83"/>
      <c r="SG86" s="83"/>
      <c r="SH86" s="83"/>
      <c r="SI86" s="83"/>
      <c r="SJ86" s="83"/>
      <c r="SK86" s="83"/>
      <c r="SL86" s="83"/>
      <c r="SM86" s="83"/>
      <c r="SN86" s="83"/>
      <c r="SO86" s="83"/>
      <c r="SP86" s="83"/>
      <c r="SQ86" s="83"/>
      <c r="SR86" s="83"/>
      <c r="SS86" s="83"/>
      <c r="ST86" s="83"/>
      <c r="SU86" s="83"/>
      <c r="SV86" s="83"/>
      <c r="SW86" s="83"/>
      <c r="SX86" s="83"/>
      <c r="SY86" s="83"/>
      <c r="SZ86" s="83"/>
      <c r="TA86" s="83"/>
      <c r="TB86" s="83"/>
      <c r="TC86" s="83"/>
      <c r="TD86" s="83"/>
      <c r="TE86" s="83"/>
      <c r="TF86" s="83"/>
      <c r="TG86" s="83"/>
      <c r="TH86" s="83"/>
      <c r="TI86" s="83"/>
      <c r="TJ86" s="83"/>
      <c r="TK86" s="83"/>
      <c r="TL86" s="83"/>
      <c r="TM86" s="83"/>
      <c r="TN86" s="83"/>
      <c r="TO86" s="83"/>
      <c r="TP86" s="83"/>
      <c r="TQ86" s="83"/>
      <c r="TR86" s="83"/>
      <c r="TS86" s="83"/>
      <c r="TT86" s="83"/>
      <c r="TU86" s="83"/>
      <c r="TV86" s="83"/>
      <c r="TW86" s="83"/>
      <c r="TX86" s="83"/>
      <c r="TY86" s="83"/>
      <c r="TZ86" s="83"/>
      <c r="UA86" s="83"/>
      <c r="UB86" s="83"/>
      <c r="UC86" s="83"/>
      <c r="UD86" s="83"/>
      <c r="UE86" s="83"/>
      <c r="UF86" s="83"/>
      <c r="UG86" s="83"/>
      <c r="UH86" s="83"/>
      <c r="UI86" s="83"/>
      <c r="UJ86" s="83"/>
      <c r="UK86" s="83"/>
      <c r="UL86" s="83"/>
      <c r="UM86" s="83"/>
      <c r="UN86" s="83"/>
      <c r="UO86" s="83"/>
      <c r="UP86" s="83"/>
      <c r="UQ86" s="83"/>
      <c r="UR86" s="83"/>
      <c r="US86" s="83"/>
      <c r="UT86" s="83"/>
      <c r="UU86" s="83"/>
      <c r="UV86" s="83"/>
      <c r="UW86" s="83"/>
      <c r="UX86" s="83"/>
      <c r="UY86" s="83"/>
      <c r="UZ86" s="83"/>
      <c r="VA86" s="83"/>
      <c r="VB86" s="83"/>
      <c r="VC86" s="83"/>
      <c r="VD86" s="83"/>
      <c r="VE86" s="83"/>
      <c r="VF86" s="83"/>
      <c r="VG86" s="83"/>
      <c r="VH86" s="83"/>
      <c r="VI86" s="83"/>
      <c r="VJ86" s="83"/>
      <c r="VK86" s="83"/>
      <c r="VL86" s="83"/>
      <c r="VM86" s="83"/>
      <c r="VN86" s="83"/>
      <c r="VO86" s="83"/>
      <c r="VP86" s="83"/>
      <c r="VQ86" s="83"/>
      <c r="VR86" s="83"/>
      <c r="VS86" s="83"/>
      <c r="VT86" s="83"/>
      <c r="VU86" s="83"/>
      <c r="VV86" s="83"/>
      <c r="VW86" s="83"/>
      <c r="VX86" s="83"/>
      <c r="VY86" s="83"/>
      <c r="VZ86" s="83"/>
      <c r="WA86" s="83"/>
      <c r="WB86" s="83"/>
      <c r="WC86" s="83"/>
      <c r="WD86" s="83"/>
      <c r="WE86" s="83"/>
      <c r="WF86" s="83"/>
      <c r="WG86" s="83"/>
      <c r="WH86" s="83"/>
      <c r="WI86" s="83"/>
      <c r="WJ86" s="83"/>
      <c r="WK86" s="83"/>
      <c r="WL86" s="83"/>
      <c r="WM86" s="83"/>
      <c r="WN86" s="83"/>
      <c r="WO86" s="83"/>
      <c r="WP86" s="83"/>
      <c r="WQ86" s="83"/>
      <c r="WR86" s="83"/>
      <c r="WS86" s="83"/>
      <c r="WT86" s="83"/>
      <c r="WU86" s="83"/>
      <c r="WV86" s="83"/>
      <c r="WW86" s="83"/>
      <c r="WX86" s="83"/>
      <c r="WY86" s="83"/>
      <c r="WZ86" s="83"/>
      <c r="XA86" s="83"/>
      <c r="XB86" s="83"/>
      <c r="XC86" s="83"/>
      <c r="XD86" s="83"/>
      <c r="XE86" s="83"/>
      <c r="XF86" s="83"/>
      <c r="XG86" s="83"/>
      <c r="XH86" s="83"/>
      <c r="XI86" s="83"/>
      <c r="XJ86" s="83"/>
      <c r="XK86" s="83"/>
      <c r="XL86" s="83"/>
      <c r="XM86" s="83"/>
      <c r="XN86" s="83"/>
      <c r="XO86" s="83"/>
      <c r="XP86" s="83"/>
      <c r="XQ86" s="83"/>
      <c r="XR86" s="83"/>
      <c r="XS86" s="83"/>
      <c r="XT86" s="83"/>
      <c r="XU86" s="83"/>
      <c r="XV86" s="83"/>
      <c r="XW86" s="83"/>
      <c r="XX86" s="83"/>
      <c r="XY86" s="83"/>
      <c r="XZ86" s="83"/>
      <c r="YA86" s="83"/>
      <c r="YB86" s="83"/>
      <c r="YC86" s="83"/>
      <c r="YD86" s="83"/>
      <c r="YE86" s="83"/>
      <c r="YF86" s="83"/>
      <c r="YG86" s="83"/>
      <c r="YH86" s="83"/>
      <c r="YI86" s="83"/>
      <c r="YJ86" s="83"/>
      <c r="YK86" s="83"/>
      <c r="YL86" s="83"/>
      <c r="YM86" s="83"/>
      <c r="YN86" s="83"/>
      <c r="YO86" s="83"/>
      <c r="YP86" s="83"/>
      <c r="YQ86" s="83"/>
      <c r="YR86" s="83"/>
      <c r="YS86" s="83"/>
      <c r="YT86" s="83"/>
      <c r="YU86" s="83"/>
      <c r="YV86" s="83"/>
      <c r="YW86" s="83"/>
      <c r="YX86" s="83"/>
      <c r="YY86" s="83"/>
      <c r="YZ86" s="83"/>
      <c r="ZA86" s="83"/>
      <c r="ZB86" s="83"/>
      <c r="ZC86" s="83"/>
      <c r="ZD86" s="83"/>
      <c r="ZE86" s="83"/>
      <c r="ZF86" s="83"/>
      <c r="ZG86" s="83"/>
      <c r="ZH86" s="83"/>
      <c r="ZI86" s="83"/>
      <c r="ZJ86" s="83"/>
      <c r="ZK86" s="83"/>
      <c r="ZL86" s="83"/>
      <c r="ZM86" s="83"/>
      <c r="ZN86" s="83"/>
      <c r="ZO86" s="83"/>
      <c r="ZP86" s="83"/>
      <c r="ZQ86" s="83"/>
      <c r="ZR86" s="83"/>
      <c r="ZS86" s="83"/>
      <c r="ZT86" s="83"/>
      <c r="ZU86" s="83"/>
      <c r="ZV86" s="83"/>
      <c r="ZW86" s="83"/>
      <c r="ZX86" s="83"/>
      <c r="ZY86" s="83"/>
      <c r="ZZ86" s="83"/>
      <c r="AAA86" s="83"/>
      <c r="AAB86" s="83"/>
      <c r="AAC86" s="83"/>
      <c r="AAD86" s="83"/>
      <c r="AAE86" s="83"/>
      <c r="AAF86" s="83"/>
      <c r="AAG86" s="83"/>
      <c r="AAH86" s="83"/>
      <c r="AAI86" s="83"/>
      <c r="AAJ86" s="83"/>
      <c r="AAK86" s="83"/>
      <c r="AAL86" s="83"/>
      <c r="AAM86" s="83"/>
      <c r="AAN86" s="83"/>
      <c r="AAO86" s="83"/>
      <c r="AAP86" s="83"/>
      <c r="AAQ86" s="83"/>
      <c r="AAR86" s="83"/>
      <c r="AAS86" s="83"/>
      <c r="AAT86" s="83"/>
      <c r="AAU86" s="83"/>
      <c r="AAV86" s="83"/>
      <c r="AAW86" s="83"/>
      <c r="AAX86" s="83"/>
      <c r="AAY86" s="83"/>
      <c r="AAZ86" s="83"/>
      <c r="ABA86" s="83"/>
      <c r="ABB86" s="83"/>
      <c r="ABC86" s="83"/>
      <c r="ABD86" s="83"/>
      <c r="ABE86" s="83"/>
      <c r="ABF86" s="83"/>
      <c r="ABG86" s="83"/>
      <c r="ABH86" s="83"/>
      <c r="ABI86" s="83"/>
      <c r="ABJ86" s="83"/>
      <c r="ABK86" s="83"/>
      <c r="ABL86" s="83"/>
      <c r="ABM86" s="83"/>
      <c r="ABN86" s="83"/>
      <c r="ABO86" s="83"/>
      <c r="ABP86" s="83"/>
      <c r="ABQ86" s="83"/>
      <c r="ABR86" s="83"/>
      <c r="ABS86" s="83"/>
      <c r="ABT86" s="83"/>
      <c r="ABU86" s="83"/>
      <c r="ABV86" s="83"/>
      <c r="ABW86" s="83"/>
      <c r="ABX86" s="83"/>
      <c r="ABY86" s="83"/>
      <c r="ABZ86" s="83"/>
      <c r="ACA86" s="83"/>
      <c r="ACB86" s="83"/>
      <c r="ACC86" s="83"/>
      <c r="ACD86" s="83"/>
      <c r="ACE86" s="83"/>
      <c r="ACF86" s="83"/>
      <c r="ACG86" s="83"/>
      <c r="ACH86" s="83"/>
      <c r="ACI86" s="83"/>
      <c r="ACJ86" s="83"/>
      <c r="ACK86" s="83"/>
      <c r="ACL86" s="83"/>
      <c r="ACM86" s="83"/>
      <c r="ACN86" s="83"/>
      <c r="ACO86" s="83"/>
      <c r="ACP86" s="83"/>
      <c r="ACQ86" s="83"/>
      <c r="ACR86" s="83"/>
      <c r="ACS86" s="83"/>
      <c r="ACT86" s="83"/>
      <c r="ACU86" s="83"/>
      <c r="ACV86" s="83"/>
      <c r="ACW86" s="83"/>
      <c r="ACX86" s="83"/>
      <c r="ACY86" s="83"/>
      <c r="ACZ86" s="83"/>
      <c r="ADA86" s="83"/>
      <c r="ADB86" s="83"/>
      <c r="ADC86" s="83"/>
      <c r="ADD86" s="83"/>
      <c r="ADE86" s="83"/>
      <c r="ADF86" s="83"/>
      <c r="ADG86" s="83"/>
      <c r="ADH86" s="83"/>
      <c r="ADI86" s="83"/>
      <c r="ADJ86" s="83"/>
      <c r="ADK86" s="83"/>
      <c r="ADL86" s="83"/>
      <c r="ADM86" s="83"/>
      <c r="ADN86" s="83"/>
      <c r="ADO86" s="83"/>
      <c r="ADP86" s="83"/>
      <c r="ADQ86" s="83"/>
      <c r="ADR86" s="83"/>
      <c r="ADS86" s="83"/>
      <c r="ADT86" s="83"/>
      <c r="ADU86" s="83"/>
      <c r="ADV86" s="83"/>
      <c r="ADW86" s="83"/>
      <c r="ADX86" s="83"/>
      <c r="ADY86" s="83"/>
      <c r="ADZ86" s="83"/>
      <c r="AEA86" s="83"/>
      <c r="AEB86" s="83"/>
      <c r="AEC86" s="83"/>
      <c r="AED86" s="83"/>
      <c r="AEE86" s="83"/>
      <c r="AEF86" s="83"/>
      <c r="AEG86" s="83"/>
      <c r="AEH86" s="83"/>
      <c r="AEI86" s="83"/>
      <c r="AEJ86" s="83"/>
      <c r="AEK86" s="83"/>
      <c r="AEL86" s="83"/>
      <c r="AEM86" s="83"/>
      <c r="AEN86" s="83"/>
      <c r="AEO86" s="83"/>
      <c r="AEP86" s="83"/>
      <c r="AEQ86" s="83"/>
      <c r="AER86" s="83"/>
      <c r="AES86" s="83"/>
      <c r="AET86" s="83"/>
      <c r="AEU86" s="83"/>
      <c r="AEV86" s="83"/>
      <c r="AEW86" s="83"/>
      <c r="AEX86" s="83"/>
      <c r="AEY86" s="83"/>
      <c r="AEZ86" s="83"/>
      <c r="AFA86" s="83"/>
      <c r="AFB86" s="83"/>
      <c r="AFC86" s="83"/>
      <c r="AFD86" s="83"/>
      <c r="AFE86" s="83"/>
      <c r="AFF86" s="83"/>
      <c r="AFG86" s="83"/>
      <c r="AFH86" s="83"/>
      <c r="AFI86" s="83"/>
      <c r="AFJ86" s="83"/>
      <c r="AFK86" s="83"/>
      <c r="AFL86" s="83"/>
      <c r="AFM86" s="83"/>
      <c r="AFN86" s="83"/>
      <c r="AFO86" s="83"/>
      <c r="AFP86" s="83"/>
      <c r="AFQ86" s="83"/>
      <c r="AFR86" s="83"/>
      <c r="AFS86" s="83"/>
      <c r="AFT86" s="83"/>
      <c r="AFU86" s="83"/>
      <c r="AFV86" s="83"/>
      <c r="AFW86" s="83"/>
      <c r="AFX86" s="83"/>
      <c r="AFY86" s="83"/>
      <c r="AFZ86" s="83"/>
      <c r="AGA86" s="83"/>
      <c r="AGB86" s="83"/>
      <c r="AGC86" s="83"/>
      <c r="AGD86" s="83"/>
      <c r="AGE86" s="83"/>
      <c r="AGF86" s="83"/>
      <c r="AGG86" s="83"/>
      <c r="AGH86" s="83"/>
      <c r="AGI86" s="83"/>
      <c r="AGJ86" s="83"/>
      <c r="AGK86" s="83"/>
      <c r="AGL86" s="83"/>
      <c r="AGM86" s="83"/>
      <c r="AGN86" s="83"/>
      <c r="AGO86" s="83"/>
      <c r="AGP86" s="83"/>
      <c r="AGQ86" s="83"/>
      <c r="AGR86" s="83"/>
      <c r="AGS86" s="83"/>
      <c r="AGT86" s="83"/>
      <c r="AGU86" s="83"/>
      <c r="AGV86" s="83"/>
      <c r="AGW86" s="83"/>
      <c r="AGX86" s="83"/>
      <c r="AGY86" s="83"/>
      <c r="AGZ86" s="83"/>
      <c r="AHA86" s="83"/>
      <c r="AHB86" s="83"/>
      <c r="AHC86" s="83"/>
      <c r="AHD86" s="83"/>
      <c r="AHE86" s="83"/>
      <c r="AHF86" s="83"/>
      <c r="AHG86" s="83"/>
      <c r="AHH86" s="83"/>
      <c r="AHI86" s="83"/>
      <c r="AHJ86" s="83"/>
      <c r="AHK86" s="83"/>
      <c r="AHL86" s="83"/>
      <c r="AHM86" s="83"/>
      <c r="AHN86" s="83"/>
      <c r="AHO86" s="83"/>
      <c r="AHP86" s="83"/>
      <c r="AHQ86" s="83"/>
      <c r="AHR86" s="83"/>
      <c r="AHS86" s="83"/>
      <c r="AHT86" s="83"/>
      <c r="AHU86" s="83"/>
      <c r="AHV86" s="83"/>
      <c r="AHW86" s="83"/>
      <c r="AHX86" s="83"/>
      <c r="AHY86" s="83"/>
      <c r="AHZ86" s="83"/>
      <c r="AIA86" s="83"/>
      <c r="AIB86" s="83"/>
      <c r="AIC86" s="83"/>
      <c r="AID86" s="83"/>
      <c r="AIE86" s="83"/>
      <c r="AIF86" s="83"/>
      <c r="AIG86" s="83"/>
      <c r="AIH86" s="83"/>
      <c r="AII86" s="83"/>
      <c r="AIJ86" s="83"/>
      <c r="AIK86" s="83"/>
      <c r="AIL86" s="83"/>
      <c r="AIM86" s="83"/>
      <c r="AIN86" s="83"/>
      <c r="AIO86" s="83"/>
      <c r="AIP86" s="83"/>
      <c r="AIQ86" s="83"/>
      <c r="AIR86" s="83"/>
      <c r="AIS86" s="83"/>
      <c r="AIT86" s="83"/>
      <c r="AIU86" s="83"/>
      <c r="AIV86" s="83"/>
      <c r="AIW86" s="83"/>
      <c r="AIX86" s="83"/>
      <c r="AIY86" s="83"/>
      <c r="AIZ86" s="83"/>
      <c r="AJA86" s="83"/>
      <c r="AJB86" s="83"/>
      <c r="AJC86" s="83"/>
      <c r="AJD86" s="83"/>
      <c r="AJE86" s="83"/>
      <c r="AJF86" s="83"/>
      <c r="AJG86" s="83"/>
      <c r="AJH86" s="83"/>
      <c r="AJI86" s="83"/>
      <c r="AJJ86" s="83"/>
      <c r="AJK86" s="83"/>
      <c r="AJL86" s="83"/>
      <c r="AJM86" s="83"/>
      <c r="AJN86" s="83"/>
      <c r="AJO86" s="83"/>
      <c r="AJP86" s="83"/>
      <c r="AJQ86" s="83"/>
      <c r="AJR86" s="83"/>
      <c r="AJS86" s="83"/>
      <c r="AJT86" s="83"/>
      <c r="AJU86" s="83"/>
      <c r="AJV86" s="83"/>
      <c r="AJW86" s="83"/>
      <c r="AJX86" s="83"/>
      <c r="AJY86" s="83"/>
      <c r="AJZ86" s="83"/>
      <c r="AKA86" s="83"/>
      <c r="AKB86" s="83"/>
      <c r="AKC86" s="83"/>
      <c r="AKD86" s="83"/>
      <c r="AKE86" s="83"/>
      <c r="AKF86" s="83"/>
      <c r="AKG86" s="83"/>
      <c r="AKH86" s="83"/>
      <c r="AKI86" s="83"/>
      <c r="AKJ86" s="83"/>
      <c r="AKK86" s="83"/>
      <c r="AKL86" s="83"/>
      <c r="AKM86" s="83"/>
      <c r="AKN86" s="83"/>
      <c r="AKO86" s="83"/>
      <c r="AKP86" s="83"/>
      <c r="AKQ86" s="83"/>
      <c r="AKR86" s="83"/>
      <c r="AKS86" s="83"/>
      <c r="AKT86" s="83"/>
      <c r="AKU86" s="83"/>
      <c r="AKV86" s="83"/>
      <c r="AKW86" s="83"/>
      <c r="AKX86" s="83"/>
      <c r="AKY86" s="83"/>
      <c r="AKZ86" s="83"/>
      <c r="ALA86" s="83"/>
      <c r="ALB86" s="83"/>
      <c r="ALC86" s="83"/>
      <c r="ALD86" s="83"/>
      <c r="ALE86" s="83"/>
      <c r="ALF86" s="83"/>
      <c r="ALG86" s="83"/>
      <c r="ALH86" s="83"/>
      <c r="ALI86" s="83"/>
      <c r="ALJ86" s="83"/>
      <c r="ALK86" s="83"/>
      <c r="ALL86" s="83"/>
      <c r="ALM86" s="83"/>
      <c r="ALN86" s="83"/>
      <c r="ALO86" s="83"/>
      <c r="ALP86" s="83"/>
      <c r="ALQ86" s="83"/>
      <c r="ALR86" s="83"/>
      <c r="ALS86" s="83"/>
      <c r="ALT86" s="83"/>
      <c r="ALU86" s="83"/>
      <c r="ALV86" s="83"/>
      <c r="ALW86" s="83"/>
      <c r="ALX86" s="83"/>
      <c r="ALY86" s="83"/>
      <c r="ALZ86" s="83"/>
      <c r="AMA86" s="83"/>
      <c r="AMB86" s="83"/>
      <c r="AMC86" s="83"/>
      <c r="AMD86" s="83"/>
      <c r="AME86" s="83"/>
      <c r="AMF86" s="83"/>
      <c r="AMG86" s="83"/>
      <c r="AMH86" s="83"/>
      <c r="AMI86" s="83"/>
      <c r="AMJ86" s="83"/>
    </row>
    <row r="87" spans="12:1024" ht="15.95" customHeight="1" x14ac:dyDescent="0.2">
      <c r="L87" s="83"/>
      <c r="M87" s="84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  <c r="CP87" s="83"/>
      <c r="CQ87" s="83"/>
      <c r="CR87" s="83"/>
      <c r="CS87" s="83"/>
      <c r="CT87" s="83"/>
      <c r="CU87" s="83"/>
      <c r="CV87" s="83"/>
      <c r="CW87" s="83"/>
      <c r="CX87" s="83"/>
      <c r="CY87" s="83"/>
      <c r="CZ87" s="83"/>
      <c r="DA87" s="83"/>
      <c r="DB87" s="83"/>
      <c r="DC87" s="83"/>
      <c r="DD87" s="83"/>
      <c r="DE87" s="83"/>
      <c r="DF87" s="83"/>
      <c r="DG87" s="83"/>
      <c r="DH87" s="83"/>
      <c r="DI87" s="83"/>
      <c r="DJ87" s="83"/>
      <c r="DK87" s="83"/>
      <c r="DL87" s="83"/>
      <c r="DM87" s="83"/>
      <c r="DN87" s="83"/>
      <c r="DO87" s="83"/>
      <c r="DP87" s="83"/>
      <c r="DQ87" s="83"/>
      <c r="DR87" s="83"/>
      <c r="DS87" s="83"/>
      <c r="DT87" s="83"/>
      <c r="DU87" s="83"/>
      <c r="DV87" s="83"/>
      <c r="DW87" s="83"/>
      <c r="DX87" s="83"/>
      <c r="DY87" s="83"/>
      <c r="DZ87" s="83"/>
      <c r="EA87" s="83"/>
      <c r="EB87" s="83"/>
      <c r="EC87" s="83"/>
      <c r="ED87" s="83"/>
      <c r="EE87" s="83"/>
      <c r="EF87" s="83"/>
      <c r="EG87" s="83"/>
      <c r="EH87" s="83"/>
      <c r="EI87" s="83"/>
      <c r="EJ87" s="83"/>
      <c r="EK87" s="83"/>
      <c r="EL87" s="83"/>
      <c r="EM87" s="83"/>
      <c r="EN87" s="83"/>
      <c r="EO87" s="83"/>
      <c r="EP87" s="83"/>
      <c r="EQ87" s="83"/>
      <c r="ER87" s="83"/>
      <c r="ES87" s="83"/>
      <c r="ET87" s="83"/>
      <c r="EU87" s="83"/>
      <c r="EV87" s="83"/>
      <c r="EW87" s="83"/>
      <c r="EX87" s="83"/>
      <c r="EY87" s="83"/>
      <c r="EZ87" s="83"/>
      <c r="FA87" s="83"/>
      <c r="FB87" s="83"/>
      <c r="FC87" s="83"/>
      <c r="FD87" s="83"/>
      <c r="FE87" s="83"/>
      <c r="FF87" s="83"/>
      <c r="FG87" s="83"/>
      <c r="FH87" s="83"/>
      <c r="FI87" s="83"/>
      <c r="FJ87" s="83"/>
      <c r="FK87" s="83"/>
      <c r="FL87" s="83"/>
      <c r="FM87" s="83"/>
      <c r="FN87" s="83"/>
      <c r="FO87" s="83"/>
      <c r="FP87" s="83"/>
      <c r="FQ87" s="83"/>
      <c r="FR87" s="83"/>
      <c r="FS87" s="83"/>
      <c r="FT87" s="83"/>
      <c r="FU87" s="83"/>
      <c r="FV87" s="83"/>
      <c r="FW87" s="83"/>
      <c r="FX87" s="83"/>
      <c r="FY87" s="83"/>
      <c r="FZ87" s="83"/>
      <c r="GA87" s="83"/>
      <c r="GB87" s="83"/>
      <c r="GC87" s="83"/>
      <c r="GD87" s="83"/>
      <c r="GE87" s="83"/>
      <c r="GF87" s="83"/>
      <c r="GG87" s="83"/>
      <c r="GH87" s="83"/>
      <c r="GI87" s="83"/>
      <c r="GJ87" s="83"/>
      <c r="GK87" s="83"/>
      <c r="GL87" s="83"/>
      <c r="GM87" s="83"/>
      <c r="GN87" s="83"/>
      <c r="GO87" s="83"/>
      <c r="GP87" s="83"/>
      <c r="GQ87" s="83"/>
      <c r="GR87" s="83"/>
      <c r="GS87" s="83"/>
      <c r="GT87" s="83"/>
      <c r="GU87" s="83"/>
      <c r="GV87" s="83"/>
      <c r="GW87" s="83"/>
      <c r="GX87" s="83"/>
      <c r="GY87" s="83"/>
      <c r="GZ87" s="83"/>
      <c r="HA87" s="83"/>
      <c r="HB87" s="83"/>
      <c r="HC87" s="83"/>
      <c r="HD87" s="83"/>
      <c r="HE87" s="83"/>
      <c r="HF87" s="83"/>
      <c r="HG87" s="83"/>
      <c r="HH87" s="83"/>
      <c r="HI87" s="83"/>
      <c r="HJ87" s="83"/>
      <c r="HK87" s="83"/>
      <c r="HL87" s="83"/>
      <c r="HM87" s="83"/>
      <c r="HN87" s="83"/>
      <c r="HO87" s="83"/>
      <c r="HP87" s="83"/>
      <c r="HQ87" s="83"/>
      <c r="HR87" s="83"/>
      <c r="HS87" s="83"/>
      <c r="HT87" s="83"/>
      <c r="HU87" s="83"/>
      <c r="HV87" s="83"/>
      <c r="HW87" s="83"/>
      <c r="HX87" s="83"/>
      <c r="HY87" s="83"/>
      <c r="HZ87" s="83"/>
      <c r="IA87" s="83"/>
      <c r="IB87" s="83"/>
      <c r="IC87" s="83"/>
      <c r="ID87" s="83"/>
      <c r="IE87" s="83"/>
      <c r="IF87" s="83"/>
      <c r="IG87" s="83"/>
      <c r="IH87" s="83"/>
      <c r="II87" s="83"/>
      <c r="IJ87" s="83"/>
      <c r="IK87" s="83"/>
      <c r="IL87" s="83"/>
      <c r="IM87" s="83"/>
      <c r="IN87" s="83"/>
      <c r="IO87" s="83"/>
      <c r="IP87" s="83"/>
      <c r="IQ87" s="83"/>
      <c r="IR87" s="83"/>
      <c r="IS87" s="83"/>
      <c r="IT87" s="83"/>
      <c r="IU87" s="83"/>
      <c r="IV87" s="83"/>
      <c r="IW87" s="83"/>
      <c r="IX87" s="83"/>
      <c r="IY87" s="83"/>
      <c r="IZ87" s="83"/>
      <c r="JA87" s="83"/>
      <c r="JB87" s="83"/>
      <c r="JC87" s="83"/>
      <c r="JD87" s="83"/>
      <c r="JE87" s="83"/>
      <c r="JF87" s="83"/>
      <c r="JG87" s="83"/>
      <c r="JH87" s="83"/>
      <c r="JI87" s="83"/>
      <c r="JJ87" s="83"/>
      <c r="JK87" s="83"/>
      <c r="JL87" s="83"/>
      <c r="JM87" s="83"/>
      <c r="JN87" s="83"/>
      <c r="JO87" s="83"/>
      <c r="JP87" s="83"/>
      <c r="JQ87" s="83"/>
      <c r="JR87" s="83"/>
      <c r="JS87" s="83"/>
      <c r="JT87" s="83"/>
      <c r="JU87" s="83"/>
      <c r="JV87" s="83"/>
      <c r="JW87" s="83"/>
      <c r="JX87" s="83"/>
      <c r="JY87" s="83"/>
      <c r="JZ87" s="83"/>
      <c r="KA87" s="83"/>
      <c r="KB87" s="83"/>
      <c r="KC87" s="83"/>
      <c r="KD87" s="83"/>
      <c r="KE87" s="83"/>
      <c r="KF87" s="83"/>
      <c r="KG87" s="83"/>
      <c r="KH87" s="83"/>
      <c r="KI87" s="83"/>
      <c r="KJ87" s="83"/>
      <c r="KK87" s="83"/>
      <c r="KL87" s="83"/>
      <c r="KM87" s="83"/>
      <c r="KN87" s="83"/>
      <c r="KO87" s="83"/>
      <c r="KP87" s="83"/>
      <c r="KQ87" s="83"/>
      <c r="KR87" s="83"/>
      <c r="KS87" s="83"/>
      <c r="KT87" s="83"/>
      <c r="KU87" s="83"/>
      <c r="KV87" s="83"/>
      <c r="KW87" s="83"/>
      <c r="KX87" s="83"/>
      <c r="KY87" s="83"/>
      <c r="KZ87" s="83"/>
      <c r="LA87" s="83"/>
      <c r="LB87" s="83"/>
      <c r="LC87" s="83"/>
      <c r="LD87" s="83"/>
      <c r="LE87" s="83"/>
      <c r="LF87" s="83"/>
      <c r="LG87" s="83"/>
      <c r="LH87" s="83"/>
      <c r="LI87" s="83"/>
      <c r="LJ87" s="83"/>
      <c r="LK87" s="83"/>
      <c r="LL87" s="83"/>
      <c r="LM87" s="83"/>
      <c r="LN87" s="83"/>
      <c r="LO87" s="83"/>
      <c r="LP87" s="83"/>
      <c r="LQ87" s="83"/>
      <c r="LR87" s="83"/>
      <c r="LS87" s="83"/>
      <c r="LT87" s="83"/>
      <c r="LU87" s="83"/>
      <c r="LV87" s="83"/>
      <c r="LW87" s="83"/>
      <c r="LX87" s="83"/>
      <c r="LY87" s="83"/>
      <c r="LZ87" s="83"/>
      <c r="MA87" s="83"/>
      <c r="MB87" s="83"/>
      <c r="MC87" s="83"/>
      <c r="MD87" s="83"/>
      <c r="ME87" s="83"/>
      <c r="MF87" s="83"/>
      <c r="MG87" s="83"/>
      <c r="MH87" s="83"/>
      <c r="MI87" s="83"/>
      <c r="MJ87" s="83"/>
      <c r="MK87" s="83"/>
      <c r="ML87" s="83"/>
      <c r="MM87" s="83"/>
      <c r="MN87" s="83"/>
      <c r="MO87" s="83"/>
      <c r="MP87" s="83"/>
      <c r="MQ87" s="83"/>
      <c r="MR87" s="83"/>
      <c r="MS87" s="83"/>
      <c r="MT87" s="83"/>
      <c r="MU87" s="83"/>
      <c r="MV87" s="83"/>
      <c r="MW87" s="83"/>
      <c r="MX87" s="83"/>
      <c r="MY87" s="83"/>
      <c r="MZ87" s="83"/>
      <c r="NA87" s="83"/>
      <c r="NB87" s="83"/>
      <c r="NC87" s="83"/>
      <c r="ND87" s="83"/>
      <c r="NE87" s="83"/>
      <c r="NF87" s="83"/>
      <c r="NG87" s="83"/>
      <c r="NH87" s="83"/>
      <c r="NI87" s="83"/>
      <c r="NJ87" s="83"/>
      <c r="NK87" s="83"/>
      <c r="NL87" s="83"/>
      <c r="NM87" s="83"/>
      <c r="NN87" s="83"/>
      <c r="NO87" s="83"/>
      <c r="NP87" s="83"/>
      <c r="NQ87" s="83"/>
      <c r="NR87" s="83"/>
      <c r="NS87" s="83"/>
      <c r="NT87" s="83"/>
      <c r="NU87" s="83"/>
      <c r="NV87" s="83"/>
      <c r="NW87" s="83"/>
      <c r="NX87" s="83"/>
      <c r="NY87" s="83"/>
      <c r="NZ87" s="83"/>
      <c r="OA87" s="83"/>
      <c r="OB87" s="83"/>
      <c r="OC87" s="83"/>
      <c r="OD87" s="83"/>
      <c r="OE87" s="83"/>
      <c r="OF87" s="83"/>
      <c r="OG87" s="83"/>
      <c r="OH87" s="83"/>
      <c r="OI87" s="83"/>
      <c r="OJ87" s="83"/>
      <c r="OK87" s="83"/>
      <c r="OL87" s="83"/>
      <c r="OM87" s="83"/>
      <c r="ON87" s="83"/>
      <c r="OO87" s="83"/>
      <c r="OP87" s="83"/>
      <c r="OQ87" s="83"/>
      <c r="OR87" s="83"/>
      <c r="OS87" s="83"/>
      <c r="OT87" s="83"/>
      <c r="OU87" s="83"/>
      <c r="OV87" s="83"/>
      <c r="OW87" s="83"/>
      <c r="OX87" s="83"/>
      <c r="OY87" s="83"/>
      <c r="OZ87" s="83"/>
      <c r="PA87" s="83"/>
      <c r="PB87" s="83"/>
      <c r="PC87" s="83"/>
      <c r="PD87" s="83"/>
      <c r="PE87" s="83"/>
      <c r="PF87" s="83"/>
      <c r="PG87" s="83"/>
      <c r="PH87" s="83"/>
      <c r="PI87" s="83"/>
      <c r="PJ87" s="83"/>
      <c r="PK87" s="83"/>
      <c r="PL87" s="83"/>
      <c r="PM87" s="83"/>
      <c r="PN87" s="83"/>
      <c r="PO87" s="83"/>
      <c r="PP87" s="83"/>
      <c r="PQ87" s="83"/>
      <c r="PR87" s="83"/>
      <c r="PS87" s="83"/>
      <c r="PT87" s="83"/>
      <c r="PU87" s="83"/>
      <c r="PV87" s="83"/>
      <c r="PW87" s="83"/>
      <c r="PX87" s="83"/>
      <c r="PY87" s="83"/>
      <c r="PZ87" s="83"/>
      <c r="QA87" s="83"/>
      <c r="QB87" s="83"/>
      <c r="QC87" s="83"/>
      <c r="QD87" s="83"/>
      <c r="QE87" s="83"/>
      <c r="QF87" s="83"/>
      <c r="QG87" s="83"/>
      <c r="QH87" s="83"/>
      <c r="QI87" s="83"/>
      <c r="QJ87" s="83"/>
      <c r="QK87" s="83"/>
      <c r="QL87" s="83"/>
      <c r="QM87" s="83"/>
      <c r="QN87" s="83"/>
      <c r="QO87" s="83"/>
      <c r="QP87" s="83"/>
      <c r="QQ87" s="83"/>
      <c r="QR87" s="83"/>
      <c r="QS87" s="83"/>
      <c r="QT87" s="83"/>
      <c r="QU87" s="83"/>
      <c r="QV87" s="83"/>
      <c r="QW87" s="83"/>
      <c r="QX87" s="83"/>
      <c r="QY87" s="83"/>
      <c r="QZ87" s="83"/>
      <c r="RA87" s="83"/>
      <c r="RB87" s="83"/>
      <c r="RC87" s="83"/>
      <c r="RD87" s="83"/>
      <c r="RE87" s="83"/>
      <c r="RF87" s="83"/>
      <c r="RG87" s="83"/>
      <c r="RH87" s="83"/>
      <c r="RI87" s="83"/>
      <c r="RJ87" s="83"/>
      <c r="RK87" s="83"/>
      <c r="RL87" s="83"/>
      <c r="RM87" s="83"/>
      <c r="RN87" s="83"/>
      <c r="RO87" s="83"/>
      <c r="RP87" s="83"/>
      <c r="RQ87" s="83"/>
      <c r="RR87" s="83"/>
      <c r="RS87" s="83"/>
      <c r="RT87" s="83"/>
      <c r="RU87" s="83"/>
      <c r="RV87" s="83"/>
      <c r="RW87" s="83"/>
      <c r="RX87" s="83"/>
      <c r="RY87" s="83"/>
      <c r="RZ87" s="83"/>
      <c r="SA87" s="83"/>
      <c r="SB87" s="83"/>
      <c r="SC87" s="83"/>
      <c r="SD87" s="83"/>
      <c r="SE87" s="83"/>
      <c r="SF87" s="83"/>
      <c r="SG87" s="83"/>
      <c r="SH87" s="83"/>
      <c r="SI87" s="83"/>
      <c r="SJ87" s="83"/>
      <c r="SK87" s="83"/>
      <c r="SL87" s="83"/>
      <c r="SM87" s="83"/>
      <c r="SN87" s="83"/>
      <c r="SO87" s="83"/>
      <c r="SP87" s="83"/>
      <c r="SQ87" s="83"/>
      <c r="SR87" s="83"/>
      <c r="SS87" s="83"/>
      <c r="ST87" s="83"/>
      <c r="SU87" s="83"/>
      <c r="SV87" s="83"/>
      <c r="SW87" s="83"/>
      <c r="SX87" s="83"/>
      <c r="SY87" s="83"/>
      <c r="SZ87" s="83"/>
      <c r="TA87" s="83"/>
      <c r="TB87" s="83"/>
      <c r="TC87" s="83"/>
      <c r="TD87" s="83"/>
      <c r="TE87" s="83"/>
      <c r="TF87" s="83"/>
      <c r="TG87" s="83"/>
      <c r="TH87" s="83"/>
      <c r="TI87" s="83"/>
      <c r="TJ87" s="83"/>
      <c r="TK87" s="83"/>
      <c r="TL87" s="83"/>
      <c r="TM87" s="83"/>
      <c r="TN87" s="83"/>
      <c r="TO87" s="83"/>
      <c r="TP87" s="83"/>
      <c r="TQ87" s="83"/>
      <c r="TR87" s="83"/>
      <c r="TS87" s="83"/>
      <c r="TT87" s="83"/>
      <c r="TU87" s="83"/>
      <c r="TV87" s="83"/>
      <c r="TW87" s="83"/>
      <c r="TX87" s="83"/>
      <c r="TY87" s="83"/>
      <c r="TZ87" s="83"/>
      <c r="UA87" s="83"/>
      <c r="UB87" s="83"/>
      <c r="UC87" s="83"/>
      <c r="UD87" s="83"/>
      <c r="UE87" s="83"/>
      <c r="UF87" s="83"/>
      <c r="UG87" s="83"/>
      <c r="UH87" s="83"/>
      <c r="UI87" s="83"/>
      <c r="UJ87" s="83"/>
      <c r="UK87" s="83"/>
      <c r="UL87" s="83"/>
      <c r="UM87" s="83"/>
      <c r="UN87" s="83"/>
      <c r="UO87" s="83"/>
      <c r="UP87" s="83"/>
      <c r="UQ87" s="83"/>
      <c r="UR87" s="83"/>
      <c r="US87" s="83"/>
      <c r="UT87" s="83"/>
      <c r="UU87" s="83"/>
      <c r="UV87" s="83"/>
      <c r="UW87" s="83"/>
      <c r="UX87" s="83"/>
      <c r="UY87" s="83"/>
      <c r="UZ87" s="83"/>
      <c r="VA87" s="83"/>
      <c r="VB87" s="83"/>
      <c r="VC87" s="83"/>
      <c r="VD87" s="83"/>
      <c r="VE87" s="83"/>
      <c r="VF87" s="83"/>
      <c r="VG87" s="83"/>
      <c r="VH87" s="83"/>
      <c r="VI87" s="83"/>
      <c r="VJ87" s="83"/>
      <c r="VK87" s="83"/>
      <c r="VL87" s="83"/>
      <c r="VM87" s="83"/>
      <c r="VN87" s="83"/>
      <c r="VO87" s="83"/>
      <c r="VP87" s="83"/>
      <c r="VQ87" s="83"/>
      <c r="VR87" s="83"/>
      <c r="VS87" s="83"/>
      <c r="VT87" s="83"/>
      <c r="VU87" s="83"/>
      <c r="VV87" s="83"/>
      <c r="VW87" s="83"/>
      <c r="VX87" s="83"/>
      <c r="VY87" s="83"/>
      <c r="VZ87" s="83"/>
      <c r="WA87" s="83"/>
      <c r="WB87" s="83"/>
      <c r="WC87" s="83"/>
      <c r="WD87" s="83"/>
      <c r="WE87" s="83"/>
      <c r="WF87" s="83"/>
      <c r="WG87" s="83"/>
      <c r="WH87" s="83"/>
      <c r="WI87" s="83"/>
      <c r="WJ87" s="83"/>
      <c r="WK87" s="83"/>
      <c r="WL87" s="83"/>
      <c r="WM87" s="83"/>
      <c r="WN87" s="83"/>
      <c r="WO87" s="83"/>
      <c r="WP87" s="83"/>
      <c r="WQ87" s="83"/>
      <c r="WR87" s="83"/>
      <c r="WS87" s="83"/>
      <c r="WT87" s="83"/>
      <c r="WU87" s="83"/>
      <c r="WV87" s="83"/>
      <c r="WW87" s="83"/>
      <c r="WX87" s="83"/>
      <c r="WY87" s="83"/>
      <c r="WZ87" s="83"/>
      <c r="XA87" s="83"/>
      <c r="XB87" s="83"/>
      <c r="XC87" s="83"/>
      <c r="XD87" s="83"/>
      <c r="XE87" s="83"/>
      <c r="XF87" s="83"/>
      <c r="XG87" s="83"/>
      <c r="XH87" s="83"/>
      <c r="XI87" s="83"/>
      <c r="XJ87" s="83"/>
      <c r="XK87" s="83"/>
      <c r="XL87" s="83"/>
      <c r="XM87" s="83"/>
      <c r="XN87" s="83"/>
      <c r="XO87" s="83"/>
      <c r="XP87" s="83"/>
      <c r="XQ87" s="83"/>
      <c r="XR87" s="83"/>
      <c r="XS87" s="83"/>
      <c r="XT87" s="83"/>
      <c r="XU87" s="83"/>
      <c r="XV87" s="83"/>
      <c r="XW87" s="83"/>
      <c r="XX87" s="83"/>
      <c r="XY87" s="83"/>
      <c r="XZ87" s="83"/>
      <c r="YA87" s="83"/>
      <c r="YB87" s="83"/>
      <c r="YC87" s="83"/>
      <c r="YD87" s="83"/>
      <c r="YE87" s="83"/>
      <c r="YF87" s="83"/>
      <c r="YG87" s="83"/>
      <c r="YH87" s="83"/>
      <c r="YI87" s="83"/>
      <c r="YJ87" s="83"/>
      <c r="YK87" s="83"/>
      <c r="YL87" s="83"/>
      <c r="YM87" s="83"/>
      <c r="YN87" s="83"/>
      <c r="YO87" s="83"/>
      <c r="YP87" s="83"/>
      <c r="YQ87" s="83"/>
      <c r="YR87" s="83"/>
      <c r="YS87" s="83"/>
      <c r="YT87" s="83"/>
      <c r="YU87" s="83"/>
      <c r="YV87" s="83"/>
      <c r="YW87" s="83"/>
      <c r="YX87" s="83"/>
      <c r="YY87" s="83"/>
      <c r="YZ87" s="83"/>
      <c r="ZA87" s="83"/>
      <c r="ZB87" s="83"/>
      <c r="ZC87" s="83"/>
      <c r="ZD87" s="83"/>
      <c r="ZE87" s="83"/>
      <c r="ZF87" s="83"/>
      <c r="ZG87" s="83"/>
      <c r="ZH87" s="83"/>
      <c r="ZI87" s="83"/>
      <c r="ZJ87" s="83"/>
      <c r="ZK87" s="83"/>
      <c r="ZL87" s="83"/>
      <c r="ZM87" s="83"/>
      <c r="ZN87" s="83"/>
      <c r="ZO87" s="83"/>
      <c r="ZP87" s="83"/>
      <c r="ZQ87" s="83"/>
      <c r="ZR87" s="83"/>
      <c r="ZS87" s="83"/>
      <c r="ZT87" s="83"/>
      <c r="ZU87" s="83"/>
      <c r="ZV87" s="83"/>
      <c r="ZW87" s="83"/>
      <c r="ZX87" s="83"/>
      <c r="ZY87" s="83"/>
      <c r="ZZ87" s="83"/>
      <c r="AAA87" s="83"/>
      <c r="AAB87" s="83"/>
      <c r="AAC87" s="83"/>
      <c r="AAD87" s="83"/>
      <c r="AAE87" s="83"/>
      <c r="AAF87" s="83"/>
      <c r="AAG87" s="83"/>
      <c r="AAH87" s="83"/>
      <c r="AAI87" s="83"/>
      <c r="AAJ87" s="83"/>
      <c r="AAK87" s="83"/>
      <c r="AAL87" s="83"/>
      <c r="AAM87" s="83"/>
      <c r="AAN87" s="83"/>
      <c r="AAO87" s="83"/>
      <c r="AAP87" s="83"/>
      <c r="AAQ87" s="83"/>
      <c r="AAR87" s="83"/>
      <c r="AAS87" s="83"/>
      <c r="AAT87" s="83"/>
      <c r="AAU87" s="83"/>
      <c r="AAV87" s="83"/>
      <c r="AAW87" s="83"/>
      <c r="AAX87" s="83"/>
      <c r="AAY87" s="83"/>
      <c r="AAZ87" s="83"/>
      <c r="ABA87" s="83"/>
      <c r="ABB87" s="83"/>
      <c r="ABC87" s="83"/>
      <c r="ABD87" s="83"/>
      <c r="ABE87" s="83"/>
      <c r="ABF87" s="83"/>
      <c r="ABG87" s="83"/>
      <c r="ABH87" s="83"/>
      <c r="ABI87" s="83"/>
      <c r="ABJ87" s="83"/>
      <c r="ABK87" s="83"/>
      <c r="ABL87" s="83"/>
      <c r="ABM87" s="83"/>
      <c r="ABN87" s="83"/>
      <c r="ABO87" s="83"/>
      <c r="ABP87" s="83"/>
      <c r="ABQ87" s="83"/>
      <c r="ABR87" s="83"/>
      <c r="ABS87" s="83"/>
      <c r="ABT87" s="83"/>
      <c r="ABU87" s="83"/>
      <c r="ABV87" s="83"/>
      <c r="ABW87" s="83"/>
      <c r="ABX87" s="83"/>
      <c r="ABY87" s="83"/>
      <c r="ABZ87" s="83"/>
      <c r="ACA87" s="83"/>
      <c r="ACB87" s="83"/>
      <c r="ACC87" s="83"/>
      <c r="ACD87" s="83"/>
      <c r="ACE87" s="83"/>
      <c r="ACF87" s="83"/>
      <c r="ACG87" s="83"/>
      <c r="ACH87" s="83"/>
      <c r="ACI87" s="83"/>
      <c r="ACJ87" s="83"/>
      <c r="ACK87" s="83"/>
      <c r="ACL87" s="83"/>
      <c r="ACM87" s="83"/>
      <c r="ACN87" s="83"/>
      <c r="ACO87" s="83"/>
      <c r="ACP87" s="83"/>
      <c r="ACQ87" s="83"/>
      <c r="ACR87" s="83"/>
      <c r="ACS87" s="83"/>
      <c r="ACT87" s="83"/>
      <c r="ACU87" s="83"/>
      <c r="ACV87" s="83"/>
      <c r="ACW87" s="83"/>
      <c r="ACX87" s="83"/>
      <c r="ACY87" s="83"/>
      <c r="ACZ87" s="83"/>
      <c r="ADA87" s="83"/>
      <c r="ADB87" s="83"/>
      <c r="ADC87" s="83"/>
      <c r="ADD87" s="83"/>
      <c r="ADE87" s="83"/>
      <c r="ADF87" s="83"/>
      <c r="ADG87" s="83"/>
      <c r="ADH87" s="83"/>
      <c r="ADI87" s="83"/>
      <c r="ADJ87" s="83"/>
      <c r="ADK87" s="83"/>
      <c r="ADL87" s="83"/>
      <c r="ADM87" s="83"/>
      <c r="ADN87" s="83"/>
      <c r="ADO87" s="83"/>
      <c r="ADP87" s="83"/>
      <c r="ADQ87" s="83"/>
      <c r="ADR87" s="83"/>
      <c r="ADS87" s="83"/>
      <c r="ADT87" s="83"/>
      <c r="ADU87" s="83"/>
      <c r="ADV87" s="83"/>
      <c r="ADW87" s="83"/>
      <c r="ADX87" s="83"/>
      <c r="ADY87" s="83"/>
      <c r="ADZ87" s="83"/>
      <c r="AEA87" s="83"/>
      <c r="AEB87" s="83"/>
      <c r="AEC87" s="83"/>
      <c r="AED87" s="83"/>
      <c r="AEE87" s="83"/>
      <c r="AEF87" s="83"/>
      <c r="AEG87" s="83"/>
      <c r="AEH87" s="83"/>
      <c r="AEI87" s="83"/>
      <c r="AEJ87" s="83"/>
      <c r="AEK87" s="83"/>
      <c r="AEL87" s="83"/>
      <c r="AEM87" s="83"/>
      <c r="AEN87" s="83"/>
      <c r="AEO87" s="83"/>
      <c r="AEP87" s="83"/>
      <c r="AEQ87" s="83"/>
      <c r="AER87" s="83"/>
      <c r="AES87" s="83"/>
      <c r="AET87" s="83"/>
      <c r="AEU87" s="83"/>
      <c r="AEV87" s="83"/>
      <c r="AEW87" s="83"/>
      <c r="AEX87" s="83"/>
      <c r="AEY87" s="83"/>
      <c r="AEZ87" s="83"/>
      <c r="AFA87" s="83"/>
      <c r="AFB87" s="83"/>
      <c r="AFC87" s="83"/>
      <c r="AFD87" s="83"/>
      <c r="AFE87" s="83"/>
      <c r="AFF87" s="83"/>
      <c r="AFG87" s="83"/>
      <c r="AFH87" s="83"/>
      <c r="AFI87" s="83"/>
      <c r="AFJ87" s="83"/>
      <c r="AFK87" s="83"/>
      <c r="AFL87" s="83"/>
      <c r="AFM87" s="83"/>
      <c r="AFN87" s="83"/>
      <c r="AFO87" s="83"/>
      <c r="AFP87" s="83"/>
      <c r="AFQ87" s="83"/>
      <c r="AFR87" s="83"/>
      <c r="AFS87" s="83"/>
      <c r="AFT87" s="83"/>
      <c r="AFU87" s="83"/>
      <c r="AFV87" s="83"/>
      <c r="AFW87" s="83"/>
      <c r="AFX87" s="83"/>
      <c r="AFY87" s="83"/>
      <c r="AFZ87" s="83"/>
      <c r="AGA87" s="83"/>
      <c r="AGB87" s="83"/>
      <c r="AGC87" s="83"/>
      <c r="AGD87" s="83"/>
      <c r="AGE87" s="83"/>
      <c r="AGF87" s="83"/>
      <c r="AGG87" s="83"/>
      <c r="AGH87" s="83"/>
      <c r="AGI87" s="83"/>
      <c r="AGJ87" s="83"/>
      <c r="AGK87" s="83"/>
      <c r="AGL87" s="83"/>
      <c r="AGM87" s="83"/>
      <c r="AGN87" s="83"/>
      <c r="AGO87" s="83"/>
      <c r="AGP87" s="83"/>
      <c r="AGQ87" s="83"/>
      <c r="AGR87" s="83"/>
      <c r="AGS87" s="83"/>
      <c r="AGT87" s="83"/>
      <c r="AGU87" s="83"/>
      <c r="AGV87" s="83"/>
      <c r="AGW87" s="83"/>
      <c r="AGX87" s="83"/>
      <c r="AGY87" s="83"/>
      <c r="AGZ87" s="83"/>
      <c r="AHA87" s="83"/>
      <c r="AHB87" s="83"/>
      <c r="AHC87" s="83"/>
      <c r="AHD87" s="83"/>
      <c r="AHE87" s="83"/>
      <c r="AHF87" s="83"/>
      <c r="AHG87" s="83"/>
      <c r="AHH87" s="83"/>
      <c r="AHI87" s="83"/>
      <c r="AHJ87" s="83"/>
      <c r="AHK87" s="83"/>
      <c r="AHL87" s="83"/>
      <c r="AHM87" s="83"/>
      <c r="AHN87" s="83"/>
      <c r="AHO87" s="83"/>
      <c r="AHP87" s="83"/>
      <c r="AHQ87" s="83"/>
      <c r="AHR87" s="83"/>
      <c r="AHS87" s="83"/>
      <c r="AHT87" s="83"/>
      <c r="AHU87" s="83"/>
      <c r="AHV87" s="83"/>
      <c r="AHW87" s="83"/>
      <c r="AHX87" s="83"/>
      <c r="AHY87" s="83"/>
      <c r="AHZ87" s="83"/>
      <c r="AIA87" s="83"/>
      <c r="AIB87" s="83"/>
      <c r="AIC87" s="83"/>
      <c r="AID87" s="83"/>
      <c r="AIE87" s="83"/>
      <c r="AIF87" s="83"/>
      <c r="AIG87" s="83"/>
      <c r="AIH87" s="83"/>
      <c r="AII87" s="83"/>
      <c r="AIJ87" s="83"/>
      <c r="AIK87" s="83"/>
      <c r="AIL87" s="83"/>
      <c r="AIM87" s="83"/>
      <c r="AIN87" s="83"/>
      <c r="AIO87" s="83"/>
      <c r="AIP87" s="83"/>
      <c r="AIQ87" s="83"/>
      <c r="AIR87" s="83"/>
      <c r="AIS87" s="83"/>
      <c r="AIT87" s="83"/>
      <c r="AIU87" s="83"/>
      <c r="AIV87" s="83"/>
      <c r="AIW87" s="83"/>
      <c r="AIX87" s="83"/>
      <c r="AIY87" s="83"/>
      <c r="AIZ87" s="83"/>
      <c r="AJA87" s="83"/>
      <c r="AJB87" s="83"/>
      <c r="AJC87" s="83"/>
      <c r="AJD87" s="83"/>
      <c r="AJE87" s="83"/>
      <c r="AJF87" s="83"/>
      <c r="AJG87" s="83"/>
      <c r="AJH87" s="83"/>
      <c r="AJI87" s="83"/>
      <c r="AJJ87" s="83"/>
      <c r="AJK87" s="83"/>
      <c r="AJL87" s="83"/>
      <c r="AJM87" s="83"/>
      <c r="AJN87" s="83"/>
      <c r="AJO87" s="83"/>
      <c r="AJP87" s="83"/>
      <c r="AJQ87" s="83"/>
      <c r="AJR87" s="83"/>
      <c r="AJS87" s="83"/>
      <c r="AJT87" s="83"/>
      <c r="AJU87" s="83"/>
      <c r="AJV87" s="83"/>
      <c r="AJW87" s="83"/>
      <c r="AJX87" s="83"/>
      <c r="AJY87" s="83"/>
      <c r="AJZ87" s="83"/>
      <c r="AKA87" s="83"/>
      <c r="AKB87" s="83"/>
      <c r="AKC87" s="83"/>
      <c r="AKD87" s="83"/>
      <c r="AKE87" s="83"/>
      <c r="AKF87" s="83"/>
      <c r="AKG87" s="83"/>
      <c r="AKH87" s="83"/>
      <c r="AKI87" s="83"/>
      <c r="AKJ87" s="83"/>
      <c r="AKK87" s="83"/>
      <c r="AKL87" s="83"/>
      <c r="AKM87" s="83"/>
      <c r="AKN87" s="83"/>
      <c r="AKO87" s="83"/>
      <c r="AKP87" s="83"/>
      <c r="AKQ87" s="83"/>
      <c r="AKR87" s="83"/>
      <c r="AKS87" s="83"/>
      <c r="AKT87" s="83"/>
      <c r="AKU87" s="83"/>
      <c r="AKV87" s="83"/>
      <c r="AKW87" s="83"/>
      <c r="AKX87" s="83"/>
      <c r="AKY87" s="83"/>
      <c r="AKZ87" s="83"/>
      <c r="ALA87" s="83"/>
      <c r="ALB87" s="83"/>
      <c r="ALC87" s="83"/>
      <c r="ALD87" s="83"/>
      <c r="ALE87" s="83"/>
      <c r="ALF87" s="83"/>
      <c r="ALG87" s="83"/>
      <c r="ALH87" s="83"/>
      <c r="ALI87" s="83"/>
      <c r="ALJ87" s="83"/>
      <c r="ALK87" s="83"/>
      <c r="ALL87" s="83"/>
      <c r="ALM87" s="83"/>
      <c r="ALN87" s="83"/>
      <c r="ALO87" s="83"/>
      <c r="ALP87" s="83"/>
      <c r="ALQ87" s="83"/>
      <c r="ALR87" s="83"/>
      <c r="ALS87" s="83"/>
      <c r="ALT87" s="83"/>
      <c r="ALU87" s="83"/>
      <c r="ALV87" s="83"/>
      <c r="ALW87" s="83"/>
      <c r="ALX87" s="83"/>
      <c r="ALY87" s="83"/>
      <c r="ALZ87" s="83"/>
      <c r="AMA87" s="83"/>
      <c r="AMB87" s="83"/>
      <c r="AMC87" s="83"/>
      <c r="AMD87" s="83"/>
      <c r="AME87" s="83"/>
      <c r="AMF87" s="83"/>
      <c r="AMG87" s="83"/>
      <c r="AMH87" s="83"/>
      <c r="AMI87" s="83"/>
      <c r="AMJ87" s="83"/>
    </row>
    <row r="88" spans="12:1024" ht="15.95" customHeight="1" x14ac:dyDescent="0.2">
      <c r="L88" s="83"/>
      <c r="M88" s="84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3"/>
      <c r="DG88" s="83"/>
      <c r="DH88" s="83"/>
      <c r="DI88" s="83"/>
      <c r="DJ88" s="83"/>
      <c r="DK88" s="83"/>
      <c r="DL88" s="83"/>
      <c r="DM88" s="83"/>
      <c r="DN88" s="83"/>
      <c r="DO88" s="83"/>
      <c r="DP88" s="83"/>
      <c r="DQ88" s="83"/>
      <c r="DR88" s="83"/>
      <c r="DS88" s="83"/>
      <c r="DT88" s="83"/>
      <c r="DU88" s="83"/>
      <c r="DV88" s="83"/>
      <c r="DW88" s="83"/>
      <c r="DX88" s="83"/>
      <c r="DY88" s="83"/>
      <c r="DZ88" s="83"/>
      <c r="EA88" s="83"/>
      <c r="EB88" s="83"/>
      <c r="EC88" s="83"/>
      <c r="ED88" s="83"/>
      <c r="EE88" s="83"/>
      <c r="EF88" s="83"/>
      <c r="EG88" s="83"/>
      <c r="EH88" s="83"/>
      <c r="EI88" s="83"/>
      <c r="EJ88" s="83"/>
      <c r="EK88" s="83"/>
      <c r="EL88" s="83"/>
      <c r="EM88" s="83"/>
      <c r="EN88" s="83"/>
      <c r="EO88" s="83"/>
      <c r="EP88" s="83"/>
      <c r="EQ88" s="83"/>
      <c r="ER88" s="83"/>
      <c r="ES88" s="83"/>
      <c r="ET88" s="83"/>
      <c r="EU88" s="83"/>
      <c r="EV88" s="83"/>
      <c r="EW88" s="83"/>
      <c r="EX88" s="83"/>
      <c r="EY88" s="83"/>
      <c r="EZ88" s="83"/>
      <c r="FA88" s="83"/>
      <c r="FB88" s="83"/>
      <c r="FC88" s="83"/>
      <c r="FD88" s="83"/>
      <c r="FE88" s="83"/>
      <c r="FF88" s="83"/>
      <c r="FG88" s="83"/>
      <c r="FH88" s="83"/>
      <c r="FI88" s="83"/>
      <c r="FJ88" s="83"/>
      <c r="FK88" s="83"/>
      <c r="FL88" s="83"/>
      <c r="FM88" s="83"/>
      <c r="FN88" s="83"/>
      <c r="FO88" s="83"/>
      <c r="FP88" s="83"/>
      <c r="FQ88" s="83"/>
      <c r="FR88" s="83"/>
      <c r="FS88" s="83"/>
      <c r="FT88" s="83"/>
      <c r="FU88" s="83"/>
      <c r="FV88" s="83"/>
      <c r="FW88" s="83"/>
      <c r="FX88" s="83"/>
      <c r="FY88" s="83"/>
      <c r="FZ88" s="83"/>
      <c r="GA88" s="83"/>
      <c r="GB88" s="83"/>
      <c r="GC88" s="83"/>
      <c r="GD88" s="83"/>
      <c r="GE88" s="83"/>
      <c r="GF88" s="83"/>
      <c r="GG88" s="83"/>
      <c r="GH88" s="83"/>
      <c r="GI88" s="83"/>
      <c r="GJ88" s="83"/>
      <c r="GK88" s="83"/>
      <c r="GL88" s="83"/>
      <c r="GM88" s="83"/>
      <c r="GN88" s="83"/>
      <c r="GO88" s="83"/>
      <c r="GP88" s="83"/>
      <c r="GQ88" s="83"/>
      <c r="GR88" s="83"/>
      <c r="GS88" s="83"/>
      <c r="GT88" s="83"/>
      <c r="GU88" s="83"/>
      <c r="GV88" s="83"/>
      <c r="GW88" s="83"/>
      <c r="GX88" s="83"/>
      <c r="GY88" s="83"/>
      <c r="GZ88" s="83"/>
      <c r="HA88" s="83"/>
      <c r="HB88" s="83"/>
      <c r="HC88" s="83"/>
      <c r="HD88" s="83"/>
      <c r="HE88" s="83"/>
      <c r="HF88" s="83"/>
      <c r="HG88" s="83"/>
      <c r="HH88" s="83"/>
      <c r="HI88" s="83"/>
      <c r="HJ88" s="83"/>
      <c r="HK88" s="83"/>
      <c r="HL88" s="83"/>
      <c r="HM88" s="83"/>
      <c r="HN88" s="83"/>
      <c r="HO88" s="83"/>
      <c r="HP88" s="83"/>
      <c r="HQ88" s="83"/>
      <c r="HR88" s="83"/>
      <c r="HS88" s="83"/>
      <c r="HT88" s="83"/>
      <c r="HU88" s="83"/>
      <c r="HV88" s="83"/>
      <c r="HW88" s="83"/>
      <c r="HX88" s="83"/>
      <c r="HY88" s="83"/>
      <c r="HZ88" s="83"/>
      <c r="IA88" s="83"/>
      <c r="IB88" s="83"/>
      <c r="IC88" s="83"/>
      <c r="ID88" s="83"/>
      <c r="IE88" s="83"/>
      <c r="IF88" s="83"/>
      <c r="IG88" s="83"/>
      <c r="IH88" s="83"/>
      <c r="II88" s="83"/>
      <c r="IJ88" s="83"/>
      <c r="IK88" s="83"/>
      <c r="IL88" s="83"/>
      <c r="IM88" s="83"/>
      <c r="IN88" s="83"/>
      <c r="IO88" s="83"/>
      <c r="IP88" s="83"/>
      <c r="IQ88" s="83"/>
      <c r="IR88" s="83"/>
      <c r="IS88" s="83"/>
      <c r="IT88" s="83"/>
      <c r="IU88" s="83"/>
      <c r="IV88" s="83"/>
      <c r="IW88" s="83"/>
      <c r="IX88" s="83"/>
      <c r="IY88" s="83"/>
      <c r="IZ88" s="83"/>
      <c r="JA88" s="83"/>
      <c r="JB88" s="83"/>
      <c r="JC88" s="83"/>
      <c r="JD88" s="83"/>
      <c r="JE88" s="83"/>
      <c r="JF88" s="83"/>
      <c r="JG88" s="83"/>
      <c r="JH88" s="83"/>
      <c r="JI88" s="83"/>
      <c r="JJ88" s="83"/>
      <c r="JK88" s="83"/>
      <c r="JL88" s="83"/>
      <c r="JM88" s="83"/>
      <c r="JN88" s="83"/>
      <c r="JO88" s="83"/>
      <c r="JP88" s="83"/>
      <c r="JQ88" s="83"/>
      <c r="JR88" s="83"/>
      <c r="JS88" s="83"/>
      <c r="JT88" s="83"/>
      <c r="JU88" s="83"/>
      <c r="JV88" s="83"/>
      <c r="JW88" s="83"/>
      <c r="JX88" s="83"/>
      <c r="JY88" s="83"/>
      <c r="JZ88" s="83"/>
      <c r="KA88" s="83"/>
      <c r="KB88" s="83"/>
      <c r="KC88" s="83"/>
      <c r="KD88" s="83"/>
      <c r="KE88" s="83"/>
      <c r="KF88" s="83"/>
      <c r="KG88" s="83"/>
      <c r="KH88" s="83"/>
      <c r="KI88" s="83"/>
      <c r="KJ88" s="83"/>
      <c r="KK88" s="83"/>
      <c r="KL88" s="83"/>
      <c r="KM88" s="83"/>
      <c r="KN88" s="83"/>
      <c r="KO88" s="83"/>
      <c r="KP88" s="83"/>
      <c r="KQ88" s="83"/>
      <c r="KR88" s="83"/>
      <c r="KS88" s="83"/>
      <c r="KT88" s="83"/>
      <c r="KU88" s="83"/>
      <c r="KV88" s="83"/>
      <c r="KW88" s="83"/>
      <c r="KX88" s="83"/>
      <c r="KY88" s="83"/>
      <c r="KZ88" s="83"/>
      <c r="LA88" s="83"/>
      <c r="LB88" s="83"/>
      <c r="LC88" s="83"/>
      <c r="LD88" s="83"/>
      <c r="LE88" s="83"/>
      <c r="LF88" s="83"/>
      <c r="LG88" s="83"/>
      <c r="LH88" s="83"/>
      <c r="LI88" s="83"/>
      <c r="LJ88" s="83"/>
      <c r="LK88" s="83"/>
      <c r="LL88" s="83"/>
      <c r="LM88" s="83"/>
      <c r="LN88" s="83"/>
      <c r="LO88" s="83"/>
      <c r="LP88" s="83"/>
      <c r="LQ88" s="83"/>
      <c r="LR88" s="83"/>
      <c r="LS88" s="83"/>
      <c r="LT88" s="83"/>
      <c r="LU88" s="83"/>
      <c r="LV88" s="83"/>
      <c r="LW88" s="83"/>
      <c r="LX88" s="83"/>
      <c r="LY88" s="83"/>
      <c r="LZ88" s="83"/>
      <c r="MA88" s="83"/>
      <c r="MB88" s="83"/>
      <c r="MC88" s="83"/>
      <c r="MD88" s="83"/>
      <c r="ME88" s="83"/>
      <c r="MF88" s="83"/>
      <c r="MG88" s="83"/>
      <c r="MH88" s="83"/>
      <c r="MI88" s="83"/>
      <c r="MJ88" s="83"/>
      <c r="MK88" s="83"/>
      <c r="ML88" s="83"/>
      <c r="MM88" s="83"/>
      <c r="MN88" s="83"/>
      <c r="MO88" s="83"/>
      <c r="MP88" s="83"/>
      <c r="MQ88" s="83"/>
      <c r="MR88" s="83"/>
      <c r="MS88" s="83"/>
      <c r="MT88" s="83"/>
      <c r="MU88" s="83"/>
      <c r="MV88" s="83"/>
      <c r="MW88" s="83"/>
      <c r="MX88" s="83"/>
      <c r="MY88" s="83"/>
      <c r="MZ88" s="83"/>
      <c r="NA88" s="83"/>
      <c r="NB88" s="83"/>
      <c r="NC88" s="83"/>
      <c r="ND88" s="83"/>
      <c r="NE88" s="83"/>
      <c r="NF88" s="83"/>
      <c r="NG88" s="83"/>
      <c r="NH88" s="83"/>
      <c r="NI88" s="83"/>
      <c r="NJ88" s="83"/>
      <c r="NK88" s="83"/>
      <c r="NL88" s="83"/>
      <c r="NM88" s="83"/>
      <c r="NN88" s="83"/>
      <c r="NO88" s="83"/>
      <c r="NP88" s="83"/>
      <c r="NQ88" s="83"/>
      <c r="NR88" s="83"/>
      <c r="NS88" s="83"/>
      <c r="NT88" s="83"/>
      <c r="NU88" s="83"/>
      <c r="NV88" s="83"/>
      <c r="NW88" s="83"/>
      <c r="NX88" s="83"/>
      <c r="NY88" s="83"/>
      <c r="NZ88" s="83"/>
      <c r="OA88" s="83"/>
      <c r="OB88" s="83"/>
      <c r="OC88" s="83"/>
      <c r="OD88" s="83"/>
      <c r="OE88" s="83"/>
      <c r="OF88" s="83"/>
      <c r="OG88" s="83"/>
      <c r="OH88" s="83"/>
      <c r="OI88" s="83"/>
      <c r="OJ88" s="83"/>
      <c r="OK88" s="83"/>
      <c r="OL88" s="83"/>
      <c r="OM88" s="83"/>
      <c r="ON88" s="83"/>
      <c r="OO88" s="83"/>
      <c r="OP88" s="83"/>
      <c r="OQ88" s="83"/>
      <c r="OR88" s="83"/>
      <c r="OS88" s="83"/>
      <c r="OT88" s="83"/>
      <c r="OU88" s="83"/>
      <c r="OV88" s="83"/>
      <c r="OW88" s="83"/>
      <c r="OX88" s="83"/>
      <c r="OY88" s="83"/>
      <c r="OZ88" s="83"/>
      <c r="PA88" s="83"/>
      <c r="PB88" s="83"/>
      <c r="PC88" s="83"/>
      <c r="PD88" s="83"/>
      <c r="PE88" s="83"/>
      <c r="PF88" s="83"/>
      <c r="PG88" s="83"/>
      <c r="PH88" s="83"/>
      <c r="PI88" s="83"/>
      <c r="PJ88" s="83"/>
      <c r="PK88" s="83"/>
      <c r="PL88" s="83"/>
      <c r="PM88" s="83"/>
      <c r="PN88" s="83"/>
      <c r="PO88" s="83"/>
      <c r="PP88" s="83"/>
      <c r="PQ88" s="83"/>
      <c r="PR88" s="83"/>
      <c r="PS88" s="83"/>
      <c r="PT88" s="83"/>
      <c r="PU88" s="83"/>
      <c r="PV88" s="83"/>
      <c r="PW88" s="83"/>
      <c r="PX88" s="83"/>
      <c r="PY88" s="83"/>
      <c r="PZ88" s="83"/>
      <c r="QA88" s="83"/>
      <c r="QB88" s="83"/>
      <c r="QC88" s="83"/>
      <c r="QD88" s="83"/>
      <c r="QE88" s="83"/>
      <c r="QF88" s="83"/>
      <c r="QG88" s="83"/>
      <c r="QH88" s="83"/>
      <c r="QI88" s="83"/>
      <c r="QJ88" s="83"/>
      <c r="QK88" s="83"/>
      <c r="QL88" s="83"/>
      <c r="QM88" s="83"/>
      <c r="QN88" s="83"/>
      <c r="QO88" s="83"/>
      <c r="QP88" s="83"/>
      <c r="QQ88" s="83"/>
      <c r="QR88" s="83"/>
      <c r="QS88" s="83"/>
      <c r="QT88" s="83"/>
      <c r="QU88" s="83"/>
      <c r="QV88" s="83"/>
      <c r="QW88" s="83"/>
      <c r="QX88" s="83"/>
      <c r="QY88" s="83"/>
      <c r="QZ88" s="83"/>
      <c r="RA88" s="83"/>
      <c r="RB88" s="83"/>
      <c r="RC88" s="83"/>
      <c r="RD88" s="83"/>
      <c r="RE88" s="83"/>
      <c r="RF88" s="83"/>
      <c r="RG88" s="83"/>
      <c r="RH88" s="83"/>
      <c r="RI88" s="83"/>
      <c r="RJ88" s="83"/>
      <c r="RK88" s="83"/>
      <c r="RL88" s="83"/>
      <c r="RM88" s="83"/>
      <c r="RN88" s="83"/>
      <c r="RO88" s="83"/>
      <c r="RP88" s="83"/>
      <c r="RQ88" s="83"/>
      <c r="RR88" s="83"/>
      <c r="RS88" s="83"/>
      <c r="RT88" s="83"/>
      <c r="RU88" s="83"/>
      <c r="RV88" s="83"/>
      <c r="RW88" s="83"/>
      <c r="RX88" s="83"/>
      <c r="RY88" s="83"/>
      <c r="RZ88" s="83"/>
      <c r="SA88" s="83"/>
      <c r="SB88" s="83"/>
      <c r="SC88" s="83"/>
      <c r="SD88" s="83"/>
      <c r="SE88" s="83"/>
      <c r="SF88" s="83"/>
      <c r="SG88" s="83"/>
      <c r="SH88" s="83"/>
      <c r="SI88" s="83"/>
      <c r="SJ88" s="83"/>
      <c r="SK88" s="83"/>
      <c r="SL88" s="83"/>
      <c r="SM88" s="83"/>
      <c r="SN88" s="83"/>
      <c r="SO88" s="83"/>
      <c r="SP88" s="83"/>
      <c r="SQ88" s="83"/>
      <c r="SR88" s="83"/>
      <c r="SS88" s="83"/>
      <c r="ST88" s="83"/>
      <c r="SU88" s="83"/>
      <c r="SV88" s="83"/>
      <c r="SW88" s="83"/>
      <c r="SX88" s="83"/>
      <c r="SY88" s="83"/>
      <c r="SZ88" s="83"/>
      <c r="TA88" s="83"/>
      <c r="TB88" s="83"/>
      <c r="TC88" s="83"/>
      <c r="TD88" s="83"/>
      <c r="TE88" s="83"/>
      <c r="TF88" s="83"/>
      <c r="TG88" s="83"/>
      <c r="TH88" s="83"/>
      <c r="TI88" s="83"/>
      <c r="TJ88" s="83"/>
      <c r="TK88" s="83"/>
      <c r="TL88" s="83"/>
      <c r="TM88" s="83"/>
      <c r="TN88" s="83"/>
      <c r="TO88" s="83"/>
      <c r="TP88" s="83"/>
      <c r="TQ88" s="83"/>
      <c r="TR88" s="83"/>
      <c r="TS88" s="83"/>
      <c r="TT88" s="83"/>
      <c r="TU88" s="83"/>
      <c r="TV88" s="83"/>
      <c r="TW88" s="83"/>
      <c r="TX88" s="83"/>
      <c r="TY88" s="83"/>
      <c r="TZ88" s="83"/>
      <c r="UA88" s="83"/>
      <c r="UB88" s="83"/>
      <c r="UC88" s="83"/>
      <c r="UD88" s="83"/>
      <c r="UE88" s="83"/>
      <c r="UF88" s="83"/>
      <c r="UG88" s="83"/>
      <c r="UH88" s="83"/>
      <c r="UI88" s="83"/>
      <c r="UJ88" s="83"/>
      <c r="UK88" s="83"/>
      <c r="UL88" s="83"/>
      <c r="UM88" s="83"/>
      <c r="UN88" s="83"/>
      <c r="UO88" s="83"/>
      <c r="UP88" s="83"/>
      <c r="UQ88" s="83"/>
      <c r="UR88" s="83"/>
      <c r="US88" s="83"/>
      <c r="UT88" s="83"/>
      <c r="UU88" s="83"/>
      <c r="UV88" s="83"/>
      <c r="UW88" s="83"/>
      <c r="UX88" s="83"/>
      <c r="UY88" s="83"/>
      <c r="UZ88" s="83"/>
      <c r="VA88" s="83"/>
      <c r="VB88" s="83"/>
      <c r="VC88" s="83"/>
      <c r="VD88" s="83"/>
      <c r="VE88" s="83"/>
      <c r="VF88" s="83"/>
      <c r="VG88" s="83"/>
      <c r="VH88" s="83"/>
      <c r="VI88" s="83"/>
      <c r="VJ88" s="83"/>
      <c r="VK88" s="83"/>
      <c r="VL88" s="83"/>
      <c r="VM88" s="83"/>
      <c r="VN88" s="83"/>
      <c r="VO88" s="83"/>
      <c r="VP88" s="83"/>
      <c r="VQ88" s="83"/>
      <c r="VR88" s="83"/>
      <c r="VS88" s="83"/>
      <c r="VT88" s="83"/>
      <c r="VU88" s="83"/>
      <c r="VV88" s="83"/>
      <c r="VW88" s="83"/>
      <c r="VX88" s="83"/>
      <c r="VY88" s="83"/>
      <c r="VZ88" s="83"/>
      <c r="WA88" s="83"/>
      <c r="WB88" s="83"/>
      <c r="WC88" s="83"/>
      <c r="WD88" s="83"/>
      <c r="WE88" s="83"/>
      <c r="WF88" s="83"/>
      <c r="WG88" s="83"/>
      <c r="WH88" s="83"/>
      <c r="WI88" s="83"/>
      <c r="WJ88" s="83"/>
      <c r="WK88" s="83"/>
      <c r="WL88" s="83"/>
      <c r="WM88" s="83"/>
      <c r="WN88" s="83"/>
      <c r="WO88" s="83"/>
      <c r="WP88" s="83"/>
      <c r="WQ88" s="83"/>
      <c r="WR88" s="83"/>
      <c r="WS88" s="83"/>
      <c r="WT88" s="83"/>
      <c r="WU88" s="83"/>
      <c r="WV88" s="83"/>
      <c r="WW88" s="83"/>
      <c r="WX88" s="83"/>
      <c r="WY88" s="83"/>
      <c r="WZ88" s="83"/>
      <c r="XA88" s="83"/>
      <c r="XB88" s="83"/>
      <c r="XC88" s="83"/>
      <c r="XD88" s="83"/>
      <c r="XE88" s="83"/>
      <c r="XF88" s="83"/>
      <c r="XG88" s="83"/>
      <c r="XH88" s="83"/>
      <c r="XI88" s="83"/>
      <c r="XJ88" s="83"/>
      <c r="XK88" s="83"/>
      <c r="XL88" s="83"/>
      <c r="XM88" s="83"/>
      <c r="XN88" s="83"/>
      <c r="XO88" s="83"/>
      <c r="XP88" s="83"/>
      <c r="XQ88" s="83"/>
      <c r="XR88" s="83"/>
      <c r="XS88" s="83"/>
      <c r="XT88" s="83"/>
      <c r="XU88" s="83"/>
      <c r="XV88" s="83"/>
      <c r="XW88" s="83"/>
      <c r="XX88" s="83"/>
      <c r="XY88" s="83"/>
      <c r="XZ88" s="83"/>
      <c r="YA88" s="83"/>
      <c r="YB88" s="83"/>
      <c r="YC88" s="83"/>
      <c r="YD88" s="83"/>
      <c r="YE88" s="83"/>
      <c r="YF88" s="83"/>
      <c r="YG88" s="83"/>
      <c r="YH88" s="83"/>
      <c r="YI88" s="83"/>
      <c r="YJ88" s="83"/>
      <c r="YK88" s="83"/>
      <c r="YL88" s="83"/>
      <c r="YM88" s="83"/>
      <c r="YN88" s="83"/>
      <c r="YO88" s="83"/>
      <c r="YP88" s="83"/>
      <c r="YQ88" s="83"/>
      <c r="YR88" s="83"/>
      <c r="YS88" s="83"/>
      <c r="YT88" s="83"/>
      <c r="YU88" s="83"/>
      <c r="YV88" s="83"/>
      <c r="YW88" s="83"/>
      <c r="YX88" s="83"/>
      <c r="YY88" s="83"/>
      <c r="YZ88" s="83"/>
      <c r="ZA88" s="83"/>
      <c r="ZB88" s="83"/>
      <c r="ZC88" s="83"/>
      <c r="ZD88" s="83"/>
      <c r="ZE88" s="83"/>
      <c r="ZF88" s="83"/>
      <c r="ZG88" s="83"/>
      <c r="ZH88" s="83"/>
      <c r="ZI88" s="83"/>
      <c r="ZJ88" s="83"/>
      <c r="ZK88" s="83"/>
      <c r="ZL88" s="83"/>
      <c r="ZM88" s="83"/>
      <c r="ZN88" s="83"/>
      <c r="ZO88" s="83"/>
      <c r="ZP88" s="83"/>
      <c r="ZQ88" s="83"/>
      <c r="ZR88" s="83"/>
      <c r="ZS88" s="83"/>
      <c r="ZT88" s="83"/>
      <c r="ZU88" s="83"/>
      <c r="ZV88" s="83"/>
      <c r="ZW88" s="83"/>
      <c r="ZX88" s="83"/>
      <c r="ZY88" s="83"/>
      <c r="ZZ88" s="83"/>
      <c r="AAA88" s="83"/>
      <c r="AAB88" s="83"/>
      <c r="AAC88" s="83"/>
      <c r="AAD88" s="83"/>
      <c r="AAE88" s="83"/>
      <c r="AAF88" s="83"/>
      <c r="AAG88" s="83"/>
      <c r="AAH88" s="83"/>
      <c r="AAI88" s="83"/>
      <c r="AAJ88" s="83"/>
      <c r="AAK88" s="83"/>
      <c r="AAL88" s="83"/>
      <c r="AAM88" s="83"/>
      <c r="AAN88" s="83"/>
      <c r="AAO88" s="83"/>
      <c r="AAP88" s="83"/>
      <c r="AAQ88" s="83"/>
      <c r="AAR88" s="83"/>
      <c r="AAS88" s="83"/>
      <c r="AAT88" s="83"/>
      <c r="AAU88" s="83"/>
      <c r="AAV88" s="83"/>
      <c r="AAW88" s="83"/>
      <c r="AAX88" s="83"/>
      <c r="AAY88" s="83"/>
      <c r="AAZ88" s="83"/>
      <c r="ABA88" s="83"/>
      <c r="ABB88" s="83"/>
      <c r="ABC88" s="83"/>
      <c r="ABD88" s="83"/>
      <c r="ABE88" s="83"/>
      <c r="ABF88" s="83"/>
      <c r="ABG88" s="83"/>
      <c r="ABH88" s="83"/>
      <c r="ABI88" s="83"/>
      <c r="ABJ88" s="83"/>
      <c r="ABK88" s="83"/>
      <c r="ABL88" s="83"/>
      <c r="ABM88" s="83"/>
      <c r="ABN88" s="83"/>
      <c r="ABO88" s="83"/>
      <c r="ABP88" s="83"/>
      <c r="ABQ88" s="83"/>
      <c r="ABR88" s="83"/>
      <c r="ABS88" s="83"/>
      <c r="ABT88" s="83"/>
      <c r="ABU88" s="83"/>
      <c r="ABV88" s="83"/>
      <c r="ABW88" s="83"/>
      <c r="ABX88" s="83"/>
      <c r="ABY88" s="83"/>
      <c r="ABZ88" s="83"/>
      <c r="ACA88" s="83"/>
      <c r="ACB88" s="83"/>
      <c r="ACC88" s="83"/>
      <c r="ACD88" s="83"/>
      <c r="ACE88" s="83"/>
      <c r="ACF88" s="83"/>
      <c r="ACG88" s="83"/>
      <c r="ACH88" s="83"/>
      <c r="ACI88" s="83"/>
      <c r="ACJ88" s="83"/>
      <c r="ACK88" s="83"/>
      <c r="ACL88" s="83"/>
      <c r="ACM88" s="83"/>
      <c r="ACN88" s="83"/>
      <c r="ACO88" s="83"/>
      <c r="ACP88" s="83"/>
      <c r="ACQ88" s="83"/>
      <c r="ACR88" s="83"/>
      <c r="ACS88" s="83"/>
      <c r="ACT88" s="83"/>
      <c r="ACU88" s="83"/>
      <c r="ACV88" s="83"/>
      <c r="ACW88" s="83"/>
      <c r="ACX88" s="83"/>
      <c r="ACY88" s="83"/>
      <c r="ACZ88" s="83"/>
      <c r="ADA88" s="83"/>
      <c r="ADB88" s="83"/>
      <c r="ADC88" s="83"/>
      <c r="ADD88" s="83"/>
      <c r="ADE88" s="83"/>
      <c r="ADF88" s="83"/>
      <c r="ADG88" s="83"/>
      <c r="ADH88" s="83"/>
      <c r="ADI88" s="83"/>
      <c r="ADJ88" s="83"/>
      <c r="ADK88" s="83"/>
      <c r="ADL88" s="83"/>
      <c r="ADM88" s="83"/>
      <c r="ADN88" s="83"/>
      <c r="ADO88" s="83"/>
      <c r="ADP88" s="83"/>
      <c r="ADQ88" s="83"/>
      <c r="ADR88" s="83"/>
      <c r="ADS88" s="83"/>
      <c r="ADT88" s="83"/>
      <c r="ADU88" s="83"/>
      <c r="ADV88" s="83"/>
      <c r="ADW88" s="83"/>
      <c r="ADX88" s="83"/>
      <c r="ADY88" s="83"/>
      <c r="ADZ88" s="83"/>
      <c r="AEA88" s="83"/>
      <c r="AEB88" s="83"/>
      <c r="AEC88" s="83"/>
      <c r="AED88" s="83"/>
      <c r="AEE88" s="83"/>
      <c r="AEF88" s="83"/>
      <c r="AEG88" s="83"/>
      <c r="AEH88" s="83"/>
      <c r="AEI88" s="83"/>
      <c r="AEJ88" s="83"/>
      <c r="AEK88" s="83"/>
      <c r="AEL88" s="83"/>
      <c r="AEM88" s="83"/>
      <c r="AEN88" s="83"/>
      <c r="AEO88" s="83"/>
      <c r="AEP88" s="83"/>
      <c r="AEQ88" s="83"/>
      <c r="AER88" s="83"/>
      <c r="AES88" s="83"/>
      <c r="AET88" s="83"/>
      <c r="AEU88" s="83"/>
      <c r="AEV88" s="83"/>
      <c r="AEW88" s="83"/>
      <c r="AEX88" s="83"/>
      <c r="AEY88" s="83"/>
      <c r="AEZ88" s="83"/>
      <c r="AFA88" s="83"/>
      <c r="AFB88" s="83"/>
      <c r="AFC88" s="83"/>
      <c r="AFD88" s="83"/>
      <c r="AFE88" s="83"/>
      <c r="AFF88" s="83"/>
      <c r="AFG88" s="83"/>
      <c r="AFH88" s="83"/>
      <c r="AFI88" s="83"/>
      <c r="AFJ88" s="83"/>
      <c r="AFK88" s="83"/>
      <c r="AFL88" s="83"/>
      <c r="AFM88" s="83"/>
      <c r="AFN88" s="83"/>
      <c r="AFO88" s="83"/>
      <c r="AFP88" s="83"/>
      <c r="AFQ88" s="83"/>
      <c r="AFR88" s="83"/>
      <c r="AFS88" s="83"/>
      <c r="AFT88" s="83"/>
      <c r="AFU88" s="83"/>
      <c r="AFV88" s="83"/>
      <c r="AFW88" s="83"/>
      <c r="AFX88" s="83"/>
      <c r="AFY88" s="83"/>
      <c r="AFZ88" s="83"/>
      <c r="AGA88" s="83"/>
      <c r="AGB88" s="83"/>
      <c r="AGC88" s="83"/>
      <c r="AGD88" s="83"/>
      <c r="AGE88" s="83"/>
      <c r="AGF88" s="83"/>
      <c r="AGG88" s="83"/>
      <c r="AGH88" s="83"/>
      <c r="AGI88" s="83"/>
      <c r="AGJ88" s="83"/>
      <c r="AGK88" s="83"/>
      <c r="AGL88" s="83"/>
      <c r="AGM88" s="83"/>
      <c r="AGN88" s="83"/>
      <c r="AGO88" s="83"/>
      <c r="AGP88" s="83"/>
      <c r="AGQ88" s="83"/>
      <c r="AGR88" s="83"/>
      <c r="AGS88" s="83"/>
      <c r="AGT88" s="83"/>
      <c r="AGU88" s="83"/>
      <c r="AGV88" s="83"/>
      <c r="AGW88" s="83"/>
      <c r="AGX88" s="83"/>
      <c r="AGY88" s="83"/>
      <c r="AGZ88" s="83"/>
      <c r="AHA88" s="83"/>
      <c r="AHB88" s="83"/>
      <c r="AHC88" s="83"/>
      <c r="AHD88" s="83"/>
      <c r="AHE88" s="83"/>
      <c r="AHF88" s="83"/>
      <c r="AHG88" s="83"/>
      <c r="AHH88" s="83"/>
      <c r="AHI88" s="83"/>
      <c r="AHJ88" s="83"/>
      <c r="AHK88" s="83"/>
      <c r="AHL88" s="83"/>
      <c r="AHM88" s="83"/>
      <c r="AHN88" s="83"/>
      <c r="AHO88" s="83"/>
      <c r="AHP88" s="83"/>
      <c r="AHQ88" s="83"/>
      <c r="AHR88" s="83"/>
      <c r="AHS88" s="83"/>
      <c r="AHT88" s="83"/>
      <c r="AHU88" s="83"/>
      <c r="AHV88" s="83"/>
      <c r="AHW88" s="83"/>
      <c r="AHX88" s="83"/>
      <c r="AHY88" s="83"/>
      <c r="AHZ88" s="83"/>
      <c r="AIA88" s="83"/>
      <c r="AIB88" s="83"/>
      <c r="AIC88" s="83"/>
      <c r="AID88" s="83"/>
      <c r="AIE88" s="83"/>
      <c r="AIF88" s="83"/>
      <c r="AIG88" s="83"/>
      <c r="AIH88" s="83"/>
      <c r="AII88" s="83"/>
      <c r="AIJ88" s="83"/>
      <c r="AIK88" s="83"/>
      <c r="AIL88" s="83"/>
      <c r="AIM88" s="83"/>
      <c r="AIN88" s="83"/>
      <c r="AIO88" s="83"/>
      <c r="AIP88" s="83"/>
      <c r="AIQ88" s="83"/>
      <c r="AIR88" s="83"/>
      <c r="AIS88" s="83"/>
      <c r="AIT88" s="83"/>
      <c r="AIU88" s="83"/>
      <c r="AIV88" s="83"/>
      <c r="AIW88" s="83"/>
      <c r="AIX88" s="83"/>
      <c r="AIY88" s="83"/>
      <c r="AIZ88" s="83"/>
      <c r="AJA88" s="83"/>
      <c r="AJB88" s="83"/>
      <c r="AJC88" s="83"/>
      <c r="AJD88" s="83"/>
      <c r="AJE88" s="83"/>
      <c r="AJF88" s="83"/>
      <c r="AJG88" s="83"/>
      <c r="AJH88" s="83"/>
      <c r="AJI88" s="83"/>
      <c r="AJJ88" s="83"/>
      <c r="AJK88" s="83"/>
      <c r="AJL88" s="83"/>
      <c r="AJM88" s="83"/>
      <c r="AJN88" s="83"/>
      <c r="AJO88" s="83"/>
      <c r="AJP88" s="83"/>
      <c r="AJQ88" s="83"/>
      <c r="AJR88" s="83"/>
      <c r="AJS88" s="83"/>
      <c r="AJT88" s="83"/>
      <c r="AJU88" s="83"/>
      <c r="AJV88" s="83"/>
      <c r="AJW88" s="83"/>
      <c r="AJX88" s="83"/>
      <c r="AJY88" s="83"/>
      <c r="AJZ88" s="83"/>
      <c r="AKA88" s="83"/>
      <c r="AKB88" s="83"/>
      <c r="AKC88" s="83"/>
      <c r="AKD88" s="83"/>
      <c r="AKE88" s="83"/>
      <c r="AKF88" s="83"/>
      <c r="AKG88" s="83"/>
      <c r="AKH88" s="83"/>
      <c r="AKI88" s="83"/>
      <c r="AKJ88" s="83"/>
      <c r="AKK88" s="83"/>
      <c r="AKL88" s="83"/>
      <c r="AKM88" s="83"/>
      <c r="AKN88" s="83"/>
      <c r="AKO88" s="83"/>
      <c r="AKP88" s="83"/>
      <c r="AKQ88" s="83"/>
      <c r="AKR88" s="83"/>
      <c r="AKS88" s="83"/>
      <c r="AKT88" s="83"/>
      <c r="AKU88" s="83"/>
      <c r="AKV88" s="83"/>
      <c r="AKW88" s="83"/>
      <c r="AKX88" s="83"/>
      <c r="AKY88" s="83"/>
      <c r="AKZ88" s="83"/>
      <c r="ALA88" s="83"/>
      <c r="ALB88" s="83"/>
      <c r="ALC88" s="83"/>
      <c r="ALD88" s="83"/>
      <c r="ALE88" s="83"/>
      <c r="ALF88" s="83"/>
      <c r="ALG88" s="83"/>
      <c r="ALH88" s="83"/>
      <c r="ALI88" s="83"/>
      <c r="ALJ88" s="83"/>
      <c r="ALK88" s="83"/>
      <c r="ALL88" s="83"/>
      <c r="ALM88" s="83"/>
      <c r="ALN88" s="83"/>
      <c r="ALO88" s="83"/>
      <c r="ALP88" s="83"/>
      <c r="ALQ88" s="83"/>
      <c r="ALR88" s="83"/>
      <c r="ALS88" s="83"/>
      <c r="ALT88" s="83"/>
      <c r="ALU88" s="83"/>
      <c r="ALV88" s="83"/>
      <c r="ALW88" s="83"/>
      <c r="ALX88" s="83"/>
      <c r="ALY88" s="83"/>
      <c r="ALZ88" s="83"/>
      <c r="AMA88" s="83"/>
      <c r="AMB88" s="83"/>
      <c r="AMC88" s="83"/>
      <c r="AMD88" s="83"/>
      <c r="AME88" s="83"/>
      <c r="AMF88" s="83"/>
      <c r="AMG88" s="83"/>
      <c r="AMH88" s="83"/>
      <c r="AMI88" s="83"/>
      <c r="AMJ88" s="83"/>
    </row>
    <row r="89" spans="12:1024" ht="15.95" customHeight="1" x14ac:dyDescent="0.2">
      <c r="L89" s="83"/>
      <c r="M89" s="84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83"/>
      <c r="DU89" s="83"/>
      <c r="DV89" s="83"/>
      <c r="DW89" s="83"/>
      <c r="DX89" s="83"/>
      <c r="DY89" s="83"/>
      <c r="DZ89" s="83"/>
      <c r="EA89" s="83"/>
      <c r="EB89" s="83"/>
      <c r="EC89" s="83"/>
      <c r="ED89" s="83"/>
      <c r="EE89" s="83"/>
      <c r="EF89" s="83"/>
      <c r="EG89" s="83"/>
      <c r="EH89" s="83"/>
      <c r="EI89" s="83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3"/>
      <c r="EW89" s="83"/>
      <c r="EX89" s="83"/>
      <c r="EY89" s="83"/>
      <c r="EZ89" s="83"/>
      <c r="FA89" s="83"/>
      <c r="FB89" s="83"/>
      <c r="FC89" s="83"/>
      <c r="FD89" s="83"/>
      <c r="FE89" s="83"/>
      <c r="FF89" s="83"/>
      <c r="FG89" s="83"/>
      <c r="FH89" s="83"/>
      <c r="FI89" s="83"/>
      <c r="FJ89" s="83"/>
      <c r="FK89" s="83"/>
      <c r="FL89" s="83"/>
      <c r="FM89" s="83"/>
      <c r="FN89" s="83"/>
      <c r="FO89" s="83"/>
      <c r="FP89" s="83"/>
      <c r="FQ89" s="83"/>
      <c r="FR89" s="83"/>
      <c r="FS89" s="83"/>
      <c r="FT89" s="83"/>
      <c r="FU89" s="83"/>
      <c r="FV89" s="83"/>
      <c r="FW89" s="83"/>
      <c r="FX89" s="83"/>
      <c r="FY89" s="83"/>
      <c r="FZ89" s="83"/>
      <c r="GA89" s="83"/>
      <c r="GB89" s="83"/>
      <c r="GC89" s="83"/>
      <c r="GD89" s="83"/>
      <c r="GE89" s="83"/>
      <c r="GF89" s="83"/>
      <c r="GG89" s="83"/>
      <c r="GH89" s="83"/>
      <c r="GI89" s="83"/>
      <c r="GJ89" s="83"/>
      <c r="GK89" s="83"/>
      <c r="GL89" s="83"/>
      <c r="GM89" s="83"/>
      <c r="GN89" s="83"/>
      <c r="GO89" s="83"/>
      <c r="GP89" s="83"/>
      <c r="GQ89" s="83"/>
      <c r="GR89" s="83"/>
      <c r="GS89" s="83"/>
      <c r="GT89" s="83"/>
      <c r="GU89" s="83"/>
      <c r="GV89" s="83"/>
      <c r="GW89" s="83"/>
      <c r="GX89" s="83"/>
      <c r="GY89" s="83"/>
      <c r="GZ89" s="83"/>
      <c r="HA89" s="83"/>
      <c r="HB89" s="83"/>
      <c r="HC89" s="83"/>
      <c r="HD89" s="83"/>
      <c r="HE89" s="83"/>
      <c r="HF89" s="83"/>
      <c r="HG89" s="83"/>
      <c r="HH89" s="83"/>
      <c r="HI89" s="83"/>
      <c r="HJ89" s="83"/>
      <c r="HK89" s="83"/>
      <c r="HL89" s="83"/>
      <c r="HM89" s="83"/>
      <c r="HN89" s="83"/>
      <c r="HO89" s="83"/>
      <c r="HP89" s="83"/>
      <c r="HQ89" s="83"/>
      <c r="HR89" s="83"/>
      <c r="HS89" s="83"/>
      <c r="HT89" s="83"/>
      <c r="HU89" s="83"/>
      <c r="HV89" s="83"/>
      <c r="HW89" s="83"/>
      <c r="HX89" s="83"/>
      <c r="HY89" s="83"/>
      <c r="HZ89" s="83"/>
      <c r="IA89" s="83"/>
      <c r="IB89" s="83"/>
      <c r="IC89" s="83"/>
      <c r="ID89" s="83"/>
      <c r="IE89" s="83"/>
      <c r="IF89" s="83"/>
      <c r="IG89" s="83"/>
      <c r="IH89" s="83"/>
      <c r="II89" s="83"/>
      <c r="IJ89" s="83"/>
      <c r="IK89" s="83"/>
      <c r="IL89" s="83"/>
      <c r="IM89" s="83"/>
      <c r="IN89" s="83"/>
      <c r="IO89" s="83"/>
      <c r="IP89" s="83"/>
      <c r="IQ89" s="83"/>
      <c r="IR89" s="83"/>
      <c r="IS89" s="83"/>
      <c r="IT89" s="83"/>
      <c r="IU89" s="83"/>
      <c r="IV89" s="83"/>
      <c r="IW89" s="83"/>
      <c r="IX89" s="83"/>
      <c r="IY89" s="83"/>
      <c r="IZ89" s="83"/>
      <c r="JA89" s="83"/>
      <c r="JB89" s="83"/>
      <c r="JC89" s="83"/>
      <c r="JD89" s="83"/>
      <c r="JE89" s="83"/>
      <c r="JF89" s="83"/>
      <c r="JG89" s="83"/>
      <c r="JH89" s="83"/>
      <c r="JI89" s="83"/>
      <c r="JJ89" s="83"/>
      <c r="JK89" s="83"/>
      <c r="JL89" s="83"/>
      <c r="JM89" s="83"/>
      <c r="JN89" s="83"/>
      <c r="JO89" s="83"/>
      <c r="JP89" s="83"/>
      <c r="JQ89" s="83"/>
      <c r="JR89" s="83"/>
      <c r="JS89" s="83"/>
      <c r="JT89" s="83"/>
      <c r="JU89" s="83"/>
      <c r="JV89" s="83"/>
      <c r="JW89" s="83"/>
      <c r="JX89" s="83"/>
      <c r="JY89" s="83"/>
      <c r="JZ89" s="83"/>
      <c r="KA89" s="83"/>
      <c r="KB89" s="83"/>
      <c r="KC89" s="83"/>
      <c r="KD89" s="83"/>
      <c r="KE89" s="83"/>
      <c r="KF89" s="83"/>
      <c r="KG89" s="83"/>
      <c r="KH89" s="83"/>
      <c r="KI89" s="83"/>
      <c r="KJ89" s="83"/>
      <c r="KK89" s="83"/>
      <c r="KL89" s="83"/>
      <c r="KM89" s="83"/>
      <c r="KN89" s="83"/>
      <c r="KO89" s="83"/>
      <c r="KP89" s="83"/>
      <c r="KQ89" s="83"/>
      <c r="KR89" s="83"/>
      <c r="KS89" s="83"/>
      <c r="KT89" s="83"/>
      <c r="KU89" s="83"/>
      <c r="KV89" s="83"/>
      <c r="KW89" s="83"/>
      <c r="KX89" s="83"/>
      <c r="KY89" s="83"/>
      <c r="KZ89" s="83"/>
      <c r="LA89" s="83"/>
      <c r="LB89" s="83"/>
      <c r="LC89" s="83"/>
      <c r="LD89" s="83"/>
      <c r="LE89" s="83"/>
      <c r="LF89" s="83"/>
      <c r="LG89" s="83"/>
      <c r="LH89" s="83"/>
      <c r="LI89" s="83"/>
      <c r="LJ89" s="83"/>
      <c r="LK89" s="83"/>
      <c r="LL89" s="83"/>
      <c r="LM89" s="83"/>
      <c r="LN89" s="83"/>
      <c r="LO89" s="83"/>
      <c r="LP89" s="83"/>
      <c r="LQ89" s="83"/>
      <c r="LR89" s="83"/>
      <c r="LS89" s="83"/>
      <c r="LT89" s="83"/>
      <c r="LU89" s="83"/>
      <c r="LV89" s="83"/>
      <c r="LW89" s="83"/>
      <c r="LX89" s="83"/>
      <c r="LY89" s="83"/>
      <c r="LZ89" s="83"/>
      <c r="MA89" s="83"/>
      <c r="MB89" s="83"/>
      <c r="MC89" s="83"/>
      <c r="MD89" s="83"/>
      <c r="ME89" s="83"/>
      <c r="MF89" s="83"/>
      <c r="MG89" s="83"/>
      <c r="MH89" s="83"/>
      <c r="MI89" s="83"/>
      <c r="MJ89" s="83"/>
      <c r="MK89" s="83"/>
      <c r="ML89" s="83"/>
      <c r="MM89" s="83"/>
      <c r="MN89" s="83"/>
      <c r="MO89" s="83"/>
      <c r="MP89" s="83"/>
      <c r="MQ89" s="83"/>
      <c r="MR89" s="83"/>
      <c r="MS89" s="83"/>
      <c r="MT89" s="83"/>
      <c r="MU89" s="83"/>
      <c r="MV89" s="83"/>
      <c r="MW89" s="83"/>
      <c r="MX89" s="83"/>
      <c r="MY89" s="83"/>
      <c r="MZ89" s="83"/>
      <c r="NA89" s="83"/>
      <c r="NB89" s="83"/>
      <c r="NC89" s="83"/>
      <c r="ND89" s="83"/>
      <c r="NE89" s="83"/>
      <c r="NF89" s="83"/>
      <c r="NG89" s="83"/>
      <c r="NH89" s="83"/>
      <c r="NI89" s="83"/>
      <c r="NJ89" s="83"/>
      <c r="NK89" s="83"/>
      <c r="NL89" s="83"/>
      <c r="NM89" s="83"/>
      <c r="NN89" s="83"/>
      <c r="NO89" s="83"/>
      <c r="NP89" s="83"/>
      <c r="NQ89" s="83"/>
      <c r="NR89" s="83"/>
      <c r="NS89" s="83"/>
      <c r="NT89" s="83"/>
      <c r="NU89" s="83"/>
      <c r="NV89" s="83"/>
      <c r="NW89" s="83"/>
      <c r="NX89" s="83"/>
      <c r="NY89" s="83"/>
      <c r="NZ89" s="83"/>
      <c r="OA89" s="83"/>
      <c r="OB89" s="83"/>
      <c r="OC89" s="83"/>
      <c r="OD89" s="83"/>
      <c r="OE89" s="83"/>
      <c r="OF89" s="83"/>
      <c r="OG89" s="83"/>
      <c r="OH89" s="83"/>
      <c r="OI89" s="83"/>
      <c r="OJ89" s="83"/>
      <c r="OK89" s="83"/>
      <c r="OL89" s="83"/>
      <c r="OM89" s="83"/>
      <c r="ON89" s="83"/>
      <c r="OO89" s="83"/>
      <c r="OP89" s="83"/>
      <c r="OQ89" s="83"/>
      <c r="OR89" s="83"/>
      <c r="OS89" s="83"/>
      <c r="OT89" s="83"/>
      <c r="OU89" s="83"/>
      <c r="OV89" s="83"/>
      <c r="OW89" s="83"/>
      <c r="OX89" s="83"/>
      <c r="OY89" s="83"/>
      <c r="OZ89" s="83"/>
      <c r="PA89" s="83"/>
      <c r="PB89" s="83"/>
      <c r="PC89" s="83"/>
      <c r="PD89" s="83"/>
      <c r="PE89" s="83"/>
      <c r="PF89" s="83"/>
      <c r="PG89" s="83"/>
      <c r="PH89" s="83"/>
      <c r="PI89" s="83"/>
      <c r="PJ89" s="83"/>
      <c r="PK89" s="83"/>
      <c r="PL89" s="83"/>
      <c r="PM89" s="83"/>
      <c r="PN89" s="83"/>
      <c r="PO89" s="83"/>
      <c r="PP89" s="83"/>
      <c r="PQ89" s="83"/>
      <c r="PR89" s="83"/>
      <c r="PS89" s="83"/>
      <c r="PT89" s="83"/>
      <c r="PU89" s="83"/>
      <c r="PV89" s="83"/>
      <c r="PW89" s="83"/>
      <c r="PX89" s="83"/>
      <c r="PY89" s="83"/>
      <c r="PZ89" s="83"/>
      <c r="QA89" s="83"/>
      <c r="QB89" s="83"/>
      <c r="QC89" s="83"/>
      <c r="QD89" s="83"/>
      <c r="QE89" s="83"/>
      <c r="QF89" s="83"/>
      <c r="QG89" s="83"/>
      <c r="QH89" s="83"/>
      <c r="QI89" s="83"/>
      <c r="QJ89" s="83"/>
      <c r="QK89" s="83"/>
      <c r="QL89" s="83"/>
      <c r="QM89" s="83"/>
      <c r="QN89" s="83"/>
      <c r="QO89" s="83"/>
      <c r="QP89" s="83"/>
      <c r="QQ89" s="83"/>
      <c r="QR89" s="83"/>
      <c r="QS89" s="83"/>
      <c r="QT89" s="83"/>
      <c r="QU89" s="83"/>
      <c r="QV89" s="83"/>
      <c r="QW89" s="83"/>
      <c r="QX89" s="83"/>
      <c r="QY89" s="83"/>
      <c r="QZ89" s="83"/>
      <c r="RA89" s="83"/>
      <c r="RB89" s="83"/>
      <c r="RC89" s="83"/>
      <c r="RD89" s="83"/>
      <c r="RE89" s="83"/>
      <c r="RF89" s="83"/>
      <c r="RG89" s="83"/>
      <c r="RH89" s="83"/>
      <c r="RI89" s="83"/>
      <c r="RJ89" s="83"/>
      <c r="RK89" s="83"/>
      <c r="RL89" s="83"/>
      <c r="RM89" s="83"/>
      <c r="RN89" s="83"/>
      <c r="RO89" s="83"/>
      <c r="RP89" s="83"/>
      <c r="RQ89" s="83"/>
      <c r="RR89" s="83"/>
      <c r="RS89" s="83"/>
      <c r="RT89" s="83"/>
      <c r="RU89" s="83"/>
      <c r="RV89" s="83"/>
      <c r="RW89" s="83"/>
      <c r="RX89" s="83"/>
      <c r="RY89" s="83"/>
      <c r="RZ89" s="83"/>
      <c r="SA89" s="83"/>
      <c r="SB89" s="83"/>
      <c r="SC89" s="83"/>
      <c r="SD89" s="83"/>
      <c r="SE89" s="83"/>
      <c r="SF89" s="83"/>
      <c r="SG89" s="83"/>
      <c r="SH89" s="83"/>
      <c r="SI89" s="83"/>
      <c r="SJ89" s="83"/>
      <c r="SK89" s="83"/>
      <c r="SL89" s="83"/>
      <c r="SM89" s="83"/>
      <c r="SN89" s="83"/>
      <c r="SO89" s="83"/>
      <c r="SP89" s="83"/>
      <c r="SQ89" s="83"/>
      <c r="SR89" s="83"/>
      <c r="SS89" s="83"/>
      <c r="ST89" s="83"/>
      <c r="SU89" s="83"/>
      <c r="SV89" s="83"/>
      <c r="SW89" s="83"/>
      <c r="SX89" s="83"/>
      <c r="SY89" s="83"/>
      <c r="SZ89" s="83"/>
      <c r="TA89" s="83"/>
      <c r="TB89" s="83"/>
      <c r="TC89" s="83"/>
      <c r="TD89" s="83"/>
      <c r="TE89" s="83"/>
      <c r="TF89" s="83"/>
      <c r="TG89" s="83"/>
      <c r="TH89" s="83"/>
      <c r="TI89" s="83"/>
      <c r="TJ89" s="83"/>
      <c r="TK89" s="83"/>
      <c r="TL89" s="83"/>
      <c r="TM89" s="83"/>
      <c r="TN89" s="83"/>
      <c r="TO89" s="83"/>
      <c r="TP89" s="83"/>
      <c r="TQ89" s="83"/>
      <c r="TR89" s="83"/>
      <c r="TS89" s="83"/>
      <c r="TT89" s="83"/>
      <c r="TU89" s="83"/>
      <c r="TV89" s="83"/>
      <c r="TW89" s="83"/>
      <c r="TX89" s="83"/>
      <c r="TY89" s="83"/>
      <c r="TZ89" s="83"/>
      <c r="UA89" s="83"/>
      <c r="UB89" s="83"/>
      <c r="UC89" s="83"/>
      <c r="UD89" s="83"/>
      <c r="UE89" s="83"/>
      <c r="UF89" s="83"/>
      <c r="UG89" s="83"/>
      <c r="UH89" s="83"/>
      <c r="UI89" s="83"/>
      <c r="UJ89" s="83"/>
      <c r="UK89" s="83"/>
      <c r="UL89" s="83"/>
      <c r="UM89" s="83"/>
      <c r="UN89" s="83"/>
      <c r="UO89" s="83"/>
      <c r="UP89" s="83"/>
      <c r="UQ89" s="83"/>
      <c r="UR89" s="83"/>
      <c r="US89" s="83"/>
      <c r="UT89" s="83"/>
      <c r="UU89" s="83"/>
      <c r="UV89" s="83"/>
      <c r="UW89" s="83"/>
      <c r="UX89" s="83"/>
      <c r="UY89" s="83"/>
      <c r="UZ89" s="83"/>
      <c r="VA89" s="83"/>
      <c r="VB89" s="83"/>
      <c r="VC89" s="83"/>
      <c r="VD89" s="83"/>
      <c r="VE89" s="83"/>
      <c r="VF89" s="83"/>
      <c r="VG89" s="83"/>
      <c r="VH89" s="83"/>
      <c r="VI89" s="83"/>
      <c r="VJ89" s="83"/>
      <c r="VK89" s="83"/>
      <c r="VL89" s="83"/>
      <c r="VM89" s="83"/>
      <c r="VN89" s="83"/>
      <c r="VO89" s="83"/>
      <c r="VP89" s="83"/>
      <c r="VQ89" s="83"/>
      <c r="VR89" s="83"/>
      <c r="VS89" s="83"/>
      <c r="VT89" s="83"/>
      <c r="VU89" s="83"/>
      <c r="VV89" s="83"/>
      <c r="VW89" s="83"/>
      <c r="VX89" s="83"/>
      <c r="VY89" s="83"/>
      <c r="VZ89" s="83"/>
      <c r="WA89" s="83"/>
      <c r="WB89" s="83"/>
      <c r="WC89" s="83"/>
      <c r="WD89" s="83"/>
      <c r="WE89" s="83"/>
      <c r="WF89" s="83"/>
      <c r="WG89" s="83"/>
      <c r="WH89" s="83"/>
      <c r="WI89" s="83"/>
      <c r="WJ89" s="83"/>
      <c r="WK89" s="83"/>
      <c r="WL89" s="83"/>
      <c r="WM89" s="83"/>
      <c r="WN89" s="83"/>
      <c r="WO89" s="83"/>
      <c r="WP89" s="83"/>
      <c r="WQ89" s="83"/>
      <c r="WR89" s="83"/>
      <c r="WS89" s="83"/>
      <c r="WT89" s="83"/>
      <c r="WU89" s="83"/>
      <c r="WV89" s="83"/>
      <c r="WW89" s="83"/>
      <c r="WX89" s="83"/>
      <c r="WY89" s="83"/>
      <c r="WZ89" s="83"/>
      <c r="XA89" s="83"/>
      <c r="XB89" s="83"/>
      <c r="XC89" s="83"/>
      <c r="XD89" s="83"/>
      <c r="XE89" s="83"/>
      <c r="XF89" s="83"/>
      <c r="XG89" s="83"/>
      <c r="XH89" s="83"/>
      <c r="XI89" s="83"/>
      <c r="XJ89" s="83"/>
      <c r="XK89" s="83"/>
      <c r="XL89" s="83"/>
      <c r="XM89" s="83"/>
      <c r="XN89" s="83"/>
      <c r="XO89" s="83"/>
      <c r="XP89" s="83"/>
      <c r="XQ89" s="83"/>
      <c r="XR89" s="83"/>
      <c r="XS89" s="83"/>
      <c r="XT89" s="83"/>
      <c r="XU89" s="83"/>
      <c r="XV89" s="83"/>
      <c r="XW89" s="83"/>
      <c r="XX89" s="83"/>
      <c r="XY89" s="83"/>
      <c r="XZ89" s="83"/>
      <c r="YA89" s="83"/>
      <c r="YB89" s="83"/>
      <c r="YC89" s="83"/>
      <c r="YD89" s="83"/>
      <c r="YE89" s="83"/>
      <c r="YF89" s="83"/>
      <c r="YG89" s="83"/>
      <c r="YH89" s="83"/>
      <c r="YI89" s="83"/>
      <c r="YJ89" s="83"/>
      <c r="YK89" s="83"/>
      <c r="YL89" s="83"/>
      <c r="YM89" s="83"/>
      <c r="YN89" s="83"/>
      <c r="YO89" s="83"/>
      <c r="YP89" s="83"/>
      <c r="YQ89" s="83"/>
      <c r="YR89" s="83"/>
      <c r="YS89" s="83"/>
      <c r="YT89" s="83"/>
      <c r="YU89" s="83"/>
      <c r="YV89" s="83"/>
      <c r="YW89" s="83"/>
      <c r="YX89" s="83"/>
      <c r="YY89" s="83"/>
      <c r="YZ89" s="83"/>
      <c r="ZA89" s="83"/>
      <c r="ZB89" s="83"/>
      <c r="ZC89" s="83"/>
      <c r="ZD89" s="83"/>
      <c r="ZE89" s="83"/>
      <c r="ZF89" s="83"/>
      <c r="ZG89" s="83"/>
      <c r="ZH89" s="83"/>
      <c r="ZI89" s="83"/>
      <c r="ZJ89" s="83"/>
      <c r="ZK89" s="83"/>
      <c r="ZL89" s="83"/>
      <c r="ZM89" s="83"/>
      <c r="ZN89" s="83"/>
      <c r="ZO89" s="83"/>
      <c r="ZP89" s="83"/>
      <c r="ZQ89" s="83"/>
      <c r="ZR89" s="83"/>
      <c r="ZS89" s="83"/>
      <c r="ZT89" s="83"/>
      <c r="ZU89" s="83"/>
      <c r="ZV89" s="83"/>
      <c r="ZW89" s="83"/>
      <c r="ZX89" s="83"/>
      <c r="ZY89" s="83"/>
      <c r="ZZ89" s="83"/>
      <c r="AAA89" s="83"/>
      <c r="AAB89" s="83"/>
      <c r="AAC89" s="83"/>
      <c r="AAD89" s="83"/>
      <c r="AAE89" s="83"/>
      <c r="AAF89" s="83"/>
      <c r="AAG89" s="83"/>
      <c r="AAH89" s="83"/>
      <c r="AAI89" s="83"/>
      <c r="AAJ89" s="83"/>
      <c r="AAK89" s="83"/>
      <c r="AAL89" s="83"/>
      <c r="AAM89" s="83"/>
      <c r="AAN89" s="83"/>
      <c r="AAO89" s="83"/>
      <c r="AAP89" s="83"/>
      <c r="AAQ89" s="83"/>
      <c r="AAR89" s="83"/>
      <c r="AAS89" s="83"/>
      <c r="AAT89" s="83"/>
      <c r="AAU89" s="83"/>
      <c r="AAV89" s="83"/>
      <c r="AAW89" s="83"/>
      <c r="AAX89" s="83"/>
      <c r="AAY89" s="83"/>
      <c r="AAZ89" s="83"/>
      <c r="ABA89" s="83"/>
      <c r="ABB89" s="83"/>
      <c r="ABC89" s="83"/>
      <c r="ABD89" s="83"/>
      <c r="ABE89" s="83"/>
      <c r="ABF89" s="83"/>
      <c r="ABG89" s="83"/>
      <c r="ABH89" s="83"/>
      <c r="ABI89" s="83"/>
      <c r="ABJ89" s="83"/>
      <c r="ABK89" s="83"/>
      <c r="ABL89" s="83"/>
      <c r="ABM89" s="83"/>
      <c r="ABN89" s="83"/>
      <c r="ABO89" s="83"/>
      <c r="ABP89" s="83"/>
      <c r="ABQ89" s="83"/>
      <c r="ABR89" s="83"/>
      <c r="ABS89" s="83"/>
      <c r="ABT89" s="83"/>
      <c r="ABU89" s="83"/>
      <c r="ABV89" s="83"/>
      <c r="ABW89" s="83"/>
      <c r="ABX89" s="83"/>
      <c r="ABY89" s="83"/>
      <c r="ABZ89" s="83"/>
      <c r="ACA89" s="83"/>
      <c r="ACB89" s="83"/>
      <c r="ACC89" s="83"/>
      <c r="ACD89" s="83"/>
      <c r="ACE89" s="83"/>
      <c r="ACF89" s="83"/>
      <c r="ACG89" s="83"/>
      <c r="ACH89" s="83"/>
      <c r="ACI89" s="83"/>
      <c r="ACJ89" s="83"/>
      <c r="ACK89" s="83"/>
      <c r="ACL89" s="83"/>
      <c r="ACM89" s="83"/>
      <c r="ACN89" s="83"/>
      <c r="ACO89" s="83"/>
      <c r="ACP89" s="83"/>
      <c r="ACQ89" s="83"/>
      <c r="ACR89" s="83"/>
      <c r="ACS89" s="83"/>
      <c r="ACT89" s="83"/>
      <c r="ACU89" s="83"/>
      <c r="ACV89" s="83"/>
      <c r="ACW89" s="83"/>
      <c r="ACX89" s="83"/>
      <c r="ACY89" s="83"/>
      <c r="ACZ89" s="83"/>
      <c r="ADA89" s="83"/>
      <c r="ADB89" s="83"/>
      <c r="ADC89" s="83"/>
      <c r="ADD89" s="83"/>
      <c r="ADE89" s="83"/>
      <c r="ADF89" s="83"/>
      <c r="ADG89" s="83"/>
      <c r="ADH89" s="83"/>
      <c r="ADI89" s="83"/>
      <c r="ADJ89" s="83"/>
      <c r="ADK89" s="83"/>
      <c r="ADL89" s="83"/>
      <c r="ADM89" s="83"/>
      <c r="ADN89" s="83"/>
      <c r="ADO89" s="83"/>
      <c r="ADP89" s="83"/>
      <c r="ADQ89" s="83"/>
      <c r="ADR89" s="83"/>
      <c r="ADS89" s="83"/>
      <c r="ADT89" s="83"/>
      <c r="ADU89" s="83"/>
      <c r="ADV89" s="83"/>
      <c r="ADW89" s="83"/>
      <c r="ADX89" s="83"/>
      <c r="ADY89" s="83"/>
      <c r="ADZ89" s="83"/>
      <c r="AEA89" s="83"/>
      <c r="AEB89" s="83"/>
      <c r="AEC89" s="83"/>
      <c r="AED89" s="83"/>
      <c r="AEE89" s="83"/>
      <c r="AEF89" s="83"/>
      <c r="AEG89" s="83"/>
      <c r="AEH89" s="83"/>
      <c r="AEI89" s="83"/>
      <c r="AEJ89" s="83"/>
      <c r="AEK89" s="83"/>
      <c r="AEL89" s="83"/>
      <c r="AEM89" s="83"/>
      <c r="AEN89" s="83"/>
      <c r="AEO89" s="83"/>
      <c r="AEP89" s="83"/>
      <c r="AEQ89" s="83"/>
      <c r="AER89" s="83"/>
      <c r="AES89" s="83"/>
      <c r="AET89" s="83"/>
      <c r="AEU89" s="83"/>
      <c r="AEV89" s="83"/>
      <c r="AEW89" s="83"/>
      <c r="AEX89" s="83"/>
      <c r="AEY89" s="83"/>
      <c r="AEZ89" s="83"/>
      <c r="AFA89" s="83"/>
      <c r="AFB89" s="83"/>
      <c r="AFC89" s="83"/>
      <c r="AFD89" s="83"/>
      <c r="AFE89" s="83"/>
      <c r="AFF89" s="83"/>
      <c r="AFG89" s="83"/>
      <c r="AFH89" s="83"/>
      <c r="AFI89" s="83"/>
      <c r="AFJ89" s="83"/>
      <c r="AFK89" s="83"/>
      <c r="AFL89" s="83"/>
      <c r="AFM89" s="83"/>
      <c r="AFN89" s="83"/>
      <c r="AFO89" s="83"/>
      <c r="AFP89" s="83"/>
      <c r="AFQ89" s="83"/>
      <c r="AFR89" s="83"/>
      <c r="AFS89" s="83"/>
      <c r="AFT89" s="83"/>
      <c r="AFU89" s="83"/>
      <c r="AFV89" s="83"/>
      <c r="AFW89" s="83"/>
      <c r="AFX89" s="83"/>
      <c r="AFY89" s="83"/>
      <c r="AFZ89" s="83"/>
      <c r="AGA89" s="83"/>
      <c r="AGB89" s="83"/>
      <c r="AGC89" s="83"/>
      <c r="AGD89" s="83"/>
      <c r="AGE89" s="83"/>
      <c r="AGF89" s="83"/>
      <c r="AGG89" s="83"/>
      <c r="AGH89" s="83"/>
      <c r="AGI89" s="83"/>
      <c r="AGJ89" s="83"/>
      <c r="AGK89" s="83"/>
      <c r="AGL89" s="83"/>
      <c r="AGM89" s="83"/>
      <c r="AGN89" s="83"/>
      <c r="AGO89" s="83"/>
      <c r="AGP89" s="83"/>
      <c r="AGQ89" s="83"/>
      <c r="AGR89" s="83"/>
      <c r="AGS89" s="83"/>
      <c r="AGT89" s="83"/>
      <c r="AGU89" s="83"/>
      <c r="AGV89" s="83"/>
      <c r="AGW89" s="83"/>
      <c r="AGX89" s="83"/>
      <c r="AGY89" s="83"/>
      <c r="AGZ89" s="83"/>
      <c r="AHA89" s="83"/>
      <c r="AHB89" s="83"/>
      <c r="AHC89" s="83"/>
      <c r="AHD89" s="83"/>
      <c r="AHE89" s="83"/>
      <c r="AHF89" s="83"/>
      <c r="AHG89" s="83"/>
      <c r="AHH89" s="83"/>
      <c r="AHI89" s="83"/>
      <c r="AHJ89" s="83"/>
      <c r="AHK89" s="83"/>
      <c r="AHL89" s="83"/>
      <c r="AHM89" s="83"/>
      <c r="AHN89" s="83"/>
      <c r="AHO89" s="83"/>
      <c r="AHP89" s="83"/>
      <c r="AHQ89" s="83"/>
      <c r="AHR89" s="83"/>
      <c r="AHS89" s="83"/>
      <c r="AHT89" s="83"/>
      <c r="AHU89" s="83"/>
      <c r="AHV89" s="83"/>
      <c r="AHW89" s="83"/>
      <c r="AHX89" s="83"/>
      <c r="AHY89" s="83"/>
      <c r="AHZ89" s="83"/>
      <c r="AIA89" s="83"/>
      <c r="AIB89" s="83"/>
      <c r="AIC89" s="83"/>
      <c r="AID89" s="83"/>
      <c r="AIE89" s="83"/>
      <c r="AIF89" s="83"/>
      <c r="AIG89" s="83"/>
      <c r="AIH89" s="83"/>
      <c r="AII89" s="83"/>
      <c r="AIJ89" s="83"/>
      <c r="AIK89" s="83"/>
      <c r="AIL89" s="83"/>
      <c r="AIM89" s="83"/>
      <c r="AIN89" s="83"/>
      <c r="AIO89" s="83"/>
      <c r="AIP89" s="83"/>
      <c r="AIQ89" s="83"/>
      <c r="AIR89" s="83"/>
      <c r="AIS89" s="83"/>
      <c r="AIT89" s="83"/>
      <c r="AIU89" s="83"/>
      <c r="AIV89" s="83"/>
      <c r="AIW89" s="83"/>
      <c r="AIX89" s="83"/>
      <c r="AIY89" s="83"/>
      <c r="AIZ89" s="83"/>
      <c r="AJA89" s="83"/>
      <c r="AJB89" s="83"/>
      <c r="AJC89" s="83"/>
      <c r="AJD89" s="83"/>
      <c r="AJE89" s="83"/>
      <c r="AJF89" s="83"/>
      <c r="AJG89" s="83"/>
      <c r="AJH89" s="83"/>
      <c r="AJI89" s="83"/>
      <c r="AJJ89" s="83"/>
      <c r="AJK89" s="83"/>
      <c r="AJL89" s="83"/>
      <c r="AJM89" s="83"/>
      <c r="AJN89" s="83"/>
      <c r="AJO89" s="83"/>
      <c r="AJP89" s="83"/>
      <c r="AJQ89" s="83"/>
      <c r="AJR89" s="83"/>
      <c r="AJS89" s="83"/>
      <c r="AJT89" s="83"/>
      <c r="AJU89" s="83"/>
      <c r="AJV89" s="83"/>
      <c r="AJW89" s="83"/>
      <c r="AJX89" s="83"/>
      <c r="AJY89" s="83"/>
      <c r="AJZ89" s="83"/>
      <c r="AKA89" s="83"/>
      <c r="AKB89" s="83"/>
      <c r="AKC89" s="83"/>
      <c r="AKD89" s="83"/>
      <c r="AKE89" s="83"/>
      <c r="AKF89" s="83"/>
      <c r="AKG89" s="83"/>
      <c r="AKH89" s="83"/>
      <c r="AKI89" s="83"/>
      <c r="AKJ89" s="83"/>
      <c r="AKK89" s="83"/>
      <c r="AKL89" s="83"/>
      <c r="AKM89" s="83"/>
      <c r="AKN89" s="83"/>
      <c r="AKO89" s="83"/>
      <c r="AKP89" s="83"/>
      <c r="AKQ89" s="83"/>
      <c r="AKR89" s="83"/>
      <c r="AKS89" s="83"/>
      <c r="AKT89" s="83"/>
      <c r="AKU89" s="83"/>
      <c r="AKV89" s="83"/>
      <c r="AKW89" s="83"/>
      <c r="AKX89" s="83"/>
      <c r="AKY89" s="83"/>
      <c r="AKZ89" s="83"/>
      <c r="ALA89" s="83"/>
      <c r="ALB89" s="83"/>
      <c r="ALC89" s="83"/>
      <c r="ALD89" s="83"/>
      <c r="ALE89" s="83"/>
      <c r="ALF89" s="83"/>
      <c r="ALG89" s="83"/>
      <c r="ALH89" s="83"/>
      <c r="ALI89" s="83"/>
      <c r="ALJ89" s="83"/>
      <c r="ALK89" s="83"/>
      <c r="ALL89" s="83"/>
      <c r="ALM89" s="83"/>
      <c r="ALN89" s="83"/>
      <c r="ALO89" s="83"/>
      <c r="ALP89" s="83"/>
      <c r="ALQ89" s="83"/>
      <c r="ALR89" s="83"/>
      <c r="ALS89" s="83"/>
      <c r="ALT89" s="83"/>
      <c r="ALU89" s="83"/>
      <c r="ALV89" s="83"/>
      <c r="ALW89" s="83"/>
      <c r="ALX89" s="83"/>
      <c r="ALY89" s="83"/>
      <c r="ALZ89" s="83"/>
      <c r="AMA89" s="83"/>
      <c r="AMB89" s="83"/>
      <c r="AMC89" s="83"/>
      <c r="AMD89" s="83"/>
      <c r="AME89" s="83"/>
      <c r="AMF89" s="83"/>
      <c r="AMG89" s="83"/>
      <c r="AMH89" s="83"/>
      <c r="AMI89" s="83"/>
      <c r="AMJ89" s="83"/>
    </row>
    <row r="90" spans="12:1024" ht="15.95" customHeight="1" x14ac:dyDescent="0.2">
      <c r="L90" s="83"/>
      <c r="M90" s="84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83"/>
      <c r="DU90" s="83"/>
      <c r="DV90" s="83"/>
      <c r="DW90" s="83"/>
      <c r="DX90" s="83"/>
      <c r="DY90" s="83"/>
      <c r="DZ90" s="83"/>
      <c r="EA90" s="83"/>
      <c r="EB90" s="83"/>
      <c r="EC90" s="83"/>
      <c r="ED90" s="83"/>
      <c r="EE90" s="83"/>
      <c r="EF90" s="83"/>
      <c r="EG90" s="83"/>
      <c r="EH90" s="83"/>
      <c r="EI90" s="83"/>
      <c r="EJ90" s="83"/>
      <c r="EK90" s="83"/>
      <c r="EL90" s="83"/>
      <c r="EM90" s="83"/>
      <c r="EN90" s="83"/>
      <c r="EO90" s="83"/>
      <c r="EP90" s="83"/>
      <c r="EQ90" s="83"/>
      <c r="ER90" s="83"/>
      <c r="ES90" s="83"/>
      <c r="ET90" s="83"/>
      <c r="EU90" s="83"/>
      <c r="EV90" s="83"/>
      <c r="EW90" s="83"/>
      <c r="EX90" s="83"/>
      <c r="EY90" s="83"/>
      <c r="EZ90" s="83"/>
      <c r="FA90" s="83"/>
      <c r="FB90" s="83"/>
      <c r="FC90" s="83"/>
      <c r="FD90" s="83"/>
      <c r="FE90" s="83"/>
      <c r="FF90" s="83"/>
      <c r="FG90" s="83"/>
      <c r="FH90" s="83"/>
      <c r="FI90" s="83"/>
      <c r="FJ90" s="83"/>
      <c r="FK90" s="83"/>
      <c r="FL90" s="83"/>
      <c r="FM90" s="83"/>
      <c r="FN90" s="83"/>
      <c r="FO90" s="83"/>
      <c r="FP90" s="83"/>
      <c r="FQ90" s="83"/>
      <c r="FR90" s="83"/>
      <c r="FS90" s="83"/>
      <c r="FT90" s="83"/>
      <c r="FU90" s="83"/>
      <c r="FV90" s="83"/>
      <c r="FW90" s="83"/>
      <c r="FX90" s="83"/>
      <c r="FY90" s="83"/>
      <c r="FZ90" s="83"/>
      <c r="GA90" s="83"/>
      <c r="GB90" s="83"/>
      <c r="GC90" s="83"/>
      <c r="GD90" s="83"/>
      <c r="GE90" s="83"/>
      <c r="GF90" s="83"/>
      <c r="GG90" s="83"/>
      <c r="GH90" s="83"/>
      <c r="GI90" s="83"/>
      <c r="GJ90" s="83"/>
      <c r="GK90" s="83"/>
      <c r="GL90" s="83"/>
      <c r="GM90" s="83"/>
      <c r="GN90" s="83"/>
      <c r="GO90" s="83"/>
      <c r="GP90" s="83"/>
      <c r="GQ90" s="83"/>
      <c r="GR90" s="83"/>
      <c r="GS90" s="83"/>
      <c r="GT90" s="83"/>
      <c r="GU90" s="83"/>
      <c r="GV90" s="83"/>
      <c r="GW90" s="83"/>
      <c r="GX90" s="83"/>
      <c r="GY90" s="83"/>
      <c r="GZ90" s="83"/>
      <c r="HA90" s="83"/>
      <c r="HB90" s="83"/>
      <c r="HC90" s="83"/>
      <c r="HD90" s="83"/>
      <c r="HE90" s="83"/>
      <c r="HF90" s="83"/>
      <c r="HG90" s="83"/>
      <c r="HH90" s="83"/>
      <c r="HI90" s="83"/>
      <c r="HJ90" s="83"/>
      <c r="HK90" s="83"/>
      <c r="HL90" s="83"/>
      <c r="HM90" s="83"/>
      <c r="HN90" s="83"/>
      <c r="HO90" s="83"/>
      <c r="HP90" s="83"/>
      <c r="HQ90" s="83"/>
      <c r="HR90" s="83"/>
      <c r="HS90" s="83"/>
      <c r="HT90" s="83"/>
      <c r="HU90" s="83"/>
      <c r="HV90" s="83"/>
      <c r="HW90" s="83"/>
      <c r="HX90" s="83"/>
      <c r="HY90" s="83"/>
      <c r="HZ90" s="83"/>
      <c r="IA90" s="83"/>
      <c r="IB90" s="83"/>
      <c r="IC90" s="83"/>
      <c r="ID90" s="83"/>
      <c r="IE90" s="83"/>
      <c r="IF90" s="83"/>
      <c r="IG90" s="83"/>
      <c r="IH90" s="83"/>
      <c r="II90" s="83"/>
      <c r="IJ90" s="83"/>
      <c r="IK90" s="83"/>
      <c r="IL90" s="83"/>
      <c r="IM90" s="83"/>
      <c r="IN90" s="83"/>
      <c r="IO90" s="83"/>
      <c r="IP90" s="83"/>
      <c r="IQ90" s="83"/>
      <c r="IR90" s="83"/>
      <c r="IS90" s="83"/>
      <c r="IT90" s="83"/>
      <c r="IU90" s="83"/>
      <c r="IV90" s="83"/>
      <c r="IW90" s="83"/>
      <c r="IX90" s="83"/>
      <c r="IY90" s="83"/>
      <c r="IZ90" s="83"/>
      <c r="JA90" s="83"/>
      <c r="JB90" s="83"/>
      <c r="JC90" s="83"/>
      <c r="JD90" s="83"/>
      <c r="JE90" s="83"/>
      <c r="JF90" s="83"/>
      <c r="JG90" s="83"/>
      <c r="JH90" s="83"/>
      <c r="JI90" s="83"/>
      <c r="JJ90" s="83"/>
      <c r="JK90" s="83"/>
      <c r="JL90" s="83"/>
      <c r="JM90" s="83"/>
      <c r="JN90" s="83"/>
      <c r="JO90" s="83"/>
      <c r="JP90" s="83"/>
      <c r="JQ90" s="83"/>
      <c r="JR90" s="83"/>
      <c r="JS90" s="83"/>
      <c r="JT90" s="83"/>
      <c r="JU90" s="83"/>
      <c r="JV90" s="83"/>
      <c r="JW90" s="83"/>
      <c r="JX90" s="83"/>
      <c r="JY90" s="83"/>
      <c r="JZ90" s="83"/>
      <c r="KA90" s="83"/>
      <c r="KB90" s="83"/>
      <c r="KC90" s="83"/>
      <c r="KD90" s="83"/>
      <c r="KE90" s="83"/>
      <c r="KF90" s="83"/>
      <c r="KG90" s="83"/>
      <c r="KH90" s="83"/>
      <c r="KI90" s="83"/>
      <c r="KJ90" s="83"/>
      <c r="KK90" s="83"/>
      <c r="KL90" s="83"/>
      <c r="KM90" s="83"/>
      <c r="KN90" s="83"/>
      <c r="KO90" s="83"/>
      <c r="KP90" s="83"/>
      <c r="KQ90" s="83"/>
      <c r="KR90" s="83"/>
      <c r="KS90" s="83"/>
      <c r="KT90" s="83"/>
      <c r="KU90" s="83"/>
      <c r="KV90" s="83"/>
      <c r="KW90" s="83"/>
      <c r="KX90" s="83"/>
      <c r="KY90" s="83"/>
      <c r="KZ90" s="83"/>
      <c r="LA90" s="83"/>
      <c r="LB90" s="83"/>
      <c r="LC90" s="83"/>
      <c r="LD90" s="83"/>
      <c r="LE90" s="83"/>
      <c r="LF90" s="83"/>
      <c r="LG90" s="83"/>
      <c r="LH90" s="83"/>
      <c r="LI90" s="83"/>
      <c r="LJ90" s="83"/>
      <c r="LK90" s="83"/>
      <c r="LL90" s="83"/>
      <c r="LM90" s="83"/>
      <c r="LN90" s="83"/>
      <c r="LO90" s="83"/>
      <c r="LP90" s="83"/>
      <c r="LQ90" s="83"/>
      <c r="LR90" s="83"/>
      <c r="LS90" s="83"/>
      <c r="LT90" s="83"/>
      <c r="LU90" s="83"/>
      <c r="LV90" s="83"/>
      <c r="LW90" s="83"/>
      <c r="LX90" s="83"/>
      <c r="LY90" s="83"/>
      <c r="LZ90" s="83"/>
      <c r="MA90" s="83"/>
      <c r="MB90" s="83"/>
      <c r="MC90" s="83"/>
      <c r="MD90" s="83"/>
      <c r="ME90" s="83"/>
      <c r="MF90" s="83"/>
      <c r="MG90" s="83"/>
      <c r="MH90" s="83"/>
      <c r="MI90" s="83"/>
      <c r="MJ90" s="83"/>
      <c r="MK90" s="83"/>
      <c r="ML90" s="83"/>
      <c r="MM90" s="83"/>
      <c r="MN90" s="83"/>
      <c r="MO90" s="83"/>
      <c r="MP90" s="83"/>
      <c r="MQ90" s="83"/>
      <c r="MR90" s="83"/>
      <c r="MS90" s="83"/>
      <c r="MT90" s="83"/>
      <c r="MU90" s="83"/>
      <c r="MV90" s="83"/>
      <c r="MW90" s="83"/>
      <c r="MX90" s="83"/>
      <c r="MY90" s="83"/>
      <c r="MZ90" s="83"/>
      <c r="NA90" s="83"/>
      <c r="NB90" s="83"/>
      <c r="NC90" s="83"/>
      <c r="ND90" s="83"/>
      <c r="NE90" s="83"/>
      <c r="NF90" s="83"/>
      <c r="NG90" s="83"/>
      <c r="NH90" s="83"/>
      <c r="NI90" s="83"/>
      <c r="NJ90" s="83"/>
      <c r="NK90" s="83"/>
      <c r="NL90" s="83"/>
      <c r="NM90" s="83"/>
      <c r="NN90" s="83"/>
      <c r="NO90" s="83"/>
      <c r="NP90" s="83"/>
      <c r="NQ90" s="83"/>
      <c r="NR90" s="83"/>
      <c r="NS90" s="83"/>
      <c r="NT90" s="83"/>
      <c r="NU90" s="83"/>
      <c r="NV90" s="83"/>
      <c r="NW90" s="83"/>
      <c r="NX90" s="83"/>
      <c r="NY90" s="83"/>
      <c r="NZ90" s="83"/>
      <c r="OA90" s="83"/>
      <c r="OB90" s="83"/>
      <c r="OC90" s="83"/>
      <c r="OD90" s="83"/>
      <c r="OE90" s="83"/>
      <c r="OF90" s="83"/>
      <c r="OG90" s="83"/>
      <c r="OH90" s="83"/>
      <c r="OI90" s="83"/>
      <c r="OJ90" s="83"/>
      <c r="OK90" s="83"/>
      <c r="OL90" s="83"/>
      <c r="OM90" s="83"/>
      <c r="ON90" s="83"/>
      <c r="OO90" s="83"/>
      <c r="OP90" s="83"/>
      <c r="OQ90" s="83"/>
      <c r="OR90" s="83"/>
      <c r="OS90" s="83"/>
      <c r="OT90" s="83"/>
      <c r="OU90" s="83"/>
      <c r="OV90" s="83"/>
      <c r="OW90" s="83"/>
      <c r="OX90" s="83"/>
      <c r="OY90" s="83"/>
      <c r="OZ90" s="83"/>
      <c r="PA90" s="83"/>
      <c r="PB90" s="83"/>
      <c r="PC90" s="83"/>
      <c r="PD90" s="83"/>
      <c r="PE90" s="83"/>
      <c r="PF90" s="83"/>
      <c r="PG90" s="83"/>
      <c r="PH90" s="83"/>
      <c r="PI90" s="83"/>
      <c r="PJ90" s="83"/>
      <c r="PK90" s="83"/>
      <c r="PL90" s="83"/>
      <c r="PM90" s="83"/>
      <c r="PN90" s="83"/>
      <c r="PO90" s="83"/>
      <c r="PP90" s="83"/>
      <c r="PQ90" s="83"/>
      <c r="PR90" s="83"/>
      <c r="PS90" s="83"/>
      <c r="PT90" s="83"/>
      <c r="PU90" s="83"/>
      <c r="PV90" s="83"/>
      <c r="PW90" s="83"/>
      <c r="PX90" s="83"/>
      <c r="PY90" s="83"/>
      <c r="PZ90" s="83"/>
      <c r="QA90" s="83"/>
      <c r="QB90" s="83"/>
      <c r="QC90" s="83"/>
      <c r="QD90" s="83"/>
      <c r="QE90" s="83"/>
      <c r="QF90" s="83"/>
      <c r="QG90" s="83"/>
      <c r="QH90" s="83"/>
      <c r="QI90" s="83"/>
      <c r="QJ90" s="83"/>
      <c r="QK90" s="83"/>
      <c r="QL90" s="83"/>
      <c r="QM90" s="83"/>
      <c r="QN90" s="83"/>
      <c r="QO90" s="83"/>
      <c r="QP90" s="83"/>
      <c r="QQ90" s="83"/>
      <c r="QR90" s="83"/>
      <c r="QS90" s="83"/>
      <c r="QT90" s="83"/>
      <c r="QU90" s="83"/>
      <c r="QV90" s="83"/>
      <c r="QW90" s="83"/>
      <c r="QX90" s="83"/>
      <c r="QY90" s="83"/>
      <c r="QZ90" s="83"/>
      <c r="RA90" s="83"/>
      <c r="RB90" s="83"/>
      <c r="RC90" s="83"/>
      <c r="RD90" s="83"/>
      <c r="RE90" s="83"/>
      <c r="RF90" s="83"/>
      <c r="RG90" s="83"/>
      <c r="RH90" s="83"/>
      <c r="RI90" s="83"/>
      <c r="RJ90" s="83"/>
      <c r="RK90" s="83"/>
      <c r="RL90" s="83"/>
      <c r="RM90" s="83"/>
      <c r="RN90" s="83"/>
      <c r="RO90" s="83"/>
      <c r="RP90" s="83"/>
      <c r="RQ90" s="83"/>
      <c r="RR90" s="83"/>
      <c r="RS90" s="83"/>
      <c r="RT90" s="83"/>
      <c r="RU90" s="83"/>
      <c r="RV90" s="83"/>
      <c r="RW90" s="83"/>
      <c r="RX90" s="83"/>
      <c r="RY90" s="83"/>
      <c r="RZ90" s="83"/>
      <c r="SA90" s="83"/>
      <c r="SB90" s="83"/>
      <c r="SC90" s="83"/>
      <c r="SD90" s="83"/>
      <c r="SE90" s="83"/>
      <c r="SF90" s="83"/>
      <c r="SG90" s="83"/>
      <c r="SH90" s="83"/>
      <c r="SI90" s="83"/>
      <c r="SJ90" s="83"/>
      <c r="SK90" s="83"/>
      <c r="SL90" s="83"/>
      <c r="SM90" s="83"/>
      <c r="SN90" s="83"/>
      <c r="SO90" s="83"/>
      <c r="SP90" s="83"/>
      <c r="SQ90" s="83"/>
      <c r="SR90" s="83"/>
      <c r="SS90" s="83"/>
      <c r="ST90" s="83"/>
      <c r="SU90" s="83"/>
      <c r="SV90" s="83"/>
      <c r="SW90" s="83"/>
      <c r="SX90" s="83"/>
      <c r="SY90" s="83"/>
      <c r="SZ90" s="83"/>
      <c r="TA90" s="83"/>
      <c r="TB90" s="83"/>
      <c r="TC90" s="83"/>
      <c r="TD90" s="83"/>
      <c r="TE90" s="83"/>
      <c r="TF90" s="83"/>
      <c r="TG90" s="83"/>
      <c r="TH90" s="83"/>
      <c r="TI90" s="83"/>
      <c r="TJ90" s="83"/>
      <c r="TK90" s="83"/>
      <c r="TL90" s="83"/>
      <c r="TM90" s="83"/>
      <c r="TN90" s="83"/>
      <c r="TO90" s="83"/>
      <c r="TP90" s="83"/>
      <c r="TQ90" s="83"/>
      <c r="TR90" s="83"/>
      <c r="TS90" s="83"/>
      <c r="TT90" s="83"/>
      <c r="TU90" s="83"/>
      <c r="TV90" s="83"/>
      <c r="TW90" s="83"/>
      <c r="TX90" s="83"/>
      <c r="TY90" s="83"/>
      <c r="TZ90" s="83"/>
      <c r="UA90" s="83"/>
      <c r="UB90" s="83"/>
      <c r="UC90" s="83"/>
      <c r="UD90" s="83"/>
      <c r="UE90" s="83"/>
      <c r="UF90" s="83"/>
      <c r="UG90" s="83"/>
      <c r="UH90" s="83"/>
      <c r="UI90" s="83"/>
      <c r="UJ90" s="83"/>
      <c r="UK90" s="83"/>
      <c r="UL90" s="83"/>
      <c r="UM90" s="83"/>
      <c r="UN90" s="83"/>
      <c r="UO90" s="83"/>
      <c r="UP90" s="83"/>
      <c r="UQ90" s="83"/>
      <c r="UR90" s="83"/>
      <c r="US90" s="83"/>
      <c r="UT90" s="83"/>
      <c r="UU90" s="83"/>
      <c r="UV90" s="83"/>
      <c r="UW90" s="83"/>
      <c r="UX90" s="83"/>
      <c r="UY90" s="83"/>
      <c r="UZ90" s="83"/>
      <c r="VA90" s="83"/>
      <c r="VB90" s="83"/>
      <c r="VC90" s="83"/>
      <c r="VD90" s="83"/>
      <c r="VE90" s="83"/>
      <c r="VF90" s="83"/>
      <c r="VG90" s="83"/>
      <c r="VH90" s="83"/>
      <c r="VI90" s="83"/>
      <c r="VJ90" s="83"/>
      <c r="VK90" s="83"/>
      <c r="VL90" s="83"/>
      <c r="VM90" s="83"/>
      <c r="VN90" s="83"/>
      <c r="VO90" s="83"/>
      <c r="VP90" s="83"/>
      <c r="VQ90" s="83"/>
      <c r="VR90" s="83"/>
      <c r="VS90" s="83"/>
      <c r="VT90" s="83"/>
      <c r="VU90" s="83"/>
      <c r="VV90" s="83"/>
      <c r="VW90" s="83"/>
      <c r="VX90" s="83"/>
      <c r="VY90" s="83"/>
      <c r="VZ90" s="83"/>
      <c r="WA90" s="83"/>
      <c r="WB90" s="83"/>
      <c r="WC90" s="83"/>
      <c r="WD90" s="83"/>
      <c r="WE90" s="83"/>
      <c r="WF90" s="83"/>
      <c r="WG90" s="83"/>
      <c r="WH90" s="83"/>
      <c r="WI90" s="83"/>
      <c r="WJ90" s="83"/>
      <c r="WK90" s="83"/>
      <c r="WL90" s="83"/>
      <c r="WM90" s="83"/>
      <c r="WN90" s="83"/>
      <c r="WO90" s="83"/>
      <c r="WP90" s="83"/>
      <c r="WQ90" s="83"/>
      <c r="WR90" s="83"/>
      <c r="WS90" s="83"/>
      <c r="WT90" s="83"/>
      <c r="WU90" s="83"/>
      <c r="WV90" s="83"/>
      <c r="WW90" s="83"/>
      <c r="WX90" s="83"/>
      <c r="WY90" s="83"/>
      <c r="WZ90" s="83"/>
      <c r="XA90" s="83"/>
      <c r="XB90" s="83"/>
      <c r="XC90" s="83"/>
      <c r="XD90" s="83"/>
      <c r="XE90" s="83"/>
      <c r="XF90" s="83"/>
      <c r="XG90" s="83"/>
      <c r="XH90" s="83"/>
      <c r="XI90" s="83"/>
      <c r="XJ90" s="83"/>
      <c r="XK90" s="83"/>
      <c r="XL90" s="83"/>
      <c r="XM90" s="83"/>
      <c r="XN90" s="83"/>
      <c r="XO90" s="83"/>
      <c r="XP90" s="83"/>
      <c r="XQ90" s="83"/>
      <c r="XR90" s="83"/>
      <c r="XS90" s="83"/>
      <c r="XT90" s="83"/>
      <c r="XU90" s="83"/>
      <c r="XV90" s="83"/>
      <c r="XW90" s="83"/>
      <c r="XX90" s="83"/>
      <c r="XY90" s="83"/>
      <c r="XZ90" s="83"/>
      <c r="YA90" s="83"/>
      <c r="YB90" s="83"/>
      <c r="YC90" s="83"/>
      <c r="YD90" s="83"/>
      <c r="YE90" s="83"/>
      <c r="YF90" s="83"/>
      <c r="YG90" s="83"/>
      <c r="YH90" s="83"/>
      <c r="YI90" s="83"/>
      <c r="YJ90" s="83"/>
      <c r="YK90" s="83"/>
      <c r="YL90" s="83"/>
      <c r="YM90" s="83"/>
      <c r="YN90" s="83"/>
      <c r="YO90" s="83"/>
      <c r="YP90" s="83"/>
      <c r="YQ90" s="83"/>
      <c r="YR90" s="83"/>
      <c r="YS90" s="83"/>
      <c r="YT90" s="83"/>
      <c r="YU90" s="83"/>
      <c r="YV90" s="83"/>
      <c r="YW90" s="83"/>
      <c r="YX90" s="83"/>
      <c r="YY90" s="83"/>
      <c r="YZ90" s="83"/>
      <c r="ZA90" s="83"/>
      <c r="ZB90" s="83"/>
      <c r="ZC90" s="83"/>
      <c r="ZD90" s="83"/>
      <c r="ZE90" s="83"/>
      <c r="ZF90" s="83"/>
      <c r="ZG90" s="83"/>
      <c r="ZH90" s="83"/>
      <c r="ZI90" s="83"/>
      <c r="ZJ90" s="83"/>
      <c r="ZK90" s="83"/>
      <c r="ZL90" s="83"/>
      <c r="ZM90" s="83"/>
      <c r="ZN90" s="83"/>
      <c r="ZO90" s="83"/>
      <c r="ZP90" s="83"/>
      <c r="ZQ90" s="83"/>
      <c r="ZR90" s="83"/>
      <c r="ZS90" s="83"/>
      <c r="ZT90" s="83"/>
      <c r="ZU90" s="83"/>
      <c r="ZV90" s="83"/>
      <c r="ZW90" s="83"/>
      <c r="ZX90" s="83"/>
      <c r="ZY90" s="83"/>
      <c r="ZZ90" s="83"/>
      <c r="AAA90" s="83"/>
      <c r="AAB90" s="83"/>
      <c r="AAC90" s="83"/>
      <c r="AAD90" s="83"/>
      <c r="AAE90" s="83"/>
      <c r="AAF90" s="83"/>
      <c r="AAG90" s="83"/>
      <c r="AAH90" s="83"/>
      <c r="AAI90" s="83"/>
      <c r="AAJ90" s="83"/>
      <c r="AAK90" s="83"/>
      <c r="AAL90" s="83"/>
      <c r="AAM90" s="83"/>
      <c r="AAN90" s="83"/>
      <c r="AAO90" s="83"/>
      <c r="AAP90" s="83"/>
      <c r="AAQ90" s="83"/>
      <c r="AAR90" s="83"/>
      <c r="AAS90" s="83"/>
      <c r="AAT90" s="83"/>
      <c r="AAU90" s="83"/>
      <c r="AAV90" s="83"/>
      <c r="AAW90" s="83"/>
      <c r="AAX90" s="83"/>
      <c r="AAY90" s="83"/>
      <c r="AAZ90" s="83"/>
      <c r="ABA90" s="83"/>
      <c r="ABB90" s="83"/>
      <c r="ABC90" s="83"/>
      <c r="ABD90" s="83"/>
      <c r="ABE90" s="83"/>
      <c r="ABF90" s="83"/>
      <c r="ABG90" s="83"/>
      <c r="ABH90" s="83"/>
      <c r="ABI90" s="83"/>
      <c r="ABJ90" s="83"/>
      <c r="ABK90" s="83"/>
      <c r="ABL90" s="83"/>
      <c r="ABM90" s="83"/>
      <c r="ABN90" s="83"/>
      <c r="ABO90" s="83"/>
      <c r="ABP90" s="83"/>
      <c r="ABQ90" s="83"/>
      <c r="ABR90" s="83"/>
      <c r="ABS90" s="83"/>
      <c r="ABT90" s="83"/>
      <c r="ABU90" s="83"/>
      <c r="ABV90" s="83"/>
      <c r="ABW90" s="83"/>
      <c r="ABX90" s="83"/>
      <c r="ABY90" s="83"/>
      <c r="ABZ90" s="83"/>
      <c r="ACA90" s="83"/>
      <c r="ACB90" s="83"/>
      <c r="ACC90" s="83"/>
      <c r="ACD90" s="83"/>
      <c r="ACE90" s="83"/>
      <c r="ACF90" s="83"/>
      <c r="ACG90" s="83"/>
      <c r="ACH90" s="83"/>
      <c r="ACI90" s="83"/>
      <c r="ACJ90" s="83"/>
      <c r="ACK90" s="83"/>
      <c r="ACL90" s="83"/>
      <c r="ACM90" s="83"/>
      <c r="ACN90" s="83"/>
      <c r="ACO90" s="83"/>
      <c r="ACP90" s="83"/>
      <c r="ACQ90" s="83"/>
      <c r="ACR90" s="83"/>
      <c r="ACS90" s="83"/>
      <c r="ACT90" s="83"/>
      <c r="ACU90" s="83"/>
      <c r="ACV90" s="83"/>
      <c r="ACW90" s="83"/>
      <c r="ACX90" s="83"/>
      <c r="ACY90" s="83"/>
      <c r="ACZ90" s="83"/>
      <c r="ADA90" s="83"/>
      <c r="ADB90" s="83"/>
      <c r="ADC90" s="83"/>
      <c r="ADD90" s="83"/>
      <c r="ADE90" s="83"/>
      <c r="ADF90" s="83"/>
      <c r="ADG90" s="83"/>
      <c r="ADH90" s="83"/>
      <c r="ADI90" s="83"/>
      <c r="ADJ90" s="83"/>
      <c r="ADK90" s="83"/>
      <c r="ADL90" s="83"/>
      <c r="ADM90" s="83"/>
      <c r="ADN90" s="83"/>
      <c r="ADO90" s="83"/>
      <c r="ADP90" s="83"/>
      <c r="ADQ90" s="83"/>
      <c r="ADR90" s="83"/>
      <c r="ADS90" s="83"/>
      <c r="ADT90" s="83"/>
      <c r="ADU90" s="83"/>
      <c r="ADV90" s="83"/>
      <c r="ADW90" s="83"/>
      <c r="ADX90" s="83"/>
      <c r="ADY90" s="83"/>
      <c r="ADZ90" s="83"/>
      <c r="AEA90" s="83"/>
      <c r="AEB90" s="83"/>
      <c r="AEC90" s="83"/>
      <c r="AED90" s="83"/>
      <c r="AEE90" s="83"/>
      <c r="AEF90" s="83"/>
      <c r="AEG90" s="83"/>
      <c r="AEH90" s="83"/>
      <c r="AEI90" s="83"/>
      <c r="AEJ90" s="83"/>
      <c r="AEK90" s="83"/>
      <c r="AEL90" s="83"/>
      <c r="AEM90" s="83"/>
      <c r="AEN90" s="83"/>
      <c r="AEO90" s="83"/>
      <c r="AEP90" s="83"/>
      <c r="AEQ90" s="83"/>
      <c r="AER90" s="83"/>
      <c r="AES90" s="83"/>
      <c r="AET90" s="83"/>
      <c r="AEU90" s="83"/>
      <c r="AEV90" s="83"/>
      <c r="AEW90" s="83"/>
      <c r="AEX90" s="83"/>
      <c r="AEY90" s="83"/>
      <c r="AEZ90" s="83"/>
      <c r="AFA90" s="83"/>
      <c r="AFB90" s="83"/>
      <c r="AFC90" s="83"/>
      <c r="AFD90" s="83"/>
      <c r="AFE90" s="83"/>
      <c r="AFF90" s="83"/>
      <c r="AFG90" s="83"/>
      <c r="AFH90" s="83"/>
      <c r="AFI90" s="83"/>
      <c r="AFJ90" s="83"/>
      <c r="AFK90" s="83"/>
      <c r="AFL90" s="83"/>
      <c r="AFM90" s="83"/>
      <c r="AFN90" s="83"/>
      <c r="AFO90" s="83"/>
      <c r="AFP90" s="83"/>
      <c r="AFQ90" s="83"/>
      <c r="AFR90" s="83"/>
      <c r="AFS90" s="83"/>
      <c r="AFT90" s="83"/>
      <c r="AFU90" s="83"/>
      <c r="AFV90" s="83"/>
      <c r="AFW90" s="83"/>
      <c r="AFX90" s="83"/>
      <c r="AFY90" s="83"/>
      <c r="AFZ90" s="83"/>
      <c r="AGA90" s="83"/>
      <c r="AGB90" s="83"/>
      <c r="AGC90" s="83"/>
      <c r="AGD90" s="83"/>
      <c r="AGE90" s="83"/>
      <c r="AGF90" s="83"/>
      <c r="AGG90" s="83"/>
      <c r="AGH90" s="83"/>
      <c r="AGI90" s="83"/>
      <c r="AGJ90" s="83"/>
      <c r="AGK90" s="83"/>
      <c r="AGL90" s="83"/>
      <c r="AGM90" s="83"/>
      <c r="AGN90" s="83"/>
      <c r="AGO90" s="83"/>
      <c r="AGP90" s="83"/>
      <c r="AGQ90" s="83"/>
      <c r="AGR90" s="83"/>
      <c r="AGS90" s="83"/>
      <c r="AGT90" s="83"/>
      <c r="AGU90" s="83"/>
      <c r="AGV90" s="83"/>
      <c r="AGW90" s="83"/>
      <c r="AGX90" s="83"/>
      <c r="AGY90" s="83"/>
      <c r="AGZ90" s="83"/>
      <c r="AHA90" s="83"/>
      <c r="AHB90" s="83"/>
      <c r="AHC90" s="83"/>
      <c r="AHD90" s="83"/>
      <c r="AHE90" s="83"/>
      <c r="AHF90" s="83"/>
      <c r="AHG90" s="83"/>
      <c r="AHH90" s="83"/>
      <c r="AHI90" s="83"/>
      <c r="AHJ90" s="83"/>
      <c r="AHK90" s="83"/>
      <c r="AHL90" s="83"/>
      <c r="AHM90" s="83"/>
      <c r="AHN90" s="83"/>
      <c r="AHO90" s="83"/>
      <c r="AHP90" s="83"/>
      <c r="AHQ90" s="83"/>
      <c r="AHR90" s="83"/>
      <c r="AHS90" s="83"/>
      <c r="AHT90" s="83"/>
      <c r="AHU90" s="83"/>
      <c r="AHV90" s="83"/>
      <c r="AHW90" s="83"/>
      <c r="AHX90" s="83"/>
      <c r="AHY90" s="83"/>
      <c r="AHZ90" s="83"/>
      <c r="AIA90" s="83"/>
      <c r="AIB90" s="83"/>
      <c r="AIC90" s="83"/>
      <c r="AID90" s="83"/>
      <c r="AIE90" s="83"/>
      <c r="AIF90" s="83"/>
      <c r="AIG90" s="83"/>
      <c r="AIH90" s="83"/>
      <c r="AII90" s="83"/>
      <c r="AIJ90" s="83"/>
      <c r="AIK90" s="83"/>
      <c r="AIL90" s="83"/>
      <c r="AIM90" s="83"/>
      <c r="AIN90" s="83"/>
      <c r="AIO90" s="83"/>
      <c r="AIP90" s="83"/>
      <c r="AIQ90" s="83"/>
      <c r="AIR90" s="83"/>
      <c r="AIS90" s="83"/>
      <c r="AIT90" s="83"/>
      <c r="AIU90" s="83"/>
      <c r="AIV90" s="83"/>
      <c r="AIW90" s="83"/>
      <c r="AIX90" s="83"/>
      <c r="AIY90" s="83"/>
      <c r="AIZ90" s="83"/>
      <c r="AJA90" s="83"/>
      <c r="AJB90" s="83"/>
      <c r="AJC90" s="83"/>
      <c r="AJD90" s="83"/>
      <c r="AJE90" s="83"/>
      <c r="AJF90" s="83"/>
      <c r="AJG90" s="83"/>
      <c r="AJH90" s="83"/>
      <c r="AJI90" s="83"/>
      <c r="AJJ90" s="83"/>
      <c r="AJK90" s="83"/>
      <c r="AJL90" s="83"/>
      <c r="AJM90" s="83"/>
      <c r="AJN90" s="83"/>
      <c r="AJO90" s="83"/>
      <c r="AJP90" s="83"/>
      <c r="AJQ90" s="83"/>
      <c r="AJR90" s="83"/>
      <c r="AJS90" s="83"/>
      <c r="AJT90" s="83"/>
      <c r="AJU90" s="83"/>
      <c r="AJV90" s="83"/>
      <c r="AJW90" s="83"/>
      <c r="AJX90" s="83"/>
      <c r="AJY90" s="83"/>
      <c r="AJZ90" s="83"/>
      <c r="AKA90" s="83"/>
      <c r="AKB90" s="83"/>
      <c r="AKC90" s="83"/>
      <c r="AKD90" s="83"/>
      <c r="AKE90" s="83"/>
      <c r="AKF90" s="83"/>
      <c r="AKG90" s="83"/>
      <c r="AKH90" s="83"/>
      <c r="AKI90" s="83"/>
      <c r="AKJ90" s="83"/>
      <c r="AKK90" s="83"/>
      <c r="AKL90" s="83"/>
      <c r="AKM90" s="83"/>
      <c r="AKN90" s="83"/>
      <c r="AKO90" s="83"/>
      <c r="AKP90" s="83"/>
      <c r="AKQ90" s="83"/>
      <c r="AKR90" s="83"/>
      <c r="AKS90" s="83"/>
      <c r="AKT90" s="83"/>
      <c r="AKU90" s="83"/>
      <c r="AKV90" s="83"/>
      <c r="AKW90" s="83"/>
      <c r="AKX90" s="83"/>
      <c r="AKY90" s="83"/>
      <c r="AKZ90" s="83"/>
      <c r="ALA90" s="83"/>
      <c r="ALB90" s="83"/>
      <c r="ALC90" s="83"/>
      <c r="ALD90" s="83"/>
      <c r="ALE90" s="83"/>
      <c r="ALF90" s="83"/>
      <c r="ALG90" s="83"/>
      <c r="ALH90" s="83"/>
      <c r="ALI90" s="83"/>
      <c r="ALJ90" s="83"/>
      <c r="ALK90" s="83"/>
      <c r="ALL90" s="83"/>
      <c r="ALM90" s="83"/>
      <c r="ALN90" s="83"/>
      <c r="ALO90" s="83"/>
      <c r="ALP90" s="83"/>
      <c r="ALQ90" s="83"/>
      <c r="ALR90" s="83"/>
      <c r="ALS90" s="83"/>
      <c r="ALT90" s="83"/>
      <c r="ALU90" s="83"/>
      <c r="ALV90" s="83"/>
      <c r="ALW90" s="83"/>
      <c r="ALX90" s="83"/>
      <c r="ALY90" s="83"/>
      <c r="ALZ90" s="83"/>
      <c r="AMA90" s="83"/>
      <c r="AMB90" s="83"/>
      <c r="AMC90" s="83"/>
      <c r="AMD90" s="83"/>
      <c r="AME90" s="83"/>
      <c r="AMF90" s="83"/>
      <c r="AMG90" s="83"/>
      <c r="AMH90" s="83"/>
      <c r="AMI90" s="83"/>
      <c r="AMJ90" s="83"/>
    </row>
    <row r="91" spans="12:1024" ht="15.95" customHeight="1" x14ac:dyDescent="0.2">
      <c r="L91" s="83"/>
      <c r="M91" s="84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Q91" s="83"/>
      <c r="DR91" s="83"/>
      <c r="DS91" s="83"/>
      <c r="DT91" s="83"/>
      <c r="DU91" s="83"/>
      <c r="DV91" s="83"/>
      <c r="DW91" s="83"/>
      <c r="DX91" s="83"/>
      <c r="DY91" s="83"/>
      <c r="DZ91" s="83"/>
      <c r="EA91" s="83"/>
      <c r="EB91" s="83"/>
      <c r="EC91" s="83"/>
      <c r="ED91" s="83"/>
      <c r="EE91" s="83"/>
      <c r="EF91" s="83"/>
      <c r="EG91" s="83"/>
      <c r="EH91" s="83"/>
      <c r="EI91" s="83"/>
      <c r="EJ91" s="83"/>
      <c r="EK91" s="83"/>
      <c r="EL91" s="83"/>
      <c r="EM91" s="83"/>
      <c r="EN91" s="83"/>
      <c r="EO91" s="83"/>
      <c r="EP91" s="83"/>
      <c r="EQ91" s="83"/>
      <c r="ER91" s="83"/>
      <c r="ES91" s="83"/>
      <c r="ET91" s="83"/>
      <c r="EU91" s="83"/>
      <c r="EV91" s="83"/>
      <c r="EW91" s="83"/>
      <c r="EX91" s="83"/>
      <c r="EY91" s="83"/>
      <c r="EZ91" s="83"/>
      <c r="FA91" s="83"/>
      <c r="FB91" s="83"/>
      <c r="FC91" s="83"/>
      <c r="FD91" s="83"/>
      <c r="FE91" s="83"/>
      <c r="FF91" s="83"/>
      <c r="FG91" s="83"/>
      <c r="FH91" s="83"/>
      <c r="FI91" s="83"/>
      <c r="FJ91" s="83"/>
      <c r="FK91" s="83"/>
      <c r="FL91" s="83"/>
      <c r="FM91" s="83"/>
      <c r="FN91" s="83"/>
      <c r="FO91" s="83"/>
      <c r="FP91" s="83"/>
      <c r="FQ91" s="83"/>
      <c r="FR91" s="83"/>
      <c r="FS91" s="83"/>
      <c r="FT91" s="83"/>
      <c r="FU91" s="83"/>
      <c r="FV91" s="83"/>
      <c r="FW91" s="83"/>
      <c r="FX91" s="83"/>
      <c r="FY91" s="83"/>
      <c r="FZ91" s="83"/>
      <c r="GA91" s="83"/>
      <c r="GB91" s="83"/>
      <c r="GC91" s="83"/>
      <c r="GD91" s="83"/>
      <c r="GE91" s="83"/>
      <c r="GF91" s="83"/>
      <c r="GG91" s="83"/>
      <c r="GH91" s="83"/>
      <c r="GI91" s="83"/>
      <c r="GJ91" s="83"/>
      <c r="GK91" s="83"/>
      <c r="GL91" s="83"/>
      <c r="GM91" s="83"/>
      <c r="GN91" s="83"/>
      <c r="GO91" s="83"/>
      <c r="GP91" s="83"/>
      <c r="GQ91" s="83"/>
      <c r="GR91" s="83"/>
      <c r="GS91" s="83"/>
      <c r="GT91" s="83"/>
      <c r="GU91" s="83"/>
      <c r="GV91" s="83"/>
      <c r="GW91" s="83"/>
      <c r="GX91" s="83"/>
      <c r="GY91" s="83"/>
      <c r="GZ91" s="83"/>
      <c r="HA91" s="83"/>
      <c r="HB91" s="83"/>
      <c r="HC91" s="83"/>
      <c r="HD91" s="83"/>
      <c r="HE91" s="83"/>
      <c r="HF91" s="83"/>
      <c r="HG91" s="83"/>
      <c r="HH91" s="83"/>
      <c r="HI91" s="83"/>
      <c r="HJ91" s="83"/>
      <c r="HK91" s="83"/>
      <c r="HL91" s="83"/>
      <c r="HM91" s="83"/>
      <c r="HN91" s="83"/>
      <c r="HO91" s="83"/>
      <c r="HP91" s="83"/>
      <c r="HQ91" s="83"/>
      <c r="HR91" s="83"/>
      <c r="HS91" s="83"/>
      <c r="HT91" s="83"/>
      <c r="HU91" s="83"/>
      <c r="HV91" s="83"/>
      <c r="HW91" s="83"/>
      <c r="HX91" s="83"/>
      <c r="HY91" s="83"/>
      <c r="HZ91" s="83"/>
      <c r="IA91" s="83"/>
      <c r="IB91" s="83"/>
      <c r="IC91" s="83"/>
      <c r="ID91" s="83"/>
      <c r="IE91" s="83"/>
      <c r="IF91" s="83"/>
      <c r="IG91" s="83"/>
      <c r="IH91" s="83"/>
      <c r="II91" s="83"/>
      <c r="IJ91" s="83"/>
      <c r="IK91" s="83"/>
      <c r="IL91" s="83"/>
      <c r="IM91" s="83"/>
      <c r="IN91" s="83"/>
      <c r="IO91" s="83"/>
      <c r="IP91" s="83"/>
      <c r="IQ91" s="83"/>
      <c r="IR91" s="83"/>
      <c r="IS91" s="83"/>
      <c r="IT91" s="83"/>
      <c r="IU91" s="83"/>
      <c r="IV91" s="83"/>
      <c r="IW91" s="83"/>
      <c r="IX91" s="83"/>
      <c r="IY91" s="83"/>
      <c r="IZ91" s="83"/>
      <c r="JA91" s="83"/>
      <c r="JB91" s="83"/>
      <c r="JC91" s="83"/>
      <c r="JD91" s="83"/>
      <c r="JE91" s="83"/>
      <c r="JF91" s="83"/>
      <c r="JG91" s="83"/>
      <c r="JH91" s="83"/>
      <c r="JI91" s="83"/>
      <c r="JJ91" s="83"/>
      <c r="JK91" s="83"/>
      <c r="JL91" s="83"/>
      <c r="JM91" s="83"/>
      <c r="JN91" s="83"/>
      <c r="JO91" s="83"/>
      <c r="JP91" s="83"/>
      <c r="JQ91" s="83"/>
      <c r="JR91" s="83"/>
      <c r="JS91" s="83"/>
      <c r="JT91" s="83"/>
      <c r="JU91" s="83"/>
      <c r="JV91" s="83"/>
      <c r="JW91" s="83"/>
      <c r="JX91" s="83"/>
      <c r="JY91" s="83"/>
      <c r="JZ91" s="83"/>
      <c r="KA91" s="83"/>
      <c r="KB91" s="83"/>
      <c r="KC91" s="83"/>
      <c r="KD91" s="83"/>
      <c r="KE91" s="83"/>
      <c r="KF91" s="83"/>
      <c r="KG91" s="83"/>
      <c r="KH91" s="83"/>
      <c r="KI91" s="83"/>
      <c r="KJ91" s="83"/>
      <c r="KK91" s="83"/>
      <c r="KL91" s="83"/>
      <c r="KM91" s="83"/>
      <c r="KN91" s="83"/>
      <c r="KO91" s="83"/>
      <c r="KP91" s="83"/>
      <c r="KQ91" s="83"/>
      <c r="KR91" s="83"/>
      <c r="KS91" s="83"/>
      <c r="KT91" s="83"/>
      <c r="KU91" s="83"/>
      <c r="KV91" s="83"/>
      <c r="KW91" s="83"/>
      <c r="KX91" s="83"/>
      <c r="KY91" s="83"/>
      <c r="KZ91" s="83"/>
      <c r="LA91" s="83"/>
      <c r="LB91" s="83"/>
      <c r="LC91" s="83"/>
      <c r="LD91" s="83"/>
      <c r="LE91" s="83"/>
      <c r="LF91" s="83"/>
      <c r="LG91" s="83"/>
      <c r="LH91" s="83"/>
      <c r="LI91" s="83"/>
      <c r="LJ91" s="83"/>
      <c r="LK91" s="83"/>
      <c r="LL91" s="83"/>
      <c r="LM91" s="83"/>
      <c r="LN91" s="83"/>
      <c r="LO91" s="83"/>
      <c r="LP91" s="83"/>
      <c r="LQ91" s="83"/>
      <c r="LR91" s="83"/>
      <c r="LS91" s="83"/>
      <c r="LT91" s="83"/>
      <c r="LU91" s="83"/>
      <c r="LV91" s="83"/>
      <c r="LW91" s="83"/>
      <c r="LX91" s="83"/>
      <c r="LY91" s="83"/>
      <c r="LZ91" s="83"/>
      <c r="MA91" s="83"/>
      <c r="MB91" s="83"/>
      <c r="MC91" s="83"/>
      <c r="MD91" s="83"/>
      <c r="ME91" s="83"/>
      <c r="MF91" s="83"/>
      <c r="MG91" s="83"/>
      <c r="MH91" s="83"/>
      <c r="MI91" s="83"/>
      <c r="MJ91" s="83"/>
      <c r="MK91" s="83"/>
      <c r="ML91" s="83"/>
      <c r="MM91" s="83"/>
      <c r="MN91" s="83"/>
      <c r="MO91" s="83"/>
      <c r="MP91" s="83"/>
      <c r="MQ91" s="83"/>
      <c r="MR91" s="83"/>
      <c r="MS91" s="83"/>
      <c r="MT91" s="83"/>
      <c r="MU91" s="83"/>
      <c r="MV91" s="83"/>
      <c r="MW91" s="83"/>
      <c r="MX91" s="83"/>
      <c r="MY91" s="83"/>
      <c r="MZ91" s="83"/>
      <c r="NA91" s="83"/>
      <c r="NB91" s="83"/>
      <c r="NC91" s="83"/>
      <c r="ND91" s="83"/>
      <c r="NE91" s="83"/>
      <c r="NF91" s="83"/>
      <c r="NG91" s="83"/>
      <c r="NH91" s="83"/>
      <c r="NI91" s="83"/>
      <c r="NJ91" s="83"/>
      <c r="NK91" s="83"/>
      <c r="NL91" s="83"/>
      <c r="NM91" s="83"/>
      <c r="NN91" s="83"/>
      <c r="NO91" s="83"/>
      <c r="NP91" s="83"/>
      <c r="NQ91" s="83"/>
      <c r="NR91" s="83"/>
      <c r="NS91" s="83"/>
      <c r="NT91" s="83"/>
      <c r="NU91" s="83"/>
      <c r="NV91" s="83"/>
      <c r="NW91" s="83"/>
      <c r="NX91" s="83"/>
      <c r="NY91" s="83"/>
      <c r="NZ91" s="83"/>
      <c r="OA91" s="83"/>
      <c r="OB91" s="83"/>
      <c r="OC91" s="83"/>
      <c r="OD91" s="83"/>
      <c r="OE91" s="83"/>
      <c r="OF91" s="83"/>
      <c r="OG91" s="83"/>
      <c r="OH91" s="83"/>
      <c r="OI91" s="83"/>
      <c r="OJ91" s="83"/>
      <c r="OK91" s="83"/>
      <c r="OL91" s="83"/>
      <c r="OM91" s="83"/>
      <c r="ON91" s="83"/>
      <c r="OO91" s="83"/>
      <c r="OP91" s="83"/>
      <c r="OQ91" s="83"/>
      <c r="OR91" s="83"/>
      <c r="OS91" s="83"/>
      <c r="OT91" s="83"/>
      <c r="OU91" s="83"/>
      <c r="OV91" s="83"/>
      <c r="OW91" s="83"/>
      <c r="OX91" s="83"/>
      <c r="OY91" s="83"/>
      <c r="OZ91" s="83"/>
      <c r="PA91" s="83"/>
      <c r="PB91" s="83"/>
      <c r="PC91" s="83"/>
      <c r="PD91" s="83"/>
      <c r="PE91" s="83"/>
      <c r="PF91" s="83"/>
      <c r="PG91" s="83"/>
      <c r="PH91" s="83"/>
      <c r="PI91" s="83"/>
      <c r="PJ91" s="83"/>
      <c r="PK91" s="83"/>
      <c r="PL91" s="83"/>
      <c r="PM91" s="83"/>
      <c r="PN91" s="83"/>
      <c r="PO91" s="83"/>
      <c r="PP91" s="83"/>
      <c r="PQ91" s="83"/>
      <c r="PR91" s="83"/>
      <c r="PS91" s="83"/>
      <c r="PT91" s="83"/>
      <c r="PU91" s="83"/>
      <c r="PV91" s="83"/>
      <c r="PW91" s="83"/>
      <c r="PX91" s="83"/>
      <c r="PY91" s="83"/>
      <c r="PZ91" s="83"/>
      <c r="QA91" s="83"/>
      <c r="QB91" s="83"/>
      <c r="QC91" s="83"/>
      <c r="QD91" s="83"/>
      <c r="QE91" s="83"/>
      <c r="QF91" s="83"/>
      <c r="QG91" s="83"/>
      <c r="QH91" s="83"/>
      <c r="QI91" s="83"/>
      <c r="QJ91" s="83"/>
      <c r="QK91" s="83"/>
      <c r="QL91" s="83"/>
      <c r="QM91" s="83"/>
      <c r="QN91" s="83"/>
      <c r="QO91" s="83"/>
      <c r="QP91" s="83"/>
      <c r="QQ91" s="83"/>
      <c r="QR91" s="83"/>
      <c r="QS91" s="83"/>
      <c r="QT91" s="83"/>
      <c r="QU91" s="83"/>
      <c r="QV91" s="83"/>
      <c r="QW91" s="83"/>
      <c r="QX91" s="83"/>
      <c r="QY91" s="83"/>
      <c r="QZ91" s="83"/>
      <c r="RA91" s="83"/>
      <c r="RB91" s="83"/>
      <c r="RC91" s="83"/>
      <c r="RD91" s="83"/>
      <c r="RE91" s="83"/>
      <c r="RF91" s="83"/>
      <c r="RG91" s="83"/>
      <c r="RH91" s="83"/>
      <c r="RI91" s="83"/>
      <c r="RJ91" s="83"/>
      <c r="RK91" s="83"/>
      <c r="RL91" s="83"/>
      <c r="RM91" s="83"/>
      <c r="RN91" s="83"/>
      <c r="RO91" s="83"/>
      <c r="RP91" s="83"/>
      <c r="RQ91" s="83"/>
      <c r="RR91" s="83"/>
      <c r="RS91" s="83"/>
      <c r="RT91" s="83"/>
      <c r="RU91" s="83"/>
      <c r="RV91" s="83"/>
      <c r="RW91" s="83"/>
      <c r="RX91" s="83"/>
      <c r="RY91" s="83"/>
      <c r="RZ91" s="83"/>
      <c r="SA91" s="83"/>
      <c r="SB91" s="83"/>
      <c r="SC91" s="83"/>
      <c r="SD91" s="83"/>
      <c r="SE91" s="83"/>
      <c r="SF91" s="83"/>
      <c r="SG91" s="83"/>
      <c r="SH91" s="83"/>
      <c r="SI91" s="83"/>
      <c r="SJ91" s="83"/>
      <c r="SK91" s="83"/>
      <c r="SL91" s="83"/>
      <c r="SM91" s="83"/>
      <c r="SN91" s="83"/>
      <c r="SO91" s="83"/>
      <c r="SP91" s="83"/>
      <c r="SQ91" s="83"/>
      <c r="SR91" s="83"/>
      <c r="SS91" s="83"/>
      <c r="ST91" s="83"/>
      <c r="SU91" s="83"/>
      <c r="SV91" s="83"/>
      <c r="SW91" s="83"/>
      <c r="SX91" s="83"/>
      <c r="SY91" s="83"/>
      <c r="SZ91" s="83"/>
      <c r="TA91" s="83"/>
      <c r="TB91" s="83"/>
      <c r="TC91" s="83"/>
      <c r="TD91" s="83"/>
      <c r="TE91" s="83"/>
      <c r="TF91" s="83"/>
      <c r="TG91" s="83"/>
      <c r="TH91" s="83"/>
      <c r="TI91" s="83"/>
      <c r="TJ91" s="83"/>
      <c r="TK91" s="83"/>
      <c r="TL91" s="83"/>
      <c r="TM91" s="83"/>
      <c r="TN91" s="83"/>
      <c r="TO91" s="83"/>
      <c r="TP91" s="83"/>
      <c r="TQ91" s="83"/>
      <c r="TR91" s="83"/>
      <c r="TS91" s="83"/>
      <c r="TT91" s="83"/>
      <c r="TU91" s="83"/>
      <c r="TV91" s="83"/>
      <c r="TW91" s="83"/>
      <c r="TX91" s="83"/>
      <c r="TY91" s="83"/>
      <c r="TZ91" s="83"/>
      <c r="UA91" s="83"/>
      <c r="UB91" s="83"/>
      <c r="UC91" s="83"/>
      <c r="UD91" s="83"/>
      <c r="UE91" s="83"/>
      <c r="UF91" s="83"/>
      <c r="UG91" s="83"/>
      <c r="UH91" s="83"/>
      <c r="UI91" s="83"/>
      <c r="UJ91" s="83"/>
      <c r="UK91" s="83"/>
      <c r="UL91" s="83"/>
      <c r="UM91" s="83"/>
      <c r="UN91" s="83"/>
      <c r="UO91" s="83"/>
      <c r="UP91" s="83"/>
      <c r="UQ91" s="83"/>
      <c r="UR91" s="83"/>
      <c r="US91" s="83"/>
      <c r="UT91" s="83"/>
      <c r="UU91" s="83"/>
      <c r="UV91" s="83"/>
      <c r="UW91" s="83"/>
      <c r="UX91" s="83"/>
      <c r="UY91" s="83"/>
      <c r="UZ91" s="83"/>
      <c r="VA91" s="83"/>
      <c r="VB91" s="83"/>
      <c r="VC91" s="83"/>
      <c r="VD91" s="83"/>
      <c r="VE91" s="83"/>
      <c r="VF91" s="83"/>
      <c r="VG91" s="83"/>
      <c r="VH91" s="83"/>
      <c r="VI91" s="83"/>
      <c r="VJ91" s="83"/>
      <c r="VK91" s="83"/>
      <c r="VL91" s="83"/>
      <c r="VM91" s="83"/>
      <c r="VN91" s="83"/>
      <c r="VO91" s="83"/>
      <c r="VP91" s="83"/>
      <c r="VQ91" s="83"/>
      <c r="VR91" s="83"/>
      <c r="VS91" s="83"/>
      <c r="VT91" s="83"/>
      <c r="VU91" s="83"/>
      <c r="VV91" s="83"/>
      <c r="VW91" s="83"/>
      <c r="VX91" s="83"/>
      <c r="VY91" s="83"/>
      <c r="VZ91" s="83"/>
      <c r="WA91" s="83"/>
      <c r="WB91" s="83"/>
      <c r="WC91" s="83"/>
      <c r="WD91" s="83"/>
      <c r="WE91" s="83"/>
      <c r="WF91" s="83"/>
      <c r="WG91" s="83"/>
      <c r="WH91" s="83"/>
      <c r="WI91" s="83"/>
      <c r="WJ91" s="83"/>
      <c r="WK91" s="83"/>
      <c r="WL91" s="83"/>
      <c r="WM91" s="83"/>
      <c r="WN91" s="83"/>
      <c r="WO91" s="83"/>
      <c r="WP91" s="83"/>
      <c r="WQ91" s="83"/>
      <c r="WR91" s="83"/>
      <c r="WS91" s="83"/>
      <c r="WT91" s="83"/>
      <c r="WU91" s="83"/>
      <c r="WV91" s="83"/>
      <c r="WW91" s="83"/>
      <c r="WX91" s="83"/>
      <c r="WY91" s="83"/>
      <c r="WZ91" s="83"/>
      <c r="XA91" s="83"/>
      <c r="XB91" s="83"/>
      <c r="XC91" s="83"/>
      <c r="XD91" s="83"/>
      <c r="XE91" s="83"/>
      <c r="XF91" s="83"/>
      <c r="XG91" s="83"/>
      <c r="XH91" s="83"/>
      <c r="XI91" s="83"/>
      <c r="XJ91" s="83"/>
      <c r="XK91" s="83"/>
      <c r="XL91" s="83"/>
      <c r="XM91" s="83"/>
      <c r="XN91" s="83"/>
      <c r="XO91" s="83"/>
      <c r="XP91" s="83"/>
      <c r="XQ91" s="83"/>
      <c r="XR91" s="83"/>
      <c r="XS91" s="83"/>
      <c r="XT91" s="83"/>
      <c r="XU91" s="83"/>
      <c r="XV91" s="83"/>
      <c r="XW91" s="83"/>
      <c r="XX91" s="83"/>
      <c r="XY91" s="83"/>
      <c r="XZ91" s="83"/>
      <c r="YA91" s="83"/>
      <c r="YB91" s="83"/>
      <c r="YC91" s="83"/>
      <c r="YD91" s="83"/>
      <c r="YE91" s="83"/>
      <c r="YF91" s="83"/>
      <c r="YG91" s="83"/>
      <c r="YH91" s="83"/>
      <c r="YI91" s="83"/>
      <c r="YJ91" s="83"/>
      <c r="YK91" s="83"/>
      <c r="YL91" s="83"/>
      <c r="YM91" s="83"/>
      <c r="YN91" s="83"/>
      <c r="YO91" s="83"/>
      <c r="YP91" s="83"/>
      <c r="YQ91" s="83"/>
      <c r="YR91" s="83"/>
      <c r="YS91" s="83"/>
      <c r="YT91" s="83"/>
      <c r="YU91" s="83"/>
      <c r="YV91" s="83"/>
      <c r="YW91" s="83"/>
      <c r="YX91" s="83"/>
      <c r="YY91" s="83"/>
      <c r="YZ91" s="83"/>
      <c r="ZA91" s="83"/>
      <c r="ZB91" s="83"/>
      <c r="ZC91" s="83"/>
      <c r="ZD91" s="83"/>
      <c r="ZE91" s="83"/>
      <c r="ZF91" s="83"/>
      <c r="ZG91" s="83"/>
      <c r="ZH91" s="83"/>
      <c r="ZI91" s="83"/>
      <c r="ZJ91" s="83"/>
      <c r="ZK91" s="83"/>
      <c r="ZL91" s="83"/>
      <c r="ZM91" s="83"/>
      <c r="ZN91" s="83"/>
      <c r="ZO91" s="83"/>
      <c r="ZP91" s="83"/>
      <c r="ZQ91" s="83"/>
      <c r="ZR91" s="83"/>
      <c r="ZS91" s="83"/>
      <c r="ZT91" s="83"/>
      <c r="ZU91" s="83"/>
      <c r="ZV91" s="83"/>
      <c r="ZW91" s="83"/>
      <c r="ZX91" s="83"/>
      <c r="ZY91" s="83"/>
      <c r="ZZ91" s="83"/>
      <c r="AAA91" s="83"/>
      <c r="AAB91" s="83"/>
      <c r="AAC91" s="83"/>
      <c r="AAD91" s="83"/>
      <c r="AAE91" s="83"/>
      <c r="AAF91" s="83"/>
      <c r="AAG91" s="83"/>
      <c r="AAH91" s="83"/>
      <c r="AAI91" s="83"/>
      <c r="AAJ91" s="83"/>
      <c r="AAK91" s="83"/>
      <c r="AAL91" s="83"/>
      <c r="AAM91" s="83"/>
      <c r="AAN91" s="83"/>
      <c r="AAO91" s="83"/>
      <c r="AAP91" s="83"/>
      <c r="AAQ91" s="83"/>
      <c r="AAR91" s="83"/>
      <c r="AAS91" s="83"/>
      <c r="AAT91" s="83"/>
      <c r="AAU91" s="83"/>
      <c r="AAV91" s="83"/>
      <c r="AAW91" s="83"/>
      <c r="AAX91" s="83"/>
      <c r="AAY91" s="83"/>
      <c r="AAZ91" s="83"/>
      <c r="ABA91" s="83"/>
      <c r="ABB91" s="83"/>
      <c r="ABC91" s="83"/>
      <c r="ABD91" s="83"/>
      <c r="ABE91" s="83"/>
      <c r="ABF91" s="83"/>
      <c r="ABG91" s="83"/>
      <c r="ABH91" s="83"/>
      <c r="ABI91" s="83"/>
      <c r="ABJ91" s="83"/>
      <c r="ABK91" s="83"/>
      <c r="ABL91" s="83"/>
      <c r="ABM91" s="83"/>
      <c r="ABN91" s="83"/>
      <c r="ABO91" s="83"/>
      <c r="ABP91" s="83"/>
      <c r="ABQ91" s="83"/>
      <c r="ABR91" s="83"/>
      <c r="ABS91" s="83"/>
      <c r="ABT91" s="83"/>
      <c r="ABU91" s="83"/>
      <c r="ABV91" s="83"/>
      <c r="ABW91" s="83"/>
      <c r="ABX91" s="83"/>
      <c r="ABY91" s="83"/>
      <c r="ABZ91" s="83"/>
      <c r="ACA91" s="83"/>
      <c r="ACB91" s="83"/>
      <c r="ACC91" s="83"/>
      <c r="ACD91" s="83"/>
      <c r="ACE91" s="83"/>
      <c r="ACF91" s="83"/>
      <c r="ACG91" s="83"/>
      <c r="ACH91" s="83"/>
      <c r="ACI91" s="83"/>
      <c r="ACJ91" s="83"/>
      <c r="ACK91" s="83"/>
      <c r="ACL91" s="83"/>
      <c r="ACM91" s="83"/>
      <c r="ACN91" s="83"/>
      <c r="ACO91" s="83"/>
      <c r="ACP91" s="83"/>
      <c r="ACQ91" s="83"/>
      <c r="ACR91" s="83"/>
      <c r="ACS91" s="83"/>
      <c r="ACT91" s="83"/>
      <c r="ACU91" s="83"/>
      <c r="ACV91" s="83"/>
      <c r="ACW91" s="83"/>
      <c r="ACX91" s="83"/>
      <c r="ACY91" s="83"/>
      <c r="ACZ91" s="83"/>
      <c r="ADA91" s="83"/>
      <c r="ADB91" s="83"/>
      <c r="ADC91" s="83"/>
      <c r="ADD91" s="83"/>
      <c r="ADE91" s="83"/>
      <c r="ADF91" s="83"/>
      <c r="ADG91" s="83"/>
      <c r="ADH91" s="83"/>
      <c r="ADI91" s="83"/>
      <c r="ADJ91" s="83"/>
      <c r="ADK91" s="83"/>
      <c r="ADL91" s="83"/>
      <c r="ADM91" s="83"/>
      <c r="ADN91" s="83"/>
      <c r="ADO91" s="83"/>
      <c r="ADP91" s="83"/>
      <c r="ADQ91" s="83"/>
      <c r="ADR91" s="83"/>
      <c r="ADS91" s="83"/>
      <c r="ADT91" s="83"/>
      <c r="ADU91" s="83"/>
      <c r="ADV91" s="83"/>
      <c r="ADW91" s="83"/>
      <c r="ADX91" s="83"/>
      <c r="ADY91" s="83"/>
      <c r="ADZ91" s="83"/>
      <c r="AEA91" s="83"/>
      <c r="AEB91" s="83"/>
      <c r="AEC91" s="83"/>
      <c r="AED91" s="83"/>
      <c r="AEE91" s="83"/>
      <c r="AEF91" s="83"/>
      <c r="AEG91" s="83"/>
      <c r="AEH91" s="83"/>
      <c r="AEI91" s="83"/>
      <c r="AEJ91" s="83"/>
      <c r="AEK91" s="83"/>
      <c r="AEL91" s="83"/>
      <c r="AEM91" s="83"/>
      <c r="AEN91" s="83"/>
      <c r="AEO91" s="83"/>
      <c r="AEP91" s="83"/>
      <c r="AEQ91" s="83"/>
      <c r="AER91" s="83"/>
      <c r="AES91" s="83"/>
      <c r="AET91" s="83"/>
      <c r="AEU91" s="83"/>
      <c r="AEV91" s="83"/>
      <c r="AEW91" s="83"/>
      <c r="AEX91" s="83"/>
      <c r="AEY91" s="83"/>
      <c r="AEZ91" s="83"/>
      <c r="AFA91" s="83"/>
      <c r="AFB91" s="83"/>
      <c r="AFC91" s="83"/>
      <c r="AFD91" s="83"/>
      <c r="AFE91" s="83"/>
      <c r="AFF91" s="83"/>
      <c r="AFG91" s="83"/>
      <c r="AFH91" s="83"/>
      <c r="AFI91" s="83"/>
      <c r="AFJ91" s="83"/>
      <c r="AFK91" s="83"/>
      <c r="AFL91" s="83"/>
      <c r="AFM91" s="83"/>
      <c r="AFN91" s="83"/>
      <c r="AFO91" s="83"/>
      <c r="AFP91" s="83"/>
      <c r="AFQ91" s="83"/>
      <c r="AFR91" s="83"/>
      <c r="AFS91" s="83"/>
      <c r="AFT91" s="83"/>
      <c r="AFU91" s="83"/>
      <c r="AFV91" s="83"/>
      <c r="AFW91" s="83"/>
      <c r="AFX91" s="83"/>
      <c r="AFY91" s="83"/>
      <c r="AFZ91" s="83"/>
      <c r="AGA91" s="83"/>
      <c r="AGB91" s="83"/>
      <c r="AGC91" s="83"/>
      <c r="AGD91" s="83"/>
      <c r="AGE91" s="83"/>
      <c r="AGF91" s="83"/>
      <c r="AGG91" s="83"/>
      <c r="AGH91" s="83"/>
      <c r="AGI91" s="83"/>
      <c r="AGJ91" s="83"/>
      <c r="AGK91" s="83"/>
      <c r="AGL91" s="83"/>
      <c r="AGM91" s="83"/>
      <c r="AGN91" s="83"/>
      <c r="AGO91" s="83"/>
      <c r="AGP91" s="83"/>
      <c r="AGQ91" s="83"/>
      <c r="AGR91" s="83"/>
      <c r="AGS91" s="83"/>
      <c r="AGT91" s="83"/>
      <c r="AGU91" s="83"/>
      <c r="AGV91" s="83"/>
      <c r="AGW91" s="83"/>
      <c r="AGX91" s="83"/>
      <c r="AGY91" s="83"/>
      <c r="AGZ91" s="83"/>
      <c r="AHA91" s="83"/>
      <c r="AHB91" s="83"/>
      <c r="AHC91" s="83"/>
      <c r="AHD91" s="83"/>
      <c r="AHE91" s="83"/>
      <c r="AHF91" s="83"/>
      <c r="AHG91" s="83"/>
      <c r="AHH91" s="83"/>
      <c r="AHI91" s="83"/>
      <c r="AHJ91" s="83"/>
      <c r="AHK91" s="83"/>
      <c r="AHL91" s="83"/>
      <c r="AHM91" s="83"/>
      <c r="AHN91" s="83"/>
      <c r="AHO91" s="83"/>
      <c r="AHP91" s="83"/>
      <c r="AHQ91" s="83"/>
      <c r="AHR91" s="83"/>
      <c r="AHS91" s="83"/>
      <c r="AHT91" s="83"/>
      <c r="AHU91" s="83"/>
      <c r="AHV91" s="83"/>
      <c r="AHW91" s="83"/>
      <c r="AHX91" s="83"/>
      <c r="AHY91" s="83"/>
      <c r="AHZ91" s="83"/>
      <c r="AIA91" s="83"/>
      <c r="AIB91" s="83"/>
      <c r="AIC91" s="83"/>
      <c r="AID91" s="83"/>
      <c r="AIE91" s="83"/>
      <c r="AIF91" s="83"/>
      <c r="AIG91" s="83"/>
      <c r="AIH91" s="83"/>
      <c r="AII91" s="83"/>
      <c r="AIJ91" s="83"/>
      <c r="AIK91" s="83"/>
      <c r="AIL91" s="83"/>
      <c r="AIM91" s="83"/>
      <c r="AIN91" s="83"/>
      <c r="AIO91" s="83"/>
      <c r="AIP91" s="83"/>
      <c r="AIQ91" s="83"/>
      <c r="AIR91" s="83"/>
      <c r="AIS91" s="83"/>
      <c r="AIT91" s="83"/>
      <c r="AIU91" s="83"/>
      <c r="AIV91" s="83"/>
      <c r="AIW91" s="83"/>
      <c r="AIX91" s="83"/>
      <c r="AIY91" s="83"/>
      <c r="AIZ91" s="83"/>
      <c r="AJA91" s="83"/>
      <c r="AJB91" s="83"/>
      <c r="AJC91" s="83"/>
      <c r="AJD91" s="83"/>
      <c r="AJE91" s="83"/>
      <c r="AJF91" s="83"/>
      <c r="AJG91" s="83"/>
      <c r="AJH91" s="83"/>
      <c r="AJI91" s="83"/>
      <c r="AJJ91" s="83"/>
      <c r="AJK91" s="83"/>
      <c r="AJL91" s="83"/>
      <c r="AJM91" s="83"/>
      <c r="AJN91" s="83"/>
      <c r="AJO91" s="83"/>
      <c r="AJP91" s="83"/>
      <c r="AJQ91" s="83"/>
      <c r="AJR91" s="83"/>
      <c r="AJS91" s="83"/>
      <c r="AJT91" s="83"/>
      <c r="AJU91" s="83"/>
      <c r="AJV91" s="83"/>
      <c r="AJW91" s="83"/>
      <c r="AJX91" s="83"/>
      <c r="AJY91" s="83"/>
      <c r="AJZ91" s="83"/>
      <c r="AKA91" s="83"/>
      <c r="AKB91" s="83"/>
      <c r="AKC91" s="83"/>
      <c r="AKD91" s="83"/>
      <c r="AKE91" s="83"/>
      <c r="AKF91" s="83"/>
      <c r="AKG91" s="83"/>
      <c r="AKH91" s="83"/>
      <c r="AKI91" s="83"/>
      <c r="AKJ91" s="83"/>
      <c r="AKK91" s="83"/>
      <c r="AKL91" s="83"/>
      <c r="AKM91" s="83"/>
      <c r="AKN91" s="83"/>
      <c r="AKO91" s="83"/>
      <c r="AKP91" s="83"/>
      <c r="AKQ91" s="83"/>
      <c r="AKR91" s="83"/>
      <c r="AKS91" s="83"/>
      <c r="AKT91" s="83"/>
      <c r="AKU91" s="83"/>
      <c r="AKV91" s="83"/>
      <c r="AKW91" s="83"/>
      <c r="AKX91" s="83"/>
      <c r="AKY91" s="83"/>
      <c r="AKZ91" s="83"/>
      <c r="ALA91" s="83"/>
      <c r="ALB91" s="83"/>
      <c r="ALC91" s="83"/>
      <c r="ALD91" s="83"/>
      <c r="ALE91" s="83"/>
      <c r="ALF91" s="83"/>
      <c r="ALG91" s="83"/>
      <c r="ALH91" s="83"/>
      <c r="ALI91" s="83"/>
      <c r="ALJ91" s="83"/>
      <c r="ALK91" s="83"/>
      <c r="ALL91" s="83"/>
      <c r="ALM91" s="83"/>
      <c r="ALN91" s="83"/>
      <c r="ALO91" s="83"/>
      <c r="ALP91" s="83"/>
      <c r="ALQ91" s="83"/>
      <c r="ALR91" s="83"/>
      <c r="ALS91" s="83"/>
      <c r="ALT91" s="83"/>
      <c r="ALU91" s="83"/>
      <c r="ALV91" s="83"/>
      <c r="ALW91" s="83"/>
      <c r="ALX91" s="83"/>
      <c r="ALY91" s="83"/>
      <c r="ALZ91" s="83"/>
      <c r="AMA91" s="83"/>
      <c r="AMB91" s="83"/>
      <c r="AMC91" s="83"/>
      <c r="AMD91" s="83"/>
      <c r="AME91" s="83"/>
      <c r="AMF91" s="83"/>
      <c r="AMG91" s="83"/>
      <c r="AMH91" s="83"/>
      <c r="AMI91" s="83"/>
      <c r="AMJ91" s="83"/>
    </row>
    <row r="92" spans="12:1024" ht="15.95" customHeight="1" x14ac:dyDescent="0.2">
      <c r="L92" s="83"/>
      <c r="M92" s="84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83"/>
      <c r="DU92" s="83"/>
      <c r="DV92" s="83"/>
      <c r="DW92" s="83"/>
      <c r="DX92" s="83"/>
      <c r="DY92" s="83"/>
      <c r="DZ92" s="83"/>
      <c r="EA92" s="83"/>
      <c r="EB92" s="83"/>
      <c r="EC92" s="83"/>
      <c r="ED92" s="83"/>
      <c r="EE92" s="83"/>
      <c r="EF92" s="83"/>
      <c r="EG92" s="83"/>
      <c r="EH92" s="83"/>
      <c r="EI92" s="83"/>
      <c r="EJ92" s="83"/>
      <c r="EK92" s="83"/>
      <c r="EL92" s="83"/>
      <c r="EM92" s="83"/>
      <c r="EN92" s="83"/>
      <c r="EO92" s="83"/>
      <c r="EP92" s="83"/>
      <c r="EQ92" s="83"/>
      <c r="ER92" s="83"/>
      <c r="ES92" s="83"/>
      <c r="ET92" s="83"/>
      <c r="EU92" s="83"/>
      <c r="EV92" s="83"/>
      <c r="EW92" s="83"/>
      <c r="EX92" s="83"/>
      <c r="EY92" s="83"/>
      <c r="EZ92" s="83"/>
      <c r="FA92" s="83"/>
      <c r="FB92" s="83"/>
      <c r="FC92" s="83"/>
      <c r="FD92" s="83"/>
      <c r="FE92" s="83"/>
      <c r="FF92" s="83"/>
      <c r="FG92" s="83"/>
      <c r="FH92" s="83"/>
      <c r="FI92" s="83"/>
      <c r="FJ92" s="83"/>
      <c r="FK92" s="83"/>
      <c r="FL92" s="83"/>
      <c r="FM92" s="83"/>
      <c r="FN92" s="83"/>
      <c r="FO92" s="83"/>
      <c r="FP92" s="83"/>
      <c r="FQ92" s="83"/>
      <c r="FR92" s="83"/>
      <c r="FS92" s="83"/>
      <c r="FT92" s="83"/>
      <c r="FU92" s="83"/>
      <c r="FV92" s="83"/>
      <c r="FW92" s="83"/>
      <c r="FX92" s="83"/>
      <c r="FY92" s="83"/>
      <c r="FZ92" s="83"/>
      <c r="GA92" s="83"/>
      <c r="GB92" s="83"/>
      <c r="GC92" s="83"/>
      <c r="GD92" s="83"/>
      <c r="GE92" s="83"/>
      <c r="GF92" s="83"/>
      <c r="GG92" s="83"/>
      <c r="GH92" s="83"/>
      <c r="GI92" s="83"/>
      <c r="GJ92" s="83"/>
      <c r="GK92" s="83"/>
      <c r="GL92" s="83"/>
      <c r="GM92" s="83"/>
      <c r="GN92" s="83"/>
      <c r="GO92" s="83"/>
      <c r="GP92" s="83"/>
      <c r="GQ92" s="83"/>
      <c r="GR92" s="83"/>
      <c r="GS92" s="83"/>
      <c r="GT92" s="83"/>
      <c r="GU92" s="83"/>
      <c r="GV92" s="83"/>
      <c r="GW92" s="83"/>
      <c r="GX92" s="83"/>
      <c r="GY92" s="83"/>
      <c r="GZ92" s="83"/>
      <c r="HA92" s="83"/>
      <c r="HB92" s="83"/>
      <c r="HC92" s="83"/>
      <c r="HD92" s="83"/>
      <c r="HE92" s="83"/>
      <c r="HF92" s="83"/>
      <c r="HG92" s="83"/>
      <c r="HH92" s="83"/>
      <c r="HI92" s="83"/>
      <c r="HJ92" s="83"/>
      <c r="HK92" s="83"/>
      <c r="HL92" s="83"/>
      <c r="HM92" s="83"/>
      <c r="HN92" s="83"/>
      <c r="HO92" s="83"/>
      <c r="HP92" s="83"/>
      <c r="HQ92" s="83"/>
      <c r="HR92" s="83"/>
      <c r="HS92" s="83"/>
      <c r="HT92" s="83"/>
      <c r="HU92" s="83"/>
      <c r="HV92" s="83"/>
      <c r="HW92" s="83"/>
      <c r="HX92" s="83"/>
      <c r="HY92" s="83"/>
      <c r="HZ92" s="83"/>
      <c r="IA92" s="83"/>
      <c r="IB92" s="83"/>
      <c r="IC92" s="83"/>
      <c r="ID92" s="83"/>
      <c r="IE92" s="83"/>
      <c r="IF92" s="83"/>
      <c r="IG92" s="83"/>
      <c r="IH92" s="83"/>
      <c r="II92" s="83"/>
      <c r="IJ92" s="83"/>
      <c r="IK92" s="83"/>
      <c r="IL92" s="83"/>
      <c r="IM92" s="83"/>
      <c r="IN92" s="83"/>
      <c r="IO92" s="83"/>
      <c r="IP92" s="83"/>
      <c r="IQ92" s="83"/>
      <c r="IR92" s="83"/>
      <c r="IS92" s="83"/>
      <c r="IT92" s="83"/>
      <c r="IU92" s="83"/>
      <c r="IV92" s="83"/>
      <c r="IW92" s="83"/>
      <c r="IX92" s="83"/>
      <c r="IY92" s="83"/>
      <c r="IZ92" s="83"/>
      <c r="JA92" s="83"/>
      <c r="JB92" s="83"/>
      <c r="JC92" s="83"/>
      <c r="JD92" s="83"/>
      <c r="JE92" s="83"/>
      <c r="JF92" s="83"/>
      <c r="JG92" s="83"/>
      <c r="JH92" s="83"/>
      <c r="JI92" s="83"/>
      <c r="JJ92" s="83"/>
      <c r="JK92" s="83"/>
      <c r="JL92" s="83"/>
      <c r="JM92" s="83"/>
      <c r="JN92" s="83"/>
      <c r="JO92" s="83"/>
      <c r="JP92" s="83"/>
      <c r="JQ92" s="83"/>
      <c r="JR92" s="83"/>
      <c r="JS92" s="83"/>
      <c r="JT92" s="83"/>
      <c r="JU92" s="83"/>
      <c r="JV92" s="83"/>
      <c r="JW92" s="83"/>
      <c r="JX92" s="83"/>
      <c r="JY92" s="83"/>
      <c r="JZ92" s="83"/>
      <c r="KA92" s="83"/>
      <c r="KB92" s="83"/>
      <c r="KC92" s="83"/>
      <c r="KD92" s="83"/>
      <c r="KE92" s="83"/>
      <c r="KF92" s="83"/>
      <c r="KG92" s="83"/>
      <c r="KH92" s="83"/>
      <c r="KI92" s="83"/>
      <c r="KJ92" s="83"/>
      <c r="KK92" s="83"/>
      <c r="KL92" s="83"/>
      <c r="KM92" s="83"/>
      <c r="KN92" s="83"/>
      <c r="KO92" s="83"/>
      <c r="KP92" s="83"/>
      <c r="KQ92" s="83"/>
      <c r="KR92" s="83"/>
      <c r="KS92" s="83"/>
      <c r="KT92" s="83"/>
      <c r="KU92" s="83"/>
      <c r="KV92" s="83"/>
      <c r="KW92" s="83"/>
      <c r="KX92" s="83"/>
      <c r="KY92" s="83"/>
      <c r="KZ92" s="83"/>
      <c r="LA92" s="83"/>
      <c r="LB92" s="83"/>
      <c r="LC92" s="83"/>
      <c r="LD92" s="83"/>
      <c r="LE92" s="83"/>
      <c r="LF92" s="83"/>
      <c r="LG92" s="83"/>
      <c r="LH92" s="83"/>
      <c r="LI92" s="83"/>
      <c r="LJ92" s="83"/>
      <c r="LK92" s="83"/>
      <c r="LL92" s="83"/>
      <c r="LM92" s="83"/>
      <c r="LN92" s="83"/>
      <c r="LO92" s="83"/>
      <c r="LP92" s="83"/>
      <c r="LQ92" s="83"/>
      <c r="LR92" s="83"/>
      <c r="LS92" s="83"/>
      <c r="LT92" s="83"/>
      <c r="LU92" s="83"/>
      <c r="LV92" s="83"/>
      <c r="LW92" s="83"/>
      <c r="LX92" s="83"/>
      <c r="LY92" s="83"/>
      <c r="LZ92" s="83"/>
      <c r="MA92" s="83"/>
      <c r="MB92" s="83"/>
      <c r="MC92" s="83"/>
      <c r="MD92" s="83"/>
      <c r="ME92" s="83"/>
      <c r="MF92" s="83"/>
      <c r="MG92" s="83"/>
      <c r="MH92" s="83"/>
      <c r="MI92" s="83"/>
      <c r="MJ92" s="83"/>
      <c r="MK92" s="83"/>
      <c r="ML92" s="83"/>
      <c r="MM92" s="83"/>
      <c r="MN92" s="83"/>
      <c r="MO92" s="83"/>
      <c r="MP92" s="83"/>
      <c r="MQ92" s="83"/>
      <c r="MR92" s="83"/>
      <c r="MS92" s="83"/>
      <c r="MT92" s="83"/>
      <c r="MU92" s="83"/>
      <c r="MV92" s="83"/>
      <c r="MW92" s="83"/>
      <c r="MX92" s="83"/>
      <c r="MY92" s="83"/>
      <c r="MZ92" s="83"/>
      <c r="NA92" s="83"/>
      <c r="NB92" s="83"/>
      <c r="NC92" s="83"/>
      <c r="ND92" s="83"/>
      <c r="NE92" s="83"/>
      <c r="NF92" s="83"/>
      <c r="NG92" s="83"/>
      <c r="NH92" s="83"/>
      <c r="NI92" s="83"/>
      <c r="NJ92" s="83"/>
      <c r="NK92" s="83"/>
      <c r="NL92" s="83"/>
      <c r="NM92" s="83"/>
      <c r="NN92" s="83"/>
      <c r="NO92" s="83"/>
      <c r="NP92" s="83"/>
      <c r="NQ92" s="83"/>
      <c r="NR92" s="83"/>
      <c r="NS92" s="83"/>
      <c r="NT92" s="83"/>
      <c r="NU92" s="83"/>
      <c r="NV92" s="83"/>
      <c r="NW92" s="83"/>
      <c r="NX92" s="83"/>
      <c r="NY92" s="83"/>
      <c r="NZ92" s="83"/>
      <c r="OA92" s="83"/>
      <c r="OB92" s="83"/>
      <c r="OC92" s="83"/>
      <c r="OD92" s="83"/>
      <c r="OE92" s="83"/>
      <c r="OF92" s="83"/>
      <c r="OG92" s="83"/>
      <c r="OH92" s="83"/>
      <c r="OI92" s="83"/>
      <c r="OJ92" s="83"/>
      <c r="OK92" s="83"/>
      <c r="OL92" s="83"/>
      <c r="OM92" s="83"/>
      <c r="ON92" s="83"/>
      <c r="OO92" s="83"/>
      <c r="OP92" s="83"/>
      <c r="OQ92" s="83"/>
      <c r="OR92" s="83"/>
      <c r="OS92" s="83"/>
      <c r="OT92" s="83"/>
      <c r="OU92" s="83"/>
      <c r="OV92" s="83"/>
      <c r="OW92" s="83"/>
      <c r="OX92" s="83"/>
      <c r="OY92" s="83"/>
      <c r="OZ92" s="83"/>
      <c r="PA92" s="83"/>
      <c r="PB92" s="83"/>
      <c r="PC92" s="83"/>
      <c r="PD92" s="83"/>
      <c r="PE92" s="83"/>
      <c r="PF92" s="83"/>
      <c r="PG92" s="83"/>
      <c r="PH92" s="83"/>
      <c r="PI92" s="83"/>
      <c r="PJ92" s="83"/>
      <c r="PK92" s="83"/>
      <c r="PL92" s="83"/>
      <c r="PM92" s="83"/>
      <c r="PN92" s="83"/>
      <c r="PO92" s="83"/>
      <c r="PP92" s="83"/>
      <c r="PQ92" s="83"/>
      <c r="PR92" s="83"/>
      <c r="PS92" s="83"/>
      <c r="PT92" s="83"/>
      <c r="PU92" s="83"/>
      <c r="PV92" s="83"/>
      <c r="PW92" s="83"/>
      <c r="PX92" s="83"/>
      <c r="PY92" s="83"/>
      <c r="PZ92" s="83"/>
      <c r="QA92" s="83"/>
      <c r="QB92" s="83"/>
      <c r="QC92" s="83"/>
      <c r="QD92" s="83"/>
      <c r="QE92" s="83"/>
      <c r="QF92" s="83"/>
      <c r="QG92" s="83"/>
      <c r="QH92" s="83"/>
      <c r="QI92" s="83"/>
      <c r="QJ92" s="83"/>
      <c r="QK92" s="83"/>
      <c r="QL92" s="83"/>
      <c r="QM92" s="83"/>
      <c r="QN92" s="83"/>
      <c r="QO92" s="83"/>
      <c r="QP92" s="83"/>
      <c r="QQ92" s="83"/>
      <c r="QR92" s="83"/>
      <c r="QS92" s="83"/>
      <c r="QT92" s="83"/>
      <c r="QU92" s="83"/>
      <c r="QV92" s="83"/>
      <c r="QW92" s="83"/>
      <c r="QX92" s="83"/>
      <c r="QY92" s="83"/>
      <c r="QZ92" s="83"/>
      <c r="RA92" s="83"/>
      <c r="RB92" s="83"/>
      <c r="RC92" s="83"/>
      <c r="RD92" s="83"/>
      <c r="RE92" s="83"/>
      <c r="RF92" s="83"/>
      <c r="RG92" s="83"/>
      <c r="RH92" s="83"/>
      <c r="RI92" s="83"/>
      <c r="RJ92" s="83"/>
      <c r="RK92" s="83"/>
      <c r="RL92" s="83"/>
      <c r="RM92" s="83"/>
      <c r="RN92" s="83"/>
      <c r="RO92" s="83"/>
      <c r="RP92" s="83"/>
      <c r="RQ92" s="83"/>
      <c r="RR92" s="83"/>
      <c r="RS92" s="83"/>
      <c r="RT92" s="83"/>
      <c r="RU92" s="83"/>
      <c r="RV92" s="83"/>
      <c r="RW92" s="83"/>
      <c r="RX92" s="83"/>
      <c r="RY92" s="83"/>
      <c r="RZ92" s="83"/>
      <c r="SA92" s="83"/>
      <c r="SB92" s="83"/>
      <c r="SC92" s="83"/>
      <c r="SD92" s="83"/>
      <c r="SE92" s="83"/>
      <c r="SF92" s="83"/>
      <c r="SG92" s="83"/>
      <c r="SH92" s="83"/>
      <c r="SI92" s="83"/>
      <c r="SJ92" s="83"/>
      <c r="SK92" s="83"/>
      <c r="SL92" s="83"/>
      <c r="SM92" s="83"/>
      <c r="SN92" s="83"/>
      <c r="SO92" s="83"/>
      <c r="SP92" s="83"/>
      <c r="SQ92" s="83"/>
      <c r="SR92" s="83"/>
      <c r="SS92" s="83"/>
      <c r="ST92" s="83"/>
      <c r="SU92" s="83"/>
      <c r="SV92" s="83"/>
      <c r="SW92" s="83"/>
      <c r="SX92" s="83"/>
      <c r="SY92" s="83"/>
      <c r="SZ92" s="83"/>
      <c r="TA92" s="83"/>
      <c r="TB92" s="83"/>
      <c r="TC92" s="83"/>
      <c r="TD92" s="83"/>
      <c r="TE92" s="83"/>
      <c r="TF92" s="83"/>
      <c r="TG92" s="83"/>
      <c r="TH92" s="83"/>
      <c r="TI92" s="83"/>
      <c r="TJ92" s="83"/>
      <c r="TK92" s="83"/>
      <c r="TL92" s="83"/>
      <c r="TM92" s="83"/>
      <c r="TN92" s="83"/>
      <c r="TO92" s="83"/>
      <c r="TP92" s="83"/>
      <c r="TQ92" s="83"/>
      <c r="TR92" s="83"/>
      <c r="TS92" s="83"/>
      <c r="TT92" s="83"/>
      <c r="TU92" s="83"/>
      <c r="TV92" s="83"/>
      <c r="TW92" s="83"/>
      <c r="TX92" s="83"/>
      <c r="TY92" s="83"/>
      <c r="TZ92" s="83"/>
      <c r="UA92" s="83"/>
      <c r="UB92" s="83"/>
      <c r="UC92" s="83"/>
      <c r="UD92" s="83"/>
      <c r="UE92" s="83"/>
      <c r="UF92" s="83"/>
      <c r="UG92" s="83"/>
      <c r="UH92" s="83"/>
      <c r="UI92" s="83"/>
      <c r="UJ92" s="83"/>
      <c r="UK92" s="83"/>
      <c r="UL92" s="83"/>
      <c r="UM92" s="83"/>
      <c r="UN92" s="83"/>
      <c r="UO92" s="83"/>
      <c r="UP92" s="83"/>
      <c r="UQ92" s="83"/>
      <c r="UR92" s="83"/>
      <c r="US92" s="83"/>
      <c r="UT92" s="83"/>
      <c r="UU92" s="83"/>
      <c r="UV92" s="83"/>
      <c r="UW92" s="83"/>
      <c r="UX92" s="83"/>
      <c r="UY92" s="83"/>
      <c r="UZ92" s="83"/>
      <c r="VA92" s="83"/>
      <c r="VB92" s="83"/>
      <c r="VC92" s="83"/>
      <c r="VD92" s="83"/>
      <c r="VE92" s="83"/>
      <c r="VF92" s="83"/>
      <c r="VG92" s="83"/>
      <c r="VH92" s="83"/>
      <c r="VI92" s="83"/>
      <c r="VJ92" s="83"/>
      <c r="VK92" s="83"/>
      <c r="VL92" s="83"/>
      <c r="VM92" s="83"/>
      <c r="VN92" s="83"/>
      <c r="VO92" s="83"/>
      <c r="VP92" s="83"/>
      <c r="VQ92" s="83"/>
      <c r="VR92" s="83"/>
      <c r="VS92" s="83"/>
      <c r="VT92" s="83"/>
      <c r="VU92" s="83"/>
      <c r="VV92" s="83"/>
      <c r="VW92" s="83"/>
      <c r="VX92" s="83"/>
      <c r="VY92" s="83"/>
      <c r="VZ92" s="83"/>
      <c r="WA92" s="83"/>
      <c r="WB92" s="83"/>
      <c r="WC92" s="83"/>
      <c r="WD92" s="83"/>
      <c r="WE92" s="83"/>
      <c r="WF92" s="83"/>
      <c r="WG92" s="83"/>
      <c r="WH92" s="83"/>
      <c r="WI92" s="83"/>
      <c r="WJ92" s="83"/>
      <c r="WK92" s="83"/>
      <c r="WL92" s="83"/>
      <c r="WM92" s="83"/>
      <c r="WN92" s="83"/>
      <c r="WO92" s="83"/>
      <c r="WP92" s="83"/>
      <c r="WQ92" s="83"/>
      <c r="WR92" s="83"/>
      <c r="WS92" s="83"/>
      <c r="WT92" s="83"/>
      <c r="WU92" s="83"/>
      <c r="WV92" s="83"/>
      <c r="WW92" s="83"/>
      <c r="WX92" s="83"/>
      <c r="WY92" s="83"/>
      <c r="WZ92" s="83"/>
      <c r="XA92" s="83"/>
      <c r="XB92" s="83"/>
      <c r="XC92" s="83"/>
      <c r="XD92" s="83"/>
      <c r="XE92" s="83"/>
      <c r="XF92" s="83"/>
      <c r="XG92" s="83"/>
      <c r="XH92" s="83"/>
      <c r="XI92" s="83"/>
      <c r="XJ92" s="83"/>
      <c r="XK92" s="83"/>
      <c r="XL92" s="83"/>
      <c r="XM92" s="83"/>
      <c r="XN92" s="83"/>
      <c r="XO92" s="83"/>
      <c r="XP92" s="83"/>
      <c r="XQ92" s="83"/>
      <c r="XR92" s="83"/>
      <c r="XS92" s="83"/>
      <c r="XT92" s="83"/>
      <c r="XU92" s="83"/>
      <c r="XV92" s="83"/>
      <c r="XW92" s="83"/>
      <c r="XX92" s="83"/>
      <c r="XY92" s="83"/>
      <c r="XZ92" s="83"/>
      <c r="YA92" s="83"/>
      <c r="YB92" s="83"/>
      <c r="YC92" s="83"/>
      <c r="YD92" s="83"/>
      <c r="YE92" s="83"/>
      <c r="YF92" s="83"/>
      <c r="YG92" s="83"/>
      <c r="YH92" s="83"/>
      <c r="YI92" s="83"/>
      <c r="YJ92" s="83"/>
      <c r="YK92" s="83"/>
      <c r="YL92" s="83"/>
      <c r="YM92" s="83"/>
      <c r="YN92" s="83"/>
      <c r="YO92" s="83"/>
      <c r="YP92" s="83"/>
      <c r="YQ92" s="83"/>
      <c r="YR92" s="83"/>
      <c r="YS92" s="83"/>
      <c r="YT92" s="83"/>
      <c r="YU92" s="83"/>
      <c r="YV92" s="83"/>
      <c r="YW92" s="83"/>
      <c r="YX92" s="83"/>
      <c r="YY92" s="83"/>
      <c r="YZ92" s="83"/>
      <c r="ZA92" s="83"/>
      <c r="ZB92" s="83"/>
      <c r="ZC92" s="83"/>
      <c r="ZD92" s="83"/>
      <c r="ZE92" s="83"/>
      <c r="ZF92" s="83"/>
      <c r="ZG92" s="83"/>
      <c r="ZH92" s="83"/>
      <c r="ZI92" s="83"/>
      <c r="ZJ92" s="83"/>
      <c r="ZK92" s="83"/>
      <c r="ZL92" s="83"/>
      <c r="ZM92" s="83"/>
      <c r="ZN92" s="83"/>
      <c r="ZO92" s="83"/>
      <c r="ZP92" s="83"/>
      <c r="ZQ92" s="83"/>
      <c r="ZR92" s="83"/>
      <c r="ZS92" s="83"/>
      <c r="ZT92" s="83"/>
      <c r="ZU92" s="83"/>
      <c r="ZV92" s="83"/>
      <c r="ZW92" s="83"/>
      <c r="ZX92" s="83"/>
      <c r="ZY92" s="83"/>
      <c r="ZZ92" s="83"/>
      <c r="AAA92" s="83"/>
      <c r="AAB92" s="83"/>
      <c r="AAC92" s="83"/>
      <c r="AAD92" s="83"/>
      <c r="AAE92" s="83"/>
      <c r="AAF92" s="83"/>
      <c r="AAG92" s="83"/>
      <c r="AAH92" s="83"/>
      <c r="AAI92" s="83"/>
      <c r="AAJ92" s="83"/>
      <c r="AAK92" s="83"/>
      <c r="AAL92" s="83"/>
      <c r="AAM92" s="83"/>
      <c r="AAN92" s="83"/>
      <c r="AAO92" s="83"/>
      <c r="AAP92" s="83"/>
      <c r="AAQ92" s="83"/>
      <c r="AAR92" s="83"/>
      <c r="AAS92" s="83"/>
      <c r="AAT92" s="83"/>
      <c r="AAU92" s="83"/>
      <c r="AAV92" s="83"/>
      <c r="AAW92" s="83"/>
      <c r="AAX92" s="83"/>
      <c r="AAY92" s="83"/>
      <c r="AAZ92" s="83"/>
      <c r="ABA92" s="83"/>
      <c r="ABB92" s="83"/>
      <c r="ABC92" s="83"/>
      <c r="ABD92" s="83"/>
      <c r="ABE92" s="83"/>
      <c r="ABF92" s="83"/>
      <c r="ABG92" s="83"/>
      <c r="ABH92" s="83"/>
      <c r="ABI92" s="83"/>
      <c r="ABJ92" s="83"/>
      <c r="ABK92" s="83"/>
      <c r="ABL92" s="83"/>
      <c r="ABM92" s="83"/>
      <c r="ABN92" s="83"/>
      <c r="ABO92" s="83"/>
      <c r="ABP92" s="83"/>
      <c r="ABQ92" s="83"/>
      <c r="ABR92" s="83"/>
      <c r="ABS92" s="83"/>
      <c r="ABT92" s="83"/>
      <c r="ABU92" s="83"/>
      <c r="ABV92" s="83"/>
      <c r="ABW92" s="83"/>
      <c r="ABX92" s="83"/>
      <c r="ABY92" s="83"/>
      <c r="ABZ92" s="83"/>
      <c r="ACA92" s="83"/>
      <c r="ACB92" s="83"/>
      <c r="ACC92" s="83"/>
      <c r="ACD92" s="83"/>
      <c r="ACE92" s="83"/>
      <c r="ACF92" s="83"/>
      <c r="ACG92" s="83"/>
      <c r="ACH92" s="83"/>
      <c r="ACI92" s="83"/>
      <c r="ACJ92" s="83"/>
      <c r="ACK92" s="83"/>
      <c r="ACL92" s="83"/>
      <c r="ACM92" s="83"/>
      <c r="ACN92" s="83"/>
      <c r="ACO92" s="83"/>
      <c r="ACP92" s="83"/>
      <c r="ACQ92" s="83"/>
      <c r="ACR92" s="83"/>
      <c r="ACS92" s="83"/>
      <c r="ACT92" s="83"/>
      <c r="ACU92" s="83"/>
      <c r="ACV92" s="83"/>
      <c r="ACW92" s="83"/>
      <c r="ACX92" s="83"/>
      <c r="ACY92" s="83"/>
      <c r="ACZ92" s="83"/>
      <c r="ADA92" s="83"/>
      <c r="ADB92" s="83"/>
      <c r="ADC92" s="83"/>
      <c r="ADD92" s="83"/>
      <c r="ADE92" s="83"/>
      <c r="ADF92" s="83"/>
      <c r="ADG92" s="83"/>
      <c r="ADH92" s="83"/>
      <c r="ADI92" s="83"/>
      <c r="ADJ92" s="83"/>
      <c r="ADK92" s="83"/>
      <c r="ADL92" s="83"/>
      <c r="ADM92" s="83"/>
      <c r="ADN92" s="83"/>
      <c r="ADO92" s="83"/>
      <c r="ADP92" s="83"/>
      <c r="ADQ92" s="83"/>
      <c r="ADR92" s="83"/>
      <c r="ADS92" s="83"/>
      <c r="ADT92" s="83"/>
      <c r="ADU92" s="83"/>
      <c r="ADV92" s="83"/>
      <c r="ADW92" s="83"/>
      <c r="ADX92" s="83"/>
      <c r="ADY92" s="83"/>
      <c r="ADZ92" s="83"/>
      <c r="AEA92" s="83"/>
      <c r="AEB92" s="83"/>
      <c r="AEC92" s="83"/>
      <c r="AED92" s="83"/>
      <c r="AEE92" s="83"/>
      <c r="AEF92" s="83"/>
      <c r="AEG92" s="83"/>
      <c r="AEH92" s="83"/>
      <c r="AEI92" s="83"/>
      <c r="AEJ92" s="83"/>
      <c r="AEK92" s="83"/>
      <c r="AEL92" s="83"/>
      <c r="AEM92" s="83"/>
      <c r="AEN92" s="83"/>
      <c r="AEO92" s="83"/>
      <c r="AEP92" s="83"/>
      <c r="AEQ92" s="83"/>
      <c r="AER92" s="83"/>
      <c r="AES92" s="83"/>
      <c r="AET92" s="83"/>
      <c r="AEU92" s="83"/>
      <c r="AEV92" s="83"/>
      <c r="AEW92" s="83"/>
      <c r="AEX92" s="83"/>
      <c r="AEY92" s="83"/>
      <c r="AEZ92" s="83"/>
      <c r="AFA92" s="83"/>
      <c r="AFB92" s="83"/>
      <c r="AFC92" s="83"/>
      <c r="AFD92" s="83"/>
      <c r="AFE92" s="83"/>
      <c r="AFF92" s="83"/>
      <c r="AFG92" s="83"/>
      <c r="AFH92" s="83"/>
      <c r="AFI92" s="83"/>
      <c r="AFJ92" s="83"/>
      <c r="AFK92" s="83"/>
      <c r="AFL92" s="83"/>
      <c r="AFM92" s="83"/>
      <c r="AFN92" s="83"/>
      <c r="AFO92" s="83"/>
      <c r="AFP92" s="83"/>
      <c r="AFQ92" s="83"/>
      <c r="AFR92" s="83"/>
      <c r="AFS92" s="83"/>
      <c r="AFT92" s="83"/>
      <c r="AFU92" s="83"/>
      <c r="AFV92" s="83"/>
      <c r="AFW92" s="83"/>
      <c r="AFX92" s="83"/>
      <c r="AFY92" s="83"/>
      <c r="AFZ92" s="83"/>
      <c r="AGA92" s="83"/>
      <c r="AGB92" s="83"/>
      <c r="AGC92" s="83"/>
      <c r="AGD92" s="83"/>
      <c r="AGE92" s="83"/>
      <c r="AGF92" s="83"/>
      <c r="AGG92" s="83"/>
      <c r="AGH92" s="83"/>
      <c r="AGI92" s="83"/>
      <c r="AGJ92" s="83"/>
      <c r="AGK92" s="83"/>
      <c r="AGL92" s="83"/>
      <c r="AGM92" s="83"/>
      <c r="AGN92" s="83"/>
      <c r="AGO92" s="83"/>
      <c r="AGP92" s="83"/>
      <c r="AGQ92" s="83"/>
      <c r="AGR92" s="83"/>
      <c r="AGS92" s="83"/>
      <c r="AGT92" s="83"/>
      <c r="AGU92" s="83"/>
      <c r="AGV92" s="83"/>
      <c r="AGW92" s="83"/>
      <c r="AGX92" s="83"/>
      <c r="AGY92" s="83"/>
      <c r="AGZ92" s="83"/>
      <c r="AHA92" s="83"/>
      <c r="AHB92" s="83"/>
      <c r="AHC92" s="83"/>
      <c r="AHD92" s="83"/>
      <c r="AHE92" s="83"/>
      <c r="AHF92" s="83"/>
      <c r="AHG92" s="83"/>
      <c r="AHH92" s="83"/>
      <c r="AHI92" s="83"/>
      <c r="AHJ92" s="83"/>
      <c r="AHK92" s="83"/>
      <c r="AHL92" s="83"/>
      <c r="AHM92" s="83"/>
      <c r="AHN92" s="83"/>
      <c r="AHO92" s="83"/>
      <c r="AHP92" s="83"/>
      <c r="AHQ92" s="83"/>
      <c r="AHR92" s="83"/>
      <c r="AHS92" s="83"/>
      <c r="AHT92" s="83"/>
      <c r="AHU92" s="83"/>
      <c r="AHV92" s="83"/>
      <c r="AHW92" s="83"/>
      <c r="AHX92" s="83"/>
      <c r="AHY92" s="83"/>
      <c r="AHZ92" s="83"/>
      <c r="AIA92" s="83"/>
      <c r="AIB92" s="83"/>
      <c r="AIC92" s="83"/>
      <c r="AID92" s="83"/>
      <c r="AIE92" s="83"/>
      <c r="AIF92" s="83"/>
      <c r="AIG92" s="83"/>
      <c r="AIH92" s="83"/>
      <c r="AII92" s="83"/>
      <c r="AIJ92" s="83"/>
      <c r="AIK92" s="83"/>
      <c r="AIL92" s="83"/>
      <c r="AIM92" s="83"/>
      <c r="AIN92" s="83"/>
      <c r="AIO92" s="83"/>
      <c r="AIP92" s="83"/>
      <c r="AIQ92" s="83"/>
      <c r="AIR92" s="83"/>
      <c r="AIS92" s="83"/>
      <c r="AIT92" s="83"/>
      <c r="AIU92" s="83"/>
      <c r="AIV92" s="83"/>
      <c r="AIW92" s="83"/>
      <c r="AIX92" s="83"/>
      <c r="AIY92" s="83"/>
      <c r="AIZ92" s="83"/>
      <c r="AJA92" s="83"/>
      <c r="AJB92" s="83"/>
      <c r="AJC92" s="83"/>
      <c r="AJD92" s="83"/>
      <c r="AJE92" s="83"/>
      <c r="AJF92" s="83"/>
      <c r="AJG92" s="83"/>
      <c r="AJH92" s="83"/>
      <c r="AJI92" s="83"/>
      <c r="AJJ92" s="83"/>
      <c r="AJK92" s="83"/>
      <c r="AJL92" s="83"/>
      <c r="AJM92" s="83"/>
      <c r="AJN92" s="83"/>
      <c r="AJO92" s="83"/>
      <c r="AJP92" s="83"/>
      <c r="AJQ92" s="83"/>
      <c r="AJR92" s="83"/>
      <c r="AJS92" s="83"/>
      <c r="AJT92" s="83"/>
      <c r="AJU92" s="83"/>
      <c r="AJV92" s="83"/>
      <c r="AJW92" s="83"/>
      <c r="AJX92" s="83"/>
      <c r="AJY92" s="83"/>
      <c r="AJZ92" s="83"/>
      <c r="AKA92" s="83"/>
      <c r="AKB92" s="83"/>
      <c r="AKC92" s="83"/>
      <c r="AKD92" s="83"/>
      <c r="AKE92" s="83"/>
      <c r="AKF92" s="83"/>
      <c r="AKG92" s="83"/>
      <c r="AKH92" s="83"/>
      <c r="AKI92" s="83"/>
      <c r="AKJ92" s="83"/>
      <c r="AKK92" s="83"/>
      <c r="AKL92" s="83"/>
      <c r="AKM92" s="83"/>
      <c r="AKN92" s="83"/>
      <c r="AKO92" s="83"/>
      <c r="AKP92" s="83"/>
      <c r="AKQ92" s="83"/>
      <c r="AKR92" s="83"/>
      <c r="AKS92" s="83"/>
      <c r="AKT92" s="83"/>
      <c r="AKU92" s="83"/>
      <c r="AKV92" s="83"/>
      <c r="AKW92" s="83"/>
      <c r="AKX92" s="83"/>
      <c r="AKY92" s="83"/>
      <c r="AKZ92" s="83"/>
      <c r="ALA92" s="83"/>
      <c r="ALB92" s="83"/>
      <c r="ALC92" s="83"/>
      <c r="ALD92" s="83"/>
      <c r="ALE92" s="83"/>
      <c r="ALF92" s="83"/>
      <c r="ALG92" s="83"/>
      <c r="ALH92" s="83"/>
      <c r="ALI92" s="83"/>
      <c r="ALJ92" s="83"/>
      <c r="ALK92" s="83"/>
      <c r="ALL92" s="83"/>
      <c r="ALM92" s="83"/>
      <c r="ALN92" s="83"/>
      <c r="ALO92" s="83"/>
      <c r="ALP92" s="83"/>
      <c r="ALQ92" s="83"/>
      <c r="ALR92" s="83"/>
      <c r="ALS92" s="83"/>
      <c r="ALT92" s="83"/>
      <c r="ALU92" s="83"/>
      <c r="ALV92" s="83"/>
      <c r="ALW92" s="83"/>
      <c r="ALX92" s="83"/>
      <c r="ALY92" s="83"/>
      <c r="ALZ92" s="83"/>
      <c r="AMA92" s="83"/>
      <c r="AMB92" s="83"/>
      <c r="AMC92" s="83"/>
      <c r="AMD92" s="83"/>
      <c r="AME92" s="83"/>
      <c r="AMF92" s="83"/>
      <c r="AMG92" s="83"/>
      <c r="AMH92" s="83"/>
      <c r="AMI92" s="83"/>
      <c r="AMJ92" s="83"/>
    </row>
    <row r="93" spans="12:1024" ht="15.95" customHeight="1" x14ac:dyDescent="0.2">
      <c r="L93" s="83"/>
      <c r="M93" s="84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83"/>
      <c r="DU93" s="83"/>
      <c r="DV93" s="83"/>
      <c r="DW93" s="83"/>
      <c r="DX93" s="83"/>
      <c r="DY93" s="83"/>
      <c r="DZ93" s="83"/>
      <c r="EA93" s="83"/>
      <c r="EB93" s="83"/>
      <c r="EC93" s="83"/>
      <c r="ED93" s="83"/>
      <c r="EE93" s="83"/>
      <c r="EF93" s="83"/>
      <c r="EG93" s="83"/>
      <c r="EH93" s="83"/>
      <c r="EI93" s="83"/>
      <c r="EJ93" s="83"/>
      <c r="EK93" s="83"/>
      <c r="EL93" s="83"/>
      <c r="EM93" s="83"/>
      <c r="EN93" s="83"/>
      <c r="EO93" s="83"/>
      <c r="EP93" s="83"/>
      <c r="EQ93" s="83"/>
      <c r="ER93" s="83"/>
      <c r="ES93" s="83"/>
      <c r="ET93" s="83"/>
      <c r="EU93" s="83"/>
      <c r="EV93" s="83"/>
      <c r="EW93" s="83"/>
      <c r="EX93" s="83"/>
      <c r="EY93" s="83"/>
      <c r="EZ93" s="83"/>
      <c r="FA93" s="83"/>
      <c r="FB93" s="83"/>
      <c r="FC93" s="83"/>
      <c r="FD93" s="83"/>
      <c r="FE93" s="83"/>
      <c r="FF93" s="83"/>
      <c r="FG93" s="83"/>
      <c r="FH93" s="83"/>
      <c r="FI93" s="83"/>
      <c r="FJ93" s="83"/>
      <c r="FK93" s="83"/>
      <c r="FL93" s="83"/>
      <c r="FM93" s="83"/>
      <c r="FN93" s="83"/>
      <c r="FO93" s="83"/>
      <c r="FP93" s="83"/>
      <c r="FQ93" s="83"/>
      <c r="FR93" s="83"/>
      <c r="FS93" s="83"/>
      <c r="FT93" s="83"/>
      <c r="FU93" s="83"/>
      <c r="FV93" s="83"/>
      <c r="FW93" s="83"/>
      <c r="FX93" s="83"/>
      <c r="FY93" s="83"/>
      <c r="FZ93" s="83"/>
      <c r="GA93" s="83"/>
      <c r="GB93" s="83"/>
      <c r="GC93" s="83"/>
      <c r="GD93" s="83"/>
      <c r="GE93" s="83"/>
      <c r="GF93" s="83"/>
      <c r="GG93" s="83"/>
      <c r="GH93" s="83"/>
      <c r="GI93" s="83"/>
      <c r="GJ93" s="83"/>
      <c r="GK93" s="83"/>
      <c r="GL93" s="83"/>
      <c r="GM93" s="83"/>
      <c r="GN93" s="83"/>
      <c r="GO93" s="83"/>
      <c r="GP93" s="83"/>
      <c r="GQ93" s="83"/>
      <c r="GR93" s="83"/>
      <c r="GS93" s="83"/>
      <c r="GT93" s="83"/>
      <c r="GU93" s="83"/>
      <c r="GV93" s="83"/>
      <c r="GW93" s="83"/>
      <c r="GX93" s="83"/>
      <c r="GY93" s="83"/>
      <c r="GZ93" s="83"/>
      <c r="HA93" s="83"/>
      <c r="HB93" s="83"/>
      <c r="HC93" s="83"/>
      <c r="HD93" s="83"/>
      <c r="HE93" s="83"/>
      <c r="HF93" s="83"/>
      <c r="HG93" s="83"/>
      <c r="HH93" s="83"/>
      <c r="HI93" s="83"/>
      <c r="HJ93" s="83"/>
      <c r="HK93" s="83"/>
      <c r="HL93" s="83"/>
      <c r="HM93" s="83"/>
      <c r="HN93" s="83"/>
      <c r="HO93" s="83"/>
      <c r="HP93" s="83"/>
      <c r="HQ93" s="83"/>
      <c r="HR93" s="83"/>
      <c r="HS93" s="83"/>
      <c r="HT93" s="83"/>
      <c r="HU93" s="83"/>
      <c r="HV93" s="83"/>
      <c r="HW93" s="83"/>
      <c r="HX93" s="83"/>
      <c r="HY93" s="83"/>
      <c r="HZ93" s="83"/>
      <c r="IA93" s="83"/>
      <c r="IB93" s="83"/>
      <c r="IC93" s="83"/>
      <c r="ID93" s="83"/>
      <c r="IE93" s="83"/>
      <c r="IF93" s="83"/>
      <c r="IG93" s="83"/>
      <c r="IH93" s="83"/>
      <c r="II93" s="83"/>
      <c r="IJ93" s="83"/>
      <c r="IK93" s="83"/>
      <c r="IL93" s="83"/>
      <c r="IM93" s="83"/>
      <c r="IN93" s="83"/>
      <c r="IO93" s="83"/>
      <c r="IP93" s="83"/>
      <c r="IQ93" s="83"/>
      <c r="IR93" s="83"/>
      <c r="IS93" s="83"/>
      <c r="IT93" s="83"/>
      <c r="IU93" s="83"/>
      <c r="IV93" s="83"/>
      <c r="IW93" s="83"/>
      <c r="IX93" s="83"/>
      <c r="IY93" s="83"/>
      <c r="IZ93" s="83"/>
      <c r="JA93" s="83"/>
      <c r="JB93" s="83"/>
      <c r="JC93" s="83"/>
      <c r="JD93" s="83"/>
      <c r="JE93" s="83"/>
      <c r="JF93" s="83"/>
      <c r="JG93" s="83"/>
      <c r="JH93" s="83"/>
      <c r="JI93" s="83"/>
      <c r="JJ93" s="83"/>
      <c r="JK93" s="83"/>
      <c r="JL93" s="83"/>
      <c r="JM93" s="83"/>
      <c r="JN93" s="83"/>
      <c r="JO93" s="83"/>
      <c r="JP93" s="83"/>
      <c r="JQ93" s="83"/>
      <c r="JR93" s="83"/>
      <c r="JS93" s="83"/>
      <c r="JT93" s="83"/>
      <c r="JU93" s="83"/>
      <c r="JV93" s="83"/>
      <c r="JW93" s="83"/>
      <c r="JX93" s="83"/>
      <c r="JY93" s="83"/>
      <c r="JZ93" s="83"/>
      <c r="KA93" s="83"/>
      <c r="KB93" s="83"/>
      <c r="KC93" s="83"/>
      <c r="KD93" s="83"/>
      <c r="KE93" s="83"/>
      <c r="KF93" s="83"/>
      <c r="KG93" s="83"/>
      <c r="KH93" s="83"/>
      <c r="KI93" s="83"/>
      <c r="KJ93" s="83"/>
      <c r="KK93" s="83"/>
      <c r="KL93" s="83"/>
      <c r="KM93" s="83"/>
      <c r="KN93" s="83"/>
      <c r="KO93" s="83"/>
      <c r="KP93" s="83"/>
      <c r="KQ93" s="83"/>
      <c r="KR93" s="83"/>
      <c r="KS93" s="83"/>
      <c r="KT93" s="83"/>
      <c r="KU93" s="83"/>
      <c r="KV93" s="83"/>
      <c r="KW93" s="83"/>
      <c r="KX93" s="83"/>
      <c r="KY93" s="83"/>
      <c r="KZ93" s="83"/>
      <c r="LA93" s="83"/>
      <c r="LB93" s="83"/>
      <c r="LC93" s="83"/>
      <c r="LD93" s="83"/>
      <c r="LE93" s="83"/>
      <c r="LF93" s="83"/>
      <c r="LG93" s="83"/>
      <c r="LH93" s="83"/>
      <c r="LI93" s="83"/>
      <c r="LJ93" s="83"/>
      <c r="LK93" s="83"/>
      <c r="LL93" s="83"/>
      <c r="LM93" s="83"/>
      <c r="LN93" s="83"/>
      <c r="LO93" s="83"/>
      <c r="LP93" s="83"/>
      <c r="LQ93" s="83"/>
      <c r="LR93" s="83"/>
      <c r="LS93" s="83"/>
      <c r="LT93" s="83"/>
      <c r="LU93" s="83"/>
      <c r="LV93" s="83"/>
      <c r="LW93" s="83"/>
      <c r="LX93" s="83"/>
      <c r="LY93" s="83"/>
      <c r="LZ93" s="83"/>
      <c r="MA93" s="83"/>
      <c r="MB93" s="83"/>
      <c r="MC93" s="83"/>
      <c r="MD93" s="83"/>
      <c r="ME93" s="83"/>
      <c r="MF93" s="83"/>
      <c r="MG93" s="83"/>
      <c r="MH93" s="83"/>
      <c r="MI93" s="83"/>
      <c r="MJ93" s="83"/>
      <c r="MK93" s="83"/>
      <c r="ML93" s="83"/>
      <c r="MM93" s="83"/>
      <c r="MN93" s="83"/>
      <c r="MO93" s="83"/>
      <c r="MP93" s="83"/>
      <c r="MQ93" s="83"/>
      <c r="MR93" s="83"/>
      <c r="MS93" s="83"/>
      <c r="MT93" s="83"/>
      <c r="MU93" s="83"/>
      <c r="MV93" s="83"/>
      <c r="MW93" s="83"/>
      <c r="MX93" s="83"/>
      <c r="MY93" s="83"/>
      <c r="MZ93" s="83"/>
      <c r="NA93" s="83"/>
      <c r="NB93" s="83"/>
      <c r="NC93" s="83"/>
      <c r="ND93" s="83"/>
      <c r="NE93" s="83"/>
      <c r="NF93" s="83"/>
      <c r="NG93" s="83"/>
      <c r="NH93" s="83"/>
      <c r="NI93" s="83"/>
      <c r="NJ93" s="83"/>
      <c r="NK93" s="83"/>
      <c r="NL93" s="83"/>
      <c r="NM93" s="83"/>
      <c r="NN93" s="83"/>
      <c r="NO93" s="83"/>
      <c r="NP93" s="83"/>
      <c r="NQ93" s="83"/>
      <c r="NR93" s="83"/>
      <c r="NS93" s="83"/>
      <c r="NT93" s="83"/>
      <c r="NU93" s="83"/>
      <c r="NV93" s="83"/>
      <c r="NW93" s="83"/>
      <c r="NX93" s="83"/>
      <c r="NY93" s="83"/>
      <c r="NZ93" s="83"/>
      <c r="OA93" s="83"/>
      <c r="OB93" s="83"/>
      <c r="OC93" s="83"/>
      <c r="OD93" s="83"/>
      <c r="OE93" s="83"/>
      <c r="OF93" s="83"/>
      <c r="OG93" s="83"/>
      <c r="OH93" s="83"/>
      <c r="OI93" s="83"/>
      <c r="OJ93" s="83"/>
      <c r="OK93" s="83"/>
      <c r="OL93" s="83"/>
      <c r="OM93" s="83"/>
      <c r="ON93" s="83"/>
      <c r="OO93" s="83"/>
      <c r="OP93" s="83"/>
      <c r="OQ93" s="83"/>
      <c r="OR93" s="83"/>
      <c r="OS93" s="83"/>
      <c r="OT93" s="83"/>
      <c r="OU93" s="83"/>
      <c r="OV93" s="83"/>
      <c r="OW93" s="83"/>
      <c r="OX93" s="83"/>
      <c r="OY93" s="83"/>
      <c r="OZ93" s="83"/>
      <c r="PA93" s="83"/>
      <c r="PB93" s="83"/>
      <c r="PC93" s="83"/>
      <c r="PD93" s="83"/>
      <c r="PE93" s="83"/>
      <c r="PF93" s="83"/>
      <c r="PG93" s="83"/>
      <c r="PH93" s="83"/>
      <c r="PI93" s="83"/>
      <c r="PJ93" s="83"/>
      <c r="PK93" s="83"/>
      <c r="PL93" s="83"/>
      <c r="PM93" s="83"/>
      <c r="PN93" s="83"/>
      <c r="PO93" s="83"/>
      <c r="PP93" s="83"/>
      <c r="PQ93" s="83"/>
      <c r="PR93" s="83"/>
      <c r="PS93" s="83"/>
      <c r="PT93" s="83"/>
      <c r="PU93" s="83"/>
      <c r="PV93" s="83"/>
      <c r="PW93" s="83"/>
      <c r="PX93" s="83"/>
      <c r="PY93" s="83"/>
      <c r="PZ93" s="83"/>
      <c r="QA93" s="83"/>
      <c r="QB93" s="83"/>
      <c r="QC93" s="83"/>
      <c r="QD93" s="83"/>
      <c r="QE93" s="83"/>
      <c r="QF93" s="83"/>
      <c r="QG93" s="83"/>
      <c r="QH93" s="83"/>
      <c r="QI93" s="83"/>
      <c r="QJ93" s="83"/>
      <c r="QK93" s="83"/>
      <c r="QL93" s="83"/>
      <c r="QM93" s="83"/>
      <c r="QN93" s="83"/>
      <c r="QO93" s="83"/>
      <c r="QP93" s="83"/>
      <c r="QQ93" s="83"/>
      <c r="QR93" s="83"/>
      <c r="QS93" s="83"/>
      <c r="QT93" s="83"/>
      <c r="QU93" s="83"/>
      <c r="QV93" s="83"/>
      <c r="QW93" s="83"/>
      <c r="QX93" s="83"/>
      <c r="QY93" s="83"/>
      <c r="QZ93" s="83"/>
      <c r="RA93" s="83"/>
      <c r="RB93" s="83"/>
      <c r="RC93" s="83"/>
      <c r="RD93" s="83"/>
      <c r="RE93" s="83"/>
      <c r="RF93" s="83"/>
      <c r="RG93" s="83"/>
      <c r="RH93" s="83"/>
      <c r="RI93" s="83"/>
      <c r="RJ93" s="83"/>
      <c r="RK93" s="83"/>
      <c r="RL93" s="83"/>
      <c r="RM93" s="83"/>
      <c r="RN93" s="83"/>
      <c r="RO93" s="83"/>
      <c r="RP93" s="83"/>
      <c r="RQ93" s="83"/>
      <c r="RR93" s="83"/>
      <c r="RS93" s="83"/>
      <c r="RT93" s="83"/>
      <c r="RU93" s="83"/>
      <c r="RV93" s="83"/>
      <c r="RW93" s="83"/>
      <c r="RX93" s="83"/>
      <c r="RY93" s="83"/>
      <c r="RZ93" s="83"/>
      <c r="SA93" s="83"/>
      <c r="SB93" s="83"/>
      <c r="SC93" s="83"/>
      <c r="SD93" s="83"/>
      <c r="SE93" s="83"/>
      <c r="SF93" s="83"/>
      <c r="SG93" s="83"/>
      <c r="SH93" s="83"/>
      <c r="SI93" s="83"/>
      <c r="SJ93" s="83"/>
      <c r="SK93" s="83"/>
      <c r="SL93" s="83"/>
      <c r="SM93" s="83"/>
      <c r="SN93" s="83"/>
      <c r="SO93" s="83"/>
      <c r="SP93" s="83"/>
      <c r="SQ93" s="83"/>
      <c r="SR93" s="83"/>
      <c r="SS93" s="83"/>
      <c r="ST93" s="83"/>
      <c r="SU93" s="83"/>
      <c r="SV93" s="83"/>
      <c r="SW93" s="83"/>
      <c r="SX93" s="83"/>
      <c r="SY93" s="83"/>
      <c r="SZ93" s="83"/>
      <c r="TA93" s="83"/>
      <c r="TB93" s="83"/>
      <c r="TC93" s="83"/>
      <c r="TD93" s="83"/>
      <c r="TE93" s="83"/>
      <c r="TF93" s="83"/>
      <c r="TG93" s="83"/>
      <c r="TH93" s="83"/>
      <c r="TI93" s="83"/>
      <c r="TJ93" s="83"/>
      <c r="TK93" s="83"/>
      <c r="TL93" s="83"/>
      <c r="TM93" s="83"/>
      <c r="TN93" s="83"/>
      <c r="TO93" s="83"/>
      <c r="TP93" s="83"/>
      <c r="TQ93" s="83"/>
      <c r="TR93" s="83"/>
      <c r="TS93" s="83"/>
      <c r="TT93" s="83"/>
      <c r="TU93" s="83"/>
      <c r="TV93" s="83"/>
      <c r="TW93" s="83"/>
      <c r="TX93" s="83"/>
      <c r="TY93" s="83"/>
      <c r="TZ93" s="83"/>
      <c r="UA93" s="83"/>
      <c r="UB93" s="83"/>
      <c r="UC93" s="83"/>
      <c r="UD93" s="83"/>
      <c r="UE93" s="83"/>
      <c r="UF93" s="83"/>
      <c r="UG93" s="83"/>
      <c r="UH93" s="83"/>
      <c r="UI93" s="83"/>
      <c r="UJ93" s="83"/>
      <c r="UK93" s="83"/>
      <c r="UL93" s="83"/>
      <c r="UM93" s="83"/>
      <c r="UN93" s="83"/>
      <c r="UO93" s="83"/>
      <c r="UP93" s="83"/>
      <c r="UQ93" s="83"/>
      <c r="UR93" s="83"/>
      <c r="US93" s="83"/>
      <c r="UT93" s="83"/>
      <c r="UU93" s="83"/>
      <c r="UV93" s="83"/>
      <c r="UW93" s="83"/>
      <c r="UX93" s="83"/>
      <c r="UY93" s="83"/>
      <c r="UZ93" s="83"/>
      <c r="VA93" s="83"/>
      <c r="VB93" s="83"/>
      <c r="VC93" s="83"/>
      <c r="VD93" s="83"/>
      <c r="VE93" s="83"/>
      <c r="VF93" s="83"/>
      <c r="VG93" s="83"/>
      <c r="VH93" s="83"/>
      <c r="VI93" s="83"/>
      <c r="VJ93" s="83"/>
      <c r="VK93" s="83"/>
      <c r="VL93" s="83"/>
      <c r="VM93" s="83"/>
      <c r="VN93" s="83"/>
      <c r="VO93" s="83"/>
      <c r="VP93" s="83"/>
      <c r="VQ93" s="83"/>
      <c r="VR93" s="83"/>
      <c r="VS93" s="83"/>
      <c r="VT93" s="83"/>
      <c r="VU93" s="83"/>
      <c r="VV93" s="83"/>
      <c r="VW93" s="83"/>
      <c r="VX93" s="83"/>
      <c r="VY93" s="83"/>
      <c r="VZ93" s="83"/>
      <c r="WA93" s="83"/>
      <c r="WB93" s="83"/>
      <c r="WC93" s="83"/>
      <c r="WD93" s="83"/>
      <c r="WE93" s="83"/>
      <c r="WF93" s="83"/>
      <c r="WG93" s="83"/>
      <c r="WH93" s="83"/>
      <c r="WI93" s="83"/>
      <c r="WJ93" s="83"/>
      <c r="WK93" s="83"/>
      <c r="WL93" s="83"/>
      <c r="WM93" s="83"/>
      <c r="WN93" s="83"/>
      <c r="WO93" s="83"/>
      <c r="WP93" s="83"/>
      <c r="WQ93" s="83"/>
      <c r="WR93" s="83"/>
      <c r="WS93" s="83"/>
      <c r="WT93" s="83"/>
      <c r="WU93" s="83"/>
      <c r="WV93" s="83"/>
      <c r="WW93" s="83"/>
      <c r="WX93" s="83"/>
      <c r="WY93" s="83"/>
      <c r="WZ93" s="83"/>
      <c r="XA93" s="83"/>
      <c r="XB93" s="83"/>
      <c r="XC93" s="83"/>
      <c r="XD93" s="83"/>
      <c r="XE93" s="83"/>
      <c r="XF93" s="83"/>
      <c r="XG93" s="83"/>
      <c r="XH93" s="83"/>
      <c r="XI93" s="83"/>
      <c r="XJ93" s="83"/>
      <c r="XK93" s="83"/>
      <c r="XL93" s="83"/>
      <c r="XM93" s="83"/>
      <c r="XN93" s="83"/>
      <c r="XO93" s="83"/>
      <c r="XP93" s="83"/>
      <c r="XQ93" s="83"/>
      <c r="XR93" s="83"/>
      <c r="XS93" s="83"/>
      <c r="XT93" s="83"/>
      <c r="XU93" s="83"/>
      <c r="XV93" s="83"/>
      <c r="XW93" s="83"/>
      <c r="XX93" s="83"/>
      <c r="XY93" s="83"/>
      <c r="XZ93" s="83"/>
      <c r="YA93" s="83"/>
      <c r="YB93" s="83"/>
      <c r="YC93" s="83"/>
      <c r="YD93" s="83"/>
      <c r="YE93" s="83"/>
      <c r="YF93" s="83"/>
      <c r="YG93" s="83"/>
      <c r="YH93" s="83"/>
      <c r="YI93" s="83"/>
      <c r="YJ93" s="83"/>
      <c r="YK93" s="83"/>
      <c r="YL93" s="83"/>
      <c r="YM93" s="83"/>
      <c r="YN93" s="83"/>
      <c r="YO93" s="83"/>
      <c r="YP93" s="83"/>
      <c r="YQ93" s="83"/>
      <c r="YR93" s="83"/>
      <c r="YS93" s="83"/>
      <c r="YT93" s="83"/>
      <c r="YU93" s="83"/>
      <c r="YV93" s="83"/>
      <c r="YW93" s="83"/>
      <c r="YX93" s="83"/>
      <c r="YY93" s="83"/>
      <c r="YZ93" s="83"/>
      <c r="ZA93" s="83"/>
      <c r="ZB93" s="83"/>
      <c r="ZC93" s="83"/>
      <c r="ZD93" s="83"/>
      <c r="ZE93" s="83"/>
      <c r="ZF93" s="83"/>
      <c r="ZG93" s="83"/>
      <c r="ZH93" s="83"/>
      <c r="ZI93" s="83"/>
      <c r="ZJ93" s="83"/>
      <c r="ZK93" s="83"/>
      <c r="ZL93" s="83"/>
      <c r="ZM93" s="83"/>
      <c r="ZN93" s="83"/>
      <c r="ZO93" s="83"/>
      <c r="ZP93" s="83"/>
      <c r="ZQ93" s="83"/>
      <c r="ZR93" s="83"/>
      <c r="ZS93" s="83"/>
      <c r="ZT93" s="83"/>
      <c r="ZU93" s="83"/>
      <c r="ZV93" s="83"/>
      <c r="ZW93" s="83"/>
      <c r="ZX93" s="83"/>
      <c r="ZY93" s="83"/>
      <c r="ZZ93" s="83"/>
      <c r="AAA93" s="83"/>
      <c r="AAB93" s="83"/>
      <c r="AAC93" s="83"/>
      <c r="AAD93" s="83"/>
      <c r="AAE93" s="83"/>
      <c r="AAF93" s="83"/>
      <c r="AAG93" s="83"/>
      <c r="AAH93" s="83"/>
      <c r="AAI93" s="83"/>
      <c r="AAJ93" s="83"/>
      <c r="AAK93" s="83"/>
      <c r="AAL93" s="83"/>
      <c r="AAM93" s="83"/>
      <c r="AAN93" s="83"/>
      <c r="AAO93" s="83"/>
      <c r="AAP93" s="83"/>
      <c r="AAQ93" s="83"/>
      <c r="AAR93" s="83"/>
      <c r="AAS93" s="83"/>
      <c r="AAT93" s="83"/>
      <c r="AAU93" s="83"/>
      <c r="AAV93" s="83"/>
      <c r="AAW93" s="83"/>
      <c r="AAX93" s="83"/>
      <c r="AAY93" s="83"/>
      <c r="AAZ93" s="83"/>
      <c r="ABA93" s="83"/>
      <c r="ABB93" s="83"/>
      <c r="ABC93" s="83"/>
      <c r="ABD93" s="83"/>
      <c r="ABE93" s="83"/>
      <c r="ABF93" s="83"/>
      <c r="ABG93" s="83"/>
      <c r="ABH93" s="83"/>
      <c r="ABI93" s="83"/>
      <c r="ABJ93" s="83"/>
      <c r="ABK93" s="83"/>
      <c r="ABL93" s="83"/>
      <c r="ABM93" s="83"/>
      <c r="ABN93" s="83"/>
      <c r="ABO93" s="83"/>
      <c r="ABP93" s="83"/>
      <c r="ABQ93" s="83"/>
      <c r="ABR93" s="83"/>
      <c r="ABS93" s="83"/>
      <c r="ABT93" s="83"/>
      <c r="ABU93" s="83"/>
      <c r="ABV93" s="83"/>
      <c r="ABW93" s="83"/>
      <c r="ABX93" s="83"/>
      <c r="ABY93" s="83"/>
      <c r="ABZ93" s="83"/>
      <c r="ACA93" s="83"/>
      <c r="ACB93" s="83"/>
      <c r="ACC93" s="83"/>
      <c r="ACD93" s="83"/>
      <c r="ACE93" s="83"/>
      <c r="ACF93" s="83"/>
      <c r="ACG93" s="83"/>
      <c r="ACH93" s="83"/>
      <c r="ACI93" s="83"/>
      <c r="ACJ93" s="83"/>
      <c r="ACK93" s="83"/>
      <c r="ACL93" s="83"/>
      <c r="ACM93" s="83"/>
      <c r="ACN93" s="83"/>
      <c r="ACO93" s="83"/>
      <c r="ACP93" s="83"/>
      <c r="ACQ93" s="83"/>
      <c r="ACR93" s="83"/>
      <c r="ACS93" s="83"/>
      <c r="ACT93" s="83"/>
      <c r="ACU93" s="83"/>
      <c r="ACV93" s="83"/>
      <c r="ACW93" s="83"/>
      <c r="ACX93" s="83"/>
      <c r="ACY93" s="83"/>
      <c r="ACZ93" s="83"/>
      <c r="ADA93" s="83"/>
      <c r="ADB93" s="83"/>
      <c r="ADC93" s="83"/>
      <c r="ADD93" s="83"/>
      <c r="ADE93" s="83"/>
      <c r="ADF93" s="83"/>
      <c r="ADG93" s="83"/>
      <c r="ADH93" s="83"/>
      <c r="ADI93" s="83"/>
      <c r="ADJ93" s="83"/>
      <c r="ADK93" s="83"/>
      <c r="ADL93" s="83"/>
      <c r="ADM93" s="83"/>
      <c r="ADN93" s="83"/>
      <c r="ADO93" s="83"/>
      <c r="ADP93" s="83"/>
      <c r="ADQ93" s="83"/>
      <c r="ADR93" s="83"/>
      <c r="ADS93" s="83"/>
      <c r="ADT93" s="83"/>
      <c r="ADU93" s="83"/>
      <c r="ADV93" s="83"/>
      <c r="ADW93" s="83"/>
      <c r="ADX93" s="83"/>
      <c r="ADY93" s="83"/>
      <c r="ADZ93" s="83"/>
      <c r="AEA93" s="83"/>
      <c r="AEB93" s="83"/>
      <c r="AEC93" s="83"/>
      <c r="AED93" s="83"/>
      <c r="AEE93" s="83"/>
      <c r="AEF93" s="83"/>
      <c r="AEG93" s="83"/>
      <c r="AEH93" s="83"/>
      <c r="AEI93" s="83"/>
      <c r="AEJ93" s="83"/>
      <c r="AEK93" s="83"/>
      <c r="AEL93" s="83"/>
      <c r="AEM93" s="83"/>
      <c r="AEN93" s="83"/>
      <c r="AEO93" s="83"/>
      <c r="AEP93" s="83"/>
      <c r="AEQ93" s="83"/>
      <c r="AER93" s="83"/>
      <c r="AES93" s="83"/>
      <c r="AET93" s="83"/>
      <c r="AEU93" s="83"/>
      <c r="AEV93" s="83"/>
      <c r="AEW93" s="83"/>
      <c r="AEX93" s="83"/>
      <c r="AEY93" s="83"/>
      <c r="AEZ93" s="83"/>
      <c r="AFA93" s="83"/>
      <c r="AFB93" s="83"/>
      <c r="AFC93" s="83"/>
      <c r="AFD93" s="83"/>
      <c r="AFE93" s="83"/>
      <c r="AFF93" s="83"/>
      <c r="AFG93" s="83"/>
      <c r="AFH93" s="83"/>
      <c r="AFI93" s="83"/>
      <c r="AFJ93" s="83"/>
      <c r="AFK93" s="83"/>
      <c r="AFL93" s="83"/>
      <c r="AFM93" s="83"/>
      <c r="AFN93" s="83"/>
      <c r="AFO93" s="83"/>
      <c r="AFP93" s="83"/>
      <c r="AFQ93" s="83"/>
      <c r="AFR93" s="83"/>
      <c r="AFS93" s="83"/>
      <c r="AFT93" s="83"/>
      <c r="AFU93" s="83"/>
      <c r="AFV93" s="83"/>
      <c r="AFW93" s="83"/>
      <c r="AFX93" s="83"/>
      <c r="AFY93" s="83"/>
      <c r="AFZ93" s="83"/>
      <c r="AGA93" s="83"/>
      <c r="AGB93" s="83"/>
      <c r="AGC93" s="83"/>
      <c r="AGD93" s="83"/>
      <c r="AGE93" s="83"/>
      <c r="AGF93" s="83"/>
      <c r="AGG93" s="83"/>
      <c r="AGH93" s="83"/>
      <c r="AGI93" s="83"/>
      <c r="AGJ93" s="83"/>
      <c r="AGK93" s="83"/>
      <c r="AGL93" s="83"/>
      <c r="AGM93" s="83"/>
      <c r="AGN93" s="83"/>
      <c r="AGO93" s="83"/>
      <c r="AGP93" s="83"/>
      <c r="AGQ93" s="83"/>
      <c r="AGR93" s="83"/>
      <c r="AGS93" s="83"/>
      <c r="AGT93" s="83"/>
      <c r="AGU93" s="83"/>
      <c r="AGV93" s="83"/>
      <c r="AGW93" s="83"/>
      <c r="AGX93" s="83"/>
      <c r="AGY93" s="83"/>
      <c r="AGZ93" s="83"/>
      <c r="AHA93" s="83"/>
      <c r="AHB93" s="83"/>
      <c r="AHC93" s="83"/>
      <c r="AHD93" s="83"/>
      <c r="AHE93" s="83"/>
      <c r="AHF93" s="83"/>
      <c r="AHG93" s="83"/>
      <c r="AHH93" s="83"/>
      <c r="AHI93" s="83"/>
      <c r="AHJ93" s="83"/>
      <c r="AHK93" s="83"/>
      <c r="AHL93" s="83"/>
      <c r="AHM93" s="83"/>
      <c r="AHN93" s="83"/>
      <c r="AHO93" s="83"/>
      <c r="AHP93" s="83"/>
      <c r="AHQ93" s="83"/>
      <c r="AHR93" s="83"/>
      <c r="AHS93" s="83"/>
      <c r="AHT93" s="83"/>
      <c r="AHU93" s="83"/>
      <c r="AHV93" s="83"/>
      <c r="AHW93" s="83"/>
      <c r="AHX93" s="83"/>
      <c r="AHY93" s="83"/>
      <c r="AHZ93" s="83"/>
      <c r="AIA93" s="83"/>
      <c r="AIB93" s="83"/>
      <c r="AIC93" s="83"/>
      <c r="AID93" s="83"/>
      <c r="AIE93" s="83"/>
      <c r="AIF93" s="83"/>
      <c r="AIG93" s="83"/>
      <c r="AIH93" s="83"/>
      <c r="AII93" s="83"/>
      <c r="AIJ93" s="83"/>
      <c r="AIK93" s="83"/>
      <c r="AIL93" s="83"/>
      <c r="AIM93" s="83"/>
      <c r="AIN93" s="83"/>
      <c r="AIO93" s="83"/>
      <c r="AIP93" s="83"/>
      <c r="AIQ93" s="83"/>
      <c r="AIR93" s="83"/>
      <c r="AIS93" s="83"/>
      <c r="AIT93" s="83"/>
      <c r="AIU93" s="83"/>
      <c r="AIV93" s="83"/>
      <c r="AIW93" s="83"/>
      <c r="AIX93" s="83"/>
      <c r="AIY93" s="83"/>
      <c r="AIZ93" s="83"/>
      <c r="AJA93" s="83"/>
      <c r="AJB93" s="83"/>
      <c r="AJC93" s="83"/>
      <c r="AJD93" s="83"/>
      <c r="AJE93" s="83"/>
      <c r="AJF93" s="83"/>
      <c r="AJG93" s="83"/>
      <c r="AJH93" s="83"/>
      <c r="AJI93" s="83"/>
      <c r="AJJ93" s="83"/>
      <c r="AJK93" s="83"/>
      <c r="AJL93" s="83"/>
      <c r="AJM93" s="83"/>
      <c r="AJN93" s="83"/>
      <c r="AJO93" s="83"/>
      <c r="AJP93" s="83"/>
      <c r="AJQ93" s="83"/>
      <c r="AJR93" s="83"/>
      <c r="AJS93" s="83"/>
      <c r="AJT93" s="83"/>
      <c r="AJU93" s="83"/>
      <c r="AJV93" s="83"/>
      <c r="AJW93" s="83"/>
      <c r="AJX93" s="83"/>
      <c r="AJY93" s="83"/>
      <c r="AJZ93" s="83"/>
      <c r="AKA93" s="83"/>
      <c r="AKB93" s="83"/>
      <c r="AKC93" s="83"/>
      <c r="AKD93" s="83"/>
      <c r="AKE93" s="83"/>
      <c r="AKF93" s="83"/>
      <c r="AKG93" s="83"/>
      <c r="AKH93" s="83"/>
      <c r="AKI93" s="83"/>
      <c r="AKJ93" s="83"/>
      <c r="AKK93" s="83"/>
      <c r="AKL93" s="83"/>
      <c r="AKM93" s="83"/>
      <c r="AKN93" s="83"/>
      <c r="AKO93" s="83"/>
      <c r="AKP93" s="83"/>
      <c r="AKQ93" s="83"/>
      <c r="AKR93" s="83"/>
      <c r="AKS93" s="83"/>
      <c r="AKT93" s="83"/>
      <c r="AKU93" s="83"/>
      <c r="AKV93" s="83"/>
      <c r="AKW93" s="83"/>
      <c r="AKX93" s="83"/>
      <c r="AKY93" s="83"/>
      <c r="AKZ93" s="83"/>
      <c r="ALA93" s="83"/>
      <c r="ALB93" s="83"/>
      <c r="ALC93" s="83"/>
      <c r="ALD93" s="83"/>
      <c r="ALE93" s="83"/>
      <c r="ALF93" s="83"/>
      <c r="ALG93" s="83"/>
      <c r="ALH93" s="83"/>
      <c r="ALI93" s="83"/>
      <c r="ALJ93" s="83"/>
      <c r="ALK93" s="83"/>
      <c r="ALL93" s="83"/>
      <c r="ALM93" s="83"/>
      <c r="ALN93" s="83"/>
      <c r="ALO93" s="83"/>
      <c r="ALP93" s="83"/>
      <c r="ALQ93" s="83"/>
      <c r="ALR93" s="83"/>
      <c r="ALS93" s="83"/>
      <c r="ALT93" s="83"/>
      <c r="ALU93" s="83"/>
      <c r="ALV93" s="83"/>
      <c r="ALW93" s="83"/>
      <c r="ALX93" s="83"/>
      <c r="ALY93" s="83"/>
      <c r="ALZ93" s="83"/>
      <c r="AMA93" s="83"/>
      <c r="AMB93" s="83"/>
      <c r="AMC93" s="83"/>
      <c r="AMD93" s="83"/>
      <c r="AME93" s="83"/>
      <c r="AMF93" s="83"/>
      <c r="AMG93" s="83"/>
      <c r="AMH93" s="83"/>
      <c r="AMI93" s="83"/>
      <c r="AMJ93" s="83"/>
    </row>
    <row r="94" spans="12:1024" ht="15.95" customHeight="1" x14ac:dyDescent="0.2">
      <c r="L94" s="83"/>
      <c r="M94" s="84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83"/>
      <c r="CV94" s="83"/>
      <c r="CW94" s="83"/>
      <c r="CX94" s="83"/>
      <c r="CY94" s="83"/>
      <c r="CZ94" s="83"/>
      <c r="DA94" s="83"/>
      <c r="DB94" s="83"/>
      <c r="DC94" s="83"/>
      <c r="DD94" s="83"/>
      <c r="DE94" s="83"/>
      <c r="DF94" s="83"/>
      <c r="DG94" s="83"/>
      <c r="DH94" s="83"/>
      <c r="DI94" s="83"/>
      <c r="DJ94" s="83"/>
      <c r="DK94" s="83"/>
      <c r="DL94" s="83"/>
      <c r="DM94" s="83"/>
      <c r="DN94" s="83"/>
      <c r="DO94" s="83"/>
      <c r="DP94" s="83"/>
      <c r="DQ94" s="83"/>
      <c r="DR94" s="83"/>
      <c r="DS94" s="83"/>
      <c r="DT94" s="83"/>
      <c r="DU94" s="83"/>
      <c r="DV94" s="83"/>
      <c r="DW94" s="83"/>
      <c r="DX94" s="83"/>
      <c r="DY94" s="83"/>
      <c r="DZ94" s="83"/>
      <c r="EA94" s="83"/>
      <c r="EB94" s="83"/>
      <c r="EC94" s="83"/>
      <c r="ED94" s="83"/>
      <c r="EE94" s="83"/>
      <c r="EF94" s="83"/>
      <c r="EG94" s="83"/>
      <c r="EH94" s="83"/>
      <c r="EI94" s="83"/>
      <c r="EJ94" s="83"/>
      <c r="EK94" s="83"/>
      <c r="EL94" s="83"/>
      <c r="EM94" s="83"/>
      <c r="EN94" s="83"/>
      <c r="EO94" s="83"/>
      <c r="EP94" s="83"/>
      <c r="EQ94" s="83"/>
      <c r="ER94" s="83"/>
      <c r="ES94" s="83"/>
      <c r="ET94" s="83"/>
      <c r="EU94" s="83"/>
      <c r="EV94" s="83"/>
      <c r="EW94" s="83"/>
      <c r="EX94" s="83"/>
      <c r="EY94" s="83"/>
      <c r="EZ94" s="83"/>
      <c r="FA94" s="83"/>
      <c r="FB94" s="83"/>
      <c r="FC94" s="83"/>
      <c r="FD94" s="83"/>
      <c r="FE94" s="83"/>
      <c r="FF94" s="83"/>
      <c r="FG94" s="83"/>
      <c r="FH94" s="83"/>
      <c r="FI94" s="83"/>
      <c r="FJ94" s="83"/>
      <c r="FK94" s="83"/>
      <c r="FL94" s="83"/>
      <c r="FM94" s="83"/>
      <c r="FN94" s="83"/>
      <c r="FO94" s="83"/>
      <c r="FP94" s="83"/>
      <c r="FQ94" s="83"/>
      <c r="FR94" s="83"/>
      <c r="FS94" s="83"/>
      <c r="FT94" s="83"/>
      <c r="FU94" s="83"/>
      <c r="FV94" s="83"/>
      <c r="FW94" s="83"/>
      <c r="FX94" s="83"/>
      <c r="FY94" s="83"/>
      <c r="FZ94" s="83"/>
      <c r="GA94" s="83"/>
      <c r="GB94" s="83"/>
      <c r="GC94" s="83"/>
      <c r="GD94" s="83"/>
      <c r="GE94" s="83"/>
      <c r="GF94" s="83"/>
      <c r="GG94" s="83"/>
      <c r="GH94" s="83"/>
      <c r="GI94" s="83"/>
      <c r="GJ94" s="83"/>
      <c r="GK94" s="83"/>
      <c r="GL94" s="83"/>
      <c r="GM94" s="83"/>
      <c r="GN94" s="83"/>
      <c r="GO94" s="83"/>
      <c r="GP94" s="83"/>
      <c r="GQ94" s="83"/>
      <c r="GR94" s="83"/>
      <c r="GS94" s="83"/>
      <c r="GT94" s="83"/>
      <c r="GU94" s="83"/>
      <c r="GV94" s="83"/>
      <c r="GW94" s="83"/>
      <c r="GX94" s="83"/>
      <c r="GY94" s="83"/>
      <c r="GZ94" s="83"/>
      <c r="HA94" s="83"/>
      <c r="HB94" s="83"/>
      <c r="HC94" s="83"/>
      <c r="HD94" s="83"/>
      <c r="HE94" s="83"/>
      <c r="HF94" s="83"/>
      <c r="HG94" s="83"/>
      <c r="HH94" s="83"/>
      <c r="HI94" s="83"/>
      <c r="HJ94" s="83"/>
      <c r="HK94" s="83"/>
      <c r="HL94" s="83"/>
      <c r="HM94" s="83"/>
      <c r="HN94" s="83"/>
      <c r="HO94" s="83"/>
      <c r="HP94" s="83"/>
      <c r="HQ94" s="83"/>
      <c r="HR94" s="83"/>
      <c r="HS94" s="83"/>
      <c r="HT94" s="83"/>
      <c r="HU94" s="83"/>
      <c r="HV94" s="83"/>
      <c r="HW94" s="83"/>
      <c r="HX94" s="83"/>
      <c r="HY94" s="83"/>
      <c r="HZ94" s="83"/>
      <c r="IA94" s="83"/>
      <c r="IB94" s="83"/>
      <c r="IC94" s="83"/>
      <c r="ID94" s="83"/>
      <c r="IE94" s="83"/>
      <c r="IF94" s="83"/>
      <c r="IG94" s="83"/>
      <c r="IH94" s="83"/>
      <c r="II94" s="83"/>
      <c r="IJ94" s="83"/>
      <c r="IK94" s="83"/>
      <c r="IL94" s="83"/>
      <c r="IM94" s="83"/>
      <c r="IN94" s="83"/>
      <c r="IO94" s="83"/>
      <c r="IP94" s="83"/>
      <c r="IQ94" s="83"/>
      <c r="IR94" s="83"/>
      <c r="IS94" s="83"/>
      <c r="IT94" s="83"/>
      <c r="IU94" s="83"/>
      <c r="IV94" s="83"/>
      <c r="IW94" s="83"/>
      <c r="IX94" s="83"/>
      <c r="IY94" s="83"/>
      <c r="IZ94" s="83"/>
      <c r="JA94" s="83"/>
      <c r="JB94" s="83"/>
      <c r="JC94" s="83"/>
      <c r="JD94" s="83"/>
      <c r="JE94" s="83"/>
      <c r="JF94" s="83"/>
      <c r="JG94" s="83"/>
      <c r="JH94" s="83"/>
      <c r="JI94" s="83"/>
      <c r="JJ94" s="83"/>
      <c r="JK94" s="83"/>
      <c r="JL94" s="83"/>
      <c r="JM94" s="83"/>
      <c r="JN94" s="83"/>
      <c r="JO94" s="83"/>
      <c r="JP94" s="83"/>
      <c r="JQ94" s="83"/>
      <c r="JR94" s="83"/>
      <c r="JS94" s="83"/>
      <c r="JT94" s="83"/>
      <c r="JU94" s="83"/>
      <c r="JV94" s="83"/>
      <c r="JW94" s="83"/>
      <c r="JX94" s="83"/>
      <c r="JY94" s="83"/>
      <c r="JZ94" s="83"/>
      <c r="KA94" s="83"/>
      <c r="KB94" s="83"/>
      <c r="KC94" s="83"/>
      <c r="KD94" s="83"/>
      <c r="KE94" s="83"/>
      <c r="KF94" s="83"/>
      <c r="KG94" s="83"/>
      <c r="KH94" s="83"/>
      <c r="KI94" s="83"/>
      <c r="KJ94" s="83"/>
      <c r="KK94" s="83"/>
      <c r="KL94" s="83"/>
      <c r="KM94" s="83"/>
      <c r="KN94" s="83"/>
      <c r="KO94" s="83"/>
      <c r="KP94" s="83"/>
      <c r="KQ94" s="83"/>
      <c r="KR94" s="83"/>
      <c r="KS94" s="83"/>
      <c r="KT94" s="83"/>
      <c r="KU94" s="83"/>
      <c r="KV94" s="83"/>
      <c r="KW94" s="83"/>
      <c r="KX94" s="83"/>
      <c r="KY94" s="83"/>
      <c r="KZ94" s="83"/>
      <c r="LA94" s="83"/>
      <c r="LB94" s="83"/>
      <c r="LC94" s="83"/>
      <c r="LD94" s="83"/>
      <c r="LE94" s="83"/>
      <c r="LF94" s="83"/>
      <c r="LG94" s="83"/>
      <c r="LH94" s="83"/>
      <c r="LI94" s="83"/>
      <c r="LJ94" s="83"/>
      <c r="LK94" s="83"/>
      <c r="LL94" s="83"/>
      <c r="LM94" s="83"/>
      <c r="LN94" s="83"/>
      <c r="LO94" s="83"/>
      <c r="LP94" s="83"/>
      <c r="LQ94" s="83"/>
      <c r="LR94" s="83"/>
      <c r="LS94" s="83"/>
      <c r="LT94" s="83"/>
      <c r="LU94" s="83"/>
      <c r="LV94" s="83"/>
      <c r="LW94" s="83"/>
      <c r="LX94" s="83"/>
      <c r="LY94" s="83"/>
      <c r="LZ94" s="83"/>
      <c r="MA94" s="83"/>
      <c r="MB94" s="83"/>
      <c r="MC94" s="83"/>
      <c r="MD94" s="83"/>
      <c r="ME94" s="83"/>
      <c r="MF94" s="83"/>
      <c r="MG94" s="83"/>
      <c r="MH94" s="83"/>
      <c r="MI94" s="83"/>
      <c r="MJ94" s="83"/>
      <c r="MK94" s="83"/>
      <c r="ML94" s="83"/>
      <c r="MM94" s="83"/>
      <c r="MN94" s="83"/>
      <c r="MO94" s="83"/>
      <c r="MP94" s="83"/>
      <c r="MQ94" s="83"/>
      <c r="MR94" s="83"/>
      <c r="MS94" s="83"/>
      <c r="MT94" s="83"/>
      <c r="MU94" s="83"/>
      <c r="MV94" s="83"/>
      <c r="MW94" s="83"/>
      <c r="MX94" s="83"/>
      <c r="MY94" s="83"/>
      <c r="MZ94" s="83"/>
      <c r="NA94" s="83"/>
      <c r="NB94" s="83"/>
      <c r="NC94" s="83"/>
      <c r="ND94" s="83"/>
      <c r="NE94" s="83"/>
      <c r="NF94" s="83"/>
      <c r="NG94" s="83"/>
      <c r="NH94" s="83"/>
      <c r="NI94" s="83"/>
      <c r="NJ94" s="83"/>
      <c r="NK94" s="83"/>
      <c r="NL94" s="83"/>
      <c r="NM94" s="83"/>
      <c r="NN94" s="83"/>
      <c r="NO94" s="83"/>
      <c r="NP94" s="83"/>
      <c r="NQ94" s="83"/>
      <c r="NR94" s="83"/>
      <c r="NS94" s="83"/>
      <c r="NT94" s="83"/>
      <c r="NU94" s="83"/>
      <c r="NV94" s="83"/>
      <c r="NW94" s="83"/>
      <c r="NX94" s="83"/>
      <c r="NY94" s="83"/>
      <c r="NZ94" s="83"/>
      <c r="OA94" s="83"/>
      <c r="OB94" s="83"/>
      <c r="OC94" s="83"/>
      <c r="OD94" s="83"/>
      <c r="OE94" s="83"/>
      <c r="OF94" s="83"/>
      <c r="OG94" s="83"/>
      <c r="OH94" s="83"/>
      <c r="OI94" s="83"/>
      <c r="OJ94" s="83"/>
      <c r="OK94" s="83"/>
      <c r="OL94" s="83"/>
      <c r="OM94" s="83"/>
      <c r="ON94" s="83"/>
      <c r="OO94" s="83"/>
      <c r="OP94" s="83"/>
      <c r="OQ94" s="83"/>
      <c r="OR94" s="83"/>
      <c r="OS94" s="83"/>
      <c r="OT94" s="83"/>
      <c r="OU94" s="83"/>
      <c r="OV94" s="83"/>
      <c r="OW94" s="83"/>
      <c r="OX94" s="83"/>
      <c r="OY94" s="83"/>
      <c r="OZ94" s="83"/>
      <c r="PA94" s="83"/>
      <c r="PB94" s="83"/>
      <c r="PC94" s="83"/>
      <c r="PD94" s="83"/>
      <c r="PE94" s="83"/>
      <c r="PF94" s="83"/>
      <c r="PG94" s="83"/>
      <c r="PH94" s="83"/>
      <c r="PI94" s="83"/>
      <c r="PJ94" s="83"/>
      <c r="PK94" s="83"/>
      <c r="PL94" s="83"/>
      <c r="PM94" s="83"/>
      <c r="PN94" s="83"/>
      <c r="PO94" s="83"/>
      <c r="PP94" s="83"/>
      <c r="PQ94" s="83"/>
      <c r="PR94" s="83"/>
      <c r="PS94" s="83"/>
      <c r="PT94" s="83"/>
      <c r="PU94" s="83"/>
      <c r="PV94" s="83"/>
      <c r="PW94" s="83"/>
      <c r="PX94" s="83"/>
      <c r="PY94" s="83"/>
      <c r="PZ94" s="83"/>
      <c r="QA94" s="83"/>
      <c r="QB94" s="83"/>
      <c r="QC94" s="83"/>
      <c r="QD94" s="83"/>
      <c r="QE94" s="83"/>
      <c r="QF94" s="83"/>
      <c r="QG94" s="83"/>
      <c r="QH94" s="83"/>
      <c r="QI94" s="83"/>
      <c r="QJ94" s="83"/>
      <c r="QK94" s="83"/>
      <c r="QL94" s="83"/>
      <c r="QM94" s="83"/>
      <c r="QN94" s="83"/>
      <c r="QO94" s="83"/>
      <c r="QP94" s="83"/>
      <c r="QQ94" s="83"/>
      <c r="QR94" s="83"/>
      <c r="QS94" s="83"/>
      <c r="QT94" s="83"/>
      <c r="QU94" s="83"/>
      <c r="QV94" s="83"/>
      <c r="QW94" s="83"/>
      <c r="QX94" s="83"/>
      <c r="QY94" s="83"/>
      <c r="QZ94" s="83"/>
      <c r="RA94" s="83"/>
      <c r="RB94" s="83"/>
      <c r="RC94" s="83"/>
      <c r="RD94" s="83"/>
      <c r="RE94" s="83"/>
      <c r="RF94" s="83"/>
      <c r="RG94" s="83"/>
      <c r="RH94" s="83"/>
      <c r="RI94" s="83"/>
      <c r="RJ94" s="83"/>
      <c r="RK94" s="83"/>
      <c r="RL94" s="83"/>
      <c r="RM94" s="83"/>
      <c r="RN94" s="83"/>
      <c r="RO94" s="83"/>
      <c r="RP94" s="83"/>
      <c r="RQ94" s="83"/>
      <c r="RR94" s="83"/>
      <c r="RS94" s="83"/>
      <c r="RT94" s="83"/>
      <c r="RU94" s="83"/>
      <c r="RV94" s="83"/>
      <c r="RW94" s="83"/>
      <c r="RX94" s="83"/>
      <c r="RY94" s="83"/>
      <c r="RZ94" s="83"/>
      <c r="SA94" s="83"/>
      <c r="SB94" s="83"/>
      <c r="SC94" s="83"/>
      <c r="SD94" s="83"/>
      <c r="SE94" s="83"/>
      <c r="SF94" s="83"/>
      <c r="SG94" s="83"/>
      <c r="SH94" s="83"/>
      <c r="SI94" s="83"/>
      <c r="SJ94" s="83"/>
      <c r="SK94" s="83"/>
      <c r="SL94" s="83"/>
      <c r="SM94" s="83"/>
      <c r="SN94" s="83"/>
      <c r="SO94" s="83"/>
      <c r="SP94" s="83"/>
      <c r="SQ94" s="83"/>
      <c r="SR94" s="83"/>
      <c r="SS94" s="83"/>
      <c r="ST94" s="83"/>
      <c r="SU94" s="83"/>
      <c r="SV94" s="83"/>
      <c r="SW94" s="83"/>
      <c r="SX94" s="83"/>
      <c r="SY94" s="83"/>
      <c r="SZ94" s="83"/>
      <c r="TA94" s="83"/>
      <c r="TB94" s="83"/>
      <c r="TC94" s="83"/>
      <c r="TD94" s="83"/>
      <c r="TE94" s="83"/>
      <c r="TF94" s="83"/>
      <c r="TG94" s="83"/>
      <c r="TH94" s="83"/>
      <c r="TI94" s="83"/>
      <c r="TJ94" s="83"/>
      <c r="TK94" s="83"/>
      <c r="TL94" s="83"/>
      <c r="TM94" s="83"/>
      <c r="TN94" s="83"/>
      <c r="TO94" s="83"/>
      <c r="TP94" s="83"/>
      <c r="TQ94" s="83"/>
      <c r="TR94" s="83"/>
      <c r="TS94" s="83"/>
      <c r="TT94" s="83"/>
      <c r="TU94" s="83"/>
      <c r="TV94" s="83"/>
      <c r="TW94" s="83"/>
      <c r="TX94" s="83"/>
      <c r="TY94" s="83"/>
      <c r="TZ94" s="83"/>
      <c r="UA94" s="83"/>
      <c r="UB94" s="83"/>
      <c r="UC94" s="83"/>
      <c r="UD94" s="83"/>
      <c r="UE94" s="83"/>
      <c r="UF94" s="83"/>
      <c r="UG94" s="83"/>
      <c r="UH94" s="83"/>
      <c r="UI94" s="83"/>
      <c r="UJ94" s="83"/>
      <c r="UK94" s="83"/>
      <c r="UL94" s="83"/>
      <c r="UM94" s="83"/>
      <c r="UN94" s="83"/>
      <c r="UO94" s="83"/>
      <c r="UP94" s="83"/>
      <c r="UQ94" s="83"/>
      <c r="UR94" s="83"/>
      <c r="US94" s="83"/>
      <c r="UT94" s="83"/>
      <c r="UU94" s="83"/>
      <c r="UV94" s="83"/>
      <c r="UW94" s="83"/>
      <c r="UX94" s="83"/>
      <c r="UY94" s="83"/>
      <c r="UZ94" s="83"/>
      <c r="VA94" s="83"/>
      <c r="VB94" s="83"/>
      <c r="VC94" s="83"/>
      <c r="VD94" s="83"/>
      <c r="VE94" s="83"/>
      <c r="VF94" s="83"/>
      <c r="VG94" s="83"/>
      <c r="VH94" s="83"/>
      <c r="VI94" s="83"/>
      <c r="VJ94" s="83"/>
      <c r="VK94" s="83"/>
      <c r="VL94" s="83"/>
      <c r="VM94" s="83"/>
      <c r="VN94" s="83"/>
      <c r="VO94" s="83"/>
      <c r="VP94" s="83"/>
      <c r="VQ94" s="83"/>
      <c r="VR94" s="83"/>
      <c r="VS94" s="83"/>
      <c r="VT94" s="83"/>
      <c r="VU94" s="83"/>
      <c r="VV94" s="83"/>
      <c r="VW94" s="83"/>
      <c r="VX94" s="83"/>
      <c r="VY94" s="83"/>
      <c r="VZ94" s="83"/>
      <c r="WA94" s="83"/>
      <c r="WB94" s="83"/>
      <c r="WC94" s="83"/>
      <c r="WD94" s="83"/>
      <c r="WE94" s="83"/>
      <c r="WF94" s="83"/>
      <c r="WG94" s="83"/>
      <c r="WH94" s="83"/>
      <c r="WI94" s="83"/>
      <c r="WJ94" s="83"/>
      <c r="WK94" s="83"/>
      <c r="WL94" s="83"/>
      <c r="WM94" s="83"/>
      <c r="WN94" s="83"/>
      <c r="WO94" s="83"/>
      <c r="WP94" s="83"/>
      <c r="WQ94" s="83"/>
      <c r="WR94" s="83"/>
      <c r="WS94" s="83"/>
      <c r="WT94" s="83"/>
      <c r="WU94" s="83"/>
      <c r="WV94" s="83"/>
      <c r="WW94" s="83"/>
      <c r="WX94" s="83"/>
      <c r="WY94" s="83"/>
      <c r="WZ94" s="83"/>
      <c r="XA94" s="83"/>
      <c r="XB94" s="83"/>
      <c r="XC94" s="83"/>
      <c r="XD94" s="83"/>
      <c r="XE94" s="83"/>
      <c r="XF94" s="83"/>
      <c r="XG94" s="83"/>
      <c r="XH94" s="83"/>
      <c r="XI94" s="83"/>
      <c r="XJ94" s="83"/>
      <c r="XK94" s="83"/>
      <c r="XL94" s="83"/>
      <c r="XM94" s="83"/>
      <c r="XN94" s="83"/>
      <c r="XO94" s="83"/>
      <c r="XP94" s="83"/>
      <c r="XQ94" s="83"/>
      <c r="XR94" s="83"/>
      <c r="XS94" s="83"/>
      <c r="XT94" s="83"/>
      <c r="XU94" s="83"/>
      <c r="XV94" s="83"/>
      <c r="XW94" s="83"/>
      <c r="XX94" s="83"/>
      <c r="XY94" s="83"/>
      <c r="XZ94" s="83"/>
      <c r="YA94" s="83"/>
      <c r="YB94" s="83"/>
      <c r="YC94" s="83"/>
      <c r="YD94" s="83"/>
      <c r="YE94" s="83"/>
      <c r="YF94" s="83"/>
      <c r="YG94" s="83"/>
      <c r="YH94" s="83"/>
      <c r="YI94" s="83"/>
      <c r="YJ94" s="83"/>
      <c r="YK94" s="83"/>
      <c r="YL94" s="83"/>
      <c r="YM94" s="83"/>
      <c r="YN94" s="83"/>
      <c r="YO94" s="83"/>
      <c r="YP94" s="83"/>
      <c r="YQ94" s="83"/>
      <c r="YR94" s="83"/>
      <c r="YS94" s="83"/>
      <c r="YT94" s="83"/>
      <c r="YU94" s="83"/>
      <c r="YV94" s="83"/>
      <c r="YW94" s="83"/>
      <c r="YX94" s="83"/>
      <c r="YY94" s="83"/>
      <c r="YZ94" s="83"/>
      <c r="ZA94" s="83"/>
      <c r="ZB94" s="83"/>
      <c r="ZC94" s="83"/>
      <c r="ZD94" s="83"/>
      <c r="ZE94" s="83"/>
      <c r="ZF94" s="83"/>
      <c r="ZG94" s="83"/>
      <c r="ZH94" s="83"/>
      <c r="ZI94" s="83"/>
      <c r="ZJ94" s="83"/>
      <c r="ZK94" s="83"/>
      <c r="ZL94" s="83"/>
      <c r="ZM94" s="83"/>
      <c r="ZN94" s="83"/>
      <c r="ZO94" s="83"/>
      <c r="ZP94" s="83"/>
      <c r="ZQ94" s="83"/>
      <c r="ZR94" s="83"/>
      <c r="ZS94" s="83"/>
      <c r="ZT94" s="83"/>
      <c r="ZU94" s="83"/>
      <c r="ZV94" s="83"/>
      <c r="ZW94" s="83"/>
      <c r="ZX94" s="83"/>
      <c r="ZY94" s="83"/>
      <c r="ZZ94" s="83"/>
      <c r="AAA94" s="83"/>
      <c r="AAB94" s="83"/>
      <c r="AAC94" s="83"/>
      <c r="AAD94" s="83"/>
      <c r="AAE94" s="83"/>
      <c r="AAF94" s="83"/>
      <c r="AAG94" s="83"/>
      <c r="AAH94" s="83"/>
      <c r="AAI94" s="83"/>
      <c r="AAJ94" s="83"/>
      <c r="AAK94" s="83"/>
      <c r="AAL94" s="83"/>
      <c r="AAM94" s="83"/>
      <c r="AAN94" s="83"/>
      <c r="AAO94" s="83"/>
      <c r="AAP94" s="83"/>
      <c r="AAQ94" s="83"/>
      <c r="AAR94" s="83"/>
      <c r="AAS94" s="83"/>
      <c r="AAT94" s="83"/>
      <c r="AAU94" s="83"/>
      <c r="AAV94" s="83"/>
      <c r="AAW94" s="83"/>
      <c r="AAX94" s="83"/>
      <c r="AAY94" s="83"/>
      <c r="AAZ94" s="83"/>
      <c r="ABA94" s="83"/>
      <c r="ABB94" s="83"/>
      <c r="ABC94" s="83"/>
      <c r="ABD94" s="83"/>
      <c r="ABE94" s="83"/>
      <c r="ABF94" s="83"/>
      <c r="ABG94" s="83"/>
      <c r="ABH94" s="83"/>
      <c r="ABI94" s="83"/>
      <c r="ABJ94" s="83"/>
      <c r="ABK94" s="83"/>
      <c r="ABL94" s="83"/>
      <c r="ABM94" s="83"/>
      <c r="ABN94" s="83"/>
      <c r="ABO94" s="83"/>
      <c r="ABP94" s="83"/>
      <c r="ABQ94" s="83"/>
      <c r="ABR94" s="83"/>
      <c r="ABS94" s="83"/>
      <c r="ABT94" s="83"/>
      <c r="ABU94" s="83"/>
      <c r="ABV94" s="83"/>
      <c r="ABW94" s="83"/>
      <c r="ABX94" s="83"/>
      <c r="ABY94" s="83"/>
      <c r="ABZ94" s="83"/>
      <c r="ACA94" s="83"/>
      <c r="ACB94" s="83"/>
      <c r="ACC94" s="83"/>
      <c r="ACD94" s="83"/>
      <c r="ACE94" s="83"/>
      <c r="ACF94" s="83"/>
      <c r="ACG94" s="83"/>
      <c r="ACH94" s="83"/>
      <c r="ACI94" s="83"/>
      <c r="ACJ94" s="83"/>
      <c r="ACK94" s="83"/>
      <c r="ACL94" s="83"/>
      <c r="ACM94" s="83"/>
      <c r="ACN94" s="83"/>
      <c r="ACO94" s="83"/>
      <c r="ACP94" s="83"/>
      <c r="ACQ94" s="83"/>
      <c r="ACR94" s="83"/>
      <c r="ACS94" s="83"/>
      <c r="ACT94" s="83"/>
      <c r="ACU94" s="83"/>
      <c r="ACV94" s="83"/>
      <c r="ACW94" s="83"/>
      <c r="ACX94" s="83"/>
      <c r="ACY94" s="83"/>
      <c r="ACZ94" s="83"/>
      <c r="ADA94" s="83"/>
      <c r="ADB94" s="83"/>
      <c r="ADC94" s="83"/>
      <c r="ADD94" s="83"/>
      <c r="ADE94" s="83"/>
      <c r="ADF94" s="83"/>
      <c r="ADG94" s="83"/>
      <c r="ADH94" s="83"/>
      <c r="ADI94" s="83"/>
      <c r="ADJ94" s="83"/>
      <c r="ADK94" s="83"/>
      <c r="ADL94" s="83"/>
      <c r="ADM94" s="83"/>
      <c r="ADN94" s="83"/>
      <c r="ADO94" s="83"/>
      <c r="ADP94" s="83"/>
      <c r="ADQ94" s="83"/>
      <c r="ADR94" s="83"/>
      <c r="ADS94" s="83"/>
      <c r="ADT94" s="83"/>
      <c r="ADU94" s="83"/>
      <c r="ADV94" s="83"/>
      <c r="ADW94" s="83"/>
      <c r="ADX94" s="83"/>
      <c r="ADY94" s="83"/>
      <c r="ADZ94" s="83"/>
      <c r="AEA94" s="83"/>
      <c r="AEB94" s="83"/>
      <c r="AEC94" s="83"/>
      <c r="AED94" s="83"/>
      <c r="AEE94" s="83"/>
      <c r="AEF94" s="83"/>
      <c r="AEG94" s="83"/>
      <c r="AEH94" s="83"/>
      <c r="AEI94" s="83"/>
      <c r="AEJ94" s="83"/>
      <c r="AEK94" s="83"/>
      <c r="AEL94" s="83"/>
      <c r="AEM94" s="83"/>
      <c r="AEN94" s="83"/>
      <c r="AEO94" s="83"/>
      <c r="AEP94" s="83"/>
      <c r="AEQ94" s="83"/>
      <c r="AER94" s="83"/>
      <c r="AES94" s="83"/>
      <c r="AET94" s="83"/>
      <c r="AEU94" s="83"/>
      <c r="AEV94" s="83"/>
      <c r="AEW94" s="83"/>
      <c r="AEX94" s="83"/>
      <c r="AEY94" s="83"/>
      <c r="AEZ94" s="83"/>
      <c r="AFA94" s="83"/>
      <c r="AFB94" s="83"/>
      <c r="AFC94" s="83"/>
      <c r="AFD94" s="83"/>
      <c r="AFE94" s="83"/>
      <c r="AFF94" s="83"/>
      <c r="AFG94" s="83"/>
      <c r="AFH94" s="83"/>
      <c r="AFI94" s="83"/>
      <c r="AFJ94" s="83"/>
      <c r="AFK94" s="83"/>
      <c r="AFL94" s="83"/>
      <c r="AFM94" s="83"/>
      <c r="AFN94" s="83"/>
      <c r="AFO94" s="83"/>
      <c r="AFP94" s="83"/>
      <c r="AFQ94" s="83"/>
      <c r="AFR94" s="83"/>
      <c r="AFS94" s="83"/>
      <c r="AFT94" s="83"/>
      <c r="AFU94" s="83"/>
      <c r="AFV94" s="83"/>
      <c r="AFW94" s="83"/>
      <c r="AFX94" s="83"/>
      <c r="AFY94" s="83"/>
      <c r="AFZ94" s="83"/>
      <c r="AGA94" s="83"/>
      <c r="AGB94" s="83"/>
      <c r="AGC94" s="83"/>
      <c r="AGD94" s="83"/>
      <c r="AGE94" s="83"/>
      <c r="AGF94" s="83"/>
      <c r="AGG94" s="83"/>
      <c r="AGH94" s="83"/>
      <c r="AGI94" s="83"/>
      <c r="AGJ94" s="83"/>
      <c r="AGK94" s="83"/>
      <c r="AGL94" s="83"/>
      <c r="AGM94" s="83"/>
      <c r="AGN94" s="83"/>
      <c r="AGO94" s="83"/>
      <c r="AGP94" s="83"/>
      <c r="AGQ94" s="83"/>
      <c r="AGR94" s="83"/>
      <c r="AGS94" s="83"/>
      <c r="AGT94" s="83"/>
      <c r="AGU94" s="83"/>
      <c r="AGV94" s="83"/>
      <c r="AGW94" s="83"/>
      <c r="AGX94" s="83"/>
      <c r="AGY94" s="83"/>
      <c r="AGZ94" s="83"/>
      <c r="AHA94" s="83"/>
      <c r="AHB94" s="83"/>
      <c r="AHC94" s="83"/>
      <c r="AHD94" s="83"/>
      <c r="AHE94" s="83"/>
      <c r="AHF94" s="83"/>
      <c r="AHG94" s="83"/>
      <c r="AHH94" s="83"/>
      <c r="AHI94" s="83"/>
      <c r="AHJ94" s="83"/>
      <c r="AHK94" s="83"/>
      <c r="AHL94" s="83"/>
      <c r="AHM94" s="83"/>
      <c r="AHN94" s="83"/>
      <c r="AHO94" s="83"/>
      <c r="AHP94" s="83"/>
      <c r="AHQ94" s="83"/>
      <c r="AHR94" s="83"/>
      <c r="AHS94" s="83"/>
      <c r="AHT94" s="83"/>
      <c r="AHU94" s="83"/>
      <c r="AHV94" s="83"/>
      <c r="AHW94" s="83"/>
      <c r="AHX94" s="83"/>
      <c r="AHY94" s="83"/>
      <c r="AHZ94" s="83"/>
      <c r="AIA94" s="83"/>
      <c r="AIB94" s="83"/>
      <c r="AIC94" s="83"/>
      <c r="AID94" s="83"/>
      <c r="AIE94" s="83"/>
      <c r="AIF94" s="83"/>
      <c r="AIG94" s="83"/>
      <c r="AIH94" s="83"/>
      <c r="AII94" s="83"/>
      <c r="AIJ94" s="83"/>
      <c r="AIK94" s="83"/>
      <c r="AIL94" s="83"/>
      <c r="AIM94" s="83"/>
      <c r="AIN94" s="83"/>
      <c r="AIO94" s="83"/>
      <c r="AIP94" s="83"/>
      <c r="AIQ94" s="83"/>
      <c r="AIR94" s="83"/>
      <c r="AIS94" s="83"/>
      <c r="AIT94" s="83"/>
      <c r="AIU94" s="83"/>
      <c r="AIV94" s="83"/>
      <c r="AIW94" s="83"/>
      <c r="AIX94" s="83"/>
      <c r="AIY94" s="83"/>
      <c r="AIZ94" s="83"/>
      <c r="AJA94" s="83"/>
      <c r="AJB94" s="83"/>
      <c r="AJC94" s="83"/>
      <c r="AJD94" s="83"/>
      <c r="AJE94" s="83"/>
      <c r="AJF94" s="83"/>
      <c r="AJG94" s="83"/>
      <c r="AJH94" s="83"/>
      <c r="AJI94" s="83"/>
      <c r="AJJ94" s="83"/>
      <c r="AJK94" s="83"/>
      <c r="AJL94" s="83"/>
      <c r="AJM94" s="83"/>
      <c r="AJN94" s="83"/>
      <c r="AJO94" s="83"/>
      <c r="AJP94" s="83"/>
      <c r="AJQ94" s="83"/>
      <c r="AJR94" s="83"/>
      <c r="AJS94" s="83"/>
      <c r="AJT94" s="83"/>
      <c r="AJU94" s="83"/>
      <c r="AJV94" s="83"/>
      <c r="AJW94" s="83"/>
      <c r="AJX94" s="83"/>
      <c r="AJY94" s="83"/>
      <c r="AJZ94" s="83"/>
      <c r="AKA94" s="83"/>
      <c r="AKB94" s="83"/>
      <c r="AKC94" s="83"/>
      <c r="AKD94" s="83"/>
      <c r="AKE94" s="83"/>
      <c r="AKF94" s="83"/>
      <c r="AKG94" s="83"/>
      <c r="AKH94" s="83"/>
      <c r="AKI94" s="83"/>
      <c r="AKJ94" s="83"/>
      <c r="AKK94" s="83"/>
      <c r="AKL94" s="83"/>
      <c r="AKM94" s="83"/>
      <c r="AKN94" s="83"/>
      <c r="AKO94" s="83"/>
      <c r="AKP94" s="83"/>
      <c r="AKQ94" s="83"/>
      <c r="AKR94" s="83"/>
      <c r="AKS94" s="83"/>
      <c r="AKT94" s="83"/>
      <c r="AKU94" s="83"/>
      <c r="AKV94" s="83"/>
      <c r="AKW94" s="83"/>
      <c r="AKX94" s="83"/>
      <c r="AKY94" s="83"/>
      <c r="AKZ94" s="83"/>
      <c r="ALA94" s="83"/>
      <c r="ALB94" s="83"/>
      <c r="ALC94" s="83"/>
      <c r="ALD94" s="83"/>
      <c r="ALE94" s="83"/>
      <c r="ALF94" s="83"/>
      <c r="ALG94" s="83"/>
      <c r="ALH94" s="83"/>
      <c r="ALI94" s="83"/>
      <c r="ALJ94" s="83"/>
      <c r="ALK94" s="83"/>
      <c r="ALL94" s="83"/>
      <c r="ALM94" s="83"/>
      <c r="ALN94" s="83"/>
      <c r="ALO94" s="83"/>
      <c r="ALP94" s="83"/>
      <c r="ALQ94" s="83"/>
      <c r="ALR94" s="83"/>
      <c r="ALS94" s="83"/>
      <c r="ALT94" s="83"/>
      <c r="ALU94" s="83"/>
      <c r="ALV94" s="83"/>
      <c r="ALW94" s="83"/>
      <c r="ALX94" s="83"/>
      <c r="ALY94" s="83"/>
      <c r="ALZ94" s="83"/>
      <c r="AMA94" s="83"/>
      <c r="AMB94" s="83"/>
      <c r="AMC94" s="83"/>
      <c r="AMD94" s="83"/>
      <c r="AME94" s="83"/>
      <c r="AMF94" s="83"/>
      <c r="AMG94" s="83"/>
      <c r="AMH94" s="83"/>
      <c r="AMI94" s="83"/>
      <c r="AMJ94" s="83"/>
    </row>
    <row r="95" spans="12:1024" ht="15.95" customHeight="1" x14ac:dyDescent="0.2">
      <c r="L95" s="83"/>
      <c r="M95" s="84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83"/>
      <c r="CA95" s="83"/>
      <c r="CB95" s="83"/>
      <c r="CC95" s="83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C95" s="83"/>
      <c r="DD95" s="83"/>
      <c r="DE95" s="83"/>
      <c r="DF95" s="83"/>
      <c r="DG95" s="83"/>
      <c r="DH95" s="83"/>
      <c r="DI95" s="83"/>
      <c r="DJ95" s="83"/>
      <c r="DK95" s="83"/>
      <c r="DL95" s="83"/>
      <c r="DM95" s="83"/>
      <c r="DN95" s="83"/>
      <c r="DO95" s="83"/>
      <c r="DP95" s="83"/>
      <c r="DQ95" s="83"/>
      <c r="DR95" s="83"/>
      <c r="DS95" s="83"/>
      <c r="DT95" s="83"/>
      <c r="DU95" s="83"/>
      <c r="DV95" s="83"/>
      <c r="DW95" s="83"/>
      <c r="DX95" s="83"/>
      <c r="DY95" s="83"/>
      <c r="DZ95" s="83"/>
      <c r="EA95" s="83"/>
      <c r="EB95" s="83"/>
      <c r="EC95" s="83"/>
      <c r="ED95" s="83"/>
      <c r="EE95" s="83"/>
      <c r="EF95" s="83"/>
      <c r="EG95" s="83"/>
      <c r="EH95" s="83"/>
      <c r="EI95" s="83"/>
      <c r="EJ95" s="83"/>
      <c r="EK95" s="83"/>
      <c r="EL95" s="83"/>
      <c r="EM95" s="83"/>
      <c r="EN95" s="83"/>
      <c r="EO95" s="83"/>
      <c r="EP95" s="83"/>
      <c r="EQ95" s="83"/>
      <c r="ER95" s="83"/>
      <c r="ES95" s="83"/>
      <c r="ET95" s="83"/>
      <c r="EU95" s="83"/>
      <c r="EV95" s="83"/>
      <c r="EW95" s="83"/>
      <c r="EX95" s="83"/>
      <c r="EY95" s="83"/>
      <c r="EZ95" s="83"/>
      <c r="FA95" s="83"/>
      <c r="FB95" s="83"/>
      <c r="FC95" s="83"/>
      <c r="FD95" s="83"/>
      <c r="FE95" s="83"/>
      <c r="FF95" s="83"/>
      <c r="FG95" s="83"/>
      <c r="FH95" s="83"/>
      <c r="FI95" s="83"/>
      <c r="FJ95" s="83"/>
      <c r="FK95" s="83"/>
      <c r="FL95" s="83"/>
      <c r="FM95" s="83"/>
      <c r="FN95" s="83"/>
      <c r="FO95" s="83"/>
      <c r="FP95" s="83"/>
      <c r="FQ95" s="83"/>
      <c r="FR95" s="83"/>
      <c r="FS95" s="83"/>
      <c r="FT95" s="83"/>
      <c r="FU95" s="83"/>
      <c r="FV95" s="83"/>
      <c r="FW95" s="83"/>
      <c r="FX95" s="83"/>
      <c r="FY95" s="83"/>
      <c r="FZ95" s="83"/>
      <c r="GA95" s="83"/>
      <c r="GB95" s="83"/>
      <c r="GC95" s="83"/>
      <c r="GD95" s="83"/>
      <c r="GE95" s="83"/>
      <c r="GF95" s="83"/>
      <c r="GG95" s="83"/>
      <c r="GH95" s="83"/>
      <c r="GI95" s="83"/>
      <c r="GJ95" s="83"/>
      <c r="GK95" s="83"/>
      <c r="GL95" s="83"/>
      <c r="GM95" s="83"/>
      <c r="GN95" s="83"/>
      <c r="GO95" s="83"/>
      <c r="GP95" s="83"/>
      <c r="GQ95" s="83"/>
      <c r="GR95" s="83"/>
      <c r="GS95" s="83"/>
      <c r="GT95" s="83"/>
      <c r="GU95" s="83"/>
      <c r="GV95" s="83"/>
      <c r="GW95" s="83"/>
      <c r="GX95" s="83"/>
      <c r="GY95" s="83"/>
      <c r="GZ95" s="83"/>
      <c r="HA95" s="83"/>
      <c r="HB95" s="83"/>
      <c r="HC95" s="83"/>
      <c r="HD95" s="83"/>
      <c r="HE95" s="83"/>
      <c r="HF95" s="83"/>
      <c r="HG95" s="83"/>
      <c r="HH95" s="83"/>
      <c r="HI95" s="83"/>
      <c r="HJ95" s="83"/>
      <c r="HK95" s="83"/>
      <c r="HL95" s="83"/>
      <c r="HM95" s="83"/>
      <c r="HN95" s="83"/>
      <c r="HO95" s="83"/>
      <c r="HP95" s="83"/>
      <c r="HQ95" s="83"/>
      <c r="HR95" s="83"/>
      <c r="HS95" s="83"/>
      <c r="HT95" s="83"/>
      <c r="HU95" s="83"/>
      <c r="HV95" s="83"/>
      <c r="HW95" s="83"/>
      <c r="HX95" s="83"/>
      <c r="HY95" s="83"/>
      <c r="HZ95" s="83"/>
      <c r="IA95" s="83"/>
      <c r="IB95" s="83"/>
      <c r="IC95" s="83"/>
      <c r="ID95" s="83"/>
      <c r="IE95" s="83"/>
      <c r="IF95" s="83"/>
      <c r="IG95" s="83"/>
      <c r="IH95" s="83"/>
      <c r="II95" s="83"/>
      <c r="IJ95" s="83"/>
      <c r="IK95" s="83"/>
      <c r="IL95" s="83"/>
      <c r="IM95" s="83"/>
      <c r="IN95" s="83"/>
      <c r="IO95" s="83"/>
      <c r="IP95" s="83"/>
      <c r="IQ95" s="83"/>
      <c r="IR95" s="83"/>
      <c r="IS95" s="83"/>
      <c r="IT95" s="83"/>
      <c r="IU95" s="83"/>
      <c r="IV95" s="83"/>
      <c r="IW95" s="83"/>
      <c r="IX95" s="83"/>
      <c r="IY95" s="83"/>
      <c r="IZ95" s="83"/>
      <c r="JA95" s="83"/>
      <c r="JB95" s="83"/>
      <c r="JC95" s="83"/>
      <c r="JD95" s="83"/>
      <c r="JE95" s="83"/>
      <c r="JF95" s="83"/>
      <c r="JG95" s="83"/>
      <c r="JH95" s="83"/>
      <c r="JI95" s="83"/>
      <c r="JJ95" s="83"/>
      <c r="JK95" s="83"/>
      <c r="JL95" s="83"/>
      <c r="JM95" s="83"/>
      <c r="JN95" s="83"/>
      <c r="JO95" s="83"/>
      <c r="JP95" s="83"/>
      <c r="JQ95" s="83"/>
      <c r="JR95" s="83"/>
      <c r="JS95" s="83"/>
      <c r="JT95" s="83"/>
      <c r="JU95" s="83"/>
      <c r="JV95" s="83"/>
      <c r="JW95" s="83"/>
      <c r="JX95" s="83"/>
      <c r="JY95" s="83"/>
      <c r="JZ95" s="83"/>
      <c r="KA95" s="83"/>
      <c r="KB95" s="83"/>
      <c r="KC95" s="83"/>
      <c r="KD95" s="83"/>
      <c r="KE95" s="83"/>
      <c r="KF95" s="83"/>
      <c r="KG95" s="83"/>
      <c r="KH95" s="83"/>
      <c r="KI95" s="83"/>
      <c r="KJ95" s="83"/>
      <c r="KK95" s="83"/>
      <c r="KL95" s="83"/>
      <c r="KM95" s="83"/>
      <c r="KN95" s="83"/>
      <c r="KO95" s="83"/>
      <c r="KP95" s="83"/>
      <c r="KQ95" s="83"/>
      <c r="KR95" s="83"/>
      <c r="KS95" s="83"/>
      <c r="KT95" s="83"/>
      <c r="KU95" s="83"/>
      <c r="KV95" s="83"/>
      <c r="KW95" s="83"/>
      <c r="KX95" s="83"/>
      <c r="KY95" s="83"/>
      <c r="KZ95" s="83"/>
      <c r="LA95" s="83"/>
      <c r="LB95" s="83"/>
      <c r="LC95" s="83"/>
      <c r="LD95" s="83"/>
      <c r="LE95" s="83"/>
      <c r="LF95" s="83"/>
      <c r="LG95" s="83"/>
      <c r="LH95" s="83"/>
      <c r="LI95" s="83"/>
      <c r="LJ95" s="83"/>
      <c r="LK95" s="83"/>
      <c r="LL95" s="83"/>
      <c r="LM95" s="83"/>
      <c r="LN95" s="83"/>
      <c r="LO95" s="83"/>
      <c r="LP95" s="83"/>
      <c r="LQ95" s="83"/>
      <c r="LR95" s="83"/>
      <c r="LS95" s="83"/>
      <c r="LT95" s="83"/>
      <c r="LU95" s="83"/>
      <c r="LV95" s="83"/>
      <c r="LW95" s="83"/>
      <c r="LX95" s="83"/>
      <c r="LY95" s="83"/>
      <c r="LZ95" s="83"/>
      <c r="MA95" s="83"/>
      <c r="MB95" s="83"/>
      <c r="MC95" s="83"/>
      <c r="MD95" s="83"/>
      <c r="ME95" s="83"/>
      <c r="MF95" s="83"/>
      <c r="MG95" s="83"/>
      <c r="MH95" s="83"/>
      <c r="MI95" s="83"/>
      <c r="MJ95" s="83"/>
      <c r="MK95" s="83"/>
      <c r="ML95" s="83"/>
      <c r="MM95" s="83"/>
      <c r="MN95" s="83"/>
      <c r="MO95" s="83"/>
      <c r="MP95" s="83"/>
      <c r="MQ95" s="83"/>
      <c r="MR95" s="83"/>
      <c r="MS95" s="83"/>
      <c r="MT95" s="83"/>
      <c r="MU95" s="83"/>
      <c r="MV95" s="83"/>
      <c r="MW95" s="83"/>
      <c r="MX95" s="83"/>
      <c r="MY95" s="83"/>
      <c r="MZ95" s="83"/>
      <c r="NA95" s="83"/>
      <c r="NB95" s="83"/>
      <c r="NC95" s="83"/>
      <c r="ND95" s="83"/>
      <c r="NE95" s="83"/>
      <c r="NF95" s="83"/>
      <c r="NG95" s="83"/>
      <c r="NH95" s="83"/>
      <c r="NI95" s="83"/>
      <c r="NJ95" s="83"/>
      <c r="NK95" s="83"/>
      <c r="NL95" s="83"/>
      <c r="NM95" s="83"/>
      <c r="NN95" s="83"/>
      <c r="NO95" s="83"/>
      <c r="NP95" s="83"/>
      <c r="NQ95" s="83"/>
      <c r="NR95" s="83"/>
      <c r="NS95" s="83"/>
      <c r="NT95" s="83"/>
      <c r="NU95" s="83"/>
      <c r="NV95" s="83"/>
      <c r="NW95" s="83"/>
      <c r="NX95" s="83"/>
      <c r="NY95" s="83"/>
      <c r="NZ95" s="83"/>
      <c r="OA95" s="83"/>
      <c r="OB95" s="83"/>
      <c r="OC95" s="83"/>
      <c r="OD95" s="83"/>
      <c r="OE95" s="83"/>
      <c r="OF95" s="83"/>
      <c r="OG95" s="83"/>
      <c r="OH95" s="83"/>
      <c r="OI95" s="83"/>
      <c r="OJ95" s="83"/>
      <c r="OK95" s="83"/>
      <c r="OL95" s="83"/>
      <c r="OM95" s="83"/>
      <c r="ON95" s="83"/>
      <c r="OO95" s="83"/>
      <c r="OP95" s="83"/>
      <c r="OQ95" s="83"/>
      <c r="OR95" s="83"/>
      <c r="OS95" s="83"/>
      <c r="OT95" s="83"/>
      <c r="OU95" s="83"/>
      <c r="OV95" s="83"/>
      <c r="OW95" s="83"/>
      <c r="OX95" s="83"/>
      <c r="OY95" s="83"/>
      <c r="OZ95" s="83"/>
      <c r="PA95" s="83"/>
      <c r="PB95" s="83"/>
      <c r="PC95" s="83"/>
      <c r="PD95" s="83"/>
      <c r="PE95" s="83"/>
      <c r="PF95" s="83"/>
      <c r="PG95" s="83"/>
      <c r="PH95" s="83"/>
      <c r="PI95" s="83"/>
      <c r="PJ95" s="83"/>
      <c r="PK95" s="83"/>
      <c r="PL95" s="83"/>
      <c r="PM95" s="83"/>
      <c r="PN95" s="83"/>
      <c r="PO95" s="83"/>
      <c r="PP95" s="83"/>
      <c r="PQ95" s="83"/>
      <c r="PR95" s="83"/>
      <c r="PS95" s="83"/>
      <c r="PT95" s="83"/>
      <c r="PU95" s="83"/>
      <c r="PV95" s="83"/>
      <c r="PW95" s="83"/>
      <c r="PX95" s="83"/>
      <c r="PY95" s="83"/>
      <c r="PZ95" s="83"/>
      <c r="QA95" s="83"/>
      <c r="QB95" s="83"/>
      <c r="QC95" s="83"/>
      <c r="QD95" s="83"/>
      <c r="QE95" s="83"/>
      <c r="QF95" s="83"/>
      <c r="QG95" s="83"/>
      <c r="QH95" s="83"/>
      <c r="QI95" s="83"/>
      <c r="QJ95" s="83"/>
      <c r="QK95" s="83"/>
      <c r="QL95" s="83"/>
      <c r="QM95" s="83"/>
      <c r="QN95" s="83"/>
      <c r="QO95" s="83"/>
      <c r="QP95" s="83"/>
      <c r="QQ95" s="83"/>
      <c r="QR95" s="83"/>
      <c r="QS95" s="83"/>
      <c r="QT95" s="83"/>
      <c r="QU95" s="83"/>
      <c r="QV95" s="83"/>
      <c r="QW95" s="83"/>
      <c r="QX95" s="83"/>
      <c r="QY95" s="83"/>
      <c r="QZ95" s="83"/>
      <c r="RA95" s="83"/>
      <c r="RB95" s="83"/>
      <c r="RC95" s="83"/>
      <c r="RD95" s="83"/>
      <c r="RE95" s="83"/>
      <c r="RF95" s="83"/>
      <c r="RG95" s="83"/>
      <c r="RH95" s="83"/>
      <c r="RI95" s="83"/>
      <c r="RJ95" s="83"/>
      <c r="RK95" s="83"/>
      <c r="RL95" s="83"/>
      <c r="RM95" s="83"/>
      <c r="RN95" s="83"/>
      <c r="RO95" s="83"/>
      <c r="RP95" s="83"/>
      <c r="RQ95" s="83"/>
      <c r="RR95" s="83"/>
      <c r="RS95" s="83"/>
      <c r="RT95" s="83"/>
      <c r="RU95" s="83"/>
      <c r="RV95" s="83"/>
      <c r="RW95" s="83"/>
      <c r="RX95" s="83"/>
      <c r="RY95" s="83"/>
      <c r="RZ95" s="83"/>
      <c r="SA95" s="83"/>
      <c r="SB95" s="83"/>
      <c r="SC95" s="83"/>
      <c r="SD95" s="83"/>
      <c r="SE95" s="83"/>
      <c r="SF95" s="83"/>
      <c r="SG95" s="83"/>
      <c r="SH95" s="83"/>
      <c r="SI95" s="83"/>
      <c r="SJ95" s="83"/>
      <c r="SK95" s="83"/>
      <c r="SL95" s="83"/>
      <c r="SM95" s="83"/>
      <c r="SN95" s="83"/>
      <c r="SO95" s="83"/>
      <c r="SP95" s="83"/>
      <c r="SQ95" s="83"/>
      <c r="SR95" s="83"/>
      <c r="SS95" s="83"/>
      <c r="ST95" s="83"/>
      <c r="SU95" s="83"/>
      <c r="SV95" s="83"/>
      <c r="SW95" s="83"/>
      <c r="SX95" s="83"/>
      <c r="SY95" s="83"/>
      <c r="SZ95" s="83"/>
      <c r="TA95" s="83"/>
      <c r="TB95" s="83"/>
      <c r="TC95" s="83"/>
      <c r="TD95" s="83"/>
      <c r="TE95" s="83"/>
      <c r="TF95" s="83"/>
      <c r="TG95" s="83"/>
      <c r="TH95" s="83"/>
      <c r="TI95" s="83"/>
      <c r="TJ95" s="83"/>
      <c r="TK95" s="83"/>
      <c r="TL95" s="83"/>
      <c r="TM95" s="83"/>
      <c r="TN95" s="83"/>
      <c r="TO95" s="83"/>
      <c r="TP95" s="83"/>
      <c r="TQ95" s="83"/>
      <c r="TR95" s="83"/>
      <c r="TS95" s="83"/>
      <c r="TT95" s="83"/>
      <c r="TU95" s="83"/>
      <c r="TV95" s="83"/>
      <c r="TW95" s="83"/>
      <c r="TX95" s="83"/>
      <c r="TY95" s="83"/>
      <c r="TZ95" s="83"/>
      <c r="UA95" s="83"/>
      <c r="UB95" s="83"/>
      <c r="UC95" s="83"/>
      <c r="UD95" s="83"/>
      <c r="UE95" s="83"/>
      <c r="UF95" s="83"/>
      <c r="UG95" s="83"/>
      <c r="UH95" s="83"/>
      <c r="UI95" s="83"/>
      <c r="UJ95" s="83"/>
      <c r="UK95" s="83"/>
      <c r="UL95" s="83"/>
      <c r="UM95" s="83"/>
      <c r="UN95" s="83"/>
      <c r="UO95" s="83"/>
      <c r="UP95" s="83"/>
      <c r="UQ95" s="83"/>
      <c r="UR95" s="83"/>
      <c r="US95" s="83"/>
      <c r="UT95" s="83"/>
      <c r="UU95" s="83"/>
      <c r="UV95" s="83"/>
      <c r="UW95" s="83"/>
      <c r="UX95" s="83"/>
      <c r="UY95" s="83"/>
      <c r="UZ95" s="83"/>
      <c r="VA95" s="83"/>
      <c r="VB95" s="83"/>
      <c r="VC95" s="83"/>
      <c r="VD95" s="83"/>
      <c r="VE95" s="83"/>
      <c r="VF95" s="83"/>
      <c r="VG95" s="83"/>
      <c r="VH95" s="83"/>
      <c r="VI95" s="83"/>
      <c r="VJ95" s="83"/>
      <c r="VK95" s="83"/>
      <c r="VL95" s="83"/>
      <c r="VM95" s="83"/>
      <c r="VN95" s="83"/>
      <c r="VO95" s="83"/>
      <c r="VP95" s="83"/>
      <c r="VQ95" s="83"/>
      <c r="VR95" s="83"/>
      <c r="VS95" s="83"/>
      <c r="VT95" s="83"/>
      <c r="VU95" s="83"/>
      <c r="VV95" s="83"/>
      <c r="VW95" s="83"/>
      <c r="VX95" s="83"/>
      <c r="VY95" s="83"/>
      <c r="VZ95" s="83"/>
      <c r="WA95" s="83"/>
      <c r="WB95" s="83"/>
      <c r="WC95" s="83"/>
      <c r="WD95" s="83"/>
      <c r="WE95" s="83"/>
      <c r="WF95" s="83"/>
      <c r="WG95" s="83"/>
      <c r="WH95" s="83"/>
      <c r="WI95" s="83"/>
      <c r="WJ95" s="83"/>
      <c r="WK95" s="83"/>
      <c r="WL95" s="83"/>
      <c r="WM95" s="83"/>
      <c r="WN95" s="83"/>
      <c r="WO95" s="83"/>
      <c r="WP95" s="83"/>
      <c r="WQ95" s="83"/>
      <c r="WR95" s="83"/>
      <c r="WS95" s="83"/>
      <c r="WT95" s="83"/>
      <c r="WU95" s="83"/>
      <c r="WV95" s="83"/>
      <c r="WW95" s="83"/>
      <c r="WX95" s="83"/>
      <c r="WY95" s="83"/>
      <c r="WZ95" s="83"/>
      <c r="XA95" s="83"/>
      <c r="XB95" s="83"/>
      <c r="XC95" s="83"/>
      <c r="XD95" s="83"/>
      <c r="XE95" s="83"/>
      <c r="XF95" s="83"/>
      <c r="XG95" s="83"/>
      <c r="XH95" s="83"/>
      <c r="XI95" s="83"/>
      <c r="XJ95" s="83"/>
      <c r="XK95" s="83"/>
      <c r="XL95" s="83"/>
      <c r="XM95" s="83"/>
      <c r="XN95" s="83"/>
      <c r="XO95" s="83"/>
      <c r="XP95" s="83"/>
      <c r="XQ95" s="83"/>
      <c r="XR95" s="83"/>
      <c r="XS95" s="83"/>
      <c r="XT95" s="83"/>
      <c r="XU95" s="83"/>
      <c r="XV95" s="83"/>
      <c r="XW95" s="83"/>
      <c r="XX95" s="83"/>
      <c r="XY95" s="83"/>
      <c r="XZ95" s="83"/>
      <c r="YA95" s="83"/>
      <c r="YB95" s="83"/>
      <c r="YC95" s="83"/>
      <c r="YD95" s="83"/>
      <c r="YE95" s="83"/>
      <c r="YF95" s="83"/>
      <c r="YG95" s="83"/>
      <c r="YH95" s="83"/>
      <c r="YI95" s="83"/>
      <c r="YJ95" s="83"/>
      <c r="YK95" s="83"/>
      <c r="YL95" s="83"/>
      <c r="YM95" s="83"/>
      <c r="YN95" s="83"/>
      <c r="YO95" s="83"/>
      <c r="YP95" s="83"/>
      <c r="YQ95" s="83"/>
      <c r="YR95" s="83"/>
      <c r="YS95" s="83"/>
      <c r="YT95" s="83"/>
      <c r="YU95" s="83"/>
      <c r="YV95" s="83"/>
      <c r="YW95" s="83"/>
      <c r="YX95" s="83"/>
      <c r="YY95" s="83"/>
      <c r="YZ95" s="83"/>
      <c r="ZA95" s="83"/>
      <c r="ZB95" s="83"/>
      <c r="ZC95" s="83"/>
      <c r="ZD95" s="83"/>
      <c r="ZE95" s="83"/>
      <c r="ZF95" s="83"/>
      <c r="ZG95" s="83"/>
      <c r="ZH95" s="83"/>
      <c r="ZI95" s="83"/>
      <c r="ZJ95" s="83"/>
      <c r="ZK95" s="83"/>
      <c r="ZL95" s="83"/>
      <c r="ZM95" s="83"/>
      <c r="ZN95" s="83"/>
      <c r="ZO95" s="83"/>
      <c r="ZP95" s="83"/>
      <c r="ZQ95" s="83"/>
      <c r="ZR95" s="83"/>
      <c r="ZS95" s="83"/>
      <c r="ZT95" s="83"/>
      <c r="ZU95" s="83"/>
      <c r="ZV95" s="83"/>
      <c r="ZW95" s="83"/>
      <c r="ZX95" s="83"/>
      <c r="ZY95" s="83"/>
      <c r="ZZ95" s="83"/>
      <c r="AAA95" s="83"/>
      <c r="AAB95" s="83"/>
      <c r="AAC95" s="83"/>
      <c r="AAD95" s="83"/>
      <c r="AAE95" s="83"/>
      <c r="AAF95" s="83"/>
      <c r="AAG95" s="83"/>
      <c r="AAH95" s="83"/>
      <c r="AAI95" s="83"/>
      <c r="AAJ95" s="83"/>
      <c r="AAK95" s="83"/>
      <c r="AAL95" s="83"/>
      <c r="AAM95" s="83"/>
      <c r="AAN95" s="83"/>
      <c r="AAO95" s="83"/>
      <c r="AAP95" s="83"/>
      <c r="AAQ95" s="83"/>
      <c r="AAR95" s="83"/>
      <c r="AAS95" s="83"/>
      <c r="AAT95" s="83"/>
      <c r="AAU95" s="83"/>
      <c r="AAV95" s="83"/>
      <c r="AAW95" s="83"/>
      <c r="AAX95" s="83"/>
      <c r="AAY95" s="83"/>
      <c r="AAZ95" s="83"/>
      <c r="ABA95" s="83"/>
      <c r="ABB95" s="83"/>
      <c r="ABC95" s="83"/>
      <c r="ABD95" s="83"/>
      <c r="ABE95" s="83"/>
      <c r="ABF95" s="83"/>
      <c r="ABG95" s="83"/>
      <c r="ABH95" s="83"/>
      <c r="ABI95" s="83"/>
      <c r="ABJ95" s="83"/>
      <c r="ABK95" s="83"/>
      <c r="ABL95" s="83"/>
      <c r="ABM95" s="83"/>
      <c r="ABN95" s="83"/>
      <c r="ABO95" s="83"/>
      <c r="ABP95" s="83"/>
      <c r="ABQ95" s="83"/>
      <c r="ABR95" s="83"/>
      <c r="ABS95" s="83"/>
      <c r="ABT95" s="83"/>
      <c r="ABU95" s="83"/>
      <c r="ABV95" s="83"/>
      <c r="ABW95" s="83"/>
      <c r="ABX95" s="83"/>
      <c r="ABY95" s="83"/>
      <c r="ABZ95" s="83"/>
      <c r="ACA95" s="83"/>
      <c r="ACB95" s="83"/>
      <c r="ACC95" s="83"/>
      <c r="ACD95" s="83"/>
      <c r="ACE95" s="83"/>
      <c r="ACF95" s="83"/>
      <c r="ACG95" s="83"/>
      <c r="ACH95" s="83"/>
      <c r="ACI95" s="83"/>
      <c r="ACJ95" s="83"/>
      <c r="ACK95" s="83"/>
      <c r="ACL95" s="83"/>
      <c r="ACM95" s="83"/>
      <c r="ACN95" s="83"/>
      <c r="ACO95" s="83"/>
      <c r="ACP95" s="83"/>
      <c r="ACQ95" s="83"/>
      <c r="ACR95" s="83"/>
      <c r="ACS95" s="83"/>
      <c r="ACT95" s="83"/>
      <c r="ACU95" s="83"/>
      <c r="ACV95" s="83"/>
      <c r="ACW95" s="83"/>
      <c r="ACX95" s="83"/>
      <c r="ACY95" s="83"/>
      <c r="ACZ95" s="83"/>
      <c r="ADA95" s="83"/>
      <c r="ADB95" s="83"/>
      <c r="ADC95" s="83"/>
      <c r="ADD95" s="83"/>
      <c r="ADE95" s="83"/>
      <c r="ADF95" s="83"/>
      <c r="ADG95" s="83"/>
      <c r="ADH95" s="83"/>
      <c r="ADI95" s="83"/>
      <c r="ADJ95" s="83"/>
      <c r="ADK95" s="83"/>
      <c r="ADL95" s="83"/>
      <c r="ADM95" s="83"/>
      <c r="ADN95" s="83"/>
      <c r="ADO95" s="83"/>
      <c r="ADP95" s="83"/>
      <c r="ADQ95" s="83"/>
      <c r="ADR95" s="83"/>
      <c r="ADS95" s="83"/>
      <c r="ADT95" s="83"/>
      <c r="ADU95" s="83"/>
      <c r="ADV95" s="83"/>
      <c r="ADW95" s="83"/>
      <c r="ADX95" s="83"/>
      <c r="ADY95" s="83"/>
      <c r="ADZ95" s="83"/>
      <c r="AEA95" s="83"/>
      <c r="AEB95" s="83"/>
      <c r="AEC95" s="83"/>
      <c r="AED95" s="83"/>
      <c r="AEE95" s="83"/>
      <c r="AEF95" s="83"/>
      <c r="AEG95" s="83"/>
      <c r="AEH95" s="83"/>
      <c r="AEI95" s="83"/>
      <c r="AEJ95" s="83"/>
      <c r="AEK95" s="83"/>
      <c r="AEL95" s="83"/>
      <c r="AEM95" s="83"/>
      <c r="AEN95" s="83"/>
      <c r="AEO95" s="83"/>
      <c r="AEP95" s="83"/>
      <c r="AEQ95" s="83"/>
      <c r="AER95" s="83"/>
      <c r="AES95" s="83"/>
      <c r="AET95" s="83"/>
      <c r="AEU95" s="83"/>
      <c r="AEV95" s="83"/>
      <c r="AEW95" s="83"/>
      <c r="AEX95" s="83"/>
      <c r="AEY95" s="83"/>
      <c r="AEZ95" s="83"/>
      <c r="AFA95" s="83"/>
      <c r="AFB95" s="83"/>
      <c r="AFC95" s="83"/>
      <c r="AFD95" s="83"/>
      <c r="AFE95" s="83"/>
      <c r="AFF95" s="83"/>
      <c r="AFG95" s="83"/>
      <c r="AFH95" s="83"/>
      <c r="AFI95" s="83"/>
      <c r="AFJ95" s="83"/>
      <c r="AFK95" s="83"/>
      <c r="AFL95" s="83"/>
      <c r="AFM95" s="83"/>
      <c r="AFN95" s="83"/>
      <c r="AFO95" s="83"/>
      <c r="AFP95" s="83"/>
      <c r="AFQ95" s="83"/>
      <c r="AFR95" s="83"/>
      <c r="AFS95" s="83"/>
      <c r="AFT95" s="83"/>
      <c r="AFU95" s="83"/>
      <c r="AFV95" s="83"/>
      <c r="AFW95" s="83"/>
      <c r="AFX95" s="83"/>
      <c r="AFY95" s="83"/>
      <c r="AFZ95" s="83"/>
      <c r="AGA95" s="83"/>
      <c r="AGB95" s="83"/>
      <c r="AGC95" s="83"/>
      <c r="AGD95" s="83"/>
      <c r="AGE95" s="83"/>
      <c r="AGF95" s="83"/>
      <c r="AGG95" s="83"/>
      <c r="AGH95" s="83"/>
      <c r="AGI95" s="83"/>
      <c r="AGJ95" s="83"/>
      <c r="AGK95" s="83"/>
      <c r="AGL95" s="83"/>
      <c r="AGM95" s="83"/>
      <c r="AGN95" s="83"/>
      <c r="AGO95" s="83"/>
      <c r="AGP95" s="83"/>
      <c r="AGQ95" s="83"/>
      <c r="AGR95" s="83"/>
      <c r="AGS95" s="83"/>
      <c r="AGT95" s="83"/>
      <c r="AGU95" s="83"/>
      <c r="AGV95" s="83"/>
      <c r="AGW95" s="83"/>
      <c r="AGX95" s="83"/>
      <c r="AGY95" s="83"/>
      <c r="AGZ95" s="83"/>
      <c r="AHA95" s="83"/>
      <c r="AHB95" s="83"/>
      <c r="AHC95" s="83"/>
      <c r="AHD95" s="83"/>
      <c r="AHE95" s="83"/>
      <c r="AHF95" s="83"/>
      <c r="AHG95" s="83"/>
      <c r="AHH95" s="83"/>
      <c r="AHI95" s="83"/>
      <c r="AHJ95" s="83"/>
      <c r="AHK95" s="83"/>
      <c r="AHL95" s="83"/>
      <c r="AHM95" s="83"/>
      <c r="AHN95" s="83"/>
      <c r="AHO95" s="83"/>
      <c r="AHP95" s="83"/>
      <c r="AHQ95" s="83"/>
      <c r="AHR95" s="83"/>
      <c r="AHS95" s="83"/>
      <c r="AHT95" s="83"/>
      <c r="AHU95" s="83"/>
      <c r="AHV95" s="83"/>
      <c r="AHW95" s="83"/>
      <c r="AHX95" s="83"/>
      <c r="AHY95" s="83"/>
      <c r="AHZ95" s="83"/>
      <c r="AIA95" s="83"/>
      <c r="AIB95" s="83"/>
      <c r="AIC95" s="83"/>
      <c r="AID95" s="83"/>
      <c r="AIE95" s="83"/>
      <c r="AIF95" s="83"/>
      <c r="AIG95" s="83"/>
      <c r="AIH95" s="83"/>
      <c r="AII95" s="83"/>
      <c r="AIJ95" s="83"/>
      <c r="AIK95" s="83"/>
      <c r="AIL95" s="83"/>
      <c r="AIM95" s="83"/>
      <c r="AIN95" s="83"/>
      <c r="AIO95" s="83"/>
      <c r="AIP95" s="83"/>
      <c r="AIQ95" s="83"/>
      <c r="AIR95" s="83"/>
      <c r="AIS95" s="83"/>
      <c r="AIT95" s="83"/>
      <c r="AIU95" s="83"/>
      <c r="AIV95" s="83"/>
      <c r="AIW95" s="83"/>
      <c r="AIX95" s="83"/>
      <c r="AIY95" s="83"/>
      <c r="AIZ95" s="83"/>
      <c r="AJA95" s="83"/>
      <c r="AJB95" s="83"/>
      <c r="AJC95" s="83"/>
      <c r="AJD95" s="83"/>
      <c r="AJE95" s="83"/>
      <c r="AJF95" s="83"/>
      <c r="AJG95" s="83"/>
      <c r="AJH95" s="83"/>
      <c r="AJI95" s="83"/>
      <c r="AJJ95" s="83"/>
      <c r="AJK95" s="83"/>
      <c r="AJL95" s="83"/>
      <c r="AJM95" s="83"/>
      <c r="AJN95" s="83"/>
      <c r="AJO95" s="83"/>
      <c r="AJP95" s="83"/>
      <c r="AJQ95" s="83"/>
      <c r="AJR95" s="83"/>
      <c r="AJS95" s="83"/>
      <c r="AJT95" s="83"/>
      <c r="AJU95" s="83"/>
      <c r="AJV95" s="83"/>
      <c r="AJW95" s="83"/>
      <c r="AJX95" s="83"/>
      <c r="AJY95" s="83"/>
      <c r="AJZ95" s="83"/>
      <c r="AKA95" s="83"/>
      <c r="AKB95" s="83"/>
      <c r="AKC95" s="83"/>
      <c r="AKD95" s="83"/>
      <c r="AKE95" s="83"/>
      <c r="AKF95" s="83"/>
      <c r="AKG95" s="83"/>
      <c r="AKH95" s="83"/>
      <c r="AKI95" s="83"/>
      <c r="AKJ95" s="83"/>
      <c r="AKK95" s="83"/>
      <c r="AKL95" s="83"/>
      <c r="AKM95" s="83"/>
      <c r="AKN95" s="83"/>
      <c r="AKO95" s="83"/>
      <c r="AKP95" s="83"/>
      <c r="AKQ95" s="83"/>
      <c r="AKR95" s="83"/>
      <c r="AKS95" s="83"/>
      <c r="AKT95" s="83"/>
      <c r="AKU95" s="83"/>
      <c r="AKV95" s="83"/>
      <c r="AKW95" s="83"/>
      <c r="AKX95" s="83"/>
      <c r="AKY95" s="83"/>
      <c r="AKZ95" s="83"/>
      <c r="ALA95" s="83"/>
      <c r="ALB95" s="83"/>
      <c r="ALC95" s="83"/>
      <c r="ALD95" s="83"/>
      <c r="ALE95" s="83"/>
      <c r="ALF95" s="83"/>
      <c r="ALG95" s="83"/>
      <c r="ALH95" s="83"/>
      <c r="ALI95" s="83"/>
      <c r="ALJ95" s="83"/>
      <c r="ALK95" s="83"/>
      <c r="ALL95" s="83"/>
      <c r="ALM95" s="83"/>
      <c r="ALN95" s="83"/>
      <c r="ALO95" s="83"/>
      <c r="ALP95" s="83"/>
      <c r="ALQ95" s="83"/>
      <c r="ALR95" s="83"/>
      <c r="ALS95" s="83"/>
      <c r="ALT95" s="83"/>
      <c r="ALU95" s="83"/>
      <c r="ALV95" s="83"/>
      <c r="ALW95" s="83"/>
      <c r="ALX95" s="83"/>
      <c r="ALY95" s="83"/>
      <c r="ALZ95" s="83"/>
      <c r="AMA95" s="83"/>
      <c r="AMB95" s="83"/>
      <c r="AMC95" s="83"/>
      <c r="AMD95" s="83"/>
      <c r="AME95" s="83"/>
      <c r="AMF95" s="83"/>
      <c r="AMG95" s="83"/>
      <c r="AMH95" s="83"/>
      <c r="AMI95" s="83"/>
      <c r="AMJ95" s="83"/>
    </row>
    <row r="96" spans="12:1024" ht="15.95" customHeight="1" x14ac:dyDescent="0.2">
      <c r="L96" s="83"/>
      <c r="M96" s="84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3"/>
      <c r="DG96" s="83"/>
      <c r="DH96" s="83"/>
      <c r="DI96" s="83"/>
      <c r="DJ96" s="83"/>
      <c r="DK96" s="83"/>
      <c r="DL96" s="83"/>
      <c r="DM96" s="83"/>
      <c r="DN96" s="83"/>
      <c r="DO96" s="83"/>
      <c r="DP96" s="83"/>
      <c r="DQ96" s="83"/>
      <c r="DR96" s="83"/>
      <c r="DS96" s="83"/>
      <c r="DT96" s="83"/>
      <c r="DU96" s="83"/>
      <c r="DV96" s="83"/>
      <c r="DW96" s="83"/>
      <c r="DX96" s="83"/>
      <c r="DY96" s="83"/>
      <c r="DZ96" s="83"/>
      <c r="EA96" s="83"/>
      <c r="EB96" s="83"/>
      <c r="EC96" s="83"/>
      <c r="ED96" s="83"/>
      <c r="EE96" s="83"/>
      <c r="EF96" s="83"/>
      <c r="EG96" s="83"/>
      <c r="EH96" s="83"/>
      <c r="EI96" s="83"/>
      <c r="EJ96" s="83"/>
      <c r="EK96" s="83"/>
      <c r="EL96" s="83"/>
      <c r="EM96" s="83"/>
      <c r="EN96" s="83"/>
      <c r="EO96" s="83"/>
      <c r="EP96" s="83"/>
      <c r="EQ96" s="83"/>
      <c r="ER96" s="83"/>
      <c r="ES96" s="83"/>
      <c r="ET96" s="83"/>
      <c r="EU96" s="83"/>
      <c r="EV96" s="83"/>
      <c r="EW96" s="83"/>
      <c r="EX96" s="83"/>
      <c r="EY96" s="83"/>
      <c r="EZ96" s="83"/>
      <c r="FA96" s="83"/>
      <c r="FB96" s="83"/>
      <c r="FC96" s="83"/>
      <c r="FD96" s="83"/>
      <c r="FE96" s="83"/>
      <c r="FF96" s="83"/>
      <c r="FG96" s="83"/>
      <c r="FH96" s="83"/>
      <c r="FI96" s="83"/>
      <c r="FJ96" s="83"/>
      <c r="FK96" s="83"/>
      <c r="FL96" s="83"/>
      <c r="FM96" s="83"/>
      <c r="FN96" s="83"/>
      <c r="FO96" s="83"/>
      <c r="FP96" s="83"/>
      <c r="FQ96" s="83"/>
      <c r="FR96" s="83"/>
      <c r="FS96" s="83"/>
      <c r="FT96" s="83"/>
      <c r="FU96" s="83"/>
      <c r="FV96" s="83"/>
      <c r="FW96" s="83"/>
      <c r="FX96" s="83"/>
      <c r="FY96" s="83"/>
      <c r="FZ96" s="83"/>
      <c r="GA96" s="83"/>
      <c r="GB96" s="83"/>
      <c r="GC96" s="83"/>
      <c r="GD96" s="83"/>
      <c r="GE96" s="83"/>
      <c r="GF96" s="83"/>
      <c r="GG96" s="83"/>
      <c r="GH96" s="83"/>
      <c r="GI96" s="83"/>
      <c r="GJ96" s="83"/>
      <c r="GK96" s="83"/>
      <c r="GL96" s="83"/>
      <c r="GM96" s="83"/>
      <c r="GN96" s="83"/>
      <c r="GO96" s="83"/>
      <c r="GP96" s="83"/>
      <c r="GQ96" s="83"/>
      <c r="GR96" s="83"/>
      <c r="GS96" s="83"/>
      <c r="GT96" s="83"/>
      <c r="GU96" s="83"/>
      <c r="GV96" s="83"/>
      <c r="GW96" s="83"/>
      <c r="GX96" s="83"/>
      <c r="GY96" s="83"/>
      <c r="GZ96" s="83"/>
      <c r="HA96" s="83"/>
      <c r="HB96" s="83"/>
      <c r="HC96" s="83"/>
      <c r="HD96" s="83"/>
      <c r="HE96" s="83"/>
      <c r="HF96" s="83"/>
      <c r="HG96" s="83"/>
      <c r="HH96" s="83"/>
      <c r="HI96" s="83"/>
      <c r="HJ96" s="83"/>
      <c r="HK96" s="83"/>
      <c r="HL96" s="83"/>
      <c r="HM96" s="83"/>
      <c r="HN96" s="83"/>
      <c r="HO96" s="83"/>
      <c r="HP96" s="83"/>
      <c r="HQ96" s="83"/>
      <c r="HR96" s="83"/>
      <c r="HS96" s="83"/>
      <c r="HT96" s="83"/>
      <c r="HU96" s="83"/>
      <c r="HV96" s="83"/>
      <c r="HW96" s="83"/>
      <c r="HX96" s="83"/>
      <c r="HY96" s="83"/>
      <c r="HZ96" s="83"/>
      <c r="IA96" s="83"/>
      <c r="IB96" s="83"/>
      <c r="IC96" s="83"/>
      <c r="ID96" s="83"/>
      <c r="IE96" s="83"/>
      <c r="IF96" s="83"/>
      <c r="IG96" s="83"/>
      <c r="IH96" s="83"/>
      <c r="II96" s="83"/>
      <c r="IJ96" s="83"/>
      <c r="IK96" s="83"/>
      <c r="IL96" s="83"/>
      <c r="IM96" s="83"/>
      <c r="IN96" s="83"/>
      <c r="IO96" s="83"/>
      <c r="IP96" s="83"/>
      <c r="IQ96" s="83"/>
      <c r="IR96" s="83"/>
      <c r="IS96" s="83"/>
      <c r="IT96" s="83"/>
      <c r="IU96" s="83"/>
      <c r="IV96" s="83"/>
      <c r="IW96" s="83"/>
      <c r="IX96" s="83"/>
      <c r="IY96" s="83"/>
      <c r="IZ96" s="83"/>
      <c r="JA96" s="83"/>
      <c r="JB96" s="83"/>
      <c r="JC96" s="83"/>
      <c r="JD96" s="83"/>
      <c r="JE96" s="83"/>
      <c r="JF96" s="83"/>
      <c r="JG96" s="83"/>
      <c r="JH96" s="83"/>
      <c r="JI96" s="83"/>
      <c r="JJ96" s="83"/>
      <c r="JK96" s="83"/>
      <c r="JL96" s="83"/>
      <c r="JM96" s="83"/>
      <c r="JN96" s="83"/>
      <c r="JO96" s="83"/>
      <c r="JP96" s="83"/>
      <c r="JQ96" s="83"/>
      <c r="JR96" s="83"/>
      <c r="JS96" s="83"/>
      <c r="JT96" s="83"/>
      <c r="JU96" s="83"/>
      <c r="JV96" s="83"/>
      <c r="JW96" s="83"/>
      <c r="JX96" s="83"/>
      <c r="JY96" s="83"/>
      <c r="JZ96" s="83"/>
      <c r="KA96" s="83"/>
      <c r="KB96" s="83"/>
      <c r="KC96" s="83"/>
      <c r="KD96" s="83"/>
      <c r="KE96" s="83"/>
      <c r="KF96" s="83"/>
      <c r="KG96" s="83"/>
      <c r="KH96" s="83"/>
      <c r="KI96" s="83"/>
      <c r="KJ96" s="83"/>
      <c r="KK96" s="83"/>
      <c r="KL96" s="83"/>
      <c r="KM96" s="83"/>
      <c r="KN96" s="83"/>
      <c r="KO96" s="83"/>
      <c r="KP96" s="83"/>
      <c r="KQ96" s="83"/>
      <c r="KR96" s="83"/>
      <c r="KS96" s="83"/>
      <c r="KT96" s="83"/>
      <c r="KU96" s="83"/>
      <c r="KV96" s="83"/>
      <c r="KW96" s="83"/>
      <c r="KX96" s="83"/>
      <c r="KY96" s="83"/>
      <c r="KZ96" s="83"/>
      <c r="LA96" s="83"/>
      <c r="LB96" s="83"/>
      <c r="LC96" s="83"/>
      <c r="LD96" s="83"/>
      <c r="LE96" s="83"/>
      <c r="LF96" s="83"/>
      <c r="LG96" s="83"/>
      <c r="LH96" s="83"/>
      <c r="LI96" s="83"/>
      <c r="LJ96" s="83"/>
      <c r="LK96" s="83"/>
      <c r="LL96" s="83"/>
      <c r="LM96" s="83"/>
      <c r="LN96" s="83"/>
      <c r="LO96" s="83"/>
      <c r="LP96" s="83"/>
      <c r="LQ96" s="83"/>
      <c r="LR96" s="83"/>
      <c r="LS96" s="83"/>
      <c r="LT96" s="83"/>
      <c r="LU96" s="83"/>
      <c r="LV96" s="83"/>
      <c r="LW96" s="83"/>
      <c r="LX96" s="83"/>
      <c r="LY96" s="83"/>
      <c r="LZ96" s="83"/>
      <c r="MA96" s="83"/>
      <c r="MB96" s="83"/>
      <c r="MC96" s="83"/>
      <c r="MD96" s="83"/>
      <c r="ME96" s="83"/>
      <c r="MF96" s="83"/>
      <c r="MG96" s="83"/>
      <c r="MH96" s="83"/>
      <c r="MI96" s="83"/>
      <c r="MJ96" s="83"/>
      <c r="MK96" s="83"/>
      <c r="ML96" s="83"/>
      <c r="MM96" s="83"/>
      <c r="MN96" s="83"/>
      <c r="MO96" s="83"/>
      <c r="MP96" s="83"/>
      <c r="MQ96" s="83"/>
      <c r="MR96" s="83"/>
      <c r="MS96" s="83"/>
      <c r="MT96" s="83"/>
      <c r="MU96" s="83"/>
      <c r="MV96" s="83"/>
      <c r="MW96" s="83"/>
      <c r="MX96" s="83"/>
      <c r="MY96" s="83"/>
      <c r="MZ96" s="83"/>
      <c r="NA96" s="83"/>
      <c r="NB96" s="83"/>
      <c r="NC96" s="83"/>
      <c r="ND96" s="83"/>
      <c r="NE96" s="83"/>
      <c r="NF96" s="83"/>
      <c r="NG96" s="83"/>
      <c r="NH96" s="83"/>
      <c r="NI96" s="83"/>
      <c r="NJ96" s="83"/>
      <c r="NK96" s="83"/>
      <c r="NL96" s="83"/>
      <c r="NM96" s="83"/>
      <c r="NN96" s="83"/>
      <c r="NO96" s="83"/>
      <c r="NP96" s="83"/>
      <c r="NQ96" s="83"/>
      <c r="NR96" s="83"/>
      <c r="NS96" s="83"/>
      <c r="NT96" s="83"/>
      <c r="NU96" s="83"/>
      <c r="NV96" s="83"/>
      <c r="NW96" s="83"/>
      <c r="NX96" s="83"/>
      <c r="NY96" s="83"/>
      <c r="NZ96" s="83"/>
      <c r="OA96" s="83"/>
      <c r="OB96" s="83"/>
      <c r="OC96" s="83"/>
      <c r="OD96" s="83"/>
      <c r="OE96" s="83"/>
      <c r="OF96" s="83"/>
      <c r="OG96" s="83"/>
      <c r="OH96" s="83"/>
      <c r="OI96" s="83"/>
      <c r="OJ96" s="83"/>
      <c r="OK96" s="83"/>
      <c r="OL96" s="83"/>
      <c r="OM96" s="83"/>
      <c r="ON96" s="83"/>
      <c r="OO96" s="83"/>
      <c r="OP96" s="83"/>
      <c r="OQ96" s="83"/>
      <c r="OR96" s="83"/>
      <c r="OS96" s="83"/>
      <c r="OT96" s="83"/>
      <c r="OU96" s="83"/>
      <c r="OV96" s="83"/>
      <c r="OW96" s="83"/>
      <c r="OX96" s="83"/>
      <c r="OY96" s="83"/>
      <c r="OZ96" s="83"/>
      <c r="PA96" s="83"/>
      <c r="PB96" s="83"/>
      <c r="PC96" s="83"/>
      <c r="PD96" s="83"/>
      <c r="PE96" s="83"/>
      <c r="PF96" s="83"/>
      <c r="PG96" s="83"/>
      <c r="PH96" s="83"/>
      <c r="PI96" s="83"/>
      <c r="PJ96" s="83"/>
      <c r="PK96" s="83"/>
      <c r="PL96" s="83"/>
      <c r="PM96" s="83"/>
      <c r="PN96" s="83"/>
      <c r="PO96" s="83"/>
      <c r="PP96" s="83"/>
      <c r="PQ96" s="83"/>
      <c r="PR96" s="83"/>
      <c r="PS96" s="83"/>
      <c r="PT96" s="83"/>
      <c r="PU96" s="83"/>
      <c r="PV96" s="83"/>
      <c r="PW96" s="83"/>
      <c r="PX96" s="83"/>
      <c r="PY96" s="83"/>
      <c r="PZ96" s="83"/>
      <c r="QA96" s="83"/>
      <c r="QB96" s="83"/>
      <c r="QC96" s="83"/>
      <c r="QD96" s="83"/>
      <c r="QE96" s="83"/>
      <c r="QF96" s="83"/>
      <c r="QG96" s="83"/>
      <c r="QH96" s="83"/>
      <c r="QI96" s="83"/>
      <c r="QJ96" s="83"/>
      <c r="QK96" s="83"/>
      <c r="QL96" s="83"/>
      <c r="QM96" s="83"/>
      <c r="QN96" s="83"/>
      <c r="QO96" s="83"/>
      <c r="QP96" s="83"/>
      <c r="QQ96" s="83"/>
      <c r="QR96" s="83"/>
      <c r="QS96" s="83"/>
      <c r="QT96" s="83"/>
      <c r="QU96" s="83"/>
      <c r="QV96" s="83"/>
      <c r="QW96" s="83"/>
      <c r="QX96" s="83"/>
      <c r="QY96" s="83"/>
      <c r="QZ96" s="83"/>
      <c r="RA96" s="83"/>
      <c r="RB96" s="83"/>
      <c r="RC96" s="83"/>
      <c r="RD96" s="83"/>
      <c r="RE96" s="83"/>
      <c r="RF96" s="83"/>
      <c r="RG96" s="83"/>
      <c r="RH96" s="83"/>
      <c r="RI96" s="83"/>
      <c r="RJ96" s="83"/>
      <c r="RK96" s="83"/>
      <c r="RL96" s="83"/>
      <c r="RM96" s="83"/>
      <c r="RN96" s="83"/>
      <c r="RO96" s="83"/>
      <c r="RP96" s="83"/>
      <c r="RQ96" s="83"/>
      <c r="RR96" s="83"/>
      <c r="RS96" s="83"/>
      <c r="RT96" s="83"/>
      <c r="RU96" s="83"/>
      <c r="RV96" s="83"/>
      <c r="RW96" s="83"/>
      <c r="RX96" s="83"/>
      <c r="RY96" s="83"/>
      <c r="RZ96" s="83"/>
      <c r="SA96" s="83"/>
      <c r="SB96" s="83"/>
      <c r="SC96" s="83"/>
      <c r="SD96" s="83"/>
      <c r="SE96" s="83"/>
      <c r="SF96" s="83"/>
      <c r="SG96" s="83"/>
      <c r="SH96" s="83"/>
      <c r="SI96" s="83"/>
      <c r="SJ96" s="83"/>
      <c r="SK96" s="83"/>
      <c r="SL96" s="83"/>
      <c r="SM96" s="83"/>
      <c r="SN96" s="83"/>
      <c r="SO96" s="83"/>
      <c r="SP96" s="83"/>
      <c r="SQ96" s="83"/>
      <c r="SR96" s="83"/>
      <c r="SS96" s="83"/>
      <c r="ST96" s="83"/>
      <c r="SU96" s="83"/>
      <c r="SV96" s="83"/>
      <c r="SW96" s="83"/>
      <c r="SX96" s="83"/>
      <c r="SY96" s="83"/>
      <c r="SZ96" s="83"/>
      <c r="TA96" s="83"/>
      <c r="TB96" s="83"/>
      <c r="TC96" s="83"/>
      <c r="TD96" s="83"/>
      <c r="TE96" s="83"/>
      <c r="TF96" s="83"/>
      <c r="TG96" s="83"/>
      <c r="TH96" s="83"/>
      <c r="TI96" s="83"/>
      <c r="TJ96" s="83"/>
      <c r="TK96" s="83"/>
      <c r="TL96" s="83"/>
      <c r="TM96" s="83"/>
      <c r="TN96" s="83"/>
      <c r="TO96" s="83"/>
      <c r="TP96" s="83"/>
      <c r="TQ96" s="83"/>
      <c r="TR96" s="83"/>
      <c r="TS96" s="83"/>
      <c r="TT96" s="83"/>
      <c r="TU96" s="83"/>
      <c r="TV96" s="83"/>
      <c r="TW96" s="83"/>
      <c r="TX96" s="83"/>
      <c r="TY96" s="83"/>
      <c r="TZ96" s="83"/>
      <c r="UA96" s="83"/>
      <c r="UB96" s="83"/>
      <c r="UC96" s="83"/>
      <c r="UD96" s="83"/>
      <c r="UE96" s="83"/>
      <c r="UF96" s="83"/>
      <c r="UG96" s="83"/>
      <c r="UH96" s="83"/>
      <c r="UI96" s="83"/>
      <c r="UJ96" s="83"/>
      <c r="UK96" s="83"/>
      <c r="UL96" s="83"/>
      <c r="UM96" s="83"/>
      <c r="UN96" s="83"/>
      <c r="UO96" s="83"/>
      <c r="UP96" s="83"/>
      <c r="UQ96" s="83"/>
      <c r="UR96" s="83"/>
      <c r="US96" s="83"/>
      <c r="UT96" s="83"/>
      <c r="UU96" s="83"/>
      <c r="UV96" s="83"/>
      <c r="UW96" s="83"/>
      <c r="UX96" s="83"/>
      <c r="UY96" s="83"/>
      <c r="UZ96" s="83"/>
      <c r="VA96" s="83"/>
      <c r="VB96" s="83"/>
      <c r="VC96" s="83"/>
      <c r="VD96" s="83"/>
      <c r="VE96" s="83"/>
      <c r="VF96" s="83"/>
      <c r="VG96" s="83"/>
      <c r="VH96" s="83"/>
      <c r="VI96" s="83"/>
      <c r="VJ96" s="83"/>
      <c r="VK96" s="83"/>
      <c r="VL96" s="83"/>
      <c r="VM96" s="83"/>
      <c r="VN96" s="83"/>
      <c r="VO96" s="83"/>
      <c r="VP96" s="83"/>
      <c r="VQ96" s="83"/>
      <c r="VR96" s="83"/>
      <c r="VS96" s="83"/>
      <c r="VT96" s="83"/>
      <c r="VU96" s="83"/>
      <c r="VV96" s="83"/>
      <c r="VW96" s="83"/>
      <c r="VX96" s="83"/>
      <c r="VY96" s="83"/>
      <c r="VZ96" s="83"/>
      <c r="WA96" s="83"/>
      <c r="WB96" s="83"/>
      <c r="WC96" s="83"/>
      <c r="WD96" s="83"/>
      <c r="WE96" s="83"/>
      <c r="WF96" s="83"/>
      <c r="WG96" s="83"/>
      <c r="WH96" s="83"/>
      <c r="WI96" s="83"/>
      <c r="WJ96" s="83"/>
      <c r="WK96" s="83"/>
      <c r="WL96" s="83"/>
      <c r="WM96" s="83"/>
      <c r="WN96" s="83"/>
      <c r="WO96" s="83"/>
      <c r="WP96" s="83"/>
      <c r="WQ96" s="83"/>
      <c r="WR96" s="83"/>
      <c r="WS96" s="83"/>
      <c r="WT96" s="83"/>
      <c r="WU96" s="83"/>
      <c r="WV96" s="83"/>
      <c r="WW96" s="83"/>
      <c r="WX96" s="83"/>
      <c r="WY96" s="83"/>
      <c r="WZ96" s="83"/>
      <c r="XA96" s="83"/>
      <c r="XB96" s="83"/>
      <c r="XC96" s="83"/>
      <c r="XD96" s="83"/>
      <c r="XE96" s="83"/>
      <c r="XF96" s="83"/>
      <c r="XG96" s="83"/>
      <c r="XH96" s="83"/>
      <c r="XI96" s="83"/>
      <c r="XJ96" s="83"/>
      <c r="XK96" s="83"/>
      <c r="XL96" s="83"/>
      <c r="XM96" s="83"/>
      <c r="XN96" s="83"/>
      <c r="XO96" s="83"/>
      <c r="XP96" s="83"/>
      <c r="XQ96" s="83"/>
      <c r="XR96" s="83"/>
      <c r="XS96" s="83"/>
      <c r="XT96" s="83"/>
      <c r="XU96" s="83"/>
      <c r="XV96" s="83"/>
      <c r="XW96" s="83"/>
      <c r="XX96" s="83"/>
      <c r="XY96" s="83"/>
      <c r="XZ96" s="83"/>
      <c r="YA96" s="83"/>
      <c r="YB96" s="83"/>
      <c r="YC96" s="83"/>
      <c r="YD96" s="83"/>
      <c r="YE96" s="83"/>
      <c r="YF96" s="83"/>
      <c r="YG96" s="83"/>
      <c r="YH96" s="83"/>
      <c r="YI96" s="83"/>
      <c r="YJ96" s="83"/>
      <c r="YK96" s="83"/>
      <c r="YL96" s="83"/>
      <c r="YM96" s="83"/>
      <c r="YN96" s="83"/>
      <c r="YO96" s="83"/>
      <c r="YP96" s="83"/>
      <c r="YQ96" s="83"/>
      <c r="YR96" s="83"/>
      <c r="YS96" s="83"/>
      <c r="YT96" s="83"/>
      <c r="YU96" s="83"/>
      <c r="YV96" s="83"/>
      <c r="YW96" s="83"/>
      <c r="YX96" s="83"/>
      <c r="YY96" s="83"/>
      <c r="YZ96" s="83"/>
      <c r="ZA96" s="83"/>
      <c r="ZB96" s="83"/>
      <c r="ZC96" s="83"/>
      <c r="ZD96" s="83"/>
      <c r="ZE96" s="83"/>
      <c r="ZF96" s="83"/>
      <c r="ZG96" s="83"/>
      <c r="ZH96" s="83"/>
      <c r="ZI96" s="83"/>
      <c r="ZJ96" s="83"/>
      <c r="ZK96" s="83"/>
      <c r="ZL96" s="83"/>
      <c r="ZM96" s="83"/>
      <c r="ZN96" s="83"/>
      <c r="ZO96" s="83"/>
      <c r="ZP96" s="83"/>
      <c r="ZQ96" s="83"/>
      <c r="ZR96" s="83"/>
      <c r="ZS96" s="83"/>
      <c r="ZT96" s="83"/>
      <c r="ZU96" s="83"/>
      <c r="ZV96" s="83"/>
      <c r="ZW96" s="83"/>
      <c r="ZX96" s="83"/>
      <c r="ZY96" s="83"/>
      <c r="ZZ96" s="83"/>
      <c r="AAA96" s="83"/>
      <c r="AAB96" s="83"/>
      <c r="AAC96" s="83"/>
      <c r="AAD96" s="83"/>
      <c r="AAE96" s="83"/>
      <c r="AAF96" s="83"/>
      <c r="AAG96" s="83"/>
      <c r="AAH96" s="83"/>
      <c r="AAI96" s="83"/>
      <c r="AAJ96" s="83"/>
      <c r="AAK96" s="83"/>
      <c r="AAL96" s="83"/>
      <c r="AAM96" s="83"/>
      <c r="AAN96" s="83"/>
      <c r="AAO96" s="83"/>
      <c r="AAP96" s="83"/>
      <c r="AAQ96" s="83"/>
      <c r="AAR96" s="83"/>
      <c r="AAS96" s="83"/>
      <c r="AAT96" s="83"/>
      <c r="AAU96" s="83"/>
      <c r="AAV96" s="83"/>
      <c r="AAW96" s="83"/>
      <c r="AAX96" s="83"/>
      <c r="AAY96" s="83"/>
      <c r="AAZ96" s="83"/>
      <c r="ABA96" s="83"/>
      <c r="ABB96" s="83"/>
      <c r="ABC96" s="83"/>
      <c r="ABD96" s="83"/>
      <c r="ABE96" s="83"/>
      <c r="ABF96" s="83"/>
      <c r="ABG96" s="83"/>
      <c r="ABH96" s="83"/>
      <c r="ABI96" s="83"/>
      <c r="ABJ96" s="83"/>
      <c r="ABK96" s="83"/>
      <c r="ABL96" s="83"/>
      <c r="ABM96" s="83"/>
      <c r="ABN96" s="83"/>
      <c r="ABO96" s="83"/>
      <c r="ABP96" s="83"/>
      <c r="ABQ96" s="83"/>
      <c r="ABR96" s="83"/>
      <c r="ABS96" s="83"/>
      <c r="ABT96" s="83"/>
      <c r="ABU96" s="83"/>
      <c r="ABV96" s="83"/>
      <c r="ABW96" s="83"/>
      <c r="ABX96" s="83"/>
      <c r="ABY96" s="83"/>
      <c r="ABZ96" s="83"/>
      <c r="ACA96" s="83"/>
      <c r="ACB96" s="83"/>
      <c r="ACC96" s="83"/>
      <c r="ACD96" s="83"/>
      <c r="ACE96" s="83"/>
      <c r="ACF96" s="83"/>
      <c r="ACG96" s="83"/>
      <c r="ACH96" s="83"/>
      <c r="ACI96" s="83"/>
      <c r="ACJ96" s="83"/>
      <c r="ACK96" s="83"/>
      <c r="ACL96" s="83"/>
      <c r="ACM96" s="83"/>
      <c r="ACN96" s="83"/>
      <c r="ACO96" s="83"/>
      <c r="ACP96" s="83"/>
      <c r="ACQ96" s="83"/>
      <c r="ACR96" s="83"/>
      <c r="ACS96" s="83"/>
      <c r="ACT96" s="83"/>
      <c r="ACU96" s="83"/>
      <c r="ACV96" s="83"/>
      <c r="ACW96" s="83"/>
      <c r="ACX96" s="83"/>
      <c r="ACY96" s="83"/>
      <c r="ACZ96" s="83"/>
      <c r="ADA96" s="83"/>
      <c r="ADB96" s="83"/>
      <c r="ADC96" s="83"/>
      <c r="ADD96" s="83"/>
      <c r="ADE96" s="83"/>
      <c r="ADF96" s="83"/>
      <c r="ADG96" s="83"/>
      <c r="ADH96" s="83"/>
      <c r="ADI96" s="83"/>
      <c r="ADJ96" s="83"/>
      <c r="ADK96" s="83"/>
      <c r="ADL96" s="83"/>
      <c r="ADM96" s="83"/>
      <c r="ADN96" s="83"/>
      <c r="ADO96" s="83"/>
      <c r="ADP96" s="83"/>
      <c r="ADQ96" s="83"/>
      <c r="ADR96" s="83"/>
      <c r="ADS96" s="83"/>
      <c r="ADT96" s="83"/>
      <c r="ADU96" s="83"/>
      <c r="ADV96" s="83"/>
      <c r="ADW96" s="83"/>
      <c r="ADX96" s="83"/>
      <c r="ADY96" s="83"/>
      <c r="ADZ96" s="83"/>
      <c r="AEA96" s="83"/>
      <c r="AEB96" s="83"/>
      <c r="AEC96" s="83"/>
      <c r="AED96" s="83"/>
      <c r="AEE96" s="83"/>
      <c r="AEF96" s="83"/>
      <c r="AEG96" s="83"/>
      <c r="AEH96" s="83"/>
      <c r="AEI96" s="83"/>
      <c r="AEJ96" s="83"/>
      <c r="AEK96" s="83"/>
      <c r="AEL96" s="83"/>
      <c r="AEM96" s="83"/>
      <c r="AEN96" s="83"/>
      <c r="AEO96" s="83"/>
      <c r="AEP96" s="83"/>
      <c r="AEQ96" s="83"/>
      <c r="AER96" s="83"/>
      <c r="AES96" s="83"/>
      <c r="AET96" s="83"/>
      <c r="AEU96" s="83"/>
      <c r="AEV96" s="83"/>
      <c r="AEW96" s="83"/>
      <c r="AEX96" s="83"/>
      <c r="AEY96" s="83"/>
      <c r="AEZ96" s="83"/>
      <c r="AFA96" s="83"/>
      <c r="AFB96" s="83"/>
      <c r="AFC96" s="83"/>
      <c r="AFD96" s="83"/>
      <c r="AFE96" s="83"/>
      <c r="AFF96" s="83"/>
      <c r="AFG96" s="83"/>
      <c r="AFH96" s="83"/>
      <c r="AFI96" s="83"/>
      <c r="AFJ96" s="83"/>
      <c r="AFK96" s="83"/>
      <c r="AFL96" s="83"/>
      <c r="AFM96" s="83"/>
      <c r="AFN96" s="83"/>
      <c r="AFO96" s="83"/>
      <c r="AFP96" s="83"/>
      <c r="AFQ96" s="83"/>
      <c r="AFR96" s="83"/>
      <c r="AFS96" s="83"/>
      <c r="AFT96" s="83"/>
      <c r="AFU96" s="83"/>
      <c r="AFV96" s="83"/>
      <c r="AFW96" s="83"/>
      <c r="AFX96" s="83"/>
      <c r="AFY96" s="83"/>
      <c r="AFZ96" s="83"/>
      <c r="AGA96" s="83"/>
      <c r="AGB96" s="83"/>
      <c r="AGC96" s="83"/>
      <c r="AGD96" s="83"/>
      <c r="AGE96" s="83"/>
      <c r="AGF96" s="83"/>
      <c r="AGG96" s="83"/>
      <c r="AGH96" s="83"/>
      <c r="AGI96" s="83"/>
      <c r="AGJ96" s="83"/>
      <c r="AGK96" s="83"/>
      <c r="AGL96" s="83"/>
      <c r="AGM96" s="83"/>
      <c r="AGN96" s="83"/>
      <c r="AGO96" s="83"/>
      <c r="AGP96" s="83"/>
      <c r="AGQ96" s="83"/>
      <c r="AGR96" s="83"/>
      <c r="AGS96" s="83"/>
      <c r="AGT96" s="83"/>
      <c r="AGU96" s="83"/>
      <c r="AGV96" s="83"/>
      <c r="AGW96" s="83"/>
      <c r="AGX96" s="83"/>
      <c r="AGY96" s="83"/>
      <c r="AGZ96" s="83"/>
      <c r="AHA96" s="83"/>
      <c r="AHB96" s="83"/>
      <c r="AHC96" s="83"/>
      <c r="AHD96" s="83"/>
      <c r="AHE96" s="83"/>
      <c r="AHF96" s="83"/>
      <c r="AHG96" s="83"/>
      <c r="AHH96" s="83"/>
      <c r="AHI96" s="83"/>
      <c r="AHJ96" s="83"/>
      <c r="AHK96" s="83"/>
      <c r="AHL96" s="83"/>
      <c r="AHM96" s="83"/>
      <c r="AHN96" s="83"/>
      <c r="AHO96" s="83"/>
      <c r="AHP96" s="83"/>
      <c r="AHQ96" s="83"/>
      <c r="AHR96" s="83"/>
      <c r="AHS96" s="83"/>
      <c r="AHT96" s="83"/>
      <c r="AHU96" s="83"/>
      <c r="AHV96" s="83"/>
      <c r="AHW96" s="83"/>
      <c r="AHX96" s="83"/>
      <c r="AHY96" s="83"/>
      <c r="AHZ96" s="83"/>
      <c r="AIA96" s="83"/>
      <c r="AIB96" s="83"/>
      <c r="AIC96" s="83"/>
      <c r="AID96" s="83"/>
      <c r="AIE96" s="83"/>
      <c r="AIF96" s="83"/>
      <c r="AIG96" s="83"/>
      <c r="AIH96" s="83"/>
      <c r="AII96" s="83"/>
      <c r="AIJ96" s="83"/>
      <c r="AIK96" s="83"/>
      <c r="AIL96" s="83"/>
      <c r="AIM96" s="83"/>
      <c r="AIN96" s="83"/>
      <c r="AIO96" s="83"/>
      <c r="AIP96" s="83"/>
      <c r="AIQ96" s="83"/>
      <c r="AIR96" s="83"/>
      <c r="AIS96" s="83"/>
      <c r="AIT96" s="83"/>
      <c r="AIU96" s="83"/>
      <c r="AIV96" s="83"/>
      <c r="AIW96" s="83"/>
      <c r="AIX96" s="83"/>
      <c r="AIY96" s="83"/>
      <c r="AIZ96" s="83"/>
      <c r="AJA96" s="83"/>
      <c r="AJB96" s="83"/>
      <c r="AJC96" s="83"/>
      <c r="AJD96" s="83"/>
      <c r="AJE96" s="83"/>
      <c r="AJF96" s="83"/>
      <c r="AJG96" s="83"/>
      <c r="AJH96" s="83"/>
      <c r="AJI96" s="83"/>
      <c r="AJJ96" s="83"/>
      <c r="AJK96" s="83"/>
      <c r="AJL96" s="83"/>
      <c r="AJM96" s="83"/>
      <c r="AJN96" s="83"/>
      <c r="AJO96" s="83"/>
      <c r="AJP96" s="83"/>
      <c r="AJQ96" s="83"/>
      <c r="AJR96" s="83"/>
      <c r="AJS96" s="83"/>
      <c r="AJT96" s="83"/>
      <c r="AJU96" s="83"/>
      <c r="AJV96" s="83"/>
      <c r="AJW96" s="83"/>
      <c r="AJX96" s="83"/>
      <c r="AJY96" s="83"/>
      <c r="AJZ96" s="83"/>
      <c r="AKA96" s="83"/>
      <c r="AKB96" s="83"/>
      <c r="AKC96" s="83"/>
      <c r="AKD96" s="83"/>
      <c r="AKE96" s="83"/>
      <c r="AKF96" s="83"/>
      <c r="AKG96" s="83"/>
      <c r="AKH96" s="83"/>
      <c r="AKI96" s="83"/>
      <c r="AKJ96" s="83"/>
      <c r="AKK96" s="83"/>
      <c r="AKL96" s="83"/>
      <c r="AKM96" s="83"/>
      <c r="AKN96" s="83"/>
      <c r="AKO96" s="83"/>
      <c r="AKP96" s="83"/>
      <c r="AKQ96" s="83"/>
      <c r="AKR96" s="83"/>
      <c r="AKS96" s="83"/>
      <c r="AKT96" s="83"/>
      <c r="AKU96" s="83"/>
      <c r="AKV96" s="83"/>
      <c r="AKW96" s="83"/>
      <c r="AKX96" s="83"/>
      <c r="AKY96" s="83"/>
      <c r="AKZ96" s="83"/>
      <c r="ALA96" s="83"/>
      <c r="ALB96" s="83"/>
      <c r="ALC96" s="83"/>
      <c r="ALD96" s="83"/>
      <c r="ALE96" s="83"/>
      <c r="ALF96" s="83"/>
      <c r="ALG96" s="83"/>
      <c r="ALH96" s="83"/>
      <c r="ALI96" s="83"/>
      <c r="ALJ96" s="83"/>
      <c r="ALK96" s="83"/>
      <c r="ALL96" s="83"/>
      <c r="ALM96" s="83"/>
      <c r="ALN96" s="83"/>
      <c r="ALO96" s="83"/>
      <c r="ALP96" s="83"/>
      <c r="ALQ96" s="83"/>
      <c r="ALR96" s="83"/>
      <c r="ALS96" s="83"/>
      <c r="ALT96" s="83"/>
      <c r="ALU96" s="83"/>
      <c r="ALV96" s="83"/>
      <c r="ALW96" s="83"/>
      <c r="ALX96" s="83"/>
      <c r="ALY96" s="83"/>
      <c r="ALZ96" s="83"/>
      <c r="AMA96" s="83"/>
      <c r="AMB96" s="83"/>
      <c r="AMC96" s="83"/>
      <c r="AMD96" s="83"/>
      <c r="AME96" s="83"/>
      <c r="AMF96" s="83"/>
      <c r="AMG96" s="83"/>
      <c r="AMH96" s="83"/>
      <c r="AMI96" s="83"/>
      <c r="AMJ96" s="83"/>
    </row>
    <row r="97" spans="12:1024" ht="15.95" customHeight="1" x14ac:dyDescent="0.2">
      <c r="L97" s="83"/>
      <c r="M97" s="84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83"/>
      <c r="DU97" s="83"/>
      <c r="DV97" s="83"/>
      <c r="DW97" s="83"/>
      <c r="DX97" s="83"/>
      <c r="DY97" s="83"/>
      <c r="DZ97" s="83"/>
      <c r="EA97" s="83"/>
      <c r="EB97" s="83"/>
      <c r="EC97" s="83"/>
      <c r="ED97" s="83"/>
      <c r="EE97" s="83"/>
      <c r="EF97" s="83"/>
      <c r="EG97" s="83"/>
      <c r="EH97" s="83"/>
      <c r="EI97" s="83"/>
      <c r="EJ97" s="83"/>
      <c r="EK97" s="83"/>
      <c r="EL97" s="83"/>
      <c r="EM97" s="83"/>
      <c r="EN97" s="83"/>
      <c r="EO97" s="83"/>
      <c r="EP97" s="83"/>
      <c r="EQ97" s="83"/>
      <c r="ER97" s="83"/>
      <c r="ES97" s="83"/>
      <c r="ET97" s="83"/>
      <c r="EU97" s="83"/>
      <c r="EV97" s="83"/>
      <c r="EW97" s="83"/>
      <c r="EX97" s="83"/>
      <c r="EY97" s="83"/>
      <c r="EZ97" s="83"/>
      <c r="FA97" s="83"/>
      <c r="FB97" s="83"/>
      <c r="FC97" s="83"/>
      <c r="FD97" s="83"/>
      <c r="FE97" s="83"/>
      <c r="FF97" s="83"/>
      <c r="FG97" s="83"/>
      <c r="FH97" s="83"/>
      <c r="FI97" s="83"/>
      <c r="FJ97" s="83"/>
      <c r="FK97" s="83"/>
      <c r="FL97" s="83"/>
      <c r="FM97" s="83"/>
      <c r="FN97" s="83"/>
      <c r="FO97" s="83"/>
      <c r="FP97" s="83"/>
      <c r="FQ97" s="83"/>
      <c r="FR97" s="83"/>
      <c r="FS97" s="83"/>
      <c r="FT97" s="83"/>
      <c r="FU97" s="83"/>
      <c r="FV97" s="83"/>
      <c r="FW97" s="83"/>
      <c r="FX97" s="83"/>
      <c r="FY97" s="83"/>
      <c r="FZ97" s="83"/>
      <c r="GA97" s="83"/>
      <c r="GB97" s="83"/>
      <c r="GC97" s="83"/>
      <c r="GD97" s="83"/>
      <c r="GE97" s="83"/>
      <c r="GF97" s="83"/>
      <c r="GG97" s="83"/>
      <c r="GH97" s="83"/>
      <c r="GI97" s="83"/>
      <c r="GJ97" s="83"/>
      <c r="GK97" s="83"/>
      <c r="GL97" s="83"/>
      <c r="GM97" s="83"/>
      <c r="GN97" s="83"/>
      <c r="GO97" s="83"/>
      <c r="GP97" s="83"/>
      <c r="GQ97" s="83"/>
      <c r="GR97" s="83"/>
      <c r="GS97" s="83"/>
      <c r="GT97" s="83"/>
      <c r="GU97" s="83"/>
      <c r="GV97" s="83"/>
      <c r="GW97" s="83"/>
      <c r="GX97" s="83"/>
      <c r="GY97" s="83"/>
      <c r="GZ97" s="83"/>
      <c r="HA97" s="83"/>
      <c r="HB97" s="83"/>
      <c r="HC97" s="83"/>
      <c r="HD97" s="83"/>
      <c r="HE97" s="83"/>
      <c r="HF97" s="83"/>
      <c r="HG97" s="83"/>
      <c r="HH97" s="83"/>
      <c r="HI97" s="83"/>
      <c r="HJ97" s="83"/>
      <c r="HK97" s="83"/>
      <c r="HL97" s="83"/>
      <c r="HM97" s="83"/>
      <c r="HN97" s="83"/>
      <c r="HO97" s="83"/>
      <c r="HP97" s="83"/>
      <c r="HQ97" s="83"/>
      <c r="HR97" s="83"/>
      <c r="HS97" s="83"/>
      <c r="HT97" s="83"/>
      <c r="HU97" s="83"/>
      <c r="HV97" s="83"/>
      <c r="HW97" s="83"/>
      <c r="HX97" s="83"/>
      <c r="HY97" s="83"/>
      <c r="HZ97" s="83"/>
      <c r="IA97" s="83"/>
      <c r="IB97" s="83"/>
      <c r="IC97" s="83"/>
      <c r="ID97" s="83"/>
      <c r="IE97" s="83"/>
      <c r="IF97" s="83"/>
      <c r="IG97" s="83"/>
      <c r="IH97" s="83"/>
      <c r="II97" s="83"/>
      <c r="IJ97" s="83"/>
      <c r="IK97" s="83"/>
      <c r="IL97" s="83"/>
      <c r="IM97" s="83"/>
      <c r="IN97" s="83"/>
      <c r="IO97" s="83"/>
      <c r="IP97" s="83"/>
      <c r="IQ97" s="83"/>
      <c r="IR97" s="83"/>
      <c r="IS97" s="83"/>
      <c r="IT97" s="83"/>
      <c r="IU97" s="83"/>
      <c r="IV97" s="83"/>
      <c r="IW97" s="83"/>
      <c r="IX97" s="83"/>
      <c r="IY97" s="83"/>
      <c r="IZ97" s="83"/>
      <c r="JA97" s="83"/>
      <c r="JB97" s="83"/>
      <c r="JC97" s="83"/>
      <c r="JD97" s="83"/>
      <c r="JE97" s="83"/>
      <c r="JF97" s="83"/>
      <c r="JG97" s="83"/>
      <c r="JH97" s="83"/>
      <c r="JI97" s="83"/>
      <c r="JJ97" s="83"/>
      <c r="JK97" s="83"/>
      <c r="JL97" s="83"/>
      <c r="JM97" s="83"/>
      <c r="JN97" s="83"/>
      <c r="JO97" s="83"/>
      <c r="JP97" s="83"/>
      <c r="JQ97" s="83"/>
      <c r="JR97" s="83"/>
      <c r="JS97" s="83"/>
      <c r="JT97" s="83"/>
      <c r="JU97" s="83"/>
      <c r="JV97" s="83"/>
      <c r="JW97" s="83"/>
      <c r="JX97" s="83"/>
      <c r="JY97" s="83"/>
      <c r="JZ97" s="83"/>
      <c r="KA97" s="83"/>
      <c r="KB97" s="83"/>
      <c r="KC97" s="83"/>
      <c r="KD97" s="83"/>
      <c r="KE97" s="83"/>
      <c r="KF97" s="83"/>
      <c r="KG97" s="83"/>
      <c r="KH97" s="83"/>
      <c r="KI97" s="83"/>
      <c r="KJ97" s="83"/>
      <c r="KK97" s="83"/>
      <c r="KL97" s="83"/>
      <c r="KM97" s="83"/>
      <c r="KN97" s="83"/>
      <c r="KO97" s="83"/>
      <c r="KP97" s="83"/>
      <c r="KQ97" s="83"/>
      <c r="KR97" s="83"/>
      <c r="KS97" s="83"/>
      <c r="KT97" s="83"/>
      <c r="KU97" s="83"/>
      <c r="KV97" s="83"/>
      <c r="KW97" s="83"/>
      <c r="KX97" s="83"/>
      <c r="KY97" s="83"/>
      <c r="KZ97" s="83"/>
      <c r="LA97" s="83"/>
      <c r="LB97" s="83"/>
      <c r="LC97" s="83"/>
      <c r="LD97" s="83"/>
      <c r="LE97" s="83"/>
      <c r="LF97" s="83"/>
      <c r="LG97" s="83"/>
      <c r="LH97" s="83"/>
      <c r="LI97" s="83"/>
      <c r="LJ97" s="83"/>
      <c r="LK97" s="83"/>
      <c r="LL97" s="83"/>
      <c r="LM97" s="83"/>
      <c r="LN97" s="83"/>
      <c r="LO97" s="83"/>
      <c r="LP97" s="83"/>
      <c r="LQ97" s="83"/>
      <c r="LR97" s="83"/>
      <c r="LS97" s="83"/>
      <c r="LT97" s="83"/>
      <c r="LU97" s="83"/>
      <c r="LV97" s="83"/>
      <c r="LW97" s="83"/>
      <c r="LX97" s="83"/>
      <c r="LY97" s="83"/>
      <c r="LZ97" s="83"/>
      <c r="MA97" s="83"/>
      <c r="MB97" s="83"/>
      <c r="MC97" s="83"/>
      <c r="MD97" s="83"/>
      <c r="ME97" s="83"/>
      <c r="MF97" s="83"/>
      <c r="MG97" s="83"/>
      <c r="MH97" s="83"/>
      <c r="MI97" s="83"/>
      <c r="MJ97" s="83"/>
      <c r="MK97" s="83"/>
      <c r="ML97" s="83"/>
      <c r="MM97" s="83"/>
      <c r="MN97" s="83"/>
      <c r="MO97" s="83"/>
      <c r="MP97" s="83"/>
      <c r="MQ97" s="83"/>
      <c r="MR97" s="83"/>
      <c r="MS97" s="83"/>
      <c r="MT97" s="83"/>
      <c r="MU97" s="83"/>
      <c r="MV97" s="83"/>
      <c r="MW97" s="83"/>
      <c r="MX97" s="83"/>
      <c r="MY97" s="83"/>
      <c r="MZ97" s="83"/>
      <c r="NA97" s="83"/>
      <c r="NB97" s="83"/>
      <c r="NC97" s="83"/>
      <c r="ND97" s="83"/>
      <c r="NE97" s="83"/>
      <c r="NF97" s="83"/>
      <c r="NG97" s="83"/>
      <c r="NH97" s="83"/>
      <c r="NI97" s="83"/>
      <c r="NJ97" s="83"/>
      <c r="NK97" s="83"/>
      <c r="NL97" s="83"/>
      <c r="NM97" s="83"/>
      <c r="NN97" s="83"/>
      <c r="NO97" s="83"/>
      <c r="NP97" s="83"/>
      <c r="NQ97" s="83"/>
      <c r="NR97" s="83"/>
      <c r="NS97" s="83"/>
      <c r="NT97" s="83"/>
      <c r="NU97" s="83"/>
      <c r="NV97" s="83"/>
      <c r="NW97" s="83"/>
      <c r="NX97" s="83"/>
      <c r="NY97" s="83"/>
      <c r="NZ97" s="83"/>
      <c r="OA97" s="83"/>
      <c r="OB97" s="83"/>
      <c r="OC97" s="83"/>
      <c r="OD97" s="83"/>
      <c r="OE97" s="83"/>
      <c r="OF97" s="83"/>
      <c r="OG97" s="83"/>
      <c r="OH97" s="83"/>
      <c r="OI97" s="83"/>
      <c r="OJ97" s="83"/>
      <c r="OK97" s="83"/>
      <c r="OL97" s="83"/>
      <c r="OM97" s="83"/>
      <c r="ON97" s="83"/>
      <c r="OO97" s="83"/>
      <c r="OP97" s="83"/>
      <c r="OQ97" s="83"/>
      <c r="OR97" s="83"/>
      <c r="OS97" s="83"/>
      <c r="OT97" s="83"/>
      <c r="OU97" s="83"/>
      <c r="OV97" s="83"/>
      <c r="OW97" s="83"/>
      <c r="OX97" s="83"/>
      <c r="OY97" s="83"/>
      <c r="OZ97" s="83"/>
      <c r="PA97" s="83"/>
      <c r="PB97" s="83"/>
      <c r="PC97" s="83"/>
      <c r="PD97" s="83"/>
      <c r="PE97" s="83"/>
      <c r="PF97" s="83"/>
      <c r="PG97" s="83"/>
      <c r="PH97" s="83"/>
      <c r="PI97" s="83"/>
      <c r="PJ97" s="83"/>
      <c r="PK97" s="83"/>
      <c r="PL97" s="83"/>
      <c r="PM97" s="83"/>
      <c r="PN97" s="83"/>
      <c r="PO97" s="83"/>
      <c r="PP97" s="83"/>
      <c r="PQ97" s="83"/>
      <c r="PR97" s="83"/>
      <c r="PS97" s="83"/>
      <c r="PT97" s="83"/>
      <c r="PU97" s="83"/>
      <c r="PV97" s="83"/>
      <c r="PW97" s="83"/>
      <c r="PX97" s="83"/>
      <c r="PY97" s="83"/>
      <c r="PZ97" s="83"/>
      <c r="QA97" s="83"/>
      <c r="QB97" s="83"/>
      <c r="QC97" s="83"/>
      <c r="QD97" s="83"/>
      <c r="QE97" s="83"/>
      <c r="QF97" s="83"/>
      <c r="QG97" s="83"/>
      <c r="QH97" s="83"/>
      <c r="QI97" s="83"/>
      <c r="QJ97" s="83"/>
      <c r="QK97" s="83"/>
      <c r="QL97" s="83"/>
      <c r="QM97" s="83"/>
      <c r="QN97" s="83"/>
      <c r="QO97" s="83"/>
      <c r="QP97" s="83"/>
      <c r="QQ97" s="83"/>
      <c r="QR97" s="83"/>
      <c r="QS97" s="83"/>
      <c r="QT97" s="83"/>
      <c r="QU97" s="83"/>
      <c r="QV97" s="83"/>
      <c r="QW97" s="83"/>
      <c r="QX97" s="83"/>
      <c r="QY97" s="83"/>
      <c r="QZ97" s="83"/>
      <c r="RA97" s="83"/>
      <c r="RB97" s="83"/>
      <c r="RC97" s="83"/>
      <c r="RD97" s="83"/>
      <c r="RE97" s="83"/>
      <c r="RF97" s="83"/>
      <c r="RG97" s="83"/>
      <c r="RH97" s="83"/>
      <c r="RI97" s="83"/>
      <c r="RJ97" s="83"/>
      <c r="RK97" s="83"/>
      <c r="RL97" s="83"/>
      <c r="RM97" s="83"/>
      <c r="RN97" s="83"/>
      <c r="RO97" s="83"/>
      <c r="RP97" s="83"/>
      <c r="RQ97" s="83"/>
      <c r="RR97" s="83"/>
      <c r="RS97" s="83"/>
      <c r="RT97" s="83"/>
      <c r="RU97" s="83"/>
      <c r="RV97" s="83"/>
      <c r="RW97" s="83"/>
      <c r="RX97" s="83"/>
      <c r="RY97" s="83"/>
      <c r="RZ97" s="83"/>
      <c r="SA97" s="83"/>
      <c r="SB97" s="83"/>
      <c r="SC97" s="83"/>
      <c r="SD97" s="83"/>
      <c r="SE97" s="83"/>
      <c r="SF97" s="83"/>
      <c r="SG97" s="83"/>
      <c r="SH97" s="83"/>
      <c r="SI97" s="83"/>
      <c r="SJ97" s="83"/>
      <c r="SK97" s="83"/>
      <c r="SL97" s="83"/>
      <c r="SM97" s="83"/>
      <c r="SN97" s="83"/>
      <c r="SO97" s="83"/>
      <c r="SP97" s="83"/>
      <c r="SQ97" s="83"/>
      <c r="SR97" s="83"/>
      <c r="SS97" s="83"/>
      <c r="ST97" s="83"/>
      <c r="SU97" s="83"/>
      <c r="SV97" s="83"/>
      <c r="SW97" s="83"/>
      <c r="SX97" s="83"/>
      <c r="SY97" s="83"/>
      <c r="SZ97" s="83"/>
      <c r="TA97" s="83"/>
      <c r="TB97" s="83"/>
      <c r="TC97" s="83"/>
      <c r="TD97" s="83"/>
      <c r="TE97" s="83"/>
      <c r="TF97" s="83"/>
      <c r="TG97" s="83"/>
      <c r="TH97" s="83"/>
      <c r="TI97" s="83"/>
      <c r="TJ97" s="83"/>
      <c r="TK97" s="83"/>
      <c r="TL97" s="83"/>
      <c r="TM97" s="83"/>
      <c r="TN97" s="83"/>
      <c r="TO97" s="83"/>
      <c r="TP97" s="83"/>
      <c r="TQ97" s="83"/>
      <c r="TR97" s="83"/>
      <c r="TS97" s="83"/>
      <c r="TT97" s="83"/>
      <c r="TU97" s="83"/>
      <c r="TV97" s="83"/>
      <c r="TW97" s="83"/>
      <c r="TX97" s="83"/>
      <c r="TY97" s="83"/>
      <c r="TZ97" s="83"/>
      <c r="UA97" s="83"/>
      <c r="UB97" s="83"/>
      <c r="UC97" s="83"/>
      <c r="UD97" s="83"/>
      <c r="UE97" s="83"/>
      <c r="UF97" s="83"/>
      <c r="UG97" s="83"/>
      <c r="UH97" s="83"/>
      <c r="UI97" s="83"/>
      <c r="UJ97" s="83"/>
      <c r="UK97" s="83"/>
      <c r="UL97" s="83"/>
      <c r="UM97" s="83"/>
      <c r="UN97" s="83"/>
      <c r="UO97" s="83"/>
      <c r="UP97" s="83"/>
      <c r="UQ97" s="83"/>
      <c r="UR97" s="83"/>
      <c r="US97" s="83"/>
      <c r="UT97" s="83"/>
      <c r="UU97" s="83"/>
      <c r="UV97" s="83"/>
      <c r="UW97" s="83"/>
      <c r="UX97" s="83"/>
      <c r="UY97" s="83"/>
      <c r="UZ97" s="83"/>
      <c r="VA97" s="83"/>
      <c r="VB97" s="83"/>
      <c r="VC97" s="83"/>
      <c r="VD97" s="83"/>
      <c r="VE97" s="83"/>
      <c r="VF97" s="83"/>
      <c r="VG97" s="83"/>
      <c r="VH97" s="83"/>
      <c r="VI97" s="83"/>
      <c r="VJ97" s="83"/>
      <c r="VK97" s="83"/>
      <c r="VL97" s="83"/>
      <c r="VM97" s="83"/>
      <c r="VN97" s="83"/>
      <c r="VO97" s="83"/>
      <c r="VP97" s="83"/>
      <c r="VQ97" s="83"/>
      <c r="VR97" s="83"/>
      <c r="VS97" s="83"/>
      <c r="VT97" s="83"/>
      <c r="VU97" s="83"/>
      <c r="VV97" s="83"/>
      <c r="VW97" s="83"/>
      <c r="VX97" s="83"/>
      <c r="VY97" s="83"/>
      <c r="VZ97" s="83"/>
      <c r="WA97" s="83"/>
      <c r="WB97" s="83"/>
      <c r="WC97" s="83"/>
      <c r="WD97" s="83"/>
      <c r="WE97" s="83"/>
      <c r="WF97" s="83"/>
      <c r="WG97" s="83"/>
      <c r="WH97" s="83"/>
      <c r="WI97" s="83"/>
      <c r="WJ97" s="83"/>
      <c r="WK97" s="83"/>
      <c r="WL97" s="83"/>
      <c r="WM97" s="83"/>
      <c r="WN97" s="83"/>
      <c r="WO97" s="83"/>
      <c r="WP97" s="83"/>
      <c r="WQ97" s="83"/>
      <c r="WR97" s="83"/>
      <c r="WS97" s="83"/>
      <c r="WT97" s="83"/>
      <c r="WU97" s="83"/>
      <c r="WV97" s="83"/>
      <c r="WW97" s="83"/>
      <c r="WX97" s="83"/>
      <c r="WY97" s="83"/>
      <c r="WZ97" s="83"/>
      <c r="XA97" s="83"/>
      <c r="XB97" s="83"/>
      <c r="XC97" s="83"/>
      <c r="XD97" s="83"/>
      <c r="XE97" s="83"/>
      <c r="XF97" s="83"/>
      <c r="XG97" s="83"/>
      <c r="XH97" s="83"/>
      <c r="XI97" s="83"/>
      <c r="XJ97" s="83"/>
      <c r="XK97" s="83"/>
      <c r="XL97" s="83"/>
      <c r="XM97" s="83"/>
      <c r="XN97" s="83"/>
      <c r="XO97" s="83"/>
      <c r="XP97" s="83"/>
      <c r="XQ97" s="83"/>
      <c r="XR97" s="83"/>
      <c r="XS97" s="83"/>
      <c r="XT97" s="83"/>
      <c r="XU97" s="83"/>
      <c r="XV97" s="83"/>
      <c r="XW97" s="83"/>
      <c r="XX97" s="83"/>
      <c r="XY97" s="83"/>
      <c r="XZ97" s="83"/>
      <c r="YA97" s="83"/>
      <c r="YB97" s="83"/>
      <c r="YC97" s="83"/>
      <c r="YD97" s="83"/>
      <c r="YE97" s="83"/>
      <c r="YF97" s="83"/>
      <c r="YG97" s="83"/>
      <c r="YH97" s="83"/>
      <c r="YI97" s="83"/>
      <c r="YJ97" s="83"/>
      <c r="YK97" s="83"/>
      <c r="YL97" s="83"/>
      <c r="YM97" s="83"/>
      <c r="YN97" s="83"/>
      <c r="YO97" s="83"/>
      <c r="YP97" s="83"/>
      <c r="YQ97" s="83"/>
      <c r="YR97" s="83"/>
      <c r="YS97" s="83"/>
      <c r="YT97" s="83"/>
      <c r="YU97" s="83"/>
      <c r="YV97" s="83"/>
      <c r="YW97" s="83"/>
      <c r="YX97" s="83"/>
      <c r="YY97" s="83"/>
      <c r="YZ97" s="83"/>
      <c r="ZA97" s="83"/>
      <c r="ZB97" s="83"/>
      <c r="ZC97" s="83"/>
      <c r="ZD97" s="83"/>
      <c r="ZE97" s="83"/>
      <c r="ZF97" s="83"/>
      <c r="ZG97" s="83"/>
      <c r="ZH97" s="83"/>
      <c r="ZI97" s="83"/>
      <c r="ZJ97" s="83"/>
      <c r="ZK97" s="83"/>
      <c r="ZL97" s="83"/>
      <c r="ZM97" s="83"/>
      <c r="ZN97" s="83"/>
      <c r="ZO97" s="83"/>
      <c r="ZP97" s="83"/>
      <c r="ZQ97" s="83"/>
      <c r="ZR97" s="83"/>
      <c r="ZS97" s="83"/>
      <c r="ZT97" s="83"/>
      <c r="ZU97" s="83"/>
      <c r="ZV97" s="83"/>
      <c r="ZW97" s="83"/>
      <c r="ZX97" s="83"/>
      <c r="ZY97" s="83"/>
      <c r="ZZ97" s="83"/>
      <c r="AAA97" s="83"/>
      <c r="AAB97" s="83"/>
      <c r="AAC97" s="83"/>
      <c r="AAD97" s="83"/>
      <c r="AAE97" s="83"/>
      <c r="AAF97" s="83"/>
      <c r="AAG97" s="83"/>
      <c r="AAH97" s="83"/>
      <c r="AAI97" s="83"/>
      <c r="AAJ97" s="83"/>
      <c r="AAK97" s="83"/>
      <c r="AAL97" s="83"/>
      <c r="AAM97" s="83"/>
      <c r="AAN97" s="83"/>
      <c r="AAO97" s="83"/>
      <c r="AAP97" s="83"/>
      <c r="AAQ97" s="83"/>
      <c r="AAR97" s="83"/>
      <c r="AAS97" s="83"/>
      <c r="AAT97" s="83"/>
      <c r="AAU97" s="83"/>
      <c r="AAV97" s="83"/>
      <c r="AAW97" s="83"/>
      <c r="AAX97" s="83"/>
      <c r="AAY97" s="83"/>
      <c r="AAZ97" s="83"/>
      <c r="ABA97" s="83"/>
      <c r="ABB97" s="83"/>
      <c r="ABC97" s="83"/>
      <c r="ABD97" s="83"/>
      <c r="ABE97" s="83"/>
      <c r="ABF97" s="83"/>
      <c r="ABG97" s="83"/>
      <c r="ABH97" s="83"/>
      <c r="ABI97" s="83"/>
      <c r="ABJ97" s="83"/>
      <c r="ABK97" s="83"/>
      <c r="ABL97" s="83"/>
      <c r="ABM97" s="83"/>
      <c r="ABN97" s="83"/>
      <c r="ABO97" s="83"/>
      <c r="ABP97" s="83"/>
      <c r="ABQ97" s="83"/>
      <c r="ABR97" s="83"/>
      <c r="ABS97" s="83"/>
      <c r="ABT97" s="83"/>
      <c r="ABU97" s="83"/>
      <c r="ABV97" s="83"/>
      <c r="ABW97" s="83"/>
      <c r="ABX97" s="83"/>
      <c r="ABY97" s="83"/>
      <c r="ABZ97" s="83"/>
      <c r="ACA97" s="83"/>
      <c r="ACB97" s="83"/>
      <c r="ACC97" s="83"/>
      <c r="ACD97" s="83"/>
      <c r="ACE97" s="83"/>
      <c r="ACF97" s="83"/>
      <c r="ACG97" s="83"/>
      <c r="ACH97" s="83"/>
      <c r="ACI97" s="83"/>
      <c r="ACJ97" s="83"/>
      <c r="ACK97" s="83"/>
      <c r="ACL97" s="83"/>
      <c r="ACM97" s="83"/>
      <c r="ACN97" s="83"/>
      <c r="ACO97" s="83"/>
      <c r="ACP97" s="83"/>
      <c r="ACQ97" s="83"/>
      <c r="ACR97" s="83"/>
      <c r="ACS97" s="83"/>
      <c r="ACT97" s="83"/>
      <c r="ACU97" s="83"/>
      <c r="ACV97" s="83"/>
      <c r="ACW97" s="83"/>
      <c r="ACX97" s="83"/>
      <c r="ACY97" s="83"/>
      <c r="ACZ97" s="83"/>
      <c r="ADA97" s="83"/>
      <c r="ADB97" s="83"/>
      <c r="ADC97" s="83"/>
      <c r="ADD97" s="83"/>
      <c r="ADE97" s="83"/>
      <c r="ADF97" s="83"/>
      <c r="ADG97" s="83"/>
      <c r="ADH97" s="83"/>
      <c r="ADI97" s="83"/>
      <c r="ADJ97" s="83"/>
      <c r="ADK97" s="83"/>
      <c r="ADL97" s="83"/>
      <c r="ADM97" s="83"/>
      <c r="ADN97" s="83"/>
      <c r="ADO97" s="83"/>
      <c r="ADP97" s="83"/>
      <c r="ADQ97" s="83"/>
      <c r="ADR97" s="83"/>
      <c r="ADS97" s="83"/>
      <c r="ADT97" s="83"/>
      <c r="ADU97" s="83"/>
      <c r="ADV97" s="83"/>
      <c r="ADW97" s="83"/>
      <c r="ADX97" s="83"/>
      <c r="ADY97" s="83"/>
      <c r="ADZ97" s="83"/>
      <c r="AEA97" s="83"/>
      <c r="AEB97" s="83"/>
      <c r="AEC97" s="83"/>
      <c r="AED97" s="83"/>
      <c r="AEE97" s="83"/>
      <c r="AEF97" s="83"/>
      <c r="AEG97" s="83"/>
      <c r="AEH97" s="83"/>
      <c r="AEI97" s="83"/>
      <c r="AEJ97" s="83"/>
      <c r="AEK97" s="83"/>
      <c r="AEL97" s="83"/>
      <c r="AEM97" s="83"/>
      <c r="AEN97" s="83"/>
      <c r="AEO97" s="83"/>
      <c r="AEP97" s="83"/>
      <c r="AEQ97" s="83"/>
      <c r="AER97" s="83"/>
      <c r="AES97" s="83"/>
      <c r="AET97" s="83"/>
      <c r="AEU97" s="83"/>
      <c r="AEV97" s="83"/>
      <c r="AEW97" s="83"/>
      <c r="AEX97" s="83"/>
      <c r="AEY97" s="83"/>
      <c r="AEZ97" s="83"/>
      <c r="AFA97" s="83"/>
      <c r="AFB97" s="83"/>
      <c r="AFC97" s="83"/>
      <c r="AFD97" s="83"/>
      <c r="AFE97" s="83"/>
      <c r="AFF97" s="83"/>
      <c r="AFG97" s="83"/>
      <c r="AFH97" s="83"/>
      <c r="AFI97" s="83"/>
      <c r="AFJ97" s="83"/>
      <c r="AFK97" s="83"/>
      <c r="AFL97" s="83"/>
      <c r="AFM97" s="83"/>
      <c r="AFN97" s="83"/>
      <c r="AFO97" s="83"/>
      <c r="AFP97" s="83"/>
      <c r="AFQ97" s="83"/>
      <c r="AFR97" s="83"/>
      <c r="AFS97" s="83"/>
      <c r="AFT97" s="83"/>
      <c r="AFU97" s="83"/>
      <c r="AFV97" s="83"/>
      <c r="AFW97" s="83"/>
      <c r="AFX97" s="83"/>
      <c r="AFY97" s="83"/>
      <c r="AFZ97" s="83"/>
      <c r="AGA97" s="83"/>
      <c r="AGB97" s="83"/>
      <c r="AGC97" s="83"/>
      <c r="AGD97" s="83"/>
      <c r="AGE97" s="83"/>
      <c r="AGF97" s="83"/>
      <c r="AGG97" s="83"/>
      <c r="AGH97" s="83"/>
      <c r="AGI97" s="83"/>
      <c r="AGJ97" s="83"/>
      <c r="AGK97" s="83"/>
      <c r="AGL97" s="83"/>
      <c r="AGM97" s="83"/>
      <c r="AGN97" s="83"/>
      <c r="AGO97" s="83"/>
      <c r="AGP97" s="83"/>
      <c r="AGQ97" s="83"/>
      <c r="AGR97" s="83"/>
      <c r="AGS97" s="83"/>
      <c r="AGT97" s="83"/>
      <c r="AGU97" s="83"/>
      <c r="AGV97" s="83"/>
      <c r="AGW97" s="83"/>
      <c r="AGX97" s="83"/>
      <c r="AGY97" s="83"/>
      <c r="AGZ97" s="83"/>
      <c r="AHA97" s="83"/>
      <c r="AHB97" s="83"/>
      <c r="AHC97" s="83"/>
      <c r="AHD97" s="83"/>
      <c r="AHE97" s="83"/>
      <c r="AHF97" s="83"/>
      <c r="AHG97" s="83"/>
      <c r="AHH97" s="83"/>
      <c r="AHI97" s="83"/>
      <c r="AHJ97" s="83"/>
      <c r="AHK97" s="83"/>
      <c r="AHL97" s="83"/>
      <c r="AHM97" s="83"/>
      <c r="AHN97" s="83"/>
      <c r="AHO97" s="83"/>
      <c r="AHP97" s="83"/>
      <c r="AHQ97" s="83"/>
      <c r="AHR97" s="83"/>
      <c r="AHS97" s="83"/>
      <c r="AHT97" s="83"/>
      <c r="AHU97" s="83"/>
      <c r="AHV97" s="83"/>
      <c r="AHW97" s="83"/>
      <c r="AHX97" s="83"/>
      <c r="AHY97" s="83"/>
      <c r="AHZ97" s="83"/>
      <c r="AIA97" s="83"/>
      <c r="AIB97" s="83"/>
      <c r="AIC97" s="83"/>
      <c r="AID97" s="83"/>
      <c r="AIE97" s="83"/>
      <c r="AIF97" s="83"/>
      <c r="AIG97" s="83"/>
      <c r="AIH97" s="83"/>
      <c r="AII97" s="83"/>
      <c r="AIJ97" s="83"/>
      <c r="AIK97" s="83"/>
      <c r="AIL97" s="83"/>
      <c r="AIM97" s="83"/>
      <c r="AIN97" s="83"/>
      <c r="AIO97" s="83"/>
      <c r="AIP97" s="83"/>
      <c r="AIQ97" s="83"/>
      <c r="AIR97" s="83"/>
      <c r="AIS97" s="83"/>
      <c r="AIT97" s="83"/>
      <c r="AIU97" s="83"/>
      <c r="AIV97" s="83"/>
      <c r="AIW97" s="83"/>
      <c r="AIX97" s="83"/>
      <c r="AIY97" s="83"/>
      <c r="AIZ97" s="83"/>
      <c r="AJA97" s="83"/>
      <c r="AJB97" s="83"/>
      <c r="AJC97" s="83"/>
      <c r="AJD97" s="83"/>
      <c r="AJE97" s="83"/>
      <c r="AJF97" s="83"/>
      <c r="AJG97" s="83"/>
      <c r="AJH97" s="83"/>
      <c r="AJI97" s="83"/>
      <c r="AJJ97" s="83"/>
      <c r="AJK97" s="83"/>
      <c r="AJL97" s="83"/>
      <c r="AJM97" s="83"/>
      <c r="AJN97" s="83"/>
      <c r="AJO97" s="83"/>
      <c r="AJP97" s="83"/>
      <c r="AJQ97" s="83"/>
      <c r="AJR97" s="83"/>
      <c r="AJS97" s="83"/>
      <c r="AJT97" s="83"/>
      <c r="AJU97" s="83"/>
      <c r="AJV97" s="83"/>
      <c r="AJW97" s="83"/>
      <c r="AJX97" s="83"/>
      <c r="AJY97" s="83"/>
      <c r="AJZ97" s="83"/>
      <c r="AKA97" s="83"/>
      <c r="AKB97" s="83"/>
      <c r="AKC97" s="83"/>
      <c r="AKD97" s="83"/>
      <c r="AKE97" s="83"/>
      <c r="AKF97" s="83"/>
      <c r="AKG97" s="83"/>
      <c r="AKH97" s="83"/>
      <c r="AKI97" s="83"/>
      <c r="AKJ97" s="83"/>
      <c r="AKK97" s="83"/>
      <c r="AKL97" s="83"/>
      <c r="AKM97" s="83"/>
      <c r="AKN97" s="83"/>
      <c r="AKO97" s="83"/>
      <c r="AKP97" s="83"/>
      <c r="AKQ97" s="83"/>
      <c r="AKR97" s="83"/>
      <c r="AKS97" s="83"/>
      <c r="AKT97" s="83"/>
      <c r="AKU97" s="83"/>
      <c r="AKV97" s="83"/>
      <c r="AKW97" s="83"/>
      <c r="AKX97" s="83"/>
      <c r="AKY97" s="83"/>
      <c r="AKZ97" s="83"/>
      <c r="ALA97" s="83"/>
      <c r="ALB97" s="83"/>
      <c r="ALC97" s="83"/>
      <c r="ALD97" s="83"/>
      <c r="ALE97" s="83"/>
      <c r="ALF97" s="83"/>
      <c r="ALG97" s="83"/>
      <c r="ALH97" s="83"/>
      <c r="ALI97" s="83"/>
      <c r="ALJ97" s="83"/>
      <c r="ALK97" s="83"/>
      <c r="ALL97" s="83"/>
      <c r="ALM97" s="83"/>
      <c r="ALN97" s="83"/>
      <c r="ALO97" s="83"/>
      <c r="ALP97" s="83"/>
      <c r="ALQ97" s="83"/>
      <c r="ALR97" s="83"/>
      <c r="ALS97" s="83"/>
      <c r="ALT97" s="83"/>
      <c r="ALU97" s="83"/>
      <c r="ALV97" s="83"/>
      <c r="ALW97" s="83"/>
      <c r="ALX97" s="83"/>
      <c r="ALY97" s="83"/>
      <c r="ALZ97" s="83"/>
      <c r="AMA97" s="83"/>
      <c r="AMB97" s="83"/>
      <c r="AMC97" s="83"/>
      <c r="AMD97" s="83"/>
      <c r="AME97" s="83"/>
      <c r="AMF97" s="83"/>
      <c r="AMG97" s="83"/>
      <c r="AMH97" s="83"/>
      <c r="AMI97" s="83"/>
      <c r="AMJ97" s="83"/>
    </row>
    <row r="98" spans="12:1024" ht="20.25" customHeight="1" x14ac:dyDescent="0.2">
      <c r="L98" s="83"/>
      <c r="M98" s="84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83"/>
      <c r="CT98" s="83"/>
      <c r="CU98" s="83"/>
      <c r="CV98" s="83"/>
      <c r="CW98" s="83"/>
      <c r="CX98" s="83"/>
      <c r="CY98" s="83"/>
      <c r="CZ98" s="83"/>
      <c r="DA98" s="83"/>
      <c r="DB98" s="83"/>
      <c r="DC98" s="83"/>
      <c r="DD98" s="83"/>
      <c r="DE98" s="83"/>
      <c r="DF98" s="83"/>
      <c r="DG98" s="83"/>
      <c r="DH98" s="83"/>
      <c r="DI98" s="83"/>
      <c r="DJ98" s="83"/>
      <c r="DK98" s="83"/>
      <c r="DL98" s="83"/>
      <c r="DM98" s="83"/>
      <c r="DN98" s="83"/>
      <c r="DO98" s="83"/>
      <c r="DP98" s="83"/>
      <c r="DQ98" s="83"/>
      <c r="DR98" s="83"/>
      <c r="DS98" s="83"/>
      <c r="DT98" s="83"/>
      <c r="DU98" s="83"/>
      <c r="DV98" s="83"/>
      <c r="DW98" s="83"/>
      <c r="DX98" s="83"/>
      <c r="DY98" s="83"/>
      <c r="DZ98" s="83"/>
      <c r="EA98" s="83"/>
      <c r="EB98" s="83"/>
      <c r="EC98" s="83"/>
      <c r="ED98" s="83"/>
      <c r="EE98" s="83"/>
      <c r="EF98" s="83"/>
      <c r="EG98" s="83"/>
      <c r="EH98" s="83"/>
      <c r="EI98" s="83"/>
      <c r="EJ98" s="83"/>
      <c r="EK98" s="83"/>
      <c r="EL98" s="83"/>
      <c r="EM98" s="83"/>
      <c r="EN98" s="83"/>
      <c r="EO98" s="83"/>
      <c r="EP98" s="83"/>
      <c r="EQ98" s="83"/>
      <c r="ER98" s="83"/>
      <c r="ES98" s="83"/>
      <c r="ET98" s="83"/>
      <c r="EU98" s="83"/>
      <c r="EV98" s="83"/>
      <c r="EW98" s="83"/>
      <c r="EX98" s="83"/>
      <c r="EY98" s="83"/>
      <c r="EZ98" s="83"/>
      <c r="FA98" s="83"/>
      <c r="FB98" s="83"/>
      <c r="FC98" s="83"/>
      <c r="FD98" s="83"/>
      <c r="FE98" s="83"/>
      <c r="FF98" s="83"/>
      <c r="FG98" s="83"/>
      <c r="FH98" s="83"/>
      <c r="FI98" s="83"/>
      <c r="FJ98" s="83"/>
      <c r="FK98" s="83"/>
      <c r="FL98" s="83"/>
      <c r="FM98" s="83"/>
      <c r="FN98" s="83"/>
      <c r="FO98" s="83"/>
      <c r="FP98" s="83"/>
      <c r="FQ98" s="83"/>
      <c r="FR98" s="83"/>
      <c r="FS98" s="83"/>
      <c r="FT98" s="83"/>
      <c r="FU98" s="83"/>
      <c r="FV98" s="83"/>
      <c r="FW98" s="83"/>
      <c r="FX98" s="83"/>
      <c r="FY98" s="83"/>
      <c r="FZ98" s="83"/>
      <c r="GA98" s="83"/>
      <c r="GB98" s="83"/>
      <c r="GC98" s="83"/>
      <c r="GD98" s="83"/>
      <c r="GE98" s="83"/>
      <c r="GF98" s="83"/>
      <c r="GG98" s="83"/>
      <c r="GH98" s="83"/>
      <c r="GI98" s="83"/>
      <c r="GJ98" s="83"/>
      <c r="GK98" s="83"/>
      <c r="GL98" s="83"/>
      <c r="GM98" s="83"/>
      <c r="GN98" s="83"/>
      <c r="GO98" s="83"/>
      <c r="GP98" s="83"/>
      <c r="GQ98" s="83"/>
      <c r="GR98" s="83"/>
      <c r="GS98" s="83"/>
      <c r="GT98" s="83"/>
      <c r="GU98" s="83"/>
      <c r="GV98" s="83"/>
      <c r="GW98" s="83"/>
      <c r="GX98" s="83"/>
      <c r="GY98" s="83"/>
      <c r="GZ98" s="83"/>
      <c r="HA98" s="83"/>
      <c r="HB98" s="83"/>
      <c r="HC98" s="83"/>
      <c r="HD98" s="83"/>
      <c r="HE98" s="83"/>
      <c r="HF98" s="83"/>
      <c r="HG98" s="83"/>
      <c r="HH98" s="83"/>
      <c r="HI98" s="83"/>
      <c r="HJ98" s="83"/>
      <c r="HK98" s="83"/>
      <c r="HL98" s="83"/>
      <c r="HM98" s="83"/>
      <c r="HN98" s="83"/>
      <c r="HO98" s="83"/>
      <c r="HP98" s="83"/>
      <c r="HQ98" s="83"/>
      <c r="HR98" s="83"/>
      <c r="HS98" s="83"/>
      <c r="HT98" s="83"/>
      <c r="HU98" s="83"/>
      <c r="HV98" s="83"/>
      <c r="HW98" s="83"/>
      <c r="HX98" s="83"/>
      <c r="HY98" s="83"/>
      <c r="HZ98" s="83"/>
      <c r="IA98" s="83"/>
      <c r="IB98" s="83"/>
      <c r="IC98" s="83"/>
      <c r="ID98" s="83"/>
      <c r="IE98" s="83"/>
      <c r="IF98" s="83"/>
      <c r="IG98" s="83"/>
      <c r="IH98" s="83"/>
      <c r="II98" s="83"/>
      <c r="IJ98" s="83"/>
      <c r="IK98" s="83"/>
      <c r="IL98" s="83"/>
      <c r="IM98" s="83"/>
      <c r="IN98" s="83"/>
      <c r="IO98" s="83"/>
      <c r="IP98" s="83"/>
      <c r="IQ98" s="83"/>
      <c r="IR98" s="83"/>
      <c r="IS98" s="83"/>
      <c r="IT98" s="83"/>
      <c r="IU98" s="83"/>
      <c r="IV98" s="83"/>
      <c r="IW98" s="83"/>
      <c r="IX98" s="83"/>
      <c r="IY98" s="83"/>
      <c r="IZ98" s="83"/>
      <c r="JA98" s="83"/>
      <c r="JB98" s="83"/>
      <c r="JC98" s="83"/>
      <c r="JD98" s="83"/>
      <c r="JE98" s="83"/>
      <c r="JF98" s="83"/>
      <c r="JG98" s="83"/>
      <c r="JH98" s="83"/>
      <c r="JI98" s="83"/>
      <c r="JJ98" s="83"/>
      <c r="JK98" s="83"/>
      <c r="JL98" s="83"/>
      <c r="JM98" s="83"/>
      <c r="JN98" s="83"/>
      <c r="JO98" s="83"/>
      <c r="JP98" s="83"/>
      <c r="JQ98" s="83"/>
      <c r="JR98" s="83"/>
      <c r="JS98" s="83"/>
      <c r="JT98" s="83"/>
      <c r="JU98" s="83"/>
      <c r="JV98" s="83"/>
      <c r="JW98" s="83"/>
      <c r="JX98" s="83"/>
      <c r="JY98" s="83"/>
      <c r="JZ98" s="83"/>
      <c r="KA98" s="83"/>
      <c r="KB98" s="83"/>
      <c r="KC98" s="83"/>
      <c r="KD98" s="83"/>
      <c r="KE98" s="83"/>
      <c r="KF98" s="83"/>
      <c r="KG98" s="83"/>
      <c r="KH98" s="83"/>
      <c r="KI98" s="83"/>
      <c r="KJ98" s="83"/>
      <c r="KK98" s="83"/>
      <c r="KL98" s="83"/>
      <c r="KM98" s="83"/>
      <c r="KN98" s="83"/>
      <c r="KO98" s="83"/>
      <c r="KP98" s="83"/>
      <c r="KQ98" s="83"/>
      <c r="KR98" s="83"/>
      <c r="KS98" s="83"/>
      <c r="KT98" s="83"/>
      <c r="KU98" s="83"/>
      <c r="KV98" s="83"/>
      <c r="KW98" s="83"/>
      <c r="KX98" s="83"/>
      <c r="KY98" s="83"/>
      <c r="KZ98" s="83"/>
      <c r="LA98" s="83"/>
      <c r="LB98" s="83"/>
      <c r="LC98" s="83"/>
      <c r="LD98" s="83"/>
      <c r="LE98" s="83"/>
      <c r="LF98" s="83"/>
      <c r="LG98" s="83"/>
      <c r="LH98" s="83"/>
      <c r="LI98" s="83"/>
      <c r="LJ98" s="83"/>
      <c r="LK98" s="83"/>
      <c r="LL98" s="83"/>
      <c r="LM98" s="83"/>
      <c r="LN98" s="83"/>
      <c r="LO98" s="83"/>
      <c r="LP98" s="83"/>
      <c r="LQ98" s="83"/>
      <c r="LR98" s="83"/>
      <c r="LS98" s="83"/>
      <c r="LT98" s="83"/>
      <c r="LU98" s="83"/>
      <c r="LV98" s="83"/>
      <c r="LW98" s="83"/>
      <c r="LX98" s="83"/>
      <c r="LY98" s="83"/>
      <c r="LZ98" s="83"/>
      <c r="MA98" s="83"/>
      <c r="MB98" s="83"/>
      <c r="MC98" s="83"/>
      <c r="MD98" s="83"/>
      <c r="ME98" s="83"/>
      <c r="MF98" s="83"/>
      <c r="MG98" s="83"/>
      <c r="MH98" s="83"/>
      <c r="MI98" s="83"/>
      <c r="MJ98" s="83"/>
      <c r="MK98" s="83"/>
      <c r="ML98" s="83"/>
      <c r="MM98" s="83"/>
      <c r="MN98" s="83"/>
      <c r="MO98" s="83"/>
      <c r="MP98" s="83"/>
      <c r="MQ98" s="83"/>
      <c r="MR98" s="83"/>
      <c r="MS98" s="83"/>
      <c r="MT98" s="83"/>
      <c r="MU98" s="83"/>
      <c r="MV98" s="83"/>
      <c r="MW98" s="83"/>
      <c r="MX98" s="83"/>
      <c r="MY98" s="83"/>
      <c r="MZ98" s="83"/>
      <c r="NA98" s="83"/>
      <c r="NB98" s="83"/>
      <c r="NC98" s="83"/>
      <c r="ND98" s="83"/>
      <c r="NE98" s="83"/>
      <c r="NF98" s="83"/>
      <c r="NG98" s="83"/>
      <c r="NH98" s="83"/>
      <c r="NI98" s="83"/>
      <c r="NJ98" s="83"/>
      <c r="NK98" s="83"/>
      <c r="NL98" s="83"/>
      <c r="NM98" s="83"/>
      <c r="NN98" s="83"/>
      <c r="NO98" s="83"/>
      <c r="NP98" s="83"/>
      <c r="NQ98" s="83"/>
      <c r="NR98" s="83"/>
      <c r="NS98" s="83"/>
      <c r="NT98" s="83"/>
      <c r="NU98" s="83"/>
      <c r="NV98" s="83"/>
      <c r="NW98" s="83"/>
      <c r="NX98" s="83"/>
      <c r="NY98" s="83"/>
      <c r="NZ98" s="83"/>
      <c r="OA98" s="83"/>
      <c r="OB98" s="83"/>
      <c r="OC98" s="83"/>
      <c r="OD98" s="83"/>
      <c r="OE98" s="83"/>
      <c r="OF98" s="83"/>
      <c r="OG98" s="83"/>
      <c r="OH98" s="83"/>
      <c r="OI98" s="83"/>
      <c r="OJ98" s="83"/>
      <c r="OK98" s="83"/>
      <c r="OL98" s="83"/>
      <c r="OM98" s="83"/>
      <c r="ON98" s="83"/>
      <c r="OO98" s="83"/>
      <c r="OP98" s="83"/>
      <c r="OQ98" s="83"/>
      <c r="OR98" s="83"/>
      <c r="OS98" s="83"/>
      <c r="OT98" s="83"/>
      <c r="OU98" s="83"/>
      <c r="OV98" s="83"/>
      <c r="OW98" s="83"/>
      <c r="OX98" s="83"/>
      <c r="OY98" s="83"/>
      <c r="OZ98" s="83"/>
      <c r="PA98" s="83"/>
      <c r="PB98" s="83"/>
      <c r="PC98" s="83"/>
      <c r="PD98" s="83"/>
      <c r="PE98" s="83"/>
      <c r="PF98" s="83"/>
      <c r="PG98" s="83"/>
      <c r="PH98" s="83"/>
      <c r="PI98" s="83"/>
      <c r="PJ98" s="83"/>
      <c r="PK98" s="83"/>
      <c r="PL98" s="83"/>
      <c r="PM98" s="83"/>
      <c r="PN98" s="83"/>
      <c r="PO98" s="83"/>
      <c r="PP98" s="83"/>
      <c r="PQ98" s="83"/>
      <c r="PR98" s="83"/>
      <c r="PS98" s="83"/>
      <c r="PT98" s="83"/>
      <c r="PU98" s="83"/>
      <c r="PV98" s="83"/>
      <c r="PW98" s="83"/>
      <c r="PX98" s="83"/>
      <c r="PY98" s="83"/>
      <c r="PZ98" s="83"/>
      <c r="QA98" s="83"/>
      <c r="QB98" s="83"/>
      <c r="QC98" s="83"/>
      <c r="QD98" s="83"/>
      <c r="QE98" s="83"/>
      <c r="QF98" s="83"/>
      <c r="QG98" s="83"/>
      <c r="QH98" s="83"/>
      <c r="QI98" s="83"/>
      <c r="QJ98" s="83"/>
      <c r="QK98" s="83"/>
      <c r="QL98" s="83"/>
      <c r="QM98" s="83"/>
      <c r="QN98" s="83"/>
      <c r="QO98" s="83"/>
      <c r="QP98" s="83"/>
      <c r="QQ98" s="83"/>
      <c r="QR98" s="83"/>
      <c r="QS98" s="83"/>
      <c r="QT98" s="83"/>
      <c r="QU98" s="83"/>
      <c r="QV98" s="83"/>
      <c r="QW98" s="83"/>
      <c r="QX98" s="83"/>
      <c r="QY98" s="83"/>
      <c r="QZ98" s="83"/>
      <c r="RA98" s="83"/>
      <c r="RB98" s="83"/>
      <c r="RC98" s="83"/>
      <c r="RD98" s="83"/>
      <c r="RE98" s="83"/>
      <c r="RF98" s="83"/>
      <c r="RG98" s="83"/>
      <c r="RH98" s="83"/>
      <c r="RI98" s="83"/>
      <c r="RJ98" s="83"/>
      <c r="RK98" s="83"/>
      <c r="RL98" s="83"/>
      <c r="RM98" s="83"/>
      <c r="RN98" s="83"/>
      <c r="RO98" s="83"/>
      <c r="RP98" s="83"/>
      <c r="RQ98" s="83"/>
      <c r="RR98" s="83"/>
      <c r="RS98" s="83"/>
      <c r="RT98" s="83"/>
      <c r="RU98" s="83"/>
      <c r="RV98" s="83"/>
      <c r="RW98" s="83"/>
      <c r="RX98" s="83"/>
      <c r="RY98" s="83"/>
      <c r="RZ98" s="83"/>
      <c r="SA98" s="83"/>
      <c r="SB98" s="83"/>
      <c r="SC98" s="83"/>
      <c r="SD98" s="83"/>
      <c r="SE98" s="83"/>
      <c r="SF98" s="83"/>
      <c r="SG98" s="83"/>
      <c r="SH98" s="83"/>
      <c r="SI98" s="83"/>
      <c r="SJ98" s="83"/>
      <c r="SK98" s="83"/>
      <c r="SL98" s="83"/>
      <c r="SM98" s="83"/>
      <c r="SN98" s="83"/>
      <c r="SO98" s="83"/>
      <c r="SP98" s="83"/>
      <c r="SQ98" s="83"/>
      <c r="SR98" s="83"/>
      <c r="SS98" s="83"/>
      <c r="ST98" s="83"/>
      <c r="SU98" s="83"/>
      <c r="SV98" s="83"/>
      <c r="SW98" s="83"/>
      <c r="SX98" s="83"/>
      <c r="SY98" s="83"/>
      <c r="SZ98" s="83"/>
      <c r="TA98" s="83"/>
      <c r="TB98" s="83"/>
      <c r="TC98" s="83"/>
      <c r="TD98" s="83"/>
      <c r="TE98" s="83"/>
      <c r="TF98" s="83"/>
      <c r="TG98" s="83"/>
      <c r="TH98" s="83"/>
      <c r="TI98" s="83"/>
      <c r="TJ98" s="83"/>
      <c r="TK98" s="83"/>
      <c r="TL98" s="83"/>
      <c r="TM98" s="83"/>
      <c r="TN98" s="83"/>
      <c r="TO98" s="83"/>
      <c r="TP98" s="83"/>
      <c r="TQ98" s="83"/>
      <c r="TR98" s="83"/>
      <c r="TS98" s="83"/>
      <c r="TT98" s="83"/>
      <c r="TU98" s="83"/>
      <c r="TV98" s="83"/>
      <c r="TW98" s="83"/>
      <c r="TX98" s="83"/>
      <c r="TY98" s="83"/>
      <c r="TZ98" s="83"/>
      <c r="UA98" s="83"/>
      <c r="UB98" s="83"/>
      <c r="UC98" s="83"/>
      <c r="UD98" s="83"/>
      <c r="UE98" s="83"/>
      <c r="UF98" s="83"/>
      <c r="UG98" s="83"/>
      <c r="UH98" s="83"/>
      <c r="UI98" s="83"/>
      <c r="UJ98" s="83"/>
      <c r="UK98" s="83"/>
      <c r="UL98" s="83"/>
      <c r="UM98" s="83"/>
      <c r="UN98" s="83"/>
      <c r="UO98" s="83"/>
      <c r="UP98" s="83"/>
      <c r="UQ98" s="83"/>
      <c r="UR98" s="83"/>
      <c r="US98" s="83"/>
      <c r="UT98" s="83"/>
      <c r="UU98" s="83"/>
      <c r="UV98" s="83"/>
      <c r="UW98" s="83"/>
      <c r="UX98" s="83"/>
      <c r="UY98" s="83"/>
      <c r="UZ98" s="83"/>
      <c r="VA98" s="83"/>
      <c r="VB98" s="83"/>
      <c r="VC98" s="83"/>
      <c r="VD98" s="83"/>
      <c r="VE98" s="83"/>
      <c r="VF98" s="83"/>
      <c r="VG98" s="83"/>
      <c r="VH98" s="83"/>
      <c r="VI98" s="83"/>
      <c r="VJ98" s="83"/>
      <c r="VK98" s="83"/>
      <c r="VL98" s="83"/>
      <c r="VM98" s="83"/>
      <c r="VN98" s="83"/>
      <c r="VO98" s="83"/>
      <c r="VP98" s="83"/>
      <c r="VQ98" s="83"/>
      <c r="VR98" s="83"/>
      <c r="VS98" s="83"/>
      <c r="VT98" s="83"/>
      <c r="VU98" s="83"/>
      <c r="VV98" s="83"/>
      <c r="VW98" s="83"/>
      <c r="VX98" s="83"/>
      <c r="VY98" s="83"/>
      <c r="VZ98" s="83"/>
      <c r="WA98" s="83"/>
      <c r="WB98" s="83"/>
      <c r="WC98" s="83"/>
      <c r="WD98" s="83"/>
      <c r="WE98" s="83"/>
      <c r="WF98" s="83"/>
      <c r="WG98" s="83"/>
      <c r="WH98" s="83"/>
      <c r="WI98" s="83"/>
      <c r="WJ98" s="83"/>
      <c r="WK98" s="83"/>
      <c r="WL98" s="83"/>
      <c r="WM98" s="83"/>
      <c r="WN98" s="83"/>
      <c r="WO98" s="83"/>
      <c r="WP98" s="83"/>
      <c r="WQ98" s="83"/>
      <c r="WR98" s="83"/>
      <c r="WS98" s="83"/>
      <c r="WT98" s="83"/>
      <c r="WU98" s="83"/>
      <c r="WV98" s="83"/>
      <c r="WW98" s="83"/>
      <c r="WX98" s="83"/>
      <c r="WY98" s="83"/>
      <c r="WZ98" s="83"/>
      <c r="XA98" s="83"/>
      <c r="XB98" s="83"/>
      <c r="XC98" s="83"/>
      <c r="XD98" s="83"/>
      <c r="XE98" s="83"/>
      <c r="XF98" s="83"/>
      <c r="XG98" s="83"/>
      <c r="XH98" s="83"/>
      <c r="XI98" s="83"/>
      <c r="XJ98" s="83"/>
      <c r="XK98" s="83"/>
      <c r="XL98" s="83"/>
      <c r="XM98" s="83"/>
      <c r="XN98" s="83"/>
      <c r="XO98" s="83"/>
      <c r="XP98" s="83"/>
      <c r="XQ98" s="83"/>
      <c r="XR98" s="83"/>
      <c r="XS98" s="83"/>
      <c r="XT98" s="83"/>
      <c r="XU98" s="83"/>
      <c r="XV98" s="83"/>
      <c r="XW98" s="83"/>
      <c r="XX98" s="83"/>
      <c r="XY98" s="83"/>
      <c r="XZ98" s="83"/>
      <c r="YA98" s="83"/>
      <c r="YB98" s="83"/>
      <c r="YC98" s="83"/>
      <c r="YD98" s="83"/>
      <c r="YE98" s="83"/>
      <c r="YF98" s="83"/>
      <c r="YG98" s="83"/>
      <c r="YH98" s="83"/>
      <c r="YI98" s="83"/>
      <c r="YJ98" s="83"/>
      <c r="YK98" s="83"/>
      <c r="YL98" s="83"/>
      <c r="YM98" s="83"/>
      <c r="YN98" s="83"/>
      <c r="YO98" s="83"/>
      <c r="YP98" s="83"/>
      <c r="YQ98" s="83"/>
      <c r="YR98" s="83"/>
      <c r="YS98" s="83"/>
      <c r="YT98" s="83"/>
      <c r="YU98" s="83"/>
      <c r="YV98" s="83"/>
      <c r="YW98" s="83"/>
      <c r="YX98" s="83"/>
      <c r="YY98" s="83"/>
      <c r="YZ98" s="83"/>
      <c r="ZA98" s="83"/>
      <c r="ZB98" s="83"/>
      <c r="ZC98" s="83"/>
      <c r="ZD98" s="83"/>
      <c r="ZE98" s="83"/>
      <c r="ZF98" s="83"/>
      <c r="ZG98" s="83"/>
      <c r="ZH98" s="83"/>
      <c r="ZI98" s="83"/>
      <c r="ZJ98" s="83"/>
      <c r="ZK98" s="83"/>
      <c r="ZL98" s="83"/>
      <c r="ZM98" s="83"/>
      <c r="ZN98" s="83"/>
      <c r="ZO98" s="83"/>
      <c r="ZP98" s="83"/>
      <c r="ZQ98" s="83"/>
      <c r="ZR98" s="83"/>
      <c r="ZS98" s="83"/>
      <c r="ZT98" s="83"/>
      <c r="ZU98" s="83"/>
      <c r="ZV98" s="83"/>
      <c r="ZW98" s="83"/>
      <c r="ZX98" s="83"/>
      <c r="ZY98" s="83"/>
      <c r="ZZ98" s="83"/>
      <c r="AAA98" s="83"/>
      <c r="AAB98" s="83"/>
      <c r="AAC98" s="83"/>
      <c r="AAD98" s="83"/>
      <c r="AAE98" s="83"/>
      <c r="AAF98" s="83"/>
      <c r="AAG98" s="83"/>
      <c r="AAH98" s="83"/>
      <c r="AAI98" s="83"/>
      <c r="AAJ98" s="83"/>
      <c r="AAK98" s="83"/>
      <c r="AAL98" s="83"/>
      <c r="AAM98" s="83"/>
      <c r="AAN98" s="83"/>
      <c r="AAO98" s="83"/>
      <c r="AAP98" s="83"/>
      <c r="AAQ98" s="83"/>
      <c r="AAR98" s="83"/>
      <c r="AAS98" s="83"/>
      <c r="AAT98" s="83"/>
      <c r="AAU98" s="83"/>
      <c r="AAV98" s="83"/>
      <c r="AAW98" s="83"/>
      <c r="AAX98" s="83"/>
      <c r="AAY98" s="83"/>
      <c r="AAZ98" s="83"/>
      <c r="ABA98" s="83"/>
      <c r="ABB98" s="83"/>
      <c r="ABC98" s="83"/>
      <c r="ABD98" s="83"/>
      <c r="ABE98" s="83"/>
      <c r="ABF98" s="83"/>
      <c r="ABG98" s="83"/>
      <c r="ABH98" s="83"/>
      <c r="ABI98" s="83"/>
      <c r="ABJ98" s="83"/>
      <c r="ABK98" s="83"/>
      <c r="ABL98" s="83"/>
      <c r="ABM98" s="83"/>
      <c r="ABN98" s="83"/>
      <c r="ABO98" s="83"/>
      <c r="ABP98" s="83"/>
      <c r="ABQ98" s="83"/>
      <c r="ABR98" s="83"/>
      <c r="ABS98" s="83"/>
      <c r="ABT98" s="83"/>
      <c r="ABU98" s="83"/>
      <c r="ABV98" s="83"/>
      <c r="ABW98" s="83"/>
      <c r="ABX98" s="83"/>
      <c r="ABY98" s="83"/>
      <c r="ABZ98" s="83"/>
      <c r="ACA98" s="83"/>
      <c r="ACB98" s="83"/>
      <c r="ACC98" s="83"/>
      <c r="ACD98" s="83"/>
      <c r="ACE98" s="83"/>
      <c r="ACF98" s="83"/>
      <c r="ACG98" s="83"/>
      <c r="ACH98" s="83"/>
      <c r="ACI98" s="83"/>
      <c r="ACJ98" s="83"/>
      <c r="ACK98" s="83"/>
      <c r="ACL98" s="83"/>
      <c r="ACM98" s="83"/>
      <c r="ACN98" s="83"/>
      <c r="ACO98" s="83"/>
      <c r="ACP98" s="83"/>
      <c r="ACQ98" s="83"/>
      <c r="ACR98" s="83"/>
      <c r="ACS98" s="83"/>
      <c r="ACT98" s="83"/>
      <c r="ACU98" s="83"/>
      <c r="ACV98" s="83"/>
      <c r="ACW98" s="83"/>
      <c r="ACX98" s="83"/>
      <c r="ACY98" s="83"/>
      <c r="ACZ98" s="83"/>
      <c r="ADA98" s="83"/>
      <c r="ADB98" s="83"/>
      <c r="ADC98" s="83"/>
      <c r="ADD98" s="83"/>
      <c r="ADE98" s="83"/>
      <c r="ADF98" s="83"/>
      <c r="ADG98" s="83"/>
      <c r="ADH98" s="83"/>
      <c r="ADI98" s="83"/>
      <c r="ADJ98" s="83"/>
      <c r="ADK98" s="83"/>
      <c r="ADL98" s="83"/>
      <c r="ADM98" s="83"/>
      <c r="ADN98" s="83"/>
      <c r="ADO98" s="83"/>
      <c r="ADP98" s="83"/>
      <c r="ADQ98" s="83"/>
      <c r="ADR98" s="83"/>
      <c r="ADS98" s="83"/>
      <c r="ADT98" s="83"/>
      <c r="ADU98" s="83"/>
      <c r="ADV98" s="83"/>
      <c r="ADW98" s="83"/>
      <c r="ADX98" s="83"/>
      <c r="ADY98" s="83"/>
      <c r="ADZ98" s="83"/>
      <c r="AEA98" s="83"/>
      <c r="AEB98" s="83"/>
      <c r="AEC98" s="83"/>
      <c r="AED98" s="83"/>
      <c r="AEE98" s="83"/>
      <c r="AEF98" s="83"/>
      <c r="AEG98" s="83"/>
      <c r="AEH98" s="83"/>
      <c r="AEI98" s="83"/>
      <c r="AEJ98" s="83"/>
      <c r="AEK98" s="83"/>
      <c r="AEL98" s="83"/>
      <c r="AEM98" s="83"/>
      <c r="AEN98" s="83"/>
      <c r="AEO98" s="83"/>
      <c r="AEP98" s="83"/>
      <c r="AEQ98" s="83"/>
      <c r="AER98" s="83"/>
      <c r="AES98" s="83"/>
      <c r="AET98" s="83"/>
      <c r="AEU98" s="83"/>
      <c r="AEV98" s="83"/>
      <c r="AEW98" s="83"/>
      <c r="AEX98" s="83"/>
      <c r="AEY98" s="83"/>
      <c r="AEZ98" s="83"/>
      <c r="AFA98" s="83"/>
      <c r="AFB98" s="83"/>
      <c r="AFC98" s="83"/>
      <c r="AFD98" s="83"/>
      <c r="AFE98" s="83"/>
      <c r="AFF98" s="83"/>
      <c r="AFG98" s="83"/>
      <c r="AFH98" s="83"/>
      <c r="AFI98" s="83"/>
      <c r="AFJ98" s="83"/>
      <c r="AFK98" s="83"/>
      <c r="AFL98" s="83"/>
      <c r="AFM98" s="83"/>
      <c r="AFN98" s="83"/>
      <c r="AFO98" s="83"/>
      <c r="AFP98" s="83"/>
      <c r="AFQ98" s="83"/>
      <c r="AFR98" s="83"/>
      <c r="AFS98" s="83"/>
      <c r="AFT98" s="83"/>
      <c r="AFU98" s="83"/>
      <c r="AFV98" s="83"/>
      <c r="AFW98" s="83"/>
      <c r="AFX98" s="83"/>
      <c r="AFY98" s="83"/>
      <c r="AFZ98" s="83"/>
      <c r="AGA98" s="83"/>
      <c r="AGB98" s="83"/>
      <c r="AGC98" s="83"/>
      <c r="AGD98" s="83"/>
      <c r="AGE98" s="83"/>
      <c r="AGF98" s="83"/>
      <c r="AGG98" s="83"/>
      <c r="AGH98" s="83"/>
      <c r="AGI98" s="83"/>
      <c r="AGJ98" s="83"/>
      <c r="AGK98" s="83"/>
      <c r="AGL98" s="83"/>
      <c r="AGM98" s="83"/>
      <c r="AGN98" s="83"/>
      <c r="AGO98" s="83"/>
      <c r="AGP98" s="83"/>
      <c r="AGQ98" s="83"/>
      <c r="AGR98" s="83"/>
      <c r="AGS98" s="83"/>
      <c r="AGT98" s="83"/>
      <c r="AGU98" s="83"/>
      <c r="AGV98" s="83"/>
      <c r="AGW98" s="83"/>
      <c r="AGX98" s="83"/>
      <c r="AGY98" s="83"/>
      <c r="AGZ98" s="83"/>
      <c r="AHA98" s="83"/>
      <c r="AHB98" s="83"/>
      <c r="AHC98" s="83"/>
      <c r="AHD98" s="83"/>
      <c r="AHE98" s="83"/>
      <c r="AHF98" s="83"/>
      <c r="AHG98" s="83"/>
      <c r="AHH98" s="83"/>
      <c r="AHI98" s="83"/>
      <c r="AHJ98" s="83"/>
      <c r="AHK98" s="83"/>
      <c r="AHL98" s="83"/>
      <c r="AHM98" s="83"/>
      <c r="AHN98" s="83"/>
      <c r="AHO98" s="83"/>
      <c r="AHP98" s="83"/>
      <c r="AHQ98" s="83"/>
      <c r="AHR98" s="83"/>
      <c r="AHS98" s="83"/>
      <c r="AHT98" s="83"/>
      <c r="AHU98" s="83"/>
      <c r="AHV98" s="83"/>
      <c r="AHW98" s="83"/>
      <c r="AHX98" s="83"/>
      <c r="AHY98" s="83"/>
      <c r="AHZ98" s="83"/>
      <c r="AIA98" s="83"/>
      <c r="AIB98" s="83"/>
      <c r="AIC98" s="83"/>
      <c r="AID98" s="83"/>
      <c r="AIE98" s="83"/>
      <c r="AIF98" s="83"/>
      <c r="AIG98" s="83"/>
      <c r="AIH98" s="83"/>
      <c r="AII98" s="83"/>
      <c r="AIJ98" s="83"/>
      <c r="AIK98" s="83"/>
      <c r="AIL98" s="83"/>
      <c r="AIM98" s="83"/>
      <c r="AIN98" s="83"/>
      <c r="AIO98" s="83"/>
      <c r="AIP98" s="83"/>
      <c r="AIQ98" s="83"/>
      <c r="AIR98" s="83"/>
      <c r="AIS98" s="83"/>
      <c r="AIT98" s="83"/>
      <c r="AIU98" s="83"/>
      <c r="AIV98" s="83"/>
      <c r="AIW98" s="83"/>
      <c r="AIX98" s="83"/>
      <c r="AIY98" s="83"/>
      <c r="AIZ98" s="83"/>
      <c r="AJA98" s="83"/>
      <c r="AJB98" s="83"/>
      <c r="AJC98" s="83"/>
      <c r="AJD98" s="83"/>
      <c r="AJE98" s="83"/>
      <c r="AJF98" s="83"/>
      <c r="AJG98" s="83"/>
      <c r="AJH98" s="83"/>
      <c r="AJI98" s="83"/>
      <c r="AJJ98" s="83"/>
      <c r="AJK98" s="83"/>
      <c r="AJL98" s="83"/>
      <c r="AJM98" s="83"/>
      <c r="AJN98" s="83"/>
      <c r="AJO98" s="83"/>
      <c r="AJP98" s="83"/>
      <c r="AJQ98" s="83"/>
      <c r="AJR98" s="83"/>
      <c r="AJS98" s="83"/>
      <c r="AJT98" s="83"/>
      <c r="AJU98" s="83"/>
      <c r="AJV98" s="83"/>
      <c r="AJW98" s="83"/>
      <c r="AJX98" s="83"/>
      <c r="AJY98" s="83"/>
      <c r="AJZ98" s="83"/>
      <c r="AKA98" s="83"/>
      <c r="AKB98" s="83"/>
      <c r="AKC98" s="83"/>
      <c r="AKD98" s="83"/>
      <c r="AKE98" s="83"/>
      <c r="AKF98" s="83"/>
      <c r="AKG98" s="83"/>
      <c r="AKH98" s="83"/>
      <c r="AKI98" s="83"/>
      <c r="AKJ98" s="83"/>
      <c r="AKK98" s="83"/>
      <c r="AKL98" s="83"/>
      <c r="AKM98" s="83"/>
      <c r="AKN98" s="83"/>
      <c r="AKO98" s="83"/>
      <c r="AKP98" s="83"/>
      <c r="AKQ98" s="83"/>
      <c r="AKR98" s="83"/>
      <c r="AKS98" s="83"/>
      <c r="AKT98" s="83"/>
      <c r="AKU98" s="83"/>
      <c r="AKV98" s="83"/>
      <c r="AKW98" s="83"/>
      <c r="AKX98" s="83"/>
      <c r="AKY98" s="83"/>
      <c r="AKZ98" s="83"/>
      <c r="ALA98" s="83"/>
      <c r="ALB98" s="83"/>
      <c r="ALC98" s="83"/>
      <c r="ALD98" s="83"/>
      <c r="ALE98" s="83"/>
      <c r="ALF98" s="83"/>
      <c r="ALG98" s="83"/>
      <c r="ALH98" s="83"/>
      <c r="ALI98" s="83"/>
      <c r="ALJ98" s="83"/>
      <c r="ALK98" s="83"/>
      <c r="ALL98" s="83"/>
      <c r="ALM98" s="83"/>
      <c r="ALN98" s="83"/>
      <c r="ALO98" s="83"/>
      <c r="ALP98" s="83"/>
      <c r="ALQ98" s="83"/>
      <c r="ALR98" s="83"/>
      <c r="ALS98" s="83"/>
      <c r="ALT98" s="83"/>
      <c r="ALU98" s="83"/>
      <c r="ALV98" s="83"/>
      <c r="ALW98" s="83"/>
      <c r="ALX98" s="83"/>
      <c r="ALY98" s="83"/>
      <c r="ALZ98" s="83"/>
      <c r="AMA98" s="83"/>
      <c r="AMB98" s="83"/>
      <c r="AMC98" s="83"/>
      <c r="AMD98" s="83"/>
      <c r="AME98" s="83"/>
      <c r="AMF98" s="83"/>
      <c r="AMG98" s="83"/>
      <c r="AMH98" s="83"/>
      <c r="AMI98" s="83"/>
      <c r="AMJ98" s="83"/>
    </row>
  </sheetData>
  <mergeCells count="60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K10:K11"/>
    <mergeCell ref="C12:G12"/>
    <mergeCell ref="C42:G42"/>
    <mergeCell ref="C43:G43"/>
    <mergeCell ref="C44:G44"/>
    <mergeCell ref="C19:G19"/>
    <mergeCell ref="C20:G20"/>
    <mergeCell ref="C21:G21"/>
    <mergeCell ref="C22:G22"/>
    <mergeCell ref="J10:J11"/>
    <mergeCell ref="C27:G27"/>
    <mergeCell ref="C28:G28"/>
    <mergeCell ref="C29:G29"/>
    <mergeCell ref="C30:G30"/>
    <mergeCell ref="C31:G31"/>
    <mergeCell ref="C32:G32"/>
    <mergeCell ref="A48:I48"/>
    <mergeCell ref="J48:K48"/>
    <mergeCell ref="A49:I49"/>
    <mergeCell ref="J49:K49"/>
    <mergeCell ref="C13:G13"/>
    <mergeCell ref="C14:G14"/>
    <mergeCell ref="C15:G15"/>
    <mergeCell ref="C16:G16"/>
    <mergeCell ref="C17:G17"/>
    <mergeCell ref="C18:G18"/>
    <mergeCell ref="C47:G47"/>
    <mergeCell ref="C34:G34"/>
    <mergeCell ref="C23:G23"/>
    <mergeCell ref="C24:G24"/>
    <mergeCell ref="C25:G25"/>
    <mergeCell ref="C26:G26"/>
    <mergeCell ref="C33:G33"/>
    <mergeCell ref="C41:G41"/>
    <mergeCell ref="C45:G45"/>
    <mergeCell ref="C46:G46"/>
    <mergeCell ref="C35:G35"/>
    <mergeCell ref="C36:G36"/>
    <mergeCell ref="C37:G37"/>
    <mergeCell ref="C38:G38"/>
    <mergeCell ref="C39:G39"/>
    <mergeCell ref="C40:G40"/>
  </mergeCells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"/>
  <sheetViews>
    <sheetView topLeftCell="A10" workbookViewId="0">
      <selection activeCell="A26" sqref="A26:Q27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4" t="s">
        <v>2</v>
      </c>
      <c r="B1" s="294"/>
      <c r="C1" s="294"/>
      <c r="D1" s="295">
        <v>2021</v>
      </c>
      <c r="E1" s="295"/>
      <c r="F1" s="129"/>
      <c r="G1" s="129"/>
      <c r="H1" s="130"/>
      <c r="I1" s="130"/>
      <c r="J1" s="130"/>
      <c r="K1" s="130"/>
      <c r="L1" s="130"/>
      <c r="M1" s="130"/>
      <c r="N1" s="130"/>
      <c r="P1" s="296" t="s">
        <v>116</v>
      </c>
      <c r="Q1" s="296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6"/>
      <c r="Q2" s="296"/>
    </row>
    <row r="4" spans="1:17" s="132" customFormat="1" ht="18" customHeight="1" thickBot="1" x14ac:dyDescent="0.25">
      <c r="A4" s="297" t="s">
        <v>117</v>
      </c>
      <c r="B4" s="297"/>
      <c r="C4" s="297"/>
      <c r="D4" s="297"/>
      <c r="E4" s="297"/>
      <c r="F4" s="297"/>
      <c r="G4" s="284" t="s">
        <v>101</v>
      </c>
      <c r="H4" s="284"/>
      <c r="I4" s="284"/>
      <c r="J4" s="284"/>
      <c r="K4" s="284"/>
      <c r="L4" s="284"/>
      <c r="M4" s="284"/>
      <c r="N4" s="284"/>
      <c r="O4" s="284"/>
      <c r="P4" s="284"/>
      <c r="Q4" s="284"/>
    </row>
    <row r="5" spans="1:17" s="132" customFormat="1" ht="18" customHeight="1" thickBot="1" x14ac:dyDescent="0.25">
      <c r="A5" s="281" t="s">
        <v>102</v>
      </c>
      <c r="B5" s="282"/>
      <c r="C5" s="282"/>
      <c r="D5" s="282"/>
      <c r="E5" s="282"/>
      <c r="F5" s="283"/>
      <c r="G5" s="284" t="s">
        <v>118</v>
      </c>
      <c r="H5" s="284"/>
      <c r="I5" s="284"/>
      <c r="J5" s="284"/>
      <c r="K5" s="284"/>
      <c r="L5" s="284"/>
      <c r="M5" s="284"/>
      <c r="N5" s="284"/>
      <c r="O5" s="284"/>
      <c r="P5" s="284"/>
      <c r="Q5" s="284"/>
    </row>
    <row r="6" spans="1:17" s="132" customFormat="1" ht="18" customHeight="1" thickBot="1" x14ac:dyDescent="0.25">
      <c r="A6" s="281" t="s">
        <v>104</v>
      </c>
      <c r="B6" s="282"/>
      <c r="C6" s="282"/>
      <c r="D6" s="282"/>
      <c r="E6" s="282"/>
      <c r="F6" s="283"/>
      <c r="G6" s="284" t="s">
        <v>148</v>
      </c>
      <c r="H6" s="284"/>
      <c r="I6" s="284"/>
      <c r="J6" s="284"/>
      <c r="K6" s="284"/>
      <c r="L6" s="284"/>
      <c r="M6" s="284"/>
      <c r="N6" s="284"/>
      <c r="O6" s="284"/>
      <c r="P6" s="284"/>
      <c r="Q6" s="284"/>
    </row>
    <row r="7" spans="1:17" s="132" customFormat="1" ht="18" customHeight="1" thickBot="1" x14ac:dyDescent="0.25">
      <c r="A7" s="281" t="s">
        <v>105</v>
      </c>
      <c r="B7" s="282"/>
      <c r="C7" s="282"/>
      <c r="D7" s="282"/>
      <c r="E7" s="282"/>
      <c r="F7" s="283"/>
      <c r="G7" s="284" t="s">
        <v>148</v>
      </c>
      <c r="H7" s="284"/>
      <c r="I7" s="284"/>
      <c r="J7" s="284"/>
      <c r="K7" s="284"/>
      <c r="L7" s="284"/>
      <c r="M7" s="284"/>
      <c r="N7" s="284"/>
      <c r="O7" s="284"/>
      <c r="P7" s="284"/>
      <c r="Q7" s="284"/>
    </row>
    <row r="8" spans="1:17" ht="18" customHeight="1" thickBot="1" x14ac:dyDescent="0.25">
      <c r="A8" s="285" t="s">
        <v>119</v>
      </c>
      <c r="B8" s="285"/>
      <c r="C8" s="285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</row>
    <row r="9" spans="1:17" ht="18" customHeight="1" x14ac:dyDescent="0.2">
      <c r="A9" s="286" t="s">
        <v>120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133"/>
      <c r="P9" s="133"/>
      <c r="Q9" s="134"/>
    </row>
    <row r="10" spans="1:17" ht="57" customHeight="1" x14ac:dyDescent="0.2">
      <c r="A10" s="287" t="s">
        <v>149</v>
      </c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9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0" t="s">
        <v>121</v>
      </c>
      <c r="B12" s="290"/>
      <c r="C12" s="290"/>
      <c r="D12" s="290"/>
      <c r="E12" s="290"/>
      <c r="F12" s="290"/>
      <c r="G12" s="290"/>
      <c r="H12" s="290"/>
      <c r="I12" s="290"/>
      <c r="J12" s="290"/>
      <c r="K12" s="290"/>
      <c r="L12" s="290"/>
      <c r="M12" s="290"/>
      <c r="N12" s="290"/>
      <c r="O12" s="290"/>
      <c r="P12" s="290"/>
      <c r="Q12" s="290"/>
    </row>
    <row r="13" spans="1:17" ht="15.75" customHeight="1" thickBot="1" x14ac:dyDescent="0.25">
      <c r="A13" s="291" t="s">
        <v>122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291"/>
      <c r="O13" s="292" t="s">
        <v>123</v>
      </c>
      <c r="P13" s="292"/>
      <c r="Q13" s="293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2"/>
      <c r="P14" s="292"/>
      <c r="Q14" s="293"/>
    </row>
    <row r="15" spans="1:17" ht="33.75" customHeight="1" x14ac:dyDescent="0.2">
      <c r="A15" s="144">
        <v>30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79" t="s">
        <v>142</v>
      </c>
      <c r="P15" s="280"/>
      <c r="Q15" s="105">
        <f>+'Necesidades Trimestrales '!R52</f>
        <v>40651865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0"/>
      <c r="P16" s="271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0"/>
      <c r="P17" s="271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1"/>
      <c r="P18" s="271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1"/>
      <c r="P19" s="271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1"/>
      <c r="P20" s="271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0"/>
      <c r="P21" s="270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2"/>
      <c r="P22" s="272"/>
      <c r="Q22" s="119"/>
    </row>
    <row r="23" spans="1:18" ht="36" customHeight="1" thickBot="1" x14ac:dyDescent="0.25">
      <c r="A23" s="273" t="s">
        <v>159</v>
      </c>
      <c r="B23" s="273"/>
      <c r="C23" s="273"/>
      <c r="D23" s="273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161">
        <f>SUM(Q15:Q22)</f>
        <v>40651865</v>
      </c>
    </row>
    <row r="24" spans="1:18" ht="18" customHeight="1" thickBot="1" x14ac:dyDescent="0.25">
      <c r="A24" s="274"/>
      <c r="B24" s="274"/>
      <c r="C24" s="274"/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74"/>
      <c r="P24" s="274"/>
      <c r="Q24" s="274"/>
    </row>
    <row r="25" spans="1:18" ht="17.25" customHeight="1" thickBot="1" x14ac:dyDescent="0.25">
      <c r="A25" s="275" t="s">
        <v>138</v>
      </c>
      <c r="B25" s="276"/>
      <c r="C25" s="276"/>
      <c r="D25" s="276"/>
      <c r="E25" s="276"/>
      <c r="F25" s="277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8"/>
    </row>
    <row r="26" spans="1:18" ht="18" customHeight="1" thickBot="1" x14ac:dyDescent="0.25">
      <c r="A26" s="269" t="s">
        <v>143</v>
      </c>
      <c r="B26" s="269"/>
      <c r="C26" s="269"/>
      <c r="D26" s="269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</row>
    <row r="27" spans="1:18" ht="28.5" customHeight="1" thickBot="1" x14ac:dyDescent="0.25">
      <c r="A27" s="269"/>
      <c r="B27" s="269"/>
      <c r="C27" s="269"/>
      <c r="D27" s="269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73"/>
  <sheetViews>
    <sheetView zoomScale="80" zoomScaleNormal="80" workbookViewId="0">
      <selection activeCell="D17" sqref="D17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7" t="s">
        <v>98</v>
      </c>
      <c r="B1" s="227"/>
      <c r="C1" s="227"/>
      <c r="D1" s="227"/>
      <c r="E1" s="227"/>
      <c r="F1" s="227"/>
      <c r="G1" s="227"/>
      <c r="H1" s="227"/>
      <c r="I1" s="227"/>
      <c r="J1" s="49" t="s">
        <v>99</v>
      </c>
      <c r="K1" s="50" t="s">
        <v>166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2" t="s">
        <v>100</v>
      </c>
      <c r="B3" s="222"/>
      <c r="C3" s="222"/>
      <c r="D3" s="223" t="s">
        <v>101</v>
      </c>
      <c r="E3" s="223"/>
      <c r="F3" s="223"/>
      <c r="G3" s="223"/>
      <c r="H3" s="223"/>
      <c r="I3" s="223"/>
      <c r="J3" s="223"/>
      <c r="K3" s="223"/>
    </row>
    <row r="4" spans="1:13" ht="18.75" customHeight="1" thickBot="1" x14ac:dyDescent="0.25">
      <c r="A4" s="224" t="s">
        <v>102</v>
      </c>
      <c r="B4" s="224"/>
      <c r="C4" s="224"/>
      <c r="D4" s="223" t="s">
        <v>103</v>
      </c>
      <c r="E4" s="223"/>
      <c r="F4" s="223"/>
      <c r="G4" s="223"/>
      <c r="H4" s="223"/>
      <c r="I4" s="223"/>
      <c r="J4" s="223"/>
      <c r="K4" s="223"/>
    </row>
    <row r="5" spans="1:13" ht="18.75" customHeight="1" thickBot="1" x14ac:dyDescent="0.25">
      <c r="A5" s="224" t="s">
        <v>104</v>
      </c>
      <c r="B5" s="224"/>
      <c r="C5" s="224"/>
      <c r="D5" s="223" t="s">
        <v>150</v>
      </c>
      <c r="E5" s="223"/>
      <c r="F5" s="223"/>
      <c r="G5" s="223"/>
      <c r="H5" s="223"/>
      <c r="I5" s="223"/>
      <c r="J5" s="223"/>
      <c r="K5" s="223"/>
    </row>
    <row r="6" spans="1:13" ht="16.5" customHeight="1" thickBot="1" x14ac:dyDescent="0.25">
      <c r="A6" s="222" t="s">
        <v>105</v>
      </c>
      <c r="B6" s="222"/>
      <c r="C6" s="222"/>
      <c r="D6" s="223" t="s">
        <v>150</v>
      </c>
      <c r="E6" s="223"/>
      <c r="F6" s="223"/>
      <c r="G6" s="223"/>
      <c r="H6" s="223"/>
      <c r="I6" s="223"/>
      <c r="J6" s="223"/>
      <c r="K6" s="223"/>
    </row>
    <row r="7" spans="1:13" ht="16.5" customHeight="1" thickBot="1" x14ac:dyDescent="0.25">
      <c r="A7" s="224" t="s">
        <v>106</v>
      </c>
      <c r="B7" s="224"/>
      <c r="C7" s="224"/>
      <c r="D7" s="223" t="s">
        <v>107</v>
      </c>
      <c r="E7" s="223"/>
      <c r="F7" s="223"/>
      <c r="G7" s="223"/>
      <c r="H7" s="223"/>
      <c r="I7" s="223"/>
      <c r="J7" s="223"/>
      <c r="K7" s="223"/>
    </row>
    <row r="8" spans="1:13" ht="16.5" customHeight="1" thickBot="1" x14ac:dyDescent="0.25">
      <c r="A8" s="225" t="s">
        <v>108</v>
      </c>
      <c r="B8" s="225"/>
      <c r="C8" s="225"/>
      <c r="D8" s="226" t="s">
        <v>141</v>
      </c>
      <c r="E8" s="226"/>
      <c r="F8" s="226"/>
      <c r="G8" s="226"/>
      <c r="H8" s="226"/>
      <c r="I8" s="226"/>
      <c r="J8" s="226"/>
      <c r="K8" s="226"/>
    </row>
    <row r="9" spans="1:13" ht="16.5" thickBot="1" x14ac:dyDescent="0.25">
      <c r="A9" s="54"/>
      <c r="B9" s="54"/>
      <c r="C9" s="54"/>
      <c r="D9" s="162"/>
      <c r="E9" s="162"/>
      <c r="F9" s="162"/>
      <c r="G9" s="162"/>
      <c r="H9" s="162"/>
      <c r="I9" s="162"/>
      <c r="J9" s="162"/>
      <c r="K9" s="162"/>
    </row>
    <row r="10" spans="1:13" ht="18.75" customHeight="1" thickBot="1" x14ac:dyDescent="0.25">
      <c r="A10" s="221" t="s">
        <v>109</v>
      </c>
      <c r="B10" s="220" t="s">
        <v>110</v>
      </c>
      <c r="C10" s="220" t="s">
        <v>111</v>
      </c>
      <c r="D10" s="220"/>
      <c r="E10" s="220"/>
      <c r="F10" s="220"/>
      <c r="G10" s="220"/>
      <c r="H10" s="220" t="s">
        <v>112</v>
      </c>
      <c r="I10" s="220" t="s">
        <v>113</v>
      </c>
      <c r="J10" s="220" t="s">
        <v>114</v>
      </c>
      <c r="K10" s="213" t="s">
        <v>115</v>
      </c>
    </row>
    <row r="11" spans="1:13" ht="24" customHeight="1" thickBot="1" x14ac:dyDescent="0.25">
      <c r="A11" s="221"/>
      <c r="B11" s="220"/>
      <c r="C11" s="220"/>
      <c r="D11" s="220"/>
      <c r="E11" s="220"/>
      <c r="F11" s="220"/>
      <c r="G11" s="220"/>
      <c r="H11" s="220"/>
      <c r="I11" s="220"/>
      <c r="J11" s="220"/>
      <c r="K11" s="213"/>
    </row>
    <row r="12" spans="1:13" s="51" customFormat="1" ht="32.25" customHeight="1" thickBot="1" x14ac:dyDescent="0.25">
      <c r="A12" s="55">
        <v>1</v>
      </c>
      <c r="B12" s="56"/>
      <c r="C12" s="263" t="s">
        <v>56</v>
      </c>
      <c r="D12" s="264"/>
      <c r="E12" s="264"/>
      <c r="F12" s="264"/>
      <c r="G12" s="265"/>
      <c r="H12" s="57" t="s">
        <v>140</v>
      </c>
      <c r="I12" s="58" t="s">
        <v>12</v>
      </c>
      <c r="J12" s="45">
        <v>13</v>
      </c>
      <c r="K12" s="59">
        <v>1000</v>
      </c>
      <c r="M12" s="128">
        <f>+K12*J12</f>
        <v>13000</v>
      </c>
    </row>
    <row r="13" spans="1:13" s="51" customFormat="1" ht="32.25" customHeight="1" thickBot="1" x14ac:dyDescent="0.25">
      <c r="A13" s="61">
        <v>2</v>
      </c>
      <c r="B13" s="62"/>
      <c r="C13" s="266" t="s">
        <v>57</v>
      </c>
      <c r="D13" s="267"/>
      <c r="E13" s="267"/>
      <c r="F13" s="267"/>
      <c r="G13" s="268"/>
      <c r="H13" s="57" t="s">
        <v>140</v>
      </c>
      <c r="I13" s="58" t="s">
        <v>12</v>
      </c>
      <c r="J13" s="45">
        <v>130</v>
      </c>
      <c r="K13" s="68">
        <v>300</v>
      </c>
      <c r="M13" s="128">
        <f t="shared" ref="M13:M15" si="0">+K13*J13</f>
        <v>39000</v>
      </c>
    </row>
    <row r="14" spans="1:13" s="51" customFormat="1" ht="32.25" customHeight="1" thickBot="1" x14ac:dyDescent="0.25">
      <c r="A14" s="55">
        <v>3</v>
      </c>
      <c r="B14" s="62"/>
      <c r="C14" s="210" t="s">
        <v>55</v>
      </c>
      <c r="D14" s="211"/>
      <c r="E14" s="211"/>
      <c r="F14" s="211"/>
      <c r="G14" s="212"/>
      <c r="H14" s="57" t="s">
        <v>140</v>
      </c>
      <c r="I14" s="58" t="s">
        <v>12</v>
      </c>
      <c r="J14" s="45">
        <v>1600</v>
      </c>
      <c r="K14" s="68">
        <v>10</v>
      </c>
      <c r="M14" s="128">
        <f t="shared" si="0"/>
        <v>16000</v>
      </c>
    </row>
    <row r="15" spans="1:13" s="51" customFormat="1" ht="32.25" customHeight="1" x14ac:dyDescent="0.2">
      <c r="A15" s="61">
        <v>4</v>
      </c>
      <c r="B15" s="62"/>
      <c r="C15" s="210" t="s">
        <v>54</v>
      </c>
      <c r="D15" s="211"/>
      <c r="E15" s="211"/>
      <c r="F15" s="211"/>
      <c r="G15" s="212"/>
      <c r="H15" s="57" t="s">
        <v>140</v>
      </c>
      <c r="I15" s="58" t="s">
        <v>12</v>
      </c>
      <c r="J15" s="45">
        <v>1575</v>
      </c>
      <c r="K15" s="68">
        <v>20</v>
      </c>
      <c r="M15" s="128">
        <f t="shared" si="0"/>
        <v>31500</v>
      </c>
    </row>
    <row r="16" spans="1:13" s="51" customFormat="1" ht="32.25" customHeight="1" x14ac:dyDescent="0.2">
      <c r="A16" s="61"/>
      <c r="B16" s="62"/>
      <c r="C16" s="63"/>
      <c r="D16" s="64"/>
      <c r="E16" s="64"/>
      <c r="F16" s="64"/>
      <c r="G16" s="65"/>
      <c r="H16" s="66"/>
      <c r="I16" s="58"/>
      <c r="J16" s="67"/>
      <c r="K16" s="68"/>
      <c r="M16" s="60"/>
    </row>
    <row r="17" spans="1:13" s="51" customFormat="1" ht="32.25" customHeight="1" x14ac:dyDescent="0.2">
      <c r="A17" s="61"/>
      <c r="B17" s="62"/>
      <c r="C17" s="63"/>
      <c r="D17" s="64"/>
      <c r="E17" s="64"/>
      <c r="F17" s="64"/>
      <c r="G17" s="65"/>
      <c r="H17" s="66"/>
      <c r="I17" s="58"/>
      <c r="J17" s="67"/>
      <c r="K17" s="68"/>
      <c r="M17" s="60"/>
    </row>
    <row r="18" spans="1:13" s="51" customFormat="1" ht="32.25" customHeight="1" x14ac:dyDescent="0.2">
      <c r="A18" s="61"/>
      <c r="B18" s="62"/>
      <c r="C18" s="63"/>
      <c r="D18" s="64"/>
      <c r="E18" s="64"/>
      <c r="F18" s="64"/>
      <c r="G18" s="65"/>
      <c r="H18" s="66"/>
      <c r="I18" s="58"/>
      <c r="J18" s="67"/>
      <c r="K18" s="68"/>
      <c r="M18" s="60"/>
    </row>
    <row r="19" spans="1:13" s="51" customFormat="1" ht="32.25" customHeight="1" x14ac:dyDescent="0.2">
      <c r="A19" s="61"/>
      <c r="B19" s="62"/>
      <c r="C19" s="63"/>
      <c r="D19" s="64"/>
      <c r="E19" s="64"/>
      <c r="F19" s="64"/>
      <c r="G19" s="65"/>
      <c r="H19" s="66"/>
      <c r="I19" s="58"/>
      <c r="J19" s="67"/>
      <c r="K19" s="68"/>
      <c r="M19" s="60"/>
    </row>
    <row r="20" spans="1:13" s="51" customFormat="1" ht="15.95" customHeight="1" x14ac:dyDescent="0.2">
      <c r="A20" s="69"/>
      <c r="B20" s="70"/>
      <c r="C20" s="307"/>
      <c r="D20" s="308"/>
      <c r="E20" s="308"/>
      <c r="F20" s="308"/>
      <c r="G20" s="309"/>
      <c r="H20" s="71"/>
      <c r="I20" s="58"/>
      <c r="J20" s="72"/>
      <c r="K20" s="73"/>
      <c r="M20" s="60"/>
    </row>
    <row r="21" spans="1:13" s="51" customFormat="1" ht="15.95" customHeight="1" x14ac:dyDescent="0.2">
      <c r="A21" s="74"/>
      <c r="B21" s="75"/>
      <c r="C21" s="310"/>
      <c r="D21" s="311"/>
      <c r="E21" s="311"/>
      <c r="F21" s="311"/>
      <c r="G21" s="312"/>
      <c r="H21" s="76"/>
      <c r="I21" s="77"/>
      <c r="J21" s="78"/>
      <c r="K21" s="79"/>
      <c r="M21" s="60"/>
    </row>
    <row r="22" spans="1:13" s="51" customFormat="1" ht="15.95" customHeight="1" thickBot="1" x14ac:dyDescent="0.25">
      <c r="A22" s="80"/>
      <c r="B22" s="81"/>
      <c r="C22" s="200"/>
      <c r="D22" s="201"/>
      <c r="E22" s="201"/>
      <c r="F22" s="201"/>
      <c r="G22" s="202"/>
      <c r="H22" s="76"/>
      <c r="I22" s="77"/>
      <c r="J22" s="78"/>
      <c r="K22" s="79"/>
      <c r="M22" s="60"/>
    </row>
    <row r="23" spans="1:13" s="51" customFormat="1" ht="15.95" customHeight="1" thickBot="1" x14ac:dyDescent="0.25">
      <c r="A23" s="203" t="s">
        <v>167</v>
      </c>
      <c r="B23" s="204"/>
      <c r="C23" s="204"/>
      <c r="D23" s="204"/>
      <c r="E23" s="204"/>
      <c r="F23" s="204"/>
      <c r="G23" s="204"/>
      <c r="H23" s="204"/>
      <c r="I23" s="205"/>
      <c r="J23" s="260">
        <f>SUM(M12:M15)</f>
        <v>99500</v>
      </c>
      <c r="K23" s="261"/>
      <c r="M23" s="60"/>
    </row>
    <row r="24" spans="1:13" s="51" customFormat="1" ht="15.95" customHeight="1" x14ac:dyDescent="0.2">
      <c r="A24" s="208"/>
      <c r="B24" s="208"/>
      <c r="C24" s="208"/>
      <c r="D24" s="208"/>
      <c r="E24" s="208"/>
      <c r="F24" s="208"/>
      <c r="G24" s="208"/>
      <c r="H24" s="208"/>
      <c r="I24" s="208"/>
      <c r="J24" s="209"/>
      <c r="K24" s="209"/>
      <c r="M24" s="60"/>
    </row>
    <row r="25" spans="1:13" s="51" customFormat="1" ht="15.95" customHeight="1" x14ac:dyDescent="0.2">
      <c r="M25" s="60"/>
    </row>
    <row r="26" spans="1:13" s="51" customFormat="1" ht="15.95" customHeight="1" x14ac:dyDescent="0.2">
      <c r="M26" s="60"/>
    </row>
    <row r="27" spans="1:13" s="51" customFormat="1" ht="15.95" customHeight="1" x14ac:dyDescent="0.2">
      <c r="M27" s="60"/>
    </row>
    <row r="28" spans="1:13" s="51" customFormat="1" ht="15.95" customHeight="1" x14ac:dyDescent="0.2">
      <c r="M28" s="60"/>
    </row>
    <row r="29" spans="1:13" s="51" customFormat="1" ht="15.95" customHeight="1" x14ac:dyDescent="0.2">
      <c r="M29" s="60"/>
    </row>
    <row r="30" spans="1:13" s="51" customFormat="1" ht="15.95" customHeight="1" x14ac:dyDescent="0.2">
      <c r="M30" s="60"/>
    </row>
    <row r="31" spans="1:13" s="51" customFormat="1" ht="15.95" customHeight="1" x14ac:dyDescent="0.2"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2:1024" s="51" customFormat="1" ht="15.95" customHeight="1" x14ac:dyDescent="0.2">
      <c r="M49" s="60"/>
    </row>
    <row r="50" spans="12:1024" s="51" customFormat="1" ht="15.95" customHeight="1" x14ac:dyDescent="0.2">
      <c r="M50" s="60"/>
    </row>
    <row r="51" spans="12:1024" s="51" customFormat="1" ht="15.95" customHeight="1" x14ac:dyDescent="0.2">
      <c r="M51" s="60"/>
    </row>
    <row r="52" spans="12:1024" s="51" customFormat="1" ht="15.95" customHeight="1" x14ac:dyDescent="0.2">
      <c r="M52" s="60"/>
    </row>
    <row r="53" spans="12:1024" s="51" customFormat="1" ht="15.95" customHeight="1" x14ac:dyDescent="0.2">
      <c r="M53" s="60"/>
    </row>
    <row r="54" spans="12:1024" s="51" customFormat="1" ht="15.95" customHeight="1" x14ac:dyDescent="0.2">
      <c r="M54" s="60"/>
    </row>
    <row r="55" spans="12:1024" s="51" customFormat="1" ht="15.95" customHeight="1" x14ac:dyDescent="0.2">
      <c r="M55" s="60"/>
    </row>
    <row r="56" spans="12:1024" s="51" customFormat="1" ht="15.95" customHeight="1" x14ac:dyDescent="0.2">
      <c r="M56" s="60"/>
    </row>
    <row r="57" spans="12:1024" s="51" customFormat="1" ht="15.95" customHeight="1" x14ac:dyDescent="0.2">
      <c r="M57" s="60"/>
    </row>
    <row r="58" spans="12:1024" ht="15.95" customHeight="1" x14ac:dyDescent="0.2">
      <c r="M58" s="60"/>
    </row>
    <row r="59" spans="12:1024" ht="15.95" customHeight="1" x14ac:dyDescent="0.2">
      <c r="M59" s="60"/>
    </row>
    <row r="60" spans="12:1024" ht="15.95" customHeight="1" x14ac:dyDescent="0.2">
      <c r="M60" s="60"/>
    </row>
    <row r="61" spans="12:1024" ht="15.95" customHeight="1" x14ac:dyDescent="0.2">
      <c r="L61" s="83"/>
      <c r="M61" s="84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3"/>
      <c r="IQ61" s="83"/>
      <c r="IR61" s="83"/>
      <c r="IS61" s="83"/>
      <c r="IT61" s="83"/>
      <c r="IU61" s="83"/>
      <c r="IV61" s="83"/>
      <c r="IW61" s="83"/>
      <c r="IX61" s="83"/>
      <c r="IY61" s="83"/>
      <c r="IZ61" s="83"/>
      <c r="JA61" s="83"/>
      <c r="JB61" s="83"/>
      <c r="JC61" s="83"/>
      <c r="JD61" s="83"/>
      <c r="JE61" s="83"/>
      <c r="JF61" s="83"/>
      <c r="JG61" s="83"/>
      <c r="JH61" s="83"/>
      <c r="JI61" s="83"/>
      <c r="JJ61" s="83"/>
      <c r="JK61" s="83"/>
      <c r="JL61" s="83"/>
      <c r="JM61" s="83"/>
      <c r="JN61" s="83"/>
      <c r="JO61" s="83"/>
      <c r="JP61" s="83"/>
      <c r="JQ61" s="83"/>
      <c r="JR61" s="83"/>
      <c r="JS61" s="83"/>
      <c r="JT61" s="83"/>
      <c r="JU61" s="83"/>
      <c r="JV61" s="83"/>
      <c r="JW61" s="83"/>
      <c r="JX61" s="83"/>
      <c r="JY61" s="83"/>
      <c r="JZ61" s="83"/>
      <c r="KA61" s="83"/>
      <c r="KB61" s="83"/>
      <c r="KC61" s="83"/>
      <c r="KD61" s="83"/>
      <c r="KE61" s="83"/>
      <c r="KF61" s="83"/>
      <c r="KG61" s="83"/>
      <c r="KH61" s="83"/>
      <c r="KI61" s="83"/>
      <c r="KJ61" s="83"/>
      <c r="KK61" s="83"/>
      <c r="KL61" s="83"/>
      <c r="KM61" s="83"/>
      <c r="KN61" s="83"/>
      <c r="KO61" s="83"/>
      <c r="KP61" s="83"/>
      <c r="KQ61" s="83"/>
      <c r="KR61" s="83"/>
      <c r="KS61" s="83"/>
      <c r="KT61" s="83"/>
      <c r="KU61" s="83"/>
      <c r="KV61" s="83"/>
      <c r="KW61" s="83"/>
      <c r="KX61" s="83"/>
      <c r="KY61" s="83"/>
      <c r="KZ61" s="83"/>
      <c r="LA61" s="83"/>
      <c r="LB61" s="83"/>
      <c r="LC61" s="83"/>
      <c r="LD61" s="83"/>
      <c r="LE61" s="83"/>
      <c r="LF61" s="83"/>
      <c r="LG61" s="83"/>
      <c r="LH61" s="83"/>
      <c r="LI61" s="83"/>
      <c r="LJ61" s="83"/>
      <c r="LK61" s="83"/>
      <c r="LL61" s="83"/>
      <c r="LM61" s="83"/>
      <c r="LN61" s="83"/>
      <c r="LO61" s="83"/>
      <c r="LP61" s="83"/>
      <c r="LQ61" s="83"/>
      <c r="LR61" s="83"/>
      <c r="LS61" s="83"/>
      <c r="LT61" s="83"/>
      <c r="LU61" s="83"/>
      <c r="LV61" s="83"/>
      <c r="LW61" s="83"/>
      <c r="LX61" s="83"/>
      <c r="LY61" s="83"/>
      <c r="LZ61" s="83"/>
      <c r="MA61" s="83"/>
      <c r="MB61" s="83"/>
      <c r="MC61" s="83"/>
      <c r="MD61" s="83"/>
      <c r="ME61" s="83"/>
      <c r="MF61" s="83"/>
      <c r="MG61" s="83"/>
      <c r="MH61" s="83"/>
      <c r="MI61" s="83"/>
      <c r="MJ61" s="83"/>
      <c r="MK61" s="83"/>
      <c r="ML61" s="83"/>
      <c r="MM61" s="83"/>
      <c r="MN61" s="83"/>
      <c r="MO61" s="83"/>
      <c r="MP61" s="83"/>
      <c r="MQ61" s="83"/>
      <c r="MR61" s="83"/>
      <c r="MS61" s="83"/>
      <c r="MT61" s="83"/>
      <c r="MU61" s="83"/>
      <c r="MV61" s="83"/>
      <c r="MW61" s="83"/>
      <c r="MX61" s="83"/>
      <c r="MY61" s="83"/>
      <c r="MZ61" s="83"/>
      <c r="NA61" s="83"/>
      <c r="NB61" s="83"/>
      <c r="NC61" s="83"/>
      <c r="ND61" s="83"/>
      <c r="NE61" s="83"/>
      <c r="NF61" s="83"/>
      <c r="NG61" s="83"/>
      <c r="NH61" s="83"/>
      <c r="NI61" s="83"/>
      <c r="NJ61" s="83"/>
      <c r="NK61" s="83"/>
      <c r="NL61" s="83"/>
      <c r="NM61" s="83"/>
      <c r="NN61" s="83"/>
      <c r="NO61" s="83"/>
      <c r="NP61" s="83"/>
      <c r="NQ61" s="83"/>
      <c r="NR61" s="83"/>
      <c r="NS61" s="83"/>
      <c r="NT61" s="83"/>
      <c r="NU61" s="83"/>
      <c r="NV61" s="83"/>
      <c r="NW61" s="83"/>
      <c r="NX61" s="83"/>
      <c r="NY61" s="83"/>
      <c r="NZ61" s="83"/>
      <c r="OA61" s="83"/>
      <c r="OB61" s="83"/>
      <c r="OC61" s="83"/>
      <c r="OD61" s="83"/>
      <c r="OE61" s="83"/>
      <c r="OF61" s="83"/>
      <c r="OG61" s="83"/>
      <c r="OH61" s="83"/>
      <c r="OI61" s="83"/>
      <c r="OJ61" s="83"/>
      <c r="OK61" s="83"/>
      <c r="OL61" s="83"/>
      <c r="OM61" s="83"/>
      <c r="ON61" s="83"/>
      <c r="OO61" s="83"/>
      <c r="OP61" s="83"/>
      <c r="OQ61" s="83"/>
      <c r="OR61" s="83"/>
      <c r="OS61" s="83"/>
      <c r="OT61" s="83"/>
      <c r="OU61" s="83"/>
      <c r="OV61" s="83"/>
      <c r="OW61" s="83"/>
      <c r="OX61" s="83"/>
      <c r="OY61" s="83"/>
      <c r="OZ61" s="83"/>
      <c r="PA61" s="83"/>
      <c r="PB61" s="83"/>
      <c r="PC61" s="83"/>
      <c r="PD61" s="83"/>
      <c r="PE61" s="83"/>
      <c r="PF61" s="83"/>
      <c r="PG61" s="83"/>
      <c r="PH61" s="83"/>
      <c r="PI61" s="83"/>
      <c r="PJ61" s="83"/>
      <c r="PK61" s="83"/>
      <c r="PL61" s="83"/>
      <c r="PM61" s="83"/>
      <c r="PN61" s="83"/>
      <c r="PO61" s="83"/>
      <c r="PP61" s="83"/>
      <c r="PQ61" s="83"/>
      <c r="PR61" s="83"/>
      <c r="PS61" s="83"/>
      <c r="PT61" s="83"/>
      <c r="PU61" s="83"/>
      <c r="PV61" s="83"/>
      <c r="PW61" s="83"/>
      <c r="PX61" s="83"/>
      <c r="PY61" s="83"/>
      <c r="PZ61" s="83"/>
      <c r="QA61" s="83"/>
      <c r="QB61" s="83"/>
      <c r="QC61" s="83"/>
      <c r="QD61" s="83"/>
      <c r="QE61" s="83"/>
      <c r="QF61" s="83"/>
      <c r="QG61" s="83"/>
      <c r="QH61" s="83"/>
      <c r="QI61" s="83"/>
      <c r="QJ61" s="83"/>
      <c r="QK61" s="83"/>
      <c r="QL61" s="83"/>
      <c r="QM61" s="83"/>
      <c r="QN61" s="83"/>
      <c r="QO61" s="83"/>
      <c r="QP61" s="83"/>
      <c r="QQ61" s="83"/>
      <c r="QR61" s="83"/>
      <c r="QS61" s="83"/>
      <c r="QT61" s="83"/>
      <c r="QU61" s="83"/>
      <c r="QV61" s="83"/>
      <c r="QW61" s="83"/>
      <c r="QX61" s="83"/>
      <c r="QY61" s="83"/>
      <c r="QZ61" s="83"/>
      <c r="RA61" s="83"/>
      <c r="RB61" s="83"/>
      <c r="RC61" s="83"/>
      <c r="RD61" s="83"/>
      <c r="RE61" s="83"/>
      <c r="RF61" s="83"/>
      <c r="RG61" s="83"/>
      <c r="RH61" s="83"/>
      <c r="RI61" s="83"/>
      <c r="RJ61" s="83"/>
      <c r="RK61" s="83"/>
      <c r="RL61" s="83"/>
      <c r="RM61" s="83"/>
      <c r="RN61" s="83"/>
      <c r="RO61" s="83"/>
      <c r="RP61" s="83"/>
      <c r="RQ61" s="83"/>
      <c r="RR61" s="83"/>
      <c r="RS61" s="83"/>
      <c r="RT61" s="83"/>
      <c r="RU61" s="83"/>
      <c r="RV61" s="83"/>
      <c r="RW61" s="83"/>
      <c r="RX61" s="83"/>
      <c r="RY61" s="83"/>
      <c r="RZ61" s="83"/>
      <c r="SA61" s="83"/>
      <c r="SB61" s="83"/>
      <c r="SC61" s="83"/>
      <c r="SD61" s="83"/>
      <c r="SE61" s="83"/>
      <c r="SF61" s="83"/>
      <c r="SG61" s="83"/>
      <c r="SH61" s="83"/>
      <c r="SI61" s="83"/>
      <c r="SJ61" s="83"/>
      <c r="SK61" s="83"/>
      <c r="SL61" s="83"/>
      <c r="SM61" s="83"/>
      <c r="SN61" s="83"/>
      <c r="SO61" s="83"/>
      <c r="SP61" s="83"/>
      <c r="SQ61" s="83"/>
      <c r="SR61" s="83"/>
      <c r="SS61" s="83"/>
      <c r="ST61" s="83"/>
      <c r="SU61" s="83"/>
      <c r="SV61" s="83"/>
      <c r="SW61" s="83"/>
      <c r="SX61" s="83"/>
      <c r="SY61" s="83"/>
      <c r="SZ61" s="83"/>
      <c r="TA61" s="83"/>
      <c r="TB61" s="83"/>
      <c r="TC61" s="83"/>
      <c r="TD61" s="83"/>
      <c r="TE61" s="83"/>
      <c r="TF61" s="83"/>
      <c r="TG61" s="83"/>
      <c r="TH61" s="83"/>
      <c r="TI61" s="83"/>
      <c r="TJ61" s="83"/>
      <c r="TK61" s="83"/>
      <c r="TL61" s="83"/>
      <c r="TM61" s="83"/>
      <c r="TN61" s="83"/>
      <c r="TO61" s="83"/>
      <c r="TP61" s="83"/>
      <c r="TQ61" s="83"/>
      <c r="TR61" s="83"/>
      <c r="TS61" s="83"/>
      <c r="TT61" s="83"/>
      <c r="TU61" s="83"/>
      <c r="TV61" s="83"/>
      <c r="TW61" s="83"/>
      <c r="TX61" s="83"/>
      <c r="TY61" s="83"/>
      <c r="TZ61" s="83"/>
      <c r="UA61" s="83"/>
      <c r="UB61" s="83"/>
      <c r="UC61" s="83"/>
      <c r="UD61" s="83"/>
      <c r="UE61" s="83"/>
      <c r="UF61" s="83"/>
      <c r="UG61" s="83"/>
      <c r="UH61" s="83"/>
      <c r="UI61" s="83"/>
      <c r="UJ61" s="83"/>
      <c r="UK61" s="83"/>
      <c r="UL61" s="83"/>
      <c r="UM61" s="83"/>
      <c r="UN61" s="83"/>
      <c r="UO61" s="83"/>
      <c r="UP61" s="83"/>
      <c r="UQ61" s="83"/>
      <c r="UR61" s="83"/>
      <c r="US61" s="83"/>
      <c r="UT61" s="83"/>
      <c r="UU61" s="83"/>
      <c r="UV61" s="83"/>
      <c r="UW61" s="83"/>
      <c r="UX61" s="83"/>
      <c r="UY61" s="83"/>
      <c r="UZ61" s="83"/>
      <c r="VA61" s="83"/>
      <c r="VB61" s="83"/>
      <c r="VC61" s="83"/>
      <c r="VD61" s="83"/>
      <c r="VE61" s="83"/>
      <c r="VF61" s="83"/>
      <c r="VG61" s="83"/>
      <c r="VH61" s="83"/>
      <c r="VI61" s="83"/>
      <c r="VJ61" s="83"/>
      <c r="VK61" s="83"/>
      <c r="VL61" s="83"/>
      <c r="VM61" s="83"/>
      <c r="VN61" s="83"/>
      <c r="VO61" s="83"/>
      <c r="VP61" s="83"/>
      <c r="VQ61" s="83"/>
      <c r="VR61" s="83"/>
      <c r="VS61" s="83"/>
      <c r="VT61" s="83"/>
      <c r="VU61" s="83"/>
      <c r="VV61" s="83"/>
      <c r="VW61" s="83"/>
      <c r="VX61" s="83"/>
      <c r="VY61" s="83"/>
      <c r="VZ61" s="83"/>
      <c r="WA61" s="83"/>
      <c r="WB61" s="83"/>
      <c r="WC61" s="83"/>
      <c r="WD61" s="83"/>
      <c r="WE61" s="83"/>
      <c r="WF61" s="83"/>
      <c r="WG61" s="83"/>
      <c r="WH61" s="83"/>
      <c r="WI61" s="83"/>
      <c r="WJ61" s="83"/>
      <c r="WK61" s="83"/>
      <c r="WL61" s="83"/>
      <c r="WM61" s="83"/>
      <c r="WN61" s="83"/>
      <c r="WO61" s="83"/>
      <c r="WP61" s="83"/>
      <c r="WQ61" s="83"/>
      <c r="WR61" s="83"/>
      <c r="WS61" s="83"/>
      <c r="WT61" s="83"/>
      <c r="WU61" s="83"/>
      <c r="WV61" s="83"/>
      <c r="WW61" s="83"/>
      <c r="WX61" s="83"/>
      <c r="WY61" s="83"/>
      <c r="WZ61" s="83"/>
      <c r="XA61" s="83"/>
      <c r="XB61" s="83"/>
      <c r="XC61" s="83"/>
      <c r="XD61" s="83"/>
      <c r="XE61" s="83"/>
      <c r="XF61" s="83"/>
      <c r="XG61" s="83"/>
      <c r="XH61" s="83"/>
      <c r="XI61" s="83"/>
      <c r="XJ61" s="83"/>
      <c r="XK61" s="83"/>
      <c r="XL61" s="83"/>
      <c r="XM61" s="83"/>
      <c r="XN61" s="83"/>
      <c r="XO61" s="83"/>
      <c r="XP61" s="83"/>
      <c r="XQ61" s="83"/>
      <c r="XR61" s="83"/>
      <c r="XS61" s="83"/>
      <c r="XT61" s="83"/>
      <c r="XU61" s="83"/>
      <c r="XV61" s="83"/>
      <c r="XW61" s="83"/>
      <c r="XX61" s="83"/>
      <c r="XY61" s="83"/>
      <c r="XZ61" s="83"/>
      <c r="YA61" s="83"/>
      <c r="YB61" s="83"/>
      <c r="YC61" s="83"/>
      <c r="YD61" s="83"/>
      <c r="YE61" s="83"/>
      <c r="YF61" s="83"/>
      <c r="YG61" s="83"/>
      <c r="YH61" s="83"/>
      <c r="YI61" s="83"/>
      <c r="YJ61" s="83"/>
      <c r="YK61" s="83"/>
      <c r="YL61" s="83"/>
      <c r="YM61" s="83"/>
      <c r="YN61" s="83"/>
      <c r="YO61" s="83"/>
      <c r="YP61" s="83"/>
      <c r="YQ61" s="83"/>
      <c r="YR61" s="83"/>
      <c r="YS61" s="83"/>
      <c r="YT61" s="83"/>
      <c r="YU61" s="83"/>
      <c r="YV61" s="83"/>
      <c r="YW61" s="83"/>
      <c r="YX61" s="83"/>
      <c r="YY61" s="83"/>
      <c r="YZ61" s="83"/>
      <c r="ZA61" s="83"/>
      <c r="ZB61" s="83"/>
      <c r="ZC61" s="83"/>
      <c r="ZD61" s="83"/>
      <c r="ZE61" s="83"/>
      <c r="ZF61" s="83"/>
      <c r="ZG61" s="83"/>
      <c r="ZH61" s="83"/>
      <c r="ZI61" s="83"/>
      <c r="ZJ61" s="83"/>
      <c r="ZK61" s="83"/>
      <c r="ZL61" s="83"/>
      <c r="ZM61" s="83"/>
      <c r="ZN61" s="83"/>
      <c r="ZO61" s="83"/>
      <c r="ZP61" s="83"/>
      <c r="ZQ61" s="83"/>
      <c r="ZR61" s="83"/>
      <c r="ZS61" s="83"/>
      <c r="ZT61" s="83"/>
      <c r="ZU61" s="83"/>
      <c r="ZV61" s="83"/>
      <c r="ZW61" s="83"/>
      <c r="ZX61" s="83"/>
      <c r="ZY61" s="83"/>
      <c r="ZZ61" s="83"/>
      <c r="AAA61" s="83"/>
      <c r="AAB61" s="83"/>
      <c r="AAC61" s="83"/>
      <c r="AAD61" s="83"/>
      <c r="AAE61" s="83"/>
      <c r="AAF61" s="83"/>
      <c r="AAG61" s="83"/>
      <c r="AAH61" s="83"/>
      <c r="AAI61" s="83"/>
      <c r="AAJ61" s="83"/>
      <c r="AAK61" s="83"/>
      <c r="AAL61" s="83"/>
      <c r="AAM61" s="83"/>
      <c r="AAN61" s="83"/>
      <c r="AAO61" s="83"/>
      <c r="AAP61" s="83"/>
      <c r="AAQ61" s="83"/>
      <c r="AAR61" s="83"/>
      <c r="AAS61" s="83"/>
      <c r="AAT61" s="83"/>
      <c r="AAU61" s="83"/>
      <c r="AAV61" s="83"/>
      <c r="AAW61" s="83"/>
      <c r="AAX61" s="83"/>
      <c r="AAY61" s="83"/>
      <c r="AAZ61" s="83"/>
      <c r="ABA61" s="83"/>
      <c r="ABB61" s="83"/>
      <c r="ABC61" s="83"/>
      <c r="ABD61" s="83"/>
      <c r="ABE61" s="83"/>
      <c r="ABF61" s="83"/>
      <c r="ABG61" s="83"/>
      <c r="ABH61" s="83"/>
      <c r="ABI61" s="83"/>
      <c r="ABJ61" s="83"/>
      <c r="ABK61" s="83"/>
      <c r="ABL61" s="83"/>
      <c r="ABM61" s="83"/>
      <c r="ABN61" s="83"/>
      <c r="ABO61" s="83"/>
      <c r="ABP61" s="83"/>
      <c r="ABQ61" s="83"/>
      <c r="ABR61" s="83"/>
      <c r="ABS61" s="83"/>
      <c r="ABT61" s="83"/>
      <c r="ABU61" s="83"/>
      <c r="ABV61" s="83"/>
      <c r="ABW61" s="83"/>
      <c r="ABX61" s="83"/>
      <c r="ABY61" s="83"/>
      <c r="ABZ61" s="83"/>
      <c r="ACA61" s="83"/>
      <c r="ACB61" s="83"/>
      <c r="ACC61" s="83"/>
      <c r="ACD61" s="83"/>
      <c r="ACE61" s="83"/>
      <c r="ACF61" s="83"/>
      <c r="ACG61" s="83"/>
      <c r="ACH61" s="83"/>
      <c r="ACI61" s="83"/>
      <c r="ACJ61" s="83"/>
      <c r="ACK61" s="83"/>
      <c r="ACL61" s="83"/>
      <c r="ACM61" s="83"/>
      <c r="ACN61" s="83"/>
      <c r="ACO61" s="83"/>
      <c r="ACP61" s="83"/>
      <c r="ACQ61" s="83"/>
      <c r="ACR61" s="83"/>
      <c r="ACS61" s="83"/>
      <c r="ACT61" s="83"/>
      <c r="ACU61" s="83"/>
      <c r="ACV61" s="83"/>
      <c r="ACW61" s="83"/>
      <c r="ACX61" s="83"/>
      <c r="ACY61" s="83"/>
      <c r="ACZ61" s="83"/>
      <c r="ADA61" s="83"/>
      <c r="ADB61" s="83"/>
      <c r="ADC61" s="83"/>
      <c r="ADD61" s="83"/>
      <c r="ADE61" s="83"/>
      <c r="ADF61" s="83"/>
      <c r="ADG61" s="83"/>
      <c r="ADH61" s="83"/>
      <c r="ADI61" s="83"/>
      <c r="ADJ61" s="83"/>
      <c r="ADK61" s="83"/>
      <c r="ADL61" s="83"/>
      <c r="ADM61" s="83"/>
      <c r="ADN61" s="83"/>
      <c r="ADO61" s="83"/>
      <c r="ADP61" s="83"/>
      <c r="ADQ61" s="83"/>
      <c r="ADR61" s="83"/>
      <c r="ADS61" s="83"/>
      <c r="ADT61" s="83"/>
      <c r="ADU61" s="83"/>
      <c r="ADV61" s="83"/>
      <c r="ADW61" s="83"/>
      <c r="ADX61" s="83"/>
      <c r="ADY61" s="83"/>
      <c r="ADZ61" s="83"/>
      <c r="AEA61" s="83"/>
      <c r="AEB61" s="83"/>
      <c r="AEC61" s="83"/>
      <c r="AED61" s="83"/>
      <c r="AEE61" s="83"/>
      <c r="AEF61" s="83"/>
      <c r="AEG61" s="83"/>
      <c r="AEH61" s="83"/>
      <c r="AEI61" s="83"/>
      <c r="AEJ61" s="83"/>
      <c r="AEK61" s="83"/>
      <c r="AEL61" s="83"/>
      <c r="AEM61" s="83"/>
      <c r="AEN61" s="83"/>
      <c r="AEO61" s="83"/>
      <c r="AEP61" s="83"/>
      <c r="AEQ61" s="83"/>
      <c r="AER61" s="83"/>
      <c r="AES61" s="83"/>
      <c r="AET61" s="83"/>
      <c r="AEU61" s="83"/>
      <c r="AEV61" s="83"/>
      <c r="AEW61" s="83"/>
      <c r="AEX61" s="83"/>
      <c r="AEY61" s="83"/>
      <c r="AEZ61" s="83"/>
      <c r="AFA61" s="83"/>
      <c r="AFB61" s="83"/>
      <c r="AFC61" s="83"/>
      <c r="AFD61" s="83"/>
      <c r="AFE61" s="83"/>
      <c r="AFF61" s="83"/>
      <c r="AFG61" s="83"/>
      <c r="AFH61" s="83"/>
      <c r="AFI61" s="83"/>
      <c r="AFJ61" s="83"/>
      <c r="AFK61" s="83"/>
      <c r="AFL61" s="83"/>
      <c r="AFM61" s="83"/>
      <c r="AFN61" s="83"/>
      <c r="AFO61" s="83"/>
      <c r="AFP61" s="83"/>
      <c r="AFQ61" s="83"/>
      <c r="AFR61" s="83"/>
      <c r="AFS61" s="83"/>
      <c r="AFT61" s="83"/>
      <c r="AFU61" s="83"/>
      <c r="AFV61" s="83"/>
      <c r="AFW61" s="83"/>
      <c r="AFX61" s="83"/>
      <c r="AFY61" s="83"/>
      <c r="AFZ61" s="83"/>
      <c r="AGA61" s="83"/>
      <c r="AGB61" s="83"/>
      <c r="AGC61" s="83"/>
      <c r="AGD61" s="83"/>
      <c r="AGE61" s="83"/>
      <c r="AGF61" s="83"/>
      <c r="AGG61" s="83"/>
      <c r="AGH61" s="83"/>
      <c r="AGI61" s="83"/>
      <c r="AGJ61" s="83"/>
      <c r="AGK61" s="83"/>
      <c r="AGL61" s="83"/>
      <c r="AGM61" s="83"/>
      <c r="AGN61" s="83"/>
      <c r="AGO61" s="83"/>
      <c r="AGP61" s="83"/>
      <c r="AGQ61" s="83"/>
      <c r="AGR61" s="83"/>
      <c r="AGS61" s="83"/>
      <c r="AGT61" s="83"/>
      <c r="AGU61" s="83"/>
      <c r="AGV61" s="83"/>
      <c r="AGW61" s="83"/>
      <c r="AGX61" s="83"/>
      <c r="AGY61" s="83"/>
      <c r="AGZ61" s="83"/>
      <c r="AHA61" s="83"/>
      <c r="AHB61" s="83"/>
      <c r="AHC61" s="83"/>
      <c r="AHD61" s="83"/>
      <c r="AHE61" s="83"/>
      <c r="AHF61" s="83"/>
      <c r="AHG61" s="83"/>
      <c r="AHH61" s="83"/>
      <c r="AHI61" s="83"/>
      <c r="AHJ61" s="83"/>
      <c r="AHK61" s="83"/>
      <c r="AHL61" s="83"/>
      <c r="AHM61" s="83"/>
      <c r="AHN61" s="83"/>
      <c r="AHO61" s="83"/>
      <c r="AHP61" s="83"/>
      <c r="AHQ61" s="83"/>
      <c r="AHR61" s="83"/>
      <c r="AHS61" s="83"/>
      <c r="AHT61" s="83"/>
      <c r="AHU61" s="83"/>
      <c r="AHV61" s="83"/>
      <c r="AHW61" s="83"/>
      <c r="AHX61" s="83"/>
      <c r="AHY61" s="83"/>
      <c r="AHZ61" s="83"/>
      <c r="AIA61" s="83"/>
      <c r="AIB61" s="83"/>
      <c r="AIC61" s="83"/>
      <c r="AID61" s="83"/>
      <c r="AIE61" s="83"/>
      <c r="AIF61" s="83"/>
      <c r="AIG61" s="83"/>
      <c r="AIH61" s="83"/>
      <c r="AII61" s="83"/>
      <c r="AIJ61" s="83"/>
      <c r="AIK61" s="83"/>
      <c r="AIL61" s="83"/>
      <c r="AIM61" s="83"/>
      <c r="AIN61" s="83"/>
      <c r="AIO61" s="83"/>
      <c r="AIP61" s="83"/>
      <c r="AIQ61" s="83"/>
      <c r="AIR61" s="83"/>
      <c r="AIS61" s="83"/>
      <c r="AIT61" s="83"/>
      <c r="AIU61" s="83"/>
      <c r="AIV61" s="83"/>
      <c r="AIW61" s="83"/>
      <c r="AIX61" s="83"/>
      <c r="AIY61" s="83"/>
      <c r="AIZ61" s="83"/>
      <c r="AJA61" s="83"/>
      <c r="AJB61" s="83"/>
      <c r="AJC61" s="83"/>
      <c r="AJD61" s="83"/>
      <c r="AJE61" s="83"/>
      <c r="AJF61" s="83"/>
      <c r="AJG61" s="83"/>
      <c r="AJH61" s="83"/>
      <c r="AJI61" s="83"/>
      <c r="AJJ61" s="83"/>
      <c r="AJK61" s="83"/>
      <c r="AJL61" s="83"/>
      <c r="AJM61" s="83"/>
      <c r="AJN61" s="83"/>
      <c r="AJO61" s="83"/>
      <c r="AJP61" s="83"/>
      <c r="AJQ61" s="83"/>
      <c r="AJR61" s="83"/>
      <c r="AJS61" s="83"/>
      <c r="AJT61" s="83"/>
      <c r="AJU61" s="83"/>
      <c r="AJV61" s="83"/>
      <c r="AJW61" s="83"/>
      <c r="AJX61" s="83"/>
      <c r="AJY61" s="83"/>
      <c r="AJZ61" s="83"/>
      <c r="AKA61" s="83"/>
      <c r="AKB61" s="83"/>
      <c r="AKC61" s="83"/>
      <c r="AKD61" s="83"/>
      <c r="AKE61" s="83"/>
      <c r="AKF61" s="83"/>
      <c r="AKG61" s="83"/>
      <c r="AKH61" s="83"/>
      <c r="AKI61" s="83"/>
      <c r="AKJ61" s="83"/>
      <c r="AKK61" s="83"/>
      <c r="AKL61" s="83"/>
      <c r="AKM61" s="83"/>
      <c r="AKN61" s="83"/>
      <c r="AKO61" s="83"/>
      <c r="AKP61" s="83"/>
      <c r="AKQ61" s="83"/>
      <c r="AKR61" s="83"/>
      <c r="AKS61" s="83"/>
      <c r="AKT61" s="83"/>
      <c r="AKU61" s="83"/>
      <c r="AKV61" s="83"/>
      <c r="AKW61" s="83"/>
      <c r="AKX61" s="83"/>
      <c r="AKY61" s="83"/>
      <c r="AKZ61" s="83"/>
      <c r="ALA61" s="83"/>
      <c r="ALB61" s="83"/>
      <c r="ALC61" s="83"/>
      <c r="ALD61" s="83"/>
      <c r="ALE61" s="83"/>
      <c r="ALF61" s="83"/>
      <c r="ALG61" s="83"/>
      <c r="ALH61" s="83"/>
      <c r="ALI61" s="83"/>
      <c r="ALJ61" s="83"/>
      <c r="ALK61" s="83"/>
      <c r="ALL61" s="83"/>
      <c r="ALM61" s="83"/>
      <c r="ALN61" s="83"/>
      <c r="ALO61" s="83"/>
      <c r="ALP61" s="83"/>
      <c r="ALQ61" s="83"/>
      <c r="ALR61" s="83"/>
      <c r="ALS61" s="83"/>
      <c r="ALT61" s="83"/>
      <c r="ALU61" s="83"/>
      <c r="ALV61" s="83"/>
      <c r="ALW61" s="83"/>
      <c r="ALX61" s="83"/>
      <c r="ALY61" s="83"/>
      <c r="ALZ61" s="83"/>
      <c r="AMA61" s="83"/>
      <c r="AMB61" s="83"/>
      <c r="AMC61" s="83"/>
      <c r="AMD61" s="83"/>
      <c r="AME61" s="83"/>
      <c r="AMF61" s="83"/>
      <c r="AMG61" s="83"/>
      <c r="AMH61" s="83"/>
      <c r="AMI61" s="83"/>
      <c r="AMJ61" s="83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15.9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  <row r="70" spans="12:1024" ht="15.95" customHeight="1" x14ac:dyDescent="0.2">
      <c r="L70" s="83"/>
      <c r="M70" s="84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  <c r="IX70" s="83"/>
      <c r="IY70" s="83"/>
      <c r="IZ70" s="83"/>
      <c r="JA70" s="83"/>
      <c r="JB70" s="83"/>
      <c r="JC70" s="83"/>
      <c r="JD70" s="83"/>
      <c r="JE70" s="83"/>
      <c r="JF70" s="83"/>
      <c r="JG70" s="83"/>
      <c r="JH70" s="83"/>
      <c r="JI70" s="83"/>
      <c r="JJ70" s="83"/>
      <c r="JK70" s="83"/>
      <c r="JL70" s="83"/>
      <c r="JM70" s="83"/>
      <c r="JN70" s="83"/>
      <c r="JO70" s="83"/>
      <c r="JP70" s="83"/>
      <c r="JQ70" s="83"/>
      <c r="JR70" s="83"/>
      <c r="JS70" s="83"/>
      <c r="JT70" s="83"/>
      <c r="JU70" s="83"/>
      <c r="JV70" s="83"/>
      <c r="JW70" s="83"/>
      <c r="JX70" s="83"/>
      <c r="JY70" s="83"/>
      <c r="JZ70" s="83"/>
      <c r="KA70" s="83"/>
      <c r="KB70" s="83"/>
      <c r="KC70" s="83"/>
      <c r="KD70" s="83"/>
      <c r="KE70" s="83"/>
      <c r="KF70" s="83"/>
      <c r="KG70" s="83"/>
      <c r="KH70" s="83"/>
      <c r="KI70" s="83"/>
      <c r="KJ70" s="83"/>
      <c r="KK70" s="83"/>
      <c r="KL70" s="83"/>
      <c r="KM70" s="83"/>
      <c r="KN70" s="83"/>
      <c r="KO70" s="83"/>
      <c r="KP70" s="83"/>
      <c r="KQ70" s="83"/>
      <c r="KR70" s="83"/>
      <c r="KS70" s="83"/>
      <c r="KT70" s="83"/>
      <c r="KU70" s="83"/>
      <c r="KV70" s="83"/>
      <c r="KW70" s="83"/>
      <c r="KX70" s="83"/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83"/>
      <c r="LL70" s="83"/>
      <c r="LM70" s="83"/>
      <c r="LN70" s="83"/>
      <c r="LO70" s="83"/>
      <c r="LP70" s="83"/>
      <c r="LQ70" s="83"/>
      <c r="LR70" s="83"/>
      <c r="LS70" s="83"/>
      <c r="LT70" s="83"/>
      <c r="LU70" s="83"/>
      <c r="LV70" s="83"/>
      <c r="LW70" s="83"/>
      <c r="LX70" s="83"/>
      <c r="LY70" s="83"/>
      <c r="LZ70" s="83"/>
      <c r="MA70" s="83"/>
      <c r="MB70" s="83"/>
      <c r="MC70" s="83"/>
      <c r="MD70" s="83"/>
      <c r="ME70" s="83"/>
      <c r="MF70" s="83"/>
      <c r="MG70" s="83"/>
      <c r="MH70" s="83"/>
      <c r="MI70" s="83"/>
      <c r="MJ70" s="83"/>
      <c r="MK70" s="83"/>
      <c r="ML70" s="83"/>
      <c r="MM70" s="83"/>
      <c r="MN70" s="83"/>
      <c r="MO70" s="83"/>
      <c r="MP70" s="83"/>
      <c r="MQ70" s="83"/>
      <c r="MR70" s="83"/>
      <c r="MS70" s="83"/>
      <c r="MT70" s="83"/>
      <c r="MU70" s="83"/>
      <c r="MV70" s="83"/>
      <c r="MW70" s="83"/>
      <c r="MX70" s="83"/>
      <c r="MY70" s="83"/>
      <c r="MZ70" s="83"/>
      <c r="NA70" s="83"/>
      <c r="NB70" s="83"/>
      <c r="NC70" s="83"/>
      <c r="ND70" s="83"/>
      <c r="NE70" s="83"/>
      <c r="NF70" s="83"/>
      <c r="NG70" s="83"/>
      <c r="NH70" s="83"/>
      <c r="NI70" s="83"/>
      <c r="NJ70" s="83"/>
      <c r="NK70" s="83"/>
      <c r="NL70" s="83"/>
      <c r="NM70" s="83"/>
      <c r="NN70" s="83"/>
      <c r="NO70" s="83"/>
      <c r="NP70" s="83"/>
      <c r="NQ70" s="83"/>
      <c r="NR70" s="83"/>
      <c r="NS70" s="83"/>
      <c r="NT70" s="83"/>
      <c r="NU70" s="83"/>
      <c r="NV70" s="83"/>
      <c r="NW70" s="83"/>
      <c r="NX70" s="83"/>
      <c r="NY70" s="83"/>
      <c r="NZ70" s="83"/>
      <c r="OA70" s="83"/>
      <c r="OB70" s="83"/>
      <c r="OC70" s="83"/>
      <c r="OD70" s="83"/>
      <c r="OE70" s="83"/>
      <c r="OF70" s="83"/>
      <c r="OG70" s="83"/>
      <c r="OH70" s="83"/>
      <c r="OI70" s="83"/>
      <c r="OJ70" s="83"/>
      <c r="OK70" s="83"/>
      <c r="OL70" s="83"/>
      <c r="OM70" s="83"/>
      <c r="ON70" s="83"/>
      <c r="OO70" s="83"/>
      <c r="OP70" s="83"/>
      <c r="OQ70" s="83"/>
      <c r="OR70" s="83"/>
      <c r="OS70" s="83"/>
      <c r="OT70" s="83"/>
      <c r="OU70" s="83"/>
      <c r="OV70" s="83"/>
      <c r="OW70" s="83"/>
      <c r="OX70" s="83"/>
      <c r="OY70" s="83"/>
      <c r="OZ70" s="83"/>
      <c r="PA70" s="83"/>
      <c r="PB70" s="83"/>
      <c r="PC70" s="83"/>
      <c r="PD70" s="83"/>
      <c r="PE70" s="83"/>
      <c r="PF70" s="83"/>
      <c r="PG70" s="83"/>
      <c r="PH70" s="83"/>
      <c r="PI70" s="83"/>
      <c r="PJ70" s="83"/>
      <c r="PK70" s="83"/>
      <c r="PL70" s="83"/>
      <c r="PM70" s="83"/>
      <c r="PN70" s="83"/>
      <c r="PO70" s="83"/>
      <c r="PP70" s="83"/>
      <c r="PQ70" s="83"/>
      <c r="PR70" s="83"/>
      <c r="PS70" s="83"/>
      <c r="PT70" s="83"/>
      <c r="PU70" s="83"/>
      <c r="PV70" s="83"/>
      <c r="PW70" s="83"/>
      <c r="PX70" s="83"/>
      <c r="PY70" s="83"/>
      <c r="PZ70" s="83"/>
      <c r="QA70" s="83"/>
      <c r="QB70" s="83"/>
      <c r="QC70" s="83"/>
      <c r="QD70" s="83"/>
      <c r="QE70" s="83"/>
      <c r="QF70" s="83"/>
      <c r="QG70" s="83"/>
      <c r="QH70" s="83"/>
      <c r="QI70" s="83"/>
      <c r="QJ70" s="83"/>
      <c r="QK70" s="83"/>
      <c r="QL70" s="83"/>
      <c r="QM70" s="83"/>
      <c r="QN70" s="83"/>
      <c r="QO70" s="83"/>
      <c r="QP70" s="83"/>
      <c r="QQ70" s="83"/>
      <c r="QR70" s="83"/>
      <c r="QS70" s="83"/>
      <c r="QT70" s="83"/>
      <c r="QU70" s="83"/>
      <c r="QV70" s="83"/>
      <c r="QW70" s="83"/>
      <c r="QX70" s="83"/>
      <c r="QY70" s="83"/>
      <c r="QZ70" s="83"/>
      <c r="RA70" s="83"/>
      <c r="RB70" s="83"/>
      <c r="RC70" s="83"/>
      <c r="RD70" s="83"/>
      <c r="RE70" s="83"/>
      <c r="RF70" s="83"/>
      <c r="RG70" s="83"/>
      <c r="RH70" s="83"/>
      <c r="RI70" s="83"/>
      <c r="RJ70" s="83"/>
      <c r="RK70" s="83"/>
      <c r="RL70" s="83"/>
      <c r="RM70" s="83"/>
      <c r="RN70" s="83"/>
      <c r="RO70" s="83"/>
      <c r="RP70" s="83"/>
      <c r="RQ70" s="83"/>
      <c r="RR70" s="83"/>
      <c r="RS70" s="83"/>
      <c r="RT70" s="83"/>
      <c r="RU70" s="83"/>
      <c r="RV70" s="83"/>
      <c r="RW70" s="83"/>
      <c r="RX70" s="83"/>
      <c r="RY70" s="83"/>
      <c r="RZ70" s="83"/>
      <c r="SA70" s="83"/>
      <c r="SB70" s="83"/>
      <c r="SC70" s="83"/>
      <c r="SD70" s="83"/>
      <c r="SE70" s="83"/>
      <c r="SF70" s="83"/>
      <c r="SG70" s="83"/>
      <c r="SH70" s="83"/>
      <c r="SI70" s="83"/>
      <c r="SJ70" s="83"/>
      <c r="SK70" s="83"/>
      <c r="SL70" s="83"/>
      <c r="SM70" s="83"/>
      <c r="SN70" s="83"/>
      <c r="SO70" s="83"/>
      <c r="SP70" s="83"/>
      <c r="SQ70" s="83"/>
      <c r="SR70" s="83"/>
      <c r="SS70" s="83"/>
      <c r="ST70" s="83"/>
      <c r="SU70" s="83"/>
      <c r="SV70" s="83"/>
      <c r="SW70" s="83"/>
      <c r="SX70" s="83"/>
      <c r="SY70" s="83"/>
      <c r="SZ70" s="83"/>
      <c r="TA70" s="83"/>
      <c r="TB70" s="83"/>
      <c r="TC70" s="83"/>
      <c r="TD70" s="83"/>
      <c r="TE70" s="83"/>
      <c r="TF70" s="83"/>
      <c r="TG70" s="83"/>
      <c r="TH70" s="83"/>
      <c r="TI70" s="83"/>
      <c r="TJ70" s="83"/>
      <c r="TK70" s="83"/>
      <c r="TL70" s="83"/>
      <c r="TM70" s="83"/>
      <c r="TN70" s="83"/>
      <c r="TO70" s="83"/>
      <c r="TP70" s="83"/>
      <c r="TQ70" s="83"/>
      <c r="TR70" s="83"/>
      <c r="TS70" s="83"/>
      <c r="TT70" s="83"/>
      <c r="TU70" s="83"/>
      <c r="TV70" s="83"/>
      <c r="TW70" s="83"/>
      <c r="TX70" s="83"/>
      <c r="TY70" s="83"/>
      <c r="TZ70" s="83"/>
      <c r="UA70" s="83"/>
      <c r="UB70" s="83"/>
      <c r="UC70" s="83"/>
      <c r="UD70" s="83"/>
      <c r="UE70" s="83"/>
      <c r="UF70" s="83"/>
      <c r="UG70" s="83"/>
      <c r="UH70" s="83"/>
      <c r="UI70" s="83"/>
      <c r="UJ70" s="83"/>
      <c r="UK70" s="83"/>
      <c r="UL70" s="83"/>
      <c r="UM70" s="83"/>
      <c r="UN70" s="83"/>
      <c r="UO70" s="83"/>
      <c r="UP70" s="83"/>
      <c r="UQ70" s="83"/>
      <c r="UR70" s="83"/>
      <c r="US70" s="83"/>
      <c r="UT70" s="83"/>
      <c r="UU70" s="83"/>
      <c r="UV70" s="83"/>
      <c r="UW70" s="83"/>
      <c r="UX70" s="83"/>
      <c r="UY70" s="83"/>
      <c r="UZ70" s="83"/>
      <c r="VA70" s="83"/>
      <c r="VB70" s="83"/>
      <c r="VC70" s="83"/>
      <c r="VD70" s="83"/>
      <c r="VE70" s="83"/>
      <c r="VF70" s="83"/>
      <c r="VG70" s="83"/>
      <c r="VH70" s="83"/>
      <c r="VI70" s="83"/>
      <c r="VJ70" s="83"/>
      <c r="VK70" s="83"/>
      <c r="VL70" s="83"/>
      <c r="VM70" s="83"/>
      <c r="VN70" s="83"/>
      <c r="VO70" s="83"/>
      <c r="VP70" s="83"/>
      <c r="VQ70" s="83"/>
      <c r="VR70" s="83"/>
      <c r="VS70" s="83"/>
      <c r="VT70" s="83"/>
      <c r="VU70" s="83"/>
      <c r="VV70" s="83"/>
      <c r="VW70" s="83"/>
      <c r="VX70" s="83"/>
      <c r="VY70" s="83"/>
      <c r="VZ70" s="83"/>
      <c r="WA70" s="83"/>
      <c r="WB70" s="83"/>
      <c r="WC70" s="83"/>
      <c r="WD70" s="83"/>
      <c r="WE70" s="83"/>
      <c r="WF70" s="83"/>
      <c r="WG70" s="83"/>
      <c r="WH70" s="83"/>
      <c r="WI70" s="83"/>
      <c r="WJ70" s="83"/>
      <c r="WK70" s="83"/>
      <c r="WL70" s="83"/>
      <c r="WM70" s="83"/>
      <c r="WN70" s="83"/>
      <c r="WO70" s="83"/>
      <c r="WP70" s="83"/>
      <c r="WQ70" s="83"/>
      <c r="WR70" s="83"/>
      <c r="WS70" s="83"/>
      <c r="WT70" s="83"/>
      <c r="WU70" s="83"/>
      <c r="WV70" s="83"/>
      <c r="WW70" s="83"/>
      <c r="WX70" s="83"/>
      <c r="WY70" s="83"/>
      <c r="WZ70" s="83"/>
      <c r="XA70" s="83"/>
      <c r="XB70" s="83"/>
      <c r="XC70" s="83"/>
      <c r="XD70" s="83"/>
      <c r="XE70" s="83"/>
      <c r="XF70" s="83"/>
      <c r="XG70" s="83"/>
      <c r="XH70" s="83"/>
      <c r="XI70" s="83"/>
      <c r="XJ70" s="83"/>
      <c r="XK70" s="83"/>
      <c r="XL70" s="83"/>
      <c r="XM70" s="83"/>
      <c r="XN70" s="83"/>
      <c r="XO70" s="83"/>
      <c r="XP70" s="83"/>
      <c r="XQ70" s="83"/>
      <c r="XR70" s="83"/>
      <c r="XS70" s="83"/>
      <c r="XT70" s="83"/>
      <c r="XU70" s="83"/>
      <c r="XV70" s="83"/>
      <c r="XW70" s="83"/>
      <c r="XX70" s="83"/>
      <c r="XY70" s="83"/>
      <c r="XZ70" s="83"/>
      <c r="YA70" s="83"/>
      <c r="YB70" s="83"/>
      <c r="YC70" s="83"/>
      <c r="YD70" s="83"/>
      <c r="YE70" s="83"/>
      <c r="YF70" s="83"/>
      <c r="YG70" s="83"/>
      <c r="YH70" s="83"/>
      <c r="YI70" s="83"/>
      <c r="YJ70" s="83"/>
      <c r="YK70" s="83"/>
      <c r="YL70" s="83"/>
      <c r="YM70" s="83"/>
      <c r="YN70" s="83"/>
      <c r="YO70" s="83"/>
      <c r="YP70" s="83"/>
      <c r="YQ70" s="83"/>
      <c r="YR70" s="83"/>
      <c r="YS70" s="83"/>
      <c r="YT70" s="83"/>
      <c r="YU70" s="83"/>
      <c r="YV70" s="83"/>
      <c r="YW70" s="83"/>
      <c r="YX70" s="83"/>
      <c r="YY70" s="83"/>
      <c r="YZ70" s="83"/>
      <c r="ZA70" s="83"/>
      <c r="ZB70" s="83"/>
      <c r="ZC70" s="83"/>
      <c r="ZD70" s="83"/>
      <c r="ZE70" s="83"/>
      <c r="ZF70" s="83"/>
      <c r="ZG70" s="83"/>
      <c r="ZH70" s="83"/>
      <c r="ZI70" s="83"/>
      <c r="ZJ70" s="83"/>
      <c r="ZK70" s="83"/>
      <c r="ZL70" s="83"/>
      <c r="ZM70" s="83"/>
      <c r="ZN70" s="83"/>
      <c r="ZO70" s="83"/>
      <c r="ZP70" s="83"/>
      <c r="ZQ70" s="83"/>
      <c r="ZR70" s="83"/>
      <c r="ZS70" s="83"/>
      <c r="ZT70" s="83"/>
      <c r="ZU70" s="83"/>
      <c r="ZV70" s="83"/>
      <c r="ZW70" s="83"/>
      <c r="ZX70" s="83"/>
      <c r="ZY70" s="83"/>
      <c r="ZZ70" s="83"/>
      <c r="AAA70" s="83"/>
      <c r="AAB70" s="83"/>
      <c r="AAC70" s="83"/>
      <c r="AAD70" s="83"/>
      <c r="AAE70" s="83"/>
      <c r="AAF70" s="83"/>
      <c r="AAG70" s="83"/>
      <c r="AAH70" s="83"/>
      <c r="AAI70" s="83"/>
      <c r="AAJ70" s="83"/>
      <c r="AAK70" s="83"/>
      <c r="AAL70" s="83"/>
      <c r="AAM70" s="83"/>
      <c r="AAN70" s="83"/>
      <c r="AAO70" s="83"/>
      <c r="AAP70" s="83"/>
      <c r="AAQ70" s="83"/>
      <c r="AAR70" s="83"/>
      <c r="AAS70" s="83"/>
      <c r="AAT70" s="83"/>
      <c r="AAU70" s="83"/>
      <c r="AAV70" s="83"/>
      <c r="AAW70" s="83"/>
      <c r="AAX70" s="83"/>
      <c r="AAY70" s="83"/>
      <c r="AAZ70" s="83"/>
      <c r="ABA70" s="83"/>
      <c r="ABB70" s="83"/>
      <c r="ABC70" s="83"/>
      <c r="ABD70" s="83"/>
      <c r="ABE70" s="83"/>
      <c r="ABF70" s="83"/>
      <c r="ABG70" s="83"/>
      <c r="ABH70" s="83"/>
      <c r="ABI70" s="83"/>
      <c r="ABJ70" s="83"/>
      <c r="ABK70" s="83"/>
      <c r="ABL70" s="83"/>
      <c r="ABM70" s="83"/>
      <c r="ABN70" s="83"/>
      <c r="ABO70" s="83"/>
      <c r="ABP70" s="83"/>
      <c r="ABQ70" s="83"/>
      <c r="ABR70" s="83"/>
      <c r="ABS70" s="83"/>
      <c r="ABT70" s="83"/>
      <c r="ABU70" s="83"/>
      <c r="ABV70" s="83"/>
      <c r="ABW70" s="83"/>
      <c r="ABX70" s="83"/>
      <c r="ABY70" s="83"/>
      <c r="ABZ70" s="83"/>
      <c r="ACA70" s="83"/>
      <c r="ACB70" s="83"/>
      <c r="ACC70" s="83"/>
      <c r="ACD70" s="83"/>
      <c r="ACE70" s="83"/>
      <c r="ACF70" s="83"/>
      <c r="ACG70" s="83"/>
      <c r="ACH70" s="83"/>
      <c r="ACI70" s="83"/>
      <c r="ACJ70" s="83"/>
      <c r="ACK70" s="83"/>
      <c r="ACL70" s="83"/>
      <c r="ACM70" s="83"/>
      <c r="ACN70" s="83"/>
      <c r="ACO70" s="83"/>
      <c r="ACP70" s="83"/>
      <c r="ACQ70" s="83"/>
      <c r="ACR70" s="83"/>
      <c r="ACS70" s="83"/>
      <c r="ACT70" s="83"/>
      <c r="ACU70" s="83"/>
      <c r="ACV70" s="83"/>
      <c r="ACW70" s="83"/>
      <c r="ACX70" s="83"/>
      <c r="ACY70" s="83"/>
      <c r="ACZ70" s="83"/>
      <c r="ADA70" s="83"/>
      <c r="ADB70" s="83"/>
      <c r="ADC70" s="83"/>
      <c r="ADD70" s="83"/>
      <c r="ADE70" s="83"/>
      <c r="ADF70" s="83"/>
      <c r="ADG70" s="83"/>
      <c r="ADH70" s="83"/>
      <c r="ADI70" s="83"/>
      <c r="ADJ70" s="83"/>
      <c r="ADK70" s="83"/>
      <c r="ADL70" s="83"/>
      <c r="ADM70" s="83"/>
      <c r="ADN70" s="83"/>
      <c r="ADO70" s="83"/>
      <c r="ADP70" s="83"/>
      <c r="ADQ70" s="83"/>
      <c r="ADR70" s="83"/>
      <c r="ADS70" s="83"/>
      <c r="ADT70" s="83"/>
      <c r="ADU70" s="83"/>
      <c r="ADV70" s="83"/>
      <c r="ADW70" s="83"/>
      <c r="ADX70" s="83"/>
      <c r="ADY70" s="83"/>
      <c r="ADZ70" s="83"/>
      <c r="AEA70" s="83"/>
      <c r="AEB70" s="83"/>
      <c r="AEC70" s="83"/>
      <c r="AED70" s="83"/>
      <c r="AEE70" s="83"/>
      <c r="AEF70" s="83"/>
      <c r="AEG70" s="83"/>
      <c r="AEH70" s="83"/>
      <c r="AEI70" s="83"/>
      <c r="AEJ70" s="83"/>
      <c r="AEK70" s="83"/>
      <c r="AEL70" s="83"/>
      <c r="AEM70" s="83"/>
      <c r="AEN70" s="83"/>
      <c r="AEO70" s="83"/>
      <c r="AEP70" s="83"/>
      <c r="AEQ70" s="83"/>
      <c r="AER70" s="83"/>
      <c r="AES70" s="83"/>
      <c r="AET70" s="83"/>
      <c r="AEU70" s="83"/>
      <c r="AEV70" s="83"/>
      <c r="AEW70" s="83"/>
      <c r="AEX70" s="83"/>
      <c r="AEY70" s="83"/>
      <c r="AEZ70" s="83"/>
      <c r="AFA70" s="83"/>
      <c r="AFB70" s="83"/>
      <c r="AFC70" s="83"/>
      <c r="AFD70" s="83"/>
      <c r="AFE70" s="83"/>
      <c r="AFF70" s="83"/>
      <c r="AFG70" s="83"/>
      <c r="AFH70" s="83"/>
      <c r="AFI70" s="83"/>
      <c r="AFJ70" s="83"/>
      <c r="AFK70" s="83"/>
      <c r="AFL70" s="83"/>
      <c r="AFM70" s="83"/>
      <c r="AFN70" s="83"/>
      <c r="AFO70" s="83"/>
      <c r="AFP70" s="83"/>
      <c r="AFQ70" s="83"/>
      <c r="AFR70" s="83"/>
      <c r="AFS70" s="83"/>
      <c r="AFT70" s="83"/>
      <c r="AFU70" s="83"/>
      <c r="AFV70" s="83"/>
      <c r="AFW70" s="83"/>
      <c r="AFX70" s="83"/>
      <c r="AFY70" s="83"/>
      <c r="AFZ70" s="83"/>
      <c r="AGA70" s="83"/>
      <c r="AGB70" s="83"/>
      <c r="AGC70" s="83"/>
      <c r="AGD70" s="83"/>
      <c r="AGE70" s="83"/>
      <c r="AGF70" s="83"/>
      <c r="AGG70" s="83"/>
      <c r="AGH70" s="83"/>
      <c r="AGI70" s="83"/>
      <c r="AGJ70" s="83"/>
      <c r="AGK70" s="83"/>
      <c r="AGL70" s="83"/>
      <c r="AGM70" s="83"/>
      <c r="AGN70" s="83"/>
      <c r="AGO70" s="83"/>
      <c r="AGP70" s="83"/>
      <c r="AGQ70" s="83"/>
      <c r="AGR70" s="83"/>
      <c r="AGS70" s="83"/>
      <c r="AGT70" s="83"/>
      <c r="AGU70" s="83"/>
      <c r="AGV70" s="83"/>
      <c r="AGW70" s="83"/>
      <c r="AGX70" s="83"/>
      <c r="AGY70" s="83"/>
      <c r="AGZ70" s="83"/>
      <c r="AHA70" s="83"/>
      <c r="AHB70" s="83"/>
      <c r="AHC70" s="83"/>
      <c r="AHD70" s="83"/>
      <c r="AHE70" s="83"/>
      <c r="AHF70" s="83"/>
      <c r="AHG70" s="83"/>
      <c r="AHH70" s="83"/>
      <c r="AHI70" s="83"/>
      <c r="AHJ70" s="83"/>
      <c r="AHK70" s="83"/>
      <c r="AHL70" s="83"/>
      <c r="AHM70" s="83"/>
      <c r="AHN70" s="83"/>
      <c r="AHO70" s="83"/>
      <c r="AHP70" s="83"/>
      <c r="AHQ70" s="83"/>
      <c r="AHR70" s="83"/>
      <c r="AHS70" s="83"/>
      <c r="AHT70" s="83"/>
      <c r="AHU70" s="83"/>
      <c r="AHV70" s="83"/>
      <c r="AHW70" s="83"/>
      <c r="AHX70" s="83"/>
      <c r="AHY70" s="83"/>
      <c r="AHZ70" s="83"/>
      <c r="AIA70" s="83"/>
      <c r="AIB70" s="83"/>
      <c r="AIC70" s="83"/>
      <c r="AID70" s="83"/>
      <c r="AIE70" s="83"/>
      <c r="AIF70" s="83"/>
      <c r="AIG70" s="83"/>
      <c r="AIH70" s="83"/>
      <c r="AII70" s="83"/>
      <c r="AIJ70" s="83"/>
      <c r="AIK70" s="83"/>
      <c r="AIL70" s="83"/>
      <c r="AIM70" s="83"/>
      <c r="AIN70" s="83"/>
      <c r="AIO70" s="83"/>
      <c r="AIP70" s="83"/>
      <c r="AIQ70" s="83"/>
      <c r="AIR70" s="83"/>
      <c r="AIS70" s="83"/>
      <c r="AIT70" s="83"/>
      <c r="AIU70" s="83"/>
      <c r="AIV70" s="83"/>
      <c r="AIW70" s="83"/>
      <c r="AIX70" s="83"/>
      <c r="AIY70" s="83"/>
      <c r="AIZ70" s="83"/>
      <c r="AJA70" s="83"/>
      <c r="AJB70" s="83"/>
      <c r="AJC70" s="83"/>
      <c r="AJD70" s="83"/>
      <c r="AJE70" s="83"/>
      <c r="AJF70" s="83"/>
      <c r="AJG70" s="83"/>
      <c r="AJH70" s="83"/>
      <c r="AJI70" s="83"/>
      <c r="AJJ70" s="83"/>
      <c r="AJK70" s="83"/>
      <c r="AJL70" s="83"/>
      <c r="AJM70" s="83"/>
      <c r="AJN70" s="83"/>
      <c r="AJO70" s="83"/>
      <c r="AJP70" s="83"/>
      <c r="AJQ70" s="83"/>
      <c r="AJR70" s="83"/>
      <c r="AJS70" s="83"/>
      <c r="AJT70" s="83"/>
      <c r="AJU70" s="83"/>
      <c r="AJV70" s="83"/>
      <c r="AJW70" s="83"/>
      <c r="AJX70" s="83"/>
      <c r="AJY70" s="83"/>
      <c r="AJZ70" s="83"/>
      <c r="AKA70" s="83"/>
      <c r="AKB70" s="83"/>
      <c r="AKC70" s="83"/>
      <c r="AKD70" s="83"/>
      <c r="AKE70" s="83"/>
      <c r="AKF70" s="83"/>
      <c r="AKG70" s="83"/>
      <c r="AKH70" s="83"/>
      <c r="AKI70" s="83"/>
      <c r="AKJ70" s="83"/>
      <c r="AKK70" s="83"/>
      <c r="AKL70" s="83"/>
      <c r="AKM70" s="83"/>
      <c r="AKN70" s="83"/>
      <c r="AKO70" s="83"/>
      <c r="AKP70" s="83"/>
      <c r="AKQ70" s="83"/>
      <c r="AKR70" s="83"/>
      <c r="AKS70" s="83"/>
      <c r="AKT70" s="83"/>
      <c r="AKU70" s="83"/>
      <c r="AKV70" s="83"/>
      <c r="AKW70" s="83"/>
      <c r="AKX70" s="83"/>
      <c r="AKY70" s="83"/>
      <c r="AKZ70" s="83"/>
      <c r="ALA70" s="83"/>
      <c r="ALB70" s="83"/>
      <c r="ALC70" s="83"/>
      <c r="ALD70" s="83"/>
      <c r="ALE70" s="83"/>
      <c r="ALF70" s="83"/>
      <c r="ALG70" s="83"/>
      <c r="ALH70" s="83"/>
      <c r="ALI70" s="83"/>
      <c r="ALJ70" s="83"/>
      <c r="ALK70" s="83"/>
      <c r="ALL70" s="83"/>
      <c r="ALM70" s="83"/>
      <c r="ALN70" s="83"/>
      <c r="ALO70" s="83"/>
      <c r="ALP70" s="83"/>
      <c r="ALQ70" s="83"/>
      <c r="ALR70" s="83"/>
      <c r="ALS70" s="83"/>
      <c r="ALT70" s="83"/>
      <c r="ALU70" s="83"/>
      <c r="ALV70" s="83"/>
      <c r="ALW70" s="83"/>
      <c r="ALX70" s="83"/>
      <c r="ALY70" s="83"/>
      <c r="ALZ70" s="83"/>
      <c r="AMA70" s="83"/>
      <c r="AMB70" s="83"/>
      <c r="AMC70" s="83"/>
      <c r="AMD70" s="83"/>
      <c r="AME70" s="83"/>
      <c r="AMF70" s="83"/>
      <c r="AMG70" s="83"/>
      <c r="AMH70" s="83"/>
      <c r="AMI70" s="83"/>
      <c r="AMJ70" s="83"/>
    </row>
    <row r="71" spans="12:1024" ht="15.95" customHeight="1" x14ac:dyDescent="0.2">
      <c r="L71" s="83"/>
      <c r="M71" s="84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  <c r="IW71" s="83"/>
      <c r="IX71" s="83"/>
      <c r="IY71" s="83"/>
      <c r="IZ71" s="83"/>
      <c r="JA71" s="83"/>
      <c r="JB71" s="83"/>
      <c r="JC71" s="83"/>
      <c r="JD71" s="83"/>
      <c r="JE71" s="83"/>
      <c r="JF71" s="83"/>
      <c r="JG71" s="83"/>
      <c r="JH71" s="83"/>
      <c r="JI71" s="83"/>
      <c r="JJ71" s="83"/>
      <c r="JK71" s="83"/>
      <c r="JL71" s="83"/>
      <c r="JM71" s="83"/>
      <c r="JN71" s="83"/>
      <c r="JO71" s="83"/>
      <c r="JP71" s="83"/>
      <c r="JQ71" s="83"/>
      <c r="JR71" s="83"/>
      <c r="JS71" s="83"/>
      <c r="JT71" s="83"/>
      <c r="JU71" s="83"/>
      <c r="JV71" s="83"/>
      <c r="JW71" s="83"/>
      <c r="JX71" s="83"/>
      <c r="JY71" s="83"/>
      <c r="JZ71" s="83"/>
      <c r="KA71" s="83"/>
      <c r="KB71" s="83"/>
      <c r="KC71" s="83"/>
      <c r="KD71" s="83"/>
      <c r="KE71" s="83"/>
      <c r="KF71" s="83"/>
      <c r="KG71" s="83"/>
      <c r="KH71" s="83"/>
      <c r="KI71" s="83"/>
      <c r="KJ71" s="83"/>
      <c r="KK71" s="83"/>
      <c r="KL71" s="83"/>
      <c r="KM71" s="83"/>
      <c r="KN71" s="83"/>
      <c r="KO71" s="83"/>
      <c r="KP71" s="83"/>
      <c r="KQ71" s="83"/>
      <c r="KR71" s="83"/>
      <c r="KS71" s="83"/>
      <c r="KT71" s="83"/>
      <c r="KU71" s="83"/>
      <c r="KV71" s="83"/>
      <c r="KW71" s="83"/>
      <c r="KX71" s="83"/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83"/>
      <c r="LL71" s="83"/>
      <c r="LM71" s="83"/>
      <c r="LN71" s="83"/>
      <c r="LO71" s="83"/>
      <c r="LP71" s="83"/>
      <c r="LQ71" s="83"/>
      <c r="LR71" s="83"/>
      <c r="LS71" s="83"/>
      <c r="LT71" s="83"/>
      <c r="LU71" s="83"/>
      <c r="LV71" s="83"/>
      <c r="LW71" s="83"/>
      <c r="LX71" s="83"/>
      <c r="LY71" s="83"/>
      <c r="LZ71" s="83"/>
      <c r="MA71" s="83"/>
      <c r="MB71" s="83"/>
      <c r="MC71" s="83"/>
      <c r="MD71" s="83"/>
      <c r="ME71" s="83"/>
      <c r="MF71" s="83"/>
      <c r="MG71" s="83"/>
      <c r="MH71" s="83"/>
      <c r="MI71" s="83"/>
      <c r="MJ71" s="83"/>
      <c r="MK71" s="83"/>
      <c r="ML71" s="83"/>
      <c r="MM71" s="83"/>
      <c r="MN71" s="83"/>
      <c r="MO71" s="83"/>
      <c r="MP71" s="83"/>
      <c r="MQ71" s="83"/>
      <c r="MR71" s="83"/>
      <c r="MS71" s="83"/>
      <c r="MT71" s="83"/>
      <c r="MU71" s="83"/>
      <c r="MV71" s="83"/>
      <c r="MW71" s="83"/>
      <c r="MX71" s="83"/>
      <c r="MY71" s="83"/>
      <c r="MZ71" s="83"/>
      <c r="NA71" s="83"/>
      <c r="NB71" s="83"/>
      <c r="NC71" s="83"/>
      <c r="ND71" s="83"/>
      <c r="NE71" s="83"/>
      <c r="NF71" s="83"/>
      <c r="NG71" s="83"/>
      <c r="NH71" s="83"/>
      <c r="NI71" s="83"/>
      <c r="NJ71" s="83"/>
      <c r="NK71" s="83"/>
      <c r="NL71" s="83"/>
      <c r="NM71" s="83"/>
      <c r="NN71" s="83"/>
      <c r="NO71" s="83"/>
      <c r="NP71" s="83"/>
      <c r="NQ71" s="83"/>
      <c r="NR71" s="83"/>
      <c r="NS71" s="83"/>
      <c r="NT71" s="83"/>
      <c r="NU71" s="83"/>
      <c r="NV71" s="83"/>
      <c r="NW71" s="83"/>
      <c r="NX71" s="83"/>
      <c r="NY71" s="83"/>
      <c r="NZ71" s="83"/>
      <c r="OA71" s="83"/>
      <c r="OB71" s="83"/>
      <c r="OC71" s="83"/>
      <c r="OD71" s="83"/>
      <c r="OE71" s="83"/>
      <c r="OF71" s="83"/>
      <c r="OG71" s="83"/>
      <c r="OH71" s="83"/>
      <c r="OI71" s="83"/>
      <c r="OJ71" s="83"/>
      <c r="OK71" s="83"/>
      <c r="OL71" s="83"/>
      <c r="OM71" s="83"/>
      <c r="ON71" s="83"/>
      <c r="OO71" s="83"/>
      <c r="OP71" s="83"/>
      <c r="OQ71" s="83"/>
      <c r="OR71" s="83"/>
      <c r="OS71" s="83"/>
      <c r="OT71" s="83"/>
      <c r="OU71" s="83"/>
      <c r="OV71" s="83"/>
      <c r="OW71" s="83"/>
      <c r="OX71" s="83"/>
      <c r="OY71" s="83"/>
      <c r="OZ71" s="83"/>
      <c r="PA71" s="83"/>
      <c r="PB71" s="83"/>
      <c r="PC71" s="83"/>
      <c r="PD71" s="83"/>
      <c r="PE71" s="83"/>
      <c r="PF71" s="83"/>
      <c r="PG71" s="83"/>
      <c r="PH71" s="83"/>
      <c r="PI71" s="83"/>
      <c r="PJ71" s="83"/>
      <c r="PK71" s="83"/>
      <c r="PL71" s="83"/>
      <c r="PM71" s="83"/>
      <c r="PN71" s="83"/>
      <c r="PO71" s="83"/>
      <c r="PP71" s="83"/>
      <c r="PQ71" s="83"/>
      <c r="PR71" s="83"/>
      <c r="PS71" s="83"/>
      <c r="PT71" s="83"/>
      <c r="PU71" s="83"/>
      <c r="PV71" s="83"/>
      <c r="PW71" s="83"/>
      <c r="PX71" s="83"/>
      <c r="PY71" s="83"/>
      <c r="PZ71" s="83"/>
      <c r="QA71" s="83"/>
      <c r="QB71" s="83"/>
      <c r="QC71" s="83"/>
      <c r="QD71" s="83"/>
      <c r="QE71" s="83"/>
      <c r="QF71" s="83"/>
      <c r="QG71" s="83"/>
      <c r="QH71" s="83"/>
      <c r="QI71" s="83"/>
      <c r="QJ71" s="83"/>
      <c r="QK71" s="83"/>
      <c r="QL71" s="83"/>
      <c r="QM71" s="83"/>
      <c r="QN71" s="83"/>
      <c r="QO71" s="83"/>
      <c r="QP71" s="83"/>
      <c r="QQ71" s="83"/>
      <c r="QR71" s="83"/>
      <c r="QS71" s="83"/>
      <c r="QT71" s="83"/>
      <c r="QU71" s="83"/>
      <c r="QV71" s="83"/>
      <c r="QW71" s="83"/>
      <c r="QX71" s="83"/>
      <c r="QY71" s="83"/>
      <c r="QZ71" s="83"/>
      <c r="RA71" s="83"/>
      <c r="RB71" s="83"/>
      <c r="RC71" s="83"/>
      <c r="RD71" s="83"/>
      <c r="RE71" s="83"/>
      <c r="RF71" s="83"/>
      <c r="RG71" s="83"/>
      <c r="RH71" s="83"/>
      <c r="RI71" s="83"/>
      <c r="RJ71" s="83"/>
      <c r="RK71" s="83"/>
      <c r="RL71" s="83"/>
      <c r="RM71" s="83"/>
      <c r="RN71" s="83"/>
      <c r="RO71" s="83"/>
      <c r="RP71" s="83"/>
      <c r="RQ71" s="83"/>
      <c r="RR71" s="83"/>
      <c r="RS71" s="83"/>
      <c r="RT71" s="83"/>
      <c r="RU71" s="83"/>
      <c r="RV71" s="83"/>
      <c r="RW71" s="83"/>
      <c r="RX71" s="83"/>
      <c r="RY71" s="83"/>
      <c r="RZ71" s="83"/>
      <c r="SA71" s="83"/>
      <c r="SB71" s="83"/>
      <c r="SC71" s="83"/>
      <c r="SD71" s="83"/>
      <c r="SE71" s="83"/>
      <c r="SF71" s="83"/>
      <c r="SG71" s="83"/>
      <c r="SH71" s="83"/>
      <c r="SI71" s="83"/>
      <c r="SJ71" s="83"/>
      <c r="SK71" s="83"/>
      <c r="SL71" s="83"/>
      <c r="SM71" s="83"/>
      <c r="SN71" s="83"/>
      <c r="SO71" s="83"/>
      <c r="SP71" s="83"/>
      <c r="SQ71" s="83"/>
      <c r="SR71" s="83"/>
      <c r="SS71" s="83"/>
      <c r="ST71" s="83"/>
      <c r="SU71" s="83"/>
      <c r="SV71" s="83"/>
      <c r="SW71" s="83"/>
      <c r="SX71" s="83"/>
      <c r="SY71" s="83"/>
      <c r="SZ71" s="83"/>
      <c r="TA71" s="83"/>
      <c r="TB71" s="83"/>
      <c r="TC71" s="83"/>
      <c r="TD71" s="83"/>
      <c r="TE71" s="83"/>
      <c r="TF71" s="83"/>
      <c r="TG71" s="83"/>
      <c r="TH71" s="83"/>
      <c r="TI71" s="83"/>
      <c r="TJ71" s="83"/>
      <c r="TK71" s="83"/>
      <c r="TL71" s="83"/>
      <c r="TM71" s="83"/>
      <c r="TN71" s="83"/>
      <c r="TO71" s="83"/>
      <c r="TP71" s="83"/>
      <c r="TQ71" s="83"/>
      <c r="TR71" s="83"/>
      <c r="TS71" s="83"/>
      <c r="TT71" s="83"/>
      <c r="TU71" s="83"/>
      <c r="TV71" s="83"/>
      <c r="TW71" s="83"/>
      <c r="TX71" s="83"/>
      <c r="TY71" s="83"/>
      <c r="TZ71" s="83"/>
      <c r="UA71" s="83"/>
      <c r="UB71" s="83"/>
      <c r="UC71" s="83"/>
      <c r="UD71" s="83"/>
      <c r="UE71" s="83"/>
      <c r="UF71" s="83"/>
      <c r="UG71" s="83"/>
      <c r="UH71" s="83"/>
      <c r="UI71" s="83"/>
      <c r="UJ71" s="83"/>
      <c r="UK71" s="83"/>
      <c r="UL71" s="83"/>
      <c r="UM71" s="83"/>
      <c r="UN71" s="83"/>
      <c r="UO71" s="83"/>
      <c r="UP71" s="83"/>
      <c r="UQ71" s="83"/>
      <c r="UR71" s="83"/>
      <c r="US71" s="83"/>
      <c r="UT71" s="83"/>
      <c r="UU71" s="83"/>
      <c r="UV71" s="83"/>
      <c r="UW71" s="83"/>
      <c r="UX71" s="83"/>
      <c r="UY71" s="83"/>
      <c r="UZ71" s="83"/>
      <c r="VA71" s="83"/>
      <c r="VB71" s="83"/>
      <c r="VC71" s="83"/>
      <c r="VD71" s="83"/>
      <c r="VE71" s="83"/>
      <c r="VF71" s="83"/>
      <c r="VG71" s="83"/>
      <c r="VH71" s="83"/>
      <c r="VI71" s="83"/>
      <c r="VJ71" s="83"/>
      <c r="VK71" s="83"/>
      <c r="VL71" s="83"/>
      <c r="VM71" s="83"/>
      <c r="VN71" s="83"/>
      <c r="VO71" s="83"/>
      <c r="VP71" s="83"/>
      <c r="VQ71" s="83"/>
      <c r="VR71" s="83"/>
      <c r="VS71" s="83"/>
      <c r="VT71" s="83"/>
      <c r="VU71" s="83"/>
      <c r="VV71" s="83"/>
      <c r="VW71" s="83"/>
      <c r="VX71" s="83"/>
      <c r="VY71" s="83"/>
      <c r="VZ71" s="83"/>
      <c r="WA71" s="83"/>
      <c r="WB71" s="83"/>
      <c r="WC71" s="83"/>
      <c r="WD71" s="83"/>
      <c r="WE71" s="83"/>
      <c r="WF71" s="83"/>
      <c r="WG71" s="83"/>
      <c r="WH71" s="83"/>
      <c r="WI71" s="83"/>
      <c r="WJ71" s="83"/>
      <c r="WK71" s="83"/>
      <c r="WL71" s="83"/>
      <c r="WM71" s="83"/>
      <c r="WN71" s="83"/>
      <c r="WO71" s="83"/>
      <c r="WP71" s="83"/>
      <c r="WQ71" s="83"/>
      <c r="WR71" s="83"/>
      <c r="WS71" s="83"/>
      <c r="WT71" s="83"/>
      <c r="WU71" s="83"/>
      <c r="WV71" s="83"/>
      <c r="WW71" s="83"/>
      <c r="WX71" s="83"/>
      <c r="WY71" s="83"/>
      <c r="WZ71" s="83"/>
      <c r="XA71" s="83"/>
      <c r="XB71" s="83"/>
      <c r="XC71" s="83"/>
      <c r="XD71" s="83"/>
      <c r="XE71" s="83"/>
      <c r="XF71" s="83"/>
      <c r="XG71" s="83"/>
      <c r="XH71" s="83"/>
      <c r="XI71" s="83"/>
      <c r="XJ71" s="83"/>
      <c r="XK71" s="83"/>
      <c r="XL71" s="83"/>
      <c r="XM71" s="83"/>
      <c r="XN71" s="83"/>
      <c r="XO71" s="83"/>
      <c r="XP71" s="83"/>
      <c r="XQ71" s="83"/>
      <c r="XR71" s="83"/>
      <c r="XS71" s="83"/>
      <c r="XT71" s="83"/>
      <c r="XU71" s="83"/>
      <c r="XV71" s="83"/>
      <c r="XW71" s="83"/>
      <c r="XX71" s="83"/>
      <c r="XY71" s="83"/>
      <c r="XZ71" s="83"/>
      <c r="YA71" s="83"/>
      <c r="YB71" s="83"/>
      <c r="YC71" s="83"/>
      <c r="YD71" s="83"/>
      <c r="YE71" s="83"/>
      <c r="YF71" s="83"/>
      <c r="YG71" s="83"/>
      <c r="YH71" s="83"/>
      <c r="YI71" s="83"/>
      <c r="YJ71" s="83"/>
      <c r="YK71" s="83"/>
      <c r="YL71" s="83"/>
      <c r="YM71" s="83"/>
      <c r="YN71" s="83"/>
      <c r="YO71" s="83"/>
      <c r="YP71" s="83"/>
      <c r="YQ71" s="83"/>
      <c r="YR71" s="83"/>
      <c r="YS71" s="83"/>
      <c r="YT71" s="83"/>
      <c r="YU71" s="83"/>
      <c r="YV71" s="83"/>
      <c r="YW71" s="83"/>
      <c r="YX71" s="83"/>
      <c r="YY71" s="83"/>
      <c r="YZ71" s="83"/>
      <c r="ZA71" s="83"/>
      <c r="ZB71" s="83"/>
      <c r="ZC71" s="83"/>
      <c r="ZD71" s="83"/>
      <c r="ZE71" s="83"/>
      <c r="ZF71" s="83"/>
      <c r="ZG71" s="83"/>
      <c r="ZH71" s="83"/>
      <c r="ZI71" s="83"/>
      <c r="ZJ71" s="83"/>
      <c r="ZK71" s="83"/>
      <c r="ZL71" s="83"/>
      <c r="ZM71" s="83"/>
      <c r="ZN71" s="83"/>
      <c r="ZO71" s="83"/>
      <c r="ZP71" s="83"/>
      <c r="ZQ71" s="83"/>
      <c r="ZR71" s="83"/>
      <c r="ZS71" s="83"/>
      <c r="ZT71" s="83"/>
      <c r="ZU71" s="83"/>
      <c r="ZV71" s="83"/>
      <c r="ZW71" s="83"/>
      <c r="ZX71" s="83"/>
      <c r="ZY71" s="83"/>
      <c r="ZZ71" s="83"/>
      <c r="AAA71" s="83"/>
      <c r="AAB71" s="83"/>
      <c r="AAC71" s="83"/>
      <c r="AAD71" s="83"/>
      <c r="AAE71" s="83"/>
      <c r="AAF71" s="83"/>
      <c r="AAG71" s="83"/>
      <c r="AAH71" s="83"/>
      <c r="AAI71" s="83"/>
      <c r="AAJ71" s="83"/>
      <c r="AAK71" s="83"/>
      <c r="AAL71" s="83"/>
      <c r="AAM71" s="83"/>
      <c r="AAN71" s="83"/>
      <c r="AAO71" s="83"/>
      <c r="AAP71" s="83"/>
      <c r="AAQ71" s="83"/>
      <c r="AAR71" s="83"/>
      <c r="AAS71" s="83"/>
      <c r="AAT71" s="83"/>
      <c r="AAU71" s="83"/>
      <c r="AAV71" s="83"/>
      <c r="AAW71" s="83"/>
      <c r="AAX71" s="83"/>
      <c r="AAY71" s="83"/>
      <c r="AAZ71" s="83"/>
      <c r="ABA71" s="83"/>
      <c r="ABB71" s="83"/>
      <c r="ABC71" s="83"/>
      <c r="ABD71" s="83"/>
      <c r="ABE71" s="83"/>
      <c r="ABF71" s="83"/>
      <c r="ABG71" s="83"/>
      <c r="ABH71" s="83"/>
      <c r="ABI71" s="83"/>
      <c r="ABJ71" s="83"/>
      <c r="ABK71" s="83"/>
      <c r="ABL71" s="83"/>
      <c r="ABM71" s="83"/>
      <c r="ABN71" s="83"/>
      <c r="ABO71" s="83"/>
      <c r="ABP71" s="83"/>
      <c r="ABQ71" s="83"/>
      <c r="ABR71" s="83"/>
      <c r="ABS71" s="83"/>
      <c r="ABT71" s="83"/>
      <c r="ABU71" s="83"/>
      <c r="ABV71" s="83"/>
      <c r="ABW71" s="83"/>
      <c r="ABX71" s="83"/>
      <c r="ABY71" s="83"/>
      <c r="ABZ71" s="83"/>
      <c r="ACA71" s="83"/>
      <c r="ACB71" s="83"/>
      <c r="ACC71" s="83"/>
      <c r="ACD71" s="83"/>
      <c r="ACE71" s="83"/>
      <c r="ACF71" s="83"/>
      <c r="ACG71" s="83"/>
      <c r="ACH71" s="83"/>
      <c r="ACI71" s="83"/>
      <c r="ACJ71" s="83"/>
      <c r="ACK71" s="83"/>
      <c r="ACL71" s="83"/>
      <c r="ACM71" s="83"/>
      <c r="ACN71" s="83"/>
      <c r="ACO71" s="83"/>
      <c r="ACP71" s="83"/>
      <c r="ACQ71" s="83"/>
      <c r="ACR71" s="83"/>
      <c r="ACS71" s="83"/>
      <c r="ACT71" s="83"/>
      <c r="ACU71" s="83"/>
      <c r="ACV71" s="83"/>
      <c r="ACW71" s="83"/>
      <c r="ACX71" s="83"/>
      <c r="ACY71" s="83"/>
      <c r="ACZ71" s="83"/>
      <c r="ADA71" s="83"/>
      <c r="ADB71" s="83"/>
      <c r="ADC71" s="83"/>
      <c r="ADD71" s="83"/>
      <c r="ADE71" s="83"/>
      <c r="ADF71" s="83"/>
      <c r="ADG71" s="83"/>
      <c r="ADH71" s="83"/>
      <c r="ADI71" s="83"/>
      <c r="ADJ71" s="83"/>
      <c r="ADK71" s="83"/>
      <c r="ADL71" s="83"/>
      <c r="ADM71" s="83"/>
      <c r="ADN71" s="83"/>
      <c r="ADO71" s="83"/>
      <c r="ADP71" s="83"/>
      <c r="ADQ71" s="83"/>
      <c r="ADR71" s="83"/>
      <c r="ADS71" s="83"/>
      <c r="ADT71" s="83"/>
      <c r="ADU71" s="83"/>
      <c r="ADV71" s="83"/>
      <c r="ADW71" s="83"/>
      <c r="ADX71" s="83"/>
      <c r="ADY71" s="83"/>
      <c r="ADZ71" s="83"/>
      <c r="AEA71" s="83"/>
      <c r="AEB71" s="83"/>
      <c r="AEC71" s="83"/>
      <c r="AED71" s="83"/>
      <c r="AEE71" s="83"/>
      <c r="AEF71" s="83"/>
      <c r="AEG71" s="83"/>
      <c r="AEH71" s="83"/>
      <c r="AEI71" s="83"/>
      <c r="AEJ71" s="83"/>
      <c r="AEK71" s="83"/>
      <c r="AEL71" s="83"/>
      <c r="AEM71" s="83"/>
      <c r="AEN71" s="83"/>
      <c r="AEO71" s="83"/>
      <c r="AEP71" s="83"/>
      <c r="AEQ71" s="83"/>
      <c r="AER71" s="83"/>
      <c r="AES71" s="83"/>
      <c r="AET71" s="83"/>
      <c r="AEU71" s="83"/>
      <c r="AEV71" s="83"/>
      <c r="AEW71" s="83"/>
      <c r="AEX71" s="83"/>
      <c r="AEY71" s="83"/>
      <c r="AEZ71" s="83"/>
      <c r="AFA71" s="83"/>
      <c r="AFB71" s="83"/>
      <c r="AFC71" s="83"/>
      <c r="AFD71" s="83"/>
      <c r="AFE71" s="83"/>
      <c r="AFF71" s="83"/>
      <c r="AFG71" s="83"/>
      <c r="AFH71" s="83"/>
      <c r="AFI71" s="83"/>
      <c r="AFJ71" s="83"/>
      <c r="AFK71" s="83"/>
      <c r="AFL71" s="83"/>
      <c r="AFM71" s="83"/>
      <c r="AFN71" s="83"/>
      <c r="AFO71" s="83"/>
      <c r="AFP71" s="83"/>
      <c r="AFQ71" s="83"/>
      <c r="AFR71" s="83"/>
      <c r="AFS71" s="83"/>
      <c r="AFT71" s="83"/>
      <c r="AFU71" s="83"/>
      <c r="AFV71" s="83"/>
      <c r="AFW71" s="83"/>
      <c r="AFX71" s="83"/>
      <c r="AFY71" s="83"/>
      <c r="AFZ71" s="83"/>
      <c r="AGA71" s="83"/>
      <c r="AGB71" s="83"/>
      <c r="AGC71" s="83"/>
      <c r="AGD71" s="83"/>
      <c r="AGE71" s="83"/>
      <c r="AGF71" s="83"/>
      <c r="AGG71" s="83"/>
      <c r="AGH71" s="83"/>
      <c r="AGI71" s="83"/>
      <c r="AGJ71" s="83"/>
      <c r="AGK71" s="83"/>
      <c r="AGL71" s="83"/>
      <c r="AGM71" s="83"/>
      <c r="AGN71" s="83"/>
      <c r="AGO71" s="83"/>
      <c r="AGP71" s="83"/>
      <c r="AGQ71" s="83"/>
      <c r="AGR71" s="83"/>
      <c r="AGS71" s="83"/>
      <c r="AGT71" s="83"/>
      <c r="AGU71" s="83"/>
      <c r="AGV71" s="83"/>
      <c r="AGW71" s="83"/>
      <c r="AGX71" s="83"/>
      <c r="AGY71" s="83"/>
      <c r="AGZ71" s="83"/>
      <c r="AHA71" s="83"/>
      <c r="AHB71" s="83"/>
      <c r="AHC71" s="83"/>
      <c r="AHD71" s="83"/>
      <c r="AHE71" s="83"/>
      <c r="AHF71" s="83"/>
      <c r="AHG71" s="83"/>
      <c r="AHH71" s="83"/>
      <c r="AHI71" s="83"/>
      <c r="AHJ71" s="83"/>
      <c r="AHK71" s="83"/>
      <c r="AHL71" s="83"/>
      <c r="AHM71" s="83"/>
      <c r="AHN71" s="83"/>
      <c r="AHO71" s="83"/>
      <c r="AHP71" s="83"/>
      <c r="AHQ71" s="83"/>
      <c r="AHR71" s="83"/>
      <c r="AHS71" s="83"/>
      <c r="AHT71" s="83"/>
      <c r="AHU71" s="83"/>
      <c r="AHV71" s="83"/>
      <c r="AHW71" s="83"/>
      <c r="AHX71" s="83"/>
      <c r="AHY71" s="83"/>
      <c r="AHZ71" s="83"/>
      <c r="AIA71" s="83"/>
      <c r="AIB71" s="83"/>
      <c r="AIC71" s="83"/>
      <c r="AID71" s="83"/>
      <c r="AIE71" s="83"/>
      <c r="AIF71" s="83"/>
      <c r="AIG71" s="83"/>
      <c r="AIH71" s="83"/>
      <c r="AII71" s="83"/>
      <c r="AIJ71" s="83"/>
      <c r="AIK71" s="83"/>
      <c r="AIL71" s="83"/>
      <c r="AIM71" s="83"/>
      <c r="AIN71" s="83"/>
      <c r="AIO71" s="83"/>
      <c r="AIP71" s="83"/>
      <c r="AIQ71" s="83"/>
      <c r="AIR71" s="83"/>
      <c r="AIS71" s="83"/>
      <c r="AIT71" s="83"/>
      <c r="AIU71" s="83"/>
      <c r="AIV71" s="83"/>
      <c r="AIW71" s="83"/>
      <c r="AIX71" s="83"/>
      <c r="AIY71" s="83"/>
      <c r="AIZ71" s="83"/>
      <c r="AJA71" s="83"/>
      <c r="AJB71" s="83"/>
      <c r="AJC71" s="83"/>
      <c r="AJD71" s="83"/>
      <c r="AJE71" s="83"/>
      <c r="AJF71" s="83"/>
      <c r="AJG71" s="83"/>
      <c r="AJH71" s="83"/>
      <c r="AJI71" s="83"/>
      <c r="AJJ71" s="83"/>
      <c r="AJK71" s="83"/>
      <c r="AJL71" s="83"/>
      <c r="AJM71" s="83"/>
      <c r="AJN71" s="83"/>
      <c r="AJO71" s="83"/>
      <c r="AJP71" s="83"/>
      <c r="AJQ71" s="83"/>
      <c r="AJR71" s="83"/>
      <c r="AJS71" s="83"/>
      <c r="AJT71" s="83"/>
      <c r="AJU71" s="83"/>
      <c r="AJV71" s="83"/>
      <c r="AJW71" s="83"/>
      <c r="AJX71" s="83"/>
      <c r="AJY71" s="83"/>
      <c r="AJZ71" s="83"/>
      <c r="AKA71" s="83"/>
      <c r="AKB71" s="83"/>
      <c r="AKC71" s="83"/>
      <c r="AKD71" s="83"/>
      <c r="AKE71" s="83"/>
      <c r="AKF71" s="83"/>
      <c r="AKG71" s="83"/>
      <c r="AKH71" s="83"/>
      <c r="AKI71" s="83"/>
      <c r="AKJ71" s="83"/>
      <c r="AKK71" s="83"/>
      <c r="AKL71" s="83"/>
      <c r="AKM71" s="83"/>
      <c r="AKN71" s="83"/>
      <c r="AKO71" s="83"/>
      <c r="AKP71" s="83"/>
      <c r="AKQ71" s="83"/>
      <c r="AKR71" s="83"/>
      <c r="AKS71" s="83"/>
      <c r="AKT71" s="83"/>
      <c r="AKU71" s="83"/>
      <c r="AKV71" s="83"/>
      <c r="AKW71" s="83"/>
      <c r="AKX71" s="83"/>
      <c r="AKY71" s="83"/>
      <c r="AKZ71" s="83"/>
      <c r="ALA71" s="83"/>
      <c r="ALB71" s="83"/>
      <c r="ALC71" s="83"/>
      <c r="ALD71" s="83"/>
      <c r="ALE71" s="83"/>
      <c r="ALF71" s="83"/>
      <c r="ALG71" s="83"/>
      <c r="ALH71" s="83"/>
      <c r="ALI71" s="83"/>
      <c r="ALJ71" s="83"/>
      <c r="ALK71" s="83"/>
      <c r="ALL71" s="83"/>
      <c r="ALM71" s="83"/>
      <c r="ALN71" s="83"/>
      <c r="ALO71" s="83"/>
      <c r="ALP71" s="83"/>
      <c r="ALQ71" s="83"/>
      <c r="ALR71" s="83"/>
      <c r="ALS71" s="83"/>
      <c r="ALT71" s="83"/>
      <c r="ALU71" s="83"/>
      <c r="ALV71" s="83"/>
      <c r="ALW71" s="83"/>
      <c r="ALX71" s="83"/>
      <c r="ALY71" s="83"/>
      <c r="ALZ71" s="83"/>
      <c r="AMA71" s="83"/>
      <c r="AMB71" s="83"/>
      <c r="AMC71" s="83"/>
      <c r="AMD71" s="83"/>
      <c r="AME71" s="83"/>
      <c r="AMF71" s="83"/>
      <c r="AMG71" s="83"/>
      <c r="AMH71" s="83"/>
      <c r="AMI71" s="83"/>
      <c r="AMJ71" s="83"/>
    </row>
    <row r="72" spans="12:1024" ht="15.95" customHeight="1" x14ac:dyDescent="0.2">
      <c r="L72" s="83"/>
      <c r="M72" s="84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  <c r="IW72" s="83"/>
      <c r="IX72" s="83"/>
      <c r="IY72" s="83"/>
      <c r="IZ72" s="83"/>
      <c r="JA72" s="83"/>
      <c r="JB72" s="83"/>
      <c r="JC72" s="83"/>
      <c r="JD72" s="83"/>
      <c r="JE72" s="83"/>
      <c r="JF72" s="83"/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3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83"/>
      <c r="LL72" s="83"/>
      <c r="LM72" s="83"/>
      <c r="LN72" s="83"/>
      <c r="LO72" s="83"/>
      <c r="LP72" s="83"/>
      <c r="LQ72" s="83"/>
      <c r="LR72" s="83"/>
      <c r="LS72" s="83"/>
      <c r="LT72" s="83"/>
      <c r="LU72" s="83"/>
      <c r="LV72" s="83"/>
      <c r="LW72" s="83"/>
      <c r="LX72" s="83"/>
      <c r="LY72" s="83"/>
      <c r="LZ72" s="83"/>
      <c r="MA72" s="83"/>
      <c r="MB72" s="83"/>
      <c r="MC72" s="83"/>
      <c r="MD72" s="83"/>
      <c r="ME72" s="83"/>
      <c r="MF72" s="83"/>
      <c r="MG72" s="83"/>
      <c r="MH72" s="83"/>
      <c r="MI72" s="83"/>
      <c r="MJ72" s="83"/>
      <c r="MK72" s="83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83"/>
      <c r="OS72" s="83"/>
      <c r="OT72" s="83"/>
      <c r="OU72" s="83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3"/>
      <c r="PT72" s="83"/>
      <c r="PU72" s="83"/>
      <c r="PV72" s="83"/>
      <c r="PW72" s="83"/>
      <c r="PX72" s="83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3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3"/>
      <c r="TL72" s="83"/>
      <c r="TM72" s="83"/>
      <c r="TN72" s="83"/>
      <c r="TO72" s="83"/>
      <c r="TP72" s="83"/>
      <c r="TQ72" s="83"/>
      <c r="TR72" s="83"/>
      <c r="TS72" s="83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83"/>
      <c r="WA72" s="83"/>
      <c r="WB72" s="83"/>
      <c r="WC72" s="83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3"/>
      <c r="XB72" s="83"/>
      <c r="XC72" s="83"/>
      <c r="XD72" s="83"/>
      <c r="XE72" s="83"/>
      <c r="XF72" s="83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3"/>
      <c r="AAB72" s="83"/>
      <c r="AAC72" s="83"/>
      <c r="AAD72" s="83"/>
      <c r="AAE72" s="83"/>
      <c r="AAF72" s="83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3"/>
      <c r="AAU72" s="83"/>
      <c r="AAV72" s="83"/>
      <c r="AAW72" s="83"/>
      <c r="AAX72" s="83"/>
      <c r="AAY72" s="83"/>
      <c r="AAZ72" s="83"/>
      <c r="ABA72" s="83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83"/>
      <c r="ADI72" s="83"/>
      <c r="ADJ72" s="83"/>
      <c r="ADK72" s="83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3"/>
      <c r="AEJ72" s="83"/>
      <c r="AEK72" s="83"/>
      <c r="AEL72" s="83"/>
      <c r="AEM72" s="83"/>
      <c r="AEN72" s="83"/>
      <c r="AEO72" s="83"/>
      <c r="AEP72" s="83"/>
      <c r="AEQ72" s="83"/>
      <c r="AER72" s="83"/>
      <c r="AES72" s="83"/>
      <c r="AET72" s="83"/>
      <c r="AEU72" s="83"/>
      <c r="AEV72" s="83"/>
      <c r="AEW72" s="83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3"/>
      <c r="AHI72" s="83"/>
      <c r="AHJ72" s="83"/>
      <c r="AHK72" s="83"/>
      <c r="AHL72" s="83"/>
      <c r="AHM72" s="83"/>
      <c r="AHN72" s="83"/>
      <c r="AHO72" s="83"/>
      <c r="AHP72" s="83"/>
      <c r="AHQ72" s="83"/>
      <c r="AHR72" s="83"/>
      <c r="AHS72" s="83"/>
      <c r="AHT72" s="83"/>
      <c r="AHU72" s="83"/>
      <c r="AHV72" s="83"/>
      <c r="AHW72" s="83"/>
      <c r="AHX72" s="83"/>
      <c r="AHY72" s="83"/>
      <c r="AHZ72" s="83"/>
      <c r="AIA72" s="83"/>
      <c r="AIB72" s="83"/>
      <c r="AIC72" s="83"/>
      <c r="AID72" s="83"/>
      <c r="AIE72" s="83"/>
      <c r="AIF72" s="83"/>
      <c r="AIG72" s="83"/>
      <c r="AIH72" s="83"/>
      <c r="AII72" s="83"/>
      <c r="AIJ72" s="83"/>
      <c r="AIK72" s="83"/>
      <c r="AIL72" s="83"/>
      <c r="AIM72" s="83"/>
      <c r="AIN72" s="83"/>
      <c r="AIO72" s="83"/>
      <c r="AIP72" s="83"/>
      <c r="AIQ72" s="83"/>
      <c r="AIR72" s="83"/>
      <c r="AIS72" s="83"/>
      <c r="AIT72" s="83"/>
      <c r="AIU72" s="83"/>
      <c r="AIV72" s="83"/>
      <c r="AIW72" s="83"/>
      <c r="AIX72" s="83"/>
      <c r="AIY72" s="83"/>
      <c r="AIZ72" s="83"/>
      <c r="AJA72" s="83"/>
      <c r="AJB72" s="83"/>
      <c r="AJC72" s="83"/>
      <c r="AJD72" s="83"/>
      <c r="AJE72" s="83"/>
      <c r="AJF72" s="83"/>
      <c r="AJG72" s="83"/>
      <c r="AJH72" s="83"/>
      <c r="AJI72" s="83"/>
      <c r="AJJ72" s="83"/>
      <c r="AJK72" s="83"/>
      <c r="AJL72" s="83"/>
      <c r="AJM72" s="83"/>
      <c r="AJN72" s="83"/>
      <c r="AJO72" s="83"/>
      <c r="AJP72" s="83"/>
      <c r="AJQ72" s="83"/>
      <c r="AJR72" s="83"/>
      <c r="AJS72" s="83"/>
      <c r="AJT72" s="83"/>
      <c r="AJU72" s="83"/>
      <c r="AJV72" s="83"/>
      <c r="AJW72" s="83"/>
      <c r="AJX72" s="83"/>
      <c r="AJY72" s="83"/>
      <c r="AJZ72" s="83"/>
      <c r="AKA72" s="83"/>
      <c r="AKB72" s="83"/>
      <c r="AKC72" s="83"/>
      <c r="AKD72" s="83"/>
      <c r="AKE72" s="83"/>
      <c r="AKF72" s="83"/>
      <c r="AKG72" s="83"/>
      <c r="AKH72" s="83"/>
      <c r="AKI72" s="83"/>
      <c r="AKJ72" s="83"/>
      <c r="AKK72" s="83"/>
      <c r="AKL72" s="83"/>
      <c r="AKM72" s="83"/>
      <c r="AKN72" s="83"/>
      <c r="AKO72" s="83"/>
      <c r="AKP72" s="83"/>
      <c r="AKQ72" s="83"/>
      <c r="AKR72" s="83"/>
      <c r="AKS72" s="83"/>
      <c r="AKT72" s="83"/>
      <c r="AKU72" s="83"/>
      <c r="AKV72" s="83"/>
      <c r="AKW72" s="83"/>
      <c r="AKX72" s="83"/>
      <c r="AKY72" s="83"/>
      <c r="AKZ72" s="83"/>
      <c r="ALA72" s="83"/>
      <c r="ALB72" s="83"/>
      <c r="ALC72" s="83"/>
      <c r="ALD72" s="83"/>
      <c r="ALE72" s="83"/>
      <c r="ALF72" s="83"/>
      <c r="ALG72" s="83"/>
      <c r="ALH72" s="83"/>
      <c r="ALI72" s="83"/>
      <c r="ALJ72" s="83"/>
      <c r="ALK72" s="83"/>
      <c r="ALL72" s="83"/>
      <c r="ALM72" s="83"/>
      <c r="ALN72" s="83"/>
      <c r="ALO72" s="83"/>
      <c r="ALP72" s="83"/>
      <c r="ALQ72" s="83"/>
      <c r="ALR72" s="83"/>
      <c r="ALS72" s="83"/>
      <c r="ALT72" s="83"/>
      <c r="ALU72" s="83"/>
      <c r="ALV72" s="83"/>
      <c r="ALW72" s="83"/>
      <c r="ALX72" s="83"/>
      <c r="ALY72" s="83"/>
      <c r="ALZ72" s="83"/>
      <c r="AMA72" s="83"/>
      <c r="AMB72" s="83"/>
      <c r="AMC72" s="83"/>
      <c r="AMD72" s="83"/>
      <c r="AME72" s="83"/>
      <c r="AMF72" s="83"/>
      <c r="AMG72" s="83"/>
      <c r="AMH72" s="83"/>
      <c r="AMI72" s="83"/>
      <c r="AMJ72" s="83"/>
    </row>
    <row r="73" spans="12:1024" ht="20.25" customHeight="1" x14ac:dyDescent="0.2">
      <c r="L73" s="83"/>
      <c r="M73" s="8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3"/>
      <c r="LQ73" s="83"/>
      <c r="LR73" s="83"/>
      <c r="LS73" s="83"/>
      <c r="LT73" s="83"/>
      <c r="LU73" s="83"/>
      <c r="LV73" s="83"/>
      <c r="LW73" s="83"/>
      <c r="LX73" s="83"/>
      <c r="LY73" s="83"/>
      <c r="LZ73" s="83"/>
      <c r="MA73" s="83"/>
      <c r="MB73" s="83"/>
      <c r="MC73" s="83"/>
      <c r="MD73" s="83"/>
      <c r="ME73" s="83"/>
      <c r="MF73" s="83"/>
      <c r="MG73" s="83"/>
      <c r="MH73" s="83"/>
      <c r="MI73" s="83"/>
      <c r="MJ73" s="83"/>
      <c r="MK73" s="83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83"/>
      <c r="OS73" s="83"/>
      <c r="OT73" s="83"/>
      <c r="OU73" s="83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3"/>
      <c r="PT73" s="83"/>
      <c r="PU73" s="83"/>
      <c r="PV73" s="83"/>
      <c r="PW73" s="83"/>
      <c r="PX73" s="83"/>
      <c r="PY73" s="83"/>
      <c r="PZ73" s="83"/>
      <c r="QA73" s="83"/>
      <c r="QB73" s="83"/>
      <c r="QC73" s="83"/>
      <c r="QD73" s="83"/>
      <c r="QE73" s="83"/>
      <c r="QF73" s="83"/>
      <c r="QG73" s="83"/>
      <c r="QH73" s="83"/>
      <c r="QI73" s="83"/>
      <c r="QJ73" s="83"/>
      <c r="QK73" s="83"/>
      <c r="QL73" s="83"/>
      <c r="QM73" s="83"/>
      <c r="QN73" s="83"/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3"/>
      <c r="ST73" s="83"/>
      <c r="SU73" s="83"/>
      <c r="SV73" s="83"/>
      <c r="SW73" s="83"/>
      <c r="SX73" s="83"/>
      <c r="SY73" s="83"/>
      <c r="SZ73" s="83"/>
      <c r="TA73" s="83"/>
      <c r="TB73" s="83"/>
      <c r="TC73" s="83"/>
      <c r="TD73" s="83"/>
      <c r="TE73" s="83"/>
      <c r="TF73" s="83"/>
      <c r="TG73" s="83"/>
      <c r="TH73" s="83"/>
      <c r="TI73" s="83"/>
      <c r="TJ73" s="83"/>
      <c r="TK73" s="83"/>
      <c r="TL73" s="83"/>
      <c r="TM73" s="83"/>
      <c r="TN73" s="83"/>
      <c r="TO73" s="83"/>
      <c r="TP73" s="83"/>
      <c r="TQ73" s="83"/>
      <c r="TR73" s="83"/>
      <c r="TS73" s="83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83"/>
      <c r="WA73" s="83"/>
      <c r="WB73" s="83"/>
      <c r="WC73" s="83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3"/>
      <c r="XB73" s="83"/>
      <c r="XC73" s="83"/>
      <c r="XD73" s="83"/>
      <c r="XE73" s="83"/>
      <c r="XF73" s="83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3"/>
      <c r="AAB73" s="83"/>
      <c r="AAC73" s="83"/>
      <c r="AAD73" s="83"/>
      <c r="AAE73" s="83"/>
      <c r="AAF73" s="83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3"/>
      <c r="AAU73" s="83"/>
      <c r="AAV73" s="83"/>
      <c r="AAW73" s="83"/>
      <c r="AAX73" s="83"/>
      <c r="AAY73" s="83"/>
      <c r="AAZ73" s="83"/>
      <c r="ABA73" s="83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83"/>
      <c r="ADI73" s="83"/>
      <c r="ADJ73" s="83"/>
      <c r="ADK73" s="83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3"/>
      <c r="AEJ73" s="83"/>
      <c r="AEK73" s="83"/>
      <c r="AEL73" s="83"/>
      <c r="AEM73" s="83"/>
      <c r="AEN73" s="83"/>
      <c r="AEO73" s="83"/>
      <c r="AEP73" s="83"/>
      <c r="AEQ73" s="83"/>
      <c r="AER73" s="83"/>
      <c r="AES73" s="83"/>
      <c r="AET73" s="83"/>
      <c r="AEU73" s="83"/>
      <c r="AEV73" s="83"/>
      <c r="AEW73" s="83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3"/>
      <c r="AHI73" s="83"/>
      <c r="AHJ73" s="83"/>
      <c r="AHK73" s="83"/>
      <c r="AHL73" s="83"/>
      <c r="AHM73" s="83"/>
      <c r="AHN73" s="83"/>
      <c r="AHO73" s="83"/>
      <c r="AHP73" s="83"/>
      <c r="AHQ73" s="83"/>
      <c r="AHR73" s="83"/>
      <c r="AHS73" s="83"/>
      <c r="AHT73" s="83"/>
      <c r="AHU73" s="83"/>
      <c r="AHV73" s="83"/>
      <c r="AHW73" s="83"/>
      <c r="AHX73" s="83"/>
      <c r="AHY73" s="83"/>
      <c r="AHZ73" s="83"/>
      <c r="AIA73" s="83"/>
      <c r="AIB73" s="83"/>
      <c r="AIC73" s="83"/>
      <c r="AID73" s="83"/>
      <c r="AIE73" s="83"/>
      <c r="AIF73" s="83"/>
      <c r="AIG73" s="83"/>
      <c r="AIH73" s="83"/>
      <c r="AII73" s="83"/>
      <c r="AIJ73" s="83"/>
      <c r="AIK73" s="83"/>
      <c r="AIL73" s="83"/>
      <c r="AIM73" s="83"/>
      <c r="AIN73" s="83"/>
      <c r="AIO73" s="83"/>
      <c r="AIP73" s="83"/>
      <c r="AIQ73" s="83"/>
      <c r="AIR73" s="83"/>
      <c r="AIS73" s="83"/>
      <c r="AIT73" s="83"/>
      <c r="AIU73" s="83"/>
      <c r="AIV73" s="83"/>
      <c r="AIW73" s="83"/>
      <c r="AIX73" s="83"/>
      <c r="AIY73" s="83"/>
      <c r="AIZ73" s="83"/>
      <c r="AJA73" s="83"/>
      <c r="AJB73" s="83"/>
      <c r="AJC73" s="83"/>
      <c r="AJD73" s="83"/>
      <c r="AJE73" s="83"/>
      <c r="AJF73" s="83"/>
      <c r="AJG73" s="83"/>
      <c r="AJH73" s="83"/>
      <c r="AJI73" s="83"/>
      <c r="AJJ73" s="83"/>
      <c r="AJK73" s="83"/>
      <c r="AJL73" s="83"/>
      <c r="AJM73" s="83"/>
      <c r="AJN73" s="83"/>
      <c r="AJO73" s="83"/>
      <c r="AJP73" s="83"/>
      <c r="AJQ73" s="83"/>
      <c r="AJR73" s="83"/>
      <c r="AJS73" s="83"/>
      <c r="AJT73" s="83"/>
      <c r="AJU73" s="83"/>
      <c r="AJV73" s="83"/>
      <c r="AJW73" s="83"/>
      <c r="AJX73" s="83"/>
      <c r="AJY73" s="83"/>
      <c r="AJZ73" s="83"/>
      <c r="AKA73" s="83"/>
      <c r="AKB73" s="83"/>
      <c r="AKC73" s="83"/>
      <c r="AKD73" s="83"/>
      <c r="AKE73" s="83"/>
      <c r="AKF73" s="83"/>
      <c r="AKG73" s="83"/>
      <c r="AKH73" s="83"/>
      <c r="AKI73" s="83"/>
      <c r="AKJ73" s="83"/>
      <c r="AKK73" s="83"/>
      <c r="AKL73" s="83"/>
      <c r="AKM73" s="83"/>
      <c r="AKN73" s="83"/>
      <c r="AKO73" s="83"/>
      <c r="AKP73" s="83"/>
      <c r="AKQ73" s="83"/>
      <c r="AKR73" s="83"/>
      <c r="AKS73" s="83"/>
      <c r="AKT73" s="83"/>
      <c r="AKU73" s="83"/>
      <c r="AKV73" s="83"/>
      <c r="AKW73" s="83"/>
      <c r="AKX73" s="83"/>
      <c r="AKY73" s="83"/>
      <c r="AKZ73" s="83"/>
      <c r="ALA73" s="83"/>
      <c r="ALB73" s="83"/>
      <c r="ALC73" s="83"/>
      <c r="ALD73" s="83"/>
      <c r="ALE73" s="83"/>
      <c r="ALF73" s="83"/>
      <c r="ALG73" s="83"/>
      <c r="ALH73" s="83"/>
      <c r="ALI73" s="83"/>
      <c r="ALJ73" s="83"/>
      <c r="ALK73" s="83"/>
      <c r="ALL73" s="83"/>
      <c r="ALM73" s="83"/>
      <c r="ALN73" s="83"/>
      <c r="ALO73" s="83"/>
      <c r="ALP73" s="83"/>
      <c r="ALQ73" s="83"/>
      <c r="ALR73" s="83"/>
      <c r="ALS73" s="83"/>
      <c r="ALT73" s="83"/>
      <c r="ALU73" s="83"/>
      <c r="ALV73" s="83"/>
      <c r="ALW73" s="83"/>
      <c r="ALX73" s="83"/>
      <c r="ALY73" s="83"/>
      <c r="ALZ73" s="83"/>
      <c r="AMA73" s="83"/>
      <c r="AMB73" s="83"/>
      <c r="AMC73" s="83"/>
      <c r="AMD73" s="83"/>
      <c r="AME73" s="83"/>
      <c r="AMF73" s="83"/>
      <c r="AMG73" s="83"/>
      <c r="AMH73" s="83"/>
      <c r="AMI73" s="83"/>
      <c r="AMJ73" s="83"/>
    </row>
  </sheetData>
  <mergeCells count="31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K10:K11"/>
    <mergeCell ref="C12:G12"/>
    <mergeCell ref="C13:G13"/>
    <mergeCell ref="C20:G20"/>
    <mergeCell ref="C21:G21"/>
    <mergeCell ref="J10:J11"/>
    <mergeCell ref="A23:I23"/>
    <mergeCell ref="J23:K23"/>
    <mergeCell ref="A24:I24"/>
    <mergeCell ref="J24:K24"/>
    <mergeCell ref="C14:G14"/>
    <mergeCell ref="C15:G15"/>
    <mergeCell ref="C22:G22"/>
  </mergeCells>
  <conditionalFormatting sqref="C14:C15">
    <cfRule type="duplicateValues" dxfId="21" priority="1"/>
    <cfRule type="duplicateValues" dxfId="20" priority="2"/>
  </conditionalFormatting>
  <conditionalFormatting sqref="C15">
    <cfRule type="duplicateValues" dxfId="19" priority="3"/>
  </conditionalFormatting>
  <conditionalFormatting sqref="C14:C15">
    <cfRule type="duplicateValues" dxfId="18" priority="4"/>
  </conditionalFormatting>
  <conditionalFormatting sqref="C14:C15">
    <cfRule type="duplicateValues" dxfId="17" priority="5"/>
  </conditionalFormatting>
  <conditionalFormatting sqref="C14:C15">
    <cfRule type="duplicateValues" dxfId="16" priority="6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7"/>
  <sheetViews>
    <sheetView topLeftCell="A10" workbookViewId="0">
      <selection activeCell="A23" sqref="A23:P23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4" t="s">
        <v>2</v>
      </c>
      <c r="B1" s="294"/>
      <c r="C1" s="294"/>
      <c r="D1" s="295">
        <v>2021</v>
      </c>
      <c r="E1" s="295"/>
      <c r="F1" s="129"/>
      <c r="G1" s="129"/>
      <c r="H1" s="130"/>
      <c r="I1" s="130"/>
      <c r="J1" s="130"/>
      <c r="K1" s="130"/>
      <c r="L1" s="130"/>
      <c r="M1" s="130"/>
      <c r="N1" s="130"/>
      <c r="P1" s="296" t="s">
        <v>116</v>
      </c>
      <c r="Q1" s="296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6"/>
      <c r="Q2" s="296"/>
    </row>
    <row r="4" spans="1:17" s="132" customFormat="1" ht="18" customHeight="1" thickBot="1" x14ac:dyDescent="0.25">
      <c r="A4" s="297" t="s">
        <v>117</v>
      </c>
      <c r="B4" s="297"/>
      <c r="C4" s="297"/>
      <c r="D4" s="297"/>
      <c r="E4" s="297"/>
      <c r="F4" s="297"/>
      <c r="G4" s="284" t="s">
        <v>101</v>
      </c>
      <c r="H4" s="284"/>
      <c r="I4" s="284"/>
      <c r="J4" s="284"/>
      <c r="K4" s="284"/>
      <c r="L4" s="284"/>
      <c r="M4" s="284"/>
      <c r="N4" s="284"/>
      <c r="O4" s="284"/>
      <c r="P4" s="284"/>
      <c r="Q4" s="284"/>
    </row>
    <row r="5" spans="1:17" s="132" customFormat="1" ht="18" customHeight="1" thickBot="1" x14ac:dyDescent="0.25">
      <c r="A5" s="281" t="s">
        <v>102</v>
      </c>
      <c r="B5" s="282"/>
      <c r="C5" s="282"/>
      <c r="D5" s="282"/>
      <c r="E5" s="282"/>
      <c r="F5" s="283"/>
      <c r="G5" s="284" t="s">
        <v>118</v>
      </c>
      <c r="H5" s="284"/>
      <c r="I5" s="284"/>
      <c r="J5" s="284"/>
      <c r="K5" s="284"/>
      <c r="L5" s="284"/>
      <c r="M5" s="284"/>
      <c r="N5" s="284"/>
      <c r="O5" s="284"/>
      <c r="P5" s="284"/>
      <c r="Q5" s="284"/>
    </row>
    <row r="6" spans="1:17" s="132" customFormat="1" ht="18" customHeight="1" thickBot="1" x14ac:dyDescent="0.25">
      <c r="A6" s="281" t="s">
        <v>104</v>
      </c>
      <c r="B6" s="282"/>
      <c r="C6" s="282"/>
      <c r="D6" s="282"/>
      <c r="E6" s="282"/>
      <c r="F6" s="283"/>
      <c r="G6" s="284" t="s">
        <v>150</v>
      </c>
      <c r="H6" s="284"/>
      <c r="I6" s="284"/>
      <c r="J6" s="284"/>
      <c r="K6" s="284"/>
      <c r="L6" s="284"/>
      <c r="M6" s="284"/>
      <c r="N6" s="284"/>
      <c r="O6" s="284"/>
      <c r="P6" s="284"/>
      <c r="Q6" s="284"/>
    </row>
    <row r="7" spans="1:17" s="132" customFormat="1" ht="18" customHeight="1" thickBot="1" x14ac:dyDescent="0.25">
      <c r="A7" s="281" t="s">
        <v>105</v>
      </c>
      <c r="B7" s="282"/>
      <c r="C7" s="282"/>
      <c r="D7" s="282"/>
      <c r="E7" s="282"/>
      <c r="F7" s="283"/>
      <c r="G7" s="284" t="s">
        <v>150</v>
      </c>
      <c r="H7" s="284"/>
      <c r="I7" s="284"/>
      <c r="J7" s="284"/>
      <c r="K7" s="284"/>
      <c r="L7" s="284"/>
      <c r="M7" s="284"/>
      <c r="N7" s="284"/>
      <c r="O7" s="284"/>
      <c r="P7" s="284"/>
      <c r="Q7" s="284"/>
    </row>
    <row r="8" spans="1:17" ht="18" customHeight="1" thickBot="1" x14ac:dyDescent="0.25">
      <c r="A8" s="285" t="s">
        <v>119</v>
      </c>
      <c r="B8" s="285"/>
      <c r="C8" s="285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</row>
    <row r="9" spans="1:17" ht="18" customHeight="1" x14ac:dyDescent="0.2">
      <c r="A9" s="286" t="s">
        <v>120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133"/>
      <c r="P9" s="133"/>
      <c r="Q9" s="134"/>
    </row>
    <row r="10" spans="1:17" ht="57" customHeight="1" x14ac:dyDescent="0.2">
      <c r="A10" s="287" t="s">
        <v>151</v>
      </c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9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0" t="s">
        <v>121</v>
      </c>
      <c r="B12" s="290"/>
      <c r="C12" s="290"/>
      <c r="D12" s="290"/>
      <c r="E12" s="290"/>
      <c r="F12" s="290"/>
      <c r="G12" s="290"/>
      <c r="H12" s="290"/>
      <c r="I12" s="290"/>
      <c r="J12" s="290"/>
      <c r="K12" s="290"/>
      <c r="L12" s="290"/>
      <c r="M12" s="290"/>
      <c r="N12" s="290"/>
      <c r="O12" s="290"/>
      <c r="P12" s="290"/>
      <c r="Q12" s="290"/>
    </row>
    <row r="13" spans="1:17" ht="15.75" customHeight="1" thickBot="1" x14ac:dyDescent="0.25">
      <c r="A13" s="291" t="s">
        <v>122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291"/>
      <c r="O13" s="292" t="s">
        <v>123</v>
      </c>
      <c r="P13" s="292"/>
      <c r="Q13" s="293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2"/>
      <c r="P14" s="292"/>
      <c r="Q14" s="293"/>
    </row>
    <row r="15" spans="1:17" ht="33.75" customHeight="1" x14ac:dyDescent="0.2">
      <c r="A15" s="144">
        <v>29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79" t="s">
        <v>142</v>
      </c>
      <c r="P15" s="280"/>
      <c r="Q15" s="105">
        <f>+'Necesidades Trimestrales '!T52</f>
        <v>99500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0"/>
      <c r="P16" s="271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0"/>
      <c r="P17" s="271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1"/>
      <c r="P18" s="271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1"/>
      <c r="P19" s="271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1"/>
      <c r="P20" s="271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0"/>
      <c r="P21" s="270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2"/>
      <c r="P22" s="272"/>
      <c r="Q22" s="119"/>
    </row>
    <row r="23" spans="1:18" ht="36" customHeight="1" thickBot="1" x14ac:dyDescent="0.25">
      <c r="A23" s="273" t="s">
        <v>152</v>
      </c>
      <c r="B23" s="273"/>
      <c r="C23" s="273"/>
      <c r="D23" s="273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161">
        <f>SUM(Q15:Q22)</f>
        <v>99500</v>
      </c>
    </row>
    <row r="24" spans="1:18" ht="18" customHeight="1" thickBot="1" x14ac:dyDescent="0.25">
      <c r="A24" s="274"/>
      <c r="B24" s="274"/>
      <c r="C24" s="274"/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74"/>
      <c r="P24" s="274"/>
      <c r="Q24" s="274"/>
    </row>
    <row r="25" spans="1:18" ht="17.25" customHeight="1" thickBot="1" x14ac:dyDescent="0.25">
      <c r="A25" s="275" t="s">
        <v>138</v>
      </c>
      <c r="B25" s="276"/>
      <c r="C25" s="276"/>
      <c r="D25" s="276"/>
      <c r="E25" s="276"/>
      <c r="F25" s="277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8"/>
    </row>
    <row r="26" spans="1:18" ht="18" customHeight="1" thickBot="1" x14ac:dyDescent="0.25">
      <c r="A26" s="269" t="s">
        <v>143</v>
      </c>
      <c r="B26" s="269"/>
      <c r="C26" s="269"/>
      <c r="D26" s="269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</row>
    <row r="27" spans="1:18" ht="28.5" customHeight="1" thickBot="1" x14ac:dyDescent="0.25">
      <c r="A27" s="269"/>
      <c r="B27" s="269"/>
      <c r="C27" s="269"/>
      <c r="D27" s="269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J80"/>
  <sheetViews>
    <sheetView zoomScale="80" zoomScaleNormal="80" workbookViewId="0">
      <selection activeCell="K12" sqref="K12:K13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7" t="s">
        <v>98</v>
      </c>
      <c r="B1" s="227"/>
      <c r="C1" s="227"/>
      <c r="D1" s="227"/>
      <c r="E1" s="227"/>
      <c r="F1" s="227"/>
      <c r="G1" s="227"/>
      <c r="H1" s="227"/>
      <c r="I1" s="227"/>
      <c r="J1" s="49" t="s">
        <v>99</v>
      </c>
      <c r="K1" s="50" t="s">
        <v>168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2" t="s">
        <v>100</v>
      </c>
      <c r="B3" s="222"/>
      <c r="C3" s="222"/>
      <c r="D3" s="223" t="s">
        <v>101</v>
      </c>
      <c r="E3" s="223"/>
      <c r="F3" s="223"/>
      <c r="G3" s="223"/>
      <c r="H3" s="223"/>
      <c r="I3" s="223"/>
      <c r="J3" s="223"/>
      <c r="K3" s="223"/>
    </row>
    <row r="4" spans="1:13" ht="18.75" customHeight="1" thickBot="1" x14ac:dyDescent="0.25">
      <c r="A4" s="224" t="s">
        <v>102</v>
      </c>
      <c r="B4" s="224"/>
      <c r="C4" s="224"/>
      <c r="D4" s="223" t="s">
        <v>103</v>
      </c>
      <c r="E4" s="223"/>
      <c r="F4" s="223"/>
      <c r="G4" s="223"/>
      <c r="H4" s="223"/>
      <c r="I4" s="223"/>
      <c r="J4" s="223"/>
      <c r="K4" s="223"/>
    </row>
    <row r="5" spans="1:13" ht="18.75" customHeight="1" thickBot="1" x14ac:dyDescent="0.25">
      <c r="A5" s="224" t="s">
        <v>104</v>
      </c>
      <c r="B5" s="224"/>
      <c r="C5" s="224"/>
      <c r="D5" s="223" t="s">
        <v>153</v>
      </c>
      <c r="E5" s="223"/>
      <c r="F5" s="223"/>
      <c r="G5" s="223"/>
      <c r="H5" s="223"/>
      <c r="I5" s="223"/>
      <c r="J5" s="223"/>
      <c r="K5" s="223"/>
    </row>
    <row r="6" spans="1:13" ht="16.5" customHeight="1" thickBot="1" x14ac:dyDescent="0.25">
      <c r="A6" s="222" t="s">
        <v>105</v>
      </c>
      <c r="B6" s="222"/>
      <c r="C6" s="222"/>
      <c r="D6" s="223" t="s">
        <v>153</v>
      </c>
      <c r="E6" s="223"/>
      <c r="F6" s="223"/>
      <c r="G6" s="223"/>
      <c r="H6" s="223"/>
      <c r="I6" s="223"/>
      <c r="J6" s="223"/>
      <c r="K6" s="223"/>
    </row>
    <row r="7" spans="1:13" ht="16.5" customHeight="1" thickBot="1" x14ac:dyDescent="0.25">
      <c r="A7" s="224" t="s">
        <v>106</v>
      </c>
      <c r="B7" s="224"/>
      <c r="C7" s="224"/>
      <c r="D7" s="223" t="s">
        <v>107</v>
      </c>
      <c r="E7" s="223"/>
      <c r="F7" s="223"/>
      <c r="G7" s="223"/>
      <c r="H7" s="223"/>
      <c r="I7" s="223"/>
      <c r="J7" s="223"/>
      <c r="K7" s="223"/>
    </row>
    <row r="8" spans="1:13" ht="16.5" customHeight="1" thickBot="1" x14ac:dyDescent="0.25">
      <c r="A8" s="225" t="s">
        <v>108</v>
      </c>
      <c r="B8" s="225"/>
      <c r="C8" s="225"/>
      <c r="D8" s="226" t="s">
        <v>141</v>
      </c>
      <c r="E8" s="226"/>
      <c r="F8" s="226"/>
      <c r="G8" s="226"/>
      <c r="H8" s="226"/>
      <c r="I8" s="226"/>
      <c r="J8" s="226"/>
      <c r="K8" s="226"/>
    </row>
    <row r="9" spans="1:13" ht="16.5" thickBot="1" x14ac:dyDescent="0.25">
      <c r="A9" s="54"/>
      <c r="B9" s="54"/>
      <c r="C9" s="54"/>
      <c r="D9" s="162"/>
      <c r="E9" s="162"/>
      <c r="F9" s="162"/>
      <c r="G9" s="162"/>
      <c r="H9" s="162"/>
      <c r="I9" s="162"/>
      <c r="J9" s="162"/>
      <c r="K9" s="162"/>
    </row>
    <row r="10" spans="1:13" ht="18.75" customHeight="1" thickBot="1" x14ac:dyDescent="0.25">
      <c r="A10" s="221" t="s">
        <v>109</v>
      </c>
      <c r="B10" s="220" t="s">
        <v>110</v>
      </c>
      <c r="C10" s="220" t="s">
        <v>111</v>
      </c>
      <c r="D10" s="220"/>
      <c r="E10" s="220"/>
      <c r="F10" s="220"/>
      <c r="G10" s="220"/>
      <c r="H10" s="220" t="s">
        <v>112</v>
      </c>
      <c r="I10" s="220" t="s">
        <v>113</v>
      </c>
      <c r="J10" s="220" t="s">
        <v>114</v>
      </c>
      <c r="K10" s="213" t="s">
        <v>115</v>
      </c>
    </row>
    <row r="11" spans="1:13" ht="24" customHeight="1" thickBot="1" x14ac:dyDescent="0.25">
      <c r="A11" s="221"/>
      <c r="B11" s="220"/>
      <c r="C11" s="220"/>
      <c r="D11" s="220"/>
      <c r="E11" s="220"/>
      <c r="F11" s="220"/>
      <c r="G11" s="220"/>
      <c r="H11" s="220"/>
      <c r="I11" s="220"/>
      <c r="J11" s="220"/>
      <c r="K11" s="213"/>
    </row>
    <row r="12" spans="1:13" s="51" customFormat="1" ht="32.25" customHeight="1" thickBot="1" x14ac:dyDescent="0.25">
      <c r="A12" s="55">
        <v>1</v>
      </c>
      <c r="B12" s="56"/>
      <c r="C12" s="263" t="s">
        <v>64</v>
      </c>
      <c r="D12" s="264"/>
      <c r="E12" s="264"/>
      <c r="F12" s="264"/>
      <c r="G12" s="265"/>
      <c r="H12" s="57" t="s">
        <v>140</v>
      </c>
      <c r="I12" s="58" t="s">
        <v>12</v>
      </c>
      <c r="J12" s="45">
        <v>1100</v>
      </c>
      <c r="K12" s="59">
        <v>150</v>
      </c>
      <c r="M12" s="128">
        <f>+K12*J12</f>
        <v>165000</v>
      </c>
    </row>
    <row r="13" spans="1:13" s="51" customFormat="1" ht="32.25" customHeight="1" thickBot="1" x14ac:dyDescent="0.25">
      <c r="A13" s="61">
        <v>2</v>
      </c>
      <c r="B13" s="62"/>
      <c r="C13" s="266" t="s">
        <v>65</v>
      </c>
      <c r="D13" s="267"/>
      <c r="E13" s="267"/>
      <c r="F13" s="267"/>
      <c r="G13" s="268"/>
      <c r="H13" s="57" t="s">
        <v>140</v>
      </c>
      <c r="I13" s="58" t="s">
        <v>12</v>
      </c>
      <c r="J13" s="45">
        <v>1100</v>
      </c>
      <c r="K13" s="68">
        <v>150</v>
      </c>
      <c r="M13" s="128">
        <f t="shared" ref="M13:M15" si="0">+K13*J13</f>
        <v>165000</v>
      </c>
    </row>
    <row r="14" spans="1:13" s="51" customFormat="1" ht="32.25" customHeight="1" thickBot="1" x14ac:dyDescent="0.25">
      <c r="A14" s="61"/>
      <c r="B14" s="62"/>
      <c r="C14" s="210"/>
      <c r="D14" s="211"/>
      <c r="E14" s="211"/>
      <c r="F14" s="211"/>
      <c r="G14" s="212"/>
      <c r="H14" s="57"/>
      <c r="I14" s="58"/>
      <c r="J14" s="45"/>
      <c r="K14" s="68"/>
      <c r="M14" s="128">
        <f t="shared" si="0"/>
        <v>0</v>
      </c>
    </row>
    <row r="15" spans="1:13" s="51" customFormat="1" ht="32.25" customHeight="1" x14ac:dyDescent="0.2">
      <c r="A15" s="61"/>
      <c r="B15" s="62"/>
      <c r="C15" s="210"/>
      <c r="D15" s="211"/>
      <c r="E15" s="211"/>
      <c r="F15" s="211"/>
      <c r="G15" s="212"/>
      <c r="H15" s="57"/>
      <c r="I15" s="58"/>
      <c r="J15" s="45"/>
      <c r="K15" s="68"/>
      <c r="M15" s="128">
        <f t="shared" si="0"/>
        <v>0</v>
      </c>
    </row>
    <row r="16" spans="1:13" s="51" customFormat="1" ht="32.25" customHeight="1" x14ac:dyDescent="0.2">
      <c r="A16" s="61"/>
      <c r="B16" s="62"/>
      <c r="C16" s="63"/>
      <c r="D16" s="64"/>
      <c r="E16" s="64"/>
      <c r="F16" s="64"/>
      <c r="G16" s="65"/>
      <c r="H16" s="66"/>
      <c r="I16" s="58"/>
      <c r="J16" s="67"/>
      <c r="K16" s="68"/>
      <c r="M16" s="60"/>
    </row>
    <row r="17" spans="1:13" s="51" customFormat="1" ht="32.25" customHeight="1" x14ac:dyDescent="0.2">
      <c r="A17" s="61"/>
      <c r="B17" s="62"/>
      <c r="C17" s="63"/>
      <c r="D17" s="64"/>
      <c r="E17" s="64"/>
      <c r="F17" s="64"/>
      <c r="G17" s="65"/>
      <c r="H17" s="66"/>
      <c r="I17" s="58"/>
      <c r="J17" s="67"/>
      <c r="K17" s="68"/>
      <c r="M17" s="60"/>
    </row>
    <row r="18" spans="1:13" s="51" customFormat="1" ht="32.25" customHeight="1" x14ac:dyDescent="0.2">
      <c r="A18" s="61"/>
      <c r="B18" s="62"/>
      <c r="C18" s="63"/>
      <c r="D18" s="64"/>
      <c r="E18" s="64"/>
      <c r="F18" s="64"/>
      <c r="G18" s="65"/>
      <c r="H18" s="66"/>
      <c r="I18" s="58"/>
      <c r="J18" s="67"/>
      <c r="K18" s="68"/>
      <c r="M18" s="60"/>
    </row>
    <row r="19" spans="1:13" s="51" customFormat="1" ht="32.25" customHeight="1" x14ac:dyDescent="0.2">
      <c r="A19" s="61"/>
      <c r="B19" s="62"/>
      <c r="C19" s="63"/>
      <c r="D19" s="64"/>
      <c r="E19" s="64"/>
      <c r="F19" s="64"/>
      <c r="G19" s="65"/>
      <c r="H19" s="66"/>
      <c r="I19" s="58"/>
      <c r="J19" s="67"/>
      <c r="K19" s="68"/>
      <c r="M19" s="60"/>
    </row>
    <row r="20" spans="1:13" s="51" customFormat="1" ht="32.25" customHeight="1" x14ac:dyDescent="0.2">
      <c r="A20" s="61"/>
      <c r="B20" s="62"/>
      <c r="C20" s="63"/>
      <c r="D20" s="64"/>
      <c r="E20" s="64"/>
      <c r="F20" s="64"/>
      <c r="G20" s="65"/>
      <c r="H20" s="66"/>
      <c r="I20" s="58"/>
      <c r="J20" s="67"/>
      <c r="K20" s="68"/>
      <c r="M20" s="60"/>
    </row>
    <row r="21" spans="1:13" s="51" customFormat="1" ht="32.25" customHeight="1" x14ac:dyDescent="0.2">
      <c r="A21" s="61"/>
      <c r="B21" s="62"/>
      <c r="C21" s="63"/>
      <c r="D21" s="64"/>
      <c r="E21" s="64"/>
      <c r="F21" s="64"/>
      <c r="G21" s="65"/>
      <c r="H21" s="66"/>
      <c r="I21" s="58"/>
      <c r="J21" s="67"/>
      <c r="K21" s="68"/>
      <c r="M21" s="60"/>
    </row>
    <row r="22" spans="1:13" s="51" customFormat="1" ht="32.25" customHeight="1" x14ac:dyDescent="0.2">
      <c r="A22" s="61"/>
      <c r="B22" s="62"/>
      <c r="C22" s="63"/>
      <c r="D22" s="64"/>
      <c r="E22" s="64"/>
      <c r="F22" s="64"/>
      <c r="G22" s="65"/>
      <c r="H22" s="66"/>
      <c r="I22" s="58"/>
      <c r="J22" s="67"/>
      <c r="K22" s="68"/>
      <c r="M22" s="60"/>
    </row>
    <row r="23" spans="1:13" s="51" customFormat="1" ht="32.25" customHeight="1" x14ac:dyDescent="0.2">
      <c r="A23" s="61"/>
      <c r="B23" s="62"/>
      <c r="C23" s="63"/>
      <c r="D23" s="64"/>
      <c r="E23" s="64"/>
      <c r="F23" s="64"/>
      <c r="G23" s="65"/>
      <c r="H23" s="66"/>
      <c r="I23" s="58"/>
      <c r="J23" s="67"/>
      <c r="K23" s="68"/>
      <c r="M23" s="60"/>
    </row>
    <row r="24" spans="1:13" s="51" customFormat="1" ht="32.25" customHeight="1" x14ac:dyDescent="0.2">
      <c r="A24" s="61"/>
      <c r="B24" s="62"/>
      <c r="C24" s="63"/>
      <c r="D24" s="64"/>
      <c r="E24" s="64"/>
      <c r="F24" s="64"/>
      <c r="G24" s="65"/>
      <c r="H24" s="66"/>
      <c r="I24" s="58"/>
      <c r="J24" s="67"/>
      <c r="K24" s="68"/>
      <c r="M24" s="60"/>
    </row>
    <row r="25" spans="1:13" s="51" customFormat="1" ht="32.25" customHeight="1" x14ac:dyDescent="0.2">
      <c r="A25" s="61"/>
      <c r="B25" s="62"/>
      <c r="C25" s="63"/>
      <c r="D25" s="64"/>
      <c r="E25" s="64"/>
      <c r="F25" s="64"/>
      <c r="G25" s="65"/>
      <c r="H25" s="66"/>
      <c r="I25" s="58"/>
      <c r="J25" s="67"/>
      <c r="K25" s="68"/>
      <c r="M25" s="60"/>
    </row>
    <row r="26" spans="1:13" s="51" customFormat="1" ht="32.25" customHeight="1" x14ac:dyDescent="0.2">
      <c r="A26" s="61"/>
      <c r="B26" s="62"/>
      <c r="C26" s="63"/>
      <c r="D26" s="64"/>
      <c r="E26" s="64"/>
      <c r="F26" s="64"/>
      <c r="G26" s="65"/>
      <c r="H26" s="66"/>
      <c r="I26" s="58"/>
      <c r="J26" s="67"/>
      <c r="K26" s="68"/>
      <c r="M26" s="60"/>
    </row>
    <row r="27" spans="1:13" s="51" customFormat="1" ht="15.95" customHeight="1" x14ac:dyDescent="0.2">
      <c r="A27" s="69"/>
      <c r="B27" s="70"/>
      <c r="C27" s="307"/>
      <c r="D27" s="308"/>
      <c r="E27" s="308"/>
      <c r="F27" s="308"/>
      <c r="G27" s="309"/>
      <c r="H27" s="71"/>
      <c r="I27" s="58"/>
      <c r="J27" s="72"/>
      <c r="K27" s="73"/>
      <c r="M27" s="60"/>
    </row>
    <row r="28" spans="1:13" s="51" customFormat="1" ht="15.95" customHeight="1" x14ac:dyDescent="0.2">
      <c r="A28" s="74"/>
      <c r="B28" s="75"/>
      <c r="C28" s="310"/>
      <c r="D28" s="311"/>
      <c r="E28" s="311"/>
      <c r="F28" s="311"/>
      <c r="G28" s="312"/>
      <c r="H28" s="76"/>
      <c r="I28" s="77"/>
      <c r="J28" s="78"/>
      <c r="K28" s="79"/>
      <c r="M28" s="60"/>
    </row>
    <row r="29" spans="1:13" s="51" customFormat="1" ht="15.95" customHeight="1" thickBot="1" x14ac:dyDescent="0.25">
      <c r="A29" s="80"/>
      <c r="B29" s="81"/>
      <c r="C29" s="200"/>
      <c r="D29" s="201"/>
      <c r="E29" s="201"/>
      <c r="F29" s="201"/>
      <c r="G29" s="202"/>
      <c r="H29" s="76"/>
      <c r="I29" s="77"/>
      <c r="J29" s="78"/>
      <c r="K29" s="79"/>
      <c r="M29" s="60"/>
    </row>
    <row r="30" spans="1:13" s="51" customFormat="1" ht="15.95" customHeight="1" thickBot="1" x14ac:dyDescent="0.25">
      <c r="A30" s="203" t="s">
        <v>169</v>
      </c>
      <c r="B30" s="204"/>
      <c r="C30" s="204"/>
      <c r="D30" s="204"/>
      <c r="E30" s="204"/>
      <c r="F30" s="204"/>
      <c r="G30" s="204"/>
      <c r="H30" s="204"/>
      <c r="I30" s="205"/>
      <c r="J30" s="260">
        <f>SUM(M12:M15)</f>
        <v>330000</v>
      </c>
      <c r="K30" s="261"/>
      <c r="M30" s="60"/>
    </row>
    <row r="31" spans="1:13" s="51" customFormat="1" ht="15.95" customHeight="1" x14ac:dyDescent="0.2">
      <c r="A31" s="208"/>
      <c r="B31" s="208"/>
      <c r="C31" s="208"/>
      <c r="D31" s="208"/>
      <c r="E31" s="208"/>
      <c r="F31" s="208"/>
      <c r="G31" s="208"/>
      <c r="H31" s="208"/>
      <c r="I31" s="208"/>
      <c r="J31" s="209"/>
      <c r="K31" s="209"/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3:13" s="51" customFormat="1" ht="15.95" customHeight="1" x14ac:dyDescent="0.2">
      <c r="M49" s="60"/>
    </row>
    <row r="50" spans="13:13" s="51" customFormat="1" ht="15.95" customHeight="1" x14ac:dyDescent="0.2">
      <c r="M50" s="60"/>
    </row>
    <row r="51" spans="13:13" s="51" customFormat="1" ht="15.95" customHeight="1" x14ac:dyDescent="0.2">
      <c r="M51" s="60"/>
    </row>
    <row r="52" spans="13:13" s="51" customFormat="1" ht="15.95" customHeight="1" x14ac:dyDescent="0.2">
      <c r="M52" s="60"/>
    </row>
    <row r="53" spans="13:13" s="51" customFormat="1" ht="15.95" customHeight="1" x14ac:dyDescent="0.2">
      <c r="M53" s="60"/>
    </row>
    <row r="54" spans="13:13" s="51" customFormat="1" ht="15.95" customHeight="1" x14ac:dyDescent="0.2">
      <c r="M54" s="60"/>
    </row>
    <row r="55" spans="13:13" s="51" customFormat="1" ht="15.95" customHeight="1" x14ac:dyDescent="0.2">
      <c r="M55" s="60"/>
    </row>
    <row r="56" spans="13:13" s="51" customFormat="1" ht="15.95" customHeight="1" x14ac:dyDescent="0.2">
      <c r="M56" s="60"/>
    </row>
    <row r="57" spans="13:13" s="51" customFormat="1" ht="15.95" customHeight="1" x14ac:dyDescent="0.2">
      <c r="M57" s="60"/>
    </row>
    <row r="58" spans="13:13" s="51" customFormat="1" ht="15.95" customHeight="1" x14ac:dyDescent="0.2">
      <c r="M58" s="60"/>
    </row>
    <row r="59" spans="13:13" s="51" customFormat="1" ht="15.95" customHeight="1" x14ac:dyDescent="0.2">
      <c r="M59" s="60"/>
    </row>
    <row r="60" spans="13:13" s="51" customFormat="1" ht="15.95" customHeight="1" x14ac:dyDescent="0.2">
      <c r="M60" s="60"/>
    </row>
    <row r="61" spans="13:13" s="51" customFormat="1" ht="15.95" customHeight="1" x14ac:dyDescent="0.2">
      <c r="M61" s="60"/>
    </row>
    <row r="62" spans="13:13" s="51" customFormat="1" ht="15.95" customHeight="1" x14ac:dyDescent="0.2">
      <c r="M62" s="60"/>
    </row>
    <row r="63" spans="13:13" ht="15.95" customHeight="1" x14ac:dyDescent="0.2">
      <c r="M63" s="60"/>
    </row>
    <row r="64" spans="13:13" ht="15.95" customHeight="1" x14ac:dyDescent="0.2">
      <c r="M64" s="60"/>
    </row>
    <row r="65" spans="12:1024" ht="15.95" customHeight="1" x14ac:dyDescent="0.2">
      <c r="M65" s="60"/>
    </row>
    <row r="66" spans="12:1024" ht="15.95" customHeight="1" x14ac:dyDescent="0.2">
      <c r="M66" s="60"/>
    </row>
    <row r="67" spans="12:1024" ht="15.95" customHeight="1" x14ac:dyDescent="0.2">
      <c r="M67" s="60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15.9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  <row r="70" spans="12:1024" ht="15.95" customHeight="1" x14ac:dyDescent="0.2">
      <c r="L70" s="83"/>
      <c r="M70" s="84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  <c r="IX70" s="83"/>
      <c r="IY70" s="83"/>
      <c r="IZ70" s="83"/>
      <c r="JA70" s="83"/>
      <c r="JB70" s="83"/>
      <c r="JC70" s="83"/>
      <c r="JD70" s="83"/>
      <c r="JE70" s="83"/>
      <c r="JF70" s="83"/>
      <c r="JG70" s="83"/>
      <c r="JH70" s="83"/>
      <c r="JI70" s="83"/>
      <c r="JJ70" s="83"/>
      <c r="JK70" s="83"/>
      <c r="JL70" s="83"/>
      <c r="JM70" s="83"/>
      <c r="JN70" s="83"/>
      <c r="JO70" s="83"/>
      <c r="JP70" s="83"/>
      <c r="JQ70" s="83"/>
      <c r="JR70" s="83"/>
      <c r="JS70" s="83"/>
      <c r="JT70" s="83"/>
      <c r="JU70" s="83"/>
      <c r="JV70" s="83"/>
      <c r="JW70" s="83"/>
      <c r="JX70" s="83"/>
      <c r="JY70" s="83"/>
      <c r="JZ70" s="83"/>
      <c r="KA70" s="83"/>
      <c r="KB70" s="83"/>
      <c r="KC70" s="83"/>
      <c r="KD70" s="83"/>
      <c r="KE70" s="83"/>
      <c r="KF70" s="83"/>
      <c r="KG70" s="83"/>
      <c r="KH70" s="83"/>
      <c r="KI70" s="83"/>
      <c r="KJ70" s="83"/>
      <c r="KK70" s="83"/>
      <c r="KL70" s="83"/>
      <c r="KM70" s="83"/>
      <c r="KN70" s="83"/>
      <c r="KO70" s="83"/>
      <c r="KP70" s="83"/>
      <c r="KQ70" s="83"/>
      <c r="KR70" s="83"/>
      <c r="KS70" s="83"/>
      <c r="KT70" s="83"/>
      <c r="KU70" s="83"/>
      <c r="KV70" s="83"/>
      <c r="KW70" s="83"/>
      <c r="KX70" s="83"/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83"/>
      <c r="LL70" s="83"/>
      <c r="LM70" s="83"/>
      <c r="LN70" s="83"/>
      <c r="LO70" s="83"/>
      <c r="LP70" s="83"/>
      <c r="LQ70" s="83"/>
      <c r="LR70" s="83"/>
      <c r="LS70" s="83"/>
      <c r="LT70" s="83"/>
      <c r="LU70" s="83"/>
      <c r="LV70" s="83"/>
      <c r="LW70" s="83"/>
      <c r="LX70" s="83"/>
      <c r="LY70" s="83"/>
      <c r="LZ70" s="83"/>
      <c r="MA70" s="83"/>
      <c r="MB70" s="83"/>
      <c r="MC70" s="83"/>
      <c r="MD70" s="83"/>
      <c r="ME70" s="83"/>
      <c r="MF70" s="83"/>
      <c r="MG70" s="83"/>
      <c r="MH70" s="83"/>
      <c r="MI70" s="83"/>
      <c r="MJ70" s="83"/>
      <c r="MK70" s="83"/>
      <c r="ML70" s="83"/>
      <c r="MM70" s="83"/>
      <c r="MN70" s="83"/>
      <c r="MO70" s="83"/>
      <c r="MP70" s="83"/>
      <c r="MQ70" s="83"/>
      <c r="MR70" s="83"/>
      <c r="MS70" s="83"/>
      <c r="MT70" s="83"/>
      <c r="MU70" s="83"/>
      <c r="MV70" s="83"/>
      <c r="MW70" s="83"/>
      <c r="MX70" s="83"/>
      <c r="MY70" s="83"/>
      <c r="MZ70" s="83"/>
      <c r="NA70" s="83"/>
      <c r="NB70" s="83"/>
      <c r="NC70" s="83"/>
      <c r="ND70" s="83"/>
      <c r="NE70" s="83"/>
      <c r="NF70" s="83"/>
      <c r="NG70" s="83"/>
      <c r="NH70" s="83"/>
      <c r="NI70" s="83"/>
      <c r="NJ70" s="83"/>
      <c r="NK70" s="83"/>
      <c r="NL70" s="83"/>
      <c r="NM70" s="83"/>
      <c r="NN70" s="83"/>
      <c r="NO70" s="83"/>
      <c r="NP70" s="83"/>
      <c r="NQ70" s="83"/>
      <c r="NR70" s="83"/>
      <c r="NS70" s="83"/>
      <c r="NT70" s="83"/>
      <c r="NU70" s="83"/>
      <c r="NV70" s="83"/>
      <c r="NW70" s="83"/>
      <c r="NX70" s="83"/>
      <c r="NY70" s="83"/>
      <c r="NZ70" s="83"/>
      <c r="OA70" s="83"/>
      <c r="OB70" s="83"/>
      <c r="OC70" s="83"/>
      <c r="OD70" s="83"/>
      <c r="OE70" s="83"/>
      <c r="OF70" s="83"/>
      <c r="OG70" s="83"/>
      <c r="OH70" s="83"/>
      <c r="OI70" s="83"/>
      <c r="OJ70" s="83"/>
      <c r="OK70" s="83"/>
      <c r="OL70" s="83"/>
      <c r="OM70" s="83"/>
      <c r="ON70" s="83"/>
      <c r="OO70" s="83"/>
      <c r="OP70" s="83"/>
      <c r="OQ70" s="83"/>
      <c r="OR70" s="83"/>
      <c r="OS70" s="83"/>
      <c r="OT70" s="83"/>
      <c r="OU70" s="83"/>
      <c r="OV70" s="83"/>
      <c r="OW70" s="83"/>
      <c r="OX70" s="83"/>
      <c r="OY70" s="83"/>
      <c r="OZ70" s="83"/>
      <c r="PA70" s="83"/>
      <c r="PB70" s="83"/>
      <c r="PC70" s="83"/>
      <c r="PD70" s="83"/>
      <c r="PE70" s="83"/>
      <c r="PF70" s="83"/>
      <c r="PG70" s="83"/>
      <c r="PH70" s="83"/>
      <c r="PI70" s="83"/>
      <c r="PJ70" s="83"/>
      <c r="PK70" s="83"/>
      <c r="PL70" s="83"/>
      <c r="PM70" s="83"/>
      <c r="PN70" s="83"/>
      <c r="PO70" s="83"/>
      <c r="PP70" s="83"/>
      <c r="PQ70" s="83"/>
      <c r="PR70" s="83"/>
      <c r="PS70" s="83"/>
      <c r="PT70" s="83"/>
      <c r="PU70" s="83"/>
      <c r="PV70" s="83"/>
      <c r="PW70" s="83"/>
      <c r="PX70" s="83"/>
      <c r="PY70" s="83"/>
      <c r="PZ70" s="83"/>
      <c r="QA70" s="83"/>
      <c r="QB70" s="83"/>
      <c r="QC70" s="83"/>
      <c r="QD70" s="83"/>
      <c r="QE70" s="83"/>
      <c r="QF70" s="83"/>
      <c r="QG70" s="83"/>
      <c r="QH70" s="83"/>
      <c r="QI70" s="83"/>
      <c r="QJ70" s="83"/>
      <c r="QK70" s="83"/>
      <c r="QL70" s="83"/>
      <c r="QM70" s="83"/>
      <c r="QN70" s="83"/>
      <c r="QO70" s="83"/>
      <c r="QP70" s="83"/>
      <c r="QQ70" s="83"/>
      <c r="QR70" s="83"/>
      <c r="QS70" s="83"/>
      <c r="QT70" s="83"/>
      <c r="QU70" s="83"/>
      <c r="QV70" s="83"/>
      <c r="QW70" s="83"/>
      <c r="QX70" s="83"/>
      <c r="QY70" s="83"/>
      <c r="QZ70" s="83"/>
      <c r="RA70" s="83"/>
      <c r="RB70" s="83"/>
      <c r="RC70" s="83"/>
      <c r="RD70" s="83"/>
      <c r="RE70" s="83"/>
      <c r="RF70" s="83"/>
      <c r="RG70" s="83"/>
      <c r="RH70" s="83"/>
      <c r="RI70" s="83"/>
      <c r="RJ70" s="83"/>
      <c r="RK70" s="83"/>
      <c r="RL70" s="83"/>
      <c r="RM70" s="83"/>
      <c r="RN70" s="83"/>
      <c r="RO70" s="83"/>
      <c r="RP70" s="83"/>
      <c r="RQ70" s="83"/>
      <c r="RR70" s="83"/>
      <c r="RS70" s="83"/>
      <c r="RT70" s="83"/>
      <c r="RU70" s="83"/>
      <c r="RV70" s="83"/>
      <c r="RW70" s="83"/>
      <c r="RX70" s="83"/>
      <c r="RY70" s="83"/>
      <c r="RZ70" s="83"/>
      <c r="SA70" s="83"/>
      <c r="SB70" s="83"/>
      <c r="SC70" s="83"/>
      <c r="SD70" s="83"/>
      <c r="SE70" s="83"/>
      <c r="SF70" s="83"/>
      <c r="SG70" s="83"/>
      <c r="SH70" s="83"/>
      <c r="SI70" s="83"/>
      <c r="SJ70" s="83"/>
      <c r="SK70" s="83"/>
      <c r="SL70" s="83"/>
      <c r="SM70" s="83"/>
      <c r="SN70" s="83"/>
      <c r="SO70" s="83"/>
      <c r="SP70" s="83"/>
      <c r="SQ70" s="83"/>
      <c r="SR70" s="83"/>
      <c r="SS70" s="83"/>
      <c r="ST70" s="83"/>
      <c r="SU70" s="83"/>
      <c r="SV70" s="83"/>
      <c r="SW70" s="83"/>
      <c r="SX70" s="83"/>
      <c r="SY70" s="83"/>
      <c r="SZ70" s="83"/>
      <c r="TA70" s="83"/>
      <c r="TB70" s="83"/>
      <c r="TC70" s="83"/>
      <c r="TD70" s="83"/>
      <c r="TE70" s="83"/>
      <c r="TF70" s="83"/>
      <c r="TG70" s="83"/>
      <c r="TH70" s="83"/>
      <c r="TI70" s="83"/>
      <c r="TJ70" s="83"/>
      <c r="TK70" s="83"/>
      <c r="TL70" s="83"/>
      <c r="TM70" s="83"/>
      <c r="TN70" s="83"/>
      <c r="TO70" s="83"/>
      <c r="TP70" s="83"/>
      <c r="TQ70" s="83"/>
      <c r="TR70" s="83"/>
      <c r="TS70" s="83"/>
      <c r="TT70" s="83"/>
      <c r="TU70" s="83"/>
      <c r="TV70" s="83"/>
      <c r="TW70" s="83"/>
      <c r="TX70" s="83"/>
      <c r="TY70" s="83"/>
      <c r="TZ70" s="83"/>
      <c r="UA70" s="83"/>
      <c r="UB70" s="83"/>
      <c r="UC70" s="83"/>
      <c r="UD70" s="83"/>
      <c r="UE70" s="83"/>
      <c r="UF70" s="83"/>
      <c r="UG70" s="83"/>
      <c r="UH70" s="83"/>
      <c r="UI70" s="83"/>
      <c r="UJ70" s="83"/>
      <c r="UK70" s="83"/>
      <c r="UL70" s="83"/>
      <c r="UM70" s="83"/>
      <c r="UN70" s="83"/>
      <c r="UO70" s="83"/>
      <c r="UP70" s="83"/>
      <c r="UQ70" s="83"/>
      <c r="UR70" s="83"/>
      <c r="US70" s="83"/>
      <c r="UT70" s="83"/>
      <c r="UU70" s="83"/>
      <c r="UV70" s="83"/>
      <c r="UW70" s="83"/>
      <c r="UX70" s="83"/>
      <c r="UY70" s="83"/>
      <c r="UZ70" s="83"/>
      <c r="VA70" s="83"/>
      <c r="VB70" s="83"/>
      <c r="VC70" s="83"/>
      <c r="VD70" s="83"/>
      <c r="VE70" s="83"/>
      <c r="VF70" s="83"/>
      <c r="VG70" s="83"/>
      <c r="VH70" s="83"/>
      <c r="VI70" s="83"/>
      <c r="VJ70" s="83"/>
      <c r="VK70" s="83"/>
      <c r="VL70" s="83"/>
      <c r="VM70" s="83"/>
      <c r="VN70" s="83"/>
      <c r="VO70" s="83"/>
      <c r="VP70" s="83"/>
      <c r="VQ70" s="83"/>
      <c r="VR70" s="83"/>
      <c r="VS70" s="83"/>
      <c r="VT70" s="83"/>
      <c r="VU70" s="83"/>
      <c r="VV70" s="83"/>
      <c r="VW70" s="83"/>
      <c r="VX70" s="83"/>
      <c r="VY70" s="83"/>
      <c r="VZ70" s="83"/>
      <c r="WA70" s="83"/>
      <c r="WB70" s="83"/>
      <c r="WC70" s="83"/>
      <c r="WD70" s="83"/>
      <c r="WE70" s="83"/>
      <c r="WF70" s="83"/>
      <c r="WG70" s="83"/>
      <c r="WH70" s="83"/>
      <c r="WI70" s="83"/>
      <c r="WJ70" s="83"/>
      <c r="WK70" s="83"/>
      <c r="WL70" s="83"/>
      <c r="WM70" s="83"/>
      <c r="WN70" s="83"/>
      <c r="WO70" s="83"/>
      <c r="WP70" s="83"/>
      <c r="WQ70" s="83"/>
      <c r="WR70" s="83"/>
      <c r="WS70" s="83"/>
      <c r="WT70" s="83"/>
      <c r="WU70" s="83"/>
      <c r="WV70" s="83"/>
      <c r="WW70" s="83"/>
      <c r="WX70" s="83"/>
      <c r="WY70" s="83"/>
      <c r="WZ70" s="83"/>
      <c r="XA70" s="83"/>
      <c r="XB70" s="83"/>
      <c r="XC70" s="83"/>
      <c r="XD70" s="83"/>
      <c r="XE70" s="83"/>
      <c r="XF70" s="83"/>
      <c r="XG70" s="83"/>
      <c r="XH70" s="83"/>
      <c r="XI70" s="83"/>
      <c r="XJ70" s="83"/>
      <c r="XK70" s="83"/>
      <c r="XL70" s="83"/>
      <c r="XM70" s="83"/>
      <c r="XN70" s="83"/>
      <c r="XO70" s="83"/>
      <c r="XP70" s="83"/>
      <c r="XQ70" s="83"/>
      <c r="XR70" s="83"/>
      <c r="XS70" s="83"/>
      <c r="XT70" s="83"/>
      <c r="XU70" s="83"/>
      <c r="XV70" s="83"/>
      <c r="XW70" s="83"/>
      <c r="XX70" s="83"/>
      <c r="XY70" s="83"/>
      <c r="XZ70" s="83"/>
      <c r="YA70" s="83"/>
      <c r="YB70" s="83"/>
      <c r="YC70" s="83"/>
      <c r="YD70" s="83"/>
      <c r="YE70" s="83"/>
      <c r="YF70" s="83"/>
      <c r="YG70" s="83"/>
      <c r="YH70" s="83"/>
      <c r="YI70" s="83"/>
      <c r="YJ70" s="83"/>
      <c r="YK70" s="83"/>
      <c r="YL70" s="83"/>
      <c r="YM70" s="83"/>
      <c r="YN70" s="83"/>
      <c r="YO70" s="83"/>
      <c r="YP70" s="83"/>
      <c r="YQ70" s="83"/>
      <c r="YR70" s="83"/>
      <c r="YS70" s="83"/>
      <c r="YT70" s="83"/>
      <c r="YU70" s="83"/>
      <c r="YV70" s="83"/>
      <c r="YW70" s="83"/>
      <c r="YX70" s="83"/>
      <c r="YY70" s="83"/>
      <c r="YZ70" s="83"/>
      <c r="ZA70" s="83"/>
      <c r="ZB70" s="83"/>
      <c r="ZC70" s="83"/>
      <c r="ZD70" s="83"/>
      <c r="ZE70" s="83"/>
      <c r="ZF70" s="83"/>
      <c r="ZG70" s="83"/>
      <c r="ZH70" s="83"/>
      <c r="ZI70" s="83"/>
      <c r="ZJ70" s="83"/>
      <c r="ZK70" s="83"/>
      <c r="ZL70" s="83"/>
      <c r="ZM70" s="83"/>
      <c r="ZN70" s="83"/>
      <c r="ZO70" s="83"/>
      <c r="ZP70" s="83"/>
      <c r="ZQ70" s="83"/>
      <c r="ZR70" s="83"/>
      <c r="ZS70" s="83"/>
      <c r="ZT70" s="83"/>
      <c r="ZU70" s="83"/>
      <c r="ZV70" s="83"/>
      <c r="ZW70" s="83"/>
      <c r="ZX70" s="83"/>
      <c r="ZY70" s="83"/>
      <c r="ZZ70" s="83"/>
      <c r="AAA70" s="83"/>
      <c r="AAB70" s="83"/>
      <c r="AAC70" s="83"/>
      <c r="AAD70" s="83"/>
      <c r="AAE70" s="83"/>
      <c r="AAF70" s="83"/>
      <c r="AAG70" s="83"/>
      <c r="AAH70" s="83"/>
      <c r="AAI70" s="83"/>
      <c r="AAJ70" s="83"/>
      <c r="AAK70" s="83"/>
      <c r="AAL70" s="83"/>
      <c r="AAM70" s="83"/>
      <c r="AAN70" s="83"/>
      <c r="AAO70" s="83"/>
      <c r="AAP70" s="83"/>
      <c r="AAQ70" s="83"/>
      <c r="AAR70" s="83"/>
      <c r="AAS70" s="83"/>
      <c r="AAT70" s="83"/>
      <c r="AAU70" s="83"/>
      <c r="AAV70" s="83"/>
      <c r="AAW70" s="83"/>
      <c r="AAX70" s="83"/>
      <c r="AAY70" s="83"/>
      <c r="AAZ70" s="83"/>
      <c r="ABA70" s="83"/>
      <c r="ABB70" s="83"/>
      <c r="ABC70" s="83"/>
      <c r="ABD70" s="83"/>
      <c r="ABE70" s="83"/>
      <c r="ABF70" s="83"/>
      <c r="ABG70" s="83"/>
      <c r="ABH70" s="83"/>
      <c r="ABI70" s="83"/>
      <c r="ABJ70" s="83"/>
      <c r="ABK70" s="83"/>
      <c r="ABL70" s="83"/>
      <c r="ABM70" s="83"/>
      <c r="ABN70" s="83"/>
      <c r="ABO70" s="83"/>
      <c r="ABP70" s="83"/>
      <c r="ABQ70" s="83"/>
      <c r="ABR70" s="83"/>
      <c r="ABS70" s="83"/>
      <c r="ABT70" s="83"/>
      <c r="ABU70" s="83"/>
      <c r="ABV70" s="83"/>
      <c r="ABW70" s="83"/>
      <c r="ABX70" s="83"/>
      <c r="ABY70" s="83"/>
      <c r="ABZ70" s="83"/>
      <c r="ACA70" s="83"/>
      <c r="ACB70" s="83"/>
      <c r="ACC70" s="83"/>
      <c r="ACD70" s="83"/>
      <c r="ACE70" s="83"/>
      <c r="ACF70" s="83"/>
      <c r="ACG70" s="83"/>
      <c r="ACH70" s="83"/>
      <c r="ACI70" s="83"/>
      <c r="ACJ70" s="83"/>
      <c r="ACK70" s="83"/>
      <c r="ACL70" s="83"/>
      <c r="ACM70" s="83"/>
      <c r="ACN70" s="83"/>
      <c r="ACO70" s="83"/>
      <c r="ACP70" s="83"/>
      <c r="ACQ70" s="83"/>
      <c r="ACR70" s="83"/>
      <c r="ACS70" s="83"/>
      <c r="ACT70" s="83"/>
      <c r="ACU70" s="83"/>
      <c r="ACV70" s="83"/>
      <c r="ACW70" s="83"/>
      <c r="ACX70" s="83"/>
      <c r="ACY70" s="83"/>
      <c r="ACZ70" s="83"/>
      <c r="ADA70" s="83"/>
      <c r="ADB70" s="83"/>
      <c r="ADC70" s="83"/>
      <c r="ADD70" s="83"/>
      <c r="ADE70" s="83"/>
      <c r="ADF70" s="83"/>
      <c r="ADG70" s="83"/>
      <c r="ADH70" s="83"/>
      <c r="ADI70" s="83"/>
      <c r="ADJ70" s="83"/>
      <c r="ADK70" s="83"/>
      <c r="ADL70" s="83"/>
      <c r="ADM70" s="83"/>
      <c r="ADN70" s="83"/>
      <c r="ADO70" s="83"/>
      <c r="ADP70" s="83"/>
      <c r="ADQ70" s="83"/>
      <c r="ADR70" s="83"/>
      <c r="ADS70" s="83"/>
      <c r="ADT70" s="83"/>
      <c r="ADU70" s="83"/>
      <c r="ADV70" s="83"/>
      <c r="ADW70" s="83"/>
      <c r="ADX70" s="83"/>
      <c r="ADY70" s="83"/>
      <c r="ADZ70" s="83"/>
      <c r="AEA70" s="83"/>
      <c r="AEB70" s="83"/>
      <c r="AEC70" s="83"/>
      <c r="AED70" s="83"/>
      <c r="AEE70" s="83"/>
      <c r="AEF70" s="83"/>
      <c r="AEG70" s="83"/>
      <c r="AEH70" s="83"/>
      <c r="AEI70" s="83"/>
      <c r="AEJ70" s="83"/>
      <c r="AEK70" s="83"/>
      <c r="AEL70" s="83"/>
      <c r="AEM70" s="83"/>
      <c r="AEN70" s="83"/>
      <c r="AEO70" s="83"/>
      <c r="AEP70" s="83"/>
      <c r="AEQ70" s="83"/>
      <c r="AER70" s="83"/>
      <c r="AES70" s="83"/>
      <c r="AET70" s="83"/>
      <c r="AEU70" s="83"/>
      <c r="AEV70" s="83"/>
      <c r="AEW70" s="83"/>
      <c r="AEX70" s="83"/>
      <c r="AEY70" s="83"/>
      <c r="AEZ70" s="83"/>
      <c r="AFA70" s="83"/>
      <c r="AFB70" s="83"/>
      <c r="AFC70" s="83"/>
      <c r="AFD70" s="83"/>
      <c r="AFE70" s="83"/>
      <c r="AFF70" s="83"/>
      <c r="AFG70" s="83"/>
      <c r="AFH70" s="83"/>
      <c r="AFI70" s="83"/>
      <c r="AFJ70" s="83"/>
      <c r="AFK70" s="83"/>
      <c r="AFL70" s="83"/>
      <c r="AFM70" s="83"/>
      <c r="AFN70" s="83"/>
      <c r="AFO70" s="83"/>
      <c r="AFP70" s="83"/>
      <c r="AFQ70" s="83"/>
      <c r="AFR70" s="83"/>
      <c r="AFS70" s="83"/>
      <c r="AFT70" s="83"/>
      <c r="AFU70" s="83"/>
      <c r="AFV70" s="83"/>
      <c r="AFW70" s="83"/>
      <c r="AFX70" s="83"/>
      <c r="AFY70" s="83"/>
      <c r="AFZ70" s="83"/>
      <c r="AGA70" s="83"/>
      <c r="AGB70" s="83"/>
      <c r="AGC70" s="83"/>
      <c r="AGD70" s="83"/>
      <c r="AGE70" s="83"/>
      <c r="AGF70" s="83"/>
      <c r="AGG70" s="83"/>
      <c r="AGH70" s="83"/>
      <c r="AGI70" s="83"/>
      <c r="AGJ70" s="83"/>
      <c r="AGK70" s="83"/>
      <c r="AGL70" s="83"/>
      <c r="AGM70" s="83"/>
      <c r="AGN70" s="83"/>
      <c r="AGO70" s="83"/>
      <c r="AGP70" s="83"/>
      <c r="AGQ70" s="83"/>
      <c r="AGR70" s="83"/>
      <c r="AGS70" s="83"/>
      <c r="AGT70" s="83"/>
      <c r="AGU70" s="83"/>
      <c r="AGV70" s="83"/>
      <c r="AGW70" s="83"/>
      <c r="AGX70" s="83"/>
      <c r="AGY70" s="83"/>
      <c r="AGZ70" s="83"/>
      <c r="AHA70" s="83"/>
      <c r="AHB70" s="83"/>
      <c r="AHC70" s="83"/>
      <c r="AHD70" s="83"/>
      <c r="AHE70" s="83"/>
      <c r="AHF70" s="83"/>
      <c r="AHG70" s="83"/>
      <c r="AHH70" s="83"/>
      <c r="AHI70" s="83"/>
      <c r="AHJ70" s="83"/>
      <c r="AHK70" s="83"/>
      <c r="AHL70" s="83"/>
      <c r="AHM70" s="83"/>
      <c r="AHN70" s="83"/>
      <c r="AHO70" s="83"/>
      <c r="AHP70" s="83"/>
      <c r="AHQ70" s="83"/>
      <c r="AHR70" s="83"/>
      <c r="AHS70" s="83"/>
      <c r="AHT70" s="83"/>
      <c r="AHU70" s="83"/>
      <c r="AHV70" s="83"/>
      <c r="AHW70" s="83"/>
      <c r="AHX70" s="83"/>
      <c r="AHY70" s="83"/>
      <c r="AHZ70" s="83"/>
      <c r="AIA70" s="83"/>
      <c r="AIB70" s="83"/>
      <c r="AIC70" s="83"/>
      <c r="AID70" s="83"/>
      <c r="AIE70" s="83"/>
      <c r="AIF70" s="83"/>
      <c r="AIG70" s="83"/>
      <c r="AIH70" s="83"/>
      <c r="AII70" s="83"/>
      <c r="AIJ70" s="83"/>
      <c r="AIK70" s="83"/>
      <c r="AIL70" s="83"/>
      <c r="AIM70" s="83"/>
      <c r="AIN70" s="83"/>
      <c r="AIO70" s="83"/>
      <c r="AIP70" s="83"/>
      <c r="AIQ70" s="83"/>
      <c r="AIR70" s="83"/>
      <c r="AIS70" s="83"/>
      <c r="AIT70" s="83"/>
      <c r="AIU70" s="83"/>
      <c r="AIV70" s="83"/>
      <c r="AIW70" s="83"/>
      <c r="AIX70" s="83"/>
      <c r="AIY70" s="83"/>
      <c r="AIZ70" s="83"/>
      <c r="AJA70" s="83"/>
      <c r="AJB70" s="83"/>
      <c r="AJC70" s="83"/>
      <c r="AJD70" s="83"/>
      <c r="AJE70" s="83"/>
      <c r="AJF70" s="83"/>
      <c r="AJG70" s="83"/>
      <c r="AJH70" s="83"/>
      <c r="AJI70" s="83"/>
      <c r="AJJ70" s="83"/>
      <c r="AJK70" s="83"/>
      <c r="AJL70" s="83"/>
      <c r="AJM70" s="83"/>
      <c r="AJN70" s="83"/>
      <c r="AJO70" s="83"/>
      <c r="AJP70" s="83"/>
      <c r="AJQ70" s="83"/>
      <c r="AJR70" s="83"/>
      <c r="AJS70" s="83"/>
      <c r="AJT70" s="83"/>
      <c r="AJU70" s="83"/>
      <c r="AJV70" s="83"/>
      <c r="AJW70" s="83"/>
      <c r="AJX70" s="83"/>
      <c r="AJY70" s="83"/>
      <c r="AJZ70" s="83"/>
      <c r="AKA70" s="83"/>
      <c r="AKB70" s="83"/>
      <c r="AKC70" s="83"/>
      <c r="AKD70" s="83"/>
      <c r="AKE70" s="83"/>
      <c r="AKF70" s="83"/>
      <c r="AKG70" s="83"/>
      <c r="AKH70" s="83"/>
      <c r="AKI70" s="83"/>
      <c r="AKJ70" s="83"/>
      <c r="AKK70" s="83"/>
      <c r="AKL70" s="83"/>
      <c r="AKM70" s="83"/>
      <c r="AKN70" s="83"/>
      <c r="AKO70" s="83"/>
      <c r="AKP70" s="83"/>
      <c r="AKQ70" s="83"/>
      <c r="AKR70" s="83"/>
      <c r="AKS70" s="83"/>
      <c r="AKT70" s="83"/>
      <c r="AKU70" s="83"/>
      <c r="AKV70" s="83"/>
      <c r="AKW70" s="83"/>
      <c r="AKX70" s="83"/>
      <c r="AKY70" s="83"/>
      <c r="AKZ70" s="83"/>
      <c r="ALA70" s="83"/>
      <c r="ALB70" s="83"/>
      <c r="ALC70" s="83"/>
      <c r="ALD70" s="83"/>
      <c r="ALE70" s="83"/>
      <c r="ALF70" s="83"/>
      <c r="ALG70" s="83"/>
      <c r="ALH70" s="83"/>
      <c r="ALI70" s="83"/>
      <c r="ALJ70" s="83"/>
      <c r="ALK70" s="83"/>
      <c r="ALL70" s="83"/>
      <c r="ALM70" s="83"/>
      <c r="ALN70" s="83"/>
      <c r="ALO70" s="83"/>
      <c r="ALP70" s="83"/>
      <c r="ALQ70" s="83"/>
      <c r="ALR70" s="83"/>
      <c r="ALS70" s="83"/>
      <c r="ALT70" s="83"/>
      <c r="ALU70" s="83"/>
      <c r="ALV70" s="83"/>
      <c r="ALW70" s="83"/>
      <c r="ALX70" s="83"/>
      <c r="ALY70" s="83"/>
      <c r="ALZ70" s="83"/>
      <c r="AMA70" s="83"/>
      <c r="AMB70" s="83"/>
      <c r="AMC70" s="83"/>
      <c r="AMD70" s="83"/>
      <c r="AME70" s="83"/>
      <c r="AMF70" s="83"/>
      <c r="AMG70" s="83"/>
      <c r="AMH70" s="83"/>
      <c r="AMI70" s="83"/>
      <c r="AMJ70" s="83"/>
    </row>
    <row r="71" spans="12:1024" ht="15.95" customHeight="1" x14ac:dyDescent="0.2">
      <c r="L71" s="83"/>
      <c r="M71" s="84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  <c r="IW71" s="83"/>
      <c r="IX71" s="83"/>
      <c r="IY71" s="83"/>
      <c r="IZ71" s="83"/>
      <c r="JA71" s="83"/>
      <c r="JB71" s="83"/>
      <c r="JC71" s="83"/>
      <c r="JD71" s="83"/>
      <c r="JE71" s="83"/>
      <c r="JF71" s="83"/>
      <c r="JG71" s="83"/>
      <c r="JH71" s="83"/>
      <c r="JI71" s="83"/>
      <c r="JJ71" s="83"/>
      <c r="JK71" s="83"/>
      <c r="JL71" s="83"/>
      <c r="JM71" s="83"/>
      <c r="JN71" s="83"/>
      <c r="JO71" s="83"/>
      <c r="JP71" s="83"/>
      <c r="JQ71" s="83"/>
      <c r="JR71" s="83"/>
      <c r="JS71" s="83"/>
      <c r="JT71" s="83"/>
      <c r="JU71" s="83"/>
      <c r="JV71" s="83"/>
      <c r="JW71" s="83"/>
      <c r="JX71" s="83"/>
      <c r="JY71" s="83"/>
      <c r="JZ71" s="83"/>
      <c r="KA71" s="83"/>
      <c r="KB71" s="83"/>
      <c r="KC71" s="83"/>
      <c r="KD71" s="83"/>
      <c r="KE71" s="83"/>
      <c r="KF71" s="83"/>
      <c r="KG71" s="83"/>
      <c r="KH71" s="83"/>
      <c r="KI71" s="83"/>
      <c r="KJ71" s="83"/>
      <c r="KK71" s="83"/>
      <c r="KL71" s="83"/>
      <c r="KM71" s="83"/>
      <c r="KN71" s="83"/>
      <c r="KO71" s="83"/>
      <c r="KP71" s="83"/>
      <c r="KQ71" s="83"/>
      <c r="KR71" s="83"/>
      <c r="KS71" s="83"/>
      <c r="KT71" s="83"/>
      <c r="KU71" s="83"/>
      <c r="KV71" s="83"/>
      <c r="KW71" s="83"/>
      <c r="KX71" s="83"/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83"/>
      <c r="LL71" s="83"/>
      <c r="LM71" s="83"/>
      <c r="LN71" s="83"/>
      <c r="LO71" s="83"/>
      <c r="LP71" s="83"/>
      <c r="LQ71" s="83"/>
      <c r="LR71" s="83"/>
      <c r="LS71" s="83"/>
      <c r="LT71" s="83"/>
      <c r="LU71" s="83"/>
      <c r="LV71" s="83"/>
      <c r="LW71" s="83"/>
      <c r="LX71" s="83"/>
      <c r="LY71" s="83"/>
      <c r="LZ71" s="83"/>
      <c r="MA71" s="83"/>
      <c r="MB71" s="83"/>
      <c r="MC71" s="83"/>
      <c r="MD71" s="83"/>
      <c r="ME71" s="83"/>
      <c r="MF71" s="83"/>
      <c r="MG71" s="83"/>
      <c r="MH71" s="83"/>
      <c r="MI71" s="83"/>
      <c r="MJ71" s="83"/>
      <c r="MK71" s="83"/>
      <c r="ML71" s="83"/>
      <c r="MM71" s="83"/>
      <c r="MN71" s="83"/>
      <c r="MO71" s="83"/>
      <c r="MP71" s="83"/>
      <c r="MQ71" s="83"/>
      <c r="MR71" s="83"/>
      <c r="MS71" s="83"/>
      <c r="MT71" s="83"/>
      <c r="MU71" s="83"/>
      <c r="MV71" s="83"/>
      <c r="MW71" s="83"/>
      <c r="MX71" s="83"/>
      <c r="MY71" s="83"/>
      <c r="MZ71" s="83"/>
      <c r="NA71" s="83"/>
      <c r="NB71" s="83"/>
      <c r="NC71" s="83"/>
      <c r="ND71" s="83"/>
      <c r="NE71" s="83"/>
      <c r="NF71" s="83"/>
      <c r="NG71" s="83"/>
      <c r="NH71" s="83"/>
      <c r="NI71" s="83"/>
      <c r="NJ71" s="83"/>
      <c r="NK71" s="83"/>
      <c r="NL71" s="83"/>
      <c r="NM71" s="83"/>
      <c r="NN71" s="83"/>
      <c r="NO71" s="83"/>
      <c r="NP71" s="83"/>
      <c r="NQ71" s="83"/>
      <c r="NR71" s="83"/>
      <c r="NS71" s="83"/>
      <c r="NT71" s="83"/>
      <c r="NU71" s="83"/>
      <c r="NV71" s="83"/>
      <c r="NW71" s="83"/>
      <c r="NX71" s="83"/>
      <c r="NY71" s="83"/>
      <c r="NZ71" s="83"/>
      <c r="OA71" s="83"/>
      <c r="OB71" s="83"/>
      <c r="OC71" s="83"/>
      <c r="OD71" s="83"/>
      <c r="OE71" s="83"/>
      <c r="OF71" s="83"/>
      <c r="OG71" s="83"/>
      <c r="OH71" s="83"/>
      <c r="OI71" s="83"/>
      <c r="OJ71" s="83"/>
      <c r="OK71" s="83"/>
      <c r="OL71" s="83"/>
      <c r="OM71" s="83"/>
      <c r="ON71" s="83"/>
      <c r="OO71" s="83"/>
      <c r="OP71" s="83"/>
      <c r="OQ71" s="83"/>
      <c r="OR71" s="83"/>
      <c r="OS71" s="83"/>
      <c r="OT71" s="83"/>
      <c r="OU71" s="83"/>
      <c r="OV71" s="83"/>
      <c r="OW71" s="83"/>
      <c r="OX71" s="83"/>
      <c r="OY71" s="83"/>
      <c r="OZ71" s="83"/>
      <c r="PA71" s="83"/>
      <c r="PB71" s="83"/>
      <c r="PC71" s="83"/>
      <c r="PD71" s="83"/>
      <c r="PE71" s="83"/>
      <c r="PF71" s="83"/>
      <c r="PG71" s="83"/>
      <c r="PH71" s="83"/>
      <c r="PI71" s="83"/>
      <c r="PJ71" s="83"/>
      <c r="PK71" s="83"/>
      <c r="PL71" s="83"/>
      <c r="PM71" s="83"/>
      <c r="PN71" s="83"/>
      <c r="PO71" s="83"/>
      <c r="PP71" s="83"/>
      <c r="PQ71" s="83"/>
      <c r="PR71" s="83"/>
      <c r="PS71" s="83"/>
      <c r="PT71" s="83"/>
      <c r="PU71" s="83"/>
      <c r="PV71" s="83"/>
      <c r="PW71" s="83"/>
      <c r="PX71" s="83"/>
      <c r="PY71" s="83"/>
      <c r="PZ71" s="83"/>
      <c r="QA71" s="83"/>
      <c r="QB71" s="83"/>
      <c r="QC71" s="83"/>
      <c r="QD71" s="83"/>
      <c r="QE71" s="83"/>
      <c r="QF71" s="83"/>
      <c r="QG71" s="83"/>
      <c r="QH71" s="83"/>
      <c r="QI71" s="83"/>
      <c r="QJ71" s="83"/>
      <c r="QK71" s="83"/>
      <c r="QL71" s="83"/>
      <c r="QM71" s="83"/>
      <c r="QN71" s="83"/>
      <c r="QO71" s="83"/>
      <c r="QP71" s="83"/>
      <c r="QQ71" s="83"/>
      <c r="QR71" s="83"/>
      <c r="QS71" s="83"/>
      <c r="QT71" s="83"/>
      <c r="QU71" s="83"/>
      <c r="QV71" s="83"/>
      <c r="QW71" s="83"/>
      <c r="QX71" s="83"/>
      <c r="QY71" s="83"/>
      <c r="QZ71" s="83"/>
      <c r="RA71" s="83"/>
      <c r="RB71" s="83"/>
      <c r="RC71" s="83"/>
      <c r="RD71" s="83"/>
      <c r="RE71" s="83"/>
      <c r="RF71" s="83"/>
      <c r="RG71" s="83"/>
      <c r="RH71" s="83"/>
      <c r="RI71" s="83"/>
      <c r="RJ71" s="83"/>
      <c r="RK71" s="83"/>
      <c r="RL71" s="83"/>
      <c r="RM71" s="83"/>
      <c r="RN71" s="83"/>
      <c r="RO71" s="83"/>
      <c r="RP71" s="83"/>
      <c r="RQ71" s="83"/>
      <c r="RR71" s="83"/>
      <c r="RS71" s="83"/>
      <c r="RT71" s="83"/>
      <c r="RU71" s="83"/>
      <c r="RV71" s="83"/>
      <c r="RW71" s="83"/>
      <c r="RX71" s="83"/>
      <c r="RY71" s="83"/>
      <c r="RZ71" s="83"/>
      <c r="SA71" s="83"/>
      <c r="SB71" s="83"/>
      <c r="SC71" s="83"/>
      <c r="SD71" s="83"/>
      <c r="SE71" s="83"/>
      <c r="SF71" s="83"/>
      <c r="SG71" s="83"/>
      <c r="SH71" s="83"/>
      <c r="SI71" s="83"/>
      <c r="SJ71" s="83"/>
      <c r="SK71" s="83"/>
      <c r="SL71" s="83"/>
      <c r="SM71" s="83"/>
      <c r="SN71" s="83"/>
      <c r="SO71" s="83"/>
      <c r="SP71" s="83"/>
      <c r="SQ71" s="83"/>
      <c r="SR71" s="83"/>
      <c r="SS71" s="83"/>
      <c r="ST71" s="83"/>
      <c r="SU71" s="83"/>
      <c r="SV71" s="83"/>
      <c r="SW71" s="83"/>
      <c r="SX71" s="83"/>
      <c r="SY71" s="83"/>
      <c r="SZ71" s="83"/>
      <c r="TA71" s="83"/>
      <c r="TB71" s="83"/>
      <c r="TC71" s="83"/>
      <c r="TD71" s="83"/>
      <c r="TE71" s="83"/>
      <c r="TF71" s="83"/>
      <c r="TG71" s="83"/>
      <c r="TH71" s="83"/>
      <c r="TI71" s="83"/>
      <c r="TJ71" s="83"/>
      <c r="TK71" s="83"/>
      <c r="TL71" s="83"/>
      <c r="TM71" s="83"/>
      <c r="TN71" s="83"/>
      <c r="TO71" s="83"/>
      <c r="TP71" s="83"/>
      <c r="TQ71" s="83"/>
      <c r="TR71" s="83"/>
      <c r="TS71" s="83"/>
      <c r="TT71" s="83"/>
      <c r="TU71" s="83"/>
      <c r="TV71" s="83"/>
      <c r="TW71" s="83"/>
      <c r="TX71" s="83"/>
      <c r="TY71" s="83"/>
      <c r="TZ71" s="83"/>
      <c r="UA71" s="83"/>
      <c r="UB71" s="83"/>
      <c r="UC71" s="83"/>
      <c r="UD71" s="83"/>
      <c r="UE71" s="83"/>
      <c r="UF71" s="83"/>
      <c r="UG71" s="83"/>
      <c r="UH71" s="83"/>
      <c r="UI71" s="83"/>
      <c r="UJ71" s="83"/>
      <c r="UK71" s="83"/>
      <c r="UL71" s="83"/>
      <c r="UM71" s="83"/>
      <c r="UN71" s="83"/>
      <c r="UO71" s="83"/>
      <c r="UP71" s="83"/>
      <c r="UQ71" s="83"/>
      <c r="UR71" s="83"/>
      <c r="US71" s="83"/>
      <c r="UT71" s="83"/>
      <c r="UU71" s="83"/>
      <c r="UV71" s="83"/>
      <c r="UW71" s="83"/>
      <c r="UX71" s="83"/>
      <c r="UY71" s="83"/>
      <c r="UZ71" s="83"/>
      <c r="VA71" s="83"/>
      <c r="VB71" s="83"/>
      <c r="VC71" s="83"/>
      <c r="VD71" s="83"/>
      <c r="VE71" s="83"/>
      <c r="VF71" s="83"/>
      <c r="VG71" s="83"/>
      <c r="VH71" s="83"/>
      <c r="VI71" s="83"/>
      <c r="VJ71" s="83"/>
      <c r="VK71" s="83"/>
      <c r="VL71" s="83"/>
      <c r="VM71" s="83"/>
      <c r="VN71" s="83"/>
      <c r="VO71" s="83"/>
      <c r="VP71" s="83"/>
      <c r="VQ71" s="83"/>
      <c r="VR71" s="83"/>
      <c r="VS71" s="83"/>
      <c r="VT71" s="83"/>
      <c r="VU71" s="83"/>
      <c r="VV71" s="83"/>
      <c r="VW71" s="83"/>
      <c r="VX71" s="83"/>
      <c r="VY71" s="83"/>
      <c r="VZ71" s="83"/>
      <c r="WA71" s="83"/>
      <c r="WB71" s="83"/>
      <c r="WC71" s="83"/>
      <c r="WD71" s="83"/>
      <c r="WE71" s="83"/>
      <c r="WF71" s="83"/>
      <c r="WG71" s="83"/>
      <c r="WH71" s="83"/>
      <c r="WI71" s="83"/>
      <c r="WJ71" s="83"/>
      <c r="WK71" s="83"/>
      <c r="WL71" s="83"/>
      <c r="WM71" s="83"/>
      <c r="WN71" s="83"/>
      <c r="WO71" s="83"/>
      <c r="WP71" s="83"/>
      <c r="WQ71" s="83"/>
      <c r="WR71" s="83"/>
      <c r="WS71" s="83"/>
      <c r="WT71" s="83"/>
      <c r="WU71" s="83"/>
      <c r="WV71" s="83"/>
      <c r="WW71" s="83"/>
      <c r="WX71" s="83"/>
      <c r="WY71" s="83"/>
      <c r="WZ71" s="83"/>
      <c r="XA71" s="83"/>
      <c r="XB71" s="83"/>
      <c r="XC71" s="83"/>
      <c r="XD71" s="83"/>
      <c r="XE71" s="83"/>
      <c r="XF71" s="83"/>
      <c r="XG71" s="83"/>
      <c r="XH71" s="83"/>
      <c r="XI71" s="83"/>
      <c r="XJ71" s="83"/>
      <c r="XK71" s="83"/>
      <c r="XL71" s="83"/>
      <c r="XM71" s="83"/>
      <c r="XN71" s="83"/>
      <c r="XO71" s="83"/>
      <c r="XP71" s="83"/>
      <c r="XQ71" s="83"/>
      <c r="XR71" s="83"/>
      <c r="XS71" s="83"/>
      <c r="XT71" s="83"/>
      <c r="XU71" s="83"/>
      <c r="XV71" s="83"/>
      <c r="XW71" s="83"/>
      <c r="XX71" s="83"/>
      <c r="XY71" s="83"/>
      <c r="XZ71" s="83"/>
      <c r="YA71" s="83"/>
      <c r="YB71" s="83"/>
      <c r="YC71" s="83"/>
      <c r="YD71" s="83"/>
      <c r="YE71" s="83"/>
      <c r="YF71" s="83"/>
      <c r="YG71" s="83"/>
      <c r="YH71" s="83"/>
      <c r="YI71" s="83"/>
      <c r="YJ71" s="83"/>
      <c r="YK71" s="83"/>
      <c r="YL71" s="83"/>
      <c r="YM71" s="83"/>
      <c r="YN71" s="83"/>
      <c r="YO71" s="83"/>
      <c r="YP71" s="83"/>
      <c r="YQ71" s="83"/>
      <c r="YR71" s="83"/>
      <c r="YS71" s="83"/>
      <c r="YT71" s="83"/>
      <c r="YU71" s="83"/>
      <c r="YV71" s="83"/>
      <c r="YW71" s="83"/>
      <c r="YX71" s="83"/>
      <c r="YY71" s="83"/>
      <c r="YZ71" s="83"/>
      <c r="ZA71" s="83"/>
      <c r="ZB71" s="83"/>
      <c r="ZC71" s="83"/>
      <c r="ZD71" s="83"/>
      <c r="ZE71" s="83"/>
      <c r="ZF71" s="83"/>
      <c r="ZG71" s="83"/>
      <c r="ZH71" s="83"/>
      <c r="ZI71" s="83"/>
      <c r="ZJ71" s="83"/>
      <c r="ZK71" s="83"/>
      <c r="ZL71" s="83"/>
      <c r="ZM71" s="83"/>
      <c r="ZN71" s="83"/>
      <c r="ZO71" s="83"/>
      <c r="ZP71" s="83"/>
      <c r="ZQ71" s="83"/>
      <c r="ZR71" s="83"/>
      <c r="ZS71" s="83"/>
      <c r="ZT71" s="83"/>
      <c r="ZU71" s="83"/>
      <c r="ZV71" s="83"/>
      <c r="ZW71" s="83"/>
      <c r="ZX71" s="83"/>
      <c r="ZY71" s="83"/>
      <c r="ZZ71" s="83"/>
      <c r="AAA71" s="83"/>
      <c r="AAB71" s="83"/>
      <c r="AAC71" s="83"/>
      <c r="AAD71" s="83"/>
      <c r="AAE71" s="83"/>
      <c r="AAF71" s="83"/>
      <c r="AAG71" s="83"/>
      <c r="AAH71" s="83"/>
      <c r="AAI71" s="83"/>
      <c r="AAJ71" s="83"/>
      <c r="AAK71" s="83"/>
      <c r="AAL71" s="83"/>
      <c r="AAM71" s="83"/>
      <c r="AAN71" s="83"/>
      <c r="AAO71" s="83"/>
      <c r="AAP71" s="83"/>
      <c r="AAQ71" s="83"/>
      <c r="AAR71" s="83"/>
      <c r="AAS71" s="83"/>
      <c r="AAT71" s="83"/>
      <c r="AAU71" s="83"/>
      <c r="AAV71" s="83"/>
      <c r="AAW71" s="83"/>
      <c r="AAX71" s="83"/>
      <c r="AAY71" s="83"/>
      <c r="AAZ71" s="83"/>
      <c r="ABA71" s="83"/>
      <c r="ABB71" s="83"/>
      <c r="ABC71" s="83"/>
      <c r="ABD71" s="83"/>
      <c r="ABE71" s="83"/>
      <c r="ABF71" s="83"/>
      <c r="ABG71" s="83"/>
      <c r="ABH71" s="83"/>
      <c r="ABI71" s="83"/>
      <c r="ABJ71" s="83"/>
      <c r="ABK71" s="83"/>
      <c r="ABL71" s="83"/>
      <c r="ABM71" s="83"/>
      <c r="ABN71" s="83"/>
      <c r="ABO71" s="83"/>
      <c r="ABP71" s="83"/>
      <c r="ABQ71" s="83"/>
      <c r="ABR71" s="83"/>
      <c r="ABS71" s="83"/>
      <c r="ABT71" s="83"/>
      <c r="ABU71" s="83"/>
      <c r="ABV71" s="83"/>
      <c r="ABW71" s="83"/>
      <c r="ABX71" s="83"/>
      <c r="ABY71" s="83"/>
      <c r="ABZ71" s="83"/>
      <c r="ACA71" s="83"/>
      <c r="ACB71" s="83"/>
      <c r="ACC71" s="83"/>
      <c r="ACD71" s="83"/>
      <c r="ACE71" s="83"/>
      <c r="ACF71" s="83"/>
      <c r="ACG71" s="83"/>
      <c r="ACH71" s="83"/>
      <c r="ACI71" s="83"/>
      <c r="ACJ71" s="83"/>
      <c r="ACK71" s="83"/>
      <c r="ACL71" s="83"/>
      <c r="ACM71" s="83"/>
      <c r="ACN71" s="83"/>
      <c r="ACO71" s="83"/>
      <c r="ACP71" s="83"/>
      <c r="ACQ71" s="83"/>
      <c r="ACR71" s="83"/>
      <c r="ACS71" s="83"/>
      <c r="ACT71" s="83"/>
      <c r="ACU71" s="83"/>
      <c r="ACV71" s="83"/>
      <c r="ACW71" s="83"/>
      <c r="ACX71" s="83"/>
      <c r="ACY71" s="83"/>
      <c r="ACZ71" s="83"/>
      <c r="ADA71" s="83"/>
      <c r="ADB71" s="83"/>
      <c r="ADC71" s="83"/>
      <c r="ADD71" s="83"/>
      <c r="ADE71" s="83"/>
      <c r="ADF71" s="83"/>
      <c r="ADG71" s="83"/>
      <c r="ADH71" s="83"/>
      <c r="ADI71" s="83"/>
      <c r="ADJ71" s="83"/>
      <c r="ADK71" s="83"/>
      <c r="ADL71" s="83"/>
      <c r="ADM71" s="83"/>
      <c r="ADN71" s="83"/>
      <c r="ADO71" s="83"/>
      <c r="ADP71" s="83"/>
      <c r="ADQ71" s="83"/>
      <c r="ADR71" s="83"/>
      <c r="ADS71" s="83"/>
      <c r="ADT71" s="83"/>
      <c r="ADU71" s="83"/>
      <c r="ADV71" s="83"/>
      <c r="ADW71" s="83"/>
      <c r="ADX71" s="83"/>
      <c r="ADY71" s="83"/>
      <c r="ADZ71" s="83"/>
      <c r="AEA71" s="83"/>
      <c r="AEB71" s="83"/>
      <c r="AEC71" s="83"/>
      <c r="AED71" s="83"/>
      <c r="AEE71" s="83"/>
      <c r="AEF71" s="83"/>
      <c r="AEG71" s="83"/>
      <c r="AEH71" s="83"/>
      <c r="AEI71" s="83"/>
      <c r="AEJ71" s="83"/>
      <c r="AEK71" s="83"/>
      <c r="AEL71" s="83"/>
      <c r="AEM71" s="83"/>
      <c r="AEN71" s="83"/>
      <c r="AEO71" s="83"/>
      <c r="AEP71" s="83"/>
      <c r="AEQ71" s="83"/>
      <c r="AER71" s="83"/>
      <c r="AES71" s="83"/>
      <c r="AET71" s="83"/>
      <c r="AEU71" s="83"/>
      <c r="AEV71" s="83"/>
      <c r="AEW71" s="83"/>
      <c r="AEX71" s="83"/>
      <c r="AEY71" s="83"/>
      <c r="AEZ71" s="83"/>
      <c r="AFA71" s="83"/>
      <c r="AFB71" s="83"/>
      <c r="AFC71" s="83"/>
      <c r="AFD71" s="83"/>
      <c r="AFE71" s="83"/>
      <c r="AFF71" s="83"/>
      <c r="AFG71" s="83"/>
      <c r="AFH71" s="83"/>
      <c r="AFI71" s="83"/>
      <c r="AFJ71" s="83"/>
      <c r="AFK71" s="83"/>
      <c r="AFL71" s="83"/>
      <c r="AFM71" s="83"/>
      <c r="AFN71" s="83"/>
      <c r="AFO71" s="83"/>
      <c r="AFP71" s="83"/>
      <c r="AFQ71" s="83"/>
      <c r="AFR71" s="83"/>
      <c r="AFS71" s="83"/>
      <c r="AFT71" s="83"/>
      <c r="AFU71" s="83"/>
      <c r="AFV71" s="83"/>
      <c r="AFW71" s="83"/>
      <c r="AFX71" s="83"/>
      <c r="AFY71" s="83"/>
      <c r="AFZ71" s="83"/>
      <c r="AGA71" s="83"/>
      <c r="AGB71" s="83"/>
      <c r="AGC71" s="83"/>
      <c r="AGD71" s="83"/>
      <c r="AGE71" s="83"/>
      <c r="AGF71" s="83"/>
      <c r="AGG71" s="83"/>
      <c r="AGH71" s="83"/>
      <c r="AGI71" s="83"/>
      <c r="AGJ71" s="83"/>
      <c r="AGK71" s="83"/>
      <c r="AGL71" s="83"/>
      <c r="AGM71" s="83"/>
      <c r="AGN71" s="83"/>
      <c r="AGO71" s="83"/>
      <c r="AGP71" s="83"/>
      <c r="AGQ71" s="83"/>
      <c r="AGR71" s="83"/>
      <c r="AGS71" s="83"/>
      <c r="AGT71" s="83"/>
      <c r="AGU71" s="83"/>
      <c r="AGV71" s="83"/>
      <c r="AGW71" s="83"/>
      <c r="AGX71" s="83"/>
      <c r="AGY71" s="83"/>
      <c r="AGZ71" s="83"/>
      <c r="AHA71" s="83"/>
      <c r="AHB71" s="83"/>
      <c r="AHC71" s="83"/>
      <c r="AHD71" s="83"/>
      <c r="AHE71" s="83"/>
      <c r="AHF71" s="83"/>
      <c r="AHG71" s="83"/>
      <c r="AHH71" s="83"/>
      <c r="AHI71" s="83"/>
      <c r="AHJ71" s="83"/>
      <c r="AHK71" s="83"/>
      <c r="AHL71" s="83"/>
      <c r="AHM71" s="83"/>
      <c r="AHN71" s="83"/>
      <c r="AHO71" s="83"/>
      <c r="AHP71" s="83"/>
      <c r="AHQ71" s="83"/>
      <c r="AHR71" s="83"/>
      <c r="AHS71" s="83"/>
      <c r="AHT71" s="83"/>
      <c r="AHU71" s="83"/>
      <c r="AHV71" s="83"/>
      <c r="AHW71" s="83"/>
      <c r="AHX71" s="83"/>
      <c r="AHY71" s="83"/>
      <c r="AHZ71" s="83"/>
      <c r="AIA71" s="83"/>
      <c r="AIB71" s="83"/>
      <c r="AIC71" s="83"/>
      <c r="AID71" s="83"/>
      <c r="AIE71" s="83"/>
      <c r="AIF71" s="83"/>
      <c r="AIG71" s="83"/>
      <c r="AIH71" s="83"/>
      <c r="AII71" s="83"/>
      <c r="AIJ71" s="83"/>
      <c r="AIK71" s="83"/>
      <c r="AIL71" s="83"/>
      <c r="AIM71" s="83"/>
      <c r="AIN71" s="83"/>
      <c r="AIO71" s="83"/>
      <c r="AIP71" s="83"/>
      <c r="AIQ71" s="83"/>
      <c r="AIR71" s="83"/>
      <c r="AIS71" s="83"/>
      <c r="AIT71" s="83"/>
      <c r="AIU71" s="83"/>
      <c r="AIV71" s="83"/>
      <c r="AIW71" s="83"/>
      <c r="AIX71" s="83"/>
      <c r="AIY71" s="83"/>
      <c r="AIZ71" s="83"/>
      <c r="AJA71" s="83"/>
      <c r="AJB71" s="83"/>
      <c r="AJC71" s="83"/>
      <c r="AJD71" s="83"/>
      <c r="AJE71" s="83"/>
      <c r="AJF71" s="83"/>
      <c r="AJG71" s="83"/>
      <c r="AJH71" s="83"/>
      <c r="AJI71" s="83"/>
      <c r="AJJ71" s="83"/>
      <c r="AJK71" s="83"/>
      <c r="AJL71" s="83"/>
      <c r="AJM71" s="83"/>
      <c r="AJN71" s="83"/>
      <c r="AJO71" s="83"/>
      <c r="AJP71" s="83"/>
      <c r="AJQ71" s="83"/>
      <c r="AJR71" s="83"/>
      <c r="AJS71" s="83"/>
      <c r="AJT71" s="83"/>
      <c r="AJU71" s="83"/>
      <c r="AJV71" s="83"/>
      <c r="AJW71" s="83"/>
      <c r="AJX71" s="83"/>
      <c r="AJY71" s="83"/>
      <c r="AJZ71" s="83"/>
      <c r="AKA71" s="83"/>
      <c r="AKB71" s="83"/>
      <c r="AKC71" s="83"/>
      <c r="AKD71" s="83"/>
      <c r="AKE71" s="83"/>
      <c r="AKF71" s="83"/>
      <c r="AKG71" s="83"/>
      <c r="AKH71" s="83"/>
      <c r="AKI71" s="83"/>
      <c r="AKJ71" s="83"/>
      <c r="AKK71" s="83"/>
      <c r="AKL71" s="83"/>
      <c r="AKM71" s="83"/>
      <c r="AKN71" s="83"/>
      <c r="AKO71" s="83"/>
      <c r="AKP71" s="83"/>
      <c r="AKQ71" s="83"/>
      <c r="AKR71" s="83"/>
      <c r="AKS71" s="83"/>
      <c r="AKT71" s="83"/>
      <c r="AKU71" s="83"/>
      <c r="AKV71" s="83"/>
      <c r="AKW71" s="83"/>
      <c r="AKX71" s="83"/>
      <c r="AKY71" s="83"/>
      <c r="AKZ71" s="83"/>
      <c r="ALA71" s="83"/>
      <c r="ALB71" s="83"/>
      <c r="ALC71" s="83"/>
      <c r="ALD71" s="83"/>
      <c r="ALE71" s="83"/>
      <c r="ALF71" s="83"/>
      <c r="ALG71" s="83"/>
      <c r="ALH71" s="83"/>
      <c r="ALI71" s="83"/>
      <c r="ALJ71" s="83"/>
      <c r="ALK71" s="83"/>
      <c r="ALL71" s="83"/>
      <c r="ALM71" s="83"/>
      <c r="ALN71" s="83"/>
      <c r="ALO71" s="83"/>
      <c r="ALP71" s="83"/>
      <c r="ALQ71" s="83"/>
      <c r="ALR71" s="83"/>
      <c r="ALS71" s="83"/>
      <c r="ALT71" s="83"/>
      <c r="ALU71" s="83"/>
      <c r="ALV71" s="83"/>
      <c r="ALW71" s="83"/>
      <c r="ALX71" s="83"/>
      <c r="ALY71" s="83"/>
      <c r="ALZ71" s="83"/>
      <c r="AMA71" s="83"/>
      <c r="AMB71" s="83"/>
      <c r="AMC71" s="83"/>
      <c r="AMD71" s="83"/>
      <c r="AME71" s="83"/>
      <c r="AMF71" s="83"/>
      <c r="AMG71" s="83"/>
      <c r="AMH71" s="83"/>
      <c r="AMI71" s="83"/>
      <c r="AMJ71" s="83"/>
    </row>
    <row r="72" spans="12:1024" ht="15.95" customHeight="1" x14ac:dyDescent="0.2">
      <c r="L72" s="83"/>
      <c r="M72" s="84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  <c r="IW72" s="83"/>
      <c r="IX72" s="83"/>
      <c r="IY72" s="83"/>
      <c r="IZ72" s="83"/>
      <c r="JA72" s="83"/>
      <c r="JB72" s="83"/>
      <c r="JC72" s="83"/>
      <c r="JD72" s="83"/>
      <c r="JE72" s="83"/>
      <c r="JF72" s="83"/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3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83"/>
      <c r="LL72" s="83"/>
      <c r="LM72" s="83"/>
      <c r="LN72" s="83"/>
      <c r="LO72" s="83"/>
      <c r="LP72" s="83"/>
      <c r="LQ72" s="83"/>
      <c r="LR72" s="83"/>
      <c r="LS72" s="83"/>
      <c r="LT72" s="83"/>
      <c r="LU72" s="83"/>
      <c r="LV72" s="83"/>
      <c r="LW72" s="83"/>
      <c r="LX72" s="83"/>
      <c r="LY72" s="83"/>
      <c r="LZ72" s="83"/>
      <c r="MA72" s="83"/>
      <c r="MB72" s="83"/>
      <c r="MC72" s="83"/>
      <c r="MD72" s="83"/>
      <c r="ME72" s="83"/>
      <c r="MF72" s="83"/>
      <c r="MG72" s="83"/>
      <c r="MH72" s="83"/>
      <c r="MI72" s="83"/>
      <c r="MJ72" s="83"/>
      <c r="MK72" s="83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83"/>
      <c r="OS72" s="83"/>
      <c r="OT72" s="83"/>
      <c r="OU72" s="83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3"/>
      <c r="PT72" s="83"/>
      <c r="PU72" s="83"/>
      <c r="PV72" s="83"/>
      <c r="PW72" s="83"/>
      <c r="PX72" s="83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3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3"/>
      <c r="TL72" s="83"/>
      <c r="TM72" s="83"/>
      <c r="TN72" s="83"/>
      <c r="TO72" s="83"/>
      <c r="TP72" s="83"/>
      <c r="TQ72" s="83"/>
      <c r="TR72" s="83"/>
      <c r="TS72" s="83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83"/>
      <c r="WA72" s="83"/>
      <c r="WB72" s="83"/>
      <c r="WC72" s="83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3"/>
      <c r="XB72" s="83"/>
      <c r="XC72" s="83"/>
      <c r="XD72" s="83"/>
      <c r="XE72" s="83"/>
      <c r="XF72" s="83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3"/>
      <c r="AAB72" s="83"/>
      <c r="AAC72" s="83"/>
      <c r="AAD72" s="83"/>
      <c r="AAE72" s="83"/>
      <c r="AAF72" s="83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3"/>
      <c r="AAU72" s="83"/>
      <c r="AAV72" s="83"/>
      <c r="AAW72" s="83"/>
      <c r="AAX72" s="83"/>
      <c r="AAY72" s="83"/>
      <c r="AAZ72" s="83"/>
      <c r="ABA72" s="83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83"/>
      <c r="ADI72" s="83"/>
      <c r="ADJ72" s="83"/>
      <c r="ADK72" s="83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3"/>
      <c r="AEJ72" s="83"/>
      <c r="AEK72" s="83"/>
      <c r="AEL72" s="83"/>
      <c r="AEM72" s="83"/>
      <c r="AEN72" s="83"/>
      <c r="AEO72" s="83"/>
      <c r="AEP72" s="83"/>
      <c r="AEQ72" s="83"/>
      <c r="AER72" s="83"/>
      <c r="AES72" s="83"/>
      <c r="AET72" s="83"/>
      <c r="AEU72" s="83"/>
      <c r="AEV72" s="83"/>
      <c r="AEW72" s="83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3"/>
      <c r="AHI72" s="83"/>
      <c r="AHJ72" s="83"/>
      <c r="AHK72" s="83"/>
      <c r="AHL72" s="83"/>
      <c r="AHM72" s="83"/>
      <c r="AHN72" s="83"/>
      <c r="AHO72" s="83"/>
      <c r="AHP72" s="83"/>
      <c r="AHQ72" s="83"/>
      <c r="AHR72" s="83"/>
      <c r="AHS72" s="83"/>
      <c r="AHT72" s="83"/>
      <c r="AHU72" s="83"/>
      <c r="AHV72" s="83"/>
      <c r="AHW72" s="83"/>
      <c r="AHX72" s="83"/>
      <c r="AHY72" s="83"/>
      <c r="AHZ72" s="83"/>
      <c r="AIA72" s="83"/>
      <c r="AIB72" s="83"/>
      <c r="AIC72" s="83"/>
      <c r="AID72" s="83"/>
      <c r="AIE72" s="83"/>
      <c r="AIF72" s="83"/>
      <c r="AIG72" s="83"/>
      <c r="AIH72" s="83"/>
      <c r="AII72" s="83"/>
      <c r="AIJ72" s="83"/>
      <c r="AIK72" s="83"/>
      <c r="AIL72" s="83"/>
      <c r="AIM72" s="83"/>
      <c r="AIN72" s="83"/>
      <c r="AIO72" s="83"/>
      <c r="AIP72" s="83"/>
      <c r="AIQ72" s="83"/>
      <c r="AIR72" s="83"/>
      <c r="AIS72" s="83"/>
      <c r="AIT72" s="83"/>
      <c r="AIU72" s="83"/>
      <c r="AIV72" s="83"/>
      <c r="AIW72" s="83"/>
      <c r="AIX72" s="83"/>
      <c r="AIY72" s="83"/>
      <c r="AIZ72" s="83"/>
      <c r="AJA72" s="83"/>
      <c r="AJB72" s="83"/>
      <c r="AJC72" s="83"/>
      <c r="AJD72" s="83"/>
      <c r="AJE72" s="83"/>
      <c r="AJF72" s="83"/>
      <c r="AJG72" s="83"/>
      <c r="AJH72" s="83"/>
      <c r="AJI72" s="83"/>
      <c r="AJJ72" s="83"/>
      <c r="AJK72" s="83"/>
      <c r="AJL72" s="83"/>
      <c r="AJM72" s="83"/>
      <c r="AJN72" s="83"/>
      <c r="AJO72" s="83"/>
      <c r="AJP72" s="83"/>
      <c r="AJQ72" s="83"/>
      <c r="AJR72" s="83"/>
      <c r="AJS72" s="83"/>
      <c r="AJT72" s="83"/>
      <c r="AJU72" s="83"/>
      <c r="AJV72" s="83"/>
      <c r="AJW72" s="83"/>
      <c r="AJX72" s="83"/>
      <c r="AJY72" s="83"/>
      <c r="AJZ72" s="83"/>
      <c r="AKA72" s="83"/>
      <c r="AKB72" s="83"/>
      <c r="AKC72" s="83"/>
      <c r="AKD72" s="83"/>
      <c r="AKE72" s="83"/>
      <c r="AKF72" s="83"/>
      <c r="AKG72" s="83"/>
      <c r="AKH72" s="83"/>
      <c r="AKI72" s="83"/>
      <c r="AKJ72" s="83"/>
      <c r="AKK72" s="83"/>
      <c r="AKL72" s="83"/>
      <c r="AKM72" s="83"/>
      <c r="AKN72" s="83"/>
      <c r="AKO72" s="83"/>
      <c r="AKP72" s="83"/>
      <c r="AKQ72" s="83"/>
      <c r="AKR72" s="83"/>
      <c r="AKS72" s="83"/>
      <c r="AKT72" s="83"/>
      <c r="AKU72" s="83"/>
      <c r="AKV72" s="83"/>
      <c r="AKW72" s="83"/>
      <c r="AKX72" s="83"/>
      <c r="AKY72" s="83"/>
      <c r="AKZ72" s="83"/>
      <c r="ALA72" s="83"/>
      <c r="ALB72" s="83"/>
      <c r="ALC72" s="83"/>
      <c r="ALD72" s="83"/>
      <c r="ALE72" s="83"/>
      <c r="ALF72" s="83"/>
      <c r="ALG72" s="83"/>
      <c r="ALH72" s="83"/>
      <c r="ALI72" s="83"/>
      <c r="ALJ72" s="83"/>
      <c r="ALK72" s="83"/>
      <c r="ALL72" s="83"/>
      <c r="ALM72" s="83"/>
      <c r="ALN72" s="83"/>
      <c r="ALO72" s="83"/>
      <c r="ALP72" s="83"/>
      <c r="ALQ72" s="83"/>
      <c r="ALR72" s="83"/>
      <c r="ALS72" s="83"/>
      <c r="ALT72" s="83"/>
      <c r="ALU72" s="83"/>
      <c r="ALV72" s="83"/>
      <c r="ALW72" s="83"/>
      <c r="ALX72" s="83"/>
      <c r="ALY72" s="83"/>
      <c r="ALZ72" s="83"/>
      <c r="AMA72" s="83"/>
      <c r="AMB72" s="83"/>
      <c r="AMC72" s="83"/>
      <c r="AMD72" s="83"/>
      <c r="AME72" s="83"/>
      <c r="AMF72" s="83"/>
      <c r="AMG72" s="83"/>
      <c r="AMH72" s="83"/>
      <c r="AMI72" s="83"/>
      <c r="AMJ72" s="83"/>
    </row>
    <row r="73" spans="12:1024" ht="15.95" customHeight="1" x14ac:dyDescent="0.2">
      <c r="L73" s="83"/>
      <c r="M73" s="8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3"/>
      <c r="LQ73" s="83"/>
      <c r="LR73" s="83"/>
      <c r="LS73" s="83"/>
      <c r="LT73" s="83"/>
      <c r="LU73" s="83"/>
      <c r="LV73" s="83"/>
      <c r="LW73" s="83"/>
      <c r="LX73" s="83"/>
      <c r="LY73" s="83"/>
      <c r="LZ73" s="83"/>
      <c r="MA73" s="83"/>
      <c r="MB73" s="83"/>
      <c r="MC73" s="83"/>
      <c r="MD73" s="83"/>
      <c r="ME73" s="83"/>
      <c r="MF73" s="83"/>
      <c r="MG73" s="83"/>
      <c r="MH73" s="83"/>
      <c r="MI73" s="83"/>
      <c r="MJ73" s="83"/>
      <c r="MK73" s="83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83"/>
      <c r="OS73" s="83"/>
      <c r="OT73" s="83"/>
      <c r="OU73" s="83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3"/>
      <c r="PT73" s="83"/>
      <c r="PU73" s="83"/>
      <c r="PV73" s="83"/>
      <c r="PW73" s="83"/>
      <c r="PX73" s="83"/>
      <c r="PY73" s="83"/>
      <c r="PZ73" s="83"/>
      <c r="QA73" s="83"/>
      <c r="QB73" s="83"/>
      <c r="QC73" s="83"/>
      <c r="QD73" s="83"/>
      <c r="QE73" s="83"/>
      <c r="QF73" s="83"/>
      <c r="QG73" s="83"/>
      <c r="QH73" s="83"/>
      <c r="QI73" s="83"/>
      <c r="QJ73" s="83"/>
      <c r="QK73" s="83"/>
      <c r="QL73" s="83"/>
      <c r="QM73" s="83"/>
      <c r="QN73" s="83"/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3"/>
      <c r="ST73" s="83"/>
      <c r="SU73" s="83"/>
      <c r="SV73" s="83"/>
      <c r="SW73" s="83"/>
      <c r="SX73" s="83"/>
      <c r="SY73" s="83"/>
      <c r="SZ73" s="83"/>
      <c r="TA73" s="83"/>
      <c r="TB73" s="83"/>
      <c r="TC73" s="83"/>
      <c r="TD73" s="83"/>
      <c r="TE73" s="83"/>
      <c r="TF73" s="83"/>
      <c r="TG73" s="83"/>
      <c r="TH73" s="83"/>
      <c r="TI73" s="83"/>
      <c r="TJ73" s="83"/>
      <c r="TK73" s="83"/>
      <c r="TL73" s="83"/>
      <c r="TM73" s="83"/>
      <c r="TN73" s="83"/>
      <c r="TO73" s="83"/>
      <c r="TP73" s="83"/>
      <c r="TQ73" s="83"/>
      <c r="TR73" s="83"/>
      <c r="TS73" s="83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83"/>
      <c r="WA73" s="83"/>
      <c r="WB73" s="83"/>
      <c r="WC73" s="83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3"/>
      <c r="XB73" s="83"/>
      <c r="XC73" s="83"/>
      <c r="XD73" s="83"/>
      <c r="XE73" s="83"/>
      <c r="XF73" s="83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3"/>
      <c r="AAB73" s="83"/>
      <c r="AAC73" s="83"/>
      <c r="AAD73" s="83"/>
      <c r="AAE73" s="83"/>
      <c r="AAF73" s="83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3"/>
      <c r="AAU73" s="83"/>
      <c r="AAV73" s="83"/>
      <c r="AAW73" s="83"/>
      <c r="AAX73" s="83"/>
      <c r="AAY73" s="83"/>
      <c r="AAZ73" s="83"/>
      <c r="ABA73" s="83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83"/>
      <c r="ADI73" s="83"/>
      <c r="ADJ73" s="83"/>
      <c r="ADK73" s="83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3"/>
      <c r="AEJ73" s="83"/>
      <c r="AEK73" s="83"/>
      <c r="AEL73" s="83"/>
      <c r="AEM73" s="83"/>
      <c r="AEN73" s="83"/>
      <c r="AEO73" s="83"/>
      <c r="AEP73" s="83"/>
      <c r="AEQ73" s="83"/>
      <c r="AER73" s="83"/>
      <c r="AES73" s="83"/>
      <c r="AET73" s="83"/>
      <c r="AEU73" s="83"/>
      <c r="AEV73" s="83"/>
      <c r="AEW73" s="83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3"/>
      <c r="AHI73" s="83"/>
      <c r="AHJ73" s="83"/>
      <c r="AHK73" s="83"/>
      <c r="AHL73" s="83"/>
      <c r="AHM73" s="83"/>
      <c r="AHN73" s="83"/>
      <c r="AHO73" s="83"/>
      <c r="AHP73" s="83"/>
      <c r="AHQ73" s="83"/>
      <c r="AHR73" s="83"/>
      <c r="AHS73" s="83"/>
      <c r="AHT73" s="83"/>
      <c r="AHU73" s="83"/>
      <c r="AHV73" s="83"/>
      <c r="AHW73" s="83"/>
      <c r="AHX73" s="83"/>
      <c r="AHY73" s="83"/>
      <c r="AHZ73" s="83"/>
      <c r="AIA73" s="83"/>
      <c r="AIB73" s="83"/>
      <c r="AIC73" s="83"/>
      <c r="AID73" s="83"/>
      <c r="AIE73" s="83"/>
      <c r="AIF73" s="83"/>
      <c r="AIG73" s="83"/>
      <c r="AIH73" s="83"/>
      <c r="AII73" s="83"/>
      <c r="AIJ73" s="83"/>
      <c r="AIK73" s="83"/>
      <c r="AIL73" s="83"/>
      <c r="AIM73" s="83"/>
      <c r="AIN73" s="83"/>
      <c r="AIO73" s="83"/>
      <c r="AIP73" s="83"/>
      <c r="AIQ73" s="83"/>
      <c r="AIR73" s="83"/>
      <c r="AIS73" s="83"/>
      <c r="AIT73" s="83"/>
      <c r="AIU73" s="83"/>
      <c r="AIV73" s="83"/>
      <c r="AIW73" s="83"/>
      <c r="AIX73" s="83"/>
      <c r="AIY73" s="83"/>
      <c r="AIZ73" s="83"/>
      <c r="AJA73" s="83"/>
      <c r="AJB73" s="83"/>
      <c r="AJC73" s="83"/>
      <c r="AJD73" s="83"/>
      <c r="AJE73" s="83"/>
      <c r="AJF73" s="83"/>
      <c r="AJG73" s="83"/>
      <c r="AJH73" s="83"/>
      <c r="AJI73" s="83"/>
      <c r="AJJ73" s="83"/>
      <c r="AJK73" s="83"/>
      <c r="AJL73" s="83"/>
      <c r="AJM73" s="83"/>
      <c r="AJN73" s="83"/>
      <c r="AJO73" s="83"/>
      <c r="AJP73" s="83"/>
      <c r="AJQ73" s="83"/>
      <c r="AJR73" s="83"/>
      <c r="AJS73" s="83"/>
      <c r="AJT73" s="83"/>
      <c r="AJU73" s="83"/>
      <c r="AJV73" s="83"/>
      <c r="AJW73" s="83"/>
      <c r="AJX73" s="83"/>
      <c r="AJY73" s="83"/>
      <c r="AJZ73" s="83"/>
      <c r="AKA73" s="83"/>
      <c r="AKB73" s="83"/>
      <c r="AKC73" s="83"/>
      <c r="AKD73" s="83"/>
      <c r="AKE73" s="83"/>
      <c r="AKF73" s="83"/>
      <c r="AKG73" s="83"/>
      <c r="AKH73" s="83"/>
      <c r="AKI73" s="83"/>
      <c r="AKJ73" s="83"/>
      <c r="AKK73" s="83"/>
      <c r="AKL73" s="83"/>
      <c r="AKM73" s="83"/>
      <c r="AKN73" s="83"/>
      <c r="AKO73" s="83"/>
      <c r="AKP73" s="83"/>
      <c r="AKQ73" s="83"/>
      <c r="AKR73" s="83"/>
      <c r="AKS73" s="83"/>
      <c r="AKT73" s="83"/>
      <c r="AKU73" s="83"/>
      <c r="AKV73" s="83"/>
      <c r="AKW73" s="83"/>
      <c r="AKX73" s="83"/>
      <c r="AKY73" s="83"/>
      <c r="AKZ73" s="83"/>
      <c r="ALA73" s="83"/>
      <c r="ALB73" s="83"/>
      <c r="ALC73" s="83"/>
      <c r="ALD73" s="83"/>
      <c r="ALE73" s="83"/>
      <c r="ALF73" s="83"/>
      <c r="ALG73" s="83"/>
      <c r="ALH73" s="83"/>
      <c r="ALI73" s="83"/>
      <c r="ALJ73" s="83"/>
      <c r="ALK73" s="83"/>
      <c r="ALL73" s="83"/>
      <c r="ALM73" s="83"/>
      <c r="ALN73" s="83"/>
      <c r="ALO73" s="83"/>
      <c r="ALP73" s="83"/>
      <c r="ALQ73" s="83"/>
      <c r="ALR73" s="83"/>
      <c r="ALS73" s="83"/>
      <c r="ALT73" s="83"/>
      <c r="ALU73" s="83"/>
      <c r="ALV73" s="83"/>
      <c r="ALW73" s="83"/>
      <c r="ALX73" s="83"/>
      <c r="ALY73" s="83"/>
      <c r="ALZ73" s="83"/>
      <c r="AMA73" s="83"/>
      <c r="AMB73" s="83"/>
      <c r="AMC73" s="83"/>
      <c r="AMD73" s="83"/>
      <c r="AME73" s="83"/>
      <c r="AMF73" s="83"/>
      <c r="AMG73" s="83"/>
      <c r="AMH73" s="83"/>
      <c r="AMI73" s="83"/>
      <c r="AMJ73" s="83"/>
    </row>
    <row r="74" spans="12:1024" ht="15.95" customHeight="1" x14ac:dyDescent="0.2">
      <c r="L74" s="83"/>
      <c r="M74" s="84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  <c r="HZ74" s="83"/>
      <c r="IA74" s="83"/>
      <c r="IB74" s="83"/>
      <c r="IC74" s="83"/>
      <c r="ID74" s="83"/>
      <c r="IE74" s="83"/>
      <c r="IF74" s="83"/>
      <c r="IG74" s="83"/>
      <c r="IH74" s="83"/>
      <c r="II74" s="83"/>
      <c r="IJ74" s="83"/>
      <c r="IK74" s="83"/>
      <c r="IL74" s="83"/>
      <c r="IM74" s="83"/>
      <c r="IN74" s="83"/>
      <c r="IO74" s="83"/>
      <c r="IP74" s="83"/>
      <c r="IQ74" s="83"/>
      <c r="IR74" s="83"/>
      <c r="IS74" s="83"/>
      <c r="IT74" s="83"/>
      <c r="IU74" s="83"/>
      <c r="IV74" s="83"/>
      <c r="IW74" s="83"/>
      <c r="IX74" s="83"/>
      <c r="IY74" s="83"/>
      <c r="IZ74" s="83"/>
      <c r="JA74" s="83"/>
      <c r="JB74" s="83"/>
      <c r="JC74" s="83"/>
      <c r="JD74" s="83"/>
      <c r="JE74" s="83"/>
      <c r="JF74" s="83"/>
      <c r="JG74" s="83"/>
      <c r="JH74" s="83"/>
      <c r="JI74" s="83"/>
      <c r="JJ74" s="83"/>
      <c r="JK74" s="83"/>
      <c r="JL74" s="83"/>
      <c r="JM74" s="83"/>
      <c r="JN74" s="83"/>
      <c r="JO74" s="83"/>
      <c r="JP74" s="83"/>
      <c r="JQ74" s="83"/>
      <c r="JR74" s="83"/>
      <c r="JS74" s="83"/>
      <c r="JT74" s="83"/>
      <c r="JU74" s="83"/>
      <c r="JV74" s="83"/>
      <c r="JW74" s="83"/>
      <c r="JX74" s="83"/>
      <c r="JY74" s="83"/>
      <c r="JZ74" s="83"/>
      <c r="KA74" s="83"/>
      <c r="KB74" s="83"/>
      <c r="KC74" s="83"/>
      <c r="KD74" s="83"/>
      <c r="KE74" s="83"/>
      <c r="KF74" s="83"/>
      <c r="KG74" s="83"/>
      <c r="KH74" s="83"/>
      <c r="KI74" s="83"/>
      <c r="KJ74" s="83"/>
      <c r="KK74" s="83"/>
      <c r="KL74" s="83"/>
      <c r="KM74" s="83"/>
      <c r="KN74" s="83"/>
      <c r="KO74" s="83"/>
      <c r="KP74" s="83"/>
      <c r="KQ74" s="83"/>
      <c r="KR74" s="83"/>
      <c r="KS74" s="83"/>
      <c r="KT74" s="83"/>
      <c r="KU74" s="83"/>
      <c r="KV74" s="83"/>
      <c r="KW74" s="83"/>
      <c r="KX74" s="83"/>
      <c r="KY74" s="83"/>
      <c r="KZ74" s="83"/>
      <c r="LA74" s="83"/>
      <c r="LB74" s="83"/>
      <c r="LC74" s="83"/>
      <c r="LD74" s="83"/>
      <c r="LE74" s="83"/>
      <c r="LF74" s="83"/>
      <c r="LG74" s="83"/>
      <c r="LH74" s="83"/>
      <c r="LI74" s="83"/>
      <c r="LJ74" s="83"/>
      <c r="LK74" s="83"/>
      <c r="LL74" s="83"/>
      <c r="LM74" s="83"/>
      <c r="LN74" s="83"/>
      <c r="LO74" s="83"/>
      <c r="LP74" s="83"/>
      <c r="LQ74" s="83"/>
      <c r="LR74" s="83"/>
      <c r="LS74" s="83"/>
      <c r="LT74" s="83"/>
      <c r="LU74" s="83"/>
      <c r="LV74" s="83"/>
      <c r="LW74" s="83"/>
      <c r="LX74" s="83"/>
      <c r="LY74" s="83"/>
      <c r="LZ74" s="83"/>
      <c r="MA74" s="83"/>
      <c r="MB74" s="83"/>
      <c r="MC74" s="83"/>
      <c r="MD74" s="83"/>
      <c r="ME74" s="83"/>
      <c r="MF74" s="83"/>
      <c r="MG74" s="83"/>
      <c r="MH74" s="83"/>
      <c r="MI74" s="83"/>
      <c r="MJ74" s="83"/>
      <c r="MK74" s="83"/>
      <c r="ML74" s="83"/>
      <c r="MM74" s="83"/>
      <c r="MN74" s="83"/>
      <c r="MO74" s="83"/>
      <c r="MP74" s="83"/>
      <c r="MQ74" s="83"/>
      <c r="MR74" s="83"/>
      <c r="MS74" s="83"/>
      <c r="MT74" s="83"/>
      <c r="MU74" s="83"/>
      <c r="MV74" s="83"/>
      <c r="MW74" s="83"/>
      <c r="MX74" s="83"/>
      <c r="MY74" s="83"/>
      <c r="MZ74" s="83"/>
      <c r="NA74" s="83"/>
      <c r="NB74" s="83"/>
      <c r="NC74" s="83"/>
      <c r="ND74" s="83"/>
      <c r="NE74" s="83"/>
      <c r="NF74" s="83"/>
      <c r="NG74" s="83"/>
      <c r="NH74" s="83"/>
      <c r="NI74" s="83"/>
      <c r="NJ74" s="83"/>
      <c r="NK74" s="83"/>
      <c r="NL74" s="83"/>
      <c r="NM74" s="83"/>
      <c r="NN74" s="83"/>
      <c r="NO74" s="83"/>
      <c r="NP74" s="83"/>
      <c r="NQ74" s="83"/>
      <c r="NR74" s="83"/>
      <c r="NS74" s="83"/>
      <c r="NT74" s="83"/>
      <c r="NU74" s="83"/>
      <c r="NV74" s="83"/>
      <c r="NW74" s="83"/>
      <c r="NX74" s="83"/>
      <c r="NY74" s="83"/>
      <c r="NZ74" s="83"/>
      <c r="OA74" s="83"/>
      <c r="OB74" s="83"/>
      <c r="OC74" s="83"/>
      <c r="OD74" s="83"/>
      <c r="OE74" s="83"/>
      <c r="OF74" s="83"/>
      <c r="OG74" s="83"/>
      <c r="OH74" s="83"/>
      <c r="OI74" s="83"/>
      <c r="OJ74" s="83"/>
      <c r="OK74" s="83"/>
      <c r="OL74" s="83"/>
      <c r="OM74" s="83"/>
      <c r="ON74" s="83"/>
      <c r="OO74" s="83"/>
      <c r="OP74" s="83"/>
      <c r="OQ74" s="83"/>
      <c r="OR74" s="83"/>
      <c r="OS74" s="83"/>
      <c r="OT74" s="83"/>
      <c r="OU74" s="83"/>
      <c r="OV74" s="83"/>
      <c r="OW74" s="83"/>
      <c r="OX74" s="83"/>
      <c r="OY74" s="83"/>
      <c r="OZ74" s="83"/>
      <c r="PA74" s="83"/>
      <c r="PB74" s="83"/>
      <c r="PC74" s="83"/>
      <c r="PD74" s="83"/>
      <c r="PE74" s="83"/>
      <c r="PF74" s="83"/>
      <c r="PG74" s="83"/>
      <c r="PH74" s="83"/>
      <c r="PI74" s="83"/>
      <c r="PJ74" s="83"/>
      <c r="PK74" s="83"/>
      <c r="PL74" s="83"/>
      <c r="PM74" s="83"/>
      <c r="PN74" s="83"/>
      <c r="PO74" s="83"/>
      <c r="PP74" s="83"/>
      <c r="PQ74" s="83"/>
      <c r="PR74" s="83"/>
      <c r="PS74" s="83"/>
      <c r="PT74" s="83"/>
      <c r="PU74" s="83"/>
      <c r="PV74" s="83"/>
      <c r="PW74" s="83"/>
      <c r="PX74" s="83"/>
      <c r="PY74" s="83"/>
      <c r="PZ74" s="83"/>
      <c r="QA74" s="83"/>
      <c r="QB74" s="83"/>
      <c r="QC74" s="83"/>
      <c r="QD74" s="83"/>
      <c r="QE74" s="83"/>
      <c r="QF74" s="83"/>
      <c r="QG74" s="83"/>
      <c r="QH74" s="83"/>
      <c r="QI74" s="83"/>
      <c r="QJ74" s="83"/>
      <c r="QK74" s="83"/>
      <c r="QL74" s="83"/>
      <c r="QM74" s="83"/>
      <c r="QN74" s="83"/>
      <c r="QO74" s="83"/>
      <c r="QP74" s="83"/>
      <c r="QQ74" s="83"/>
      <c r="QR74" s="83"/>
      <c r="QS74" s="83"/>
      <c r="QT74" s="83"/>
      <c r="QU74" s="83"/>
      <c r="QV74" s="83"/>
      <c r="QW74" s="83"/>
      <c r="QX74" s="83"/>
      <c r="QY74" s="83"/>
      <c r="QZ74" s="83"/>
      <c r="RA74" s="83"/>
      <c r="RB74" s="83"/>
      <c r="RC74" s="83"/>
      <c r="RD74" s="83"/>
      <c r="RE74" s="83"/>
      <c r="RF74" s="83"/>
      <c r="RG74" s="83"/>
      <c r="RH74" s="83"/>
      <c r="RI74" s="83"/>
      <c r="RJ74" s="83"/>
      <c r="RK74" s="83"/>
      <c r="RL74" s="83"/>
      <c r="RM74" s="83"/>
      <c r="RN74" s="83"/>
      <c r="RO74" s="83"/>
      <c r="RP74" s="83"/>
      <c r="RQ74" s="83"/>
      <c r="RR74" s="83"/>
      <c r="RS74" s="83"/>
      <c r="RT74" s="83"/>
      <c r="RU74" s="83"/>
      <c r="RV74" s="83"/>
      <c r="RW74" s="83"/>
      <c r="RX74" s="83"/>
      <c r="RY74" s="83"/>
      <c r="RZ74" s="83"/>
      <c r="SA74" s="83"/>
      <c r="SB74" s="83"/>
      <c r="SC74" s="83"/>
      <c r="SD74" s="83"/>
      <c r="SE74" s="83"/>
      <c r="SF74" s="83"/>
      <c r="SG74" s="83"/>
      <c r="SH74" s="83"/>
      <c r="SI74" s="83"/>
      <c r="SJ74" s="83"/>
      <c r="SK74" s="83"/>
      <c r="SL74" s="83"/>
      <c r="SM74" s="83"/>
      <c r="SN74" s="83"/>
      <c r="SO74" s="83"/>
      <c r="SP74" s="83"/>
      <c r="SQ74" s="83"/>
      <c r="SR74" s="83"/>
      <c r="SS74" s="83"/>
      <c r="ST74" s="83"/>
      <c r="SU74" s="83"/>
      <c r="SV74" s="83"/>
      <c r="SW74" s="83"/>
      <c r="SX74" s="83"/>
      <c r="SY74" s="83"/>
      <c r="SZ74" s="83"/>
      <c r="TA74" s="83"/>
      <c r="TB74" s="83"/>
      <c r="TC74" s="83"/>
      <c r="TD74" s="83"/>
      <c r="TE74" s="83"/>
      <c r="TF74" s="83"/>
      <c r="TG74" s="83"/>
      <c r="TH74" s="83"/>
      <c r="TI74" s="83"/>
      <c r="TJ74" s="83"/>
      <c r="TK74" s="83"/>
      <c r="TL74" s="83"/>
      <c r="TM74" s="83"/>
      <c r="TN74" s="83"/>
      <c r="TO74" s="83"/>
      <c r="TP74" s="83"/>
      <c r="TQ74" s="83"/>
      <c r="TR74" s="83"/>
      <c r="TS74" s="83"/>
      <c r="TT74" s="83"/>
      <c r="TU74" s="83"/>
      <c r="TV74" s="83"/>
      <c r="TW74" s="83"/>
      <c r="TX74" s="83"/>
      <c r="TY74" s="83"/>
      <c r="TZ74" s="83"/>
      <c r="UA74" s="83"/>
      <c r="UB74" s="83"/>
      <c r="UC74" s="83"/>
      <c r="UD74" s="83"/>
      <c r="UE74" s="83"/>
      <c r="UF74" s="83"/>
      <c r="UG74" s="83"/>
      <c r="UH74" s="83"/>
      <c r="UI74" s="83"/>
      <c r="UJ74" s="83"/>
      <c r="UK74" s="83"/>
      <c r="UL74" s="83"/>
      <c r="UM74" s="83"/>
      <c r="UN74" s="83"/>
      <c r="UO74" s="83"/>
      <c r="UP74" s="83"/>
      <c r="UQ74" s="83"/>
      <c r="UR74" s="83"/>
      <c r="US74" s="83"/>
      <c r="UT74" s="83"/>
      <c r="UU74" s="83"/>
      <c r="UV74" s="83"/>
      <c r="UW74" s="83"/>
      <c r="UX74" s="83"/>
      <c r="UY74" s="83"/>
      <c r="UZ74" s="83"/>
      <c r="VA74" s="83"/>
      <c r="VB74" s="83"/>
      <c r="VC74" s="83"/>
      <c r="VD74" s="83"/>
      <c r="VE74" s="83"/>
      <c r="VF74" s="83"/>
      <c r="VG74" s="83"/>
      <c r="VH74" s="83"/>
      <c r="VI74" s="83"/>
      <c r="VJ74" s="83"/>
      <c r="VK74" s="83"/>
      <c r="VL74" s="83"/>
      <c r="VM74" s="83"/>
      <c r="VN74" s="83"/>
      <c r="VO74" s="83"/>
      <c r="VP74" s="83"/>
      <c r="VQ74" s="83"/>
      <c r="VR74" s="83"/>
      <c r="VS74" s="83"/>
      <c r="VT74" s="83"/>
      <c r="VU74" s="83"/>
      <c r="VV74" s="83"/>
      <c r="VW74" s="83"/>
      <c r="VX74" s="83"/>
      <c r="VY74" s="83"/>
      <c r="VZ74" s="83"/>
      <c r="WA74" s="83"/>
      <c r="WB74" s="83"/>
      <c r="WC74" s="83"/>
      <c r="WD74" s="83"/>
      <c r="WE74" s="83"/>
      <c r="WF74" s="83"/>
      <c r="WG74" s="83"/>
      <c r="WH74" s="83"/>
      <c r="WI74" s="83"/>
      <c r="WJ74" s="83"/>
      <c r="WK74" s="83"/>
      <c r="WL74" s="83"/>
      <c r="WM74" s="83"/>
      <c r="WN74" s="83"/>
      <c r="WO74" s="83"/>
      <c r="WP74" s="83"/>
      <c r="WQ74" s="83"/>
      <c r="WR74" s="83"/>
      <c r="WS74" s="83"/>
      <c r="WT74" s="83"/>
      <c r="WU74" s="83"/>
      <c r="WV74" s="83"/>
      <c r="WW74" s="83"/>
      <c r="WX74" s="83"/>
      <c r="WY74" s="83"/>
      <c r="WZ74" s="83"/>
      <c r="XA74" s="83"/>
      <c r="XB74" s="83"/>
      <c r="XC74" s="83"/>
      <c r="XD74" s="83"/>
      <c r="XE74" s="83"/>
      <c r="XF74" s="83"/>
      <c r="XG74" s="83"/>
      <c r="XH74" s="83"/>
      <c r="XI74" s="83"/>
      <c r="XJ74" s="83"/>
      <c r="XK74" s="83"/>
      <c r="XL74" s="83"/>
      <c r="XM74" s="83"/>
      <c r="XN74" s="83"/>
      <c r="XO74" s="83"/>
      <c r="XP74" s="83"/>
      <c r="XQ74" s="83"/>
      <c r="XR74" s="83"/>
      <c r="XS74" s="83"/>
      <c r="XT74" s="83"/>
      <c r="XU74" s="83"/>
      <c r="XV74" s="83"/>
      <c r="XW74" s="83"/>
      <c r="XX74" s="83"/>
      <c r="XY74" s="83"/>
      <c r="XZ74" s="83"/>
      <c r="YA74" s="83"/>
      <c r="YB74" s="83"/>
      <c r="YC74" s="83"/>
      <c r="YD74" s="83"/>
      <c r="YE74" s="83"/>
      <c r="YF74" s="83"/>
      <c r="YG74" s="83"/>
      <c r="YH74" s="83"/>
      <c r="YI74" s="83"/>
      <c r="YJ74" s="83"/>
      <c r="YK74" s="83"/>
      <c r="YL74" s="83"/>
      <c r="YM74" s="83"/>
      <c r="YN74" s="83"/>
      <c r="YO74" s="83"/>
      <c r="YP74" s="83"/>
      <c r="YQ74" s="83"/>
      <c r="YR74" s="83"/>
      <c r="YS74" s="83"/>
      <c r="YT74" s="83"/>
      <c r="YU74" s="83"/>
      <c r="YV74" s="83"/>
      <c r="YW74" s="83"/>
      <c r="YX74" s="83"/>
      <c r="YY74" s="83"/>
      <c r="YZ74" s="83"/>
      <c r="ZA74" s="83"/>
      <c r="ZB74" s="83"/>
      <c r="ZC74" s="83"/>
      <c r="ZD74" s="83"/>
      <c r="ZE74" s="83"/>
      <c r="ZF74" s="83"/>
      <c r="ZG74" s="83"/>
      <c r="ZH74" s="83"/>
      <c r="ZI74" s="83"/>
      <c r="ZJ74" s="83"/>
      <c r="ZK74" s="83"/>
      <c r="ZL74" s="83"/>
      <c r="ZM74" s="83"/>
      <c r="ZN74" s="83"/>
      <c r="ZO74" s="83"/>
      <c r="ZP74" s="83"/>
      <c r="ZQ74" s="83"/>
      <c r="ZR74" s="83"/>
      <c r="ZS74" s="83"/>
      <c r="ZT74" s="83"/>
      <c r="ZU74" s="83"/>
      <c r="ZV74" s="83"/>
      <c r="ZW74" s="83"/>
      <c r="ZX74" s="83"/>
      <c r="ZY74" s="83"/>
      <c r="ZZ74" s="83"/>
      <c r="AAA74" s="83"/>
      <c r="AAB74" s="83"/>
      <c r="AAC74" s="83"/>
      <c r="AAD74" s="83"/>
      <c r="AAE74" s="83"/>
      <c r="AAF74" s="83"/>
      <c r="AAG74" s="83"/>
      <c r="AAH74" s="83"/>
      <c r="AAI74" s="83"/>
      <c r="AAJ74" s="83"/>
      <c r="AAK74" s="83"/>
      <c r="AAL74" s="83"/>
      <c r="AAM74" s="83"/>
      <c r="AAN74" s="83"/>
      <c r="AAO74" s="83"/>
      <c r="AAP74" s="83"/>
      <c r="AAQ74" s="83"/>
      <c r="AAR74" s="83"/>
      <c r="AAS74" s="83"/>
      <c r="AAT74" s="83"/>
      <c r="AAU74" s="83"/>
      <c r="AAV74" s="83"/>
      <c r="AAW74" s="83"/>
      <c r="AAX74" s="83"/>
      <c r="AAY74" s="83"/>
      <c r="AAZ74" s="83"/>
      <c r="ABA74" s="83"/>
      <c r="ABB74" s="83"/>
      <c r="ABC74" s="83"/>
      <c r="ABD74" s="83"/>
      <c r="ABE74" s="83"/>
      <c r="ABF74" s="83"/>
      <c r="ABG74" s="83"/>
      <c r="ABH74" s="83"/>
      <c r="ABI74" s="83"/>
      <c r="ABJ74" s="83"/>
      <c r="ABK74" s="83"/>
      <c r="ABL74" s="83"/>
      <c r="ABM74" s="83"/>
      <c r="ABN74" s="83"/>
      <c r="ABO74" s="83"/>
      <c r="ABP74" s="83"/>
      <c r="ABQ74" s="83"/>
      <c r="ABR74" s="83"/>
      <c r="ABS74" s="83"/>
      <c r="ABT74" s="83"/>
      <c r="ABU74" s="83"/>
      <c r="ABV74" s="83"/>
      <c r="ABW74" s="83"/>
      <c r="ABX74" s="83"/>
      <c r="ABY74" s="83"/>
      <c r="ABZ74" s="83"/>
      <c r="ACA74" s="83"/>
      <c r="ACB74" s="83"/>
      <c r="ACC74" s="83"/>
      <c r="ACD74" s="83"/>
      <c r="ACE74" s="83"/>
      <c r="ACF74" s="83"/>
      <c r="ACG74" s="83"/>
      <c r="ACH74" s="83"/>
      <c r="ACI74" s="83"/>
      <c r="ACJ74" s="83"/>
      <c r="ACK74" s="83"/>
      <c r="ACL74" s="83"/>
      <c r="ACM74" s="83"/>
      <c r="ACN74" s="83"/>
      <c r="ACO74" s="83"/>
      <c r="ACP74" s="83"/>
      <c r="ACQ74" s="83"/>
      <c r="ACR74" s="83"/>
      <c r="ACS74" s="83"/>
      <c r="ACT74" s="83"/>
      <c r="ACU74" s="83"/>
      <c r="ACV74" s="83"/>
      <c r="ACW74" s="83"/>
      <c r="ACX74" s="83"/>
      <c r="ACY74" s="83"/>
      <c r="ACZ74" s="83"/>
      <c r="ADA74" s="83"/>
      <c r="ADB74" s="83"/>
      <c r="ADC74" s="83"/>
      <c r="ADD74" s="83"/>
      <c r="ADE74" s="83"/>
      <c r="ADF74" s="83"/>
      <c r="ADG74" s="83"/>
      <c r="ADH74" s="83"/>
      <c r="ADI74" s="83"/>
      <c r="ADJ74" s="83"/>
      <c r="ADK74" s="83"/>
      <c r="ADL74" s="83"/>
      <c r="ADM74" s="83"/>
      <c r="ADN74" s="83"/>
      <c r="ADO74" s="83"/>
      <c r="ADP74" s="83"/>
      <c r="ADQ74" s="83"/>
      <c r="ADR74" s="83"/>
      <c r="ADS74" s="83"/>
      <c r="ADT74" s="83"/>
      <c r="ADU74" s="83"/>
      <c r="ADV74" s="83"/>
      <c r="ADW74" s="83"/>
      <c r="ADX74" s="83"/>
      <c r="ADY74" s="83"/>
      <c r="ADZ74" s="83"/>
      <c r="AEA74" s="83"/>
      <c r="AEB74" s="83"/>
      <c r="AEC74" s="83"/>
      <c r="AED74" s="83"/>
      <c r="AEE74" s="83"/>
      <c r="AEF74" s="83"/>
      <c r="AEG74" s="83"/>
      <c r="AEH74" s="83"/>
      <c r="AEI74" s="83"/>
      <c r="AEJ74" s="83"/>
      <c r="AEK74" s="83"/>
      <c r="AEL74" s="83"/>
      <c r="AEM74" s="83"/>
      <c r="AEN74" s="83"/>
      <c r="AEO74" s="83"/>
      <c r="AEP74" s="83"/>
      <c r="AEQ74" s="83"/>
      <c r="AER74" s="83"/>
      <c r="AES74" s="83"/>
      <c r="AET74" s="83"/>
      <c r="AEU74" s="83"/>
      <c r="AEV74" s="83"/>
      <c r="AEW74" s="83"/>
      <c r="AEX74" s="83"/>
      <c r="AEY74" s="83"/>
      <c r="AEZ74" s="83"/>
      <c r="AFA74" s="83"/>
      <c r="AFB74" s="83"/>
      <c r="AFC74" s="83"/>
      <c r="AFD74" s="83"/>
      <c r="AFE74" s="83"/>
      <c r="AFF74" s="83"/>
      <c r="AFG74" s="83"/>
      <c r="AFH74" s="83"/>
      <c r="AFI74" s="83"/>
      <c r="AFJ74" s="83"/>
      <c r="AFK74" s="83"/>
      <c r="AFL74" s="83"/>
      <c r="AFM74" s="83"/>
      <c r="AFN74" s="83"/>
      <c r="AFO74" s="83"/>
      <c r="AFP74" s="83"/>
      <c r="AFQ74" s="83"/>
      <c r="AFR74" s="83"/>
      <c r="AFS74" s="83"/>
      <c r="AFT74" s="83"/>
      <c r="AFU74" s="83"/>
      <c r="AFV74" s="83"/>
      <c r="AFW74" s="83"/>
      <c r="AFX74" s="83"/>
      <c r="AFY74" s="83"/>
      <c r="AFZ74" s="83"/>
      <c r="AGA74" s="83"/>
      <c r="AGB74" s="83"/>
      <c r="AGC74" s="83"/>
      <c r="AGD74" s="83"/>
      <c r="AGE74" s="83"/>
      <c r="AGF74" s="83"/>
      <c r="AGG74" s="83"/>
      <c r="AGH74" s="83"/>
      <c r="AGI74" s="83"/>
      <c r="AGJ74" s="83"/>
      <c r="AGK74" s="83"/>
      <c r="AGL74" s="83"/>
      <c r="AGM74" s="83"/>
      <c r="AGN74" s="83"/>
      <c r="AGO74" s="83"/>
      <c r="AGP74" s="83"/>
      <c r="AGQ74" s="83"/>
      <c r="AGR74" s="83"/>
      <c r="AGS74" s="83"/>
      <c r="AGT74" s="83"/>
      <c r="AGU74" s="83"/>
      <c r="AGV74" s="83"/>
      <c r="AGW74" s="83"/>
      <c r="AGX74" s="83"/>
      <c r="AGY74" s="83"/>
      <c r="AGZ74" s="83"/>
      <c r="AHA74" s="83"/>
      <c r="AHB74" s="83"/>
      <c r="AHC74" s="83"/>
      <c r="AHD74" s="83"/>
      <c r="AHE74" s="83"/>
      <c r="AHF74" s="83"/>
      <c r="AHG74" s="83"/>
      <c r="AHH74" s="83"/>
      <c r="AHI74" s="83"/>
      <c r="AHJ74" s="83"/>
      <c r="AHK74" s="83"/>
      <c r="AHL74" s="83"/>
      <c r="AHM74" s="83"/>
      <c r="AHN74" s="83"/>
      <c r="AHO74" s="83"/>
      <c r="AHP74" s="83"/>
      <c r="AHQ74" s="83"/>
      <c r="AHR74" s="83"/>
      <c r="AHS74" s="83"/>
      <c r="AHT74" s="83"/>
      <c r="AHU74" s="83"/>
      <c r="AHV74" s="83"/>
      <c r="AHW74" s="83"/>
      <c r="AHX74" s="83"/>
      <c r="AHY74" s="83"/>
      <c r="AHZ74" s="83"/>
      <c r="AIA74" s="83"/>
      <c r="AIB74" s="83"/>
      <c r="AIC74" s="83"/>
      <c r="AID74" s="83"/>
      <c r="AIE74" s="83"/>
      <c r="AIF74" s="83"/>
      <c r="AIG74" s="83"/>
      <c r="AIH74" s="83"/>
      <c r="AII74" s="83"/>
      <c r="AIJ74" s="83"/>
      <c r="AIK74" s="83"/>
      <c r="AIL74" s="83"/>
      <c r="AIM74" s="83"/>
      <c r="AIN74" s="83"/>
      <c r="AIO74" s="83"/>
      <c r="AIP74" s="83"/>
      <c r="AIQ74" s="83"/>
      <c r="AIR74" s="83"/>
      <c r="AIS74" s="83"/>
      <c r="AIT74" s="83"/>
      <c r="AIU74" s="83"/>
      <c r="AIV74" s="83"/>
      <c r="AIW74" s="83"/>
      <c r="AIX74" s="83"/>
      <c r="AIY74" s="83"/>
      <c r="AIZ74" s="83"/>
      <c r="AJA74" s="83"/>
      <c r="AJB74" s="83"/>
      <c r="AJC74" s="83"/>
      <c r="AJD74" s="83"/>
      <c r="AJE74" s="83"/>
      <c r="AJF74" s="83"/>
      <c r="AJG74" s="83"/>
      <c r="AJH74" s="83"/>
      <c r="AJI74" s="83"/>
      <c r="AJJ74" s="83"/>
      <c r="AJK74" s="83"/>
      <c r="AJL74" s="83"/>
      <c r="AJM74" s="83"/>
      <c r="AJN74" s="83"/>
      <c r="AJO74" s="83"/>
      <c r="AJP74" s="83"/>
      <c r="AJQ74" s="83"/>
      <c r="AJR74" s="83"/>
      <c r="AJS74" s="83"/>
      <c r="AJT74" s="83"/>
      <c r="AJU74" s="83"/>
      <c r="AJV74" s="83"/>
      <c r="AJW74" s="83"/>
      <c r="AJX74" s="83"/>
      <c r="AJY74" s="83"/>
      <c r="AJZ74" s="83"/>
      <c r="AKA74" s="83"/>
      <c r="AKB74" s="83"/>
      <c r="AKC74" s="83"/>
      <c r="AKD74" s="83"/>
      <c r="AKE74" s="83"/>
      <c r="AKF74" s="83"/>
      <c r="AKG74" s="83"/>
      <c r="AKH74" s="83"/>
      <c r="AKI74" s="83"/>
      <c r="AKJ74" s="83"/>
      <c r="AKK74" s="83"/>
      <c r="AKL74" s="83"/>
      <c r="AKM74" s="83"/>
      <c r="AKN74" s="83"/>
      <c r="AKO74" s="83"/>
      <c r="AKP74" s="83"/>
      <c r="AKQ74" s="83"/>
      <c r="AKR74" s="83"/>
      <c r="AKS74" s="83"/>
      <c r="AKT74" s="83"/>
      <c r="AKU74" s="83"/>
      <c r="AKV74" s="83"/>
      <c r="AKW74" s="83"/>
      <c r="AKX74" s="83"/>
      <c r="AKY74" s="83"/>
      <c r="AKZ74" s="83"/>
      <c r="ALA74" s="83"/>
      <c r="ALB74" s="83"/>
      <c r="ALC74" s="83"/>
      <c r="ALD74" s="83"/>
      <c r="ALE74" s="83"/>
      <c r="ALF74" s="83"/>
      <c r="ALG74" s="83"/>
      <c r="ALH74" s="83"/>
      <c r="ALI74" s="83"/>
      <c r="ALJ74" s="83"/>
      <c r="ALK74" s="83"/>
      <c r="ALL74" s="83"/>
      <c r="ALM74" s="83"/>
      <c r="ALN74" s="83"/>
      <c r="ALO74" s="83"/>
      <c r="ALP74" s="83"/>
      <c r="ALQ74" s="83"/>
      <c r="ALR74" s="83"/>
      <c r="ALS74" s="83"/>
      <c r="ALT74" s="83"/>
      <c r="ALU74" s="83"/>
      <c r="ALV74" s="83"/>
      <c r="ALW74" s="83"/>
      <c r="ALX74" s="83"/>
      <c r="ALY74" s="83"/>
      <c r="ALZ74" s="83"/>
      <c r="AMA74" s="83"/>
      <c r="AMB74" s="83"/>
      <c r="AMC74" s="83"/>
      <c r="AMD74" s="83"/>
      <c r="AME74" s="83"/>
      <c r="AMF74" s="83"/>
      <c r="AMG74" s="83"/>
      <c r="AMH74" s="83"/>
      <c r="AMI74" s="83"/>
      <c r="AMJ74" s="83"/>
    </row>
    <row r="75" spans="12:1024" ht="15.95" customHeight="1" x14ac:dyDescent="0.2">
      <c r="L75" s="83"/>
      <c r="M75" s="84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  <c r="FU75" s="83"/>
      <c r="FV75" s="83"/>
      <c r="FW75" s="83"/>
      <c r="FX75" s="83"/>
      <c r="FY75" s="83"/>
      <c r="FZ75" s="83"/>
      <c r="GA75" s="83"/>
      <c r="GB75" s="83"/>
      <c r="GC75" s="83"/>
      <c r="GD75" s="83"/>
      <c r="GE75" s="83"/>
      <c r="GF75" s="83"/>
      <c r="GG75" s="83"/>
      <c r="GH75" s="83"/>
      <c r="GI75" s="83"/>
      <c r="GJ75" s="83"/>
      <c r="GK75" s="83"/>
      <c r="GL75" s="83"/>
      <c r="GM75" s="83"/>
      <c r="GN75" s="83"/>
      <c r="GO75" s="83"/>
      <c r="GP75" s="83"/>
      <c r="GQ75" s="83"/>
      <c r="GR75" s="83"/>
      <c r="GS75" s="83"/>
      <c r="GT75" s="83"/>
      <c r="GU75" s="83"/>
      <c r="GV75" s="83"/>
      <c r="GW75" s="83"/>
      <c r="GX75" s="83"/>
      <c r="GY75" s="83"/>
      <c r="GZ75" s="83"/>
      <c r="HA75" s="83"/>
      <c r="HB75" s="83"/>
      <c r="HC75" s="83"/>
      <c r="HD75" s="83"/>
      <c r="HE75" s="83"/>
      <c r="HF75" s="83"/>
      <c r="HG75" s="83"/>
      <c r="HH75" s="83"/>
      <c r="HI75" s="83"/>
      <c r="HJ75" s="83"/>
      <c r="HK75" s="83"/>
      <c r="HL75" s="83"/>
      <c r="HM75" s="83"/>
      <c r="HN75" s="83"/>
      <c r="HO75" s="83"/>
      <c r="HP75" s="83"/>
      <c r="HQ75" s="83"/>
      <c r="HR75" s="83"/>
      <c r="HS75" s="83"/>
      <c r="HT75" s="83"/>
      <c r="HU75" s="83"/>
      <c r="HV75" s="83"/>
      <c r="HW75" s="83"/>
      <c r="HX75" s="83"/>
      <c r="HY75" s="83"/>
      <c r="HZ75" s="83"/>
      <c r="IA75" s="83"/>
      <c r="IB75" s="83"/>
      <c r="IC75" s="83"/>
      <c r="ID75" s="83"/>
      <c r="IE75" s="83"/>
      <c r="IF75" s="83"/>
      <c r="IG75" s="83"/>
      <c r="IH75" s="83"/>
      <c r="II75" s="83"/>
      <c r="IJ75" s="83"/>
      <c r="IK75" s="83"/>
      <c r="IL75" s="83"/>
      <c r="IM75" s="83"/>
      <c r="IN75" s="83"/>
      <c r="IO75" s="83"/>
      <c r="IP75" s="83"/>
      <c r="IQ75" s="83"/>
      <c r="IR75" s="83"/>
      <c r="IS75" s="83"/>
      <c r="IT75" s="83"/>
      <c r="IU75" s="83"/>
      <c r="IV75" s="83"/>
      <c r="IW75" s="83"/>
      <c r="IX75" s="83"/>
      <c r="IY75" s="83"/>
      <c r="IZ75" s="83"/>
      <c r="JA75" s="83"/>
      <c r="JB75" s="83"/>
      <c r="JC75" s="83"/>
      <c r="JD75" s="83"/>
      <c r="JE75" s="83"/>
      <c r="JF75" s="83"/>
      <c r="JG75" s="83"/>
      <c r="JH75" s="83"/>
      <c r="JI75" s="83"/>
      <c r="JJ75" s="83"/>
      <c r="JK75" s="83"/>
      <c r="JL75" s="83"/>
      <c r="JM75" s="83"/>
      <c r="JN75" s="83"/>
      <c r="JO75" s="83"/>
      <c r="JP75" s="83"/>
      <c r="JQ75" s="83"/>
      <c r="JR75" s="83"/>
      <c r="JS75" s="83"/>
      <c r="JT75" s="83"/>
      <c r="JU75" s="83"/>
      <c r="JV75" s="83"/>
      <c r="JW75" s="83"/>
      <c r="JX75" s="83"/>
      <c r="JY75" s="83"/>
      <c r="JZ75" s="83"/>
      <c r="KA75" s="83"/>
      <c r="KB75" s="83"/>
      <c r="KC75" s="83"/>
      <c r="KD75" s="83"/>
      <c r="KE75" s="83"/>
      <c r="KF75" s="83"/>
      <c r="KG75" s="83"/>
      <c r="KH75" s="83"/>
      <c r="KI75" s="83"/>
      <c r="KJ75" s="83"/>
      <c r="KK75" s="83"/>
      <c r="KL75" s="83"/>
      <c r="KM75" s="83"/>
      <c r="KN75" s="83"/>
      <c r="KO75" s="83"/>
      <c r="KP75" s="83"/>
      <c r="KQ75" s="83"/>
      <c r="KR75" s="83"/>
      <c r="KS75" s="83"/>
      <c r="KT75" s="83"/>
      <c r="KU75" s="83"/>
      <c r="KV75" s="83"/>
      <c r="KW75" s="83"/>
      <c r="KX75" s="83"/>
      <c r="KY75" s="83"/>
      <c r="KZ75" s="83"/>
      <c r="LA75" s="83"/>
      <c r="LB75" s="83"/>
      <c r="LC75" s="83"/>
      <c r="LD75" s="83"/>
      <c r="LE75" s="83"/>
      <c r="LF75" s="83"/>
      <c r="LG75" s="83"/>
      <c r="LH75" s="83"/>
      <c r="LI75" s="83"/>
      <c r="LJ75" s="83"/>
      <c r="LK75" s="83"/>
      <c r="LL75" s="83"/>
      <c r="LM75" s="83"/>
      <c r="LN75" s="83"/>
      <c r="LO75" s="83"/>
      <c r="LP75" s="83"/>
      <c r="LQ75" s="83"/>
      <c r="LR75" s="83"/>
      <c r="LS75" s="83"/>
      <c r="LT75" s="83"/>
      <c r="LU75" s="83"/>
      <c r="LV75" s="83"/>
      <c r="LW75" s="83"/>
      <c r="LX75" s="83"/>
      <c r="LY75" s="83"/>
      <c r="LZ75" s="83"/>
      <c r="MA75" s="83"/>
      <c r="MB75" s="83"/>
      <c r="MC75" s="83"/>
      <c r="MD75" s="83"/>
      <c r="ME75" s="83"/>
      <c r="MF75" s="83"/>
      <c r="MG75" s="83"/>
      <c r="MH75" s="83"/>
      <c r="MI75" s="83"/>
      <c r="MJ75" s="83"/>
      <c r="MK75" s="83"/>
      <c r="ML75" s="83"/>
      <c r="MM75" s="83"/>
      <c r="MN75" s="83"/>
      <c r="MO75" s="83"/>
      <c r="MP75" s="83"/>
      <c r="MQ75" s="83"/>
      <c r="MR75" s="83"/>
      <c r="MS75" s="83"/>
      <c r="MT75" s="83"/>
      <c r="MU75" s="83"/>
      <c r="MV75" s="83"/>
      <c r="MW75" s="83"/>
      <c r="MX75" s="83"/>
      <c r="MY75" s="83"/>
      <c r="MZ75" s="83"/>
      <c r="NA75" s="83"/>
      <c r="NB75" s="83"/>
      <c r="NC75" s="83"/>
      <c r="ND75" s="83"/>
      <c r="NE75" s="83"/>
      <c r="NF75" s="83"/>
      <c r="NG75" s="83"/>
      <c r="NH75" s="83"/>
      <c r="NI75" s="83"/>
      <c r="NJ75" s="83"/>
      <c r="NK75" s="83"/>
      <c r="NL75" s="83"/>
      <c r="NM75" s="83"/>
      <c r="NN75" s="83"/>
      <c r="NO75" s="83"/>
      <c r="NP75" s="83"/>
      <c r="NQ75" s="83"/>
      <c r="NR75" s="83"/>
      <c r="NS75" s="83"/>
      <c r="NT75" s="83"/>
      <c r="NU75" s="83"/>
      <c r="NV75" s="83"/>
      <c r="NW75" s="83"/>
      <c r="NX75" s="83"/>
      <c r="NY75" s="83"/>
      <c r="NZ75" s="83"/>
      <c r="OA75" s="83"/>
      <c r="OB75" s="83"/>
      <c r="OC75" s="83"/>
      <c r="OD75" s="83"/>
      <c r="OE75" s="83"/>
      <c r="OF75" s="83"/>
      <c r="OG75" s="83"/>
      <c r="OH75" s="83"/>
      <c r="OI75" s="83"/>
      <c r="OJ75" s="83"/>
      <c r="OK75" s="83"/>
      <c r="OL75" s="83"/>
      <c r="OM75" s="83"/>
      <c r="ON75" s="83"/>
      <c r="OO75" s="83"/>
      <c r="OP75" s="83"/>
      <c r="OQ75" s="83"/>
      <c r="OR75" s="83"/>
      <c r="OS75" s="83"/>
      <c r="OT75" s="83"/>
      <c r="OU75" s="83"/>
      <c r="OV75" s="83"/>
      <c r="OW75" s="83"/>
      <c r="OX75" s="83"/>
      <c r="OY75" s="83"/>
      <c r="OZ75" s="83"/>
      <c r="PA75" s="83"/>
      <c r="PB75" s="83"/>
      <c r="PC75" s="83"/>
      <c r="PD75" s="83"/>
      <c r="PE75" s="83"/>
      <c r="PF75" s="83"/>
      <c r="PG75" s="83"/>
      <c r="PH75" s="83"/>
      <c r="PI75" s="83"/>
      <c r="PJ75" s="83"/>
      <c r="PK75" s="83"/>
      <c r="PL75" s="83"/>
      <c r="PM75" s="83"/>
      <c r="PN75" s="83"/>
      <c r="PO75" s="83"/>
      <c r="PP75" s="83"/>
      <c r="PQ75" s="83"/>
      <c r="PR75" s="83"/>
      <c r="PS75" s="83"/>
      <c r="PT75" s="83"/>
      <c r="PU75" s="83"/>
      <c r="PV75" s="83"/>
      <c r="PW75" s="83"/>
      <c r="PX75" s="83"/>
      <c r="PY75" s="83"/>
      <c r="PZ75" s="83"/>
      <c r="QA75" s="83"/>
      <c r="QB75" s="83"/>
      <c r="QC75" s="83"/>
      <c r="QD75" s="83"/>
      <c r="QE75" s="83"/>
      <c r="QF75" s="83"/>
      <c r="QG75" s="83"/>
      <c r="QH75" s="83"/>
      <c r="QI75" s="83"/>
      <c r="QJ75" s="83"/>
      <c r="QK75" s="83"/>
      <c r="QL75" s="83"/>
      <c r="QM75" s="83"/>
      <c r="QN75" s="83"/>
      <c r="QO75" s="83"/>
      <c r="QP75" s="83"/>
      <c r="QQ75" s="83"/>
      <c r="QR75" s="83"/>
      <c r="QS75" s="83"/>
      <c r="QT75" s="83"/>
      <c r="QU75" s="83"/>
      <c r="QV75" s="83"/>
      <c r="QW75" s="83"/>
      <c r="QX75" s="83"/>
      <c r="QY75" s="83"/>
      <c r="QZ75" s="83"/>
      <c r="RA75" s="83"/>
      <c r="RB75" s="83"/>
      <c r="RC75" s="83"/>
      <c r="RD75" s="83"/>
      <c r="RE75" s="83"/>
      <c r="RF75" s="83"/>
      <c r="RG75" s="83"/>
      <c r="RH75" s="83"/>
      <c r="RI75" s="83"/>
      <c r="RJ75" s="83"/>
      <c r="RK75" s="83"/>
      <c r="RL75" s="83"/>
      <c r="RM75" s="83"/>
      <c r="RN75" s="83"/>
      <c r="RO75" s="83"/>
      <c r="RP75" s="83"/>
      <c r="RQ75" s="83"/>
      <c r="RR75" s="83"/>
      <c r="RS75" s="83"/>
      <c r="RT75" s="83"/>
      <c r="RU75" s="83"/>
      <c r="RV75" s="83"/>
      <c r="RW75" s="83"/>
      <c r="RX75" s="83"/>
      <c r="RY75" s="83"/>
      <c r="RZ75" s="83"/>
      <c r="SA75" s="83"/>
      <c r="SB75" s="83"/>
      <c r="SC75" s="83"/>
      <c r="SD75" s="83"/>
      <c r="SE75" s="83"/>
      <c r="SF75" s="83"/>
      <c r="SG75" s="83"/>
      <c r="SH75" s="83"/>
      <c r="SI75" s="83"/>
      <c r="SJ75" s="83"/>
      <c r="SK75" s="83"/>
      <c r="SL75" s="83"/>
      <c r="SM75" s="83"/>
      <c r="SN75" s="83"/>
      <c r="SO75" s="83"/>
      <c r="SP75" s="83"/>
      <c r="SQ75" s="83"/>
      <c r="SR75" s="83"/>
      <c r="SS75" s="83"/>
      <c r="ST75" s="83"/>
      <c r="SU75" s="83"/>
      <c r="SV75" s="83"/>
      <c r="SW75" s="83"/>
      <c r="SX75" s="83"/>
      <c r="SY75" s="83"/>
      <c r="SZ75" s="83"/>
      <c r="TA75" s="83"/>
      <c r="TB75" s="83"/>
      <c r="TC75" s="83"/>
      <c r="TD75" s="83"/>
      <c r="TE75" s="83"/>
      <c r="TF75" s="83"/>
      <c r="TG75" s="83"/>
      <c r="TH75" s="83"/>
      <c r="TI75" s="83"/>
      <c r="TJ75" s="83"/>
      <c r="TK75" s="83"/>
      <c r="TL75" s="83"/>
      <c r="TM75" s="83"/>
      <c r="TN75" s="83"/>
      <c r="TO75" s="83"/>
      <c r="TP75" s="83"/>
      <c r="TQ75" s="83"/>
      <c r="TR75" s="83"/>
      <c r="TS75" s="83"/>
      <c r="TT75" s="83"/>
      <c r="TU75" s="83"/>
      <c r="TV75" s="83"/>
      <c r="TW75" s="83"/>
      <c r="TX75" s="83"/>
      <c r="TY75" s="83"/>
      <c r="TZ75" s="83"/>
      <c r="UA75" s="83"/>
      <c r="UB75" s="83"/>
      <c r="UC75" s="83"/>
      <c r="UD75" s="83"/>
      <c r="UE75" s="83"/>
      <c r="UF75" s="83"/>
      <c r="UG75" s="83"/>
      <c r="UH75" s="83"/>
      <c r="UI75" s="83"/>
      <c r="UJ75" s="83"/>
      <c r="UK75" s="83"/>
      <c r="UL75" s="83"/>
      <c r="UM75" s="83"/>
      <c r="UN75" s="83"/>
      <c r="UO75" s="83"/>
      <c r="UP75" s="83"/>
      <c r="UQ75" s="83"/>
      <c r="UR75" s="83"/>
      <c r="US75" s="83"/>
      <c r="UT75" s="83"/>
      <c r="UU75" s="83"/>
      <c r="UV75" s="83"/>
      <c r="UW75" s="83"/>
      <c r="UX75" s="83"/>
      <c r="UY75" s="83"/>
      <c r="UZ75" s="83"/>
      <c r="VA75" s="83"/>
      <c r="VB75" s="83"/>
      <c r="VC75" s="83"/>
      <c r="VD75" s="83"/>
      <c r="VE75" s="83"/>
      <c r="VF75" s="83"/>
      <c r="VG75" s="83"/>
      <c r="VH75" s="83"/>
      <c r="VI75" s="83"/>
      <c r="VJ75" s="83"/>
      <c r="VK75" s="83"/>
      <c r="VL75" s="83"/>
      <c r="VM75" s="83"/>
      <c r="VN75" s="83"/>
      <c r="VO75" s="83"/>
      <c r="VP75" s="83"/>
      <c r="VQ75" s="83"/>
      <c r="VR75" s="83"/>
      <c r="VS75" s="83"/>
      <c r="VT75" s="83"/>
      <c r="VU75" s="83"/>
      <c r="VV75" s="83"/>
      <c r="VW75" s="83"/>
      <c r="VX75" s="83"/>
      <c r="VY75" s="83"/>
      <c r="VZ75" s="83"/>
      <c r="WA75" s="83"/>
      <c r="WB75" s="83"/>
      <c r="WC75" s="83"/>
      <c r="WD75" s="83"/>
      <c r="WE75" s="83"/>
      <c r="WF75" s="83"/>
      <c r="WG75" s="83"/>
      <c r="WH75" s="83"/>
      <c r="WI75" s="83"/>
      <c r="WJ75" s="83"/>
      <c r="WK75" s="83"/>
      <c r="WL75" s="83"/>
      <c r="WM75" s="83"/>
      <c r="WN75" s="83"/>
      <c r="WO75" s="83"/>
      <c r="WP75" s="83"/>
      <c r="WQ75" s="83"/>
      <c r="WR75" s="83"/>
      <c r="WS75" s="83"/>
      <c r="WT75" s="83"/>
      <c r="WU75" s="83"/>
      <c r="WV75" s="83"/>
      <c r="WW75" s="83"/>
      <c r="WX75" s="83"/>
      <c r="WY75" s="83"/>
      <c r="WZ75" s="83"/>
      <c r="XA75" s="83"/>
      <c r="XB75" s="83"/>
      <c r="XC75" s="83"/>
      <c r="XD75" s="83"/>
      <c r="XE75" s="83"/>
      <c r="XF75" s="83"/>
      <c r="XG75" s="83"/>
      <c r="XH75" s="83"/>
      <c r="XI75" s="83"/>
      <c r="XJ75" s="83"/>
      <c r="XK75" s="83"/>
      <c r="XL75" s="83"/>
      <c r="XM75" s="83"/>
      <c r="XN75" s="83"/>
      <c r="XO75" s="83"/>
      <c r="XP75" s="83"/>
      <c r="XQ75" s="83"/>
      <c r="XR75" s="83"/>
      <c r="XS75" s="83"/>
      <c r="XT75" s="83"/>
      <c r="XU75" s="83"/>
      <c r="XV75" s="83"/>
      <c r="XW75" s="83"/>
      <c r="XX75" s="83"/>
      <c r="XY75" s="83"/>
      <c r="XZ75" s="83"/>
      <c r="YA75" s="83"/>
      <c r="YB75" s="83"/>
      <c r="YC75" s="83"/>
      <c r="YD75" s="83"/>
      <c r="YE75" s="83"/>
      <c r="YF75" s="83"/>
      <c r="YG75" s="83"/>
      <c r="YH75" s="83"/>
      <c r="YI75" s="83"/>
      <c r="YJ75" s="83"/>
      <c r="YK75" s="83"/>
      <c r="YL75" s="83"/>
      <c r="YM75" s="83"/>
      <c r="YN75" s="83"/>
      <c r="YO75" s="83"/>
      <c r="YP75" s="83"/>
      <c r="YQ75" s="83"/>
      <c r="YR75" s="83"/>
      <c r="YS75" s="83"/>
      <c r="YT75" s="83"/>
      <c r="YU75" s="83"/>
      <c r="YV75" s="83"/>
      <c r="YW75" s="83"/>
      <c r="YX75" s="83"/>
      <c r="YY75" s="83"/>
      <c r="YZ75" s="83"/>
      <c r="ZA75" s="83"/>
      <c r="ZB75" s="83"/>
      <c r="ZC75" s="83"/>
      <c r="ZD75" s="83"/>
      <c r="ZE75" s="83"/>
      <c r="ZF75" s="83"/>
      <c r="ZG75" s="83"/>
      <c r="ZH75" s="83"/>
      <c r="ZI75" s="83"/>
      <c r="ZJ75" s="83"/>
      <c r="ZK75" s="83"/>
      <c r="ZL75" s="83"/>
      <c r="ZM75" s="83"/>
      <c r="ZN75" s="83"/>
      <c r="ZO75" s="83"/>
      <c r="ZP75" s="83"/>
      <c r="ZQ75" s="83"/>
      <c r="ZR75" s="83"/>
      <c r="ZS75" s="83"/>
      <c r="ZT75" s="83"/>
      <c r="ZU75" s="83"/>
      <c r="ZV75" s="83"/>
      <c r="ZW75" s="83"/>
      <c r="ZX75" s="83"/>
      <c r="ZY75" s="83"/>
      <c r="ZZ75" s="83"/>
      <c r="AAA75" s="83"/>
      <c r="AAB75" s="83"/>
      <c r="AAC75" s="83"/>
      <c r="AAD75" s="83"/>
      <c r="AAE75" s="83"/>
      <c r="AAF75" s="83"/>
      <c r="AAG75" s="83"/>
      <c r="AAH75" s="83"/>
      <c r="AAI75" s="83"/>
      <c r="AAJ75" s="83"/>
      <c r="AAK75" s="83"/>
      <c r="AAL75" s="83"/>
      <c r="AAM75" s="83"/>
      <c r="AAN75" s="83"/>
      <c r="AAO75" s="83"/>
      <c r="AAP75" s="83"/>
      <c r="AAQ75" s="83"/>
      <c r="AAR75" s="83"/>
      <c r="AAS75" s="83"/>
      <c r="AAT75" s="83"/>
      <c r="AAU75" s="83"/>
      <c r="AAV75" s="83"/>
      <c r="AAW75" s="83"/>
      <c r="AAX75" s="83"/>
      <c r="AAY75" s="83"/>
      <c r="AAZ75" s="83"/>
      <c r="ABA75" s="83"/>
      <c r="ABB75" s="83"/>
      <c r="ABC75" s="83"/>
      <c r="ABD75" s="83"/>
      <c r="ABE75" s="83"/>
      <c r="ABF75" s="83"/>
      <c r="ABG75" s="83"/>
      <c r="ABH75" s="83"/>
      <c r="ABI75" s="83"/>
      <c r="ABJ75" s="83"/>
      <c r="ABK75" s="83"/>
      <c r="ABL75" s="83"/>
      <c r="ABM75" s="83"/>
      <c r="ABN75" s="83"/>
      <c r="ABO75" s="83"/>
      <c r="ABP75" s="83"/>
      <c r="ABQ75" s="83"/>
      <c r="ABR75" s="83"/>
      <c r="ABS75" s="83"/>
      <c r="ABT75" s="83"/>
      <c r="ABU75" s="83"/>
      <c r="ABV75" s="83"/>
      <c r="ABW75" s="83"/>
      <c r="ABX75" s="83"/>
      <c r="ABY75" s="83"/>
      <c r="ABZ75" s="83"/>
      <c r="ACA75" s="83"/>
      <c r="ACB75" s="83"/>
      <c r="ACC75" s="83"/>
      <c r="ACD75" s="83"/>
      <c r="ACE75" s="83"/>
      <c r="ACF75" s="83"/>
      <c r="ACG75" s="83"/>
      <c r="ACH75" s="83"/>
      <c r="ACI75" s="83"/>
      <c r="ACJ75" s="83"/>
      <c r="ACK75" s="83"/>
      <c r="ACL75" s="83"/>
      <c r="ACM75" s="83"/>
      <c r="ACN75" s="83"/>
      <c r="ACO75" s="83"/>
      <c r="ACP75" s="83"/>
      <c r="ACQ75" s="83"/>
      <c r="ACR75" s="83"/>
      <c r="ACS75" s="83"/>
      <c r="ACT75" s="83"/>
      <c r="ACU75" s="83"/>
      <c r="ACV75" s="83"/>
      <c r="ACW75" s="83"/>
      <c r="ACX75" s="83"/>
      <c r="ACY75" s="83"/>
      <c r="ACZ75" s="83"/>
      <c r="ADA75" s="83"/>
      <c r="ADB75" s="83"/>
      <c r="ADC75" s="83"/>
      <c r="ADD75" s="83"/>
      <c r="ADE75" s="83"/>
      <c r="ADF75" s="83"/>
      <c r="ADG75" s="83"/>
      <c r="ADH75" s="83"/>
      <c r="ADI75" s="83"/>
      <c r="ADJ75" s="83"/>
      <c r="ADK75" s="83"/>
      <c r="ADL75" s="83"/>
      <c r="ADM75" s="83"/>
      <c r="ADN75" s="83"/>
      <c r="ADO75" s="83"/>
      <c r="ADP75" s="83"/>
      <c r="ADQ75" s="83"/>
      <c r="ADR75" s="83"/>
      <c r="ADS75" s="83"/>
      <c r="ADT75" s="83"/>
      <c r="ADU75" s="83"/>
      <c r="ADV75" s="83"/>
      <c r="ADW75" s="83"/>
      <c r="ADX75" s="83"/>
      <c r="ADY75" s="83"/>
      <c r="ADZ75" s="83"/>
      <c r="AEA75" s="83"/>
      <c r="AEB75" s="83"/>
      <c r="AEC75" s="83"/>
      <c r="AED75" s="83"/>
      <c r="AEE75" s="83"/>
      <c r="AEF75" s="83"/>
      <c r="AEG75" s="83"/>
      <c r="AEH75" s="83"/>
      <c r="AEI75" s="83"/>
      <c r="AEJ75" s="83"/>
      <c r="AEK75" s="83"/>
      <c r="AEL75" s="83"/>
      <c r="AEM75" s="83"/>
      <c r="AEN75" s="83"/>
      <c r="AEO75" s="83"/>
      <c r="AEP75" s="83"/>
      <c r="AEQ75" s="83"/>
      <c r="AER75" s="83"/>
      <c r="AES75" s="83"/>
      <c r="AET75" s="83"/>
      <c r="AEU75" s="83"/>
      <c r="AEV75" s="83"/>
      <c r="AEW75" s="83"/>
      <c r="AEX75" s="83"/>
      <c r="AEY75" s="83"/>
      <c r="AEZ75" s="83"/>
      <c r="AFA75" s="83"/>
      <c r="AFB75" s="83"/>
      <c r="AFC75" s="83"/>
      <c r="AFD75" s="83"/>
      <c r="AFE75" s="83"/>
      <c r="AFF75" s="83"/>
      <c r="AFG75" s="83"/>
      <c r="AFH75" s="83"/>
      <c r="AFI75" s="83"/>
      <c r="AFJ75" s="83"/>
      <c r="AFK75" s="83"/>
      <c r="AFL75" s="83"/>
      <c r="AFM75" s="83"/>
      <c r="AFN75" s="83"/>
      <c r="AFO75" s="83"/>
      <c r="AFP75" s="83"/>
      <c r="AFQ75" s="83"/>
      <c r="AFR75" s="83"/>
      <c r="AFS75" s="83"/>
      <c r="AFT75" s="83"/>
      <c r="AFU75" s="83"/>
      <c r="AFV75" s="83"/>
      <c r="AFW75" s="83"/>
      <c r="AFX75" s="83"/>
      <c r="AFY75" s="83"/>
      <c r="AFZ75" s="83"/>
      <c r="AGA75" s="83"/>
      <c r="AGB75" s="83"/>
      <c r="AGC75" s="83"/>
      <c r="AGD75" s="83"/>
      <c r="AGE75" s="83"/>
      <c r="AGF75" s="83"/>
      <c r="AGG75" s="83"/>
      <c r="AGH75" s="83"/>
      <c r="AGI75" s="83"/>
      <c r="AGJ75" s="83"/>
      <c r="AGK75" s="83"/>
      <c r="AGL75" s="83"/>
      <c r="AGM75" s="83"/>
      <c r="AGN75" s="83"/>
      <c r="AGO75" s="83"/>
      <c r="AGP75" s="83"/>
      <c r="AGQ75" s="83"/>
      <c r="AGR75" s="83"/>
      <c r="AGS75" s="83"/>
      <c r="AGT75" s="83"/>
      <c r="AGU75" s="83"/>
      <c r="AGV75" s="83"/>
      <c r="AGW75" s="83"/>
      <c r="AGX75" s="83"/>
      <c r="AGY75" s="83"/>
      <c r="AGZ75" s="83"/>
      <c r="AHA75" s="83"/>
      <c r="AHB75" s="83"/>
      <c r="AHC75" s="83"/>
      <c r="AHD75" s="83"/>
      <c r="AHE75" s="83"/>
      <c r="AHF75" s="83"/>
      <c r="AHG75" s="83"/>
      <c r="AHH75" s="83"/>
      <c r="AHI75" s="83"/>
      <c r="AHJ75" s="83"/>
      <c r="AHK75" s="83"/>
      <c r="AHL75" s="83"/>
      <c r="AHM75" s="83"/>
      <c r="AHN75" s="83"/>
      <c r="AHO75" s="83"/>
      <c r="AHP75" s="83"/>
      <c r="AHQ75" s="83"/>
      <c r="AHR75" s="83"/>
      <c r="AHS75" s="83"/>
      <c r="AHT75" s="83"/>
      <c r="AHU75" s="83"/>
      <c r="AHV75" s="83"/>
      <c r="AHW75" s="83"/>
      <c r="AHX75" s="83"/>
      <c r="AHY75" s="83"/>
      <c r="AHZ75" s="83"/>
      <c r="AIA75" s="83"/>
      <c r="AIB75" s="83"/>
      <c r="AIC75" s="83"/>
      <c r="AID75" s="83"/>
      <c r="AIE75" s="83"/>
      <c r="AIF75" s="83"/>
      <c r="AIG75" s="83"/>
      <c r="AIH75" s="83"/>
      <c r="AII75" s="83"/>
      <c r="AIJ75" s="83"/>
      <c r="AIK75" s="83"/>
      <c r="AIL75" s="83"/>
      <c r="AIM75" s="83"/>
      <c r="AIN75" s="83"/>
      <c r="AIO75" s="83"/>
      <c r="AIP75" s="83"/>
      <c r="AIQ75" s="83"/>
      <c r="AIR75" s="83"/>
      <c r="AIS75" s="83"/>
      <c r="AIT75" s="83"/>
      <c r="AIU75" s="83"/>
      <c r="AIV75" s="83"/>
      <c r="AIW75" s="83"/>
      <c r="AIX75" s="83"/>
      <c r="AIY75" s="83"/>
      <c r="AIZ75" s="83"/>
      <c r="AJA75" s="83"/>
      <c r="AJB75" s="83"/>
      <c r="AJC75" s="83"/>
      <c r="AJD75" s="83"/>
      <c r="AJE75" s="83"/>
      <c r="AJF75" s="83"/>
      <c r="AJG75" s="83"/>
      <c r="AJH75" s="83"/>
      <c r="AJI75" s="83"/>
      <c r="AJJ75" s="83"/>
      <c r="AJK75" s="83"/>
      <c r="AJL75" s="83"/>
      <c r="AJM75" s="83"/>
      <c r="AJN75" s="83"/>
      <c r="AJO75" s="83"/>
      <c r="AJP75" s="83"/>
      <c r="AJQ75" s="83"/>
      <c r="AJR75" s="83"/>
      <c r="AJS75" s="83"/>
      <c r="AJT75" s="83"/>
      <c r="AJU75" s="83"/>
      <c r="AJV75" s="83"/>
      <c r="AJW75" s="83"/>
      <c r="AJX75" s="83"/>
      <c r="AJY75" s="83"/>
      <c r="AJZ75" s="83"/>
      <c r="AKA75" s="83"/>
      <c r="AKB75" s="83"/>
      <c r="AKC75" s="83"/>
      <c r="AKD75" s="83"/>
      <c r="AKE75" s="83"/>
      <c r="AKF75" s="83"/>
      <c r="AKG75" s="83"/>
      <c r="AKH75" s="83"/>
      <c r="AKI75" s="83"/>
      <c r="AKJ75" s="83"/>
      <c r="AKK75" s="83"/>
      <c r="AKL75" s="83"/>
      <c r="AKM75" s="83"/>
      <c r="AKN75" s="83"/>
      <c r="AKO75" s="83"/>
      <c r="AKP75" s="83"/>
      <c r="AKQ75" s="83"/>
      <c r="AKR75" s="83"/>
      <c r="AKS75" s="83"/>
      <c r="AKT75" s="83"/>
      <c r="AKU75" s="83"/>
      <c r="AKV75" s="83"/>
      <c r="AKW75" s="83"/>
      <c r="AKX75" s="83"/>
      <c r="AKY75" s="83"/>
      <c r="AKZ75" s="83"/>
      <c r="ALA75" s="83"/>
      <c r="ALB75" s="83"/>
      <c r="ALC75" s="83"/>
      <c r="ALD75" s="83"/>
      <c r="ALE75" s="83"/>
      <c r="ALF75" s="83"/>
      <c r="ALG75" s="83"/>
      <c r="ALH75" s="83"/>
      <c r="ALI75" s="83"/>
      <c r="ALJ75" s="83"/>
      <c r="ALK75" s="83"/>
      <c r="ALL75" s="83"/>
      <c r="ALM75" s="83"/>
      <c r="ALN75" s="83"/>
      <c r="ALO75" s="83"/>
      <c r="ALP75" s="83"/>
      <c r="ALQ75" s="83"/>
      <c r="ALR75" s="83"/>
      <c r="ALS75" s="83"/>
      <c r="ALT75" s="83"/>
      <c r="ALU75" s="83"/>
      <c r="ALV75" s="83"/>
      <c r="ALW75" s="83"/>
      <c r="ALX75" s="83"/>
      <c r="ALY75" s="83"/>
      <c r="ALZ75" s="83"/>
      <c r="AMA75" s="83"/>
      <c r="AMB75" s="83"/>
      <c r="AMC75" s="83"/>
      <c r="AMD75" s="83"/>
      <c r="AME75" s="83"/>
      <c r="AMF75" s="83"/>
      <c r="AMG75" s="83"/>
      <c r="AMH75" s="83"/>
      <c r="AMI75" s="83"/>
      <c r="AMJ75" s="83"/>
    </row>
    <row r="76" spans="12:1024" ht="15.95" customHeight="1" x14ac:dyDescent="0.2">
      <c r="L76" s="83"/>
      <c r="M76" s="84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  <c r="EY76" s="83"/>
      <c r="EZ76" s="83"/>
      <c r="FA76" s="83"/>
      <c r="FB76" s="83"/>
      <c r="FC76" s="83"/>
      <c r="FD76" s="83"/>
      <c r="FE76" s="83"/>
      <c r="FF76" s="83"/>
      <c r="FG76" s="8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  <c r="FU76" s="83"/>
      <c r="FV76" s="83"/>
      <c r="FW76" s="83"/>
      <c r="FX76" s="83"/>
      <c r="FY76" s="83"/>
      <c r="FZ76" s="83"/>
      <c r="GA76" s="83"/>
      <c r="GB76" s="83"/>
      <c r="GC76" s="83"/>
      <c r="GD76" s="83"/>
      <c r="GE76" s="83"/>
      <c r="GF76" s="83"/>
      <c r="GG76" s="83"/>
      <c r="GH76" s="83"/>
      <c r="GI76" s="83"/>
      <c r="GJ76" s="83"/>
      <c r="GK76" s="83"/>
      <c r="GL76" s="83"/>
      <c r="GM76" s="83"/>
      <c r="GN76" s="83"/>
      <c r="GO76" s="83"/>
      <c r="GP76" s="83"/>
      <c r="GQ76" s="83"/>
      <c r="GR76" s="83"/>
      <c r="GS76" s="83"/>
      <c r="GT76" s="83"/>
      <c r="GU76" s="83"/>
      <c r="GV76" s="83"/>
      <c r="GW76" s="83"/>
      <c r="GX76" s="83"/>
      <c r="GY76" s="83"/>
      <c r="GZ76" s="83"/>
      <c r="HA76" s="83"/>
      <c r="HB76" s="83"/>
      <c r="HC76" s="83"/>
      <c r="HD76" s="83"/>
      <c r="HE76" s="83"/>
      <c r="HF76" s="83"/>
      <c r="HG76" s="83"/>
      <c r="HH76" s="83"/>
      <c r="HI76" s="83"/>
      <c r="HJ76" s="83"/>
      <c r="HK76" s="83"/>
      <c r="HL76" s="83"/>
      <c r="HM76" s="83"/>
      <c r="HN76" s="83"/>
      <c r="HO76" s="83"/>
      <c r="HP76" s="83"/>
      <c r="HQ76" s="83"/>
      <c r="HR76" s="83"/>
      <c r="HS76" s="83"/>
      <c r="HT76" s="83"/>
      <c r="HU76" s="83"/>
      <c r="HV76" s="83"/>
      <c r="HW76" s="83"/>
      <c r="HX76" s="83"/>
      <c r="HY76" s="83"/>
      <c r="HZ76" s="83"/>
      <c r="IA76" s="83"/>
      <c r="IB76" s="83"/>
      <c r="IC76" s="83"/>
      <c r="ID76" s="83"/>
      <c r="IE76" s="83"/>
      <c r="IF76" s="83"/>
      <c r="IG76" s="83"/>
      <c r="IH76" s="83"/>
      <c r="II76" s="83"/>
      <c r="IJ76" s="83"/>
      <c r="IK76" s="83"/>
      <c r="IL76" s="83"/>
      <c r="IM76" s="83"/>
      <c r="IN76" s="83"/>
      <c r="IO76" s="83"/>
      <c r="IP76" s="83"/>
      <c r="IQ76" s="83"/>
      <c r="IR76" s="83"/>
      <c r="IS76" s="83"/>
      <c r="IT76" s="83"/>
      <c r="IU76" s="83"/>
      <c r="IV76" s="83"/>
      <c r="IW76" s="83"/>
      <c r="IX76" s="83"/>
      <c r="IY76" s="83"/>
      <c r="IZ76" s="83"/>
      <c r="JA76" s="83"/>
      <c r="JB76" s="83"/>
      <c r="JC76" s="83"/>
      <c r="JD76" s="83"/>
      <c r="JE76" s="83"/>
      <c r="JF76" s="83"/>
      <c r="JG76" s="83"/>
      <c r="JH76" s="83"/>
      <c r="JI76" s="83"/>
      <c r="JJ76" s="83"/>
      <c r="JK76" s="83"/>
      <c r="JL76" s="83"/>
      <c r="JM76" s="83"/>
      <c r="JN76" s="83"/>
      <c r="JO76" s="83"/>
      <c r="JP76" s="83"/>
      <c r="JQ76" s="83"/>
      <c r="JR76" s="83"/>
      <c r="JS76" s="83"/>
      <c r="JT76" s="83"/>
      <c r="JU76" s="83"/>
      <c r="JV76" s="83"/>
      <c r="JW76" s="83"/>
      <c r="JX76" s="83"/>
      <c r="JY76" s="83"/>
      <c r="JZ76" s="83"/>
      <c r="KA76" s="83"/>
      <c r="KB76" s="83"/>
      <c r="KC76" s="83"/>
      <c r="KD76" s="83"/>
      <c r="KE76" s="83"/>
      <c r="KF76" s="83"/>
      <c r="KG76" s="83"/>
      <c r="KH76" s="83"/>
      <c r="KI76" s="83"/>
      <c r="KJ76" s="83"/>
      <c r="KK76" s="83"/>
      <c r="KL76" s="83"/>
      <c r="KM76" s="83"/>
      <c r="KN76" s="83"/>
      <c r="KO76" s="83"/>
      <c r="KP76" s="83"/>
      <c r="KQ76" s="83"/>
      <c r="KR76" s="83"/>
      <c r="KS76" s="83"/>
      <c r="KT76" s="83"/>
      <c r="KU76" s="83"/>
      <c r="KV76" s="83"/>
      <c r="KW76" s="83"/>
      <c r="KX76" s="83"/>
      <c r="KY76" s="83"/>
      <c r="KZ76" s="83"/>
      <c r="LA76" s="83"/>
      <c r="LB76" s="83"/>
      <c r="LC76" s="83"/>
      <c r="LD76" s="83"/>
      <c r="LE76" s="83"/>
      <c r="LF76" s="83"/>
      <c r="LG76" s="83"/>
      <c r="LH76" s="83"/>
      <c r="LI76" s="83"/>
      <c r="LJ76" s="83"/>
      <c r="LK76" s="83"/>
      <c r="LL76" s="83"/>
      <c r="LM76" s="83"/>
      <c r="LN76" s="83"/>
      <c r="LO76" s="83"/>
      <c r="LP76" s="83"/>
      <c r="LQ76" s="83"/>
      <c r="LR76" s="83"/>
      <c r="LS76" s="83"/>
      <c r="LT76" s="83"/>
      <c r="LU76" s="83"/>
      <c r="LV76" s="83"/>
      <c r="LW76" s="83"/>
      <c r="LX76" s="83"/>
      <c r="LY76" s="83"/>
      <c r="LZ76" s="83"/>
      <c r="MA76" s="83"/>
      <c r="MB76" s="83"/>
      <c r="MC76" s="83"/>
      <c r="MD76" s="83"/>
      <c r="ME76" s="83"/>
      <c r="MF76" s="83"/>
      <c r="MG76" s="83"/>
      <c r="MH76" s="83"/>
      <c r="MI76" s="83"/>
      <c r="MJ76" s="83"/>
      <c r="MK76" s="83"/>
      <c r="ML76" s="83"/>
      <c r="MM76" s="83"/>
      <c r="MN76" s="83"/>
      <c r="MO76" s="83"/>
      <c r="MP76" s="83"/>
      <c r="MQ76" s="83"/>
      <c r="MR76" s="83"/>
      <c r="MS76" s="83"/>
      <c r="MT76" s="83"/>
      <c r="MU76" s="83"/>
      <c r="MV76" s="83"/>
      <c r="MW76" s="83"/>
      <c r="MX76" s="83"/>
      <c r="MY76" s="83"/>
      <c r="MZ76" s="83"/>
      <c r="NA76" s="83"/>
      <c r="NB76" s="83"/>
      <c r="NC76" s="83"/>
      <c r="ND76" s="83"/>
      <c r="NE76" s="83"/>
      <c r="NF76" s="83"/>
      <c r="NG76" s="83"/>
      <c r="NH76" s="83"/>
      <c r="NI76" s="83"/>
      <c r="NJ76" s="83"/>
      <c r="NK76" s="83"/>
      <c r="NL76" s="83"/>
      <c r="NM76" s="83"/>
      <c r="NN76" s="83"/>
      <c r="NO76" s="83"/>
      <c r="NP76" s="83"/>
      <c r="NQ76" s="83"/>
      <c r="NR76" s="83"/>
      <c r="NS76" s="83"/>
      <c r="NT76" s="83"/>
      <c r="NU76" s="83"/>
      <c r="NV76" s="83"/>
      <c r="NW76" s="83"/>
      <c r="NX76" s="83"/>
      <c r="NY76" s="83"/>
      <c r="NZ76" s="83"/>
      <c r="OA76" s="83"/>
      <c r="OB76" s="83"/>
      <c r="OC76" s="83"/>
      <c r="OD76" s="83"/>
      <c r="OE76" s="83"/>
      <c r="OF76" s="83"/>
      <c r="OG76" s="83"/>
      <c r="OH76" s="83"/>
      <c r="OI76" s="83"/>
      <c r="OJ76" s="83"/>
      <c r="OK76" s="83"/>
      <c r="OL76" s="83"/>
      <c r="OM76" s="83"/>
      <c r="ON76" s="83"/>
      <c r="OO76" s="83"/>
      <c r="OP76" s="83"/>
      <c r="OQ76" s="83"/>
      <c r="OR76" s="83"/>
      <c r="OS76" s="83"/>
      <c r="OT76" s="83"/>
      <c r="OU76" s="83"/>
      <c r="OV76" s="83"/>
      <c r="OW76" s="83"/>
      <c r="OX76" s="83"/>
      <c r="OY76" s="83"/>
      <c r="OZ76" s="83"/>
      <c r="PA76" s="83"/>
      <c r="PB76" s="83"/>
      <c r="PC76" s="83"/>
      <c r="PD76" s="83"/>
      <c r="PE76" s="83"/>
      <c r="PF76" s="83"/>
      <c r="PG76" s="83"/>
      <c r="PH76" s="83"/>
      <c r="PI76" s="83"/>
      <c r="PJ76" s="83"/>
      <c r="PK76" s="83"/>
      <c r="PL76" s="83"/>
      <c r="PM76" s="83"/>
      <c r="PN76" s="83"/>
      <c r="PO76" s="83"/>
      <c r="PP76" s="83"/>
      <c r="PQ76" s="83"/>
      <c r="PR76" s="83"/>
      <c r="PS76" s="83"/>
      <c r="PT76" s="83"/>
      <c r="PU76" s="83"/>
      <c r="PV76" s="83"/>
      <c r="PW76" s="83"/>
      <c r="PX76" s="83"/>
      <c r="PY76" s="83"/>
      <c r="PZ76" s="83"/>
      <c r="QA76" s="83"/>
      <c r="QB76" s="83"/>
      <c r="QC76" s="83"/>
      <c r="QD76" s="83"/>
      <c r="QE76" s="83"/>
      <c r="QF76" s="83"/>
      <c r="QG76" s="83"/>
      <c r="QH76" s="83"/>
      <c r="QI76" s="83"/>
      <c r="QJ76" s="83"/>
      <c r="QK76" s="83"/>
      <c r="QL76" s="83"/>
      <c r="QM76" s="83"/>
      <c r="QN76" s="83"/>
      <c r="QO76" s="83"/>
      <c r="QP76" s="83"/>
      <c r="QQ76" s="83"/>
      <c r="QR76" s="83"/>
      <c r="QS76" s="83"/>
      <c r="QT76" s="83"/>
      <c r="QU76" s="83"/>
      <c r="QV76" s="83"/>
      <c r="QW76" s="83"/>
      <c r="QX76" s="83"/>
      <c r="QY76" s="83"/>
      <c r="QZ76" s="83"/>
      <c r="RA76" s="83"/>
      <c r="RB76" s="83"/>
      <c r="RC76" s="83"/>
      <c r="RD76" s="83"/>
      <c r="RE76" s="83"/>
      <c r="RF76" s="83"/>
      <c r="RG76" s="83"/>
      <c r="RH76" s="83"/>
      <c r="RI76" s="83"/>
      <c r="RJ76" s="83"/>
      <c r="RK76" s="83"/>
      <c r="RL76" s="83"/>
      <c r="RM76" s="83"/>
      <c r="RN76" s="83"/>
      <c r="RO76" s="83"/>
      <c r="RP76" s="83"/>
      <c r="RQ76" s="83"/>
      <c r="RR76" s="83"/>
      <c r="RS76" s="83"/>
      <c r="RT76" s="83"/>
      <c r="RU76" s="83"/>
      <c r="RV76" s="83"/>
      <c r="RW76" s="83"/>
      <c r="RX76" s="83"/>
      <c r="RY76" s="83"/>
      <c r="RZ76" s="83"/>
      <c r="SA76" s="83"/>
      <c r="SB76" s="83"/>
      <c r="SC76" s="83"/>
      <c r="SD76" s="83"/>
      <c r="SE76" s="83"/>
      <c r="SF76" s="83"/>
      <c r="SG76" s="83"/>
      <c r="SH76" s="83"/>
      <c r="SI76" s="83"/>
      <c r="SJ76" s="83"/>
      <c r="SK76" s="83"/>
      <c r="SL76" s="83"/>
      <c r="SM76" s="83"/>
      <c r="SN76" s="83"/>
      <c r="SO76" s="83"/>
      <c r="SP76" s="83"/>
      <c r="SQ76" s="83"/>
      <c r="SR76" s="83"/>
      <c r="SS76" s="83"/>
      <c r="ST76" s="83"/>
      <c r="SU76" s="83"/>
      <c r="SV76" s="83"/>
      <c r="SW76" s="83"/>
      <c r="SX76" s="83"/>
      <c r="SY76" s="83"/>
      <c r="SZ76" s="83"/>
      <c r="TA76" s="83"/>
      <c r="TB76" s="83"/>
      <c r="TC76" s="83"/>
      <c r="TD76" s="83"/>
      <c r="TE76" s="83"/>
      <c r="TF76" s="83"/>
      <c r="TG76" s="83"/>
      <c r="TH76" s="83"/>
      <c r="TI76" s="83"/>
      <c r="TJ76" s="83"/>
      <c r="TK76" s="83"/>
      <c r="TL76" s="83"/>
      <c r="TM76" s="83"/>
      <c r="TN76" s="83"/>
      <c r="TO76" s="83"/>
      <c r="TP76" s="83"/>
      <c r="TQ76" s="83"/>
      <c r="TR76" s="83"/>
      <c r="TS76" s="83"/>
      <c r="TT76" s="83"/>
      <c r="TU76" s="83"/>
      <c r="TV76" s="83"/>
      <c r="TW76" s="83"/>
      <c r="TX76" s="83"/>
      <c r="TY76" s="83"/>
      <c r="TZ76" s="83"/>
      <c r="UA76" s="83"/>
      <c r="UB76" s="83"/>
      <c r="UC76" s="83"/>
      <c r="UD76" s="83"/>
      <c r="UE76" s="83"/>
      <c r="UF76" s="83"/>
      <c r="UG76" s="83"/>
      <c r="UH76" s="83"/>
      <c r="UI76" s="83"/>
      <c r="UJ76" s="83"/>
      <c r="UK76" s="83"/>
      <c r="UL76" s="83"/>
      <c r="UM76" s="83"/>
      <c r="UN76" s="83"/>
      <c r="UO76" s="83"/>
      <c r="UP76" s="83"/>
      <c r="UQ76" s="83"/>
      <c r="UR76" s="83"/>
      <c r="US76" s="83"/>
      <c r="UT76" s="83"/>
      <c r="UU76" s="83"/>
      <c r="UV76" s="83"/>
      <c r="UW76" s="83"/>
      <c r="UX76" s="83"/>
      <c r="UY76" s="83"/>
      <c r="UZ76" s="83"/>
      <c r="VA76" s="83"/>
      <c r="VB76" s="83"/>
      <c r="VC76" s="83"/>
      <c r="VD76" s="83"/>
      <c r="VE76" s="83"/>
      <c r="VF76" s="83"/>
      <c r="VG76" s="83"/>
      <c r="VH76" s="83"/>
      <c r="VI76" s="83"/>
      <c r="VJ76" s="83"/>
      <c r="VK76" s="83"/>
      <c r="VL76" s="83"/>
      <c r="VM76" s="83"/>
      <c r="VN76" s="83"/>
      <c r="VO76" s="83"/>
      <c r="VP76" s="83"/>
      <c r="VQ76" s="83"/>
      <c r="VR76" s="83"/>
      <c r="VS76" s="83"/>
      <c r="VT76" s="83"/>
      <c r="VU76" s="83"/>
      <c r="VV76" s="83"/>
      <c r="VW76" s="83"/>
      <c r="VX76" s="83"/>
      <c r="VY76" s="83"/>
      <c r="VZ76" s="83"/>
      <c r="WA76" s="83"/>
      <c r="WB76" s="83"/>
      <c r="WC76" s="83"/>
      <c r="WD76" s="83"/>
      <c r="WE76" s="83"/>
      <c r="WF76" s="83"/>
      <c r="WG76" s="83"/>
      <c r="WH76" s="83"/>
      <c r="WI76" s="83"/>
      <c r="WJ76" s="83"/>
      <c r="WK76" s="83"/>
      <c r="WL76" s="83"/>
      <c r="WM76" s="83"/>
      <c r="WN76" s="83"/>
      <c r="WO76" s="83"/>
      <c r="WP76" s="83"/>
      <c r="WQ76" s="83"/>
      <c r="WR76" s="83"/>
      <c r="WS76" s="83"/>
      <c r="WT76" s="83"/>
      <c r="WU76" s="83"/>
      <c r="WV76" s="83"/>
      <c r="WW76" s="83"/>
      <c r="WX76" s="83"/>
      <c r="WY76" s="83"/>
      <c r="WZ76" s="83"/>
      <c r="XA76" s="83"/>
      <c r="XB76" s="83"/>
      <c r="XC76" s="83"/>
      <c r="XD76" s="83"/>
      <c r="XE76" s="83"/>
      <c r="XF76" s="83"/>
      <c r="XG76" s="83"/>
      <c r="XH76" s="83"/>
      <c r="XI76" s="83"/>
      <c r="XJ76" s="83"/>
      <c r="XK76" s="83"/>
      <c r="XL76" s="83"/>
      <c r="XM76" s="83"/>
      <c r="XN76" s="83"/>
      <c r="XO76" s="83"/>
      <c r="XP76" s="83"/>
      <c r="XQ76" s="83"/>
      <c r="XR76" s="83"/>
      <c r="XS76" s="83"/>
      <c r="XT76" s="83"/>
      <c r="XU76" s="83"/>
      <c r="XV76" s="83"/>
      <c r="XW76" s="83"/>
      <c r="XX76" s="83"/>
      <c r="XY76" s="83"/>
      <c r="XZ76" s="83"/>
      <c r="YA76" s="83"/>
      <c r="YB76" s="83"/>
      <c r="YC76" s="83"/>
      <c r="YD76" s="83"/>
      <c r="YE76" s="83"/>
      <c r="YF76" s="83"/>
      <c r="YG76" s="83"/>
      <c r="YH76" s="83"/>
      <c r="YI76" s="83"/>
      <c r="YJ76" s="83"/>
      <c r="YK76" s="83"/>
      <c r="YL76" s="83"/>
      <c r="YM76" s="83"/>
      <c r="YN76" s="83"/>
      <c r="YO76" s="83"/>
      <c r="YP76" s="83"/>
      <c r="YQ76" s="83"/>
      <c r="YR76" s="83"/>
      <c r="YS76" s="83"/>
      <c r="YT76" s="83"/>
      <c r="YU76" s="83"/>
      <c r="YV76" s="83"/>
      <c r="YW76" s="83"/>
      <c r="YX76" s="83"/>
      <c r="YY76" s="83"/>
      <c r="YZ76" s="83"/>
      <c r="ZA76" s="83"/>
      <c r="ZB76" s="83"/>
      <c r="ZC76" s="83"/>
      <c r="ZD76" s="83"/>
      <c r="ZE76" s="83"/>
      <c r="ZF76" s="83"/>
      <c r="ZG76" s="83"/>
      <c r="ZH76" s="83"/>
      <c r="ZI76" s="83"/>
      <c r="ZJ76" s="83"/>
      <c r="ZK76" s="83"/>
      <c r="ZL76" s="83"/>
      <c r="ZM76" s="83"/>
      <c r="ZN76" s="83"/>
      <c r="ZO76" s="83"/>
      <c r="ZP76" s="83"/>
      <c r="ZQ76" s="83"/>
      <c r="ZR76" s="83"/>
      <c r="ZS76" s="83"/>
      <c r="ZT76" s="83"/>
      <c r="ZU76" s="83"/>
      <c r="ZV76" s="83"/>
      <c r="ZW76" s="83"/>
      <c r="ZX76" s="83"/>
      <c r="ZY76" s="83"/>
      <c r="ZZ76" s="83"/>
      <c r="AAA76" s="83"/>
      <c r="AAB76" s="83"/>
      <c r="AAC76" s="83"/>
      <c r="AAD76" s="83"/>
      <c r="AAE76" s="83"/>
      <c r="AAF76" s="83"/>
      <c r="AAG76" s="83"/>
      <c r="AAH76" s="83"/>
      <c r="AAI76" s="83"/>
      <c r="AAJ76" s="83"/>
      <c r="AAK76" s="83"/>
      <c r="AAL76" s="83"/>
      <c r="AAM76" s="83"/>
      <c r="AAN76" s="83"/>
      <c r="AAO76" s="83"/>
      <c r="AAP76" s="83"/>
      <c r="AAQ76" s="83"/>
      <c r="AAR76" s="83"/>
      <c r="AAS76" s="83"/>
      <c r="AAT76" s="83"/>
      <c r="AAU76" s="83"/>
      <c r="AAV76" s="83"/>
      <c r="AAW76" s="83"/>
      <c r="AAX76" s="83"/>
      <c r="AAY76" s="83"/>
      <c r="AAZ76" s="83"/>
      <c r="ABA76" s="83"/>
      <c r="ABB76" s="83"/>
      <c r="ABC76" s="83"/>
      <c r="ABD76" s="83"/>
      <c r="ABE76" s="83"/>
      <c r="ABF76" s="83"/>
      <c r="ABG76" s="83"/>
      <c r="ABH76" s="83"/>
      <c r="ABI76" s="83"/>
      <c r="ABJ76" s="83"/>
      <c r="ABK76" s="83"/>
      <c r="ABL76" s="83"/>
      <c r="ABM76" s="83"/>
      <c r="ABN76" s="83"/>
      <c r="ABO76" s="83"/>
      <c r="ABP76" s="83"/>
      <c r="ABQ76" s="83"/>
      <c r="ABR76" s="83"/>
      <c r="ABS76" s="83"/>
      <c r="ABT76" s="83"/>
      <c r="ABU76" s="83"/>
      <c r="ABV76" s="83"/>
      <c r="ABW76" s="83"/>
      <c r="ABX76" s="83"/>
      <c r="ABY76" s="83"/>
      <c r="ABZ76" s="83"/>
      <c r="ACA76" s="83"/>
      <c r="ACB76" s="83"/>
      <c r="ACC76" s="83"/>
      <c r="ACD76" s="83"/>
      <c r="ACE76" s="83"/>
      <c r="ACF76" s="83"/>
      <c r="ACG76" s="83"/>
      <c r="ACH76" s="83"/>
      <c r="ACI76" s="83"/>
      <c r="ACJ76" s="83"/>
      <c r="ACK76" s="83"/>
      <c r="ACL76" s="83"/>
      <c r="ACM76" s="83"/>
      <c r="ACN76" s="83"/>
      <c r="ACO76" s="83"/>
      <c r="ACP76" s="83"/>
      <c r="ACQ76" s="83"/>
      <c r="ACR76" s="83"/>
      <c r="ACS76" s="83"/>
      <c r="ACT76" s="83"/>
      <c r="ACU76" s="83"/>
      <c r="ACV76" s="83"/>
      <c r="ACW76" s="83"/>
      <c r="ACX76" s="83"/>
      <c r="ACY76" s="83"/>
      <c r="ACZ76" s="83"/>
      <c r="ADA76" s="83"/>
      <c r="ADB76" s="83"/>
      <c r="ADC76" s="83"/>
      <c r="ADD76" s="83"/>
      <c r="ADE76" s="83"/>
      <c r="ADF76" s="83"/>
      <c r="ADG76" s="83"/>
      <c r="ADH76" s="83"/>
      <c r="ADI76" s="83"/>
      <c r="ADJ76" s="83"/>
      <c r="ADK76" s="83"/>
      <c r="ADL76" s="83"/>
      <c r="ADM76" s="83"/>
      <c r="ADN76" s="83"/>
      <c r="ADO76" s="83"/>
      <c r="ADP76" s="83"/>
      <c r="ADQ76" s="83"/>
      <c r="ADR76" s="83"/>
      <c r="ADS76" s="83"/>
      <c r="ADT76" s="83"/>
      <c r="ADU76" s="83"/>
      <c r="ADV76" s="83"/>
      <c r="ADW76" s="83"/>
      <c r="ADX76" s="83"/>
      <c r="ADY76" s="83"/>
      <c r="ADZ76" s="83"/>
      <c r="AEA76" s="83"/>
      <c r="AEB76" s="83"/>
      <c r="AEC76" s="83"/>
      <c r="AED76" s="83"/>
      <c r="AEE76" s="83"/>
      <c r="AEF76" s="83"/>
      <c r="AEG76" s="83"/>
      <c r="AEH76" s="83"/>
      <c r="AEI76" s="83"/>
      <c r="AEJ76" s="83"/>
      <c r="AEK76" s="83"/>
      <c r="AEL76" s="83"/>
      <c r="AEM76" s="83"/>
      <c r="AEN76" s="83"/>
      <c r="AEO76" s="83"/>
      <c r="AEP76" s="83"/>
      <c r="AEQ76" s="83"/>
      <c r="AER76" s="83"/>
      <c r="AES76" s="83"/>
      <c r="AET76" s="83"/>
      <c r="AEU76" s="83"/>
      <c r="AEV76" s="83"/>
      <c r="AEW76" s="83"/>
      <c r="AEX76" s="83"/>
      <c r="AEY76" s="83"/>
      <c r="AEZ76" s="83"/>
      <c r="AFA76" s="83"/>
      <c r="AFB76" s="83"/>
      <c r="AFC76" s="83"/>
      <c r="AFD76" s="83"/>
      <c r="AFE76" s="83"/>
      <c r="AFF76" s="83"/>
      <c r="AFG76" s="83"/>
      <c r="AFH76" s="83"/>
      <c r="AFI76" s="83"/>
      <c r="AFJ76" s="83"/>
      <c r="AFK76" s="83"/>
      <c r="AFL76" s="83"/>
      <c r="AFM76" s="83"/>
      <c r="AFN76" s="83"/>
      <c r="AFO76" s="83"/>
      <c r="AFP76" s="83"/>
      <c r="AFQ76" s="83"/>
      <c r="AFR76" s="83"/>
      <c r="AFS76" s="83"/>
      <c r="AFT76" s="83"/>
      <c r="AFU76" s="83"/>
      <c r="AFV76" s="83"/>
      <c r="AFW76" s="83"/>
      <c r="AFX76" s="83"/>
      <c r="AFY76" s="83"/>
      <c r="AFZ76" s="83"/>
      <c r="AGA76" s="83"/>
      <c r="AGB76" s="83"/>
      <c r="AGC76" s="83"/>
      <c r="AGD76" s="83"/>
      <c r="AGE76" s="83"/>
      <c r="AGF76" s="83"/>
      <c r="AGG76" s="83"/>
      <c r="AGH76" s="83"/>
      <c r="AGI76" s="83"/>
      <c r="AGJ76" s="83"/>
      <c r="AGK76" s="83"/>
      <c r="AGL76" s="83"/>
      <c r="AGM76" s="83"/>
      <c r="AGN76" s="83"/>
      <c r="AGO76" s="83"/>
      <c r="AGP76" s="83"/>
      <c r="AGQ76" s="83"/>
      <c r="AGR76" s="83"/>
      <c r="AGS76" s="83"/>
      <c r="AGT76" s="83"/>
      <c r="AGU76" s="83"/>
      <c r="AGV76" s="83"/>
      <c r="AGW76" s="83"/>
      <c r="AGX76" s="83"/>
      <c r="AGY76" s="83"/>
      <c r="AGZ76" s="83"/>
      <c r="AHA76" s="83"/>
      <c r="AHB76" s="83"/>
      <c r="AHC76" s="83"/>
      <c r="AHD76" s="83"/>
      <c r="AHE76" s="83"/>
      <c r="AHF76" s="83"/>
      <c r="AHG76" s="83"/>
      <c r="AHH76" s="83"/>
      <c r="AHI76" s="83"/>
      <c r="AHJ76" s="83"/>
      <c r="AHK76" s="83"/>
      <c r="AHL76" s="83"/>
      <c r="AHM76" s="83"/>
      <c r="AHN76" s="83"/>
      <c r="AHO76" s="83"/>
      <c r="AHP76" s="83"/>
      <c r="AHQ76" s="83"/>
      <c r="AHR76" s="83"/>
      <c r="AHS76" s="83"/>
      <c r="AHT76" s="83"/>
      <c r="AHU76" s="83"/>
      <c r="AHV76" s="83"/>
      <c r="AHW76" s="83"/>
      <c r="AHX76" s="83"/>
      <c r="AHY76" s="83"/>
      <c r="AHZ76" s="83"/>
      <c r="AIA76" s="83"/>
      <c r="AIB76" s="83"/>
      <c r="AIC76" s="83"/>
      <c r="AID76" s="83"/>
      <c r="AIE76" s="83"/>
      <c r="AIF76" s="83"/>
      <c r="AIG76" s="83"/>
      <c r="AIH76" s="83"/>
      <c r="AII76" s="83"/>
      <c r="AIJ76" s="83"/>
      <c r="AIK76" s="83"/>
      <c r="AIL76" s="83"/>
      <c r="AIM76" s="83"/>
      <c r="AIN76" s="83"/>
      <c r="AIO76" s="83"/>
      <c r="AIP76" s="83"/>
      <c r="AIQ76" s="83"/>
      <c r="AIR76" s="83"/>
      <c r="AIS76" s="83"/>
      <c r="AIT76" s="83"/>
      <c r="AIU76" s="83"/>
      <c r="AIV76" s="83"/>
      <c r="AIW76" s="83"/>
      <c r="AIX76" s="83"/>
      <c r="AIY76" s="83"/>
      <c r="AIZ76" s="83"/>
      <c r="AJA76" s="83"/>
      <c r="AJB76" s="83"/>
      <c r="AJC76" s="83"/>
      <c r="AJD76" s="83"/>
      <c r="AJE76" s="83"/>
      <c r="AJF76" s="83"/>
      <c r="AJG76" s="83"/>
      <c r="AJH76" s="83"/>
      <c r="AJI76" s="83"/>
      <c r="AJJ76" s="83"/>
      <c r="AJK76" s="83"/>
      <c r="AJL76" s="83"/>
      <c r="AJM76" s="83"/>
      <c r="AJN76" s="83"/>
      <c r="AJO76" s="83"/>
      <c r="AJP76" s="83"/>
      <c r="AJQ76" s="83"/>
      <c r="AJR76" s="83"/>
      <c r="AJS76" s="83"/>
      <c r="AJT76" s="83"/>
      <c r="AJU76" s="83"/>
      <c r="AJV76" s="83"/>
      <c r="AJW76" s="83"/>
      <c r="AJX76" s="83"/>
      <c r="AJY76" s="83"/>
      <c r="AJZ76" s="83"/>
      <c r="AKA76" s="83"/>
      <c r="AKB76" s="83"/>
      <c r="AKC76" s="83"/>
      <c r="AKD76" s="83"/>
      <c r="AKE76" s="83"/>
      <c r="AKF76" s="83"/>
      <c r="AKG76" s="83"/>
      <c r="AKH76" s="83"/>
      <c r="AKI76" s="83"/>
      <c r="AKJ76" s="83"/>
      <c r="AKK76" s="83"/>
      <c r="AKL76" s="83"/>
      <c r="AKM76" s="83"/>
      <c r="AKN76" s="83"/>
      <c r="AKO76" s="83"/>
      <c r="AKP76" s="83"/>
      <c r="AKQ76" s="83"/>
      <c r="AKR76" s="83"/>
      <c r="AKS76" s="83"/>
      <c r="AKT76" s="83"/>
      <c r="AKU76" s="83"/>
      <c r="AKV76" s="83"/>
      <c r="AKW76" s="83"/>
      <c r="AKX76" s="83"/>
      <c r="AKY76" s="83"/>
      <c r="AKZ76" s="83"/>
      <c r="ALA76" s="83"/>
      <c r="ALB76" s="83"/>
      <c r="ALC76" s="83"/>
      <c r="ALD76" s="83"/>
      <c r="ALE76" s="83"/>
      <c r="ALF76" s="83"/>
      <c r="ALG76" s="83"/>
      <c r="ALH76" s="83"/>
      <c r="ALI76" s="83"/>
      <c r="ALJ76" s="83"/>
      <c r="ALK76" s="83"/>
      <c r="ALL76" s="83"/>
      <c r="ALM76" s="83"/>
      <c r="ALN76" s="83"/>
      <c r="ALO76" s="83"/>
      <c r="ALP76" s="83"/>
      <c r="ALQ76" s="83"/>
      <c r="ALR76" s="83"/>
      <c r="ALS76" s="83"/>
      <c r="ALT76" s="83"/>
      <c r="ALU76" s="83"/>
      <c r="ALV76" s="83"/>
      <c r="ALW76" s="83"/>
      <c r="ALX76" s="83"/>
      <c r="ALY76" s="83"/>
      <c r="ALZ76" s="83"/>
      <c r="AMA76" s="83"/>
      <c r="AMB76" s="83"/>
      <c r="AMC76" s="83"/>
      <c r="AMD76" s="83"/>
      <c r="AME76" s="83"/>
      <c r="AMF76" s="83"/>
      <c r="AMG76" s="83"/>
      <c r="AMH76" s="83"/>
      <c r="AMI76" s="83"/>
      <c r="AMJ76" s="83"/>
    </row>
    <row r="77" spans="12:1024" ht="15.95" customHeight="1" x14ac:dyDescent="0.2">
      <c r="L77" s="83"/>
      <c r="M77" s="84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  <c r="FU77" s="83"/>
      <c r="FV77" s="83"/>
      <c r="FW77" s="83"/>
      <c r="FX77" s="83"/>
      <c r="FY77" s="83"/>
      <c r="FZ77" s="83"/>
      <c r="GA77" s="83"/>
      <c r="GB77" s="83"/>
      <c r="GC77" s="83"/>
      <c r="GD77" s="83"/>
      <c r="GE77" s="83"/>
      <c r="GF77" s="83"/>
      <c r="GG77" s="83"/>
      <c r="GH77" s="83"/>
      <c r="GI77" s="83"/>
      <c r="GJ77" s="83"/>
      <c r="GK77" s="83"/>
      <c r="GL77" s="83"/>
      <c r="GM77" s="83"/>
      <c r="GN77" s="83"/>
      <c r="GO77" s="83"/>
      <c r="GP77" s="83"/>
      <c r="GQ77" s="83"/>
      <c r="GR77" s="83"/>
      <c r="GS77" s="83"/>
      <c r="GT77" s="83"/>
      <c r="GU77" s="83"/>
      <c r="GV77" s="83"/>
      <c r="GW77" s="83"/>
      <c r="GX77" s="83"/>
      <c r="GY77" s="83"/>
      <c r="GZ77" s="83"/>
      <c r="HA77" s="83"/>
      <c r="HB77" s="83"/>
      <c r="HC77" s="83"/>
      <c r="HD77" s="83"/>
      <c r="HE77" s="83"/>
      <c r="HF77" s="83"/>
      <c r="HG77" s="83"/>
      <c r="HH77" s="83"/>
      <c r="HI77" s="83"/>
      <c r="HJ77" s="83"/>
      <c r="HK77" s="83"/>
      <c r="HL77" s="83"/>
      <c r="HM77" s="83"/>
      <c r="HN77" s="83"/>
      <c r="HO77" s="83"/>
      <c r="HP77" s="83"/>
      <c r="HQ77" s="83"/>
      <c r="HR77" s="83"/>
      <c r="HS77" s="83"/>
      <c r="HT77" s="83"/>
      <c r="HU77" s="83"/>
      <c r="HV77" s="83"/>
      <c r="HW77" s="83"/>
      <c r="HX77" s="83"/>
      <c r="HY77" s="83"/>
      <c r="HZ77" s="83"/>
      <c r="IA77" s="83"/>
      <c r="IB77" s="83"/>
      <c r="IC77" s="83"/>
      <c r="ID77" s="83"/>
      <c r="IE77" s="83"/>
      <c r="IF77" s="83"/>
      <c r="IG77" s="83"/>
      <c r="IH77" s="83"/>
      <c r="II77" s="83"/>
      <c r="IJ77" s="83"/>
      <c r="IK77" s="83"/>
      <c r="IL77" s="83"/>
      <c r="IM77" s="83"/>
      <c r="IN77" s="83"/>
      <c r="IO77" s="83"/>
      <c r="IP77" s="83"/>
      <c r="IQ77" s="83"/>
      <c r="IR77" s="83"/>
      <c r="IS77" s="83"/>
      <c r="IT77" s="83"/>
      <c r="IU77" s="83"/>
      <c r="IV77" s="83"/>
      <c r="IW77" s="83"/>
      <c r="IX77" s="83"/>
      <c r="IY77" s="83"/>
      <c r="IZ77" s="83"/>
      <c r="JA77" s="83"/>
      <c r="JB77" s="83"/>
      <c r="JC77" s="83"/>
      <c r="JD77" s="83"/>
      <c r="JE77" s="83"/>
      <c r="JF77" s="83"/>
      <c r="JG77" s="83"/>
      <c r="JH77" s="83"/>
      <c r="JI77" s="83"/>
      <c r="JJ77" s="83"/>
      <c r="JK77" s="83"/>
      <c r="JL77" s="83"/>
      <c r="JM77" s="83"/>
      <c r="JN77" s="83"/>
      <c r="JO77" s="83"/>
      <c r="JP77" s="83"/>
      <c r="JQ77" s="83"/>
      <c r="JR77" s="83"/>
      <c r="JS77" s="83"/>
      <c r="JT77" s="83"/>
      <c r="JU77" s="83"/>
      <c r="JV77" s="83"/>
      <c r="JW77" s="83"/>
      <c r="JX77" s="83"/>
      <c r="JY77" s="83"/>
      <c r="JZ77" s="83"/>
      <c r="KA77" s="83"/>
      <c r="KB77" s="83"/>
      <c r="KC77" s="83"/>
      <c r="KD77" s="83"/>
      <c r="KE77" s="83"/>
      <c r="KF77" s="83"/>
      <c r="KG77" s="83"/>
      <c r="KH77" s="83"/>
      <c r="KI77" s="83"/>
      <c r="KJ77" s="83"/>
      <c r="KK77" s="83"/>
      <c r="KL77" s="83"/>
      <c r="KM77" s="83"/>
      <c r="KN77" s="83"/>
      <c r="KO77" s="83"/>
      <c r="KP77" s="83"/>
      <c r="KQ77" s="83"/>
      <c r="KR77" s="83"/>
      <c r="KS77" s="83"/>
      <c r="KT77" s="83"/>
      <c r="KU77" s="83"/>
      <c r="KV77" s="83"/>
      <c r="KW77" s="83"/>
      <c r="KX77" s="83"/>
      <c r="KY77" s="83"/>
      <c r="KZ77" s="83"/>
      <c r="LA77" s="83"/>
      <c r="LB77" s="83"/>
      <c r="LC77" s="83"/>
      <c r="LD77" s="83"/>
      <c r="LE77" s="83"/>
      <c r="LF77" s="83"/>
      <c r="LG77" s="83"/>
      <c r="LH77" s="83"/>
      <c r="LI77" s="83"/>
      <c r="LJ77" s="83"/>
      <c r="LK77" s="83"/>
      <c r="LL77" s="83"/>
      <c r="LM77" s="83"/>
      <c r="LN77" s="83"/>
      <c r="LO77" s="83"/>
      <c r="LP77" s="83"/>
      <c r="LQ77" s="83"/>
      <c r="LR77" s="83"/>
      <c r="LS77" s="83"/>
      <c r="LT77" s="83"/>
      <c r="LU77" s="83"/>
      <c r="LV77" s="83"/>
      <c r="LW77" s="83"/>
      <c r="LX77" s="83"/>
      <c r="LY77" s="83"/>
      <c r="LZ77" s="83"/>
      <c r="MA77" s="83"/>
      <c r="MB77" s="83"/>
      <c r="MC77" s="83"/>
      <c r="MD77" s="83"/>
      <c r="ME77" s="83"/>
      <c r="MF77" s="83"/>
      <c r="MG77" s="83"/>
      <c r="MH77" s="83"/>
      <c r="MI77" s="83"/>
      <c r="MJ77" s="83"/>
      <c r="MK77" s="83"/>
      <c r="ML77" s="83"/>
      <c r="MM77" s="83"/>
      <c r="MN77" s="83"/>
      <c r="MO77" s="83"/>
      <c r="MP77" s="83"/>
      <c r="MQ77" s="83"/>
      <c r="MR77" s="83"/>
      <c r="MS77" s="83"/>
      <c r="MT77" s="83"/>
      <c r="MU77" s="83"/>
      <c r="MV77" s="83"/>
      <c r="MW77" s="83"/>
      <c r="MX77" s="83"/>
      <c r="MY77" s="83"/>
      <c r="MZ77" s="83"/>
      <c r="NA77" s="83"/>
      <c r="NB77" s="83"/>
      <c r="NC77" s="83"/>
      <c r="ND77" s="83"/>
      <c r="NE77" s="83"/>
      <c r="NF77" s="83"/>
      <c r="NG77" s="83"/>
      <c r="NH77" s="83"/>
      <c r="NI77" s="83"/>
      <c r="NJ77" s="83"/>
      <c r="NK77" s="83"/>
      <c r="NL77" s="83"/>
      <c r="NM77" s="83"/>
      <c r="NN77" s="83"/>
      <c r="NO77" s="83"/>
      <c r="NP77" s="83"/>
      <c r="NQ77" s="83"/>
      <c r="NR77" s="83"/>
      <c r="NS77" s="83"/>
      <c r="NT77" s="83"/>
      <c r="NU77" s="83"/>
      <c r="NV77" s="83"/>
      <c r="NW77" s="83"/>
      <c r="NX77" s="83"/>
      <c r="NY77" s="83"/>
      <c r="NZ77" s="83"/>
      <c r="OA77" s="83"/>
      <c r="OB77" s="83"/>
      <c r="OC77" s="83"/>
      <c r="OD77" s="83"/>
      <c r="OE77" s="83"/>
      <c r="OF77" s="83"/>
      <c r="OG77" s="83"/>
      <c r="OH77" s="83"/>
      <c r="OI77" s="83"/>
      <c r="OJ77" s="83"/>
      <c r="OK77" s="83"/>
      <c r="OL77" s="83"/>
      <c r="OM77" s="83"/>
      <c r="ON77" s="83"/>
      <c r="OO77" s="83"/>
      <c r="OP77" s="83"/>
      <c r="OQ77" s="83"/>
      <c r="OR77" s="83"/>
      <c r="OS77" s="83"/>
      <c r="OT77" s="83"/>
      <c r="OU77" s="83"/>
      <c r="OV77" s="83"/>
      <c r="OW77" s="83"/>
      <c r="OX77" s="83"/>
      <c r="OY77" s="83"/>
      <c r="OZ77" s="83"/>
      <c r="PA77" s="83"/>
      <c r="PB77" s="83"/>
      <c r="PC77" s="83"/>
      <c r="PD77" s="83"/>
      <c r="PE77" s="83"/>
      <c r="PF77" s="83"/>
      <c r="PG77" s="83"/>
      <c r="PH77" s="83"/>
      <c r="PI77" s="83"/>
      <c r="PJ77" s="83"/>
      <c r="PK77" s="83"/>
      <c r="PL77" s="83"/>
      <c r="PM77" s="83"/>
      <c r="PN77" s="83"/>
      <c r="PO77" s="83"/>
      <c r="PP77" s="83"/>
      <c r="PQ77" s="83"/>
      <c r="PR77" s="83"/>
      <c r="PS77" s="83"/>
      <c r="PT77" s="83"/>
      <c r="PU77" s="83"/>
      <c r="PV77" s="83"/>
      <c r="PW77" s="83"/>
      <c r="PX77" s="83"/>
      <c r="PY77" s="83"/>
      <c r="PZ77" s="83"/>
      <c r="QA77" s="83"/>
      <c r="QB77" s="83"/>
      <c r="QC77" s="83"/>
      <c r="QD77" s="83"/>
      <c r="QE77" s="83"/>
      <c r="QF77" s="83"/>
      <c r="QG77" s="83"/>
      <c r="QH77" s="83"/>
      <c r="QI77" s="83"/>
      <c r="QJ77" s="83"/>
      <c r="QK77" s="83"/>
      <c r="QL77" s="83"/>
      <c r="QM77" s="83"/>
      <c r="QN77" s="83"/>
      <c r="QO77" s="83"/>
      <c r="QP77" s="83"/>
      <c r="QQ77" s="83"/>
      <c r="QR77" s="83"/>
      <c r="QS77" s="83"/>
      <c r="QT77" s="83"/>
      <c r="QU77" s="83"/>
      <c r="QV77" s="83"/>
      <c r="QW77" s="83"/>
      <c r="QX77" s="83"/>
      <c r="QY77" s="83"/>
      <c r="QZ77" s="83"/>
      <c r="RA77" s="83"/>
      <c r="RB77" s="83"/>
      <c r="RC77" s="83"/>
      <c r="RD77" s="83"/>
      <c r="RE77" s="83"/>
      <c r="RF77" s="83"/>
      <c r="RG77" s="83"/>
      <c r="RH77" s="83"/>
      <c r="RI77" s="83"/>
      <c r="RJ77" s="83"/>
      <c r="RK77" s="83"/>
      <c r="RL77" s="83"/>
      <c r="RM77" s="83"/>
      <c r="RN77" s="83"/>
      <c r="RO77" s="83"/>
      <c r="RP77" s="83"/>
      <c r="RQ77" s="83"/>
      <c r="RR77" s="83"/>
      <c r="RS77" s="83"/>
      <c r="RT77" s="83"/>
      <c r="RU77" s="83"/>
      <c r="RV77" s="83"/>
      <c r="RW77" s="83"/>
      <c r="RX77" s="83"/>
      <c r="RY77" s="83"/>
      <c r="RZ77" s="83"/>
      <c r="SA77" s="83"/>
      <c r="SB77" s="83"/>
      <c r="SC77" s="83"/>
      <c r="SD77" s="83"/>
      <c r="SE77" s="83"/>
      <c r="SF77" s="83"/>
      <c r="SG77" s="83"/>
      <c r="SH77" s="83"/>
      <c r="SI77" s="83"/>
      <c r="SJ77" s="83"/>
      <c r="SK77" s="83"/>
      <c r="SL77" s="83"/>
      <c r="SM77" s="83"/>
      <c r="SN77" s="83"/>
      <c r="SO77" s="83"/>
      <c r="SP77" s="83"/>
      <c r="SQ77" s="83"/>
      <c r="SR77" s="83"/>
      <c r="SS77" s="83"/>
      <c r="ST77" s="83"/>
      <c r="SU77" s="83"/>
      <c r="SV77" s="83"/>
      <c r="SW77" s="83"/>
      <c r="SX77" s="83"/>
      <c r="SY77" s="83"/>
      <c r="SZ77" s="83"/>
      <c r="TA77" s="83"/>
      <c r="TB77" s="83"/>
      <c r="TC77" s="83"/>
      <c r="TD77" s="83"/>
      <c r="TE77" s="83"/>
      <c r="TF77" s="83"/>
      <c r="TG77" s="83"/>
      <c r="TH77" s="83"/>
      <c r="TI77" s="83"/>
      <c r="TJ77" s="83"/>
      <c r="TK77" s="83"/>
      <c r="TL77" s="83"/>
      <c r="TM77" s="83"/>
      <c r="TN77" s="83"/>
      <c r="TO77" s="83"/>
      <c r="TP77" s="83"/>
      <c r="TQ77" s="83"/>
      <c r="TR77" s="83"/>
      <c r="TS77" s="83"/>
      <c r="TT77" s="83"/>
      <c r="TU77" s="83"/>
      <c r="TV77" s="83"/>
      <c r="TW77" s="83"/>
      <c r="TX77" s="83"/>
      <c r="TY77" s="83"/>
      <c r="TZ77" s="83"/>
      <c r="UA77" s="83"/>
      <c r="UB77" s="83"/>
      <c r="UC77" s="83"/>
      <c r="UD77" s="83"/>
      <c r="UE77" s="83"/>
      <c r="UF77" s="83"/>
      <c r="UG77" s="83"/>
      <c r="UH77" s="83"/>
      <c r="UI77" s="83"/>
      <c r="UJ77" s="83"/>
      <c r="UK77" s="83"/>
      <c r="UL77" s="83"/>
      <c r="UM77" s="83"/>
      <c r="UN77" s="83"/>
      <c r="UO77" s="83"/>
      <c r="UP77" s="83"/>
      <c r="UQ77" s="83"/>
      <c r="UR77" s="83"/>
      <c r="US77" s="83"/>
      <c r="UT77" s="83"/>
      <c r="UU77" s="83"/>
      <c r="UV77" s="83"/>
      <c r="UW77" s="83"/>
      <c r="UX77" s="83"/>
      <c r="UY77" s="83"/>
      <c r="UZ77" s="83"/>
      <c r="VA77" s="83"/>
      <c r="VB77" s="83"/>
      <c r="VC77" s="83"/>
      <c r="VD77" s="83"/>
      <c r="VE77" s="83"/>
      <c r="VF77" s="83"/>
      <c r="VG77" s="83"/>
      <c r="VH77" s="83"/>
      <c r="VI77" s="83"/>
      <c r="VJ77" s="83"/>
      <c r="VK77" s="83"/>
      <c r="VL77" s="83"/>
      <c r="VM77" s="83"/>
      <c r="VN77" s="83"/>
      <c r="VO77" s="83"/>
      <c r="VP77" s="83"/>
      <c r="VQ77" s="83"/>
      <c r="VR77" s="83"/>
      <c r="VS77" s="83"/>
      <c r="VT77" s="83"/>
      <c r="VU77" s="83"/>
      <c r="VV77" s="83"/>
      <c r="VW77" s="83"/>
      <c r="VX77" s="83"/>
      <c r="VY77" s="83"/>
      <c r="VZ77" s="83"/>
      <c r="WA77" s="83"/>
      <c r="WB77" s="83"/>
      <c r="WC77" s="83"/>
      <c r="WD77" s="83"/>
      <c r="WE77" s="83"/>
      <c r="WF77" s="83"/>
      <c r="WG77" s="83"/>
      <c r="WH77" s="83"/>
      <c r="WI77" s="83"/>
      <c r="WJ77" s="83"/>
      <c r="WK77" s="83"/>
      <c r="WL77" s="83"/>
      <c r="WM77" s="83"/>
      <c r="WN77" s="83"/>
      <c r="WO77" s="83"/>
      <c r="WP77" s="83"/>
      <c r="WQ77" s="83"/>
      <c r="WR77" s="83"/>
      <c r="WS77" s="83"/>
      <c r="WT77" s="83"/>
      <c r="WU77" s="83"/>
      <c r="WV77" s="83"/>
      <c r="WW77" s="83"/>
      <c r="WX77" s="83"/>
      <c r="WY77" s="83"/>
      <c r="WZ77" s="83"/>
      <c r="XA77" s="83"/>
      <c r="XB77" s="83"/>
      <c r="XC77" s="83"/>
      <c r="XD77" s="83"/>
      <c r="XE77" s="83"/>
      <c r="XF77" s="83"/>
      <c r="XG77" s="83"/>
      <c r="XH77" s="83"/>
      <c r="XI77" s="83"/>
      <c r="XJ77" s="83"/>
      <c r="XK77" s="83"/>
      <c r="XL77" s="83"/>
      <c r="XM77" s="83"/>
      <c r="XN77" s="83"/>
      <c r="XO77" s="83"/>
      <c r="XP77" s="83"/>
      <c r="XQ77" s="83"/>
      <c r="XR77" s="83"/>
      <c r="XS77" s="83"/>
      <c r="XT77" s="83"/>
      <c r="XU77" s="83"/>
      <c r="XV77" s="83"/>
      <c r="XW77" s="83"/>
      <c r="XX77" s="83"/>
      <c r="XY77" s="83"/>
      <c r="XZ77" s="83"/>
      <c r="YA77" s="83"/>
      <c r="YB77" s="83"/>
      <c r="YC77" s="83"/>
      <c r="YD77" s="83"/>
      <c r="YE77" s="83"/>
      <c r="YF77" s="83"/>
      <c r="YG77" s="83"/>
      <c r="YH77" s="83"/>
      <c r="YI77" s="83"/>
      <c r="YJ77" s="83"/>
      <c r="YK77" s="83"/>
      <c r="YL77" s="83"/>
      <c r="YM77" s="83"/>
      <c r="YN77" s="83"/>
      <c r="YO77" s="83"/>
      <c r="YP77" s="83"/>
      <c r="YQ77" s="83"/>
      <c r="YR77" s="83"/>
      <c r="YS77" s="83"/>
      <c r="YT77" s="83"/>
      <c r="YU77" s="83"/>
      <c r="YV77" s="83"/>
      <c r="YW77" s="83"/>
      <c r="YX77" s="83"/>
      <c r="YY77" s="83"/>
      <c r="YZ77" s="83"/>
      <c r="ZA77" s="83"/>
      <c r="ZB77" s="83"/>
      <c r="ZC77" s="83"/>
      <c r="ZD77" s="83"/>
      <c r="ZE77" s="83"/>
      <c r="ZF77" s="83"/>
      <c r="ZG77" s="83"/>
      <c r="ZH77" s="83"/>
      <c r="ZI77" s="83"/>
      <c r="ZJ77" s="83"/>
      <c r="ZK77" s="83"/>
      <c r="ZL77" s="83"/>
      <c r="ZM77" s="83"/>
      <c r="ZN77" s="83"/>
      <c r="ZO77" s="83"/>
      <c r="ZP77" s="83"/>
      <c r="ZQ77" s="83"/>
      <c r="ZR77" s="83"/>
      <c r="ZS77" s="83"/>
      <c r="ZT77" s="83"/>
      <c r="ZU77" s="83"/>
      <c r="ZV77" s="83"/>
      <c r="ZW77" s="83"/>
      <c r="ZX77" s="83"/>
      <c r="ZY77" s="83"/>
      <c r="ZZ77" s="83"/>
      <c r="AAA77" s="83"/>
      <c r="AAB77" s="83"/>
      <c r="AAC77" s="83"/>
      <c r="AAD77" s="83"/>
      <c r="AAE77" s="83"/>
      <c r="AAF77" s="83"/>
      <c r="AAG77" s="83"/>
      <c r="AAH77" s="83"/>
      <c r="AAI77" s="83"/>
      <c r="AAJ77" s="83"/>
      <c r="AAK77" s="83"/>
      <c r="AAL77" s="83"/>
      <c r="AAM77" s="83"/>
      <c r="AAN77" s="83"/>
      <c r="AAO77" s="83"/>
      <c r="AAP77" s="83"/>
      <c r="AAQ77" s="83"/>
      <c r="AAR77" s="83"/>
      <c r="AAS77" s="83"/>
      <c r="AAT77" s="83"/>
      <c r="AAU77" s="83"/>
      <c r="AAV77" s="83"/>
      <c r="AAW77" s="83"/>
      <c r="AAX77" s="83"/>
      <c r="AAY77" s="83"/>
      <c r="AAZ77" s="83"/>
      <c r="ABA77" s="83"/>
      <c r="ABB77" s="83"/>
      <c r="ABC77" s="83"/>
      <c r="ABD77" s="83"/>
      <c r="ABE77" s="83"/>
      <c r="ABF77" s="83"/>
      <c r="ABG77" s="83"/>
      <c r="ABH77" s="83"/>
      <c r="ABI77" s="83"/>
      <c r="ABJ77" s="83"/>
      <c r="ABK77" s="83"/>
      <c r="ABL77" s="83"/>
      <c r="ABM77" s="83"/>
      <c r="ABN77" s="83"/>
      <c r="ABO77" s="83"/>
      <c r="ABP77" s="83"/>
      <c r="ABQ77" s="83"/>
      <c r="ABR77" s="83"/>
      <c r="ABS77" s="83"/>
      <c r="ABT77" s="83"/>
      <c r="ABU77" s="83"/>
      <c r="ABV77" s="83"/>
      <c r="ABW77" s="83"/>
      <c r="ABX77" s="83"/>
      <c r="ABY77" s="83"/>
      <c r="ABZ77" s="83"/>
      <c r="ACA77" s="83"/>
      <c r="ACB77" s="83"/>
      <c r="ACC77" s="83"/>
      <c r="ACD77" s="83"/>
      <c r="ACE77" s="83"/>
      <c r="ACF77" s="83"/>
      <c r="ACG77" s="83"/>
      <c r="ACH77" s="83"/>
      <c r="ACI77" s="83"/>
      <c r="ACJ77" s="83"/>
      <c r="ACK77" s="83"/>
      <c r="ACL77" s="83"/>
      <c r="ACM77" s="83"/>
      <c r="ACN77" s="83"/>
      <c r="ACO77" s="83"/>
      <c r="ACP77" s="83"/>
      <c r="ACQ77" s="83"/>
      <c r="ACR77" s="83"/>
      <c r="ACS77" s="83"/>
      <c r="ACT77" s="83"/>
      <c r="ACU77" s="83"/>
      <c r="ACV77" s="83"/>
      <c r="ACW77" s="83"/>
      <c r="ACX77" s="83"/>
      <c r="ACY77" s="83"/>
      <c r="ACZ77" s="83"/>
      <c r="ADA77" s="83"/>
      <c r="ADB77" s="83"/>
      <c r="ADC77" s="83"/>
      <c r="ADD77" s="83"/>
      <c r="ADE77" s="83"/>
      <c r="ADF77" s="83"/>
      <c r="ADG77" s="83"/>
      <c r="ADH77" s="83"/>
      <c r="ADI77" s="83"/>
      <c r="ADJ77" s="83"/>
      <c r="ADK77" s="83"/>
      <c r="ADL77" s="83"/>
      <c r="ADM77" s="83"/>
      <c r="ADN77" s="83"/>
      <c r="ADO77" s="83"/>
      <c r="ADP77" s="83"/>
      <c r="ADQ77" s="83"/>
      <c r="ADR77" s="83"/>
      <c r="ADS77" s="83"/>
      <c r="ADT77" s="83"/>
      <c r="ADU77" s="83"/>
      <c r="ADV77" s="83"/>
      <c r="ADW77" s="83"/>
      <c r="ADX77" s="83"/>
      <c r="ADY77" s="83"/>
      <c r="ADZ77" s="83"/>
      <c r="AEA77" s="83"/>
      <c r="AEB77" s="83"/>
      <c r="AEC77" s="83"/>
      <c r="AED77" s="83"/>
      <c r="AEE77" s="83"/>
      <c r="AEF77" s="83"/>
      <c r="AEG77" s="83"/>
      <c r="AEH77" s="83"/>
      <c r="AEI77" s="83"/>
      <c r="AEJ77" s="83"/>
      <c r="AEK77" s="83"/>
      <c r="AEL77" s="83"/>
      <c r="AEM77" s="83"/>
      <c r="AEN77" s="83"/>
      <c r="AEO77" s="83"/>
      <c r="AEP77" s="83"/>
      <c r="AEQ77" s="83"/>
      <c r="AER77" s="83"/>
      <c r="AES77" s="83"/>
      <c r="AET77" s="83"/>
      <c r="AEU77" s="83"/>
      <c r="AEV77" s="83"/>
      <c r="AEW77" s="83"/>
      <c r="AEX77" s="83"/>
      <c r="AEY77" s="83"/>
      <c r="AEZ77" s="83"/>
      <c r="AFA77" s="83"/>
      <c r="AFB77" s="83"/>
      <c r="AFC77" s="83"/>
      <c r="AFD77" s="83"/>
      <c r="AFE77" s="83"/>
      <c r="AFF77" s="83"/>
      <c r="AFG77" s="83"/>
      <c r="AFH77" s="83"/>
      <c r="AFI77" s="83"/>
      <c r="AFJ77" s="83"/>
      <c r="AFK77" s="83"/>
      <c r="AFL77" s="83"/>
      <c r="AFM77" s="83"/>
      <c r="AFN77" s="83"/>
      <c r="AFO77" s="83"/>
      <c r="AFP77" s="83"/>
      <c r="AFQ77" s="83"/>
      <c r="AFR77" s="83"/>
      <c r="AFS77" s="83"/>
      <c r="AFT77" s="83"/>
      <c r="AFU77" s="83"/>
      <c r="AFV77" s="83"/>
      <c r="AFW77" s="83"/>
      <c r="AFX77" s="83"/>
      <c r="AFY77" s="83"/>
      <c r="AFZ77" s="83"/>
      <c r="AGA77" s="83"/>
      <c r="AGB77" s="83"/>
      <c r="AGC77" s="83"/>
      <c r="AGD77" s="83"/>
      <c r="AGE77" s="83"/>
      <c r="AGF77" s="83"/>
      <c r="AGG77" s="83"/>
      <c r="AGH77" s="83"/>
      <c r="AGI77" s="83"/>
      <c r="AGJ77" s="83"/>
      <c r="AGK77" s="83"/>
      <c r="AGL77" s="83"/>
      <c r="AGM77" s="83"/>
      <c r="AGN77" s="83"/>
      <c r="AGO77" s="83"/>
      <c r="AGP77" s="83"/>
      <c r="AGQ77" s="83"/>
      <c r="AGR77" s="83"/>
      <c r="AGS77" s="83"/>
      <c r="AGT77" s="83"/>
      <c r="AGU77" s="83"/>
      <c r="AGV77" s="83"/>
      <c r="AGW77" s="83"/>
      <c r="AGX77" s="83"/>
      <c r="AGY77" s="83"/>
      <c r="AGZ77" s="83"/>
      <c r="AHA77" s="83"/>
      <c r="AHB77" s="83"/>
      <c r="AHC77" s="83"/>
      <c r="AHD77" s="83"/>
      <c r="AHE77" s="83"/>
      <c r="AHF77" s="83"/>
      <c r="AHG77" s="83"/>
      <c r="AHH77" s="83"/>
      <c r="AHI77" s="83"/>
      <c r="AHJ77" s="83"/>
      <c r="AHK77" s="83"/>
      <c r="AHL77" s="83"/>
      <c r="AHM77" s="83"/>
      <c r="AHN77" s="83"/>
      <c r="AHO77" s="83"/>
      <c r="AHP77" s="83"/>
      <c r="AHQ77" s="83"/>
      <c r="AHR77" s="83"/>
      <c r="AHS77" s="83"/>
      <c r="AHT77" s="83"/>
      <c r="AHU77" s="83"/>
      <c r="AHV77" s="83"/>
      <c r="AHW77" s="83"/>
      <c r="AHX77" s="83"/>
      <c r="AHY77" s="83"/>
      <c r="AHZ77" s="83"/>
      <c r="AIA77" s="83"/>
      <c r="AIB77" s="83"/>
      <c r="AIC77" s="83"/>
      <c r="AID77" s="83"/>
      <c r="AIE77" s="83"/>
      <c r="AIF77" s="83"/>
      <c r="AIG77" s="83"/>
      <c r="AIH77" s="83"/>
      <c r="AII77" s="83"/>
      <c r="AIJ77" s="83"/>
      <c r="AIK77" s="83"/>
      <c r="AIL77" s="83"/>
      <c r="AIM77" s="83"/>
      <c r="AIN77" s="83"/>
      <c r="AIO77" s="83"/>
      <c r="AIP77" s="83"/>
      <c r="AIQ77" s="83"/>
      <c r="AIR77" s="83"/>
      <c r="AIS77" s="83"/>
      <c r="AIT77" s="83"/>
      <c r="AIU77" s="83"/>
      <c r="AIV77" s="83"/>
      <c r="AIW77" s="83"/>
      <c r="AIX77" s="83"/>
      <c r="AIY77" s="83"/>
      <c r="AIZ77" s="83"/>
      <c r="AJA77" s="83"/>
      <c r="AJB77" s="83"/>
      <c r="AJC77" s="83"/>
      <c r="AJD77" s="83"/>
      <c r="AJE77" s="83"/>
      <c r="AJF77" s="83"/>
      <c r="AJG77" s="83"/>
      <c r="AJH77" s="83"/>
      <c r="AJI77" s="83"/>
      <c r="AJJ77" s="83"/>
      <c r="AJK77" s="83"/>
      <c r="AJL77" s="83"/>
      <c r="AJM77" s="83"/>
      <c r="AJN77" s="83"/>
      <c r="AJO77" s="83"/>
      <c r="AJP77" s="83"/>
      <c r="AJQ77" s="83"/>
      <c r="AJR77" s="83"/>
      <c r="AJS77" s="83"/>
      <c r="AJT77" s="83"/>
      <c r="AJU77" s="83"/>
      <c r="AJV77" s="83"/>
      <c r="AJW77" s="83"/>
      <c r="AJX77" s="83"/>
      <c r="AJY77" s="83"/>
      <c r="AJZ77" s="83"/>
      <c r="AKA77" s="83"/>
      <c r="AKB77" s="83"/>
      <c r="AKC77" s="83"/>
      <c r="AKD77" s="83"/>
      <c r="AKE77" s="83"/>
      <c r="AKF77" s="83"/>
      <c r="AKG77" s="83"/>
      <c r="AKH77" s="83"/>
      <c r="AKI77" s="83"/>
      <c r="AKJ77" s="83"/>
      <c r="AKK77" s="83"/>
      <c r="AKL77" s="83"/>
      <c r="AKM77" s="83"/>
      <c r="AKN77" s="83"/>
      <c r="AKO77" s="83"/>
      <c r="AKP77" s="83"/>
      <c r="AKQ77" s="83"/>
      <c r="AKR77" s="83"/>
      <c r="AKS77" s="83"/>
      <c r="AKT77" s="83"/>
      <c r="AKU77" s="83"/>
      <c r="AKV77" s="83"/>
      <c r="AKW77" s="83"/>
      <c r="AKX77" s="83"/>
      <c r="AKY77" s="83"/>
      <c r="AKZ77" s="83"/>
      <c r="ALA77" s="83"/>
      <c r="ALB77" s="83"/>
      <c r="ALC77" s="83"/>
      <c r="ALD77" s="83"/>
      <c r="ALE77" s="83"/>
      <c r="ALF77" s="83"/>
      <c r="ALG77" s="83"/>
      <c r="ALH77" s="83"/>
      <c r="ALI77" s="83"/>
      <c r="ALJ77" s="83"/>
      <c r="ALK77" s="83"/>
      <c r="ALL77" s="83"/>
      <c r="ALM77" s="83"/>
      <c r="ALN77" s="83"/>
      <c r="ALO77" s="83"/>
      <c r="ALP77" s="83"/>
      <c r="ALQ77" s="83"/>
      <c r="ALR77" s="83"/>
      <c r="ALS77" s="83"/>
      <c r="ALT77" s="83"/>
      <c r="ALU77" s="83"/>
      <c r="ALV77" s="83"/>
      <c r="ALW77" s="83"/>
      <c r="ALX77" s="83"/>
      <c r="ALY77" s="83"/>
      <c r="ALZ77" s="83"/>
      <c r="AMA77" s="83"/>
      <c r="AMB77" s="83"/>
      <c r="AMC77" s="83"/>
      <c r="AMD77" s="83"/>
      <c r="AME77" s="83"/>
      <c r="AMF77" s="83"/>
      <c r="AMG77" s="83"/>
      <c r="AMH77" s="83"/>
      <c r="AMI77" s="83"/>
      <c r="AMJ77" s="83"/>
    </row>
    <row r="78" spans="12:1024" ht="15.95" customHeight="1" x14ac:dyDescent="0.2">
      <c r="L78" s="83"/>
      <c r="M78" s="84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3"/>
      <c r="EW78" s="83"/>
      <c r="EX78" s="83"/>
      <c r="EY78" s="83"/>
      <c r="EZ78" s="83"/>
      <c r="FA78" s="83"/>
      <c r="FB78" s="83"/>
      <c r="FC78" s="83"/>
      <c r="FD78" s="83"/>
      <c r="FE78" s="83"/>
      <c r="FF78" s="83"/>
      <c r="FG78" s="83"/>
      <c r="FH78" s="83"/>
      <c r="FI78" s="83"/>
      <c r="FJ78" s="83"/>
      <c r="FK78" s="83"/>
      <c r="FL78" s="83"/>
      <c r="FM78" s="83"/>
      <c r="FN78" s="83"/>
      <c r="FO78" s="83"/>
      <c r="FP78" s="83"/>
      <c r="FQ78" s="83"/>
      <c r="FR78" s="83"/>
      <c r="FS78" s="83"/>
      <c r="FT78" s="83"/>
      <c r="FU78" s="83"/>
      <c r="FV78" s="83"/>
      <c r="FW78" s="83"/>
      <c r="FX78" s="83"/>
      <c r="FY78" s="83"/>
      <c r="FZ78" s="83"/>
      <c r="GA78" s="83"/>
      <c r="GB78" s="83"/>
      <c r="GC78" s="83"/>
      <c r="GD78" s="83"/>
      <c r="GE78" s="83"/>
      <c r="GF78" s="83"/>
      <c r="GG78" s="83"/>
      <c r="GH78" s="83"/>
      <c r="GI78" s="83"/>
      <c r="GJ78" s="83"/>
      <c r="GK78" s="83"/>
      <c r="GL78" s="83"/>
      <c r="GM78" s="83"/>
      <c r="GN78" s="83"/>
      <c r="GO78" s="83"/>
      <c r="GP78" s="83"/>
      <c r="GQ78" s="83"/>
      <c r="GR78" s="83"/>
      <c r="GS78" s="83"/>
      <c r="GT78" s="83"/>
      <c r="GU78" s="83"/>
      <c r="GV78" s="83"/>
      <c r="GW78" s="83"/>
      <c r="GX78" s="83"/>
      <c r="GY78" s="83"/>
      <c r="GZ78" s="83"/>
      <c r="HA78" s="83"/>
      <c r="HB78" s="83"/>
      <c r="HC78" s="83"/>
      <c r="HD78" s="83"/>
      <c r="HE78" s="83"/>
      <c r="HF78" s="83"/>
      <c r="HG78" s="83"/>
      <c r="HH78" s="83"/>
      <c r="HI78" s="83"/>
      <c r="HJ78" s="83"/>
      <c r="HK78" s="83"/>
      <c r="HL78" s="83"/>
      <c r="HM78" s="83"/>
      <c r="HN78" s="83"/>
      <c r="HO78" s="83"/>
      <c r="HP78" s="83"/>
      <c r="HQ78" s="83"/>
      <c r="HR78" s="83"/>
      <c r="HS78" s="83"/>
      <c r="HT78" s="83"/>
      <c r="HU78" s="83"/>
      <c r="HV78" s="83"/>
      <c r="HW78" s="83"/>
      <c r="HX78" s="83"/>
      <c r="HY78" s="83"/>
      <c r="HZ78" s="83"/>
      <c r="IA78" s="83"/>
      <c r="IB78" s="83"/>
      <c r="IC78" s="83"/>
      <c r="ID78" s="83"/>
      <c r="IE78" s="83"/>
      <c r="IF78" s="83"/>
      <c r="IG78" s="83"/>
      <c r="IH78" s="83"/>
      <c r="II78" s="83"/>
      <c r="IJ78" s="83"/>
      <c r="IK78" s="83"/>
      <c r="IL78" s="83"/>
      <c r="IM78" s="83"/>
      <c r="IN78" s="83"/>
      <c r="IO78" s="83"/>
      <c r="IP78" s="83"/>
      <c r="IQ78" s="83"/>
      <c r="IR78" s="83"/>
      <c r="IS78" s="83"/>
      <c r="IT78" s="83"/>
      <c r="IU78" s="83"/>
      <c r="IV78" s="83"/>
      <c r="IW78" s="83"/>
      <c r="IX78" s="83"/>
      <c r="IY78" s="83"/>
      <c r="IZ78" s="83"/>
      <c r="JA78" s="83"/>
      <c r="JB78" s="83"/>
      <c r="JC78" s="83"/>
      <c r="JD78" s="83"/>
      <c r="JE78" s="83"/>
      <c r="JF78" s="83"/>
      <c r="JG78" s="83"/>
      <c r="JH78" s="83"/>
      <c r="JI78" s="83"/>
      <c r="JJ78" s="83"/>
      <c r="JK78" s="83"/>
      <c r="JL78" s="83"/>
      <c r="JM78" s="83"/>
      <c r="JN78" s="83"/>
      <c r="JO78" s="83"/>
      <c r="JP78" s="83"/>
      <c r="JQ78" s="83"/>
      <c r="JR78" s="83"/>
      <c r="JS78" s="83"/>
      <c r="JT78" s="83"/>
      <c r="JU78" s="83"/>
      <c r="JV78" s="83"/>
      <c r="JW78" s="83"/>
      <c r="JX78" s="83"/>
      <c r="JY78" s="83"/>
      <c r="JZ78" s="83"/>
      <c r="KA78" s="83"/>
      <c r="KB78" s="83"/>
      <c r="KC78" s="83"/>
      <c r="KD78" s="83"/>
      <c r="KE78" s="83"/>
      <c r="KF78" s="83"/>
      <c r="KG78" s="83"/>
      <c r="KH78" s="83"/>
      <c r="KI78" s="83"/>
      <c r="KJ78" s="83"/>
      <c r="KK78" s="83"/>
      <c r="KL78" s="83"/>
      <c r="KM78" s="83"/>
      <c r="KN78" s="83"/>
      <c r="KO78" s="83"/>
      <c r="KP78" s="83"/>
      <c r="KQ78" s="83"/>
      <c r="KR78" s="83"/>
      <c r="KS78" s="83"/>
      <c r="KT78" s="83"/>
      <c r="KU78" s="83"/>
      <c r="KV78" s="83"/>
      <c r="KW78" s="83"/>
      <c r="KX78" s="83"/>
      <c r="KY78" s="83"/>
      <c r="KZ78" s="83"/>
      <c r="LA78" s="83"/>
      <c r="LB78" s="83"/>
      <c r="LC78" s="83"/>
      <c r="LD78" s="83"/>
      <c r="LE78" s="83"/>
      <c r="LF78" s="83"/>
      <c r="LG78" s="83"/>
      <c r="LH78" s="83"/>
      <c r="LI78" s="83"/>
      <c r="LJ78" s="83"/>
      <c r="LK78" s="83"/>
      <c r="LL78" s="83"/>
      <c r="LM78" s="83"/>
      <c r="LN78" s="83"/>
      <c r="LO78" s="83"/>
      <c r="LP78" s="83"/>
      <c r="LQ78" s="83"/>
      <c r="LR78" s="83"/>
      <c r="LS78" s="83"/>
      <c r="LT78" s="83"/>
      <c r="LU78" s="83"/>
      <c r="LV78" s="83"/>
      <c r="LW78" s="83"/>
      <c r="LX78" s="83"/>
      <c r="LY78" s="83"/>
      <c r="LZ78" s="83"/>
      <c r="MA78" s="83"/>
      <c r="MB78" s="83"/>
      <c r="MC78" s="83"/>
      <c r="MD78" s="83"/>
      <c r="ME78" s="83"/>
      <c r="MF78" s="83"/>
      <c r="MG78" s="83"/>
      <c r="MH78" s="83"/>
      <c r="MI78" s="83"/>
      <c r="MJ78" s="83"/>
      <c r="MK78" s="83"/>
      <c r="ML78" s="83"/>
      <c r="MM78" s="83"/>
      <c r="MN78" s="83"/>
      <c r="MO78" s="83"/>
      <c r="MP78" s="83"/>
      <c r="MQ78" s="83"/>
      <c r="MR78" s="83"/>
      <c r="MS78" s="83"/>
      <c r="MT78" s="83"/>
      <c r="MU78" s="83"/>
      <c r="MV78" s="83"/>
      <c r="MW78" s="83"/>
      <c r="MX78" s="83"/>
      <c r="MY78" s="83"/>
      <c r="MZ78" s="83"/>
      <c r="NA78" s="83"/>
      <c r="NB78" s="83"/>
      <c r="NC78" s="83"/>
      <c r="ND78" s="83"/>
      <c r="NE78" s="83"/>
      <c r="NF78" s="83"/>
      <c r="NG78" s="83"/>
      <c r="NH78" s="83"/>
      <c r="NI78" s="83"/>
      <c r="NJ78" s="83"/>
      <c r="NK78" s="83"/>
      <c r="NL78" s="83"/>
      <c r="NM78" s="83"/>
      <c r="NN78" s="83"/>
      <c r="NO78" s="83"/>
      <c r="NP78" s="83"/>
      <c r="NQ78" s="83"/>
      <c r="NR78" s="83"/>
      <c r="NS78" s="83"/>
      <c r="NT78" s="83"/>
      <c r="NU78" s="83"/>
      <c r="NV78" s="83"/>
      <c r="NW78" s="83"/>
      <c r="NX78" s="83"/>
      <c r="NY78" s="83"/>
      <c r="NZ78" s="83"/>
      <c r="OA78" s="83"/>
      <c r="OB78" s="83"/>
      <c r="OC78" s="83"/>
      <c r="OD78" s="83"/>
      <c r="OE78" s="83"/>
      <c r="OF78" s="83"/>
      <c r="OG78" s="83"/>
      <c r="OH78" s="83"/>
      <c r="OI78" s="83"/>
      <c r="OJ78" s="83"/>
      <c r="OK78" s="83"/>
      <c r="OL78" s="83"/>
      <c r="OM78" s="83"/>
      <c r="ON78" s="83"/>
      <c r="OO78" s="83"/>
      <c r="OP78" s="83"/>
      <c r="OQ78" s="83"/>
      <c r="OR78" s="83"/>
      <c r="OS78" s="83"/>
      <c r="OT78" s="83"/>
      <c r="OU78" s="83"/>
      <c r="OV78" s="83"/>
      <c r="OW78" s="83"/>
      <c r="OX78" s="83"/>
      <c r="OY78" s="83"/>
      <c r="OZ78" s="83"/>
      <c r="PA78" s="83"/>
      <c r="PB78" s="83"/>
      <c r="PC78" s="83"/>
      <c r="PD78" s="83"/>
      <c r="PE78" s="83"/>
      <c r="PF78" s="83"/>
      <c r="PG78" s="83"/>
      <c r="PH78" s="83"/>
      <c r="PI78" s="83"/>
      <c r="PJ78" s="83"/>
      <c r="PK78" s="83"/>
      <c r="PL78" s="83"/>
      <c r="PM78" s="83"/>
      <c r="PN78" s="83"/>
      <c r="PO78" s="83"/>
      <c r="PP78" s="83"/>
      <c r="PQ78" s="83"/>
      <c r="PR78" s="83"/>
      <c r="PS78" s="83"/>
      <c r="PT78" s="83"/>
      <c r="PU78" s="83"/>
      <c r="PV78" s="83"/>
      <c r="PW78" s="83"/>
      <c r="PX78" s="83"/>
      <c r="PY78" s="83"/>
      <c r="PZ78" s="83"/>
      <c r="QA78" s="83"/>
      <c r="QB78" s="83"/>
      <c r="QC78" s="83"/>
      <c r="QD78" s="83"/>
      <c r="QE78" s="83"/>
      <c r="QF78" s="83"/>
      <c r="QG78" s="83"/>
      <c r="QH78" s="83"/>
      <c r="QI78" s="83"/>
      <c r="QJ78" s="83"/>
      <c r="QK78" s="83"/>
      <c r="QL78" s="83"/>
      <c r="QM78" s="83"/>
      <c r="QN78" s="83"/>
      <c r="QO78" s="83"/>
      <c r="QP78" s="83"/>
      <c r="QQ78" s="83"/>
      <c r="QR78" s="83"/>
      <c r="QS78" s="83"/>
      <c r="QT78" s="83"/>
      <c r="QU78" s="83"/>
      <c r="QV78" s="83"/>
      <c r="QW78" s="83"/>
      <c r="QX78" s="83"/>
      <c r="QY78" s="83"/>
      <c r="QZ78" s="83"/>
      <c r="RA78" s="83"/>
      <c r="RB78" s="83"/>
      <c r="RC78" s="83"/>
      <c r="RD78" s="83"/>
      <c r="RE78" s="83"/>
      <c r="RF78" s="83"/>
      <c r="RG78" s="83"/>
      <c r="RH78" s="83"/>
      <c r="RI78" s="83"/>
      <c r="RJ78" s="83"/>
      <c r="RK78" s="83"/>
      <c r="RL78" s="83"/>
      <c r="RM78" s="83"/>
      <c r="RN78" s="83"/>
      <c r="RO78" s="83"/>
      <c r="RP78" s="83"/>
      <c r="RQ78" s="83"/>
      <c r="RR78" s="83"/>
      <c r="RS78" s="83"/>
      <c r="RT78" s="83"/>
      <c r="RU78" s="83"/>
      <c r="RV78" s="83"/>
      <c r="RW78" s="83"/>
      <c r="RX78" s="83"/>
      <c r="RY78" s="83"/>
      <c r="RZ78" s="83"/>
      <c r="SA78" s="83"/>
      <c r="SB78" s="83"/>
      <c r="SC78" s="83"/>
      <c r="SD78" s="83"/>
      <c r="SE78" s="83"/>
      <c r="SF78" s="83"/>
      <c r="SG78" s="83"/>
      <c r="SH78" s="83"/>
      <c r="SI78" s="83"/>
      <c r="SJ78" s="83"/>
      <c r="SK78" s="83"/>
      <c r="SL78" s="83"/>
      <c r="SM78" s="83"/>
      <c r="SN78" s="83"/>
      <c r="SO78" s="83"/>
      <c r="SP78" s="83"/>
      <c r="SQ78" s="83"/>
      <c r="SR78" s="83"/>
      <c r="SS78" s="83"/>
      <c r="ST78" s="83"/>
      <c r="SU78" s="83"/>
      <c r="SV78" s="83"/>
      <c r="SW78" s="83"/>
      <c r="SX78" s="83"/>
      <c r="SY78" s="83"/>
      <c r="SZ78" s="83"/>
      <c r="TA78" s="83"/>
      <c r="TB78" s="83"/>
      <c r="TC78" s="83"/>
      <c r="TD78" s="83"/>
      <c r="TE78" s="83"/>
      <c r="TF78" s="83"/>
      <c r="TG78" s="83"/>
      <c r="TH78" s="83"/>
      <c r="TI78" s="83"/>
      <c r="TJ78" s="83"/>
      <c r="TK78" s="83"/>
      <c r="TL78" s="83"/>
      <c r="TM78" s="83"/>
      <c r="TN78" s="83"/>
      <c r="TO78" s="83"/>
      <c r="TP78" s="83"/>
      <c r="TQ78" s="83"/>
      <c r="TR78" s="83"/>
      <c r="TS78" s="83"/>
      <c r="TT78" s="83"/>
      <c r="TU78" s="83"/>
      <c r="TV78" s="83"/>
      <c r="TW78" s="83"/>
      <c r="TX78" s="83"/>
      <c r="TY78" s="83"/>
      <c r="TZ78" s="83"/>
      <c r="UA78" s="83"/>
      <c r="UB78" s="83"/>
      <c r="UC78" s="83"/>
      <c r="UD78" s="83"/>
      <c r="UE78" s="83"/>
      <c r="UF78" s="83"/>
      <c r="UG78" s="83"/>
      <c r="UH78" s="83"/>
      <c r="UI78" s="83"/>
      <c r="UJ78" s="83"/>
      <c r="UK78" s="83"/>
      <c r="UL78" s="83"/>
      <c r="UM78" s="83"/>
      <c r="UN78" s="83"/>
      <c r="UO78" s="83"/>
      <c r="UP78" s="83"/>
      <c r="UQ78" s="83"/>
      <c r="UR78" s="83"/>
      <c r="US78" s="83"/>
      <c r="UT78" s="83"/>
      <c r="UU78" s="83"/>
      <c r="UV78" s="83"/>
      <c r="UW78" s="83"/>
      <c r="UX78" s="83"/>
      <c r="UY78" s="83"/>
      <c r="UZ78" s="83"/>
      <c r="VA78" s="83"/>
      <c r="VB78" s="83"/>
      <c r="VC78" s="83"/>
      <c r="VD78" s="83"/>
      <c r="VE78" s="83"/>
      <c r="VF78" s="83"/>
      <c r="VG78" s="83"/>
      <c r="VH78" s="83"/>
      <c r="VI78" s="83"/>
      <c r="VJ78" s="83"/>
      <c r="VK78" s="83"/>
      <c r="VL78" s="83"/>
      <c r="VM78" s="83"/>
      <c r="VN78" s="83"/>
      <c r="VO78" s="83"/>
      <c r="VP78" s="83"/>
      <c r="VQ78" s="83"/>
      <c r="VR78" s="83"/>
      <c r="VS78" s="83"/>
      <c r="VT78" s="83"/>
      <c r="VU78" s="83"/>
      <c r="VV78" s="83"/>
      <c r="VW78" s="83"/>
      <c r="VX78" s="83"/>
      <c r="VY78" s="83"/>
      <c r="VZ78" s="83"/>
      <c r="WA78" s="83"/>
      <c r="WB78" s="83"/>
      <c r="WC78" s="83"/>
      <c r="WD78" s="83"/>
      <c r="WE78" s="83"/>
      <c r="WF78" s="83"/>
      <c r="WG78" s="83"/>
      <c r="WH78" s="83"/>
      <c r="WI78" s="83"/>
      <c r="WJ78" s="83"/>
      <c r="WK78" s="83"/>
      <c r="WL78" s="83"/>
      <c r="WM78" s="83"/>
      <c r="WN78" s="83"/>
      <c r="WO78" s="83"/>
      <c r="WP78" s="83"/>
      <c r="WQ78" s="83"/>
      <c r="WR78" s="83"/>
      <c r="WS78" s="83"/>
      <c r="WT78" s="83"/>
      <c r="WU78" s="83"/>
      <c r="WV78" s="83"/>
      <c r="WW78" s="83"/>
      <c r="WX78" s="83"/>
      <c r="WY78" s="83"/>
      <c r="WZ78" s="83"/>
      <c r="XA78" s="83"/>
      <c r="XB78" s="83"/>
      <c r="XC78" s="83"/>
      <c r="XD78" s="83"/>
      <c r="XE78" s="83"/>
      <c r="XF78" s="83"/>
      <c r="XG78" s="83"/>
      <c r="XH78" s="83"/>
      <c r="XI78" s="83"/>
      <c r="XJ78" s="83"/>
      <c r="XK78" s="83"/>
      <c r="XL78" s="83"/>
      <c r="XM78" s="83"/>
      <c r="XN78" s="83"/>
      <c r="XO78" s="83"/>
      <c r="XP78" s="83"/>
      <c r="XQ78" s="83"/>
      <c r="XR78" s="83"/>
      <c r="XS78" s="83"/>
      <c r="XT78" s="83"/>
      <c r="XU78" s="83"/>
      <c r="XV78" s="83"/>
      <c r="XW78" s="83"/>
      <c r="XX78" s="83"/>
      <c r="XY78" s="83"/>
      <c r="XZ78" s="83"/>
      <c r="YA78" s="83"/>
      <c r="YB78" s="83"/>
      <c r="YC78" s="83"/>
      <c r="YD78" s="83"/>
      <c r="YE78" s="83"/>
      <c r="YF78" s="83"/>
      <c r="YG78" s="83"/>
      <c r="YH78" s="83"/>
      <c r="YI78" s="83"/>
      <c r="YJ78" s="83"/>
      <c r="YK78" s="83"/>
      <c r="YL78" s="83"/>
      <c r="YM78" s="83"/>
      <c r="YN78" s="83"/>
      <c r="YO78" s="83"/>
      <c r="YP78" s="83"/>
      <c r="YQ78" s="83"/>
      <c r="YR78" s="83"/>
      <c r="YS78" s="83"/>
      <c r="YT78" s="83"/>
      <c r="YU78" s="83"/>
      <c r="YV78" s="83"/>
      <c r="YW78" s="83"/>
      <c r="YX78" s="83"/>
      <c r="YY78" s="83"/>
      <c r="YZ78" s="83"/>
      <c r="ZA78" s="83"/>
      <c r="ZB78" s="83"/>
      <c r="ZC78" s="83"/>
      <c r="ZD78" s="83"/>
      <c r="ZE78" s="83"/>
      <c r="ZF78" s="83"/>
      <c r="ZG78" s="83"/>
      <c r="ZH78" s="83"/>
      <c r="ZI78" s="83"/>
      <c r="ZJ78" s="83"/>
      <c r="ZK78" s="83"/>
      <c r="ZL78" s="83"/>
      <c r="ZM78" s="83"/>
      <c r="ZN78" s="83"/>
      <c r="ZO78" s="83"/>
      <c r="ZP78" s="83"/>
      <c r="ZQ78" s="83"/>
      <c r="ZR78" s="83"/>
      <c r="ZS78" s="83"/>
      <c r="ZT78" s="83"/>
      <c r="ZU78" s="83"/>
      <c r="ZV78" s="83"/>
      <c r="ZW78" s="83"/>
      <c r="ZX78" s="83"/>
      <c r="ZY78" s="83"/>
      <c r="ZZ78" s="83"/>
      <c r="AAA78" s="83"/>
      <c r="AAB78" s="83"/>
      <c r="AAC78" s="83"/>
      <c r="AAD78" s="83"/>
      <c r="AAE78" s="83"/>
      <c r="AAF78" s="83"/>
      <c r="AAG78" s="83"/>
      <c r="AAH78" s="83"/>
      <c r="AAI78" s="83"/>
      <c r="AAJ78" s="83"/>
      <c r="AAK78" s="83"/>
      <c r="AAL78" s="83"/>
      <c r="AAM78" s="83"/>
      <c r="AAN78" s="83"/>
      <c r="AAO78" s="83"/>
      <c r="AAP78" s="83"/>
      <c r="AAQ78" s="83"/>
      <c r="AAR78" s="83"/>
      <c r="AAS78" s="83"/>
      <c r="AAT78" s="83"/>
      <c r="AAU78" s="83"/>
      <c r="AAV78" s="83"/>
      <c r="AAW78" s="83"/>
      <c r="AAX78" s="83"/>
      <c r="AAY78" s="83"/>
      <c r="AAZ78" s="83"/>
      <c r="ABA78" s="83"/>
      <c r="ABB78" s="83"/>
      <c r="ABC78" s="83"/>
      <c r="ABD78" s="83"/>
      <c r="ABE78" s="83"/>
      <c r="ABF78" s="83"/>
      <c r="ABG78" s="83"/>
      <c r="ABH78" s="83"/>
      <c r="ABI78" s="83"/>
      <c r="ABJ78" s="83"/>
      <c r="ABK78" s="83"/>
      <c r="ABL78" s="83"/>
      <c r="ABM78" s="83"/>
      <c r="ABN78" s="83"/>
      <c r="ABO78" s="83"/>
      <c r="ABP78" s="83"/>
      <c r="ABQ78" s="83"/>
      <c r="ABR78" s="83"/>
      <c r="ABS78" s="83"/>
      <c r="ABT78" s="83"/>
      <c r="ABU78" s="83"/>
      <c r="ABV78" s="83"/>
      <c r="ABW78" s="83"/>
      <c r="ABX78" s="83"/>
      <c r="ABY78" s="83"/>
      <c r="ABZ78" s="83"/>
      <c r="ACA78" s="83"/>
      <c r="ACB78" s="83"/>
      <c r="ACC78" s="83"/>
      <c r="ACD78" s="83"/>
      <c r="ACE78" s="83"/>
      <c r="ACF78" s="83"/>
      <c r="ACG78" s="83"/>
      <c r="ACH78" s="83"/>
      <c r="ACI78" s="83"/>
      <c r="ACJ78" s="83"/>
      <c r="ACK78" s="83"/>
      <c r="ACL78" s="83"/>
      <c r="ACM78" s="83"/>
      <c r="ACN78" s="83"/>
      <c r="ACO78" s="83"/>
      <c r="ACP78" s="83"/>
      <c r="ACQ78" s="83"/>
      <c r="ACR78" s="83"/>
      <c r="ACS78" s="83"/>
      <c r="ACT78" s="83"/>
      <c r="ACU78" s="83"/>
      <c r="ACV78" s="83"/>
      <c r="ACW78" s="83"/>
      <c r="ACX78" s="83"/>
      <c r="ACY78" s="83"/>
      <c r="ACZ78" s="83"/>
      <c r="ADA78" s="83"/>
      <c r="ADB78" s="83"/>
      <c r="ADC78" s="83"/>
      <c r="ADD78" s="83"/>
      <c r="ADE78" s="83"/>
      <c r="ADF78" s="83"/>
      <c r="ADG78" s="83"/>
      <c r="ADH78" s="83"/>
      <c r="ADI78" s="83"/>
      <c r="ADJ78" s="83"/>
      <c r="ADK78" s="83"/>
      <c r="ADL78" s="83"/>
      <c r="ADM78" s="83"/>
      <c r="ADN78" s="83"/>
      <c r="ADO78" s="83"/>
      <c r="ADP78" s="83"/>
      <c r="ADQ78" s="83"/>
      <c r="ADR78" s="83"/>
      <c r="ADS78" s="83"/>
      <c r="ADT78" s="83"/>
      <c r="ADU78" s="83"/>
      <c r="ADV78" s="83"/>
      <c r="ADW78" s="83"/>
      <c r="ADX78" s="83"/>
      <c r="ADY78" s="83"/>
      <c r="ADZ78" s="83"/>
      <c r="AEA78" s="83"/>
      <c r="AEB78" s="83"/>
      <c r="AEC78" s="83"/>
      <c r="AED78" s="83"/>
      <c r="AEE78" s="83"/>
      <c r="AEF78" s="83"/>
      <c r="AEG78" s="83"/>
      <c r="AEH78" s="83"/>
      <c r="AEI78" s="83"/>
      <c r="AEJ78" s="83"/>
      <c r="AEK78" s="83"/>
      <c r="AEL78" s="83"/>
      <c r="AEM78" s="83"/>
      <c r="AEN78" s="83"/>
      <c r="AEO78" s="83"/>
      <c r="AEP78" s="83"/>
      <c r="AEQ78" s="83"/>
      <c r="AER78" s="83"/>
      <c r="AES78" s="83"/>
      <c r="AET78" s="83"/>
      <c r="AEU78" s="83"/>
      <c r="AEV78" s="83"/>
      <c r="AEW78" s="83"/>
      <c r="AEX78" s="83"/>
      <c r="AEY78" s="83"/>
      <c r="AEZ78" s="83"/>
      <c r="AFA78" s="83"/>
      <c r="AFB78" s="83"/>
      <c r="AFC78" s="83"/>
      <c r="AFD78" s="83"/>
      <c r="AFE78" s="83"/>
      <c r="AFF78" s="83"/>
      <c r="AFG78" s="83"/>
      <c r="AFH78" s="83"/>
      <c r="AFI78" s="83"/>
      <c r="AFJ78" s="83"/>
      <c r="AFK78" s="83"/>
      <c r="AFL78" s="83"/>
      <c r="AFM78" s="83"/>
      <c r="AFN78" s="83"/>
      <c r="AFO78" s="83"/>
      <c r="AFP78" s="83"/>
      <c r="AFQ78" s="83"/>
      <c r="AFR78" s="83"/>
      <c r="AFS78" s="83"/>
      <c r="AFT78" s="83"/>
      <c r="AFU78" s="83"/>
      <c r="AFV78" s="83"/>
      <c r="AFW78" s="83"/>
      <c r="AFX78" s="83"/>
      <c r="AFY78" s="83"/>
      <c r="AFZ78" s="83"/>
      <c r="AGA78" s="83"/>
      <c r="AGB78" s="83"/>
      <c r="AGC78" s="83"/>
      <c r="AGD78" s="83"/>
      <c r="AGE78" s="83"/>
      <c r="AGF78" s="83"/>
      <c r="AGG78" s="83"/>
      <c r="AGH78" s="83"/>
      <c r="AGI78" s="83"/>
      <c r="AGJ78" s="83"/>
      <c r="AGK78" s="83"/>
      <c r="AGL78" s="83"/>
      <c r="AGM78" s="83"/>
      <c r="AGN78" s="83"/>
      <c r="AGO78" s="83"/>
      <c r="AGP78" s="83"/>
      <c r="AGQ78" s="83"/>
      <c r="AGR78" s="83"/>
      <c r="AGS78" s="83"/>
      <c r="AGT78" s="83"/>
      <c r="AGU78" s="83"/>
      <c r="AGV78" s="83"/>
      <c r="AGW78" s="83"/>
      <c r="AGX78" s="83"/>
      <c r="AGY78" s="83"/>
      <c r="AGZ78" s="83"/>
      <c r="AHA78" s="83"/>
      <c r="AHB78" s="83"/>
      <c r="AHC78" s="83"/>
      <c r="AHD78" s="83"/>
      <c r="AHE78" s="83"/>
      <c r="AHF78" s="83"/>
      <c r="AHG78" s="83"/>
      <c r="AHH78" s="83"/>
      <c r="AHI78" s="83"/>
      <c r="AHJ78" s="83"/>
      <c r="AHK78" s="83"/>
      <c r="AHL78" s="83"/>
      <c r="AHM78" s="83"/>
      <c r="AHN78" s="83"/>
      <c r="AHO78" s="83"/>
      <c r="AHP78" s="83"/>
      <c r="AHQ78" s="83"/>
      <c r="AHR78" s="83"/>
      <c r="AHS78" s="83"/>
      <c r="AHT78" s="83"/>
      <c r="AHU78" s="83"/>
      <c r="AHV78" s="83"/>
      <c r="AHW78" s="83"/>
      <c r="AHX78" s="83"/>
      <c r="AHY78" s="83"/>
      <c r="AHZ78" s="83"/>
      <c r="AIA78" s="83"/>
      <c r="AIB78" s="83"/>
      <c r="AIC78" s="83"/>
      <c r="AID78" s="83"/>
      <c r="AIE78" s="83"/>
      <c r="AIF78" s="83"/>
      <c r="AIG78" s="83"/>
      <c r="AIH78" s="83"/>
      <c r="AII78" s="83"/>
      <c r="AIJ78" s="83"/>
      <c r="AIK78" s="83"/>
      <c r="AIL78" s="83"/>
      <c r="AIM78" s="83"/>
      <c r="AIN78" s="83"/>
      <c r="AIO78" s="83"/>
      <c r="AIP78" s="83"/>
      <c r="AIQ78" s="83"/>
      <c r="AIR78" s="83"/>
      <c r="AIS78" s="83"/>
      <c r="AIT78" s="83"/>
      <c r="AIU78" s="83"/>
      <c r="AIV78" s="83"/>
      <c r="AIW78" s="83"/>
      <c r="AIX78" s="83"/>
      <c r="AIY78" s="83"/>
      <c r="AIZ78" s="83"/>
      <c r="AJA78" s="83"/>
      <c r="AJB78" s="83"/>
      <c r="AJC78" s="83"/>
      <c r="AJD78" s="83"/>
      <c r="AJE78" s="83"/>
      <c r="AJF78" s="83"/>
      <c r="AJG78" s="83"/>
      <c r="AJH78" s="83"/>
      <c r="AJI78" s="83"/>
      <c r="AJJ78" s="83"/>
      <c r="AJK78" s="83"/>
      <c r="AJL78" s="83"/>
      <c r="AJM78" s="83"/>
      <c r="AJN78" s="83"/>
      <c r="AJO78" s="83"/>
      <c r="AJP78" s="83"/>
      <c r="AJQ78" s="83"/>
      <c r="AJR78" s="83"/>
      <c r="AJS78" s="83"/>
      <c r="AJT78" s="83"/>
      <c r="AJU78" s="83"/>
      <c r="AJV78" s="83"/>
      <c r="AJW78" s="83"/>
      <c r="AJX78" s="83"/>
      <c r="AJY78" s="83"/>
      <c r="AJZ78" s="83"/>
      <c r="AKA78" s="83"/>
      <c r="AKB78" s="83"/>
      <c r="AKC78" s="83"/>
      <c r="AKD78" s="83"/>
      <c r="AKE78" s="83"/>
      <c r="AKF78" s="83"/>
      <c r="AKG78" s="83"/>
      <c r="AKH78" s="83"/>
      <c r="AKI78" s="83"/>
      <c r="AKJ78" s="83"/>
      <c r="AKK78" s="83"/>
      <c r="AKL78" s="83"/>
      <c r="AKM78" s="83"/>
      <c r="AKN78" s="83"/>
      <c r="AKO78" s="83"/>
      <c r="AKP78" s="83"/>
      <c r="AKQ78" s="83"/>
      <c r="AKR78" s="83"/>
      <c r="AKS78" s="83"/>
      <c r="AKT78" s="83"/>
      <c r="AKU78" s="83"/>
      <c r="AKV78" s="83"/>
      <c r="AKW78" s="83"/>
      <c r="AKX78" s="83"/>
      <c r="AKY78" s="83"/>
      <c r="AKZ78" s="83"/>
      <c r="ALA78" s="83"/>
      <c r="ALB78" s="83"/>
      <c r="ALC78" s="83"/>
      <c r="ALD78" s="83"/>
      <c r="ALE78" s="83"/>
      <c r="ALF78" s="83"/>
      <c r="ALG78" s="83"/>
      <c r="ALH78" s="83"/>
      <c r="ALI78" s="83"/>
      <c r="ALJ78" s="83"/>
      <c r="ALK78" s="83"/>
      <c r="ALL78" s="83"/>
      <c r="ALM78" s="83"/>
      <c r="ALN78" s="83"/>
      <c r="ALO78" s="83"/>
      <c r="ALP78" s="83"/>
      <c r="ALQ78" s="83"/>
      <c r="ALR78" s="83"/>
      <c r="ALS78" s="83"/>
      <c r="ALT78" s="83"/>
      <c r="ALU78" s="83"/>
      <c r="ALV78" s="83"/>
      <c r="ALW78" s="83"/>
      <c r="ALX78" s="83"/>
      <c r="ALY78" s="83"/>
      <c r="ALZ78" s="83"/>
      <c r="AMA78" s="83"/>
      <c r="AMB78" s="83"/>
      <c r="AMC78" s="83"/>
      <c r="AMD78" s="83"/>
      <c r="AME78" s="83"/>
      <c r="AMF78" s="83"/>
      <c r="AMG78" s="83"/>
      <c r="AMH78" s="83"/>
      <c r="AMI78" s="83"/>
      <c r="AMJ78" s="83"/>
    </row>
    <row r="79" spans="12:1024" ht="15.95" customHeight="1" x14ac:dyDescent="0.2">
      <c r="L79" s="83"/>
      <c r="M79" s="84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83"/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83"/>
      <c r="EJ79" s="83"/>
      <c r="EK79" s="83"/>
      <c r="EL79" s="83"/>
      <c r="EM79" s="83"/>
      <c r="EN79" s="83"/>
      <c r="EO79" s="83"/>
      <c r="EP79" s="83"/>
      <c r="EQ79" s="83"/>
      <c r="ER79" s="83"/>
      <c r="ES79" s="83"/>
      <c r="ET79" s="83"/>
      <c r="EU79" s="83"/>
      <c r="EV79" s="83"/>
      <c r="EW79" s="83"/>
      <c r="EX79" s="83"/>
      <c r="EY79" s="83"/>
      <c r="EZ79" s="83"/>
      <c r="FA79" s="83"/>
      <c r="FB79" s="83"/>
      <c r="FC79" s="83"/>
      <c r="FD79" s="83"/>
      <c r="FE79" s="83"/>
      <c r="FF79" s="83"/>
      <c r="FG79" s="83"/>
      <c r="FH79" s="83"/>
      <c r="FI79" s="83"/>
      <c r="FJ79" s="83"/>
      <c r="FK79" s="83"/>
      <c r="FL79" s="83"/>
      <c r="FM79" s="83"/>
      <c r="FN79" s="83"/>
      <c r="FO79" s="83"/>
      <c r="FP79" s="83"/>
      <c r="FQ79" s="83"/>
      <c r="FR79" s="83"/>
      <c r="FS79" s="83"/>
      <c r="FT79" s="83"/>
      <c r="FU79" s="83"/>
      <c r="FV79" s="83"/>
      <c r="FW79" s="83"/>
      <c r="FX79" s="83"/>
      <c r="FY79" s="83"/>
      <c r="FZ79" s="83"/>
      <c r="GA79" s="83"/>
      <c r="GB79" s="83"/>
      <c r="GC79" s="83"/>
      <c r="GD79" s="83"/>
      <c r="GE79" s="83"/>
      <c r="GF79" s="83"/>
      <c r="GG79" s="83"/>
      <c r="GH79" s="83"/>
      <c r="GI79" s="83"/>
      <c r="GJ79" s="83"/>
      <c r="GK79" s="83"/>
      <c r="GL79" s="83"/>
      <c r="GM79" s="83"/>
      <c r="GN79" s="83"/>
      <c r="GO79" s="83"/>
      <c r="GP79" s="83"/>
      <c r="GQ79" s="83"/>
      <c r="GR79" s="83"/>
      <c r="GS79" s="83"/>
      <c r="GT79" s="83"/>
      <c r="GU79" s="83"/>
      <c r="GV79" s="83"/>
      <c r="GW79" s="83"/>
      <c r="GX79" s="83"/>
      <c r="GY79" s="83"/>
      <c r="GZ79" s="83"/>
      <c r="HA79" s="83"/>
      <c r="HB79" s="83"/>
      <c r="HC79" s="83"/>
      <c r="HD79" s="83"/>
      <c r="HE79" s="83"/>
      <c r="HF79" s="83"/>
      <c r="HG79" s="83"/>
      <c r="HH79" s="83"/>
      <c r="HI79" s="83"/>
      <c r="HJ79" s="83"/>
      <c r="HK79" s="83"/>
      <c r="HL79" s="83"/>
      <c r="HM79" s="83"/>
      <c r="HN79" s="83"/>
      <c r="HO79" s="83"/>
      <c r="HP79" s="83"/>
      <c r="HQ79" s="83"/>
      <c r="HR79" s="83"/>
      <c r="HS79" s="83"/>
      <c r="HT79" s="83"/>
      <c r="HU79" s="83"/>
      <c r="HV79" s="83"/>
      <c r="HW79" s="83"/>
      <c r="HX79" s="83"/>
      <c r="HY79" s="83"/>
      <c r="HZ79" s="83"/>
      <c r="IA79" s="83"/>
      <c r="IB79" s="83"/>
      <c r="IC79" s="83"/>
      <c r="ID79" s="83"/>
      <c r="IE79" s="83"/>
      <c r="IF79" s="83"/>
      <c r="IG79" s="83"/>
      <c r="IH79" s="83"/>
      <c r="II79" s="83"/>
      <c r="IJ79" s="83"/>
      <c r="IK79" s="83"/>
      <c r="IL79" s="83"/>
      <c r="IM79" s="83"/>
      <c r="IN79" s="83"/>
      <c r="IO79" s="83"/>
      <c r="IP79" s="83"/>
      <c r="IQ79" s="83"/>
      <c r="IR79" s="83"/>
      <c r="IS79" s="83"/>
      <c r="IT79" s="83"/>
      <c r="IU79" s="83"/>
      <c r="IV79" s="83"/>
      <c r="IW79" s="83"/>
      <c r="IX79" s="83"/>
      <c r="IY79" s="83"/>
      <c r="IZ79" s="83"/>
      <c r="JA79" s="83"/>
      <c r="JB79" s="83"/>
      <c r="JC79" s="83"/>
      <c r="JD79" s="83"/>
      <c r="JE79" s="83"/>
      <c r="JF79" s="83"/>
      <c r="JG79" s="83"/>
      <c r="JH79" s="83"/>
      <c r="JI79" s="83"/>
      <c r="JJ79" s="83"/>
      <c r="JK79" s="83"/>
      <c r="JL79" s="83"/>
      <c r="JM79" s="83"/>
      <c r="JN79" s="83"/>
      <c r="JO79" s="83"/>
      <c r="JP79" s="83"/>
      <c r="JQ79" s="83"/>
      <c r="JR79" s="83"/>
      <c r="JS79" s="83"/>
      <c r="JT79" s="83"/>
      <c r="JU79" s="83"/>
      <c r="JV79" s="83"/>
      <c r="JW79" s="83"/>
      <c r="JX79" s="83"/>
      <c r="JY79" s="83"/>
      <c r="JZ79" s="83"/>
      <c r="KA79" s="83"/>
      <c r="KB79" s="83"/>
      <c r="KC79" s="83"/>
      <c r="KD79" s="83"/>
      <c r="KE79" s="83"/>
      <c r="KF79" s="83"/>
      <c r="KG79" s="83"/>
      <c r="KH79" s="83"/>
      <c r="KI79" s="83"/>
      <c r="KJ79" s="83"/>
      <c r="KK79" s="83"/>
      <c r="KL79" s="83"/>
      <c r="KM79" s="83"/>
      <c r="KN79" s="83"/>
      <c r="KO79" s="83"/>
      <c r="KP79" s="83"/>
      <c r="KQ79" s="83"/>
      <c r="KR79" s="83"/>
      <c r="KS79" s="83"/>
      <c r="KT79" s="83"/>
      <c r="KU79" s="83"/>
      <c r="KV79" s="83"/>
      <c r="KW79" s="83"/>
      <c r="KX79" s="83"/>
      <c r="KY79" s="83"/>
      <c r="KZ79" s="83"/>
      <c r="LA79" s="83"/>
      <c r="LB79" s="83"/>
      <c r="LC79" s="83"/>
      <c r="LD79" s="83"/>
      <c r="LE79" s="83"/>
      <c r="LF79" s="83"/>
      <c r="LG79" s="83"/>
      <c r="LH79" s="83"/>
      <c r="LI79" s="83"/>
      <c r="LJ79" s="83"/>
      <c r="LK79" s="83"/>
      <c r="LL79" s="83"/>
      <c r="LM79" s="83"/>
      <c r="LN79" s="83"/>
      <c r="LO79" s="83"/>
      <c r="LP79" s="83"/>
      <c r="LQ79" s="83"/>
      <c r="LR79" s="83"/>
      <c r="LS79" s="83"/>
      <c r="LT79" s="83"/>
      <c r="LU79" s="83"/>
      <c r="LV79" s="83"/>
      <c r="LW79" s="83"/>
      <c r="LX79" s="83"/>
      <c r="LY79" s="83"/>
      <c r="LZ79" s="83"/>
      <c r="MA79" s="83"/>
      <c r="MB79" s="83"/>
      <c r="MC79" s="83"/>
      <c r="MD79" s="83"/>
      <c r="ME79" s="83"/>
      <c r="MF79" s="83"/>
      <c r="MG79" s="83"/>
      <c r="MH79" s="83"/>
      <c r="MI79" s="83"/>
      <c r="MJ79" s="83"/>
      <c r="MK79" s="83"/>
      <c r="ML79" s="83"/>
      <c r="MM79" s="83"/>
      <c r="MN79" s="83"/>
      <c r="MO79" s="83"/>
      <c r="MP79" s="83"/>
      <c r="MQ79" s="83"/>
      <c r="MR79" s="83"/>
      <c r="MS79" s="83"/>
      <c r="MT79" s="83"/>
      <c r="MU79" s="83"/>
      <c r="MV79" s="83"/>
      <c r="MW79" s="83"/>
      <c r="MX79" s="83"/>
      <c r="MY79" s="83"/>
      <c r="MZ79" s="83"/>
      <c r="NA79" s="83"/>
      <c r="NB79" s="83"/>
      <c r="NC79" s="83"/>
      <c r="ND79" s="83"/>
      <c r="NE79" s="83"/>
      <c r="NF79" s="83"/>
      <c r="NG79" s="83"/>
      <c r="NH79" s="83"/>
      <c r="NI79" s="83"/>
      <c r="NJ79" s="83"/>
      <c r="NK79" s="83"/>
      <c r="NL79" s="83"/>
      <c r="NM79" s="83"/>
      <c r="NN79" s="83"/>
      <c r="NO79" s="83"/>
      <c r="NP79" s="83"/>
      <c r="NQ79" s="83"/>
      <c r="NR79" s="83"/>
      <c r="NS79" s="83"/>
      <c r="NT79" s="83"/>
      <c r="NU79" s="83"/>
      <c r="NV79" s="83"/>
      <c r="NW79" s="83"/>
      <c r="NX79" s="83"/>
      <c r="NY79" s="83"/>
      <c r="NZ79" s="83"/>
      <c r="OA79" s="83"/>
      <c r="OB79" s="83"/>
      <c r="OC79" s="83"/>
      <c r="OD79" s="83"/>
      <c r="OE79" s="83"/>
      <c r="OF79" s="83"/>
      <c r="OG79" s="83"/>
      <c r="OH79" s="83"/>
      <c r="OI79" s="83"/>
      <c r="OJ79" s="83"/>
      <c r="OK79" s="83"/>
      <c r="OL79" s="83"/>
      <c r="OM79" s="83"/>
      <c r="ON79" s="83"/>
      <c r="OO79" s="83"/>
      <c r="OP79" s="83"/>
      <c r="OQ79" s="83"/>
      <c r="OR79" s="83"/>
      <c r="OS79" s="83"/>
      <c r="OT79" s="83"/>
      <c r="OU79" s="83"/>
      <c r="OV79" s="83"/>
      <c r="OW79" s="83"/>
      <c r="OX79" s="83"/>
      <c r="OY79" s="83"/>
      <c r="OZ79" s="83"/>
      <c r="PA79" s="83"/>
      <c r="PB79" s="83"/>
      <c r="PC79" s="83"/>
      <c r="PD79" s="83"/>
      <c r="PE79" s="83"/>
      <c r="PF79" s="83"/>
      <c r="PG79" s="83"/>
      <c r="PH79" s="83"/>
      <c r="PI79" s="83"/>
      <c r="PJ79" s="83"/>
      <c r="PK79" s="83"/>
      <c r="PL79" s="83"/>
      <c r="PM79" s="83"/>
      <c r="PN79" s="83"/>
      <c r="PO79" s="83"/>
      <c r="PP79" s="83"/>
      <c r="PQ79" s="83"/>
      <c r="PR79" s="83"/>
      <c r="PS79" s="83"/>
      <c r="PT79" s="83"/>
      <c r="PU79" s="83"/>
      <c r="PV79" s="83"/>
      <c r="PW79" s="83"/>
      <c r="PX79" s="83"/>
      <c r="PY79" s="83"/>
      <c r="PZ79" s="83"/>
      <c r="QA79" s="83"/>
      <c r="QB79" s="83"/>
      <c r="QC79" s="83"/>
      <c r="QD79" s="83"/>
      <c r="QE79" s="83"/>
      <c r="QF79" s="83"/>
      <c r="QG79" s="83"/>
      <c r="QH79" s="83"/>
      <c r="QI79" s="83"/>
      <c r="QJ79" s="83"/>
      <c r="QK79" s="83"/>
      <c r="QL79" s="83"/>
      <c r="QM79" s="83"/>
      <c r="QN79" s="83"/>
      <c r="QO79" s="83"/>
      <c r="QP79" s="83"/>
      <c r="QQ79" s="83"/>
      <c r="QR79" s="83"/>
      <c r="QS79" s="83"/>
      <c r="QT79" s="83"/>
      <c r="QU79" s="83"/>
      <c r="QV79" s="83"/>
      <c r="QW79" s="83"/>
      <c r="QX79" s="83"/>
      <c r="QY79" s="83"/>
      <c r="QZ79" s="83"/>
      <c r="RA79" s="83"/>
      <c r="RB79" s="83"/>
      <c r="RC79" s="83"/>
      <c r="RD79" s="83"/>
      <c r="RE79" s="83"/>
      <c r="RF79" s="83"/>
      <c r="RG79" s="83"/>
      <c r="RH79" s="83"/>
      <c r="RI79" s="83"/>
      <c r="RJ79" s="83"/>
      <c r="RK79" s="83"/>
      <c r="RL79" s="83"/>
      <c r="RM79" s="83"/>
      <c r="RN79" s="83"/>
      <c r="RO79" s="83"/>
      <c r="RP79" s="83"/>
      <c r="RQ79" s="83"/>
      <c r="RR79" s="83"/>
      <c r="RS79" s="83"/>
      <c r="RT79" s="83"/>
      <c r="RU79" s="83"/>
      <c r="RV79" s="83"/>
      <c r="RW79" s="83"/>
      <c r="RX79" s="83"/>
      <c r="RY79" s="83"/>
      <c r="RZ79" s="83"/>
      <c r="SA79" s="83"/>
      <c r="SB79" s="83"/>
      <c r="SC79" s="83"/>
      <c r="SD79" s="83"/>
      <c r="SE79" s="83"/>
      <c r="SF79" s="83"/>
      <c r="SG79" s="83"/>
      <c r="SH79" s="83"/>
      <c r="SI79" s="83"/>
      <c r="SJ79" s="83"/>
      <c r="SK79" s="83"/>
      <c r="SL79" s="83"/>
      <c r="SM79" s="83"/>
      <c r="SN79" s="83"/>
      <c r="SO79" s="83"/>
      <c r="SP79" s="83"/>
      <c r="SQ79" s="83"/>
      <c r="SR79" s="83"/>
      <c r="SS79" s="83"/>
      <c r="ST79" s="83"/>
      <c r="SU79" s="83"/>
      <c r="SV79" s="83"/>
      <c r="SW79" s="83"/>
      <c r="SX79" s="83"/>
      <c r="SY79" s="83"/>
      <c r="SZ79" s="83"/>
      <c r="TA79" s="83"/>
      <c r="TB79" s="83"/>
      <c r="TC79" s="83"/>
      <c r="TD79" s="83"/>
      <c r="TE79" s="83"/>
      <c r="TF79" s="83"/>
      <c r="TG79" s="83"/>
      <c r="TH79" s="83"/>
      <c r="TI79" s="83"/>
      <c r="TJ79" s="83"/>
      <c r="TK79" s="83"/>
      <c r="TL79" s="83"/>
      <c r="TM79" s="83"/>
      <c r="TN79" s="83"/>
      <c r="TO79" s="83"/>
      <c r="TP79" s="83"/>
      <c r="TQ79" s="83"/>
      <c r="TR79" s="83"/>
      <c r="TS79" s="83"/>
      <c r="TT79" s="83"/>
      <c r="TU79" s="83"/>
      <c r="TV79" s="83"/>
      <c r="TW79" s="83"/>
      <c r="TX79" s="83"/>
      <c r="TY79" s="83"/>
      <c r="TZ79" s="83"/>
      <c r="UA79" s="83"/>
      <c r="UB79" s="83"/>
      <c r="UC79" s="83"/>
      <c r="UD79" s="83"/>
      <c r="UE79" s="83"/>
      <c r="UF79" s="83"/>
      <c r="UG79" s="83"/>
      <c r="UH79" s="83"/>
      <c r="UI79" s="83"/>
      <c r="UJ79" s="83"/>
      <c r="UK79" s="83"/>
      <c r="UL79" s="83"/>
      <c r="UM79" s="83"/>
      <c r="UN79" s="83"/>
      <c r="UO79" s="83"/>
      <c r="UP79" s="83"/>
      <c r="UQ79" s="83"/>
      <c r="UR79" s="83"/>
      <c r="US79" s="83"/>
      <c r="UT79" s="83"/>
      <c r="UU79" s="83"/>
      <c r="UV79" s="83"/>
      <c r="UW79" s="83"/>
      <c r="UX79" s="83"/>
      <c r="UY79" s="83"/>
      <c r="UZ79" s="83"/>
      <c r="VA79" s="83"/>
      <c r="VB79" s="83"/>
      <c r="VC79" s="83"/>
      <c r="VD79" s="83"/>
      <c r="VE79" s="83"/>
      <c r="VF79" s="83"/>
      <c r="VG79" s="83"/>
      <c r="VH79" s="83"/>
      <c r="VI79" s="83"/>
      <c r="VJ79" s="83"/>
      <c r="VK79" s="83"/>
      <c r="VL79" s="83"/>
      <c r="VM79" s="83"/>
      <c r="VN79" s="83"/>
      <c r="VO79" s="83"/>
      <c r="VP79" s="83"/>
      <c r="VQ79" s="83"/>
      <c r="VR79" s="83"/>
      <c r="VS79" s="83"/>
      <c r="VT79" s="83"/>
      <c r="VU79" s="83"/>
      <c r="VV79" s="83"/>
      <c r="VW79" s="83"/>
      <c r="VX79" s="83"/>
      <c r="VY79" s="83"/>
      <c r="VZ79" s="83"/>
      <c r="WA79" s="83"/>
      <c r="WB79" s="83"/>
      <c r="WC79" s="83"/>
      <c r="WD79" s="83"/>
      <c r="WE79" s="83"/>
      <c r="WF79" s="83"/>
      <c r="WG79" s="83"/>
      <c r="WH79" s="83"/>
      <c r="WI79" s="83"/>
      <c r="WJ79" s="83"/>
      <c r="WK79" s="83"/>
      <c r="WL79" s="83"/>
      <c r="WM79" s="83"/>
      <c r="WN79" s="83"/>
      <c r="WO79" s="83"/>
      <c r="WP79" s="83"/>
      <c r="WQ79" s="83"/>
      <c r="WR79" s="83"/>
      <c r="WS79" s="83"/>
      <c r="WT79" s="83"/>
      <c r="WU79" s="83"/>
      <c r="WV79" s="83"/>
      <c r="WW79" s="83"/>
      <c r="WX79" s="83"/>
      <c r="WY79" s="83"/>
      <c r="WZ79" s="83"/>
      <c r="XA79" s="83"/>
      <c r="XB79" s="83"/>
      <c r="XC79" s="83"/>
      <c r="XD79" s="83"/>
      <c r="XE79" s="83"/>
      <c r="XF79" s="83"/>
      <c r="XG79" s="83"/>
      <c r="XH79" s="83"/>
      <c r="XI79" s="83"/>
      <c r="XJ79" s="83"/>
      <c r="XK79" s="83"/>
      <c r="XL79" s="83"/>
      <c r="XM79" s="83"/>
      <c r="XN79" s="83"/>
      <c r="XO79" s="83"/>
      <c r="XP79" s="83"/>
      <c r="XQ79" s="83"/>
      <c r="XR79" s="83"/>
      <c r="XS79" s="83"/>
      <c r="XT79" s="83"/>
      <c r="XU79" s="83"/>
      <c r="XV79" s="83"/>
      <c r="XW79" s="83"/>
      <c r="XX79" s="83"/>
      <c r="XY79" s="83"/>
      <c r="XZ79" s="83"/>
      <c r="YA79" s="83"/>
      <c r="YB79" s="83"/>
      <c r="YC79" s="83"/>
      <c r="YD79" s="83"/>
      <c r="YE79" s="83"/>
      <c r="YF79" s="83"/>
      <c r="YG79" s="83"/>
      <c r="YH79" s="83"/>
      <c r="YI79" s="83"/>
      <c r="YJ79" s="83"/>
      <c r="YK79" s="83"/>
      <c r="YL79" s="83"/>
      <c r="YM79" s="83"/>
      <c r="YN79" s="83"/>
      <c r="YO79" s="83"/>
      <c r="YP79" s="83"/>
      <c r="YQ79" s="83"/>
      <c r="YR79" s="83"/>
      <c r="YS79" s="83"/>
      <c r="YT79" s="83"/>
      <c r="YU79" s="83"/>
      <c r="YV79" s="83"/>
      <c r="YW79" s="83"/>
      <c r="YX79" s="83"/>
      <c r="YY79" s="83"/>
      <c r="YZ79" s="83"/>
      <c r="ZA79" s="83"/>
      <c r="ZB79" s="83"/>
      <c r="ZC79" s="83"/>
      <c r="ZD79" s="83"/>
      <c r="ZE79" s="83"/>
      <c r="ZF79" s="83"/>
      <c r="ZG79" s="83"/>
      <c r="ZH79" s="83"/>
      <c r="ZI79" s="83"/>
      <c r="ZJ79" s="83"/>
      <c r="ZK79" s="83"/>
      <c r="ZL79" s="83"/>
      <c r="ZM79" s="83"/>
      <c r="ZN79" s="83"/>
      <c r="ZO79" s="83"/>
      <c r="ZP79" s="83"/>
      <c r="ZQ79" s="83"/>
      <c r="ZR79" s="83"/>
      <c r="ZS79" s="83"/>
      <c r="ZT79" s="83"/>
      <c r="ZU79" s="83"/>
      <c r="ZV79" s="83"/>
      <c r="ZW79" s="83"/>
      <c r="ZX79" s="83"/>
      <c r="ZY79" s="83"/>
      <c r="ZZ79" s="83"/>
      <c r="AAA79" s="83"/>
      <c r="AAB79" s="83"/>
      <c r="AAC79" s="83"/>
      <c r="AAD79" s="83"/>
      <c r="AAE79" s="83"/>
      <c r="AAF79" s="83"/>
      <c r="AAG79" s="83"/>
      <c r="AAH79" s="83"/>
      <c r="AAI79" s="83"/>
      <c r="AAJ79" s="83"/>
      <c r="AAK79" s="83"/>
      <c r="AAL79" s="83"/>
      <c r="AAM79" s="83"/>
      <c r="AAN79" s="83"/>
      <c r="AAO79" s="83"/>
      <c r="AAP79" s="83"/>
      <c r="AAQ79" s="83"/>
      <c r="AAR79" s="83"/>
      <c r="AAS79" s="83"/>
      <c r="AAT79" s="83"/>
      <c r="AAU79" s="83"/>
      <c r="AAV79" s="83"/>
      <c r="AAW79" s="83"/>
      <c r="AAX79" s="83"/>
      <c r="AAY79" s="83"/>
      <c r="AAZ79" s="83"/>
      <c r="ABA79" s="83"/>
      <c r="ABB79" s="83"/>
      <c r="ABC79" s="83"/>
      <c r="ABD79" s="83"/>
      <c r="ABE79" s="83"/>
      <c r="ABF79" s="83"/>
      <c r="ABG79" s="83"/>
      <c r="ABH79" s="83"/>
      <c r="ABI79" s="83"/>
      <c r="ABJ79" s="83"/>
      <c r="ABK79" s="83"/>
      <c r="ABL79" s="83"/>
      <c r="ABM79" s="83"/>
      <c r="ABN79" s="83"/>
      <c r="ABO79" s="83"/>
      <c r="ABP79" s="83"/>
      <c r="ABQ79" s="83"/>
      <c r="ABR79" s="83"/>
      <c r="ABS79" s="83"/>
      <c r="ABT79" s="83"/>
      <c r="ABU79" s="83"/>
      <c r="ABV79" s="83"/>
      <c r="ABW79" s="83"/>
      <c r="ABX79" s="83"/>
      <c r="ABY79" s="83"/>
      <c r="ABZ79" s="83"/>
      <c r="ACA79" s="83"/>
      <c r="ACB79" s="83"/>
      <c r="ACC79" s="83"/>
      <c r="ACD79" s="83"/>
      <c r="ACE79" s="83"/>
      <c r="ACF79" s="83"/>
      <c r="ACG79" s="83"/>
      <c r="ACH79" s="83"/>
      <c r="ACI79" s="83"/>
      <c r="ACJ79" s="83"/>
      <c r="ACK79" s="83"/>
      <c r="ACL79" s="83"/>
      <c r="ACM79" s="83"/>
      <c r="ACN79" s="83"/>
      <c r="ACO79" s="83"/>
      <c r="ACP79" s="83"/>
      <c r="ACQ79" s="83"/>
      <c r="ACR79" s="83"/>
      <c r="ACS79" s="83"/>
      <c r="ACT79" s="83"/>
      <c r="ACU79" s="83"/>
      <c r="ACV79" s="83"/>
      <c r="ACW79" s="83"/>
      <c r="ACX79" s="83"/>
      <c r="ACY79" s="83"/>
      <c r="ACZ79" s="83"/>
      <c r="ADA79" s="83"/>
      <c r="ADB79" s="83"/>
      <c r="ADC79" s="83"/>
      <c r="ADD79" s="83"/>
      <c r="ADE79" s="83"/>
      <c r="ADF79" s="83"/>
      <c r="ADG79" s="83"/>
      <c r="ADH79" s="83"/>
      <c r="ADI79" s="83"/>
      <c r="ADJ79" s="83"/>
      <c r="ADK79" s="83"/>
      <c r="ADL79" s="83"/>
      <c r="ADM79" s="83"/>
      <c r="ADN79" s="83"/>
      <c r="ADO79" s="83"/>
      <c r="ADP79" s="83"/>
      <c r="ADQ79" s="83"/>
      <c r="ADR79" s="83"/>
      <c r="ADS79" s="83"/>
      <c r="ADT79" s="83"/>
      <c r="ADU79" s="83"/>
      <c r="ADV79" s="83"/>
      <c r="ADW79" s="83"/>
      <c r="ADX79" s="83"/>
      <c r="ADY79" s="83"/>
      <c r="ADZ79" s="83"/>
      <c r="AEA79" s="83"/>
      <c r="AEB79" s="83"/>
      <c r="AEC79" s="83"/>
      <c r="AED79" s="83"/>
      <c r="AEE79" s="83"/>
      <c r="AEF79" s="83"/>
      <c r="AEG79" s="83"/>
      <c r="AEH79" s="83"/>
      <c r="AEI79" s="83"/>
      <c r="AEJ79" s="83"/>
      <c r="AEK79" s="83"/>
      <c r="AEL79" s="83"/>
      <c r="AEM79" s="83"/>
      <c r="AEN79" s="83"/>
      <c r="AEO79" s="83"/>
      <c r="AEP79" s="83"/>
      <c r="AEQ79" s="83"/>
      <c r="AER79" s="83"/>
      <c r="AES79" s="83"/>
      <c r="AET79" s="83"/>
      <c r="AEU79" s="83"/>
      <c r="AEV79" s="83"/>
      <c r="AEW79" s="83"/>
      <c r="AEX79" s="83"/>
      <c r="AEY79" s="83"/>
      <c r="AEZ79" s="83"/>
      <c r="AFA79" s="83"/>
      <c r="AFB79" s="83"/>
      <c r="AFC79" s="83"/>
      <c r="AFD79" s="83"/>
      <c r="AFE79" s="83"/>
      <c r="AFF79" s="83"/>
      <c r="AFG79" s="83"/>
      <c r="AFH79" s="83"/>
      <c r="AFI79" s="83"/>
      <c r="AFJ79" s="83"/>
      <c r="AFK79" s="83"/>
      <c r="AFL79" s="83"/>
      <c r="AFM79" s="83"/>
      <c r="AFN79" s="83"/>
      <c r="AFO79" s="83"/>
      <c r="AFP79" s="83"/>
      <c r="AFQ79" s="83"/>
      <c r="AFR79" s="83"/>
      <c r="AFS79" s="83"/>
      <c r="AFT79" s="83"/>
      <c r="AFU79" s="83"/>
      <c r="AFV79" s="83"/>
      <c r="AFW79" s="83"/>
      <c r="AFX79" s="83"/>
      <c r="AFY79" s="83"/>
      <c r="AFZ79" s="83"/>
      <c r="AGA79" s="83"/>
      <c r="AGB79" s="83"/>
      <c r="AGC79" s="83"/>
      <c r="AGD79" s="83"/>
      <c r="AGE79" s="83"/>
      <c r="AGF79" s="83"/>
      <c r="AGG79" s="83"/>
      <c r="AGH79" s="83"/>
      <c r="AGI79" s="83"/>
      <c r="AGJ79" s="83"/>
      <c r="AGK79" s="83"/>
      <c r="AGL79" s="83"/>
      <c r="AGM79" s="83"/>
      <c r="AGN79" s="83"/>
      <c r="AGO79" s="83"/>
      <c r="AGP79" s="83"/>
      <c r="AGQ79" s="83"/>
      <c r="AGR79" s="83"/>
      <c r="AGS79" s="83"/>
      <c r="AGT79" s="83"/>
      <c r="AGU79" s="83"/>
      <c r="AGV79" s="83"/>
      <c r="AGW79" s="83"/>
      <c r="AGX79" s="83"/>
      <c r="AGY79" s="83"/>
      <c r="AGZ79" s="83"/>
      <c r="AHA79" s="83"/>
      <c r="AHB79" s="83"/>
      <c r="AHC79" s="83"/>
      <c r="AHD79" s="83"/>
      <c r="AHE79" s="83"/>
      <c r="AHF79" s="83"/>
      <c r="AHG79" s="83"/>
      <c r="AHH79" s="83"/>
      <c r="AHI79" s="83"/>
      <c r="AHJ79" s="83"/>
      <c r="AHK79" s="83"/>
      <c r="AHL79" s="83"/>
      <c r="AHM79" s="83"/>
      <c r="AHN79" s="83"/>
      <c r="AHO79" s="83"/>
      <c r="AHP79" s="83"/>
      <c r="AHQ79" s="83"/>
      <c r="AHR79" s="83"/>
      <c r="AHS79" s="83"/>
      <c r="AHT79" s="83"/>
      <c r="AHU79" s="83"/>
      <c r="AHV79" s="83"/>
      <c r="AHW79" s="83"/>
      <c r="AHX79" s="83"/>
      <c r="AHY79" s="83"/>
      <c r="AHZ79" s="83"/>
      <c r="AIA79" s="83"/>
      <c r="AIB79" s="83"/>
      <c r="AIC79" s="83"/>
      <c r="AID79" s="83"/>
      <c r="AIE79" s="83"/>
      <c r="AIF79" s="83"/>
      <c r="AIG79" s="83"/>
      <c r="AIH79" s="83"/>
      <c r="AII79" s="83"/>
      <c r="AIJ79" s="83"/>
      <c r="AIK79" s="83"/>
      <c r="AIL79" s="83"/>
      <c r="AIM79" s="83"/>
      <c r="AIN79" s="83"/>
      <c r="AIO79" s="83"/>
      <c r="AIP79" s="83"/>
      <c r="AIQ79" s="83"/>
      <c r="AIR79" s="83"/>
      <c r="AIS79" s="83"/>
      <c r="AIT79" s="83"/>
      <c r="AIU79" s="83"/>
      <c r="AIV79" s="83"/>
      <c r="AIW79" s="83"/>
      <c r="AIX79" s="83"/>
      <c r="AIY79" s="83"/>
      <c r="AIZ79" s="83"/>
      <c r="AJA79" s="83"/>
      <c r="AJB79" s="83"/>
      <c r="AJC79" s="83"/>
      <c r="AJD79" s="83"/>
      <c r="AJE79" s="83"/>
      <c r="AJF79" s="83"/>
      <c r="AJG79" s="83"/>
      <c r="AJH79" s="83"/>
      <c r="AJI79" s="83"/>
      <c r="AJJ79" s="83"/>
      <c r="AJK79" s="83"/>
      <c r="AJL79" s="83"/>
      <c r="AJM79" s="83"/>
      <c r="AJN79" s="83"/>
      <c r="AJO79" s="83"/>
      <c r="AJP79" s="83"/>
      <c r="AJQ79" s="83"/>
      <c r="AJR79" s="83"/>
      <c r="AJS79" s="83"/>
      <c r="AJT79" s="83"/>
      <c r="AJU79" s="83"/>
      <c r="AJV79" s="83"/>
      <c r="AJW79" s="83"/>
      <c r="AJX79" s="83"/>
      <c r="AJY79" s="83"/>
      <c r="AJZ79" s="83"/>
      <c r="AKA79" s="83"/>
      <c r="AKB79" s="83"/>
      <c r="AKC79" s="83"/>
      <c r="AKD79" s="83"/>
      <c r="AKE79" s="83"/>
      <c r="AKF79" s="83"/>
      <c r="AKG79" s="83"/>
      <c r="AKH79" s="83"/>
      <c r="AKI79" s="83"/>
      <c r="AKJ79" s="83"/>
      <c r="AKK79" s="83"/>
      <c r="AKL79" s="83"/>
      <c r="AKM79" s="83"/>
      <c r="AKN79" s="83"/>
      <c r="AKO79" s="83"/>
      <c r="AKP79" s="83"/>
      <c r="AKQ79" s="83"/>
      <c r="AKR79" s="83"/>
      <c r="AKS79" s="83"/>
      <c r="AKT79" s="83"/>
      <c r="AKU79" s="83"/>
      <c r="AKV79" s="83"/>
      <c r="AKW79" s="83"/>
      <c r="AKX79" s="83"/>
      <c r="AKY79" s="83"/>
      <c r="AKZ79" s="83"/>
      <c r="ALA79" s="83"/>
      <c r="ALB79" s="83"/>
      <c r="ALC79" s="83"/>
      <c r="ALD79" s="83"/>
      <c r="ALE79" s="83"/>
      <c r="ALF79" s="83"/>
      <c r="ALG79" s="83"/>
      <c r="ALH79" s="83"/>
      <c r="ALI79" s="83"/>
      <c r="ALJ79" s="83"/>
      <c r="ALK79" s="83"/>
      <c r="ALL79" s="83"/>
      <c r="ALM79" s="83"/>
      <c r="ALN79" s="83"/>
      <c r="ALO79" s="83"/>
      <c r="ALP79" s="83"/>
      <c r="ALQ79" s="83"/>
      <c r="ALR79" s="83"/>
      <c r="ALS79" s="83"/>
      <c r="ALT79" s="83"/>
      <c r="ALU79" s="83"/>
      <c r="ALV79" s="83"/>
      <c r="ALW79" s="83"/>
      <c r="ALX79" s="83"/>
      <c r="ALY79" s="83"/>
      <c r="ALZ79" s="83"/>
      <c r="AMA79" s="83"/>
      <c r="AMB79" s="83"/>
      <c r="AMC79" s="83"/>
      <c r="AMD79" s="83"/>
      <c r="AME79" s="83"/>
      <c r="AMF79" s="83"/>
      <c r="AMG79" s="83"/>
      <c r="AMH79" s="83"/>
      <c r="AMI79" s="83"/>
      <c r="AMJ79" s="83"/>
    </row>
    <row r="80" spans="12:1024" ht="20.25" customHeight="1" x14ac:dyDescent="0.2">
      <c r="L80" s="83"/>
      <c r="M80" s="84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83"/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83"/>
      <c r="EJ80" s="83"/>
      <c r="EK80" s="83"/>
      <c r="EL80" s="83"/>
      <c r="EM80" s="83"/>
      <c r="EN80" s="83"/>
      <c r="EO80" s="83"/>
      <c r="EP80" s="83"/>
      <c r="EQ80" s="83"/>
      <c r="ER80" s="83"/>
      <c r="ES80" s="83"/>
      <c r="ET80" s="83"/>
      <c r="EU80" s="83"/>
      <c r="EV80" s="83"/>
      <c r="EW80" s="83"/>
      <c r="EX80" s="83"/>
      <c r="EY80" s="83"/>
      <c r="EZ80" s="83"/>
      <c r="FA80" s="83"/>
      <c r="FB80" s="83"/>
      <c r="FC80" s="83"/>
      <c r="FD80" s="83"/>
      <c r="FE80" s="83"/>
      <c r="FF80" s="83"/>
      <c r="FG80" s="83"/>
      <c r="FH80" s="83"/>
      <c r="FI80" s="83"/>
      <c r="FJ80" s="83"/>
      <c r="FK80" s="83"/>
      <c r="FL80" s="83"/>
      <c r="FM80" s="83"/>
      <c r="FN80" s="83"/>
      <c r="FO80" s="83"/>
      <c r="FP80" s="83"/>
      <c r="FQ80" s="83"/>
      <c r="FR80" s="83"/>
      <c r="FS80" s="83"/>
      <c r="FT80" s="83"/>
      <c r="FU80" s="83"/>
      <c r="FV80" s="83"/>
      <c r="FW80" s="83"/>
      <c r="FX80" s="83"/>
      <c r="FY80" s="83"/>
      <c r="FZ80" s="83"/>
      <c r="GA80" s="83"/>
      <c r="GB80" s="83"/>
      <c r="GC80" s="83"/>
      <c r="GD80" s="83"/>
      <c r="GE80" s="83"/>
      <c r="GF80" s="83"/>
      <c r="GG80" s="83"/>
      <c r="GH80" s="83"/>
      <c r="GI80" s="83"/>
      <c r="GJ80" s="83"/>
      <c r="GK80" s="83"/>
      <c r="GL80" s="83"/>
      <c r="GM80" s="83"/>
      <c r="GN80" s="83"/>
      <c r="GO80" s="83"/>
      <c r="GP80" s="83"/>
      <c r="GQ80" s="83"/>
      <c r="GR80" s="83"/>
      <c r="GS80" s="83"/>
      <c r="GT80" s="83"/>
      <c r="GU80" s="83"/>
      <c r="GV80" s="83"/>
      <c r="GW80" s="83"/>
      <c r="GX80" s="83"/>
      <c r="GY80" s="83"/>
      <c r="GZ80" s="83"/>
      <c r="HA80" s="83"/>
      <c r="HB80" s="83"/>
      <c r="HC80" s="83"/>
      <c r="HD80" s="83"/>
      <c r="HE80" s="83"/>
      <c r="HF80" s="83"/>
      <c r="HG80" s="83"/>
      <c r="HH80" s="83"/>
      <c r="HI80" s="83"/>
      <c r="HJ80" s="83"/>
      <c r="HK80" s="83"/>
      <c r="HL80" s="83"/>
      <c r="HM80" s="83"/>
      <c r="HN80" s="83"/>
      <c r="HO80" s="83"/>
      <c r="HP80" s="83"/>
      <c r="HQ80" s="83"/>
      <c r="HR80" s="83"/>
      <c r="HS80" s="83"/>
      <c r="HT80" s="83"/>
      <c r="HU80" s="83"/>
      <c r="HV80" s="83"/>
      <c r="HW80" s="83"/>
      <c r="HX80" s="83"/>
      <c r="HY80" s="83"/>
      <c r="HZ80" s="83"/>
      <c r="IA80" s="83"/>
      <c r="IB80" s="83"/>
      <c r="IC80" s="83"/>
      <c r="ID80" s="83"/>
      <c r="IE80" s="83"/>
      <c r="IF80" s="83"/>
      <c r="IG80" s="83"/>
      <c r="IH80" s="83"/>
      <c r="II80" s="83"/>
      <c r="IJ80" s="83"/>
      <c r="IK80" s="83"/>
      <c r="IL80" s="83"/>
      <c r="IM80" s="83"/>
      <c r="IN80" s="83"/>
      <c r="IO80" s="83"/>
      <c r="IP80" s="83"/>
      <c r="IQ80" s="83"/>
      <c r="IR80" s="83"/>
      <c r="IS80" s="83"/>
      <c r="IT80" s="83"/>
      <c r="IU80" s="83"/>
      <c r="IV80" s="83"/>
      <c r="IW80" s="83"/>
      <c r="IX80" s="83"/>
      <c r="IY80" s="83"/>
      <c r="IZ80" s="83"/>
      <c r="JA80" s="83"/>
      <c r="JB80" s="83"/>
      <c r="JC80" s="83"/>
      <c r="JD80" s="83"/>
      <c r="JE80" s="83"/>
      <c r="JF80" s="83"/>
      <c r="JG80" s="83"/>
      <c r="JH80" s="83"/>
      <c r="JI80" s="83"/>
      <c r="JJ80" s="83"/>
      <c r="JK80" s="83"/>
      <c r="JL80" s="83"/>
      <c r="JM80" s="83"/>
      <c r="JN80" s="83"/>
      <c r="JO80" s="83"/>
      <c r="JP80" s="83"/>
      <c r="JQ80" s="83"/>
      <c r="JR80" s="83"/>
      <c r="JS80" s="83"/>
      <c r="JT80" s="83"/>
      <c r="JU80" s="83"/>
      <c r="JV80" s="83"/>
      <c r="JW80" s="83"/>
      <c r="JX80" s="83"/>
      <c r="JY80" s="83"/>
      <c r="JZ80" s="83"/>
      <c r="KA80" s="83"/>
      <c r="KB80" s="83"/>
      <c r="KC80" s="83"/>
      <c r="KD80" s="83"/>
      <c r="KE80" s="83"/>
      <c r="KF80" s="83"/>
      <c r="KG80" s="83"/>
      <c r="KH80" s="83"/>
      <c r="KI80" s="83"/>
      <c r="KJ80" s="83"/>
      <c r="KK80" s="83"/>
      <c r="KL80" s="83"/>
      <c r="KM80" s="83"/>
      <c r="KN80" s="83"/>
      <c r="KO80" s="83"/>
      <c r="KP80" s="83"/>
      <c r="KQ80" s="83"/>
      <c r="KR80" s="83"/>
      <c r="KS80" s="83"/>
      <c r="KT80" s="83"/>
      <c r="KU80" s="83"/>
      <c r="KV80" s="83"/>
      <c r="KW80" s="83"/>
      <c r="KX80" s="83"/>
      <c r="KY80" s="83"/>
      <c r="KZ80" s="83"/>
      <c r="LA80" s="83"/>
      <c r="LB80" s="83"/>
      <c r="LC80" s="83"/>
      <c r="LD80" s="83"/>
      <c r="LE80" s="83"/>
      <c r="LF80" s="83"/>
      <c r="LG80" s="83"/>
      <c r="LH80" s="83"/>
      <c r="LI80" s="83"/>
      <c r="LJ80" s="83"/>
      <c r="LK80" s="83"/>
      <c r="LL80" s="83"/>
      <c r="LM80" s="83"/>
      <c r="LN80" s="83"/>
      <c r="LO80" s="83"/>
      <c r="LP80" s="83"/>
      <c r="LQ80" s="83"/>
      <c r="LR80" s="83"/>
      <c r="LS80" s="83"/>
      <c r="LT80" s="83"/>
      <c r="LU80" s="83"/>
      <c r="LV80" s="83"/>
      <c r="LW80" s="83"/>
      <c r="LX80" s="83"/>
      <c r="LY80" s="83"/>
      <c r="LZ80" s="83"/>
      <c r="MA80" s="83"/>
      <c r="MB80" s="83"/>
      <c r="MC80" s="83"/>
      <c r="MD80" s="83"/>
      <c r="ME80" s="83"/>
      <c r="MF80" s="83"/>
      <c r="MG80" s="83"/>
      <c r="MH80" s="83"/>
      <c r="MI80" s="83"/>
      <c r="MJ80" s="83"/>
      <c r="MK80" s="83"/>
      <c r="ML80" s="83"/>
      <c r="MM80" s="83"/>
      <c r="MN80" s="83"/>
      <c r="MO80" s="83"/>
      <c r="MP80" s="83"/>
      <c r="MQ80" s="83"/>
      <c r="MR80" s="83"/>
      <c r="MS80" s="83"/>
      <c r="MT80" s="83"/>
      <c r="MU80" s="83"/>
      <c r="MV80" s="83"/>
      <c r="MW80" s="83"/>
      <c r="MX80" s="83"/>
      <c r="MY80" s="83"/>
      <c r="MZ80" s="83"/>
      <c r="NA80" s="83"/>
      <c r="NB80" s="83"/>
      <c r="NC80" s="83"/>
      <c r="ND80" s="83"/>
      <c r="NE80" s="83"/>
      <c r="NF80" s="83"/>
      <c r="NG80" s="83"/>
      <c r="NH80" s="83"/>
      <c r="NI80" s="83"/>
      <c r="NJ80" s="83"/>
      <c r="NK80" s="83"/>
      <c r="NL80" s="83"/>
      <c r="NM80" s="83"/>
      <c r="NN80" s="83"/>
      <c r="NO80" s="83"/>
      <c r="NP80" s="83"/>
      <c r="NQ80" s="83"/>
      <c r="NR80" s="83"/>
      <c r="NS80" s="83"/>
      <c r="NT80" s="83"/>
      <c r="NU80" s="83"/>
      <c r="NV80" s="83"/>
      <c r="NW80" s="83"/>
      <c r="NX80" s="83"/>
      <c r="NY80" s="83"/>
      <c r="NZ80" s="83"/>
      <c r="OA80" s="83"/>
      <c r="OB80" s="83"/>
      <c r="OC80" s="83"/>
      <c r="OD80" s="83"/>
      <c r="OE80" s="83"/>
      <c r="OF80" s="83"/>
      <c r="OG80" s="83"/>
      <c r="OH80" s="83"/>
      <c r="OI80" s="83"/>
      <c r="OJ80" s="83"/>
      <c r="OK80" s="83"/>
      <c r="OL80" s="83"/>
      <c r="OM80" s="83"/>
      <c r="ON80" s="83"/>
      <c r="OO80" s="83"/>
      <c r="OP80" s="83"/>
      <c r="OQ80" s="83"/>
      <c r="OR80" s="83"/>
      <c r="OS80" s="83"/>
      <c r="OT80" s="83"/>
      <c r="OU80" s="83"/>
      <c r="OV80" s="83"/>
      <c r="OW80" s="83"/>
      <c r="OX80" s="83"/>
      <c r="OY80" s="83"/>
      <c r="OZ80" s="83"/>
      <c r="PA80" s="83"/>
      <c r="PB80" s="83"/>
      <c r="PC80" s="83"/>
      <c r="PD80" s="83"/>
      <c r="PE80" s="83"/>
      <c r="PF80" s="83"/>
      <c r="PG80" s="83"/>
      <c r="PH80" s="83"/>
      <c r="PI80" s="83"/>
      <c r="PJ80" s="83"/>
      <c r="PK80" s="83"/>
      <c r="PL80" s="83"/>
      <c r="PM80" s="83"/>
      <c r="PN80" s="83"/>
      <c r="PO80" s="83"/>
      <c r="PP80" s="83"/>
      <c r="PQ80" s="83"/>
      <c r="PR80" s="83"/>
      <c r="PS80" s="83"/>
      <c r="PT80" s="83"/>
      <c r="PU80" s="83"/>
      <c r="PV80" s="83"/>
      <c r="PW80" s="83"/>
      <c r="PX80" s="83"/>
      <c r="PY80" s="83"/>
      <c r="PZ80" s="83"/>
      <c r="QA80" s="83"/>
      <c r="QB80" s="83"/>
      <c r="QC80" s="83"/>
      <c r="QD80" s="83"/>
      <c r="QE80" s="83"/>
      <c r="QF80" s="83"/>
      <c r="QG80" s="83"/>
      <c r="QH80" s="83"/>
      <c r="QI80" s="83"/>
      <c r="QJ80" s="83"/>
      <c r="QK80" s="83"/>
      <c r="QL80" s="83"/>
      <c r="QM80" s="83"/>
      <c r="QN80" s="83"/>
      <c r="QO80" s="83"/>
      <c r="QP80" s="83"/>
      <c r="QQ80" s="83"/>
      <c r="QR80" s="83"/>
      <c r="QS80" s="83"/>
      <c r="QT80" s="83"/>
      <c r="QU80" s="83"/>
      <c r="QV80" s="83"/>
      <c r="QW80" s="83"/>
      <c r="QX80" s="83"/>
      <c r="QY80" s="83"/>
      <c r="QZ80" s="83"/>
      <c r="RA80" s="83"/>
      <c r="RB80" s="83"/>
      <c r="RC80" s="83"/>
      <c r="RD80" s="83"/>
      <c r="RE80" s="83"/>
      <c r="RF80" s="83"/>
      <c r="RG80" s="83"/>
      <c r="RH80" s="83"/>
      <c r="RI80" s="83"/>
      <c r="RJ80" s="83"/>
      <c r="RK80" s="83"/>
      <c r="RL80" s="83"/>
      <c r="RM80" s="83"/>
      <c r="RN80" s="83"/>
      <c r="RO80" s="83"/>
      <c r="RP80" s="83"/>
      <c r="RQ80" s="83"/>
      <c r="RR80" s="83"/>
      <c r="RS80" s="83"/>
      <c r="RT80" s="83"/>
      <c r="RU80" s="83"/>
      <c r="RV80" s="83"/>
      <c r="RW80" s="83"/>
      <c r="RX80" s="83"/>
      <c r="RY80" s="83"/>
      <c r="RZ80" s="83"/>
      <c r="SA80" s="83"/>
      <c r="SB80" s="83"/>
      <c r="SC80" s="83"/>
      <c r="SD80" s="83"/>
      <c r="SE80" s="83"/>
      <c r="SF80" s="83"/>
      <c r="SG80" s="83"/>
      <c r="SH80" s="83"/>
      <c r="SI80" s="83"/>
      <c r="SJ80" s="83"/>
      <c r="SK80" s="83"/>
      <c r="SL80" s="83"/>
      <c r="SM80" s="83"/>
      <c r="SN80" s="83"/>
      <c r="SO80" s="83"/>
      <c r="SP80" s="83"/>
      <c r="SQ80" s="83"/>
      <c r="SR80" s="83"/>
      <c r="SS80" s="83"/>
      <c r="ST80" s="83"/>
      <c r="SU80" s="83"/>
      <c r="SV80" s="83"/>
      <c r="SW80" s="83"/>
      <c r="SX80" s="83"/>
      <c r="SY80" s="83"/>
      <c r="SZ80" s="83"/>
      <c r="TA80" s="83"/>
      <c r="TB80" s="83"/>
      <c r="TC80" s="83"/>
      <c r="TD80" s="83"/>
      <c r="TE80" s="83"/>
      <c r="TF80" s="83"/>
      <c r="TG80" s="83"/>
      <c r="TH80" s="83"/>
      <c r="TI80" s="83"/>
      <c r="TJ80" s="83"/>
      <c r="TK80" s="83"/>
      <c r="TL80" s="83"/>
      <c r="TM80" s="83"/>
      <c r="TN80" s="83"/>
      <c r="TO80" s="83"/>
      <c r="TP80" s="83"/>
      <c r="TQ80" s="83"/>
      <c r="TR80" s="83"/>
      <c r="TS80" s="83"/>
      <c r="TT80" s="83"/>
      <c r="TU80" s="83"/>
      <c r="TV80" s="83"/>
      <c r="TW80" s="83"/>
      <c r="TX80" s="83"/>
      <c r="TY80" s="83"/>
      <c r="TZ80" s="83"/>
      <c r="UA80" s="83"/>
      <c r="UB80" s="83"/>
      <c r="UC80" s="83"/>
      <c r="UD80" s="83"/>
      <c r="UE80" s="83"/>
      <c r="UF80" s="83"/>
      <c r="UG80" s="83"/>
      <c r="UH80" s="83"/>
      <c r="UI80" s="83"/>
      <c r="UJ80" s="83"/>
      <c r="UK80" s="83"/>
      <c r="UL80" s="83"/>
      <c r="UM80" s="83"/>
      <c r="UN80" s="83"/>
      <c r="UO80" s="83"/>
      <c r="UP80" s="83"/>
      <c r="UQ80" s="83"/>
      <c r="UR80" s="83"/>
      <c r="US80" s="83"/>
      <c r="UT80" s="83"/>
      <c r="UU80" s="83"/>
      <c r="UV80" s="83"/>
      <c r="UW80" s="83"/>
      <c r="UX80" s="83"/>
      <c r="UY80" s="83"/>
      <c r="UZ80" s="83"/>
      <c r="VA80" s="83"/>
      <c r="VB80" s="83"/>
      <c r="VC80" s="83"/>
      <c r="VD80" s="83"/>
      <c r="VE80" s="83"/>
      <c r="VF80" s="83"/>
      <c r="VG80" s="83"/>
      <c r="VH80" s="83"/>
      <c r="VI80" s="83"/>
      <c r="VJ80" s="83"/>
      <c r="VK80" s="83"/>
      <c r="VL80" s="83"/>
      <c r="VM80" s="83"/>
      <c r="VN80" s="83"/>
      <c r="VO80" s="83"/>
      <c r="VP80" s="83"/>
      <c r="VQ80" s="83"/>
      <c r="VR80" s="83"/>
      <c r="VS80" s="83"/>
      <c r="VT80" s="83"/>
      <c r="VU80" s="83"/>
      <c r="VV80" s="83"/>
      <c r="VW80" s="83"/>
      <c r="VX80" s="83"/>
      <c r="VY80" s="83"/>
      <c r="VZ80" s="83"/>
      <c r="WA80" s="83"/>
      <c r="WB80" s="83"/>
      <c r="WC80" s="83"/>
      <c r="WD80" s="83"/>
      <c r="WE80" s="83"/>
      <c r="WF80" s="83"/>
      <c r="WG80" s="83"/>
      <c r="WH80" s="83"/>
      <c r="WI80" s="83"/>
      <c r="WJ80" s="83"/>
      <c r="WK80" s="83"/>
      <c r="WL80" s="83"/>
      <c r="WM80" s="83"/>
      <c r="WN80" s="83"/>
      <c r="WO80" s="83"/>
      <c r="WP80" s="83"/>
      <c r="WQ80" s="83"/>
      <c r="WR80" s="83"/>
      <c r="WS80" s="83"/>
      <c r="WT80" s="83"/>
      <c r="WU80" s="83"/>
      <c r="WV80" s="83"/>
      <c r="WW80" s="83"/>
      <c r="WX80" s="83"/>
      <c r="WY80" s="83"/>
      <c r="WZ80" s="83"/>
      <c r="XA80" s="83"/>
      <c r="XB80" s="83"/>
      <c r="XC80" s="83"/>
      <c r="XD80" s="83"/>
      <c r="XE80" s="83"/>
      <c r="XF80" s="83"/>
      <c r="XG80" s="83"/>
      <c r="XH80" s="83"/>
      <c r="XI80" s="83"/>
      <c r="XJ80" s="83"/>
      <c r="XK80" s="83"/>
      <c r="XL80" s="83"/>
      <c r="XM80" s="83"/>
      <c r="XN80" s="83"/>
      <c r="XO80" s="83"/>
      <c r="XP80" s="83"/>
      <c r="XQ80" s="83"/>
      <c r="XR80" s="83"/>
      <c r="XS80" s="83"/>
      <c r="XT80" s="83"/>
      <c r="XU80" s="83"/>
      <c r="XV80" s="83"/>
      <c r="XW80" s="83"/>
      <c r="XX80" s="83"/>
      <c r="XY80" s="83"/>
      <c r="XZ80" s="83"/>
      <c r="YA80" s="83"/>
      <c r="YB80" s="83"/>
      <c r="YC80" s="83"/>
      <c r="YD80" s="83"/>
      <c r="YE80" s="83"/>
      <c r="YF80" s="83"/>
      <c r="YG80" s="83"/>
      <c r="YH80" s="83"/>
      <c r="YI80" s="83"/>
      <c r="YJ80" s="83"/>
      <c r="YK80" s="83"/>
      <c r="YL80" s="83"/>
      <c r="YM80" s="83"/>
      <c r="YN80" s="83"/>
      <c r="YO80" s="83"/>
      <c r="YP80" s="83"/>
      <c r="YQ80" s="83"/>
      <c r="YR80" s="83"/>
      <c r="YS80" s="83"/>
      <c r="YT80" s="83"/>
      <c r="YU80" s="83"/>
      <c r="YV80" s="83"/>
      <c r="YW80" s="83"/>
      <c r="YX80" s="83"/>
      <c r="YY80" s="83"/>
      <c r="YZ80" s="83"/>
      <c r="ZA80" s="83"/>
      <c r="ZB80" s="83"/>
      <c r="ZC80" s="83"/>
      <c r="ZD80" s="83"/>
      <c r="ZE80" s="83"/>
      <c r="ZF80" s="83"/>
      <c r="ZG80" s="83"/>
      <c r="ZH80" s="83"/>
      <c r="ZI80" s="83"/>
      <c r="ZJ80" s="83"/>
      <c r="ZK80" s="83"/>
      <c r="ZL80" s="83"/>
      <c r="ZM80" s="83"/>
      <c r="ZN80" s="83"/>
      <c r="ZO80" s="83"/>
      <c r="ZP80" s="83"/>
      <c r="ZQ80" s="83"/>
      <c r="ZR80" s="83"/>
      <c r="ZS80" s="83"/>
      <c r="ZT80" s="83"/>
      <c r="ZU80" s="83"/>
      <c r="ZV80" s="83"/>
      <c r="ZW80" s="83"/>
      <c r="ZX80" s="83"/>
      <c r="ZY80" s="83"/>
      <c r="ZZ80" s="83"/>
      <c r="AAA80" s="83"/>
      <c r="AAB80" s="83"/>
      <c r="AAC80" s="83"/>
      <c r="AAD80" s="83"/>
      <c r="AAE80" s="83"/>
      <c r="AAF80" s="83"/>
      <c r="AAG80" s="83"/>
      <c r="AAH80" s="83"/>
      <c r="AAI80" s="83"/>
      <c r="AAJ80" s="83"/>
      <c r="AAK80" s="83"/>
      <c r="AAL80" s="83"/>
      <c r="AAM80" s="83"/>
      <c r="AAN80" s="83"/>
      <c r="AAO80" s="83"/>
      <c r="AAP80" s="83"/>
      <c r="AAQ80" s="83"/>
      <c r="AAR80" s="83"/>
      <c r="AAS80" s="83"/>
      <c r="AAT80" s="83"/>
      <c r="AAU80" s="83"/>
      <c r="AAV80" s="83"/>
      <c r="AAW80" s="83"/>
      <c r="AAX80" s="83"/>
      <c r="AAY80" s="83"/>
      <c r="AAZ80" s="83"/>
      <c r="ABA80" s="83"/>
      <c r="ABB80" s="83"/>
      <c r="ABC80" s="83"/>
      <c r="ABD80" s="83"/>
      <c r="ABE80" s="83"/>
      <c r="ABF80" s="83"/>
      <c r="ABG80" s="83"/>
      <c r="ABH80" s="83"/>
      <c r="ABI80" s="83"/>
      <c r="ABJ80" s="83"/>
      <c r="ABK80" s="83"/>
      <c r="ABL80" s="83"/>
      <c r="ABM80" s="83"/>
      <c r="ABN80" s="83"/>
      <c r="ABO80" s="83"/>
      <c r="ABP80" s="83"/>
      <c r="ABQ80" s="83"/>
      <c r="ABR80" s="83"/>
      <c r="ABS80" s="83"/>
      <c r="ABT80" s="83"/>
      <c r="ABU80" s="83"/>
      <c r="ABV80" s="83"/>
      <c r="ABW80" s="83"/>
      <c r="ABX80" s="83"/>
      <c r="ABY80" s="83"/>
      <c r="ABZ80" s="83"/>
      <c r="ACA80" s="83"/>
      <c r="ACB80" s="83"/>
      <c r="ACC80" s="83"/>
      <c r="ACD80" s="83"/>
      <c r="ACE80" s="83"/>
      <c r="ACF80" s="83"/>
      <c r="ACG80" s="83"/>
      <c r="ACH80" s="83"/>
      <c r="ACI80" s="83"/>
      <c r="ACJ80" s="83"/>
      <c r="ACK80" s="83"/>
      <c r="ACL80" s="83"/>
      <c r="ACM80" s="83"/>
      <c r="ACN80" s="83"/>
      <c r="ACO80" s="83"/>
      <c r="ACP80" s="83"/>
      <c r="ACQ80" s="83"/>
      <c r="ACR80" s="83"/>
      <c r="ACS80" s="83"/>
      <c r="ACT80" s="83"/>
      <c r="ACU80" s="83"/>
      <c r="ACV80" s="83"/>
      <c r="ACW80" s="83"/>
      <c r="ACX80" s="83"/>
      <c r="ACY80" s="83"/>
      <c r="ACZ80" s="83"/>
      <c r="ADA80" s="83"/>
      <c r="ADB80" s="83"/>
      <c r="ADC80" s="83"/>
      <c r="ADD80" s="83"/>
      <c r="ADE80" s="83"/>
      <c r="ADF80" s="83"/>
      <c r="ADG80" s="83"/>
      <c r="ADH80" s="83"/>
      <c r="ADI80" s="83"/>
      <c r="ADJ80" s="83"/>
      <c r="ADK80" s="83"/>
      <c r="ADL80" s="83"/>
      <c r="ADM80" s="83"/>
      <c r="ADN80" s="83"/>
      <c r="ADO80" s="83"/>
      <c r="ADP80" s="83"/>
      <c r="ADQ80" s="83"/>
      <c r="ADR80" s="83"/>
      <c r="ADS80" s="83"/>
      <c r="ADT80" s="83"/>
      <c r="ADU80" s="83"/>
      <c r="ADV80" s="83"/>
      <c r="ADW80" s="83"/>
      <c r="ADX80" s="83"/>
      <c r="ADY80" s="83"/>
      <c r="ADZ80" s="83"/>
      <c r="AEA80" s="83"/>
      <c r="AEB80" s="83"/>
      <c r="AEC80" s="83"/>
      <c r="AED80" s="83"/>
      <c r="AEE80" s="83"/>
      <c r="AEF80" s="83"/>
      <c r="AEG80" s="83"/>
      <c r="AEH80" s="83"/>
      <c r="AEI80" s="83"/>
      <c r="AEJ80" s="83"/>
      <c r="AEK80" s="83"/>
      <c r="AEL80" s="83"/>
      <c r="AEM80" s="83"/>
      <c r="AEN80" s="83"/>
      <c r="AEO80" s="83"/>
      <c r="AEP80" s="83"/>
      <c r="AEQ80" s="83"/>
      <c r="AER80" s="83"/>
      <c r="AES80" s="83"/>
      <c r="AET80" s="83"/>
      <c r="AEU80" s="83"/>
      <c r="AEV80" s="83"/>
      <c r="AEW80" s="83"/>
      <c r="AEX80" s="83"/>
      <c r="AEY80" s="83"/>
      <c r="AEZ80" s="83"/>
      <c r="AFA80" s="83"/>
      <c r="AFB80" s="83"/>
      <c r="AFC80" s="83"/>
      <c r="AFD80" s="83"/>
      <c r="AFE80" s="83"/>
      <c r="AFF80" s="83"/>
      <c r="AFG80" s="83"/>
      <c r="AFH80" s="83"/>
      <c r="AFI80" s="83"/>
      <c r="AFJ80" s="83"/>
      <c r="AFK80" s="83"/>
      <c r="AFL80" s="83"/>
      <c r="AFM80" s="83"/>
      <c r="AFN80" s="83"/>
      <c r="AFO80" s="83"/>
      <c r="AFP80" s="83"/>
      <c r="AFQ80" s="83"/>
      <c r="AFR80" s="83"/>
      <c r="AFS80" s="83"/>
      <c r="AFT80" s="83"/>
      <c r="AFU80" s="83"/>
      <c r="AFV80" s="83"/>
      <c r="AFW80" s="83"/>
      <c r="AFX80" s="83"/>
      <c r="AFY80" s="83"/>
      <c r="AFZ80" s="83"/>
      <c r="AGA80" s="83"/>
      <c r="AGB80" s="83"/>
      <c r="AGC80" s="83"/>
      <c r="AGD80" s="83"/>
      <c r="AGE80" s="83"/>
      <c r="AGF80" s="83"/>
      <c r="AGG80" s="83"/>
      <c r="AGH80" s="83"/>
      <c r="AGI80" s="83"/>
      <c r="AGJ80" s="83"/>
      <c r="AGK80" s="83"/>
      <c r="AGL80" s="83"/>
      <c r="AGM80" s="83"/>
      <c r="AGN80" s="83"/>
      <c r="AGO80" s="83"/>
      <c r="AGP80" s="83"/>
      <c r="AGQ80" s="83"/>
      <c r="AGR80" s="83"/>
      <c r="AGS80" s="83"/>
      <c r="AGT80" s="83"/>
      <c r="AGU80" s="83"/>
      <c r="AGV80" s="83"/>
      <c r="AGW80" s="83"/>
      <c r="AGX80" s="83"/>
      <c r="AGY80" s="83"/>
      <c r="AGZ80" s="83"/>
      <c r="AHA80" s="83"/>
      <c r="AHB80" s="83"/>
      <c r="AHC80" s="83"/>
      <c r="AHD80" s="83"/>
      <c r="AHE80" s="83"/>
      <c r="AHF80" s="83"/>
      <c r="AHG80" s="83"/>
      <c r="AHH80" s="83"/>
      <c r="AHI80" s="83"/>
      <c r="AHJ80" s="83"/>
      <c r="AHK80" s="83"/>
      <c r="AHL80" s="83"/>
      <c r="AHM80" s="83"/>
      <c r="AHN80" s="83"/>
      <c r="AHO80" s="83"/>
      <c r="AHP80" s="83"/>
      <c r="AHQ80" s="83"/>
      <c r="AHR80" s="83"/>
      <c r="AHS80" s="83"/>
      <c r="AHT80" s="83"/>
      <c r="AHU80" s="83"/>
      <c r="AHV80" s="83"/>
      <c r="AHW80" s="83"/>
      <c r="AHX80" s="83"/>
      <c r="AHY80" s="83"/>
      <c r="AHZ80" s="83"/>
      <c r="AIA80" s="83"/>
      <c r="AIB80" s="83"/>
      <c r="AIC80" s="83"/>
      <c r="AID80" s="83"/>
      <c r="AIE80" s="83"/>
      <c r="AIF80" s="83"/>
      <c r="AIG80" s="83"/>
      <c r="AIH80" s="83"/>
      <c r="AII80" s="83"/>
      <c r="AIJ80" s="83"/>
      <c r="AIK80" s="83"/>
      <c r="AIL80" s="83"/>
      <c r="AIM80" s="83"/>
      <c r="AIN80" s="83"/>
      <c r="AIO80" s="83"/>
      <c r="AIP80" s="83"/>
      <c r="AIQ80" s="83"/>
      <c r="AIR80" s="83"/>
      <c r="AIS80" s="83"/>
      <c r="AIT80" s="83"/>
      <c r="AIU80" s="83"/>
      <c r="AIV80" s="83"/>
      <c r="AIW80" s="83"/>
      <c r="AIX80" s="83"/>
      <c r="AIY80" s="83"/>
      <c r="AIZ80" s="83"/>
      <c r="AJA80" s="83"/>
      <c r="AJB80" s="83"/>
      <c r="AJC80" s="83"/>
      <c r="AJD80" s="83"/>
      <c r="AJE80" s="83"/>
      <c r="AJF80" s="83"/>
      <c r="AJG80" s="83"/>
      <c r="AJH80" s="83"/>
      <c r="AJI80" s="83"/>
      <c r="AJJ80" s="83"/>
      <c r="AJK80" s="83"/>
      <c r="AJL80" s="83"/>
      <c r="AJM80" s="83"/>
      <c r="AJN80" s="83"/>
      <c r="AJO80" s="83"/>
      <c r="AJP80" s="83"/>
      <c r="AJQ80" s="83"/>
      <c r="AJR80" s="83"/>
      <c r="AJS80" s="83"/>
      <c r="AJT80" s="83"/>
      <c r="AJU80" s="83"/>
      <c r="AJV80" s="83"/>
      <c r="AJW80" s="83"/>
      <c r="AJX80" s="83"/>
      <c r="AJY80" s="83"/>
      <c r="AJZ80" s="83"/>
      <c r="AKA80" s="83"/>
      <c r="AKB80" s="83"/>
      <c r="AKC80" s="83"/>
      <c r="AKD80" s="83"/>
      <c r="AKE80" s="83"/>
      <c r="AKF80" s="83"/>
      <c r="AKG80" s="83"/>
      <c r="AKH80" s="83"/>
      <c r="AKI80" s="83"/>
      <c r="AKJ80" s="83"/>
      <c r="AKK80" s="83"/>
      <c r="AKL80" s="83"/>
      <c r="AKM80" s="83"/>
      <c r="AKN80" s="83"/>
      <c r="AKO80" s="83"/>
      <c r="AKP80" s="83"/>
      <c r="AKQ80" s="83"/>
      <c r="AKR80" s="83"/>
      <c r="AKS80" s="83"/>
      <c r="AKT80" s="83"/>
      <c r="AKU80" s="83"/>
      <c r="AKV80" s="83"/>
      <c r="AKW80" s="83"/>
      <c r="AKX80" s="83"/>
      <c r="AKY80" s="83"/>
      <c r="AKZ80" s="83"/>
      <c r="ALA80" s="83"/>
      <c r="ALB80" s="83"/>
      <c r="ALC80" s="83"/>
      <c r="ALD80" s="83"/>
      <c r="ALE80" s="83"/>
      <c r="ALF80" s="83"/>
      <c r="ALG80" s="83"/>
      <c r="ALH80" s="83"/>
      <c r="ALI80" s="83"/>
      <c r="ALJ80" s="83"/>
      <c r="ALK80" s="83"/>
      <c r="ALL80" s="83"/>
      <c r="ALM80" s="83"/>
      <c r="ALN80" s="83"/>
      <c r="ALO80" s="83"/>
      <c r="ALP80" s="83"/>
      <c r="ALQ80" s="83"/>
      <c r="ALR80" s="83"/>
      <c r="ALS80" s="83"/>
      <c r="ALT80" s="83"/>
      <c r="ALU80" s="83"/>
      <c r="ALV80" s="83"/>
      <c r="ALW80" s="83"/>
      <c r="ALX80" s="83"/>
      <c r="ALY80" s="83"/>
      <c r="ALZ80" s="83"/>
      <c r="AMA80" s="83"/>
      <c r="AMB80" s="83"/>
      <c r="AMC80" s="83"/>
      <c r="AMD80" s="83"/>
      <c r="AME80" s="83"/>
      <c r="AMF80" s="83"/>
      <c r="AMG80" s="83"/>
      <c r="AMH80" s="83"/>
      <c r="AMI80" s="83"/>
      <c r="AMJ80" s="83"/>
    </row>
  </sheetData>
  <mergeCells count="31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27:G27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8:G28"/>
    <mergeCell ref="C29:G29"/>
    <mergeCell ref="A30:I30"/>
    <mergeCell ref="J30:K30"/>
    <mergeCell ref="A31:I31"/>
    <mergeCell ref="J31:K31"/>
  </mergeCells>
  <conditionalFormatting sqref="C14:C15">
    <cfRule type="duplicateValues" dxfId="15" priority="1"/>
    <cfRule type="duplicateValues" dxfId="14" priority="2"/>
  </conditionalFormatting>
  <conditionalFormatting sqref="C15">
    <cfRule type="duplicateValues" dxfId="13" priority="3"/>
  </conditionalFormatting>
  <conditionalFormatting sqref="C14:C15">
    <cfRule type="duplicateValues" dxfId="12" priority="4"/>
  </conditionalFormatting>
  <conditionalFormatting sqref="C14:C15">
    <cfRule type="duplicateValues" dxfId="11" priority="5"/>
  </conditionalFormatting>
  <conditionalFormatting sqref="C14:C15">
    <cfRule type="duplicateValues" dxfId="10" priority="6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7"/>
  <sheetViews>
    <sheetView topLeftCell="A10" workbookViewId="0">
      <selection activeCell="A23" sqref="A23:P23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4" t="s">
        <v>2</v>
      </c>
      <c r="B1" s="294"/>
      <c r="C1" s="294"/>
      <c r="D1" s="295">
        <v>2021</v>
      </c>
      <c r="E1" s="295"/>
      <c r="F1" s="129"/>
      <c r="G1" s="129"/>
      <c r="H1" s="130"/>
      <c r="I1" s="130"/>
      <c r="J1" s="130"/>
      <c r="K1" s="130"/>
      <c r="L1" s="130"/>
      <c r="M1" s="130"/>
      <c r="N1" s="130"/>
      <c r="P1" s="296" t="s">
        <v>116</v>
      </c>
      <c r="Q1" s="296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6"/>
      <c r="Q2" s="296"/>
    </row>
    <row r="4" spans="1:17" s="132" customFormat="1" ht="18" customHeight="1" thickBot="1" x14ac:dyDescent="0.25">
      <c r="A4" s="297" t="s">
        <v>117</v>
      </c>
      <c r="B4" s="297"/>
      <c r="C4" s="297"/>
      <c r="D4" s="297"/>
      <c r="E4" s="297"/>
      <c r="F4" s="297"/>
      <c r="G4" s="284" t="s">
        <v>101</v>
      </c>
      <c r="H4" s="284"/>
      <c r="I4" s="284"/>
      <c r="J4" s="284"/>
      <c r="K4" s="284"/>
      <c r="L4" s="284"/>
      <c r="M4" s="284"/>
      <c r="N4" s="284"/>
      <c r="O4" s="284"/>
      <c r="P4" s="284"/>
      <c r="Q4" s="284"/>
    </row>
    <row r="5" spans="1:17" s="132" customFormat="1" ht="18" customHeight="1" thickBot="1" x14ac:dyDescent="0.25">
      <c r="A5" s="281" t="s">
        <v>102</v>
      </c>
      <c r="B5" s="282"/>
      <c r="C5" s="282"/>
      <c r="D5" s="282"/>
      <c r="E5" s="282"/>
      <c r="F5" s="283"/>
      <c r="G5" s="284" t="s">
        <v>118</v>
      </c>
      <c r="H5" s="284"/>
      <c r="I5" s="284"/>
      <c r="J5" s="284"/>
      <c r="K5" s="284"/>
      <c r="L5" s="284"/>
      <c r="M5" s="284"/>
      <c r="N5" s="284"/>
      <c r="O5" s="284"/>
      <c r="P5" s="284"/>
      <c r="Q5" s="284"/>
    </row>
    <row r="6" spans="1:17" s="132" customFormat="1" ht="18" customHeight="1" thickBot="1" x14ac:dyDescent="0.25">
      <c r="A6" s="281" t="s">
        <v>104</v>
      </c>
      <c r="B6" s="282"/>
      <c r="C6" s="282"/>
      <c r="D6" s="282"/>
      <c r="E6" s="282"/>
      <c r="F6" s="283"/>
      <c r="G6" s="284" t="s">
        <v>153</v>
      </c>
      <c r="H6" s="284"/>
      <c r="I6" s="284"/>
      <c r="J6" s="284"/>
      <c r="K6" s="284"/>
      <c r="L6" s="284"/>
      <c r="M6" s="284"/>
      <c r="N6" s="284"/>
      <c r="O6" s="284"/>
      <c r="P6" s="284"/>
      <c r="Q6" s="284"/>
    </row>
    <row r="7" spans="1:17" s="132" customFormat="1" ht="18" customHeight="1" thickBot="1" x14ac:dyDescent="0.25">
      <c r="A7" s="281" t="s">
        <v>105</v>
      </c>
      <c r="B7" s="282"/>
      <c r="C7" s="282"/>
      <c r="D7" s="282"/>
      <c r="E7" s="282"/>
      <c r="F7" s="283"/>
      <c r="G7" s="284" t="s">
        <v>153</v>
      </c>
      <c r="H7" s="284"/>
      <c r="I7" s="284"/>
      <c r="J7" s="284"/>
      <c r="K7" s="284"/>
      <c r="L7" s="284"/>
      <c r="M7" s="284"/>
      <c r="N7" s="284"/>
      <c r="O7" s="284"/>
      <c r="P7" s="284"/>
      <c r="Q7" s="284"/>
    </row>
    <row r="8" spans="1:17" ht="18" customHeight="1" thickBot="1" x14ac:dyDescent="0.25">
      <c r="A8" s="285" t="s">
        <v>119</v>
      </c>
      <c r="B8" s="285"/>
      <c r="C8" s="285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</row>
    <row r="9" spans="1:17" ht="18" customHeight="1" x14ac:dyDescent="0.2">
      <c r="A9" s="286" t="s">
        <v>120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133"/>
      <c r="P9" s="133"/>
      <c r="Q9" s="134"/>
    </row>
    <row r="10" spans="1:17" ht="57" customHeight="1" x14ac:dyDescent="0.2">
      <c r="A10" s="287" t="s">
        <v>154</v>
      </c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9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0" t="s">
        <v>121</v>
      </c>
      <c r="B12" s="290"/>
      <c r="C12" s="290"/>
      <c r="D12" s="290"/>
      <c r="E12" s="290"/>
      <c r="F12" s="290"/>
      <c r="G12" s="290"/>
      <c r="H12" s="290"/>
      <c r="I12" s="290"/>
      <c r="J12" s="290"/>
      <c r="K12" s="290"/>
      <c r="L12" s="290"/>
      <c r="M12" s="290"/>
      <c r="N12" s="290"/>
      <c r="O12" s="290"/>
      <c r="P12" s="290"/>
      <c r="Q12" s="290"/>
    </row>
    <row r="13" spans="1:17" ht="15.75" customHeight="1" thickBot="1" x14ac:dyDescent="0.25">
      <c r="A13" s="291" t="s">
        <v>122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291"/>
      <c r="O13" s="292" t="s">
        <v>123</v>
      </c>
      <c r="P13" s="292"/>
      <c r="Q13" s="293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2"/>
      <c r="P14" s="292"/>
      <c r="Q14" s="293"/>
    </row>
    <row r="15" spans="1:17" ht="33.75" customHeight="1" x14ac:dyDescent="0.2">
      <c r="A15" s="144">
        <v>31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79" t="s">
        <v>142</v>
      </c>
      <c r="P15" s="280"/>
      <c r="Q15" s="105">
        <f>+'Necesidades Trimestrales '!V52</f>
        <v>330000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0"/>
      <c r="P16" s="271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0"/>
      <c r="P17" s="271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1"/>
      <c r="P18" s="271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1"/>
      <c r="P19" s="271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1"/>
      <c r="P20" s="271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0"/>
      <c r="P21" s="270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2"/>
      <c r="P22" s="272"/>
      <c r="Q22" s="119"/>
    </row>
    <row r="23" spans="1:18" ht="36" customHeight="1" thickBot="1" x14ac:dyDescent="0.25">
      <c r="A23" s="273" t="s">
        <v>155</v>
      </c>
      <c r="B23" s="273"/>
      <c r="C23" s="273"/>
      <c r="D23" s="273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161">
        <f>SUM(Q15:Q22)</f>
        <v>330000</v>
      </c>
    </row>
    <row r="24" spans="1:18" ht="18" customHeight="1" thickBot="1" x14ac:dyDescent="0.25">
      <c r="A24" s="274"/>
      <c r="B24" s="274"/>
      <c r="C24" s="274"/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74"/>
      <c r="P24" s="274"/>
      <c r="Q24" s="274"/>
    </row>
    <row r="25" spans="1:18" ht="17.25" customHeight="1" thickBot="1" x14ac:dyDescent="0.25">
      <c r="A25" s="275" t="s">
        <v>138</v>
      </c>
      <c r="B25" s="276"/>
      <c r="C25" s="276"/>
      <c r="D25" s="276"/>
      <c r="E25" s="276"/>
      <c r="F25" s="277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8"/>
    </row>
    <row r="26" spans="1:18" ht="18" customHeight="1" thickBot="1" x14ac:dyDescent="0.25">
      <c r="A26" s="269" t="s">
        <v>143</v>
      </c>
      <c r="B26" s="269"/>
      <c r="C26" s="269"/>
      <c r="D26" s="269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</row>
    <row r="27" spans="1:18" ht="28.5" customHeight="1" thickBot="1" x14ac:dyDescent="0.25">
      <c r="A27" s="269"/>
      <c r="B27" s="269"/>
      <c r="C27" s="269"/>
      <c r="D27" s="269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J77"/>
  <sheetViews>
    <sheetView zoomScale="80" zoomScaleNormal="80" workbookViewId="0">
      <selection activeCell="A27" sqref="A27:I27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7" t="s">
        <v>98</v>
      </c>
      <c r="B1" s="227"/>
      <c r="C1" s="227"/>
      <c r="D1" s="227"/>
      <c r="E1" s="227"/>
      <c r="F1" s="227"/>
      <c r="G1" s="227"/>
      <c r="H1" s="227"/>
      <c r="I1" s="227"/>
      <c r="J1" s="49" t="s">
        <v>99</v>
      </c>
      <c r="K1" s="50" t="s">
        <v>168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2" t="s">
        <v>100</v>
      </c>
      <c r="B3" s="222"/>
      <c r="C3" s="222"/>
      <c r="D3" s="223" t="s">
        <v>101</v>
      </c>
      <c r="E3" s="223"/>
      <c r="F3" s="223"/>
      <c r="G3" s="223"/>
      <c r="H3" s="223"/>
      <c r="I3" s="223"/>
      <c r="J3" s="223"/>
      <c r="K3" s="223"/>
    </row>
    <row r="4" spans="1:13" ht="18.75" customHeight="1" thickBot="1" x14ac:dyDescent="0.25">
      <c r="A4" s="224" t="s">
        <v>102</v>
      </c>
      <c r="B4" s="224"/>
      <c r="C4" s="224"/>
      <c r="D4" s="223" t="s">
        <v>103</v>
      </c>
      <c r="E4" s="223"/>
      <c r="F4" s="223"/>
      <c r="G4" s="223"/>
      <c r="H4" s="223"/>
      <c r="I4" s="223"/>
      <c r="J4" s="223"/>
      <c r="K4" s="223"/>
    </row>
    <row r="5" spans="1:13" ht="18.75" customHeight="1" thickBot="1" x14ac:dyDescent="0.25">
      <c r="A5" s="224" t="s">
        <v>104</v>
      </c>
      <c r="B5" s="224"/>
      <c r="C5" s="224"/>
      <c r="D5" s="223" t="s">
        <v>156</v>
      </c>
      <c r="E5" s="223"/>
      <c r="F5" s="223"/>
      <c r="G5" s="223"/>
      <c r="H5" s="223"/>
      <c r="I5" s="223"/>
      <c r="J5" s="223"/>
      <c r="K5" s="223"/>
    </row>
    <row r="6" spans="1:13" ht="16.5" customHeight="1" thickBot="1" x14ac:dyDescent="0.25">
      <c r="A6" s="222" t="s">
        <v>105</v>
      </c>
      <c r="B6" s="222"/>
      <c r="C6" s="222"/>
      <c r="D6" s="223" t="s">
        <v>156</v>
      </c>
      <c r="E6" s="223"/>
      <c r="F6" s="223"/>
      <c r="G6" s="223"/>
      <c r="H6" s="223"/>
      <c r="I6" s="223"/>
      <c r="J6" s="223"/>
      <c r="K6" s="223"/>
    </row>
    <row r="7" spans="1:13" ht="16.5" customHeight="1" thickBot="1" x14ac:dyDescent="0.25">
      <c r="A7" s="224" t="s">
        <v>106</v>
      </c>
      <c r="B7" s="224"/>
      <c r="C7" s="224"/>
      <c r="D7" s="223" t="s">
        <v>107</v>
      </c>
      <c r="E7" s="223"/>
      <c r="F7" s="223"/>
      <c r="G7" s="223"/>
      <c r="H7" s="223"/>
      <c r="I7" s="223"/>
      <c r="J7" s="223"/>
      <c r="K7" s="223"/>
    </row>
    <row r="8" spans="1:13" ht="16.5" customHeight="1" thickBot="1" x14ac:dyDescent="0.25">
      <c r="A8" s="225" t="s">
        <v>108</v>
      </c>
      <c r="B8" s="225"/>
      <c r="C8" s="225"/>
      <c r="D8" s="226" t="s">
        <v>141</v>
      </c>
      <c r="E8" s="226"/>
      <c r="F8" s="226"/>
      <c r="G8" s="226"/>
      <c r="H8" s="226"/>
      <c r="I8" s="226"/>
      <c r="J8" s="226"/>
      <c r="K8" s="226"/>
    </row>
    <row r="9" spans="1:13" ht="16.5" thickBot="1" x14ac:dyDescent="0.25">
      <c r="A9" s="54"/>
      <c r="B9" s="54"/>
      <c r="C9" s="54"/>
      <c r="D9" s="162"/>
      <c r="E9" s="162"/>
      <c r="F9" s="162"/>
      <c r="G9" s="162"/>
      <c r="H9" s="162"/>
      <c r="I9" s="162"/>
      <c r="J9" s="162"/>
      <c r="K9" s="162"/>
    </row>
    <row r="10" spans="1:13" ht="18.75" customHeight="1" thickBot="1" x14ac:dyDescent="0.25">
      <c r="A10" s="221" t="s">
        <v>109</v>
      </c>
      <c r="B10" s="220" t="s">
        <v>110</v>
      </c>
      <c r="C10" s="220" t="s">
        <v>111</v>
      </c>
      <c r="D10" s="220"/>
      <c r="E10" s="220"/>
      <c r="F10" s="220"/>
      <c r="G10" s="220"/>
      <c r="H10" s="220" t="s">
        <v>112</v>
      </c>
      <c r="I10" s="220" t="s">
        <v>113</v>
      </c>
      <c r="J10" s="220" t="s">
        <v>114</v>
      </c>
      <c r="K10" s="213" t="s">
        <v>115</v>
      </c>
    </row>
    <row r="11" spans="1:13" ht="24" customHeight="1" thickBot="1" x14ac:dyDescent="0.25">
      <c r="A11" s="221"/>
      <c r="B11" s="220"/>
      <c r="C11" s="220"/>
      <c r="D11" s="220"/>
      <c r="E11" s="220"/>
      <c r="F11" s="220"/>
      <c r="G11" s="220"/>
      <c r="H11" s="220"/>
      <c r="I11" s="220"/>
      <c r="J11" s="220"/>
      <c r="K11" s="213"/>
    </row>
    <row r="12" spans="1:13" s="51" customFormat="1" ht="32.25" customHeight="1" thickBot="1" x14ac:dyDescent="0.25">
      <c r="A12" s="61">
        <v>1</v>
      </c>
      <c r="B12" s="62"/>
      <c r="C12" s="313" t="s">
        <v>173</v>
      </c>
      <c r="D12" s="314"/>
      <c r="E12" s="314"/>
      <c r="F12" s="314"/>
      <c r="G12" s="315"/>
      <c r="H12" s="57" t="s">
        <v>140</v>
      </c>
      <c r="I12" s="171" t="s">
        <v>12</v>
      </c>
      <c r="J12" s="177">
        <v>33</v>
      </c>
      <c r="K12" s="174">
        <f>2*100</f>
        <v>200</v>
      </c>
      <c r="M12" s="128">
        <f>+K12*J12</f>
        <v>6600</v>
      </c>
    </row>
    <row r="13" spans="1:13" s="51" customFormat="1" ht="32.25" customHeight="1" thickBot="1" x14ac:dyDescent="0.25">
      <c r="A13" s="61">
        <v>2</v>
      </c>
      <c r="B13" s="62"/>
      <c r="C13" s="316" t="s">
        <v>174</v>
      </c>
      <c r="D13" s="317"/>
      <c r="E13" s="317"/>
      <c r="F13" s="317"/>
      <c r="G13" s="318"/>
      <c r="H13" s="57" t="s">
        <v>140</v>
      </c>
      <c r="I13" s="171" t="s">
        <v>12</v>
      </c>
      <c r="J13" s="177">
        <v>38</v>
      </c>
      <c r="K13" s="174">
        <v>300</v>
      </c>
      <c r="M13" s="128">
        <f t="shared" ref="M13:M16" si="0">+K13*J13</f>
        <v>11400</v>
      </c>
    </row>
    <row r="14" spans="1:13" s="51" customFormat="1" ht="32.25" customHeight="1" thickBot="1" x14ac:dyDescent="0.25">
      <c r="A14" s="61">
        <v>3</v>
      </c>
      <c r="B14" s="62"/>
      <c r="C14" s="316" t="s">
        <v>175</v>
      </c>
      <c r="D14" s="317"/>
      <c r="E14" s="317"/>
      <c r="F14" s="317"/>
      <c r="G14" s="318"/>
      <c r="H14" s="57" t="s">
        <v>140</v>
      </c>
      <c r="I14" s="171" t="s">
        <v>12</v>
      </c>
      <c r="J14" s="177">
        <v>36</v>
      </c>
      <c r="K14" s="174">
        <v>200</v>
      </c>
      <c r="M14" s="128">
        <f t="shared" si="0"/>
        <v>7200</v>
      </c>
    </row>
    <row r="15" spans="1:13" s="51" customFormat="1" ht="32.25" customHeight="1" thickBot="1" x14ac:dyDescent="0.25">
      <c r="A15" s="61">
        <v>4</v>
      </c>
      <c r="B15" s="62"/>
      <c r="C15" s="263" t="s">
        <v>64</v>
      </c>
      <c r="D15" s="264"/>
      <c r="E15" s="264"/>
      <c r="F15" s="264"/>
      <c r="G15" s="265"/>
      <c r="H15" s="57" t="s">
        <v>140</v>
      </c>
      <c r="I15" s="58" t="s">
        <v>12</v>
      </c>
      <c r="J15" s="45">
        <v>1100</v>
      </c>
      <c r="K15" s="59">
        <v>5</v>
      </c>
      <c r="M15" s="128">
        <f t="shared" si="0"/>
        <v>5500</v>
      </c>
    </row>
    <row r="16" spans="1:13" s="51" customFormat="1" ht="32.25" customHeight="1" x14ac:dyDescent="0.2">
      <c r="A16" s="61">
        <v>5</v>
      </c>
      <c r="B16" s="62"/>
      <c r="C16" s="266" t="s">
        <v>65</v>
      </c>
      <c r="D16" s="267"/>
      <c r="E16" s="267"/>
      <c r="F16" s="267"/>
      <c r="G16" s="268"/>
      <c r="H16" s="57" t="s">
        <v>140</v>
      </c>
      <c r="I16" s="58" t="s">
        <v>12</v>
      </c>
      <c r="J16" s="45">
        <v>1100</v>
      </c>
      <c r="K16" s="68">
        <v>10</v>
      </c>
      <c r="M16" s="128">
        <f t="shared" si="0"/>
        <v>11000</v>
      </c>
    </row>
    <row r="17" spans="1:13" s="51" customFormat="1" ht="32.25" customHeight="1" x14ac:dyDescent="0.2">
      <c r="A17" s="61"/>
      <c r="B17" s="62"/>
      <c r="C17" s="63"/>
      <c r="D17" s="64"/>
      <c r="E17" s="64"/>
      <c r="F17" s="64"/>
      <c r="G17" s="65"/>
      <c r="H17" s="66"/>
      <c r="I17" s="58"/>
      <c r="J17" s="67"/>
      <c r="K17" s="68"/>
      <c r="M17" s="60"/>
    </row>
    <row r="18" spans="1:13" s="51" customFormat="1" ht="32.25" customHeight="1" x14ac:dyDescent="0.2">
      <c r="A18" s="61"/>
      <c r="B18" s="62"/>
      <c r="C18" s="63"/>
      <c r="D18" s="64"/>
      <c r="E18" s="64"/>
      <c r="F18" s="64"/>
      <c r="G18" s="65"/>
      <c r="H18" s="66"/>
      <c r="I18" s="58"/>
      <c r="J18" s="67"/>
      <c r="K18" s="68"/>
      <c r="M18" s="60"/>
    </row>
    <row r="19" spans="1:13" s="51" customFormat="1" ht="32.25" customHeight="1" x14ac:dyDescent="0.2">
      <c r="A19" s="61"/>
      <c r="B19" s="62"/>
      <c r="C19" s="63"/>
      <c r="D19" s="64"/>
      <c r="E19" s="64"/>
      <c r="F19" s="64"/>
      <c r="G19" s="65"/>
      <c r="H19" s="66"/>
      <c r="I19" s="58"/>
      <c r="J19" s="67"/>
      <c r="K19" s="68"/>
      <c r="M19" s="60"/>
    </row>
    <row r="20" spans="1:13" s="51" customFormat="1" ht="32.25" customHeight="1" x14ac:dyDescent="0.2">
      <c r="A20" s="61"/>
      <c r="B20" s="62"/>
      <c r="C20" s="63"/>
      <c r="D20" s="64"/>
      <c r="E20" s="64"/>
      <c r="F20" s="64"/>
      <c r="G20" s="65"/>
      <c r="H20" s="66"/>
      <c r="I20" s="58"/>
      <c r="J20" s="67"/>
      <c r="K20" s="68"/>
      <c r="M20" s="60"/>
    </row>
    <row r="21" spans="1:13" s="51" customFormat="1" ht="32.25" customHeight="1" x14ac:dyDescent="0.2">
      <c r="A21" s="61"/>
      <c r="B21" s="62"/>
      <c r="C21" s="63"/>
      <c r="D21" s="64"/>
      <c r="E21" s="64"/>
      <c r="F21" s="64"/>
      <c r="G21" s="65"/>
      <c r="H21" s="66"/>
      <c r="I21" s="58"/>
      <c r="J21" s="67"/>
      <c r="K21" s="68"/>
      <c r="M21" s="60"/>
    </row>
    <row r="22" spans="1:13" s="51" customFormat="1" ht="32.25" customHeight="1" x14ac:dyDescent="0.2">
      <c r="A22" s="61"/>
      <c r="B22" s="62"/>
      <c r="C22" s="63"/>
      <c r="D22" s="64"/>
      <c r="E22" s="64"/>
      <c r="F22" s="64"/>
      <c r="G22" s="65"/>
      <c r="H22" s="66"/>
      <c r="I22" s="58"/>
      <c r="J22" s="67"/>
      <c r="K22" s="68"/>
      <c r="M22" s="60"/>
    </row>
    <row r="23" spans="1:13" s="51" customFormat="1" ht="32.25" customHeight="1" x14ac:dyDescent="0.2">
      <c r="A23" s="61"/>
      <c r="B23" s="62"/>
      <c r="C23" s="63"/>
      <c r="D23" s="64"/>
      <c r="E23" s="64"/>
      <c r="F23" s="64"/>
      <c r="G23" s="65"/>
      <c r="H23" s="66"/>
      <c r="I23" s="58"/>
      <c r="J23" s="67"/>
      <c r="K23" s="68"/>
      <c r="M23" s="60"/>
    </row>
    <row r="24" spans="1:13" s="51" customFormat="1" ht="15.95" customHeight="1" x14ac:dyDescent="0.2">
      <c r="A24" s="69"/>
      <c r="B24" s="70"/>
      <c r="C24" s="307"/>
      <c r="D24" s="308"/>
      <c r="E24" s="308"/>
      <c r="F24" s="308"/>
      <c r="G24" s="309"/>
      <c r="H24" s="71"/>
      <c r="I24" s="58"/>
      <c r="J24" s="72"/>
      <c r="K24" s="73"/>
      <c r="M24" s="60"/>
    </row>
    <row r="25" spans="1:13" s="51" customFormat="1" ht="15.95" customHeight="1" x14ac:dyDescent="0.2">
      <c r="A25" s="74"/>
      <c r="B25" s="75"/>
      <c r="C25" s="310"/>
      <c r="D25" s="311"/>
      <c r="E25" s="311"/>
      <c r="F25" s="311"/>
      <c r="G25" s="312"/>
      <c r="H25" s="76"/>
      <c r="I25" s="77"/>
      <c r="J25" s="78"/>
      <c r="K25" s="79"/>
      <c r="M25" s="60"/>
    </row>
    <row r="26" spans="1:13" s="51" customFormat="1" ht="15.95" customHeight="1" thickBot="1" x14ac:dyDescent="0.25">
      <c r="A26" s="80"/>
      <c r="B26" s="81"/>
      <c r="C26" s="200"/>
      <c r="D26" s="201"/>
      <c r="E26" s="201"/>
      <c r="F26" s="201"/>
      <c r="G26" s="202"/>
      <c r="H26" s="76"/>
      <c r="I26" s="77"/>
      <c r="J26" s="78"/>
      <c r="K26" s="79"/>
      <c r="M26" s="60"/>
    </row>
    <row r="27" spans="1:13" s="51" customFormat="1" ht="15.95" customHeight="1" thickBot="1" x14ac:dyDescent="0.25">
      <c r="A27" s="203" t="s">
        <v>186</v>
      </c>
      <c r="B27" s="204"/>
      <c r="C27" s="204"/>
      <c r="D27" s="204"/>
      <c r="E27" s="204"/>
      <c r="F27" s="204"/>
      <c r="G27" s="204"/>
      <c r="H27" s="204"/>
      <c r="I27" s="205"/>
      <c r="J27" s="260">
        <f>SUM(M12:M16)</f>
        <v>41700</v>
      </c>
      <c r="K27" s="261"/>
      <c r="M27" s="60"/>
    </row>
    <row r="28" spans="1:13" s="51" customFormat="1" ht="15.95" customHeight="1" x14ac:dyDescent="0.2">
      <c r="A28" s="208"/>
      <c r="B28" s="208"/>
      <c r="C28" s="208"/>
      <c r="D28" s="208"/>
      <c r="E28" s="208"/>
      <c r="F28" s="208"/>
      <c r="G28" s="208"/>
      <c r="H28" s="208"/>
      <c r="I28" s="208"/>
      <c r="J28" s="209"/>
      <c r="K28" s="209"/>
      <c r="M28" s="60"/>
    </row>
    <row r="29" spans="1:13" s="51" customFormat="1" ht="15.95" customHeight="1" x14ac:dyDescent="0.2">
      <c r="M29" s="60"/>
    </row>
    <row r="30" spans="1:13" s="51" customFormat="1" ht="15.95" customHeight="1" x14ac:dyDescent="0.2">
      <c r="M30" s="60"/>
    </row>
    <row r="31" spans="1:13" s="51" customFormat="1" ht="15.95" customHeight="1" x14ac:dyDescent="0.2"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3:13" s="51" customFormat="1" ht="15.95" customHeight="1" x14ac:dyDescent="0.2">
      <c r="M49" s="60"/>
    </row>
    <row r="50" spans="13:13" s="51" customFormat="1" ht="15.95" customHeight="1" x14ac:dyDescent="0.2">
      <c r="M50" s="60"/>
    </row>
    <row r="51" spans="13:13" s="51" customFormat="1" ht="15.95" customHeight="1" x14ac:dyDescent="0.2">
      <c r="M51" s="60"/>
    </row>
    <row r="52" spans="13:13" s="51" customFormat="1" ht="15.95" customHeight="1" x14ac:dyDescent="0.2">
      <c r="M52" s="60"/>
    </row>
    <row r="53" spans="13:13" s="51" customFormat="1" ht="15.95" customHeight="1" x14ac:dyDescent="0.2">
      <c r="M53" s="60"/>
    </row>
    <row r="54" spans="13:13" s="51" customFormat="1" ht="15.95" customHeight="1" x14ac:dyDescent="0.2">
      <c r="M54" s="60"/>
    </row>
    <row r="55" spans="13:13" s="51" customFormat="1" ht="15.95" customHeight="1" x14ac:dyDescent="0.2">
      <c r="M55" s="60"/>
    </row>
    <row r="56" spans="13:13" s="51" customFormat="1" ht="15.95" customHeight="1" x14ac:dyDescent="0.2">
      <c r="M56" s="60"/>
    </row>
    <row r="57" spans="13:13" s="51" customFormat="1" ht="15.95" customHeight="1" x14ac:dyDescent="0.2">
      <c r="M57" s="60"/>
    </row>
    <row r="58" spans="13:13" s="51" customFormat="1" ht="15.95" customHeight="1" x14ac:dyDescent="0.2">
      <c r="M58" s="60"/>
    </row>
    <row r="59" spans="13:13" s="51" customFormat="1" ht="15.95" customHeight="1" x14ac:dyDescent="0.2">
      <c r="M59" s="60"/>
    </row>
    <row r="60" spans="13:13" ht="15.95" customHeight="1" x14ac:dyDescent="0.2">
      <c r="M60" s="60"/>
    </row>
    <row r="61" spans="13:13" ht="15.95" customHeight="1" x14ac:dyDescent="0.2">
      <c r="M61" s="60"/>
    </row>
    <row r="62" spans="13:13" ht="15.95" customHeight="1" x14ac:dyDescent="0.2">
      <c r="M62" s="60"/>
    </row>
    <row r="63" spans="13:13" ht="15.95" customHeight="1" x14ac:dyDescent="0.2">
      <c r="M63" s="60"/>
    </row>
    <row r="64" spans="13:13" ht="15.95" customHeight="1" x14ac:dyDescent="0.2">
      <c r="M64" s="60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15.9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  <row r="70" spans="12:1024" ht="15.95" customHeight="1" x14ac:dyDescent="0.2">
      <c r="L70" s="83"/>
      <c r="M70" s="84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  <c r="IX70" s="83"/>
      <c r="IY70" s="83"/>
      <c r="IZ70" s="83"/>
      <c r="JA70" s="83"/>
      <c r="JB70" s="83"/>
      <c r="JC70" s="83"/>
      <c r="JD70" s="83"/>
      <c r="JE70" s="83"/>
      <c r="JF70" s="83"/>
      <c r="JG70" s="83"/>
      <c r="JH70" s="83"/>
      <c r="JI70" s="83"/>
      <c r="JJ70" s="83"/>
      <c r="JK70" s="83"/>
      <c r="JL70" s="83"/>
      <c r="JM70" s="83"/>
      <c r="JN70" s="83"/>
      <c r="JO70" s="83"/>
      <c r="JP70" s="83"/>
      <c r="JQ70" s="83"/>
      <c r="JR70" s="83"/>
      <c r="JS70" s="83"/>
      <c r="JT70" s="83"/>
      <c r="JU70" s="83"/>
      <c r="JV70" s="83"/>
      <c r="JW70" s="83"/>
      <c r="JX70" s="83"/>
      <c r="JY70" s="83"/>
      <c r="JZ70" s="83"/>
      <c r="KA70" s="83"/>
      <c r="KB70" s="83"/>
      <c r="KC70" s="83"/>
      <c r="KD70" s="83"/>
      <c r="KE70" s="83"/>
      <c r="KF70" s="83"/>
      <c r="KG70" s="83"/>
      <c r="KH70" s="83"/>
      <c r="KI70" s="83"/>
      <c r="KJ70" s="83"/>
      <c r="KK70" s="83"/>
      <c r="KL70" s="83"/>
      <c r="KM70" s="83"/>
      <c r="KN70" s="83"/>
      <c r="KO70" s="83"/>
      <c r="KP70" s="83"/>
      <c r="KQ70" s="83"/>
      <c r="KR70" s="83"/>
      <c r="KS70" s="83"/>
      <c r="KT70" s="83"/>
      <c r="KU70" s="83"/>
      <c r="KV70" s="83"/>
      <c r="KW70" s="83"/>
      <c r="KX70" s="83"/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83"/>
      <c r="LL70" s="83"/>
      <c r="LM70" s="83"/>
      <c r="LN70" s="83"/>
      <c r="LO70" s="83"/>
      <c r="LP70" s="83"/>
      <c r="LQ70" s="83"/>
      <c r="LR70" s="83"/>
      <c r="LS70" s="83"/>
      <c r="LT70" s="83"/>
      <c r="LU70" s="83"/>
      <c r="LV70" s="83"/>
      <c r="LW70" s="83"/>
      <c r="LX70" s="83"/>
      <c r="LY70" s="83"/>
      <c r="LZ70" s="83"/>
      <c r="MA70" s="83"/>
      <c r="MB70" s="83"/>
      <c r="MC70" s="83"/>
      <c r="MD70" s="83"/>
      <c r="ME70" s="83"/>
      <c r="MF70" s="83"/>
      <c r="MG70" s="83"/>
      <c r="MH70" s="83"/>
      <c r="MI70" s="83"/>
      <c r="MJ70" s="83"/>
      <c r="MK70" s="83"/>
      <c r="ML70" s="83"/>
      <c r="MM70" s="83"/>
      <c r="MN70" s="83"/>
      <c r="MO70" s="83"/>
      <c r="MP70" s="83"/>
      <c r="MQ70" s="83"/>
      <c r="MR70" s="83"/>
      <c r="MS70" s="83"/>
      <c r="MT70" s="83"/>
      <c r="MU70" s="83"/>
      <c r="MV70" s="83"/>
      <c r="MW70" s="83"/>
      <c r="MX70" s="83"/>
      <c r="MY70" s="83"/>
      <c r="MZ70" s="83"/>
      <c r="NA70" s="83"/>
      <c r="NB70" s="83"/>
      <c r="NC70" s="83"/>
      <c r="ND70" s="83"/>
      <c r="NE70" s="83"/>
      <c r="NF70" s="83"/>
      <c r="NG70" s="83"/>
      <c r="NH70" s="83"/>
      <c r="NI70" s="83"/>
      <c r="NJ70" s="83"/>
      <c r="NK70" s="83"/>
      <c r="NL70" s="83"/>
      <c r="NM70" s="83"/>
      <c r="NN70" s="83"/>
      <c r="NO70" s="83"/>
      <c r="NP70" s="83"/>
      <c r="NQ70" s="83"/>
      <c r="NR70" s="83"/>
      <c r="NS70" s="83"/>
      <c r="NT70" s="83"/>
      <c r="NU70" s="83"/>
      <c r="NV70" s="83"/>
      <c r="NW70" s="83"/>
      <c r="NX70" s="83"/>
      <c r="NY70" s="83"/>
      <c r="NZ70" s="83"/>
      <c r="OA70" s="83"/>
      <c r="OB70" s="83"/>
      <c r="OC70" s="83"/>
      <c r="OD70" s="83"/>
      <c r="OE70" s="83"/>
      <c r="OF70" s="83"/>
      <c r="OG70" s="83"/>
      <c r="OH70" s="83"/>
      <c r="OI70" s="83"/>
      <c r="OJ70" s="83"/>
      <c r="OK70" s="83"/>
      <c r="OL70" s="83"/>
      <c r="OM70" s="83"/>
      <c r="ON70" s="83"/>
      <c r="OO70" s="83"/>
      <c r="OP70" s="83"/>
      <c r="OQ70" s="83"/>
      <c r="OR70" s="83"/>
      <c r="OS70" s="83"/>
      <c r="OT70" s="83"/>
      <c r="OU70" s="83"/>
      <c r="OV70" s="83"/>
      <c r="OW70" s="83"/>
      <c r="OX70" s="83"/>
      <c r="OY70" s="83"/>
      <c r="OZ70" s="83"/>
      <c r="PA70" s="83"/>
      <c r="PB70" s="83"/>
      <c r="PC70" s="83"/>
      <c r="PD70" s="83"/>
      <c r="PE70" s="83"/>
      <c r="PF70" s="83"/>
      <c r="PG70" s="83"/>
      <c r="PH70" s="83"/>
      <c r="PI70" s="83"/>
      <c r="PJ70" s="83"/>
      <c r="PK70" s="83"/>
      <c r="PL70" s="83"/>
      <c r="PM70" s="83"/>
      <c r="PN70" s="83"/>
      <c r="PO70" s="83"/>
      <c r="PP70" s="83"/>
      <c r="PQ70" s="83"/>
      <c r="PR70" s="83"/>
      <c r="PS70" s="83"/>
      <c r="PT70" s="83"/>
      <c r="PU70" s="83"/>
      <c r="PV70" s="83"/>
      <c r="PW70" s="83"/>
      <c r="PX70" s="83"/>
      <c r="PY70" s="83"/>
      <c r="PZ70" s="83"/>
      <c r="QA70" s="83"/>
      <c r="QB70" s="83"/>
      <c r="QC70" s="83"/>
      <c r="QD70" s="83"/>
      <c r="QE70" s="83"/>
      <c r="QF70" s="83"/>
      <c r="QG70" s="83"/>
      <c r="QH70" s="83"/>
      <c r="QI70" s="83"/>
      <c r="QJ70" s="83"/>
      <c r="QK70" s="83"/>
      <c r="QL70" s="83"/>
      <c r="QM70" s="83"/>
      <c r="QN70" s="83"/>
      <c r="QO70" s="83"/>
      <c r="QP70" s="83"/>
      <c r="QQ70" s="83"/>
      <c r="QR70" s="83"/>
      <c r="QS70" s="83"/>
      <c r="QT70" s="83"/>
      <c r="QU70" s="83"/>
      <c r="QV70" s="83"/>
      <c r="QW70" s="83"/>
      <c r="QX70" s="83"/>
      <c r="QY70" s="83"/>
      <c r="QZ70" s="83"/>
      <c r="RA70" s="83"/>
      <c r="RB70" s="83"/>
      <c r="RC70" s="83"/>
      <c r="RD70" s="83"/>
      <c r="RE70" s="83"/>
      <c r="RF70" s="83"/>
      <c r="RG70" s="83"/>
      <c r="RH70" s="83"/>
      <c r="RI70" s="83"/>
      <c r="RJ70" s="83"/>
      <c r="RK70" s="83"/>
      <c r="RL70" s="83"/>
      <c r="RM70" s="83"/>
      <c r="RN70" s="83"/>
      <c r="RO70" s="83"/>
      <c r="RP70" s="83"/>
      <c r="RQ70" s="83"/>
      <c r="RR70" s="83"/>
      <c r="RS70" s="83"/>
      <c r="RT70" s="83"/>
      <c r="RU70" s="83"/>
      <c r="RV70" s="83"/>
      <c r="RW70" s="83"/>
      <c r="RX70" s="83"/>
      <c r="RY70" s="83"/>
      <c r="RZ70" s="83"/>
      <c r="SA70" s="83"/>
      <c r="SB70" s="83"/>
      <c r="SC70" s="83"/>
      <c r="SD70" s="83"/>
      <c r="SE70" s="83"/>
      <c r="SF70" s="83"/>
      <c r="SG70" s="83"/>
      <c r="SH70" s="83"/>
      <c r="SI70" s="83"/>
      <c r="SJ70" s="83"/>
      <c r="SK70" s="83"/>
      <c r="SL70" s="83"/>
      <c r="SM70" s="83"/>
      <c r="SN70" s="83"/>
      <c r="SO70" s="83"/>
      <c r="SP70" s="83"/>
      <c r="SQ70" s="83"/>
      <c r="SR70" s="83"/>
      <c r="SS70" s="83"/>
      <c r="ST70" s="83"/>
      <c r="SU70" s="83"/>
      <c r="SV70" s="83"/>
      <c r="SW70" s="83"/>
      <c r="SX70" s="83"/>
      <c r="SY70" s="83"/>
      <c r="SZ70" s="83"/>
      <c r="TA70" s="83"/>
      <c r="TB70" s="83"/>
      <c r="TC70" s="83"/>
      <c r="TD70" s="83"/>
      <c r="TE70" s="83"/>
      <c r="TF70" s="83"/>
      <c r="TG70" s="83"/>
      <c r="TH70" s="83"/>
      <c r="TI70" s="83"/>
      <c r="TJ70" s="83"/>
      <c r="TK70" s="83"/>
      <c r="TL70" s="83"/>
      <c r="TM70" s="83"/>
      <c r="TN70" s="83"/>
      <c r="TO70" s="83"/>
      <c r="TP70" s="83"/>
      <c r="TQ70" s="83"/>
      <c r="TR70" s="83"/>
      <c r="TS70" s="83"/>
      <c r="TT70" s="83"/>
      <c r="TU70" s="83"/>
      <c r="TV70" s="83"/>
      <c r="TW70" s="83"/>
      <c r="TX70" s="83"/>
      <c r="TY70" s="83"/>
      <c r="TZ70" s="83"/>
      <c r="UA70" s="83"/>
      <c r="UB70" s="83"/>
      <c r="UC70" s="83"/>
      <c r="UD70" s="83"/>
      <c r="UE70" s="83"/>
      <c r="UF70" s="83"/>
      <c r="UG70" s="83"/>
      <c r="UH70" s="83"/>
      <c r="UI70" s="83"/>
      <c r="UJ70" s="83"/>
      <c r="UK70" s="83"/>
      <c r="UL70" s="83"/>
      <c r="UM70" s="83"/>
      <c r="UN70" s="83"/>
      <c r="UO70" s="83"/>
      <c r="UP70" s="83"/>
      <c r="UQ70" s="83"/>
      <c r="UR70" s="83"/>
      <c r="US70" s="83"/>
      <c r="UT70" s="83"/>
      <c r="UU70" s="83"/>
      <c r="UV70" s="83"/>
      <c r="UW70" s="83"/>
      <c r="UX70" s="83"/>
      <c r="UY70" s="83"/>
      <c r="UZ70" s="83"/>
      <c r="VA70" s="83"/>
      <c r="VB70" s="83"/>
      <c r="VC70" s="83"/>
      <c r="VD70" s="83"/>
      <c r="VE70" s="83"/>
      <c r="VF70" s="83"/>
      <c r="VG70" s="83"/>
      <c r="VH70" s="83"/>
      <c r="VI70" s="83"/>
      <c r="VJ70" s="83"/>
      <c r="VK70" s="83"/>
      <c r="VL70" s="83"/>
      <c r="VM70" s="83"/>
      <c r="VN70" s="83"/>
      <c r="VO70" s="83"/>
      <c r="VP70" s="83"/>
      <c r="VQ70" s="83"/>
      <c r="VR70" s="83"/>
      <c r="VS70" s="83"/>
      <c r="VT70" s="83"/>
      <c r="VU70" s="83"/>
      <c r="VV70" s="83"/>
      <c r="VW70" s="83"/>
      <c r="VX70" s="83"/>
      <c r="VY70" s="83"/>
      <c r="VZ70" s="83"/>
      <c r="WA70" s="83"/>
      <c r="WB70" s="83"/>
      <c r="WC70" s="83"/>
      <c r="WD70" s="83"/>
      <c r="WE70" s="83"/>
      <c r="WF70" s="83"/>
      <c r="WG70" s="83"/>
      <c r="WH70" s="83"/>
      <c r="WI70" s="83"/>
      <c r="WJ70" s="83"/>
      <c r="WK70" s="83"/>
      <c r="WL70" s="83"/>
      <c r="WM70" s="83"/>
      <c r="WN70" s="83"/>
      <c r="WO70" s="83"/>
      <c r="WP70" s="83"/>
      <c r="WQ70" s="83"/>
      <c r="WR70" s="83"/>
      <c r="WS70" s="83"/>
      <c r="WT70" s="83"/>
      <c r="WU70" s="83"/>
      <c r="WV70" s="83"/>
      <c r="WW70" s="83"/>
      <c r="WX70" s="83"/>
      <c r="WY70" s="83"/>
      <c r="WZ70" s="83"/>
      <c r="XA70" s="83"/>
      <c r="XB70" s="83"/>
      <c r="XC70" s="83"/>
      <c r="XD70" s="83"/>
      <c r="XE70" s="83"/>
      <c r="XF70" s="83"/>
      <c r="XG70" s="83"/>
      <c r="XH70" s="83"/>
      <c r="XI70" s="83"/>
      <c r="XJ70" s="83"/>
      <c r="XK70" s="83"/>
      <c r="XL70" s="83"/>
      <c r="XM70" s="83"/>
      <c r="XN70" s="83"/>
      <c r="XO70" s="83"/>
      <c r="XP70" s="83"/>
      <c r="XQ70" s="83"/>
      <c r="XR70" s="83"/>
      <c r="XS70" s="83"/>
      <c r="XT70" s="83"/>
      <c r="XU70" s="83"/>
      <c r="XV70" s="83"/>
      <c r="XW70" s="83"/>
      <c r="XX70" s="83"/>
      <c r="XY70" s="83"/>
      <c r="XZ70" s="83"/>
      <c r="YA70" s="83"/>
      <c r="YB70" s="83"/>
      <c r="YC70" s="83"/>
      <c r="YD70" s="83"/>
      <c r="YE70" s="83"/>
      <c r="YF70" s="83"/>
      <c r="YG70" s="83"/>
      <c r="YH70" s="83"/>
      <c r="YI70" s="83"/>
      <c r="YJ70" s="83"/>
      <c r="YK70" s="83"/>
      <c r="YL70" s="83"/>
      <c r="YM70" s="83"/>
      <c r="YN70" s="83"/>
      <c r="YO70" s="83"/>
      <c r="YP70" s="83"/>
      <c r="YQ70" s="83"/>
      <c r="YR70" s="83"/>
      <c r="YS70" s="83"/>
      <c r="YT70" s="83"/>
      <c r="YU70" s="83"/>
      <c r="YV70" s="83"/>
      <c r="YW70" s="83"/>
      <c r="YX70" s="83"/>
      <c r="YY70" s="83"/>
      <c r="YZ70" s="83"/>
      <c r="ZA70" s="83"/>
      <c r="ZB70" s="83"/>
      <c r="ZC70" s="83"/>
      <c r="ZD70" s="83"/>
      <c r="ZE70" s="83"/>
      <c r="ZF70" s="83"/>
      <c r="ZG70" s="83"/>
      <c r="ZH70" s="83"/>
      <c r="ZI70" s="83"/>
      <c r="ZJ70" s="83"/>
      <c r="ZK70" s="83"/>
      <c r="ZL70" s="83"/>
      <c r="ZM70" s="83"/>
      <c r="ZN70" s="83"/>
      <c r="ZO70" s="83"/>
      <c r="ZP70" s="83"/>
      <c r="ZQ70" s="83"/>
      <c r="ZR70" s="83"/>
      <c r="ZS70" s="83"/>
      <c r="ZT70" s="83"/>
      <c r="ZU70" s="83"/>
      <c r="ZV70" s="83"/>
      <c r="ZW70" s="83"/>
      <c r="ZX70" s="83"/>
      <c r="ZY70" s="83"/>
      <c r="ZZ70" s="83"/>
      <c r="AAA70" s="83"/>
      <c r="AAB70" s="83"/>
      <c r="AAC70" s="83"/>
      <c r="AAD70" s="83"/>
      <c r="AAE70" s="83"/>
      <c r="AAF70" s="83"/>
      <c r="AAG70" s="83"/>
      <c r="AAH70" s="83"/>
      <c r="AAI70" s="83"/>
      <c r="AAJ70" s="83"/>
      <c r="AAK70" s="83"/>
      <c r="AAL70" s="83"/>
      <c r="AAM70" s="83"/>
      <c r="AAN70" s="83"/>
      <c r="AAO70" s="83"/>
      <c r="AAP70" s="83"/>
      <c r="AAQ70" s="83"/>
      <c r="AAR70" s="83"/>
      <c r="AAS70" s="83"/>
      <c r="AAT70" s="83"/>
      <c r="AAU70" s="83"/>
      <c r="AAV70" s="83"/>
      <c r="AAW70" s="83"/>
      <c r="AAX70" s="83"/>
      <c r="AAY70" s="83"/>
      <c r="AAZ70" s="83"/>
      <c r="ABA70" s="83"/>
      <c r="ABB70" s="83"/>
      <c r="ABC70" s="83"/>
      <c r="ABD70" s="83"/>
      <c r="ABE70" s="83"/>
      <c r="ABF70" s="83"/>
      <c r="ABG70" s="83"/>
      <c r="ABH70" s="83"/>
      <c r="ABI70" s="83"/>
      <c r="ABJ70" s="83"/>
      <c r="ABK70" s="83"/>
      <c r="ABL70" s="83"/>
      <c r="ABM70" s="83"/>
      <c r="ABN70" s="83"/>
      <c r="ABO70" s="83"/>
      <c r="ABP70" s="83"/>
      <c r="ABQ70" s="83"/>
      <c r="ABR70" s="83"/>
      <c r="ABS70" s="83"/>
      <c r="ABT70" s="83"/>
      <c r="ABU70" s="83"/>
      <c r="ABV70" s="83"/>
      <c r="ABW70" s="83"/>
      <c r="ABX70" s="83"/>
      <c r="ABY70" s="83"/>
      <c r="ABZ70" s="83"/>
      <c r="ACA70" s="83"/>
      <c r="ACB70" s="83"/>
      <c r="ACC70" s="83"/>
      <c r="ACD70" s="83"/>
      <c r="ACE70" s="83"/>
      <c r="ACF70" s="83"/>
      <c r="ACG70" s="83"/>
      <c r="ACH70" s="83"/>
      <c r="ACI70" s="83"/>
      <c r="ACJ70" s="83"/>
      <c r="ACK70" s="83"/>
      <c r="ACL70" s="83"/>
      <c r="ACM70" s="83"/>
      <c r="ACN70" s="83"/>
      <c r="ACO70" s="83"/>
      <c r="ACP70" s="83"/>
      <c r="ACQ70" s="83"/>
      <c r="ACR70" s="83"/>
      <c r="ACS70" s="83"/>
      <c r="ACT70" s="83"/>
      <c r="ACU70" s="83"/>
      <c r="ACV70" s="83"/>
      <c r="ACW70" s="83"/>
      <c r="ACX70" s="83"/>
      <c r="ACY70" s="83"/>
      <c r="ACZ70" s="83"/>
      <c r="ADA70" s="83"/>
      <c r="ADB70" s="83"/>
      <c r="ADC70" s="83"/>
      <c r="ADD70" s="83"/>
      <c r="ADE70" s="83"/>
      <c r="ADF70" s="83"/>
      <c r="ADG70" s="83"/>
      <c r="ADH70" s="83"/>
      <c r="ADI70" s="83"/>
      <c r="ADJ70" s="83"/>
      <c r="ADK70" s="83"/>
      <c r="ADL70" s="83"/>
      <c r="ADM70" s="83"/>
      <c r="ADN70" s="83"/>
      <c r="ADO70" s="83"/>
      <c r="ADP70" s="83"/>
      <c r="ADQ70" s="83"/>
      <c r="ADR70" s="83"/>
      <c r="ADS70" s="83"/>
      <c r="ADT70" s="83"/>
      <c r="ADU70" s="83"/>
      <c r="ADV70" s="83"/>
      <c r="ADW70" s="83"/>
      <c r="ADX70" s="83"/>
      <c r="ADY70" s="83"/>
      <c r="ADZ70" s="83"/>
      <c r="AEA70" s="83"/>
      <c r="AEB70" s="83"/>
      <c r="AEC70" s="83"/>
      <c r="AED70" s="83"/>
      <c r="AEE70" s="83"/>
      <c r="AEF70" s="83"/>
      <c r="AEG70" s="83"/>
      <c r="AEH70" s="83"/>
      <c r="AEI70" s="83"/>
      <c r="AEJ70" s="83"/>
      <c r="AEK70" s="83"/>
      <c r="AEL70" s="83"/>
      <c r="AEM70" s="83"/>
      <c r="AEN70" s="83"/>
      <c r="AEO70" s="83"/>
      <c r="AEP70" s="83"/>
      <c r="AEQ70" s="83"/>
      <c r="AER70" s="83"/>
      <c r="AES70" s="83"/>
      <c r="AET70" s="83"/>
      <c r="AEU70" s="83"/>
      <c r="AEV70" s="83"/>
      <c r="AEW70" s="83"/>
      <c r="AEX70" s="83"/>
      <c r="AEY70" s="83"/>
      <c r="AEZ70" s="83"/>
      <c r="AFA70" s="83"/>
      <c r="AFB70" s="83"/>
      <c r="AFC70" s="83"/>
      <c r="AFD70" s="83"/>
      <c r="AFE70" s="83"/>
      <c r="AFF70" s="83"/>
      <c r="AFG70" s="83"/>
      <c r="AFH70" s="83"/>
      <c r="AFI70" s="83"/>
      <c r="AFJ70" s="83"/>
      <c r="AFK70" s="83"/>
      <c r="AFL70" s="83"/>
      <c r="AFM70" s="83"/>
      <c r="AFN70" s="83"/>
      <c r="AFO70" s="83"/>
      <c r="AFP70" s="83"/>
      <c r="AFQ70" s="83"/>
      <c r="AFR70" s="83"/>
      <c r="AFS70" s="83"/>
      <c r="AFT70" s="83"/>
      <c r="AFU70" s="83"/>
      <c r="AFV70" s="83"/>
      <c r="AFW70" s="83"/>
      <c r="AFX70" s="83"/>
      <c r="AFY70" s="83"/>
      <c r="AFZ70" s="83"/>
      <c r="AGA70" s="83"/>
      <c r="AGB70" s="83"/>
      <c r="AGC70" s="83"/>
      <c r="AGD70" s="83"/>
      <c r="AGE70" s="83"/>
      <c r="AGF70" s="83"/>
      <c r="AGG70" s="83"/>
      <c r="AGH70" s="83"/>
      <c r="AGI70" s="83"/>
      <c r="AGJ70" s="83"/>
      <c r="AGK70" s="83"/>
      <c r="AGL70" s="83"/>
      <c r="AGM70" s="83"/>
      <c r="AGN70" s="83"/>
      <c r="AGO70" s="83"/>
      <c r="AGP70" s="83"/>
      <c r="AGQ70" s="83"/>
      <c r="AGR70" s="83"/>
      <c r="AGS70" s="83"/>
      <c r="AGT70" s="83"/>
      <c r="AGU70" s="83"/>
      <c r="AGV70" s="83"/>
      <c r="AGW70" s="83"/>
      <c r="AGX70" s="83"/>
      <c r="AGY70" s="83"/>
      <c r="AGZ70" s="83"/>
      <c r="AHA70" s="83"/>
      <c r="AHB70" s="83"/>
      <c r="AHC70" s="83"/>
      <c r="AHD70" s="83"/>
      <c r="AHE70" s="83"/>
      <c r="AHF70" s="83"/>
      <c r="AHG70" s="83"/>
      <c r="AHH70" s="83"/>
      <c r="AHI70" s="83"/>
      <c r="AHJ70" s="83"/>
      <c r="AHK70" s="83"/>
      <c r="AHL70" s="83"/>
      <c r="AHM70" s="83"/>
      <c r="AHN70" s="83"/>
      <c r="AHO70" s="83"/>
      <c r="AHP70" s="83"/>
      <c r="AHQ70" s="83"/>
      <c r="AHR70" s="83"/>
      <c r="AHS70" s="83"/>
      <c r="AHT70" s="83"/>
      <c r="AHU70" s="83"/>
      <c r="AHV70" s="83"/>
      <c r="AHW70" s="83"/>
      <c r="AHX70" s="83"/>
      <c r="AHY70" s="83"/>
      <c r="AHZ70" s="83"/>
      <c r="AIA70" s="83"/>
      <c r="AIB70" s="83"/>
      <c r="AIC70" s="83"/>
      <c r="AID70" s="83"/>
      <c r="AIE70" s="83"/>
      <c r="AIF70" s="83"/>
      <c r="AIG70" s="83"/>
      <c r="AIH70" s="83"/>
      <c r="AII70" s="83"/>
      <c r="AIJ70" s="83"/>
      <c r="AIK70" s="83"/>
      <c r="AIL70" s="83"/>
      <c r="AIM70" s="83"/>
      <c r="AIN70" s="83"/>
      <c r="AIO70" s="83"/>
      <c r="AIP70" s="83"/>
      <c r="AIQ70" s="83"/>
      <c r="AIR70" s="83"/>
      <c r="AIS70" s="83"/>
      <c r="AIT70" s="83"/>
      <c r="AIU70" s="83"/>
      <c r="AIV70" s="83"/>
      <c r="AIW70" s="83"/>
      <c r="AIX70" s="83"/>
      <c r="AIY70" s="83"/>
      <c r="AIZ70" s="83"/>
      <c r="AJA70" s="83"/>
      <c r="AJB70" s="83"/>
      <c r="AJC70" s="83"/>
      <c r="AJD70" s="83"/>
      <c r="AJE70" s="83"/>
      <c r="AJF70" s="83"/>
      <c r="AJG70" s="83"/>
      <c r="AJH70" s="83"/>
      <c r="AJI70" s="83"/>
      <c r="AJJ70" s="83"/>
      <c r="AJK70" s="83"/>
      <c r="AJL70" s="83"/>
      <c r="AJM70" s="83"/>
      <c r="AJN70" s="83"/>
      <c r="AJO70" s="83"/>
      <c r="AJP70" s="83"/>
      <c r="AJQ70" s="83"/>
      <c r="AJR70" s="83"/>
      <c r="AJS70" s="83"/>
      <c r="AJT70" s="83"/>
      <c r="AJU70" s="83"/>
      <c r="AJV70" s="83"/>
      <c r="AJW70" s="83"/>
      <c r="AJX70" s="83"/>
      <c r="AJY70" s="83"/>
      <c r="AJZ70" s="83"/>
      <c r="AKA70" s="83"/>
      <c r="AKB70" s="83"/>
      <c r="AKC70" s="83"/>
      <c r="AKD70" s="83"/>
      <c r="AKE70" s="83"/>
      <c r="AKF70" s="83"/>
      <c r="AKG70" s="83"/>
      <c r="AKH70" s="83"/>
      <c r="AKI70" s="83"/>
      <c r="AKJ70" s="83"/>
      <c r="AKK70" s="83"/>
      <c r="AKL70" s="83"/>
      <c r="AKM70" s="83"/>
      <c r="AKN70" s="83"/>
      <c r="AKO70" s="83"/>
      <c r="AKP70" s="83"/>
      <c r="AKQ70" s="83"/>
      <c r="AKR70" s="83"/>
      <c r="AKS70" s="83"/>
      <c r="AKT70" s="83"/>
      <c r="AKU70" s="83"/>
      <c r="AKV70" s="83"/>
      <c r="AKW70" s="83"/>
      <c r="AKX70" s="83"/>
      <c r="AKY70" s="83"/>
      <c r="AKZ70" s="83"/>
      <c r="ALA70" s="83"/>
      <c r="ALB70" s="83"/>
      <c r="ALC70" s="83"/>
      <c r="ALD70" s="83"/>
      <c r="ALE70" s="83"/>
      <c r="ALF70" s="83"/>
      <c r="ALG70" s="83"/>
      <c r="ALH70" s="83"/>
      <c r="ALI70" s="83"/>
      <c r="ALJ70" s="83"/>
      <c r="ALK70" s="83"/>
      <c r="ALL70" s="83"/>
      <c r="ALM70" s="83"/>
      <c r="ALN70" s="83"/>
      <c r="ALO70" s="83"/>
      <c r="ALP70" s="83"/>
      <c r="ALQ70" s="83"/>
      <c r="ALR70" s="83"/>
      <c r="ALS70" s="83"/>
      <c r="ALT70" s="83"/>
      <c r="ALU70" s="83"/>
      <c r="ALV70" s="83"/>
      <c r="ALW70" s="83"/>
      <c r="ALX70" s="83"/>
      <c r="ALY70" s="83"/>
      <c r="ALZ70" s="83"/>
      <c r="AMA70" s="83"/>
      <c r="AMB70" s="83"/>
      <c r="AMC70" s="83"/>
      <c r="AMD70" s="83"/>
      <c r="AME70" s="83"/>
      <c r="AMF70" s="83"/>
      <c r="AMG70" s="83"/>
      <c r="AMH70" s="83"/>
      <c r="AMI70" s="83"/>
      <c r="AMJ70" s="83"/>
    </row>
    <row r="71" spans="12:1024" ht="15.95" customHeight="1" x14ac:dyDescent="0.2">
      <c r="L71" s="83"/>
      <c r="M71" s="84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  <c r="IW71" s="83"/>
      <c r="IX71" s="83"/>
      <c r="IY71" s="83"/>
      <c r="IZ71" s="83"/>
      <c r="JA71" s="83"/>
      <c r="JB71" s="83"/>
      <c r="JC71" s="83"/>
      <c r="JD71" s="83"/>
      <c r="JE71" s="83"/>
      <c r="JF71" s="83"/>
      <c r="JG71" s="83"/>
      <c r="JH71" s="83"/>
      <c r="JI71" s="83"/>
      <c r="JJ71" s="83"/>
      <c r="JK71" s="83"/>
      <c r="JL71" s="83"/>
      <c r="JM71" s="83"/>
      <c r="JN71" s="83"/>
      <c r="JO71" s="83"/>
      <c r="JP71" s="83"/>
      <c r="JQ71" s="83"/>
      <c r="JR71" s="83"/>
      <c r="JS71" s="83"/>
      <c r="JT71" s="83"/>
      <c r="JU71" s="83"/>
      <c r="JV71" s="83"/>
      <c r="JW71" s="83"/>
      <c r="JX71" s="83"/>
      <c r="JY71" s="83"/>
      <c r="JZ71" s="83"/>
      <c r="KA71" s="83"/>
      <c r="KB71" s="83"/>
      <c r="KC71" s="83"/>
      <c r="KD71" s="83"/>
      <c r="KE71" s="83"/>
      <c r="KF71" s="83"/>
      <c r="KG71" s="83"/>
      <c r="KH71" s="83"/>
      <c r="KI71" s="83"/>
      <c r="KJ71" s="83"/>
      <c r="KK71" s="83"/>
      <c r="KL71" s="83"/>
      <c r="KM71" s="83"/>
      <c r="KN71" s="83"/>
      <c r="KO71" s="83"/>
      <c r="KP71" s="83"/>
      <c r="KQ71" s="83"/>
      <c r="KR71" s="83"/>
      <c r="KS71" s="83"/>
      <c r="KT71" s="83"/>
      <c r="KU71" s="83"/>
      <c r="KV71" s="83"/>
      <c r="KW71" s="83"/>
      <c r="KX71" s="83"/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83"/>
      <c r="LL71" s="83"/>
      <c r="LM71" s="83"/>
      <c r="LN71" s="83"/>
      <c r="LO71" s="83"/>
      <c r="LP71" s="83"/>
      <c r="LQ71" s="83"/>
      <c r="LR71" s="83"/>
      <c r="LS71" s="83"/>
      <c r="LT71" s="83"/>
      <c r="LU71" s="83"/>
      <c r="LV71" s="83"/>
      <c r="LW71" s="83"/>
      <c r="LX71" s="83"/>
      <c r="LY71" s="83"/>
      <c r="LZ71" s="83"/>
      <c r="MA71" s="83"/>
      <c r="MB71" s="83"/>
      <c r="MC71" s="83"/>
      <c r="MD71" s="83"/>
      <c r="ME71" s="83"/>
      <c r="MF71" s="83"/>
      <c r="MG71" s="83"/>
      <c r="MH71" s="83"/>
      <c r="MI71" s="83"/>
      <c r="MJ71" s="83"/>
      <c r="MK71" s="83"/>
      <c r="ML71" s="83"/>
      <c r="MM71" s="83"/>
      <c r="MN71" s="83"/>
      <c r="MO71" s="83"/>
      <c r="MP71" s="83"/>
      <c r="MQ71" s="83"/>
      <c r="MR71" s="83"/>
      <c r="MS71" s="83"/>
      <c r="MT71" s="83"/>
      <c r="MU71" s="83"/>
      <c r="MV71" s="83"/>
      <c r="MW71" s="83"/>
      <c r="MX71" s="83"/>
      <c r="MY71" s="83"/>
      <c r="MZ71" s="83"/>
      <c r="NA71" s="83"/>
      <c r="NB71" s="83"/>
      <c r="NC71" s="83"/>
      <c r="ND71" s="83"/>
      <c r="NE71" s="83"/>
      <c r="NF71" s="83"/>
      <c r="NG71" s="83"/>
      <c r="NH71" s="83"/>
      <c r="NI71" s="83"/>
      <c r="NJ71" s="83"/>
      <c r="NK71" s="83"/>
      <c r="NL71" s="83"/>
      <c r="NM71" s="83"/>
      <c r="NN71" s="83"/>
      <c r="NO71" s="83"/>
      <c r="NP71" s="83"/>
      <c r="NQ71" s="83"/>
      <c r="NR71" s="83"/>
      <c r="NS71" s="83"/>
      <c r="NT71" s="83"/>
      <c r="NU71" s="83"/>
      <c r="NV71" s="83"/>
      <c r="NW71" s="83"/>
      <c r="NX71" s="83"/>
      <c r="NY71" s="83"/>
      <c r="NZ71" s="83"/>
      <c r="OA71" s="83"/>
      <c r="OB71" s="83"/>
      <c r="OC71" s="83"/>
      <c r="OD71" s="83"/>
      <c r="OE71" s="83"/>
      <c r="OF71" s="83"/>
      <c r="OG71" s="83"/>
      <c r="OH71" s="83"/>
      <c r="OI71" s="83"/>
      <c r="OJ71" s="83"/>
      <c r="OK71" s="83"/>
      <c r="OL71" s="83"/>
      <c r="OM71" s="83"/>
      <c r="ON71" s="83"/>
      <c r="OO71" s="83"/>
      <c r="OP71" s="83"/>
      <c r="OQ71" s="83"/>
      <c r="OR71" s="83"/>
      <c r="OS71" s="83"/>
      <c r="OT71" s="83"/>
      <c r="OU71" s="83"/>
      <c r="OV71" s="83"/>
      <c r="OW71" s="83"/>
      <c r="OX71" s="83"/>
      <c r="OY71" s="83"/>
      <c r="OZ71" s="83"/>
      <c r="PA71" s="83"/>
      <c r="PB71" s="83"/>
      <c r="PC71" s="83"/>
      <c r="PD71" s="83"/>
      <c r="PE71" s="83"/>
      <c r="PF71" s="83"/>
      <c r="PG71" s="83"/>
      <c r="PH71" s="83"/>
      <c r="PI71" s="83"/>
      <c r="PJ71" s="83"/>
      <c r="PK71" s="83"/>
      <c r="PL71" s="83"/>
      <c r="PM71" s="83"/>
      <c r="PN71" s="83"/>
      <c r="PO71" s="83"/>
      <c r="PP71" s="83"/>
      <c r="PQ71" s="83"/>
      <c r="PR71" s="83"/>
      <c r="PS71" s="83"/>
      <c r="PT71" s="83"/>
      <c r="PU71" s="83"/>
      <c r="PV71" s="83"/>
      <c r="PW71" s="83"/>
      <c r="PX71" s="83"/>
      <c r="PY71" s="83"/>
      <c r="PZ71" s="83"/>
      <c r="QA71" s="83"/>
      <c r="QB71" s="83"/>
      <c r="QC71" s="83"/>
      <c r="QD71" s="83"/>
      <c r="QE71" s="83"/>
      <c r="QF71" s="83"/>
      <c r="QG71" s="83"/>
      <c r="QH71" s="83"/>
      <c r="QI71" s="83"/>
      <c r="QJ71" s="83"/>
      <c r="QK71" s="83"/>
      <c r="QL71" s="83"/>
      <c r="QM71" s="83"/>
      <c r="QN71" s="83"/>
      <c r="QO71" s="83"/>
      <c r="QP71" s="83"/>
      <c r="QQ71" s="83"/>
      <c r="QR71" s="83"/>
      <c r="QS71" s="83"/>
      <c r="QT71" s="83"/>
      <c r="QU71" s="83"/>
      <c r="QV71" s="83"/>
      <c r="QW71" s="83"/>
      <c r="QX71" s="83"/>
      <c r="QY71" s="83"/>
      <c r="QZ71" s="83"/>
      <c r="RA71" s="83"/>
      <c r="RB71" s="83"/>
      <c r="RC71" s="83"/>
      <c r="RD71" s="83"/>
      <c r="RE71" s="83"/>
      <c r="RF71" s="83"/>
      <c r="RG71" s="83"/>
      <c r="RH71" s="83"/>
      <c r="RI71" s="83"/>
      <c r="RJ71" s="83"/>
      <c r="RK71" s="83"/>
      <c r="RL71" s="83"/>
      <c r="RM71" s="83"/>
      <c r="RN71" s="83"/>
      <c r="RO71" s="83"/>
      <c r="RP71" s="83"/>
      <c r="RQ71" s="83"/>
      <c r="RR71" s="83"/>
      <c r="RS71" s="83"/>
      <c r="RT71" s="83"/>
      <c r="RU71" s="83"/>
      <c r="RV71" s="83"/>
      <c r="RW71" s="83"/>
      <c r="RX71" s="83"/>
      <c r="RY71" s="83"/>
      <c r="RZ71" s="83"/>
      <c r="SA71" s="83"/>
      <c r="SB71" s="83"/>
      <c r="SC71" s="83"/>
      <c r="SD71" s="83"/>
      <c r="SE71" s="83"/>
      <c r="SF71" s="83"/>
      <c r="SG71" s="83"/>
      <c r="SH71" s="83"/>
      <c r="SI71" s="83"/>
      <c r="SJ71" s="83"/>
      <c r="SK71" s="83"/>
      <c r="SL71" s="83"/>
      <c r="SM71" s="83"/>
      <c r="SN71" s="83"/>
      <c r="SO71" s="83"/>
      <c r="SP71" s="83"/>
      <c r="SQ71" s="83"/>
      <c r="SR71" s="83"/>
      <c r="SS71" s="83"/>
      <c r="ST71" s="83"/>
      <c r="SU71" s="83"/>
      <c r="SV71" s="83"/>
      <c r="SW71" s="83"/>
      <c r="SX71" s="83"/>
      <c r="SY71" s="83"/>
      <c r="SZ71" s="83"/>
      <c r="TA71" s="83"/>
      <c r="TB71" s="83"/>
      <c r="TC71" s="83"/>
      <c r="TD71" s="83"/>
      <c r="TE71" s="83"/>
      <c r="TF71" s="83"/>
      <c r="TG71" s="83"/>
      <c r="TH71" s="83"/>
      <c r="TI71" s="83"/>
      <c r="TJ71" s="83"/>
      <c r="TK71" s="83"/>
      <c r="TL71" s="83"/>
      <c r="TM71" s="83"/>
      <c r="TN71" s="83"/>
      <c r="TO71" s="83"/>
      <c r="TP71" s="83"/>
      <c r="TQ71" s="83"/>
      <c r="TR71" s="83"/>
      <c r="TS71" s="83"/>
      <c r="TT71" s="83"/>
      <c r="TU71" s="83"/>
      <c r="TV71" s="83"/>
      <c r="TW71" s="83"/>
      <c r="TX71" s="83"/>
      <c r="TY71" s="83"/>
      <c r="TZ71" s="83"/>
      <c r="UA71" s="83"/>
      <c r="UB71" s="83"/>
      <c r="UC71" s="83"/>
      <c r="UD71" s="83"/>
      <c r="UE71" s="83"/>
      <c r="UF71" s="83"/>
      <c r="UG71" s="83"/>
      <c r="UH71" s="83"/>
      <c r="UI71" s="83"/>
      <c r="UJ71" s="83"/>
      <c r="UK71" s="83"/>
      <c r="UL71" s="83"/>
      <c r="UM71" s="83"/>
      <c r="UN71" s="83"/>
      <c r="UO71" s="83"/>
      <c r="UP71" s="83"/>
      <c r="UQ71" s="83"/>
      <c r="UR71" s="83"/>
      <c r="US71" s="83"/>
      <c r="UT71" s="83"/>
      <c r="UU71" s="83"/>
      <c r="UV71" s="83"/>
      <c r="UW71" s="83"/>
      <c r="UX71" s="83"/>
      <c r="UY71" s="83"/>
      <c r="UZ71" s="83"/>
      <c r="VA71" s="83"/>
      <c r="VB71" s="83"/>
      <c r="VC71" s="83"/>
      <c r="VD71" s="83"/>
      <c r="VE71" s="83"/>
      <c r="VF71" s="83"/>
      <c r="VG71" s="83"/>
      <c r="VH71" s="83"/>
      <c r="VI71" s="83"/>
      <c r="VJ71" s="83"/>
      <c r="VK71" s="83"/>
      <c r="VL71" s="83"/>
      <c r="VM71" s="83"/>
      <c r="VN71" s="83"/>
      <c r="VO71" s="83"/>
      <c r="VP71" s="83"/>
      <c r="VQ71" s="83"/>
      <c r="VR71" s="83"/>
      <c r="VS71" s="83"/>
      <c r="VT71" s="83"/>
      <c r="VU71" s="83"/>
      <c r="VV71" s="83"/>
      <c r="VW71" s="83"/>
      <c r="VX71" s="83"/>
      <c r="VY71" s="83"/>
      <c r="VZ71" s="83"/>
      <c r="WA71" s="83"/>
      <c r="WB71" s="83"/>
      <c r="WC71" s="83"/>
      <c r="WD71" s="83"/>
      <c r="WE71" s="83"/>
      <c r="WF71" s="83"/>
      <c r="WG71" s="83"/>
      <c r="WH71" s="83"/>
      <c r="WI71" s="83"/>
      <c r="WJ71" s="83"/>
      <c r="WK71" s="83"/>
      <c r="WL71" s="83"/>
      <c r="WM71" s="83"/>
      <c r="WN71" s="83"/>
      <c r="WO71" s="83"/>
      <c r="WP71" s="83"/>
      <c r="WQ71" s="83"/>
      <c r="WR71" s="83"/>
      <c r="WS71" s="83"/>
      <c r="WT71" s="83"/>
      <c r="WU71" s="83"/>
      <c r="WV71" s="83"/>
      <c r="WW71" s="83"/>
      <c r="WX71" s="83"/>
      <c r="WY71" s="83"/>
      <c r="WZ71" s="83"/>
      <c r="XA71" s="83"/>
      <c r="XB71" s="83"/>
      <c r="XC71" s="83"/>
      <c r="XD71" s="83"/>
      <c r="XE71" s="83"/>
      <c r="XF71" s="83"/>
      <c r="XG71" s="83"/>
      <c r="XH71" s="83"/>
      <c r="XI71" s="83"/>
      <c r="XJ71" s="83"/>
      <c r="XK71" s="83"/>
      <c r="XL71" s="83"/>
      <c r="XM71" s="83"/>
      <c r="XN71" s="83"/>
      <c r="XO71" s="83"/>
      <c r="XP71" s="83"/>
      <c r="XQ71" s="83"/>
      <c r="XR71" s="83"/>
      <c r="XS71" s="83"/>
      <c r="XT71" s="83"/>
      <c r="XU71" s="83"/>
      <c r="XV71" s="83"/>
      <c r="XW71" s="83"/>
      <c r="XX71" s="83"/>
      <c r="XY71" s="83"/>
      <c r="XZ71" s="83"/>
      <c r="YA71" s="83"/>
      <c r="YB71" s="83"/>
      <c r="YC71" s="83"/>
      <c r="YD71" s="83"/>
      <c r="YE71" s="83"/>
      <c r="YF71" s="83"/>
      <c r="YG71" s="83"/>
      <c r="YH71" s="83"/>
      <c r="YI71" s="83"/>
      <c r="YJ71" s="83"/>
      <c r="YK71" s="83"/>
      <c r="YL71" s="83"/>
      <c r="YM71" s="83"/>
      <c r="YN71" s="83"/>
      <c r="YO71" s="83"/>
      <c r="YP71" s="83"/>
      <c r="YQ71" s="83"/>
      <c r="YR71" s="83"/>
      <c r="YS71" s="83"/>
      <c r="YT71" s="83"/>
      <c r="YU71" s="83"/>
      <c r="YV71" s="83"/>
      <c r="YW71" s="83"/>
      <c r="YX71" s="83"/>
      <c r="YY71" s="83"/>
      <c r="YZ71" s="83"/>
      <c r="ZA71" s="83"/>
      <c r="ZB71" s="83"/>
      <c r="ZC71" s="83"/>
      <c r="ZD71" s="83"/>
      <c r="ZE71" s="83"/>
      <c r="ZF71" s="83"/>
      <c r="ZG71" s="83"/>
      <c r="ZH71" s="83"/>
      <c r="ZI71" s="83"/>
      <c r="ZJ71" s="83"/>
      <c r="ZK71" s="83"/>
      <c r="ZL71" s="83"/>
      <c r="ZM71" s="83"/>
      <c r="ZN71" s="83"/>
      <c r="ZO71" s="83"/>
      <c r="ZP71" s="83"/>
      <c r="ZQ71" s="83"/>
      <c r="ZR71" s="83"/>
      <c r="ZS71" s="83"/>
      <c r="ZT71" s="83"/>
      <c r="ZU71" s="83"/>
      <c r="ZV71" s="83"/>
      <c r="ZW71" s="83"/>
      <c r="ZX71" s="83"/>
      <c r="ZY71" s="83"/>
      <c r="ZZ71" s="83"/>
      <c r="AAA71" s="83"/>
      <c r="AAB71" s="83"/>
      <c r="AAC71" s="83"/>
      <c r="AAD71" s="83"/>
      <c r="AAE71" s="83"/>
      <c r="AAF71" s="83"/>
      <c r="AAG71" s="83"/>
      <c r="AAH71" s="83"/>
      <c r="AAI71" s="83"/>
      <c r="AAJ71" s="83"/>
      <c r="AAK71" s="83"/>
      <c r="AAL71" s="83"/>
      <c r="AAM71" s="83"/>
      <c r="AAN71" s="83"/>
      <c r="AAO71" s="83"/>
      <c r="AAP71" s="83"/>
      <c r="AAQ71" s="83"/>
      <c r="AAR71" s="83"/>
      <c r="AAS71" s="83"/>
      <c r="AAT71" s="83"/>
      <c r="AAU71" s="83"/>
      <c r="AAV71" s="83"/>
      <c r="AAW71" s="83"/>
      <c r="AAX71" s="83"/>
      <c r="AAY71" s="83"/>
      <c r="AAZ71" s="83"/>
      <c r="ABA71" s="83"/>
      <c r="ABB71" s="83"/>
      <c r="ABC71" s="83"/>
      <c r="ABD71" s="83"/>
      <c r="ABE71" s="83"/>
      <c r="ABF71" s="83"/>
      <c r="ABG71" s="83"/>
      <c r="ABH71" s="83"/>
      <c r="ABI71" s="83"/>
      <c r="ABJ71" s="83"/>
      <c r="ABK71" s="83"/>
      <c r="ABL71" s="83"/>
      <c r="ABM71" s="83"/>
      <c r="ABN71" s="83"/>
      <c r="ABO71" s="83"/>
      <c r="ABP71" s="83"/>
      <c r="ABQ71" s="83"/>
      <c r="ABR71" s="83"/>
      <c r="ABS71" s="83"/>
      <c r="ABT71" s="83"/>
      <c r="ABU71" s="83"/>
      <c r="ABV71" s="83"/>
      <c r="ABW71" s="83"/>
      <c r="ABX71" s="83"/>
      <c r="ABY71" s="83"/>
      <c r="ABZ71" s="83"/>
      <c r="ACA71" s="83"/>
      <c r="ACB71" s="83"/>
      <c r="ACC71" s="83"/>
      <c r="ACD71" s="83"/>
      <c r="ACE71" s="83"/>
      <c r="ACF71" s="83"/>
      <c r="ACG71" s="83"/>
      <c r="ACH71" s="83"/>
      <c r="ACI71" s="83"/>
      <c r="ACJ71" s="83"/>
      <c r="ACK71" s="83"/>
      <c r="ACL71" s="83"/>
      <c r="ACM71" s="83"/>
      <c r="ACN71" s="83"/>
      <c r="ACO71" s="83"/>
      <c r="ACP71" s="83"/>
      <c r="ACQ71" s="83"/>
      <c r="ACR71" s="83"/>
      <c r="ACS71" s="83"/>
      <c r="ACT71" s="83"/>
      <c r="ACU71" s="83"/>
      <c r="ACV71" s="83"/>
      <c r="ACW71" s="83"/>
      <c r="ACX71" s="83"/>
      <c r="ACY71" s="83"/>
      <c r="ACZ71" s="83"/>
      <c r="ADA71" s="83"/>
      <c r="ADB71" s="83"/>
      <c r="ADC71" s="83"/>
      <c r="ADD71" s="83"/>
      <c r="ADE71" s="83"/>
      <c r="ADF71" s="83"/>
      <c r="ADG71" s="83"/>
      <c r="ADH71" s="83"/>
      <c r="ADI71" s="83"/>
      <c r="ADJ71" s="83"/>
      <c r="ADK71" s="83"/>
      <c r="ADL71" s="83"/>
      <c r="ADM71" s="83"/>
      <c r="ADN71" s="83"/>
      <c r="ADO71" s="83"/>
      <c r="ADP71" s="83"/>
      <c r="ADQ71" s="83"/>
      <c r="ADR71" s="83"/>
      <c r="ADS71" s="83"/>
      <c r="ADT71" s="83"/>
      <c r="ADU71" s="83"/>
      <c r="ADV71" s="83"/>
      <c r="ADW71" s="83"/>
      <c r="ADX71" s="83"/>
      <c r="ADY71" s="83"/>
      <c r="ADZ71" s="83"/>
      <c r="AEA71" s="83"/>
      <c r="AEB71" s="83"/>
      <c r="AEC71" s="83"/>
      <c r="AED71" s="83"/>
      <c r="AEE71" s="83"/>
      <c r="AEF71" s="83"/>
      <c r="AEG71" s="83"/>
      <c r="AEH71" s="83"/>
      <c r="AEI71" s="83"/>
      <c r="AEJ71" s="83"/>
      <c r="AEK71" s="83"/>
      <c r="AEL71" s="83"/>
      <c r="AEM71" s="83"/>
      <c r="AEN71" s="83"/>
      <c r="AEO71" s="83"/>
      <c r="AEP71" s="83"/>
      <c r="AEQ71" s="83"/>
      <c r="AER71" s="83"/>
      <c r="AES71" s="83"/>
      <c r="AET71" s="83"/>
      <c r="AEU71" s="83"/>
      <c r="AEV71" s="83"/>
      <c r="AEW71" s="83"/>
      <c r="AEX71" s="83"/>
      <c r="AEY71" s="83"/>
      <c r="AEZ71" s="83"/>
      <c r="AFA71" s="83"/>
      <c r="AFB71" s="83"/>
      <c r="AFC71" s="83"/>
      <c r="AFD71" s="83"/>
      <c r="AFE71" s="83"/>
      <c r="AFF71" s="83"/>
      <c r="AFG71" s="83"/>
      <c r="AFH71" s="83"/>
      <c r="AFI71" s="83"/>
      <c r="AFJ71" s="83"/>
      <c r="AFK71" s="83"/>
      <c r="AFL71" s="83"/>
      <c r="AFM71" s="83"/>
      <c r="AFN71" s="83"/>
      <c r="AFO71" s="83"/>
      <c r="AFP71" s="83"/>
      <c r="AFQ71" s="83"/>
      <c r="AFR71" s="83"/>
      <c r="AFS71" s="83"/>
      <c r="AFT71" s="83"/>
      <c r="AFU71" s="83"/>
      <c r="AFV71" s="83"/>
      <c r="AFW71" s="83"/>
      <c r="AFX71" s="83"/>
      <c r="AFY71" s="83"/>
      <c r="AFZ71" s="83"/>
      <c r="AGA71" s="83"/>
      <c r="AGB71" s="83"/>
      <c r="AGC71" s="83"/>
      <c r="AGD71" s="83"/>
      <c r="AGE71" s="83"/>
      <c r="AGF71" s="83"/>
      <c r="AGG71" s="83"/>
      <c r="AGH71" s="83"/>
      <c r="AGI71" s="83"/>
      <c r="AGJ71" s="83"/>
      <c r="AGK71" s="83"/>
      <c r="AGL71" s="83"/>
      <c r="AGM71" s="83"/>
      <c r="AGN71" s="83"/>
      <c r="AGO71" s="83"/>
      <c r="AGP71" s="83"/>
      <c r="AGQ71" s="83"/>
      <c r="AGR71" s="83"/>
      <c r="AGS71" s="83"/>
      <c r="AGT71" s="83"/>
      <c r="AGU71" s="83"/>
      <c r="AGV71" s="83"/>
      <c r="AGW71" s="83"/>
      <c r="AGX71" s="83"/>
      <c r="AGY71" s="83"/>
      <c r="AGZ71" s="83"/>
      <c r="AHA71" s="83"/>
      <c r="AHB71" s="83"/>
      <c r="AHC71" s="83"/>
      <c r="AHD71" s="83"/>
      <c r="AHE71" s="83"/>
      <c r="AHF71" s="83"/>
      <c r="AHG71" s="83"/>
      <c r="AHH71" s="83"/>
      <c r="AHI71" s="83"/>
      <c r="AHJ71" s="83"/>
      <c r="AHK71" s="83"/>
      <c r="AHL71" s="83"/>
      <c r="AHM71" s="83"/>
      <c r="AHN71" s="83"/>
      <c r="AHO71" s="83"/>
      <c r="AHP71" s="83"/>
      <c r="AHQ71" s="83"/>
      <c r="AHR71" s="83"/>
      <c r="AHS71" s="83"/>
      <c r="AHT71" s="83"/>
      <c r="AHU71" s="83"/>
      <c r="AHV71" s="83"/>
      <c r="AHW71" s="83"/>
      <c r="AHX71" s="83"/>
      <c r="AHY71" s="83"/>
      <c r="AHZ71" s="83"/>
      <c r="AIA71" s="83"/>
      <c r="AIB71" s="83"/>
      <c r="AIC71" s="83"/>
      <c r="AID71" s="83"/>
      <c r="AIE71" s="83"/>
      <c r="AIF71" s="83"/>
      <c r="AIG71" s="83"/>
      <c r="AIH71" s="83"/>
      <c r="AII71" s="83"/>
      <c r="AIJ71" s="83"/>
      <c r="AIK71" s="83"/>
      <c r="AIL71" s="83"/>
      <c r="AIM71" s="83"/>
      <c r="AIN71" s="83"/>
      <c r="AIO71" s="83"/>
      <c r="AIP71" s="83"/>
      <c r="AIQ71" s="83"/>
      <c r="AIR71" s="83"/>
      <c r="AIS71" s="83"/>
      <c r="AIT71" s="83"/>
      <c r="AIU71" s="83"/>
      <c r="AIV71" s="83"/>
      <c r="AIW71" s="83"/>
      <c r="AIX71" s="83"/>
      <c r="AIY71" s="83"/>
      <c r="AIZ71" s="83"/>
      <c r="AJA71" s="83"/>
      <c r="AJB71" s="83"/>
      <c r="AJC71" s="83"/>
      <c r="AJD71" s="83"/>
      <c r="AJE71" s="83"/>
      <c r="AJF71" s="83"/>
      <c r="AJG71" s="83"/>
      <c r="AJH71" s="83"/>
      <c r="AJI71" s="83"/>
      <c r="AJJ71" s="83"/>
      <c r="AJK71" s="83"/>
      <c r="AJL71" s="83"/>
      <c r="AJM71" s="83"/>
      <c r="AJN71" s="83"/>
      <c r="AJO71" s="83"/>
      <c r="AJP71" s="83"/>
      <c r="AJQ71" s="83"/>
      <c r="AJR71" s="83"/>
      <c r="AJS71" s="83"/>
      <c r="AJT71" s="83"/>
      <c r="AJU71" s="83"/>
      <c r="AJV71" s="83"/>
      <c r="AJW71" s="83"/>
      <c r="AJX71" s="83"/>
      <c r="AJY71" s="83"/>
      <c r="AJZ71" s="83"/>
      <c r="AKA71" s="83"/>
      <c r="AKB71" s="83"/>
      <c r="AKC71" s="83"/>
      <c r="AKD71" s="83"/>
      <c r="AKE71" s="83"/>
      <c r="AKF71" s="83"/>
      <c r="AKG71" s="83"/>
      <c r="AKH71" s="83"/>
      <c r="AKI71" s="83"/>
      <c r="AKJ71" s="83"/>
      <c r="AKK71" s="83"/>
      <c r="AKL71" s="83"/>
      <c r="AKM71" s="83"/>
      <c r="AKN71" s="83"/>
      <c r="AKO71" s="83"/>
      <c r="AKP71" s="83"/>
      <c r="AKQ71" s="83"/>
      <c r="AKR71" s="83"/>
      <c r="AKS71" s="83"/>
      <c r="AKT71" s="83"/>
      <c r="AKU71" s="83"/>
      <c r="AKV71" s="83"/>
      <c r="AKW71" s="83"/>
      <c r="AKX71" s="83"/>
      <c r="AKY71" s="83"/>
      <c r="AKZ71" s="83"/>
      <c r="ALA71" s="83"/>
      <c r="ALB71" s="83"/>
      <c r="ALC71" s="83"/>
      <c r="ALD71" s="83"/>
      <c r="ALE71" s="83"/>
      <c r="ALF71" s="83"/>
      <c r="ALG71" s="83"/>
      <c r="ALH71" s="83"/>
      <c r="ALI71" s="83"/>
      <c r="ALJ71" s="83"/>
      <c r="ALK71" s="83"/>
      <c r="ALL71" s="83"/>
      <c r="ALM71" s="83"/>
      <c r="ALN71" s="83"/>
      <c r="ALO71" s="83"/>
      <c r="ALP71" s="83"/>
      <c r="ALQ71" s="83"/>
      <c r="ALR71" s="83"/>
      <c r="ALS71" s="83"/>
      <c r="ALT71" s="83"/>
      <c r="ALU71" s="83"/>
      <c r="ALV71" s="83"/>
      <c r="ALW71" s="83"/>
      <c r="ALX71" s="83"/>
      <c r="ALY71" s="83"/>
      <c r="ALZ71" s="83"/>
      <c r="AMA71" s="83"/>
      <c r="AMB71" s="83"/>
      <c r="AMC71" s="83"/>
      <c r="AMD71" s="83"/>
      <c r="AME71" s="83"/>
      <c r="AMF71" s="83"/>
      <c r="AMG71" s="83"/>
      <c r="AMH71" s="83"/>
      <c r="AMI71" s="83"/>
      <c r="AMJ71" s="83"/>
    </row>
    <row r="72" spans="12:1024" ht="15.95" customHeight="1" x14ac:dyDescent="0.2">
      <c r="L72" s="83"/>
      <c r="M72" s="84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  <c r="IW72" s="83"/>
      <c r="IX72" s="83"/>
      <c r="IY72" s="83"/>
      <c r="IZ72" s="83"/>
      <c r="JA72" s="83"/>
      <c r="JB72" s="83"/>
      <c r="JC72" s="83"/>
      <c r="JD72" s="83"/>
      <c r="JE72" s="83"/>
      <c r="JF72" s="83"/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3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83"/>
      <c r="LL72" s="83"/>
      <c r="LM72" s="83"/>
      <c r="LN72" s="83"/>
      <c r="LO72" s="83"/>
      <c r="LP72" s="83"/>
      <c r="LQ72" s="83"/>
      <c r="LR72" s="83"/>
      <c r="LS72" s="83"/>
      <c r="LT72" s="83"/>
      <c r="LU72" s="83"/>
      <c r="LV72" s="83"/>
      <c r="LW72" s="83"/>
      <c r="LX72" s="83"/>
      <c r="LY72" s="83"/>
      <c r="LZ72" s="83"/>
      <c r="MA72" s="83"/>
      <c r="MB72" s="83"/>
      <c r="MC72" s="83"/>
      <c r="MD72" s="83"/>
      <c r="ME72" s="83"/>
      <c r="MF72" s="83"/>
      <c r="MG72" s="83"/>
      <c r="MH72" s="83"/>
      <c r="MI72" s="83"/>
      <c r="MJ72" s="83"/>
      <c r="MK72" s="83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83"/>
      <c r="OS72" s="83"/>
      <c r="OT72" s="83"/>
      <c r="OU72" s="83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3"/>
      <c r="PT72" s="83"/>
      <c r="PU72" s="83"/>
      <c r="PV72" s="83"/>
      <c r="PW72" s="83"/>
      <c r="PX72" s="83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3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3"/>
      <c r="TL72" s="83"/>
      <c r="TM72" s="83"/>
      <c r="TN72" s="83"/>
      <c r="TO72" s="83"/>
      <c r="TP72" s="83"/>
      <c r="TQ72" s="83"/>
      <c r="TR72" s="83"/>
      <c r="TS72" s="83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83"/>
      <c r="WA72" s="83"/>
      <c r="WB72" s="83"/>
      <c r="WC72" s="83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3"/>
      <c r="XB72" s="83"/>
      <c r="XC72" s="83"/>
      <c r="XD72" s="83"/>
      <c r="XE72" s="83"/>
      <c r="XF72" s="83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3"/>
      <c r="AAB72" s="83"/>
      <c r="AAC72" s="83"/>
      <c r="AAD72" s="83"/>
      <c r="AAE72" s="83"/>
      <c r="AAF72" s="83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3"/>
      <c r="AAU72" s="83"/>
      <c r="AAV72" s="83"/>
      <c r="AAW72" s="83"/>
      <c r="AAX72" s="83"/>
      <c r="AAY72" s="83"/>
      <c r="AAZ72" s="83"/>
      <c r="ABA72" s="83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83"/>
      <c r="ADI72" s="83"/>
      <c r="ADJ72" s="83"/>
      <c r="ADK72" s="83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3"/>
      <c r="AEJ72" s="83"/>
      <c r="AEK72" s="83"/>
      <c r="AEL72" s="83"/>
      <c r="AEM72" s="83"/>
      <c r="AEN72" s="83"/>
      <c r="AEO72" s="83"/>
      <c r="AEP72" s="83"/>
      <c r="AEQ72" s="83"/>
      <c r="AER72" s="83"/>
      <c r="AES72" s="83"/>
      <c r="AET72" s="83"/>
      <c r="AEU72" s="83"/>
      <c r="AEV72" s="83"/>
      <c r="AEW72" s="83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3"/>
      <c r="AHI72" s="83"/>
      <c r="AHJ72" s="83"/>
      <c r="AHK72" s="83"/>
      <c r="AHL72" s="83"/>
      <c r="AHM72" s="83"/>
      <c r="AHN72" s="83"/>
      <c r="AHO72" s="83"/>
      <c r="AHP72" s="83"/>
      <c r="AHQ72" s="83"/>
      <c r="AHR72" s="83"/>
      <c r="AHS72" s="83"/>
      <c r="AHT72" s="83"/>
      <c r="AHU72" s="83"/>
      <c r="AHV72" s="83"/>
      <c r="AHW72" s="83"/>
      <c r="AHX72" s="83"/>
      <c r="AHY72" s="83"/>
      <c r="AHZ72" s="83"/>
      <c r="AIA72" s="83"/>
      <c r="AIB72" s="83"/>
      <c r="AIC72" s="83"/>
      <c r="AID72" s="83"/>
      <c r="AIE72" s="83"/>
      <c r="AIF72" s="83"/>
      <c r="AIG72" s="83"/>
      <c r="AIH72" s="83"/>
      <c r="AII72" s="83"/>
      <c r="AIJ72" s="83"/>
      <c r="AIK72" s="83"/>
      <c r="AIL72" s="83"/>
      <c r="AIM72" s="83"/>
      <c r="AIN72" s="83"/>
      <c r="AIO72" s="83"/>
      <c r="AIP72" s="83"/>
      <c r="AIQ72" s="83"/>
      <c r="AIR72" s="83"/>
      <c r="AIS72" s="83"/>
      <c r="AIT72" s="83"/>
      <c r="AIU72" s="83"/>
      <c r="AIV72" s="83"/>
      <c r="AIW72" s="83"/>
      <c r="AIX72" s="83"/>
      <c r="AIY72" s="83"/>
      <c r="AIZ72" s="83"/>
      <c r="AJA72" s="83"/>
      <c r="AJB72" s="83"/>
      <c r="AJC72" s="83"/>
      <c r="AJD72" s="83"/>
      <c r="AJE72" s="83"/>
      <c r="AJF72" s="83"/>
      <c r="AJG72" s="83"/>
      <c r="AJH72" s="83"/>
      <c r="AJI72" s="83"/>
      <c r="AJJ72" s="83"/>
      <c r="AJK72" s="83"/>
      <c r="AJL72" s="83"/>
      <c r="AJM72" s="83"/>
      <c r="AJN72" s="83"/>
      <c r="AJO72" s="83"/>
      <c r="AJP72" s="83"/>
      <c r="AJQ72" s="83"/>
      <c r="AJR72" s="83"/>
      <c r="AJS72" s="83"/>
      <c r="AJT72" s="83"/>
      <c r="AJU72" s="83"/>
      <c r="AJV72" s="83"/>
      <c r="AJW72" s="83"/>
      <c r="AJX72" s="83"/>
      <c r="AJY72" s="83"/>
      <c r="AJZ72" s="83"/>
      <c r="AKA72" s="83"/>
      <c r="AKB72" s="83"/>
      <c r="AKC72" s="83"/>
      <c r="AKD72" s="83"/>
      <c r="AKE72" s="83"/>
      <c r="AKF72" s="83"/>
      <c r="AKG72" s="83"/>
      <c r="AKH72" s="83"/>
      <c r="AKI72" s="83"/>
      <c r="AKJ72" s="83"/>
      <c r="AKK72" s="83"/>
      <c r="AKL72" s="83"/>
      <c r="AKM72" s="83"/>
      <c r="AKN72" s="83"/>
      <c r="AKO72" s="83"/>
      <c r="AKP72" s="83"/>
      <c r="AKQ72" s="83"/>
      <c r="AKR72" s="83"/>
      <c r="AKS72" s="83"/>
      <c r="AKT72" s="83"/>
      <c r="AKU72" s="83"/>
      <c r="AKV72" s="83"/>
      <c r="AKW72" s="83"/>
      <c r="AKX72" s="83"/>
      <c r="AKY72" s="83"/>
      <c r="AKZ72" s="83"/>
      <c r="ALA72" s="83"/>
      <c r="ALB72" s="83"/>
      <c r="ALC72" s="83"/>
      <c r="ALD72" s="83"/>
      <c r="ALE72" s="83"/>
      <c r="ALF72" s="83"/>
      <c r="ALG72" s="83"/>
      <c r="ALH72" s="83"/>
      <c r="ALI72" s="83"/>
      <c r="ALJ72" s="83"/>
      <c r="ALK72" s="83"/>
      <c r="ALL72" s="83"/>
      <c r="ALM72" s="83"/>
      <c r="ALN72" s="83"/>
      <c r="ALO72" s="83"/>
      <c r="ALP72" s="83"/>
      <c r="ALQ72" s="83"/>
      <c r="ALR72" s="83"/>
      <c r="ALS72" s="83"/>
      <c r="ALT72" s="83"/>
      <c r="ALU72" s="83"/>
      <c r="ALV72" s="83"/>
      <c r="ALW72" s="83"/>
      <c r="ALX72" s="83"/>
      <c r="ALY72" s="83"/>
      <c r="ALZ72" s="83"/>
      <c r="AMA72" s="83"/>
      <c r="AMB72" s="83"/>
      <c r="AMC72" s="83"/>
      <c r="AMD72" s="83"/>
      <c r="AME72" s="83"/>
      <c r="AMF72" s="83"/>
      <c r="AMG72" s="83"/>
      <c r="AMH72" s="83"/>
      <c r="AMI72" s="83"/>
      <c r="AMJ72" s="83"/>
    </row>
    <row r="73" spans="12:1024" ht="15.95" customHeight="1" x14ac:dyDescent="0.2">
      <c r="L73" s="83"/>
      <c r="M73" s="8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3"/>
      <c r="LQ73" s="83"/>
      <c r="LR73" s="83"/>
      <c r="LS73" s="83"/>
      <c r="LT73" s="83"/>
      <c r="LU73" s="83"/>
      <c r="LV73" s="83"/>
      <c r="LW73" s="83"/>
      <c r="LX73" s="83"/>
      <c r="LY73" s="83"/>
      <c r="LZ73" s="83"/>
      <c r="MA73" s="83"/>
      <c r="MB73" s="83"/>
      <c r="MC73" s="83"/>
      <c r="MD73" s="83"/>
      <c r="ME73" s="83"/>
      <c r="MF73" s="83"/>
      <c r="MG73" s="83"/>
      <c r="MH73" s="83"/>
      <c r="MI73" s="83"/>
      <c r="MJ73" s="83"/>
      <c r="MK73" s="83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83"/>
      <c r="OS73" s="83"/>
      <c r="OT73" s="83"/>
      <c r="OU73" s="83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3"/>
      <c r="PT73" s="83"/>
      <c r="PU73" s="83"/>
      <c r="PV73" s="83"/>
      <c r="PW73" s="83"/>
      <c r="PX73" s="83"/>
      <c r="PY73" s="83"/>
      <c r="PZ73" s="83"/>
      <c r="QA73" s="83"/>
      <c r="QB73" s="83"/>
      <c r="QC73" s="83"/>
      <c r="QD73" s="83"/>
      <c r="QE73" s="83"/>
      <c r="QF73" s="83"/>
      <c r="QG73" s="83"/>
      <c r="QH73" s="83"/>
      <c r="QI73" s="83"/>
      <c r="QJ73" s="83"/>
      <c r="QK73" s="83"/>
      <c r="QL73" s="83"/>
      <c r="QM73" s="83"/>
      <c r="QN73" s="83"/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3"/>
      <c r="ST73" s="83"/>
      <c r="SU73" s="83"/>
      <c r="SV73" s="83"/>
      <c r="SW73" s="83"/>
      <c r="SX73" s="83"/>
      <c r="SY73" s="83"/>
      <c r="SZ73" s="83"/>
      <c r="TA73" s="83"/>
      <c r="TB73" s="83"/>
      <c r="TC73" s="83"/>
      <c r="TD73" s="83"/>
      <c r="TE73" s="83"/>
      <c r="TF73" s="83"/>
      <c r="TG73" s="83"/>
      <c r="TH73" s="83"/>
      <c r="TI73" s="83"/>
      <c r="TJ73" s="83"/>
      <c r="TK73" s="83"/>
      <c r="TL73" s="83"/>
      <c r="TM73" s="83"/>
      <c r="TN73" s="83"/>
      <c r="TO73" s="83"/>
      <c r="TP73" s="83"/>
      <c r="TQ73" s="83"/>
      <c r="TR73" s="83"/>
      <c r="TS73" s="83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83"/>
      <c r="WA73" s="83"/>
      <c r="WB73" s="83"/>
      <c r="WC73" s="83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3"/>
      <c r="XB73" s="83"/>
      <c r="XC73" s="83"/>
      <c r="XD73" s="83"/>
      <c r="XE73" s="83"/>
      <c r="XF73" s="83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3"/>
      <c r="AAB73" s="83"/>
      <c r="AAC73" s="83"/>
      <c r="AAD73" s="83"/>
      <c r="AAE73" s="83"/>
      <c r="AAF73" s="83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3"/>
      <c r="AAU73" s="83"/>
      <c r="AAV73" s="83"/>
      <c r="AAW73" s="83"/>
      <c r="AAX73" s="83"/>
      <c r="AAY73" s="83"/>
      <c r="AAZ73" s="83"/>
      <c r="ABA73" s="83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83"/>
      <c r="ADI73" s="83"/>
      <c r="ADJ73" s="83"/>
      <c r="ADK73" s="83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3"/>
      <c r="AEJ73" s="83"/>
      <c r="AEK73" s="83"/>
      <c r="AEL73" s="83"/>
      <c r="AEM73" s="83"/>
      <c r="AEN73" s="83"/>
      <c r="AEO73" s="83"/>
      <c r="AEP73" s="83"/>
      <c r="AEQ73" s="83"/>
      <c r="AER73" s="83"/>
      <c r="AES73" s="83"/>
      <c r="AET73" s="83"/>
      <c r="AEU73" s="83"/>
      <c r="AEV73" s="83"/>
      <c r="AEW73" s="83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3"/>
      <c r="AHI73" s="83"/>
      <c r="AHJ73" s="83"/>
      <c r="AHK73" s="83"/>
      <c r="AHL73" s="83"/>
      <c r="AHM73" s="83"/>
      <c r="AHN73" s="83"/>
      <c r="AHO73" s="83"/>
      <c r="AHP73" s="83"/>
      <c r="AHQ73" s="83"/>
      <c r="AHR73" s="83"/>
      <c r="AHS73" s="83"/>
      <c r="AHT73" s="83"/>
      <c r="AHU73" s="83"/>
      <c r="AHV73" s="83"/>
      <c r="AHW73" s="83"/>
      <c r="AHX73" s="83"/>
      <c r="AHY73" s="83"/>
      <c r="AHZ73" s="83"/>
      <c r="AIA73" s="83"/>
      <c r="AIB73" s="83"/>
      <c r="AIC73" s="83"/>
      <c r="AID73" s="83"/>
      <c r="AIE73" s="83"/>
      <c r="AIF73" s="83"/>
      <c r="AIG73" s="83"/>
      <c r="AIH73" s="83"/>
      <c r="AII73" s="83"/>
      <c r="AIJ73" s="83"/>
      <c r="AIK73" s="83"/>
      <c r="AIL73" s="83"/>
      <c r="AIM73" s="83"/>
      <c r="AIN73" s="83"/>
      <c r="AIO73" s="83"/>
      <c r="AIP73" s="83"/>
      <c r="AIQ73" s="83"/>
      <c r="AIR73" s="83"/>
      <c r="AIS73" s="83"/>
      <c r="AIT73" s="83"/>
      <c r="AIU73" s="83"/>
      <c r="AIV73" s="83"/>
      <c r="AIW73" s="83"/>
      <c r="AIX73" s="83"/>
      <c r="AIY73" s="83"/>
      <c r="AIZ73" s="83"/>
      <c r="AJA73" s="83"/>
      <c r="AJB73" s="83"/>
      <c r="AJC73" s="83"/>
      <c r="AJD73" s="83"/>
      <c r="AJE73" s="83"/>
      <c r="AJF73" s="83"/>
      <c r="AJG73" s="83"/>
      <c r="AJH73" s="83"/>
      <c r="AJI73" s="83"/>
      <c r="AJJ73" s="83"/>
      <c r="AJK73" s="83"/>
      <c r="AJL73" s="83"/>
      <c r="AJM73" s="83"/>
      <c r="AJN73" s="83"/>
      <c r="AJO73" s="83"/>
      <c r="AJP73" s="83"/>
      <c r="AJQ73" s="83"/>
      <c r="AJR73" s="83"/>
      <c r="AJS73" s="83"/>
      <c r="AJT73" s="83"/>
      <c r="AJU73" s="83"/>
      <c r="AJV73" s="83"/>
      <c r="AJW73" s="83"/>
      <c r="AJX73" s="83"/>
      <c r="AJY73" s="83"/>
      <c r="AJZ73" s="83"/>
      <c r="AKA73" s="83"/>
      <c r="AKB73" s="83"/>
      <c r="AKC73" s="83"/>
      <c r="AKD73" s="83"/>
      <c r="AKE73" s="83"/>
      <c r="AKF73" s="83"/>
      <c r="AKG73" s="83"/>
      <c r="AKH73" s="83"/>
      <c r="AKI73" s="83"/>
      <c r="AKJ73" s="83"/>
      <c r="AKK73" s="83"/>
      <c r="AKL73" s="83"/>
      <c r="AKM73" s="83"/>
      <c r="AKN73" s="83"/>
      <c r="AKO73" s="83"/>
      <c r="AKP73" s="83"/>
      <c r="AKQ73" s="83"/>
      <c r="AKR73" s="83"/>
      <c r="AKS73" s="83"/>
      <c r="AKT73" s="83"/>
      <c r="AKU73" s="83"/>
      <c r="AKV73" s="83"/>
      <c r="AKW73" s="83"/>
      <c r="AKX73" s="83"/>
      <c r="AKY73" s="83"/>
      <c r="AKZ73" s="83"/>
      <c r="ALA73" s="83"/>
      <c r="ALB73" s="83"/>
      <c r="ALC73" s="83"/>
      <c r="ALD73" s="83"/>
      <c r="ALE73" s="83"/>
      <c r="ALF73" s="83"/>
      <c r="ALG73" s="83"/>
      <c r="ALH73" s="83"/>
      <c r="ALI73" s="83"/>
      <c r="ALJ73" s="83"/>
      <c r="ALK73" s="83"/>
      <c r="ALL73" s="83"/>
      <c r="ALM73" s="83"/>
      <c r="ALN73" s="83"/>
      <c r="ALO73" s="83"/>
      <c r="ALP73" s="83"/>
      <c r="ALQ73" s="83"/>
      <c r="ALR73" s="83"/>
      <c r="ALS73" s="83"/>
      <c r="ALT73" s="83"/>
      <c r="ALU73" s="83"/>
      <c r="ALV73" s="83"/>
      <c r="ALW73" s="83"/>
      <c r="ALX73" s="83"/>
      <c r="ALY73" s="83"/>
      <c r="ALZ73" s="83"/>
      <c r="AMA73" s="83"/>
      <c r="AMB73" s="83"/>
      <c r="AMC73" s="83"/>
      <c r="AMD73" s="83"/>
      <c r="AME73" s="83"/>
      <c r="AMF73" s="83"/>
      <c r="AMG73" s="83"/>
      <c r="AMH73" s="83"/>
      <c r="AMI73" s="83"/>
      <c r="AMJ73" s="83"/>
    </row>
    <row r="74" spans="12:1024" ht="15.95" customHeight="1" x14ac:dyDescent="0.2">
      <c r="L74" s="83"/>
      <c r="M74" s="84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  <c r="HZ74" s="83"/>
      <c r="IA74" s="83"/>
      <c r="IB74" s="83"/>
      <c r="IC74" s="83"/>
      <c r="ID74" s="83"/>
      <c r="IE74" s="83"/>
      <c r="IF74" s="83"/>
      <c r="IG74" s="83"/>
      <c r="IH74" s="83"/>
      <c r="II74" s="83"/>
      <c r="IJ74" s="83"/>
      <c r="IK74" s="83"/>
      <c r="IL74" s="83"/>
      <c r="IM74" s="83"/>
      <c r="IN74" s="83"/>
      <c r="IO74" s="83"/>
      <c r="IP74" s="83"/>
      <c r="IQ74" s="83"/>
      <c r="IR74" s="83"/>
      <c r="IS74" s="83"/>
      <c r="IT74" s="83"/>
      <c r="IU74" s="83"/>
      <c r="IV74" s="83"/>
      <c r="IW74" s="83"/>
      <c r="IX74" s="83"/>
      <c r="IY74" s="83"/>
      <c r="IZ74" s="83"/>
      <c r="JA74" s="83"/>
      <c r="JB74" s="83"/>
      <c r="JC74" s="83"/>
      <c r="JD74" s="83"/>
      <c r="JE74" s="83"/>
      <c r="JF74" s="83"/>
      <c r="JG74" s="83"/>
      <c r="JH74" s="83"/>
      <c r="JI74" s="83"/>
      <c r="JJ74" s="83"/>
      <c r="JK74" s="83"/>
      <c r="JL74" s="83"/>
      <c r="JM74" s="83"/>
      <c r="JN74" s="83"/>
      <c r="JO74" s="83"/>
      <c r="JP74" s="83"/>
      <c r="JQ74" s="83"/>
      <c r="JR74" s="83"/>
      <c r="JS74" s="83"/>
      <c r="JT74" s="83"/>
      <c r="JU74" s="83"/>
      <c r="JV74" s="83"/>
      <c r="JW74" s="83"/>
      <c r="JX74" s="83"/>
      <c r="JY74" s="83"/>
      <c r="JZ74" s="83"/>
      <c r="KA74" s="83"/>
      <c r="KB74" s="83"/>
      <c r="KC74" s="83"/>
      <c r="KD74" s="83"/>
      <c r="KE74" s="83"/>
      <c r="KF74" s="83"/>
      <c r="KG74" s="83"/>
      <c r="KH74" s="83"/>
      <c r="KI74" s="83"/>
      <c r="KJ74" s="83"/>
      <c r="KK74" s="83"/>
      <c r="KL74" s="83"/>
      <c r="KM74" s="83"/>
      <c r="KN74" s="83"/>
      <c r="KO74" s="83"/>
      <c r="KP74" s="83"/>
      <c r="KQ74" s="83"/>
      <c r="KR74" s="83"/>
      <c r="KS74" s="83"/>
      <c r="KT74" s="83"/>
      <c r="KU74" s="83"/>
      <c r="KV74" s="83"/>
      <c r="KW74" s="83"/>
      <c r="KX74" s="83"/>
      <c r="KY74" s="83"/>
      <c r="KZ74" s="83"/>
      <c r="LA74" s="83"/>
      <c r="LB74" s="83"/>
      <c r="LC74" s="83"/>
      <c r="LD74" s="83"/>
      <c r="LE74" s="83"/>
      <c r="LF74" s="83"/>
      <c r="LG74" s="83"/>
      <c r="LH74" s="83"/>
      <c r="LI74" s="83"/>
      <c r="LJ74" s="83"/>
      <c r="LK74" s="83"/>
      <c r="LL74" s="83"/>
      <c r="LM74" s="83"/>
      <c r="LN74" s="83"/>
      <c r="LO74" s="83"/>
      <c r="LP74" s="83"/>
      <c r="LQ74" s="83"/>
      <c r="LR74" s="83"/>
      <c r="LS74" s="83"/>
      <c r="LT74" s="83"/>
      <c r="LU74" s="83"/>
      <c r="LV74" s="83"/>
      <c r="LW74" s="83"/>
      <c r="LX74" s="83"/>
      <c r="LY74" s="83"/>
      <c r="LZ74" s="83"/>
      <c r="MA74" s="83"/>
      <c r="MB74" s="83"/>
      <c r="MC74" s="83"/>
      <c r="MD74" s="83"/>
      <c r="ME74" s="83"/>
      <c r="MF74" s="83"/>
      <c r="MG74" s="83"/>
      <c r="MH74" s="83"/>
      <c r="MI74" s="83"/>
      <c r="MJ74" s="83"/>
      <c r="MK74" s="83"/>
      <c r="ML74" s="83"/>
      <c r="MM74" s="83"/>
      <c r="MN74" s="83"/>
      <c r="MO74" s="83"/>
      <c r="MP74" s="83"/>
      <c r="MQ74" s="83"/>
      <c r="MR74" s="83"/>
      <c r="MS74" s="83"/>
      <c r="MT74" s="83"/>
      <c r="MU74" s="83"/>
      <c r="MV74" s="83"/>
      <c r="MW74" s="83"/>
      <c r="MX74" s="83"/>
      <c r="MY74" s="83"/>
      <c r="MZ74" s="83"/>
      <c r="NA74" s="83"/>
      <c r="NB74" s="83"/>
      <c r="NC74" s="83"/>
      <c r="ND74" s="83"/>
      <c r="NE74" s="83"/>
      <c r="NF74" s="83"/>
      <c r="NG74" s="83"/>
      <c r="NH74" s="83"/>
      <c r="NI74" s="83"/>
      <c r="NJ74" s="83"/>
      <c r="NK74" s="83"/>
      <c r="NL74" s="83"/>
      <c r="NM74" s="83"/>
      <c r="NN74" s="83"/>
      <c r="NO74" s="83"/>
      <c r="NP74" s="83"/>
      <c r="NQ74" s="83"/>
      <c r="NR74" s="83"/>
      <c r="NS74" s="83"/>
      <c r="NT74" s="83"/>
      <c r="NU74" s="83"/>
      <c r="NV74" s="83"/>
      <c r="NW74" s="83"/>
      <c r="NX74" s="83"/>
      <c r="NY74" s="83"/>
      <c r="NZ74" s="83"/>
      <c r="OA74" s="83"/>
      <c r="OB74" s="83"/>
      <c r="OC74" s="83"/>
      <c r="OD74" s="83"/>
      <c r="OE74" s="83"/>
      <c r="OF74" s="83"/>
      <c r="OG74" s="83"/>
      <c r="OH74" s="83"/>
      <c r="OI74" s="83"/>
      <c r="OJ74" s="83"/>
      <c r="OK74" s="83"/>
      <c r="OL74" s="83"/>
      <c r="OM74" s="83"/>
      <c r="ON74" s="83"/>
      <c r="OO74" s="83"/>
      <c r="OP74" s="83"/>
      <c r="OQ74" s="83"/>
      <c r="OR74" s="83"/>
      <c r="OS74" s="83"/>
      <c r="OT74" s="83"/>
      <c r="OU74" s="83"/>
      <c r="OV74" s="83"/>
      <c r="OW74" s="83"/>
      <c r="OX74" s="83"/>
      <c r="OY74" s="83"/>
      <c r="OZ74" s="83"/>
      <c r="PA74" s="83"/>
      <c r="PB74" s="83"/>
      <c r="PC74" s="83"/>
      <c r="PD74" s="83"/>
      <c r="PE74" s="83"/>
      <c r="PF74" s="83"/>
      <c r="PG74" s="83"/>
      <c r="PH74" s="83"/>
      <c r="PI74" s="83"/>
      <c r="PJ74" s="83"/>
      <c r="PK74" s="83"/>
      <c r="PL74" s="83"/>
      <c r="PM74" s="83"/>
      <c r="PN74" s="83"/>
      <c r="PO74" s="83"/>
      <c r="PP74" s="83"/>
      <c r="PQ74" s="83"/>
      <c r="PR74" s="83"/>
      <c r="PS74" s="83"/>
      <c r="PT74" s="83"/>
      <c r="PU74" s="83"/>
      <c r="PV74" s="83"/>
      <c r="PW74" s="83"/>
      <c r="PX74" s="83"/>
      <c r="PY74" s="83"/>
      <c r="PZ74" s="83"/>
      <c r="QA74" s="83"/>
      <c r="QB74" s="83"/>
      <c r="QC74" s="83"/>
      <c r="QD74" s="83"/>
      <c r="QE74" s="83"/>
      <c r="QF74" s="83"/>
      <c r="QG74" s="83"/>
      <c r="QH74" s="83"/>
      <c r="QI74" s="83"/>
      <c r="QJ74" s="83"/>
      <c r="QK74" s="83"/>
      <c r="QL74" s="83"/>
      <c r="QM74" s="83"/>
      <c r="QN74" s="83"/>
      <c r="QO74" s="83"/>
      <c r="QP74" s="83"/>
      <c r="QQ74" s="83"/>
      <c r="QR74" s="83"/>
      <c r="QS74" s="83"/>
      <c r="QT74" s="83"/>
      <c r="QU74" s="83"/>
      <c r="QV74" s="83"/>
      <c r="QW74" s="83"/>
      <c r="QX74" s="83"/>
      <c r="QY74" s="83"/>
      <c r="QZ74" s="83"/>
      <c r="RA74" s="83"/>
      <c r="RB74" s="83"/>
      <c r="RC74" s="83"/>
      <c r="RD74" s="83"/>
      <c r="RE74" s="83"/>
      <c r="RF74" s="83"/>
      <c r="RG74" s="83"/>
      <c r="RH74" s="83"/>
      <c r="RI74" s="83"/>
      <c r="RJ74" s="83"/>
      <c r="RK74" s="83"/>
      <c r="RL74" s="83"/>
      <c r="RM74" s="83"/>
      <c r="RN74" s="83"/>
      <c r="RO74" s="83"/>
      <c r="RP74" s="83"/>
      <c r="RQ74" s="83"/>
      <c r="RR74" s="83"/>
      <c r="RS74" s="83"/>
      <c r="RT74" s="83"/>
      <c r="RU74" s="83"/>
      <c r="RV74" s="83"/>
      <c r="RW74" s="83"/>
      <c r="RX74" s="83"/>
      <c r="RY74" s="83"/>
      <c r="RZ74" s="83"/>
      <c r="SA74" s="83"/>
      <c r="SB74" s="83"/>
      <c r="SC74" s="83"/>
      <c r="SD74" s="83"/>
      <c r="SE74" s="83"/>
      <c r="SF74" s="83"/>
      <c r="SG74" s="83"/>
      <c r="SH74" s="83"/>
      <c r="SI74" s="83"/>
      <c r="SJ74" s="83"/>
      <c r="SK74" s="83"/>
      <c r="SL74" s="83"/>
      <c r="SM74" s="83"/>
      <c r="SN74" s="83"/>
      <c r="SO74" s="83"/>
      <c r="SP74" s="83"/>
      <c r="SQ74" s="83"/>
      <c r="SR74" s="83"/>
      <c r="SS74" s="83"/>
      <c r="ST74" s="83"/>
      <c r="SU74" s="83"/>
      <c r="SV74" s="83"/>
      <c r="SW74" s="83"/>
      <c r="SX74" s="83"/>
      <c r="SY74" s="83"/>
      <c r="SZ74" s="83"/>
      <c r="TA74" s="83"/>
      <c r="TB74" s="83"/>
      <c r="TC74" s="83"/>
      <c r="TD74" s="83"/>
      <c r="TE74" s="83"/>
      <c r="TF74" s="83"/>
      <c r="TG74" s="83"/>
      <c r="TH74" s="83"/>
      <c r="TI74" s="83"/>
      <c r="TJ74" s="83"/>
      <c r="TK74" s="83"/>
      <c r="TL74" s="83"/>
      <c r="TM74" s="83"/>
      <c r="TN74" s="83"/>
      <c r="TO74" s="83"/>
      <c r="TP74" s="83"/>
      <c r="TQ74" s="83"/>
      <c r="TR74" s="83"/>
      <c r="TS74" s="83"/>
      <c r="TT74" s="83"/>
      <c r="TU74" s="83"/>
      <c r="TV74" s="83"/>
      <c r="TW74" s="83"/>
      <c r="TX74" s="83"/>
      <c r="TY74" s="83"/>
      <c r="TZ74" s="83"/>
      <c r="UA74" s="83"/>
      <c r="UB74" s="83"/>
      <c r="UC74" s="83"/>
      <c r="UD74" s="83"/>
      <c r="UE74" s="83"/>
      <c r="UF74" s="83"/>
      <c r="UG74" s="83"/>
      <c r="UH74" s="83"/>
      <c r="UI74" s="83"/>
      <c r="UJ74" s="83"/>
      <c r="UK74" s="83"/>
      <c r="UL74" s="83"/>
      <c r="UM74" s="83"/>
      <c r="UN74" s="83"/>
      <c r="UO74" s="83"/>
      <c r="UP74" s="83"/>
      <c r="UQ74" s="83"/>
      <c r="UR74" s="83"/>
      <c r="US74" s="83"/>
      <c r="UT74" s="83"/>
      <c r="UU74" s="83"/>
      <c r="UV74" s="83"/>
      <c r="UW74" s="83"/>
      <c r="UX74" s="83"/>
      <c r="UY74" s="83"/>
      <c r="UZ74" s="83"/>
      <c r="VA74" s="83"/>
      <c r="VB74" s="83"/>
      <c r="VC74" s="83"/>
      <c r="VD74" s="83"/>
      <c r="VE74" s="83"/>
      <c r="VF74" s="83"/>
      <c r="VG74" s="83"/>
      <c r="VH74" s="83"/>
      <c r="VI74" s="83"/>
      <c r="VJ74" s="83"/>
      <c r="VK74" s="83"/>
      <c r="VL74" s="83"/>
      <c r="VM74" s="83"/>
      <c r="VN74" s="83"/>
      <c r="VO74" s="83"/>
      <c r="VP74" s="83"/>
      <c r="VQ74" s="83"/>
      <c r="VR74" s="83"/>
      <c r="VS74" s="83"/>
      <c r="VT74" s="83"/>
      <c r="VU74" s="83"/>
      <c r="VV74" s="83"/>
      <c r="VW74" s="83"/>
      <c r="VX74" s="83"/>
      <c r="VY74" s="83"/>
      <c r="VZ74" s="83"/>
      <c r="WA74" s="83"/>
      <c r="WB74" s="83"/>
      <c r="WC74" s="83"/>
      <c r="WD74" s="83"/>
      <c r="WE74" s="83"/>
      <c r="WF74" s="83"/>
      <c r="WG74" s="83"/>
      <c r="WH74" s="83"/>
      <c r="WI74" s="83"/>
      <c r="WJ74" s="83"/>
      <c r="WK74" s="83"/>
      <c r="WL74" s="83"/>
      <c r="WM74" s="83"/>
      <c r="WN74" s="83"/>
      <c r="WO74" s="83"/>
      <c r="WP74" s="83"/>
      <c r="WQ74" s="83"/>
      <c r="WR74" s="83"/>
      <c r="WS74" s="83"/>
      <c r="WT74" s="83"/>
      <c r="WU74" s="83"/>
      <c r="WV74" s="83"/>
      <c r="WW74" s="83"/>
      <c r="WX74" s="83"/>
      <c r="WY74" s="83"/>
      <c r="WZ74" s="83"/>
      <c r="XA74" s="83"/>
      <c r="XB74" s="83"/>
      <c r="XC74" s="83"/>
      <c r="XD74" s="83"/>
      <c r="XE74" s="83"/>
      <c r="XF74" s="83"/>
      <c r="XG74" s="83"/>
      <c r="XH74" s="83"/>
      <c r="XI74" s="83"/>
      <c r="XJ74" s="83"/>
      <c r="XK74" s="83"/>
      <c r="XL74" s="83"/>
      <c r="XM74" s="83"/>
      <c r="XN74" s="83"/>
      <c r="XO74" s="83"/>
      <c r="XP74" s="83"/>
      <c r="XQ74" s="83"/>
      <c r="XR74" s="83"/>
      <c r="XS74" s="83"/>
      <c r="XT74" s="83"/>
      <c r="XU74" s="83"/>
      <c r="XV74" s="83"/>
      <c r="XW74" s="83"/>
      <c r="XX74" s="83"/>
      <c r="XY74" s="83"/>
      <c r="XZ74" s="83"/>
      <c r="YA74" s="83"/>
      <c r="YB74" s="83"/>
      <c r="YC74" s="83"/>
      <c r="YD74" s="83"/>
      <c r="YE74" s="83"/>
      <c r="YF74" s="83"/>
      <c r="YG74" s="83"/>
      <c r="YH74" s="83"/>
      <c r="YI74" s="83"/>
      <c r="YJ74" s="83"/>
      <c r="YK74" s="83"/>
      <c r="YL74" s="83"/>
      <c r="YM74" s="83"/>
      <c r="YN74" s="83"/>
      <c r="YO74" s="83"/>
      <c r="YP74" s="83"/>
      <c r="YQ74" s="83"/>
      <c r="YR74" s="83"/>
      <c r="YS74" s="83"/>
      <c r="YT74" s="83"/>
      <c r="YU74" s="83"/>
      <c r="YV74" s="83"/>
      <c r="YW74" s="83"/>
      <c r="YX74" s="83"/>
      <c r="YY74" s="83"/>
      <c r="YZ74" s="83"/>
      <c r="ZA74" s="83"/>
      <c r="ZB74" s="83"/>
      <c r="ZC74" s="83"/>
      <c r="ZD74" s="83"/>
      <c r="ZE74" s="83"/>
      <c r="ZF74" s="83"/>
      <c r="ZG74" s="83"/>
      <c r="ZH74" s="83"/>
      <c r="ZI74" s="83"/>
      <c r="ZJ74" s="83"/>
      <c r="ZK74" s="83"/>
      <c r="ZL74" s="83"/>
      <c r="ZM74" s="83"/>
      <c r="ZN74" s="83"/>
      <c r="ZO74" s="83"/>
      <c r="ZP74" s="83"/>
      <c r="ZQ74" s="83"/>
      <c r="ZR74" s="83"/>
      <c r="ZS74" s="83"/>
      <c r="ZT74" s="83"/>
      <c r="ZU74" s="83"/>
      <c r="ZV74" s="83"/>
      <c r="ZW74" s="83"/>
      <c r="ZX74" s="83"/>
      <c r="ZY74" s="83"/>
      <c r="ZZ74" s="83"/>
      <c r="AAA74" s="83"/>
      <c r="AAB74" s="83"/>
      <c r="AAC74" s="83"/>
      <c r="AAD74" s="83"/>
      <c r="AAE74" s="83"/>
      <c r="AAF74" s="83"/>
      <c r="AAG74" s="83"/>
      <c r="AAH74" s="83"/>
      <c r="AAI74" s="83"/>
      <c r="AAJ74" s="83"/>
      <c r="AAK74" s="83"/>
      <c r="AAL74" s="83"/>
      <c r="AAM74" s="83"/>
      <c r="AAN74" s="83"/>
      <c r="AAO74" s="83"/>
      <c r="AAP74" s="83"/>
      <c r="AAQ74" s="83"/>
      <c r="AAR74" s="83"/>
      <c r="AAS74" s="83"/>
      <c r="AAT74" s="83"/>
      <c r="AAU74" s="83"/>
      <c r="AAV74" s="83"/>
      <c r="AAW74" s="83"/>
      <c r="AAX74" s="83"/>
      <c r="AAY74" s="83"/>
      <c r="AAZ74" s="83"/>
      <c r="ABA74" s="83"/>
      <c r="ABB74" s="83"/>
      <c r="ABC74" s="83"/>
      <c r="ABD74" s="83"/>
      <c r="ABE74" s="83"/>
      <c r="ABF74" s="83"/>
      <c r="ABG74" s="83"/>
      <c r="ABH74" s="83"/>
      <c r="ABI74" s="83"/>
      <c r="ABJ74" s="83"/>
      <c r="ABK74" s="83"/>
      <c r="ABL74" s="83"/>
      <c r="ABM74" s="83"/>
      <c r="ABN74" s="83"/>
      <c r="ABO74" s="83"/>
      <c r="ABP74" s="83"/>
      <c r="ABQ74" s="83"/>
      <c r="ABR74" s="83"/>
      <c r="ABS74" s="83"/>
      <c r="ABT74" s="83"/>
      <c r="ABU74" s="83"/>
      <c r="ABV74" s="83"/>
      <c r="ABW74" s="83"/>
      <c r="ABX74" s="83"/>
      <c r="ABY74" s="83"/>
      <c r="ABZ74" s="83"/>
      <c r="ACA74" s="83"/>
      <c r="ACB74" s="83"/>
      <c r="ACC74" s="83"/>
      <c r="ACD74" s="83"/>
      <c r="ACE74" s="83"/>
      <c r="ACF74" s="83"/>
      <c r="ACG74" s="83"/>
      <c r="ACH74" s="83"/>
      <c r="ACI74" s="83"/>
      <c r="ACJ74" s="83"/>
      <c r="ACK74" s="83"/>
      <c r="ACL74" s="83"/>
      <c r="ACM74" s="83"/>
      <c r="ACN74" s="83"/>
      <c r="ACO74" s="83"/>
      <c r="ACP74" s="83"/>
      <c r="ACQ74" s="83"/>
      <c r="ACR74" s="83"/>
      <c r="ACS74" s="83"/>
      <c r="ACT74" s="83"/>
      <c r="ACU74" s="83"/>
      <c r="ACV74" s="83"/>
      <c r="ACW74" s="83"/>
      <c r="ACX74" s="83"/>
      <c r="ACY74" s="83"/>
      <c r="ACZ74" s="83"/>
      <c r="ADA74" s="83"/>
      <c r="ADB74" s="83"/>
      <c r="ADC74" s="83"/>
      <c r="ADD74" s="83"/>
      <c r="ADE74" s="83"/>
      <c r="ADF74" s="83"/>
      <c r="ADG74" s="83"/>
      <c r="ADH74" s="83"/>
      <c r="ADI74" s="83"/>
      <c r="ADJ74" s="83"/>
      <c r="ADK74" s="83"/>
      <c r="ADL74" s="83"/>
      <c r="ADM74" s="83"/>
      <c r="ADN74" s="83"/>
      <c r="ADO74" s="83"/>
      <c r="ADP74" s="83"/>
      <c r="ADQ74" s="83"/>
      <c r="ADR74" s="83"/>
      <c r="ADS74" s="83"/>
      <c r="ADT74" s="83"/>
      <c r="ADU74" s="83"/>
      <c r="ADV74" s="83"/>
      <c r="ADW74" s="83"/>
      <c r="ADX74" s="83"/>
      <c r="ADY74" s="83"/>
      <c r="ADZ74" s="83"/>
      <c r="AEA74" s="83"/>
      <c r="AEB74" s="83"/>
      <c r="AEC74" s="83"/>
      <c r="AED74" s="83"/>
      <c r="AEE74" s="83"/>
      <c r="AEF74" s="83"/>
      <c r="AEG74" s="83"/>
      <c r="AEH74" s="83"/>
      <c r="AEI74" s="83"/>
      <c r="AEJ74" s="83"/>
      <c r="AEK74" s="83"/>
      <c r="AEL74" s="83"/>
      <c r="AEM74" s="83"/>
      <c r="AEN74" s="83"/>
      <c r="AEO74" s="83"/>
      <c r="AEP74" s="83"/>
      <c r="AEQ74" s="83"/>
      <c r="AER74" s="83"/>
      <c r="AES74" s="83"/>
      <c r="AET74" s="83"/>
      <c r="AEU74" s="83"/>
      <c r="AEV74" s="83"/>
      <c r="AEW74" s="83"/>
      <c r="AEX74" s="83"/>
      <c r="AEY74" s="83"/>
      <c r="AEZ74" s="83"/>
      <c r="AFA74" s="83"/>
      <c r="AFB74" s="83"/>
      <c r="AFC74" s="83"/>
      <c r="AFD74" s="83"/>
      <c r="AFE74" s="83"/>
      <c r="AFF74" s="83"/>
      <c r="AFG74" s="83"/>
      <c r="AFH74" s="83"/>
      <c r="AFI74" s="83"/>
      <c r="AFJ74" s="83"/>
      <c r="AFK74" s="83"/>
      <c r="AFL74" s="83"/>
      <c r="AFM74" s="83"/>
      <c r="AFN74" s="83"/>
      <c r="AFO74" s="83"/>
      <c r="AFP74" s="83"/>
      <c r="AFQ74" s="83"/>
      <c r="AFR74" s="83"/>
      <c r="AFS74" s="83"/>
      <c r="AFT74" s="83"/>
      <c r="AFU74" s="83"/>
      <c r="AFV74" s="83"/>
      <c r="AFW74" s="83"/>
      <c r="AFX74" s="83"/>
      <c r="AFY74" s="83"/>
      <c r="AFZ74" s="83"/>
      <c r="AGA74" s="83"/>
      <c r="AGB74" s="83"/>
      <c r="AGC74" s="83"/>
      <c r="AGD74" s="83"/>
      <c r="AGE74" s="83"/>
      <c r="AGF74" s="83"/>
      <c r="AGG74" s="83"/>
      <c r="AGH74" s="83"/>
      <c r="AGI74" s="83"/>
      <c r="AGJ74" s="83"/>
      <c r="AGK74" s="83"/>
      <c r="AGL74" s="83"/>
      <c r="AGM74" s="83"/>
      <c r="AGN74" s="83"/>
      <c r="AGO74" s="83"/>
      <c r="AGP74" s="83"/>
      <c r="AGQ74" s="83"/>
      <c r="AGR74" s="83"/>
      <c r="AGS74" s="83"/>
      <c r="AGT74" s="83"/>
      <c r="AGU74" s="83"/>
      <c r="AGV74" s="83"/>
      <c r="AGW74" s="83"/>
      <c r="AGX74" s="83"/>
      <c r="AGY74" s="83"/>
      <c r="AGZ74" s="83"/>
      <c r="AHA74" s="83"/>
      <c r="AHB74" s="83"/>
      <c r="AHC74" s="83"/>
      <c r="AHD74" s="83"/>
      <c r="AHE74" s="83"/>
      <c r="AHF74" s="83"/>
      <c r="AHG74" s="83"/>
      <c r="AHH74" s="83"/>
      <c r="AHI74" s="83"/>
      <c r="AHJ74" s="83"/>
      <c r="AHK74" s="83"/>
      <c r="AHL74" s="83"/>
      <c r="AHM74" s="83"/>
      <c r="AHN74" s="83"/>
      <c r="AHO74" s="83"/>
      <c r="AHP74" s="83"/>
      <c r="AHQ74" s="83"/>
      <c r="AHR74" s="83"/>
      <c r="AHS74" s="83"/>
      <c r="AHT74" s="83"/>
      <c r="AHU74" s="83"/>
      <c r="AHV74" s="83"/>
      <c r="AHW74" s="83"/>
      <c r="AHX74" s="83"/>
      <c r="AHY74" s="83"/>
      <c r="AHZ74" s="83"/>
      <c r="AIA74" s="83"/>
      <c r="AIB74" s="83"/>
      <c r="AIC74" s="83"/>
      <c r="AID74" s="83"/>
      <c r="AIE74" s="83"/>
      <c r="AIF74" s="83"/>
      <c r="AIG74" s="83"/>
      <c r="AIH74" s="83"/>
      <c r="AII74" s="83"/>
      <c r="AIJ74" s="83"/>
      <c r="AIK74" s="83"/>
      <c r="AIL74" s="83"/>
      <c r="AIM74" s="83"/>
      <c r="AIN74" s="83"/>
      <c r="AIO74" s="83"/>
      <c r="AIP74" s="83"/>
      <c r="AIQ74" s="83"/>
      <c r="AIR74" s="83"/>
      <c r="AIS74" s="83"/>
      <c r="AIT74" s="83"/>
      <c r="AIU74" s="83"/>
      <c r="AIV74" s="83"/>
      <c r="AIW74" s="83"/>
      <c r="AIX74" s="83"/>
      <c r="AIY74" s="83"/>
      <c r="AIZ74" s="83"/>
      <c r="AJA74" s="83"/>
      <c r="AJB74" s="83"/>
      <c r="AJC74" s="83"/>
      <c r="AJD74" s="83"/>
      <c r="AJE74" s="83"/>
      <c r="AJF74" s="83"/>
      <c r="AJG74" s="83"/>
      <c r="AJH74" s="83"/>
      <c r="AJI74" s="83"/>
      <c r="AJJ74" s="83"/>
      <c r="AJK74" s="83"/>
      <c r="AJL74" s="83"/>
      <c r="AJM74" s="83"/>
      <c r="AJN74" s="83"/>
      <c r="AJO74" s="83"/>
      <c r="AJP74" s="83"/>
      <c r="AJQ74" s="83"/>
      <c r="AJR74" s="83"/>
      <c r="AJS74" s="83"/>
      <c r="AJT74" s="83"/>
      <c r="AJU74" s="83"/>
      <c r="AJV74" s="83"/>
      <c r="AJW74" s="83"/>
      <c r="AJX74" s="83"/>
      <c r="AJY74" s="83"/>
      <c r="AJZ74" s="83"/>
      <c r="AKA74" s="83"/>
      <c r="AKB74" s="83"/>
      <c r="AKC74" s="83"/>
      <c r="AKD74" s="83"/>
      <c r="AKE74" s="83"/>
      <c r="AKF74" s="83"/>
      <c r="AKG74" s="83"/>
      <c r="AKH74" s="83"/>
      <c r="AKI74" s="83"/>
      <c r="AKJ74" s="83"/>
      <c r="AKK74" s="83"/>
      <c r="AKL74" s="83"/>
      <c r="AKM74" s="83"/>
      <c r="AKN74" s="83"/>
      <c r="AKO74" s="83"/>
      <c r="AKP74" s="83"/>
      <c r="AKQ74" s="83"/>
      <c r="AKR74" s="83"/>
      <c r="AKS74" s="83"/>
      <c r="AKT74" s="83"/>
      <c r="AKU74" s="83"/>
      <c r="AKV74" s="83"/>
      <c r="AKW74" s="83"/>
      <c r="AKX74" s="83"/>
      <c r="AKY74" s="83"/>
      <c r="AKZ74" s="83"/>
      <c r="ALA74" s="83"/>
      <c r="ALB74" s="83"/>
      <c r="ALC74" s="83"/>
      <c r="ALD74" s="83"/>
      <c r="ALE74" s="83"/>
      <c r="ALF74" s="83"/>
      <c r="ALG74" s="83"/>
      <c r="ALH74" s="83"/>
      <c r="ALI74" s="83"/>
      <c r="ALJ74" s="83"/>
      <c r="ALK74" s="83"/>
      <c r="ALL74" s="83"/>
      <c r="ALM74" s="83"/>
      <c r="ALN74" s="83"/>
      <c r="ALO74" s="83"/>
      <c r="ALP74" s="83"/>
      <c r="ALQ74" s="83"/>
      <c r="ALR74" s="83"/>
      <c r="ALS74" s="83"/>
      <c r="ALT74" s="83"/>
      <c r="ALU74" s="83"/>
      <c r="ALV74" s="83"/>
      <c r="ALW74" s="83"/>
      <c r="ALX74" s="83"/>
      <c r="ALY74" s="83"/>
      <c r="ALZ74" s="83"/>
      <c r="AMA74" s="83"/>
      <c r="AMB74" s="83"/>
      <c r="AMC74" s="83"/>
      <c r="AMD74" s="83"/>
      <c r="AME74" s="83"/>
      <c r="AMF74" s="83"/>
      <c r="AMG74" s="83"/>
      <c r="AMH74" s="83"/>
      <c r="AMI74" s="83"/>
      <c r="AMJ74" s="83"/>
    </row>
    <row r="75" spans="12:1024" ht="15.95" customHeight="1" x14ac:dyDescent="0.2">
      <c r="L75" s="83"/>
      <c r="M75" s="84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  <c r="FU75" s="83"/>
      <c r="FV75" s="83"/>
      <c r="FW75" s="83"/>
      <c r="FX75" s="83"/>
      <c r="FY75" s="83"/>
      <c r="FZ75" s="83"/>
      <c r="GA75" s="83"/>
      <c r="GB75" s="83"/>
      <c r="GC75" s="83"/>
      <c r="GD75" s="83"/>
      <c r="GE75" s="83"/>
      <c r="GF75" s="83"/>
      <c r="GG75" s="83"/>
      <c r="GH75" s="83"/>
      <c r="GI75" s="83"/>
      <c r="GJ75" s="83"/>
      <c r="GK75" s="83"/>
      <c r="GL75" s="83"/>
      <c r="GM75" s="83"/>
      <c r="GN75" s="83"/>
      <c r="GO75" s="83"/>
      <c r="GP75" s="83"/>
      <c r="GQ75" s="83"/>
      <c r="GR75" s="83"/>
      <c r="GS75" s="83"/>
      <c r="GT75" s="83"/>
      <c r="GU75" s="83"/>
      <c r="GV75" s="83"/>
      <c r="GW75" s="83"/>
      <c r="GX75" s="83"/>
      <c r="GY75" s="83"/>
      <c r="GZ75" s="83"/>
      <c r="HA75" s="83"/>
      <c r="HB75" s="83"/>
      <c r="HC75" s="83"/>
      <c r="HD75" s="83"/>
      <c r="HE75" s="83"/>
      <c r="HF75" s="83"/>
      <c r="HG75" s="83"/>
      <c r="HH75" s="83"/>
      <c r="HI75" s="83"/>
      <c r="HJ75" s="83"/>
      <c r="HK75" s="83"/>
      <c r="HL75" s="83"/>
      <c r="HM75" s="83"/>
      <c r="HN75" s="83"/>
      <c r="HO75" s="83"/>
      <c r="HP75" s="83"/>
      <c r="HQ75" s="83"/>
      <c r="HR75" s="83"/>
      <c r="HS75" s="83"/>
      <c r="HT75" s="83"/>
      <c r="HU75" s="83"/>
      <c r="HV75" s="83"/>
      <c r="HW75" s="83"/>
      <c r="HX75" s="83"/>
      <c r="HY75" s="83"/>
      <c r="HZ75" s="83"/>
      <c r="IA75" s="83"/>
      <c r="IB75" s="83"/>
      <c r="IC75" s="83"/>
      <c r="ID75" s="83"/>
      <c r="IE75" s="83"/>
      <c r="IF75" s="83"/>
      <c r="IG75" s="83"/>
      <c r="IH75" s="83"/>
      <c r="II75" s="83"/>
      <c r="IJ75" s="83"/>
      <c r="IK75" s="83"/>
      <c r="IL75" s="83"/>
      <c r="IM75" s="83"/>
      <c r="IN75" s="83"/>
      <c r="IO75" s="83"/>
      <c r="IP75" s="83"/>
      <c r="IQ75" s="83"/>
      <c r="IR75" s="83"/>
      <c r="IS75" s="83"/>
      <c r="IT75" s="83"/>
      <c r="IU75" s="83"/>
      <c r="IV75" s="83"/>
      <c r="IW75" s="83"/>
      <c r="IX75" s="83"/>
      <c r="IY75" s="83"/>
      <c r="IZ75" s="83"/>
      <c r="JA75" s="83"/>
      <c r="JB75" s="83"/>
      <c r="JC75" s="83"/>
      <c r="JD75" s="83"/>
      <c r="JE75" s="83"/>
      <c r="JF75" s="83"/>
      <c r="JG75" s="83"/>
      <c r="JH75" s="83"/>
      <c r="JI75" s="83"/>
      <c r="JJ75" s="83"/>
      <c r="JK75" s="83"/>
      <c r="JL75" s="83"/>
      <c r="JM75" s="83"/>
      <c r="JN75" s="83"/>
      <c r="JO75" s="83"/>
      <c r="JP75" s="83"/>
      <c r="JQ75" s="83"/>
      <c r="JR75" s="83"/>
      <c r="JS75" s="83"/>
      <c r="JT75" s="83"/>
      <c r="JU75" s="83"/>
      <c r="JV75" s="83"/>
      <c r="JW75" s="83"/>
      <c r="JX75" s="83"/>
      <c r="JY75" s="83"/>
      <c r="JZ75" s="83"/>
      <c r="KA75" s="83"/>
      <c r="KB75" s="83"/>
      <c r="KC75" s="83"/>
      <c r="KD75" s="83"/>
      <c r="KE75" s="83"/>
      <c r="KF75" s="83"/>
      <c r="KG75" s="83"/>
      <c r="KH75" s="83"/>
      <c r="KI75" s="83"/>
      <c r="KJ75" s="83"/>
      <c r="KK75" s="83"/>
      <c r="KL75" s="83"/>
      <c r="KM75" s="83"/>
      <c r="KN75" s="83"/>
      <c r="KO75" s="83"/>
      <c r="KP75" s="83"/>
      <c r="KQ75" s="83"/>
      <c r="KR75" s="83"/>
      <c r="KS75" s="83"/>
      <c r="KT75" s="83"/>
      <c r="KU75" s="83"/>
      <c r="KV75" s="83"/>
      <c r="KW75" s="83"/>
      <c r="KX75" s="83"/>
      <c r="KY75" s="83"/>
      <c r="KZ75" s="83"/>
      <c r="LA75" s="83"/>
      <c r="LB75" s="83"/>
      <c r="LC75" s="83"/>
      <c r="LD75" s="83"/>
      <c r="LE75" s="83"/>
      <c r="LF75" s="83"/>
      <c r="LG75" s="83"/>
      <c r="LH75" s="83"/>
      <c r="LI75" s="83"/>
      <c r="LJ75" s="83"/>
      <c r="LK75" s="83"/>
      <c r="LL75" s="83"/>
      <c r="LM75" s="83"/>
      <c r="LN75" s="83"/>
      <c r="LO75" s="83"/>
      <c r="LP75" s="83"/>
      <c r="LQ75" s="83"/>
      <c r="LR75" s="83"/>
      <c r="LS75" s="83"/>
      <c r="LT75" s="83"/>
      <c r="LU75" s="83"/>
      <c r="LV75" s="83"/>
      <c r="LW75" s="83"/>
      <c r="LX75" s="83"/>
      <c r="LY75" s="83"/>
      <c r="LZ75" s="83"/>
      <c r="MA75" s="83"/>
      <c r="MB75" s="83"/>
      <c r="MC75" s="83"/>
      <c r="MD75" s="83"/>
      <c r="ME75" s="83"/>
      <c r="MF75" s="83"/>
      <c r="MG75" s="83"/>
      <c r="MH75" s="83"/>
      <c r="MI75" s="83"/>
      <c r="MJ75" s="83"/>
      <c r="MK75" s="83"/>
      <c r="ML75" s="83"/>
      <c r="MM75" s="83"/>
      <c r="MN75" s="83"/>
      <c r="MO75" s="83"/>
      <c r="MP75" s="83"/>
      <c r="MQ75" s="83"/>
      <c r="MR75" s="83"/>
      <c r="MS75" s="83"/>
      <c r="MT75" s="83"/>
      <c r="MU75" s="83"/>
      <c r="MV75" s="83"/>
      <c r="MW75" s="83"/>
      <c r="MX75" s="83"/>
      <c r="MY75" s="83"/>
      <c r="MZ75" s="83"/>
      <c r="NA75" s="83"/>
      <c r="NB75" s="83"/>
      <c r="NC75" s="83"/>
      <c r="ND75" s="83"/>
      <c r="NE75" s="83"/>
      <c r="NF75" s="83"/>
      <c r="NG75" s="83"/>
      <c r="NH75" s="83"/>
      <c r="NI75" s="83"/>
      <c r="NJ75" s="83"/>
      <c r="NK75" s="83"/>
      <c r="NL75" s="83"/>
      <c r="NM75" s="83"/>
      <c r="NN75" s="83"/>
      <c r="NO75" s="83"/>
      <c r="NP75" s="83"/>
      <c r="NQ75" s="83"/>
      <c r="NR75" s="83"/>
      <c r="NS75" s="83"/>
      <c r="NT75" s="83"/>
      <c r="NU75" s="83"/>
      <c r="NV75" s="83"/>
      <c r="NW75" s="83"/>
      <c r="NX75" s="83"/>
      <c r="NY75" s="83"/>
      <c r="NZ75" s="83"/>
      <c r="OA75" s="83"/>
      <c r="OB75" s="83"/>
      <c r="OC75" s="83"/>
      <c r="OD75" s="83"/>
      <c r="OE75" s="83"/>
      <c r="OF75" s="83"/>
      <c r="OG75" s="83"/>
      <c r="OH75" s="83"/>
      <c r="OI75" s="83"/>
      <c r="OJ75" s="83"/>
      <c r="OK75" s="83"/>
      <c r="OL75" s="83"/>
      <c r="OM75" s="83"/>
      <c r="ON75" s="83"/>
      <c r="OO75" s="83"/>
      <c r="OP75" s="83"/>
      <c r="OQ75" s="83"/>
      <c r="OR75" s="83"/>
      <c r="OS75" s="83"/>
      <c r="OT75" s="83"/>
      <c r="OU75" s="83"/>
      <c r="OV75" s="83"/>
      <c r="OW75" s="83"/>
      <c r="OX75" s="83"/>
      <c r="OY75" s="83"/>
      <c r="OZ75" s="83"/>
      <c r="PA75" s="83"/>
      <c r="PB75" s="83"/>
      <c r="PC75" s="83"/>
      <c r="PD75" s="83"/>
      <c r="PE75" s="83"/>
      <c r="PF75" s="83"/>
      <c r="PG75" s="83"/>
      <c r="PH75" s="83"/>
      <c r="PI75" s="83"/>
      <c r="PJ75" s="83"/>
      <c r="PK75" s="83"/>
      <c r="PL75" s="83"/>
      <c r="PM75" s="83"/>
      <c r="PN75" s="83"/>
      <c r="PO75" s="83"/>
      <c r="PP75" s="83"/>
      <c r="PQ75" s="83"/>
      <c r="PR75" s="83"/>
      <c r="PS75" s="83"/>
      <c r="PT75" s="83"/>
      <c r="PU75" s="83"/>
      <c r="PV75" s="83"/>
      <c r="PW75" s="83"/>
      <c r="PX75" s="83"/>
      <c r="PY75" s="83"/>
      <c r="PZ75" s="83"/>
      <c r="QA75" s="83"/>
      <c r="QB75" s="83"/>
      <c r="QC75" s="83"/>
      <c r="QD75" s="83"/>
      <c r="QE75" s="83"/>
      <c r="QF75" s="83"/>
      <c r="QG75" s="83"/>
      <c r="QH75" s="83"/>
      <c r="QI75" s="83"/>
      <c r="QJ75" s="83"/>
      <c r="QK75" s="83"/>
      <c r="QL75" s="83"/>
      <c r="QM75" s="83"/>
      <c r="QN75" s="83"/>
      <c r="QO75" s="83"/>
      <c r="QP75" s="83"/>
      <c r="QQ75" s="83"/>
      <c r="QR75" s="83"/>
      <c r="QS75" s="83"/>
      <c r="QT75" s="83"/>
      <c r="QU75" s="83"/>
      <c r="QV75" s="83"/>
      <c r="QW75" s="83"/>
      <c r="QX75" s="83"/>
      <c r="QY75" s="83"/>
      <c r="QZ75" s="83"/>
      <c r="RA75" s="83"/>
      <c r="RB75" s="83"/>
      <c r="RC75" s="83"/>
      <c r="RD75" s="83"/>
      <c r="RE75" s="83"/>
      <c r="RF75" s="83"/>
      <c r="RG75" s="83"/>
      <c r="RH75" s="83"/>
      <c r="RI75" s="83"/>
      <c r="RJ75" s="83"/>
      <c r="RK75" s="83"/>
      <c r="RL75" s="83"/>
      <c r="RM75" s="83"/>
      <c r="RN75" s="83"/>
      <c r="RO75" s="83"/>
      <c r="RP75" s="83"/>
      <c r="RQ75" s="83"/>
      <c r="RR75" s="83"/>
      <c r="RS75" s="83"/>
      <c r="RT75" s="83"/>
      <c r="RU75" s="83"/>
      <c r="RV75" s="83"/>
      <c r="RW75" s="83"/>
      <c r="RX75" s="83"/>
      <c r="RY75" s="83"/>
      <c r="RZ75" s="83"/>
      <c r="SA75" s="83"/>
      <c r="SB75" s="83"/>
      <c r="SC75" s="83"/>
      <c r="SD75" s="83"/>
      <c r="SE75" s="83"/>
      <c r="SF75" s="83"/>
      <c r="SG75" s="83"/>
      <c r="SH75" s="83"/>
      <c r="SI75" s="83"/>
      <c r="SJ75" s="83"/>
      <c r="SK75" s="83"/>
      <c r="SL75" s="83"/>
      <c r="SM75" s="83"/>
      <c r="SN75" s="83"/>
      <c r="SO75" s="83"/>
      <c r="SP75" s="83"/>
      <c r="SQ75" s="83"/>
      <c r="SR75" s="83"/>
      <c r="SS75" s="83"/>
      <c r="ST75" s="83"/>
      <c r="SU75" s="83"/>
      <c r="SV75" s="83"/>
      <c r="SW75" s="83"/>
      <c r="SX75" s="83"/>
      <c r="SY75" s="83"/>
      <c r="SZ75" s="83"/>
      <c r="TA75" s="83"/>
      <c r="TB75" s="83"/>
      <c r="TC75" s="83"/>
      <c r="TD75" s="83"/>
      <c r="TE75" s="83"/>
      <c r="TF75" s="83"/>
      <c r="TG75" s="83"/>
      <c r="TH75" s="83"/>
      <c r="TI75" s="83"/>
      <c r="TJ75" s="83"/>
      <c r="TK75" s="83"/>
      <c r="TL75" s="83"/>
      <c r="TM75" s="83"/>
      <c r="TN75" s="83"/>
      <c r="TO75" s="83"/>
      <c r="TP75" s="83"/>
      <c r="TQ75" s="83"/>
      <c r="TR75" s="83"/>
      <c r="TS75" s="83"/>
      <c r="TT75" s="83"/>
      <c r="TU75" s="83"/>
      <c r="TV75" s="83"/>
      <c r="TW75" s="83"/>
      <c r="TX75" s="83"/>
      <c r="TY75" s="83"/>
      <c r="TZ75" s="83"/>
      <c r="UA75" s="83"/>
      <c r="UB75" s="83"/>
      <c r="UC75" s="83"/>
      <c r="UD75" s="83"/>
      <c r="UE75" s="83"/>
      <c r="UF75" s="83"/>
      <c r="UG75" s="83"/>
      <c r="UH75" s="83"/>
      <c r="UI75" s="83"/>
      <c r="UJ75" s="83"/>
      <c r="UK75" s="83"/>
      <c r="UL75" s="83"/>
      <c r="UM75" s="83"/>
      <c r="UN75" s="83"/>
      <c r="UO75" s="83"/>
      <c r="UP75" s="83"/>
      <c r="UQ75" s="83"/>
      <c r="UR75" s="83"/>
      <c r="US75" s="83"/>
      <c r="UT75" s="83"/>
      <c r="UU75" s="83"/>
      <c r="UV75" s="83"/>
      <c r="UW75" s="83"/>
      <c r="UX75" s="83"/>
      <c r="UY75" s="83"/>
      <c r="UZ75" s="83"/>
      <c r="VA75" s="83"/>
      <c r="VB75" s="83"/>
      <c r="VC75" s="83"/>
      <c r="VD75" s="83"/>
      <c r="VE75" s="83"/>
      <c r="VF75" s="83"/>
      <c r="VG75" s="83"/>
      <c r="VH75" s="83"/>
      <c r="VI75" s="83"/>
      <c r="VJ75" s="83"/>
      <c r="VK75" s="83"/>
      <c r="VL75" s="83"/>
      <c r="VM75" s="83"/>
      <c r="VN75" s="83"/>
      <c r="VO75" s="83"/>
      <c r="VP75" s="83"/>
      <c r="VQ75" s="83"/>
      <c r="VR75" s="83"/>
      <c r="VS75" s="83"/>
      <c r="VT75" s="83"/>
      <c r="VU75" s="83"/>
      <c r="VV75" s="83"/>
      <c r="VW75" s="83"/>
      <c r="VX75" s="83"/>
      <c r="VY75" s="83"/>
      <c r="VZ75" s="83"/>
      <c r="WA75" s="83"/>
      <c r="WB75" s="83"/>
      <c r="WC75" s="83"/>
      <c r="WD75" s="83"/>
      <c r="WE75" s="83"/>
      <c r="WF75" s="83"/>
      <c r="WG75" s="83"/>
      <c r="WH75" s="83"/>
      <c r="WI75" s="83"/>
      <c r="WJ75" s="83"/>
      <c r="WK75" s="83"/>
      <c r="WL75" s="83"/>
      <c r="WM75" s="83"/>
      <c r="WN75" s="83"/>
      <c r="WO75" s="83"/>
      <c r="WP75" s="83"/>
      <c r="WQ75" s="83"/>
      <c r="WR75" s="83"/>
      <c r="WS75" s="83"/>
      <c r="WT75" s="83"/>
      <c r="WU75" s="83"/>
      <c r="WV75" s="83"/>
      <c r="WW75" s="83"/>
      <c r="WX75" s="83"/>
      <c r="WY75" s="83"/>
      <c r="WZ75" s="83"/>
      <c r="XA75" s="83"/>
      <c r="XB75" s="83"/>
      <c r="XC75" s="83"/>
      <c r="XD75" s="83"/>
      <c r="XE75" s="83"/>
      <c r="XF75" s="83"/>
      <c r="XG75" s="83"/>
      <c r="XH75" s="83"/>
      <c r="XI75" s="83"/>
      <c r="XJ75" s="83"/>
      <c r="XK75" s="83"/>
      <c r="XL75" s="83"/>
      <c r="XM75" s="83"/>
      <c r="XN75" s="83"/>
      <c r="XO75" s="83"/>
      <c r="XP75" s="83"/>
      <c r="XQ75" s="83"/>
      <c r="XR75" s="83"/>
      <c r="XS75" s="83"/>
      <c r="XT75" s="83"/>
      <c r="XU75" s="83"/>
      <c r="XV75" s="83"/>
      <c r="XW75" s="83"/>
      <c r="XX75" s="83"/>
      <c r="XY75" s="83"/>
      <c r="XZ75" s="83"/>
      <c r="YA75" s="83"/>
      <c r="YB75" s="83"/>
      <c r="YC75" s="83"/>
      <c r="YD75" s="83"/>
      <c r="YE75" s="83"/>
      <c r="YF75" s="83"/>
      <c r="YG75" s="83"/>
      <c r="YH75" s="83"/>
      <c r="YI75" s="83"/>
      <c r="YJ75" s="83"/>
      <c r="YK75" s="83"/>
      <c r="YL75" s="83"/>
      <c r="YM75" s="83"/>
      <c r="YN75" s="83"/>
      <c r="YO75" s="83"/>
      <c r="YP75" s="83"/>
      <c r="YQ75" s="83"/>
      <c r="YR75" s="83"/>
      <c r="YS75" s="83"/>
      <c r="YT75" s="83"/>
      <c r="YU75" s="83"/>
      <c r="YV75" s="83"/>
      <c r="YW75" s="83"/>
      <c r="YX75" s="83"/>
      <c r="YY75" s="83"/>
      <c r="YZ75" s="83"/>
      <c r="ZA75" s="83"/>
      <c r="ZB75" s="83"/>
      <c r="ZC75" s="83"/>
      <c r="ZD75" s="83"/>
      <c r="ZE75" s="83"/>
      <c r="ZF75" s="83"/>
      <c r="ZG75" s="83"/>
      <c r="ZH75" s="83"/>
      <c r="ZI75" s="83"/>
      <c r="ZJ75" s="83"/>
      <c r="ZK75" s="83"/>
      <c r="ZL75" s="83"/>
      <c r="ZM75" s="83"/>
      <c r="ZN75" s="83"/>
      <c r="ZO75" s="83"/>
      <c r="ZP75" s="83"/>
      <c r="ZQ75" s="83"/>
      <c r="ZR75" s="83"/>
      <c r="ZS75" s="83"/>
      <c r="ZT75" s="83"/>
      <c r="ZU75" s="83"/>
      <c r="ZV75" s="83"/>
      <c r="ZW75" s="83"/>
      <c r="ZX75" s="83"/>
      <c r="ZY75" s="83"/>
      <c r="ZZ75" s="83"/>
      <c r="AAA75" s="83"/>
      <c r="AAB75" s="83"/>
      <c r="AAC75" s="83"/>
      <c r="AAD75" s="83"/>
      <c r="AAE75" s="83"/>
      <c r="AAF75" s="83"/>
      <c r="AAG75" s="83"/>
      <c r="AAH75" s="83"/>
      <c r="AAI75" s="83"/>
      <c r="AAJ75" s="83"/>
      <c r="AAK75" s="83"/>
      <c r="AAL75" s="83"/>
      <c r="AAM75" s="83"/>
      <c r="AAN75" s="83"/>
      <c r="AAO75" s="83"/>
      <c r="AAP75" s="83"/>
      <c r="AAQ75" s="83"/>
      <c r="AAR75" s="83"/>
      <c r="AAS75" s="83"/>
      <c r="AAT75" s="83"/>
      <c r="AAU75" s="83"/>
      <c r="AAV75" s="83"/>
      <c r="AAW75" s="83"/>
      <c r="AAX75" s="83"/>
      <c r="AAY75" s="83"/>
      <c r="AAZ75" s="83"/>
      <c r="ABA75" s="83"/>
      <c r="ABB75" s="83"/>
      <c r="ABC75" s="83"/>
      <c r="ABD75" s="83"/>
      <c r="ABE75" s="83"/>
      <c r="ABF75" s="83"/>
      <c r="ABG75" s="83"/>
      <c r="ABH75" s="83"/>
      <c r="ABI75" s="83"/>
      <c r="ABJ75" s="83"/>
      <c r="ABK75" s="83"/>
      <c r="ABL75" s="83"/>
      <c r="ABM75" s="83"/>
      <c r="ABN75" s="83"/>
      <c r="ABO75" s="83"/>
      <c r="ABP75" s="83"/>
      <c r="ABQ75" s="83"/>
      <c r="ABR75" s="83"/>
      <c r="ABS75" s="83"/>
      <c r="ABT75" s="83"/>
      <c r="ABU75" s="83"/>
      <c r="ABV75" s="83"/>
      <c r="ABW75" s="83"/>
      <c r="ABX75" s="83"/>
      <c r="ABY75" s="83"/>
      <c r="ABZ75" s="83"/>
      <c r="ACA75" s="83"/>
      <c r="ACB75" s="83"/>
      <c r="ACC75" s="83"/>
      <c r="ACD75" s="83"/>
      <c r="ACE75" s="83"/>
      <c r="ACF75" s="83"/>
      <c r="ACG75" s="83"/>
      <c r="ACH75" s="83"/>
      <c r="ACI75" s="83"/>
      <c r="ACJ75" s="83"/>
      <c r="ACK75" s="83"/>
      <c r="ACL75" s="83"/>
      <c r="ACM75" s="83"/>
      <c r="ACN75" s="83"/>
      <c r="ACO75" s="83"/>
      <c r="ACP75" s="83"/>
      <c r="ACQ75" s="83"/>
      <c r="ACR75" s="83"/>
      <c r="ACS75" s="83"/>
      <c r="ACT75" s="83"/>
      <c r="ACU75" s="83"/>
      <c r="ACV75" s="83"/>
      <c r="ACW75" s="83"/>
      <c r="ACX75" s="83"/>
      <c r="ACY75" s="83"/>
      <c r="ACZ75" s="83"/>
      <c r="ADA75" s="83"/>
      <c r="ADB75" s="83"/>
      <c r="ADC75" s="83"/>
      <c r="ADD75" s="83"/>
      <c r="ADE75" s="83"/>
      <c r="ADF75" s="83"/>
      <c r="ADG75" s="83"/>
      <c r="ADH75" s="83"/>
      <c r="ADI75" s="83"/>
      <c r="ADJ75" s="83"/>
      <c r="ADK75" s="83"/>
      <c r="ADL75" s="83"/>
      <c r="ADM75" s="83"/>
      <c r="ADN75" s="83"/>
      <c r="ADO75" s="83"/>
      <c r="ADP75" s="83"/>
      <c r="ADQ75" s="83"/>
      <c r="ADR75" s="83"/>
      <c r="ADS75" s="83"/>
      <c r="ADT75" s="83"/>
      <c r="ADU75" s="83"/>
      <c r="ADV75" s="83"/>
      <c r="ADW75" s="83"/>
      <c r="ADX75" s="83"/>
      <c r="ADY75" s="83"/>
      <c r="ADZ75" s="83"/>
      <c r="AEA75" s="83"/>
      <c r="AEB75" s="83"/>
      <c r="AEC75" s="83"/>
      <c r="AED75" s="83"/>
      <c r="AEE75" s="83"/>
      <c r="AEF75" s="83"/>
      <c r="AEG75" s="83"/>
      <c r="AEH75" s="83"/>
      <c r="AEI75" s="83"/>
      <c r="AEJ75" s="83"/>
      <c r="AEK75" s="83"/>
      <c r="AEL75" s="83"/>
      <c r="AEM75" s="83"/>
      <c r="AEN75" s="83"/>
      <c r="AEO75" s="83"/>
      <c r="AEP75" s="83"/>
      <c r="AEQ75" s="83"/>
      <c r="AER75" s="83"/>
      <c r="AES75" s="83"/>
      <c r="AET75" s="83"/>
      <c r="AEU75" s="83"/>
      <c r="AEV75" s="83"/>
      <c r="AEW75" s="83"/>
      <c r="AEX75" s="83"/>
      <c r="AEY75" s="83"/>
      <c r="AEZ75" s="83"/>
      <c r="AFA75" s="83"/>
      <c r="AFB75" s="83"/>
      <c r="AFC75" s="83"/>
      <c r="AFD75" s="83"/>
      <c r="AFE75" s="83"/>
      <c r="AFF75" s="83"/>
      <c r="AFG75" s="83"/>
      <c r="AFH75" s="83"/>
      <c r="AFI75" s="83"/>
      <c r="AFJ75" s="83"/>
      <c r="AFK75" s="83"/>
      <c r="AFL75" s="83"/>
      <c r="AFM75" s="83"/>
      <c r="AFN75" s="83"/>
      <c r="AFO75" s="83"/>
      <c r="AFP75" s="83"/>
      <c r="AFQ75" s="83"/>
      <c r="AFR75" s="83"/>
      <c r="AFS75" s="83"/>
      <c r="AFT75" s="83"/>
      <c r="AFU75" s="83"/>
      <c r="AFV75" s="83"/>
      <c r="AFW75" s="83"/>
      <c r="AFX75" s="83"/>
      <c r="AFY75" s="83"/>
      <c r="AFZ75" s="83"/>
      <c r="AGA75" s="83"/>
      <c r="AGB75" s="83"/>
      <c r="AGC75" s="83"/>
      <c r="AGD75" s="83"/>
      <c r="AGE75" s="83"/>
      <c r="AGF75" s="83"/>
      <c r="AGG75" s="83"/>
      <c r="AGH75" s="83"/>
      <c r="AGI75" s="83"/>
      <c r="AGJ75" s="83"/>
      <c r="AGK75" s="83"/>
      <c r="AGL75" s="83"/>
      <c r="AGM75" s="83"/>
      <c r="AGN75" s="83"/>
      <c r="AGO75" s="83"/>
      <c r="AGP75" s="83"/>
      <c r="AGQ75" s="83"/>
      <c r="AGR75" s="83"/>
      <c r="AGS75" s="83"/>
      <c r="AGT75" s="83"/>
      <c r="AGU75" s="83"/>
      <c r="AGV75" s="83"/>
      <c r="AGW75" s="83"/>
      <c r="AGX75" s="83"/>
      <c r="AGY75" s="83"/>
      <c r="AGZ75" s="83"/>
      <c r="AHA75" s="83"/>
      <c r="AHB75" s="83"/>
      <c r="AHC75" s="83"/>
      <c r="AHD75" s="83"/>
      <c r="AHE75" s="83"/>
      <c r="AHF75" s="83"/>
      <c r="AHG75" s="83"/>
      <c r="AHH75" s="83"/>
      <c r="AHI75" s="83"/>
      <c r="AHJ75" s="83"/>
      <c r="AHK75" s="83"/>
      <c r="AHL75" s="83"/>
      <c r="AHM75" s="83"/>
      <c r="AHN75" s="83"/>
      <c r="AHO75" s="83"/>
      <c r="AHP75" s="83"/>
      <c r="AHQ75" s="83"/>
      <c r="AHR75" s="83"/>
      <c r="AHS75" s="83"/>
      <c r="AHT75" s="83"/>
      <c r="AHU75" s="83"/>
      <c r="AHV75" s="83"/>
      <c r="AHW75" s="83"/>
      <c r="AHX75" s="83"/>
      <c r="AHY75" s="83"/>
      <c r="AHZ75" s="83"/>
      <c r="AIA75" s="83"/>
      <c r="AIB75" s="83"/>
      <c r="AIC75" s="83"/>
      <c r="AID75" s="83"/>
      <c r="AIE75" s="83"/>
      <c r="AIF75" s="83"/>
      <c r="AIG75" s="83"/>
      <c r="AIH75" s="83"/>
      <c r="AII75" s="83"/>
      <c r="AIJ75" s="83"/>
      <c r="AIK75" s="83"/>
      <c r="AIL75" s="83"/>
      <c r="AIM75" s="83"/>
      <c r="AIN75" s="83"/>
      <c r="AIO75" s="83"/>
      <c r="AIP75" s="83"/>
      <c r="AIQ75" s="83"/>
      <c r="AIR75" s="83"/>
      <c r="AIS75" s="83"/>
      <c r="AIT75" s="83"/>
      <c r="AIU75" s="83"/>
      <c r="AIV75" s="83"/>
      <c r="AIW75" s="83"/>
      <c r="AIX75" s="83"/>
      <c r="AIY75" s="83"/>
      <c r="AIZ75" s="83"/>
      <c r="AJA75" s="83"/>
      <c r="AJB75" s="83"/>
      <c r="AJC75" s="83"/>
      <c r="AJD75" s="83"/>
      <c r="AJE75" s="83"/>
      <c r="AJF75" s="83"/>
      <c r="AJG75" s="83"/>
      <c r="AJH75" s="83"/>
      <c r="AJI75" s="83"/>
      <c r="AJJ75" s="83"/>
      <c r="AJK75" s="83"/>
      <c r="AJL75" s="83"/>
      <c r="AJM75" s="83"/>
      <c r="AJN75" s="83"/>
      <c r="AJO75" s="83"/>
      <c r="AJP75" s="83"/>
      <c r="AJQ75" s="83"/>
      <c r="AJR75" s="83"/>
      <c r="AJS75" s="83"/>
      <c r="AJT75" s="83"/>
      <c r="AJU75" s="83"/>
      <c r="AJV75" s="83"/>
      <c r="AJW75" s="83"/>
      <c r="AJX75" s="83"/>
      <c r="AJY75" s="83"/>
      <c r="AJZ75" s="83"/>
      <c r="AKA75" s="83"/>
      <c r="AKB75" s="83"/>
      <c r="AKC75" s="83"/>
      <c r="AKD75" s="83"/>
      <c r="AKE75" s="83"/>
      <c r="AKF75" s="83"/>
      <c r="AKG75" s="83"/>
      <c r="AKH75" s="83"/>
      <c r="AKI75" s="83"/>
      <c r="AKJ75" s="83"/>
      <c r="AKK75" s="83"/>
      <c r="AKL75" s="83"/>
      <c r="AKM75" s="83"/>
      <c r="AKN75" s="83"/>
      <c r="AKO75" s="83"/>
      <c r="AKP75" s="83"/>
      <c r="AKQ75" s="83"/>
      <c r="AKR75" s="83"/>
      <c r="AKS75" s="83"/>
      <c r="AKT75" s="83"/>
      <c r="AKU75" s="83"/>
      <c r="AKV75" s="83"/>
      <c r="AKW75" s="83"/>
      <c r="AKX75" s="83"/>
      <c r="AKY75" s="83"/>
      <c r="AKZ75" s="83"/>
      <c r="ALA75" s="83"/>
      <c r="ALB75" s="83"/>
      <c r="ALC75" s="83"/>
      <c r="ALD75" s="83"/>
      <c r="ALE75" s="83"/>
      <c r="ALF75" s="83"/>
      <c r="ALG75" s="83"/>
      <c r="ALH75" s="83"/>
      <c r="ALI75" s="83"/>
      <c r="ALJ75" s="83"/>
      <c r="ALK75" s="83"/>
      <c r="ALL75" s="83"/>
      <c r="ALM75" s="83"/>
      <c r="ALN75" s="83"/>
      <c r="ALO75" s="83"/>
      <c r="ALP75" s="83"/>
      <c r="ALQ75" s="83"/>
      <c r="ALR75" s="83"/>
      <c r="ALS75" s="83"/>
      <c r="ALT75" s="83"/>
      <c r="ALU75" s="83"/>
      <c r="ALV75" s="83"/>
      <c r="ALW75" s="83"/>
      <c r="ALX75" s="83"/>
      <c r="ALY75" s="83"/>
      <c r="ALZ75" s="83"/>
      <c r="AMA75" s="83"/>
      <c r="AMB75" s="83"/>
      <c r="AMC75" s="83"/>
      <c r="AMD75" s="83"/>
      <c r="AME75" s="83"/>
      <c r="AMF75" s="83"/>
      <c r="AMG75" s="83"/>
      <c r="AMH75" s="83"/>
      <c r="AMI75" s="83"/>
      <c r="AMJ75" s="83"/>
    </row>
    <row r="76" spans="12:1024" ht="15.95" customHeight="1" x14ac:dyDescent="0.2">
      <c r="L76" s="83"/>
      <c r="M76" s="84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  <c r="EY76" s="83"/>
      <c r="EZ76" s="83"/>
      <c r="FA76" s="83"/>
      <c r="FB76" s="83"/>
      <c r="FC76" s="83"/>
      <c r="FD76" s="83"/>
      <c r="FE76" s="83"/>
      <c r="FF76" s="83"/>
      <c r="FG76" s="8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  <c r="FU76" s="83"/>
      <c r="FV76" s="83"/>
      <c r="FW76" s="83"/>
      <c r="FX76" s="83"/>
      <c r="FY76" s="83"/>
      <c r="FZ76" s="83"/>
      <c r="GA76" s="83"/>
      <c r="GB76" s="83"/>
      <c r="GC76" s="83"/>
      <c r="GD76" s="83"/>
      <c r="GE76" s="83"/>
      <c r="GF76" s="83"/>
      <c r="GG76" s="83"/>
      <c r="GH76" s="83"/>
      <c r="GI76" s="83"/>
      <c r="GJ76" s="83"/>
      <c r="GK76" s="83"/>
      <c r="GL76" s="83"/>
      <c r="GM76" s="83"/>
      <c r="GN76" s="83"/>
      <c r="GO76" s="83"/>
      <c r="GP76" s="83"/>
      <c r="GQ76" s="83"/>
      <c r="GR76" s="83"/>
      <c r="GS76" s="83"/>
      <c r="GT76" s="83"/>
      <c r="GU76" s="83"/>
      <c r="GV76" s="83"/>
      <c r="GW76" s="83"/>
      <c r="GX76" s="83"/>
      <c r="GY76" s="83"/>
      <c r="GZ76" s="83"/>
      <c r="HA76" s="83"/>
      <c r="HB76" s="83"/>
      <c r="HC76" s="83"/>
      <c r="HD76" s="83"/>
      <c r="HE76" s="83"/>
      <c r="HF76" s="83"/>
      <c r="HG76" s="83"/>
      <c r="HH76" s="83"/>
      <c r="HI76" s="83"/>
      <c r="HJ76" s="83"/>
      <c r="HK76" s="83"/>
      <c r="HL76" s="83"/>
      <c r="HM76" s="83"/>
      <c r="HN76" s="83"/>
      <c r="HO76" s="83"/>
      <c r="HP76" s="83"/>
      <c r="HQ76" s="83"/>
      <c r="HR76" s="83"/>
      <c r="HS76" s="83"/>
      <c r="HT76" s="83"/>
      <c r="HU76" s="83"/>
      <c r="HV76" s="83"/>
      <c r="HW76" s="83"/>
      <c r="HX76" s="83"/>
      <c r="HY76" s="83"/>
      <c r="HZ76" s="83"/>
      <c r="IA76" s="83"/>
      <c r="IB76" s="83"/>
      <c r="IC76" s="83"/>
      <c r="ID76" s="83"/>
      <c r="IE76" s="83"/>
      <c r="IF76" s="83"/>
      <c r="IG76" s="83"/>
      <c r="IH76" s="83"/>
      <c r="II76" s="83"/>
      <c r="IJ76" s="83"/>
      <c r="IK76" s="83"/>
      <c r="IL76" s="83"/>
      <c r="IM76" s="83"/>
      <c r="IN76" s="83"/>
      <c r="IO76" s="83"/>
      <c r="IP76" s="83"/>
      <c r="IQ76" s="83"/>
      <c r="IR76" s="83"/>
      <c r="IS76" s="83"/>
      <c r="IT76" s="83"/>
      <c r="IU76" s="83"/>
      <c r="IV76" s="83"/>
      <c r="IW76" s="83"/>
      <c r="IX76" s="83"/>
      <c r="IY76" s="83"/>
      <c r="IZ76" s="83"/>
      <c r="JA76" s="83"/>
      <c r="JB76" s="83"/>
      <c r="JC76" s="83"/>
      <c r="JD76" s="83"/>
      <c r="JE76" s="83"/>
      <c r="JF76" s="83"/>
      <c r="JG76" s="83"/>
      <c r="JH76" s="83"/>
      <c r="JI76" s="83"/>
      <c r="JJ76" s="83"/>
      <c r="JK76" s="83"/>
      <c r="JL76" s="83"/>
      <c r="JM76" s="83"/>
      <c r="JN76" s="83"/>
      <c r="JO76" s="83"/>
      <c r="JP76" s="83"/>
      <c r="JQ76" s="83"/>
      <c r="JR76" s="83"/>
      <c r="JS76" s="83"/>
      <c r="JT76" s="83"/>
      <c r="JU76" s="83"/>
      <c r="JV76" s="83"/>
      <c r="JW76" s="83"/>
      <c r="JX76" s="83"/>
      <c r="JY76" s="83"/>
      <c r="JZ76" s="83"/>
      <c r="KA76" s="83"/>
      <c r="KB76" s="83"/>
      <c r="KC76" s="83"/>
      <c r="KD76" s="83"/>
      <c r="KE76" s="83"/>
      <c r="KF76" s="83"/>
      <c r="KG76" s="83"/>
      <c r="KH76" s="83"/>
      <c r="KI76" s="83"/>
      <c r="KJ76" s="83"/>
      <c r="KK76" s="83"/>
      <c r="KL76" s="83"/>
      <c r="KM76" s="83"/>
      <c r="KN76" s="83"/>
      <c r="KO76" s="83"/>
      <c r="KP76" s="83"/>
      <c r="KQ76" s="83"/>
      <c r="KR76" s="83"/>
      <c r="KS76" s="83"/>
      <c r="KT76" s="83"/>
      <c r="KU76" s="83"/>
      <c r="KV76" s="83"/>
      <c r="KW76" s="83"/>
      <c r="KX76" s="83"/>
      <c r="KY76" s="83"/>
      <c r="KZ76" s="83"/>
      <c r="LA76" s="83"/>
      <c r="LB76" s="83"/>
      <c r="LC76" s="83"/>
      <c r="LD76" s="83"/>
      <c r="LE76" s="83"/>
      <c r="LF76" s="83"/>
      <c r="LG76" s="83"/>
      <c r="LH76" s="83"/>
      <c r="LI76" s="83"/>
      <c r="LJ76" s="83"/>
      <c r="LK76" s="83"/>
      <c r="LL76" s="83"/>
      <c r="LM76" s="83"/>
      <c r="LN76" s="83"/>
      <c r="LO76" s="83"/>
      <c r="LP76" s="83"/>
      <c r="LQ76" s="83"/>
      <c r="LR76" s="83"/>
      <c r="LS76" s="83"/>
      <c r="LT76" s="83"/>
      <c r="LU76" s="83"/>
      <c r="LV76" s="83"/>
      <c r="LW76" s="83"/>
      <c r="LX76" s="83"/>
      <c r="LY76" s="83"/>
      <c r="LZ76" s="83"/>
      <c r="MA76" s="83"/>
      <c r="MB76" s="83"/>
      <c r="MC76" s="83"/>
      <c r="MD76" s="83"/>
      <c r="ME76" s="83"/>
      <c r="MF76" s="83"/>
      <c r="MG76" s="83"/>
      <c r="MH76" s="83"/>
      <c r="MI76" s="83"/>
      <c r="MJ76" s="83"/>
      <c r="MK76" s="83"/>
      <c r="ML76" s="83"/>
      <c r="MM76" s="83"/>
      <c r="MN76" s="83"/>
      <c r="MO76" s="83"/>
      <c r="MP76" s="83"/>
      <c r="MQ76" s="83"/>
      <c r="MR76" s="83"/>
      <c r="MS76" s="83"/>
      <c r="MT76" s="83"/>
      <c r="MU76" s="83"/>
      <c r="MV76" s="83"/>
      <c r="MW76" s="83"/>
      <c r="MX76" s="83"/>
      <c r="MY76" s="83"/>
      <c r="MZ76" s="83"/>
      <c r="NA76" s="83"/>
      <c r="NB76" s="83"/>
      <c r="NC76" s="83"/>
      <c r="ND76" s="83"/>
      <c r="NE76" s="83"/>
      <c r="NF76" s="83"/>
      <c r="NG76" s="83"/>
      <c r="NH76" s="83"/>
      <c r="NI76" s="83"/>
      <c r="NJ76" s="83"/>
      <c r="NK76" s="83"/>
      <c r="NL76" s="83"/>
      <c r="NM76" s="83"/>
      <c r="NN76" s="83"/>
      <c r="NO76" s="83"/>
      <c r="NP76" s="83"/>
      <c r="NQ76" s="83"/>
      <c r="NR76" s="83"/>
      <c r="NS76" s="83"/>
      <c r="NT76" s="83"/>
      <c r="NU76" s="83"/>
      <c r="NV76" s="83"/>
      <c r="NW76" s="83"/>
      <c r="NX76" s="83"/>
      <c r="NY76" s="83"/>
      <c r="NZ76" s="83"/>
      <c r="OA76" s="83"/>
      <c r="OB76" s="83"/>
      <c r="OC76" s="83"/>
      <c r="OD76" s="83"/>
      <c r="OE76" s="83"/>
      <c r="OF76" s="83"/>
      <c r="OG76" s="83"/>
      <c r="OH76" s="83"/>
      <c r="OI76" s="83"/>
      <c r="OJ76" s="83"/>
      <c r="OK76" s="83"/>
      <c r="OL76" s="83"/>
      <c r="OM76" s="83"/>
      <c r="ON76" s="83"/>
      <c r="OO76" s="83"/>
      <c r="OP76" s="83"/>
      <c r="OQ76" s="83"/>
      <c r="OR76" s="83"/>
      <c r="OS76" s="83"/>
      <c r="OT76" s="83"/>
      <c r="OU76" s="83"/>
      <c r="OV76" s="83"/>
      <c r="OW76" s="83"/>
      <c r="OX76" s="83"/>
      <c r="OY76" s="83"/>
      <c r="OZ76" s="83"/>
      <c r="PA76" s="83"/>
      <c r="PB76" s="83"/>
      <c r="PC76" s="83"/>
      <c r="PD76" s="83"/>
      <c r="PE76" s="83"/>
      <c r="PF76" s="83"/>
      <c r="PG76" s="83"/>
      <c r="PH76" s="83"/>
      <c r="PI76" s="83"/>
      <c r="PJ76" s="83"/>
      <c r="PK76" s="83"/>
      <c r="PL76" s="83"/>
      <c r="PM76" s="83"/>
      <c r="PN76" s="83"/>
      <c r="PO76" s="83"/>
      <c r="PP76" s="83"/>
      <c r="PQ76" s="83"/>
      <c r="PR76" s="83"/>
      <c r="PS76" s="83"/>
      <c r="PT76" s="83"/>
      <c r="PU76" s="83"/>
      <c r="PV76" s="83"/>
      <c r="PW76" s="83"/>
      <c r="PX76" s="83"/>
      <c r="PY76" s="83"/>
      <c r="PZ76" s="83"/>
      <c r="QA76" s="83"/>
      <c r="QB76" s="83"/>
      <c r="QC76" s="83"/>
      <c r="QD76" s="83"/>
      <c r="QE76" s="83"/>
      <c r="QF76" s="83"/>
      <c r="QG76" s="83"/>
      <c r="QH76" s="83"/>
      <c r="QI76" s="83"/>
      <c r="QJ76" s="83"/>
      <c r="QK76" s="83"/>
      <c r="QL76" s="83"/>
      <c r="QM76" s="83"/>
      <c r="QN76" s="83"/>
      <c r="QO76" s="83"/>
      <c r="QP76" s="83"/>
      <c r="QQ76" s="83"/>
      <c r="QR76" s="83"/>
      <c r="QS76" s="83"/>
      <c r="QT76" s="83"/>
      <c r="QU76" s="83"/>
      <c r="QV76" s="83"/>
      <c r="QW76" s="83"/>
      <c r="QX76" s="83"/>
      <c r="QY76" s="83"/>
      <c r="QZ76" s="83"/>
      <c r="RA76" s="83"/>
      <c r="RB76" s="83"/>
      <c r="RC76" s="83"/>
      <c r="RD76" s="83"/>
      <c r="RE76" s="83"/>
      <c r="RF76" s="83"/>
      <c r="RG76" s="83"/>
      <c r="RH76" s="83"/>
      <c r="RI76" s="83"/>
      <c r="RJ76" s="83"/>
      <c r="RK76" s="83"/>
      <c r="RL76" s="83"/>
      <c r="RM76" s="83"/>
      <c r="RN76" s="83"/>
      <c r="RO76" s="83"/>
      <c r="RP76" s="83"/>
      <c r="RQ76" s="83"/>
      <c r="RR76" s="83"/>
      <c r="RS76" s="83"/>
      <c r="RT76" s="83"/>
      <c r="RU76" s="83"/>
      <c r="RV76" s="83"/>
      <c r="RW76" s="83"/>
      <c r="RX76" s="83"/>
      <c r="RY76" s="83"/>
      <c r="RZ76" s="83"/>
      <c r="SA76" s="83"/>
      <c r="SB76" s="83"/>
      <c r="SC76" s="83"/>
      <c r="SD76" s="83"/>
      <c r="SE76" s="83"/>
      <c r="SF76" s="83"/>
      <c r="SG76" s="83"/>
      <c r="SH76" s="83"/>
      <c r="SI76" s="83"/>
      <c r="SJ76" s="83"/>
      <c r="SK76" s="83"/>
      <c r="SL76" s="83"/>
      <c r="SM76" s="83"/>
      <c r="SN76" s="83"/>
      <c r="SO76" s="83"/>
      <c r="SP76" s="83"/>
      <c r="SQ76" s="83"/>
      <c r="SR76" s="83"/>
      <c r="SS76" s="83"/>
      <c r="ST76" s="83"/>
      <c r="SU76" s="83"/>
      <c r="SV76" s="83"/>
      <c r="SW76" s="83"/>
      <c r="SX76" s="83"/>
      <c r="SY76" s="83"/>
      <c r="SZ76" s="83"/>
      <c r="TA76" s="83"/>
      <c r="TB76" s="83"/>
      <c r="TC76" s="83"/>
      <c r="TD76" s="83"/>
      <c r="TE76" s="83"/>
      <c r="TF76" s="83"/>
      <c r="TG76" s="83"/>
      <c r="TH76" s="83"/>
      <c r="TI76" s="83"/>
      <c r="TJ76" s="83"/>
      <c r="TK76" s="83"/>
      <c r="TL76" s="83"/>
      <c r="TM76" s="83"/>
      <c r="TN76" s="83"/>
      <c r="TO76" s="83"/>
      <c r="TP76" s="83"/>
      <c r="TQ76" s="83"/>
      <c r="TR76" s="83"/>
      <c r="TS76" s="83"/>
      <c r="TT76" s="83"/>
      <c r="TU76" s="83"/>
      <c r="TV76" s="83"/>
      <c r="TW76" s="83"/>
      <c r="TX76" s="83"/>
      <c r="TY76" s="83"/>
      <c r="TZ76" s="83"/>
      <c r="UA76" s="83"/>
      <c r="UB76" s="83"/>
      <c r="UC76" s="83"/>
      <c r="UD76" s="83"/>
      <c r="UE76" s="83"/>
      <c r="UF76" s="83"/>
      <c r="UG76" s="83"/>
      <c r="UH76" s="83"/>
      <c r="UI76" s="83"/>
      <c r="UJ76" s="83"/>
      <c r="UK76" s="83"/>
      <c r="UL76" s="83"/>
      <c r="UM76" s="83"/>
      <c r="UN76" s="83"/>
      <c r="UO76" s="83"/>
      <c r="UP76" s="83"/>
      <c r="UQ76" s="83"/>
      <c r="UR76" s="83"/>
      <c r="US76" s="83"/>
      <c r="UT76" s="83"/>
      <c r="UU76" s="83"/>
      <c r="UV76" s="83"/>
      <c r="UW76" s="83"/>
      <c r="UX76" s="83"/>
      <c r="UY76" s="83"/>
      <c r="UZ76" s="83"/>
      <c r="VA76" s="83"/>
      <c r="VB76" s="83"/>
      <c r="VC76" s="83"/>
      <c r="VD76" s="83"/>
      <c r="VE76" s="83"/>
      <c r="VF76" s="83"/>
      <c r="VG76" s="83"/>
      <c r="VH76" s="83"/>
      <c r="VI76" s="83"/>
      <c r="VJ76" s="83"/>
      <c r="VK76" s="83"/>
      <c r="VL76" s="83"/>
      <c r="VM76" s="83"/>
      <c r="VN76" s="83"/>
      <c r="VO76" s="83"/>
      <c r="VP76" s="83"/>
      <c r="VQ76" s="83"/>
      <c r="VR76" s="83"/>
      <c r="VS76" s="83"/>
      <c r="VT76" s="83"/>
      <c r="VU76" s="83"/>
      <c r="VV76" s="83"/>
      <c r="VW76" s="83"/>
      <c r="VX76" s="83"/>
      <c r="VY76" s="83"/>
      <c r="VZ76" s="83"/>
      <c r="WA76" s="83"/>
      <c r="WB76" s="83"/>
      <c r="WC76" s="83"/>
      <c r="WD76" s="83"/>
      <c r="WE76" s="83"/>
      <c r="WF76" s="83"/>
      <c r="WG76" s="83"/>
      <c r="WH76" s="83"/>
      <c r="WI76" s="83"/>
      <c r="WJ76" s="83"/>
      <c r="WK76" s="83"/>
      <c r="WL76" s="83"/>
      <c r="WM76" s="83"/>
      <c r="WN76" s="83"/>
      <c r="WO76" s="83"/>
      <c r="WP76" s="83"/>
      <c r="WQ76" s="83"/>
      <c r="WR76" s="83"/>
      <c r="WS76" s="83"/>
      <c r="WT76" s="83"/>
      <c r="WU76" s="83"/>
      <c r="WV76" s="83"/>
      <c r="WW76" s="83"/>
      <c r="WX76" s="83"/>
      <c r="WY76" s="83"/>
      <c r="WZ76" s="83"/>
      <c r="XA76" s="83"/>
      <c r="XB76" s="83"/>
      <c r="XC76" s="83"/>
      <c r="XD76" s="83"/>
      <c r="XE76" s="83"/>
      <c r="XF76" s="83"/>
      <c r="XG76" s="83"/>
      <c r="XH76" s="83"/>
      <c r="XI76" s="83"/>
      <c r="XJ76" s="83"/>
      <c r="XK76" s="83"/>
      <c r="XL76" s="83"/>
      <c r="XM76" s="83"/>
      <c r="XN76" s="83"/>
      <c r="XO76" s="83"/>
      <c r="XP76" s="83"/>
      <c r="XQ76" s="83"/>
      <c r="XR76" s="83"/>
      <c r="XS76" s="83"/>
      <c r="XT76" s="83"/>
      <c r="XU76" s="83"/>
      <c r="XV76" s="83"/>
      <c r="XW76" s="83"/>
      <c r="XX76" s="83"/>
      <c r="XY76" s="83"/>
      <c r="XZ76" s="83"/>
      <c r="YA76" s="83"/>
      <c r="YB76" s="83"/>
      <c r="YC76" s="83"/>
      <c r="YD76" s="83"/>
      <c r="YE76" s="83"/>
      <c r="YF76" s="83"/>
      <c r="YG76" s="83"/>
      <c r="YH76" s="83"/>
      <c r="YI76" s="83"/>
      <c r="YJ76" s="83"/>
      <c r="YK76" s="83"/>
      <c r="YL76" s="83"/>
      <c r="YM76" s="83"/>
      <c r="YN76" s="83"/>
      <c r="YO76" s="83"/>
      <c r="YP76" s="83"/>
      <c r="YQ76" s="83"/>
      <c r="YR76" s="83"/>
      <c r="YS76" s="83"/>
      <c r="YT76" s="83"/>
      <c r="YU76" s="83"/>
      <c r="YV76" s="83"/>
      <c r="YW76" s="83"/>
      <c r="YX76" s="83"/>
      <c r="YY76" s="83"/>
      <c r="YZ76" s="83"/>
      <c r="ZA76" s="83"/>
      <c r="ZB76" s="83"/>
      <c r="ZC76" s="83"/>
      <c r="ZD76" s="83"/>
      <c r="ZE76" s="83"/>
      <c r="ZF76" s="83"/>
      <c r="ZG76" s="83"/>
      <c r="ZH76" s="83"/>
      <c r="ZI76" s="83"/>
      <c r="ZJ76" s="83"/>
      <c r="ZK76" s="83"/>
      <c r="ZL76" s="83"/>
      <c r="ZM76" s="83"/>
      <c r="ZN76" s="83"/>
      <c r="ZO76" s="83"/>
      <c r="ZP76" s="83"/>
      <c r="ZQ76" s="83"/>
      <c r="ZR76" s="83"/>
      <c r="ZS76" s="83"/>
      <c r="ZT76" s="83"/>
      <c r="ZU76" s="83"/>
      <c r="ZV76" s="83"/>
      <c r="ZW76" s="83"/>
      <c r="ZX76" s="83"/>
      <c r="ZY76" s="83"/>
      <c r="ZZ76" s="83"/>
      <c r="AAA76" s="83"/>
      <c r="AAB76" s="83"/>
      <c r="AAC76" s="83"/>
      <c r="AAD76" s="83"/>
      <c r="AAE76" s="83"/>
      <c r="AAF76" s="83"/>
      <c r="AAG76" s="83"/>
      <c r="AAH76" s="83"/>
      <c r="AAI76" s="83"/>
      <c r="AAJ76" s="83"/>
      <c r="AAK76" s="83"/>
      <c r="AAL76" s="83"/>
      <c r="AAM76" s="83"/>
      <c r="AAN76" s="83"/>
      <c r="AAO76" s="83"/>
      <c r="AAP76" s="83"/>
      <c r="AAQ76" s="83"/>
      <c r="AAR76" s="83"/>
      <c r="AAS76" s="83"/>
      <c r="AAT76" s="83"/>
      <c r="AAU76" s="83"/>
      <c r="AAV76" s="83"/>
      <c r="AAW76" s="83"/>
      <c r="AAX76" s="83"/>
      <c r="AAY76" s="83"/>
      <c r="AAZ76" s="83"/>
      <c r="ABA76" s="83"/>
      <c r="ABB76" s="83"/>
      <c r="ABC76" s="83"/>
      <c r="ABD76" s="83"/>
      <c r="ABE76" s="83"/>
      <c r="ABF76" s="83"/>
      <c r="ABG76" s="83"/>
      <c r="ABH76" s="83"/>
      <c r="ABI76" s="83"/>
      <c r="ABJ76" s="83"/>
      <c r="ABK76" s="83"/>
      <c r="ABL76" s="83"/>
      <c r="ABM76" s="83"/>
      <c r="ABN76" s="83"/>
      <c r="ABO76" s="83"/>
      <c r="ABP76" s="83"/>
      <c r="ABQ76" s="83"/>
      <c r="ABR76" s="83"/>
      <c r="ABS76" s="83"/>
      <c r="ABT76" s="83"/>
      <c r="ABU76" s="83"/>
      <c r="ABV76" s="83"/>
      <c r="ABW76" s="83"/>
      <c r="ABX76" s="83"/>
      <c r="ABY76" s="83"/>
      <c r="ABZ76" s="83"/>
      <c r="ACA76" s="83"/>
      <c r="ACB76" s="83"/>
      <c r="ACC76" s="83"/>
      <c r="ACD76" s="83"/>
      <c r="ACE76" s="83"/>
      <c r="ACF76" s="83"/>
      <c r="ACG76" s="83"/>
      <c r="ACH76" s="83"/>
      <c r="ACI76" s="83"/>
      <c r="ACJ76" s="83"/>
      <c r="ACK76" s="83"/>
      <c r="ACL76" s="83"/>
      <c r="ACM76" s="83"/>
      <c r="ACN76" s="83"/>
      <c r="ACO76" s="83"/>
      <c r="ACP76" s="83"/>
      <c r="ACQ76" s="83"/>
      <c r="ACR76" s="83"/>
      <c r="ACS76" s="83"/>
      <c r="ACT76" s="83"/>
      <c r="ACU76" s="83"/>
      <c r="ACV76" s="83"/>
      <c r="ACW76" s="83"/>
      <c r="ACX76" s="83"/>
      <c r="ACY76" s="83"/>
      <c r="ACZ76" s="83"/>
      <c r="ADA76" s="83"/>
      <c r="ADB76" s="83"/>
      <c r="ADC76" s="83"/>
      <c r="ADD76" s="83"/>
      <c r="ADE76" s="83"/>
      <c r="ADF76" s="83"/>
      <c r="ADG76" s="83"/>
      <c r="ADH76" s="83"/>
      <c r="ADI76" s="83"/>
      <c r="ADJ76" s="83"/>
      <c r="ADK76" s="83"/>
      <c r="ADL76" s="83"/>
      <c r="ADM76" s="83"/>
      <c r="ADN76" s="83"/>
      <c r="ADO76" s="83"/>
      <c r="ADP76" s="83"/>
      <c r="ADQ76" s="83"/>
      <c r="ADR76" s="83"/>
      <c r="ADS76" s="83"/>
      <c r="ADT76" s="83"/>
      <c r="ADU76" s="83"/>
      <c r="ADV76" s="83"/>
      <c r="ADW76" s="83"/>
      <c r="ADX76" s="83"/>
      <c r="ADY76" s="83"/>
      <c r="ADZ76" s="83"/>
      <c r="AEA76" s="83"/>
      <c r="AEB76" s="83"/>
      <c r="AEC76" s="83"/>
      <c r="AED76" s="83"/>
      <c r="AEE76" s="83"/>
      <c r="AEF76" s="83"/>
      <c r="AEG76" s="83"/>
      <c r="AEH76" s="83"/>
      <c r="AEI76" s="83"/>
      <c r="AEJ76" s="83"/>
      <c r="AEK76" s="83"/>
      <c r="AEL76" s="83"/>
      <c r="AEM76" s="83"/>
      <c r="AEN76" s="83"/>
      <c r="AEO76" s="83"/>
      <c r="AEP76" s="83"/>
      <c r="AEQ76" s="83"/>
      <c r="AER76" s="83"/>
      <c r="AES76" s="83"/>
      <c r="AET76" s="83"/>
      <c r="AEU76" s="83"/>
      <c r="AEV76" s="83"/>
      <c r="AEW76" s="83"/>
      <c r="AEX76" s="83"/>
      <c r="AEY76" s="83"/>
      <c r="AEZ76" s="83"/>
      <c r="AFA76" s="83"/>
      <c r="AFB76" s="83"/>
      <c r="AFC76" s="83"/>
      <c r="AFD76" s="83"/>
      <c r="AFE76" s="83"/>
      <c r="AFF76" s="83"/>
      <c r="AFG76" s="83"/>
      <c r="AFH76" s="83"/>
      <c r="AFI76" s="83"/>
      <c r="AFJ76" s="83"/>
      <c r="AFK76" s="83"/>
      <c r="AFL76" s="83"/>
      <c r="AFM76" s="83"/>
      <c r="AFN76" s="83"/>
      <c r="AFO76" s="83"/>
      <c r="AFP76" s="83"/>
      <c r="AFQ76" s="83"/>
      <c r="AFR76" s="83"/>
      <c r="AFS76" s="83"/>
      <c r="AFT76" s="83"/>
      <c r="AFU76" s="83"/>
      <c r="AFV76" s="83"/>
      <c r="AFW76" s="83"/>
      <c r="AFX76" s="83"/>
      <c r="AFY76" s="83"/>
      <c r="AFZ76" s="83"/>
      <c r="AGA76" s="83"/>
      <c r="AGB76" s="83"/>
      <c r="AGC76" s="83"/>
      <c r="AGD76" s="83"/>
      <c r="AGE76" s="83"/>
      <c r="AGF76" s="83"/>
      <c r="AGG76" s="83"/>
      <c r="AGH76" s="83"/>
      <c r="AGI76" s="83"/>
      <c r="AGJ76" s="83"/>
      <c r="AGK76" s="83"/>
      <c r="AGL76" s="83"/>
      <c r="AGM76" s="83"/>
      <c r="AGN76" s="83"/>
      <c r="AGO76" s="83"/>
      <c r="AGP76" s="83"/>
      <c r="AGQ76" s="83"/>
      <c r="AGR76" s="83"/>
      <c r="AGS76" s="83"/>
      <c r="AGT76" s="83"/>
      <c r="AGU76" s="83"/>
      <c r="AGV76" s="83"/>
      <c r="AGW76" s="83"/>
      <c r="AGX76" s="83"/>
      <c r="AGY76" s="83"/>
      <c r="AGZ76" s="83"/>
      <c r="AHA76" s="83"/>
      <c r="AHB76" s="83"/>
      <c r="AHC76" s="83"/>
      <c r="AHD76" s="83"/>
      <c r="AHE76" s="83"/>
      <c r="AHF76" s="83"/>
      <c r="AHG76" s="83"/>
      <c r="AHH76" s="83"/>
      <c r="AHI76" s="83"/>
      <c r="AHJ76" s="83"/>
      <c r="AHK76" s="83"/>
      <c r="AHL76" s="83"/>
      <c r="AHM76" s="83"/>
      <c r="AHN76" s="83"/>
      <c r="AHO76" s="83"/>
      <c r="AHP76" s="83"/>
      <c r="AHQ76" s="83"/>
      <c r="AHR76" s="83"/>
      <c r="AHS76" s="83"/>
      <c r="AHT76" s="83"/>
      <c r="AHU76" s="83"/>
      <c r="AHV76" s="83"/>
      <c r="AHW76" s="83"/>
      <c r="AHX76" s="83"/>
      <c r="AHY76" s="83"/>
      <c r="AHZ76" s="83"/>
      <c r="AIA76" s="83"/>
      <c r="AIB76" s="83"/>
      <c r="AIC76" s="83"/>
      <c r="AID76" s="83"/>
      <c r="AIE76" s="83"/>
      <c r="AIF76" s="83"/>
      <c r="AIG76" s="83"/>
      <c r="AIH76" s="83"/>
      <c r="AII76" s="83"/>
      <c r="AIJ76" s="83"/>
      <c r="AIK76" s="83"/>
      <c r="AIL76" s="83"/>
      <c r="AIM76" s="83"/>
      <c r="AIN76" s="83"/>
      <c r="AIO76" s="83"/>
      <c r="AIP76" s="83"/>
      <c r="AIQ76" s="83"/>
      <c r="AIR76" s="83"/>
      <c r="AIS76" s="83"/>
      <c r="AIT76" s="83"/>
      <c r="AIU76" s="83"/>
      <c r="AIV76" s="83"/>
      <c r="AIW76" s="83"/>
      <c r="AIX76" s="83"/>
      <c r="AIY76" s="83"/>
      <c r="AIZ76" s="83"/>
      <c r="AJA76" s="83"/>
      <c r="AJB76" s="83"/>
      <c r="AJC76" s="83"/>
      <c r="AJD76" s="83"/>
      <c r="AJE76" s="83"/>
      <c r="AJF76" s="83"/>
      <c r="AJG76" s="83"/>
      <c r="AJH76" s="83"/>
      <c r="AJI76" s="83"/>
      <c r="AJJ76" s="83"/>
      <c r="AJK76" s="83"/>
      <c r="AJL76" s="83"/>
      <c r="AJM76" s="83"/>
      <c r="AJN76" s="83"/>
      <c r="AJO76" s="83"/>
      <c r="AJP76" s="83"/>
      <c r="AJQ76" s="83"/>
      <c r="AJR76" s="83"/>
      <c r="AJS76" s="83"/>
      <c r="AJT76" s="83"/>
      <c r="AJU76" s="83"/>
      <c r="AJV76" s="83"/>
      <c r="AJW76" s="83"/>
      <c r="AJX76" s="83"/>
      <c r="AJY76" s="83"/>
      <c r="AJZ76" s="83"/>
      <c r="AKA76" s="83"/>
      <c r="AKB76" s="83"/>
      <c r="AKC76" s="83"/>
      <c r="AKD76" s="83"/>
      <c r="AKE76" s="83"/>
      <c r="AKF76" s="83"/>
      <c r="AKG76" s="83"/>
      <c r="AKH76" s="83"/>
      <c r="AKI76" s="83"/>
      <c r="AKJ76" s="83"/>
      <c r="AKK76" s="83"/>
      <c r="AKL76" s="83"/>
      <c r="AKM76" s="83"/>
      <c r="AKN76" s="83"/>
      <c r="AKO76" s="83"/>
      <c r="AKP76" s="83"/>
      <c r="AKQ76" s="83"/>
      <c r="AKR76" s="83"/>
      <c r="AKS76" s="83"/>
      <c r="AKT76" s="83"/>
      <c r="AKU76" s="83"/>
      <c r="AKV76" s="83"/>
      <c r="AKW76" s="83"/>
      <c r="AKX76" s="83"/>
      <c r="AKY76" s="83"/>
      <c r="AKZ76" s="83"/>
      <c r="ALA76" s="83"/>
      <c r="ALB76" s="83"/>
      <c r="ALC76" s="83"/>
      <c r="ALD76" s="83"/>
      <c r="ALE76" s="83"/>
      <c r="ALF76" s="83"/>
      <c r="ALG76" s="83"/>
      <c r="ALH76" s="83"/>
      <c r="ALI76" s="83"/>
      <c r="ALJ76" s="83"/>
      <c r="ALK76" s="83"/>
      <c r="ALL76" s="83"/>
      <c r="ALM76" s="83"/>
      <c r="ALN76" s="83"/>
      <c r="ALO76" s="83"/>
      <c r="ALP76" s="83"/>
      <c r="ALQ76" s="83"/>
      <c r="ALR76" s="83"/>
      <c r="ALS76" s="83"/>
      <c r="ALT76" s="83"/>
      <c r="ALU76" s="83"/>
      <c r="ALV76" s="83"/>
      <c r="ALW76" s="83"/>
      <c r="ALX76" s="83"/>
      <c r="ALY76" s="83"/>
      <c r="ALZ76" s="83"/>
      <c r="AMA76" s="83"/>
      <c r="AMB76" s="83"/>
      <c r="AMC76" s="83"/>
      <c r="AMD76" s="83"/>
      <c r="AME76" s="83"/>
      <c r="AMF76" s="83"/>
      <c r="AMG76" s="83"/>
      <c r="AMH76" s="83"/>
      <c r="AMI76" s="83"/>
      <c r="AMJ76" s="83"/>
    </row>
    <row r="77" spans="12:1024" ht="20.25" customHeight="1" x14ac:dyDescent="0.2">
      <c r="L77" s="83"/>
      <c r="M77" s="84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  <c r="FU77" s="83"/>
      <c r="FV77" s="83"/>
      <c r="FW77" s="83"/>
      <c r="FX77" s="83"/>
      <c r="FY77" s="83"/>
      <c r="FZ77" s="83"/>
      <c r="GA77" s="83"/>
      <c r="GB77" s="83"/>
      <c r="GC77" s="83"/>
      <c r="GD77" s="83"/>
      <c r="GE77" s="83"/>
      <c r="GF77" s="83"/>
      <c r="GG77" s="83"/>
      <c r="GH77" s="83"/>
      <c r="GI77" s="83"/>
      <c r="GJ77" s="83"/>
      <c r="GK77" s="83"/>
      <c r="GL77" s="83"/>
      <c r="GM77" s="83"/>
      <c r="GN77" s="83"/>
      <c r="GO77" s="83"/>
      <c r="GP77" s="83"/>
      <c r="GQ77" s="83"/>
      <c r="GR77" s="83"/>
      <c r="GS77" s="83"/>
      <c r="GT77" s="83"/>
      <c r="GU77" s="83"/>
      <c r="GV77" s="83"/>
      <c r="GW77" s="83"/>
      <c r="GX77" s="83"/>
      <c r="GY77" s="83"/>
      <c r="GZ77" s="83"/>
      <c r="HA77" s="83"/>
      <c r="HB77" s="83"/>
      <c r="HC77" s="83"/>
      <c r="HD77" s="83"/>
      <c r="HE77" s="83"/>
      <c r="HF77" s="83"/>
      <c r="HG77" s="83"/>
      <c r="HH77" s="83"/>
      <c r="HI77" s="83"/>
      <c r="HJ77" s="83"/>
      <c r="HK77" s="83"/>
      <c r="HL77" s="83"/>
      <c r="HM77" s="83"/>
      <c r="HN77" s="83"/>
      <c r="HO77" s="83"/>
      <c r="HP77" s="83"/>
      <c r="HQ77" s="83"/>
      <c r="HR77" s="83"/>
      <c r="HS77" s="83"/>
      <c r="HT77" s="83"/>
      <c r="HU77" s="83"/>
      <c r="HV77" s="83"/>
      <c r="HW77" s="83"/>
      <c r="HX77" s="83"/>
      <c r="HY77" s="83"/>
      <c r="HZ77" s="83"/>
      <c r="IA77" s="83"/>
      <c r="IB77" s="83"/>
      <c r="IC77" s="83"/>
      <c r="ID77" s="83"/>
      <c r="IE77" s="83"/>
      <c r="IF77" s="83"/>
      <c r="IG77" s="83"/>
      <c r="IH77" s="83"/>
      <c r="II77" s="83"/>
      <c r="IJ77" s="83"/>
      <c r="IK77" s="83"/>
      <c r="IL77" s="83"/>
      <c r="IM77" s="83"/>
      <c r="IN77" s="83"/>
      <c r="IO77" s="83"/>
      <c r="IP77" s="83"/>
      <c r="IQ77" s="83"/>
      <c r="IR77" s="83"/>
      <c r="IS77" s="83"/>
      <c r="IT77" s="83"/>
      <c r="IU77" s="83"/>
      <c r="IV77" s="83"/>
      <c r="IW77" s="83"/>
      <c r="IX77" s="83"/>
      <c r="IY77" s="83"/>
      <c r="IZ77" s="83"/>
      <c r="JA77" s="83"/>
      <c r="JB77" s="83"/>
      <c r="JC77" s="83"/>
      <c r="JD77" s="83"/>
      <c r="JE77" s="83"/>
      <c r="JF77" s="83"/>
      <c r="JG77" s="83"/>
      <c r="JH77" s="83"/>
      <c r="JI77" s="83"/>
      <c r="JJ77" s="83"/>
      <c r="JK77" s="83"/>
      <c r="JL77" s="83"/>
      <c r="JM77" s="83"/>
      <c r="JN77" s="83"/>
      <c r="JO77" s="83"/>
      <c r="JP77" s="83"/>
      <c r="JQ77" s="83"/>
      <c r="JR77" s="83"/>
      <c r="JS77" s="83"/>
      <c r="JT77" s="83"/>
      <c r="JU77" s="83"/>
      <c r="JV77" s="83"/>
      <c r="JW77" s="83"/>
      <c r="JX77" s="83"/>
      <c r="JY77" s="83"/>
      <c r="JZ77" s="83"/>
      <c r="KA77" s="83"/>
      <c r="KB77" s="83"/>
      <c r="KC77" s="83"/>
      <c r="KD77" s="83"/>
      <c r="KE77" s="83"/>
      <c r="KF77" s="83"/>
      <c r="KG77" s="83"/>
      <c r="KH77" s="83"/>
      <c r="KI77" s="83"/>
      <c r="KJ77" s="83"/>
      <c r="KK77" s="83"/>
      <c r="KL77" s="83"/>
      <c r="KM77" s="83"/>
      <c r="KN77" s="83"/>
      <c r="KO77" s="83"/>
      <c r="KP77" s="83"/>
      <c r="KQ77" s="83"/>
      <c r="KR77" s="83"/>
      <c r="KS77" s="83"/>
      <c r="KT77" s="83"/>
      <c r="KU77" s="83"/>
      <c r="KV77" s="83"/>
      <c r="KW77" s="83"/>
      <c r="KX77" s="83"/>
      <c r="KY77" s="83"/>
      <c r="KZ77" s="83"/>
      <c r="LA77" s="83"/>
      <c r="LB77" s="83"/>
      <c r="LC77" s="83"/>
      <c r="LD77" s="83"/>
      <c r="LE77" s="83"/>
      <c r="LF77" s="83"/>
      <c r="LG77" s="83"/>
      <c r="LH77" s="83"/>
      <c r="LI77" s="83"/>
      <c r="LJ77" s="83"/>
      <c r="LK77" s="83"/>
      <c r="LL77" s="83"/>
      <c r="LM77" s="83"/>
      <c r="LN77" s="83"/>
      <c r="LO77" s="83"/>
      <c r="LP77" s="83"/>
      <c r="LQ77" s="83"/>
      <c r="LR77" s="83"/>
      <c r="LS77" s="83"/>
      <c r="LT77" s="83"/>
      <c r="LU77" s="83"/>
      <c r="LV77" s="83"/>
      <c r="LW77" s="83"/>
      <c r="LX77" s="83"/>
      <c r="LY77" s="83"/>
      <c r="LZ77" s="83"/>
      <c r="MA77" s="83"/>
      <c r="MB77" s="83"/>
      <c r="MC77" s="83"/>
      <c r="MD77" s="83"/>
      <c r="ME77" s="83"/>
      <c r="MF77" s="83"/>
      <c r="MG77" s="83"/>
      <c r="MH77" s="83"/>
      <c r="MI77" s="83"/>
      <c r="MJ77" s="83"/>
      <c r="MK77" s="83"/>
      <c r="ML77" s="83"/>
      <c r="MM77" s="83"/>
      <c r="MN77" s="83"/>
      <c r="MO77" s="83"/>
      <c r="MP77" s="83"/>
      <c r="MQ77" s="83"/>
      <c r="MR77" s="83"/>
      <c r="MS77" s="83"/>
      <c r="MT77" s="83"/>
      <c r="MU77" s="83"/>
      <c r="MV77" s="83"/>
      <c r="MW77" s="83"/>
      <c r="MX77" s="83"/>
      <c r="MY77" s="83"/>
      <c r="MZ77" s="83"/>
      <c r="NA77" s="83"/>
      <c r="NB77" s="83"/>
      <c r="NC77" s="83"/>
      <c r="ND77" s="83"/>
      <c r="NE77" s="83"/>
      <c r="NF77" s="83"/>
      <c r="NG77" s="83"/>
      <c r="NH77" s="83"/>
      <c r="NI77" s="83"/>
      <c r="NJ77" s="83"/>
      <c r="NK77" s="83"/>
      <c r="NL77" s="83"/>
      <c r="NM77" s="83"/>
      <c r="NN77" s="83"/>
      <c r="NO77" s="83"/>
      <c r="NP77" s="83"/>
      <c r="NQ77" s="83"/>
      <c r="NR77" s="83"/>
      <c r="NS77" s="83"/>
      <c r="NT77" s="83"/>
      <c r="NU77" s="83"/>
      <c r="NV77" s="83"/>
      <c r="NW77" s="83"/>
      <c r="NX77" s="83"/>
      <c r="NY77" s="83"/>
      <c r="NZ77" s="83"/>
      <c r="OA77" s="83"/>
      <c r="OB77" s="83"/>
      <c r="OC77" s="83"/>
      <c r="OD77" s="83"/>
      <c r="OE77" s="83"/>
      <c r="OF77" s="83"/>
      <c r="OG77" s="83"/>
      <c r="OH77" s="83"/>
      <c r="OI77" s="83"/>
      <c r="OJ77" s="83"/>
      <c r="OK77" s="83"/>
      <c r="OL77" s="83"/>
      <c r="OM77" s="83"/>
      <c r="ON77" s="83"/>
      <c r="OO77" s="83"/>
      <c r="OP77" s="83"/>
      <c r="OQ77" s="83"/>
      <c r="OR77" s="83"/>
      <c r="OS77" s="83"/>
      <c r="OT77" s="83"/>
      <c r="OU77" s="83"/>
      <c r="OV77" s="83"/>
      <c r="OW77" s="83"/>
      <c r="OX77" s="83"/>
      <c r="OY77" s="83"/>
      <c r="OZ77" s="83"/>
      <c r="PA77" s="83"/>
      <c r="PB77" s="83"/>
      <c r="PC77" s="83"/>
      <c r="PD77" s="83"/>
      <c r="PE77" s="83"/>
      <c r="PF77" s="83"/>
      <c r="PG77" s="83"/>
      <c r="PH77" s="83"/>
      <c r="PI77" s="83"/>
      <c r="PJ77" s="83"/>
      <c r="PK77" s="83"/>
      <c r="PL77" s="83"/>
      <c r="PM77" s="83"/>
      <c r="PN77" s="83"/>
      <c r="PO77" s="83"/>
      <c r="PP77" s="83"/>
      <c r="PQ77" s="83"/>
      <c r="PR77" s="83"/>
      <c r="PS77" s="83"/>
      <c r="PT77" s="83"/>
      <c r="PU77" s="83"/>
      <c r="PV77" s="83"/>
      <c r="PW77" s="83"/>
      <c r="PX77" s="83"/>
      <c r="PY77" s="83"/>
      <c r="PZ77" s="83"/>
      <c r="QA77" s="83"/>
      <c r="QB77" s="83"/>
      <c r="QC77" s="83"/>
      <c r="QD77" s="83"/>
      <c r="QE77" s="83"/>
      <c r="QF77" s="83"/>
      <c r="QG77" s="83"/>
      <c r="QH77" s="83"/>
      <c r="QI77" s="83"/>
      <c r="QJ77" s="83"/>
      <c r="QK77" s="83"/>
      <c r="QL77" s="83"/>
      <c r="QM77" s="83"/>
      <c r="QN77" s="83"/>
      <c r="QO77" s="83"/>
      <c r="QP77" s="83"/>
      <c r="QQ77" s="83"/>
      <c r="QR77" s="83"/>
      <c r="QS77" s="83"/>
      <c r="QT77" s="83"/>
      <c r="QU77" s="83"/>
      <c r="QV77" s="83"/>
      <c r="QW77" s="83"/>
      <c r="QX77" s="83"/>
      <c r="QY77" s="83"/>
      <c r="QZ77" s="83"/>
      <c r="RA77" s="83"/>
      <c r="RB77" s="83"/>
      <c r="RC77" s="83"/>
      <c r="RD77" s="83"/>
      <c r="RE77" s="83"/>
      <c r="RF77" s="83"/>
      <c r="RG77" s="83"/>
      <c r="RH77" s="83"/>
      <c r="RI77" s="83"/>
      <c r="RJ77" s="83"/>
      <c r="RK77" s="83"/>
      <c r="RL77" s="83"/>
      <c r="RM77" s="83"/>
      <c r="RN77" s="83"/>
      <c r="RO77" s="83"/>
      <c r="RP77" s="83"/>
      <c r="RQ77" s="83"/>
      <c r="RR77" s="83"/>
      <c r="RS77" s="83"/>
      <c r="RT77" s="83"/>
      <c r="RU77" s="83"/>
      <c r="RV77" s="83"/>
      <c r="RW77" s="83"/>
      <c r="RX77" s="83"/>
      <c r="RY77" s="83"/>
      <c r="RZ77" s="83"/>
      <c r="SA77" s="83"/>
      <c r="SB77" s="83"/>
      <c r="SC77" s="83"/>
      <c r="SD77" s="83"/>
      <c r="SE77" s="83"/>
      <c r="SF77" s="83"/>
      <c r="SG77" s="83"/>
      <c r="SH77" s="83"/>
      <c r="SI77" s="83"/>
      <c r="SJ77" s="83"/>
      <c r="SK77" s="83"/>
      <c r="SL77" s="83"/>
      <c r="SM77" s="83"/>
      <c r="SN77" s="83"/>
      <c r="SO77" s="83"/>
      <c r="SP77" s="83"/>
      <c r="SQ77" s="83"/>
      <c r="SR77" s="83"/>
      <c r="SS77" s="83"/>
      <c r="ST77" s="83"/>
      <c r="SU77" s="83"/>
      <c r="SV77" s="83"/>
      <c r="SW77" s="83"/>
      <c r="SX77" s="83"/>
      <c r="SY77" s="83"/>
      <c r="SZ77" s="83"/>
      <c r="TA77" s="83"/>
      <c r="TB77" s="83"/>
      <c r="TC77" s="83"/>
      <c r="TD77" s="83"/>
      <c r="TE77" s="83"/>
      <c r="TF77" s="83"/>
      <c r="TG77" s="83"/>
      <c r="TH77" s="83"/>
      <c r="TI77" s="83"/>
      <c r="TJ77" s="83"/>
      <c r="TK77" s="83"/>
      <c r="TL77" s="83"/>
      <c r="TM77" s="83"/>
      <c r="TN77" s="83"/>
      <c r="TO77" s="83"/>
      <c r="TP77" s="83"/>
      <c r="TQ77" s="83"/>
      <c r="TR77" s="83"/>
      <c r="TS77" s="83"/>
      <c r="TT77" s="83"/>
      <c r="TU77" s="83"/>
      <c r="TV77" s="83"/>
      <c r="TW77" s="83"/>
      <c r="TX77" s="83"/>
      <c r="TY77" s="83"/>
      <c r="TZ77" s="83"/>
      <c r="UA77" s="83"/>
      <c r="UB77" s="83"/>
      <c r="UC77" s="83"/>
      <c r="UD77" s="83"/>
      <c r="UE77" s="83"/>
      <c r="UF77" s="83"/>
      <c r="UG77" s="83"/>
      <c r="UH77" s="83"/>
      <c r="UI77" s="83"/>
      <c r="UJ77" s="83"/>
      <c r="UK77" s="83"/>
      <c r="UL77" s="83"/>
      <c r="UM77" s="83"/>
      <c r="UN77" s="83"/>
      <c r="UO77" s="83"/>
      <c r="UP77" s="83"/>
      <c r="UQ77" s="83"/>
      <c r="UR77" s="83"/>
      <c r="US77" s="83"/>
      <c r="UT77" s="83"/>
      <c r="UU77" s="83"/>
      <c r="UV77" s="83"/>
      <c r="UW77" s="83"/>
      <c r="UX77" s="83"/>
      <c r="UY77" s="83"/>
      <c r="UZ77" s="83"/>
      <c r="VA77" s="83"/>
      <c r="VB77" s="83"/>
      <c r="VC77" s="83"/>
      <c r="VD77" s="83"/>
      <c r="VE77" s="83"/>
      <c r="VF77" s="83"/>
      <c r="VG77" s="83"/>
      <c r="VH77" s="83"/>
      <c r="VI77" s="83"/>
      <c r="VJ77" s="83"/>
      <c r="VK77" s="83"/>
      <c r="VL77" s="83"/>
      <c r="VM77" s="83"/>
      <c r="VN77" s="83"/>
      <c r="VO77" s="83"/>
      <c r="VP77" s="83"/>
      <c r="VQ77" s="83"/>
      <c r="VR77" s="83"/>
      <c r="VS77" s="83"/>
      <c r="VT77" s="83"/>
      <c r="VU77" s="83"/>
      <c r="VV77" s="83"/>
      <c r="VW77" s="83"/>
      <c r="VX77" s="83"/>
      <c r="VY77" s="83"/>
      <c r="VZ77" s="83"/>
      <c r="WA77" s="83"/>
      <c r="WB77" s="83"/>
      <c r="WC77" s="83"/>
      <c r="WD77" s="83"/>
      <c r="WE77" s="83"/>
      <c r="WF77" s="83"/>
      <c r="WG77" s="83"/>
      <c r="WH77" s="83"/>
      <c r="WI77" s="83"/>
      <c r="WJ77" s="83"/>
      <c r="WK77" s="83"/>
      <c r="WL77" s="83"/>
      <c r="WM77" s="83"/>
      <c r="WN77" s="83"/>
      <c r="WO77" s="83"/>
      <c r="WP77" s="83"/>
      <c r="WQ77" s="83"/>
      <c r="WR77" s="83"/>
      <c r="WS77" s="83"/>
      <c r="WT77" s="83"/>
      <c r="WU77" s="83"/>
      <c r="WV77" s="83"/>
      <c r="WW77" s="83"/>
      <c r="WX77" s="83"/>
      <c r="WY77" s="83"/>
      <c r="WZ77" s="83"/>
      <c r="XA77" s="83"/>
      <c r="XB77" s="83"/>
      <c r="XC77" s="83"/>
      <c r="XD77" s="83"/>
      <c r="XE77" s="83"/>
      <c r="XF77" s="83"/>
      <c r="XG77" s="83"/>
      <c r="XH77" s="83"/>
      <c r="XI77" s="83"/>
      <c r="XJ77" s="83"/>
      <c r="XK77" s="83"/>
      <c r="XL77" s="83"/>
      <c r="XM77" s="83"/>
      <c r="XN77" s="83"/>
      <c r="XO77" s="83"/>
      <c r="XP77" s="83"/>
      <c r="XQ77" s="83"/>
      <c r="XR77" s="83"/>
      <c r="XS77" s="83"/>
      <c r="XT77" s="83"/>
      <c r="XU77" s="83"/>
      <c r="XV77" s="83"/>
      <c r="XW77" s="83"/>
      <c r="XX77" s="83"/>
      <c r="XY77" s="83"/>
      <c r="XZ77" s="83"/>
      <c r="YA77" s="83"/>
      <c r="YB77" s="83"/>
      <c r="YC77" s="83"/>
      <c r="YD77" s="83"/>
      <c r="YE77" s="83"/>
      <c r="YF77" s="83"/>
      <c r="YG77" s="83"/>
      <c r="YH77" s="83"/>
      <c r="YI77" s="83"/>
      <c r="YJ77" s="83"/>
      <c r="YK77" s="83"/>
      <c r="YL77" s="83"/>
      <c r="YM77" s="83"/>
      <c r="YN77" s="83"/>
      <c r="YO77" s="83"/>
      <c r="YP77" s="83"/>
      <c r="YQ77" s="83"/>
      <c r="YR77" s="83"/>
      <c r="YS77" s="83"/>
      <c r="YT77" s="83"/>
      <c r="YU77" s="83"/>
      <c r="YV77" s="83"/>
      <c r="YW77" s="83"/>
      <c r="YX77" s="83"/>
      <c r="YY77" s="83"/>
      <c r="YZ77" s="83"/>
      <c r="ZA77" s="83"/>
      <c r="ZB77" s="83"/>
      <c r="ZC77" s="83"/>
      <c r="ZD77" s="83"/>
      <c r="ZE77" s="83"/>
      <c r="ZF77" s="83"/>
      <c r="ZG77" s="83"/>
      <c r="ZH77" s="83"/>
      <c r="ZI77" s="83"/>
      <c r="ZJ77" s="83"/>
      <c r="ZK77" s="83"/>
      <c r="ZL77" s="83"/>
      <c r="ZM77" s="83"/>
      <c r="ZN77" s="83"/>
      <c r="ZO77" s="83"/>
      <c r="ZP77" s="83"/>
      <c r="ZQ77" s="83"/>
      <c r="ZR77" s="83"/>
      <c r="ZS77" s="83"/>
      <c r="ZT77" s="83"/>
      <c r="ZU77" s="83"/>
      <c r="ZV77" s="83"/>
      <c r="ZW77" s="83"/>
      <c r="ZX77" s="83"/>
      <c r="ZY77" s="83"/>
      <c r="ZZ77" s="83"/>
      <c r="AAA77" s="83"/>
      <c r="AAB77" s="83"/>
      <c r="AAC77" s="83"/>
      <c r="AAD77" s="83"/>
      <c r="AAE77" s="83"/>
      <c r="AAF77" s="83"/>
      <c r="AAG77" s="83"/>
      <c r="AAH77" s="83"/>
      <c r="AAI77" s="83"/>
      <c r="AAJ77" s="83"/>
      <c r="AAK77" s="83"/>
      <c r="AAL77" s="83"/>
      <c r="AAM77" s="83"/>
      <c r="AAN77" s="83"/>
      <c r="AAO77" s="83"/>
      <c r="AAP77" s="83"/>
      <c r="AAQ77" s="83"/>
      <c r="AAR77" s="83"/>
      <c r="AAS77" s="83"/>
      <c r="AAT77" s="83"/>
      <c r="AAU77" s="83"/>
      <c r="AAV77" s="83"/>
      <c r="AAW77" s="83"/>
      <c r="AAX77" s="83"/>
      <c r="AAY77" s="83"/>
      <c r="AAZ77" s="83"/>
      <c r="ABA77" s="83"/>
      <c r="ABB77" s="83"/>
      <c r="ABC77" s="83"/>
      <c r="ABD77" s="83"/>
      <c r="ABE77" s="83"/>
      <c r="ABF77" s="83"/>
      <c r="ABG77" s="83"/>
      <c r="ABH77" s="83"/>
      <c r="ABI77" s="83"/>
      <c r="ABJ77" s="83"/>
      <c r="ABK77" s="83"/>
      <c r="ABL77" s="83"/>
      <c r="ABM77" s="83"/>
      <c r="ABN77" s="83"/>
      <c r="ABO77" s="83"/>
      <c r="ABP77" s="83"/>
      <c r="ABQ77" s="83"/>
      <c r="ABR77" s="83"/>
      <c r="ABS77" s="83"/>
      <c r="ABT77" s="83"/>
      <c r="ABU77" s="83"/>
      <c r="ABV77" s="83"/>
      <c r="ABW77" s="83"/>
      <c r="ABX77" s="83"/>
      <c r="ABY77" s="83"/>
      <c r="ABZ77" s="83"/>
      <c r="ACA77" s="83"/>
      <c r="ACB77" s="83"/>
      <c r="ACC77" s="83"/>
      <c r="ACD77" s="83"/>
      <c r="ACE77" s="83"/>
      <c r="ACF77" s="83"/>
      <c r="ACG77" s="83"/>
      <c r="ACH77" s="83"/>
      <c r="ACI77" s="83"/>
      <c r="ACJ77" s="83"/>
      <c r="ACK77" s="83"/>
      <c r="ACL77" s="83"/>
      <c r="ACM77" s="83"/>
      <c r="ACN77" s="83"/>
      <c r="ACO77" s="83"/>
      <c r="ACP77" s="83"/>
      <c r="ACQ77" s="83"/>
      <c r="ACR77" s="83"/>
      <c r="ACS77" s="83"/>
      <c r="ACT77" s="83"/>
      <c r="ACU77" s="83"/>
      <c r="ACV77" s="83"/>
      <c r="ACW77" s="83"/>
      <c r="ACX77" s="83"/>
      <c r="ACY77" s="83"/>
      <c r="ACZ77" s="83"/>
      <c r="ADA77" s="83"/>
      <c r="ADB77" s="83"/>
      <c r="ADC77" s="83"/>
      <c r="ADD77" s="83"/>
      <c r="ADE77" s="83"/>
      <c r="ADF77" s="83"/>
      <c r="ADG77" s="83"/>
      <c r="ADH77" s="83"/>
      <c r="ADI77" s="83"/>
      <c r="ADJ77" s="83"/>
      <c r="ADK77" s="83"/>
      <c r="ADL77" s="83"/>
      <c r="ADM77" s="83"/>
      <c r="ADN77" s="83"/>
      <c r="ADO77" s="83"/>
      <c r="ADP77" s="83"/>
      <c r="ADQ77" s="83"/>
      <c r="ADR77" s="83"/>
      <c r="ADS77" s="83"/>
      <c r="ADT77" s="83"/>
      <c r="ADU77" s="83"/>
      <c r="ADV77" s="83"/>
      <c r="ADW77" s="83"/>
      <c r="ADX77" s="83"/>
      <c r="ADY77" s="83"/>
      <c r="ADZ77" s="83"/>
      <c r="AEA77" s="83"/>
      <c r="AEB77" s="83"/>
      <c r="AEC77" s="83"/>
      <c r="AED77" s="83"/>
      <c r="AEE77" s="83"/>
      <c r="AEF77" s="83"/>
      <c r="AEG77" s="83"/>
      <c r="AEH77" s="83"/>
      <c r="AEI77" s="83"/>
      <c r="AEJ77" s="83"/>
      <c r="AEK77" s="83"/>
      <c r="AEL77" s="83"/>
      <c r="AEM77" s="83"/>
      <c r="AEN77" s="83"/>
      <c r="AEO77" s="83"/>
      <c r="AEP77" s="83"/>
      <c r="AEQ77" s="83"/>
      <c r="AER77" s="83"/>
      <c r="AES77" s="83"/>
      <c r="AET77" s="83"/>
      <c r="AEU77" s="83"/>
      <c r="AEV77" s="83"/>
      <c r="AEW77" s="83"/>
      <c r="AEX77" s="83"/>
      <c r="AEY77" s="83"/>
      <c r="AEZ77" s="83"/>
      <c r="AFA77" s="83"/>
      <c r="AFB77" s="83"/>
      <c r="AFC77" s="83"/>
      <c r="AFD77" s="83"/>
      <c r="AFE77" s="83"/>
      <c r="AFF77" s="83"/>
      <c r="AFG77" s="83"/>
      <c r="AFH77" s="83"/>
      <c r="AFI77" s="83"/>
      <c r="AFJ77" s="83"/>
      <c r="AFK77" s="83"/>
      <c r="AFL77" s="83"/>
      <c r="AFM77" s="83"/>
      <c r="AFN77" s="83"/>
      <c r="AFO77" s="83"/>
      <c r="AFP77" s="83"/>
      <c r="AFQ77" s="83"/>
      <c r="AFR77" s="83"/>
      <c r="AFS77" s="83"/>
      <c r="AFT77" s="83"/>
      <c r="AFU77" s="83"/>
      <c r="AFV77" s="83"/>
      <c r="AFW77" s="83"/>
      <c r="AFX77" s="83"/>
      <c r="AFY77" s="83"/>
      <c r="AFZ77" s="83"/>
      <c r="AGA77" s="83"/>
      <c r="AGB77" s="83"/>
      <c r="AGC77" s="83"/>
      <c r="AGD77" s="83"/>
      <c r="AGE77" s="83"/>
      <c r="AGF77" s="83"/>
      <c r="AGG77" s="83"/>
      <c r="AGH77" s="83"/>
      <c r="AGI77" s="83"/>
      <c r="AGJ77" s="83"/>
      <c r="AGK77" s="83"/>
      <c r="AGL77" s="83"/>
      <c r="AGM77" s="83"/>
      <c r="AGN77" s="83"/>
      <c r="AGO77" s="83"/>
      <c r="AGP77" s="83"/>
      <c r="AGQ77" s="83"/>
      <c r="AGR77" s="83"/>
      <c r="AGS77" s="83"/>
      <c r="AGT77" s="83"/>
      <c r="AGU77" s="83"/>
      <c r="AGV77" s="83"/>
      <c r="AGW77" s="83"/>
      <c r="AGX77" s="83"/>
      <c r="AGY77" s="83"/>
      <c r="AGZ77" s="83"/>
      <c r="AHA77" s="83"/>
      <c r="AHB77" s="83"/>
      <c r="AHC77" s="83"/>
      <c r="AHD77" s="83"/>
      <c r="AHE77" s="83"/>
      <c r="AHF77" s="83"/>
      <c r="AHG77" s="83"/>
      <c r="AHH77" s="83"/>
      <c r="AHI77" s="83"/>
      <c r="AHJ77" s="83"/>
      <c r="AHK77" s="83"/>
      <c r="AHL77" s="83"/>
      <c r="AHM77" s="83"/>
      <c r="AHN77" s="83"/>
      <c r="AHO77" s="83"/>
      <c r="AHP77" s="83"/>
      <c r="AHQ77" s="83"/>
      <c r="AHR77" s="83"/>
      <c r="AHS77" s="83"/>
      <c r="AHT77" s="83"/>
      <c r="AHU77" s="83"/>
      <c r="AHV77" s="83"/>
      <c r="AHW77" s="83"/>
      <c r="AHX77" s="83"/>
      <c r="AHY77" s="83"/>
      <c r="AHZ77" s="83"/>
      <c r="AIA77" s="83"/>
      <c r="AIB77" s="83"/>
      <c r="AIC77" s="83"/>
      <c r="AID77" s="83"/>
      <c r="AIE77" s="83"/>
      <c r="AIF77" s="83"/>
      <c r="AIG77" s="83"/>
      <c r="AIH77" s="83"/>
      <c r="AII77" s="83"/>
      <c r="AIJ77" s="83"/>
      <c r="AIK77" s="83"/>
      <c r="AIL77" s="83"/>
      <c r="AIM77" s="83"/>
      <c r="AIN77" s="83"/>
      <c r="AIO77" s="83"/>
      <c r="AIP77" s="83"/>
      <c r="AIQ77" s="83"/>
      <c r="AIR77" s="83"/>
      <c r="AIS77" s="83"/>
      <c r="AIT77" s="83"/>
      <c r="AIU77" s="83"/>
      <c r="AIV77" s="83"/>
      <c r="AIW77" s="83"/>
      <c r="AIX77" s="83"/>
      <c r="AIY77" s="83"/>
      <c r="AIZ77" s="83"/>
      <c r="AJA77" s="83"/>
      <c r="AJB77" s="83"/>
      <c r="AJC77" s="83"/>
      <c r="AJD77" s="83"/>
      <c r="AJE77" s="83"/>
      <c r="AJF77" s="83"/>
      <c r="AJG77" s="83"/>
      <c r="AJH77" s="83"/>
      <c r="AJI77" s="83"/>
      <c r="AJJ77" s="83"/>
      <c r="AJK77" s="83"/>
      <c r="AJL77" s="83"/>
      <c r="AJM77" s="83"/>
      <c r="AJN77" s="83"/>
      <c r="AJO77" s="83"/>
      <c r="AJP77" s="83"/>
      <c r="AJQ77" s="83"/>
      <c r="AJR77" s="83"/>
      <c r="AJS77" s="83"/>
      <c r="AJT77" s="83"/>
      <c r="AJU77" s="83"/>
      <c r="AJV77" s="83"/>
      <c r="AJW77" s="83"/>
      <c r="AJX77" s="83"/>
      <c r="AJY77" s="83"/>
      <c r="AJZ77" s="83"/>
      <c r="AKA77" s="83"/>
      <c r="AKB77" s="83"/>
      <c r="AKC77" s="83"/>
      <c r="AKD77" s="83"/>
      <c r="AKE77" s="83"/>
      <c r="AKF77" s="83"/>
      <c r="AKG77" s="83"/>
      <c r="AKH77" s="83"/>
      <c r="AKI77" s="83"/>
      <c r="AKJ77" s="83"/>
      <c r="AKK77" s="83"/>
      <c r="AKL77" s="83"/>
      <c r="AKM77" s="83"/>
      <c r="AKN77" s="83"/>
      <c r="AKO77" s="83"/>
      <c r="AKP77" s="83"/>
      <c r="AKQ77" s="83"/>
      <c r="AKR77" s="83"/>
      <c r="AKS77" s="83"/>
      <c r="AKT77" s="83"/>
      <c r="AKU77" s="83"/>
      <c r="AKV77" s="83"/>
      <c r="AKW77" s="83"/>
      <c r="AKX77" s="83"/>
      <c r="AKY77" s="83"/>
      <c r="AKZ77" s="83"/>
      <c r="ALA77" s="83"/>
      <c r="ALB77" s="83"/>
      <c r="ALC77" s="83"/>
      <c r="ALD77" s="83"/>
      <c r="ALE77" s="83"/>
      <c r="ALF77" s="83"/>
      <c r="ALG77" s="83"/>
      <c r="ALH77" s="83"/>
      <c r="ALI77" s="83"/>
      <c r="ALJ77" s="83"/>
      <c r="ALK77" s="83"/>
      <c r="ALL77" s="83"/>
      <c r="ALM77" s="83"/>
      <c r="ALN77" s="83"/>
      <c r="ALO77" s="83"/>
      <c r="ALP77" s="83"/>
      <c r="ALQ77" s="83"/>
      <c r="ALR77" s="83"/>
      <c r="ALS77" s="83"/>
      <c r="ALT77" s="83"/>
      <c r="ALU77" s="83"/>
      <c r="ALV77" s="83"/>
      <c r="ALW77" s="83"/>
      <c r="ALX77" s="83"/>
      <c r="ALY77" s="83"/>
      <c r="ALZ77" s="83"/>
      <c r="AMA77" s="83"/>
      <c r="AMB77" s="83"/>
      <c r="AMC77" s="83"/>
      <c r="AMD77" s="83"/>
      <c r="AME77" s="83"/>
      <c r="AMF77" s="83"/>
      <c r="AMG77" s="83"/>
      <c r="AMH77" s="83"/>
      <c r="AMI77" s="83"/>
      <c r="AMJ77" s="83"/>
    </row>
  </sheetData>
  <mergeCells count="32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24:G24"/>
    <mergeCell ref="A10:A11"/>
    <mergeCell ref="B10:B11"/>
    <mergeCell ref="C10:G11"/>
    <mergeCell ref="H10:H11"/>
    <mergeCell ref="C14:G14"/>
    <mergeCell ref="K10:K11"/>
    <mergeCell ref="C15:G15"/>
    <mergeCell ref="C16:G16"/>
    <mergeCell ref="C12:G12"/>
    <mergeCell ref="C13:G13"/>
    <mergeCell ref="I10:I11"/>
    <mergeCell ref="J10:J11"/>
    <mergeCell ref="C25:G25"/>
    <mergeCell ref="C26:G26"/>
    <mergeCell ref="A27:I27"/>
    <mergeCell ref="J27:K27"/>
    <mergeCell ref="A28:I28"/>
    <mergeCell ref="J28:K28"/>
  </mergeCells>
  <conditionalFormatting sqref="C12:C14">
    <cfRule type="duplicateValues" dxfId="9" priority="4"/>
  </conditionalFormatting>
  <conditionalFormatting sqref="C12:C14">
    <cfRule type="duplicateValues" dxfId="8" priority="2"/>
    <cfRule type="duplicateValues" dxfId="7" priority="3"/>
  </conditionalFormatting>
  <conditionalFormatting sqref="C12:C14">
    <cfRule type="duplicateValues" dxfId="6" priority="1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7"/>
  <sheetViews>
    <sheetView topLeftCell="A10" workbookViewId="0">
      <selection activeCell="L19" sqref="L19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4" t="s">
        <v>2</v>
      </c>
      <c r="B1" s="294"/>
      <c r="C1" s="294"/>
      <c r="D1" s="295">
        <v>2021</v>
      </c>
      <c r="E1" s="295"/>
      <c r="F1" s="129"/>
      <c r="G1" s="129"/>
      <c r="H1" s="130"/>
      <c r="I1" s="130"/>
      <c r="J1" s="130"/>
      <c r="K1" s="130"/>
      <c r="L1" s="130"/>
      <c r="M1" s="130"/>
      <c r="N1" s="130"/>
      <c r="P1" s="296" t="s">
        <v>116</v>
      </c>
      <c r="Q1" s="296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6"/>
      <c r="Q2" s="296"/>
    </row>
    <row r="4" spans="1:17" s="132" customFormat="1" ht="18" customHeight="1" thickBot="1" x14ac:dyDescent="0.25">
      <c r="A4" s="297" t="s">
        <v>117</v>
      </c>
      <c r="B4" s="297"/>
      <c r="C4" s="297"/>
      <c r="D4" s="297"/>
      <c r="E4" s="297"/>
      <c r="F4" s="297"/>
      <c r="G4" s="284" t="s">
        <v>101</v>
      </c>
      <c r="H4" s="284"/>
      <c r="I4" s="284"/>
      <c r="J4" s="284"/>
      <c r="K4" s="284"/>
      <c r="L4" s="284"/>
      <c r="M4" s="284"/>
      <c r="N4" s="284"/>
      <c r="O4" s="284"/>
      <c r="P4" s="284"/>
      <c r="Q4" s="284"/>
    </row>
    <row r="5" spans="1:17" s="132" customFormat="1" ht="18" customHeight="1" thickBot="1" x14ac:dyDescent="0.25">
      <c r="A5" s="281" t="s">
        <v>102</v>
      </c>
      <c r="B5" s="282"/>
      <c r="C5" s="282"/>
      <c r="D5" s="282"/>
      <c r="E5" s="282"/>
      <c r="F5" s="283"/>
      <c r="G5" s="284" t="s">
        <v>118</v>
      </c>
      <c r="H5" s="284"/>
      <c r="I5" s="284"/>
      <c r="J5" s="284"/>
      <c r="K5" s="284"/>
      <c r="L5" s="284"/>
      <c r="M5" s="284"/>
      <c r="N5" s="284"/>
      <c r="O5" s="284"/>
      <c r="P5" s="284"/>
      <c r="Q5" s="284"/>
    </row>
    <row r="6" spans="1:17" s="132" customFormat="1" ht="18" customHeight="1" thickBot="1" x14ac:dyDescent="0.25">
      <c r="A6" s="281" t="s">
        <v>104</v>
      </c>
      <c r="B6" s="282"/>
      <c r="C6" s="282"/>
      <c r="D6" s="282"/>
      <c r="E6" s="282"/>
      <c r="F6" s="283"/>
      <c r="G6" s="284" t="s">
        <v>156</v>
      </c>
      <c r="H6" s="284"/>
      <c r="I6" s="284"/>
      <c r="J6" s="284"/>
      <c r="K6" s="284"/>
      <c r="L6" s="284"/>
      <c r="M6" s="284"/>
      <c r="N6" s="284"/>
      <c r="O6" s="284"/>
      <c r="P6" s="284"/>
      <c r="Q6" s="284"/>
    </row>
    <row r="7" spans="1:17" s="132" customFormat="1" ht="18" customHeight="1" thickBot="1" x14ac:dyDescent="0.25">
      <c r="A7" s="281" t="s">
        <v>105</v>
      </c>
      <c r="B7" s="282"/>
      <c r="C7" s="282"/>
      <c r="D7" s="282"/>
      <c r="E7" s="282"/>
      <c r="F7" s="283"/>
      <c r="G7" s="284" t="s">
        <v>156</v>
      </c>
      <c r="H7" s="284"/>
      <c r="I7" s="284"/>
      <c r="J7" s="284"/>
      <c r="K7" s="284"/>
      <c r="L7" s="284"/>
      <c r="M7" s="284"/>
      <c r="N7" s="284"/>
      <c r="O7" s="284"/>
      <c r="P7" s="284"/>
      <c r="Q7" s="284"/>
    </row>
    <row r="8" spans="1:17" ht="18" customHeight="1" thickBot="1" x14ac:dyDescent="0.25">
      <c r="A8" s="285" t="s">
        <v>119</v>
      </c>
      <c r="B8" s="285"/>
      <c r="C8" s="285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</row>
    <row r="9" spans="1:17" ht="18" customHeight="1" x14ac:dyDescent="0.2">
      <c r="A9" s="286" t="s">
        <v>120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133"/>
      <c r="P9" s="133"/>
      <c r="Q9" s="134"/>
    </row>
    <row r="10" spans="1:17" ht="57" customHeight="1" x14ac:dyDescent="0.2">
      <c r="A10" s="287" t="s">
        <v>154</v>
      </c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9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0" t="s">
        <v>121</v>
      </c>
      <c r="B12" s="290"/>
      <c r="C12" s="290"/>
      <c r="D12" s="290"/>
      <c r="E12" s="290"/>
      <c r="F12" s="290"/>
      <c r="G12" s="290"/>
      <c r="H12" s="290"/>
      <c r="I12" s="290"/>
      <c r="J12" s="290"/>
      <c r="K12" s="290"/>
      <c r="L12" s="290"/>
      <c r="M12" s="290"/>
      <c r="N12" s="290"/>
      <c r="O12" s="290"/>
      <c r="P12" s="290"/>
      <c r="Q12" s="290"/>
    </row>
    <row r="13" spans="1:17" ht="15.75" customHeight="1" thickBot="1" x14ac:dyDescent="0.25">
      <c r="A13" s="291" t="s">
        <v>122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291"/>
      <c r="O13" s="292" t="s">
        <v>123</v>
      </c>
      <c r="P13" s="292"/>
      <c r="Q13" s="293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2"/>
      <c r="P14" s="292"/>
      <c r="Q14" s="293"/>
    </row>
    <row r="15" spans="1:17" ht="33.75" customHeight="1" x14ac:dyDescent="0.2">
      <c r="A15" s="144">
        <v>20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79" t="s">
        <v>142</v>
      </c>
      <c r="P15" s="280"/>
      <c r="Q15" s="105">
        <f>+'Necesidades Trimestrales '!Z52</f>
        <v>41700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0"/>
      <c r="P16" s="271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0"/>
      <c r="P17" s="271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1"/>
      <c r="P18" s="271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1"/>
      <c r="P19" s="271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1"/>
      <c r="P20" s="271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0"/>
      <c r="P21" s="270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2"/>
      <c r="P22" s="272"/>
      <c r="Q22" s="119"/>
    </row>
    <row r="23" spans="1:18" ht="36" customHeight="1" thickBot="1" x14ac:dyDescent="0.25">
      <c r="A23" s="273" t="s">
        <v>187</v>
      </c>
      <c r="B23" s="273"/>
      <c r="C23" s="273"/>
      <c r="D23" s="273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161">
        <f>SUM(Q15:Q22)</f>
        <v>41700</v>
      </c>
    </row>
    <row r="24" spans="1:18" ht="18" customHeight="1" thickBot="1" x14ac:dyDescent="0.25">
      <c r="A24" s="274"/>
      <c r="B24" s="274"/>
      <c r="C24" s="274"/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74"/>
      <c r="P24" s="274"/>
      <c r="Q24" s="274"/>
    </row>
    <row r="25" spans="1:18" ht="17.25" customHeight="1" thickBot="1" x14ac:dyDescent="0.25">
      <c r="A25" s="275" t="s">
        <v>138</v>
      </c>
      <c r="B25" s="276"/>
      <c r="C25" s="276"/>
      <c r="D25" s="276"/>
      <c r="E25" s="276"/>
      <c r="F25" s="277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8"/>
    </row>
    <row r="26" spans="1:18" ht="18" customHeight="1" thickBot="1" x14ac:dyDescent="0.25">
      <c r="A26" s="269" t="s">
        <v>143</v>
      </c>
      <c r="B26" s="269"/>
      <c r="C26" s="269"/>
      <c r="D26" s="269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</row>
    <row r="27" spans="1:18" ht="28.5" customHeight="1" thickBot="1" x14ac:dyDescent="0.25">
      <c r="A27" s="269"/>
      <c r="B27" s="269"/>
      <c r="C27" s="269"/>
      <c r="D27" s="269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J80"/>
  <sheetViews>
    <sheetView zoomScale="80" zoomScaleNormal="80" workbookViewId="0">
      <selection activeCell="C14" sqref="C14:G14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7" t="s">
        <v>98</v>
      </c>
      <c r="B1" s="227"/>
      <c r="C1" s="227"/>
      <c r="D1" s="227"/>
      <c r="E1" s="227"/>
      <c r="F1" s="227"/>
      <c r="G1" s="227"/>
      <c r="H1" s="227"/>
      <c r="I1" s="227"/>
      <c r="J1" s="49" t="s">
        <v>99</v>
      </c>
      <c r="K1" s="50" t="s">
        <v>168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2" t="s">
        <v>100</v>
      </c>
      <c r="B3" s="222"/>
      <c r="C3" s="222"/>
      <c r="D3" s="223" t="s">
        <v>101</v>
      </c>
      <c r="E3" s="223"/>
      <c r="F3" s="223"/>
      <c r="G3" s="223"/>
      <c r="H3" s="223"/>
      <c r="I3" s="223"/>
      <c r="J3" s="223"/>
      <c r="K3" s="223"/>
    </row>
    <row r="4" spans="1:13" ht="18.75" customHeight="1" thickBot="1" x14ac:dyDescent="0.25">
      <c r="A4" s="224" t="s">
        <v>102</v>
      </c>
      <c r="B4" s="224"/>
      <c r="C4" s="224"/>
      <c r="D4" s="223" t="s">
        <v>103</v>
      </c>
      <c r="E4" s="223"/>
      <c r="F4" s="223"/>
      <c r="G4" s="223"/>
      <c r="H4" s="223"/>
      <c r="I4" s="223"/>
      <c r="J4" s="223"/>
      <c r="K4" s="223"/>
    </row>
    <row r="5" spans="1:13" ht="18.75" customHeight="1" thickBot="1" x14ac:dyDescent="0.25">
      <c r="A5" s="224" t="s">
        <v>104</v>
      </c>
      <c r="B5" s="224"/>
      <c r="C5" s="224"/>
      <c r="D5" s="223" t="s">
        <v>157</v>
      </c>
      <c r="E5" s="223"/>
      <c r="F5" s="223"/>
      <c r="G5" s="223"/>
      <c r="H5" s="223"/>
      <c r="I5" s="223"/>
      <c r="J5" s="223"/>
      <c r="K5" s="223"/>
    </row>
    <row r="6" spans="1:13" ht="16.5" customHeight="1" thickBot="1" x14ac:dyDescent="0.25">
      <c r="A6" s="222" t="s">
        <v>105</v>
      </c>
      <c r="B6" s="222"/>
      <c r="C6" s="222"/>
      <c r="D6" s="223" t="s">
        <v>157</v>
      </c>
      <c r="E6" s="223"/>
      <c r="F6" s="223"/>
      <c r="G6" s="223"/>
      <c r="H6" s="223"/>
      <c r="I6" s="223"/>
      <c r="J6" s="223"/>
      <c r="K6" s="223"/>
    </row>
    <row r="7" spans="1:13" ht="16.5" customHeight="1" thickBot="1" x14ac:dyDescent="0.25">
      <c r="A7" s="224" t="s">
        <v>106</v>
      </c>
      <c r="B7" s="224"/>
      <c r="C7" s="224"/>
      <c r="D7" s="223" t="s">
        <v>107</v>
      </c>
      <c r="E7" s="223"/>
      <c r="F7" s="223"/>
      <c r="G7" s="223"/>
      <c r="H7" s="223"/>
      <c r="I7" s="223"/>
      <c r="J7" s="223"/>
      <c r="K7" s="223"/>
    </row>
    <row r="8" spans="1:13" ht="16.5" customHeight="1" thickBot="1" x14ac:dyDescent="0.25">
      <c r="A8" s="225" t="s">
        <v>108</v>
      </c>
      <c r="B8" s="225"/>
      <c r="C8" s="225"/>
      <c r="D8" s="226" t="s">
        <v>141</v>
      </c>
      <c r="E8" s="226"/>
      <c r="F8" s="226"/>
      <c r="G8" s="226"/>
      <c r="H8" s="226"/>
      <c r="I8" s="226"/>
      <c r="J8" s="226"/>
      <c r="K8" s="226"/>
    </row>
    <row r="9" spans="1:13" ht="16.5" thickBot="1" x14ac:dyDescent="0.25">
      <c r="A9" s="54"/>
      <c r="B9" s="54"/>
      <c r="C9" s="54"/>
      <c r="D9" s="162"/>
      <c r="E9" s="162"/>
      <c r="F9" s="162"/>
      <c r="G9" s="162"/>
      <c r="H9" s="162"/>
      <c r="I9" s="162"/>
      <c r="J9" s="162"/>
      <c r="K9" s="162"/>
    </row>
    <row r="10" spans="1:13" ht="18.75" customHeight="1" thickBot="1" x14ac:dyDescent="0.25">
      <c r="A10" s="221" t="s">
        <v>109</v>
      </c>
      <c r="B10" s="220" t="s">
        <v>110</v>
      </c>
      <c r="C10" s="220" t="s">
        <v>111</v>
      </c>
      <c r="D10" s="220"/>
      <c r="E10" s="220"/>
      <c r="F10" s="220"/>
      <c r="G10" s="220"/>
      <c r="H10" s="220" t="s">
        <v>112</v>
      </c>
      <c r="I10" s="220" t="s">
        <v>113</v>
      </c>
      <c r="J10" s="220" t="s">
        <v>114</v>
      </c>
      <c r="K10" s="213" t="s">
        <v>115</v>
      </c>
    </row>
    <row r="11" spans="1:13" ht="24" customHeight="1" thickBot="1" x14ac:dyDescent="0.25">
      <c r="A11" s="221"/>
      <c r="B11" s="220"/>
      <c r="C11" s="220"/>
      <c r="D11" s="220"/>
      <c r="E11" s="220"/>
      <c r="F11" s="220"/>
      <c r="G11" s="220"/>
      <c r="H11" s="220"/>
      <c r="I11" s="220"/>
      <c r="J11" s="220"/>
      <c r="K11" s="213"/>
    </row>
    <row r="12" spans="1:13" s="51" customFormat="1" ht="32.25" customHeight="1" thickBot="1" x14ac:dyDescent="0.25">
      <c r="A12" s="55">
        <v>1</v>
      </c>
      <c r="B12" s="56"/>
      <c r="C12" s="263" t="s">
        <v>64</v>
      </c>
      <c r="D12" s="264"/>
      <c r="E12" s="264"/>
      <c r="F12" s="264"/>
      <c r="G12" s="265"/>
      <c r="H12" s="57" t="s">
        <v>140</v>
      </c>
      <c r="I12" s="58" t="s">
        <v>12</v>
      </c>
      <c r="J12" s="45">
        <v>1100</v>
      </c>
      <c r="K12" s="59">
        <v>30</v>
      </c>
      <c r="M12" s="128">
        <f>+K12*J12</f>
        <v>33000</v>
      </c>
    </row>
    <row r="13" spans="1:13" s="51" customFormat="1" ht="32.25" customHeight="1" thickBot="1" x14ac:dyDescent="0.25">
      <c r="A13" s="61">
        <v>2</v>
      </c>
      <c r="B13" s="62"/>
      <c r="C13" s="266" t="s">
        <v>65</v>
      </c>
      <c r="D13" s="267"/>
      <c r="E13" s="267"/>
      <c r="F13" s="267"/>
      <c r="G13" s="268"/>
      <c r="H13" s="57" t="s">
        <v>140</v>
      </c>
      <c r="I13" s="58" t="s">
        <v>12</v>
      </c>
      <c r="J13" s="45">
        <v>1100</v>
      </c>
      <c r="K13" s="68">
        <v>30</v>
      </c>
      <c r="M13" s="128">
        <f t="shared" ref="M13:M15" si="0">+K13*J13</f>
        <v>33000</v>
      </c>
    </row>
    <row r="14" spans="1:13" s="51" customFormat="1" ht="32.25" customHeight="1" thickBot="1" x14ac:dyDescent="0.25">
      <c r="A14" s="61"/>
      <c r="B14" s="62"/>
      <c r="C14" s="210"/>
      <c r="D14" s="211"/>
      <c r="E14" s="211"/>
      <c r="F14" s="211"/>
      <c r="G14" s="212"/>
      <c r="H14" s="57"/>
      <c r="I14" s="58"/>
      <c r="J14" s="45"/>
      <c r="K14" s="68"/>
      <c r="M14" s="128">
        <f t="shared" si="0"/>
        <v>0</v>
      </c>
    </row>
    <row r="15" spans="1:13" s="51" customFormat="1" ht="32.25" customHeight="1" x14ac:dyDescent="0.2">
      <c r="A15" s="61"/>
      <c r="B15" s="62"/>
      <c r="C15" s="210"/>
      <c r="D15" s="211"/>
      <c r="E15" s="211"/>
      <c r="F15" s="211"/>
      <c r="G15" s="212"/>
      <c r="H15" s="57"/>
      <c r="I15" s="58"/>
      <c r="J15" s="45"/>
      <c r="K15" s="68"/>
      <c r="M15" s="128">
        <f t="shared" si="0"/>
        <v>0</v>
      </c>
    </row>
    <row r="16" spans="1:13" s="51" customFormat="1" ht="32.25" customHeight="1" x14ac:dyDescent="0.2">
      <c r="A16" s="61"/>
      <c r="B16" s="62"/>
      <c r="C16" s="63"/>
      <c r="D16" s="64"/>
      <c r="E16" s="64"/>
      <c r="F16" s="64"/>
      <c r="G16" s="65"/>
      <c r="H16" s="66"/>
      <c r="I16" s="58"/>
      <c r="J16" s="67"/>
      <c r="K16" s="68"/>
      <c r="M16" s="60"/>
    </row>
    <row r="17" spans="1:13" s="51" customFormat="1" ht="32.25" customHeight="1" x14ac:dyDescent="0.2">
      <c r="A17" s="61"/>
      <c r="B17" s="62"/>
      <c r="C17" s="63"/>
      <c r="D17" s="64"/>
      <c r="E17" s="64"/>
      <c r="F17" s="64"/>
      <c r="G17" s="65"/>
      <c r="H17" s="66"/>
      <c r="I17" s="58"/>
      <c r="J17" s="67"/>
      <c r="K17" s="68"/>
      <c r="M17" s="60"/>
    </row>
    <row r="18" spans="1:13" s="51" customFormat="1" ht="32.25" customHeight="1" x14ac:dyDescent="0.2">
      <c r="A18" s="61"/>
      <c r="B18" s="62"/>
      <c r="C18" s="63"/>
      <c r="D18" s="64"/>
      <c r="E18" s="64"/>
      <c r="F18" s="64"/>
      <c r="G18" s="65"/>
      <c r="H18" s="66"/>
      <c r="I18" s="58"/>
      <c r="J18" s="67"/>
      <c r="K18" s="68"/>
      <c r="M18" s="60"/>
    </row>
    <row r="19" spans="1:13" s="51" customFormat="1" ht="32.25" customHeight="1" x14ac:dyDescent="0.2">
      <c r="A19" s="61"/>
      <c r="B19" s="62"/>
      <c r="C19" s="63"/>
      <c r="D19" s="64"/>
      <c r="E19" s="64"/>
      <c r="F19" s="64"/>
      <c r="G19" s="65"/>
      <c r="H19" s="66"/>
      <c r="I19" s="58"/>
      <c r="J19" s="67"/>
      <c r="K19" s="68"/>
      <c r="M19" s="60"/>
    </row>
    <row r="20" spans="1:13" s="51" customFormat="1" ht="32.25" customHeight="1" x14ac:dyDescent="0.2">
      <c r="A20" s="61"/>
      <c r="B20" s="62"/>
      <c r="C20" s="63"/>
      <c r="D20" s="64"/>
      <c r="E20" s="64"/>
      <c r="F20" s="64"/>
      <c r="G20" s="65"/>
      <c r="H20" s="66"/>
      <c r="I20" s="58"/>
      <c r="J20" s="67"/>
      <c r="K20" s="68"/>
      <c r="M20" s="60"/>
    </row>
    <row r="21" spans="1:13" s="51" customFormat="1" ht="32.25" customHeight="1" x14ac:dyDescent="0.2">
      <c r="A21" s="61"/>
      <c r="B21" s="62"/>
      <c r="C21" s="63"/>
      <c r="D21" s="64"/>
      <c r="E21" s="64"/>
      <c r="F21" s="64"/>
      <c r="G21" s="65"/>
      <c r="H21" s="66"/>
      <c r="I21" s="58"/>
      <c r="J21" s="67"/>
      <c r="K21" s="68"/>
      <c r="M21" s="60"/>
    </row>
    <row r="22" spans="1:13" s="51" customFormat="1" ht="32.25" customHeight="1" x14ac:dyDescent="0.2">
      <c r="A22" s="61"/>
      <c r="B22" s="62"/>
      <c r="C22" s="63"/>
      <c r="D22" s="64"/>
      <c r="E22" s="64"/>
      <c r="F22" s="64"/>
      <c r="G22" s="65"/>
      <c r="H22" s="66"/>
      <c r="I22" s="58"/>
      <c r="J22" s="67"/>
      <c r="K22" s="68"/>
      <c r="M22" s="60"/>
    </row>
    <row r="23" spans="1:13" s="51" customFormat="1" ht="32.25" customHeight="1" x14ac:dyDescent="0.2">
      <c r="A23" s="61"/>
      <c r="B23" s="62"/>
      <c r="C23" s="63"/>
      <c r="D23" s="64"/>
      <c r="E23" s="64"/>
      <c r="F23" s="64"/>
      <c r="G23" s="65"/>
      <c r="H23" s="66"/>
      <c r="I23" s="58"/>
      <c r="J23" s="67"/>
      <c r="K23" s="68"/>
      <c r="M23" s="60"/>
    </row>
    <row r="24" spans="1:13" s="51" customFormat="1" ht="32.25" customHeight="1" x14ac:dyDescent="0.2">
      <c r="A24" s="61"/>
      <c r="B24" s="62"/>
      <c r="C24" s="63"/>
      <c r="D24" s="64"/>
      <c r="E24" s="64"/>
      <c r="F24" s="64"/>
      <c r="G24" s="65"/>
      <c r="H24" s="66"/>
      <c r="I24" s="58"/>
      <c r="J24" s="67"/>
      <c r="K24" s="68"/>
      <c r="M24" s="60"/>
    </row>
    <row r="25" spans="1:13" s="51" customFormat="1" ht="32.25" customHeight="1" x14ac:dyDescent="0.2">
      <c r="A25" s="61"/>
      <c r="B25" s="62"/>
      <c r="C25" s="63"/>
      <c r="D25" s="64"/>
      <c r="E25" s="64"/>
      <c r="F25" s="64"/>
      <c r="G25" s="65"/>
      <c r="H25" s="66"/>
      <c r="I25" s="58"/>
      <c r="J25" s="67"/>
      <c r="K25" s="68"/>
      <c r="M25" s="60"/>
    </row>
    <row r="26" spans="1:13" s="51" customFormat="1" ht="32.25" customHeight="1" x14ac:dyDescent="0.2">
      <c r="A26" s="61"/>
      <c r="B26" s="62"/>
      <c r="C26" s="63"/>
      <c r="D26" s="64"/>
      <c r="E26" s="64"/>
      <c r="F26" s="64"/>
      <c r="G26" s="65"/>
      <c r="H26" s="66"/>
      <c r="I26" s="58"/>
      <c r="J26" s="67"/>
      <c r="K26" s="68"/>
      <c r="M26" s="60"/>
    </row>
    <row r="27" spans="1:13" s="51" customFormat="1" ht="15.95" customHeight="1" x14ac:dyDescent="0.2">
      <c r="A27" s="69"/>
      <c r="B27" s="70"/>
      <c r="C27" s="307"/>
      <c r="D27" s="308"/>
      <c r="E27" s="308"/>
      <c r="F27" s="308"/>
      <c r="G27" s="309"/>
      <c r="H27" s="71"/>
      <c r="I27" s="58"/>
      <c r="J27" s="72"/>
      <c r="K27" s="73"/>
      <c r="M27" s="60"/>
    </row>
    <row r="28" spans="1:13" s="51" customFormat="1" ht="15.95" customHeight="1" x14ac:dyDescent="0.2">
      <c r="A28" s="74"/>
      <c r="B28" s="75"/>
      <c r="C28" s="310"/>
      <c r="D28" s="311"/>
      <c r="E28" s="311"/>
      <c r="F28" s="311"/>
      <c r="G28" s="312"/>
      <c r="H28" s="76"/>
      <c r="I28" s="77"/>
      <c r="J28" s="78"/>
      <c r="K28" s="79"/>
      <c r="M28" s="60"/>
    </row>
    <row r="29" spans="1:13" s="51" customFormat="1" ht="15.95" customHeight="1" thickBot="1" x14ac:dyDescent="0.25">
      <c r="A29" s="80"/>
      <c r="B29" s="81"/>
      <c r="C29" s="200"/>
      <c r="D29" s="201"/>
      <c r="E29" s="201"/>
      <c r="F29" s="201"/>
      <c r="G29" s="202"/>
      <c r="H29" s="76"/>
      <c r="I29" s="77"/>
      <c r="J29" s="78"/>
      <c r="K29" s="79"/>
      <c r="M29" s="60"/>
    </row>
    <row r="30" spans="1:13" s="51" customFormat="1" ht="15.95" customHeight="1" thickBot="1" x14ac:dyDescent="0.25">
      <c r="A30" s="203" t="s">
        <v>170</v>
      </c>
      <c r="B30" s="204"/>
      <c r="C30" s="204"/>
      <c r="D30" s="204"/>
      <c r="E30" s="204"/>
      <c r="F30" s="204"/>
      <c r="G30" s="204"/>
      <c r="H30" s="204"/>
      <c r="I30" s="205"/>
      <c r="J30" s="260">
        <f>SUM(M12:M15)</f>
        <v>66000</v>
      </c>
      <c r="K30" s="261"/>
      <c r="M30" s="60"/>
    </row>
    <row r="31" spans="1:13" s="51" customFormat="1" ht="15.95" customHeight="1" x14ac:dyDescent="0.2">
      <c r="A31" s="208"/>
      <c r="B31" s="208"/>
      <c r="C31" s="208"/>
      <c r="D31" s="208"/>
      <c r="E31" s="208"/>
      <c r="F31" s="208"/>
      <c r="G31" s="208"/>
      <c r="H31" s="208"/>
      <c r="I31" s="208"/>
      <c r="J31" s="209"/>
      <c r="K31" s="209"/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3:13" s="51" customFormat="1" ht="15.95" customHeight="1" x14ac:dyDescent="0.2">
      <c r="M49" s="60"/>
    </row>
    <row r="50" spans="13:13" s="51" customFormat="1" ht="15.95" customHeight="1" x14ac:dyDescent="0.2">
      <c r="M50" s="60"/>
    </row>
    <row r="51" spans="13:13" s="51" customFormat="1" ht="15.95" customHeight="1" x14ac:dyDescent="0.2">
      <c r="M51" s="60"/>
    </row>
    <row r="52" spans="13:13" s="51" customFormat="1" ht="15.95" customHeight="1" x14ac:dyDescent="0.2">
      <c r="M52" s="60"/>
    </row>
    <row r="53" spans="13:13" s="51" customFormat="1" ht="15.95" customHeight="1" x14ac:dyDescent="0.2">
      <c r="M53" s="60"/>
    </row>
    <row r="54" spans="13:13" s="51" customFormat="1" ht="15.95" customHeight="1" x14ac:dyDescent="0.2">
      <c r="M54" s="60"/>
    </row>
    <row r="55" spans="13:13" s="51" customFormat="1" ht="15.95" customHeight="1" x14ac:dyDescent="0.2">
      <c r="M55" s="60"/>
    </row>
    <row r="56" spans="13:13" s="51" customFormat="1" ht="15.95" customHeight="1" x14ac:dyDescent="0.2">
      <c r="M56" s="60"/>
    </row>
    <row r="57" spans="13:13" s="51" customFormat="1" ht="15.95" customHeight="1" x14ac:dyDescent="0.2">
      <c r="M57" s="60"/>
    </row>
    <row r="58" spans="13:13" s="51" customFormat="1" ht="15.95" customHeight="1" x14ac:dyDescent="0.2">
      <c r="M58" s="60"/>
    </row>
    <row r="59" spans="13:13" s="51" customFormat="1" ht="15.95" customHeight="1" x14ac:dyDescent="0.2">
      <c r="M59" s="60"/>
    </row>
    <row r="60" spans="13:13" s="51" customFormat="1" ht="15.95" customHeight="1" x14ac:dyDescent="0.2">
      <c r="M60" s="60"/>
    </row>
    <row r="61" spans="13:13" s="51" customFormat="1" ht="15.95" customHeight="1" x14ac:dyDescent="0.2">
      <c r="M61" s="60"/>
    </row>
    <row r="62" spans="13:13" s="51" customFormat="1" ht="15.95" customHeight="1" x14ac:dyDescent="0.2">
      <c r="M62" s="60"/>
    </row>
    <row r="63" spans="13:13" ht="15.95" customHeight="1" x14ac:dyDescent="0.2">
      <c r="M63" s="60"/>
    </row>
    <row r="64" spans="13:13" ht="15.95" customHeight="1" x14ac:dyDescent="0.2">
      <c r="M64" s="60"/>
    </row>
    <row r="65" spans="12:1024" ht="15.95" customHeight="1" x14ac:dyDescent="0.2">
      <c r="M65" s="60"/>
    </row>
    <row r="66" spans="12:1024" ht="15.95" customHeight="1" x14ac:dyDescent="0.2">
      <c r="M66" s="60"/>
    </row>
    <row r="67" spans="12:1024" ht="15.95" customHeight="1" x14ac:dyDescent="0.2">
      <c r="M67" s="60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15.9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  <row r="70" spans="12:1024" ht="15.95" customHeight="1" x14ac:dyDescent="0.2">
      <c r="L70" s="83"/>
      <c r="M70" s="84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  <c r="IX70" s="83"/>
      <c r="IY70" s="83"/>
      <c r="IZ70" s="83"/>
      <c r="JA70" s="83"/>
      <c r="JB70" s="83"/>
      <c r="JC70" s="83"/>
      <c r="JD70" s="83"/>
      <c r="JE70" s="83"/>
      <c r="JF70" s="83"/>
      <c r="JG70" s="83"/>
      <c r="JH70" s="83"/>
      <c r="JI70" s="83"/>
      <c r="JJ70" s="83"/>
      <c r="JK70" s="83"/>
      <c r="JL70" s="83"/>
      <c r="JM70" s="83"/>
      <c r="JN70" s="83"/>
      <c r="JO70" s="83"/>
      <c r="JP70" s="83"/>
      <c r="JQ70" s="83"/>
      <c r="JR70" s="83"/>
      <c r="JS70" s="83"/>
      <c r="JT70" s="83"/>
      <c r="JU70" s="83"/>
      <c r="JV70" s="83"/>
      <c r="JW70" s="83"/>
      <c r="JX70" s="83"/>
      <c r="JY70" s="83"/>
      <c r="JZ70" s="83"/>
      <c r="KA70" s="83"/>
      <c r="KB70" s="83"/>
      <c r="KC70" s="83"/>
      <c r="KD70" s="83"/>
      <c r="KE70" s="83"/>
      <c r="KF70" s="83"/>
      <c r="KG70" s="83"/>
      <c r="KH70" s="83"/>
      <c r="KI70" s="83"/>
      <c r="KJ70" s="83"/>
      <c r="KK70" s="83"/>
      <c r="KL70" s="83"/>
      <c r="KM70" s="83"/>
      <c r="KN70" s="83"/>
      <c r="KO70" s="83"/>
      <c r="KP70" s="83"/>
      <c r="KQ70" s="83"/>
      <c r="KR70" s="83"/>
      <c r="KS70" s="83"/>
      <c r="KT70" s="83"/>
      <c r="KU70" s="83"/>
      <c r="KV70" s="83"/>
      <c r="KW70" s="83"/>
      <c r="KX70" s="83"/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83"/>
      <c r="LL70" s="83"/>
      <c r="LM70" s="83"/>
      <c r="LN70" s="83"/>
      <c r="LO70" s="83"/>
      <c r="LP70" s="83"/>
      <c r="LQ70" s="83"/>
      <c r="LR70" s="83"/>
      <c r="LS70" s="83"/>
      <c r="LT70" s="83"/>
      <c r="LU70" s="83"/>
      <c r="LV70" s="83"/>
      <c r="LW70" s="83"/>
      <c r="LX70" s="83"/>
      <c r="LY70" s="83"/>
      <c r="LZ70" s="83"/>
      <c r="MA70" s="83"/>
      <c r="MB70" s="83"/>
      <c r="MC70" s="83"/>
      <c r="MD70" s="83"/>
      <c r="ME70" s="83"/>
      <c r="MF70" s="83"/>
      <c r="MG70" s="83"/>
      <c r="MH70" s="83"/>
      <c r="MI70" s="83"/>
      <c r="MJ70" s="83"/>
      <c r="MK70" s="83"/>
      <c r="ML70" s="83"/>
      <c r="MM70" s="83"/>
      <c r="MN70" s="83"/>
      <c r="MO70" s="83"/>
      <c r="MP70" s="83"/>
      <c r="MQ70" s="83"/>
      <c r="MR70" s="83"/>
      <c r="MS70" s="83"/>
      <c r="MT70" s="83"/>
      <c r="MU70" s="83"/>
      <c r="MV70" s="83"/>
      <c r="MW70" s="83"/>
      <c r="MX70" s="83"/>
      <c r="MY70" s="83"/>
      <c r="MZ70" s="83"/>
      <c r="NA70" s="83"/>
      <c r="NB70" s="83"/>
      <c r="NC70" s="83"/>
      <c r="ND70" s="83"/>
      <c r="NE70" s="83"/>
      <c r="NF70" s="83"/>
      <c r="NG70" s="83"/>
      <c r="NH70" s="83"/>
      <c r="NI70" s="83"/>
      <c r="NJ70" s="83"/>
      <c r="NK70" s="83"/>
      <c r="NL70" s="83"/>
      <c r="NM70" s="83"/>
      <c r="NN70" s="83"/>
      <c r="NO70" s="83"/>
      <c r="NP70" s="83"/>
      <c r="NQ70" s="83"/>
      <c r="NR70" s="83"/>
      <c r="NS70" s="83"/>
      <c r="NT70" s="83"/>
      <c r="NU70" s="83"/>
      <c r="NV70" s="83"/>
      <c r="NW70" s="83"/>
      <c r="NX70" s="83"/>
      <c r="NY70" s="83"/>
      <c r="NZ70" s="83"/>
      <c r="OA70" s="83"/>
      <c r="OB70" s="83"/>
      <c r="OC70" s="83"/>
      <c r="OD70" s="83"/>
      <c r="OE70" s="83"/>
      <c r="OF70" s="83"/>
      <c r="OG70" s="83"/>
      <c r="OH70" s="83"/>
      <c r="OI70" s="83"/>
      <c r="OJ70" s="83"/>
      <c r="OK70" s="83"/>
      <c r="OL70" s="83"/>
      <c r="OM70" s="83"/>
      <c r="ON70" s="83"/>
      <c r="OO70" s="83"/>
      <c r="OP70" s="83"/>
      <c r="OQ70" s="83"/>
      <c r="OR70" s="83"/>
      <c r="OS70" s="83"/>
      <c r="OT70" s="83"/>
      <c r="OU70" s="83"/>
      <c r="OV70" s="83"/>
      <c r="OW70" s="83"/>
      <c r="OX70" s="83"/>
      <c r="OY70" s="83"/>
      <c r="OZ70" s="83"/>
      <c r="PA70" s="83"/>
      <c r="PB70" s="83"/>
      <c r="PC70" s="83"/>
      <c r="PD70" s="83"/>
      <c r="PE70" s="83"/>
      <c r="PF70" s="83"/>
      <c r="PG70" s="83"/>
      <c r="PH70" s="83"/>
      <c r="PI70" s="83"/>
      <c r="PJ70" s="83"/>
      <c r="PK70" s="83"/>
      <c r="PL70" s="83"/>
      <c r="PM70" s="83"/>
      <c r="PN70" s="83"/>
      <c r="PO70" s="83"/>
      <c r="PP70" s="83"/>
      <c r="PQ70" s="83"/>
      <c r="PR70" s="83"/>
      <c r="PS70" s="83"/>
      <c r="PT70" s="83"/>
      <c r="PU70" s="83"/>
      <c r="PV70" s="83"/>
      <c r="PW70" s="83"/>
      <c r="PX70" s="83"/>
      <c r="PY70" s="83"/>
      <c r="PZ70" s="83"/>
      <c r="QA70" s="83"/>
      <c r="QB70" s="83"/>
      <c r="QC70" s="83"/>
      <c r="QD70" s="83"/>
      <c r="QE70" s="83"/>
      <c r="QF70" s="83"/>
      <c r="QG70" s="83"/>
      <c r="QH70" s="83"/>
      <c r="QI70" s="83"/>
      <c r="QJ70" s="83"/>
      <c r="QK70" s="83"/>
      <c r="QL70" s="83"/>
      <c r="QM70" s="83"/>
      <c r="QN70" s="83"/>
      <c r="QO70" s="83"/>
      <c r="QP70" s="83"/>
      <c r="QQ70" s="83"/>
      <c r="QR70" s="83"/>
      <c r="QS70" s="83"/>
      <c r="QT70" s="83"/>
      <c r="QU70" s="83"/>
      <c r="QV70" s="83"/>
      <c r="QW70" s="83"/>
      <c r="QX70" s="83"/>
      <c r="QY70" s="83"/>
      <c r="QZ70" s="83"/>
      <c r="RA70" s="83"/>
      <c r="RB70" s="83"/>
      <c r="RC70" s="83"/>
      <c r="RD70" s="83"/>
      <c r="RE70" s="83"/>
      <c r="RF70" s="83"/>
      <c r="RG70" s="83"/>
      <c r="RH70" s="83"/>
      <c r="RI70" s="83"/>
      <c r="RJ70" s="83"/>
      <c r="RK70" s="83"/>
      <c r="RL70" s="83"/>
      <c r="RM70" s="83"/>
      <c r="RN70" s="83"/>
      <c r="RO70" s="83"/>
      <c r="RP70" s="83"/>
      <c r="RQ70" s="83"/>
      <c r="RR70" s="83"/>
      <c r="RS70" s="83"/>
      <c r="RT70" s="83"/>
      <c r="RU70" s="83"/>
      <c r="RV70" s="83"/>
      <c r="RW70" s="83"/>
      <c r="RX70" s="83"/>
      <c r="RY70" s="83"/>
      <c r="RZ70" s="83"/>
      <c r="SA70" s="83"/>
      <c r="SB70" s="83"/>
      <c r="SC70" s="83"/>
      <c r="SD70" s="83"/>
      <c r="SE70" s="83"/>
      <c r="SF70" s="83"/>
      <c r="SG70" s="83"/>
      <c r="SH70" s="83"/>
      <c r="SI70" s="83"/>
      <c r="SJ70" s="83"/>
      <c r="SK70" s="83"/>
      <c r="SL70" s="83"/>
      <c r="SM70" s="83"/>
      <c r="SN70" s="83"/>
      <c r="SO70" s="83"/>
      <c r="SP70" s="83"/>
      <c r="SQ70" s="83"/>
      <c r="SR70" s="83"/>
      <c r="SS70" s="83"/>
      <c r="ST70" s="83"/>
      <c r="SU70" s="83"/>
      <c r="SV70" s="83"/>
      <c r="SW70" s="83"/>
      <c r="SX70" s="83"/>
      <c r="SY70" s="83"/>
      <c r="SZ70" s="83"/>
      <c r="TA70" s="83"/>
      <c r="TB70" s="83"/>
      <c r="TC70" s="83"/>
      <c r="TD70" s="83"/>
      <c r="TE70" s="83"/>
      <c r="TF70" s="83"/>
      <c r="TG70" s="83"/>
      <c r="TH70" s="83"/>
      <c r="TI70" s="83"/>
      <c r="TJ70" s="83"/>
      <c r="TK70" s="83"/>
      <c r="TL70" s="83"/>
      <c r="TM70" s="83"/>
      <c r="TN70" s="83"/>
      <c r="TO70" s="83"/>
      <c r="TP70" s="83"/>
      <c r="TQ70" s="83"/>
      <c r="TR70" s="83"/>
      <c r="TS70" s="83"/>
      <c r="TT70" s="83"/>
      <c r="TU70" s="83"/>
      <c r="TV70" s="83"/>
      <c r="TW70" s="83"/>
      <c r="TX70" s="83"/>
      <c r="TY70" s="83"/>
      <c r="TZ70" s="83"/>
      <c r="UA70" s="83"/>
      <c r="UB70" s="83"/>
      <c r="UC70" s="83"/>
      <c r="UD70" s="83"/>
      <c r="UE70" s="83"/>
      <c r="UF70" s="83"/>
      <c r="UG70" s="83"/>
      <c r="UH70" s="83"/>
      <c r="UI70" s="83"/>
      <c r="UJ70" s="83"/>
      <c r="UK70" s="83"/>
      <c r="UL70" s="83"/>
      <c r="UM70" s="83"/>
      <c r="UN70" s="83"/>
      <c r="UO70" s="83"/>
      <c r="UP70" s="83"/>
      <c r="UQ70" s="83"/>
      <c r="UR70" s="83"/>
      <c r="US70" s="83"/>
      <c r="UT70" s="83"/>
      <c r="UU70" s="83"/>
      <c r="UV70" s="83"/>
      <c r="UW70" s="83"/>
      <c r="UX70" s="83"/>
      <c r="UY70" s="83"/>
      <c r="UZ70" s="83"/>
      <c r="VA70" s="83"/>
      <c r="VB70" s="83"/>
      <c r="VC70" s="83"/>
      <c r="VD70" s="83"/>
      <c r="VE70" s="83"/>
      <c r="VF70" s="83"/>
      <c r="VG70" s="83"/>
      <c r="VH70" s="83"/>
      <c r="VI70" s="83"/>
      <c r="VJ70" s="83"/>
      <c r="VK70" s="83"/>
      <c r="VL70" s="83"/>
      <c r="VM70" s="83"/>
      <c r="VN70" s="83"/>
      <c r="VO70" s="83"/>
      <c r="VP70" s="83"/>
      <c r="VQ70" s="83"/>
      <c r="VR70" s="83"/>
      <c r="VS70" s="83"/>
      <c r="VT70" s="83"/>
      <c r="VU70" s="83"/>
      <c r="VV70" s="83"/>
      <c r="VW70" s="83"/>
      <c r="VX70" s="83"/>
      <c r="VY70" s="83"/>
      <c r="VZ70" s="83"/>
      <c r="WA70" s="83"/>
      <c r="WB70" s="83"/>
      <c r="WC70" s="83"/>
      <c r="WD70" s="83"/>
      <c r="WE70" s="83"/>
      <c r="WF70" s="83"/>
      <c r="WG70" s="83"/>
      <c r="WH70" s="83"/>
      <c r="WI70" s="83"/>
      <c r="WJ70" s="83"/>
      <c r="WK70" s="83"/>
      <c r="WL70" s="83"/>
      <c r="WM70" s="83"/>
      <c r="WN70" s="83"/>
      <c r="WO70" s="83"/>
      <c r="WP70" s="83"/>
      <c r="WQ70" s="83"/>
      <c r="WR70" s="83"/>
      <c r="WS70" s="83"/>
      <c r="WT70" s="83"/>
      <c r="WU70" s="83"/>
      <c r="WV70" s="83"/>
      <c r="WW70" s="83"/>
      <c r="WX70" s="83"/>
      <c r="WY70" s="83"/>
      <c r="WZ70" s="83"/>
      <c r="XA70" s="83"/>
      <c r="XB70" s="83"/>
      <c r="XC70" s="83"/>
      <c r="XD70" s="83"/>
      <c r="XE70" s="83"/>
      <c r="XF70" s="83"/>
      <c r="XG70" s="83"/>
      <c r="XH70" s="83"/>
      <c r="XI70" s="83"/>
      <c r="XJ70" s="83"/>
      <c r="XK70" s="83"/>
      <c r="XL70" s="83"/>
      <c r="XM70" s="83"/>
      <c r="XN70" s="83"/>
      <c r="XO70" s="83"/>
      <c r="XP70" s="83"/>
      <c r="XQ70" s="83"/>
      <c r="XR70" s="83"/>
      <c r="XS70" s="83"/>
      <c r="XT70" s="83"/>
      <c r="XU70" s="83"/>
      <c r="XV70" s="83"/>
      <c r="XW70" s="83"/>
      <c r="XX70" s="83"/>
      <c r="XY70" s="83"/>
      <c r="XZ70" s="83"/>
      <c r="YA70" s="83"/>
      <c r="YB70" s="83"/>
      <c r="YC70" s="83"/>
      <c r="YD70" s="83"/>
      <c r="YE70" s="83"/>
      <c r="YF70" s="83"/>
      <c r="YG70" s="83"/>
      <c r="YH70" s="83"/>
      <c r="YI70" s="83"/>
      <c r="YJ70" s="83"/>
      <c r="YK70" s="83"/>
      <c r="YL70" s="83"/>
      <c r="YM70" s="83"/>
      <c r="YN70" s="83"/>
      <c r="YO70" s="83"/>
      <c r="YP70" s="83"/>
      <c r="YQ70" s="83"/>
      <c r="YR70" s="83"/>
      <c r="YS70" s="83"/>
      <c r="YT70" s="83"/>
      <c r="YU70" s="83"/>
      <c r="YV70" s="83"/>
      <c r="YW70" s="83"/>
      <c r="YX70" s="83"/>
      <c r="YY70" s="83"/>
      <c r="YZ70" s="83"/>
      <c r="ZA70" s="83"/>
      <c r="ZB70" s="83"/>
      <c r="ZC70" s="83"/>
      <c r="ZD70" s="83"/>
      <c r="ZE70" s="83"/>
      <c r="ZF70" s="83"/>
      <c r="ZG70" s="83"/>
      <c r="ZH70" s="83"/>
      <c r="ZI70" s="83"/>
      <c r="ZJ70" s="83"/>
      <c r="ZK70" s="83"/>
      <c r="ZL70" s="83"/>
      <c r="ZM70" s="83"/>
      <c r="ZN70" s="83"/>
      <c r="ZO70" s="83"/>
      <c r="ZP70" s="83"/>
      <c r="ZQ70" s="83"/>
      <c r="ZR70" s="83"/>
      <c r="ZS70" s="83"/>
      <c r="ZT70" s="83"/>
      <c r="ZU70" s="83"/>
      <c r="ZV70" s="83"/>
      <c r="ZW70" s="83"/>
      <c r="ZX70" s="83"/>
      <c r="ZY70" s="83"/>
      <c r="ZZ70" s="83"/>
      <c r="AAA70" s="83"/>
      <c r="AAB70" s="83"/>
      <c r="AAC70" s="83"/>
      <c r="AAD70" s="83"/>
      <c r="AAE70" s="83"/>
      <c r="AAF70" s="83"/>
      <c r="AAG70" s="83"/>
      <c r="AAH70" s="83"/>
      <c r="AAI70" s="83"/>
      <c r="AAJ70" s="83"/>
      <c r="AAK70" s="83"/>
      <c r="AAL70" s="83"/>
      <c r="AAM70" s="83"/>
      <c r="AAN70" s="83"/>
      <c r="AAO70" s="83"/>
      <c r="AAP70" s="83"/>
      <c r="AAQ70" s="83"/>
      <c r="AAR70" s="83"/>
      <c r="AAS70" s="83"/>
      <c r="AAT70" s="83"/>
      <c r="AAU70" s="83"/>
      <c r="AAV70" s="83"/>
      <c r="AAW70" s="83"/>
      <c r="AAX70" s="83"/>
      <c r="AAY70" s="83"/>
      <c r="AAZ70" s="83"/>
      <c r="ABA70" s="83"/>
      <c r="ABB70" s="83"/>
      <c r="ABC70" s="83"/>
      <c r="ABD70" s="83"/>
      <c r="ABE70" s="83"/>
      <c r="ABF70" s="83"/>
      <c r="ABG70" s="83"/>
      <c r="ABH70" s="83"/>
      <c r="ABI70" s="83"/>
      <c r="ABJ70" s="83"/>
      <c r="ABK70" s="83"/>
      <c r="ABL70" s="83"/>
      <c r="ABM70" s="83"/>
      <c r="ABN70" s="83"/>
      <c r="ABO70" s="83"/>
      <c r="ABP70" s="83"/>
      <c r="ABQ70" s="83"/>
      <c r="ABR70" s="83"/>
      <c r="ABS70" s="83"/>
      <c r="ABT70" s="83"/>
      <c r="ABU70" s="83"/>
      <c r="ABV70" s="83"/>
      <c r="ABW70" s="83"/>
      <c r="ABX70" s="83"/>
      <c r="ABY70" s="83"/>
      <c r="ABZ70" s="83"/>
      <c r="ACA70" s="83"/>
      <c r="ACB70" s="83"/>
      <c r="ACC70" s="83"/>
      <c r="ACD70" s="83"/>
      <c r="ACE70" s="83"/>
      <c r="ACF70" s="83"/>
      <c r="ACG70" s="83"/>
      <c r="ACH70" s="83"/>
      <c r="ACI70" s="83"/>
      <c r="ACJ70" s="83"/>
      <c r="ACK70" s="83"/>
      <c r="ACL70" s="83"/>
      <c r="ACM70" s="83"/>
      <c r="ACN70" s="83"/>
      <c r="ACO70" s="83"/>
      <c r="ACP70" s="83"/>
      <c r="ACQ70" s="83"/>
      <c r="ACR70" s="83"/>
      <c r="ACS70" s="83"/>
      <c r="ACT70" s="83"/>
      <c r="ACU70" s="83"/>
      <c r="ACV70" s="83"/>
      <c r="ACW70" s="83"/>
      <c r="ACX70" s="83"/>
      <c r="ACY70" s="83"/>
      <c r="ACZ70" s="83"/>
      <c r="ADA70" s="83"/>
      <c r="ADB70" s="83"/>
      <c r="ADC70" s="83"/>
      <c r="ADD70" s="83"/>
      <c r="ADE70" s="83"/>
      <c r="ADF70" s="83"/>
      <c r="ADG70" s="83"/>
      <c r="ADH70" s="83"/>
      <c r="ADI70" s="83"/>
      <c r="ADJ70" s="83"/>
      <c r="ADK70" s="83"/>
      <c r="ADL70" s="83"/>
      <c r="ADM70" s="83"/>
      <c r="ADN70" s="83"/>
      <c r="ADO70" s="83"/>
      <c r="ADP70" s="83"/>
      <c r="ADQ70" s="83"/>
      <c r="ADR70" s="83"/>
      <c r="ADS70" s="83"/>
      <c r="ADT70" s="83"/>
      <c r="ADU70" s="83"/>
      <c r="ADV70" s="83"/>
      <c r="ADW70" s="83"/>
      <c r="ADX70" s="83"/>
      <c r="ADY70" s="83"/>
      <c r="ADZ70" s="83"/>
      <c r="AEA70" s="83"/>
      <c r="AEB70" s="83"/>
      <c r="AEC70" s="83"/>
      <c r="AED70" s="83"/>
      <c r="AEE70" s="83"/>
      <c r="AEF70" s="83"/>
      <c r="AEG70" s="83"/>
      <c r="AEH70" s="83"/>
      <c r="AEI70" s="83"/>
      <c r="AEJ70" s="83"/>
      <c r="AEK70" s="83"/>
      <c r="AEL70" s="83"/>
      <c r="AEM70" s="83"/>
      <c r="AEN70" s="83"/>
      <c r="AEO70" s="83"/>
      <c r="AEP70" s="83"/>
      <c r="AEQ70" s="83"/>
      <c r="AER70" s="83"/>
      <c r="AES70" s="83"/>
      <c r="AET70" s="83"/>
      <c r="AEU70" s="83"/>
      <c r="AEV70" s="83"/>
      <c r="AEW70" s="83"/>
      <c r="AEX70" s="83"/>
      <c r="AEY70" s="83"/>
      <c r="AEZ70" s="83"/>
      <c r="AFA70" s="83"/>
      <c r="AFB70" s="83"/>
      <c r="AFC70" s="83"/>
      <c r="AFD70" s="83"/>
      <c r="AFE70" s="83"/>
      <c r="AFF70" s="83"/>
      <c r="AFG70" s="83"/>
      <c r="AFH70" s="83"/>
      <c r="AFI70" s="83"/>
      <c r="AFJ70" s="83"/>
      <c r="AFK70" s="83"/>
      <c r="AFL70" s="83"/>
      <c r="AFM70" s="83"/>
      <c r="AFN70" s="83"/>
      <c r="AFO70" s="83"/>
      <c r="AFP70" s="83"/>
      <c r="AFQ70" s="83"/>
      <c r="AFR70" s="83"/>
      <c r="AFS70" s="83"/>
      <c r="AFT70" s="83"/>
      <c r="AFU70" s="83"/>
      <c r="AFV70" s="83"/>
      <c r="AFW70" s="83"/>
      <c r="AFX70" s="83"/>
      <c r="AFY70" s="83"/>
      <c r="AFZ70" s="83"/>
      <c r="AGA70" s="83"/>
      <c r="AGB70" s="83"/>
      <c r="AGC70" s="83"/>
      <c r="AGD70" s="83"/>
      <c r="AGE70" s="83"/>
      <c r="AGF70" s="83"/>
      <c r="AGG70" s="83"/>
      <c r="AGH70" s="83"/>
      <c r="AGI70" s="83"/>
      <c r="AGJ70" s="83"/>
      <c r="AGK70" s="83"/>
      <c r="AGL70" s="83"/>
      <c r="AGM70" s="83"/>
      <c r="AGN70" s="83"/>
      <c r="AGO70" s="83"/>
      <c r="AGP70" s="83"/>
      <c r="AGQ70" s="83"/>
      <c r="AGR70" s="83"/>
      <c r="AGS70" s="83"/>
      <c r="AGT70" s="83"/>
      <c r="AGU70" s="83"/>
      <c r="AGV70" s="83"/>
      <c r="AGW70" s="83"/>
      <c r="AGX70" s="83"/>
      <c r="AGY70" s="83"/>
      <c r="AGZ70" s="83"/>
      <c r="AHA70" s="83"/>
      <c r="AHB70" s="83"/>
      <c r="AHC70" s="83"/>
      <c r="AHD70" s="83"/>
      <c r="AHE70" s="83"/>
      <c r="AHF70" s="83"/>
      <c r="AHG70" s="83"/>
      <c r="AHH70" s="83"/>
      <c r="AHI70" s="83"/>
      <c r="AHJ70" s="83"/>
      <c r="AHK70" s="83"/>
      <c r="AHL70" s="83"/>
      <c r="AHM70" s="83"/>
      <c r="AHN70" s="83"/>
      <c r="AHO70" s="83"/>
      <c r="AHP70" s="83"/>
      <c r="AHQ70" s="83"/>
      <c r="AHR70" s="83"/>
      <c r="AHS70" s="83"/>
      <c r="AHT70" s="83"/>
      <c r="AHU70" s="83"/>
      <c r="AHV70" s="83"/>
      <c r="AHW70" s="83"/>
      <c r="AHX70" s="83"/>
      <c r="AHY70" s="83"/>
      <c r="AHZ70" s="83"/>
      <c r="AIA70" s="83"/>
      <c r="AIB70" s="83"/>
      <c r="AIC70" s="83"/>
      <c r="AID70" s="83"/>
      <c r="AIE70" s="83"/>
      <c r="AIF70" s="83"/>
      <c r="AIG70" s="83"/>
      <c r="AIH70" s="83"/>
      <c r="AII70" s="83"/>
      <c r="AIJ70" s="83"/>
      <c r="AIK70" s="83"/>
      <c r="AIL70" s="83"/>
      <c r="AIM70" s="83"/>
      <c r="AIN70" s="83"/>
      <c r="AIO70" s="83"/>
      <c r="AIP70" s="83"/>
      <c r="AIQ70" s="83"/>
      <c r="AIR70" s="83"/>
      <c r="AIS70" s="83"/>
      <c r="AIT70" s="83"/>
      <c r="AIU70" s="83"/>
      <c r="AIV70" s="83"/>
      <c r="AIW70" s="83"/>
      <c r="AIX70" s="83"/>
      <c r="AIY70" s="83"/>
      <c r="AIZ70" s="83"/>
      <c r="AJA70" s="83"/>
      <c r="AJB70" s="83"/>
      <c r="AJC70" s="83"/>
      <c r="AJD70" s="83"/>
      <c r="AJE70" s="83"/>
      <c r="AJF70" s="83"/>
      <c r="AJG70" s="83"/>
      <c r="AJH70" s="83"/>
      <c r="AJI70" s="83"/>
      <c r="AJJ70" s="83"/>
      <c r="AJK70" s="83"/>
      <c r="AJL70" s="83"/>
      <c r="AJM70" s="83"/>
      <c r="AJN70" s="83"/>
      <c r="AJO70" s="83"/>
      <c r="AJP70" s="83"/>
      <c r="AJQ70" s="83"/>
      <c r="AJR70" s="83"/>
      <c r="AJS70" s="83"/>
      <c r="AJT70" s="83"/>
      <c r="AJU70" s="83"/>
      <c r="AJV70" s="83"/>
      <c r="AJW70" s="83"/>
      <c r="AJX70" s="83"/>
      <c r="AJY70" s="83"/>
      <c r="AJZ70" s="83"/>
      <c r="AKA70" s="83"/>
      <c r="AKB70" s="83"/>
      <c r="AKC70" s="83"/>
      <c r="AKD70" s="83"/>
      <c r="AKE70" s="83"/>
      <c r="AKF70" s="83"/>
      <c r="AKG70" s="83"/>
      <c r="AKH70" s="83"/>
      <c r="AKI70" s="83"/>
      <c r="AKJ70" s="83"/>
      <c r="AKK70" s="83"/>
      <c r="AKL70" s="83"/>
      <c r="AKM70" s="83"/>
      <c r="AKN70" s="83"/>
      <c r="AKO70" s="83"/>
      <c r="AKP70" s="83"/>
      <c r="AKQ70" s="83"/>
      <c r="AKR70" s="83"/>
      <c r="AKS70" s="83"/>
      <c r="AKT70" s="83"/>
      <c r="AKU70" s="83"/>
      <c r="AKV70" s="83"/>
      <c r="AKW70" s="83"/>
      <c r="AKX70" s="83"/>
      <c r="AKY70" s="83"/>
      <c r="AKZ70" s="83"/>
      <c r="ALA70" s="83"/>
      <c r="ALB70" s="83"/>
      <c r="ALC70" s="83"/>
      <c r="ALD70" s="83"/>
      <c r="ALE70" s="83"/>
      <c r="ALF70" s="83"/>
      <c r="ALG70" s="83"/>
      <c r="ALH70" s="83"/>
      <c r="ALI70" s="83"/>
      <c r="ALJ70" s="83"/>
      <c r="ALK70" s="83"/>
      <c r="ALL70" s="83"/>
      <c r="ALM70" s="83"/>
      <c r="ALN70" s="83"/>
      <c r="ALO70" s="83"/>
      <c r="ALP70" s="83"/>
      <c r="ALQ70" s="83"/>
      <c r="ALR70" s="83"/>
      <c r="ALS70" s="83"/>
      <c r="ALT70" s="83"/>
      <c r="ALU70" s="83"/>
      <c r="ALV70" s="83"/>
      <c r="ALW70" s="83"/>
      <c r="ALX70" s="83"/>
      <c r="ALY70" s="83"/>
      <c r="ALZ70" s="83"/>
      <c r="AMA70" s="83"/>
      <c r="AMB70" s="83"/>
      <c r="AMC70" s="83"/>
      <c r="AMD70" s="83"/>
      <c r="AME70" s="83"/>
      <c r="AMF70" s="83"/>
      <c r="AMG70" s="83"/>
      <c r="AMH70" s="83"/>
      <c r="AMI70" s="83"/>
      <c r="AMJ70" s="83"/>
    </row>
    <row r="71" spans="12:1024" ht="15.95" customHeight="1" x14ac:dyDescent="0.2">
      <c r="L71" s="83"/>
      <c r="M71" s="84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  <c r="IW71" s="83"/>
      <c r="IX71" s="83"/>
      <c r="IY71" s="83"/>
      <c r="IZ71" s="83"/>
      <c r="JA71" s="83"/>
      <c r="JB71" s="83"/>
      <c r="JC71" s="83"/>
      <c r="JD71" s="83"/>
      <c r="JE71" s="83"/>
      <c r="JF71" s="83"/>
      <c r="JG71" s="83"/>
      <c r="JH71" s="83"/>
      <c r="JI71" s="83"/>
      <c r="JJ71" s="83"/>
      <c r="JK71" s="83"/>
      <c r="JL71" s="83"/>
      <c r="JM71" s="83"/>
      <c r="JN71" s="83"/>
      <c r="JO71" s="83"/>
      <c r="JP71" s="83"/>
      <c r="JQ71" s="83"/>
      <c r="JR71" s="83"/>
      <c r="JS71" s="83"/>
      <c r="JT71" s="83"/>
      <c r="JU71" s="83"/>
      <c r="JV71" s="83"/>
      <c r="JW71" s="83"/>
      <c r="JX71" s="83"/>
      <c r="JY71" s="83"/>
      <c r="JZ71" s="83"/>
      <c r="KA71" s="83"/>
      <c r="KB71" s="83"/>
      <c r="KC71" s="83"/>
      <c r="KD71" s="83"/>
      <c r="KE71" s="83"/>
      <c r="KF71" s="83"/>
      <c r="KG71" s="83"/>
      <c r="KH71" s="83"/>
      <c r="KI71" s="83"/>
      <c r="KJ71" s="83"/>
      <c r="KK71" s="83"/>
      <c r="KL71" s="83"/>
      <c r="KM71" s="83"/>
      <c r="KN71" s="83"/>
      <c r="KO71" s="83"/>
      <c r="KP71" s="83"/>
      <c r="KQ71" s="83"/>
      <c r="KR71" s="83"/>
      <c r="KS71" s="83"/>
      <c r="KT71" s="83"/>
      <c r="KU71" s="83"/>
      <c r="KV71" s="83"/>
      <c r="KW71" s="83"/>
      <c r="KX71" s="83"/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83"/>
      <c r="LL71" s="83"/>
      <c r="LM71" s="83"/>
      <c r="LN71" s="83"/>
      <c r="LO71" s="83"/>
      <c r="LP71" s="83"/>
      <c r="LQ71" s="83"/>
      <c r="LR71" s="83"/>
      <c r="LS71" s="83"/>
      <c r="LT71" s="83"/>
      <c r="LU71" s="83"/>
      <c r="LV71" s="83"/>
      <c r="LW71" s="83"/>
      <c r="LX71" s="83"/>
      <c r="LY71" s="83"/>
      <c r="LZ71" s="83"/>
      <c r="MA71" s="83"/>
      <c r="MB71" s="83"/>
      <c r="MC71" s="83"/>
      <c r="MD71" s="83"/>
      <c r="ME71" s="83"/>
      <c r="MF71" s="83"/>
      <c r="MG71" s="83"/>
      <c r="MH71" s="83"/>
      <c r="MI71" s="83"/>
      <c r="MJ71" s="83"/>
      <c r="MK71" s="83"/>
      <c r="ML71" s="83"/>
      <c r="MM71" s="83"/>
      <c r="MN71" s="83"/>
      <c r="MO71" s="83"/>
      <c r="MP71" s="83"/>
      <c r="MQ71" s="83"/>
      <c r="MR71" s="83"/>
      <c r="MS71" s="83"/>
      <c r="MT71" s="83"/>
      <c r="MU71" s="83"/>
      <c r="MV71" s="83"/>
      <c r="MW71" s="83"/>
      <c r="MX71" s="83"/>
      <c r="MY71" s="83"/>
      <c r="MZ71" s="83"/>
      <c r="NA71" s="83"/>
      <c r="NB71" s="83"/>
      <c r="NC71" s="83"/>
      <c r="ND71" s="83"/>
      <c r="NE71" s="83"/>
      <c r="NF71" s="83"/>
      <c r="NG71" s="83"/>
      <c r="NH71" s="83"/>
      <c r="NI71" s="83"/>
      <c r="NJ71" s="83"/>
      <c r="NK71" s="83"/>
      <c r="NL71" s="83"/>
      <c r="NM71" s="83"/>
      <c r="NN71" s="83"/>
      <c r="NO71" s="83"/>
      <c r="NP71" s="83"/>
      <c r="NQ71" s="83"/>
      <c r="NR71" s="83"/>
      <c r="NS71" s="83"/>
      <c r="NT71" s="83"/>
      <c r="NU71" s="83"/>
      <c r="NV71" s="83"/>
      <c r="NW71" s="83"/>
      <c r="NX71" s="83"/>
      <c r="NY71" s="83"/>
      <c r="NZ71" s="83"/>
      <c r="OA71" s="83"/>
      <c r="OB71" s="83"/>
      <c r="OC71" s="83"/>
      <c r="OD71" s="83"/>
      <c r="OE71" s="83"/>
      <c r="OF71" s="83"/>
      <c r="OG71" s="83"/>
      <c r="OH71" s="83"/>
      <c r="OI71" s="83"/>
      <c r="OJ71" s="83"/>
      <c r="OK71" s="83"/>
      <c r="OL71" s="83"/>
      <c r="OM71" s="83"/>
      <c r="ON71" s="83"/>
      <c r="OO71" s="83"/>
      <c r="OP71" s="83"/>
      <c r="OQ71" s="83"/>
      <c r="OR71" s="83"/>
      <c r="OS71" s="83"/>
      <c r="OT71" s="83"/>
      <c r="OU71" s="83"/>
      <c r="OV71" s="83"/>
      <c r="OW71" s="83"/>
      <c r="OX71" s="83"/>
      <c r="OY71" s="83"/>
      <c r="OZ71" s="83"/>
      <c r="PA71" s="83"/>
      <c r="PB71" s="83"/>
      <c r="PC71" s="83"/>
      <c r="PD71" s="83"/>
      <c r="PE71" s="83"/>
      <c r="PF71" s="83"/>
      <c r="PG71" s="83"/>
      <c r="PH71" s="83"/>
      <c r="PI71" s="83"/>
      <c r="PJ71" s="83"/>
      <c r="PK71" s="83"/>
      <c r="PL71" s="83"/>
      <c r="PM71" s="83"/>
      <c r="PN71" s="83"/>
      <c r="PO71" s="83"/>
      <c r="PP71" s="83"/>
      <c r="PQ71" s="83"/>
      <c r="PR71" s="83"/>
      <c r="PS71" s="83"/>
      <c r="PT71" s="83"/>
      <c r="PU71" s="83"/>
      <c r="PV71" s="83"/>
      <c r="PW71" s="83"/>
      <c r="PX71" s="83"/>
      <c r="PY71" s="83"/>
      <c r="PZ71" s="83"/>
      <c r="QA71" s="83"/>
      <c r="QB71" s="83"/>
      <c r="QC71" s="83"/>
      <c r="QD71" s="83"/>
      <c r="QE71" s="83"/>
      <c r="QF71" s="83"/>
      <c r="QG71" s="83"/>
      <c r="QH71" s="83"/>
      <c r="QI71" s="83"/>
      <c r="QJ71" s="83"/>
      <c r="QK71" s="83"/>
      <c r="QL71" s="83"/>
      <c r="QM71" s="83"/>
      <c r="QN71" s="83"/>
      <c r="QO71" s="83"/>
      <c r="QP71" s="83"/>
      <c r="QQ71" s="83"/>
      <c r="QR71" s="83"/>
      <c r="QS71" s="83"/>
      <c r="QT71" s="83"/>
      <c r="QU71" s="83"/>
      <c r="QV71" s="83"/>
      <c r="QW71" s="83"/>
      <c r="QX71" s="83"/>
      <c r="QY71" s="83"/>
      <c r="QZ71" s="83"/>
      <c r="RA71" s="83"/>
      <c r="RB71" s="83"/>
      <c r="RC71" s="83"/>
      <c r="RD71" s="83"/>
      <c r="RE71" s="83"/>
      <c r="RF71" s="83"/>
      <c r="RG71" s="83"/>
      <c r="RH71" s="83"/>
      <c r="RI71" s="83"/>
      <c r="RJ71" s="83"/>
      <c r="RK71" s="83"/>
      <c r="RL71" s="83"/>
      <c r="RM71" s="83"/>
      <c r="RN71" s="83"/>
      <c r="RO71" s="83"/>
      <c r="RP71" s="83"/>
      <c r="RQ71" s="83"/>
      <c r="RR71" s="83"/>
      <c r="RS71" s="83"/>
      <c r="RT71" s="83"/>
      <c r="RU71" s="83"/>
      <c r="RV71" s="83"/>
      <c r="RW71" s="83"/>
      <c r="RX71" s="83"/>
      <c r="RY71" s="83"/>
      <c r="RZ71" s="83"/>
      <c r="SA71" s="83"/>
      <c r="SB71" s="83"/>
      <c r="SC71" s="83"/>
      <c r="SD71" s="83"/>
      <c r="SE71" s="83"/>
      <c r="SF71" s="83"/>
      <c r="SG71" s="83"/>
      <c r="SH71" s="83"/>
      <c r="SI71" s="83"/>
      <c r="SJ71" s="83"/>
      <c r="SK71" s="83"/>
      <c r="SL71" s="83"/>
      <c r="SM71" s="83"/>
      <c r="SN71" s="83"/>
      <c r="SO71" s="83"/>
      <c r="SP71" s="83"/>
      <c r="SQ71" s="83"/>
      <c r="SR71" s="83"/>
      <c r="SS71" s="83"/>
      <c r="ST71" s="83"/>
      <c r="SU71" s="83"/>
      <c r="SV71" s="83"/>
      <c r="SW71" s="83"/>
      <c r="SX71" s="83"/>
      <c r="SY71" s="83"/>
      <c r="SZ71" s="83"/>
      <c r="TA71" s="83"/>
      <c r="TB71" s="83"/>
      <c r="TC71" s="83"/>
      <c r="TD71" s="83"/>
      <c r="TE71" s="83"/>
      <c r="TF71" s="83"/>
      <c r="TG71" s="83"/>
      <c r="TH71" s="83"/>
      <c r="TI71" s="83"/>
      <c r="TJ71" s="83"/>
      <c r="TK71" s="83"/>
      <c r="TL71" s="83"/>
      <c r="TM71" s="83"/>
      <c r="TN71" s="83"/>
      <c r="TO71" s="83"/>
      <c r="TP71" s="83"/>
      <c r="TQ71" s="83"/>
      <c r="TR71" s="83"/>
      <c r="TS71" s="83"/>
      <c r="TT71" s="83"/>
      <c r="TU71" s="83"/>
      <c r="TV71" s="83"/>
      <c r="TW71" s="83"/>
      <c r="TX71" s="83"/>
      <c r="TY71" s="83"/>
      <c r="TZ71" s="83"/>
      <c r="UA71" s="83"/>
      <c r="UB71" s="83"/>
      <c r="UC71" s="83"/>
      <c r="UD71" s="83"/>
      <c r="UE71" s="83"/>
      <c r="UF71" s="83"/>
      <c r="UG71" s="83"/>
      <c r="UH71" s="83"/>
      <c r="UI71" s="83"/>
      <c r="UJ71" s="83"/>
      <c r="UK71" s="83"/>
      <c r="UL71" s="83"/>
      <c r="UM71" s="83"/>
      <c r="UN71" s="83"/>
      <c r="UO71" s="83"/>
      <c r="UP71" s="83"/>
      <c r="UQ71" s="83"/>
      <c r="UR71" s="83"/>
      <c r="US71" s="83"/>
      <c r="UT71" s="83"/>
      <c r="UU71" s="83"/>
      <c r="UV71" s="83"/>
      <c r="UW71" s="83"/>
      <c r="UX71" s="83"/>
      <c r="UY71" s="83"/>
      <c r="UZ71" s="83"/>
      <c r="VA71" s="83"/>
      <c r="VB71" s="83"/>
      <c r="VC71" s="83"/>
      <c r="VD71" s="83"/>
      <c r="VE71" s="83"/>
      <c r="VF71" s="83"/>
      <c r="VG71" s="83"/>
      <c r="VH71" s="83"/>
      <c r="VI71" s="83"/>
      <c r="VJ71" s="83"/>
      <c r="VK71" s="83"/>
      <c r="VL71" s="83"/>
      <c r="VM71" s="83"/>
      <c r="VN71" s="83"/>
      <c r="VO71" s="83"/>
      <c r="VP71" s="83"/>
      <c r="VQ71" s="83"/>
      <c r="VR71" s="83"/>
      <c r="VS71" s="83"/>
      <c r="VT71" s="83"/>
      <c r="VU71" s="83"/>
      <c r="VV71" s="83"/>
      <c r="VW71" s="83"/>
      <c r="VX71" s="83"/>
      <c r="VY71" s="83"/>
      <c r="VZ71" s="83"/>
      <c r="WA71" s="83"/>
      <c r="WB71" s="83"/>
      <c r="WC71" s="83"/>
      <c r="WD71" s="83"/>
      <c r="WE71" s="83"/>
      <c r="WF71" s="83"/>
      <c r="WG71" s="83"/>
      <c r="WH71" s="83"/>
      <c r="WI71" s="83"/>
      <c r="WJ71" s="83"/>
      <c r="WK71" s="83"/>
      <c r="WL71" s="83"/>
      <c r="WM71" s="83"/>
      <c r="WN71" s="83"/>
      <c r="WO71" s="83"/>
      <c r="WP71" s="83"/>
      <c r="WQ71" s="83"/>
      <c r="WR71" s="83"/>
      <c r="WS71" s="83"/>
      <c r="WT71" s="83"/>
      <c r="WU71" s="83"/>
      <c r="WV71" s="83"/>
      <c r="WW71" s="83"/>
      <c r="WX71" s="83"/>
      <c r="WY71" s="83"/>
      <c r="WZ71" s="83"/>
      <c r="XA71" s="83"/>
      <c r="XB71" s="83"/>
      <c r="XC71" s="83"/>
      <c r="XD71" s="83"/>
      <c r="XE71" s="83"/>
      <c r="XF71" s="83"/>
      <c r="XG71" s="83"/>
      <c r="XH71" s="83"/>
      <c r="XI71" s="83"/>
      <c r="XJ71" s="83"/>
      <c r="XK71" s="83"/>
      <c r="XL71" s="83"/>
      <c r="XM71" s="83"/>
      <c r="XN71" s="83"/>
      <c r="XO71" s="83"/>
      <c r="XP71" s="83"/>
      <c r="XQ71" s="83"/>
      <c r="XR71" s="83"/>
      <c r="XS71" s="83"/>
      <c r="XT71" s="83"/>
      <c r="XU71" s="83"/>
      <c r="XV71" s="83"/>
      <c r="XW71" s="83"/>
      <c r="XX71" s="83"/>
      <c r="XY71" s="83"/>
      <c r="XZ71" s="83"/>
      <c r="YA71" s="83"/>
      <c r="YB71" s="83"/>
      <c r="YC71" s="83"/>
      <c r="YD71" s="83"/>
      <c r="YE71" s="83"/>
      <c r="YF71" s="83"/>
      <c r="YG71" s="83"/>
      <c r="YH71" s="83"/>
      <c r="YI71" s="83"/>
      <c r="YJ71" s="83"/>
      <c r="YK71" s="83"/>
      <c r="YL71" s="83"/>
      <c r="YM71" s="83"/>
      <c r="YN71" s="83"/>
      <c r="YO71" s="83"/>
      <c r="YP71" s="83"/>
      <c r="YQ71" s="83"/>
      <c r="YR71" s="83"/>
      <c r="YS71" s="83"/>
      <c r="YT71" s="83"/>
      <c r="YU71" s="83"/>
      <c r="YV71" s="83"/>
      <c r="YW71" s="83"/>
      <c r="YX71" s="83"/>
      <c r="YY71" s="83"/>
      <c r="YZ71" s="83"/>
      <c r="ZA71" s="83"/>
      <c r="ZB71" s="83"/>
      <c r="ZC71" s="83"/>
      <c r="ZD71" s="83"/>
      <c r="ZE71" s="83"/>
      <c r="ZF71" s="83"/>
      <c r="ZG71" s="83"/>
      <c r="ZH71" s="83"/>
      <c r="ZI71" s="83"/>
      <c r="ZJ71" s="83"/>
      <c r="ZK71" s="83"/>
      <c r="ZL71" s="83"/>
      <c r="ZM71" s="83"/>
      <c r="ZN71" s="83"/>
      <c r="ZO71" s="83"/>
      <c r="ZP71" s="83"/>
      <c r="ZQ71" s="83"/>
      <c r="ZR71" s="83"/>
      <c r="ZS71" s="83"/>
      <c r="ZT71" s="83"/>
      <c r="ZU71" s="83"/>
      <c r="ZV71" s="83"/>
      <c r="ZW71" s="83"/>
      <c r="ZX71" s="83"/>
      <c r="ZY71" s="83"/>
      <c r="ZZ71" s="83"/>
      <c r="AAA71" s="83"/>
      <c r="AAB71" s="83"/>
      <c r="AAC71" s="83"/>
      <c r="AAD71" s="83"/>
      <c r="AAE71" s="83"/>
      <c r="AAF71" s="83"/>
      <c r="AAG71" s="83"/>
      <c r="AAH71" s="83"/>
      <c r="AAI71" s="83"/>
      <c r="AAJ71" s="83"/>
      <c r="AAK71" s="83"/>
      <c r="AAL71" s="83"/>
      <c r="AAM71" s="83"/>
      <c r="AAN71" s="83"/>
      <c r="AAO71" s="83"/>
      <c r="AAP71" s="83"/>
      <c r="AAQ71" s="83"/>
      <c r="AAR71" s="83"/>
      <c r="AAS71" s="83"/>
      <c r="AAT71" s="83"/>
      <c r="AAU71" s="83"/>
      <c r="AAV71" s="83"/>
      <c r="AAW71" s="83"/>
      <c r="AAX71" s="83"/>
      <c r="AAY71" s="83"/>
      <c r="AAZ71" s="83"/>
      <c r="ABA71" s="83"/>
      <c r="ABB71" s="83"/>
      <c r="ABC71" s="83"/>
      <c r="ABD71" s="83"/>
      <c r="ABE71" s="83"/>
      <c r="ABF71" s="83"/>
      <c r="ABG71" s="83"/>
      <c r="ABH71" s="83"/>
      <c r="ABI71" s="83"/>
      <c r="ABJ71" s="83"/>
      <c r="ABK71" s="83"/>
      <c r="ABL71" s="83"/>
      <c r="ABM71" s="83"/>
      <c r="ABN71" s="83"/>
      <c r="ABO71" s="83"/>
      <c r="ABP71" s="83"/>
      <c r="ABQ71" s="83"/>
      <c r="ABR71" s="83"/>
      <c r="ABS71" s="83"/>
      <c r="ABT71" s="83"/>
      <c r="ABU71" s="83"/>
      <c r="ABV71" s="83"/>
      <c r="ABW71" s="83"/>
      <c r="ABX71" s="83"/>
      <c r="ABY71" s="83"/>
      <c r="ABZ71" s="83"/>
      <c r="ACA71" s="83"/>
      <c r="ACB71" s="83"/>
      <c r="ACC71" s="83"/>
      <c r="ACD71" s="83"/>
      <c r="ACE71" s="83"/>
      <c r="ACF71" s="83"/>
      <c r="ACG71" s="83"/>
      <c r="ACH71" s="83"/>
      <c r="ACI71" s="83"/>
      <c r="ACJ71" s="83"/>
      <c r="ACK71" s="83"/>
      <c r="ACL71" s="83"/>
      <c r="ACM71" s="83"/>
      <c r="ACN71" s="83"/>
      <c r="ACO71" s="83"/>
      <c r="ACP71" s="83"/>
      <c r="ACQ71" s="83"/>
      <c r="ACR71" s="83"/>
      <c r="ACS71" s="83"/>
      <c r="ACT71" s="83"/>
      <c r="ACU71" s="83"/>
      <c r="ACV71" s="83"/>
      <c r="ACW71" s="83"/>
      <c r="ACX71" s="83"/>
      <c r="ACY71" s="83"/>
      <c r="ACZ71" s="83"/>
      <c r="ADA71" s="83"/>
      <c r="ADB71" s="83"/>
      <c r="ADC71" s="83"/>
      <c r="ADD71" s="83"/>
      <c r="ADE71" s="83"/>
      <c r="ADF71" s="83"/>
      <c r="ADG71" s="83"/>
      <c r="ADH71" s="83"/>
      <c r="ADI71" s="83"/>
      <c r="ADJ71" s="83"/>
      <c r="ADK71" s="83"/>
      <c r="ADL71" s="83"/>
      <c r="ADM71" s="83"/>
      <c r="ADN71" s="83"/>
      <c r="ADO71" s="83"/>
      <c r="ADP71" s="83"/>
      <c r="ADQ71" s="83"/>
      <c r="ADR71" s="83"/>
      <c r="ADS71" s="83"/>
      <c r="ADT71" s="83"/>
      <c r="ADU71" s="83"/>
      <c r="ADV71" s="83"/>
      <c r="ADW71" s="83"/>
      <c r="ADX71" s="83"/>
      <c r="ADY71" s="83"/>
      <c r="ADZ71" s="83"/>
      <c r="AEA71" s="83"/>
      <c r="AEB71" s="83"/>
      <c r="AEC71" s="83"/>
      <c r="AED71" s="83"/>
      <c r="AEE71" s="83"/>
      <c r="AEF71" s="83"/>
      <c r="AEG71" s="83"/>
      <c r="AEH71" s="83"/>
      <c r="AEI71" s="83"/>
      <c r="AEJ71" s="83"/>
      <c r="AEK71" s="83"/>
      <c r="AEL71" s="83"/>
      <c r="AEM71" s="83"/>
      <c r="AEN71" s="83"/>
      <c r="AEO71" s="83"/>
      <c r="AEP71" s="83"/>
      <c r="AEQ71" s="83"/>
      <c r="AER71" s="83"/>
      <c r="AES71" s="83"/>
      <c r="AET71" s="83"/>
      <c r="AEU71" s="83"/>
      <c r="AEV71" s="83"/>
      <c r="AEW71" s="83"/>
      <c r="AEX71" s="83"/>
      <c r="AEY71" s="83"/>
      <c r="AEZ71" s="83"/>
      <c r="AFA71" s="83"/>
      <c r="AFB71" s="83"/>
      <c r="AFC71" s="83"/>
      <c r="AFD71" s="83"/>
      <c r="AFE71" s="83"/>
      <c r="AFF71" s="83"/>
      <c r="AFG71" s="83"/>
      <c r="AFH71" s="83"/>
      <c r="AFI71" s="83"/>
      <c r="AFJ71" s="83"/>
      <c r="AFK71" s="83"/>
      <c r="AFL71" s="83"/>
      <c r="AFM71" s="83"/>
      <c r="AFN71" s="83"/>
      <c r="AFO71" s="83"/>
      <c r="AFP71" s="83"/>
      <c r="AFQ71" s="83"/>
      <c r="AFR71" s="83"/>
      <c r="AFS71" s="83"/>
      <c r="AFT71" s="83"/>
      <c r="AFU71" s="83"/>
      <c r="AFV71" s="83"/>
      <c r="AFW71" s="83"/>
      <c r="AFX71" s="83"/>
      <c r="AFY71" s="83"/>
      <c r="AFZ71" s="83"/>
      <c r="AGA71" s="83"/>
      <c r="AGB71" s="83"/>
      <c r="AGC71" s="83"/>
      <c r="AGD71" s="83"/>
      <c r="AGE71" s="83"/>
      <c r="AGF71" s="83"/>
      <c r="AGG71" s="83"/>
      <c r="AGH71" s="83"/>
      <c r="AGI71" s="83"/>
      <c r="AGJ71" s="83"/>
      <c r="AGK71" s="83"/>
      <c r="AGL71" s="83"/>
      <c r="AGM71" s="83"/>
      <c r="AGN71" s="83"/>
      <c r="AGO71" s="83"/>
      <c r="AGP71" s="83"/>
      <c r="AGQ71" s="83"/>
      <c r="AGR71" s="83"/>
      <c r="AGS71" s="83"/>
      <c r="AGT71" s="83"/>
      <c r="AGU71" s="83"/>
      <c r="AGV71" s="83"/>
      <c r="AGW71" s="83"/>
      <c r="AGX71" s="83"/>
      <c r="AGY71" s="83"/>
      <c r="AGZ71" s="83"/>
      <c r="AHA71" s="83"/>
      <c r="AHB71" s="83"/>
      <c r="AHC71" s="83"/>
      <c r="AHD71" s="83"/>
      <c r="AHE71" s="83"/>
      <c r="AHF71" s="83"/>
      <c r="AHG71" s="83"/>
      <c r="AHH71" s="83"/>
      <c r="AHI71" s="83"/>
      <c r="AHJ71" s="83"/>
      <c r="AHK71" s="83"/>
      <c r="AHL71" s="83"/>
      <c r="AHM71" s="83"/>
      <c r="AHN71" s="83"/>
      <c r="AHO71" s="83"/>
      <c r="AHP71" s="83"/>
      <c r="AHQ71" s="83"/>
      <c r="AHR71" s="83"/>
      <c r="AHS71" s="83"/>
      <c r="AHT71" s="83"/>
      <c r="AHU71" s="83"/>
      <c r="AHV71" s="83"/>
      <c r="AHW71" s="83"/>
      <c r="AHX71" s="83"/>
      <c r="AHY71" s="83"/>
      <c r="AHZ71" s="83"/>
      <c r="AIA71" s="83"/>
      <c r="AIB71" s="83"/>
      <c r="AIC71" s="83"/>
      <c r="AID71" s="83"/>
      <c r="AIE71" s="83"/>
      <c r="AIF71" s="83"/>
      <c r="AIG71" s="83"/>
      <c r="AIH71" s="83"/>
      <c r="AII71" s="83"/>
      <c r="AIJ71" s="83"/>
      <c r="AIK71" s="83"/>
      <c r="AIL71" s="83"/>
      <c r="AIM71" s="83"/>
      <c r="AIN71" s="83"/>
      <c r="AIO71" s="83"/>
      <c r="AIP71" s="83"/>
      <c r="AIQ71" s="83"/>
      <c r="AIR71" s="83"/>
      <c r="AIS71" s="83"/>
      <c r="AIT71" s="83"/>
      <c r="AIU71" s="83"/>
      <c r="AIV71" s="83"/>
      <c r="AIW71" s="83"/>
      <c r="AIX71" s="83"/>
      <c r="AIY71" s="83"/>
      <c r="AIZ71" s="83"/>
      <c r="AJA71" s="83"/>
      <c r="AJB71" s="83"/>
      <c r="AJC71" s="83"/>
      <c r="AJD71" s="83"/>
      <c r="AJE71" s="83"/>
      <c r="AJF71" s="83"/>
      <c r="AJG71" s="83"/>
      <c r="AJH71" s="83"/>
      <c r="AJI71" s="83"/>
      <c r="AJJ71" s="83"/>
      <c r="AJK71" s="83"/>
      <c r="AJL71" s="83"/>
      <c r="AJM71" s="83"/>
      <c r="AJN71" s="83"/>
      <c r="AJO71" s="83"/>
      <c r="AJP71" s="83"/>
      <c r="AJQ71" s="83"/>
      <c r="AJR71" s="83"/>
      <c r="AJS71" s="83"/>
      <c r="AJT71" s="83"/>
      <c r="AJU71" s="83"/>
      <c r="AJV71" s="83"/>
      <c r="AJW71" s="83"/>
      <c r="AJX71" s="83"/>
      <c r="AJY71" s="83"/>
      <c r="AJZ71" s="83"/>
      <c r="AKA71" s="83"/>
      <c r="AKB71" s="83"/>
      <c r="AKC71" s="83"/>
      <c r="AKD71" s="83"/>
      <c r="AKE71" s="83"/>
      <c r="AKF71" s="83"/>
      <c r="AKG71" s="83"/>
      <c r="AKH71" s="83"/>
      <c r="AKI71" s="83"/>
      <c r="AKJ71" s="83"/>
      <c r="AKK71" s="83"/>
      <c r="AKL71" s="83"/>
      <c r="AKM71" s="83"/>
      <c r="AKN71" s="83"/>
      <c r="AKO71" s="83"/>
      <c r="AKP71" s="83"/>
      <c r="AKQ71" s="83"/>
      <c r="AKR71" s="83"/>
      <c r="AKS71" s="83"/>
      <c r="AKT71" s="83"/>
      <c r="AKU71" s="83"/>
      <c r="AKV71" s="83"/>
      <c r="AKW71" s="83"/>
      <c r="AKX71" s="83"/>
      <c r="AKY71" s="83"/>
      <c r="AKZ71" s="83"/>
      <c r="ALA71" s="83"/>
      <c r="ALB71" s="83"/>
      <c r="ALC71" s="83"/>
      <c r="ALD71" s="83"/>
      <c r="ALE71" s="83"/>
      <c r="ALF71" s="83"/>
      <c r="ALG71" s="83"/>
      <c r="ALH71" s="83"/>
      <c r="ALI71" s="83"/>
      <c r="ALJ71" s="83"/>
      <c r="ALK71" s="83"/>
      <c r="ALL71" s="83"/>
      <c r="ALM71" s="83"/>
      <c r="ALN71" s="83"/>
      <c r="ALO71" s="83"/>
      <c r="ALP71" s="83"/>
      <c r="ALQ71" s="83"/>
      <c r="ALR71" s="83"/>
      <c r="ALS71" s="83"/>
      <c r="ALT71" s="83"/>
      <c r="ALU71" s="83"/>
      <c r="ALV71" s="83"/>
      <c r="ALW71" s="83"/>
      <c r="ALX71" s="83"/>
      <c r="ALY71" s="83"/>
      <c r="ALZ71" s="83"/>
      <c r="AMA71" s="83"/>
      <c r="AMB71" s="83"/>
      <c r="AMC71" s="83"/>
      <c r="AMD71" s="83"/>
      <c r="AME71" s="83"/>
      <c r="AMF71" s="83"/>
      <c r="AMG71" s="83"/>
      <c r="AMH71" s="83"/>
      <c r="AMI71" s="83"/>
      <c r="AMJ71" s="83"/>
    </row>
    <row r="72" spans="12:1024" ht="15.95" customHeight="1" x14ac:dyDescent="0.2">
      <c r="L72" s="83"/>
      <c r="M72" s="84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  <c r="IW72" s="83"/>
      <c r="IX72" s="83"/>
      <c r="IY72" s="83"/>
      <c r="IZ72" s="83"/>
      <c r="JA72" s="83"/>
      <c r="JB72" s="83"/>
      <c r="JC72" s="83"/>
      <c r="JD72" s="83"/>
      <c r="JE72" s="83"/>
      <c r="JF72" s="83"/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3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83"/>
      <c r="LL72" s="83"/>
      <c r="LM72" s="83"/>
      <c r="LN72" s="83"/>
      <c r="LO72" s="83"/>
      <c r="LP72" s="83"/>
      <c r="LQ72" s="83"/>
      <c r="LR72" s="83"/>
      <c r="LS72" s="83"/>
      <c r="LT72" s="83"/>
      <c r="LU72" s="83"/>
      <c r="LV72" s="83"/>
      <c r="LW72" s="83"/>
      <c r="LX72" s="83"/>
      <c r="LY72" s="83"/>
      <c r="LZ72" s="83"/>
      <c r="MA72" s="83"/>
      <c r="MB72" s="83"/>
      <c r="MC72" s="83"/>
      <c r="MD72" s="83"/>
      <c r="ME72" s="83"/>
      <c r="MF72" s="83"/>
      <c r="MG72" s="83"/>
      <c r="MH72" s="83"/>
      <c r="MI72" s="83"/>
      <c r="MJ72" s="83"/>
      <c r="MK72" s="83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83"/>
      <c r="OS72" s="83"/>
      <c r="OT72" s="83"/>
      <c r="OU72" s="83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3"/>
      <c r="PT72" s="83"/>
      <c r="PU72" s="83"/>
      <c r="PV72" s="83"/>
      <c r="PW72" s="83"/>
      <c r="PX72" s="83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3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3"/>
      <c r="TL72" s="83"/>
      <c r="TM72" s="83"/>
      <c r="TN72" s="83"/>
      <c r="TO72" s="83"/>
      <c r="TP72" s="83"/>
      <c r="TQ72" s="83"/>
      <c r="TR72" s="83"/>
      <c r="TS72" s="83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83"/>
      <c r="WA72" s="83"/>
      <c r="WB72" s="83"/>
      <c r="WC72" s="83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3"/>
      <c r="XB72" s="83"/>
      <c r="XC72" s="83"/>
      <c r="XD72" s="83"/>
      <c r="XE72" s="83"/>
      <c r="XF72" s="83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3"/>
      <c r="AAB72" s="83"/>
      <c r="AAC72" s="83"/>
      <c r="AAD72" s="83"/>
      <c r="AAE72" s="83"/>
      <c r="AAF72" s="83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3"/>
      <c r="AAU72" s="83"/>
      <c r="AAV72" s="83"/>
      <c r="AAW72" s="83"/>
      <c r="AAX72" s="83"/>
      <c r="AAY72" s="83"/>
      <c r="AAZ72" s="83"/>
      <c r="ABA72" s="83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83"/>
      <c r="ADI72" s="83"/>
      <c r="ADJ72" s="83"/>
      <c r="ADK72" s="83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3"/>
      <c r="AEJ72" s="83"/>
      <c r="AEK72" s="83"/>
      <c r="AEL72" s="83"/>
      <c r="AEM72" s="83"/>
      <c r="AEN72" s="83"/>
      <c r="AEO72" s="83"/>
      <c r="AEP72" s="83"/>
      <c r="AEQ72" s="83"/>
      <c r="AER72" s="83"/>
      <c r="AES72" s="83"/>
      <c r="AET72" s="83"/>
      <c r="AEU72" s="83"/>
      <c r="AEV72" s="83"/>
      <c r="AEW72" s="83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3"/>
      <c r="AHI72" s="83"/>
      <c r="AHJ72" s="83"/>
      <c r="AHK72" s="83"/>
      <c r="AHL72" s="83"/>
      <c r="AHM72" s="83"/>
      <c r="AHN72" s="83"/>
      <c r="AHO72" s="83"/>
      <c r="AHP72" s="83"/>
      <c r="AHQ72" s="83"/>
      <c r="AHR72" s="83"/>
      <c r="AHS72" s="83"/>
      <c r="AHT72" s="83"/>
      <c r="AHU72" s="83"/>
      <c r="AHV72" s="83"/>
      <c r="AHW72" s="83"/>
      <c r="AHX72" s="83"/>
      <c r="AHY72" s="83"/>
      <c r="AHZ72" s="83"/>
      <c r="AIA72" s="83"/>
      <c r="AIB72" s="83"/>
      <c r="AIC72" s="83"/>
      <c r="AID72" s="83"/>
      <c r="AIE72" s="83"/>
      <c r="AIF72" s="83"/>
      <c r="AIG72" s="83"/>
      <c r="AIH72" s="83"/>
      <c r="AII72" s="83"/>
      <c r="AIJ72" s="83"/>
      <c r="AIK72" s="83"/>
      <c r="AIL72" s="83"/>
      <c r="AIM72" s="83"/>
      <c r="AIN72" s="83"/>
      <c r="AIO72" s="83"/>
      <c r="AIP72" s="83"/>
      <c r="AIQ72" s="83"/>
      <c r="AIR72" s="83"/>
      <c r="AIS72" s="83"/>
      <c r="AIT72" s="83"/>
      <c r="AIU72" s="83"/>
      <c r="AIV72" s="83"/>
      <c r="AIW72" s="83"/>
      <c r="AIX72" s="83"/>
      <c r="AIY72" s="83"/>
      <c r="AIZ72" s="83"/>
      <c r="AJA72" s="83"/>
      <c r="AJB72" s="83"/>
      <c r="AJC72" s="83"/>
      <c r="AJD72" s="83"/>
      <c r="AJE72" s="83"/>
      <c r="AJF72" s="83"/>
      <c r="AJG72" s="83"/>
      <c r="AJH72" s="83"/>
      <c r="AJI72" s="83"/>
      <c r="AJJ72" s="83"/>
      <c r="AJK72" s="83"/>
      <c r="AJL72" s="83"/>
      <c r="AJM72" s="83"/>
      <c r="AJN72" s="83"/>
      <c r="AJO72" s="83"/>
      <c r="AJP72" s="83"/>
      <c r="AJQ72" s="83"/>
      <c r="AJR72" s="83"/>
      <c r="AJS72" s="83"/>
      <c r="AJT72" s="83"/>
      <c r="AJU72" s="83"/>
      <c r="AJV72" s="83"/>
      <c r="AJW72" s="83"/>
      <c r="AJX72" s="83"/>
      <c r="AJY72" s="83"/>
      <c r="AJZ72" s="83"/>
      <c r="AKA72" s="83"/>
      <c r="AKB72" s="83"/>
      <c r="AKC72" s="83"/>
      <c r="AKD72" s="83"/>
      <c r="AKE72" s="83"/>
      <c r="AKF72" s="83"/>
      <c r="AKG72" s="83"/>
      <c r="AKH72" s="83"/>
      <c r="AKI72" s="83"/>
      <c r="AKJ72" s="83"/>
      <c r="AKK72" s="83"/>
      <c r="AKL72" s="83"/>
      <c r="AKM72" s="83"/>
      <c r="AKN72" s="83"/>
      <c r="AKO72" s="83"/>
      <c r="AKP72" s="83"/>
      <c r="AKQ72" s="83"/>
      <c r="AKR72" s="83"/>
      <c r="AKS72" s="83"/>
      <c r="AKT72" s="83"/>
      <c r="AKU72" s="83"/>
      <c r="AKV72" s="83"/>
      <c r="AKW72" s="83"/>
      <c r="AKX72" s="83"/>
      <c r="AKY72" s="83"/>
      <c r="AKZ72" s="83"/>
      <c r="ALA72" s="83"/>
      <c r="ALB72" s="83"/>
      <c r="ALC72" s="83"/>
      <c r="ALD72" s="83"/>
      <c r="ALE72" s="83"/>
      <c r="ALF72" s="83"/>
      <c r="ALG72" s="83"/>
      <c r="ALH72" s="83"/>
      <c r="ALI72" s="83"/>
      <c r="ALJ72" s="83"/>
      <c r="ALK72" s="83"/>
      <c r="ALL72" s="83"/>
      <c r="ALM72" s="83"/>
      <c r="ALN72" s="83"/>
      <c r="ALO72" s="83"/>
      <c r="ALP72" s="83"/>
      <c r="ALQ72" s="83"/>
      <c r="ALR72" s="83"/>
      <c r="ALS72" s="83"/>
      <c r="ALT72" s="83"/>
      <c r="ALU72" s="83"/>
      <c r="ALV72" s="83"/>
      <c r="ALW72" s="83"/>
      <c r="ALX72" s="83"/>
      <c r="ALY72" s="83"/>
      <c r="ALZ72" s="83"/>
      <c r="AMA72" s="83"/>
      <c r="AMB72" s="83"/>
      <c r="AMC72" s="83"/>
      <c r="AMD72" s="83"/>
      <c r="AME72" s="83"/>
      <c r="AMF72" s="83"/>
      <c r="AMG72" s="83"/>
      <c r="AMH72" s="83"/>
      <c r="AMI72" s="83"/>
      <c r="AMJ72" s="83"/>
    </row>
    <row r="73" spans="12:1024" ht="15.95" customHeight="1" x14ac:dyDescent="0.2">
      <c r="L73" s="83"/>
      <c r="M73" s="8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3"/>
      <c r="LQ73" s="83"/>
      <c r="LR73" s="83"/>
      <c r="LS73" s="83"/>
      <c r="LT73" s="83"/>
      <c r="LU73" s="83"/>
      <c r="LV73" s="83"/>
      <c r="LW73" s="83"/>
      <c r="LX73" s="83"/>
      <c r="LY73" s="83"/>
      <c r="LZ73" s="83"/>
      <c r="MA73" s="83"/>
      <c r="MB73" s="83"/>
      <c r="MC73" s="83"/>
      <c r="MD73" s="83"/>
      <c r="ME73" s="83"/>
      <c r="MF73" s="83"/>
      <c r="MG73" s="83"/>
      <c r="MH73" s="83"/>
      <c r="MI73" s="83"/>
      <c r="MJ73" s="83"/>
      <c r="MK73" s="83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83"/>
      <c r="OS73" s="83"/>
      <c r="OT73" s="83"/>
      <c r="OU73" s="83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3"/>
      <c r="PT73" s="83"/>
      <c r="PU73" s="83"/>
      <c r="PV73" s="83"/>
      <c r="PW73" s="83"/>
      <c r="PX73" s="83"/>
      <c r="PY73" s="83"/>
      <c r="PZ73" s="83"/>
      <c r="QA73" s="83"/>
      <c r="QB73" s="83"/>
      <c r="QC73" s="83"/>
      <c r="QD73" s="83"/>
      <c r="QE73" s="83"/>
      <c r="QF73" s="83"/>
      <c r="QG73" s="83"/>
      <c r="QH73" s="83"/>
      <c r="QI73" s="83"/>
      <c r="QJ73" s="83"/>
      <c r="QK73" s="83"/>
      <c r="QL73" s="83"/>
      <c r="QM73" s="83"/>
      <c r="QN73" s="83"/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3"/>
      <c r="ST73" s="83"/>
      <c r="SU73" s="83"/>
      <c r="SV73" s="83"/>
      <c r="SW73" s="83"/>
      <c r="SX73" s="83"/>
      <c r="SY73" s="83"/>
      <c r="SZ73" s="83"/>
      <c r="TA73" s="83"/>
      <c r="TB73" s="83"/>
      <c r="TC73" s="83"/>
      <c r="TD73" s="83"/>
      <c r="TE73" s="83"/>
      <c r="TF73" s="83"/>
      <c r="TG73" s="83"/>
      <c r="TH73" s="83"/>
      <c r="TI73" s="83"/>
      <c r="TJ73" s="83"/>
      <c r="TK73" s="83"/>
      <c r="TL73" s="83"/>
      <c r="TM73" s="83"/>
      <c r="TN73" s="83"/>
      <c r="TO73" s="83"/>
      <c r="TP73" s="83"/>
      <c r="TQ73" s="83"/>
      <c r="TR73" s="83"/>
      <c r="TS73" s="83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83"/>
      <c r="WA73" s="83"/>
      <c r="WB73" s="83"/>
      <c r="WC73" s="83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3"/>
      <c r="XB73" s="83"/>
      <c r="XC73" s="83"/>
      <c r="XD73" s="83"/>
      <c r="XE73" s="83"/>
      <c r="XF73" s="83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3"/>
      <c r="AAB73" s="83"/>
      <c r="AAC73" s="83"/>
      <c r="AAD73" s="83"/>
      <c r="AAE73" s="83"/>
      <c r="AAF73" s="83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3"/>
      <c r="AAU73" s="83"/>
      <c r="AAV73" s="83"/>
      <c r="AAW73" s="83"/>
      <c r="AAX73" s="83"/>
      <c r="AAY73" s="83"/>
      <c r="AAZ73" s="83"/>
      <c r="ABA73" s="83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83"/>
      <c r="ADI73" s="83"/>
      <c r="ADJ73" s="83"/>
      <c r="ADK73" s="83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3"/>
      <c r="AEJ73" s="83"/>
      <c r="AEK73" s="83"/>
      <c r="AEL73" s="83"/>
      <c r="AEM73" s="83"/>
      <c r="AEN73" s="83"/>
      <c r="AEO73" s="83"/>
      <c r="AEP73" s="83"/>
      <c r="AEQ73" s="83"/>
      <c r="AER73" s="83"/>
      <c r="AES73" s="83"/>
      <c r="AET73" s="83"/>
      <c r="AEU73" s="83"/>
      <c r="AEV73" s="83"/>
      <c r="AEW73" s="83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3"/>
      <c r="AHI73" s="83"/>
      <c r="AHJ73" s="83"/>
      <c r="AHK73" s="83"/>
      <c r="AHL73" s="83"/>
      <c r="AHM73" s="83"/>
      <c r="AHN73" s="83"/>
      <c r="AHO73" s="83"/>
      <c r="AHP73" s="83"/>
      <c r="AHQ73" s="83"/>
      <c r="AHR73" s="83"/>
      <c r="AHS73" s="83"/>
      <c r="AHT73" s="83"/>
      <c r="AHU73" s="83"/>
      <c r="AHV73" s="83"/>
      <c r="AHW73" s="83"/>
      <c r="AHX73" s="83"/>
      <c r="AHY73" s="83"/>
      <c r="AHZ73" s="83"/>
      <c r="AIA73" s="83"/>
      <c r="AIB73" s="83"/>
      <c r="AIC73" s="83"/>
      <c r="AID73" s="83"/>
      <c r="AIE73" s="83"/>
      <c r="AIF73" s="83"/>
      <c r="AIG73" s="83"/>
      <c r="AIH73" s="83"/>
      <c r="AII73" s="83"/>
      <c r="AIJ73" s="83"/>
      <c r="AIK73" s="83"/>
      <c r="AIL73" s="83"/>
      <c r="AIM73" s="83"/>
      <c r="AIN73" s="83"/>
      <c r="AIO73" s="83"/>
      <c r="AIP73" s="83"/>
      <c r="AIQ73" s="83"/>
      <c r="AIR73" s="83"/>
      <c r="AIS73" s="83"/>
      <c r="AIT73" s="83"/>
      <c r="AIU73" s="83"/>
      <c r="AIV73" s="83"/>
      <c r="AIW73" s="83"/>
      <c r="AIX73" s="83"/>
      <c r="AIY73" s="83"/>
      <c r="AIZ73" s="83"/>
      <c r="AJA73" s="83"/>
      <c r="AJB73" s="83"/>
      <c r="AJC73" s="83"/>
      <c r="AJD73" s="83"/>
      <c r="AJE73" s="83"/>
      <c r="AJF73" s="83"/>
      <c r="AJG73" s="83"/>
      <c r="AJH73" s="83"/>
      <c r="AJI73" s="83"/>
      <c r="AJJ73" s="83"/>
      <c r="AJK73" s="83"/>
      <c r="AJL73" s="83"/>
      <c r="AJM73" s="83"/>
      <c r="AJN73" s="83"/>
      <c r="AJO73" s="83"/>
      <c r="AJP73" s="83"/>
      <c r="AJQ73" s="83"/>
      <c r="AJR73" s="83"/>
      <c r="AJS73" s="83"/>
      <c r="AJT73" s="83"/>
      <c r="AJU73" s="83"/>
      <c r="AJV73" s="83"/>
      <c r="AJW73" s="83"/>
      <c r="AJX73" s="83"/>
      <c r="AJY73" s="83"/>
      <c r="AJZ73" s="83"/>
      <c r="AKA73" s="83"/>
      <c r="AKB73" s="83"/>
      <c r="AKC73" s="83"/>
      <c r="AKD73" s="83"/>
      <c r="AKE73" s="83"/>
      <c r="AKF73" s="83"/>
      <c r="AKG73" s="83"/>
      <c r="AKH73" s="83"/>
      <c r="AKI73" s="83"/>
      <c r="AKJ73" s="83"/>
      <c r="AKK73" s="83"/>
      <c r="AKL73" s="83"/>
      <c r="AKM73" s="83"/>
      <c r="AKN73" s="83"/>
      <c r="AKO73" s="83"/>
      <c r="AKP73" s="83"/>
      <c r="AKQ73" s="83"/>
      <c r="AKR73" s="83"/>
      <c r="AKS73" s="83"/>
      <c r="AKT73" s="83"/>
      <c r="AKU73" s="83"/>
      <c r="AKV73" s="83"/>
      <c r="AKW73" s="83"/>
      <c r="AKX73" s="83"/>
      <c r="AKY73" s="83"/>
      <c r="AKZ73" s="83"/>
      <c r="ALA73" s="83"/>
      <c r="ALB73" s="83"/>
      <c r="ALC73" s="83"/>
      <c r="ALD73" s="83"/>
      <c r="ALE73" s="83"/>
      <c r="ALF73" s="83"/>
      <c r="ALG73" s="83"/>
      <c r="ALH73" s="83"/>
      <c r="ALI73" s="83"/>
      <c r="ALJ73" s="83"/>
      <c r="ALK73" s="83"/>
      <c r="ALL73" s="83"/>
      <c r="ALM73" s="83"/>
      <c r="ALN73" s="83"/>
      <c r="ALO73" s="83"/>
      <c r="ALP73" s="83"/>
      <c r="ALQ73" s="83"/>
      <c r="ALR73" s="83"/>
      <c r="ALS73" s="83"/>
      <c r="ALT73" s="83"/>
      <c r="ALU73" s="83"/>
      <c r="ALV73" s="83"/>
      <c r="ALW73" s="83"/>
      <c r="ALX73" s="83"/>
      <c r="ALY73" s="83"/>
      <c r="ALZ73" s="83"/>
      <c r="AMA73" s="83"/>
      <c r="AMB73" s="83"/>
      <c r="AMC73" s="83"/>
      <c r="AMD73" s="83"/>
      <c r="AME73" s="83"/>
      <c r="AMF73" s="83"/>
      <c r="AMG73" s="83"/>
      <c r="AMH73" s="83"/>
      <c r="AMI73" s="83"/>
      <c r="AMJ73" s="83"/>
    </row>
    <row r="74" spans="12:1024" ht="15.95" customHeight="1" x14ac:dyDescent="0.2">
      <c r="L74" s="83"/>
      <c r="M74" s="84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  <c r="HZ74" s="83"/>
      <c r="IA74" s="83"/>
      <c r="IB74" s="83"/>
      <c r="IC74" s="83"/>
      <c r="ID74" s="83"/>
      <c r="IE74" s="83"/>
      <c r="IF74" s="83"/>
      <c r="IG74" s="83"/>
      <c r="IH74" s="83"/>
      <c r="II74" s="83"/>
      <c r="IJ74" s="83"/>
      <c r="IK74" s="83"/>
      <c r="IL74" s="83"/>
      <c r="IM74" s="83"/>
      <c r="IN74" s="83"/>
      <c r="IO74" s="83"/>
      <c r="IP74" s="83"/>
      <c r="IQ74" s="83"/>
      <c r="IR74" s="83"/>
      <c r="IS74" s="83"/>
      <c r="IT74" s="83"/>
      <c r="IU74" s="83"/>
      <c r="IV74" s="83"/>
      <c r="IW74" s="83"/>
      <c r="IX74" s="83"/>
      <c r="IY74" s="83"/>
      <c r="IZ74" s="83"/>
      <c r="JA74" s="83"/>
      <c r="JB74" s="83"/>
      <c r="JC74" s="83"/>
      <c r="JD74" s="83"/>
      <c r="JE74" s="83"/>
      <c r="JF74" s="83"/>
      <c r="JG74" s="83"/>
      <c r="JH74" s="83"/>
      <c r="JI74" s="83"/>
      <c r="JJ74" s="83"/>
      <c r="JK74" s="83"/>
      <c r="JL74" s="83"/>
      <c r="JM74" s="83"/>
      <c r="JN74" s="83"/>
      <c r="JO74" s="83"/>
      <c r="JP74" s="83"/>
      <c r="JQ74" s="83"/>
      <c r="JR74" s="83"/>
      <c r="JS74" s="83"/>
      <c r="JT74" s="83"/>
      <c r="JU74" s="83"/>
      <c r="JV74" s="83"/>
      <c r="JW74" s="83"/>
      <c r="JX74" s="83"/>
      <c r="JY74" s="83"/>
      <c r="JZ74" s="83"/>
      <c r="KA74" s="83"/>
      <c r="KB74" s="83"/>
      <c r="KC74" s="83"/>
      <c r="KD74" s="83"/>
      <c r="KE74" s="83"/>
      <c r="KF74" s="83"/>
      <c r="KG74" s="83"/>
      <c r="KH74" s="83"/>
      <c r="KI74" s="83"/>
      <c r="KJ74" s="83"/>
      <c r="KK74" s="83"/>
      <c r="KL74" s="83"/>
      <c r="KM74" s="83"/>
      <c r="KN74" s="83"/>
      <c r="KO74" s="83"/>
      <c r="KP74" s="83"/>
      <c r="KQ74" s="83"/>
      <c r="KR74" s="83"/>
      <c r="KS74" s="83"/>
      <c r="KT74" s="83"/>
      <c r="KU74" s="83"/>
      <c r="KV74" s="83"/>
      <c r="KW74" s="83"/>
      <c r="KX74" s="83"/>
      <c r="KY74" s="83"/>
      <c r="KZ74" s="83"/>
      <c r="LA74" s="83"/>
      <c r="LB74" s="83"/>
      <c r="LC74" s="83"/>
      <c r="LD74" s="83"/>
      <c r="LE74" s="83"/>
      <c r="LF74" s="83"/>
      <c r="LG74" s="83"/>
      <c r="LH74" s="83"/>
      <c r="LI74" s="83"/>
      <c r="LJ74" s="83"/>
      <c r="LK74" s="83"/>
      <c r="LL74" s="83"/>
      <c r="LM74" s="83"/>
      <c r="LN74" s="83"/>
      <c r="LO74" s="83"/>
      <c r="LP74" s="83"/>
      <c r="LQ74" s="83"/>
      <c r="LR74" s="83"/>
      <c r="LS74" s="83"/>
      <c r="LT74" s="83"/>
      <c r="LU74" s="83"/>
      <c r="LV74" s="83"/>
      <c r="LW74" s="83"/>
      <c r="LX74" s="83"/>
      <c r="LY74" s="83"/>
      <c r="LZ74" s="83"/>
      <c r="MA74" s="83"/>
      <c r="MB74" s="83"/>
      <c r="MC74" s="83"/>
      <c r="MD74" s="83"/>
      <c r="ME74" s="83"/>
      <c r="MF74" s="83"/>
      <c r="MG74" s="83"/>
      <c r="MH74" s="83"/>
      <c r="MI74" s="83"/>
      <c r="MJ74" s="83"/>
      <c r="MK74" s="83"/>
      <c r="ML74" s="83"/>
      <c r="MM74" s="83"/>
      <c r="MN74" s="83"/>
      <c r="MO74" s="83"/>
      <c r="MP74" s="83"/>
      <c r="MQ74" s="83"/>
      <c r="MR74" s="83"/>
      <c r="MS74" s="83"/>
      <c r="MT74" s="83"/>
      <c r="MU74" s="83"/>
      <c r="MV74" s="83"/>
      <c r="MW74" s="83"/>
      <c r="MX74" s="83"/>
      <c r="MY74" s="83"/>
      <c r="MZ74" s="83"/>
      <c r="NA74" s="83"/>
      <c r="NB74" s="83"/>
      <c r="NC74" s="83"/>
      <c r="ND74" s="83"/>
      <c r="NE74" s="83"/>
      <c r="NF74" s="83"/>
      <c r="NG74" s="83"/>
      <c r="NH74" s="83"/>
      <c r="NI74" s="83"/>
      <c r="NJ74" s="83"/>
      <c r="NK74" s="83"/>
      <c r="NL74" s="83"/>
      <c r="NM74" s="83"/>
      <c r="NN74" s="83"/>
      <c r="NO74" s="83"/>
      <c r="NP74" s="83"/>
      <c r="NQ74" s="83"/>
      <c r="NR74" s="83"/>
      <c r="NS74" s="83"/>
      <c r="NT74" s="83"/>
      <c r="NU74" s="83"/>
      <c r="NV74" s="83"/>
      <c r="NW74" s="83"/>
      <c r="NX74" s="83"/>
      <c r="NY74" s="83"/>
      <c r="NZ74" s="83"/>
      <c r="OA74" s="83"/>
      <c r="OB74" s="83"/>
      <c r="OC74" s="83"/>
      <c r="OD74" s="83"/>
      <c r="OE74" s="83"/>
      <c r="OF74" s="83"/>
      <c r="OG74" s="83"/>
      <c r="OH74" s="83"/>
      <c r="OI74" s="83"/>
      <c r="OJ74" s="83"/>
      <c r="OK74" s="83"/>
      <c r="OL74" s="83"/>
      <c r="OM74" s="83"/>
      <c r="ON74" s="83"/>
      <c r="OO74" s="83"/>
      <c r="OP74" s="83"/>
      <c r="OQ74" s="83"/>
      <c r="OR74" s="83"/>
      <c r="OS74" s="83"/>
      <c r="OT74" s="83"/>
      <c r="OU74" s="83"/>
      <c r="OV74" s="83"/>
      <c r="OW74" s="83"/>
      <c r="OX74" s="83"/>
      <c r="OY74" s="83"/>
      <c r="OZ74" s="83"/>
      <c r="PA74" s="83"/>
      <c r="PB74" s="83"/>
      <c r="PC74" s="83"/>
      <c r="PD74" s="83"/>
      <c r="PE74" s="83"/>
      <c r="PF74" s="83"/>
      <c r="PG74" s="83"/>
      <c r="PH74" s="83"/>
      <c r="PI74" s="83"/>
      <c r="PJ74" s="83"/>
      <c r="PK74" s="83"/>
      <c r="PL74" s="83"/>
      <c r="PM74" s="83"/>
      <c r="PN74" s="83"/>
      <c r="PO74" s="83"/>
      <c r="PP74" s="83"/>
      <c r="PQ74" s="83"/>
      <c r="PR74" s="83"/>
      <c r="PS74" s="83"/>
      <c r="PT74" s="83"/>
      <c r="PU74" s="83"/>
      <c r="PV74" s="83"/>
      <c r="PW74" s="83"/>
      <c r="PX74" s="83"/>
      <c r="PY74" s="83"/>
      <c r="PZ74" s="83"/>
      <c r="QA74" s="83"/>
      <c r="QB74" s="83"/>
      <c r="QC74" s="83"/>
      <c r="QD74" s="83"/>
      <c r="QE74" s="83"/>
      <c r="QF74" s="83"/>
      <c r="QG74" s="83"/>
      <c r="QH74" s="83"/>
      <c r="QI74" s="83"/>
      <c r="QJ74" s="83"/>
      <c r="QK74" s="83"/>
      <c r="QL74" s="83"/>
      <c r="QM74" s="83"/>
      <c r="QN74" s="83"/>
      <c r="QO74" s="83"/>
      <c r="QP74" s="83"/>
      <c r="QQ74" s="83"/>
      <c r="QR74" s="83"/>
      <c r="QS74" s="83"/>
      <c r="QT74" s="83"/>
      <c r="QU74" s="83"/>
      <c r="QV74" s="83"/>
      <c r="QW74" s="83"/>
      <c r="QX74" s="83"/>
      <c r="QY74" s="83"/>
      <c r="QZ74" s="83"/>
      <c r="RA74" s="83"/>
      <c r="RB74" s="83"/>
      <c r="RC74" s="83"/>
      <c r="RD74" s="83"/>
      <c r="RE74" s="83"/>
      <c r="RF74" s="83"/>
      <c r="RG74" s="83"/>
      <c r="RH74" s="83"/>
      <c r="RI74" s="83"/>
      <c r="RJ74" s="83"/>
      <c r="RK74" s="83"/>
      <c r="RL74" s="83"/>
      <c r="RM74" s="83"/>
      <c r="RN74" s="83"/>
      <c r="RO74" s="83"/>
      <c r="RP74" s="83"/>
      <c r="RQ74" s="83"/>
      <c r="RR74" s="83"/>
      <c r="RS74" s="83"/>
      <c r="RT74" s="83"/>
      <c r="RU74" s="83"/>
      <c r="RV74" s="83"/>
      <c r="RW74" s="83"/>
      <c r="RX74" s="83"/>
      <c r="RY74" s="83"/>
      <c r="RZ74" s="83"/>
      <c r="SA74" s="83"/>
      <c r="SB74" s="83"/>
      <c r="SC74" s="83"/>
      <c r="SD74" s="83"/>
      <c r="SE74" s="83"/>
      <c r="SF74" s="83"/>
      <c r="SG74" s="83"/>
      <c r="SH74" s="83"/>
      <c r="SI74" s="83"/>
      <c r="SJ74" s="83"/>
      <c r="SK74" s="83"/>
      <c r="SL74" s="83"/>
      <c r="SM74" s="83"/>
      <c r="SN74" s="83"/>
      <c r="SO74" s="83"/>
      <c r="SP74" s="83"/>
      <c r="SQ74" s="83"/>
      <c r="SR74" s="83"/>
      <c r="SS74" s="83"/>
      <c r="ST74" s="83"/>
      <c r="SU74" s="83"/>
      <c r="SV74" s="83"/>
      <c r="SW74" s="83"/>
      <c r="SX74" s="83"/>
      <c r="SY74" s="83"/>
      <c r="SZ74" s="83"/>
      <c r="TA74" s="83"/>
      <c r="TB74" s="83"/>
      <c r="TC74" s="83"/>
      <c r="TD74" s="83"/>
      <c r="TE74" s="83"/>
      <c r="TF74" s="83"/>
      <c r="TG74" s="83"/>
      <c r="TH74" s="83"/>
      <c r="TI74" s="83"/>
      <c r="TJ74" s="83"/>
      <c r="TK74" s="83"/>
      <c r="TL74" s="83"/>
      <c r="TM74" s="83"/>
      <c r="TN74" s="83"/>
      <c r="TO74" s="83"/>
      <c r="TP74" s="83"/>
      <c r="TQ74" s="83"/>
      <c r="TR74" s="83"/>
      <c r="TS74" s="83"/>
      <c r="TT74" s="83"/>
      <c r="TU74" s="83"/>
      <c r="TV74" s="83"/>
      <c r="TW74" s="83"/>
      <c r="TX74" s="83"/>
      <c r="TY74" s="83"/>
      <c r="TZ74" s="83"/>
      <c r="UA74" s="83"/>
      <c r="UB74" s="83"/>
      <c r="UC74" s="83"/>
      <c r="UD74" s="83"/>
      <c r="UE74" s="83"/>
      <c r="UF74" s="83"/>
      <c r="UG74" s="83"/>
      <c r="UH74" s="83"/>
      <c r="UI74" s="83"/>
      <c r="UJ74" s="83"/>
      <c r="UK74" s="83"/>
      <c r="UL74" s="83"/>
      <c r="UM74" s="83"/>
      <c r="UN74" s="83"/>
      <c r="UO74" s="83"/>
      <c r="UP74" s="83"/>
      <c r="UQ74" s="83"/>
      <c r="UR74" s="83"/>
      <c r="US74" s="83"/>
      <c r="UT74" s="83"/>
      <c r="UU74" s="83"/>
      <c r="UV74" s="83"/>
      <c r="UW74" s="83"/>
      <c r="UX74" s="83"/>
      <c r="UY74" s="83"/>
      <c r="UZ74" s="83"/>
      <c r="VA74" s="83"/>
      <c r="VB74" s="83"/>
      <c r="VC74" s="83"/>
      <c r="VD74" s="83"/>
      <c r="VE74" s="83"/>
      <c r="VF74" s="83"/>
      <c r="VG74" s="83"/>
      <c r="VH74" s="83"/>
      <c r="VI74" s="83"/>
      <c r="VJ74" s="83"/>
      <c r="VK74" s="83"/>
      <c r="VL74" s="83"/>
      <c r="VM74" s="83"/>
      <c r="VN74" s="83"/>
      <c r="VO74" s="83"/>
      <c r="VP74" s="83"/>
      <c r="VQ74" s="83"/>
      <c r="VR74" s="83"/>
      <c r="VS74" s="83"/>
      <c r="VT74" s="83"/>
      <c r="VU74" s="83"/>
      <c r="VV74" s="83"/>
      <c r="VW74" s="83"/>
      <c r="VX74" s="83"/>
      <c r="VY74" s="83"/>
      <c r="VZ74" s="83"/>
      <c r="WA74" s="83"/>
      <c r="WB74" s="83"/>
      <c r="WC74" s="83"/>
      <c r="WD74" s="83"/>
      <c r="WE74" s="83"/>
      <c r="WF74" s="83"/>
      <c r="WG74" s="83"/>
      <c r="WH74" s="83"/>
      <c r="WI74" s="83"/>
      <c r="WJ74" s="83"/>
      <c r="WK74" s="83"/>
      <c r="WL74" s="83"/>
      <c r="WM74" s="83"/>
      <c r="WN74" s="83"/>
      <c r="WO74" s="83"/>
      <c r="WP74" s="83"/>
      <c r="WQ74" s="83"/>
      <c r="WR74" s="83"/>
      <c r="WS74" s="83"/>
      <c r="WT74" s="83"/>
      <c r="WU74" s="83"/>
      <c r="WV74" s="83"/>
      <c r="WW74" s="83"/>
      <c r="WX74" s="83"/>
      <c r="WY74" s="83"/>
      <c r="WZ74" s="83"/>
      <c r="XA74" s="83"/>
      <c r="XB74" s="83"/>
      <c r="XC74" s="83"/>
      <c r="XD74" s="83"/>
      <c r="XE74" s="83"/>
      <c r="XF74" s="83"/>
      <c r="XG74" s="83"/>
      <c r="XH74" s="83"/>
      <c r="XI74" s="83"/>
      <c r="XJ74" s="83"/>
      <c r="XK74" s="83"/>
      <c r="XL74" s="83"/>
      <c r="XM74" s="83"/>
      <c r="XN74" s="83"/>
      <c r="XO74" s="83"/>
      <c r="XP74" s="83"/>
      <c r="XQ74" s="83"/>
      <c r="XR74" s="83"/>
      <c r="XS74" s="83"/>
      <c r="XT74" s="83"/>
      <c r="XU74" s="83"/>
      <c r="XV74" s="83"/>
      <c r="XW74" s="83"/>
      <c r="XX74" s="83"/>
      <c r="XY74" s="83"/>
      <c r="XZ74" s="83"/>
      <c r="YA74" s="83"/>
      <c r="YB74" s="83"/>
      <c r="YC74" s="83"/>
      <c r="YD74" s="83"/>
      <c r="YE74" s="83"/>
      <c r="YF74" s="83"/>
      <c r="YG74" s="83"/>
      <c r="YH74" s="83"/>
      <c r="YI74" s="83"/>
      <c r="YJ74" s="83"/>
      <c r="YK74" s="83"/>
      <c r="YL74" s="83"/>
      <c r="YM74" s="83"/>
      <c r="YN74" s="83"/>
      <c r="YO74" s="83"/>
      <c r="YP74" s="83"/>
      <c r="YQ74" s="83"/>
      <c r="YR74" s="83"/>
      <c r="YS74" s="83"/>
      <c r="YT74" s="83"/>
      <c r="YU74" s="83"/>
      <c r="YV74" s="83"/>
      <c r="YW74" s="83"/>
      <c r="YX74" s="83"/>
      <c r="YY74" s="83"/>
      <c r="YZ74" s="83"/>
      <c r="ZA74" s="83"/>
      <c r="ZB74" s="83"/>
      <c r="ZC74" s="83"/>
      <c r="ZD74" s="83"/>
      <c r="ZE74" s="83"/>
      <c r="ZF74" s="83"/>
      <c r="ZG74" s="83"/>
      <c r="ZH74" s="83"/>
      <c r="ZI74" s="83"/>
      <c r="ZJ74" s="83"/>
      <c r="ZK74" s="83"/>
      <c r="ZL74" s="83"/>
      <c r="ZM74" s="83"/>
      <c r="ZN74" s="83"/>
      <c r="ZO74" s="83"/>
      <c r="ZP74" s="83"/>
      <c r="ZQ74" s="83"/>
      <c r="ZR74" s="83"/>
      <c r="ZS74" s="83"/>
      <c r="ZT74" s="83"/>
      <c r="ZU74" s="83"/>
      <c r="ZV74" s="83"/>
      <c r="ZW74" s="83"/>
      <c r="ZX74" s="83"/>
      <c r="ZY74" s="83"/>
      <c r="ZZ74" s="83"/>
      <c r="AAA74" s="83"/>
      <c r="AAB74" s="83"/>
      <c r="AAC74" s="83"/>
      <c r="AAD74" s="83"/>
      <c r="AAE74" s="83"/>
      <c r="AAF74" s="83"/>
      <c r="AAG74" s="83"/>
      <c r="AAH74" s="83"/>
      <c r="AAI74" s="83"/>
      <c r="AAJ74" s="83"/>
      <c r="AAK74" s="83"/>
      <c r="AAL74" s="83"/>
      <c r="AAM74" s="83"/>
      <c r="AAN74" s="83"/>
      <c r="AAO74" s="83"/>
      <c r="AAP74" s="83"/>
      <c r="AAQ74" s="83"/>
      <c r="AAR74" s="83"/>
      <c r="AAS74" s="83"/>
      <c r="AAT74" s="83"/>
      <c r="AAU74" s="83"/>
      <c r="AAV74" s="83"/>
      <c r="AAW74" s="83"/>
      <c r="AAX74" s="83"/>
      <c r="AAY74" s="83"/>
      <c r="AAZ74" s="83"/>
      <c r="ABA74" s="83"/>
      <c r="ABB74" s="83"/>
      <c r="ABC74" s="83"/>
      <c r="ABD74" s="83"/>
      <c r="ABE74" s="83"/>
      <c r="ABF74" s="83"/>
      <c r="ABG74" s="83"/>
      <c r="ABH74" s="83"/>
      <c r="ABI74" s="83"/>
      <c r="ABJ74" s="83"/>
      <c r="ABK74" s="83"/>
      <c r="ABL74" s="83"/>
      <c r="ABM74" s="83"/>
      <c r="ABN74" s="83"/>
      <c r="ABO74" s="83"/>
      <c r="ABP74" s="83"/>
      <c r="ABQ74" s="83"/>
      <c r="ABR74" s="83"/>
      <c r="ABS74" s="83"/>
      <c r="ABT74" s="83"/>
      <c r="ABU74" s="83"/>
      <c r="ABV74" s="83"/>
      <c r="ABW74" s="83"/>
      <c r="ABX74" s="83"/>
      <c r="ABY74" s="83"/>
      <c r="ABZ74" s="83"/>
      <c r="ACA74" s="83"/>
      <c r="ACB74" s="83"/>
      <c r="ACC74" s="83"/>
      <c r="ACD74" s="83"/>
      <c r="ACE74" s="83"/>
      <c r="ACF74" s="83"/>
      <c r="ACG74" s="83"/>
      <c r="ACH74" s="83"/>
      <c r="ACI74" s="83"/>
      <c r="ACJ74" s="83"/>
      <c r="ACK74" s="83"/>
      <c r="ACL74" s="83"/>
      <c r="ACM74" s="83"/>
      <c r="ACN74" s="83"/>
      <c r="ACO74" s="83"/>
      <c r="ACP74" s="83"/>
      <c r="ACQ74" s="83"/>
      <c r="ACR74" s="83"/>
      <c r="ACS74" s="83"/>
      <c r="ACT74" s="83"/>
      <c r="ACU74" s="83"/>
      <c r="ACV74" s="83"/>
      <c r="ACW74" s="83"/>
      <c r="ACX74" s="83"/>
      <c r="ACY74" s="83"/>
      <c r="ACZ74" s="83"/>
      <c r="ADA74" s="83"/>
      <c r="ADB74" s="83"/>
      <c r="ADC74" s="83"/>
      <c r="ADD74" s="83"/>
      <c r="ADE74" s="83"/>
      <c r="ADF74" s="83"/>
      <c r="ADG74" s="83"/>
      <c r="ADH74" s="83"/>
      <c r="ADI74" s="83"/>
      <c r="ADJ74" s="83"/>
      <c r="ADK74" s="83"/>
      <c r="ADL74" s="83"/>
      <c r="ADM74" s="83"/>
      <c r="ADN74" s="83"/>
      <c r="ADO74" s="83"/>
      <c r="ADP74" s="83"/>
      <c r="ADQ74" s="83"/>
      <c r="ADR74" s="83"/>
      <c r="ADS74" s="83"/>
      <c r="ADT74" s="83"/>
      <c r="ADU74" s="83"/>
      <c r="ADV74" s="83"/>
      <c r="ADW74" s="83"/>
      <c r="ADX74" s="83"/>
      <c r="ADY74" s="83"/>
      <c r="ADZ74" s="83"/>
      <c r="AEA74" s="83"/>
      <c r="AEB74" s="83"/>
      <c r="AEC74" s="83"/>
      <c r="AED74" s="83"/>
      <c r="AEE74" s="83"/>
      <c r="AEF74" s="83"/>
      <c r="AEG74" s="83"/>
      <c r="AEH74" s="83"/>
      <c r="AEI74" s="83"/>
      <c r="AEJ74" s="83"/>
      <c r="AEK74" s="83"/>
      <c r="AEL74" s="83"/>
      <c r="AEM74" s="83"/>
      <c r="AEN74" s="83"/>
      <c r="AEO74" s="83"/>
      <c r="AEP74" s="83"/>
      <c r="AEQ74" s="83"/>
      <c r="AER74" s="83"/>
      <c r="AES74" s="83"/>
      <c r="AET74" s="83"/>
      <c r="AEU74" s="83"/>
      <c r="AEV74" s="83"/>
      <c r="AEW74" s="83"/>
      <c r="AEX74" s="83"/>
      <c r="AEY74" s="83"/>
      <c r="AEZ74" s="83"/>
      <c r="AFA74" s="83"/>
      <c r="AFB74" s="83"/>
      <c r="AFC74" s="83"/>
      <c r="AFD74" s="83"/>
      <c r="AFE74" s="83"/>
      <c r="AFF74" s="83"/>
      <c r="AFG74" s="83"/>
      <c r="AFH74" s="83"/>
      <c r="AFI74" s="83"/>
      <c r="AFJ74" s="83"/>
      <c r="AFK74" s="83"/>
      <c r="AFL74" s="83"/>
      <c r="AFM74" s="83"/>
      <c r="AFN74" s="83"/>
      <c r="AFO74" s="83"/>
      <c r="AFP74" s="83"/>
      <c r="AFQ74" s="83"/>
      <c r="AFR74" s="83"/>
      <c r="AFS74" s="83"/>
      <c r="AFT74" s="83"/>
      <c r="AFU74" s="83"/>
      <c r="AFV74" s="83"/>
      <c r="AFW74" s="83"/>
      <c r="AFX74" s="83"/>
      <c r="AFY74" s="83"/>
      <c r="AFZ74" s="83"/>
      <c r="AGA74" s="83"/>
      <c r="AGB74" s="83"/>
      <c r="AGC74" s="83"/>
      <c r="AGD74" s="83"/>
      <c r="AGE74" s="83"/>
      <c r="AGF74" s="83"/>
      <c r="AGG74" s="83"/>
      <c r="AGH74" s="83"/>
      <c r="AGI74" s="83"/>
      <c r="AGJ74" s="83"/>
      <c r="AGK74" s="83"/>
      <c r="AGL74" s="83"/>
      <c r="AGM74" s="83"/>
      <c r="AGN74" s="83"/>
      <c r="AGO74" s="83"/>
      <c r="AGP74" s="83"/>
      <c r="AGQ74" s="83"/>
      <c r="AGR74" s="83"/>
      <c r="AGS74" s="83"/>
      <c r="AGT74" s="83"/>
      <c r="AGU74" s="83"/>
      <c r="AGV74" s="83"/>
      <c r="AGW74" s="83"/>
      <c r="AGX74" s="83"/>
      <c r="AGY74" s="83"/>
      <c r="AGZ74" s="83"/>
      <c r="AHA74" s="83"/>
      <c r="AHB74" s="83"/>
      <c r="AHC74" s="83"/>
      <c r="AHD74" s="83"/>
      <c r="AHE74" s="83"/>
      <c r="AHF74" s="83"/>
      <c r="AHG74" s="83"/>
      <c r="AHH74" s="83"/>
      <c r="AHI74" s="83"/>
      <c r="AHJ74" s="83"/>
      <c r="AHK74" s="83"/>
      <c r="AHL74" s="83"/>
      <c r="AHM74" s="83"/>
      <c r="AHN74" s="83"/>
      <c r="AHO74" s="83"/>
      <c r="AHP74" s="83"/>
      <c r="AHQ74" s="83"/>
      <c r="AHR74" s="83"/>
      <c r="AHS74" s="83"/>
      <c r="AHT74" s="83"/>
      <c r="AHU74" s="83"/>
      <c r="AHV74" s="83"/>
      <c r="AHW74" s="83"/>
      <c r="AHX74" s="83"/>
      <c r="AHY74" s="83"/>
      <c r="AHZ74" s="83"/>
      <c r="AIA74" s="83"/>
      <c r="AIB74" s="83"/>
      <c r="AIC74" s="83"/>
      <c r="AID74" s="83"/>
      <c r="AIE74" s="83"/>
      <c r="AIF74" s="83"/>
      <c r="AIG74" s="83"/>
      <c r="AIH74" s="83"/>
      <c r="AII74" s="83"/>
      <c r="AIJ74" s="83"/>
      <c r="AIK74" s="83"/>
      <c r="AIL74" s="83"/>
      <c r="AIM74" s="83"/>
      <c r="AIN74" s="83"/>
      <c r="AIO74" s="83"/>
      <c r="AIP74" s="83"/>
      <c r="AIQ74" s="83"/>
      <c r="AIR74" s="83"/>
      <c r="AIS74" s="83"/>
      <c r="AIT74" s="83"/>
      <c r="AIU74" s="83"/>
      <c r="AIV74" s="83"/>
      <c r="AIW74" s="83"/>
      <c r="AIX74" s="83"/>
      <c r="AIY74" s="83"/>
      <c r="AIZ74" s="83"/>
      <c r="AJA74" s="83"/>
      <c r="AJB74" s="83"/>
      <c r="AJC74" s="83"/>
      <c r="AJD74" s="83"/>
      <c r="AJE74" s="83"/>
      <c r="AJF74" s="83"/>
      <c r="AJG74" s="83"/>
      <c r="AJH74" s="83"/>
      <c r="AJI74" s="83"/>
      <c r="AJJ74" s="83"/>
      <c r="AJK74" s="83"/>
      <c r="AJL74" s="83"/>
      <c r="AJM74" s="83"/>
      <c r="AJN74" s="83"/>
      <c r="AJO74" s="83"/>
      <c r="AJP74" s="83"/>
      <c r="AJQ74" s="83"/>
      <c r="AJR74" s="83"/>
      <c r="AJS74" s="83"/>
      <c r="AJT74" s="83"/>
      <c r="AJU74" s="83"/>
      <c r="AJV74" s="83"/>
      <c r="AJW74" s="83"/>
      <c r="AJX74" s="83"/>
      <c r="AJY74" s="83"/>
      <c r="AJZ74" s="83"/>
      <c r="AKA74" s="83"/>
      <c r="AKB74" s="83"/>
      <c r="AKC74" s="83"/>
      <c r="AKD74" s="83"/>
      <c r="AKE74" s="83"/>
      <c r="AKF74" s="83"/>
      <c r="AKG74" s="83"/>
      <c r="AKH74" s="83"/>
      <c r="AKI74" s="83"/>
      <c r="AKJ74" s="83"/>
      <c r="AKK74" s="83"/>
      <c r="AKL74" s="83"/>
      <c r="AKM74" s="83"/>
      <c r="AKN74" s="83"/>
      <c r="AKO74" s="83"/>
      <c r="AKP74" s="83"/>
      <c r="AKQ74" s="83"/>
      <c r="AKR74" s="83"/>
      <c r="AKS74" s="83"/>
      <c r="AKT74" s="83"/>
      <c r="AKU74" s="83"/>
      <c r="AKV74" s="83"/>
      <c r="AKW74" s="83"/>
      <c r="AKX74" s="83"/>
      <c r="AKY74" s="83"/>
      <c r="AKZ74" s="83"/>
      <c r="ALA74" s="83"/>
      <c r="ALB74" s="83"/>
      <c r="ALC74" s="83"/>
      <c r="ALD74" s="83"/>
      <c r="ALE74" s="83"/>
      <c r="ALF74" s="83"/>
      <c r="ALG74" s="83"/>
      <c r="ALH74" s="83"/>
      <c r="ALI74" s="83"/>
      <c r="ALJ74" s="83"/>
      <c r="ALK74" s="83"/>
      <c r="ALL74" s="83"/>
      <c r="ALM74" s="83"/>
      <c r="ALN74" s="83"/>
      <c r="ALO74" s="83"/>
      <c r="ALP74" s="83"/>
      <c r="ALQ74" s="83"/>
      <c r="ALR74" s="83"/>
      <c r="ALS74" s="83"/>
      <c r="ALT74" s="83"/>
      <c r="ALU74" s="83"/>
      <c r="ALV74" s="83"/>
      <c r="ALW74" s="83"/>
      <c r="ALX74" s="83"/>
      <c r="ALY74" s="83"/>
      <c r="ALZ74" s="83"/>
      <c r="AMA74" s="83"/>
      <c r="AMB74" s="83"/>
      <c r="AMC74" s="83"/>
      <c r="AMD74" s="83"/>
      <c r="AME74" s="83"/>
      <c r="AMF74" s="83"/>
      <c r="AMG74" s="83"/>
      <c r="AMH74" s="83"/>
      <c r="AMI74" s="83"/>
      <c r="AMJ74" s="83"/>
    </row>
    <row r="75" spans="12:1024" ht="15.95" customHeight="1" x14ac:dyDescent="0.2">
      <c r="L75" s="83"/>
      <c r="M75" s="84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  <c r="FU75" s="83"/>
      <c r="FV75" s="83"/>
      <c r="FW75" s="83"/>
      <c r="FX75" s="83"/>
      <c r="FY75" s="83"/>
      <c r="FZ75" s="83"/>
      <c r="GA75" s="83"/>
      <c r="GB75" s="83"/>
      <c r="GC75" s="83"/>
      <c r="GD75" s="83"/>
      <c r="GE75" s="83"/>
      <c r="GF75" s="83"/>
      <c r="GG75" s="83"/>
      <c r="GH75" s="83"/>
      <c r="GI75" s="83"/>
      <c r="GJ75" s="83"/>
      <c r="GK75" s="83"/>
      <c r="GL75" s="83"/>
      <c r="GM75" s="83"/>
      <c r="GN75" s="83"/>
      <c r="GO75" s="83"/>
      <c r="GP75" s="83"/>
      <c r="GQ75" s="83"/>
      <c r="GR75" s="83"/>
      <c r="GS75" s="83"/>
      <c r="GT75" s="83"/>
      <c r="GU75" s="83"/>
      <c r="GV75" s="83"/>
      <c r="GW75" s="83"/>
      <c r="GX75" s="83"/>
      <c r="GY75" s="83"/>
      <c r="GZ75" s="83"/>
      <c r="HA75" s="83"/>
      <c r="HB75" s="83"/>
      <c r="HC75" s="83"/>
      <c r="HD75" s="83"/>
      <c r="HE75" s="83"/>
      <c r="HF75" s="83"/>
      <c r="HG75" s="83"/>
      <c r="HH75" s="83"/>
      <c r="HI75" s="83"/>
      <c r="HJ75" s="83"/>
      <c r="HK75" s="83"/>
      <c r="HL75" s="83"/>
      <c r="HM75" s="83"/>
      <c r="HN75" s="83"/>
      <c r="HO75" s="83"/>
      <c r="HP75" s="83"/>
      <c r="HQ75" s="83"/>
      <c r="HR75" s="83"/>
      <c r="HS75" s="83"/>
      <c r="HT75" s="83"/>
      <c r="HU75" s="83"/>
      <c r="HV75" s="83"/>
      <c r="HW75" s="83"/>
      <c r="HX75" s="83"/>
      <c r="HY75" s="83"/>
      <c r="HZ75" s="83"/>
      <c r="IA75" s="83"/>
      <c r="IB75" s="83"/>
      <c r="IC75" s="83"/>
      <c r="ID75" s="83"/>
      <c r="IE75" s="83"/>
      <c r="IF75" s="83"/>
      <c r="IG75" s="83"/>
      <c r="IH75" s="83"/>
      <c r="II75" s="83"/>
      <c r="IJ75" s="83"/>
      <c r="IK75" s="83"/>
      <c r="IL75" s="83"/>
      <c r="IM75" s="83"/>
      <c r="IN75" s="83"/>
      <c r="IO75" s="83"/>
      <c r="IP75" s="83"/>
      <c r="IQ75" s="83"/>
      <c r="IR75" s="83"/>
      <c r="IS75" s="83"/>
      <c r="IT75" s="83"/>
      <c r="IU75" s="83"/>
      <c r="IV75" s="83"/>
      <c r="IW75" s="83"/>
      <c r="IX75" s="83"/>
      <c r="IY75" s="83"/>
      <c r="IZ75" s="83"/>
      <c r="JA75" s="83"/>
      <c r="JB75" s="83"/>
      <c r="JC75" s="83"/>
      <c r="JD75" s="83"/>
      <c r="JE75" s="83"/>
      <c r="JF75" s="83"/>
      <c r="JG75" s="83"/>
      <c r="JH75" s="83"/>
      <c r="JI75" s="83"/>
      <c r="JJ75" s="83"/>
      <c r="JK75" s="83"/>
      <c r="JL75" s="83"/>
      <c r="JM75" s="83"/>
      <c r="JN75" s="83"/>
      <c r="JO75" s="83"/>
      <c r="JP75" s="83"/>
      <c r="JQ75" s="83"/>
      <c r="JR75" s="83"/>
      <c r="JS75" s="83"/>
      <c r="JT75" s="83"/>
      <c r="JU75" s="83"/>
      <c r="JV75" s="83"/>
      <c r="JW75" s="83"/>
      <c r="JX75" s="83"/>
      <c r="JY75" s="83"/>
      <c r="JZ75" s="83"/>
      <c r="KA75" s="83"/>
      <c r="KB75" s="83"/>
      <c r="KC75" s="83"/>
      <c r="KD75" s="83"/>
      <c r="KE75" s="83"/>
      <c r="KF75" s="83"/>
      <c r="KG75" s="83"/>
      <c r="KH75" s="83"/>
      <c r="KI75" s="83"/>
      <c r="KJ75" s="83"/>
      <c r="KK75" s="83"/>
      <c r="KL75" s="83"/>
      <c r="KM75" s="83"/>
      <c r="KN75" s="83"/>
      <c r="KO75" s="83"/>
      <c r="KP75" s="83"/>
      <c r="KQ75" s="83"/>
      <c r="KR75" s="83"/>
      <c r="KS75" s="83"/>
      <c r="KT75" s="83"/>
      <c r="KU75" s="83"/>
      <c r="KV75" s="83"/>
      <c r="KW75" s="83"/>
      <c r="KX75" s="83"/>
      <c r="KY75" s="83"/>
      <c r="KZ75" s="83"/>
      <c r="LA75" s="83"/>
      <c r="LB75" s="83"/>
      <c r="LC75" s="83"/>
      <c r="LD75" s="83"/>
      <c r="LE75" s="83"/>
      <c r="LF75" s="83"/>
      <c r="LG75" s="83"/>
      <c r="LH75" s="83"/>
      <c r="LI75" s="83"/>
      <c r="LJ75" s="83"/>
      <c r="LK75" s="83"/>
      <c r="LL75" s="83"/>
      <c r="LM75" s="83"/>
      <c r="LN75" s="83"/>
      <c r="LO75" s="83"/>
      <c r="LP75" s="83"/>
      <c r="LQ75" s="83"/>
      <c r="LR75" s="83"/>
      <c r="LS75" s="83"/>
      <c r="LT75" s="83"/>
      <c r="LU75" s="83"/>
      <c r="LV75" s="83"/>
      <c r="LW75" s="83"/>
      <c r="LX75" s="83"/>
      <c r="LY75" s="83"/>
      <c r="LZ75" s="83"/>
      <c r="MA75" s="83"/>
      <c r="MB75" s="83"/>
      <c r="MC75" s="83"/>
      <c r="MD75" s="83"/>
      <c r="ME75" s="83"/>
      <c r="MF75" s="83"/>
      <c r="MG75" s="83"/>
      <c r="MH75" s="83"/>
      <c r="MI75" s="83"/>
      <c r="MJ75" s="83"/>
      <c r="MK75" s="83"/>
      <c r="ML75" s="83"/>
      <c r="MM75" s="83"/>
      <c r="MN75" s="83"/>
      <c r="MO75" s="83"/>
      <c r="MP75" s="83"/>
      <c r="MQ75" s="83"/>
      <c r="MR75" s="83"/>
      <c r="MS75" s="83"/>
      <c r="MT75" s="83"/>
      <c r="MU75" s="83"/>
      <c r="MV75" s="83"/>
      <c r="MW75" s="83"/>
      <c r="MX75" s="83"/>
      <c r="MY75" s="83"/>
      <c r="MZ75" s="83"/>
      <c r="NA75" s="83"/>
      <c r="NB75" s="83"/>
      <c r="NC75" s="83"/>
      <c r="ND75" s="83"/>
      <c r="NE75" s="83"/>
      <c r="NF75" s="83"/>
      <c r="NG75" s="83"/>
      <c r="NH75" s="83"/>
      <c r="NI75" s="83"/>
      <c r="NJ75" s="83"/>
      <c r="NK75" s="83"/>
      <c r="NL75" s="83"/>
      <c r="NM75" s="83"/>
      <c r="NN75" s="83"/>
      <c r="NO75" s="83"/>
      <c r="NP75" s="83"/>
      <c r="NQ75" s="83"/>
      <c r="NR75" s="83"/>
      <c r="NS75" s="83"/>
      <c r="NT75" s="83"/>
      <c r="NU75" s="83"/>
      <c r="NV75" s="83"/>
      <c r="NW75" s="83"/>
      <c r="NX75" s="83"/>
      <c r="NY75" s="83"/>
      <c r="NZ75" s="83"/>
      <c r="OA75" s="83"/>
      <c r="OB75" s="83"/>
      <c r="OC75" s="83"/>
      <c r="OD75" s="83"/>
      <c r="OE75" s="83"/>
      <c r="OF75" s="83"/>
      <c r="OG75" s="83"/>
      <c r="OH75" s="83"/>
      <c r="OI75" s="83"/>
      <c r="OJ75" s="83"/>
      <c r="OK75" s="83"/>
      <c r="OL75" s="83"/>
      <c r="OM75" s="83"/>
      <c r="ON75" s="83"/>
      <c r="OO75" s="83"/>
      <c r="OP75" s="83"/>
      <c r="OQ75" s="83"/>
      <c r="OR75" s="83"/>
      <c r="OS75" s="83"/>
      <c r="OT75" s="83"/>
      <c r="OU75" s="83"/>
      <c r="OV75" s="83"/>
      <c r="OW75" s="83"/>
      <c r="OX75" s="83"/>
      <c r="OY75" s="83"/>
      <c r="OZ75" s="83"/>
      <c r="PA75" s="83"/>
      <c r="PB75" s="83"/>
      <c r="PC75" s="83"/>
      <c r="PD75" s="83"/>
      <c r="PE75" s="83"/>
      <c r="PF75" s="83"/>
      <c r="PG75" s="83"/>
      <c r="PH75" s="83"/>
      <c r="PI75" s="83"/>
      <c r="PJ75" s="83"/>
      <c r="PK75" s="83"/>
      <c r="PL75" s="83"/>
      <c r="PM75" s="83"/>
      <c r="PN75" s="83"/>
      <c r="PO75" s="83"/>
      <c r="PP75" s="83"/>
      <c r="PQ75" s="83"/>
      <c r="PR75" s="83"/>
      <c r="PS75" s="83"/>
      <c r="PT75" s="83"/>
      <c r="PU75" s="83"/>
      <c r="PV75" s="83"/>
      <c r="PW75" s="83"/>
      <c r="PX75" s="83"/>
      <c r="PY75" s="83"/>
      <c r="PZ75" s="83"/>
      <c r="QA75" s="83"/>
      <c r="QB75" s="83"/>
      <c r="QC75" s="83"/>
      <c r="QD75" s="83"/>
      <c r="QE75" s="83"/>
      <c r="QF75" s="83"/>
      <c r="QG75" s="83"/>
      <c r="QH75" s="83"/>
      <c r="QI75" s="83"/>
      <c r="QJ75" s="83"/>
      <c r="QK75" s="83"/>
      <c r="QL75" s="83"/>
      <c r="QM75" s="83"/>
      <c r="QN75" s="83"/>
      <c r="QO75" s="83"/>
      <c r="QP75" s="83"/>
      <c r="QQ75" s="83"/>
      <c r="QR75" s="83"/>
      <c r="QS75" s="83"/>
      <c r="QT75" s="83"/>
      <c r="QU75" s="83"/>
      <c r="QV75" s="83"/>
      <c r="QW75" s="83"/>
      <c r="QX75" s="83"/>
      <c r="QY75" s="83"/>
      <c r="QZ75" s="83"/>
      <c r="RA75" s="83"/>
      <c r="RB75" s="83"/>
      <c r="RC75" s="83"/>
      <c r="RD75" s="83"/>
      <c r="RE75" s="83"/>
      <c r="RF75" s="83"/>
      <c r="RG75" s="83"/>
      <c r="RH75" s="83"/>
      <c r="RI75" s="83"/>
      <c r="RJ75" s="83"/>
      <c r="RK75" s="83"/>
      <c r="RL75" s="83"/>
      <c r="RM75" s="83"/>
      <c r="RN75" s="83"/>
      <c r="RO75" s="83"/>
      <c r="RP75" s="83"/>
      <c r="RQ75" s="83"/>
      <c r="RR75" s="83"/>
      <c r="RS75" s="83"/>
      <c r="RT75" s="83"/>
      <c r="RU75" s="83"/>
      <c r="RV75" s="83"/>
      <c r="RW75" s="83"/>
      <c r="RX75" s="83"/>
      <c r="RY75" s="83"/>
      <c r="RZ75" s="83"/>
      <c r="SA75" s="83"/>
      <c r="SB75" s="83"/>
      <c r="SC75" s="83"/>
      <c r="SD75" s="83"/>
      <c r="SE75" s="83"/>
      <c r="SF75" s="83"/>
      <c r="SG75" s="83"/>
      <c r="SH75" s="83"/>
      <c r="SI75" s="83"/>
      <c r="SJ75" s="83"/>
      <c r="SK75" s="83"/>
      <c r="SL75" s="83"/>
      <c r="SM75" s="83"/>
      <c r="SN75" s="83"/>
      <c r="SO75" s="83"/>
      <c r="SP75" s="83"/>
      <c r="SQ75" s="83"/>
      <c r="SR75" s="83"/>
      <c r="SS75" s="83"/>
      <c r="ST75" s="83"/>
      <c r="SU75" s="83"/>
      <c r="SV75" s="83"/>
      <c r="SW75" s="83"/>
      <c r="SX75" s="83"/>
      <c r="SY75" s="83"/>
      <c r="SZ75" s="83"/>
      <c r="TA75" s="83"/>
      <c r="TB75" s="83"/>
      <c r="TC75" s="83"/>
      <c r="TD75" s="83"/>
      <c r="TE75" s="83"/>
      <c r="TF75" s="83"/>
      <c r="TG75" s="83"/>
      <c r="TH75" s="83"/>
      <c r="TI75" s="83"/>
      <c r="TJ75" s="83"/>
      <c r="TK75" s="83"/>
      <c r="TL75" s="83"/>
      <c r="TM75" s="83"/>
      <c r="TN75" s="83"/>
      <c r="TO75" s="83"/>
      <c r="TP75" s="83"/>
      <c r="TQ75" s="83"/>
      <c r="TR75" s="83"/>
      <c r="TS75" s="83"/>
      <c r="TT75" s="83"/>
      <c r="TU75" s="83"/>
      <c r="TV75" s="83"/>
      <c r="TW75" s="83"/>
      <c r="TX75" s="83"/>
      <c r="TY75" s="83"/>
      <c r="TZ75" s="83"/>
      <c r="UA75" s="83"/>
      <c r="UB75" s="83"/>
      <c r="UC75" s="83"/>
      <c r="UD75" s="83"/>
      <c r="UE75" s="83"/>
      <c r="UF75" s="83"/>
      <c r="UG75" s="83"/>
      <c r="UH75" s="83"/>
      <c r="UI75" s="83"/>
      <c r="UJ75" s="83"/>
      <c r="UK75" s="83"/>
      <c r="UL75" s="83"/>
      <c r="UM75" s="83"/>
      <c r="UN75" s="83"/>
      <c r="UO75" s="83"/>
      <c r="UP75" s="83"/>
      <c r="UQ75" s="83"/>
      <c r="UR75" s="83"/>
      <c r="US75" s="83"/>
      <c r="UT75" s="83"/>
      <c r="UU75" s="83"/>
      <c r="UV75" s="83"/>
      <c r="UW75" s="83"/>
      <c r="UX75" s="83"/>
      <c r="UY75" s="83"/>
      <c r="UZ75" s="83"/>
      <c r="VA75" s="83"/>
      <c r="VB75" s="83"/>
      <c r="VC75" s="83"/>
      <c r="VD75" s="83"/>
      <c r="VE75" s="83"/>
      <c r="VF75" s="83"/>
      <c r="VG75" s="83"/>
      <c r="VH75" s="83"/>
      <c r="VI75" s="83"/>
      <c r="VJ75" s="83"/>
      <c r="VK75" s="83"/>
      <c r="VL75" s="83"/>
      <c r="VM75" s="83"/>
      <c r="VN75" s="83"/>
      <c r="VO75" s="83"/>
      <c r="VP75" s="83"/>
      <c r="VQ75" s="83"/>
      <c r="VR75" s="83"/>
      <c r="VS75" s="83"/>
      <c r="VT75" s="83"/>
      <c r="VU75" s="83"/>
      <c r="VV75" s="83"/>
      <c r="VW75" s="83"/>
      <c r="VX75" s="83"/>
      <c r="VY75" s="83"/>
      <c r="VZ75" s="83"/>
      <c r="WA75" s="83"/>
      <c r="WB75" s="83"/>
      <c r="WC75" s="83"/>
      <c r="WD75" s="83"/>
      <c r="WE75" s="83"/>
      <c r="WF75" s="83"/>
      <c r="WG75" s="83"/>
      <c r="WH75" s="83"/>
      <c r="WI75" s="83"/>
      <c r="WJ75" s="83"/>
      <c r="WK75" s="83"/>
      <c r="WL75" s="83"/>
      <c r="WM75" s="83"/>
      <c r="WN75" s="83"/>
      <c r="WO75" s="83"/>
      <c r="WP75" s="83"/>
      <c r="WQ75" s="83"/>
      <c r="WR75" s="83"/>
      <c r="WS75" s="83"/>
      <c r="WT75" s="83"/>
      <c r="WU75" s="83"/>
      <c r="WV75" s="83"/>
      <c r="WW75" s="83"/>
      <c r="WX75" s="83"/>
      <c r="WY75" s="83"/>
      <c r="WZ75" s="83"/>
      <c r="XA75" s="83"/>
      <c r="XB75" s="83"/>
      <c r="XC75" s="83"/>
      <c r="XD75" s="83"/>
      <c r="XE75" s="83"/>
      <c r="XF75" s="83"/>
      <c r="XG75" s="83"/>
      <c r="XH75" s="83"/>
      <c r="XI75" s="83"/>
      <c r="XJ75" s="83"/>
      <c r="XK75" s="83"/>
      <c r="XL75" s="83"/>
      <c r="XM75" s="83"/>
      <c r="XN75" s="83"/>
      <c r="XO75" s="83"/>
      <c r="XP75" s="83"/>
      <c r="XQ75" s="83"/>
      <c r="XR75" s="83"/>
      <c r="XS75" s="83"/>
      <c r="XT75" s="83"/>
      <c r="XU75" s="83"/>
      <c r="XV75" s="83"/>
      <c r="XW75" s="83"/>
      <c r="XX75" s="83"/>
      <c r="XY75" s="83"/>
      <c r="XZ75" s="83"/>
      <c r="YA75" s="83"/>
      <c r="YB75" s="83"/>
      <c r="YC75" s="83"/>
      <c r="YD75" s="83"/>
      <c r="YE75" s="83"/>
      <c r="YF75" s="83"/>
      <c r="YG75" s="83"/>
      <c r="YH75" s="83"/>
      <c r="YI75" s="83"/>
      <c r="YJ75" s="83"/>
      <c r="YK75" s="83"/>
      <c r="YL75" s="83"/>
      <c r="YM75" s="83"/>
      <c r="YN75" s="83"/>
      <c r="YO75" s="83"/>
      <c r="YP75" s="83"/>
      <c r="YQ75" s="83"/>
      <c r="YR75" s="83"/>
      <c r="YS75" s="83"/>
      <c r="YT75" s="83"/>
      <c r="YU75" s="83"/>
      <c r="YV75" s="83"/>
      <c r="YW75" s="83"/>
      <c r="YX75" s="83"/>
      <c r="YY75" s="83"/>
      <c r="YZ75" s="83"/>
      <c r="ZA75" s="83"/>
      <c r="ZB75" s="83"/>
      <c r="ZC75" s="83"/>
      <c r="ZD75" s="83"/>
      <c r="ZE75" s="83"/>
      <c r="ZF75" s="83"/>
      <c r="ZG75" s="83"/>
      <c r="ZH75" s="83"/>
      <c r="ZI75" s="83"/>
      <c r="ZJ75" s="83"/>
      <c r="ZK75" s="83"/>
      <c r="ZL75" s="83"/>
      <c r="ZM75" s="83"/>
      <c r="ZN75" s="83"/>
      <c r="ZO75" s="83"/>
      <c r="ZP75" s="83"/>
      <c r="ZQ75" s="83"/>
      <c r="ZR75" s="83"/>
      <c r="ZS75" s="83"/>
      <c r="ZT75" s="83"/>
      <c r="ZU75" s="83"/>
      <c r="ZV75" s="83"/>
      <c r="ZW75" s="83"/>
      <c r="ZX75" s="83"/>
      <c r="ZY75" s="83"/>
      <c r="ZZ75" s="83"/>
      <c r="AAA75" s="83"/>
      <c r="AAB75" s="83"/>
      <c r="AAC75" s="83"/>
      <c r="AAD75" s="83"/>
      <c r="AAE75" s="83"/>
      <c r="AAF75" s="83"/>
      <c r="AAG75" s="83"/>
      <c r="AAH75" s="83"/>
      <c r="AAI75" s="83"/>
      <c r="AAJ75" s="83"/>
      <c r="AAK75" s="83"/>
      <c r="AAL75" s="83"/>
      <c r="AAM75" s="83"/>
      <c r="AAN75" s="83"/>
      <c r="AAO75" s="83"/>
      <c r="AAP75" s="83"/>
      <c r="AAQ75" s="83"/>
      <c r="AAR75" s="83"/>
      <c r="AAS75" s="83"/>
      <c r="AAT75" s="83"/>
      <c r="AAU75" s="83"/>
      <c r="AAV75" s="83"/>
      <c r="AAW75" s="83"/>
      <c r="AAX75" s="83"/>
      <c r="AAY75" s="83"/>
      <c r="AAZ75" s="83"/>
      <c r="ABA75" s="83"/>
      <c r="ABB75" s="83"/>
      <c r="ABC75" s="83"/>
      <c r="ABD75" s="83"/>
      <c r="ABE75" s="83"/>
      <c r="ABF75" s="83"/>
      <c r="ABG75" s="83"/>
      <c r="ABH75" s="83"/>
      <c r="ABI75" s="83"/>
      <c r="ABJ75" s="83"/>
      <c r="ABK75" s="83"/>
      <c r="ABL75" s="83"/>
      <c r="ABM75" s="83"/>
      <c r="ABN75" s="83"/>
      <c r="ABO75" s="83"/>
      <c r="ABP75" s="83"/>
      <c r="ABQ75" s="83"/>
      <c r="ABR75" s="83"/>
      <c r="ABS75" s="83"/>
      <c r="ABT75" s="83"/>
      <c r="ABU75" s="83"/>
      <c r="ABV75" s="83"/>
      <c r="ABW75" s="83"/>
      <c r="ABX75" s="83"/>
      <c r="ABY75" s="83"/>
      <c r="ABZ75" s="83"/>
      <c r="ACA75" s="83"/>
      <c r="ACB75" s="83"/>
      <c r="ACC75" s="83"/>
      <c r="ACD75" s="83"/>
      <c r="ACE75" s="83"/>
      <c r="ACF75" s="83"/>
      <c r="ACG75" s="83"/>
      <c r="ACH75" s="83"/>
      <c r="ACI75" s="83"/>
      <c r="ACJ75" s="83"/>
      <c r="ACK75" s="83"/>
      <c r="ACL75" s="83"/>
      <c r="ACM75" s="83"/>
      <c r="ACN75" s="83"/>
      <c r="ACO75" s="83"/>
      <c r="ACP75" s="83"/>
      <c r="ACQ75" s="83"/>
      <c r="ACR75" s="83"/>
      <c r="ACS75" s="83"/>
      <c r="ACT75" s="83"/>
      <c r="ACU75" s="83"/>
      <c r="ACV75" s="83"/>
      <c r="ACW75" s="83"/>
      <c r="ACX75" s="83"/>
      <c r="ACY75" s="83"/>
      <c r="ACZ75" s="83"/>
      <c r="ADA75" s="83"/>
      <c r="ADB75" s="83"/>
      <c r="ADC75" s="83"/>
      <c r="ADD75" s="83"/>
      <c r="ADE75" s="83"/>
      <c r="ADF75" s="83"/>
      <c r="ADG75" s="83"/>
      <c r="ADH75" s="83"/>
      <c r="ADI75" s="83"/>
      <c r="ADJ75" s="83"/>
      <c r="ADK75" s="83"/>
      <c r="ADL75" s="83"/>
      <c r="ADM75" s="83"/>
      <c r="ADN75" s="83"/>
      <c r="ADO75" s="83"/>
      <c r="ADP75" s="83"/>
      <c r="ADQ75" s="83"/>
      <c r="ADR75" s="83"/>
      <c r="ADS75" s="83"/>
      <c r="ADT75" s="83"/>
      <c r="ADU75" s="83"/>
      <c r="ADV75" s="83"/>
      <c r="ADW75" s="83"/>
      <c r="ADX75" s="83"/>
      <c r="ADY75" s="83"/>
      <c r="ADZ75" s="83"/>
      <c r="AEA75" s="83"/>
      <c r="AEB75" s="83"/>
      <c r="AEC75" s="83"/>
      <c r="AED75" s="83"/>
      <c r="AEE75" s="83"/>
      <c r="AEF75" s="83"/>
      <c r="AEG75" s="83"/>
      <c r="AEH75" s="83"/>
      <c r="AEI75" s="83"/>
      <c r="AEJ75" s="83"/>
      <c r="AEK75" s="83"/>
      <c r="AEL75" s="83"/>
      <c r="AEM75" s="83"/>
      <c r="AEN75" s="83"/>
      <c r="AEO75" s="83"/>
      <c r="AEP75" s="83"/>
      <c r="AEQ75" s="83"/>
      <c r="AER75" s="83"/>
      <c r="AES75" s="83"/>
      <c r="AET75" s="83"/>
      <c r="AEU75" s="83"/>
      <c r="AEV75" s="83"/>
      <c r="AEW75" s="83"/>
      <c r="AEX75" s="83"/>
      <c r="AEY75" s="83"/>
      <c r="AEZ75" s="83"/>
      <c r="AFA75" s="83"/>
      <c r="AFB75" s="83"/>
      <c r="AFC75" s="83"/>
      <c r="AFD75" s="83"/>
      <c r="AFE75" s="83"/>
      <c r="AFF75" s="83"/>
      <c r="AFG75" s="83"/>
      <c r="AFH75" s="83"/>
      <c r="AFI75" s="83"/>
      <c r="AFJ75" s="83"/>
      <c r="AFK75" s="83"/>
      <c r="AFL75" s="83"/>
      <c r="AFM75" s="83"/>
      <c r="AFN75" s="83"/>
      <c r="AFO75" s="83"/>
      <c r="AFP75" s="83"/>
      <c r="AFQ75" s="83"/>
      <c r="AFR75" s="83"/>
      <c r="AFS75" s="83"/>
      <c r="AFT75" s="83"/>
      <c r="AFU75" s="83"/>
      <c r="AFV75" s="83"/>
      <c r="AFW75" s="83"/>
      <c r="AFX75" s="83"/>
      <c r="AFY75" s="83"/>
      <c r="AFZ75" s="83"/>
      <c r="AGA75" s="83"/>
      <c r="AGB75" s="83"/>
      <c r="AGC75" s="83"/>
      <c r="AGD75" s="83"/>
      <c r="AGE75" s="83"/>
      <c r="AGF75" s="83"/>
      <c r="AGG75" s="83"/>
      <c r="AGH75" s="83"/>
      <c r="AGI75" s="83"/>
      <c r="AGJ75" s="83"/>
      <c r="AGK75" s="83"/>
      <c r="AGL75" s="83"/>
      <c r="AGM75" s="83"/>
      <c r="AGN75" s="83"/>
      <c r="AGO75" s="83"/>
      <c r="AGP75" s="83"/>
      <c r="AGQ75" s="83"/>
      <c r="AGR75" s="83"/>
      <c r="AGS75" s="83"/>
      <c r="AGT75" s="83"/>
      <c r="AGU75" s="83"/>
      <c r="AGV75" s="83"/>
      <c r="AGW75" s="83"/>
      <c r="AGX75" s="83"/>
      <c r="AGY75" s="83"/>
      <c r="AGZ75" s="83"/>
      <c r="AHA75" s="83"/>
      <c r="AHB75" s="83"/>
      <c r="AHC75" s="83"/>
      <c r="AHD75" s="83"/>
      <c r="AHE75" s="83"/>
      <c r="AHF75" s="83"/>
      <c r="AHG75" s="83"/>
      <c r="AHH75" s="83"/>
      <c r="AHI75" s="83"/>
      <c r="AHJ75" s="83"/>
      <c r="AHK75" s="83"/>
      <c r="AHL75" s="83"/>
      <c r="AHM75" s="83"/>
      <c r="AHN75" s="83"/>
      <c r="AHO75" s="83"/>
      <c r="AHP75" s="83"/>
      <c r="AHQ75" s="83"/>
      <c r="AHR75" s="83"/>
      <c r="AHS75" s="83"/>
      <c r="AHT75" s="83"/>
      <c r="AHU75" s="83"/>
      <c r="AHV75" s="83"/>
      <c r="AHW75" s="83"/>
      <c r="AHX75" s="83"/>
      <c r="AHY75" s="83"/>
      <c r="AHZ75" s="83"/>
      <c r="AIA75" s="83"/>
      <c r="AIB75" s="83"/>
      <c r="AIC75" s="83"/>
      <c r="AID75" s="83"/>
      <c r="AIE75" s="83"/>
      <c r="AIF75" s="83"/>
      <c r="AIG75" s="83"/>
      <c r="AIH75" s="83"/>
      <c r="AII75" s="83"/>
      <c r="AIJ75" s="83"/>
      <c r="AIK75" s="83"/>
      <c r="AIL75" s="83"/>
      <c r="AIM75" s="83"/>
      <c r="AIN75" s="83"/>
      <c r="AIO75" s="83"/>
      <c r="AIP75" s="83"/>
      <c r="AIQ75" s="83"/>
      <c r="AIR75" s="83"/>
      <c r="AIS75" s="83"/>
      <c r="AIT75" s="83"/>
      <c r="AIU75" s="83"/>
      <c r="AIV75" s="83"/>
      <c r="AIW75" s="83"/>
      <c r="AIX75" s="83"/>
      <c r="AIY75" s="83"/>
      <c r="AIZ75" s="83"/>
      <c r="AJA75" s="83"/>
      <c r="AJB75" s="83"/>
      <c r="AJC75" s="83"/>
      <c r="AJD75" s="83"/>
      <c r="AJE75" s="83"/>
      <c r="AJF75" s="83"/>
      <c r="AJG75" s="83"/>
      <c r="AJH75" s="83"/>
      <c r="AJI75" s="83"/>
      <c r="AJJ75" s="83"/>
      <c r="AJK75" s="83"/>
      <c r="AJL75" s="83"/>
      <c r="AJM75" s="83"/>
      <c r="AJN75" s="83"/>
      <c r="AJO75" s="83"/>
      <c r="AJP75" s="83"/>
      <c r="AJQ75" s="83"/>
      <c r="AJR75" s="83"/>
      <c r="AJS75" s="83"/>
      <c r="AJT75" s="83"/>
      <c r="AJU75" s="83"/>
      <c r="AJV75" s="83"/>
      <c r="AJW75" s="83"/>
      <c r="AJX75" s="83"/>
      <c r="AJY75" s="83"/>
      <c r="AJZ75" s="83"/>
      <c r="AKA75" s="83"/>
      <c r="AKB75" s="83"/>
      <c r="AKC75" s="83"/>
      <c r="AKD75" s="83"/>
      <c r="AKE75" s="83"/>
      <c r="AKF75" s="83"/>
      <c r="AKG75" s="83"/>
      <c r="AKH75" s="83"/>
      <c r="AKI75" s="83"/>
      <c r="AKJ75" s="83"/>
      <c r="AKK75" s="83"/>
      <c r="AKL75" s="83"/>
      <c r="AKM75" s="83"/>
      <c r="AKN75" s="83"/>
      <c r="AKO75" s="83"/>
      <c r="AKP75" s="83"/>
      <c r="AKQ75" s="83"/>
      <c r="AKR75" s="83"/>
      <c r="AKS75" s="83"/>
      <c r="AKT75" s="83"/>
      <c r="AKU75" s="83"/>
      <c r="AKV75" s="83"/>
      <c r="AKW75" s="83"/>
      <c r="AKX75" s="83"/>
      <c r="AKY75" s="83"/>
      <c r="AKZ75" s="83"/>
      <c r="ALA75" s="83"/>
      <c r="ALB75" s="83"/>
      <c r="ALC75" s="83"/>
      <c r="ALD75" s="83"/>
      <c r="ALE75" s="83"/>
      <c r="ALF75" s="83"/>
      <c r="ALG75" s="83"/>
      <c r="ALH75" s="83"/>
      <c r="ALI75" s="83"/>
      <c r="ALJ75" s="83"/>
      <c r="ALK75" s="83"/>
      <c r="ALL75" s="83"/>
      <c r="ALM75" s="83"/>
      <c r="ALN75" s="83"/>
      <c r="ALO75" s="83"/>
      <c r="ALP75" s="83"/>
      <c r="ALQ75" s="83"/>
      <c r="ALR75" s="83"/>
      <c r="ALS75" s="83"/>
      <c r="ALT75" s="83"/>
      <c r="ALU75" s="83"/>
      <c r="ALV75" s="83"/>
      <c r="ALW75" s="83"/>
      <c r="ALX75" s="83"/>
      <c r="ALY75" s="83"/>
      <c r="ALZ75" s="83"/>
      <c r="AMA75" s="83"/>
      <c r="AMB75" s="83"/>
      <c r="AMC75" s="83"/>
      <c r="AMD75" s="83"/>
      <c r="AME75" s="83"/>
      <c r="AMF75" s="83"/>
      <c r="AMG75" s="83"/>
      <c r="AMH75" s="83"/>
      <c r="AMI75" s="83"/>
      <c r="AMJ75" s="83"/>
    </row>
    <row r="76" spans="12:1024" ht="15.95" customHeight="1" x14ac:dyDescent="0.2">
      <c r="L76" s="83"/>
      <c r="M76" s="84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  <c r="EY76" s="83"/>
      <c r="EZ76" s="83"/>
      <c r="FA76" s="83"/>
      <c r="FB76" s="83"/>
      <c r="FC76" s="83"/>
      <c r="FD76" s="83"/>
      <c r="FE76" s="83"/>
      <c r="FF76" s="83"/>
      <c r="FG76" s="8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  <c r="FU76" s="83"/>
      <c r="FV76" s="83"/>
      <c r="FW76" s="83"/>
      <c r="FX76" s="83"/>
      <c r="FY76" s="83"/>
      <c r="FZ76" s="83"/>
      <c r="GA76" s="83"/>
      <c r="GB76" s="83"/>
      <c r="GC76" s="83"/>
      <c r="GD76" s="83"/>
      <c r="GE76" s="83"/>
      <c r="GF76" s="83"/>
      <c r="GG76" s="83"/>
      <c r="GH76" s="83"/>
      <c r="GI76" s="83"/>
      <c r="GJ76" s="83"/>
      <c r="GK76" s="83"/>
      <c r="GL76" s="83"/>
      <c r="GM76" s="83"/>
      <c r="GN76" s="83"/>
      <c r="GO76" s="83"/>
      <c r="GP76" s="83"/>
      <c r="GQ76" s="83"/>
      <c r="GR76" s="83"/>
      <c r="GS76" s="83"/>
      <c r="GT76" s="83"/>
      <c r="GU76" s="83"/>
      <c r="GV76" s="83"/>
      <c r="GW76" s="83"/>
      <c r="GX76" s="83"/>
      <c r="GY76" s="83"/>
      <c r="GZ76" s="83"/>
      <c r="HA76" s="83"/>
      <c r="HB76" s="83"/>
      <c r="HC76" s="83"/>
      <c r="HD76" s="83"/>
      <c r="HE76" s="83"/>
      <c r="HF76" s="83"/>
      <c r="HG76" s="83"/>
      <c r="HH76" s="83"/>
      <c r="HI76" s="83"/>
      <c r="HJ76" s="83"/>
      <c r="HK76" s="83"/>
      <c r="HL76" s="83"/>
      <c r="HM76" s="83"/>
      <c r="HN76" s="83"/>
      <c r="HO76" s="83"/>
      <c r="HP76" s="83"/>
      <c r="HQ76" s="83"/>
      <c r="HR76" s="83"/>
      <c r="HS76" s="83"/>
      <c r="HT76" s="83"/>
      <c r="HU76" s="83"/>
      <c r="HV76" s="83"/>
      <c r="HW76" s="83"/>
      <c r="HX76" s="83"/>
      <c r="HY76" s="83"/>
      <c r="HZ76" s="83"/>
      <c r="IA76" s="83"/>
      <c r="IB76" s="83"/>
      <c r="IC76" s="83"/>
      <c r="ID76" s="83"/>
      <c r="IE76" s="83"/>
      <c r="IF76" s="83"/>
      <c r="IG76" s="83"/>
      <c r="IH76" s="83"/>
      <c r="II76" s="83"/>
      <c r="IJ76" s="83"/>
      <c r="IK76" s="83"/>
      <c r="IL76" s="83"/>
      <c r="IM76" s="83"/>
      <c r="IN76" s="83"/>
      <c r="IO76" s="83"/>
      <c r="IP76" s="83"/>
      <c r="IQ76" s="83"/>
      <c r="IR76" s="83"/>
      <c r="IS76" s="83"/>
      <c r="IT76" s="83"/>
      <c r="IU76" s="83"/>
      <c r="IV76" s="83"/>
      <c r="IW76" s="83"/>
      <c r="IX76" s="83"/>
      <c r="IY76" s="83"/>
      <c r="IZ76" s="83"/>
      <c r="JA76" s="83"/>
      <c r="JB76" s="83"/>
      <c r="JC76" s="83"/>
      <c r="JD76" s="83"/>
      <c r="JE76" s="83"/>
      <c r="JF76" s="83"/>
      <c r="JG76" s="83"/>
      <c r="JH76" s="83"/>
      <c r="JI76" s="83"/>
      <c r="JJ76" s="83"/>
      <c r="JK76" s="83"/>
      <c r="JL76" s="83"/>
      <c r="JM76" s="83"/>
      <c r="JN76" s="83"/>
      <c r="JO76" s="83"/>
      <c r="JP76" s="83"/>
      <c r="JQ76" s="83"/>
      <c r="JR76" s="83"/>
      <c r="JS76" s="83"/>
      <c r="JT76" s="83"/>
      <c r="JU76" s="83"/>
      <c r="JV76" s="83"/>
      <c r="JW76" s="83"/>
      <c r="JX76" s="83"/>
      <c r="JY76" s="83"/>
      <c r="JZ76" s="83"/>
      <c r="KA76" s="83"/>
      <c r="KB76" s="83"/>
      <c r="KC76" s="83"/>
      <c r="KD76" s="83"/>
      <c r="KE76" s="83"/>
      <c r="KF76" s="83"/>
      <c r="KG76" s="83"/>
      <c r="KH76" s="83"/>
      <c r="KI76" s="83"/>
      <c r="KJ76" s="83"/>
      <c r="KK76" s="83"/>
      <c r="KL76" s="83"/>
      <c r="KM76" s="83"/>
      <c r="KN76" s="83"/>
      <c r="KO76" s="83"/>
      <c r="KP76" s="83"/>
      <c r="KQ76" s="83"/>
      <c r="KR76" s="83"/>
      <c r="KS76" s="83"/>
      <c r="KT76" s="83"/>
      <c r="KU76" s="83"/>
      <c r="KV76" s="83"/>
      <c r="KW76" s="83"/>
      <c r="KX76" s="83"/>
      <c r="KY76" s="83"/>
      <c r="KZ76" s="83"/>
      <c r="LA76" s="83"/>
      <c r="LB76" s="83"/>
      <c r="LC76" s="83"/>
      <c r="LD76" s="83"/>
      <c r="LE76" s="83"/>
      <c r="LF76" s="83"/>
      <c r="LG76" s="83"/>
      <c r="LH76" s="83"/>
      <c r="LI76" s="83"/>
      <c r="LJ76" s="83"/>
      <c r="LK76" s="83"/>
      <c r="LL76" s="83"/>
      <c r="LM76" s="83"/>
      <c r="LN76" s="83"/>
      <c r="LO76" s="83"/>
      <c r="LP76" s="83"/>
      <c r="LQ76" s="83"/>
      <c r="LR76" s="83"/>
      <c r="LS76" s="83"/>
      <c r="LT76" s="83"/>
      <c r="LU76" s="83"/>
      <c r="LV76" s="83"/>
      <c r="LW76" s="83"/>
      <c r="LX76" s="83"/>
      <c r="LY76" s="83"/>
      <c r="LZ76" s="83"/>
      <c r="MA76" s="83"/>
      <c r="MB76" s="83"/>
      <c r="MC76" s="83"/>
      <c r="MD76" s="83"/>
      <c r="ME76" s="83"/>
      <c r="MF76" s="83"/>
      <c r="MG76" s="83"/>
      <c r="MH76" s="83"/>
      <c r="MI76" s="83"/>
      <c r="MJ76" s="83"/>
      <c r="MK76" s="83"/>
      <c r="ML76" s="83"/>
      <c r="MM76" s="83"/>
      <c r="MN76" s="83"/>
      <c r="MO76" s="83"/>
      <c r="MP76" s="83"/>
      <c r="MQ76" s="83"/>
      <c r="MR76" s="83"/>
      <c r="MS76" s="83"/>
      <c r="MT76" s="83"/>
      <c r="MU76" s="83"/>
      <c r="MV76" s="83"/>
      <c r="MW76" s="83"/>
      <c r="MX76" s="83"/>
      <c r="MY76" s="83"/>
      <c r="MZ76" s="83"/>
      <c r="NA76" s="83"/>
      <c r="NB76" s="83"/>
      <c r="NC76" s="83"/>
      <c r="ND76" s="83"/>
      <c r="NE76" s="83"/>
      <c r="NF76" s="83"/>
      <c r="NG76" s="83"/>
      <c r="NH76" s="83"/>
      <c r="NI76" s="83"/>
      <c r="NJ76" s="83"/>
      <c r="NK76" s="83"/>
      <c r="NL76" s="83"/>
      <c r="NM76" s="83"/>
      <c r="NN76" s="83"/>
      <c r="NO76" s="83"/>
      <c r="NP76" s="83"/>
      <c r="NQ76" s="83"/>
      <c r="NR76" s="83"/>
      <c r="NS76" s="83"/>
      <c r="NT76" s="83"/>
      <c r="NU76" s="83"/>
      <c r="NV76" s="83"/>
      <c r="NW76" s="83"/>
      <c r="NX76" s="83"/>
      <c r="NY76" s="83"/>
      <c r="NZ76" s="83"/>
      <c r="OA76" s="83"/>
      <c r="OB76" s="83"/>
      <c r="OC76" s="83"/>
      <c r="OD76" s="83"/>
      <c r="OE76" s="83"/>
      <c r="OF76" s="83"/>
      <c r="OG76" s="83"/>
      <c r="OH76" s="83"/>
      <c r="OI76" s="83"/>
      <c r="OJ76" s="83"/>
      <c r="OK76" s="83"/>
      <c r="OL76" s="83"/>
      <c r="OM76" s="83"/>
      <c r="ON76" s="83"/>
      <c r="OO76" s="83"/>
      <c r="OP76" s="83"/>
      <c r="OQ76" s="83"/>
      <c r="OR76" s="83"/>
      <c r="OS76" s="83"/>
      <c r="OT76" s="83"/>
      <c r="OU76" s="83"/>
      <c r="OV76" s="83"/>
      <c r="OW76" s="83"/>
      <c r="OX76" s="83"/>
      <c r="OY76" s="83"/>
      <c r="OZ76" s="83"/>
      <c r="PA76" s="83"/>
      <c r="PB76" s="83"/>
      <c r="PC76" s="83"/>
      <c r="PD76" s="83"/>
      <c r="PE76" s="83"/>
      <c r="PF76" s="83"/>
      <c r="PG76" s="83"/>
      <c r="PH76" s="83"/>
      <c r="PI76" s="83"/>
      <c r="PJ76" s="83"/>
      <c r="PK76" s="83"/>
      <c r="PL76" s="83"/>
      <c r="PM76" s="83"/>
      <c r="PN76" s="83"/>
      <c r="PO76" s="83"/>
      <c r="PP76" s="83"/>
      <c r="PQ76" s="83"/>
      <c r="PR76" s="83"/>
      <c r="PS76" s="83"/>
      <c r="PT76" s="83"/>
      <c r="PU76" s="83"/>
      <c r="PV76" s="83"/>
      <c r="PW76" s="83"/>
      <c r="PX76" s="83"/>
      <c r="PY76" s="83"/>
      <c r="PZ76" s="83"/>
      <c r="QA76" s="83"/>
      <c r="QB76" s="83"/>
      <c r="QC76" s="83"/>
      <c r="QD76" s="83"/>
      <c r="QE76" s="83"/>
      <c r="QF76" s="83"/>
      <c r="QG76" s="83"/>
      <c r="QH76" s="83"/>
      <c r="QI76" s="83"/>
      <c r="QJ76" s="83"/>
      <c r="QK76" s="83"/>
      <c r="QL76" s="83"/>
      <c r="QM76" s="83"/>
      <c r="QN76" s="83"/>
      <c r="QO76" s="83"/>
      <c r="QP76" s="83"/>
      <c r="QQ76" s="83"/>
      <c r="QR76" s="83"/>
      <c r="QS76" s="83"/>
      <c r="QT76" s="83"/>
      <c r="QU76" s="83"/>
      <c r="QV76" s="83"/>
      <c r="QW76" s="83"/>
      <c r="QX76" s="83"/>
      <c r="QY76" s="83"/>
      <c r="QZ76" s="83"/>
      <c r="RA76" s="83"/>
      <c r="RB76" s="83"/>
      <c r="RC76" s="83"/>
      <c r="RD76" s="83"/>
      <c r="RE76" s="83"/>
      <c r="RF76" s="83"/>
      <c r="RG76" s="83"/>
      <c r="RH76" s="83"/>
      <c r="RI76" s="83"/>
      <c r="RJ76" s="83"/>
      <c r="RK76" s="83"/>
      <c r="RL76" s="83"/>
      <c r="RM76" s="83"/>
      <c r="RN76" s="83"/>
      <c r="RO76" s="83"/>
      <c r="RP76" s="83"/>
      <c r="RQ76" s="83"/>
      <c r="RR76" s="83"/>
      <c r="RS76" s="83"/>
      <c r="RT76" s="83"/>
      <c r="RU76" s="83"/>
      <c r="RV76" s="83"/>
      <c r="RW76" s="83"/>
      <c r="RX76" s="83"/>
      <c r="RY76" s="83"/>
      <c r="RZ76" s="83"/>
      <c r="SA76" s="83"/>
      <c r="SB76" s="83"/>
      <c r="SC76" s="83"/>
      <c r="SD76" s="83"/>
      <c r="SE76" s="83"/>
      <c r="SF76" s="83"/>
      <c r="SG76" s="83"/>
      <c r="SH76" s="83"/>
      <c r="SI76" s="83"/>
      <c r="SJ76" s="83"/>
      <c r="SK76" s="83"/>
      <c r="SL76" s="83"/>
      <c r="SM76" s="83"/>
      <c r="SN76" s="83"/>
      <c r="SO76" s="83"/>
      <c r="SP76" s="83"/>
      <c r="SQ76" s="83"/>
      <c r="SR76" s="83"/>
      <c r="SS76" s="83"/>
      <c r="ST76" s="83"/>
      <c r="SU76" s="83"/>
      <c r="SV76" s="83"/>
      <c r="SW76" s="83"/>
      <c r="SX76" s="83"/>
      <c r="SY76" s="83"/>
      <c r="SZ76" s="83"/>
      <c r="TA76" s="83"/>
      <c r="TB76" s="83"/>
      <c r="TC76" s="83"/>
      <c r="TD76" s="83"/>
      <c r="TE76" s="83"/>
      <c r="TF76" s="83"/>
      <c r="TG76" s="83"/>
      <c r="TH76" s="83"/>
      <c r="TI76" s="83"/>
      <c r="TJ76" s="83"/>
      <c r="TK76" s="83"/>
      <c r="TL76" s="83"/>
      <c r="TM76" s="83"/>
      <c r="TN76" s="83"/>
      <c r="TO76" s="83"/>
      <c r="TP76" s="83"/>
      <c r="TQ76" s="83"/>
      <c r="TR76" s="83"/>
      <c r="TS76" s="83"/>
      <c r="TT76" s="83"/>
      <c r="TU76" s="83"/>
      <c r="TV76" s="83"/>
      <c r="TW76" s="83"/>
      <c r="TX76" s="83"/>
      <c r="TY76" s="83"/>
      <c r="TZ76" s="83"/>
      <c r="UA76" s="83"/>
      <c r="UB76" s="83"/>
      <c r="UC76" s="83"/>
      <c r="UD76" s="83"/>
      <c r="UE76" s="83"/>
      <c r="UF76" s="83"/>
      <c r="UG76" s="83"/>
      <c r="UH76" s="83"/>
      <c r="UI76" s="83"/>
      <c r="UJ76" s="83"/>
      <c r="UK76" s="83"/>
      <c r="UL76" s="83"/>
      <c r="UM76" s="83"/>
      <c r="UN76" s="83"/>
      <c r="UO76" s="83"/>
      <c r="UP76" s="83"/>
      <c r="UQ76" s="83"/>
      <c r="UR76" s="83"/>
      <c r="US76" s="83"/>
      <c r="UT76" s="83"/>
      <c r="UU76" s="83"/>
      <c r="UV76" s="83"/>
      <c r="UW76" s="83"/>
      <c r="UX76" s="83"/>
      <c r="UY76" s="83"/>
      <c r="UZ76" s="83"/>
      <c r="VA76" s="83"/>
      <c r="VB76" s="83"/>
      <c r="VC76" s="83"/>
      <c r="VD76" s="83"/>
      <c r="VE76" s="83"/>
      <c r="VF76" s="83"/>
      <c r="VG76" s="83"/>
      <c r="VH76" s="83"/>
      <c r="VI76" s="83"/>
      <c r="VJ76" s="83"/>
      <c r="VK76" s="83"/>
      <c r="VL76" s="83"/>
      <c r="VM76" s="83"/>
      <c r="VN76" s="83"/>
      <c r="VO76" s="83"/>
      <c r="VP76" s="83"/>
      <c r="VQ76" s="83"/>
      <c r="VR76" s="83"/>
      <c r="VS76" s="83"/>
      <c r="VT76" s="83"/>
      <c r="VU76" s="83"/>
      <c r="VV76" s="83"/>
      <c r="VW76" s="83"/>
      <c r="VX76" s="83"/>
      <c r="VY76" s="83"/>
      <c r="VZ76" s="83"/>
      <c r="WA76" s="83"/>
      <c r="WB76" s="83"/>
      <c r="WC76" s="83"/>
      <c r="WD76" s="83"/>
      <c r="WE76" s="83"/>
      <c r="WF76" s="83"/>
      <c r="WG76" s="83"/>
      <c r="WH76" s="83"/>
      <c r="WI76" s="83"/>
      <c r="WJ76" s="83"/>
      <c r="WK76" s="83"/>
      <c r="WL76" s="83"/>
      <c r="WM76" s="83"/>
      <c r="WN76" s="83"/>
      <c r="WO76" s="83"/>
      <c r="WP76" s="83"/>
      <c r="WQ76" s="83"/>
      <c r="WR76" s="83"/>
      <c r="WS76" s="83"/>
      <c r="WT76" s="83"/>
      <c r="WU76" s="83"/>
      <c r="WV76" s="83"/>
      <c r="WW76" s="83"/>
      <c r="WX76" s="83"/>
      <c r="WY76" s="83"/>
      <c r="WZ76" s="83"/>
      <c r="XA76" s="83"/>
      <c r="XB76" s="83"/>
      <c r="XC76" s="83"/>
      <c r="XD76" s="83"/>
      <c r="XE76" s="83"/>
      <c r="XF76" s="83"/>
      <c r="XG76" s="83"/>
      <c r="XH76" s="83"/>
      <c r="XI76" s="83"/>
      <c r="XJ76" s="83"/>
      <c r="XK76" s="83"/>
      <c r="XL76" s="83"/>
      <c r="XM76" s="83"/>
      <c r="XN76" s="83"/>
      <c r="XO76" s="83"/>
      <c r="XP76" s="83"/>
      <c r="XQ76" s="83"/>
      <c r="XR76" s="83"/>
      <c r="XS76" s="83"/>
      <c r="XT76" s="83"/>
      <c r="XU76" s="83"/>
      <c r="XV76" s="83"/>
      <c r="XW76" s="83"/>
      <c r="XX76" s="83"/>
      <c r="XY76" s="83"/>
      <c r="XZ76" s="83"/>
      <c r="YA76" s="83"/>
      <c r="YB76" s="83"/>
      <c r="YC76" s="83"/>
      <c r="YD76" s="83"/>
      <c r="YE76" s="83"/>
      <c r="YF76" s="83"/>
      <c r="YG76" s="83"/>
      <c r="YH76" s="83"/>
      <c r="YI76" s="83"/>
      <c r="YJ76" s="83"/>
      <c r="YK76" s="83"/>
      <c r="YL76" s="83"/>
      <c r="YM76" s="83"/>
      <c r="YN76" s="83"/>
      <c r="YO76" s="83"/>
      <c r="YP76" s="83"/>
      <c r="YQ76" s="83"/>
      <c r="YR76" s="83"/>
      <c r="YS76" s="83"/>
      <c r="YT76" s="83"/>
      <c r="YU76" s="83"/>
      <c r="YV76" s="83"/>
      <c r="YW76" s="83"/>
      <c r="YX76" s="83"/>
      <c r="YY76" s="83"/>
      <c r="YZ76" s="83"/>
      <c r="ZA76" s="83"/>
      <c r="ZB76" s="83"/>
      <c r="ZC76" s="83"/>
      <c r="ZD76" s="83"/>
      <c r="ZE76" s="83"/>
      <c r="ZF76" s="83"/>
      <c r="ZG76" s="83"/>
      <c r="ZH76" s="83"/>
      <c r="ZI76" s="83"/>
      <c r="ZJ76" s="83"/>
      <c r="ZK76" s="83"/>
      <c r="ZL76" s="83"/>
      <c r="ZM76" s="83"/>
      <c r="ZN76" s="83"/>
      <c r="ZO76" s="83"/>
      <c r="ZP76" s="83"/>
      <c r="ZQ76" s="83"/>
      <c r="ZR76" s="83"/>
      <c r="ZS76" s="83"/>
      <c r="ZT76" s="83"/>
      <c r="ZU76" s="83"/>
      <c r="ZV76" s="83"/>
      <c r="ZW76" s="83"/>
      <c r="ZX76" s="83"/>
      <c r="ZY76" s="83"/>
      <c r="ZZ76" s="83"/>
      <c r="AAA76" s="83"/>
      <c r="AAB76" s="83"/>
      <c r="AAC76" s="83"/>
      <c r="AAD76" s="83"/>
      <c r="AAE76" s="83"/>
      <c r="AAF76" s="83"/>
      <c r="AAG76" s="83"/>
      <c r="AAH76" s="83"/>
      <c r="AAI76" s="83"/>
      <c r="AAJ76" s="83"/>
      <c r="AAK76" s="83"/>
      <c r="AAL76" s="83"/>
      <c r="AAM76" s="83"/>
      <c r="AAN76" s="83"/>
      <c r="AAO76" s="83"/>
      <c r="AAP76" s="83"/>
      <c r="AAQ76" s="83"/>
      <c r="AAR76" s="83"/>
      <c r="AAS76" s="83"/>
      <c r="AAT76" s="83"/>
      <c r="AAU76" s="83"/>
      <c r="AAV76" s="83"/>
      <c r="AAW76" s="83"/>
      <c r="AAX76" s="83"/>
      <c r="AAY76" s="83"/>
      <c r="AAZ76" s="83"/>
      <c r="ABA76" s="83"/>
      <c r="ABB76" s="83"/>
      <c r="ABC76" s="83"/>
      <c r="ABD76" s="83"/>
      <c r="ABE76" s="83"/>
      <c r="ABF76" s="83"/>
      <c r="ABG76" s="83"/>
      <c r="ABH76" s="83"/>
      <c r="ABI76" s="83"/>
      <c r="ABJ76" s="83"/>
      <c r="ABK76" s="83"/>
      <c r="ABL76" s="83"/>
      <c r="ABM76" s="83"/>
      <c r="ABN76" s="83"/>
      <c r="ABO76" s="83"/>
      <c r="ABP76" s="83"/>
      <c r="ABQ76" s="83"/>
      <c r="ABR76" s="83"/>
      <c r="ABS76" s="83"/>
      <c r="ABT76" s="83"/>
      <c r="ABU76" s="83"/>
      <c r="ABV76" s="83"/>
      <c r="ABW76" s="83"/>
      <c r="ABX76" s="83"/>
      <c r="ABY76" s="83"/>
      <c r="ABZ76" s="83"/>
      <c r="ACA76" s="83"/>
      <c r="ACB76" s="83"/>
      <c r="ACC76" s="83"/>
      <c r="ACD76" s="83"/>
      <c r="ACE76" s="83"/>
      <c r="ACF76" s="83"/>
      <c r="ACG76" s="83"/>
      <c r="ACH76" s="83"/>
      <c r="ACI76" s="83"/>
      <c r="ACJ76" s="83"/>
      <c r="ACK76" s="83"/>
      <c r="ACL76" s="83"/>
      <c r="ACM76" s="83"/>
      <c r="ACN76" s="83"/>
      <c r="ACO76" s="83"/>
      <c r="ACP76" s="83"/>
      <c r="ACQ76" s="83"/>
      <c r="ACR76" s="83"/>
      <c r="ACS76" s="83"/>
      <c r="ACT76" s="83"/>
      <c r="ACU76" s="83"/>
      <c r="ACV76" s="83"/>
      <c r="ACW76" s="83"/>
      <c r="ACX76" s="83"/>
      <c r="ACY76" s="83"/>
      <c r="ACZ76" s="83"/>
      <c r="ADA76" s="83"/>
      <c r="ADB76" s="83"/>
      <c r="ADC76" s="83"/>
      <c r="ADD76" s="83"/>
      <c r="ADE76" s="83"/>
      <c r="ADF76" s="83"/>
      <c r="ADG76" s="83"/>
      <c r="ADH76" s="83"/>
      <c r="ADI76" s="83"/>
      <c r="ADJ76" s="83"/>
      <c r="ADK76" s="83"/>
      <c r="ADL76" s="83"/>
      <c r="ADM76" s="83"/>
      <c r="ADN76" s="83"/>
      <c r="ADO76" s="83"/>
      <c r="ADP76" s="83"/>
      <c r="ADQ76" s="83"/>
      <c r="ADR76" s="83"/>
      <c r="ADS76" s="83"/>
      <c r="ADT76" s="83"/>
      <c r="ADU76" s="83"/>
      <c r="ADV76" s="83"/>
      <c r="ADW76" s="83"/>
      <c r="ADX76" s="83"/>
      <c r="ADY76" s="83"/>
      <c r="ADZ76" s="83"/>
      <c r="AEA76" s="83"/>
      <c r="AEB76" s="83"/>
      <c r="AEC76" s="83"/>
      <c r="AED76" s="83"/>
      <c r="AEE76" s="83"/>
      <c r="AEF76" s="83"/>
      <c r="AEG76" s="83"/>
      <c r="AEH76" s="83"/>
      <c r="AEI76" s="83"/>
      <c r="AEJ76" s="83"/>
      <c r="AEK76" s="83"/>
      <c r="AEL76" s="83"/>
      <c r="AEM76" s="83"/>
      <c r="AEN76" s="83"/>
      <c r="AEO76" s="83"/>
      <c r="AEP76" s="83"/>
      <c r="AEQ76" s="83"/>
      <c r="AER76" s="83"/>
      <c r="AES76" s="83"/>
      <c r="AET76" s="83"/>
      <c r="AEU76" s="83"/>
      <c r="AEV76" s="83"/>
      <c r="AEW76" s="83"/>
      <c r="AEX76" s="83"/>
      <c r="AEY76" s="83"/>
      <c r="AEZ76" s="83"/>
      <c r="AFA76" s="83"/>
      <c r="AFB76" s="83"/>
      <c r="AFC76" s="83"/>
      <c r="AFD76" s="83"/>
      <c r="AFE76" s="83"/>
      <c r="AFF76" s="83"/>
      <c r="AFG76" s="83"/>
      <c r="AFH76" s="83"/>
      <c r="AFI76" s="83"/>
      <c r="AFJ76" s="83"/>
      <c r="AFK76" s="83"/>
      <c r="AFL76" s="83"/>
      <c r="AFM76" s="83"/>
      <c r="AFN76" s="83"/>
      <c r="AFO76" s="83"/>
      <c r="AFP76" s="83"/>
      <c r="AFQ76" s="83"/>
      <c r="AFR76" s="83"/>
      <c r="AFS76" s="83"/>
      <c r="AFT76" s="83"/>
      <c r="AFU76" s="83"/>
      <c r="AFV76" s="83"/>
      <c r="AFW76" s="83"/>
      <c r="AFX76" s="83"/>
      <c r="AFY76" s="83"/>
      <c r="AFZ76" s="83"/>
      <c r="AGA76" s="83"/>
      <c r="AGB76" s="83"/>
      <c r="AGC76" s="83"/>
      <c r="AGD76" s="83"/>
      <c r="AGE76" s="83"/>
      <c r="AGF76" s="83"/>
      <c r="AGG76" s="83"/>
      <c r="AGH76" s="83"/>
      <c r="AGI76" s="83"/>
      <c r="AGJ76" s="83"/>
      <c r="AGK76" s="83"/>
      <c r="AGL76" s="83"/>
      <c r="AGM76" s="83"/>
      <c r="AGN76" s="83"/>
      <c r="AGO76" s="83"/>
      <c r="AGP76" s="83"/>
      <c r="AGQ76" s="83"/>
      <c r="AGR76" s="83"/>
      <c r="AGS76" s="83"/>
      <c r="AGT76" s="83"/>
      <c r="AGU76" s="83"/>
      <c r="AGV76" s="83"/>
      <c r="AGW76" s="83"/>
      <c r="AGX76" s="83"/>
      <c r="AGY76" s="83"/>
      <c r="AGZ76" s="83"/>
      <c r="AHA76" s="83"/>
      <c r="AHB76" s="83"/>
      <c r="AHC76" s="83"/>
      <c r="AHD76" s="83"/>
      <c r="AHE76" s="83"/>
      <c r="AHF76" s="83"/>
      <c r="AHG76" s="83"/>
      <c r="AHH76" s="83"/>
      <c r="AHI76" s="83"/>
      <c r="AHJ76" s="83"/>
      <c r="AHK76" s="83"/>
      <c r="AHL76" s="83"/>
      <c r="AHM76" s="83"/>
      <c r="AHN76" s="83"/>
      <c r="AHO76" s="83"/>
      <c r="AHP76" s="83"/>
      <c r="AHQ76" s="83"/>
      <c r="AHR76" s="83"/>
      <c r="AHS76" s="83"/>
      <c r="AHT76" s="83"/>
      <c r="AHU76" s="83"/>
      <c r="AHV76" s="83"/>
      <c r="AHW76" s="83"/>
      <c r="AHX76" s="83"/>
      <c r="AHY76" s="83"/>
      <c r="AHZ76" s="83"/>
      <c r="AIA76" s="83"/>
      <c r="AIB76" s="83"/>
      <c r="AIC76" s="83"/>
      <c r="AID76" s="83"/>
      <c r="AIE76" s="83"/>
      <c r="AIF76" s="83"/>
      <c r="AIG76" s="83"/>
      <c r="AIH76" s="83"/>
      <c r="AII76" s="83"/>
      <c r="AIJ76" s="83"/>
      <c r="AIK76" s="83"/>
      <c r="AIL76" s="83"/>
      <c r="AIM76" s="83"/>
      <c r="AIN76" s="83"/>
      <c r="AIO76" s="83"/>
      <c r="AIP76" s="83"/>
      <c r="AIQ76" s="83"/>
      <c r="AIR76" s="83"/>
      <c r="AIS76" s="83"/>
      <c r="AIT76" s="83"/>
      <c r="AIU76" s="83"/>
      <c r="AIV76" s="83"/>
      <c r="AIW76" s="83"/>
      <c r="AIX76" s="83"/>
      <c r="AIY76" s="83"/>
      <c r="AIZ76" s="83"/>
      <c r="AJA76" s="83"/>
      <c r="AJB76" s="83"/>
      <c r="AJC76" s="83"/>
      <c r="AJD76" s="83"/>
      <c r="AJE76" s="83"/>
      <c r="AJF76" s="83"/>
      <c r="AJG76" s="83"/>
      <c r="AJH76" s="83"/>
      <c r="AJI76" s="83"/>
      <c r="AJJ76" s="83"/>
      <c r="AJK76" s="83"/>
      <c r="AJL76" s="83"/>
      <c r="AJM76" s="83"/>
      <c r="AJN76" s="83"/>
      <c r="AJO76" s="83"/>
      <c r="AJP76" s="83"/>
      <c r="AJQ76" s="83"/>
      <c r="AJR76" s="83"/>
      <c r="AJS76" s="83"/>
      <c r="AJT76" s="83"/>
      <c r="AJU76" s="83"/>
      <c r="AJV76" s="83"/>
      <c r="AJW76" s="83"/>
      <c r="AJX76" s="83"/>
      <c r="AJY76" s="83"/>
      <c r="AJZ76" s="83"/>
      <c r="AKA76" s="83"/>
      <c r="AKB76" s="83"/>
      <c r="AKC76" s="83"/>
      <c r="AKD76" s="83"/>
      <c r="AKE76" s="83"/>
      <c r="AKF76" s="83"/>
      <c r="AKG76" s="83"/>
      <c r="AKH76" s="83"/>
      <c r="AKI76" s="83"/>
      <c r="AKJ76" s="83"/>
      <c r="AKK76" s="83"/>
      <c r="AKL76" s="83"/>
      <c r="AKM76" s="83"/>
      <c r="AKN76" s="83"/>
      <c r="AKO76" s="83"/>
      <c r="AKP76" s="83"/>
      <c r="AKQ76" s="83"/>
      <c r="AKR76" s="83"/>
      <c r="AKS76" s="83"/>
      <c r="AKT76" s="83"/>
      <c r="AKU76" s="83"/>
      <c r="AKV76" s="83"/>
      <c r="AKW76" s="83"/>
      <c r="AKX76" s="83"/>
      <c r="AKY76" s="83"/>
      <c r="AKZ76" s="83"/>
      <c r="ALA76" s="83"/>
      <c r="ALB76" s="83"/>
      <c r="ALC76" s="83"/>
      <c r="ALD76" s="83"/>
      <c r="ALE76" s="83"/>
      <c r="ALF76" s="83"/>
      <c r="ALG76" s="83"/>
      <c r="ALH76" s="83"/>
      <c r="ALI76" s="83"/>
      <c r="ALJ76" s="83"/>
      <c r="ALK76" s="83"/>
      <c r="ALL76" s="83"/>
      <c r="ALM76" s="83"/>
      <c r="ALN76" s="83"/>
      <c r="ALO76" s="83"/>
      <c r="ALP76" s="83"/>
      <c r="ALQ76" s="83"/>
      <c r="ALR76" s="83"/>
      <c r="ALS76" s="83"/>
      <c r="ALT76" s="83"/>
      <c r="ALU76" s="83"/>
      <c r="ALV76" s="83"/>
      <c r="ALW76" s="83"/>
      <c r="ALX76" s="83"/>
      <c r="ALY76" s="83"/>
      <c r="ALZ76" s="83"/>
      <c r="AMA76" s="83"/>
      <c r="AMB76" s="83"/>
      <c r="AMC76" s="83"/>
      <c r="AMD76" s="83"/>
      <c r="AME76" s="83"/>
      <c r="AMF76" s="83"/>
      <c r="AMG76" s="83"/>
      <c r="AMH76" s="83"/>
      <c r="AMI76" s="83"/>
      <c r="AMJ76" s="83"/>
    </row>
    <row r="77" spans="12:1024" ht="15.95" customHeight="1" x14ac:dyDescent="0.2">
      <c r="L77" s="83"/>
      <c r="M77" s="84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  <c r="FU77" s="83"/>
      <c r="FV77" s="83"/>
      <c r="FW77" s="83"/>
      <c r="FX77" s="83"/>
      <c r="FY77" s="83"/>
      <c r="FZ77" s="83"/>
      <c r="GA77" s="83"/>
      <c r="GB77" s="83"/>
      <c r="GC77" s="83"/>
      <c r="GD77" s="83"/>
      <c r="GE77" s="83"/>
      <c r="GF77" s="83"/>
      <c r="GG77" s="83"/>
      <c r="GH77" s="83"/>
      <c r="GI77" s="83"/>
      <c r="GJ77" s="83"/>
      <c r="GK77" s="83"/>
      <c r="GL77" s="83"/>
      <c r="GM77" s="83"/>
      <c r="GN77" s="83"/>
      <c r="GO77" s="83"/>
      <c r="GP77" s="83"/>
      <c r="GQ77" s="83"/>
      <c r="GR77" s="83"/>
      <c r="GS77" s="83"/>
      <c r="GT77" s="83"/>
      <c r="GU77" s="83"/>
      <c r="GV77" s="83"/>
      <c r="GW77" s="83"/>
      <c r="GX77" s="83"/>
      <c r="GY77" s="83"/>
      <c r="GZ77" s="83"/>
      <c r="HA77" s="83"/>
      <c r="HB77" s="83"/>
      <c r="HC77" s="83"/>
      <c r="HD77" s="83"/>
      <c r="HE77" s="83"/>
      <c r="HF77" s="83"/>
      <c r="HG77" s="83"/>
      <c r="HH77" s="83"/>
      <c r="HI77" s="83"/>
      <c r="HJ77" s="83"/>
      <c r="HK77" s="83"/>
      <c r="HL77" s="83"/>
      <c r="HM77" s="83"/>
      <c r="HN77" s="83"/>
      <c r="HO77" s="83"/>
      <c r="HP77" s="83"/>
      <c r="HQ77" s="83"/>
      <c r="HR77" s="83"/>
      <c r="HS77" s="83"/>
      <c r="HT77" s="83"/>
      <c r="HU77" s="83"/>
      <c r="HV77" s="83"/>
      <c r="HW77" s="83"/>
      <c r="HX77" s="83"/>
      <c r="HY77" s="83"/>
      <c r="HZ77" s="83"/>
      <c r="IA77" s="83"/>
      <c r="IB77" s="83"/>
      <c r="IC77" s="83"/>
      <c r="ID77" s="83"/>
      <c r="IE77" s="83"/>
      <c r="IF77" s="83"/>
      <c r="IG77" s="83"/>
      <c r="IH77" s="83"/>
      <c r="II77" s="83"/>
      <c r="IJ77" s="83"/>
      <c r="IK77" s="83"/>
      <c r="IL77" s="83"/>
      <c r="IM77" s="83"/>
      <c r="IN77" s="83"/>
      <c r="IO77" s="83"/>
      <c r="IP77" s="83"/>
      <c r="IQ77" s="83"/>
      <c r="IR77" s="83"/>
      <c r="IS77" s="83"/>
      <c r="IT77" s="83"/>
      <c r="IU77" s="83"/>
      <c r="IV77" s="83"/>
      <c r="IW77" s="83"/>
      <c r="IX77" s="83"/>
      <c r="IY77" s="83"/>
      <c r="IZ77" s="83"/>
      <c r="JA77" s="83"/>
      <c r="JB77" s="83"/>
      <c r="JC77" s="83"/>
      <c r="JD77" s="83"/>
      <c r="JE77" s="83"/>
      <c r="JF77" s="83"/>
      <c r="JG77" s="83"/>
      <c r="JH77" s="83"/>
      <c r="JI77" s="83"/>
      <c r="JJ77" s="83"/>
      <c r="JK77" s="83"/>
      <c r="JL77" s="83"/>
      <c r="JM77" s="83"/>
      <c r="JN77" s="83"/>
      <c r="JO77" s="83"/>
      <c r="JP77" s="83"/>
      <c r="JQ77" s="83"/>
      <c r="JR77" s="83"/>
      <c r="JS77" s="83"/>
      <c r="JT77" s="83"/>
      <c r="JU77" s="83"/>
      <c r="JV77" s="83"/>
      <c r="JW77" s="83"/>
      <c r="JX77" s="83"/>
      <c r="JY77" s="83"/>
      <c r="JZ77" s="83"/>
      <c r="KA77" s="83"/>
      <c r="KB77" s="83"/>
      <c r="KC77" s="83"/>
      <c r="KD77" s="83"/>
      <c r="KE77" s="83"/>
      <c r="KF77" s="83"/>
      <c r="KG77" s="83"/>
      <c r="KH77" s="83"/>
      <c r="KI77" s="83"/>
      <c r="KJ77" s="83"/>
      <c r="KK77" s="83"/>
      <c r="KL77" s="83"/>
      <c r="KM77" s="83"/>
      <c r="KN77" s="83"/>
      <c r="KO77" s="83"/>
      <c r="KP77" s="83"/>
      <c r="KQ77" s="83"/>
      <c r="KR77" s="83"/>
      <c r="KS77" s="83"/>
      <c r="KT77" s="83"/>
      <c r="KU77" s="83"/>
      <c r="KV77" s="83"/>
      <c r="KW77" s="83"/>
      <c r="KX77" s="83"/>
      <c r="KY77" s="83"/>
      <c r="KZ77" s="83"/>
      <c r="LA77" s="83"/>
      <c r="LB77" s="83"/>
      <c r="LC77" s="83"/>
      <c r="LD77" s="83"/>
      <c r="LE77" s="83"/>
      <c r="LF77" s="83"/>
      <c r="LG77" s="83"/>
      <c r="LH77" s="83"/>
      <c r="LI77" s="83"/>
      <c r="LJ77" s="83"/>
      <c r="LK77" s="83"/>
      <c r="LL77" s="83"/>
      <c r="LM77" s="83"/>
      <c r="LN77" s="83"/>
      <c r="LO77" s="83"/>
      <c r="LP77" s="83"/>
      <c r="LQ77" s="83"/>
      <c r="LR77" s="83"/>
      <c r="LS77" s="83"/>
      <c r="LT77" s="83"/>
      <c r="LU77" s="83"/>
      <c r="LV77" s="83"/>
      <c r="LW77" s="83"/>
      <c r="LX77" s="83"/>
      <c r="LY77" s="83"/>
      <c r="LZ77" s="83"/>
      <c r="MA77" s="83"/>
      <c r="MB77" s="83"/>
      <c r="MC77" s="83"/>
      <c r="MD77" s="83"/>
      <c r="ME77" s="83"/>
      <c r="MF77" s="83"/>
      <c r="MG77" s="83"/>
      <c r="MH77" s="83"/>
      <c r="MI77" s="83"/>
      <c r="MJ77" s="83"/>
      <c r="MK77" s="83"/>
      <c r="ML77" s="83"/>
      <c r="MM77" s="83"/>
      <c r="MN77" s="83"/>
      <c r="MO77" s="83"/>
      <c r="MP77" s="83"/>
      <c r="MQ77" s="83"/>
      <c r="MR77" s="83"/>
      <c r="MS77" s="83"/>
      <c r="MT77" s="83"/>
      <c r="MU77" s="83"/>
      <c r="MV77" s="83"/>
      <c r="MW77" s="83"/>
      <c r="MX77" s="83"/>
      <c r="MY77" s="83"/>
      <c r="MZ77" s="83"/>
      <c r="NA77" s="83"/>
      <c r="NB77" s="83"/>
      <c r="NC77" s="83"/>
      <c r="ND77" s="83"/>
      <c r="NE77" s="83"/>
      <c r="NF77" s="83"/>
      <c r="NG77" s="83"/>
      <c r="NH77" s="83"/>
      <c r="NI77" s="83"/>
      <c r="NJ77" s="83"/>
      <c r="NK77" s="83"/>
      <c r="NL77" s="83"/>
      <c r="NM77" s="83"/>
      <c r="NN77" s="83"/>
      <c r="NO77" s="83"/>
      <c r="NP77" s="83"/>
      <c r="NQ77" s="83"/>
      <c r="NR77" s="83"/>
      <c r="NS77" s="83"/>
      <c r="NT77" s="83"/>
      <c r="NU77" s="83"/>
      <c r="NV77" s="83"/>
      <c r="NW77" s="83"/>
      <c r="NX77" s="83"/>
      <c r="NY77" s="83"/>
      <c r="NZ77" s="83"/>
      <c r="OA77" s="83"/>
      <c r="OB77" s="83"/>
      <c r="OC77" s="83"/>
      <c r="OD77" s="83"/>
      <c r="OE77" s="83"/>
      <c r="OF77" s="83"/>
      <c r="OG77" s="83"/>
      <c r="OH77" s="83"/>
      <c r="OI77" s="83"/>
      <c r="OJ77" s="83"/>
      <c r="OK77" s="83"/>
      <c r="OL77" s="83"/>
      <c r="OM77" s="83"/>
      <c r="ON77" s="83"/>
      <c r="OO77" s="83"/>
      <c r="OP77" s="83"/>
      <c r="OQ77" s="83"/>
      <c r="OR77" s="83"/>
      <c r="OS77" s="83"/>
      <c r="OT77" s="83"/>
      <c r="OU77" s="83"/>
      <c r="OV77" s="83"/>
      <c r="OW77" s="83"/>
      <c r="OX77" s="83"/>
      <c r="OY77" s="83"/>
      <c r="OZ77" s="83"/>
      <c r="PA77" s="83"/>
      <c r="PB77" s="83"/>
      <c r="PC77" s="83"/>
      <c r="PD77" s="83"/>
      <c r="PE77" s="83"/>
      <c r="PF77" s="83"/>
      <c r="PG77" s="83"/>
      <c r="PH77" s="83"/>
      <c r="PI77" s="83"/>
      <c r="PJ77" s="83"/>
      <c r="PK77" s="83"/>
      <c r="PL77" s="83"/>
      <c r="PM77" s="83"/>
      <c r="PN77" s="83"/>
      <c r="PO77" s="83"/>
      <c r="PP77" s="83"/>
      <c r="PQ77" s="83"/>
      <c r="PR77" s="83"/>
      <c r="PS77" s="83"/>
      <c r="PT77" s="83"/>
      <c r="PU77" s="83"/>
      <c r="PV77" s="83"/>
      <c r="PW77" s="83"/>
      <c r="PX77" s="83"/>
      <c r="PY77" s="83"/>
      <c r="PZ77" s="83"/>
      <c r="QA77" s="83"/>
      <c r="QB77" s="83"/>
      <c r="QC77" s="83"/>
      <c r="QD77" s="83"/>
      <c r="QE77" s="83"/>
      <c r="QF77" s="83"/>
      <c r="QG77" s="83"/>
      <c r="QH77" s="83"/>
      <c r="QI77" s="83"/>
      <c r="QJ77" s="83"/>
      <c r="QK77" s="83"/>
      <c r="QL77" s="83"/>
      <c r="QM77" s="83"/>
      <c r="QN77" s="83"/>
      <c r="QO77" s="83"/>
      <c r="QP77" s="83"/>
      <c r="QQ77" s="83"/>
      <c r="QR77" s="83"/>
      <c r="QS77" s="83"/>
      <c r="QT77" s="83"/>
      <c r="QU77" s="83"/>
      <c r="QV77" s="83"/>
      <c r="QW77" s="83"/>
      <c r="QX77" s="83"/>
      <c r="QY77" s="83"/>
      <c r="QZ77" s="83"/>
      <c r="RA77" s="83"/>
      <c r="RB77" s="83"/>
      <c r="RC77" s="83"/>
      <c r="RD77" s="83"/>
      <c r="RE77" s="83"/>
      <c r="RF77" s="83"/>
      <c r="RG77" s="83"/>
      <c r="RH77" s="83"/>
      <c r="RI77" s="83"/>
      <c r="RJ77" s="83"/>
      <c r="RK77" s="83"/>
      <c r="RL77" s="83"/>
      <c r="RM77" s="83"/>
      <c r="RN77" s="83"/>
      <c r="RO77" s="83"/>
      <c r="RP77" s="83"/>
      <c r="RQ77" s="83"/>
      <c r="RR77" s="83"/>
      <c r="RS77" s="83"/>
      <c r="RT77" s="83"/>
      <c r="RU77" s="83"/>
      <c r="RV77" s="83"/>
      <c r="RW77" s="83"/>
      <c r="RX77" s="83"/>
      <c r="RY77" s="83"/>
      <c r="RZ77" s="83"/>
      <c r="SA77" s="83"/>
      <c r="SB77" s="83"/>
      <c r="SC77" s="83"/>
      <c r="SD77" s="83"/>
      <c r="SE77" s="83"/>
      <c r="SF77" s="83"/>
      <c r="SG77" s="83"/>
      <c r="SH77" s="83"/>
      <c r="SI77" s="83"/>
      <c r="SJ77" s="83"/>
      <c r="SK77" s="83"/>
      <c r="SL77" s="83"/>
      <c r="SM77" s="83"/>
      <c r="SN77" s="83"/>
      <c r="SO77" s="83"/>
      <c r="SP77" s="83"/>
      <c r="SQ77" s="83"/>
      <c r="SR77" s="83"/>
      <c r="SS77" s="83"/>
      <c r="ST77" s="83"/>
      <c r="SU77" s="83"/>
      <c r="SV77" s="83"/>
      <c r="SW77" s="83"/>
      <c r="SX77" s="83"/>
      <c r="SY77" s="83"/>
      <c r="SZ77" s="83"/>
      <c r="TA77" s="83"/>
      <c r="TB77" s="83"/>
      <c r="TC77" s="83"/>
      <c r="TD77" s="83"/>
      <c r="TE77" s="83"/>
      <c r="TF77" s="83"/>
      <c r="TG77" s="83"/>
      <c r="TH77" s="83"/>
      <c r="TI77" s="83"/>
      <c r="TJ77" s="83"/>
      <c r="TK77" s="83"/>
      <c r="TL77" s="83"/>
      <c r="TM77" s="83"/>
      <c r="TN77" s="83"/>
      <c r="TO77" s="83"/>
      <c r="TP77" s="83"/>
      <c r="TQ77" s="83"/>
      <c r="TR77" s="83"/>
      <c r="TS77" s="83"/>
      <c r="TT77" s="83"/>
      <c r="TU77" s="83"/>
      <c r="TV77" s="83"/>
      <c r="TW77" s="83"/>
      <c r="TX77" s="83"/>
      <c r="TY77" s="83"/>
      <c r="TZ77" s="83"/>
      <c r="UA77" s="83"/>
      <c r="UB77" s="83"/>
      <c r="UC77" s="83"/>
      <c r="UD77" s="83"/>
      <c r="UE77" s="83"/>
      <c r="UF77" s="83"/>
      <c r="UG77" s="83"/>
      <c r="UH77" s="83"/>
      <c r="UI77" s="83"/>
      <c r="UJ77" s="83"/>
      <c r="UK77" s="83"/>
      <c r="UL77" s="83"/>
      <c r="UM77" s="83"/>
      <c r="UN77" s="83"/>
      <c r="UO77" s="83"/>
      <c r="UP77" s="83"/>
      <c r="UQ77" s="83"/>
      <c r="UR77" s="83"/>
      <c r="US77" s="83"/>
      <c r="UT77" s="83"/>
      <c r="UU77" s="83"/>
      <c r="UV77" s="83"/>
      <c r="UW77" s="83"/>
      <c r="UX77" s="83"/>
      <c r="UY77" s="83"/>
      <c r="UZ77" s="83"/>
      <c r="VA77" s="83"/>
      <c r="VB77" s="83"/>
      <c r="VC77" s="83"/>
      <c r="VD77" s="83"/>
      <c r="VE77" s="83"/>
      <c r="VF77" s="83"/>
      <c r="VG77" s="83"/>
      <c r="VH77" s="83"/>
      <c r="VI77" s="83"/>
      <c r="VJ77" s="83"/>
      <c r="VK77" s="83"/>
      <c r="VL77" s="83"/>
      <c r="VM77" s="83"/>
      <c r="VN77" s="83"/>
      <c r="VO77" s="83"/>
      <c r="VP77" s="83"/>
      <c r="VQ77" s="83"/>
      <c r="VR77" s="83"/>
      <c r="VS77" s="83"/>
      <c r="VT77" s="83"/>
      <c r="VU77" s="83"/>
      <c r="VV77" s="83"/>
      <c r="VW77" s="83"/>
      <c r="VX77" s="83"/>
      <c r="VY77" s="83"/>
      <c r="VZ77" s="83"/>
      <c r="WA77" s="83"/>
      <c r="WB77" s="83"/>
      <c r="WC77" s="83"/>
      <c r="WD77" s="83"/>
      <c r="WE77" s="83"/>
      <c r="WF77" s="83"/>
      <c r="WG77" s="83"/>
      <c r="WH77" s="83"/>
      <c r="WI77" s="83"/>
      <c r="WJ77" s="83"/>
      <c r="WK77" s="83"/>
      <c r="WL77" s="83"/>
      <c r="WM77" s="83"/>
      <c r="WN77" s="83"/>
      <c r="WO77" s="83"/>
      <c r="WP77" s="83"/>
      <c r="WQ77" s="83"/>
      <c r="WR77" s="83"/>
      <c r="WS77" s="83"/>
      <c r="WT77" s="83"/>
      <c r="WU77" s="83"/>
      <c r="WV77" s="83"/>
      <c r="WW77" s="83"/>
      <c r="WX77" s="83"/>
      <c r="WY77" s="83"/>
      <c r="WZ77" s="83"/>
      <c r="XA77" s="83"/>
      <c r="XB77" s="83"/>
      <c r="XC77" s="83"/>
      <c r="XD77" s="83"/>
      <c r="XE77" s="83"/>
      <c r="XF77" s="83"/>
      <c r="XG77" s="83"/>
      <c r="XH77" s="83"/>
      <c r="XI77" s="83"/>
      <c r="XJ77" s="83"/>
      <c r="XK77" s="83"/>
      <c r="XL77" s="83"/>
      <c r="XM77" s="83"/>
      <c r="XN77" s="83"/>
      <c r="XO77" s="83"/>
      <c r="XP77" s="83"/>
      <c r="XQ77" s="83"/>
      <c r="XR77" s="83"/>
      <c r="XS77" s="83"/>
      <c r="XT77" s="83"/>
      <c r="XU77" s="83"/>
      <c r="XV77" s="83"/>
      <c r="XW77" s="83"/>
      <c r="XX77" s="83"/>
      <c r="XY77" s="83"/>
      <c r="XZ77" s="83"/>
      <c r="YA77" s="83"/>
      <c r="YB77" s="83"/>
      <c r="YC77" s="83"/>
      <c r="YD77" s="83"/>
      <c r="YE77" s="83"/>
      <c r="YF77" s="83"/>
      <c r="YG77" s="83"/>
      <c r="YH77" s="83"/>
      <c r="YI77" s="83"/>
      <c r="YJ77" s="83"/>
      <c r="YK77" s="83"/>
      <c r="YL77" s="83"/>
      <c r="YM77" s="83"/>
      <c r="YN77" s="83"/>
      <c r="YO77" s="83"/>
      <c r="YP77" s="83"/>
      <c r="YQ77" s="83"/>
      <c r="YR77" s="83"/>
      <c r="YS77" s="83"/>
      <c r="YT77" s="83"/>
      <c r="YU77" s="83"/>
      <c r="YV77" s="83"/>
      <c r="YW77" s="83"/>
      <c r="YX77" s="83"/>
      <c r="YY77" s="83"/>
      <c r="YZ77" s="83"/>
      <c r="ZA77" s="83"/>
      <c r="ZB77" s="83"/>
      <c r="ZC77" s="83"/>
      <c r="ZD77" s="83"/>
      <c r="ZE77" s="83"/>
      <c r="ZF77" s="83"/>
      <c r="ZG77" s="83"/>
      <c r="ZH77" s="83"/>
      <c r="ZI77" s="83"/>
      <c r="ZJ77" s="83"/>
      <c r="ZK77" s="83"/>
      <c r="ZL77" s="83"/>
      <c r="ZM77" s="83"/>
      <c r="ZN77" s="83"/>
      <c r="ZO77" s="83"/>
      <c r="ZP77" s="83"/>
      <c r="ZQ77" s="83"/>
      <c r="ZR77" s="83"/>
      <c r="ZS77" s="83"/>
      <c r="ZT77" s="83"/>
      <c r="ZU77" s="83"/>
      <c r="ZV77" s="83"/>
      <c r="ZW77" s="83"/>
      <c r="ZX77" s="83"/>
      <c r="ZY77" s="83"/>
      <c r="ZZ77" s="83"/>
      <c r="AAA77" s="83"/>
      <c r="AAB77" s="83"/>
      <c r="AAC77" s="83"/>
      <c r="AAD77" s="83"/>
      <c r="AAE77" s="83"/>
      <c r="AAF77" s="83"/>
      <c r="AAG77" s="83"/>
      <c r="AAH77" s="83"/>
      <c r="AAI77" s="83"/>
      <c r="AAJ77" s="83"/>
      <c r="AAK77" s="83"/>
      <c r="AAL77" s="83"/>
      <c r="AAM77" s="83"/>
      <c r="AAN77" s="83"/>
      <c r="AAO77" s="83"/>
      <c r="AAP77" s="83"/>
      <c r="AAQ77" s="83"/>
      <c r="AAR77" s="83"/>
      <c r="AAS77" s="83"/>
      <c r="AAT77" s="83"/>
      <c r="AAU77" s="83"/>
      <c r="AAV77" s="83"/>
      <c r="AAW77" s="83"/>
      <c r="AAX77" s="83"/>
      <c r="AAY77" s="83"/>
      <c r="AAZ77" s="83"/>
      <c r="ABA77" s="83"/>
      <c r="ABB77" s="83"/>
      <c r="ABC77" s="83"/>
      <c r="ABD77" s="83"/>
      <c r="ABE77" s="83"/>
      <c r="ABF77" s="83"/>
      <c r="ABG77" s="83"/>
      <c r="ABH77" s="83"/>
      <c r="ABI77" s="83"/>
      <c r="ABJ77" s="83"/>
      <c r="ABK77" s="83"/>
      <c r="ABL77" s="83"/>
      <c r="ABM77" s="83"/>
      <c r="ABN77" s="83"/>
      <c r="ABO77" s="83"/>
      <c r="ABP77" s="83"/>
      <c r="ABQ77" s="83"/>
      <c r="ABR77" s="83"/>
      <c r="ABS77" s="83"/>
      <c r="ABT77" s="83"/>
      <c r="ABU77" s="83"/>
      <c r="ABV77" s="83"/>
      <c r="ABW77" s="83"/>
      <c r="ABX77" s="83"/>
      <c r="ABY77" s="83"/>
      <c r="ABZ77" s="83"/>
      <c r="ACA77" s="83"/>
      <c r="ACB77" s="83"/>
      <c r="ACC77" s="83"/>
      <c r="ACD77" s="83"/>
      <c r="ACE77" s="83"/>
      <c r="ACF77" s="83"/>
      <c r="ACG77" s="83"/>
      <c r="ACH77" s="83"/>
      <c r="ACI77" s="83"/>
      <c r="ACJ77" s="83"/>
      <c r="ACK77" s="83"/>
      <c r="ACL77" s="83"/>
      <c r="ACM77" s="83"/>
      <c r="ACN77" s="83"/>
      <c r="ACO77" s="83"/>
      <c r="ACP77" s="83"/>
      <c r="ACQ77" s="83"/>
      <c r="ACR77" s="83"/>
      <c r="ACS77" s="83"/>
      <c r="ACT77" s="83"/>
      <c r="ACU77" s="83"/>
      <c r="ACV77" s="83"/>
      <c r="ACW77" s="83"/>
      <c r="ACX77" s="83"/>
      <c r="ACY77" s="83"/>
      <c r="ACZ77" s="83"/>
      <c r="ADA77" s="83"/>
      <c r="ADB77" s="83"/>
      <c r="ADC77" s="83"/>
      <c r="ADD77" s="83"/>
      <c r="ADE77" s="83"/>
      <c r="ADF77" s="83"/>
      <c r="ADG77" s="83"/>
      <c r="ADH77" s="83"/>
      <c r="ADI77" s="83"/>
      <c r="ADJ77" s="83"/>
      <c r="ADK77" s="83"/>
      <c r="ADL77" s="83"/>
      <c r="ADM77" s="83"/>
      <c r="ADN77" s="83"/>
      <c r="ADO77" s="83"/>
      <c r="ADP77" s="83"/>
      <c r="ADQ77" s="83"/>
      <c r="ADR77" s="83"/>
      <c r="ADS77" s="83"/>
      <c r="ADT77" s="83"/>
      <c r="ADU77" s="83"/>
      <c r="ADV77" s="83"/>
      <c r="ADW77" s="83"/>
      <c r="ADX77" s="83"/>
      <c r="ADY77" s="83"/>
      <c r="ADZ77" s="83"/>
      <c r="AEA77" s="83"/>
      <c r="AEB77" s="83"/>
      <c r="AEC77" s="83"/>
      <c r="AED77" s="83"/>
      <c r="AEE77" s="83"/>
      <c r="AEF77" s="83"/>
      <c r="AEG77" s="83"/>
      <c r="AEH77" s="83"/>
      <c r="AEI77" s="83"/>
      <c r="AEJ77" s="83"/>
      <c r="AEK77" s="83"/>
      <c r="AEL77" s="83"/>
      <c r="AEM77" s="83"/>
      <c r="AEN77" s="83"/>
      <c r="AEO77" s="83"/>
      <c r="AEP77" s="83"/>
      <c r="AEQ77" s="83"/>
      <c r="AER77" s="83"/>
      <c r="AES77" s="83"/>
      <c r="AET77" s="83"/>
      <c r="AEU77" s="83"/>
      <c r="AEV77" s="83"/>
      <c r="AEW77" s="83"/>
      <c r="AEX77" s="83"/>
      <c r="AEY77" s="83"/>
      <c r="AEZ77" s="83"/>
      <c r="AFA77" s="83"/>
      <c r="AFB77" s="83"/>
      <c r="AFC77" s="83"/>
      <c r="AFD77" s="83"/>
      <c r="AFE77" s="83"/>
      <c r="AFF77" s="83"/>
      <c r="AFG77" s="83"/>
      <c r="AFH77" s="83"/>
      <c r="AFI77" s="83"/>
      <c r="AFJ77" s="83"/>
      <c r="AFK77" s="83"/>
      <c r="AFL77" s="83"/>
      <c r="AFM77" s="83"/>
      <c r="AFN77" s="83"/>
      <c r="AFO77" s="83"/>
      <c r="AFP77" s="83"/>
      <c r="AFQ77" s="83"/>
      <c r="AFR77" s="83"/>
      <c r="AFS77" s="83"/>
      <c r="AFT77" s="83"/>
      <c r="AFU77" s="83"/>
      <c r="AFV77" s="83"/>
      <c r="AFW77" s="83"/>
      <c r="AFX77" s="83"/>
      <c r="AFY77" s="83"/>
      <c r="AFZ77" s="83"/>
      <c r="AGA77" s="83"/>
      <c r="AGB77" s="83"/>
      <c r="AGC77" s="83"/>
      <c r="AGD77" s="83"/>
      <c r="AGE77" s="83"/>
      <c r="AGF77" s="83"/>
      <c r="AGG77" s="83"/>
      <c r="AGH77" s="83"/>
      <c r="AGI77" s="83"/>
      <c r="AGJ77" s="83"/>
      <c r="AGK77" s="83"/>
      <c r="AGL77" s="83"/>
      <c r="AGM77" s="83"/>
      <c r="AGN77" s="83"/>
      <c r="AGO77" s="83"/>
      <c r="AGP77" s="83"/>
      <c r="AGQ77" s="83"/>
      <c r="AGR77" s="83"/>
      <c r="AGS77" s="83"/>
      <c r="AGT77" s="83"/>
      <c r="AGU77" s="83"/>
      <c r="AGV77" s="83"/>
      <c r="AGW77" s="83"/>
      <c r="AGX77" s="83"/>
      <c r="AGY77" s="83"/>
      <c r="AGZ77" s="83"/>
      <c r="AHA77" s="83"/>
      <c r="AHB77" s="83"/>
      <c r="AHC77" s="83"/>
      <c r="AHD77" s="83"/>
      <c r="AHE77" s="83"/>
      <c r="AHF77" s="83"/>
      <c r="AHG77" s="83"/>
      <c r="AHH77" s="83"/>
      <c r="AHI77" s="83"/>
      <c r="AHJ77" s="83"/>
      <c r="AHK77" s="83"/>
      <c r="AHL77" s="83"/>
      <c r="AHM77" s="83"/>
      <c r="AHN77" s="83"/>
      <c r="AHO77" s="83"/>
      <c r="AHP77" s="83"/>
      <c r="AHQ77" s="83"/>
      <c r="AHR77" s="83"/>
      <c r="AHS77" s="83"/>
      <c r="AHT77" s="83"/>
      <c r="AHU77" s="83"/>
      <c r="AHV77" s="83"/>
      <c r="AHW77" s="83"/>
      <c r="AHX77" s="83"/>
      <c r="AHY77" s="83"/>
      <c r="AHZ77" s="83"/>
      <c r="AIA77" s="83"/>
      <c r="AIB77" s="83"/>
      <c r="AIC77" s="83"/>
      <c r="AID77" s="83"/>
      <c r="AIE77" s="83"/>
      <c r="AIF77" s="83"/>
      <c r="AIG77" s="83"/>
      <c r="AIH77" s="83"/>
      <c r="AII77" s="83"/>
      <c r="AIJ77" s="83"/>
      <c r="AIK77" s="83"/>
      <c r="AIL77" s="83"/>
      <c r="AIM77" s="83"/>
      <c r="AIN77" s="83"/>
      <c r="AIO77" s="83"/>
      <c r="AIP77" s="83"/>
      <c r="AIQ77" s="83"/>
      <c r="AIR77" s="83"/>
      <c r="AIS77" s="83"/>
      <c r="AIT77" s="83"/>
      <c r="AIU77" s="83"/>
      <c r="AIV77" s="83"/>
      <c r="AIW77" s="83"/>
      <c r="AIX77" s="83"/>
      <c r="AIY77" s="83"/>
      <c r="AIZ77" s="83"/>
      <c r="AJA77" s="83"/>
      <c r="AJB77" s="83"/>
      <c r="AJC77" s="83"/>
      <c r="AJD77" s="83"/>
      <c r="AJE77" s="83"/>
      <c r="AJF77" s="83"/>
      <c r="AJG77" s="83"/>
      <c r="AJH77" s="83"/>
      <c r="AJI77" s="83"/>
      <c r="AJJ77" s="83"/>
      <c r="AJK77" s="83"/>
      <c r="AJL77" s="83"/>
      <c r="AJM77" s="83"/>
      <c r="AJN77" s="83"/>
      <c r="AJO77" s="83"/>
      <c r="AJP77" s="83"/>
      <c r="AJQ77" s="83"/>
      <c r="AJR77" s="83"/>
      <c r="AJS77" s="83"/>
      <c r="AJT77" s="83"/>
      <c r="AJU77" s="83"/>
      <c r="AJV77" s="83"/>
      <c r="AJW77" s="83"/>
      <c r="AJX77" s="83"/>
      <c r="AJY77" s="83"/>
      <c r="AJZ77" s="83"/>
      <c r="AKA77" s="83"/>
      <c r="AKB77" s="83"/>
      <c r="AKC77" s="83"/>
      <c r="AKD77" s="83"/>
      <c r="AKE77" s="83"/>
      <c r="AKF77" s="83"/>
      <c r="AKG77" s="83"/>
      <c r="AKH77" s="83"/>
      <c r="AKI77" s="83"/>
      <c r="AKJ77" s="83"/>
      <c r="AKK77" s="83"/>
      <c r="AKL77" s="83"/>
      <c r="AKM77" s="83"/>
      <c r="AKN77" s="83"/>
      <c r="AKO77" s="83"/>
      <c r="AKP77" s="83"/>
      <c r="AKQ77" s="83"/>
      <c r="AKR77" s="83"/>
      <c r="AKS77" s="83"/>
      <c r="AKT77" s="83"/>
      <c r="AKU77" s="83"/>
      <c r="AKV77" s="83"/>
      <c r="AKW77" s="83"/>
      <c r="AKX77" s="83"/>
      <c r="AKY77" s="83"/>
      <c r="AKZ77" s="83"/>
      <c r="ALA77" s="83"/>
      <c r="ALB77" s="83"/>
      <c r="ALC77" s="83"/>
      <c r="ALD77" s="83"/>
      <c r="ALE77" s="83"/>
      <c r="ALF77" s="83"/>
      <c r="ALG77" s="83"/>
      <c r="ALH77" s="83"/>
      <c r="ALI77" s="83"/>
      <c r="ALJ77" s="83"/>
      <c r="ALK77" s="83"/>
      <c r="ALL77" s="83"/>
      <c r="ALM77" s="83"/>
      <c r="ALN77" s="83"/>
      <c r="ALO77" s="83"/>
      <c r="ALP77" s="83"/>
      <c r="ALQ77" s="83"/>
      <c r="ALR77" s="83"/>
      <c r="ALS77" s="83"/>
      <c r="ALT77" s="83"/>
      <c r="ALU77" s="83"/>
      <c r="ALV77" s="83"/>
      <c r="ALW77" s="83"/>
      <c r="ALX77" s="83"/>
      <c r="ALY77" s="83"/>
      <c r="ALZ77" s="83"/>
      <c r="AMA77" s="83"/>
      <c r="AMB77" s="83"/>
      <c r="AMC77" s="83"/>
      <c r="AMD77" s="83"/>
      <c r="AME77" s="83"/>
      <c r="AMF77" s="83"/>
      <c r="AMG77" s="83"/>
      <c r="AMH77" s="83"/>
      <c r="AMI77" s="83"/>
      <c r="AMJ77" s="83"/>
    </row>
    <row r="78" spans="12:1024" ht="15.95" customHeight="1" x14ac:dyDescent="0.2">
      <c r="L78" s="83"/>
      <c r="M78" s="84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3"/>
      <c r="EW78" s="83"/>
      <c r="EX78" s="83"/>
      <c r="EY78" s="83"/>
      <c r="EZ78" s="83"/>
      <c r="FA78" s="83"/>
      <c r="FB78" s="83"/>
      <c r="FC78" s="83"/>
      <c r="FD78" s="83"/>
      <c r="FE78" s="83"/>
      <c r="FF78" s="83"/>
      <c r="FG78" s="83"/>
      <c r="FH78" s="83"/>
      <c r="FI78" s="83"/>
      <c r="FJ78" s="83"/>
      <c r="FK78" s="83"/>
      <c r="FL78" s="83"/>
      <c r="FM78" s="83"/>
      <c r="FN78" s="83"/>
      <c r="FO78" s="83"/>
      <c r="FP78" s="83"/>
      <c r="FQ78" s="83"/>
      <c r="FR78" s="83"/>
      <c r="FS78" s="83"/>
      <c r="FT78" s="83"/>
      <c r="FU78" s="83"/>
      <c r="FV78" s="83"/>
      <c r="FW78" s="83"/>
      <c r="FX78" s="83"/>
      <c r="FY78" s="83"/>
      <c r="FZ78" s="83"/>
      <c r="GA78" s="83"/>
      <c r="GB78" s="83"/>
      <c r="GC78" s="83"/>
      <c r="GD78" s="83"/>
      <c r="GE78" s="83"/>
      <c r="GF78" s="83"/>
      <c r="GG78" s="83"/>
      <c r="GH78" s="83"/>
      <c r="GI78" s="83"/>
      <c r="GJ78" s="83"/>
      <c r="GK78" s="83"/>
      <c r="GL78" s="83"/>
      <c r="GM78" s="83"/>
      <c r="GN78" s="83"/>
      <c r="GO78" s="83"/>
      <c r="GP78" s="83"/>
      <c r="GQ78" s="83"/>
      <c r="GR78" s="83"/>
      <c r="GS78" s="83"/>
      <c r="GT78" s="83"/>
      <c r="GU78" s="83"/>
      <c r="GV78" s="83"/>
      <c r="GW78" s="83"/>
      <c r="GX78" s="83"/>
      <c r="GY78" s="83"/>
      <c r="GZ78" s="83"/>
      <c r="HA78" s="83"/>
      <c r="HB78" s="83"/>
      <c r="HC78" s="83"/>
      <c r="HD78" s="83"/>
      <c r="HE78" s="83"/>
      <c r="HF78" s="83"/>
      <c r="HG78" s="83"/>
      <c r="HH78" s="83"/>
      <c r="HI78" s="83"/>
      <c r="HJ78" s="83"/>
      <c r="HK78" s="83"/>
      <c r="HL78" s="83"/>
      <c r="HM78" s="83"/>
      <c r="HN78" s="83"/>
      <c r="HO78" s="83"/>
      <c r="HP78" s="83"/>
      <c r="HQ78" s="83"/>
      <c r="HR78" s="83"/>
      <c r="HS78" s="83"/>
      <c r="HT78" s="83"/>
      <c r="HU78" s="83"/>
      <c r="HV78" s="83"/>
      <c r="HW78" s="83"/>
      <c r="HX78" s="83"/>
      <c r="HY78" s="83"/>
      <c r="HZ78" s="83"/>
      <c r="IA78" s="83"/>
      <c r="IB78" s="83"/>
      <c r="IC78" s="83"/>
      <c r="ID78" s="83"/>
      <c r="IE78" s="83"/>
      <c r="IF78" s="83"/>
      <c r="IG78" s="83"/>
      <c r="IH78" s="83"/>
      <c r="II78" s="83"/>
      <c r="IJ78" s="83"/>
      <c r="IK78" s="83"/>
      <c r="IL78" s="83"/>
      <c r="IM78" s="83"/>
      <c r="IN78" s="83"/>
      <c r="IO78" s="83"/>
      <c r="IP78" s="83"/>
      <c r="IQ78" s="83"/>
      <c r="IR78" s="83"/>
      <c r="IS78" s="83"/>
      <c r="IT78" s="83"/>
      <c r="IU78" s="83"/>
      <c r="IV78" s="83"/>
      <c r="IW78" s="83"/>
      <c r="IX78" s="83"/>
      <c r="IY78" s="83"/>
      <c r="IZ78" s="83"/>
      <c r="JA78" s="83"/>
      <c r="JB78" s="83"/>
      <c r="JC78" s="83"/>
      <c r="JD78" s="83"/>
      <c r="JE78" s="83"/>
      <c r="JF78" s="83"/>
      <c r="JG78" s="83"/>
      <c r="JH78" s="83"/>
      <c r="JI78" s="83"/>
      <c r="JJ78" s="83"/>
      <c r="JK78" s="83"/>
      <c r="JL78" s="83"/>
      <c r="JM78" s="83"/>
      <c r="JN78" s="83"/>
      <c r="JO78" s="83"/>
      <c r="JP78" s="83"/>
      <c r="JQ78" s="83"/>
      <c r="JR78" s="83"/>
      <c r="JS78" s="83"/>
      <c r="JT78" s="83"/>
      <c r="JU78" s="83"/>
      <c r="JV78" s="83"/>
      <c r="JW78" s="83"/>
      <c r="JX78" s="83"/>
      <c r="JY78" s="83"/>
      <c r="JZ78" s="83"/>
      <c r="KA78" s="83"/>
      <c r="KB78" s="83"/>
      <c r="KC78" s="83"/>
      <c r="KD78" s="83"/>
      <c r="KE78" s="83"/>
      <c r="KF78" s="83"/>
      <c r="KG78" s="83"/>
      <c r="KH78" s="83"/>
      <c r="KI78" s="83"/>
      <c r="KJ78" s="83"/>
      <c r="KK78" s="83"/>
      <c r="KL78" s="83"/>
      <c r="KM78" s="83"/>
      <c r="KN78" s="83"/>
      <c r="KO78" s="83"/>
      <c r="KP78" s="83"/>
      <c r="KQ78" s="83"/>
      <c r="KR78" s="83"/>
      <c r="KS78" s="83"/>
      <c r="KT78" s="83"/>
      <c r="KU78" s="83"/>
      <c r="KV78" s="83"/>
      <c r="KW78" s="83"/>
      <c r="KX78" s="83"/>
      <c r="KY78" s="83"/>
      <c r="KZ78" s="83"/>
      <c r="LA78" s="83"/>
      <c r="LB78" s="83"/>
      <c r="LC78" s="83"/>
      <c r="LD78" s="83"/>
      <c r="LE78" s="83"/>
      <c r="LF78" s="83"/>
      <c r="LG78" s="83"/>
      <c r="LH78" s="83"/>
      <c r="LI78" s="83"/>
      <c r="LJ78" s="83"/>
      <c r="LK78" s="83"/>
      <c r="LL78" s="83"/>
      <c r="LM78" s="83"/>
      <c r="LN78" s="83"/>
      <c r="LO78" s="83"/>
      <c r="LP78" s="83"/>
      <c r="LQ78" s="83"/>
      <c r="LR78" s="83"/>
      <c r="LS78" s="83"/>
      <c r="LT78" s="83"/>
      <c r="LU78" s="83"/>
      <c r="LV78" s="83"/>
      <c r="LW78" s="83"/>
      <c r="LX78" s="83"/>
      <c r="LY78" s="83"/>
      <c r="LZ78" s="83"/>
      <c r="MA78" s="83"/>
      <c r="MB78" s="83"/>
      <c r="MC78" s="83"/>
      <c r="MD78" s="83"/>
      <c r="ME78" s="83"/>
      <c r="MF78" s="83"/>
      <c r="MG78" s="83"/>
      <c r="MH78" s="83"/>
      <c r="MI78" s="83"/>
      <c r="MJ78" s="83"/>
      <c r="MK78" s="83"/>
      <c r="ML78" s="83"/>
      <c r="MM78" s="83"/>
      <c r="MN78" s="83"/>
      <c r="MO78" s="83"/>
      <c r="MP78" s="83"/>
      <c r="MQ78" s="83"/>
      <c r="MR78" s="83"/>
      <c r="MS78" s="83"/>
      <c r="MT78" s="83"/>
      <c r="MU78" s="83"/>
      <c r="MV78" s="83"/>
      <c r="MW78" s="83"/>
      <c r="MX78" s="83"/>
      <c r="MY78" s="83"/>
      <c r="MZ78" s="83"/>
      <c r="NA78" s="83"/>
      <c r="NB78" s="83"/>
      <c r="NC78" s="83"/>
      <c r="ND78" s="83"/>
      <c r="NE78" s="83"/>
      <c r="NF78" s="83"/>
      <c r="NG78" s="83"/>
      <c r="NH78" s="83"/>
      <c r="NI78" s="83"/>
      <c r="NJ78" s="83"/>
      <c r="NK78" s="83"/>
      <c r="NL78" s="83"/>
      <c r="NM78" s="83"/>
      <c r="NN78" s="83"/>
      <c r="NO78" s="83"/>
      <c r="NP78" s="83"/>
      <c r="NQ78" s="83"/>
      <c r="NR78" s="83"/>
      <c r="NS78" s="83"/>
      <c r="NT78" s="83"/>
      <c r="NU78" s="83"/>
      <c r="NV78" s="83"/>
      <c r="NW78" s="83"/>
      <c r="NX78" s="83"/>
      <c r="NY78" s="83"/>
      <c r="NZ78" s="83"/>
      <c r="OA78" s="83"/>
      <c r="OB78" s="83"/>
      <c r="OC78" s="83"/>
      <c r="OD78" s="83"/>
      <c r="OE78" s="83"/>
      <c r="OF78" s="83"/>
      <c r="OG78" s="83"/>
      <c r="OH78" s="83"/>
      <c r="OI78" s="83"/>
      <c r="OJ78" s="83"/>
      <c r="OK78" s="83"/>
      <c r="OL78" s="83"/>
      <c r="OM78" s="83"/>
      <c r="ON78" s="83"/>
      <c r="OO78" s="83"/>
      <c r="OP78" s="83"/>
      <c r="OQ78" s="83"/>
      <c r="OR78" s="83"/>
      <c r="OS78" s="83"/>
      <c r="OT78" s="83"/>
      <c r="OU78" s="83"/>
      <c r="OV78" s="83"/>
      <c r="OW78" s="83"/>
      <c r="OX78" s="83"/>
      <c r="OY78" s="83"/>
      <c r="OZ78" s="83"/>
      <c r="PA78" s="83"/>
      <c r="PB78" s="83"/>
      <c r="PC78" s="83"/>
      <c r="PD78" s="83"/>
      <c r="PE78" s="83"/>
      <c r="PF78" s="83"/>
      <c r="PG78" s="83"/>
      <c r="PH78" s="83"/>
      <c r="PI78" s="83"/>
      <c r="PJ78" s="83"/>
      <c r="PK78" s="83"/>
      <c r="PL78" s="83"/>
      <c r="PM78" s="83"/>
      <c r="PN78" s="83"/>
      <c r="PO78" s="83"/>
      <c r="PP78" s="83"/>
      <c r="PQ78" s="83"/>
      <c r="PR78" s="83"/>
      <c r="PS78" s="83"/>
      <c r="PT78" s="83"/>
      <c r="PU78" s="83"/>
      <c r="PV78" s="83"/>
      <c r="PW78" s="83"/>
      <c r="PX78" s="83"/>
      <c r="PY78" s="83"/>
      <c r="PZ78" s="83"/>
      <c r="QA78" s="83"/>
      <c r="QB78" s="83"/>
      <c r="QC78" s="83"/>
      <c r="QD78" s="83"/>
      <c r="QE78" s="83"/>
      <c r="QF78" s="83"/>
      <c r="QG78" s="83"/>
      <c r="QH78" s="83"/>
      <c r="QI78" s="83"/>
      <c r="QJ78" s="83"/>
      <c r="QK78" s="83"/>
      <c r="QL78" s="83"/>
      <c r="QM78" s="83"/>
      <c r="QN78" s="83"/>
      <c r="QO78" s="83"/>
      <c r="QP78" s="83"/>
      <c r="QQ78" s="83"/>
      <c r="QR78" s="83"/>
      <c r="QS78" s="83"/>
      <c r="QT78" s="83"/>
      <c r="QU78" s="83"/>
      <c r="QV78" s="83"/>
      <c r="QW78" s="83"/>
      <c r="QX78" s="83"/>
      <c r="QY78" s="83"/>
      <c r="QZ78" s="83"/>
      <c r="RA78" s="83"/>
      <c r="RB78" s="83"/>
      <c r="RC78" s="83"/>
      <c r="RD78" s="83"/>
      <c r="RE78" s="83"/>
      <c r="RF78" s="83"/>
      <c r="RG78" s="83"/>
      <c r="RH78" s="83"/>
      <c r="RI78" s="83"/>
      <c r="RJ78" s="83"/>
      <c r="RK78" s="83"/>
      <c r="RL78" s="83"/>
      <c r="RM78" s="83"/>
      <c r="RN78" s="83"/>
      <c r="RO78" s="83"/>
      <c r="RP78" s="83"/>
      <c r="RQ78" s="83"/>
      <c r="RR78" s="83"/>
      <c r="RS78" s="83"/>
      <c r="RT78" s="83"/>
      <c r="RU78" s="83"/>
      <c r="RV78" s="83"/>
      <c r="RW78" s="83"/>
      <c r="RX78" s="83"/>
      <c r="RY78" s="83"/>
      <c r="RZ78" s="83"/>
      <c r="SA78" s="83"/>
      <c r="SB78" s="83"/>
      <c r="SC78" s="83"/>
      <c r="SD78" s="83"/>
      <c r="SE78" s="83"/>
      <c r="SF78" s="83"/>
      <c r="SG78" s="83"/>
      <c r="SH78" s="83"/>
      <c r="SI78" s="83"/>
      <c r="SJ78" s="83"/>
      <c r="SK78" s="83"/>
      <c r="SL78" s="83"/>
      <c r="SM78" s="83"/>
      <c r="SN78" s="83"/>
      <c r="SO78" s="83"/>
      <c r="SP78" s="83"/>
      <c r="SQ78" s="83"/>
      <c r="SR78" s="83"/>
      <c r="SS78" s="83"/>
      <c r="ST78" s="83"/>
      <c r="SU78" s="83"/>
      <c r="SV78" s="83"/>
      <c r="SW78" s="83"/>
      <c r="SX78" s="83"/>
      <c r="SY78" s="83"/>
      <c r="SZ78" s="83"/>
      <c r="TA78" s="83"/>
      <c r="TB78" s="83"/>
      <c r="TC78" s="83"/>
      <c r="TD78" s="83"/>
      <c r="TE78" s="83"/>
      <c r="TF78" s="83"/>
      <c r="TG78" s="83"/>
      <c r="TH78" s="83"/>
      <c r="TI78" s="83"/>
      <c r="TJ78" s="83"/>
      <c r="TK78" s="83"/>
      <c r="TL78" s="83"/>
      <c r="TM78" s="83"/>
      <c r="TN78" s="83"/>
      <c r="TO78" s="83"/>
      <c r="TP78" s="83"/>
      <c r="TQ78" s="83"/>
      <c r="TR78" s="83"/>
      <c r="TS78" s="83"/>
      <c r="TT78" s="83"/>
      <c r="TU78" s="83"/>
      <c r="TV78" s="83"/>
      <c r="TW78" s="83"/>
      <c r="TX78" s="83"/>
      <c r="TY78" s="83"/>
      <c r="TZ78" s="83"/>
      <c r="UA78" s="83"/>
      <c r="UB78" s="83"/>
      <c r="UC78" s="83"/>
      <c r="UD78" s="83"/>
      <c r="UE78" s="83"/>
      <c r="UF78" s="83"/>
      <c r="UG78" s="83"/>
      <c r="UH78" s="83"/>
      <c r="UI78" s="83"/>
      <c r="UJ78" s="83"/>
      <c r="UK78" s="83"/>
      <c r="UL78" s="83"/>
      <c r="UM78" s="83"/>
      <c r="UN78" s="83"/>
      <c r="UO78" s="83"/>
      <c r="UP78" s="83"/>
      <c r="UQ78" s="83"/>
      <c r="UR78" s="83"/>
      <c r="US78" s="83"/>
      <c r="UT78" s="83"/>
      <c r="UU78" s="83"/>
      <c r="UV78" s="83"/>
      <c r="UW78" s="83"/>
      <c r="UX78" s="83"/>
      <c r="UY78" s="83"/>
      <c r="UZ78" s="83"/>
      <c r="VA78" s="83"/>
      <c r="VB78" s="83"/>
      <c r="VC78" s="83"/>
      <c r="VD78" s="83"/>
      <c r="VE78" s="83"/>
      <c r="VF78" s="83"/>
      <c r="VG78" s="83"/>
      <c r="VH78" s="83"/>
      <c r="VI78" s="83"/>
      <c r="VJ78" s="83"/>
      <c r="VK78" s="83"/>
      <c r="VL78" s="83"/>
      <c r="VM78" s="83"/>
      <c r="VN78" s="83"/>
      <c r="VO78" s="83"/>
      <c r="VP78" s="83"/>
      <c r="VQ78" s="83"/>
      <c r="VR78" s="83"/>
      <c r="VS78" s="83"/>
      <c r="VT78" s="83"/>
      <c r="VU78" s="83"/>
      <c r="VV78" s="83"/>
      <c r="VW78" s="83"/>
      <c r="VX78" s="83"/>
      <c r="VY78" s="83"/>
      <c r="VZ78" s="83"/>
      <c r="WA78" s="83"/>
      <c r="WB78" s="83"/>
      <c r="WC78" s="83"/>
      <c r="WD78" s="83"/>
      <c r="WE78" s="83"/>
      <c r="WF78" s="83"/>
      <c r="WG78" s="83"/>
      <c r="WH78" s="83"/>
      <c r="WI78" s="83"/>
      <c r="WJ78" s="83"/>
      <c r="WK78" s="83"/>
      <c r="WL78" s="83"/>
      <c r="WM78" s="83"/>
      <c r="WN78" s="83"/>
      <c r="WO78" s="83"/>
      <c r="WP78" s="83"/>
      <c r="WQ78" s="83"/>
      <c r="WR78" s="83"/>
      <c r="WS78" s="83"/>
      <c r="WT78" s="83"/>
      <c r="WU78" s="83"/>
      <c r="WV78" s="83"/>
      <c r="WW78" s="83"/>
      <c r="WX78" s="83"/>
      <c r="WY78" s="83"/>
      <c r="WZ78" s="83"/>
      <c r="XA78" s="83"/>
      <c r="XB78" s="83"/>
      <c r="XC78" s="83"/>
      <c r="XD78" s="83"/>
      <c r="XE78" s="83"/>
      <c r="XF78" s="83"/>
      <c r="XG78" s="83"/>
      <c r="XH78" s="83"/>
      <c r="XI78" s="83"/>
      <c r="XJ78" s="83"/>
      <c r="XK78" s="83"/>
      <c r="XL78" s="83"/>
      <c r="XM78" s="83"/>
      <c r="XN78" s="83"/>
      <c r="XO78" s="83"/>
      <c r="XP78" s="83"/>
      <c r="XQ78" s="83"/>
      <c r="XR78" s="83"/>
      <c r="XS78" s="83"/>
      <c r="XT78" s="83"/>
      <c r="XU78" s="83"/>
      <c r="XV78" s="83"/>
      <c r="XW78" s="83"/>
      <c r="XX78" s="83"/>
      <c r="XY78" s="83"/>
      <c r="XZ78" s="83"/>
      <c r="YA78" s="83"/>
      <c r="YB78" s="83"/>
      <c r="YC78" s="83"/>
      <c r="YD78" s="83"/>
      <c r="YE78" s="83"/>
      <c r="YF78" s="83"/>
      <c r="YG78" s="83"/>
      <c r="YH78" s="83"/>
      <c r="YI78" s="83"/>
      <c r="YJ78" s="83"/>
      <c r="YK78" s="83"/>
      <c r="YL78" s="83"/>
      <c r="YM78" s="83"/>
      <c r="YN78" s="83"/>
      <c r="YO78" s="83"/>
      <c r="YP78" s="83"/>
      <c r="YQ78" s="83"/>
      <c r="YR78" s="83"/>
      <c r="YS78" s="83"/>
      <c r="YT78" s="83"/>
      <c r="YU78" s="83"/>
      <c r="YV78" s="83"/>
      <c r="YW78" s="83"/>
      <c r="YX78" s="83"/>
      <c r="YY78" s="83"/>
      <c r="YZ78" s="83"/>
      <c r="ZA78" s="83"/>
      <c r="ZB78" s="83"/>
      <c r="ZC78" s="83"/>
      <c r="ZD78" s="83"/>
      <c r="ZE78" s="83"/>
      <c r="ZF78" s="83"/>
      <c r="ZG78" s="83"/>
      <c r="ZH78" s="83"/>
      <c r="ZI78" s="83"/>
      <c r="ZJ78" s="83"/>
      <c r="ZK78" s="83"/>
      <c r="ZL78" s="83"/>
      <c r="ZM78" s="83"/>
      <c r="ZN78" s="83"/>
      <c r="ZO78" s="83"/>
      <c r="ZP78" s="83"/>
      <c r="ZQ78" s="83"/>
      <c r="ZR78" s="83"/>
      <c r="ZS78" s="83"/>
      <c r="ZT78" s="83"/>
      <c r="ZU78" s="83"/>
      <c r="ZV78" s="83"/>
      <c r="ZW78" s="83"/>
      <c r="ZX78" s="83"/>
      <c r="ZY78" s="83"/>
      <c r="ZZ78" s="83"/>
      <c r="AAA78" s="83"/>
      <c r="AAB78" s="83"/>
      <c r="AAC78" s="83"/>
      <c r="AAD78" s="83"/>
      <c r="AAE78" s="83"/>
      <c r="AAF78" s="83"/>
      <c r="AAG78" s="83"/>
      <c r="AAH78" s="83"/>
      <c r="AAI78" s="83"/>
      <c r="AAJ78" s="83"/>
      <c r="AAK78" s="83"/>
      <c r="AAL78" s="83"/>
      <c r="AAM78" s="83"/>
      <c r="AAN78" s="83"/>
      <c r="AAO78" s="83"/>
      <c r="AAP78" s="83"/>
      <c r="AAQ78" s="83"/>
      <c r="AAR78" s="83"/>
      <c r="AAS78" s="83"/>
      <c r="AAT78" s="83"/>
      <c r="AAU78" s="83"/>
      <c r="AAV78" s="83"/>
      <c r="AAW78" s="83"/>
      <c r="AAX78" s="83"/>
      <c r="AAY78" s="83"/>
      <c r="AAZ78" s="83"/>
      <c r="ABA78" s="83"/>
      <c r="ABB78" s="83"/>
      <c r="ABC78" s="83"/>
      <c r="ABD78" s="83"/>
      <c r="ABE78" s="83"/>
      <c r="ABF78" s="83"/>
      <c r="ABG78" s="83"/>
      <c r="ABH78" s="83"/>
      <c r="ABI78" s="83"/>
      <c r="ABJ78" s="83"/>
      <c r="ABK78" s="83"/>
      <c r="ABL78" s="83"/>
      <c r="ABM78" s="83"/>
      <c r="ABN78" s="83"/>
      <c r="ABO78" s="83"/>
      <c r="ABP78" s="83"/>
      <c r="ABQ78" s="83"/>
      <c r="ABR78" s="83"/>
      <c r="ABS78" s="83"/>
      <c r="ABT78" s="83"/>
      <c r="ABU78" s="83"/>
      <c r="ABV78" s="83"/>
      <c r="ABW78" s="83"/>
      <c r="ABX78" s="83"/>
      <c r="ABY78" s="83"/>
      <c r="ABZ78" s="83"/>
      <c r="ACA78" s="83"/>
      <c r="ACB78" s="83"/>
      <c r="ACC78" s="83"/>
      <c r="ACD78" s="83"/>
      <c r="ACE78" s="83"/>
      <c r="ACF78" s="83"/>
      <c r="ACG78" s="83"/>
      <c r="ACH78" s="83"/>
      <c r="ACI78" s="83"/>
      <c r="ACJ78" s="83"/>
      <c r="ACK78" s="83"/>
      <c r="ACL78" s="83"/>
      <c r="ACM78" s="83"/>
      <c r="ACN78" s="83"/>
      <c r="ACO78" s="83"/>
      <c r="ACP78" s="83"/>
      <c r="ACQ78" s="83"/>
      <c r="ACR78" s="83"/>
      <c r="ACS78" s="83"/>
      <c r="ACT78" s="83"/>
      <c r="ACU78" s="83"/>
      <c r="ACV78" s="83"/>
      <c r="ACW78" s="83"/>
      <c r="ACX78" s="83"/>
      <c r="ACY78" s="83"/>
      <c r="ACZ78" s="83"/>
      <c r="ADA78" s="83"/>
      <c r="ADB78" s="83"/>
      <c r="ADC78" s="83"/>
      <c r="ADD78" s="83"/>
      <c r="ADE78" s="83"/>
      <c r="ADF78" s="83"/>
      <c r="ADG78" s="83"/>
      <c r="ADH78" s="83"/>
      <c r="ADI78" s="83"/>
      <c r="ADJ78" s="83"/>
      <c r="ADK78" s="83"/>
      <c r="ADL78" s="83"/>
      <c r="ADM78" s="83"/>
      <c r="ADN78" s="83"/>
      <c r="ADO78" s="83"/>
      <c r="ADP78" s="83"/>
      <c r="ADQ78" s="83"/>
      <c r="ADR78" s="83"/>
      <c r="ADS78" s="83"/>
      <c r="ADT78" s="83"/>
      <c r="ADU78" s="83"/>
      <c r="ADV78" s="83"/>
      <c r="ADW78" s="83"/>
      <c r="ADX78" s="83"/>
      <c r="ADY78" s="83"/>
      <c r="ADZ78" s="83"/>
      <c r="AEA78" s="83"/>
      <c r="AEB78" s="83"/>
      <c r="AEC78" s="83"/>
      <c r="AED78" s="83"/>
      <c r="AEE78" s="83"/>
      <c r="AEF78" s="83"/>
      <c r="AEG78" s="83"/>
      <c r="AEH78" s="83"/>
      <c r="AEI78" s="83"/>
      <c r="AEJ78" s="83"/>
      <c r="AEK78" s="83"/>
      <c r="AEL78" s="83"/>
      <c r="AEM78" s="83"/>
      <c r="AEN78" s="83"/>
      <c r="AEO78" s="83"/>
      <c r="AEP78" s="83"/>
      <c r="AEQ78" s="83"/>
      <c r="AER78" s="83"/>
      <c r="AES78" s="83"/>
      <c r="AET78" s="83"/>
      <c r="AEU78" s="83"/>
      <c r="AEV78" s="83"/>
      <c r="AEW78" s="83"/>
      <c r="AEX78" s="83"/>
      <c r="AEY78" s="83"/>
      <c r="AEZ78" s="83"/>
      <c r="AFA78" s="83"/>
      <c r="AFB78" s="83"/>
      <c r="AFC78" s="83"/>
      <c r="AFD78" s="83"/>
      <c r="AFE78" s="83"/>
      <c r="AFF78" s="83"/>
      <c r="AFG78" s="83"/>
      <c r="AFH78" s="83"/>
      <c r="AFI78" s="83"/>
      <c r="AFJ78" s="83"/>
      <c r="AFK78" s="83"/>
      <c r="AFL78" s="83"/>
      <c r="AFM78" s="83"/>
      <c r="AFN78" s="83"/>
      <c r="AFO78" s="83"/>
      <c r="AFP78" s="83"/>
      <c r="AFQ78" s="83"/>
      <c r="AFR78" s="83"/>
      <c r="AFS78" s="83"/>
      <c r="AFT78" s="83"/>
      <c r="AFU78" s="83"/>
      <c r="AFV78" s="83"/>
      <c r="AFW78" s="83"/>
      <c r="AFX78" s="83"/>
      <c r="AFY78" s="83"/>
      <c r="AFZ78" s="83"/>
      <c r="AGA78" s="83"/>
      <c r="AGB78" s="83"/>
      <c r="AGC78" s="83"/>
      <c r="AGD78" s="83"/>
      <c r="AGE78" s="83"/>
      <c r="AGF78" s="83"/>
      <c r="AGG78" s="83"/>
      <c r="AGH78" s="83"/>
      <c r="AGI78" s="83"/>
      <c r="AGJ78" s="83"/>
      <c r="AGK78" s="83"/>
      <c r="AGL78" s="83"/>
      <c r="AGM78" s="83"/>
      <c r="AGN78" s="83"/>
      <c r="AGO78" s="83"/>
      <c r="AGP78" s="83"/>
      <c r="AGQ78" s="83"/>
      <c r="AGR78" s="83"/>
      <c r="AGS78" s="83"/>
      <c r="AGT78" s="83"/>
      <c r="AGU78" s="83"/>
      <c r="AGV78" s="83"/>
      <c r="AGW78" s="83"/>
      <c r="AGX78" s="83"/>
      <c r="AGY78" s="83"/>
      <c r="AGZ78" s="83"/>
      <c r="AHA78" s="83"/>
      <c r="AHB78" s="83"/>
      <c r="AHC78" s="83"/>
      <c r="AHD78" s="83"/>
      <c r="AHE78" s="83"/>
      <c r="AHF78" s="83"/>
      <c r="AHG78" s="83"/>
      <c r="AHH78" s="83"/>
      <c r="AHI78" s="83"/>
      <c r="AHJ78" s="83"/>
      <c r="AHK78" s="83"/>
      <c r="AHL78" s="83"/>
      <c r="AHM78" s="83"/>
      <c r="AHN78" s="83"/>
      <c r="AHO78" s="83"/>
      <c r="AHP78" s="83"/>
      <c r="AHQ78" s="83"/>
      <c r="AHR78" s="83"/>
      <c r="AHS78" s="83"/>
      <c r="AHT78" s="83"/>
      <c r="AHU78" s="83"/>
      <c r="AHV78" s="83"/>
      <c r="AHW78" s="83"/>
      <c r="AHX78" s="83"/>
      <c r="AHY78" s="83"/>
      <c r="AHZ78" s="83"/>
      <c r="AIA78" s="83"/>
      <c r="AIB78" s="83"/>
      <c r="AIC78" s="83"/>
      <c r="AID78" s="83"/>
      <c r="AIE78" s="83"/>
      <c r="AIF78" s="83"/>
      <c r="AIG78" s="83"/>
      <c r="AIH78" s="83"/>
      <c r="AII78" s="83"/>
      <c r="AIJ78" s="83"/>
      <c r="AIK78" s="83"/>
      <c r="AIL78" s="83"/>
      <c r="AIM78" s="83"/>
      <c r="AIN78" s="83"/>
      <c r="AIO78" s="83"/>
      <c r="AIP78" s="83"/>
      <c r="AIQ78" s="83"/>
      <c r="AIR78" s="83"/>
      <c r="AIS78" s="83"/>
      <c r="AIT78" s="83"/>
      <c r="AIU78" s="83"/>
      <c r="AIV78" s="83"/>
      <c r="AIW78" s="83"/>
      <c r="AIX78" s="83"/>
      <c r="AIY78" s="83"/>
      <c r="AIZ78" s="83"/>
      <c r="AJA78" s="83"/>
      <c r="AJB78" s="83"/>
      <c r="AJC78" s="83"/>
      <c r="AJD78" s="83"/>
      <c r="AJE78" s="83"/>
      <c r="AJF78" s="83"/>
      <c r="AJG78" s="83"/>
      <c r="AJH78" s="83"/>
      <c r="AJI78" s="83"/>
      <c r="AJJ78" s="83"/>
      <c r="AJK78" s="83"/>
      <c r="AJL78" s="83"/>
      <c r="AJM78" s="83"/>
      <c r="AJN78" s="83"/>
      <c r="AJO78" s="83"/>
      <c r="AJP78" s="83"/>
      <c r="AJQ78" s="83"/>
      <c r="AJR78" s="83"/>
      <c r="AJS78" s="83"/>
      <c r="AJT78" s="83"/>
      <c r="AJU78" s="83"/>
      <c r="AJV78" s="83"/>
      <c r="AJW78" s="83"/>
      <c r="AJX78" s="83"/>
      <c r="AJY78" s="83"/>
      <c r="AJZ78" s="83"/>
      <c r="AKA78" s="83"/>
      <c r="AKB78" s="83"/>
      <c r="AKC78" s="83"/>
      <c r="AKD78" s="83"/>
      <c r="AKE78" s="83"/>
      <c r="AKF78" s="83"/>
      <c r="AKG78" s="83"/>
      <c r="AKH78" s="83"/>
      <c r="AKI78" s="83"/>
      <c r="AKJ78" s="83"/>
      <c r="AKK78" s="83"/>
      <c r="AKL78" s="83"/>
      <c r="AKM78" s="83"/>
      <c r="AKN78" s="83"/>
      <c r="AKO78" s="83"/>
      <c r="AKP78" s="83"/>
      <c r="AKQ78" s="83"/>
      <c r="AKR78" s="83"/>
      <c r="AKS78" s="83"/>
      <c r="AKT78" s="83"/>
      <c r="AKU78" s="83"/>
      <c r="AKV78" s="83"/>
      <c r="AKW78" s="83"/>
      <c r="AKX78" s="83"/>
      <c r="AKY78" s="83"/>
      <c r="AKZ78" s="83"/>
      <c r="ALA78" s="83"/>
      <c r="ALB78" s="83"/>
      <c r="ALC78" s="83"/>
      <c r="ALD78" s="83"/>
      <c r="ALE78" s="83"/>
      <c r="ALF78" s="83"/>
      <c r="ALG78" s="83"/>
      <c r="ALH78" s="83"/>
      <c r="ALI78" s="83"/>
      <c r="ALJ78" s="83"/>
      <c r="ALK78" s="83"/>
      <c r="ALL78" s="83"/>
      <c r="ALM78" s="83"/>
      <c r="ALN78" s="83"/>
      <c r="ALO78" s="83"/>
      <c r="ALP78" s="83"/>
      <c r="ALQ78" s="83"/>
      <c r="ALR78" s="83"/>
      <c r="ALS78" s="83"/>
      <c r="ALT78" s="83"/>
      <c r="ALU78" s="83"/>
      <c r="ALV78" s="83"/>
      <c r="ALW78" s="83"/>
      <c r="ALX78" s="83"/>
      <c r="ALY78" s="83"/>
      <c r="ALZ78" s="83"/>
      <c r="AMA78" s="83"/>
      <c r="AMB78" s="83"/>
      <c r="AMC78" s="83"/>
      <c r="AMD78" s="83"/>
      <c r="AME78" s="83"/>
      <c r="AMF78" s="83"/>
      <c r="AMG78" s="83"/>
      <c r="AMH78" s="83"/>
      <c r="AMI78" s="83"/>
      <c r="AMJ78" s="83"/>
    </row>
    <row r="79" spans="12:1024" ht="15.95" customHeight="1" x14ac:dyDescent="0.2">
      <c r="L79" s="83"/>
      <c r="M79" s="84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83"/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83"/>
      <c r="EJ79" s="83"/>
      <c r="EK79" s="83"/>
      <c r="EL79" s="83"/>
      <c r="EM79" s="83"/>
      <c r="EN79" s="83"/>
      <c r="EO79" s="83"/>
      <c r="EP79" s="83"/>
      <c r="EQ79" s="83"/>
      <c r="ER79" s="83"/>
      <c r="ES79" s="83"/>
      <c r="ET79" s="83"/>
      <c r="EU79" s="83"/>
      <c r="EV79" s="83"/>
      <c r="EW79" s="83"/>
      <c r="EX79" s="83"/>
      <c r="EY79" s="83"/>
      <c r="EZ79" s="83"/>
      <c r="FA79" s="83"/>
      <c r="FB79" s="83"/>
      <c r="FC79" s="83"/>
      <c r="FD79" s="83"/>
      <c r="FE79" s="83"/>
      <c r="FF79" s="83"/>
      <c r="FG79" s="83"/>
      <c r="FH79" s="83"/>
      <c r="FI79" s="83"/>
      <c r="FJ79" s="83"/>
      <c r="FK79" s="83"/>
      <c r="FL79" s="83"/>
      <c r="FM79" s="83"/>
      <c r="FN79" s="83"/>
      <c r="FO79" s="83"/>
      <c r="FP79" s="83"/>
      <c r="FQ79" s="83"/>
      <c r="FR79" s="83"/>
      <c r="FS79" s="83"/>
      <c r="FT79" s="83"/>
      <c r="FU79" s="83"/>
      <c r="FV79" s="83"/>
      <c r="FW79" s="83"/>
      <c r="FX79" s="83"/>
      <c r="FY79" s="83"/>
      <c r="FZ79" s="83"/>
      <c r="GA79" s="83"/>
      <c r="GB79" s="83"/>
      <c r="GC79" s="83"/>
      <c r="GD79" s="83"/>
      <c r="GE79" s="83"/>
      <c r="GF79" s="83"/>
      <c r="GG79" s="83"/>
      <c r="GH79" s="83"/>
      <c r="GI79" s="83"/>
      <c r="GJ79" s="83"/>
      <c r="GK79" s="83"/>
      <c r="GL79" s="83"/>
      <c r="GM79" s="83"/>
      <c r="GN79" s="83"/>
      <c r="GO79" s="83"/>
      <c r="GP79" s="83"/>
      <c r="GQ79" s="83"/>
      <c r="GR79" s="83"/>
      <c r="GS79" s="83"/>
      <c r="GT79" s="83"/>
      <c r="GU79" s="83"/>
      <c r="GV79" s="83"/>
      <c r="GW79" s="83"/>
      <c r="GX79" s="83"/>
      <c r="GY79" s="83"/>
      <c r="GZ79" s="83"/>
      <c r="HA79" s="83"/>
      <c r="HB79" s="83"/>
      <c r="HC79" s="83"/>
      <c r="HD79" s="83"/>
      <c r="HE79" s="83"/>
      <c r="HF79" s="83"/>
      <c r="HG79" s="83"/>
      <c r="HH79" s="83"/>
      <c r="HI79" s="83"/>
      <c r="HJ79" s="83"/>
      <c r="HK79" s="83"/>
      <c r="HL79" s="83"/>
      <c r="HM79" s="83"/>
      <c r="HN79" s="83"/>
      <c r="HO79" s="83"/>
      <c r="HP79" s="83"/>
      <c r="HQ79" s="83"/>
      <c r="HR79" s="83"/>
      <c r="HS79" s="83"/>
      <c r="HT79" s="83"/>
      <c r="HU79" s="83"/>
      <c r="HV79" s="83"/>
      <c r="HW79" s="83"/>
      <c r="HX79" s="83"/>
      <c r="HY79" s="83"/>
      <c r="HZ79" s="83"/>
      <c r="IA79" s="83"/>
      <c r="IB79" s="83"/>
      <c r="IC79" s="83"/>
      <c r="ID79" s="83"/>
      <c r="IE79" s="83"/>
      <c r="IF79" s="83"/>
      <c r="IG79" s="83"/>
      <c r="IH79" s="83"/>
      <c r="II79" s="83"/>
      <c r="IJ79" s="83"/>
      <c r="IK79" s="83"/>
      <c r="IL79" s="83"/>
      <c r="IM79" s="83"/>
      <c r="IN79" s="83"/>
      <c r="IO79" s="83"/>
      <c r="IP79" s="83"/>
      <c r="IQ79" s="83"/>
      <c r="IR79" s="83"/>
      <c r="IS79" s="83"/>
      <c r="IT79" s="83"/>
      <c r="IU79" s="83"/>
      <c r="IV79" s="83"/>
      <c r="IW79" s="83"/>
      <c r="IX79" s="83"/>
      <c r="IY79" s="83"/>
      <c r="IZ79" s="83"/>
      <c r="JA79" s="83"/>
      <c r="JB79" s="83"/>
      <c r="JC79" s="83"/>
      <c r="JD79" s="83"/>
      <c r="JE79" s="83"/>
      <c r="JF79" s="83"/>
      <c r="JG79" s="83"/>
      <c r="JH79" s="83"/>
      <c r="JI79" s="83"/>
      <c r="JJ79" s="83"/>
      <c r="JK79" s="83"/>
      <c r="JL79" s="83"/>
      <c r="JM79" s="83"/>
      <c r="JN79" s="83"/>
      <c r="JO79" s="83"/>
      <c r="JP79" s="83"/>
      <c r="JQ79" s="83"/>
      <c r="JR79" s="83"/>
      <c r="JS79" s="83"/>
      <c r="JT79" s="83"/>
      <c r="JU79" s="83"/>
      <c r="JV79" s="83"/>
      <c r="JW79" s="83"/>
      <c r="JX79" s="83"/>
      <c r="JY79" s="83"/>
      <c r="JZ79" s="83"/>
      <c r="KA79" s="83"/>
      <c r="KB79" s="83"/>
      <c r="KC79" s="83"/>
      <c r="KD79" s="83"/>
      <c r="KE79" s="83"/>
      <c r="KF79" s="83"/>
      <c r="KG79" s="83"/>
      <c r="KH79" s="83"/>
      <c r="KI79" s="83"/>
      <c r="KJ79" s="83"/>
      <c r="KK79" s="83"/>
      <c r="KL79" s="83"/>
      <c r="KM79" s="83"/>
      <c r="KN79" s="83"/>
      <c r="KO79" s="83"/>
      <c r="KP79" s="83"/>
      <c r="KQ79" s="83"/>
      <c r="KR79" s="83"/>
      <c r="KS79" s="83"/>
      <c r="KT79" s="83"/>
      <c r="KU79" s="83"/>
      <c r="KV79" s="83"/>
      <c r="KW79" s="83"/>
      <c r="KX79" s="83"/>
      <c r="KY79" s="83"/>
      <c r="KZ79" s="83"/>
      <c r="LA79" s="83"/>
      <c r="LB79" s="83"/>
      <c r="LC79" s="83"/>
      <c r="LD79" s="83"/>
      <c r="LE79" s="83"/>
      <c r="LF79" s="83"/>
      <c r="LG79" s="83"/>
      <c r="LH79" s="83"/>
      <c r="LI79" s="83"/>
      <c r="LJ79" s="83"/>
      <c r="LK79" s="83"/>
      <c r="LL79" s="83"/>
      <c r="LM79" s="83"/>
      <c r="LN79" s="83"/>
      <c r="LO79" s="83"/>
      <c r="LP79" s="83"/>
      <c r="LQ79" s="83"/>
      <c r="LR79" s="83"/>
      <c r="LS79" s="83"/>
      <c r="LT79" s="83"/>
      <c r="LU79" s="83"/>
      <c r="LV79" s="83"/>
      <c r="LW79" s="83"/>
      <c r="LX79" s="83"/>
      <c r="LY79" s="83"/>
      <c r="LZ79" s="83"/>
      <c r="MA79" s="83"/>
      <c r="MB79" s="83"/>
      <c r="MC79" s="83"/>
      <c r="MD79" s="83"/>
      <c r="ME79" s="83"/>
      <c r="MF79" s="83"/>
      <c r="MG79" s="83"/>
      <c r="MH79" s="83"/>
      <c r="MI79" s="83"/>
      <c r="MJ79" s="83"/>
      <c r="MK79" s="83"/>
      <c r="ML79" s="83"/>
      <c r="MM79" s="83"/>
      <c r="MN79" s="83"/>
      <c r="MO79" s="83"/>
      <c r="MP79" s="83"/>
      <c r="MQ79" s="83"/>
      <c r="MR79" s="83"/>
      <c r="MS79" s="83"/>
      <c r="MT79" s="83"/>
      <c r="MU79" s="83"/>
      <c r="MV79" s="83"/>
      <c r="MW79" s="83"/>
      <c r="MX79" s="83"/>
      <c r="MY79" s="83"/>
      <c r="MZ79" s="83"/>
      <c r="NA79" s="83"/>
      <c r="NB79" s="83"/>
      <c r="NC79" s="83"/>
      <c r="ND79" s="83"/>
      <c r="NE79" s="83"/>
      <c r="NF79" s="83"/>
      <c r="NG79" s="83"/>
      <c r="NH79" s="83"/>
      <c r="NI79" s="83"/>
      <c r="NJ79" s="83"/>
      <c r="NK79" s="83"/>
      <c r="NL79" s="83"/>
      <c r="NM79" s="83"/>
      <c r="NN79" s="83"/>
      <c r="NO79" s="83"/>
      <c r="NP79" s="83"/>
      <c r="NQ79" s="83"/>
      <c r="NR79" s="83"/>
      <c r="NS79" s="83"/>
      <c r="NT79" s="83"/>
      <c r="NU79" s="83"/>
      <c r="NV79" s="83"/>
      <c r="NW79" s="83"/>
      <c r="NX79" s="83"/>
      <c r="NY79" s="83"/>
      <c r="NZ79" s="83"/>
      <c r="OA79" s="83"/>
      <c r="OB79" s="83"/>
      <c r="OC79" s="83"/>
      <c r="OD79" s="83"/>
      <c r="OE79" s="83"/>
      <c r="OF79" s="83"/>
      <c r="OG79" s="83"/>
      <c r="OH79" s="83"/>
      <c r="OI79" s="83"/>
      <c r="OJ79" s="83"/>
      <c r="OK79" s="83"/>
      <c r="OL79" s="83"/>
      <c r="OM79" s="83"/>
      <c r="ON79" s="83"/>
      <c r="OO79" s="83"/>
      <c r="OP79" s="83"/>
      <c r="OQ79" s="83"/>
      <c r="OR79" s="83"/>
      <c r="OS79" s="83"/>
      <c r="OT79" s="83"/>
      <c r="OU79" s="83"/>
      <c r="OV79" s="83"/>
      <c r="OW79" s="83"/>
      <c r="OX79" s="83"/>
      <c r="OY79" s="83"/>
      <c r="OZ79" s="83"/>
      <c r="PA79" s="83"/>
      <c r="PB79" s="83"/>
      <c r="PC79" s="83"/>
      <c r="PD79" s="83"/>
      <c r="PE79" s="83"/>
      <c r="PF79" s="83"/>
      <c r="PG79" s="83"/>
      <c r="PH79" s="83"/>
      <c r="PI79" s="83"/>
      <c r="PJ79" s="83"/>
      <c r="PK79" s="83"/>
      <c r="PL79" s="83"/>
      <c r="PM79" s="83"/>
      <c r="PN79" s="83"/>
      <c r="PO79" s="83"/>
      <c r="PP79" s="83"/>
      <c r="PQ79" s="83"/>
      <c r="PR79" s="83"/>
      <c r="PS79" s="83"/>
      <c r="PT79" s="83"/>
      <c r="PU79" s="83"/>
      <c r="PV79" s="83"/>
      <c r="PW79" s="83"/>
      <c r="PX79" s="83"/>
      <c r="PY79" s="83"/>
      <c r="PZ79" s="83"/>
      <c r="QA79" s="83"/>
      <c r="QB79" s="83"/>
      <c r="QC79" s="83"/>
      <c r="QD79" s="83"/>
      <c r="QE79" s="83"/>
      <c r="QF79" s="83"/>
      <c r="QG79" s="83"/>
      <c r="QH79" s="83"/>
      <c r="QI79" s="83"/>
      <c r="QJ79" s="83"/>
      <c r="QK79" s="83"/>
      <c r="QL79" s="83"/>
      <c r="QM79" s="83"/>
      <c r="QN79" s="83"/>
      <c r="QO79" s="83"/>
      <c r="QP79" s="83"/>
      <c r="QQ79" s="83"/>
      <c r="QR79" s="83"/>
      <c r="QS79" s="83"/>
      <c r="QT79" s="83"/>
      <c r="QU79" s="83"/>
      <c r="QV79" s="83"/>
      <c r="QW79" s="83"/>
      <c r="QX79" s="83"/>
      <c r="QY79" s="83"/>
      <c r="QZ79" s="83"/>
      <c r="RA79" s="83"/>
      <c r="RB79" s="83"/>
      <c r="RC79" s="83"/>
      <c r="RD79" s="83"/>
      <c r="RE79" s="83"/>
      <c r="RF79" s="83"/>
      <c r="RG79" s="83"/>
      <c r="RH79" s="83"/>
      <c r="RI79" s="83"/>
      <c r="RJ79" s="83"/>
      <c r="RK79" s="83"/>
      <c r="RL79" s="83"/>
      <c r="RM79" s="83"/>
      <c r="RN79" s="83"/>
      <c r="RO79" s="83"/>
      <c r="RP79" s="83"/>
      <c r="RQ79" s="83"/>
      <c r="RR79" s="83"/>
      <c r="RS79" s="83"/>
      <c r="RT79" s="83"/>
      <c r="RU79" s="83"/>
      <c r="RV79" s="83"/>
      <c r="RW79" s="83"/>
      <c r="RX79" s="83"/>
      <c r="RY79" s="83"/>
      <c r="RZ79" s="83"/>
      <c r="SA79" s="83"/>
      <c r="SB79" s="83"/>
      <c r="SC79" s="83"/>
      <c r="SD79" s="83"/>
      <c r="SE79" s="83"/>
      <c r="SF79" s="83"/>
      <c r="SG79" s="83"/>
      <c r="SH79" s="83"/>
      <c r="SI79" s="83"/>
      <c r="SJ79" s="83"/>
      <c r="SK79" s="83"/>
      <c r="SL79" s="83"/>
      <c r="SM79" s="83"/>
      <c r="SN79" s="83"/>
      <c r="SO79" s="83"/>
      <c r="SP79" s="83"/>
      <c r="SQ79" s="83"/>
      <c r="SR79" s="83"/>
      <c r="SS79" s="83"/>
      <c r="ST79" s="83"/>
      <c r="SU79" s="83"/>
      <c r="SV79" s="83"/>
      <c r="SW79" s="83"/>
      <c r="SX79" s="83"/>
      <c r="SY79" s="83"/>
      <c r="SZ79" s="83"/>
      <c r="TA79" s="83"/>
      <c r="TB79" s="83"/>
      <c r="TC79" s="83"/>
      <c r="TD79" s="83"/>
      <c r="TE79" s="83"/>
      <c r="TF79" s="83"/>
      <c r="TG79" s="83"/>
      <c r="TH79" s="83"/>
      <c r="TI79" s="83"/>
      <c r="TJ79" s="83"/>
      <c r="TK79" s="83"/>
      <c r="TL79" s="83"/>
      <c r="TM79" s="83"/>
      <c r="TN79" s="83"/>
      <c r="TO79" s="83"/>
      <c r="TP79" s="83"/>
      <c r="TQ79" s="83"/>
      <c r="TR79" s="83"/>
      <c r="TS79" s="83"/>
      <c r="TT79" s="83"/>
      <c r="TU79" s="83"/>
      <c r="TV79" s="83"/>
      <c r="TW79" s="83"/>
      <c r="TX79" s="83"/>
      <c r="TY79" s="83"/>
      <c r="TZ79" s="83"/>
      <c r="UA79" s="83"/>
      <c r="UB79" s="83"/>
      <c r="UC79" s="83"/>
      <c r="UD79" s="83"/>
      <c r="UE79" s="83"/>
      <c r="UF79" s="83"/>
      <c r="UG79" s="83"/>
      <c r="UH79" s="83"/>
      <c r="UI79" s="83"/>
      <c r="UJ79" s="83"/>
      <c r="UK79" s="83"/>
      <c r="UL79" s="83"/>
      <c r="UM79" s="83"/>
      <c r="UN79" s="83"/>
      <c r="UO79" s="83"/>
      <c r="UP79" s="83"/>
      <c r="UQ79" s="83"/>
      <c r="UR79" s="83"/>
      <c r="US79" s="83"/>
      <c r="UT79" s="83"/>
      <c r="UU79" s="83"/>
      <c r="UV79" s="83"/>
      <c r="UW79" s="83"/>
      <c r="UX79" s="83"/>
      <c r="UY79" s="83"/>
      <c r="UZ79" s="83"/>
      <c r="VA79" s="83"/>
      <c r="VB79" s="83"/>
      <c r="VC79" s="83"/>
      <c r="VD79" s="83"/>
      <c r="VE79" s="83"/>
      <c r="VF79" s="83"/>
      <c r="VG79" s="83"/>
      <c r="VH79" s="83"/>
      <c r="VI79" s="83"/>
      <c r="VJ79" s="83"/>
      <c r="VK79" s="83"/>
      <c r="VL79" s="83"/>
      <c r="VM79" s="83"/>
      <c r="VN79" s="83"/>
      <c r="VO79" s="83"/>
      <c r="VP79" s="83"/>
      <c r="VQ79" s="83"/>
      <c r="VR79" s="83"/>
      <c r="VS79" s="83"/>
      <c r="VT79" s="83"/>
      <c r="VU79" s="83"/>
      <c r="VV79" s="83"/>
      <c r="VW79" s="83"/>
      <c r="VX79" s="83"/>
      <c r="VY79" s="83"/>
      <c r="VZ79" s="83"/>
      <c r="WA79" s="83"/>
      <c r="WB79" s="83"/>
      <c r="WC79" s="83"/>
      <c r="WD79" s="83"/>
      <c r="WE79" s="83"/>
      <c r="WF79" s="83"/>
      <c r="WG79" s="83"/>
      <c r="WH79" s="83"/>
      <c r="WI79" s="83"/>
      <c r="WJ79" s="83"/>
      <c r="WK79" s="83"/>
      <c r="WL79" s="83"/>
      <c r="WM79" s="83"/>
      <c r="WN79" s="83"/>
      <c r="WO79" s="83"/>
      <c r="WP79" s="83"/>
      <c r="WQ79" s="83"/>
      <c r="WR79" s="83"/>
      <c r="WS79" s="83"/>
      <c r="WT79" s="83"/>
      <c r="WU79" s="83"/>
      <c r="WV79" s="83"/>
      <c r="WW79" s="83"/>
      <c r="WX79" s="83"/>
      <c r="WY79" s="83"/>
      <c r="WZ79" s="83"/>
      <c r="XA79" s="83"/>
      <c r="XB79" s="83"/>
      <c r="XC79" s="83"/>
      <c r="XD79" s="83"/>
      <c r="XE79" s="83"/>
      <c r="XF79" s="83"/>
      <c r="XG79" s="83"/>
      <c r="XH79" s="83"/>
      <c r="XI79" s="83"/>
      <c r="XJ79" s="83"/>
      <c r="XK79" s="83"/>
      <c r="XL79" s="83"/>
      <c r="XM79" s="83"/>
      <c r="XN79" s="83"/>
      <c r="XO79" s="83"/>
      <c r="XP79" s="83"/>
      <c r="XQ79" s="83"/>
      <c r="XR79" s="83"/>
      <c r="XS79" s="83"/>
      <c r="XT79" s="83"/>
      <c r="XU79" s="83"/>
      <c r="XV79" s="83"/>
      <c r="XW79" s="83"/>
      <c r="XX79" s="83"/>
      <c r="XY79" s="83"/>
      <c r="XZ79" s="83"/>
      <c r="YA79" s="83"/>
      <c r="YB79" s="83"/>
      <c r="YC79" s="83"/>
      <c r="YD79" s="83"/>
      <c r="YE79" s="83"/>
      <c r="YF79" s="83"/>
      <c r="YG79" s="83"/>
      <c r="YH79" s="83"/>
      <c r="YI79" s="83"/>
      <c r="YJ79" s="83"/>
      <c r="YK79" s="83"/>
      <c r="YL79" s="83"/>
      <c r="YM79" s="83"/>
      <c r="YN79" s="83"/>
      <c r="YO79" s="83"/>
      <c r="YP79" s="83"/>
      <c r="YQ79" s="83"/>
      <c r="YR79" s="83"/>
      <c r="YS79" s="83"/>
      <c r="YT79" s="83"/>
      <c r="YU79" s="83"/>
      <c r="YV79" s="83"/>
      <c r="YW79" s="83"/>
      <c r="YX79" s="83"/>
      <c r="YY79" s="83"/>
      <c r="YZ79" s="83"/>
      <c r="ZA79" s="83"/>
      <c r="ZB79" s="83"/>
      <c r="ZC79" s="83"/>
      <c r="ZD79" s="83"/>
      <c r="ZE79" s="83"/>
      <c r="ZF79" s="83"/>
      <c r="ZG79" s="83"/>
      <c r="ZH79" s="83"/>
      <c r="ZI79" s="83"/>
      <c r="ZJ79" s="83"/>
      <c r="ZK79" s="83"/>
      <c r="ZL79" s="83"/>
      <c r="ZM79" s="83"/>
      <c r="ZN79" s="83"/>
      <c r="ZO79" s="83"/>
      <c r="ZP79" s="83"/>
      <c r="ZQ79" s="83"/>
      <c r="ZR79" s="83"/>
      <c r="ZS79" s="83"/>
      <c r="ZT79" s="83"/>
      <c r="ZU79" s="83"/>
      <c r="ZV79" s="83"/>
      <c r="ZW79" s="83"/>
      <c r="ZX79" s="83"/>
      <c r="ZY79" s="83"/>
      <c r="ZZ79" s="83"/>
      <c r="AAA79" s="83"/>
      <c r="AAB79" s="83"/>
      <c r="AAC79" s="83"/>
      <c r="AAD79" s="83"/>
      <c r="AAE79" s="83"/>
      <c r="AAF79" s="83"/>
      <c r="AAG79" s="83"/>
      <c r="AAH79" s="83"/>
      <c r="AAI79" s="83"/>
      <c r="AAJ79" s="83"/>
      <c r="AAK79" s="83"/>
      <c r="AAL79" s="83"/>
      <c r="AAM79" s="83"/>
      <c r="AAN79" s="83"/>
      <c r="AAO79" s="83"/>
      <c r="AAP79" s="83"/>
      <c r="AAQ79" s="83"/>
      <c r="AAR79" s="83"/>
      <c r="AAS79" s="83"/>
      <c r="AAT79" s="83"/>
      <c r="AAU79" s="83"/>
      <c r="AAV79" s="83"/>
      <c r="AAW79" s="83"/>
      <c r="AAX79" s="83"/>
      <c r="AAY79" s="83"/>
      <c r="AAZ79" s="83"/>
      <c r="ABA79" s="83"/>
      <c r="ABB79" s="83"/>
      <c r="ABC79" s="83"/>
      <c r="ABD79" s="83"/>
      <c r="ABE79" s="83"/>
      <c r="ABF79" s="83"/>
      <c r="ABG79" s="83"/>
      <c r="ABH79" s="83"/>
      <c r="ABI79" s="83"/>
      <c r="ABJ79" s="83"/>
      <c r="ABK79" s="83"/>
      <c r="ABL79" s="83"/>
      <c r="ABM79" s="83"/>
      <c r="ABN79" s="83"/>
      <c r="ABO79" s="83"/>
      <c r="ABP79" s="83"/>
      <c r="ABQ79" s="83"/>
      <c r="ABR79" s="83"/>
      <c r="ABS79" s="83"/>
      <c r="ABT79" s="83"/>
      <c r="ABU79" s="83"/>
      <c r="ABV79" s="83"/>
      <c r="ABW79" s="83"/>
      <c r="ABX79" s="83"/>
      <c r="ABY79" s="83"/>
      <c r="ABZ79" s="83"/>
      <c r="ACA79" s="83"/>
      <c r="ACB79" s="83"/>
      <c r="ACC79" s="83"/>
      <c r="ACD79" s="83"/>
      <c r="ACE79" s="83"/>
      <c r="ACF79" s="83"/>
      <c r="ACG79" s="83"/>
      <c r="ACH79" s="83"/>
      <c r="ACI79" s="83"/>
      <c r="ACJ79" s="83"/>
      <c r="ACK79" s="83"/>
      <c r="ACL79" s="83"/>
      <c r="ACM79" s="83"/>
      <c r="ACN79" s="83"/>
      <c r="ACO79" s="83"/>
      <c r="ACP79" s="83"/>
      <c r="ACQ79" s="83"/>
      <c r="ACR79" s="83"/>
      <c r="ACS79" s="83"/>
      <c r="ACT79" s="83"/>
      <c r="ACU79" s="83"/>
      <c r="ACV79" s="83"/>
      <c r="ACW79" s="83"/>
      <c r="ACX79" s="83"/>
      <c r="ACY79" s="83"/>
      <c r="ACZ79" s="83"/>
      <c r="ADA79" s="83"/>
      <c r="ADB79" s="83"/>
      <c r="ADC79" s="83"/>
      <c r="ADD79" s="83"/>
      <c r="ADE79" s="83"/>
      <c r="ADF79" s="83"/>
      <c r="ADG79" s="83"/>
      <c r="ADH79" s="83"/>
      <c r="ADI79" s="83"/>
      <c r="ADJ79" s="83"/>
      <c r="ADK79" s="83"/>
      <c r="ADL79" s="83"/>
      <c r="ADM79" s="83"/>
      <c r="ADN79" s="83"/>
      <c r="ADO79" s="83"/>
      <c r="ADP79" s="83"/>
      <c r="ADQ79" s="83"/>
      <c r="ADR79" s="83"/>
      <c r="ADS79" s="83"/>
      <c r="ADT79" s="83"/>
      <c r="ADU79" s="83"/>
      <c r="ADV79" s="83"/>
      <c r="ADW79" s="83"/>
      <c r="ADX79" s="83"/>
      <c r="ADY79" s="83"/>
      <c r="ADZ79" s="83"/>
      <c r="AEA79" s="83"/>
      <c r="AEB79" s="83"/>
      <c r="AEC79" s="83"/>
      <c r="AED79" s="83"/>
      <c r="AEE79" s="83"/>
      <c r="AEF79" s="83"/>
      <c r="AEG79" s="83"/>
      <c r="AEH79" s="83"/>
      <c r="AEI79" s="83"/>
      <c r="AEJ79" s="83"/>
      <c r="AEK79" s="83"/>
      <c r="AEL79" s="83"/>
      <c r="AEM79" s="83"/>
      <c r="AEN79" s="83"/>
      <c r="AEO79" s="83"/>
      <c r="AEP79" s="83"/>
      <c r="AEQ79" s="83"/>
      <c r="AER79" s="83"/>
      <c r="AES79" s="83"/>
      <c r="AET79" s="83"/>
      <c r="AEU79" s="83"/>
      <c r="AEV79" s="83"/>
      <c r="AEW79" s="83"/>
      <c r="AEX79" s="83"/>
      <c r="AEY79" s="83"/>
      <c r="AEZ79" s="83"/>
      <c r="AFA79" s="83"/>
      <c r="AFB79" s="83"/>
      <c r="AFC79" s="83"/>
      <c r="AFD79" s="83"/>
      <c r="AFE79" s="83"/>
      <c r="AFF79" s="83"/>
      <c r="AFG79" s="83"/>
      <c r="AFH79" s="83"/>
      <c r="AFI79" s="83"/>
      <c r="AFJ79" s="83"/>
      <c r="AFK79" s="83"/>
      <c r="AFL79" s="83"/>
      <c r="AFM79" s="83"/>
      <c r="AFN79" s="83"/>
      <c r="AFO79" s="83"/>
      <c r="AFP79" s="83"/>
      <c r="AFQ79" s="83"/>
      <c r="AFR79" s="83"/>
      <c r="AFS79" s="83"/>
      <c r="AFT79" s="83"/>
      <c r="AFU79" s="83"/>
      <c r="AFV79" s="83"/>
      <c r="AFW79" s="83"/>
      <c r="AFX79" s="83"/>
      <c r="AFY79" s="83"/>
      <c r="AFZ79" s="83"/>
      <c r="AGA79" s="83"/>
      <c r="AGB79" s="83"/>
      <c r="AGC79" s="83"/>
      <c r="AGD79" s="83"/>
      <c r="AGE79" s="83"/>
      <c r="AGF79" s="83"/>
      <c r="AGG79" s="83"/>
      <c r="AGH79" s="83"/>
      <c r="AGI79" s="83"/>
      <c r="AGJ79" s="83"/>
      <c r="AGK79" s="83"/>
      <c r="AGL79" s="83"/>
      <c r="AGM79" s="83"/>
      <c r="AGN79" s="83"/>
      <c r="AGO79" s="83"/>
      <c r="AGP79" s="83"/>
      <c r="AGQ79" s="83"/>
      <c r="AGR79" s="83"/>
      <c r="AGS79" s="83"/>
      <c r="AGT79" s="83"/>
      <c r="AGU79" s="83"/>
      <c r="AGV79" s="83"/>
      <c r="AGW79" s="83"/>
      <c r="AGX79" s="83"/>
      <c r="AGY79" s="83"/>
      <c r="AGZ79" s="83"/>
      <c r="AHA79" s="83"/>
      <c r="AHB79" s="83"/>
      <c r="AHC79" s="83"/>
      <c r="AHD79" s="83"/>
      <c r="AHE79" s="83"/>
      <c r="AHF79" s="83"/>
      <c r="AHG79" s="83"/>
      <c r="AHH79" s="83"/>
      <c r="AHI79" s="83"/>
      <c r="AHJ79" s="83"/>
      <c r="AHK79" s="83"/>
      <c r="AHL79" s="83"/>
      <c r="AHM79" s="83"/>
      <c r="AHN79" s="83"/>
      <c r="AHO79" s="83"/>
      <c r="AHP79" s="83"/>
      <c r="AHQ79" s="83"/>
      <c r="AHR79" s="83"/>
      <c r="AHS79" s="83"/>
      <c r="AHT79" s="83"/>
      <c r="AHU79" s="83"/>
      <c r="AHV79" s="83"/>
      <c r="AHW79" s="83"/>
      <c r="AHX79" s="83"/>
      <c r="AHY79" s="83"/>
      <c r="AHZ79" s="83"/>
      <c r="AIA79" s="83"/>
      <c r="AIB79" s="83"/>
      <c r="AIC79" s="83"/>
      <c r="AID79" s="83"/>
      <c r="AIE79" s="83"/>
      <c r="AIF79" s="83"/>
      <c r="AIG79" s="83"/>
      <c r="AIH79" s="83"/>
      <c r="AII79" s="83"/>
      <c r="AIJ79" s="83"/>
      <c r="AIK79" s="83"/>
      <c r="AIL79" s="83"/>
      <c r="AIM79" s="83"/>
      <c r="AIN79" s="83"/>
      <c r="AIO79" s="83"/>
      <c r="AIP79" s="83"/>
      <c r="AIQ79" s="83"/>
      <c r="AIR79" s="83"/>
      <c r="AIS79" s="83"/>
      <c r="AIT79" s="83"/>
      <c r="AIU79" s="83"/>
      <c r="AIV79" s="83"/>
      <c r="AIW79" s="83"/>
      <c r="AIX79" s="83"/>
      <c r="AIY79" s="83"/>
      <c r="AIZ79" s="83"/>
      <c r="AJA79" s="83"/>
      <c r="AJB79" s="83"/>
      <c r="AJC79" s="83"/>
      <c r="AJD79" s="83"/>
      <c r="AJE79" s="83"/>
      <c r="AJF79" s="83"/>
      <c r="AJG79" s="83"/>
      <c r="AJH79" s="83"/>
      <c r="AJI79" s="83"/>
      <c r="AJJ79" s="83"/>
      <c r="AJK79" s="83"/>
      <c r="AJL79" s="83"/>
      <c r="AJM79" s="83"/>
      <c r="AJN79" s="83"/>
      <c r="AJO79" s="83"/>
      <c r="AJP79" s="83"/>
      <c r="AJQ79" s="83"/>
      <c r="AJR79" s="83"/>
      <c r="AJS79" s="83"/>
      <c r="AJT79" s="83"/>
      <c r="AJU79" s="83"/>
      <c r="AJV79" s="83"/>
      <c r="AJW79" s="83"/>
      <c r="AJX79" s="83"/>
      <c r="AJY79" s="83"/>
      <c r="AJZ79" s="83"/>
      <c r="AKA79" s="83"/>
      <c r="AKB79" s="83"/>
      <c r="AKC79" s="83"/>
      <c r="AKD79" s="83"/>
      <c r="AKE79" s="83"/>
      <c r="AKF79" s="83"/>
      <c r="AKG79" s="83"/>
      <c r="AKH79" s="83"/>
      <c r="AKI79" s="83"/>
      <c r="AKJ79" s="83"/>
      <c r="AKK79" s="83"/>
      <c r="AKL79" s="83"/>
      <c r="AKM79" s="83"/>
      <c r="AKN79" s="83"/>
      <c r="AKO79" s="83"/>
      <c r="AKP79" s="83"/>
      <c r="AKQ79" s="83"/>
      <c r="AKR79" s="83"/>
      <c r="AKS79" s="83"/>
      <c r="AKT79" s="83"/>
      <c r="AKU79" s="83"/>
      <c r="AKV79" s="83"/>
      <c r="AKW79" s="83"/>
      <c r="AKX79" s="83"/>
      <c r="AKY79" s="83"/>
      <c r="AKZ79" s="83"/>
      <c r="ALA79" s="83"/>
      <c r="ALB79" s="83"/>
      <c r="ALC79" s="83"/>
      <c r="ALD79" s="83"/>
      <c r="ALE79" s="83"/>
      <c r="ALF79" s="83"/>
      <c r="ALG79" s="83"/>
      <c r="ALH79" s="83"/>
      <c r="ALI79" s="83"/>
      <c r="ALJ79" s="83"/>
      <c r="ALK79" s="83"/>
      <c r="ALL79" s="83"/>
      <c r="ALM79" s="83"/>
      <c r="ALN79" s="83"/>
      <c r="ALO79" s="83"/>
      <c r="ALP79" s="83"/>
      <c r="ALQ79" s="83"/>
      <c r="ALR79" s="83"/>
      <c r="ALS79" s="83"/>
      <c r="ALT79" s="83"/>
      <c r="ALU79" s="83"/>
      <c r="ALV79" s="83"/>
      <c r="ALW79" s="83"/>
      <c r="ALX79" s="83"/>
      <c r="ALY79" s="83"/>
      <c r="ALZ79" s="83"/>
      <c r="AMA79" s="83"/>
      <c r="AMB79" s="83"/>
      <c r="AMC79" s="83"/>
      <c r="AMD79" s="83"/>
      <c r="AME79" s="83"/>
      <c r="AMF79" s="83"/>
      <c r="AMG79" s="83"/>
      <c r="AMH79" s="83"/>
      <c r="AMI79" s="83"/>
      <c r="AMJ79" s="83"/>
    </row>
    <row r="80" spans="12:1024" ht="20.25" customHeight="1" x14ac:dyDescent="0.2">
      <c r="L80" s="83"/>
      <c r="M80" s="84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83"/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83"/>
      <c r="EJ80" s="83"/>
      <c r="EK80" s="83"/>
      <c r="EL80" s="83"/>
      <c r="EM80" s="83"/>
      <c r="EN80" s="83"/>
      <c r="EO80" s="83"/>
      <c r="EP80" s="83"/>
      <c r="EQ80" s="83"/>
      <c r="ER80" s="83"/>
      <c r="ES80" s="83"/>
      <c r="ET80" s="83"/>
      <c r="EU80" s="83"/>
      <c r="EV80" s="83"/>
      <c r="EW80" s="83"/>
      <c r="EX80" s="83"/>
      <c r="EY80" s="83"/>
      <c r="EZ80" s="83"/>
      <c r="FA80" s="83"/>
      <c r="FB80" s="83"/>
      <c r="FC80" s="83"/>
      <c r="FD80" s="83"/>
      <c r="FE80" s="83"/>
      <c r="FF80" s="83"/>
      <c r="FG80" s="83"/>
      <c r="FH80" s="83"/>
      <c r="FI80" s="83"/>
      <c r="FJ80" s="83"/>
      <c r="FK80" s="83"/>
      <c r="FL80" s="83"/>
      <c r="FM80" s="83"/>
      <c r="FN80" s="83"/>
      <c r="FO80" s="83"/>
      <c r="FP80" s="83"/>
      <c r="FQ80" s="83"/>
      <c r="FR80" s="83"/>
      <c r="FS80" s="83"/>
      <c r="FT80" s="83"/>
      <c r="FU80" s="83"/>
      <c r="FV80" s="83"/>
      <c r="FW80" s="83"/>
      <c r="FX80" s="83"/>
      <c r="FY80" s="83"/>
      <c r="FZ80" s="83"/>
      <c r="GA80" s="83"/>
      <c r="GB80" s="83"/>
      <c r="GC80" s="83"/>
      <c r="GD80" s="83"/>
      <c r="GE80" s="83"/>
      <c r="GF80" s="83"/>
      <c r="GG80" s="83"/>
      <c r="GH80" s="83"/>
      <c r="GI80" s="83"/>
      <c r="GJ80" s="83"/>
      <c r="GK80" s="83"/>
      <c r="GL80" s="83"/>
      <c r="GM80" s="83"/>
      <c r="GN80" s="83"/>
      <c r="GO80" s="83"/>
      <c r="GP80" s="83"/>
      <c r="GQ80" s="83"/>
      <c r="GR80" s="83"/>
      <c r="GS80" s="83"/>
      <c r="GT80" s="83"/>
      <c r="GU80" s="83"/>
      <c r="GV80" s="83"/>
      <c r="GW80" s="83"/>
      <c r="GX80" s="83"/>
      <c r="GY80" s="83"/>
      <c r="GZ80" s="83"/>
      <c r="HA80" s="83"/>
      <c r="HB80" s="83"/>
      <c r="HC80" s="83"/>
      <c r="HD80" s="83"/>
      <c r="HE80" s="83"/>
      <c r="HF80" s="83"/>
      <c r="HG80" s="83"/>
      <c r="HH80" s="83"/>
      <c r="HI80" s="83"/>
      <c r="HJ80" s="83"/>
      <c r="HK80" s="83"/>
      <c r="HL80" s="83"/>
      <c r="HM80" s="83"/>
      <c r="HN80" s="83"/>
      <c r="HO80" s="83"/>
      <c r="HP80" s="83"/>
      <c r="HQ80" s="83"/>
      <c r="HR80" s="83"/>
      <c r="HS80" s="83"/>
      <c r="HT80" s="83"/>
      <c r="HU80" s="83"/>
      <c r="HV80" s="83"/>
      <c r="HW80" s="83"/>
      <c r="HX80" s="83"/>
      <c r="HY80" s="83"/>
      <c r="HZ80" s="83"/>
      <c r="IA80" s="83"/>
      <c r="IB80" s="83"/>
      <c r="IC80" s="83"/>
      <c r="ID80" s="83"/>
      <c r="IE80" s="83"/>
      <c r="IF80" s="83"/>
      <c r="IG80" s="83"/>
      <c r="IH80" s="83"/>
      <c r="II80" s="83"/>
      <c r="IJ80" s="83"/>
      <c r="IK80" s="83"/>
      <c r="IL80" s="83"/>
      <c r="IM80" s="83"/>
      <c r="IN80" s="83"/>
      <c r="IO80" s="83"/>
      <c r="IP80" s="83"/>
      <c r="IQ80" s="83"/>
      <c r="IR80" s="83"/>
      <c r="IS80" s="83"/>
      <c r="IT80" s="83"/>
      <c r="IU80" s="83"/>
      <c r="IV80" s="83"/>
      <c r="IW80" s="83"/>
      <c r="IX80" s="83"/>
      <c r="IY80" s="83"/>
      <c r="IZ80" s="83"/>
      <c r="JA80" s="83"/>
      <c r="JB80" s="83"/>
      <c r="JC80" s="83"/>
      <c r="JD80" s="83"/>
      <c r="JE80" s="83"/>
      <c r="JF80" s="83"/>
      <c r="JG80" s="83"/>
      <c r="JH80" s="83"/>
      <c r="JI80" s="83"/>
      <c r="JJ80" s="83"/>
      <c r="JK80" s="83"/>
      <c r="JL80" s="83"/>
      <c r="JM80" s="83"/>
      <c r="JN80" s="83"/>
      <c r="JO80" s="83"/>
      <c r="JP80" s="83"/>
      <c r="JQ80" s="83"/>
      <c r="JR80" s="83"/>
      <c r="JS80" s="83"/>
      <c r="JT80" s="83"/>
      <c r="JU80" s="83"/>
      <c r="JV80" s="83"/>
      <c r="JW80" s="83"/>
      <c r="JX80" s="83"/>
      <c r="JY80" s="83"/>
      <c r="JZ80" s="83"/>
      <c r="KA80" s="83"/>
      <c r="KB80" s="83"/>
      <c r="KC80" s="83"/>
      <c r="KD80" s="83"/>
      <c r="KE80" s="83"/>
      <c r="KF80" s="83"/>
      <c r="KG80" s="83"/>
      <c r="KH80" s="83"/>
      <c r="KI80" s="83"/>
      <c r="KJ80" s="83"/>
      <c r="KK80" s="83"/>
      <c r="KL80" s="83"/>
      <c r="KM80" s="83"/>
      <c r="KN80" s="83"/>
      <c r="KO80" s="83"/>
      <c r="KP80" s="83"/>
      <c r="KQ80" s="83"/>
      <c r="KR80" s="83"/>
      <c r="KS80" s="83"/>
      <c r="KT80" s="83"/>
      <c r="KU80" s="83"/>
      <c r="KV80" s="83"/>
      <c r="KW80" s="83"/>
      <c r="KX80" s="83"/>
      <c r="KY80" s="83"/>
      <c r="KZ80" s="83"/>
      <c r="LA80" s="83"/>
      <c r="LB80" s="83"/>
      <c r="LC80" s="83"/>
      <c r="LD80" s="83"/>
      <c r="LE80" s="83"/>
      <c r="LF80" s="83"/>
      <c r="LG80" s="83"/>
      <c r="LH80" s="83"/>
      <c r="LI80" s="83"/>
      <c r="LJ80" s="83"/>
      <c r="LK80" s="83"/>
      <c r="LL80" s="83"/>
      <c r="LM80" s="83"/>
      <c r="LN80" s="83"/>
      <c r="LO80" s="83"/>
      <c r="LP80" s="83"/>
      <c r="LQ80" s="83"/>
      <c r="LR80" s="83"/>
      <c r="LS80" s="83"/>
      <c r="LT80" s="83"/>
      <c r="LU80" s="83"/>
      <c r="LV80" s="83"/>
      <c r="LW80" s="83"/>
      <c r="LX80" s="83"/>
      <c r="LY80" s="83"/>
      <c r="LZ80" s="83"/>
      <c r="MA80" s="83"/>
      <c r="MB80" s="83"/>
      <c r="MC80" s="83"/>
      <c r="MD80" s="83"/>
      <c r="ME80" s="83"/>
      <c r="MF80" s="83"/>
      <c r="MG80" s="83"/>
      <c r="MH80" s="83"/>
      <c r="MI80" s="83"/>
      <c r="MJ80" s="83"/>
      <c r="MK80" s="83"/>
      <c r="ML80" s="83"/>
      <c r="MM80" s="83"/>
      <c r="MN80" s="83"/>
      <c r="MO80" s="83"/>
      <c r="MP80" s="83"/>
      <c r="MQ80" s="83"/>
      <c r="MR80" s="83"/>
      <c r="MS80" s="83"/>
      <c r="MT80" s="83"/>
      <c r="MU80" s="83"/>
      <c r="MV80" s="83"/>
      <c r="MW80" s="83"/>
      <c r="MX80" s="83"/>
      <c r="MY80" s="83"/>
      <c r="MZ80" s="83"/>
      <c r="NA80" s="83"/>
      <c r="NB80" s="83"/>
      <c r="NC80" s="83"/>
      <c r="ND80" s="83"/>
      <c r="NE80" s="83"/>
      <c r="NF80" s="83"/>
      <c r="NG80" s="83"/>
      <c r="NH80" s="83"/>
      <c r="NI80" s="83"/>
      <c r="NJ80" s="83"/>
      <c r="NK80" s="83"/>
      <c r="NL80" s="83"/>
      <c r="NM80" s="83"/>
      <c r="NN80" s="83"/>
      <c r="NO80" s="83"/>
      <c r="NP80" s="83"/>
      <c r="NQ80" s="83"/>
      <c r="NR80" s="83"/>
      <c r="NS80" s="83"/>
      <c r="NT80" s="83"/>
      <c r="NU80" s="83"/>
      <c r="NV80" s="83"/>
      <c r="NW80" s="83"/>
      <c r="NX80" s="83"/>
      <c r="NY80" s="83"/>
      <c r="NZ80" s="83"/>
      <c r="OA80" s="83"/>
      <c r="OB80" s="83"/>
      <c r="OC80" s="83"/>
      <c r="OD80" s="83"/>
      <c r="OE80" s="83"/>
      <c r="OF80" s="83"/>
      <c r="OG80" s="83"/>
      <c r="OH80" s="83"/>
      <c r="OI80" s="83"/>
      <c r="OJ80" s="83"/>
      <c r="OK80" s="83"/>
      <c r="OL80" s="83"/>
      <c r="OM80" s="83"/>
      <c r="ON80" s="83"/>
      <c r="OO80" s="83"/>
      <c r="OP80" s="83"/>
      <c r="OQ80" s="83"/>
      <c r="OR80" s="83"/>
      <c r="OS80" s="83"/>
      <c r="OT80" s="83"/>
      <c r="OU80" s="83"/>
      <c r="OV80" s="83"/>
      <c r="OW80" s="83"/>
      <c r="OX80" s="83"/>
      <c r="OY80" s="83"/>
      <c r="OZ80" s="83"/>
      <c r="PA80" s="83"/>
      <c r="PB80" s="83"/>
      <c r="PC80" s="83"/>
      <c r="PD80" s="83"/>
      <c r="PE80" s="83"/>
      <c r="PF80" s="83"/>
      <c r="PG80" s="83"/>
      <c r="PH80" s="83"/>
      <c r="PI80" s="83"/>
      <c r="PJ80" s="83"/>
      <c r="PK80" s="83"/>
      <c r="PL80" s="83"/>
      <c r="PM80" s="83"/>
      <c r="PN80" s="83"/>
      <c r="PO80" s="83"/>
      <c r="PP80" s="83"/>
      <c r="PQ80" s="83"/>
      <c r="PR80" s="83"/>
      <c r="PS80" s="83"/>
      <c r="PT80" s="83"/>
      <c r="PU80" s="83"/>
      <c r="PV80" s="83"/>
      <c r="PW80" s="83"/>
      <c r="PX80" s="83"/>
      <c r="PY80" s="83"/>
      <c r="PZ80" s="83"/>
      <c r="QA80" s="83"/>
      <c r="QB80" s="83"/>
      <c r="QC80" s="83"/>
      <c r="QD80" s="83"/>
      <c r="QE80" s="83"/>
      <c r="QF80" s="83"/>
      <c r="QG80" s="83"/>
      <c r="QH80" s="83"/>
      <c r="QI80" s="83"/>
      <c r="QJ80" s="83"/>
      <c r="QK80" s="83"/>
      <c r="QL80" s="83"/>
      <c r="QM80" s="83"/>
      <c r="QN80" s="83"/>
      <c r="QO80" s="83"/>
      <c r="QP80" s="83"/>
      <c r="QQ80" s="83"/>
      <c r="QR80" s="83"/>
      <c r="QS80" s="83"/>
      <c r="QT80" s="83"/>
      <c r="QU80" s="83"/>
      <c r="QV80" s="83"/>
      <c r="QW80" s="83"/>
      <c r="QX80" s="83"/>
      <c r="QY80" s="83"/>
      <c r="QZ80" s="83"/>
      <c r="RA80" s="83"/>
      <c r="RB80" s="83"/>
      <c r="RC80" s="83"/>
      <c r="RD80" s="83"/>
      <c r="RE80" s="83"/>
      <c r="RF80" s="83"/>
      <c r="RG80" s="83"/>
      <c r="RH80" s="83"/>
      <c r="RI80" s="83"/>
      <c r="RJ80" s="83"/>
      <c r="RK80" s="83"/>
      <c r="RL80" s="83"/>
      <c r="RM80" s="83"/>
      <c r="RN80" s="83"/>
      <c r="RO80" s="83"/>
      <c r="RP80" s="83"/>
      <c r="RQ80" s="83"/>
      <c r="RR80" s="83"/>
      <c r="RS80" s="83"/>
      <c r="RT80" s="83"/>
      <c r="RU80" s="83"/>
      <c r="RV80" s="83"/>
      <c r="RW80" s="83"/>
      <c r="RX80" s="83"/>
      <c r="RY80" s="83"/>
      <c r="RZ80" s="83"/>
      <c r="SA80" s="83"/>
      <c r="SB80" s="83"/>
      <c r="SC80" s="83"/>
      <c r="SD80" s="83"/>
      <c r="SE80" s="83"/>
      <c r="SF80" s="83"/>
      <c r="SG80" s="83"/>
      <c r="SH80" s="83"/>
      <c r="SI80" s="83"/>
      <c r="SJ80" s="83"/>
      <c r="SK80" s="83"/>
      <c r="SL80" s="83"/>
      <c r="SM80" s="83"/>
      <c r="SN80" s="83"/>
      <c r="SO80" s="83"/>
      <c r="SP80" s="83"/>
      <c r="SQ80" s="83"/>
      <c r="SR80" s="83"/>
      <c r="SS80" s="83"/>
      <c r="ST80" s="83"/>
      <c r="SU80" s="83"/>
      <c r="SV80" s="83"/>
      <c r="SW80" s="83"/>
      <c r="SX80" s="83"/>
      <c r="SY80" s="83"/>
      <c r="SZ80" s="83"/>
      <c r="TA80" s="83"/>
      <c r="TB80" s="83"/>
      <c r="TC80" s="83"/>
      <c r="TD80" s="83"/>
      <c r="TE80" s="83"/>
      <c r="TF80" s="83"/>
      <c r="TG80" s="83"/>
      <c r="TH80" s="83"/>
      <c r="TI80" s="83"/>
      <c r="TJ80" s="83"/>
      <c r="TK80" s="83"/>
      <c r="TL80" s="83"/>
      <c r="TM80" s="83"/>
      <c r="TN80" s="83"/>
      <c r="TO80" s="83"/>
      <c r="TP80" s="83"/>
      <c r="TQ80" s="83"/>
      <c r="TR80" s="83"/>
      <c r="TS80" s="83"/>
      <c r="TT80" s="83"/>
      <c r="TU80" s="83"/>
      <c r="TV80" s="83"/>
      <c r="TW80" s="83"/>
      <c r="TX80" s="83"/>
      <c r="TY80" s="83"/>
      <c r="TZ80" s="83"/>
      <c r="UA80" s="83"/>
      <c r="UB80" s="83"/>
      <c r="UC80" s="83"/>
      <c r="UD80" s="83"/>
      <c r="UE80" s="83"/>
      <c r="UF80" s="83"/>
      <c r="UG80" s="83"/>
      <c r="UH80" s="83"/>
      <c r="UI80" s="83"/>
      <c r="UJ80" s="83"/>
      <c r="UK80" s="83"/>
      <c r="UL80" s="83"/>
      <c r="UM80" s="83"/>
      <c r="UN80" s="83"/>
      <c r="UO80" s="83"/>
      <c r="UP80" s="83"/>
      <c r="UQ80" s="83"/>
      <c r="UR80" s="83"/>
      <c r="US80" s="83"/>
      <c r="UT80" s="83"/>
      <c r="UU80" s="83"/>
      <c r="UV80" s="83"/>
      <c r="UW80" s="83"/>
      <c r="UX80" s="83"/>
      <c r="UY80" s="83"/>
      <c r="UZ80" s="83"/>
      <c r="VA80" s="83"/>
      <c r="VB80" s="83"/>
      <c r="VC80" s="83"/>
      <c r="VD80" s="83"/>
      <c r="VE80" s="83"/>
      <c r="VF80" s="83"/>
      <c r="VG80" s="83"/>
      <c r="VH80" s="83"/>
      <c r="VI80" s="83"/>
      <c r="VJ80" s="83"/>
      <c r="VK80" s="83"/>
      <c r="VL80" s="83"/>
      <c r="VM80" s="83"/>
      <c r="VN80" s="83"/>
      <c r="VO80" s="83"/>
      <c r="VP80" s="83"/>
      <c r="VQ80" s="83"/>
      <c r="VR80" s="83"/>
      <c r="VS80" s="83"/>
      <c r="VT80" s="83"/>
      <c r="VU80" s="83"/>
      <c r="VV80" s="83"/>
      <c r="VW80" s="83"/>
      <c r="VX80" s="83"/>
      <c r="VY80" s="83"/>
      <c r="VZ80" s="83"/>
      <c r="WA80" s="83"/>
      <c r="WB80" s="83"/>
      <c r="WC80" s="83"/>
      <c r="WD80" s="83"/>
      <c r="WE80" s="83"/>
      <c r="WF80" s="83"/>
      <c r="WG80" s="83"/>
      <c r="WH80" s="83"/>
      <c r="WI80" s="83"/>
      <c r="WJ80" s="83"/>
      <c r="WK80" s="83"/>
      <c r="WL80" s="83"/>
      <c r="WM80" s="83"/>
      <c r="WN80" s="83"/>
      <c r="WO80" s="83"/>
      <c r="WP80" s="83"/>
      <c r="WQ80" s="83"/>
      <c r="WR80" s="83"/>
      <c r="WS80" s="83"/>
      <c r="WT80" s="83"/>
      <c r="WU80" s="83"/>
      <c r="WV80" s="83"/>
      <c r="WW80" s="83"/>
      <c r="WX80" s="83"/>
      <c r="WY80" s="83"/>
      <c r="WZ80" s="83"/>
      <c r="XA80" s="83"/>
      <c r="XB80" s="83"/>
      <c r="XC80" s="83"/>
      <c r="XD80" s="83"/>
      <c r="XE80" s="83"/>
      <c r="XF80" s="83"/>
      <c r="XG80" s="83"/>
      <c r="XH80" s="83"/>
      <c r="XI80" s="83"/>
      <c r="XJ80" s="83"/>
      <c r="XK80" s="83"/>
      <c r="XL80" s="83"/>
      <c r="XM80" s="83"/>
      <c r="XN80" s="83"/>
      <c r="XO80" s="83"/>
      <c r="XP80" s="83"/>
      <c r="XQ80" s="83"/>
      <c r="XR80" s="83"/>
      <c r="XS80" s="83"/>
      <c r="XT80" s="83"/>
      <c r="XU80" s="83"/>
      <c r="XV80" s="83"/>
      <c r="XW80" s="83"/>
      <c r="XX80" s="83"/>
      <c r="XY80" s="83"/>
      <c r="XZ80" s="83"/>
      <c r="YA80" s="83"/>
      <c r="YB80" s="83"/>
      <c r="YC80" s="83"/>
      <c r="YD80" s="83"/>
      <c r="YE80" s="83"/>
      <c r="YF80" s="83"/>
      <c r="YG80" s="83"/>
      <c r="YH80" s="83"/>
      <c r="YI80" s="83"/>
      <c r="YJ80" s="83"/>
      <c r="YK80" s="83"/>
      <c r="YL80" s="83"/>
      <c r="YM80" s="83"/>
      <c r="YN80" s="83"/>
      <c r="YO80" s="83"/>
      <c r="YP80" s="83"/>
      <c r="YQ80" s="83"/>
      <c r="YR80" s="83"/>
      <c r="YS80" s="83"/>
      <c r="YT80" s="83"/>
      <c r="YU80" s="83"/>
      <c r="YV80" s="83"/>
      <c r="YW80" s="83"/>
      <c r="YX80" s="83"/>
      <c r="YY80" s="83"/>
      <c r="YZ80" s="83"/>
      <c r="ZA80" s="83"/>
      <c r="ZB80" s="83"/>
      <c r="ZC80" s="83"/>
      <c r="ZD80" s="83"/>
      <c r="ZE80" s="83"/>
      <c r="ZF80" s="83"/>
      <c r="ZG80" s="83"/>
      <c r="ZH80" s="83"/>
      <c r="ZI80" s="83"/>
      <c r="ZJ80" s="83"/>
      <c r="ZK80" s="83"/>
      <c r="ZL80" s="83"/>
      <c r="ZM80" s="83"/>
      <c r="ZN80" s="83"/>
      <c r="ZO80" s="83"/>
      <c r="ZP80" s="83"/>
      <c r="ZQ80" s="83"/>
      <c r="ZR80" s="83"/>
      <c r="ZS80" s="83"/>
      <c r="ZT80" s="83"/>
      <c r="ZU80" s="83"/>
      <c r="ZV80" s="83"/>
      <c r="ZW80" s="83"/>
      <c r="ZX80" s="83"/>
      <c r="ZY80" s="83"/>
      <c r="ZZ80" s="83"/>
      <c r="AAA80" s="83"/>
      <c r="AAB80" s="83"/>
      <c r="AAC80" s="83"/>
      <c r="AAD80" s="83"/>
      <c r="AAE80" s="83"/>
      <c r="AAF80" s="83"/>
      <c r="AAG80" s="83"/>
      <c r="AAH80" s="83"/>
      <c r="AAI80" s="83"/>
      <c r="AAJ80" s="83"/>
      <c r="AAK80" s="83"/>
      <c r="AAL80" s="83"/>
      <c r="AAM80" s="83"/>
      <c r="AAN80" s="83"/>
      <c r="AAO80" s="83"/>
      <c r="AAP80" s="83"/>
      <c r="AAQ80" s="83"/>
      <c r="AAR80" s="83"/>
      <c r="AAS80" s="83"/>
      <c r="AAT80" s="83"/>
      <c r="AAU80" s="83"/>
      <c r="AAV80" s="83"/>
      <c r="AAW80" s="83"/>
      <c r="AAX80" s="83"/>
      <c r="AAY80" s="83"/>
      <c r="AAZ80" s="83"/>
      <c r="ABA80" s="83"/>
      <c r="ABB80" s="83"/>
      <c r="ABC80" s="83"/>
      <c r="ABD80" s="83"/>
      <c r="ABE80" s="83"/>
      <c r="ABF80" s="83"/>
      <c r="ABG80" s="83"/>
      <c r="ABH80" s="83"/>
      <c r="ABI80" s="83"/>
      <c r="ABJ80" s="83"/>
      <c r="ABK80" s="83"/>
      <c r="ABL80" s="83"/>
      <c r="ABM80" s="83"/>
      <c r="ABN80" s="83"/>
      <c r="ABO80" s="83"/>
      <c r="ABP80" s="83"/>
      <c r="ABQ80" s="83"/>
      <c r="ABR80" s="83"/>
      <c r="ABS80" s="83"/>
      <c r="ABT80" s="83"/>
      <c r="ABU80" s="83"/>
      <c r="ABV80" s="83"/>
      <c r="ABW80" s="83"/>
      <c r="ABX80" s="83"/>
      <c r="ABY80" s="83"/>
      <c r="ABZ80" s="83"/>
      <c r="ACA80" s="83"/>
      <c r="ACB80" s="83"/>
      <c r="ACC80" s="83"/>
      <c r="ACD80" s="83"/>
      <c r="ACE80" s="83"/>
      <c r="ACF80" s="83"/>
      <c r="ACG80" s="83"/>
      <c r="ACH80" s="83"/>
      <c r="ACI80" s="83"/>
      <c r="ACJ80" s="83"/>
      <c r="ACK80" s="83"/>
      <c r="ACL80" s="83"/>
      <c r="ACM80" s="83"/>
      <c r="ACN80" s="83"/>
      <c r="ACO80" s="83"/>
      <c r="ACP80" s="83"/>
      <c r="ACQ80" s="83"/>
      <c r="ACR80" s="83"/>
      <c r="ACS80" s="83"/>
      <c r="ACT80" s="83"/>
      <c r="ACU80" s="83"/>
      <c r="ACV80" s="83"/>
      <c r="ACW80" s="83"/>
      <c r="ACX80" s="83"/>
      <c r="ACY80" s="83"/>
      <c r="ACZ80" s="83"/>
      <c r="ADA80" s="83"/>
      <c r="ADB80" s="83"/>
      <c r="ADC80" s="83"/>
      <c r="ADD80" s="83"/>
      <c r="ADE80" s="83"/>
      <c r="ADF80" s="83"/>
      <c r="ADG80" s="83"/>
      <c r="ADH80" s="83"/>
      <c r="ADI80" s="83"/>
      <c r="ADJ80" s="83"/>
      <c r="ADK80" s="83"/>
      <c r="ADL80" s="83"/>
      <c r="ADM80" s="83"/>
      <c r="ADN80" s="83"/>
      <c r="ADO80" s="83"/>
      <c r="ADP80" s="83"/>
      <c r="ADQ80" s="83"/>
      <c r="ADR80" s="83"/>
      <c r="ADS80" s="83"/>
      <c r="ADT80" s="83"/>
      <c r="ADU80" s="83"/>
      <c r="ADV80" s="83"/>
      <c r="ADW80" s="83"/>
      <c r="ADX80" s="83"/>
      <c r="ADY80" s="83"/>
      <c r="ADZ80" s="83"/>
      <c r="AEA80" s="83"/>
      <c r="AEB80" s="83"/>
      <c r="AEC80" s="83"/>
      <c r="AED80" s="83"/>
      <c r="AEE80" s="83"/>
      <c r="AEF80" s="83"/>
      <c r="AEG80" s="83"/>
      <c r="AEH80" s="83"/>
      <c r="AEI80" s="83"/>
      <c r="AEJ80" s="83"/>
      <c r="AEK80" s="83"/>
      <c r="AEL80" s="83"/>
      <c r="AEM80" s="83"/>
      <c r="AEN80" s="83"/>
      <c r="AEO80" s="83"/>
      <c r="AEP80" s="83"/>
      <c r="AEQ80" s="83"/>
      <c r="AER80" s="83"/>
      <c r="AES80" s="83"/>
      <c r="AET80" s="83"/>
      <c r="AEU80" s="83"/>
      <c r="AEV80" s="83"/>
      <c r="AEW80" s="83"/>
      <c r="AEX80" s="83"/>
      <c r="AEY80" s="83"/>
      <c r="AEZ80" s="83"/>
      <c r="AFA80" s="83"/>
      <c r="AFB80" s="83"/>
      <c r="AFC80" s="83"/>
      <c r="AFD80" s="83"/>
      <c r="AFE80" s="83"/>
      <c r="AFF80" s="83"/>
      <c r="AFG80" s="83"/>
      <c r="AFH80" s="83"/>
      <c r="AFI80" s="83"/>
      <c r="AFJ80" s="83"/>
      <c r="AFK80" s="83"/>
      <c r="AFL80" s="83"/>
      <c r="AFM80" s="83"/>
      <c r="AFN80" s="83"/>
      <c r="AFO80" s="83"/>
      <c r="AFP80" s="83"/>
      <c r="AFQ80" s="83"/>
      <c r="AFR80" s="83"/>
      <c r="AFS80" s="83"/>
      <c r="AFT80" s="83"/>
      <c r="AFU80" s="83"/>
      <c r="AFV80" s="83"/>
      <c r="AFW80" s="83"/>
      <c r="AFX80" s="83"/>
      <c r="AFY80" s="83"/>
      <c r="AFZ80" s="83"/>
      <c r="AGA80" s="83"/>
      <c r="AGB80" s="83"/>
      <c r="AGC80" s="83"/>
      <c r="AGD80" s="83"/>
      <c r="AGE80" s="83"/>
      <c r="AGF80" s="83"/>
      <c r="AGG80" s="83"/>
      <c r="AGH80" s="83"/>
      <c r="AGI80" s="83"/>
      <c r="AGJ80" s="83"/>
      <c r="AGK80" s="83"/>
      <c r="AGL80" s="83"/>
      <c r="AGM80" s="83"/>
      <c r="AGN80" s="83"/>
      <c r="AGO80" s="83"/>
      <c r="AGP80" s="83"/>
      <c r="AGQ80" s="83"/>
      <c r="AGR80" s="83"/>
      <c r="AGS80" s="83"/>
      <c r="AGT80" s="83"/>
      <c r="AGU80" s="83"/>
      <c r="AGV80" s="83"/>
      <c r="AGW80" s="83"/>
      <c r="AGX80" s="83"/>
      <c r="AGY80" s="83"/>
      <c r="AGZ80" s="83"/>
      <c r="AHA80" s="83"/>
      <c r="AHB80" s="83"/>
      <c r="AHC80" s="83"/>
      <c r="AHD80" s="83"/>
      <c r="AHE80" s="83"/>
      <c r="AHF80" s="83"/>
      <c r="AHG80" s="83"/>
      <c r="AHH80" s="83"/>
      <c r="AHI80" s="83"/>
      <c r="AHJ80" s="83"/>
      <c r="AHK80" s="83"/>
      <c r="AHL80" s="83"/>
      <c r="AHM80" s="83"/>
      <c r="AHN80" s="83"/>
      <c r="AHO80" s="83"/>
      <c r="AHP80" s="83"/>
      <c r="AHQ80" s="83"/>
      <c r="AHR80" s="83"/>
      <c r="AHS80" s="83"/>
      <c r="AHT80" s="83"/>
      <c r="AHU80" s="83"/>
      <c r="AHV80" s="83"/>
      <c r="AHW80" s="83"/>
      <c r="AHX80" s="83"/>
      <c r="AHY80" s="83"/>
      <c r="AHZ80" s="83"/>
      <c r="AIA80" s="83"/>
      <c r="AIB80" s="83"/>
      <c r="AIC80" s="83"/>
      <c r="AID80" s="83"/>
      <c r="AIE80" s="83"/>
      <c r="AIF80" s="83"/>
      <c r="AIG80" s="83"/>
      <c r="AIH80" s="83"/>
      <c r="AII80" s="83"/>
      <c r="AIJ80" s="83"/>
      <c r="AIK80" s="83"/>
      <c r="AIL80" s="83"/>
      <c r="AIM80" s="83"/>
      <c r="AIN80" s="83"/>
      <c r="AIO80" s="83"/>
      <c r="AIP80" s="83"/>
      <c r="AIQ80" s="83"/>
      <c r="AIR80" s="83"/>
      <c r="AIS80" s="83"/>
      <c r="AIT80" s="83"/>
      <c r="AIU80" s="83"/>
      <c r="AIV80" s="83"/>
      <c r="AIW80" s="83"/>
      <c r="AIX80" s="83"/>
      <c r="AIY80" s="83"/>
      <c r="AIZ80" s="83"/>
      <c r="AJA80" s="83"/>
      <c r="AJB80" s="83"/>
      <c r="AJC80" s="83"/>
      <c r="AJD80" s="83"/>
      <c r="AJE80" s="83"/>
      <c r="AJF80" s="83"/>
      <c r="AJG80" s="83"/>
      <c r="AJH80" s="83"/>
      <c r="AJI80" s="83"/>
      <c r="AJJ80" s="83"/>
      <c r="AJK80" s="83"/>
      <c r="AJL80" s="83"/>
      <c r="AJM80" s="83"/>
      <c r="AJN80" s="83"/>
      <c r="AJO80" s="83"/>
      <c r="AJP80" s="83"/>
      <c r="AJQ80" s="83"/>
      <c r="AJR80" s="83"/>
      <c r="AJS80" s="83"/>
      <c r="AJT80" s="83"/>
      <c r="AJU80" s="83"/>
      <c r="AJV80" s="83"/>
      <c r="AJW80" s="83"/>
      <c r="AJX80" s="83"/>
      <c r="AJY80" s="83"/>
      <c r="AJZ80" s="83"/>
      <c r="AKA80" s="83"/>
      <c r="AKB80" s="83"/>
      <c r="AKC80" s="83"/>
      <c r="AKD80" s="83"/>
      <c r="AKE80" s="83"/>
      <c r="AKF80" s="83"/>
      <c r="AKG80" s="83"/>
      <c r="AKH80" s="83"/>
      <c r="AKI80" s="83"/>
      <c r="AKJ80" s="83"/>
      <c r="AKK80" s="83"/>
      <c r="AKL80" s="83"/>
      <c r="AKM80" s="83"/>
      <c r="AKN80" s="83"/>
      <c r="AKO80" s="83"/>
      <c r="AKP80" s="83"/>
      <c r="AKQ80" s="83"/>
      <c r="AKR80" s="83"/>
      <c r="AKS80" s="83"/>
      <c r="AKT80" s="83"/>
      <c r="AKU80" s="83"/>
      <c r="AKV80" s="83"/>
      <c r="AKW80" s="83"/>
      <c r="AKX80" s="83"/>
      <c r="AKY80" s="83"/>
      <c r="AKZ80" s="83"/>
      <c r="ALA80" s="83"/>
      <c r="ALB80" s="83"/>
      <c r="ALC80" s="83"/>
      <c r="ALD80" s="83"/>
      <c r="ALE80" s="83"/>
      <c r="ALF80" s="83"/>
      <c r="ALG80" s="83"/>
      <c r="ALH80" s="83"/>
      <c r="ALI80" s="83"/>
      <c r="ALJ80" s="83"/>
      <c r="ALK80" s="83"/>
      <c r="ALL80" s="83"/>
      <c r="ALM80" s="83"/>
      <c r="ALN80" s="83"/>
      <c r="ALO80" s="83"/>
      <c r="ALP80" s="83"/>
      <c r="ALQ80" s="83"/>
      <c r="ALR80" s="83"/>
      <c r="ALS80" s="83"/>
      <c r="ALT80" s="83"/>
      <c r="ALU80" s="83"/>
      <c r="ALV80" s="83"/>
      <c r="ALW80" s="83"/>
      <c r="ALX80" s="83"/>
      <c r="ALY80" s="83"/>
      <c r="ALZ80" s="83"/>
      <c r="AMA80" s="83"/>
      <c r="AMB80" s="83"/>
      <c r="AMC80" s="83"/>
      <c r="AMD80" s="83"/>
      <c r="AME80" s="83"/>
      <c r="AMF80" s="83"/>
      <c r="AMG80" s="83"/>
      <c r="AMH80" s="83"/>
      <c r="AMI80" s="83"/>
      <c r="AMJ80" s="83"/>
    </row>
  </sheetData>
  <mergeCells count="31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27:G27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8:G28"/>
    <mergeCell ref="C29:G29"/>
    <mergeCell ref="A30:I30"/>
    <mergeCell ref="J30:K30"/>
    <mergeCell ref="A31:I31"/>
    <mergeCell ref="J31:K31"/>
  </mergeCells>
  <conditionalFormatting sqref="C14:C15">
    <cfRule type="duplicateValues" dxfId="5" priority="1"/>
    <cfRule type="duplicateValues" dxfId="4" priority="2"/>
  </conditionalFormatting>
  <conditionalFormatting sqref="C15">
    <cfRule type="duplicateValues" dxfId="3" priority="3"/>
  </conditionalFormatting>
  <conditionalFormatting sqref="C14:C15">
    <cfRule type="duplicateValues" dxfId="2" priority="4"/>
  </conditionalFormatting>
  <conditionalFormatting sqref="C14:C15">
    <cfRule type="duplicateValues" dxfId="1" priority="5"/>
  </conditionalFormatting>
  <conditionalFormatting sqref="C14:C15">
    <cfRule type="duplicateValues" dxfId="0" priority="6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7"/>
  <sheetViews>
    <sheetView workbookViewId="0">
      <selection activeCell="K18" sqref="K18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4" t="s">
        <v>2</v>
      </c>
      <c r="B1" s="294"/>
      <c r="C1" s="294"/>
      <c r="D1" s="295">
        <v>2021</v>
      </c>
      <c r="E1" s="295"/>
      <c r="F1" s="129"/>
      <c r="G1" s="129"/>
      <c r="H1" s="130"/>
      <c r="I1" s="130"/>
      <c r="J1" s="130"/>
      <c r="K1" s="130"/>
      <c r="L1" s="130"/>
      <c r="M1" s="130"/>
      <c r="N1" s="130"/>
      <c r="P1" s="296" t="s">
        <v>116</v>
      </c>
      <c r="Q1" s="296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6"/>
      <c r="Q2" s="296"/>
    </row>
    <row r="4" spans="1:17" s="132" customFormat="1" ht="18" customHeight="1" thickBot="1" x14ac:dyDescent="0.25">
      <c r="A4" s="297" t="s">
        <v>117</v>
      </c>
      <c r="B4" s="297"/>
      <c r="C4" s="297"/>
      <c r="D4" s="297"/>
      <c r="E4" s="297"/>
      <c r="F4" s="297"/>
      <c r="G4" s="284" t="s">
        <v>101</v>
      </c>
      <c r="H4" s="284"/>
      <c r="I4" s="284"/>
      <c r="J4" s="284"/>
      <c r="K4" s="284"/>
      <c r="L4" s="284"/>
      <c r="M4" s="284"/>
      <c r="N4" s="284"/>
      <c r="O4" s="284"/>
      <c r="P4" s="284"/>
      <c r="Q4" s="284"/>
    </row>
    <row r="5" spans="1:17" s="132" customFormat="1" ht="18" customHeight="1" thickBot="1" x14ac:dyDescent="0.25">
      <c r="A5" s="281" t="s">
        <v>102</v>
      </c>
      <c r="B5" s="282"/>
      <c r="C5" s="282"/>
      <c r="D5" s="282"/>
      <c r="E5" s="282"/>
      <c r="F5" s="283"/>
      <c r="G5" s="284" t="s">
        <v>118</v>
      </c>
      <c r="H5" s="284"/>
      <c r="I5" s="284"/>
      <c r="J5" s="284"/>
      <c r="K5" s="284"/>
      <c r="L5" s="284"/>
      <c r="M5" s="284"/>
      <c r="N5" s="284"/>
      <c r="O5" s="284"/>
      <c r="P5" s="284"/>
      <c r="Q5" s="284"/>
    </row>
    <row r="6" spans="1:17" s="132" customFormat="1" ht="18" customHeight="1" thickBot="1" x14ac:dyDescent="0.25">
      <c r="A6" s="281" t="s">
        <v>104</v>
      </c>
      <c r="B6" s="282"/>
      <c r="C6" s="282"/>
      <c r="D6" s="282"/>
      <c r="E6" s="282"/>
      <c r="F6" s="283"/>
      <c r="G6" s="284" t="s">
        <v>157</v>
      </c>
      <c r="H6" s="284"/>
      <c r="I6" s="284"/>
      <c r="J6" s="284"/>
      <c r="K6" s="284"/>
      <c r="L6" s="284"/>
      <c r="M6" s="284"/>
      <c r="N6" s="284"/>
      <c r="O6" s="284"/>
      <c r="P6" s="284"/>
      <c r="Q6" s="284"/>
    </row>
    <row r="7" spans="1:17" s="132" customFormat="1" ht="18" customHeight="1" thickBot="1" x14ac:dyDescent="0.25">
      <c r="A7" s="281" t="s">
        <v>105</v>
      </c>
      <c r="B7" s="282"/>
      <c r="C7" s="282"/>
      <c r="D7" s="282"/>
      <c r="E7" s="282"/>
      <c r="F7" s="283"/>
      <c r="G7" s="284" t="s">
        <v>157</v>
      </c>
      <c r="H7" s="284"/>
      <c r="I7" s="284"/>
      <c r="J7" s="284"/>
      <c r="K7" s="284"/>
      <c r="L7" s="284"/>
      <c r="M7" s="284"/>
      <c r="N7" s="284"/>
      <c r="O7" s="284"/>
      <c r="P7" s="284"/>
      <c r="Q7" s="284"/>
    </row>
    <row r="8" spans="1:17" ht="18" customHeight="1" thickBot="1" x14ac:dyDescent="0.25">
      <c r="A8" s="285" t="s">
        <v>119</v>
      </c>
      <c r="B8" s="285"/>
      <c r="C8" s="285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</row>
    <row r="9" spans="1:17" ht="18" customHeight="1" x14ac:dyDescent="0.2">
      <c r="A9" s="286" t="s">
        <v>120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133"/>
      <c r="P9" s="133"/>
      <c r="Q9" s="134"/>
    </row>
    <row r="10" spans="1:17" ht="57" customHeight="1" x14ac:dyDescent="0.2">
      <c r="A10" s="287" t="s">
        <v>154</v>
      </c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9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0" t="s">
        <v>121</v>
      </c>
      <c r="B12" s="290"/>
      <c r="C12" s="290"/>
      <c r="D12" s="290"/>
      <c r="E12" s="290"/>
      <c r="F12" s="290"/>
      <c r="G12" s="290"/>
      <c r="H12" s="290"/>
      <c r="I12" s="290"/>
      <c r="J12" s="290"/>
      <c r="K12" s="290"/>
      <c r="L12" s="290"/>
      <c r="M12" s="290"/>
      <c r="N12" s="290"/>
      <c r="O12" s="290"/>
      <c r="P12" s="290"/>
      <c r="Q12" s="290"/>
    </row>
    <row r="13" spans="1:17" ht="15.75" customHeight="1" thickBot="1" x14ac:dyDescent="0.25">
      <c r="A13" s="291" t="s">
        <v>122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291"/>
      <c r="O13" s="292" t="s">
        <v>123</v>
      </c>
      <c r="P13" s="292"/>
      <c r="Q13" s="293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2"/>
      <c r="P14" s="292"/>
      <c r="Q14" s="293"/>
    </row>
    <row r="15" spans="1:17" ht="33.75" customHeight="1" x14ac:dyDescent="0.2">
      <c r="A15" s="144">
        <v>35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79" t="s">
        <v>142</v>
      </c>
      <c r="P15" s="280"/>
      <c r="Q15" s="105">
        <f>+'Necesidades Trimestrales '!AJ52</f>
        <v>66000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0"/>
      <c r="P16" s="271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0"/>
      <c r="P17" s="271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1"/>
      <c r="P18" s="271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1"/>
      <c r="P19" s="271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1"/>
      <c r="P20" s="271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0"/>
      <c r="P21" s="270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2"/>
      <c r="P22" s="272"/>
      <c r="Q22" s="119"/>
    </row>
    <row r="23" spans="1:18" ht="36" customHeight="1" thickBot="1" x14ac:dyDescent="0.25">
      <c r="A23" s="273" t="s">
        <v>158</v>
      </c>
      <c r="B23" s="273"/>
      <c r="C23" s="273"/>
      <c r="D23" s="273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161">
        <f>SUM(Q15:Q22)</f>
        <v>66000</v>
      </c>
    </row>
    <row r="24" spans="1:18" ht="18" customHeight="1" thickBot="1" x14ac:dyDescent="0.25">
      <c r="A24" s="274"/>
      <c r="B24" s="274"/>
      <c r="C24" s="274"/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74"/>
      <c r="P24" s="274"/>
      <c r="Q24" s="274"/>
    </row>
    <row r="25" spans="1:18" ht="17.25" customHeight="1" thickBot="1" x14ac:dyDescent="0.25">
      <c r="A25" s="275" t="s">
        <v>138</v>
      </c>
      <c r="B25" s="276"/>
      <c r="C25" s="276"/>
      <c r="D25" s="276"/>
      <c r="E25" s="276"/>
      <c r="F25" s="277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8"/>
    </row>
    <row r="26" spans="1:18" ht="18" customHeight="1" thickBot="1" x14ac:dyDescent="0.25">
      <c r="A26" s="269" t="s">
        <v>143</v>
      </c>
      <c r="B26" s="269"/>
      <c r="C26" s="269"/>
      <c r="D26" s="269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</row>
    <row r="27" spans="1:18" ht="28.5" customHeight="1" thickBot="1" x14ac:dyDescent="0.25">
      <c r="A27" s="269"/>
      <c r="B27" s="269"/>
      <c r="C27" s="269"/>
      <c r="D27" s="269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14</vt:i4>
      </vt:variant>
    </vt:vector>
  </HeadingPairs>
  <TitlesOfParts>
    <vt:vector size="29" baseType="lpstr">
      <vt:lpstr>Necesidades Trimestrales </vt:lpstr>
      <vt:lpstr> NotaPedido CANCER</vt:lpstr>
      <vt:lpstr>APG CANCER</vt:lpstr>
      <vt:lpstr>NP BCO DE SANGRE</vt:lpstr>
      <vt:lpstr>APG BCO DE SANGRE</vt:lpstr>
      <vt:lpstr>NP BCO DE FARMACIA</vt:lpstr>
      <vt:lpstr>APG FARMACIA </vt:lpstr>
      <vt:lpstr> NotaPedido ODONTOLOGIA</vt:lpstr>
      <vt:lpstr>APG ODONTOLOGIA</vt:lpstr>
      <vt:lpstr> NotaPedido SAME</vt:lpstr>
      <vt:lpstr>APG SAME</vt:lpstr>
      <vt:lpstr> NotaPedido materno</vt:lpstr>
      <vt:lpstr>APG materno</vt:lpstr>
      <vt:lpstr> NotaPedido CUR</vt:lpstr>
      <vt:lpstr>APG CUR</vt:lpstr>
      <vt:lpstr>' NotaPedido CANCER'!Área_de_impresión</vt:lpstr>
      <vt:lpstr>' NotaPedido CUR'!Área_de_impresión</vt:lpstr>
      <vt:lpstr>' NotaPedido materno'!Área_de_impresión</vt:lpstr>
      <vt:lpstr>' NotaPedido ODONTOLOGIA'!Área_de_impresión</vt:lpstr>
      <vt:lpstr>' NotaPedido SAME'!Área_de_impresión</vt:lpstr>
      <vt:lpstr>'APG BCO DE SANGRE'!Área_de_impresión</vt:lpstr>
      <vt:lpstr>'APG CANCER'!Área_de_impresión</vt:lpstr>
      <vt:lpstr>'APG CUR'!Área_de_impresión</vt:lpstr>
      <vt:lpstr>'APG FARMACIA '!Área_de_impresión</vt:lpstr>
      <vt:lpstr>'APG materno'!Área_de_impresión</vt:lpstr>
      <vt:lpstr>'APG ODONTOLOGIA'!Área_de_impresión</vt:lpstr>
      <vt:lpstr>'APG SAME'!Área_de_impresión</vt:lpstr>
      <vt:lpstr>'NP BCO DE FARMACIA'!Área_de_impresión</vt:lpstr>
      <vt:lpstr>'NP BCO DE SANGRE'!Área_de_impresión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2021-02-22T15:06:37Z</cp:lastPrinted>
  <dcterms:created xsi:type="dcterms:W3CDTF">2020-07-17T23:44:49Z</dcterms:created>
  <dcterms:modified xsi:type="dcterms:W3CDTF">2021-08-13T12:47:27Z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