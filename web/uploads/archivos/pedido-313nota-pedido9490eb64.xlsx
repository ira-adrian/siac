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LICITACION6\Users\Public\backup_licitacion\PROGRAMACION SEGUNDO TRIMESTRE 2021\FARMACIA\DESCARTABLES\SUTURAS\"/>
    </mc:Choice>
  </mc:AlternateContent>
  <bookViews>
    <workbookView xWindow="0" yWindow="0" windowWidth="20490" windowHeight="7755" tabRatio="500" activeTab="2"/>
  </bookViews>
  <sheets>
    <sheet name="Necesidades Trimestrales" sheetId="1" r:id="rId1"/>
    <sheet name="NotaPedido" sheetId="2" r:id="rId2"/>
    <sheet name="Autor Gastar" sheetId="3" r:id="rId3"/>
  </sheets>
  <definedNames>
    <definedName name="_xlnm.Print_Area" localSheetId="2">'Autor Gastar'!$A$1:$Q$27</definedName>
    <definedName name="_xlnm.Print_Area" localSheetId="1">NotaPedido!$A$1:$K$35</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13" i="2" l="1"/>
  <c r="K14" i="2"/>
  <c r="K15" i="2"/>
  <c r="K16" i="2"/>
  <c r="K17" i="2"/>
  <c r="K18" i="2"/>
  <c r="K19" i="2"/>
  <c r="K20" i="2"/>
  <c r="K21" i="2"/>
  <c r="K22" i="2"/>
  <c r="K23" i="2"/>
  <c r="K24" i="2"/>
  <c r="K25" i="2"/>
  <c r="J13" i="2"/>
  <c r="J14" i="2"/>
  <c r="J15" i="2"/>
  <c r="J16" i="2"/>
  <c r="J17" i="2"/>
  <c r="J18" i="2"/>
  <c r="I13" i="2"/>
  <c r="I14" i="2"/>
  <c r="I15" i="2"/>
  <c r="I16" i="2"/>
  <c r="C13" i="2"/>
  <c r="C14" i="2"/>
  <c r="C15" i="2"/>
  <c r="C16" i="2"/>
  <c r="C17" i="2"/>
  <c r="C18" i="2"/>
  <c r="C19" i="2"/>
  <c r="C20" i="2"/>
  <c r="I11" i="1"/>
  <c r="I12" i="1"/>
  <c r="B17" i="2" l="1"/>
  <c r="B18" i="2"/>
  <c r="B19" i="2"/>
  <c r="B20" i="2"/>
  <c r="B21" i="2"/>
  <c r="B22" i="2"/>
  <c r="B23" i="2"/>
  <c r="B24" i="2"/>
  <c r="B25" i="2"/>
  <c r="B26" i="2"/>
  <c r="B27" i="2"/>
  <c r="B28" i="2"/>
  <c r="B29" i="2"/>
  <c r="B30" i="2"/>
  <c r="B31" i="2"/>
  <c r="B32" i="2"/>
  <c r="B33" i="2"/>
  <c r="B34" i="2"/>
  <c r="K26" i="2"/>
  <c r="K27" i="2"/>
  <c r="K28" i="2"/>
  <c r="K29" i="2"/>
  <c r="K30" i="2"/>
  <c r="K31" i="2"/>
  <c r="K32" i="2"/>
  <c r="K33" i="2"/>
  <c r="K34" i="2"/>
  <c r="C21" i="2"/>
  <c r="C22" i="2"/>
  <c r="C23" i="2"/>
  <c r="C24" i="2"/>
  <c r="C25" i="2"/>
  <c r="C26" i="2"/>
  <c r="C27" i="2"/>
  <c r="C28" i="2"/>
  <c r="C29" i="2"/>
  <c r="C30" i="2"/>
  <c r="C31" i="2"/>
  <c r="C32" i="2"/>
  <c r="C33" i="2"/>
  <c r="C34" i="2"/>
  <c r="J20" i="2"/>
  <c r="J21" i="2"/>
  <c r="J22" i="2"/>
  <c r="J23" i="2"/>
  <c r="J24" i="2"/>
  <c r="J25" i="2"/>
  <c r="J26" i="2"/>
  <c r="J27" i="2"/>
  <c r="J28" i="2"/>
  <c r="J29" i="2"/>
  <c r="J30" i="2"/>
  <c r="J31" i="2"/>
  <c r="J32" i="2"/>
  <c r="J33" i="2"/>
  <c r="J34" i="2"/>
  <c r="I19" i="2"/>
  <c r="I20" i="2"/>
  <c r="I21" i="2"/>
  <c r="I22" i="2"/>
  <c r="I23" i="2"/>
  <c r="I24" i="2"/>
  <c r="I25" i="2"/>
  <c r="I26" i="2"/>
  <c r="I27" i="2"/>
  <c r="I28" i="2"/>
  <c r="I29" i="2"/>
  <c r="I30" i="2"/>
  <c r="I31" i="2"/>
  <c r="I32" i="2"/>
  <c r="I33" i="2"/>
  <c r="I34" i="2"/>
  <c r="A26" i="3"/>
  <c r="A10" i="3"/>
  <c r="J19" i="2"/>
  <c r="I18" i="2"/>
  <c r="I17" i="2"/>
  <c r="B16" i="2"/>
  <c r="B15" i="2"/>
  <c r="K12" i="2"/>
  <c r="J12" i="2"/>
  <c r="I12" i="2"/>
  <c r="C12" i="2"/>
  <c r="B12" i="2"/>
  <c r="I32" i="1"/>
  <c r="I31" i="1"/>
  <c r="I30" i="1"/>
  <c r="I29" i="1"/>
  <c r="I28" i="1"/>
  <c r="I27" i="1"/>
  <c r="I26" i="1"/>
  <c r="I25" i="1"/>
  <c r="I24" i="1"/>
  <c r="I23" i="1"/>
  <c r="I22" i="1"/>
  <c r="I21" i="1"/>
  <c r="I20" i="1"/>
  <c r="I19" i="1"/>
  <c r="I18" i="1"/>
  <c r="I17" i="1"/>
  <c r="I16" i="1"/>
  <c r="I15" i="1"/>
  <c r="I14" i="1"/>
  <c r="I13" i="1"/>
  <c r="I10" i="1"/>
  <c r="J35" i="2" l="1"/>
  <c r="G6" i="3" l="1"/>
  <c r="G7" i="3"/>
  <c r="D7" i="2"/>
  <c r="D3" i="2"/>
  <c r="G4" i="3" s="1"/>
  <c r="D4" i="2"/>
  <c r="G5" i="3" s="1"/>
  <c r="D1" i="3" l="1"/>
  <c r="Q23" i="3"/>
</calcChain>
</file>

<file path=xl/sharedStrings.xml><?xml version="1.0" encoding="utf-8"?>
<sst xmlns="http://schemas.openxmlformats.org/spreadsheetml/2006/main" count="192" uniqueCount="99">
  <si>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</si>
  <si>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</si>
  <si>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</si>
  <si>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</si>
  <si>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</si>
  <si>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</si>
  <si>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</si>
  <si>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</si>
  <si>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</si>
  <si>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</si>
  <si>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</si>
  <si>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</si>
  <si>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</si>
  <si>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</si>
  <si>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</si>
  <si>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</si>
  <si>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</si>
  <si>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</si>
  <si>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</si>
  <si>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</si>
  <si>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</si>
  <si>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</si>
  <si>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</si>
  <si>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</si>
  <si>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</si>
  <si>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</si>
  <si>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</si>
  <si>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</si>
  <si>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</si>
  <si>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</si>
  <si>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</si>
  <si>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</si>
  <si>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</si>
  <si>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</si>
  <si>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</si>
  <si>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</si>
  <si>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</si>
  <si>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</si>
  <si>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</si>
  <si>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</si>
  <si>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</si>
  <si>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</si>
  <si>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</si>
  <si>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</si>
  <si>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</si>
  <si>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</si>
  <si>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</si>
  <si>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</si>
  <si>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</si>
  <si>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</si>
  <si>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</si>
  <si>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</si>
  <si>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</si>
  <si>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</si>
  <si>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</si>
  <si>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</si>
  <si>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</si>
  <si>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NO</t>
  </si>
  <si>
    <t>40 - Ministerio de Salud</t>
  </si>
  <si>
    <t>23 - Hospital Interzonal San Juan Bautista</t>
  </si>
  <si>
    <t>168 - Direccion Asistencial</t>
  </si>
  <si>
    <t>Servicio de Farmacia</t>
  </si>
  <si>
    <t xml:space="preserve">45 dias habiles </t>
  </si>
  <si>
    <t>3.1</t>
  </si>
  <si>
    <t>1.1</t>
  </si>
  <si>
    <t>Utiles Menores Med. Quir. y de Lab.</t>
  </si>
  <si>
    <t xml:space="preserve">Adquisición de Suturas para Farmacia </t>
  </si>
  <si>
    <t>029 - 2021</t>
  </si>
  <si>
    <t>HILO DE SUTURA CATGUT  CROMICO Nº0</t>
  </si>
  <si>
    <t>HILO DE SUTURA CATGUT CROMICO Nro 1 CON AGUJA TIPO TAGUM</t>
  </si>
  <si>
    <t>HILO DE SUTURA CATGUT CROMICO Nro 2 CON AGUJA TIPO TAGUM</t>
  </si>
  <si>
    <t>HILO DE SUTURA MONOFILAMENTO 4-0 AGUJA PS-1 3/8 CIRC 24 MM</t>
  </si>
  <si>
    <t>SUT.ABS.CATGUT  SIMP. 1  SIN AGUJA</t>
  </si>
  <si>
    <t>SUT.ABS.CATGUT SIMP.  0 SIN AGUJA</t>
  </si>
  <si>
    <t>SUT.ABS.CATGUT SIMP. 2  SIN AGUJA</t>
  </si>
  <si>
    <t>SUT.N/ABS.MONONYLON 10-0 (OFTAL.)X 1 UNID.</t>
  </si>
  <si>
    <t xml:space="preserve">SUTURA QUIRURGICA ACIDO POLIGLICOLICO Nª 8/0 J546G OFTALMOLOGICO TIPO VICRYL </t>
  </si>
  <si>
    <t xml:space="preserve">SUTURA QUIRURGICA ACIDO POLIGLICOLICO TRENZADA ABSROBIBLE TIPO VICRYL  1/0 J 347 H x uds   </t>
  </si>
  <si>
    <t>SUTURA QUIRURGICA ACIDO POLIGLICOLICO TRENZADA ABSROBIBLE TIPO VICRYL  2/0 J 356 c/a x uds</t>
  </si>
  <si>
    <t>SUTURA QUIRURGICA ACIDO POLIGLICOLICO TRENZADA ABSROBIBLE TIPO VICRYL  3/0 DOBLE AGUJA 8842H</t>
  </si>
  <si>
    <t>SUTURA QUIRURGICA ACIDO POLIGLICOLICO TRENZADA ABSROBIBLE TIPO VICRYL 0 J340H CON AGUJA</t>
  </si>
  <si>
    <t>SUTURA QUIRURGICA POLIPROPILENO NO ABSORBIBLE TIPO PROLENE 0 CT8424</t>
  </si>
  <si>
    <t>SUTURA QUIRURGICA POLIPROPILENO NO ABSORBIBLE TIPO PROLENE 2/0 8185</t>
  </si>
  <si>
    <t>SUTURA QUIRURGICA POLIPROPILENO NO ABSORBIBLE TIPO PROLENE 2/0 con aguja recta 8623</t>
  </si>
  <si>
    <t>SUTURA QUIRURGICA POLIPROPILENO NO ABSORBIBLE TIPO PROLENE 3/0  8622 Con aguja recta</t>
  </si>
  <si>
    <t>SUTURA QUIRURGICA POLIPROPILENO NO ABSORBIBLE TIPO PROLENE 3/0 8522 AGUJA CURVA</t>
  </si>
  <si>
    <t>SUTURA QUIRURGICA POLIPROPILENO NO ABSORBIBLE TIPO PROLENE 4/0 8521 PM</t>
  </si>
  <si>
    <t xml:space="preserve">SUTURA QUIRURGICA POLIPROPILENO NO ABSORBIBLE TIPO PROLENE 6/0 8706 DOBLE AGUJA </t>
  </si>
  <si>
    <t xml:space="preserve">SUTURA QUIRURGICA POLIPROPILENO NO ABSORBIBLE TIPO PROLENE 7/0 8727 </t>
  </si>
  <si>
    <t>2.9.5</t>
  </si>
  <si>
    <t>Ut. Menor. Med. Quirurg. Y de Laborat.</t>
  </si>
  <si>
    <t>UNIDAD</t>
  </si>
  <si>
    <t xml:space="preserve">10 dias - Servicio de Farmacia del HISJB - Avda. Illia y Mariano Moreno </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</si>
  <si>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</si>
  <si>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HILO DE LINO N° 20</t>
  </si>
  <si>
    <t xml:space="preserve">HILO DE LINO N° 30 </t>
  </si>
  <si>
    <t xml:space="preserve">Hilo de Nilo N° 20 - para ser incorporado en el catalogo </t>
  </si>
  <si>
    <t>Costo total estimado: SEIS MILLONES DOCE MIL SETECIENTOS OCHENTA Y CINCO CON 28/100.-</t>
  </si>
  <si>
    <t>TOTAL DE PESOS: SEIS MILLONES DOCE MIL SETECIENTOS OCHENTA Y CINCO CON 28/100.---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</si>
</sst>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00_);_(\$* \(#,##0.00\);_(\$* \-??_);_(@_)"/>
    <numFmt numFmtId="165" formatCode="_-* #,##0.00&quot; €&quot;_-;\-* #,##0.00&quot; €&quot;_-;_-* \-??&quot; €&quot;_-;_-@_-"/>
    <numFmt numFmtId="166" formatCode="[$$-2C0A]\ #,##0.00;[$$-2C0A]&quot; -&quot;#,##0.00"/>
    <numFmt numFmtId="167" formatCode="[$$-2C0A]\ #,##0.00"/>
    <numFmt numFmtId="168" formatCode="dd\-mm\-yy;@"/>
    <numFmt numFmtId="169" formatCode="&quot;$&quot;\ #,##0.00"/>
  </numFmts>
  <fonts count="29" x14ac:knownFonts="1">
    <font>
      <sz val="10"/>
      <name val="Arial"/>
      <charset val="1"/>
    </font>
    <font>
      <sz val="11"/>
      <color theme="1"/>
      <name val="Calibri"/>
      <family val="2"/>
      <scheme val="minor"/>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9"/>
      <name val="Arial"/>
      <family val="2"/>
    </font>
    <font>
      <sz val="10"/>
      <color theme="1"/>
      <name val="Arial"/>
      <family val="2"/>
    </font>
    <font>
      <sz val="11"/>
      <color theme="1"/>
      <name val="Arial"/>
      <family val="2"/>
    </font>
    <font>
      <b/>
      <sz val="8"/>
      <name val="Arial"/>
      <family val="2"/>
      <charset val="1"/>
    </font>
  </fonts>
  <fills count="6">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rgb="FFFFFF00"/>
      </patternFill>
    </fill>
    <fill>
      <patternFill patternType="solid">
        <fgColor theme="0"/>
        <bgColor indexed="64"/>
      </patternFill>
    </fill>
  </fills>
  <borders count="50">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165" fontId="15" fillId="0" borderId="0" applyBorder="0" applyProtection="0"/>
    <xf numFmtId="0" fontId="2" fillId="0" borderId="1" applyProtection="0"/>
    <xf numFmtId="164" fontId="3" fillId="0" borderId="0" applyBorder="0" applyProtection="0"/>
    <xf numFmtId="0" fontId="4" fillId="2" borderId="0" applyBorder="0" applyProtection="0"/>
    <xf numFmtId="0" fontId="1" fillId="0" borderId="0"/>
    <xf numFmtId="0" fontId="15" fillId="0" borderId="0"/>
  </cellStyleXfs>
  <cellXfs count="136">
    <xf numFmtId="0" fontId="0" fillId="0" borderId="0" xfId="0"/>
    <xf numFmtId="0" fontId="0" fillId="0" borderId="0" xfId="0" applyBorder="1"/>
    <xf numFmtId="0" fontId="3" fillId="0" borderId="0" xfId="0" applyFont="1" applyBorder="1" applyAlignment="1">
      <alignment vertical="center"/>
    </xf>
    <xf numFmtId="0" fontId="6" fillId="0" borderId="10" xfId="0" applyFont="1" applyBorder="1" applyAlignment="1">
      <alignment horizontal="right" vertical="center"/>
    </xf>
    <xf numFmtId="0" fontId="6" fillId="0" borderId="12" xfId="0" applyFont="1" applyBorder="1" applyAlignment="1">
      <alignment vertical="center"/>
    </xf>
    <xf numFmtId="0" fontId="6" fillId="0" borderId="0" xfId="0" applyFont="1" applyBorder="1" applyAlignment="1">
      <alignment vertical="center"/>
    </xf>
    <xf numFmtId="0" fontId="8" fillId="0" borderId="0" xfId="0" applyFont="1" applyBorder="1" applyAlignment="1">
      <alignment horizontal="left" vertical="center"/>
    </xf>
    <xf numFmtId="0" fontId="7" fillId="0" borderId="0" xfId="0" applyFont="1" applyBorder="1" applyAlignment="1">
      <alignment horizontal="left" vertical="center" wrapText="1" indent="1"/>
    </xf>
    <xf numFmtId="0" fontId="5" fillId="0" borderId="19" xfId="0"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3" fillId="0" borderId="0" xfId="0" applyFont="1"/>
    <xf numFmtId="0" fontId="0" fillId="0" borderId="10" xfId="0" applyBorder="1"/>
    <xf numFmtId="0" fontId="0" fillId="0" borderId="25" xfId="0" applyBorder="1"/>
    <xf numFmtId="0" fontId="0" fillId="0" borderId="12" xfId="0" applyBorder="1"/>
    <xf numFmtId="0" fontId="0" fillId="0" borderId="12" xfId="0" applyBorder="1" applyAlignment="1">
      <alignment horizontal="left"/>
    </xf>
    <xf numFmtId="0" fontId="0" fillId="0" borderId="26" xfId="0" applyBorder="1"/>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29" xfId="0" applyFont="1" applyBorder="1" applyAlignment="1">
      <alignment horizontal="left" vertical="center"/>
    </xf>
    <xf numFmtId="0" fontId="14" fillId="0" borderId="30" xfId="0" applyFont="1" applyBorder="1" applyAlignment="1">
      <alignment horizontal="center" vertical="center"/>
    </xf>
    <xf numFmtId="0" fontId="14" fillId="0" borderId="24" xfId="0" applyFont="1" applyBorder="1" applyAlignment="1">
      <alignment horizontal="center" vertical="center"/>
    </xf>
    <xf numFmtId="166" fontId="0" fillId="0" borderId="34" xfId="3" applyNumberFormat="1" applyFont="1" applyBorder="1" applyAlignment="1" applyProtection="1">
      <alignment horizontal="center" vertical="center"/>
    </xf>
    <xf numFmtId="0" fontId="0" fillId="0" borderId="35"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166" fontId="0" fillId="0" borderId="39" xfId="3" applyNumberFormat="1" applyFont="1" applyBorder="1" applyAlignment="1" applyProtection="1">
      <alignment horizontal="center" vertical="center"/>
    </xf>
    <xf numFmtId="0" fontId="12" fillId="0" borderId="35" xfId="0" applyFont="1" applyBorder="1" applyAlignment="1">
      <alignment horizontal="center" vertical="center"/>
    </xf>
    <xf numFmtId="0" fontId="12" fillId="0" borderId="36" xfId="0" applyFont="1" applyBorder="1" applyAlignment="1">
      <alignment horizontal="center" vertical="center"/>
    </xf>
    <xf numFmtId="0" fontId="0" fillId="0" borderId="38" xfId="0" applyBorder="1" applyAlignment="1">
      <alignment horizontal="center" vertical="center"/>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166" fontId="0" fillId="0" borderId="43" xfId="3" applyNumberFormat="1" applyFont="1" applyBorder="1" applyAlignment="1" applyProtection="1">
      <alignment horizontal="center" vertical="center"/>
    </xf>
    <xf numFmtId="166" fontId="14" fillId="0" borderId="44" xfId="0" applyNumberFormat="1" applyFont="1" applyBorder="1" applyAlignment="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3" fillId="0" borderId="2" xfId="0" applyFont="1" applyBorder="1"/>
    <xf numFmtId="0" fontId="16" fillId="0" borderId="3" xfId="0" applyFont="1" applyBorder="1"/>
    <xf numFmtId="0" fontId="16" fillId="0" borderId="4" xfId="0" applyFont="1" applyBorder="1"/>
    <xf numFmtId="0" fontId="16" fillId="0" borderId="5" xfId="0" applyFont="1" applyBorder="1"/>
    <xf numFmtId="0" fontId="16" fillId="0" borderId="0" xfId="0" applyFont="1" applyBorder="1"/>
    <xf numFmtId="0" fontId="16" fillId="0" borderId="6" xfId="0" applyFont="1" applyBorder="1"/>
    <xf numFmtId="0" fontId="23" fillId="0" borderId="5" xfId="0" applyFont="1" applyBorder="1" applyAlignment="1">
      <alignment horizontal="left" indent="3"/>
    </xf>
    <xf numFmtId="0" fontId="16" fillId="0" borderId="5" xfId="0" applyFont="1" applyBorder="1" applyAlignment="1">
      <alignment horizontal="left" indent="3"/>
    </xf>
    <xf numFmtId="0" fontId="16" fillId="0" borderId="0" xfId="0" applyFont="1" applyBorder="1" applyAlignment="1">
      <alignment horizontal="center" wrapText="1"/>
    </xf>
    <xf numFmtId="0" fontId="16" fillId="0" borderId="6" xfId="0" applyFont="1" applyBorder="1" applyAlignment="1">
      <alignment horizontal="center" wrapText="1"/>
    </xf>
    <xf numFmtId="0" fontId="16" fillId="0" borderId="7" xfId="0" applyFont="1" applyBorder="1" applyAlignment="1">
      <alignment horizontal="left" indent="3"/>
    </xf>
    <xf numFmtId="0" fontId="16" fillId="0" borderId="8" xfId="0" applyFont="1" applyBorder="1"/>
    <xf numFmtId="0" fontId="16" fillId="0" borderId="9" xfId="0" applyFont="1" applyBorder="1"/>
    <xf numFmtId="0" fontId="20" fillId="0" borderId="14" xfId="0" applyFont="1" applyBorder="1" applyAlignment="1">
      <alignment horizontal="center" vertical="center" wrapText="1"/>
    </xf>
    <xf numFmtId="0" fontId="21" fillId="0" borderId="14" xfId="0" applyFont="1" applyBorder="1" applyAlignment="1">
      <alignment horizontal="center" vertical="center"/>
    </xf>
    <xf numFmtId="0" fontId="22" fillId="0" borderId="14" xfId="0" applyFont="1" applyBorder="1" applyAlignment="1">
      <alignment horizontal="left" vertical="center" wrapText="1"/>
    </xf>
    <xf numFmtId="0" fontId="22" fillId="0" borderId="14" xfId="0" applyFont="1" applyBorder="1" applyAlignment="1">
      <alignment horizontal="center" vertical="center" wrapText="1"/>
    </xf>
    <xf numFmtId="0" fontId="22" fillId="4" borderId="14" xfId="0" applyFont="1" applyFill="1" applyBorder="1" applyAlignment="1">
      <alignment horizontal="center" vertical="center" wrapText="1"/>
    </xf>
    <xf numFmtId="166" fontId="21" fillId="4" borderId="14" xfId="1" applyNumberFormat="1" applyFont="1" applyFill="1" applyBorder="1" applyAlignment="1" applyProtection="1">
      <alignment horizontal="right" vertical="center" wrapText="1"/>
    </xf>
    <xf numFmtId="0" fontId="24" fillId="4" borderId="0" xfId="0" applyFont="1" applyFill="1" applyAlignment="1">
      <alignment horizontal="left" wrapText="1" indent="1"/>
    </xf>
    <xf numFmtId="0" fontId="20" fillId="5" borderId="0" xfId="0" applyFont="1" applyFill="1" applyAlignment="1">
      <alignment horizontal="left" wrapText="1"/>
    </xf>
    <xf numFmtId="0" fontId="7" fillId="4" borderId="11" xfId="0" applyFont="1" applyFill="1" applyBorder="1" applyAlignment="1">
      <alignment horizontal="center" vertical="center"/>
    </xf>
    <xf numFmtId="0" fontId="5" fillId="5" borderId="19" xfId="0" applyFont="1" applyFill="1" applyBorder="1" applyAlignment="1">
      <alignment horizontal="left" vertical="center"/>
    </xf>
    <xf numFmtId="0" fontId="5" fillId="4" borderId="19" xfId="0" applyFont="1" applyFill="1" applyBorder="1" applyAlignment="1">
      <alignment horizontal="center" vertical="center"/>
    </xf>
    <xf numFmtId="0" fontId="5" fillId="5" borderId="19" xfId="0" applyFont="1" applyFill="1" applyBorder="1" applyAlignment="1">
      <alignment horizontal="center" vertical="center" wrapText="1"/>
    </xf>
    <xf numFmtId="166" fontId="5" fillId="5" borderId="19" xfId="1" applyNumberFormat="1" applyFont="1" applyFill="1" applyBorder="1" applyAlignment="1" applyProtection="1">
      <alignment horizontal="right" vertical="center" wrapText="1"/>
    </xf>
    <xf numFmtId="3" fontId="5" fillId="5" borderId="19" xfId="0" applyNumberFormat="1" applyFont="1" applyFill="1" applyBorder="1" applyAlignment="1">
      <alignment horizontal="center" vertical="center"/>
    </xf>
    <xf numFmtId="0" fontId="15" fillId="0" borderId="36" xfId="0" applyFont="1" applyBorder="1" applyAlignment="1">
      <alignment horizontal="center" vertical="center"/>
    </xf>
    <xf numFmtId="0" fontId="15" fillId="0" borderId="38" xfId="0" applyFont="1" applyBorder="1" applyAlignment="1">
      <alignment horizontal="center" vertical="center"/>
    </xf>
    <xf numFmtId="0" fontId="0" fillId="4" borderId="31" xfId="0" applyFont="1" applyFill="1" applyBorder="1" applyAlignment="1">
      <alignment horizontal="center" vertical="center"/>
    </xf>
    <xf numFmtId="0" fontId="0" fillId="4" borderId="32" xfId="0" applyFont="1" applyFill="1" applyBorder="1" applyAlignment="1">
      <alignment horizontal="center" vertical="center"/>
    </xf>
    <xf numFmtId="0" fontId="15" fillId="4" borderId="32" xfId="0" applyFont="1" applyFill="1" applyBorder="1" applyAlignment="1">
      <alignment horizontal="center" vertical="center"/>
    </xf>
    <xf numFmtId="0" fontId="0" fillId="5" borderId="32" xfId="0" applyFont="1" applyFill="1" applyBorder="1" applyAlignment="1">
      <alignment horizontal="center" vertical="center"/>
    </xf>
    <xf numFmtId="0" fontId="0" fillId="4" borderId="33" xfId="0" applyFont="1" applyFill="1" applyBorder="1" applyAlignment="1">
      <alignment horizontal="center" vertical="center"/>
    </xf>
    <xf numFmtId="166" fontId="0" fillId="0" borderId="0" xfId="0" applyNumberFormat="1"/>
    <xf numFmtId="0" fontId="15" fillId="5" borderId="48" xfId="5" applyNumberFormat="1" applyFont="1" applyFill="1" applyBorder="1" applyAlignment="1">
      <alignment horizontal="left" vertical="center"/>
    </xf>
    <xf numFmtId="0" fontId="26" fillId="5" borderId="48" xfId="0" applyFont="1" applyFill="1" applyBorder="1" applyAlignment="1">
      <alignment vertical="center"/>
    </xf>
    <xf numFmtId="0" fontId="26" fillId="5" borderId="48" xfId="6" applyNumberFormat="1" applyFont="1" applyFill="1" applyBorder="1" applyAlignment="1">
      <alignment vertical="center" wrapText="1"/>
    </xf>
    <xf numFmtId="0" fontId="15" fillId="5" borderId="49" xfId="5" applyNumberFormat="1" applyFont="1" applyFill="1" applyBorder="1" applyAlignment="1">
      <alignment horizontal="left" vertical="center"/>
    </xf>
    <xf numFmtId="0" fontId="26" fillId="5" borderId="49" xfId="0" applyFont="1" applyFill="1" applyBorder="1" applyAlignment="1">
      <alignment vertical="center"/>
    </xf>
    <xf numFmtId="0" fontId="26" fillId="5" borderId="49" xfId="0" applyFont="1" applyFill="1" applyBorder="1" applyAlignment="1">
      <alignment horizontal="left" vertical="center"/>
    </xf>
    <xf numFmtId="0" fontId="15" fillId="5" borderId="49" xfId="5" applyNumberFormat="1" applyFont="1" applyFill="1" applyBorder="1" applyAlignment="1">
      <alignment horizontal="left" vertical="center" wrapText="1"/>
    </xf>
    <xf numFmtId="0" fontId="26" fillId="5" borderId="49" xfId="0" applyFont="1" applyFill="1" applyBorder="1" applyAlignment="1">
      <alignment vertical="center" wrapText="1"/>
    </xf>
    <xf numFmtId="0" fontId="27" fillId="5" borderId="14" xfId="0" applyFont="1" applyFill="1" applyBorder="1" applyAlignment="1">
      <alignment horizontal="center" vertical="center"/>
    </xf>
    <xf numFmtId="169" fontId="27" fillId="5" borderId="14" xfId="0" applyNumberFormat="1" applyFont="1" applyFill="1" applyBorder="1" applyAlignment="1">
      <alignment horizontal="center" vertical="center"/>
    </xf>
    <xf numFmtId="0" fontId="16" fillId="3" borderId="6" xfId="0" applyFont="1" applyFill="1" applyBorder="1" applyAlignment="1">
      <alignment horizontal="center" wrapText="1"/>
    </xf>
    <xf numFmtId="0" fontId="16" fillId="4" borderId="6" xfId="0" applyFont="1" applyFill="1" applyBorder="1" applyAlignment="1">
      <alignment horizontal="left" wrapText="1"/>
    </xf>
    <xf numFmtId="0" fontId="16" fillId="3" borderId="6" xfId="0" applyFont="1" applyFill="1" applyBorder="1" applyAlignment="1">
      <alignment horizontal="center"/>
    </xf>
    <xf numFmtId="0" fontId="18" fillId="0" borderId="0" xfId="0" applyFont="1" applyBorder="1" applyAlignment="1">
      <alignment horizontal="left" vertical="center" wrapText="1"/>
    </xf>
    <xf numFmtId="0" fontId="16" fillId="4" borderId="6" xfId="0" applyFont="1" applyFill="1" applyBorder="1" applyAlignment="1">
      <alignment horizontal="left"/>
    </xf>
    <xf numFmtId="0" fontId="16" fillId="4" borderId="6" xfId="0" applyFont="1" applyFill="1" applyBorder="1" applyAlignment="1">
      <alignment horizontal="center"/>
    </xf>
    <xf numFmtId="0" fontId="17" fillId="0" borderId="0" xfId="0" applyFont="1" applyBorder="1" applyAlignment="1">
      <alignment horizontal="center"/>
    </xf>
    <xf numFmtId="0" fontId="24" fillId="4" borderId="0" xfId="0" applyFont="1" applyFill="1" applyBorder="1" applyAlignment="1">
      <alignment horizontal="left" wrapText="1" indent="1"/>
    </xf>
    <xf numFmtId="0" fontId="5" fillId="5" borderId="19" xfId="0" applyFont="1" applyFill="1" applyBorder="1" applyAlignment="1">
      <alignment horizontal="left" vertical="center" wrapText="1"/>
    </xf>
    <xf numFmtId="167" fontId="8" fillId="0" borderId="14" xfId="0" applyNumberFormat="1" applyFont="1" applyBorder="1" applyAlignment="1">
      <alignment horizontal="center" vertical="center"/>
    </xf>
    <xf numFmtId="0" fontId="8" fillId="0" borderId="16" xfId="0" applyFont="1" applyBorder="1" applyAlignment="1">
      <alignment horizontal="left" vertical="center"/>
    </xf>
    <xf numFmtId="0" fontId="7" fillId="4" borderId="17" xfId="0" applyFont="1" applyFill="1" applyBorder="1" applyAlignment="1">
      <alignment horizontal="left" vertical="center" wrapText="1" indent="1"/>
    </xf>
    <xf numFmtId="0" fontId="9" fillId="0" borderId="16" xfId="0" applyFont="1" applyBorder="1" applyAlignment="1">
      <alignment horizontal="center" vertical="center"/>
    </xf>
    <xf numFmtId="0" fontId="9" fillId="0" borderId="18" xfId="0" applyFont="1" applyBorder="1" applyAlignment="1">
      <alignment horizontal="center" vertical="center" wrapText="1"/>
    </xf>
    <xf numFmtId="0" fontId="9" fillId="0" borderId="17" xfId="0" applyFont="1" applyBorder="1" applyAlignment="1">
      <alignment horizontal="center" vertical="center" wrapText="1"/>
    </xf>
    <xf numFmtId="0" fontId="7" fillId="0" borderId="14" xfId="0" applyFont="1" applyBorder="1" applyAlignment="1">
      <alignment horizontal="left" vertical="center" wrapText="1" indent="1"/>
    </xf>
    <xf numFmtId="0" fontId="6" fillId="0" borderId="0" xfId="0" applyFont="1" applyBorder="1" applyAlignment="1">
      <alignment horizontal="center" vertical="center"/>
    </xf>
    <xf numFmtId="0" fontId="8" fillId="0" borderId="13" xfId="0" applyFont="1" applyBorder="1" applyAlignment="1">
      <alignment horizontal="left" vertical="center" wrapText="1"/>
    </xf>
    <xf numFmtId="0" fontId="7" fillId="5" borderId="14" xfId="0" applyFont="1" applyFill="1" applyBorder="1" applyAlignment="1">
      <alignment horizontal="left" vertical="center" wrapText="1" indent="1"/>
    </xf>
    <xf numFmtId="0" fontId="8" fillId="0" borderId="15" xfId="0" applyFont="1" applyBorder="1" applyAlignment="1">
      <alignment horizontal="left" vertical="center" wrapText="1"/>
    </xf>
    <xf numFmtId="0" fontId="10" fillId="0" borderId="20" xfId="0" applyFont="1" applyBorder="1" applyAlignment="1">
      <alignment vertical="center" wrapText="1"/>
    </xf>
    <xf numFmtId="0" fontId="10" fillId="0" borderId="45" xfId="0" applyFont="1" applyBorder="1" applyAlignment="1">
      <alignment vertical="center" wrapText="1"/>
    </xf>
    <xf numFmtId="0" fontId="10" fillId="0" borderId="17" xfId="0" applyFont="1" applyBorder="1" applyAlignment="1">
      <alignment vertical="center" wrapText="1"/>
    </xf>
    <xf numFmtId="0" fontId="12" fillId="0" borderId="27" xfId="0" applyFont="1" applyBorder="1" applyAlignment="1">
      <alignment vertical="center" wrapText="1"/>
    </xf>
    <xf numFmtId="0" fontId="12" fillId="4" borderId="44" xfId="0" applyFont="1" applyFill="1" applyBorder="1" applyAlignment="1">
      <alignment horizontal="left" vertical="center" wrapText="1" indent="1"/>
    </xf>
    <xf numFmtId="0" fontId="0" fillId="0" borderId="38" xfId="0" applyFont="1" applyBorder="1" applyAlignment="1">
      <alignment horizontal="left" vertical="center"/>
    </xf>
    <xf numFmtId="0" fontId="0" fillId="0" borderId="38" xfId="0" applyBorder="1" applyAlignment="1">
      <alignment horizontal="left" vertical="center"/>
    </xf>
    <xf numFmtId="0" fontId="0" fillId="0" borderId="41" xfId="0" applyBorder="1" applyAlignment="1">
      <alignment horizontal="left" vertical="center"/>
    </xf>
    <xf numFmtId="0" fontId="28" fillId="0" borderId="44" xfId="0" applyFont="1" applyBorder="1" applyAlignment="1">
      <alignment horizontal="left" vertical="center" wrapText="1"/>
    </xf>
    <xf numFmtId="0" fontId="0" fillId="0" borderId="22" xfId="0" applyBorder="1"/>
    <xf numFmtId="0" fontId="25" fillId="0" borderId="32" xfId="0" applyFont="1" applyBorder="1" applyAlignment="1">
      <alignment horizontal="left" vertical="center" wrapText="1"/>
    </xf>
    <xf numFmtId="0" fontId="25" fillId="0" borderId="38" xfId="0" applyFont="1" applyBorder="1" applyAlignment="1">
      <alignment horizontal="left" vertical="center"/>
    </xf>
    <xf numFmtId="0" fontId="15" fillId="0" borderId="38" xfId="0" applyFont="1" applyBorder="1" applyAlignment="1">
      <alignment horizontal="left" vertical="center"/>
    </xf>
    <xf numFmtId="0" fontId="12" fillId="0" borderId="23" xfId="0" applyFont="1" applyBorder="1"/>
    <xf numFmtId="0" fontId="12" fillId="0" borderId="24" xfId="0" applyFont="1" applyBorder="1" applyAlignment="1">
      <alignment horizontal="left" vertical="center" wrapText="1" indent="1"/>
    </xf>
    <xf numFmtId="0" fontId="14" fillId="0" borderId="22" xfId="0" applyFont="1" applyBorder="1" applyAlignment="1">
      <alignment horizontal="center" vertical="center"/>
    </xf>
    <xf numFmtId="0" fontId="14" fillId="0" borderId="11" xfId="0" applyFont="1" applyBorder="1" applyAlignment="1">
      <alignment horizontal="center" vertical="center"/>
    </xf>
    <xf numFmtId="0" fontId="14" fillId="0" borderId="22" xfId="0" applyFont="1" applyBorder="1" applyAlignment="1">
      <alignment horizontal="center" vertical="center" wrapText="1"/>
    </xf>
    <xf numFmtId="0" fontId="14" fillId="0" borderId="27" xfId="0" applyFont="1" applyBorder="1" applyAlignment="1">
      <alignment horizontal="center" vertical="center"/>
    </xf>
    <xf numFmtId="0" fontId="5" fillId="0" borderId="13" xfId="0" applyFont="1" applyBorder="1" applyAlignment="1">
      <alignment horizontal="left" vertical="center" wrapText="1"/>
    </xf>
    <xf numFmtId="0" fontId="5" fillId="0" borderId="46" xfId="0" applyFont="1" applyBorder="1" applyAlignment="1">
      <alignment horizontal="left" vertical="center" wrapText="1"/>
    </xf>
    <xf numFmtId="0" fontId="5" fillId="0" borderId="47" xfId="0" applyFont="1" applyBorder="1" applyAlignment="1">
      <alignment horizontal="left" vertical="center" wrapText="1"/>
    </xf>
    <xf numFmtId="0" fontId="12" fillId="0" borderId="11" xfId="0" applyFont="1" applyBorder="1" applyAlignment="1">
      <alignment horizontal="left" indent="1"/>
    </xf>
    <xf numFmtId="0" fontId="13" fillId="0" borderId="11" xfId="0" applyFont="1" applyBorder="1" applyAlignment="1">
      <alignment horizontal="left"/>
    </xf>
    <xf numFmtId="0" fontId="0" fillId="0" borderId="20" xfId="0" applyFont="1" applyBorder="1" applyAlignment="1">
      <alignment horizontal="center"/>
    </xf>
    <xf numFmtId="3" fontId="10" fillId="0" borderId="21" xfId="0" applyNumberFormat="1" applyFont="1" applyBorder="1" applyAlignment="1">
      <alignment horizontal="center"/>
    </xf>
    <xf numFmtId="0" fontId="11" fillId="0" borderId="11" xfId="0" applyFont="1" applyBorder="1" applyAlignment="1">
      <alignment horizontal="center" vertical="center" wrapText="1"/>
    </xf>
    <xf numFmtId="0" fontId="3" fillId="0" borderId="11" xfId="0" applyFont="1" applyBorder="1"/>
    <xf numFmtId="0" fontId="16" fillId="3" borderId="6" xfId="0" applyFont="1" applyFill="1" applyBorder="1" applyAlignment="1">
      <alignment horizontal="left" wrapText="1"/>
    </xf>
  </cellXfs>
  <cellStyles count="7">
    <cellStyle name="Encabezado 1" xfId="2"/>
    <cellStyle name="Moneda" xfId="1" builtinId="4"/>
    <cellStyle name="Moneda_AUTORIZACION Y NOTA DE PEDIDO" xfId="3"/>
    <cellStyle name="Neutral 1" xfId="4"/>
    <cellStyle name="Normal" xfId="0" builtinId="0"/>
    <cellStyle name="Normal 2" xfId="6"/>
    <cellStyle name="Normal 4" xf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xmlns=""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xmlns=""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xmlns=""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xmlns=""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48"/>
  <sheetViews>
    <sheetView topLeftCell="A29" zoomScale="85" zoomScaleNormal="85" workbookViewId="0">
      <selection activeCell="H41" sqref="H41"/>
    </sheetView>
  </sheetViews>
  <sheetFormatPr baseColWidth="10" defaultColWidth="11" defaultRowHeight="12.75" x14ac:dyDescent="0.2"/>
  <cols>
    <col min="1" max="1" width="4.5703125" style="39" customWidth="1"/>
    <col min="2" max="2" width="12.85546875" style="39" customWidth="1"/>
    <col min="3" max="3" width="32.42578125" style="39" customWidth="1"/>
    <col min="4" max="4" width="8.42578125" style="39" customWidth="1"/>
    <col min="5" max="5" width="79" style="39" customWidth="1"/>
    <col min="6" max="6" width="11" style="39"/>
    <col min="7" max="7" width="12.7109375" style="39" customWidth="1"/>
    <col min="8" max="8" width="13.85546875" style="39" customWidth="1"/>
    <col min="9" max="9" width="18.5703125" style="39" customWidth="1"/>
    <col min="10" max="16384" width="11" style="39"/>
  </cols>
  <sheetData>
    <row r="2" spans="1:9" ht="27" x14ac:dyDescent="0.35">
      <c r="B2" s="93" t="s">
        <v>0</v>
      </c>
      <c r="C2" s="93"/>
      <c r="D2" s="93"/>
      <c r="E2" s="93"/>
      <c r="F2" s="93"/>
      <c r="G2" s="93"/>
      <c r="H2" s="93"/>
    </row>
    <row r="4" spans="1:9" ht="18" customHeight="1" x14ac:dyDescent="0.25">
      <c r="A4" s="90" t="s">
        <v>1</v>
      </c>
      <c r="B4" s="90"/>
      <c r="C4" s="94" t="s">
        <v>58</v>
      </c>
      <c r="D4" s="94"/>
      <c r="E4" s="94"/>
      <c r="F4" s="40"/>
      <c r="G4" s="41"/>
      <c r="H4" s="40"/>
    </row>
    <row r="5" spans="1:9" ht="18" customHeight="1" x14ac:dyDescent="0.25">
      <c r="A5" s="90" t="s">
        <v>2</v>
      </c>
      <c r="B5" s="90"/>
      <c r="C5" s="94" t="s">
        <v>59</v>
      </c>
      <c r="D5" s="94"/>
      <c r="E5" s="94"/>
      <c r="F5" s="40"/>
      <c r="G5" s="41"/>
      <c r="H5" s="40"/>
    </row>
    <row r="6" spans="1:9" ht="16.5" customHeight="1" x14ac:dyDescent="0.25">
      <c r="A6" s="90" t="s">
        <v>3</v>
      </c>
      <c r="B6" s="90"/>
      <c r="C6" s="61">
        <v>2021</v>
      </c>
      <c r="D6" s="62"/>
      <c r="E6" s="62"/>
      <c r="F6" s="40"/>
      <c r="G6" s="41"/>
      <c r="H6" s="40"/>
    </row>
    <row r="7" spans="1:9" ht="16.5" customHeight="1" x14ac:dyDescent="0.25">
      <c r="A7" s="90" t="s">
        <v>4</v>
      </c>
      <c r="B7" s="90"/>
      <c r="C7" s="61">
        <v>2</v>
      </c>
      <c r="D7" s="62"/>
      <c r="E7" s="62"/>
      <c r="F7" s="40"/>
      <c r="G7" s="41"/>
      <c r="H7" s="40"/>
    </row>
    <row r="8" spans="1:9" ht="13.5" thickBot="1" x14ac:dyDescent="0.25">
      <c r="B8" s="40"/>
      <c r="C8" s="41"/>
      <c r="D8" s="40"/>
      <c r="E8" s="40"/>
      <c r="F8" s="40"/>
      <c r="G8" s="41"/>
      <c r="H8" s="40"/>
    </row>
    <row r="9" spans="1:9" ht="39" thickBot="1" x14ac:dyDescent="0.25">
      <c r="A9" s="55" t="s">
        <v>5</v>
      </c>
      <c r="B9" s="55" t="s">
        <v>6</v>
      </c>
      <c r="C9" s="55" t="s">
        <v>7</v>
      </c>
      <c r="D9" s="55" t="s">
        <v>8</v>
      </c>
      <c r="E9" s="55" t="s">
        <v>9</v>
      </c>
      <c r="F9" s="55" t="s">
        <v>10</v>
      </c>
      <c r="G9" s="55" t="s">
        <v>11</v>
      </c>
      <c r="H9" s="55" t="s">
        <v>12</v>
      </c>
      <c r="I9" s="55" t="s">
        <v>13</v>
      </c>
    </row>
    <row r="10" spans="1:9" ht="31.9" customHeight="1" thickBot="1" x14ac:dyDescent="0.25">
      <c r="A10" s="56">
        <v>1</v>
      </c>
      <c r="B10" s="59"/>
      <c r="C10" s="57" t="s">
        <v>90</v>
      </c>
      <c r="D10" s="58" t="s">
        <v>89</v>
      </c>
      <c r="E10" s="77" t="s">
        <v>94</v>
      </c>
      <c r="F10" s="59" t="s">
        <v>91</v>
      </c>
      <c r="G10" s="85">
        <v>30</v>
      </c>
      <c r="H10" s="86">
        <v>1635</v>
      </c>
      <c r="I10" s="60">
        <f t="shared" ref="I10:I32" si="0">G10*H10</f>
        <v>49050</v>
      </c>
    </row>
    <row r="11" spans="1:9" ht="31.9" customHeight="1" thickBot="1" x14ac:dyDescent="0.25">
      <c r="A11" s="56">
        <v>2</v>
      </c>
      <c r="B11" s="59"/>
      <c r="C11" s="57" t="s">
        <v>90</v>
      </c>
      <c r="D11" s="58" t="s">
        <v>89</v>
      </c>
      <c r="E11" s="77" t="s">
        <v>95</v>
      </c>
      <c r="F11" s="59" t="s">
        <v>91</v>
      </c>
      <c r="G11" s="85">
        <v>30</v>
      </c>
      <c r="H11" s="86">
        <v>1635</v>
      </c>
      <c r="I11" s="60">
        <f>+G11*H11</f>
        <v>49050</v>
      </c>
    </row>
    <row r="12" spans="1:9" ht="31.9" customHeight="1" thickBot="1" x14ac:dyDescent="0.25">
      <c r="A12" s="56">
        <v>3</v>
      </c>
      <c r="B12" s="59"/>
      <c r="C12" s="57" t="s">
        <v>90</v>
      </c>
      <c r="D12" s="58" t="s">
        <v>89</v>
      </c>
      <c r="E12" s="77" t="s">
        <v>68</v>
      </c>
      <c r="F12" s="59" t="s">
        <v>91</v>
      </c>
      <c r="G12" s="85">
        <v>288</v>
      </c>
      <c r="H12" s="86">
        <v>479</v>
      </c>
      <c r="I12" s="60">
        <f t="shared" ref="I12" si="1">G12*H12</f>
        <v>137952</v>
      </c>
    </row>
    <row r="13" spans="1:9" ht="31.9" customHeight="1" thickBot="1" x14ac:dyDescent="0.25">
      <c r="A13" s="56">
        <v>4</v>
      </c>
      <c r="B13" s="59"/>
      <c r="C13" s="57" t="s">
        <v>90</v>
      </c>
      <c r="D13" s="58" t="s">
        <v>89</v>
      </c>
      <c r="E13" s="78" t="s">
        <v>69</v>
      </c>
      <c r="F13" s="59" t="s">
        <v>91</v>
      </c>
      <c r="G13" s="85">
        <v>288</v>
      </c>
      <c r="H13" s="86">
        <v>479</v>
      </c>
      <c r="I13" s="60">
        <f t="shared" si="0"/>
        <v>137952</v>
      </c>
    </row>
    <row r="14" spans="1:9" ht="31.9" customHeight="1" thickBot="1" x14ac:dyDescent="0.25">
      <c r="A14" s="56">
        <v>5</v>
      </c>
      <c r="B14" s="59"/>
      <c r="C14" s="57" t="s">
        <v>90</v>
      </c>
      <c r="D14" s="58" t="s">
        <v>89</v>
      </c>
      <c r="E14" s="78" t="s">
        <v>70</v>
      </c>
      <c r="F14" s="59" t="s">
        <v>91</v>
      </c>
      <c r="G14" s="85">
        <v>288</v>
      </c>
      <c r="H14" s="86">
        <v>479</v>
      </c>
      <c r="I14" s="60">
        <f t="shared" si="0"/>
        <v>137952</v>
      </c>
    </row>
    <row r="15" spans="1:9" ht="31.9" customHeight="1" thickBot="1" x14ac:dyDescent="0.25">
      <c r="A15" s="56">
        <v>6</v>
      </c>
      <c r="B15" s="59"/>
      <c r="C15" s="57" t="s">
        <v>90</v>
      </c>
      <c r="D15" s="58" t="s">
        <v>89</v>
      </c>
      <c r="E15" s="79" t="s">
        <v>71</v>
      </c>
      <c r="F15" s="59" t="s">
        <v>91</v>
      </c>
      <c r="G15" s="85">
        <v>72</v>
      </c>
      <c r="H15" s="86">
        <v>564.54</v>
      </c>
      <c r="I15" s="60">
        <f t="shared" si="0"/>
        <v>40646.879999999997</v>
      </c>
    </row>
    <row r="16" spans="1:9" ht="31.9" customHeight="1" thickBot="1" x14ac:dyDescent="0.25">
      <c r="A16" s="56">
        <v>7</v>
      </c>
      <c r="B16" s="59"/>
      <c r="C16" s="57" t="s">
        <v>90</v>
      </c>
      <c r="D16" s="58" t="s">
        <v>89</v>
      </c>
      <c r="E16" s="80" t="s">
        <v>72</v>
      </c>
      <c r="F16" s="59" t="s">
        <v>91</v>
      </c>
      <c r="G16" s="85">
        <v>288</v>
      </c>
      <c r="H16" s="86">
        <v>395.4</v>
      </c>
      <c r="I16" s="60">
        <f t="shared" si="0"/>
        <v>113875.2</v>
      </c>
    </row>
    <row r="17" spans="1:9" ht="31.9" customHeight="1" thickBot="1" x14ac:dyDescent="0.25">
      <c r="A17" s="56">
        <v>8</v>
      </c>
      <c r="B17" s="59"/>
      <c r="C17" s="57" t="s">
        <v>90</v>
      </c>
      <c r="D17" s="58" t="s">
        <v>89</v>
      </c>
      <c r="E17" s="80" t="s">
        <v>73</v>
      </c>
      <c r="F17" s="59" t="s">
        <v>91</v>
      </c>
      <c r="G17" s="85">
        <v>288</v>
      </c>
      <c r="H17" s="86">
        <v>479.55</v>
      </c>
      <c r="I17" s="60">
        <f t="shared" si="0"/>
        <v>138110.39999999999</v>
      </c>
    </row>
    <row r="18" spans="1:9" ht="31.9" customHeight="1" thickBot="1" x14ac:dyDescent="0.25">
      <c r="A18" s="56">
        <v>9</v>
      </c>
      <c r="B18" s="59"/>
      <c r="C18" s="57" t="s">
        <v>90</v>
      </c>
      <c r="D18" s="58" t="s">
        <v>89</v>
      </c>
      <c r="E18" s="80" t="s">
        <v>74</v>
      </c>
      <c r="F18" s="59" t="s">
        <v>91</v>
      </c>
      <c r="G18" s="85">
        <v>288</v>
      </c>
      <c r="H18" s="86">
        <v>564</v>
      </c>
      <c r="I18" s="60">
        <f t="shared" si="0"/>
        <v>162432</v>
      </c>
    </row>
    <row r="19" spans="1:9" ht="31.9" customHeight="1" thickBot="1" x14ac:dyDescent="0.25">
      <c r="A19" s="56">
        <v>10</v>
      </c>
      <c r="B19" s="59"/>
      <c r="C19" s="57" t="s">
        <v>90</v>
      </c>
      <c r="D19" s="58" t="s">
        <v>89</v>
      </c>
      <c r="E19" s="81" t="s">
        <v>75</v>
      </c>
      <c r="F19" s="59" t="s">
        <v>91</v>
      </c>
      <c r="G19" s="85">
        <v>144</v>
      </c>
      <c r="H19" s="86">
        <v>2300</v>
      </c>
      <c r="I19" s="60">
        <f t="shared" si="0"/>
        <v>331200</v>
      </c>
    </row>
    <row r="20" spans="1:9" ht="31.9" customHeight="1" thickBot="1" x14ac:dyDescent="0.25">
      <c r="A20" s="56">
        <v>11</v>
      </c>
      <c r="B20" s="59"/>
      <c r="C20" s="57" t="s">
        <v>90</v>
      </c>
      <c r="D20" s="58" t="s">
        <v>89</v>
      </c>
      <c r="E20" s="82" t="s">
        <v>76</v>
      </c>
      <c r="F20" s="59" t="s">
        <v>91</v>
      </c>
      <c r="G20" s="85">
        <v>144</v>
      </c>
      <c r="H20" s="86">
        <v>1800</v>
      </c>
      <c r="I20" s="60">
        <f t="shared" si="0"/>
        <v>259200</v>
      </c>
    </row>
    <row r="21" spans="1:9" ht="31.9" customHeight="1" thickBot="1" x14ac:dyDescent="0.25">
      <c r="A21" s="56">
        <v>12</v>
      </c>
      <c r="B21" s="59"/>
      <c r="C21" s="57" t="s">
        <v>90</v>
      </c>
      <c r="D21" s="58" t="s">
        <v>89</v>
      </c>
      <c r="E21" s="83" t="s">
        <v>77</v>
      </c>
      <c r="F21" s="59" t="s">
        <v>91</v>
      </c>
      <c r="G21" s="85">
        <v>720</v>
      </c>
      <c r="H21" s="86">
        <v>234.9</v>
      </c>
      <c r="I21" s="60">
        <f t="shared" si="0"/>
        <v>169128</v>
      </c>
    </row>
    <row r="22" spans="1:9" ht="31.9" customHeight="1" thickBot="1" x14ac:dyDescent="0.25">
      <c r="A22" s="56">
        <v>13</v>
      </c>
      <c r="B22" s="59"/>
      <c r="C22" s="57" t="s">
        <v>90</v>
      </c>
      <c r="D22" s="58" t="s">
        <v>89</v>
      </c>
      <c r="E22" s="83" t="s">
        <v>78</v>
      </c>
      <c r="F22" s="59" t="s">
        <v>91</v>
      </c>
      <c r="G22" s="85">
        <v>720</v>
      </c>
      <c r="H22" s="86">
        <v>286</v>
      </c>
      <c r="I22" s="60">
        <f t="shared" si="0"/>
        <v>205920</v>
      </c>
    </row>
    <row r="23" spans="1:9" ht="31.9" customHeight="1" thickBot="1" x14ac:dyDescent="0.25">
      <c r="A23" s="56">
        <v>14</v>
      </c>
      <c r="B23" s="59"/>
      <c r="C23" s="57" t="s">
        <v>90</v>
      </c>
      <c r="D23" s="58" t="s">
        <v>89</v>
      </c>
      <c r="E23" s="83" t="s">
        <v>79</v>
      </c>
      <c r="F23" s="59" t="s">
        <v>91</v>
      </c>
      <c r="G23" s="85">
        <v>480</v>
      </c>
      <c r="H23" s="86">
        <v>375</v>
      </c>
      <c r="I23" s="60">
        <f t="shared" si="0"/>
        <v>180000</v>
      </c>
    </row>
    <row r="24" spans="1:9" ht="31.9" customHeight="1" thickBot="1" x14ac:dyDescent="0.25">
      <c r="A24" s="56">
        <v>15</v>
      </c>
      <c r="B24" s="59"/>
      <c r="C24" s="57" t="s">
        <v>90</v>
      </c>
      <c r="D24" s="58" t="s">
        <v>89</v>
      </c>
      <c r="E24" s="84" t="s">
        <v>80</v>
      </c>
      <c r="F24" s="59" t="s">
        <v>91</v>
      </c>
      <c r="G24" s="85">
        <v>720</v>
      </c>
      <c r="H24" s="86">
        <v>3400</v>
      </c>
      <c r="I24" s="60">
        <f t="shared" si="0"/>
        <v>2448000</v>
      </c>
    </row>
    <row r="25" spans="1:9" ht="31.9" customHeight="1" thickBot="1" x14ac:dyDescent="0.25">
      <c r="A25" s="56">
        <v>16</v>
      </c>
      <c r="B25" s="59"/>
      <c r="C25" s="57" t="s">
        <v>90</v>
      </c>
      <c r="D25" s="58" t="s">
        <v>89</v>
      </c>
      <c r="E25" s="81" t="s">
        <v>81</v>
      </c>
      <c r="F25" s="59" t="s">
        <v>91</v>
      </c>
      <c r="G25" s="85">
        <v>288</v>
      </c>
      <c r="H25" s="86">
        <v>514.20000000000005</v>
      </c>
      <c r="I25" s="60">
        <f t="shared" si="0"/>
        <v>148089.60000000001</v>
      </c>
    </row>
    <row r="26" spans="1:9" ht="31.9" customHeight="1" thickBot="1" x14ac:dyDescent="0.25">
      <c r="A26" s="56">
        <v>17</v>
      </c>
      <c r="B26" s="59"/>
      <c r="C26" s="57" t="s">
        <v>90</v>
      </c>
      <c r="D26" s="58" t="s">
        <v>89</v>
      </c>
      <c r="E26" s="81" t="s">
        <v>82</v>
      </c>
      <c r="F26" s="59" t="s">
        <v>91</v>
      </c>
      <c r="G26" s="85">
        <v>720</v>
      </c>
      <c r="H26" s="86">
        <v>411.2</v>
      </c>
      <c r="I26" s="60">
        <f t="shared" si="0"/>
        <v>296064</v>
      </c>
    </row>
    <row r="27" spans="1:9" ht="31.9" customHeight="1" thickBot="1" x14ac:dyDescent="0.25">
      <c r="A27" s="56">
        <v>18</v>
      </c>
      <c r="B27" s="59"/>
      <c r="C27" s="57" t="s">
        <v>90</v>
      </c>
      <c r="D27" s="58" t="s">
        <v>89</v>
      </c>
      <c r="E27" s="83" t="s">
        <v>83</v>
      </c>
      <c r="F27" s="59" t="s">
        <v>91</v>
      </c>
      <c r="G27" s="85">
        <v>720</v>
      </c>
      <c r="H27" s="86">
        <v>245.8</v>
      </c>
      <c r="I27" s="60">
        <f t="shared" si="0"/>
        <v>176976</v>
      </c>
    </row>
    <row r="28" spans="1:9" ht="31.9" customHeight="1" thickBot="1" x14ac:dyDescent="0.25">
      <c r="A28" s="56">
        <v>19</v>
      </c>
      <c r="B28" s="59"/>
      <c r="C28" s="57" t="s">
        <v>90</v>
      </c>
      <c r="D28" s="58" t="s">
        <v>89</v>
      </c>
      <c r="E28" s="83" t="s">
        <v>84</v>
      </c>
      <c r="F28" s="59" t="s">
        <v>91</v>
      </c>
      <c r="G28" s="85">
        <v>720</v>
      </c>
      <c r="H28" s="86">
        <v>375</v>
      </c>
      <c r="I28" s="60">
        <f t="shared" si="0"/>
        <v>270000</v>
      </c>
    </row>
    <row r="29" spans="1:9" ht="31.9" customHeight="1" thickBot="1" x14ac:dyDescent="0.25">
      <c r="A29" s="56">
        <v>20</v>
      </c>
      <c r="B29" s="59"/>
      <c r="C29" s="57" t="s">
        <v>90</v>
      </c>
      <c r="D29" s="58" t="s">
        <v>89</v>
      </c>
      <c r="E29" s="84" t="s">
        <v>85</v>
      </c>
      <c r="F29" s="59" t="s">
        <v>91</v>
      </c>
      <c r="G29" s="85">
        <v>720</v>
      </c>
      <c r="H29" s="86">
        <v>375</v>
      </c>
      <c r="I29" s="60">
        <f t="shared" si="0"/>
        <v>270000</v>
      </c>
    </row>
    <row r="30" spans="1:9" ht="31.9" customHeight="1" thickBot="1" x14ac:dyDescent="0.25">
      <c r="A30" s="56">
        <v>21</v>
      </c>
      <c r="B30" s="59"/>
      <c r="C30" s="57" t="s">
        <v>90</v>
      </c>
      <c r="D30" s="58" t="s">
        <v>89</v>
      </c>
      <c r="E30" s="80" t="s">
        <v>86</v>
      </c>
      <c r="F30" s="59" t="s">
        <v>91</v>
      </c>
      <c r="G30" s="85">
        <v>360</v>
      </c>
      <c r="H30" s="86">
        <v>389</v>
      </c>
      <c r="I30" s="60">
        <f t="shared" si="0"/>
        <v>140040</v>
      </c>
    </row>
    <row r="31" spans="1:9" ht="31.9" customHeight="1" thickBot="1" x14ac:dyDescent="0.25">
      <c r="A31" s="56">
        <v>22</v>
      </c>
      <c r="B31" s="59"/>
      <c r="C31" s="57" t="s">
        <v>90</v>
      </c>
      <c r="D31" s="58" t="s">
        <v>89</v>
      </c>
      <c r="E31" s="83" t="s">
        <v>87</v>
      </c>
      <c r="F31" s="59" t="s">
        <v>91</v>
      </c>
      <c r="G31" s="85">
        <v>192</v>
      </c>
      <c r="H31" s="86">
        <v>478</v>
      </c>
      <c r="I31" s="60">
        <f t="shared" si="0"/>
        <v>91776</v>
      </c>
    </row>
    <row r="32" spans="1:9" ht="31.9" customHeight="1" thickBot="1" x14ac:dyDescent="0.25">
      <c r="A32" s="56">
        <v>23</v>
      </c>
      <c r="B32" s="59"/>
      <c r="C32" s="57" t="s">
        <v>90</v>
      </c>
      <c r="D32" s="58" t="s">
        <v>89</v>
      </c>
      <c r="E32" s="80" t="s">
        <v>88</v>
      </c>
      <c r="F32" s="59" t="s">
        <v>91</v>
      </c>
      <c r="G32" s="85">
        <v>144</v>
      </c>
      <c r="H32" s="86">
        <v>412.3</v>
      </c>
      <c r="I32" s="60">
        <f t="shared" si="0"/>
        <v>59371.200000000004</v>
      </c>
    </row>
    <row r="35" spans="2:5" x14ac:dyDescent="0.2">
      <c r="B35" s="42" t="s">
        <v>14</v>
      </c>
      <c r="C35" s="43"/>
      <c r="D35" s="43"/>
      <c r="E35" s="44"/>
    </row>
    <row r="36" spans="2:5" ht="5.25" customHeight="1" x14ac:dyDescent="0.2">
      <c r="B36" s="45"/>
      <c r="C36" s="46"/>
      <c r="D36" s="46"/>
      <c r="E36" s="47"/>
    </row>
    <row r="37" spans="2:5" x14ac:dyDescent="0.2">
      <c r="B37" s="48" t="s">
        <v>15</v>
      </c>
      <c r="C37" s="46"/>
      <c r="D37" s="46"/>
      <c r="E37" s="47"/>
    </row>
    <row r="38" spans="2:5" ht="41.25" customHeight="1" x14ac:dyDescent="0.2">
      <c r="B38" s="48"/>
      <c r="C38" s="135" t="s">
        <v>96</v>
      </c>
      <c r="D38" s="135"/>
      <c r="E38" s="135"/>
    </row>
    <row r="39" spans="2:5" x14ac:dyDescent="0.2">
      <c r="B39" s="48" t="s">
        <v>16</v>
      </c>
      <c r="C39" s="46"/>
      <c r="D39" s="46"/>
      <c r="E39" s="47"/>
    </row>
    <row r="40" spans="2:5" x14ac:dyDescent="0.2">
      <c r="B40" s="49"/>
      <c r="C40" s="91" t="s">
        <v>92</v>
      </c>
      <c r="D40" s="91"/>
      <c r="E40" s="91"/>
    </row>
    <row r="41" spans="2:5" x14ac:dyDescent="0.2">
      <c r="B41" s="49"/>
      <c r="C41" s="92"/>
      <c r="D41" s="92"/>
      <c r="E41" s="92"/>
    </row>
    <row r="42" spans="2:5" x14ac:dyDescent="0.2">
      <c r="B42" s="48" t="s">
        <v>17</v>
      </c>
      <c r="C42" s="46"/>
      <c r="D42" s="46"/>
      <c r="E42" s="47"/>
    </row>
    <row r="43" spans="2:5" ht="103.5" customHeight="1" x14ac:dyDescent="0.2">
      <c r="B43" s="49"/>
      <c r="C43" s="87" t="s">
        <v>93</v>
      </c>
      <c r="D43" s="87"/>
      <c r="E43" s="87"/>
    </row>
    <row r="44" spans="2:5" x14ac:dyDescent="0.2">
      <c r="B44" s="48" t="s">
        <v>18</v>
      </c>
      <c r="C44" s="50"/>
      <c r="D44" s="50"/>
      <c r="E44" s="51"/>
    </row>
    <row r="45" spans="2:5" ht="26.25" customHeight="1" x14ac:dyDescent="0.2">
      <c r="B45" s="49"/>
      <c r="C45" s="88" t="s">
        <v>62</v>
      </c>
      <c r="D45" s="88"/>
      <c r="E45" s="88"/>
    </row>
    <row r="46" spans="2:5" x14ac:dyDescent="0.2">
      <c r="B46" s="48" t="s">
        <v>19</v>
      </c>
      <c r="C46" s="46"/>
      <c r="D46" s="46"/>
      <c r="E46" s="47"/>
    </row>
    <row r="47" spans="2:5" ht="23.25" customHeight="1" x14ac:dyDescent="0.2">
      <c r="B47" s="48"/>
      <c r="C47" s="89"/>
      <c r="D47" s="89"/>
      <c r="E47" s="89"/>
    </row>
    <row r="48" spans="2:5" x14ac:dyDescent="0.2">
      <c r="B48" s="52"/>
      <c r="C48" s="53"/>
      <c r="D48" s="53"/>
      <c r="E48" s="54"/>
    </row>
  </sheetData>
  <mergeCells count="13">
    <mergeCell ref="B2:H2"/>
    <mergeCell ref="A4:B4"/>
    <mergeCell ref="C4:E4"/>
    <mergeCell ref="A5:B5"/>
    <mergeCell ref="C5:E5"/>
    <mergeCell ref="C43:E43"/>
    <mergeCell ref="C45:E45"/>
    <mergeCell ref="C47:E47"/>
    <mergeCell ref="A6:B6"/>
    <mergeCell ref="A7:B7"/>
    <mergeCell ref="C38:E38"/>
    <mergeCell ref="C40:E40"/>
    <mergeCell ref="C41:E41"/>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35"/>
  <sheetViews>
    <sheetView zoomScale="70" zoomScaleNormal="70" workbookViewId="0">
      <selection activeCell="O33" sqref="O33"/>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103" t="s">
        <v>20</v>
      </c>
      <c r="B1" s="103"/>
      <c r="C1" s="103"/>
      <c r="D1" s="103"/>
      <c r="E1" s="103"/>
      <c r="F1" s="103"/>
      <c r="G1" s="103"/>
      <c r="H1" s="103"/>
      <c r="I1" s="103"/>
      <c r="J1" s="3" t="s">
        <v>21</v>
      </c>
      <c r="K1" s="63" t="s">
        <v>67</v>
      </c>
    </row>
    <row r="2" spans="1:11" ht="18.75" customHeight="1" thickBot="1" x14ac:dyDescent="0.25">
      <c r="A2" s="4"/>
      <c r="B2" s="4"/>
      <c r="C2" s="4"/>
      <c r="D2" s="5"/>
      <c r="E2" s="5"/>
      <c r="F2" s="5"/>
      <c r="G2" s="5"/>
      <c r="H2" s="5"/>
      <c r="I2" s="5"/>
      <c r="J2" s="5"/>
      <c r="K2" s="5"/>
    </row>
    <row r="3" spans="1:11" ht="18.75" customHeight="1" thickBot="1" x14ac:dyDescent="0.25">
      <c r="A3" s="104" t="s">
        <v>54</v>
      </c>
      <c r="B3" s="104"/>
      <c r="C3" s="104"/>
      <c r="D3" s="105" t="str">
        <f>'Necesidades Trimestrales'!C4</f>
        <v>40 - Ministerio de Salud</v>
      </c>
      <c r="E3" s="105"/>
      <c r="F3" s="105"/>
      <c r="G3" s="105"/>
      <c r="H3" s="105"/>
      <c r="I3" s="105"/>
      <c r="J3" s="105"/>
      <c r="K3" s="105"/>
    </row>
    <row r="4" spans="1:11" ht="18.75" customHeight="1" thickBot="1" x14ac:dyDescent="0.25">
      <c r="A4" s="106" t="s">
        <v>55</v>
      </c>
      <c r="B4" s="106"/>
      <c r="C4" s="106"/>
      <c r="D4" s="105" t="str">
        <f>'Necesidades Trimestrales'!C5</f>
        <v>23 - Hospital Interzonal San Juan Bautista</v>
      </c>
      <c r="E4" s="105"/>
      <c r="F4" s="105"/>
      <c r="G4" s="105"/>
      <c r="H4" s="105"/>
      <c r="I4" s="105"/>
      <c r="J4" s="105"/>
      <c r="K4" s="105"/>
    </row>
    <row r="5" spans="1:11" ht="18.75" customHeight="1" thickBot="1" x14ac:dyDescent="0.25">
      <c r="A5" s="106" t="s">
        <v>33</v>
      </c>
      <c r="B5" s="106"/>
      <c r="C5" s="106"/>
      <c r="D5" s="105" t="s">
        <v>60</v>
      </c>
      <c r="E5" s="105"/>
      <c r="F5" s="105"/>
      <c r="G5" s="105"/>
      <c r="H5" s="105"/>
      <c r="I5" s="105"/>
      <c r="J5" s="105"/>
      <c r="K5" s="105"/>
    </row>
    <row r="6" spans="1:11" ht="16.5" customHeight="1" thickBot="1" x14ac:dyDescent="0.25">
      <c r="A6" s="104" t="s">
        <v>56</v>
      </c>
      <c r="B6" s="104"/>
      <c r="C6" s="104"/>
      <c r="D6" s="105" t="s">
        <v>61</v>
      </c>
      <c r="E6" s="105"/>
      <c r="F6" s="105"/>
      <c r="G6" s="105"/>
      <c r="H6" s="105"/>
      <c r="I6" s="105"/>
      <c r="J6" s="105"/>
      <c r="K6" s="105"/>
    </row>
    <row r="7" spans="1:11" ht="16.5" customHeight="1" x14ac:dyDescent="0.2">
      <c r="A7" s="106" t="s">
        <v>22</v>
      </c>
      <c r="B7" s="106"/>
      <c r="C7" s="106"/>
      <c r="D7" s="105" t="str">
        <f>'Necesidades Trimestrales'!C7 &amp; "° Trimestre - Año " &amp; 'Necesidades Trimestrales'!C6</f>
        <v>2° Trimestre - Año 2021</v>
      </c>
      <c r="E7" s="105"/>
      <c r="F7" s="105"/>
      <c r="G7" s="105"/>
      <c r="H7" s="105"/>
      <c r="I7" s="105"/>
      <c r="J7" s="105"/>
      <c r="K7" s="105"/>
    </row>
    <row r="8" spans="1:11" ht="16.5" customHeight="1" x14ac:dyDescent="0.2">
      <c r="A8" s="97" t="s">
        <v>23</v>
      </c>
      <c r="B8" s="97"/>
      <c r="C8" s="97"/>
      <c r="D8" s="98" t="s">
        <v>66</v>
      </c>
      <c r="E8" s="98"/>
      <c r="F8" s="98"/>
      <c r="G8" s="98"/>
      <c r="H8" s="98"/>
      <c r="I8" s="98"/>
      <c r="J8" s="98"/>
      <c r="K8" s="98"/>
    </row>
    <row r="9" spans="1:11" ht="15.75" x14ac:dyDescent="0.2">
      <c r="A9" s="6"/>
      <c r="B9" s="6"/>
      <c r="C9" s="6"/>
      <c r="D9" s="7"/>
      <c r="E9" s="7"/>
      <c r="F9" s="7"/>
      <c r="G9" s="7"/>
      <c r="H9" s="7"/>
      <c r="I9" s="7"/>
      <c r="J9" s="7"/>
      <c r="K9" s="7"/>
    </row>
    <row r="10" spans="1:11" ht="18.75" customHeight="1" x14ac:dyDescent="0.2">
      <c r="A10" s="99" t="s">
        <v>24</v>
      </c>
      <c r="B10" s="100" t="s">
        <v>25</v>
      </c>
      <c r="C10" s="100" t="s">
        <v>26</v>
      </c>
      <c r="D10" s="100"/>
      <c r="E10" s="100"/>
      <c r="F10" s="100"/>
      <c r="G10" s="100"/>
      <c r="H10" s="100" t="s">
        <v>27</v>
      </c>
      <c r="I10" s="100" t="s">
        <v>28</v>
      </c>
      <c r="J10" s="100" t="s">
        <v>29</v>
      </c>
      <c r="K10" s="101" t="s">
        <v>30</v>
      </c>
    </row>
    <row r="11" spans="1:11" ht="24" customHeight="1" thickBot="1" x14ac:dyDescent="0.25">
      <c r="A11" s="99"/>
      <c r="B11" s="100"/>
      <c r="C11" s="100"/>
      <c r="D11" s="100"/>
      <c r="E11" s="100"/>
      <c r="F11" s="100"/>
      <c r="G11" s="100"/>
      <c r="H11" s="100"/>
      <c r="I11" s="100"/>
      <c r="J11" s="100"/>
      <c r="K11" s="101"/>
    </row>
    <row r="12" spans="1:11" ht="20.25" customHeight="1" thickBot="1" x14ac:dyDescent="0.25">
      <c r="A12" s="8">
        <v>1</v>
      </c>
      <c r="B12" s="64">
        <f>'Necesidades Trimestrales'!B10</f>
        <v>0</v>
      </c>
      <c r="C12" s="95" t="str">
        <f>'Necesidades Trimestrales'!E10</f>
        <v>HILO DE LINO N° 20</v>
      </c>
      <c r="D12" s="95"/>
      <c r="E12" s="95"/>
      <c r="F12" s="95"/>
      <c r="G12" s="95"/>
      <c r="H12" s="65" t="s">
        <v>57</v>
      </c>
      <c r="I12" s="66" t="str">
        <f>'Necesidades Trimestrales'!F10</f>
        <v>UNIDAD</v>
      </c>
      <c r="J12" s="67">
        <f>'Necesidades Trimestrales'!H10</f>
        <v>1635</v>
      </c>
      <c r="K12" s="68">
        <f>'Necesidades Trimestrales'!G10</f>
        <v>30</v>
      </c>
    </row>
    <row r="13" spans="1:11" ht="20.25" customHeight="1" thickBot="1" x14ac:dyDescent="0.25">
      <c r="A13" s="8">
        <v>2</v>
      </c>
      <c r="B13" s="64"/>
      <c r="C13" s="95" t="str">
        <f>'Necesidades Trimestrales'!E11</f>
        <v xml:space="preserve">HILO DE LINO N° 30 </v>
      </c>
      <c r="D13" s="95"/>
      <c r="E13" s="95"/>
      <c r="F13" s="95"/>
      <c r="G13" s="95"/>
      <c r="H13" s="65" t="s">
        <v>57</v>
      </c>
      <c r="I13" s="66" t="str">
        <f>'Necesidades Trimestrales'!F11</f>
        <v>UNIDAD</v>
      </c>
      <c r="J13" s="67">
        <f>'Necesidades Trimestrales'!H11</f>
        <v>1635</v>
      </c>
      <c r="K13" s="68">
        <f>'Necesidades Trimestrales'!G11</f>
        <v>30</v>
      </c>
    </row>
    <row r="14" spans="1:11" ht="20.25" customHeight="1" thickBot="1" x14ac:dyDescent="0.25">
      <c r="A14" s="8">
        <v>3</v>
      </c>
      <c r="B14" s="64"/>
      <c r="C14" s="95" t="str">
        <f>'Necesidades Trimestrales'!E12</f>
        <v>HILO DE SUTURA CATGUT  CROMICO Nº0</v>
      </c>
      <c r="D14" s="95"/>
      <c r="E14" s="95"/>
      <c r="F14" s="95"/>
      <c r="G14" s="95"/>
      <c r="H14" s="65" t="s">
        <v>57</v>
      </c>
      <c r="I14" s="66" t="str">
        <f>'Necesidades Trimestrales'!F12</f>
        <v>UNIDAD</v>
      </c>
      <c r="J14" s="67">
        <f>'Necesidades Trimestrales'!H12</f>
        <v>479</v>
      </c>
      <c r="K14" s="68">
        <f>'Necesidades Trimestrales'!G12</f>
        <v>288</v>
      </c>
    </row>
    <row r="15" spans="1:11" ht="20.25" customHeight="1" thickBot="1" x14ac:dyDescent="0.25">
      <c r="A15" s="8">
        <v>4</v>
      </c>
      <c r="B15" s="64">
        <f>'Necesidades Trimestrales'!B13</f>
        <v>0</v>
      </c>
      <c r="C15" s="95" t="str">
        <f>'Necesidades Trimestrales'!E13</f>
        <v>HILO DE SUTURA CATGUT CROMICO Nro 1 CON AGUJA TIPO TAGUM</v>
      </c>
      <c r="D15" s="95"/>
      <c r="E15" s="95"/>
      <c r="F15" s="95"/>
      <c r="G15" s="95"/>
      <c r="H15" s="65" t="s">
        <v>57</v>
      </c>
      <c r="I15" s="66" t="str">
        <f>'Necesidades Trimestrales'!F13</f>
        <v>UNIDAD</v>
      </c>
      <c r="J15" s="67">
        <f>'Necesidades Trimestrales'!H13</f>
        <v>479</v>
      </c>
      <c r="K15" s="68">
        <f>'Necesidades Trimestrales'!G13</f>
        <v>288</v>
      </c>
    </row>
    <row r="16" spans="1:11" ht="20.25" customHeight="1" thickBot="1" x14ac:dyDescent="0.25">
      <c r="A16" s="8">
        <v>5</v>
      </c>
      <c r="B16" s="64">
        <f>'Necesidades Trimestrales'!B14</f>
        <v>0</v>
      </c>
      <c r="C16" s="95" t="str">
        <f>'Necesidades Trimestrales'!E14</f>
        <v>HILO DE SUTURA CATGUT CROMICO Nro 2 CON AGUJA TIPO TAGUM</v>
      </c>
      <c r="D16" s="95"/>
      <c r="E16" s="95"/>
      <c r="F16" s="95"/>
      <c r="G16" s="95"/>
      <c r="H16" s="65" t="s">
        <v>57</v>
      </c>
      <c r="I16" s="66" t="str">
        <f>'Necesidades Trimestrales'!F14</f>
        <v>UNIDAD</v>
      </c>
      <c r="J16" s="67">
        <f>'Necesidades Trimestrales'!H14</f>
        <v>479</v>
      </c>
      <c r="K16" s="68">
        <f>'Necesidades Trimestrales'!G14</f>
        <v>288</v>
      </c>
    </row>
    <row r="17" spans="1:11" ht="20.25" customHeight="1" thickBot="1" x14ac:dyDescent="0.25">
      <c r="A17" s="8">
        <v>6</v>
      </c>
      <c r="B17" s="64">
        <f>'Necesidades Trimestrales'!B15</f>
        <v>0</v>
      </c>
      <c r="C17" s="95" t="str">
        <f>'Necesidades Trimestrales'!E15</f>
        <v>HILO DE SUTURA MONOFILAMENTO 4-0 AGUJA PS-1 3/8 CIRC 24 MM</v>
      </c>
      <c r="D17" s="95"/>
      <c r="E17" s="95"/>
      <c r="F17" s="95"/>
      <c r="G17" s="95"/>
      <c r="H17" s="65" t="s">
        <v>57</v>
      </c>
      <c r="I17" s="66" t="str">
        <f>'Necesidades Trimestrales'!F15</f>
        <v>UNIDAD</v>
      </c>
      <c r="J17" s="67">
        <f>'Necesidades Trimestrales'!H15</f>
        <v>564.54</v>
      </c>
      <c r="K17" s="68">
        <f>'Necesidades Trimestrales'!G15</f>
        <v>72</v>
      </c>
    </row>
    <row r="18" spans="1:11" ht="20.25" customHeight="1" thickBot="1" x14ac:dyDescent="0.25">
      <c r="A18" s="8">
        <v>7</v>
      </c>
      <c r="B18" s="64">
        <f>'Necesidades Trimestrales'!B16</f>
        <v>0</v>
      </c>
      <c r="C18" s="95" t="str">
        <f>'Necesidades Trimestrales'!E16</f>
        <v>SUT.ABS.CATGUT  SIMP. 1  SIN AGUJA</v>
      </c>
      <c r="D18" s="95"/>
      <c r="E18" s="95"/>
      <c r="F18" s="95"/>
      <c r="G18" s="95"/>
      <c r="H18" s="65" t="s">
        <v>57</v>
      </c>
      <c r="I18" s="66" t="str">
        <f>'Necesidades Trimestrales'!F16</f>
        <v>UNIDAD</v>
      </c>
      <c r="J18" s="67">
        <f>'Necesidades Trimestrales'!H16</f>
        <v>395.4</v>
      </c>
      <c r="K18" s="68">
        <f>'Necesidades Trimestrales'!G16</f>
        <v>288</v>
      </c>
    </row>
    <row r="19" spans="1:11" ht="20.25" customHeight="1" thickBot="1" x14ac:dyDescent="0.25">
      <c r="A19" s="8">
        <v>8</v>
      </c>
      <c r="B19" s="64">
        <f>'Necesidades Trimestrales'!B17</f>
        <v>0</v>
      </c>
      <c r="C19" s="95" t="str">
        <f>'Necesidades Trimestrales'!E17</f>
        <v>SUT.ABS.CATGUT SIMP.  0 SIN AGUJA</v>
      </c>
      <c r="D19" s="95"/>
      <c r="E19" s="95"/>
      <c r="F19" s="95"/>
      <c r="G19" s="95"/>
      <c r="H19" s="65" t="s">
        <v>57</v>
      </c>
      <c r="I19" s="66" t="str">
        <f>'Necesidades Trimestrales'!F17</f>
        <v>UNIDAD</v>
      </c>
      <c r="J19" s="67">
        <f>'Necesidades Trimestrales'!H17</f>
        <v>479.55</v>
      </c>
      <c r="K19" s="68">
        <f>'Necesidades Trimestrales'!G17</f>
        <v>288</v>
      </c>
    </row>
    <row r="20" spans="1:11" ht="20.25" customHeight="1" thickBot="1" x14ac:dyDescent="0.25">
      <c r="A20" s="8">
        <v>9</v>
      </c>
      <c r="B20" s="64">
        <f>'Necesidades Trimestrales'!B18</f>
        <v>0</v>
      </c>
      <c r="C20" s="95" t="str">
        <f>'Necesidades Trimestrales'!E18</f>
        <v>SUT.ABS.CATGUT SIMP. 2  SIN AGUJA</v>
      </c>
      <c r="D20" s="95"/>
      <c r="E20" s="95"/>
      <c r="F20" s="95"/>
      <c r="G20" s="95"/>
      <c r="H20" s="65" t="s">
        <v>57</v>
      </c>
      <c r="I20" s="66" t="str">
        <f>'Necesidades Trimestrales'!F18</f>
        <v>UNIDAD</v>
      </c>
      <c r="J20" s="67">
        <f>'Necesidades Trimestrales'!H18</f>
        <v>564</v>
      </c>
      <c r="K20" s="68">
        <f>'Necesidades Trimestrales'!G18</f>
        <v>288</v>
      </c>
    </row>
    <row r="21" spans="1:11" ht="20.25" customHeight="1" thickBot="1" x14ac:dyDescent="0.25">
      <c r="A21" s="8">
        <v>10</v>
      </c>
      <c r="B21" s="64">
        <f>'Necesidades Trimestrales'!B19</f>
        <v>0</v>
      </c>
      <c r="C21" s="95" t="str">
        <f>'Necesidades Trimestrales'!E19</f>
        <v>SUT.N/ABS.MONONYLON 10-0 (OFTAL.)X 1 UNID.</v>
      </c>
      <c r="D21" s="95"/>
      <c r="E21" s="95"/>
      <c r="F21" s="95"/>
      <c r="G21" s="95"/>
      <c r="H21" s="65" t="s">
        <v>57</v>
      </c>
      <c r="I21" s="66" t="str">
        <f>'Necesidades Trimestrales'!F19</f>
        <v>UNIDAD</v>
      </c>
      <c r="J21" s="67">
        <f>'Necesidades Trimestrales'!H19</f>
        <v>2300</v>
      </c>
      <c r="K21" s="68">
        <f>'Necesidades Trimestrales'!G19</f>
        <v>144</v>
      </c>
    </row>
    <row r="22" spans="1:11" ht="20.25" customHeight="1" thickBot="1" x14ac:dyDescent="0.25">
      <c r="A22" s="8">
        <v>11</v>
      </c>
      <c r="B22" s="64">
        <f>'Necesidades Trimestrales'!B20</f>
        <v>0</v>
      </c>
      <c r="C22" s="95" t="str">
        <f>'Necesidades Trimestrales'!E20</f>
        <v xml:space="preserve">SUTURA QUIRURGICA ACIDO POLIGLICOLICO Nª 8/0 J546G OFTALMOLOGICO TIPO VICRYL </v>
      </c>
      <c r="D22" s="95"/>
      <c r="E22" s="95"/>
      <c r="F22" s="95"/>
      <c r="G22" s="95"/>
      <c r="H22" s="65" t="s">
        <v>57</v>
      </c>
      <c r="I22" s="66" t="str">
        <f>'Necesidades Trimestrales'!F20</f>
        <v>UNIDAD</v>
      </c>
      <c r="J22" s="67">
        <f>'Necesidades Trimestrales'!H20</f>
        <v>1800</v>
      </c>
      <c r="K22" s="68">
        <f>'Necesidades Trimestrales'!G20</f>
        <v>144</v>
      </c>
    </row>
    <row r="23" spans="1:11" ht="20.25" customHeight="1" thickBot="1" x14ac:dyDescent="0.25">
      <c r="A23" s="8">
        <v>12</v>
      </c>
      <c r="B23" s="64">
        <f>'Necesidades Trimestrales'!B21</f>
        <v>0</v>
      </c>
      <c r="C23" s="95" t="str">
        <f>'Necesidades Trimestrales'!E21</f>
        <v xml:space="preserve">SUTURA QUIRURGICA ACIDO POLIGLICOLICO TRENZADA ABSROBIBLE TIPO VICRYL  1/0 J 347 H x uds   </v>
      </c>
      <c r="D23" s="95"/>
      <c r="E23" s="95"/>
      <c r="F23" s="95"/>
      <c r="G23" s="95"/>
      <c r="H23" s="65" t="s">
        <v>57</v>
      </c>
      <c r="I23" s="66" t="str">
        <f>'Necesidades Trimestrales'!F21</f>
        <v>UNIDAD</v>
      </c>
      <c r="J23" s="67">
        <f>'Necesidades Trimestrales'!H21</f>
        <v>234.9</v>
      </c>
      <c r="K23" s="68">
        <f>'Necesidades Trimestrales'!G21</f>
        <v>720</v>
      </c>
    </row>
    <row r="24" spans="1:11" ht="20.25" customHeight="1" thickBot="1" x14ac:dyDescent="0.25">
      <c r="A24" s="8">
        <v>13</v>
      </c>
      <c r="B24" s="64">
        <f>'Necesidades Trimestrales'!B22</f>
        <v>0</v>
      </c>
      <c r="C24" s="95" t="str">
        <f>'Necesidades Trimestrales'!E22</f>
        <v>SUTURA QUIRURGICA ACIDO POLIGLICOLICO TRENZADA ABSROBIBLE TIPO VICRYL  2/0 J 356 c/a x uds</v>
      </c>
      <c r="D24" s="95"/>
      <c r="E24" s="95"/>
      <c r="F24" s="95"/>
      <c r="G24" s="95"/>
      <c r="H24" s="65" t="s">
        <v>57</v>
      </c>
      <c r="I24" s="66" t="str">
        <f>'Necesidades Trimestrales'!F22</f>
        <v>UNIDAD</v>
      </c>
      <c r="J24" s="67">
        <f>'Necesidades Trimestrales'!H22</f>
        <v>286</v>
      </c>
      <c r="K24" s="68">
        <f>'Necesidades Trimestrales'!G22</f>
        <v>720</v>
      </c>
    </row>
    <row r="25" spans="1:11" ht="38.25" customHeight="1" thickBot="1" x14ac:dyDescent="0.25">
      <c r="A25" s="8">
        <v>14</v>
      </c>
      <c r="B25" s="64">
        <f>'Necesidades Trimestrales'!B23</f>
        <v>0</v>
      </c>
      <c r="C25" s="95" t="str">
        <f>'Necesidades Trimestrales'!E23</f>
        <v>SUTURA QUIRURGICA ACIDO POLIGLICOLICO TRENZADA ABSROBIBLE TIPO VICRYL  3/0 DOBLE AGUJA 8842H</v>
      </c>
      <c r="D25" s="95"/>
      <c r="E25" s="95"/>
      <c r="F25" s="95"/>
      <c r="G25" s="95"/>
      <c r="H25" s="65" t="s">
        <v>57</v>
      </c>
      <c r="I25" s="66" t="str">
        <f>'Necesidades Trimestrales'!F23</f>
        <v>UNIDAD</v>
      </c>
      <c r="J25" s="67">
        <f>'Necesidades Trimestrales'!H23</f>
        <v>375</v>
      </c>
      <c r="K25" s="68">
        <f>'Necesidades Trimestrales'!G23</f>
        <v>480</v>
      </c>
    </row>
    <row r="26" spans="1:11" ht="20.25" customHeight="1" thickBot="1" x14ac:dyDescent="0.25">
      <c r="A26" s="8">
        <v>15</v>
      </c>
      <c r="B26" s="64">
        <f>'Necesidades Trimestrales'!B24</f>
        <v>0</v>
      </c>
      <c r="C26" s="95" t="str">
        <f>'Necesidades Trimestrales'!E24</f>
        <v>SUTURA QUIRURGICA ACIDO POLIGLICOLICO TRENZADA ABSROBIBLE TIPO VICRYL 0 J340H CON AGUJA</v>
      </c>
      <c r="D26" s="95"/>
      <c r="E26" s="95"/>
      <c r="F26" s="95"/>
      <c r="G26" s="95"/>
      <c r="H26" s="65" t="s">
        <v>57</v>
      </c>
      <c r="I26" s="66" t="str">
        <f>'Necesidades Trimestrales'!F24</f>
        <v>UNIDAD</v>
      </c>
      <c r="J26" s="67">
        <f>'Necesidades Trimestrales'!H24</f>
        <v>3400</v>
      </c>
      <c r="K26" s="68">
        <f>'Necesidades Trimestrales'!G24</f>
        <v>720</v>
      </c>
    </row>
    <row r="27" spans="1:11" ht="20.25" customHeight="1" thickBot="1" x14ac:dyDescent="0.25">
      <c r="A27" s="8">
        <v>16</v>
      </c>
      <c r="B27" s="64">
        <f>'Necesidades Trimestrales'!B25</f>
        <v>0</v>
      </c>
      <c r="C27" s="95" t="str">
        <f>'Necesidades Trimestrales'!E25</f>
        <v>SUTURA QUIRURGICA POLIPROPILENO NO ABSORBIBLE TIPO PROLENE 0 CT8424</v>
      </c>
      <c r="D27" s="95"/>
      <c r="E27" s="95"/>
      <c r="F27" s="95"/>
      <c r="G27" s="95"/>
      <c r="H27" s="65" t="s">
        <v>57</v>
      </c>
      <c r="I27" s="66" t="str">
        <f>'Necesidades Trimestrales'!F25</f>
        <v>UNIDAD</v>
      </c>
      <c r="J27" s="67">
        <f>'Necesidades Trimestrales'!H25</f>
        <v>514.20000000000005</v>
      </c>
      <c r="K27" s="68">
        <f>'Necesidades Trimestrales'!G25</f>
        <v>288</v>
      </c>
    </row>
    <row r="28" spans="1:11" ht="20.25" customHeight="1" thickBot="1" x14ac:dyDescent="0.25">
      <c r="A28" s="8">
        <v>17</v>
      </c>
      <c r="B28" s="64">
        <f>'Necesidades Trimestrales'!B26</f>
        <v>0</v>
      </c>
      <c r="C28" s="95" t="str">
        <f>'Necesidades Trimestrales'!E26</f>
        <v>SUTURA QUIRURGICA POLIPROPILENO NO ABSORBIBLE TIPO PROLENE 2/0 8185</v>
      </c>
      <c r="D28" s="95"/>
      <c r="E28" s="95"/>
      <c r="F28" s="95"/>
      <c r="G28" s="95"/>
      <c r="H28" s="65" t="s">
        <v>57</v>
      </c>
      <c r="I28" s="66" t="str">
        <f>'Necesidades Trimestrales'!F26</f>
        <v>UNIDAD</v>
      </c>
      <c r="J28" s="67">
        <f>'Necesidades Trimestrales'!H26</f>
        <v>411.2</v>
      </c>
      <c r="K28" s="68">
        <f>'Necesidades Trimestrales'!G26</f>
        <v>720</v>
      </c>
    </row>
    <row r="29" spans="1:11" ht="20.25" customHeight="1" thickBot="1" x14ac:dyDescent="0.25">
      <c r="A29" s="8">
        <v>18</v>
      </c>
      <c r="B29" s="64">
        <f>'Necesidades Trimestrales'!B27</f>
        <v>0</v>
      </c>
      <c r="C29" s="95" t="str">
        <f>'Necesidades Trimestrales'!E27</f>
        <v>SUTURA QUIRURGICA POLIPROPILENO NO ABSORBIBLE TIPO PROLENE 2/0 con aguja recta 8623</v>
      </c>
      <c r="D29" s="95"/>
      <c r="E29" s="95"/>
      <c r="F29" s="95"/>
      <c r="G29" s="95"/>
      <c r="H29" s="65" t="s">
        <v>57</v>
      </c>
      <c r="I29" s="66" t="str">
        <f>'Necesidades Trimestrales'!F27</f>
        <v>UNIDAD</v>
      </c>
      <c r="J29" s="67">
        <f>'Necesidades Trimestrales'!H27</f>
        <v>245.8</v>
      </c>
      <c r="K29" s="68">
        <f>'Necesidades Trimestrales'!G27</f>
        <v>720</v>
      </c>
    </row>
    <row r="30" spans="1:11" ht="20.25" customHeight="1" thickBot="1" x14ac:dyDescent="0.25">
      <c r="A30" s="8">
        <v>19</v>
      </c>
      <c r="B30" s="64">
        <f>'Necesidades Trimestrales'!B28</f>
        <v>0</v>
      </c>
      <c r="C30" s="95" t="str">
        <f>'Necesidades Trimestrales'!E28</f>
        <v>SUTURA QUIRURGICA POLIPROPILENO NO ABSORBIBLE TIPO PROLENE 3/0  8622 Con aguja recta</v>
      </c>
      <c r="D30" s="95"/>
      <c r="E30" s="95"/>
      <c r="F30" s="95"/>
      <c r="G30" s="95"/>
      <c r="H30" s="65" t="s">
        <v>57</v>
      </c>
      <c r="I30" s="66" t="str">
        <f>'Necesidades Trimestrales'!F28</f>
        <v>UNIDAD</v>
      </c>
      <c r="J30" s="67">
        <f>'Necesidades Trimestrales'!H28</f>
        <v>375</v>
      </c>
      <c r="K30" s="68">
        <f>'Necesidades Trimestrales'!G28</f>
        <v>720</v>
      </c>
    </row>
    <row r="31" spans="1:11" ht="20.25" customHeight="1" thickBot="1" x14ac:dyDescent="0.25">
      <c r="A31" s="8">
        <v>20</v>
      </c>
      <c r="B31" s="64">
        <f>'Necesidades Trimestrales'!B29</f>
        <v>0</v>
      </c>
      <c r="C31" s="95" t="str">
        <f>'Necesidades Trimestrales'!E29</f>
        <v>SUTURA QUIRURGICA POLIPROPILENO NO ABSORBIBLE TIPO PROLENE 3/0 8522 AGUJA CURVA</v>
      </c>
      <c r="D31" s="95"/>
      <c r="E31" s="95"/>
      <c r="F31" s="95"/>
      <c r="G31" s="95"/>
      <c r="H31" s="65" t="s">
        <v>57</v>
      </c>
      <c r="I31" s="66" t="str">
        <f>'Necesidades Trimestrales'!F29</f>
        <v>UNIDAD</v>
      </c>
      <c r="J31" s="67">
        <f>'Necesidades Trimestrales'!H29</f>
        <v>375</v>
      </c>
      <c r="K31" s="68">
        <f>'Necesidades Trimestrales'!G29</f>
        <v>720</v>
      </c>
    </row>
    <row r="32" spans="1:11" ht="20.25" customHeight="1" thickBot="1" x14ac:dyDescent="0.25">
      <c r="A32" s="8">
        <v>21</v>
      </c>
      <c r="B32" s="64">
        <f>'Necesidades Trimestrales'!B30</f>
        <v>0</v>
      </c>
      <c r="C32" s="95" t="str">
        <f>'Necesidades Trimestrales'!E30</f>
        <v>SUTURA QUIRURGICA POLIPROPILENO NO ABSORBIBLE TIPO PROLENE 4/0 8521 PM</v>
      </c>
      <c r="D32" s="95"/>
      <c r="E32" s="95"/>
      <c r="F32" s="95"/>
      <c r="G32" s="95"/>
      <c r="H32" s="65" t="s">
        <v>57</v>
      </c>
      <c r="I32" s="66" t="str">
        <f>'Necesidades Trimestrales'!F30</f>
        <v>UNIDAD</v>
      </c>
      <c r="J32" s="67">
        <f>'Necesidades Trimestrales'!H30</f>
        <v>389</v>
      </c>
      <c r="K32" s="68">
        <f>'Necesidades Trimestrales'!G30</f>
        <v>360</v>
      </c>
    </row>
    <row r="33" spans="1:1024" ht="20.25" customHeight="1" thickBot="1" x14ac:dyDescent="0.25">
      <c r="A33" s="8">
        <v>22</v>
      </c>
      <c r="B33" s="64">
        <f>'Necesidades Trimestrales'!B31</f>
        <v>0</v>
      </c>
      <c r="C33" s="95" t="str">
        <f>'Necesidades Trimestrales'!E31</f>
        <v xml:space="preserve">SUTURA QUIRURGICA POLIPROPILENO NO ABSORBIBLE TIPO PROLENE 6/0 8706 DOBLE AGUJA </v>
      </c>
      <c r="D33" s="95"/>
      <c r="E33" s="95"/>
      <c r="F33" s="95"/>
      <c r="G33" s="95"/>
      <c r="H33" s="65" t="s">
        <v>57</v>
      </c>
      <c r="I33" s="66" t="str">
        <f>'Necesidades Trimestrales'!F31</f>
        <v>UNIDAD</v>
      </c>
      <c r="J33" s="67">
        <f>'Necesidades Trimestrales'!H31</f>
        <v>478</v>
      </c>
      <c r="K33" s="68">
        <f>'Necesidades Trimestrales'!G31</f>
        <v>192</v>
      </c>
    </row>
    <row r="34" spans="1:1024" ht="20.25" customHeight="1" thickBot="1" x14ac:dyDescent="0.25">
      <c r="A34" s="8">
        <v>23</v>
      </c>
      <c r="B34" s="64">
        <f>'Necesidades Trimestrales'!B32</f>
        <v>0</v>
      </c>
      <c r="C34" s="95" t="str">
        <f>'Necesidades Trimestrales'!E32</f>
        <v xml:space="preserve">SUTURA QUIRURGICA POLIPROPILENO NO ABSORBIBLE TIPO PROLENE 7/0 8727 </v>
      </c>
      <c r="D34" s="95"/>
      <c r="E34" s="95"/>
      <c r="F34" s="95"/>
      <c r="G34" s="95"/>
      <c r="H34" s="65" t="s">
        <v>57</v>
      </c>
      <c r="I34" s="66" t="str">
        <f>'Necesidades Trimestrales'!F32</f>
        <v>UNIDAD</v>
      </c>
      <c r="J34" s="67">
        <f>'Necesidades Trimestrales'!H32</f>
        <v>412.3</v>
      </c>
      <c r="K34" s="68">
        <f>'Necesidades Trimestrales'!G32</f>
        <v>144</v>
      </c>
    </row>
    <row r="35" spans="1:1024" ht="20.25" customHeight="1" thickBot="1" x14ac:dyDescent="0.25">
      <c r="A35" s="102" t="s">
        <v>97</v>
      </c>
      <c r="B35" s="102"/>
      <c r="C35" s="102"/>
      <c r="D35" s="102"/>
      <c r="E35" s="102"/>
      <c r="F35" s="102"/>
      <c r="G35" s="102"/>
      <c r="H35" s="102"/>
      <c r="I35" s="102"/>
      <c r="J35" s="96">
        <f>SUMPRODUCT(J12:J34,K12:K34)</f>
        <v>6012785.2800000003</v>
      </c>
      <c r="K35" s="96"/>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sheetData>
  <mergeCells count="45">
    <mergeCell ref="C13:G13"/>
    <mergeCell ref="C14:G14"/>
    <mergeCell ref="A1:I1"/>
    <mergeCell ref="A6:C6"/>
    <mergeCell ref="D6:K6"/>
    <mergeCell ref="A7:C7"/>
    <mergeCell ref="D7:K7"/>
    <mergeCell ref="A3:C3"/>
    <mergeCell ref="D3:K3"/>
    <mergeCell ref="A4:C4"/>
    <mergeCell ref="D4:K4"/>
    <mergeCell ref="A5:C5"/>
    <mergeCell ref="D5:K5"/>
    <mergeCell ref="J35:K35"/>
    <mergeCell ref="A8:C8"/>
    <mergeCell ref="D8:K8"/>
    <mergeCell ref="A10:A11"/>
    <mergeCell ref="B10:B11"/>
    <mergeCell ref="C10:G11"/>
    <mergeCell ref="H10:H11"/>
    <mergeCell ref="I10:I11"/>
    <mergeCell ref="J10:J11"/>
    <mergeCell ref="K10:K11"/>
    <mergeCell ref="C19:G19"/>
    <mergeCell ref="C20:G20"/>
    <mergeCell ref="C21:G21"/>
    <mergeCell ref="C22:G22"/>
    <mergeCell ref="A35:I35"/>
    <mergeCell ref="C12:G12"/>
    <mergeCell ref="C15:G15"/>
    <mergeCell ref="C16:G16"/>
    <mergeCell ref="C17:G17"/>
    <mergeCell ref="C18:G18"/>
    <mergeCell ref="C32:G32"/>
    <mergeCell ref="C33:G33"/>
    <mergeCell ref="C34:G34"/>
    <mergeCell ref="C23:G23"/>
    <mergeCell ref="C24:G24"/>
    <mergeCell ref="C25:G25"/>
    <mergeCell ref="C26:G26"/>
    <mergeCell ref="C27:G27"/>
    <mergeCell ref="C28:G28"/>
    <mergeCell ref="C29:G29"/>
    <mergeCell ref="C30:G30"/>
    <mergeCell ref="C31:G31"/>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
  <sheetViews>
    <sheetView tabSelected="1" topLeftCell="A4" zoomScale="130" zoomScaleNormal="130" workbookViewId="0">
      <selection activeCell="S10" sqref="S10"/>
    </sheetView>
  </sheetViews>
  <sheetFormatPr baseColWidth="10" defaultColWidth="11" defaultRowHeight="12.75" x14ac:dyDescent="0.2"/>
  <cols>
    <col min="1" max="4" width="4.42578125" customWidth="1"/>
    <col min="5" max="5" width="4.140625" customWidth="1"/>
    <col min="6" max="6" width="5.140625" customWidth="1"/>
    <col min="7" max="7" width="4.42578125" style="9" customWidth="1"/>
    <col min="8" max="14" width="4.42578125" customWidth="1"/>
    <col min="15" max="16" width="14.85546875" customWidth="1"/>
    <col min="17" max="17" width="14.7109375" customWidth="1"/>
    <col min="19" max="19" width="13.28515625" bestFit="1" customWidth="1"/>
  </cols>
  <sheetData>
    <row r="1" spans="1:17" ht="15.75" customHeight="1" x14ac:dyDescent="0.25">
      <c r="A1" s="131" t="s">
        <v>3</v>
      </c>
      <c r="B1" s="131"/>
      <c r="C1" s="131"/>
      <c r="D1" s="132">
        <f>'Necesidades Trimestrales'!C6</f>
        <v>2021</v>
      </c>
      <c r="E1" s="132"/>
      <c r="F1" s="10"/>
      <c r="G1" s="10"/>
      <c r="H1" s="11"/>
      <c r="I1" s="11"/>
      <c r="J1" s="11"/>
      <c r="K1" s="11"/>
      <c r="L1" s="11"/>
      <c r="M1" s="11"/>
      <c r="N1" s="11"/>
      <c r="P1" s="133" t="s">
        <v>31</v>
      </c>
      <c r="Q1" s="133"/>
    </row>
    <row r="2" spans="1:17" ht="15.75" customHeight="1" x14ac:dyDescent="0.2">
      <c r="H2" s="11"/>
      <c r="I2" s="11"/>
      <c r="J2" s="11"/>
      <c r="K2" s="11"/>
      <c r="L2" s="11"/>
      <c r="M2" s="11"/>
      <c r="N2" s="11"/>
      <c r="P2" s="133"/>
      <c r="Q2" s="133"/>
    </row>
    <row r="4" spans="1:17" s="12" customFormat="1" ht="18" customHeight="1" thickBot="1" x14ac:dyDescent="0.25">
      <c r="A4" s="134" t="s">
        <v>32</v>
      </c>
      <c r="B4" s="134"/>
      <c r="C4" s="134"/>
      <c r="D4" s="134"/>
      <c r="E4" s="134"/>
      <c r="F4" s="134"/>
      <c r="G4" s="129" t="str">
        <f>NotaPedido!D3</f>
        <v>40 - Ministerio de Salud</v>
      </c>
      <c r="H4" s="129"/>
      <c r="I4" s="129"/>
      <c r="J4" s="129"/>
      <c r="K4" s="129"/>
      <c r="L4" s="129"/>
      <c r="M4" s="129"/>
      <c r="N4" s="129"/>
      <c r="O4" s="129"/>
      <c r="P4" s="129"/>
      <c r="Q4" s="129"/>
    </row>
    <row r="5" spans="1:17" s="12" customFormat="1" ht="18" customHeight="1" thickBot="1" x14ac:dyDescent="0.25">
      <c r="A5" s="126" t="s">
        <v>55</v>
      </c>
      <c r="B5" s="127"/>
      <c r="C5" s="127"/>
      <c r="D5" s="127"/>
      <c r="E5" s="127"/>
      <c r="F5" s="128"/>
      <c r="G5" s="129" t="str">
        <f>NotaPedido!D4</f>
        <v>23 - Hospital Interzonal San Juan Bautista</v>
      </c>
      <c r="H5" s="129"/>
      <c r="I5" s="129"/>
      <c r="J5" s="129"/>
      <c r="K5" s="129"/>
      <c r="L5" s="129"/>
      <c r="M5" s="129"/>
      <c r="N5" s="129"/>
      <c r="O5" s="129"/>
      <c r="P5" s="129"/>
      <c r="Q5" s="129"/>
    </row>
    <row r="6" spans="1:17" s="12" customFormat="1" ht="18" customHeight="1" thickBot="1" x14ac:dyDescent="0.25">
      <c r="A6" s="126" t="s">
        <v>33</v>
      </c>
      <c r="B6" s="127"/>
      <c r="C6" s="127"/>
      <c r="D6" s="127"/>
      <c r="E6" s="127"/>
      <c r="F6" s="128"/>
      <c r="G6" s="129" t="str">
        <f>NotaPedido!D5</f>
        <v>168 - Direccion Asistencial</v>
      </c>
      <c r="H6" s="129"/>
      <c r="I6" s="129"/>
      <c r="J6" s="129"/>
      <c r="K6" s="129"/>
      <c r="L6" s="129"/>
      <c r="M6" s="129"/>
      <c r="N6" s="129"/>
      <c r="O6" s="129"/>
      <c r="P6" s="129"/>
      <c r="Q6" s="129"/>
    </row>
    <row r="7" spans="1:17" s="12" customFormat="1" ht="18" customHeight="1" thickBot="1" x14ac:dyDescent="0.25">
      <c r="A7" s="126" t="s">
        <v>56</v>
      </c>
      <c r="B7" s="127"/>
      <c r="C7" s="127"/>
      <c r="D7" s="127"/>
      <c r="E7" s="127"/>
      <c r="F7" s="128"/>
      <c r="G7" s="129" t="str">
        <f>NotaPedido!D6</f>
        <v>Servicio de Farmacia</v>
      </c>
      <c r="H7" s="129"/>
      <c r="I7" s="129"/>
      <c r="J7" s="129"/>
      <c r="K7" s="129"/>
      <c r="L7" s="129"/>
      <c r="M7" s="129"/>
      <c r="N7" s="129"/>
      <c r="O7" s="129"/>
      <c r="P7" s="129"/>
      <c r="Q7" s="129"/>
    </row>
    <row r="8" spans="1:17" ht="18" customHeight="1" thickBot="1" x14ac:dyDescent="0.25">
      <c r="A8" s="130" t="s">
        <v>34</v>
      </c>
      <c r="B8" s="130"/>
      <c r="C8" s="130"/>
      <c r="D8" s="130"/>
      <c r="E8" s="130"/>
      <c r="F8" s="130"/>
      <c r="G8" s="130"/>
      <c r="H8" s="130"/>
      <c r="I8" s="130"/>
      <c r="J8" s="130"/>
      <c r="K8" s="130"/>
      <c r="L8" s="130"/>
      <c r="M8" s="130"/>
      <c r="N8" s="130"/>
      <c r="O8" s="130"/>
      <c r="P8" s="130"/>
      <c r="Q8" s="130"/>
    </row>
    <row r="9" spans="1:17" ht="18" customHeight="1" x14ac:dyDescent="0.2">
      <c r="A9" s="120" t="s">
        <v>35</v>
      </c>
      <c r="B9" s="120"/>
      <c r="C9" s="120"/>
      <c r="D9" s="120"/>
      <c r="E9" s="120"/>
      <c r="F9" s="120"/>
      <c r="G9" s="120"/>
      <c r="H9" s="120"/>
      <c r="I9" s="120"/>
      <c r="J9" s="120"/>
      <c r="K9" s="120"/>
      <c r="L9" s="120"/>
      <c r="M9" s="120"/>
      <c r="N9" s="120"/>
      <c r="O9" s="1"/>
      <c r="P9" s="1"/>
      <c r="Q9" s="13"/>
    </row>
    <row r="10" spans="1:17" ht="54.75" customHeight="1" x14ac:dyDescent="0.2">
      <c r="A10" s="121" t="str">
        <f>"Autorizo la realización de los  trámites correspondientes, a fin de proveer a  este Organismo los bienes y/o servicios que se detallan en Nota de Pedido N° " &amp;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029 - 2021,  afectando la erogación resultante a los créditos presupuestarios aprobados a favor de esta Unidad Ejecutora, conforme al siguiente detalle:</v>
      </c>
      <c r="B10" s="121"/>
      <c r="C10" s="121"/>
      <c r="D10" s="121"/>
      <c r="E10" s="121"/>
      <c r="F10" s="121"/>
      <c r="G10" s="121"/>
      <c r="H10" s="121"/>
      <c r="I10" s="121"/>
      <c r="J10" s="121"/>
      <c r="K10" s="121"/>
      <c r="L10" s="121"/>
      <c r="M10" s="121"/>
      <c r="N10" s="121"/>
      <c r="O10" s="121"/>
      <c r="P10" s="121"/>
      <c r="Q10" s="121"/>
    </row>
    <row r="11" spans="1:17" ht="9" customHeight="1" x14ac:dyDescent="0.2">
      <c r="A11" s="14"/>
      <c r="B11" s="15"/>
      <c r="C11" s="15"/>
      <c r="D11" s="15"/>
      <c r="E11" s="15"/>
      <c r="F11" s="15"/>
      <c r="G11" s="16"/>
      <c r="H11" s="15"/>
      <c r="I11" s="15"/>
      <c r="J11" s="15"/>
      <c r="K11" s="15"/>
      <c r="L11" s="15"/>
      <c r="M11" s="15"/>
      <c r="N11" s="15"/>
      <c r="O11" s="15"/>
      <c r="P11" s="15"/>
      <c r="Q11" s="17"/>
    </row>
    <row r="12" spans="1:17" ht="15.75" customHeight="1" x14ac:dyDescent="0.2">
      <c r="A12" s="122" t="s">
        <v>36</v>
      </c>
      <c r="B12" s="122"/>
      <c r="C12" s="122"/>
      <c r="D12" s="122"/>
      <c r="E12" s="122"/>
      <c r="F12" s="122"/>
      <c r="G12" s="122"/>
      <c r="H12" s="122"/>
      <c r="I12" s="122"/>
      <c r="J12" s="122"/>
      <c r="K12" s="122"/>
      <c r="L12" s="122"/>
      <c r="M12" s="122"/>
      <c r="N12" s="122"/>
      <c r="O12" s="122"/>
      <c r="P12" s="122"/>
      <c r="Q12" s="122"/>
    </row>
    <row r="13" spans="1:17" ht="15.75" customHeight="1" x14ac:dyDescent="0.2">
      <c r="A13" s="123" t="s">
        <v>37</v>
      </c>
      <c r="B13" s="123"/>
      <c r="C13" s="123"/>
      <c r="D13" s="123"/>
      <c r="E13" s="123"/>
      <c r="F13" s="123"/>
      <c r="G13" s="123"/>
      <c r="H13" s="123"/>
      <c r="I13" s="123"/>
      <c r="J13" s="123"/>
      <c r="K13" s="123"/>
      <c r="L13" s="123"/>
      <c r="M13" s="123"/>
      <c r="N13" s="123"/>
      <c r="O13" s="124" t="s">
        <v>38</v>
      </c>
      <c r="P13" s="124"/>
      <c r="Q13" s="125" t="s">
        <v>39</v>
      </c>
    </row>
    <row r="14" spans="1:17" ht="15.75" customHeight="1" x14ac:dyDescent="0.2">
      <c r="A14" s="18" t="s">
        <v>40</v>
      </c>
      <c r="B14" s="19" t="s">
        <v>41</v>
      </c>
      <c r="C14" s="19" t="s">
        <v>42</v>
      </c>
      <c r="D14" s="19" t="s">
        <v>43</v>
      </c>
      <c r="E14" s="19" t="s">
        <v>44</v>
      </c>
      <c r="F14" s="19" t="s">
        <v>45</v>
      </c>
      <c r="G14" s="20" t="s">
        <v>46</v>
      </c>
      <c r="H14" s="19" t="s">
        <v>47</v>
      </c>
      <c r="I14" s="19" t="s">
        <v>48</v>
      </c>
      <c r="J14" s="19" t="s">
        <v>49</v>
      </c>
      <c r="K14" s="19" t="s">
        <v>49</v>
      </c>
      <c r="L14" s="19" t="s">
        <v>50</v>
      </c>
      <c r="M14" s="21" t="s">
        <v>51</v>
      </c>
      <c r="N14" s="22" t="s">
        <v>52</v>
      </c>
      <c r="O14" s="124"/>
      <c r="P14" s="124"/>
      <c r="Q14" s="125"/>
    </row>
    <row r="15" spans="1:17" ht="17.25" customHeight="1" x14ac:dyDescent="0.2">
      <c r="A15" s="71">
        <v>33</v>
      </c>
      <c r="B15" s="72"/>
      <c r="C15" s="72"/>
      <c r="D15" s="72">
        <v>2</v>
      </c>
      <c r="E15" s="72"/>
      <c r="F15" s="72">
        <v>4901</v>
      </c>
      <c r="G15" s="72">
        <v>3</v>
      </c>
      <c r="H15" s="73" t="s">
        <v>63</v>
      </c>
      <c r="I15" s="74">
        <v>2</v>
      </c>
      <c r="J15" s="74">
        <v>9</v>
      </c>
      <c r="K15" s="74">
        <v>5</v>
      </c>
      <c r="L15" s="72"/>
      <c r="M15" s="75">
        <v>1</v>
      </c>
      <c r="N15" s="73" t="s">
        <v>64</v>
      </c>
      <c r="O15" s="117" t="s">
        <v>65</v>
      </c>
      <c r="P15" s="117"/>
      <c r="Q15" s="23">
        <v>6012785.2800000003</v>
      </c>
    </row>
    <row r="16" spans="1:17" ht="17.25" customHeight="1" x14ac:dyDescent="0.2">
      <c r="A16" s="24"/>
      <c r="B16" s="25"/>
      <c r="C16" s="25"/>
      <c r="D16" s="25"/>
      <c r="E16" s="25"/>
      <c r="F16" s="25"/>
      <c r="G16" s="25"/>
      <c r="H16" s="69"/>
      <c r="I16" s="25"/>
      <c r="J16" s="25"/>
      <c r="K16" s="25"/>
      <c r="L16" s="25"/>
      <c r="M16" s="26"/>
      <c r="N16" s="70"/>
      <c r="O16" s="118"/>
      <c r="P16" s="118"/>
      <c r="Q16" s="28"/>
    </row>
    <row r="17" spans="1:19" ht="17.25" customHeight="1" x14ac:dyDescent="0.2">
      <c r="A17" s="24"/>
      <c r="B17" s="25"/>
      <c r="C17" s="25"/>
      <c r="D17" s="25"/>
      <c r="E17" s="25"/>
      <c r="F17" s="27"/>
      <c r="G17" s="25"/>
      <c r="H17" s="69"/>
      <c r="I17" s="25"/>
      <c r="J17" s="25"/>
      <c r="K17" s="25"/>
      <c r="L17" s="25"/>
      <c r="M17" s="26"/>
      <c r="N17" s="70"/>
      <c r="O17" s="118"/>
      <c r="P17" s="118"/>
      <c r="Q17" s="28"/>
      <c r="S17" s="76"/>
    </row>
    <row r="18" spans="1:19" ht="17.25" customHeight="1" x14ac:dyDescent="0.2">
      <c r="A18" s="24"/>
      <c r="B18" s="25"/>
      <c r="C18" s="25"/>
      <c r="D18" s="25"/>
      <c r="E18" s="25"/>
      <c r="F18" s="25"/>
      <c r="G18" s="25"/>
      <c r="H18" s="69"/>
      <c r="I18" s="25"/>
      <c r="J18" s="25"/>
      <c r="K18" s="25"/>
      <c r="L18" s="25"/>
      <c r="M18" s="26"/>
      <c r="N18" s="70"/>
      <c r="O18" s="119"/>
      <c r="P18" s="112"/>
      <c r="Q18" s="28"/>
    </row>
    <row r="19" spans="1:19" ht="17.25" customHeight="1" x14ac:dyDescent="0.2">
      <c r="A19" s="24"/>
      <c r="B19" s="25"/>
      <c r="C19" s="25"/>
      <c r="D19" s="25"/>
      <c r="E19" s="25"/>
      <c r="F19" s="27"/>
      <c r="G19" s="25"/>
      <c r="H19" s="25"/>
      <c r="I19" s="25"/>
      <c r="J19" s="25"/>
      <c r="K19" s="25"/>
      <c r="L19" s="25"/>
      <c r="M19" s="26"/>
      <c r="N19" s="27"/>
      <c r="O19" s="112"/>
      <c r="P19" s="112"/>
      <c r="Q19" s="28"/>
    </row>
    <row r="20" spans="1:19" ht="17.25" customHeight="1" x14ac:dyDescent="0.2">
      <c r="A20" s="24"/>
      <c r="B20" s="25"/>
      <c r="C20" s="25"/>
      <c r="D20" s="25"/>
      <c r="E20" s="25"/>
      <c r="F20" s="27"/>
      <c r="G20" s="25"/>
      <c r="H20" s="25"/>
      <c r="I20" s="25"/>
      <c r="J20" s="25"/>
      <c r="K20" s="25"/>
      <c r="L20" s="25"/>
      <c r="M20" s="26"/>
      <c r="N20" s="27"/>
      <c r="O20" s="112"/>
      <c r="P20" s="112"/>
      <c r="Q20" s="28"/>
    </row>
    <row r="21" spans="1:19" ht="17.25" customHeight="1" x14ac:dyDescent="0.2">
      <c r="A21" s="29"/>
      <c r="B21" s="30"/>
      <c r="C21" s="30"/>
      <c r="D21" s="30"/>
      <c r="E21" s="30"/>
      <c r="F21" s="31"/>
      <c r="G21" s="30"/>
      <c r="H21" s="30"/>
      <c r="I21" s="30"/>
      <c r="J21" s="30"/>
      <c r="K21" s="30"/>
      <c r="L21" s="30"/>
      <c r="M21" s="32"/>
      <c r="N21" s="33"/>
      <c r="O21" s="113"/>
      <c r="P21" s="113"/>
      <c r="Q21" s="28"/>
      <c r="R21" s="1"/>
    </row>
    <row r="22" spans="1:19" ht="17.25" customHeight="1" x14ac:dyDescent="0.2">
      <c r="A22" s="34"/>
      <c r="B22" s="35"/>
      <c r="C22" s="35"/>
      <c r="D22" s="35"/>
      <c r="E22" s="35"/>
      <c r="F22" s="35"/>
      <c r="G22" s="35"/>
      <c r="H22" s="35"/>
      <c r="I22" s="35"/>
      <c r="J22" s="35"/>
      <c r="K22" s="35"/>
      <c r="L22" s="35"/>
      <c r="M22" s="36"/>
      <c r="N22" s="35"/>
      <c r="O22" s="114"/>
      <c r="P22" s="114"/>
      <c r="Q22" s="37"/>
    </row>
    <row r="23" spans="1:19" ht="28.5" customHeight="1" x14ac:dyDescent="0.2">
      <c r="A23" s="115" t="s">
        <v>98</v>
      </c>
      <c r="B23" s="115"/>
      <c r="C23" s="115"/>
      <c r="D23" s="115"/>
      <c r="E23" s="115"/>
      <c r="F23" s="115"/>
      <c r="G23" s="115"/>
      <c r="H23" s="115"/>
      <c r="I23" s="115"/>
      <c r="J23" s="115"/>
      <c r="K23" s="115"/>
      <c r="L23" s="115"/>
      <c r="M23" s="115"/>
      <c r="N23" s="115"/>
      <c r="O23" s="115"/>
      <c r="P23" s="115"/>
      <c r="Q23" s="38">
        <f>SUM(Q15:Q22)</f>
        <v>6012785.2800000003</v>
      </c>
    </row>
    <row r="24" spans="1:19" ht="18" customHeight="1" thickBot="1" x14ac:dyDescent="0.25">
      <c r="A24" s="116"/>
      <c r="B24" s="116"/>
      <c r="C24" s="116"/>
      <c r="D24" s="116"/>
      <c r="E24" s="116"/>
      <c r="F24" s="116"/>
      <c r="G24" s="116"/>
      <c r="H24" s="116"/>
      <c r="I24" s="116"/>
      <c r="J24" s="116"/>
      <c r="K24" s="116"/>
      <c r="L24" s="116"/>
      <c r="M24" s="116"/>
      <c r="N24" s="116"/>
      <c r="O24" s="116"/>
      <c r="P24" s="116"/>
      <c r="Q24" s="116"/>
    </row>
    <row r="25" spans="1:19" ht="17.25" customHeight="1" thickBot="1" x14ac:dyDescent="0.25">
      <c r="A25" s="107" t="s">
        <v>53</v>
      </c>
      <c r="B25" s="108"/>
      <c r="C25" s="108"/>
      <c r="D25" s="108"/>
      <c r="E25" s="108"/>
      <c r="F25" s="109"/>
      <c r="G25" s="110"/>
      <c r="H25" s="110"/>
      <c r="I25" s="110"/>
      <c r="J25" s="110"/>
      <c r="K25" s="110"/>
      <c r="L25" s="110"/>
      <c r="M25" s="110"/>
      <c r="N25" s="110"/>
      <c r="O25" s="110"/>
      <c r="P25" s="110"/>
      <c r="Q25" s="110"/>
    </row>
    <row r="26" spans="1:19" ht="18" customHeight="1" thickBot="1" x14ac:dyDescent="0.25">
      <c r="A26" s="111" t="str">
        <f>"Para la "&amp; NotaPedido!D8 &amp;" para ser destinados al " &amp; NotaPedido!D6 &amp;"  del HISJB del Ministerio de Salud."</f>
        <v>Para la Adquisición de Suturas para Farmacia  para ser destinados al Servicio de Farmacia  del HISJB del Ministerio de Salud.</v>
      </c>
      <c r="B26" s="111"/>
      <c r="C26" s="111"/>
      <c r="D26" s="111"/>
      <c r="E26" s="111"/>
      <c r="F26" s="111"/>
      <c r="G26" s="111"/>
      <c r="H26" s="111"/>
      <c r="I26" s="111"/>
      <c r="J26" s="111"/>
      <c r="K26" s="111"/>
      <c r="L26" s="111"/>
      <c r="M26" s="111"/>
      <c r="N26" s="111"/>
      <c r="O26" s="111"/>
      <c r="P26" s="111"/>
      <c r="Q26" s="111"/>
    </row>
    <row r="27" spans="1:19" ht="15" customHeight="1" x14ac:dyDescent="0.2">
      <c r="A27" s="111"/>
      <c r="B27" s="111"/>
      <c r="C27" s="111"/>
      <c r="D27" s="111"/>
      <c r="E27" s="111"/>
      <c r="F27" s="111"/>
      <c r="G27" s="111"/>
      <c r="H27" s="111"/>
      <c r="I27" s="111"/>
      <c r="J27" s="111"/>
      <c r="K27" s="111"/>
      <c r="L27" s="111"/>
      <c r="M27" s="111"/>
      <c r="N27" s="111"/>
      <c r="O27" s="111"/>
      <c r="P27" s="111"/>
      <c r="Q27" s="111"/>
    </row>
  </sheetData>
  <mergeCells count="31">
    <mergeCell ref="A1:C1"/>
    <mergeCell ref="D1:E1"/>
    <mergeCell ref="P1:Q2"/>
    <mergeCell ref="A4:F4"/>
    <mergeCell ref="G4:Q4"/>
    <mergeCell ref="A5:F5"/>
    <mergeCell ref="G5:Q5"/>
    <mergeCell ref="A8:Q8"/>
    <mergeCell ref="A6:F6"/>
    <mergeCell ref="G6:Q6"/>
    <mergeCell ref="A7:F7"/>
    <mergeCell ref="G7:Q7"/>
    <mergeCell ref="A9:N9"/>
    <mergeCell ref="A10:Q10"/>
    <mergeCell ref="A12:Q12"/>
    <mergeCell ref="A13:N13"/>
    <mergeCell ref="O13:P14"/>
    <mergeCell ref="Q13:Q14"/>
    <mergeCell ref="O15:P15"/>
    <mergeCell ref="O16:P16"/>
    <mergeCell ref="O17:P17"/>
    <mergeCell ref="O18:P18"/>
    <mergeCell ref="O19:P19"/>
    <mergeCell ref="A25:F25"/>
    <mergeCell ref="G25:Q25"/>
    <mergeCell ref="A26:Q27"/>
    <mergeCell ref="O20:P20"/>
    <mergeCell ref="O21:P21"/>
    <mergeCell ref="O22:P22"/>
    <mergeCell ref="A23:P23"/>
    <mergeCell ref="A24:Q2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NotaPedido</vt:lpstr>
      <vt:lpstr>Autor Gastar</vt:lpstr>
      <vt:lpstr>'Autor Gastar'!Área_de_impresión</vt:lpstr>
      <vt:lpstr>NotaPedido!Área_de_impresión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Usuario</cp:lastModifiedBy>
  <cp:revision>2</cp:revision>
  <cp:lastPrinted>2020-07-17T22:18:48Z</cp:lastPrinted>
  <dcterms:created xsi:type="dcterms:W3CDTF">2020-07-17T23:44:49Z</dcterms:created>
  <dcterms:modified xsi:type="dcterms:W3CDTF">2021-04-06T13:13:05Z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