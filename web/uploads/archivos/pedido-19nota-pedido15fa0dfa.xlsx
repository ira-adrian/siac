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19410" windowHeight="1101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1">NotaPedido!$A$1:$K$14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3" l="1"/>
  <c r="A10" i="3"/>
  <c r="K13" i="2"/>
  <c r="J13" i="2"/>
  <c r="I13" i="2"/>
  <c r="C13" i="2"/>
  <c r="B13" i="2"/>
  <c r="K12" i="2"/>
  <c r="J12" i="2"/>
  <c r="I12" i="2"/>
  <c r="C12" i="2"/>
  <c r="B12" i="2"/>
  <c r="I11" i="1"/>
  <c r="I10" i="1"/>
  <c r="J14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<sst xmlns="http://schemas.openxmlformats.org/spreadsheetml/2006/main" count="88" uniqueCount="78">
  <si>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</si>
  <si>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</si>
  <si>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</si>
  <si>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</si>
  <si>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</si>
  <si>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</si>
  <si>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</si>
  <si>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</si>
  <si>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</si>
  <si>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</si>
  <si>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</si>
  <si>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</si>
  <si>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</si>
  <si>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</si>
  <si>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</si>
  <si>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</si>
  <si>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</si>
  <si>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</si>
  <si>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</si>
  <si>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</si>
  <si>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</si>
  <si>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</si>
  <si>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</si>
  <si>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</si>
  <si>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</si>
  <si>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</si>
  <si>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</si>
  <si>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</si>
  <si>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</si>
  <si>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</si>
  <si>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</si>
  <si>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</si>
  <si>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</si>
  <si>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</si>
  <si>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</si>
  <si>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</si>
  <si>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</si>
  <si>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</si>
  <si>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</si>
  <si>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</si>
  <si>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</si>
  <si>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</si>
  <si>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</si>
  <si>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</si>
  <si>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</si>
  <si>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</si>
  <si>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</si>
  <si>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</si>
  <si>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</si>
  <si>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</si>
  <si>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</si>
  <si>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</si>
  <si>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</si>
  <si>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</si>
  <si>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</si>
  <si>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</si>
  <si>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</si>
  <si>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</si>
  <si>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</si>
  <si>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</si>
  <si>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</si>
  <si>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 xml:space="preserve">45 dias habiles </t>
  </si>
  <si>
    <t>3.1</t>
  </si>
  <si>
    <t>1.1</t>
  </si>
  <si>
    <t>Utiles Menores Med. Quir. y de Lab.</t>
  </si>
  <si>
    <t xml:space="preserve">FILTRO HME ADULTO HIGROBAC INTERCAMBIADOR CALOR/HUMEDAD </t>
  </si>
  <si>
    <t xml:space="preserve">FILTRO HME F INTERCAMBIADOR CALOR/HUMEDAD -VIRAL -BACTERIAL </t>
  </si>
  <si>
    <t>UNIDAD</t>
  </si>
  <si>
    <t>2.9.5</t>
  </si>
  <si>
    <t>Especificidades Item N° :</t>
  </si>
  <si>
    <t xml:space="preserve">15 dias habiles  - Servicio de Farmacia del HISJB - Avda. Illia y Mariano Moreno de lunes a viernes de 08 a 11 horas 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</si>
  <si>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</si>
  <si>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</si>
  <si>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 xml:space="preserve">PLAZO DE ENTREGA: 15 DIAS HABILES - SERVICIO DE FARMACIA - ADVA. ILLIA Y MARIANO MORENO - DE LUNES A VIERNES DE 08:00 A 11:00 HORAS </t>
  </si>
  <si>
    <t>Costo total estimado: CUATROCIENTOS DIECISIETE MIL SEISCIENTOS CON 00/100.--</t>
  </si>
  <si>
    <t xml:space="preserve">Adquisición de Insumos para Terapia Respiratoria </t>
  </si>
  <si>
    <t>015 - 2022</t>
  </si>
  <si>
    <t>TOTAL DE PESOS: CUATROCIENTOS DIECISIETE MIL SEISCIENTOS CON 00/100.-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</si>
</sst>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9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B8B7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3" borderId="6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 wrapText="1"/>
    </xf>
    <xf numFmtId="0" fontId="17" fillId="0" borderId="0" xfId="0" applyFont="1" applyBorder="1" applyAlignment="1">
      <alignment horizontal="left" vertical="center" wrapText="1"/>
    </xf>
    <xf numFmtId="0" fontId="15" fillId="4" borderId="6" xfId="0" applyFont="1" applyFill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wrapText="1"/>
    </xf>
    <xf numFmtId="0" fontId="21" fillId="7" borderId="20" xfId="0" applyFont="1" applyFill="1" applyBorder="1" applyAlignment="1">
      <alignment horizontal="center" vertical="center" wrapText="1"/>
    </xf>
    <xf numFmtId="0" fontId="21" fillId="7" borderId="48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5" fillId="7" borderId="48" xfId="0" applyFont="1" applyFill="1" applyBorder="1" applyAlignment="1">
      <alignment horizontal="center" vertical="center"/>
    </xf>
    <xf numFmtId="0" fontId="15" fillId="7" borderId="21" xfId="0" applyFont="1" applyFill="1" applyBorder="1" applyAlignment="1">
      <alignment horizontal="center" vertic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48" xfId="0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left" vertical="center" wrapText="1"/>
    </xf>
    <xf numFmtId="0" fontId="14" fillId="6" borderId="14" xfId="0" applyFont="1" applyFill="1" applyBorder="1" applyAlignment="1">
      <alignment vertical="center"/>
    </xf>
    <xf numFmtId="0" fontId="14" fillId="5" borderId="14" xfId="0" applyFont="1" applyFill="1" applyBorder="1" applyAlignment="1">
      <alignment horizontal="center" vertical="center"/>
    </xf>
    <xf numFmtId="3" fontId="14" fillId="5" borderId="14" xfId="0" applyNumberFormat="1" applyFont="1" applyFill="1" applyBorder="1" applyAlignment="1">
      <alignment horizontal="center" vertical="center"/>
    </xf>
    <xf numFmtId="44" fontId="14" fillId="5" borderId="14" xfId="1" applyNumberFormat="1" applyFont="1" applyFill="1" applyBorder="1" applyAlignment="1">
      <alignment horizont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1"/>
  <sheetViews>
    <sheetView tabSelected="1" topLeftCell="A13" zoomScale="85" zoomScaleNormal="85" workbookViewId="0">
      <selection activeCell="G23" sqref="G23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1" t="s">
        <v>0</v>
      </c>
      <c r="C2" s="81"/>
      <c r="D2" s="81"/>
      <c r="E2" s="81"/>
      <c r="F2" s="81"/>
      <c r="G2" s="81"/>
      <c r="H2" s="81"/>
    </row>
    <row r="4" spans="1:9" ht="18" customHeight="1" x14ac:dyDescent="0.25">
      <c r="A4" s="79" t="s">
        <v>1</v>
      </c>
      <c r="B4" s="79"/>
      <c r="C4" s="82" t="s">
        <v>57</v>
      </c>
      <c r="D4" s="82"/>
      <c r="E4" s="82"/>
      <c r="F4" s="40"/>
      <c r="G4" s="41"/>
      <c r="H4" s="40"/>
    </row>
    <row r="5" spans="1:9" ht="18" customHeight="1" x14ac:dyDescent="0.25">
      <c r="A5" s="79" t="s">
        <v>2</v>
      </c>
      <c r="B5" s="79"/>
      <c r="C5" s="82" t="s">
        <v>58</v>
      </c>
      <c r="D5" s="82"/>
      <c r="E5" s="82"/>
      <c r="F5" s="40"/>
      <c r="G5" s="41"/>
      <c r="H5" s="40"/>
    </row>
    <row r="6" spans="1:9" ht="16.5" customHeight="1" x14ac:dyDescent="0.25">
      <c r="A6" s="79" t="s">
        <v>3</v>
      </c>
      <c r="B6" s="79"/>
      <c r="C6" s="61">
        <v>2022</v>
      </c>
      <c r="D6" s="62"/>
      <c r="E6" s="62"/>
      <c r="F6" s="40"/>
      <c r="G6" s="41"/>
      <c r="H6" s="40"/>
    </row>
    <row r="7" spans="1:9" ht="16.5" customHeight="1" x14ac:dyDescent="0.25">
      <c r="A7" s="79" t="s">
        <v>4</v>
      </c>
      <c r="B7" s="79"/>
      <c r="C7" s="61">
        <v>1</v>
      </c>
      <c r="D7" s="62"/>
      <c r="E7" s="62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59"/>
      <c r="C10" s="57" t="s">
        <v>64</v>
      </c>
      <c r="D10" s="58" t="s">
        <v>68</v>
      </c>
      <c r="E10" s="135" t="s">
        <v>65</v>
      </c>
      <c r="F10" s="136" t="s">
        <v>67</v>
      </c>
      <c r="G10" s="137">
        <v>900</v>
      </c>
      <c r="H10" s="138">
        <v>354</v>
      </c>
      <c r="I10" s="60">
        <f t="shared" ref="I10:I11" si="0">G10*H10</f>
        <v>318600</v>
      </c>
    </row>
    <row r="11" spans="1:9" ht="31.9" customHeight="1" thickBot="1" x14ac:dyDescent="0.25">
      <c r="A11" s="56">
        <v>2</v>
      </c>
      <c r="B11" s="59"/>
      <c r="C11" s="57" t="s">
        <v>64</v>
      </c>
      <c r="D11" s="58" t="s">
        <v>68</v>
      </c>
      <c r="E11" s="135" t="s">
        <v>66</v>
      </c>
      <c r="F11" s="136" t="s">
        <v>67</v>
      </c>
      <c r="G11" s="137">
        <v>300</v>
      </c>
      <c r="H11" s="138">
        <v>330</v>
      </c>
      <c r="I11" s="60">
        <f t="shared" si="0"/>
        <v>99000</v>
      </c>
    </row>
    <row r="12" spans="1:9" ht="13.5" thickBot="1" x14ac:dyDescent="0.25"/>
    <row r="13" spans="1:9" ht="58.5" customHeight="1" thickBot="1" x14ac:dyDescent="0.25">
      <c r="C13" s="125" t="s">
        <v>71</v>
      </c>
      <c r="D13" s="126"/>
      <c r="E13" s="127"/>
    </row>
    <row r="14" spans="1:9" ht="39" customHeight="1" thickBot="1" x14ac:dyDescent="0.25">
      <c r="C14" s="128" t="s">
        <v>72</v>
      </c>
      <c r="D14" s="129"/>
      <c r="E14" s="130"/>
    </row>
    <row r="15" spans="1:9" ht="39" customHeight="1" thickBot="1" x14ac:dyDescent="0.25">
      <c r="C15" s="131" t="s">
        <v>73</v>
      </c>
      <c r="D15" s="132"/>
      <c r="E15" s="133"/>
    </row>
    <row r="16" spans="1:9" ht="22.5" customHeight="1" x14ac:dyDescent="0.2"/>
    <row r="17" spans="2:5" ht="13.5" thickBot="1" x14ac:dyDescent="0.25"/>
    <row r="18" spans="2:5" x14ac:dyDescent="0.2">
      <c r="B18" s="42" t="s">
        <v>69</v>
      </c>
      <c r="C18" s="43"/>
      <c r="D18" s="43"/>
      <c r="E18" s="44"/>
    </row>
    <row r="19" spans="2:5" ht="5.25" customHeight="1" x14ac:dyDescent="0.2">
      <c r="B19" s="45"/>
      <c r="C19" s="46"/>
      <c r="D19" s="46"/>
      <c r="E19" s="47"/>
    </row>
    <row r="20" spans="2:5" x14ac:dyDescent="0.2">
      <c r="B20" s="48" t="s">
        <v>14</v>
      </c>
      <c r="C20" s="46"/>
      <c r="D20" s="46"/>
      <c r="E20" s="47"/>
    </row>
    <row r="21" spans="2:5" ht="41.25" customHeight="1" x14ac:dyDescent="0.2">
      <c r="B21" s="48"/>
      <c r="C21" s="78"/>
      <c r="D21" s="78"/>
      <c r="E21" s="78"/>
    </row>
    <row r="22" spans="2:5" x14ac:dyDescent="0.2">
      <c r="B22" s="48" t="s">
        <v>15</v>
      </c>
      <c r="C22" s="46"/>
      <c r="D22" s="46"/>
      <c r="E22" s="47"/>
    </row>
    <row r="23" spans="2:5" ht="23.25" customHeight="1" x14ac:dyDescent="0.2">
      <c r="B23" s="49"/>
      <c r="C23" s="122" t="s">
        <v>70</v>
      </c>
      <c r="D23" s="122"/>
      <c r="E23" s="123"/>
    </row>
    <row r="24" spans="2:5" x14ac:dyDescent="0.2">
      <c r="B24" s="49"/>
      <c r="C24" s="80"/>
      <c r="D24" s="80"/>
      <c r="E24" s="80"/>
    </row>
    <row r="25" spans="2:5" x14ac:dyDescent="0.2">
      <c r="B25" s="48" t="s">
        <v>16</v>
      </c>
      <c r="C25" s="46"/>
      <c r="D25" s="46"/>
      <c r="E25" s="47"/>
    </row>
    <row r="26" spans="2:5" ht="26.25" customHeight="1" x14ac:dyDescent="0.2">
      <c r="B26" s="49"/>
      <c r="C26" s="78"/>
      <c r="D26" s="78"/>
      <c r="E26" s="78"/>
    </row>
    <row r="27" spans="2:5" x14ac:dyDescent="0.2">
      <c r="B27" s="48" t="s">
        <v>17</v>
      </c>
      <c r="C27" s="50"/>
      <c r="D27" s="50"/>
      <c r="E27" s="51"/>
    </row>
    <row r="28" spans="2:5" ht="26.25" customHeight="1" x14ac:dyDescent="0.2">
      <c r="B28" s="49"/>
      <c r="C28" s="124" t="s">
        <v>61</v>
      </c>
      <c r="D28" s="124"/>
      <c r="E28" s="124"/>
    </row>
    <row r="29" spans="2:5" x14ac:dyDescent="0.2">
      <c r="B29" s="48" t="s">
        <v>18</v>
      </c>
      <c r="C29" s="46"/>
      <c r="D29" s="46"/>
      <c r="E29" s="47"/>
    </row>
    <row r="30" spans="2:5" ht="23.25" customHeight="1" x14ac:dyDescent="0.2">
      <c r="B30" s="48"/>
      <c r="C30" s="77"/>
      <c r="D30" s="77"/>
      <c r="E30" s="77"/>
    </row>
    <row r="31" spans="2:5" x14ac:dyDescent="0.2">
      <c r="B31" s="52"/>
      <c r="C31" s="53"/>
      <c r="D31" s="53"/>
      <c r="E31" s="54"/>
    </row>
  </sheetData>
  <mergeCells count="16">
    <mergeCell ref="B2:H2"/>
    <mergeCell ref="A4:B4"/>
    <mergeCell ref="C4:E4"/>
    <mergeCell ref="A5:B5"/>
    <mergeCell ref="C5:E5"/>
    <mergeCell ref="A6:B6"/>
    <mergeCell ref="A7:B7"/>
    <mergeCell ref="C21:E21"/>
    <mergeCell ref="C23:E23"/>
    <mergeCell ref="C24:E24"/>
    <mergeCell ref="C13:E13"/>
    <mergeCell ref="C14:E14"/>
    <mergeCell ref="C15:E15"/>
    <mergeCell ref="C26:E26"/>
    <mergeCell ref="C28:E28"/>
    <mergeCell ref="C30:E30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70" zoomScaleNormal="70" workbookViewId="0">
      <selection activeCell="K26" sqref="K2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91" t="s">
        <v>19</v>
      </c>
      <c r="B1" s="91"/>
      <c r="C1" s="91"/>
      <c r="D1" s="91"/>
      <c r="E1" s="91"/>
      <c r="F1" s="91"/>
      <c r="G1" s="91"/>
      <c r="H1" s="91"/>
      <c r="I1" s="91"/>
      <c r="J1" s="3" t="s">
        <v>20</v>
      </c>
      <c r="K1" s="63" t="s">
        <v>76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ht="18.75" customHeight="1" thickBot="1" x14ac:dyDescent="0.25">
      <c r="A3" s="92" t="s">
        <v>53</v>
      </c>
      <c r="B3" s="92"/>
      <c r="C3" s="92"/>
      <c r="D3" s="93" t="str">
        <f>'Necesidades Trimestrales'!C4</f>
        <v>40 - Ministerio de Salud</v>
      </c>
      <c r="E3" s="93"/>
      <c r="F3" s="93"/>
      <c r="G3" s="93"/>
      <c r="H3" s="93"/>
      <c r="I3" s="93"/>
      <c r="J3" s="93"/>
      <c r="K3" s="93"/>
    </row>
    <row r="4" spans="1:1024" ht="18.75" customHeight="1" thickBot="1" x14ac:dyDescent="0.25">
      <c r="A4" s="94" t="s">
        <v>54</v>
      </c>
      <c r="B4" s="94"/>
      <c r="C4" s="94"/>
      <c r="D4" s="93" t="str">
        <f>'Necesidades Trimestrales'!C5</f>
        <v>23 - Hospital Interzonal San Juan Bautista</v>
      </c>
      <c r="E4" s="93"/>
      <c r="F4" s="93"/>
      <c r="G4" s="93"/>
      <c r="H4" s="93"/>
      <c r="I4" s="93"/>
      <c r="J4" s="93"/>
      <c r="K4" s="93"/>
    </row>
    <row r="5" spans="1:1024" ht="18.75" customHeight="1" thickBot="1" x14ac:dyDescent="0.25">
      <c r="A5" s="94" t="s">
        <v>32</v>
      </c>
      <c r="B5" s="94"/>
      <c r="C5" s="94"/>
      <c r="D5" s="93" t="s">
        <v>59</v>
      </c>
      <c r="E5" s="93"/>
      <c r="F5" s="93"/>
      <c r="G5" s="93"/>
      <c r="H5" s="93"/>
      <c r="I5" s="93"/>
      <c r="J5" s="93"/>
      <c r="K5" s="93"/>
    </row>
    <row r="6" spans="1:1024" ht="16.5" customHeight="1" thickBot="1" x14ac:dyDescent="0.25">
      <c r="A6" s="92" t="s">
        <v>55</v>
      </c>
      <c r="B6" s="92"/>
      <c r="C6" s="92"/>
      <c r="D6" s="93" t="s">
        <v>60</v>
      </c>
      <c r="E6" s="93"/>
      <c r="F6" s="93"/>
      <c r="G6" s="93"/>
      <c r="H6" s="93"/>
      <c r="I6" s="93"/>
      <c r="J6" s="93"/>
      <c r="K6" s="93"/>
    </row>
    <row r="7" spans="1:1024" ht="16.5" customHeight="1" x14ac:dyDescent="0.2">
      <c r="A7" s="94" t="s">
        <v>21</v>
      </c>
      <c r="B7" s="94"/>
      <c r="C7" s="94"/>
      <c r="D7" s="93" t="str">
        <f>'Necesidades Trimestrales'!C7 &amp; "° Trimestre - Año " &amp; 'Necesidades Trimestrales'!C6</f>
        <v>1° Trimestre - Año 2022</v>
      </c>
      <c r="E7" s="93"/>
      <c r="F7" s="93"/>
      <c r="G7" s="93"/>
      <c r="H7" s="93"/>
      <c r="I7" s="93"/>
      <c r="J7" s="93"/>
      <c r="K7" s="93"/>
    </row>
    <row r="8" spans="1:1024" ht="16.5" customHeight="1" x14ac:dyDescent="0.2">
      <c r="A8" s="86" t="s">
        <v>22</v>
      </c>
      <c r="B8" s="86"/>
      <c r="C8" s="86"/>
      <c r="D8" s="87" t="s">
        <v>75</v>
      </c>
      <c r="E8" s="87"/>
      <c r="F8" s="87"/>
      <c r="G8" s="87"/>
      <c r="H8" s="87"/>
      <c r="I8" s="87"/>
      <c r="J8" s="87"/>
      <c r="K8" s="87"/>
    </row>
    <row r="9" spans="1:1024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024" ht="18.75" customHeight="1" x14ac:dyDescent="0.2">
      <c r="A10" s="88" t="s">
        <v>23</v>
      </c>
      <c r="B10" s="89" t="s">
        <v>24</v>
      </c>
      <c r="C10" s="89" t="s">
        <v>25</v>
      </c>
      <c r="D10" s="89"/>
      <c r="E10" s="89"/>
      <c r="F10" s="89"/>
      <c r="G10" s="89"/>
      <c r="H10" s="89" t="s">
        <v>26</v>
      </c>
      <c r="I10" s="89" t="s">
        <v>27</v>
      </c>
      <c r="J10" s="89" t="s">
        <v>28</v>
      </c>
      <c r="K10" s="90" t="s">
        <v>29</v>
      </c>
    </row>
    <row r="11" spans="1:1024" ht="24" customHeight="1" thickBot="1" x14ac:dyDescent="0.25">
      <c r="A11" s="88"/>
      <c r="B11" s="89"/>
      <c r="C11" s="89"/>
      <c r="D11" s="89"/>
      <c r="E11" s="89"/>
      <c r="F11" s="89"/>
      <c r="G11" s="89"/>
      <c r="H11" s="89"/>
      <c r="I11" s="89"/>
      <c r="J11" s="89"/>
      <c r="K11" s="90"/>
    </row>
    <row r="12" spans="1:1024" ht="20.25" customHeight="1" thickBot="1" x14ac:dyDescent="0.25">
      <c r="A12" s="8">
        <v>1</v>
      </c>
      <c r="B12" s="64">
        <f>'Necesidades Trimestrales'!B10</f>
        <v>0</v>
      </c>
      <c r="C12" s="83" t="str">
        <f>'Necesidades Trimestrales'!E10</f>
        <v xml:space="preserve">FILTRO HME ADULTO HIGROBAC INTERCAMBIADOR CALOR/HUMEDAD </v>
      </c>
      <c r="D12" s="83"/>
      <c r="E12" s="83"/>
      <c r="F12" s="83"/>
      <c r="G12" s="83"/>
      <c r="H12" s="65" t="s">
        <v>56</v>
      </c>
      <c r="I12" s="66" t="str">
        <f>'Necesidades Trimestrales'!F10</f>
        <v>UNIDAD</v>
      </c>
      <c r="J12" s="67">
        <f>'Necesidades Trimestrales'!H10</f>
        <v>354</v>
      </c>
      <c r="K12" s="68">
        <f>'Necesidades Trimestrales'!G10</f>
        <v>900</v>
      </c>
    </row>
    <row r="13" spans="1:1024" ht="20.25" customHeight="1" thickBot="1" x14ac:dyDescent="0.25">
      <c r="A13" s="8">
        <v>2</v>
      </c>
      <c r="B13" s="64">
        <f>'Necesidades Trimestrales'!B11</f>
        <v>0</v>
      </c>
      <c r="C13" s="83" t="str">
        <f>'Necesidades Trimestrales'!E11</f>
        <v xml:space="preserve">FILTRO HME F INTERCAMBIADOR CALOR/HUMEDAD -VIRAL -BACTERIAL </v>
      </c>
      <c r="D13" s="83"/>
      <c r="E13" s="83"/>
      <c r="F13" s="83"/>
      <c r="G13" s="83"/>
      <c r="H13" s="65" t="s">
        <v>56</v>
      </c>
      <c r="I13" s="66" t="str">
        <f>'Necesidades Trimestrales'!F11</f>
        <v>UNIDAD</v>
      </c>
      <c r="J13" s="67">
        <f>'Necesidades Trimestrales'!H11</f>
        <v>330</v>
      </c>
      <c r="K13" s="68">
        <f>'Necesidades Trimestrales'!G11</f>
        <v>300</v>
      </c>
    </row>
    <row r="14" spans="1:1024" ht="20.25" customHeight="1" thickBot="1" x14ac:dyDescent="0.25">
      <c r="A14" s="84" t="s">
        <v>74</v>
      </c>
      <c r="B14" s="84"/>
      <c r="C14" s="84"/>
      <c r="D14" s="84"/>
      <c r="E14" s="84"/>
      <c r="F14" s="84"/>
      <c r="G14" s="84"/>
      <c r="H14" s="84"/>
      <c r="I14" s="84"/>
      <c r="J14" s="85">
        <f>SUMPRODUCT(J12:J13,K12:K13)</f>
        <v>417600</v>
      </c>
      <c r="K14" s="85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4:I14"/>
    <mergeCell ref="J14:K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opLeftCell="A7"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18" t="s">
        <v>3</v>
      </c>
      <c r="B1" s="118"/>
      <c r="C1" s="118"/>
      <c r="D1" s="119">
        <f>'Necesidades Trimestrales'!C6</f>
        <v>2022</v>
      </c>
      <c r="E1" s="119"/>
      <c r="F1" s="10"/>
      <c r="G1" s="10"/>
      <c r="H1" s="11"/>
      <c r="I1" s="11"/>
      <c r="J1" s="11"/>
      <c r="K1" s="11"/>
      <c r="L1" s="11"/>
      <c r="M1" s="11"/>
      <c r="N1" s="11"/>
      <c r="P1" s="120" t="s">
        <v>30</v>
      </c>
      <c r="Q1" s="120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0"/>
      <c r="Q2" s="120"/>
    </row>
    <row r="4" spans="1:17" s="12" customFormat="1" ht="18" customHeight="1" thickBot="1" x14ac:dyDescent="0.25">
      <c r="A4" s="121" t="s">
        <v>31</v>
      </c>
      <c r="B4" s="121"/>
      <c r="C4" s="121"/>
      <c r="D4" s="121"/>
      <c r="E4" s="121"/>
      <c r="F4" s="121"/>
      <c r="G4" s="116" t="str">
        <f>NotaPedido!D3</f>
        <v>40 - Ministerio de Salud</v>
      </c>
      <c r="H4" s="116"/>
      <c r="I4" s="116"/>
      <c r="J4" s="116"/>
      <c r="K4" s="116"/>
      <c r="L4" s="116"/>
      <c r="M4" s="116"/>
      <c r="N4" s="116"/>
      <c r="O4" s="116"/>
      <c r="P4" s="116"/>
      <c r="Q4" s="116"/>
    </row>
    <row r="5" spans="1:17" s="12" customFormat="1" ht="18" customHeight="1" thickBot="1" x14ac:dyDescent="0.25">
      <c r="A5" s="113" t="s">
        <v>54</v>
      </c>
      <c r="B5" s="114"/>
      <c r="C5" s="114"/>
      <c r="D5" s="114"/>
      <c r="E5" s="114"/>
      <c r="F5" s="115"/>
      <c r="G5" s="116" t="str">
        <f>NotaPedido!D4</f>
        <v>23 - Hospital Interzonal San Juan Bautista</v>
      </c>
      <c r="H5" s="116"/>
      <c r="I5" s="116"/>
      <c r="J5" s="116"/>
      <c r="K5" s="116"/>
      <c r="L5" s="116"/>
      <c r="M5" s="116"/>
      <c r="N5" s="116"/>
      <c r="O5" s="116"/>
      <c r="P5" s="116"/>
      <c r="Q5" s="116"/>
    </row>
    <row r="6" spans="1:17" s="12" customFormat="1" ht="18" customHeight="1" thickBot="1" x14ac:dyDescent="0.25">
      <c r="A6" s="113" t="s">
        <v>32</v>
      </c>
      <c r="B6" s="114"/>
      <c r="C6" s="114"/>
      <c r="D6" s="114"/>
      <c r="E6" s="114"/>
      <c r="F6" s="115"/>
      <c r="G6" s="116" t="str">
        <f>NotaPedido!D5</f>
        <v>168 - Direccion Asistencial</v>
      </c>
      <c r="H6" s="116"/>
      <c r="I6" s="116"/>
      <c r="J6" s="116"/>
      <c r="K6" s="116"/>
      <c r="L6" s="116"/>
      <c r="M6" s="116"/>
      <c r="N6" s="116"/>
      <c r="O6" s="116"/>
      <c r="P6" s="116"/>
      <c r="Q6" s="116"/>
    </row>
    <row r="7" spans="1:17" s="12" customFormat="1" ht="18" customHeight="1" thickBot="1" x14ac:dyDescent="0.25">
      <c r="A7" s="113" t="s">
        <v>55</v>
      </c>
      <c r="B7" s="114"/>
      <c r="C7" s="114"/>
      <c r="D7" s="114"/>
      <c r="E7" s="114"/>
      <c r="F7" s="115"/>
      <c r="G7" s="116" t="str">
        <f>NotaPedido!D6</f>
        <v>Servicio de Farmacia</v>
      </c>
      <c r="H7" s="116"/>
      <c r="I7" s="116"/>
      <c r="J7" s="116"/>
      <c r="K7" s="116"/>
      <c r="L7" s="116"/>
      <c r="M7" s="116"/>
      <c r="N7" s="116"/>
      <c r="O7" s="116"/>
      <c r="P7" s="116"/>
      <c r="Q7" s="116"/>
    </row>
    <row r="8" spans="1:17" ht="18" customHeight="1" thickBot="1" x14ac:dyDescent="0.25">
      <c r="A8" s="117" t="s">
        <v>33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</row>
    <row r="9" spans="1:17" ht="18" customHeight="1" x14ac:dyDescent="0.2">
      <c r="A9" s="107" t="s">
        <v>34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"/>
      <c r="P9" s="1"/>
      <c r="Q9" s="13"/>
    </row>
    <row r="10" spans="1:17" ht="54.75" customHeight="1" x14ac:dyDescent="0.2">
      <c r="A10" s="108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015 - 2022,  afectando la erogación resultante a los créditos presupuestarios aprobados a favor de esta Unidad Ejecutora, conforme al siguiente detalle: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09" t="s">
        <v>35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</row>
    <row r="13" spans="1:17" ht="15.75" customHeight="1" x14ac:dyDescent="0.2">
      <c r="A13" s="110" t="s">
        <v>36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1" t="s">
        <v>37</v>
      </c>
      <c r="P13" s="111"/>
      <c r="Q13" s="112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1"/>
      <c r="P14" s="111"/>
      <c r="Q14" s="112"/>
    </row>
    <row r="15" spans="1:17" ht="17.25" customHeight="1" x14ac:dyDescent="0.2">
      <c r="A15" s="71">
        <v>33</v>
      </c>
      <c r="B15" s="72"/>
      <c r="C15" s="72"/>
      <c r="D15" s="72">
        <v>2</v>
      </c>
      <c r="E15" s="72"/>
      <c r="F15" s="72">
        <v>4901</v>
      </c>
      <c r="G15" s="72">
        <v>3</v>
      </c>
      <c r="H15" s="73" t="s">
        <v>62</v>
      </c>
      <c r="I15" s="74">
        <v>2</v>
      </c>
      <c r="J15" s="74">
        <v>9</v>
      </c>
      <c r="K15" s="74">
        <v>5</v>
      </c>
      <c r="L15" s="72"/>
      <c r="M15" s="75">
        <v>1</v>
      </c>
      <c r="N15" s="73" t="s">
        <v>63</v>
      </c>
      <c r="O15" s="104" t="s">
        <v>64</v>
      </c>
      <c r="P15" s="104"/>
      <c r="Q15" s="23">
        <v>417600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9"/>
      <c r="I16" s="25"/>
      <c r="J16" s="25"/>
      <c r="K16" s="25"/>
      <c r="L16" s="25"/>
      <c r="M16" s="26"/>
      <c r="N16" s="70"/>
      <c r="O16" s="105"/>
      <c r="P16" s="105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9"/>
      <c r="I17" s="25"/>
      <c r="J17" s="25"/>
      <c r="K17" s="25"/>
      <c r="L17" s="25"/>
      <c r="M17" s="26"/>
      <c r="N17" s="70"/>
      <c r="O17" s="105"/>
      <c r="P17" s="105"/>
      <c r="Q17" s="28"/>
      <c r="S17" s="76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9"/>
      <c r="I18" s="25"/>
      <c r="J18" s="25"/>
      <c r="K18" s="25"/>
      <c r="L18" s="25"/>
      <c r="M18" s="26"/>
      <c r="N18" s="70"/>
      <c r="O18" s="106"/>
      <c r="P18" s="100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0"/>
      <c r="P19" s="100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00"/>
      <c r="P20" s="100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01"/>
      <c r="P21" s="101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02"/>
      <c r="P22" s="102"/>
      <c r="Q22" s="37"/>
    </row>
    <row r="23" spans="1:19" ht="20.25" customHeight="1" x14ac:dyDescent="0.2">
      <c r="A23" s="134" t="s">
        <v>77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38">
        <f>SUM(Q15:Q22)</f>
        <v>417600</v>
      </c>
    </row>
    <row r="24" spans="1:19" ht="18" customHeight="1" thickBot="1" x14ac:dyDescent="0.25">
      <c r="A24" s="103"/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</row>
    <row r="25" spans="1:19" ht="17.25" customHeight="1" thickBot="1" x14ac:dyDescent="0.25">
      <c r="A25" s="95" t="s">
        <v>52</v>
      </c>
      <c r="B25" s="96"/>
      <c r="C25" s="96"/>
      <c r="D25" s="96"/>
      <c r="E25" s="96"/>
      <c r="F25" s="97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</row>
    <row r="26" spans="1:19" ht="18" customHeight="1" thickBot="1" x14ac:dyDescent="0.25">
      <c r="A26" s="99" t="str">
        <f>"Para la "&amp; NotaPedido!D8 &amp;" para ser destinados al " &amp; NotaPedido!D6 &amp;"  del HISJB del Ministerio de Salud."</f>
        <v>Para la Adquisición de Insumos para Terapia Respiratoria  para ser destinados al Servicio de Farmacia  del HISJB del Ministerio de Salud.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</row>
    <row r="27" spans="1:19" ht="15" customHeight="1" x14ac:dyDescent="0.2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2020-07-17T22:18:48Z</cp:lastPrinted>
  <dcterms:created xsi:type="dcterms:W3CDTF">2020-07-17T23:44:49Z</dcterms:created>
  <dcterms:modified xsi:type="dcterms:W3CDTF">2022-01-12T14:14:00Z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