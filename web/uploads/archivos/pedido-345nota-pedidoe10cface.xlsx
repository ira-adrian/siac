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Gastar'!$A$1:$Q$25</definedName>
    <definedName name="_xlnm.Print_Area" localSheetId="0">'Necesidades Trimestrales'!$A$2:$I$58</definedName>
    <definedName name="_xlnm.Print_Area" localSheetId="1">NotaPedido!$A$1:$K$59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Q21" i="3" l="1"/>
  <c r="D42" i="1" l="1"/>
  <c r="D41" i="1"/>
  <c r="D40" i="1"/>
  <c r="D39" i="1"/>
  <c r="I38" i="1"/>
  <c r="I39" i="1"/>
  <c r="I40" i="1"/>
  <c r="I41" i="1"/>
  <c r="I42" i="1"/>
  <c r="D38" i="1"/>
  <c r="H37" i="1"/>
  <c r="D32" i="1"/>
  <c r="I32" i="1"/>
  <c r="H21" i="1"/>
  <c r="H20" i="1"/>
  <c r="H25" i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3" i="1"/>
  <c r="I34" i="1"/>
  <c r="I35" i="1"/>
  <c r="I36" i="1"/>
  <c r="I37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10" i="1"/>
  <c r="D11" i="1" l="1"/>
  <c r="A24" i="3" l="1"/>
  <c r="D50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3" i="1"/>
  <c r="D34" i="1"/>
  <c r="D35" i="1"/>
  <c r="D36" i="1"/>
  <c r="D37" i="1"/>
  <c r="D43" i="1"/>
  <c r="D44" i="1"/>
  <c r="D45" i="1"/>
  <c r="D46" i="1"/>
  <c r="D47" i="1"/>
  <c r="D48" i="1"/>
  <c r="D49" i="1"/>
  <c r="D51" i="1"/>
  <c r="D52" i="1"/>
  <c r="D53" i="1"/>
  <c r="D54" i="1"/>
  <c r="D55" i="1"/>
  <c r="D56" i="1"/>
  <c r="D10" i="1"/>
  <c r="A10" i="3"/>
  <c r="K12" i="2"/>
  <c r="J12" i="2"/>
  <c r="I12" i="2"/>
  <c r="C12" i="2"/>
  <c r="B12" i="2"/>
  <c r="J59" i="2" l="1"/>
  <c r="G6" i="3" l="1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<sst xmlns="http://schemas.openxmlformats.org/spreadsheetml/2006/main" count="821" uniqueCount="279">
  <si>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</si>
  <si>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</si>
  <si>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</si>
  <si>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</si>
  <si>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</si>
  <si>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</si>
  <si>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</si>
  <si>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</si>
  <si>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</si>
  <si>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</si>
  <si>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</si>
  <si>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</si>
  <si>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</si>
  <si>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</si>
  <si>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</si>
  <si>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</si>
  <si>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</si>
  <si>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</si>
  <si>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</si>
  <si>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</si>
  <si>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</si>
  <si>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</si>
  <si>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</si>
  <si>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</si>
  <si>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</si>
  <si>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</si>
  <si>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</si>
  <si>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</si>
  <si>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</si>
  <si>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</si>
  <si>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</si>
  <si>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</si>
  <si>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</si>
  <si>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</si>
  <si>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</si>
  <si>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</si>
  <si>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</si>
  <si>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</si>
  <si>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</si>
  <si>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</si>
  <si>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</si>
  <si>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</si>
  <si>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</si>
  <si>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</si>
  <si>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</si>
  <si>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</si>
  <si>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</si>
  <si>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</si>
  <si>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</si>
  <si>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</si>
  <si>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</si>
  <si>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</si>
  <si>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168 - Direccion Asistencial</t>
  </si>
  <si>
    <t>3.1</t>
  </si>
  <si>
    <t>1.1</t>
  </si>
  <si>
    <t>2.1.1-438.37</t>
  </si>
  <si>
    <t>ALIMENTOS</t>
  </si>
  <si>
    <t>ADEREZOS; TIPO: MAYONESA, ENVASE: BOLSA, CONTENIDO: 2,9 Kg, PRESENTACION: ENVASE X 2,9 Kg</t>
  </si>
  <si>
    <t>UNIDAD</t>
  </si>
  <si>
    <t>CAJON</t>
  </si>
  <si>
    <t>2.1.1-590.27</t>
  </si>
  <si>
    <t>PESCADOS Y FRUTOS CONGELADOS; TIPO: FILET DE MERLUZA, ENVASE: POLIESTIRENO, PRESENTACION: ENVASE X 1 Kg, ELEM. TRANSPORTE: SIN, MATERIAL ELEM. TRANSPORTE: SIN</t>
  </si>
  <si>
    <t>2.1.1-669.27</t>
  </si>
  <si>
    <t>PANES; TIPO: MIÑON, PRESENTACION: GRANEL</t>
  </si>
  <si>
    <t>KG</t>
  </si>
  <si>
    <t>2.1.1-669.51</t>
  </si>
  <si>
    <t>PANES; TIPO: FRANCES, PRESENTACION: UNIDAD</t>
  </si>
  <si>
    <t>2.1.1-669.1</t>
  </si>
  <si>
    <t>2.1.1-669.37</t>
  </si>
  <si>
    <t>PANES; TIPO: RALLADO, PRESENTACION: BOLSA X 5 Kg</t>
  </si>
  <si>
    <t>2.1.1-2430.1</t>
  </si>
  <si>
    <t>PREPIZZA; GUSTO: TOMATE, TAMAÑO: MEDIANO</t>
  </si>
  <si>
    <t>2.1.1-518.32</t>
  </si>
  <si>
    <t>TORTAS; TIPO: PIONONO, PESO: 180 GR</t>
  </si>
  <si>
    <t>2.1.1-6546.34</t>
  </si>
  <si>
    <t>VERDURAS Y HORTALIZAS; VARIEDAD: ACELGA, ESTADO: EN HOJA, PRESENTACION: ATADO, PESO: SIN VALOR</t>
  </si>
  <si>
    <t>2.1.1-6546.151</t>
  </si>
  <si>
    <t>VERDURAS Y HORTALIZAS; VARIEDAD: ZAPALLITO REDONDO, ESTADO: NATURAL, PRESENTACION: CAJON, PESO: SIN VALOR</t>
  </si>
  <si>
    <t>2.1.1-6546.49</t>
  </si>
  <si>
    <t>VERDURAS Y HORTALIZAS; VARIEDAD: CHAUCHA, PRESENTACION: GRANEL, ESTADO: NATURAL, PESO: SIN VALOR</t>
  </si>
  <si>
    <t>2.1.1-6546.39</t>
  </si>
  <si>
    <t>VERDURAS Y HORTALIZAS; VARIEDAD: CEBOLLA, ESTADO: NATURAL, PRESENTACION: BOLSA, PESO: 25 Kg</t>
  </si>
  <si>
    <t>2.1.1-6546.124</t>
  </si>
  <si>
    <t>VERDURAS Y HORTALIZAS; PESO: SIN VALOR, VARIEDAD: REMOLACHA, ESTADO: NATURAL, PRESENTACION: GRANEL</t>
  </si>
  <si>
    <t>2.1.1-6546.231</t>
  </si>
  <si>
    <t>VERDURAS Y HORTALIZAS; VARIEDAD: ZAPALLO ANCO, ESTADO: NATURAL, PRESENTACION: BOLSA, PESO: 20 Kg</t>
  </si>
  <si>
    <t>2.1.1-6546.162</t>
  </si>
  <si>
    <t>VERDURAS Y HORTALIZAS; VARIEDAD: ZAPALLO CRIOLLO, ESTADO: NATURAL, PRESENTACION: UNIDAD, PESO: SIN VALOR</t>
  </si>
  <si>
    <t>2.1.1-6546.95</t>
  </si>
  <si>
    <t>VERDURAS Y HORTALIZAS; VARIEDAD: MORRON VERDE, ESTADO: NATURAL, PRESENTACION: GRANEL, PESO: SIN VALOR</t>
  </si>
  <si>
    <t>2.1.1-6546.82</t>
  </si>
  <si>
    <t>VERDURAS Y HORTALIZAS: VARIEDAD, LECHUGA CRIOLLA, ESTADO: NATURAL, PRESENTACION: CAJON, PESO: SIN VALOR</t>
  </si>
  <si>
    <t>2.1.1-6539.20</t>
  </si>
  <si>
    <t>FRUTAS; ESTADO: NATURAL, VARIEDAD: MANZANA RED DELICIOSA, PRESENTACION: CAJON, PESO: SIN VALOR</t>
  </si>
  <si>
    <t>2.1.1-6539.30</t>
  </si>
  <si>
    <t>FRUTAS; VARIEDAD: BANANA, PRESENTACION: CAJON, ESTADO: NATURAL, PESO: SIN VALOR</t>
  </si>
  <si>
    <t>2.1.1-6539.8</t>
  </si>
  <si>
    <t>FRUTAS; VARIEDAD: NARANJA ESPECIAL, ESTADO: NATURAL, PRESENTACION: CAJON, PESO: SIN VALOR</t>
  </si>
  <si>
    <t>2.1.1-6539.32</t>
  </si>
  <si>
    <t>FRUTAS; VARIEDAD: PERA AMARILLA, ESTADO: NATURAL, PRESENTACION: CAJON, PESO: SIN VALOR</t>
  </si>
  <si>
    <t>2.1.1-6539.187</t>
  </si>
  <si>
    <t>FRUTAS; VARIEDAD: LIMON, ESTADO: NATURAL, PRESENTACION: CAJON, ELEM. TRANSPORTE: SIN, MATERIAL ELEM. TRANSPORTE: SIN, ORGANICO: NO</t>
  </si>
  <si>
    <t>2.1.1-541.27</t>
  </si>
  <si>
    <t>CARNES; ESPECIE: VACUNA, CORTE: CUADRIL, TIPO: VACUNA</t>
  </si>
  <si>
    <t>2.1.1-541.49</t>
  </si>
  <si>
    <t>CARNES; ESPECIE: VACUNA, CORTE: NALGA, TIPO: VACUNA</t>
  </si>
  <si>
    <t>2.1.1-541.7</t>
  </si>
  <si>
    <t>CARNES; ESPECIE: VACUNA, CORTE: PICADA ESPECIAL, TIPO: VACUNA</t>
  </si>
  <si>
    <t>2.1.1-541.70</t>
  </si>
  <si>
    <t>CARNES; CORTE: CARRE CON LOMO, TIPO: PORCINA, ESPECIE: PORCINA</t>
  </si>
  <si>
    <t>2.1.1-541.164</t>
  </si>
  <si>
    <t>CARNES; TIPO: PORCINA, CORTE: COSTELETA</t>
  </si>
  <si>
    <t>2.1.1-542.212</t>
  </si>
  <si>
    <t>QUESOS; TIPO: CUARTIROLO, PRESENTACION: HORMA, ELEM. TRANSPORTE: SIN, MATERIAL ELEM. TRANSPORTE: SIN, MATERIAL ENVASE: SIN, CERTIFICADO FORESTAL (GFS): SIN, LIBRE DE GLUTEN: SI</t>
  </si>
  <si>
    <t>2.1.1-542.207</t>
  </si>
  <si>
    <t>QUESOS; TIPO: SARDO, PRESENTACION: HORMA X 3 Kg, ELEM. TRANSPORTE: SIN, MATERIAL ELEM. TRANSPORTE: SIN, MATERIAL ENVASE: SIN, CERTIFICADO FORESTAL (GFS): SIN, LIBRE DE GLUTEN: NO</t>
  </si>
  <si>
    <t>2.1.1-969.35</t>
  </si>
  <si>
    <t>FIAMBRES; TIPO: JAMON COCIDO ITALIANO, PRESENTACION: AL PESO</t>
  </si>
  <si>
    <t>2.1.1-4975.2</t>
  </si>
  <si>
    <t>RICOTA; ENVASE: PAQUETE, PESO: 1 Kg, SABOR: SIN</t>
  </si>
  <si>
    <t>2.1.1-707.35</t>
  </si>
  <si>
    <t>PASTAS FRESCAS; VARIEDAD: RAVIOL, RELLENO: RICOTA Y POLLO, PRESENTACION: ENVASE X 2 PLANCHAS</t>
  </si>
  <si>
    <t>2.1.1-2429.1</t>
  </si>
  <si>
    <t>TAPAS P/TARTAS; TIPO: REDONDA, MASA: CASERA, PRESENTACION: BOLSA</t>
  </si>
  <si>
    <t>2.1.1-2610.1</t>
  </si>
  <si>
    <t>TAPAS P/EMPANADAS; TIPO: P/HORNO, PRESENTACION: BOLSA X 12</t>
  </si>
  <si>
    <t>2.1.1-456.79</t>
  </si>
  <si>
    <t>YOGHURT; TIPO: DESCREMADO, AGREGADO: SIN, CONSISTENCIA: FIRME, SABOR: VAINILLA, PRESENTACION: POTE PLASTICO X 200 GR</t>
  </si>
  <si>
    <t>MANTENIMIENTO DE OFERTA: 45 DIAS HABILES</t>
  </si>
  <si>
    <t>Servicio de Nutricion</t>
  </si>
  <si>
    <t>Adquisición de Alimentos Perecederos</t>
  </si>
  <si>
    <t>Alimentos para Personas</t>
  </si>
  <si>
    <t>VERDURAS Y HORTALIZAS; VARIEDAD: PAPA BLANCA, ESTADO: NATURAL, PRESENTACION: BOLSA, PESO: 25 Kg</t>
  </si>
  <si>
    <t>2.1.1-6546.335</t>
  </si>
  <si>
    <t>VERDURAS Y HORTALIZAS; VARIEDAD: ZANAHORIA, ESTADO: NATURAL, PRESENTACION: BOLSA, PESO: NO CORRESPONDE, ELEM. TRANSPORTE: SIN, MATERIAL ELEM. TRANSPORTE: SIN, LIBRE DE GLUTEN: SI, ORGANICO: NO</t>
  </si>
  <si>
    <t>VERDURAS Y HORTALIZAS; VARIEDAD: TOMATE REDONDO, ESTADO: NATURAL, PRESENTACION: CAJON, PESO: 17 A 22 Kg, ELEM. TRANSPORTE: SIN, MATERIAL ELEM. TRANSPORTE: SIN, LIBRE DE GLUTEN: SI, ORGANICO: NO</t>
  </si>
  <si>
    <t>2.1.1-6546.390</t>
  </si>
  <si>
    <t>2.1.1-6546.403</t>
  </si>
  <si>
    <t>VERDURAS Y HORTALIZAS; VARIEDAD: CEBOLLA DE VERDEO, ESTADO: NATURAL, PRESENTACION: CAJON, PESO: 10 Kg, ELEM. TRANSPORTE: CAJON, MATERIAL ELEM. TRANSPORTE: CARTON, LIBRE DE GLUTEN: NO</t>
  </si>
  <si>
    <t>2.1.1-6546.377</t>
  </si>
  <si>
    <t>VERDURAS Y HORTALIZAS; VARIEDAD: PEREJIL, ESTADO: NATURAL, PRESENTACION: ATADO, PESO: 1 Kg</t>
  </si>
  <si>
    <t>2.1.1-6546.133</t>
  </si>
  <si>
    <t>QUESOS; TIPO: TYBO, PRESENTACION: ENVASE X 1 Kg, ELEM. TRANSPORTE: SIN, MATERIAL ELEM. TRANSPORTE: SIN, MATERIAL ENVASE: POLIESTIRENO, CERTIFICADO FORESTAL (GFS): SIN, LIBRE DE GLUTEN: SI</t>
  </si>
  <si>
    <t>2.1.1-542.225</t>
  </si>
  <si>
    <t>Descripción técnica</t>
  </si>
  <si>
    <t>Calidad Minima esperada</t>
  </si>
  <si>
    <t>Mantenimiento</t>
  </si>
  <si>
    <t>Garantia</t>
  </si>
  <si>
    <t>Especificidades Item N° 12:</t>
  </si>
  <si>
    <t>Especificidades Item N° 13:</t>
  </si>
  <si>
    <t>Especificidades Item N° 14:</t>
  </si>
  <si>
    <t>Especificidades Item N° 17: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</si>
  <si>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</si>
  <si>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</si>
  <si>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</si>
  <si>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</si>
  <si>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</si>
  <si>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</si>
  <si>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PLAZO DE ENTREGA: SEGÚN NECESIDAD DEL SERVICIO - LUGAR DE ENTREGA: SERVICIO DE NUTRICION - HOSPITAL INTERZONAL SAN JUAN BAUTISTA - AV. ILLIA ESQ. MARIANO MORENO</t>
  </si>
  <si>
    <t>2.1.1-483.37</t>
  </si>
  <si>
    <t>HUEVO DE GALLINA; TAMAÑO: GRANDE, COLOR: COLOR, PRESENTACION: 30 UN</t>
  </si>
  <si>
    <t>Especificidades Item N° 01:</t>
  </si>
  <si>
    <t xml:space="preserve">MAYONESA EN ENVASE DE 2,9 Kg APROXIMADAMENTE </t>
  </si>
  <si>
    <t>Plazos, lugares y formas de entrega</t>
  </si>
  <si>
    <t>Las entregas se realizaran en el Servicio de Nutricion -Avda. Illia y Mariano Moreno- los días lunes, miercoles y viernes de 07:00 a 08:30 horas.</t>
  </si>
  <si>
    <t>Las entregas se realizarán a requerimiento de acuerdo, a las Solicitudes de Provisión que se realicen. Se estima emitir una cantidad aproximada de 3 (Tres) Solicitudes de Provisión de (1/3 aprox.) de la cantidad solicitada, en un plazo de 3 (Tres) meses: 1° Solic.de Provisión: aprox.a los 3 dias hábiles de la firma del instrumento contractual. 2° Solic.de Provisión: al mes de la firma del instrumento contractual. Y 3° Solic.de Provisión: a los dos meses de la firma del instrumento contractual. Plazo de cumplimiento de cada Solicitud de Provisión: desde los 2 días hábiles de notificada la misma, según necesidades del Organismo solicitante. Forma de Pago: Se solicita Pagos parciales por cada Solicitud de Provisión emitida, una vez finalizada la entrega de las cantidades contenidas en la misma.</t>
  </si>
  <si>
    <t xml:space="preserve">Vencimiento minimo del producto 120 dias contados a partir de la fecha de entrega </t>
  </si>
  <si>
    <t xml:space="preserve">45 días habiles </t>
  </si>
  <si>
    <t>Especificidades Item N° 02:</t>
  </si>
  <si>
    <t>Ver nota adjunta respecto de la calidad de los productos y otras caracteristicas.</t>
  </si>
  <si>
    <t>Especificidades Item N° 03:</t>
  </si>
  <si>
    <t xml:space="preserve">HUEVO DE GALLINA; TAMAÑO: GRANDE, PRESENTACION EN CARTON POR 30 UNIDADES - ENTIENDASE POR UNIDAD = 30 UNIDADES </t>
  </si>
  <si>
    <t>Especificidades Item N° 04:</t>
  </si>
  <si>
    <t>Especificidades Item N° 05:</t>
  </si>
  <si>
    <t xml:space="preserve">FILET DE MERLUZA, ENVASE X 1 Kg APROXIMADAMENTE - TRANSPORTADA EN VEHICULO AUTORIZADO POR SENASA PARA TAL FIN, EL PROVEEDOR DEBERA EXHIBIR TAL DOCUMENTACION </t>
  </si>
  <si>
    <t>Especificidades Item N° 06:</t>
  </si>
  <si>
    <t xml:space="preserve">PAN TIPO MIÑON - PRIMERA CALIDAD - TRANSPORTADO EN VEHICULO AUTORIZADO Y EQUIPADO PARA TALES FINES </t>
  </si>
  <si>
    <t>Las entregas se realizaran en el Servicio de Nutricion -Avda. Illia y Mariano Moreno- todos los días incluidos sabados, domingos y feriados a las  07:00 - se solicita puntualidad-</t>
  </si>
  <si>
    <t>Especificidades Item N° 07:</t>
  </si>
  <si>
    <t xml:space="preserve">ROSETAS SIN SAL DE 60 GRS APROXIMADAMENTE CADA UNA - TRANSPORTADO EN VEHICULO AUTORIZADO Y EQUIPADO PARA TALES FINES </t>
  </si>
  <si>
    <t xml:space="preserve">PAN TIPO: SALVADO DE 60 GRAMOS  - PRIMERA CALIDAD - TRANSPORTADO EN VEHICULO AUTORIZADO Y EQUIPADO PARA TALES FINES </t>
  </si>
  <si>
    <t xml:space="preserve">PREPIZZAS DE PRIMERA CALIDAD - TRANSPORTADO EN VEHICULO AUTORIZADO Y EQUIPADO PARA TALES FINES </t>
  </si>
  <si>
    <t>Ver nota adjunta respecto de la calidad de los productos y otras caracteristicas - Vencimiento minimo del producto 10 días -.</t>
  </si>
  <si>
    <t xml:space="preserve">PIONONO DE 180 GRAMOS DE PESO APROXIMADAMENTE CADA UNO SABOR A VAINILLA </t>
  </si>
  <si>
    <t xml:space="preserve">Ver nota adjunta respecto de la calidad de los productos y otras caracteristicas - Vencimiento minimo del producto 90 días-. </t>
  </si>
  <si>
    <t xml:space="preserve">Ver nota adjunta respecto de la calidad de los productos y otras caracteristicas. </t>
  </si>
  <si>
    <t xml:space="preserve">Ver nota adjunta respecto de la calidad de los productos y otras caracteristicas . </t>
  </si>
  <si>
    <t>Especificidades Item N° 15:</t>
  </si>
  <si>
    <t>Especificidades Item N° 16:</t>
  </si>
  <si>
    <t>Especificidades Item N° 18:</t>
  </si>
  <si>
    <t xml:space="preserve"> CEBOLLA DE VERDEO FRESCA EN CAJON DE APROXIMADAMENTE 10 Kg CADA UNO </t>
  </si>
  <si>
    <t>Especificidades Item N° 19:</t>
  </si>
  <si>
    <t>Especificidades Item N° 20:</t>
  </si>
  <si>
    <t>Especificidades Item N° 21:</t>
  </si>
  <si>
    <t xml:space="preserve">ZAPALLO ANCO EN BOLSA DE PESO APROXIMADAMENTE DE 20 Kg CADA BOLSA </t>
  </si>
  <si>
    <t>Especificidades Item N° 22:</t>
  </si>
  <si>
    <t>Especificidades Item N° 23:</t>
  </si>
  <si>
    <t xml:space="preserve"> PEREJIL FRESCO ATADOS DE APROXIMADAMENTE DE 1 Kg</t>
  </si>
  <si>
    <t>Especificidades Item N° 24:</t>
  </si>
  <si>
    <t>LECHUGA CRIOLLA HOJAS FRESCAS  (CAJON X 18 KG APROXIMADAMENTE)</t>
  </si>
  <si>
    <t>MANZANA DELICIOSA AL NATURAL TAMAÑO MEDIANO (CAJON X 20 KG APROXIMADAMENTE)</t>
  </si>
  <si>
    <t>BANANA TIPO ECUATORIANA AL NATURAL (CAJON X 25 KG APROXIMADAMENTE)</t>
  </si>
  <si>
    <t>NARANJA CRIOLLA AL NATURAL (CAJON X 20 KG APROXIMADAMENTE)</t>
  </si>
  <si>
    <t>PERAS DE AGUA TIERNA AL NATURAL (CAJON X 17 KG APROXIMADAMENTE)</t>
  </si>
  <si>
    <t>Especificidades Item N° 31:</t>
  </si>
  <si>
    <t>Especificidades Item N° 32:</t>
  </si>
  <si>
    <t>Especificidades Item N° 33:</t>
  </si>
  <si>
    <t xml:space="preserve">CARNE VACUNA PICADA ESPECIAL SIN GRASA - TRANSPORTADA EN VEHICULO AUTORIZADO POR SENASA PARA TAL FIN, EL PROVEEDOR DEBERA EXHIBIR TAL DOCUMENTACION </t>
  </si>
  <si>
    <t>Especificidades Item N° 34:</t>
  </si>
  <si>
    <t xml:space="preserve">CARRE CON LOMO DE CERDO EN UN SOLO PEDAZO - TRANSPORTADA EN VEHICULO AUTORIZADO POR SENASA PARA TAL FIN, EL PROVEEDOR DEBERA EXHIBIR TAL DOCUMENTACION </t>
  </si>
  <si>
    <t>Especificidades Item N° 35:</t>
  </si>
  <si>
    <t xml:space="preserve">COSTELETAS DE CERDO DE 200 a 300 GRAMOS APROXIMADAMENTE CADA UNA, TRANSPORTADA EN VEHICULO AUTORIZADO POR SENASA PARA TAL FIN, EL PROVEEDOR DEBERA EXHIBIR TAL DOCUMENTACION  </t>
  </si>
  <si>
    <t>Especificidades Item N° 36:</t>
  </si>
  <si>
    <t>QUESOS CUARTIROLO HORMA X 3,800 KG APROXIMADAMENTE -PRIMERA CALIDAD-.</t>
  </si>
  <si>
    <t>Especificidades Item N° 37:</t>
  </si>
  <si>
    <t>QUESOS TIPO: TYBO ENVASE X 1 Kg - PRIMERA CALIDAD</t>
  </si>
  <si>
    <t>Especificidades Item N° 38:</t>
  </si>
  <si>
    <t xml:space="preserve">QUESOS TIPO SARDO HORMA X 3 Kg APROXIMADAMENTE - PRIMERA CALIDAD -. </t>
  </si>
  <si>
    <t>Especificidades Item N° 39:</t>
  </si>
  <si>
    <t>Especificidades Item N° 40:</t>
  </si>
  <si>
    <t>Especificidades Item N° 41:</t>
  </si>
  <si>
    <t xml:space="preserve">RAVIOLES, RELLENO: RICOTA Y POLLO, PRESENTACION UNIDAD: ENVASE  X 2 PLANCHAS DE 48 RAVIOLES CADA PLANCHA, TOTAL POR UNIDAD 96 RAVIOLES </t>
  </si>
  <si>
    <t>Especificidades Item N° 42:</t>
  </si>
  <si>
    <t>Especificidades Item N° 43:</t>
  </si>
  <si>
    <t>TAPAS PARA EMPANADAS CON SEPARADORES HOJALDRADAS O CRIOLLAS PARA HORNO  - PRIMERA CALIDAD</t>
  </si>
  <si>
    <t>Especificidades Item N° 44:</t>
  </si>
  <si>
    <t xml:space="preserve">YOGURT DESCREMADO SABOR VAINILLA EN POTE DE PLASTICO INDIVIDUAL DE APROXIMADAMENTE 200 GRS CADA UNO </t>
  </si>
  <si>
    <t xml:space="preserve"> CEBOLLA EN CABEZA - PRESENTACION BOLSA DE APROXIMADAMENTE 25 KG CADA UNA </t>
  </si>
  <si>
    <t>ZAPALLITO REDONDO VERDE FRESCO (CAJON X 15 KG APROXIMADAMENTE)</t>
  </si>
  <si>
    <t>TOMATE AL NATURAL REDONDO FRESCO (CAJON X 17 KG APROXIMADAMENTE)</t>
  </si>
  <si>
    <t xml:space="preserve">MORRON VERDE FRESCO ENTEROS EN BUEN ESTADO PRESENTACION POR KG </t>
  </si>
  <si>
    <t xml:space="preserve">JAMON COCIDO DE PRIMERA CALIDAD FETEADO - UNIDAD DE MEDIDA KG </t>
  </si>
  <si>
    <t>RICOTA SIN SABOR  PAQUETE X 1 Kg - UNIDAD - PRIMERA CALIDAD.-</t>
  </si>
  <si>
    <t xml:space="preserve">BOLSA </t>
  </si>
  <si>
    <t>PANES; PRESENTACION: GRANEL, TIPO: SALVADO</t>
  </si>
  <si>
    <t>ATADO</t>
  </si>
  <si>
    <t xml:space="preserve">ZANAHORIA FRESCA NATURAL BOLSA X 25 KG APROXIMADAMENTE CADA UNA </t>
  </si>
  <si>
    <t xml:space="preserve"> PAPA BLANCA EN BOLSA DE 25 Kg APROXIMADAMENTE CADA UNA</t>
  </si>
  <si>
    <t xml:space="preserve"> REMOLACHA FRESCA EN BUEN ESTADO PRESENTACION POR KG </t>
  </si>
  <si>
    <t xml:space="preserve">CHAUCHA FRESCA EN BUEN ESTADO PRESENTACION POR KG </t>
  </si>
  <si>
    <t xml:space="preserve">POTE </t>
  </si>
  <si>
    <t xml:space="preserve">PAN RALLADO,  BOLSA X 5 Kg APROXIMADAMANTE - TRANSPORTADO EN VEHICULO AUTORIZADO Y EQUIPADO PARA TALES FINES  </t>
  </si>
  <si>
    <t xml:space="preserve">SI </t>
  </si>
  <si>
    <t>LIMÓN AL NATURAL FRESCO PARA JUGO (CAJON X 20 KG APROXIMADAMENTE)</t>
  </si>
  <si>
    <t>VERDURAS Y HORTALIZAS; VARIEDAD: AJO, ESTADO: NATURAL, PRESENTACION: RISTRA, PESO: SIN VALOR</t>
  </si>
  <si>
    <t>2.1.1-6546.153</t>
  </si>
  <si>
    <t>2.1.1-6546.207</t>
  </si>
  <si>
    <t>VERDURAS Y HORTALIZAS; VARIEDAD: BATATA, ESTADO: NATURAL, PRESENTACION: BOLSA, PESO: 10 Kg</t>
  </si>
  <si>
    <t>RISTRA</t>
  </si>
  <si>
    <t xml:space="preserve"> RISTRA DE AJOS DE APROXIMADAMENTE 50 CABEZAS DE AJOS DE 15 GRAMOS APROXIMADAMENTE CADA UNO</t>
  </si>
  <si>
    <t>BATATA EN BOLSA DE APROXIMADAMENTE 10 KG CADA UNA, TAMAÑO PAREJO DE LAS MISMAS</t>
  </si>
  <si>
    <t>2.1.1-6546.159</t>
  </si>
  <si>
    <t>VERDURAS Y HORTALIZAS; VARIEDAD: ZAPALLO CALABAZA, ESTADO: NATURAL, PRESENTACION: BOLSA, PESO: 20 Kg</t>
  </si>
  <si>
    <t>ZAPALLO CALABAZA BOLSA DE APROXIMADAMENTE  20 Kg CADA UNA</t>
  </si>
  <si>
    <t>2.1.1-6546.177</t>
  </si>
  <si>
    <t>VERDURAS Y HORTALIZAS; VARIEDAD: BERENJENA, ESTADO: NATURAL, PRESENTACION: GRANEL, PESO: SIN VALOR</t>
  </si>
  <si>
    <t xml:space="preserve">KG </t>
  </si>
  <si>
    <t>2.1.1-6546.298</t>
  </si>
  <si>
    <t>VERDURAS Y HORTALIZAS; VARIEDAD: ZUCHINI, ESTADO: NATURAL, PRESENTACION: CAJON, PESO: 18 Kg</t>
  </si>
  <si>
    <t xml:space="preserve">CAJON </t>
  </si>
  <si>
    <t xml:space="preserve">BERENJENA FRESCA EN BUEN ESTADO TAMAÑO PAREJO ENTRE 150 A 200 GRAMOS -  PRESENTACION POR KG </t>
  </si>
  <si>
    <t>ZUCHINI FRESCO EN ESTADO - PRESENTACION CAJON DE APROXIMADAMENTE 18 Kg CADA UNO</t>
  </si>
  <si>
    <t xml:space="preserve">CARNES VACUNA, CUADRIL  FETEADO DE 180 A 250  GRAMOS APROXIMADAMENTE CADA BIFE - TRANSPORTADA EN VEHICULO AUTORIZADO POR SENASA PARA TAL FIN, EL PROVEEDOR DEBERA EXHIBIR TAL DOCUMENTACION </t>
  </si>
  <si>
    <t xml:space="preserve">CARNE VACUNA, NALGA FETEADA DE 180 A 250 GRAMOS APROXIMADAMENTE CADA BIFE  - TRANSPORTADA EN VEHICULO AUTORIZADO POR SENASA PARA TAL FIN, EL PROVEEDOR DEBERA EXHIBIR TAL DOCUMENTACION </t>
  </si>
  <si>
    <t>Especificidades Item N° 45:</t>
  </si>
  <si>
    <t>Especificidades Item N° 46:</t>
  </si>
  <si>
    <t>Especificidades Item N° 47:</t>
  </si>
  <si>
    <t>ACELGA FRESCA EN HOJA - PRESENTACION: ATADO X 500 GRAMOS APROXIMADAMENTE CADA UNO</t>
  </si>
  <si>
    <t>Las entregas se realizaran en el Servicio de Nutricion -Avda. Illia y Mariano Moreno- los días lunes, miercoles o viernes de 07:00 a 08:30 horas.</t>
  </si>
  <si>
    <t xml:space="preserve">TAPAS PARA TARTA CON SEPARADORES POR DOS UNIDADES CADA BOLSA HOJALDRADAS O CRIOLLAS PARA HORNO - PRIMERA CALIDAD </t>
  </si>
  <si>
    <t>ZAPALLO CRIOLLO PRESENTACION POR KG - BUENA CALIDAD -</t>
  </si>
  <si>
    <t>Especificidades Item N° 8:</t>
  </si>
  <si>
    <t>Especificidades Item N° 9:</t>
  </si>
  <si>
    <t>Especificidades Item N° 10:</t>
  </si>
  <si>
    <t>Especificidades Item N° 11:</t>
  </si>
  <si>
    <t>Costo total estimado:  DIECISEIS MILLONES DOSCIENTOS OCHENTA Y SEIS MIL TREINTA Y SEIS CON 00/100.-</t>
  </si>
  <si>
    <t>TOTAL DE PESOS: DIECISEIS MILLONES DOSCIENTOS OCHENTA Y SEIS MIL TREINTA Y SEIS CON 00/100.---</t>
  </si>
  <si>
    <t>DOCFI-2022-01231900-CAT-DASIS_HSJB</t>
  </si>
  <si>
    <t xml:space="preserve">NOTA DE PEDIDO N° 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</si>
</sst>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10"/>
      <name val="Times New Roman"/>
      <family val="1"/>
    </font>
    <font>
      <u/>
      <sz val="10"/>
      <name val="Times New Roman"/>
      <family val="1"/>
    </font>
    <font>
      <b/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22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166" fontId="0" fillId="0" borderId="0" xfId="0" applyNumberFormat="1"/>
    <xf numFmtId="166" fontId="4" fillId="4" borderId="11" xfId="1" applyNumberFormat="1" applyFont="1" applyFill="1" applyBorder="1" applyAlignment="1" applyProtection="1">
      <alignment horizontal="center" vertical="center" wrapText="1"/>
    </xf>
    <xf numFmtId="0" fontId="15" fillId="0" borderId="0" xfId="5" applyFont="1"/>
    <xf numFmtId="0" fontId="26" fillId="0" borderId="43" xfId="5" applyFont="1" applyBorder="1"/>
    <xf numFmtId="0" fontId="15" fillId="0" borderId="44" xfId="5" applyFont="1" applyBorder="1"/>
    <xf numFmtId="0" fontId="15" fillId="0" borderId="45" xfId="5" applyFont="1" applyBorder="1"/>
    <xf numFmtId="0" fontId="15" fillId="0" borderId="46" xfId="5" applyFont="1" applyBorder="1"/>
    <xf numFmtId="0" fontId="15" fillId="0" borderId="0" xfId="5" applyFont="1" applyBorder="1"/>
    <xf numFmtId="0" fontId="15" fillId="0" borderId="47" xfId="5" applyFont="1" applyBorder="1"/>
    <xf numFmtId="0" fontId="26" fillId="0" borderId="46" xfId="5" applyFont="1" applyBorder="1" applyAlignment="1">
      <alignment horizontal="left" indent="3"/>
    </xf>
    <xf numFmtId="0" fontId="15" fillId="0" borderId="46" xfId="5" applyFont="1" applyBorder="1" applyAlignment="1">
      <alignment horizontal="left" indent="3"/>
    </xf>
    <xf numFmtId="0" fontId="15" fillId="0" borderId="0" xfId="5" applyFont="1" applyBorder="1" applyAlignment="1">
      <alignment horizontal="center" wrapText="1"/>
    </xf>
    <xf numFmtId="0" fontId="15" fillId="0" borderId="47" xfId="5" applyFont="1" applyBorder="1" applyAlignment="1">
      <alignment horizontal="center" wrapText="1"/>
    </xf>
    <xf numFmtId="0" fontId="26" fillId="0" borderId="43" xfId="0" applyFont="1" applyBorder="1"/>
    <xf numFmtId="0" fontId="15" fillId="0" borderId="44" xfId="0" applyFont="1" applyBorder="1"/>
    <xf numFmtId="0" fontId="15" fillId="0" borderId="45" xfId="0" applyFont="1" applyBorder="1"/>
    <xf numFmtId="0" fontId="15" fillId="0" borderId="46" xfId="0" applyFont="1" applyBorder="1"/>
    <xf numFmtId="0" fontId="15" fillId="0" borderId="0" xfId="0" applyFont="1" applyBorder="1"/>
    <xf numFmtId="0" fontId="15" fillId="0" borderId="47" xfId="0" applyFont="1" applyBorder="1"/>
    <xf numFmtId="0" fontId="26" fillId="0" borderId="46" xfId="0" applyFont="1" applyBorder="1" applyAlignment="1">
      <alignment horizontal="left" indent="3"/>
    </xf>
    <xf numFmtId="0" fontId="15" fillId="0" borderId="46" xfId="0" applyFont="1" applyBorder="1" applyAlignment="1">
      <alignment horizontal="left" indent="3"/>
    </xf>
    <xf numFmtId="0" fontId="15" fillId="0" borderId="48" xfId="0" applyFont="1" applyBorder="1" applyAlignment="1">
      <alignment horizontal="left" indent="3"/>
    </xf>
    <xf numFmtId="0" fontId="15" fillId="0" borderId="49" xfId="0" applyFont="1" applyBorder="1"/>
    <xf numFmtId="0" fontId="15" fillId="0" borderId="50" xfId="0" applyFont="1" applyBorder="1"/>
    <xf numFmtId="0" fontId="15" fillId="4" borderId="0" xfId="0" applyFont="1" applyFill="1" applyBorder="1"/>
    <xf numFmtId="0" fontId="15" fillId="4" borderId="47" xfId="0" applyFont="1" applyFill="1" applyBorder="1"/>
    <xf numFmtId="0" fontId="15" fillId="4" borderId="0" xfId="0" applyFont="1" applyFill="1" applyBorder="1" applyAlignment="1">
      <alignment horizontal="center" wrapText="1"/>
    </xf>
    <xf numFmtId="0" fontId="15" fillId="4" borderId="47" xfId="0" applyFont="1" applyFill="1" applyBorder="1" applyAlignment="1">
      <alignment horizontal="center" wrapText="1"/>
    </xf>
    <xf numFmtId="0" fontId="26" fillId="0" borderId="48" xfId="5" applyFont="1" applyBorder="1" applyAlignment="1">
      <alignment horizontal="left" indent="3"/>
    </xf>
    <xf numFmtId="0" fontId="6" fillId="3" borderId="3" xfId="0" applyFont="1" applyFill="1" applyBorder="1" applyAlignment="1">
      <alignment horizontal="center" vertical="center"/>
    </xf>
    <xf numFmtId="0" fontId="26" fillId="0" borderId="46" xfId="5" applyFont="1" applyBorder="1" applyAlignment="1">
      <alignment horizontal="left" vertical="center" indent="3"/>
    </xf>
    <xf numFmtId="0" fontId="15" fillId="4" borderId="0" xfId="0" applyFont="1" applyFill="1"/>
    <xf numFmtId="0" fontId="20" fillId="4" borderId="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left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vertical="center" wrapText="1"/>
    </xf>
    <xf numFmtId="166" fontId="20" fillId="3" borderId="6" xfId="1" applyNumberFormat="1" applyFont="1" applyFill="1" applyBorder="1" applyAlignment="1" applyProtection="1">
      <alignment horizontal="center" vertical="center" wrapText="1"/>
    </xf>
    <xf numFmtId="166" fontId="20" fillId="3" borderId="6" xfId="1" applyNumberFormat="1" applyFont="1" applyFill="1" applyBorder="1" applyAlignment="1" applyProtection="1">
      <alignment horizontal="right" vertical="center" wrapText="1"/>
    </xf>
    <xf numFmtId="166" fontId="0" fillId="4" borderId="26" xfId="3" applyNumberFormat="1" applyFont="1" applyFill="1" applyBorder="1" applyAlignment="1" applyProtection="1">
      <alignment horizontal="center" vertical="center"/>
    </xf>
    <xf numFmtId="166" fontId="13" fillId="4" borderId="36" xfId="0" applyNumberFormat="1" applyFont="1" applyFill="1" applyBorder="1" applyAlignment="1">
      <alignment horizontal="center" vertical="center"/>
    </xf>
    <xf numFmtId="0" fontId="15" fillId="5" borderId="50" xfId="5" applyFont="1" applyFill="1" applyBorder="1" applyAlignment="1">
      <alignment horizontal="center"/>
    </xf>
    <xf numFmtId="0" fontId="15" fillId="5" borderId="0" xfId="5" applyFont="1" applyFill="1" applyBorder="1" applyAlignment="1">
      <alignment horizontal="center" vertical="center" wrapText="1"/>
    </xf>
    <xf numFmtId="0" fontId="15" fillId="5" borderId="47" xfId="5" applyFont="1" applyFill="1" applyBorder="1" applyAlignment="1">
      <alignment horizontal="center" vertical="center" wrapText="1"/>
    </xf>
    <xf numFmtId="0" fontId="15" fillId="5" borderId="0" xfId="0" applyFont="1" applyFill="1" applyBorder="1" applyAlignment="1">
      <alignment horizontal="center" vertical="center" wrapText="1"/>
    </xf>
    <xf numFmtId="0" fontId="15" fillId="5" borderId="47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left" vertical="center" wrapText="1"/>
    </xf>
    <xf numFmtId="0" fontId="15" fillId="6" borderId="47" xfId="0" applyFont="1" applyFill="1" applyBorder="1" applyAlignment="1">
      <alignment horizontal="left" vertical="center" wrapText="1"/>
    </xf>
    <xf numFmtId="0" fontId="15" fillId="5" borderId="0" xfId="5" applyFont="1" applyFill="1" applyBorder="1" applyAlignment="1">
      <alignment horizontal="center" vertical="center"/>
    </xf>
    <xf numFmtId="0" fontId="15" fillId="5" borderId="47" xfId="5" applyFont="1" applyFill="1" applyBorder="1" applyAlignment="1">
      <alignment horizontal="center" vertical="center"/>
    </xf>
    <xf numFmtId="0" fontId="15" fillId="3" borderId="47" xfId="0" applyFont="1" applyFill="1" applyBorder="1" applyAlignment="1">
      <alignment horizontal="center"/>
    </xf>
    <xf numFmtId="0" fontId="15" fillId="5" borderId="47" xfId="0" applyFont="1" applyFill="1" applyBorder="1" applyAlignment="1">
      <alignment horizontal="center" vertical="center"/>
    </xf>
    <xf numFmtId="0" fontId="25" fillId="0" borderId="40" xfId="0" applyFont="1" applyBorder="1" applyAlignment="1">
      <alignment horizontal="left" vertical="center" wrapText="1"/>
    </xf>
    <xf numFmtId="0" fontId="25" fillId="0" borderId="41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4" borderId="11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167" fontId="7" fillId="0" borderId="6" xfId="0" applyNumberFormat="1" applyFont="1" applyBorder="1" applyAlignment="1">
      <alignment horizontal="center" vertical="center"/>
    </xf>
    <xf numFmtId="0" fontId="11" fillId="3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7" fillId="4" borderId="36" xfId="0" applyFont="1" applyFill="1" applyBorder="1" applyAlignment="1">
      <alignment horizontal="left" vertical="center" wrapText="1"/>
    </xf>
    <xf numFmtId="0" fontId="0" fillId="0" borderId="14" xfId="0" applyBorder="1"/>
    <xf numFmtId="0" fontId="24" fillId="0" borderId="24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indent="1"/>
    </xf>
    <xf numFmtId="0" fontId="12" fillId="0" borderId="3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26" fillId="4" borderId="43" xfId="5" applyFont="1" applyFill="1" applyBorder="1"/>
    <xf numFmtId="0" fontId="15" fillId="4" borderId="44" xfId="5" applyFont="1" applyFill="1" applyBorder="1"/>
    <xf numFmtId="0" fontId="15" fillId="4" borderId="45" xfId="5" applyFont="1" applyFill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69"/>
  <sheetViews>
    <sheetView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7" customWidth="1"/>
    <col min="2" max="2" width="12.85546875" style="37" customWidth="1"/>
    <col min="3" max="3" width="12.42578125" style="37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 x14ac:dyDescent="0.35">
      <c r="B2" s="110" t="s">
        <v>0</v>
      </c>
      <c r="C2" s="110"/>
      <c r="D2" s="110"/>
      <c r="E2" s="110"/>
      <c r="F2" s="110"/>
      <c r="G2" s="110"/>
      <c r="H2" s="110"/>
    </row>
    <row r="4" spans="1:9" ht="18" customHeight="1" x14ac:dyDescent="0.25">
      <c r="A4" s="109" t="s">
        <v>1</v>
      </c>
      <c r="B4" s="109"/>
      <c r="C4" s="111" t="s">
        <v>50</v>
      </c>
      <c r="D4" s="111"/>
      <c r="E4" s="111"/>
      <c r="F4" s="38"/>
      <c r="G4" s="39"/>
      <c r="H4" s="38"/>
    </row>
    <row r="5" spans="1:9" ht="18" customHeight="1" x14ac:dyDescent="0.25">
      <c r="A5" s="109" t="s">
        <v>2</v>
      </c>
      <c r="B5" s="109"/>
      <c r="C5" s="111" t="s">
        <v>51</v>
      </c>
      <c r="D5" s="111"/>
      <c r="E5" s="111"/>
      <c r="F5" s="38"/>
      <c r="G5" s="39"/>
      <c r="H5" s="38"/>
    </row>
    <row r="6" spans="1:9" ht="16.5" customHeight="1" x14ac:dyDescent="0.25">
      <c r="A6" s="109" t="s">
        <v>3</v>
      </c>
      <c r="B6" s="109"/>
      <c r="C6" s="41">
        <v>2022</v>
      </c>
      <c r="D6" s="42"/>
      <c r="E6" s="42"/>
      <c r="F6" s="38"/>
      <c r="G6" s="39"/>
      <c r="H6" s="38"/>
    </row>
    <row r="7" spans="1:9" ht="16.5" customHeight="1" x14ac:dyDescent="0.25">
      <c r="A7" s="109" t="s">
        <v>4</v>
      </c>
      <c r="B7" s="109"/>
      <c r="C7" s="41">
        <v>3</v>
      </c>
      <c r="D7" s="42"/>
      <c r="E7" s="42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39" thickBot="1" x14ac:dyDescent="0.25">
      <c r="A9" s="40" t="s">
        <v>5</v>
      </c>
      <c r="B9" s="40" t="s">
        <v>6</v>
      </c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</row>
    <row r="10" spans="1:9" s="85" customFormat="1" ht="45" customHeight="1" thickBot="1" x14ac:dyDescent="0.25">
      <c r="A10" s="86">
        <v>1</v>
      </c>
      <c r="B10" s="87" t="s">
        <v>55</v>
      </c>
      <c r="C10" s="88" t="s">
        <v>56</v>
      </c>
      <c r="D10" s="89" t="str">
        <f>LEFT(B10,5)</f>
        <v>2.1.1</v>
      </c>
      <c r="E10" s="90" t="s">
        <v>57</v>
      </c>
      <c r="F10" s="87" t="s">
        <v>58</v>
      </c>
      <c r="G10" s="87">
        <v>3</v>
      </c>
      <c r="H10" s="91">
        <v>1042</v>
      </c>
      <c r="I10" s="92">
        <f>+G10*H10</f>
        <v>3126</v>
      </c>
    </row>
    <row r="11" spans="1:9" s="85" customFormat="1" ht="31.9" customHeight="1" thickBot="1" x14ac:dyDescent="0.25">
      <c r="A11" s="86">
        <v>2</v>
      </c>
      <c r="B11" s="87" t="s">
        <v>159</v>
      </c>
      <c r="C11" s="88" t="s">
        <v>56</v>
      </c>
      <c r="D11" s="89" t="str">
        <f t="shared" ref="D11:D56" si="0">LEFT(B11,5)</f>
        <v>2.1.1</v>
      </c>
      <c r="E11" s="90" t="s">
        <v>160</v>
      </c>
      <c r="F11" s="87" t="s">
        <v>58</v>
      </c>
      <c r="G11" s="87">
        <v>3000</v>
      </c>
      <c r="H11" s="91">
        <v>690</v>
      </c>
      <c r="I11" s="92">
        <f t="shared" ref="I11:I56" si="1">+G11*H11</f>
        <v>2070000</v>
      </c>
    </row>
    <row r="12" spans="1:9" s="85" customFormat="1" ht="63.75" customHeight="1" thickBot="1" x14ac:dyDescent="0.25">
      <c r="A12" s="86">
        <v>3</v>
      </c>
      <c r="B12" s="87" t="s">
        <v>60</v>
      </c>
      <c r="C12" s="88" t="s">
        <v>56</v>
      </c>
      <c r="D12" s="89" t="str">
        <f t="shared" si="0"/>
        <v>2.1.1</v>
      </c>
      <c r="E12" s="90" t="s">
        <v>61</v>
      </c>
      <c r="F12" s="87" t="s">
        <v>58</v>
      </c>
      <c r="G12" s="87">
        <v>300</v>
      </c>
      <c r="H12" s="91">
        <v>950</v>
      </c>
      <c r="I12" s="92">
        <f t="shared" si="1"/>
        <v>285000</v>
      </c>
    </row>
    <row r="13" spans="1:9" s="85" customFormat="1" ht="37.5" customHeight="1" thickBot="1" x14ac:dyDescent="0.25">
      <c r="A13" s="86">
        <v>4</v>
      </c>
      <c r="B13" s="87" t="s">
        <v>62</v>
      </c>
      <c r="C13" s="88" t="s">
        <v>56</v>
      </c>
      <c r="D13" s="89" t="str">
        <f t="shared" si="0"/>
        <v>2.1.1</v>
      </c>
      <c r="E13" s="90" t="s">
        <v>63</v>
      </c>
      <c r="F13" s="87" t="s">
        <v>64</v>
      </c>
      <c r="G13" s="87">
        <v>2000</v>
      </c>
      <c r="H13" s="91">
        <v>300</v>
      </c>
      <c r="I13" s="92">
        <f t="shared" si="1"/>
        <v>600000</v>
      </c>
    </row>
    <row r="14" spans="1:9" s="85" customFormat="1" ht="31.9" customHeight="1" thickBot="1" x14ac:dyDescent="0.25">
      <c r="A14" s="86">
        <v>5</v>
      </c>
      <c r="B14" s="87" t="s">
        <v>65</v>
      </c>
      <c r="C14" s="88" t="s">
        <v>56</v>
      </c>
      <c r="D14" s="89" t="str">
        <f t="shared" si="0"/>
        <v>2.1.1</v>
      </c>
      <c r="E14" s="90" t="s">
        <v>66</v>
      </c>
      <c r="F14" s="87" t="s">
        <v>58</v>
      </c>
      <c r="G14" s="87">
        <v>4500</v>
      </c>
      <c r="H14" s="91">
        <v>50</v>
      </c>
      <c r="I14" s="92">
        <f t="shared" si="1"/>
        <v>225000</v>
      </c>
    </row>
    <row r="15" spans="1:9" s="85" customFormat="1" ht="31.9" customHeight="1" thickBot="1" x14ac:dyDescent="0.25">
      <c r="A15" s="86">
        <v>6</v>
      </c>
      <c r="B15" s="87" t="s">
        <v>67</v>
      </c>
      <c r="C15" s="88" t="s">
        <v>56</v>
      </c>
      <c r="D15" s="89" t="str">
        <f t="shared" si="0"/>
        <v>2.1.1</v>
      </c>
      <c r="E15" s="90" t="s">
        <v>234</v>
      </c>
      <c r="F15" s="87" t="s">
        <v>58</v>
      </c>
      <c r="G15" s="87">
        <v>5400</v>
      </c>
      <c r="H15" s="91">
        <v>60</v>
      </c>
      <c r="I15" s="92">
        <f t="shared" si="1"/>
        <v>324000</v>
      </c>
    </row>
    <row r="16" spans="1:9" s="85" customFormat="1" ht="31.9" customHeight="1" thickBot="1" x14ac:dyDescent="0.25">
      <c r="A16" s="86">
        <v>7</v>
      </c>
      <c r="B16" s="87" t="s">
        <v>68</v>
      </c>
      <c r="C16" s="88" t="s">
        <v>56</v>
      </c>
      <c r="D16" s="89" t="str">
        <f t="shared" si="0"/>
        <v>2.1.1</v>
      </c>
      <c r="E16" s="90" t="s">
        <v>69</v>
      </c>
      <c r="F16" s="87" t="s">
        <v>233</v>
      </c>
      <c r="G16" s="87">
        <v>40</v>
      </c>
      <c r="H16" s="91">
        <v>1100</v>
      </c>
      <c r="I16" s="92">
        <f t="shared" si="1"/>
        <v>44000</v>
      </c>
    </row>
    <row r="17" spans="1:9" s="85" customFormat="1" ht="31.9" customHeight="1" thickBot="1" x14ac:dyDescent="0.25">
      <c r="A17" s="86">
        <v>8</v>
      </c>
      <c r="B17" s="87" t="s">
        <v>70</v>
      </c>
      <c r="C17" s="88" t="s">
        <v>56</v>
      </c>
      <c r="D17" s="89" t="str">
        <f t="shared" si="0"/>
        <v>2.1.1</v>
      </c>
      <c r="E17" s="90" t="s">
        <v>71</v>
      </c>
      <c r="F17" s="87" t="s">
        <v>58</v>
      </c>
      <c r="G17" s="87">
        <v>300</v>
      </c>
      <c r="H17" s="91">
        <v>110</v>
      </c>
      <c r="I17" s="92">
        <f t="shared" si="1"/>
        <v>33000</v>
      </c>
    </row>
    <row r="18" spans="1:9" s="85" customFormat="1" ht="31.9" customHeight="1" thickBot="1" x14ac:dyDescent="0.25">
      <c r="A18" s="86">
        <v>9</v>
      </c>
      <c r="B18" s="87" t="s">
        <v>72</v>
      </c>
      <c r="C18" s="88" t="s">
        <v>56</v>
      </c>
      <c r="D18" s="89" t="str">
        <f t="shared" si="0"/>
        <v>2.1.1</v>
      </c>
      <c r="E18" s="90" t="s">
        <v>73</v>
      </c>
      <c r="F18" s="87" t="s">
        <v>58</v>
      </c>
      <c r="G18" s="87">
        <v>30</v>
      </c>
      <c r="H18" s="91">
        <v>180</v>
      </c>
      <c r="I18" s="92">
        <f t="shared" si="1"/>
        <v>5400</v>
      </c>
    </row>
    <row r="19" spans="1:9" s="85" customFormat="1" ht="52.5" customHeight="1" thickBot="1" x14ac:dyDescent="0.25">
      <c r="A19" s="86">
        <v>10</v>
      </c>
      <c r="B19" s="87" t="s">
        <v>74</v>
      </c>
      <c r="C19" s="88" t="s">
        <v>56</v>
      </c>
      <c r="D19" s="89" t="str">
        <f t="shared" si="0"/>
        <v>2.1.1</v>
      </c>
      <c r="E19" s="90" t="s">
        <v>75</v>
      </c>
      <c r="F19" s="87" t="s">
        <v>235</v>
      </c>
      <c r="G19" s="87">
        <v>500</v>
      </c>
      <c r="H19" s="91">
        <v>200</v>
      </c>
      <c r="I19" s="92">
        <f t="shared" si="1"/>
        <v>100000</v>
      </c>
    </row>
    <row r="20" spans="1:9" s="85" customFormat="1" ht="71.25" customHeight="1" thickBot="1" x14ac:dyDescent="0.25">
      <c r="A20" s="86">
        <v>11</v>
      </c>
      <c r="B20" s="87" t="s">
        <v>137</v>
      </c>
      <c r="C20" s="88" t="s">
        <v>56</v>
      </c>
      <c r="D20" s="89" t="str">
        <f t="shared" si="0"/>
        <v>2.1.1</v>
      </c>
      <c r="E20" s="90" t="s">
        <v>134</v>
      </c>
      <c r="F20" s="87" t="s">
        <v>233</v>
      </c>
      <c r="G20" s="87">
        <v>150</v>
      </c>
      <c r="H20" s="91">
        <f>1950*1.2</f>
        <v>2340</v>
      </c>
      <c r="I20" s="92">
        <f t="shared" si="1"/>
        <v>351000</v>
      </c>
    </row>
    <row r="21" spans="1:9" s="85" customFormat="1" ht="48" customHeight="1" thickBot="1" x14ac:dyDescent="0.25">
      <c r="A21" s="86">
        <v>12</v>
      </c>
      <c r="B21" s="87" t="s">
        <v>76</v>
      </c>
      <c r="C21" s="88" t="s">
        <v>56</v>
      </c>
      <c r="D21" s="89" t="str">
        <f t="shared" si="0"/>
        <v>2.1.1</v>
      </c>
      <c r="E21" s="90" t="s">
        <v>77</v>
      </c>
      <c r="F21" s="87" t="s">
        <v>59</v>
      </c>
      <c r="G21" s="87">
        <v>150</v>
      </c>
      <c r="H21" s="91">
        <f>1600*1.2</f>
        <v>1920</v>
      </c>
      <c r="I21" s="92">
        <f t="shared" si="1"/>
        <v>288000</v>
      </c>
    </row>
    <row r="22" spans="1:9" s="85" customFormat="1" ht="52.5" customHeight="1" thickBot="1" x14ac:dyDescent="0.25">
      <c r="A22" s="86">
        <v>13</v>
      </c>
      <c r="B22" s="87" t="s">
        <v>133</v>
      </c>
      <c r="C22" s="88" t="s">
        <v>56</v>
      </c>
      <c r="D22" s="89" t="str">
        <f t="shared" si="0"/>
        <v>2.1.1</v>
      </c>
      <c r="E22" s="90" t="s">
        <v>132</v>
      </c>
      <c r="F22" s="87" t="s">
        <v>233</v>
      </c>
      <c r="G22" s="87">
        <v>150</v>
      </c>
      <c r="H22" s="91">
        <v>950</v>
      </c>
      <c r="I22" s="92">
        <f t="shared" si="1"/>
        <v>142500</v>
      </c>
    </row>
    <row r="23" spans="1:9" s="85" customFormat="1" ht="43.5" customHeight="1" thickBot="1" x14ac:dyDescent="0.25">
      <c r="A23" s="86">
        <v>14</v>
      </c>
      <c r="B23" s="87" t="s">
        <v>78</v>
      </c>
      <c r="C23" s="88" t="s">
        <v>56</v>
      </c>
      <c r="D23" s="89" t="str">
        <f t="shared" si="0"/>
        <v>2.1.1</v>
      </c>
      <c r="E23" s="90" t="s">
        <v>79</v>
      </c>
      <c r="F23" s="87" t="s">
        <v>64</v>
      </c>
      <c r="G23" s="87">
        <v>300</v>
      </c>
      <c r="H23" s="91">
        <v>600</v>
      </c>
      <c r="I23" s="92">
        <f t="shared" si="1"/>
        <v>180000</v>
      </c>
    </row>
    <row r="24" spans="1:9" s="85" customFormat="1" ht="72" customHeight="1" thickBot="1" x14ac:dyDescent="0.25">
      <c r="A24" s="86">
        <v>15</v>
      </c>
      <c r="B24" s="87" t="s">
        <v>136</v>
      </c>
      <c r="C24" s="88" t="s">
        <v>56</v>
      </c>
      <c r="D24" s="89" t="str">
        <f t="shared" si="0"/>
        <v>2.1.1</v>
      </c>
      <c r="E24" s="90" t="s">
        <v>135</v>
      </c>
      <c r="F24" s="87" t="s">
        <v>59</v>
      </c>
      <c r="G24" s="87">
        <v>150</v>
      </c>
      <c r="H24" s="91">
        <v>3900</v>
      </c>
      <c r="I24" s="92">
        <f t="shared" si="1"/>
        <v>585000</v>
      </c>
    </row>
    <row r="25" spans="1:9" s="85" customFormat="1" ht="49.5" customHeight="1" thickBot="1" x14ac:dyDescent="0.25">
      <c r="A25" s="86">
        <v>16</v>
      </c>
      <c r="B25" s="87" t="s">
        <v>80</v>
      </c>
      <c r="C25" s="88" t="s">
        <v>56</v>
      </c>
      <c r="D25" s="89" t="str">
        <f t="shared" si="0"/>
        <v>2.1.1</v>
      </c>
      <c r="E25" s="90" t="s">
        <v>81</v>
      </c>
      <c r="F25" s="87" t="s">
        <v>233</v>
      </c>
      <c r="G25" s="87">
        <v>90</v>
      </c>
      <c r="H25" s="91">
        <f>1150*1.2</f>
        <v>1380</v>
      </c>
      <c r="I25" s="92">
        <f t="shared" si="1"/>
        <v>124200</v>
      </c>
    </row>
    <row r="26" spans="1:9" s="85" customFormat="1" ht="72.75" customHeight="1" thickBot="1" x14ac:dyDescent="0.25">
      <c r="A26" s="86">
        <v>17</v>
      </c>
      <c r="B26" s="87" t="s">
        <v>139</v>
      </c>
      <c r="C26" s="88" t="s">
        <v>56</v>
      </c>
      <c r="D26" s="89" t="str">
        <f t="shared" si="0"/>
        <v>2.1.1</v>
      </c>
      <c r="E26" s="90" t="s">
        <v>138</v>
      </c>
      <c r="F26" s="87" t="s">
        <v>59</v>
      </c>
      <c r="G26" s="87">
        <v>3</v>
      </c>
      <c r="H26" s="91">
        <v>7490</v>
      </c>
      <c r="I26" s="92">
        <f t="shared" si="1"/>
        <v>22470</v>
      </c>
    </row>
    <row r="27" spans="1:9" s="85" customFormat="1" ht="51.75" customHeight="1" thickBot="1" x14ac:dyDescent="0.25">
      <c r="A27" s="86">
        <v>18</v>
      </c>
      <c r="B27" s="87" t="s">
        <v>82</v>
      </c>
      <c r="C27" s="88" t="s">
        <v>56</v>
      </c>
      <c r="D27" s="89" t="str">
        <f t="shared" si="0"/>
        <v>2.1.1</v>
      </c>
      <c r="E27" s="90" t="s">
        <v>83</v>
      </c>
      <c r="F27" s="87" t="s">
        <v>64</v>
      </c>
      <c r="G27" s="87">
        <v>800</v>
      </c>
      <c r="H27" s="91">
        <v>600</v>
      </c>
      <c r="I27" s="92">
        <f t="shared" si="1"/>
        <v>480000</v>
      </c>
    </row>
    <row r="28" spans="1:9" s="85" customFormat="1" ht="45" customHeight="1" thickBot="1" x14ac:dyDescent="0.25">
      <c r="A28" s="86">
        <v>19</v>
      </c>
      <c r="B28" s="87" t="s">
        <v>84</v>
      </c>
      <c r="C28" s="88" t="s">
        <v>56</v>
      </c>
      <c r="D28" s="89" t="str">
        <f t="shared" si="0"/>
        <v>2.1.1</v>
      </c>
      <c r="E28" s="90" t="s">
        <v>85</v>
      </c>
      <c r="F28" s="87" t="s">
        <v>233</v>
      </c>
      <c r="G28" s="87">
        <v>250</v>
      </c>
      <c r="H28" s="91">
        <v>1900</v>
      </c>
      <c r="I28" s="92">
        <f t="shared" si="1"/>
        <v>475000</v>
      </c>
    </row>
    <row r="29" spans="1:9" s="85" customFormat="1" ht="45.75" customHeight="1" thickBot="1" x14ac:dyDescent="0.25">
      <c r="A29" s="86">
        <v>20</v>
      </c>
      <c r="B29" s="87" t="s">
        <v>86</v>
      </c>
      <c r="C29" s="88" t="s">
        <v>56</v>
      </c>
      <c r="D29" s="89" t="str">
        <f t="shared" si="0"/>
        <v>2.1.1</v>
      </c>
      <c r="E29" s="90" t="s">
        <v>87</v>
      </c>
      <c r="F29" s="87" t="s">
        <v>64</v>
      </c>
      <c r="G29" s="87">
        <v>13600</v>
      </c>
      <c r="H29" s="91">
        <v>70</v>
      </c>
      <c r="I29" s="92">
        <f t="shared" si="1"/>
        <v>952000</v>
      </c>
    </row>
    <row r="30" spans="1:9" s="85" customFormat="1" ht="50.25" customHeight="1" thickBot="1" x14ac:dyDescent="0.25">
      <c r="A30" s="86">
        <v>21</v>
      </c>
      <c r="B30" s="87" t="s">
        <v>141</v>
      </c>
      <c r="C30" s="88" t="s">
        <v>56</v>
      </c>
      <c r="D30" s="89" t="str">
        <f t="shared" si="0"/>
        <v>2.1.1</v>
      </c>
      <c r="E30" s="90" t="s">
        <v>140</v>
      </c>
      <c r="F30" s="87" t="s">
        <v>64</v>
      </c>
      <c r="G30" s="87">
        <v>60</v>
      </c>
      <c r="H30" s="91">
        <v>1100</v>
      </c>
      <c r="I30" s="92">
        <f t="shared" si="1"/>
        <v>66000</v>
      </c>
    </row>
    <row r="31" spans="1:9" s="85" customFormat="1" ht="45.75" customHeight="1" thickBot="1" x14ac:dyDescent="0.25">
      <c r="A31" s="86">
        <v>22</v>
      </c>
      <c r="B31" s="87" t="s">
        <v>88</v>
      </c>
      <c r="C31" s="88" t="s">
        <v>56</v>
      </c>
      <c r="D31" s="89" t="str">
        <f t="shared" si="0"/>
        <v>2.1.1</v>
      </c>
      <c r="E31" s="90" t="s">
        <v>89</v>
      </c>
      <c r="F31" s="87" t="s">
        <v>64</v>
      </c>
      <c r="G31" s="87">
        <v>200</v>
      </c>
      <c r="H31" s="91">
        <v>450</v>
      </c>
      <c r="I31" s="92">
        <f t="shared" si="1"/>
        <v>90000</v>
      </c>
    </row>
    <row r="32" spans="1:9" s="85" customFormat="1" ht="46.5" customHeight="1" thickBot="1" x14ac:dyDescent="0.25">
      <c r="A32" s="86">
        <v>23</v>
      </c>
      <c r="B32" s="87" t="s">
        <v>90</v>
      </c>
      <c r="C32" s="88" t="s">
        <v>56</v>
      </c>
      <c r="D32" s="89" t="str">
        <f t="shared" si="0"/>
        <v>2.1.1</v>
      </c>
      <c r="E32" s="90" t="s">
        <v>91</v>
      </c>
      <c r="F32" s="87" t="s">
        <v>59</v>
      </c>
      <c r="G32" s="87">
        <v>2</v>
      </c>
      <c r="H32" s="91">
        <v>3420</v>
      </c>
      <c r="I32" s="92">
        <f t="shared" si="1"/>
        <v>6840</v>
      </c>
    </row>
    <row r="33" spans="1:9" s="85" customFormat="1" ht="57" customHeight="1" thickBot="1" x14ac:dyDescent="0.25">
      <c r="A33" s="86">
        <v>24</v>
      </c>
      <c r="B33" s="87" t="s">
        <v>92</v>
      </c>
      <c r="C33" s="88" t="s">
        <v>56</v>
      </c>
      <c r="D33" s="89" t="str">
        <f t="shared" si="0"/>
        <v>2.1.1</v>
      </c>
      <c r="E33" s="90" t="s">
        <v>93</v>
      </c>
      <c r="F33" s="87" t="s">
        <v>59</v>
      </c>
      <c r="G33" s="87">
        <v>120</v>
      </c>
      <c r="H33" s="91">
        <v>5000</v>
      </c>
      <c r="I33" s="92">
        <f t="shared" si="1"/>
        <v>600000</v>
      </c>
    </row>
    <row r="34" spans="1:9" s="85" customFormat="1" ht="48" customHeight="1" thickBot="1" x14ac:dyDescent="0.25">
      <c r="A34" s="86">
        <v>25</v>
      </c>
      <c r="B34" s="87" t="s">
        <v>94</v>
      </c>
      <c r="C34" s="88" t="s">
        <v>56</v>
      </c>
      <c r="D34" s="89" t="str">
        <f t="shared" si="0"/>
        <v>2.1.1</v>
      </c>
      <c r="E34" s="90" t="s">
        <v>95</v>
      </c>
      <c r="F34" s="87" t="s">
        <v>59</v>
      </c>
      <c r="G34" s="87">
        <v>120</v>
      </c>
      <c r="H34" s="91">
        <v>6750</v>
      </c>
      <c r="I34" s="92">
        <f t="shared" si="1"/>
        <v>810000</v>
      </c>
    </row>
    <row r="35" spans="1:9" s="85" customFormat="1" ht="51" customHeight="1" thickBot="1" x14ac:dyDescent="0.25">
      <c r="A35" s="86">
        <v>26</v>
      </c>
      <c r="B35" s="87" t="s">
        <v>96</v>
      </c>
      <c r="C35" s="88" t="s">
        <v>56</v>
      </c>
      <c r="D35" s="89" t="str">
        <f t="shared" si="0"/>
        <v>2.1.1</v>
      </c>
      <c r="E35" s="90" t="s">
        <v>97</v>
      </c>
      <c r="F35" s="87" t="s">
        <v>59</v>
      </c>
      <c r="G35" s="87">
        <v>90</v>
      </c>
      <c r="H35" s="91">
        <v>3000</v>
      </c>
      <c r="I35" s="92">
        <f t="shared" si="1"/>
        <v>270000</v>
      </c>
    </row>
    <row r="36" spans="1:9" s="85" customFormat="1" ht="47.25" customHeight="1" thickBot="1" x14ac:dyDescent="0.25">
      <c r="A36" s="86">
        <v>27</v>
      </c>
      <c r="B36" s="87" t="s">
        <v>98</v>
      </c>
      <c r="C36" s="88" t="s">
        <v>56</v>
      </c>
      <c r="D36" s="89" t="str">
        <f t="shared" si="0"/>
        <v>2.1.1</v>
      </c>
      <c r="E36" s="90" t="s">
        <v>99</v>
      </c>
      <c r="F36" s="87" t="s">
        <v>59</v>
      </c>
      <c r="G36" s="87">
        <v>90</v>
      </c>
      <c r="H36" s="91">
        <v>3400</v>
      </c>
      <c r="I36" s="92">
        <f t="shared" si="1"/>
        <v>306000</v>
      </c>
    </row>
    <row r="37" spans="1:9" s="85" customFormat="1" ht="53.25" customHeight="1" thickBot="1" x14ac:dyDescent="0.25">
      <c r="A37" s="86">
        <v>28</v>
      </c>
      <c r="B37" s="87" t="s">
        <v>100</v>
      </c>
      <c r="C37" s="88" t="s">
        <v>56</v>
      </c>
      <c r="D37" s="89" t="str">
        <f t="shared" si="0"/>
        <v>2.1.1</v>
      </c>
      <c r="E37" s="90" t="s">
        <v>101</v>
      </c>
      <c r="F37" s="87" t="s">
        <v>59</v>
      </c>
      <c r="G37" s="87">
        <v>60</v>
      </c>
      <c r="H37" s="91">
        <f>200*20</f>
        <v>4000</v>
      </c>
      <c r="I37" s="92">
        <f t="shared" si="1"/>
        <v>240000</v>
      </c>
    </row>
    <row r="38" spans="1:9" s="85" customFormat="1" ht="53.25" customHeight="1" thickBot="1" x14ac:dyDescent="0.25">
      <c r="A38" s="86">
        <v>29</v>
      </c>
      <c r="B38" s="87" t="s">
        <v>245</v>
      </c>
      <c r="C38" s="88" t="s">
        <v>56</v>
      </c>
      <c r="D38" s="89" t="str">
        <f t="shared" si="0"/>
        <v>2.1.1</v>
      </c>
      <c r="E38" s="90" t="s">
        <v>244</v>
      </c>
      <c r="F38" s="87" t="s">
        <v>248</v>
      </c>
      <c r="G38" s="87">
        <v>21</v>
      </c>
      <c r="H38" s="91">
        <v>1300</v>
      </c>
      <c r="I38" s="92">
        <f t="shared" si="1"/>
        <v>27300</v>
      </c>
    </row>
    <row r="39" spans="1:9" s="85" customFormat="1" ht="53.25" customHeight="1" thickBot="1" x14ac:dyDescent="0.25">
      <c r="A39" s="86">
        <v>30</v>
      </c>
      <c r="B39" s="87" t="s">
        <v>246</v>
      </c>
      <c r="C39" s="88" t="s">
        <v>56</v>
      </c>
      <c r="D39" s="89" t="str">
        <f t="shared" si="0"/>
        <v>2.1.1</v>
      </c>
      <c r="E39" s="90" t="s">
        <v>247</v>
      </c>
      <c r="F39" s="87" t="s">
        <v>233</v>
      </c>
      <c r="G39" s="87">
        <v>30</v>
      </c>
      <c r="H39" s="91">
        <v>1050</v>
      </c>
      <c r="I39" s="92">
        <f t="shared" si="1"/>
        <v>31500</v>
      </c>
    </row>
    <row r="40" spans="1:9" s="85" customFormat="1" ht="53.25" customHeight="1" thickBot="1" x14ac:dyDescent="0.25">
      <c r="A40" s="86">
        <v>31</v>
      </c>
      <c r="B40" s="87" t="s">
        <v>251</v>
      </c>
      <c r="C40" s="88" t="s">
        <v>56</v>
      </c>
      <c r="D40" s="89" t="str">
        <f t="shared" si="0"/>
        <v>2.1.1</v>
      </c>
      <c r="E40" s="90" t="s">
        <v>252</v>
      </c>
      <c r="F40" s="87" t="s">
        <v>233</v>
      </c>
      <c r="G40" s="87">
        <v>100</v>
      </c>
      <c r="H40" s="91">
        <v>1900</v>
      </c>
      <c r="I40" s="92">
        <f t="shared" si="1"/>
        <v>190000</v>
      </c>
    </row>
    <row r="41" spans="1:9" s="85" customFormat="1" ht="53.25" customHeight="1" thickBot="1" x14ac:dyDescent="0.25">
      <c r="A41" s="86">
        <v>32</v>
      </c>
      <c r="B41" s="87" t="s">
        <v>254</v>
      </c>
      <c r="C41" s="88" t="s">
        <v>56</v>
      </c>
      <c r="D41" s="89" t="str">
        <f t="shared" si="0"/>
        <v>2.1.1</v>
      </c>
      <c r="E41" s="90" t="s">
        <v>255</v>
      </c>
      <c r="F41" s="87" t="s">
        <v>256</v>
      </c>
      <c r="G41" s="87">
        <v>420</v>
      </c>
      <c r="H41" s="91">
        <v>150</v>
      </c>
      <c r="I41" s="92">
        <f t="shared" si="1"/>
        <v>63000</v>
      </c>
    </row>
    <row r="42" spans="1:9" s="85" customFormat="1" ht="48.75" customHeight="1" thickBot="1" x14ac:dyDescent="0.25">
      <c r="A42" s="86">
        <v>33</v>
      </c>
      <c r="B42" s="87" t="s">
        <v>257</v>
      </c>
      <c r="C42" s="88" t="s">
        <v>56</v>
      </c>
      <c r="D42" s="89" t="str">
        <f t="shared" si="0"/>
        <v>2.1.1</v>
      </c>
      <c r="E42" s="90" t="s">
        <v>258</v>
      </c>
      <c r="F42" s="87" t="s">
        <v>259</v>
      </c>
      <c r="G42" s="87">
        <v>100</v>
      </c>
      <c r="H42" s="91">
        <v>3600</v>
      </c>
      <c r="I42" s="92">
        <f t="shared" si="1"/>
        <v>360000</v>
      </c>
    </row>
    <row r="43" spans="1:9" s="85" customFormat="1" ht="31.9" customHeight="1" thickBot="1" x14ac:dyDescent="0.25">
      <c r="A43" s="86">
        <v>34</v>
      </c>
      <c r="B43" s="87" t="s">
        <v>102</v>
      </c>
      <c r="C43" s="88" t="s">
        <v>56</v>
      </c>
      <c r="D43" s="89" t="str">
        <f t="shared" si="0"/>
        <v>2.1.1</v>
      </c>
      <c r="E43" s="90" t="s">
        <v>103</v>
      </c>
      <c r="F43" s="87" t="s">
        <v>64</v>
      </c>
      <c r="G43" s="87">
        <v>900</v>
      </c>
      <c r="H43" s="91">
        <v>1810</v>
      </c>
      <c r="I43" s="92">
        <f t="shared" si="1"/>
        <v>1629000</v>
      </c>
    </row>
    <row r="44" spans="1:9" s="85" customFormat="1" ht="31.9" customHeight="1" thickBot="1" x14ac:dyDescent="0.25">
      <c r="A44" s="86">
        <v>35</v>
      </c>
      <c r="B44" s="87" t="s">
        <v>104</v>
      </c>
      <c r="C44" s="88" t="s">
        <v>56</v>
      </c>
      <c r="D44" s="89" t="str">
        <f t="shared" si="0"/>
        <v>2.1.1</v>
      </c>
      <c r="E44" s="90" t="s">
        <v>105</v>
      </c>
      <c r="F44" s="87" t="s">
        <v>64</v>
      </c>
      <c r="G44" s="87">
        <v>300</v>
      </c>
      <c r="H44" s="91">
        <v>1810</v>
      </c>
      <c r="I44" s="92">
        <f t="shared" si="1"/>
        <v>543000</v>
      </c>
    </row>
    <row r="45" spans="1:9" s="85" customFormat="1" ht="31.9" customHeight="1" thickBot="1" x14ac:dyDescent="0.25">
      <c r="A45" s="86">
        <v>36</v>
      </c>
      <c r="B45" s="87" t="s">
        <v>106</v>
      </c>
      <c r="C45" s="88" t="s">
        <v>56</v>
      </c>
      <c r="D45" s="89" t="str">
        <f t="shared" si="0"/>
        <v>2.1.1</v>
      </c>
      <c r="E45" s="90" t="s">
        <v>107</v>
      </c>
      <c r="F45" s="87" t="s">
        <v>64</v>
      </c>
      <c r="G45" s="87">
        <v>900</v>
      </c>
      <c r="H45" s="91">
        <v>990</v>
      </c>
      <c r="I45" s="92">
        <f t="shared" si="1"/>
        <v>891000</v>
      </c>
    </row>
    <row r="46" spans="1:9" s="85" customFormat="1" ht="31.9" customHeight="1" thickBot="1" x14ac:dyDescent="0.25">
      <c r="A46" s="86">
        <v>37</v>
      </c>
      <c r="B46" s="87" t="s">
        <v>108</v>
      </c>
      <c r="C46" s="88" t="s">
        <v>56</v>
      </c>
      <c r="D46" s="89" t="str">
        <f t="shared" si="0"/>
        <v>2.1.1</v>
      </c>
      <c r="E46" s="90" t="s">
        <v>109</v>
      </c>
      <c r="F46" s="87" t="s">
        <v>64</v>
      </c>
      <c r="G46" s="87">
        <v>200</v>
      </c>
      <c r="H46" s="91">
        <v>945</v>
      </c>
      <c r="I46" s="92">
        <f t="shared" si="1"/>
        <v>189000</v>
      </c>
    </row>
    <row r="47" spans="1:9" s="85" customFormat="1" ht="31.9" customHeight="1" thickBot="1" x14ac:dyDescent="0.25">
      <c r="A47" s="86">
        <v>38</v>
      </c>
      <c r="B47" s="87" t="s">
        <v>110</v>
      </c>
      <c r="C47" s="88" t="s">
        <v>56</v>
      </c>
      <c r="D47" s="89" t="str">
        <f t="shared" si="0"/>
        <v>2.1.1</v>
      </c>
      <c r="E47" s="90" t="s">
        <v>111</v>
      </c>
      <c r="F47" s="87" t="s">
        <v>64</v>
      </c>
      <c r="G47" s="87">
        <v>200</v>
      </c>
      <c r="H47" s="91">
        <v>945</v>
      </c>
      <c r="I47" s="92">
        <f t="shared" si="1"/>
        <v>189000</v>
      </c>
    </row>
    <row r="48" spans="1:9" s="85" customFormat="1" ht="60" customHeight="1" thickBot="1" x14ac:dyDescent="0.25">
      <c r="A48" s="86">
        <v>39</v>
      </c>
      <c r="B48" s="87" t="s">
        <v>112</v>
      </c>
      <c r="C48" s="88" t="s">
        <v>56</v>
      </c>
      <c r="D48" s="89" t="str">
        <f t="shared" si="0"/>
        <v>2.1.1</v>
      </c>
      <c r="E48" s="90" t="s">
        <v>113</v>
      </c>
      <c r="F48" s="87" t="s">
        <v>58</v>
      </c>
      <c r="G48" s="87">
        <v>210</v>
      </c>
      <c r="H48" s="91">
        <v>3680</v>
      </c>
      <c r="I48" s="92">
        <f t="shared" si="1"/>
        <v>772800</v>
      </c>
    </row>
    <row r="49" spans="1:9" s="85" customFormat="1" ht="69.75" customHeight="1" thickBot="1" x14ac:dyDescent="0.25">
      <c r="A49" s="86">
        <v>40</v>
      </c>
      <c r="B49" s="87" t="s">
        <v>143</v>
      </c>
      <c r="C49" s="88" t="s">
        <v>56</v>
      </c>
      <c r="D49" s="89" t="str">
        <f t="shared" si="0"/>
        <v>2.1.1</v>
      </c>
      <c r="E49" s="90" t="s">
        <v>142</v>
      </c>
      <c r="F49" s="87" t="s">
        <v>58</v>
      </c>
      <c r="G49" s="87">
        <v>120</v>
      </c>
      <c r="H49" s="91">
        <v>1500</v>
      </c>
      <c r="I49" s="92">
        <f t="shared" si="1"/>
        <v>180000</v>
      </c>
    </row>
    <row r="50" spans="1:9" s="85" customFormat="1" ht="63.75" customHeight="1" thickBot="1" x14ac:dyDescent="0.25">
      <c r="A50" s="86">
        <v>41</v>
      </c>
      <c r="B50" s="87" t="s">
        <v>114</v>
      </c>
      <c r="C50" s="88" t="s">
        <v>56</v>
      </c>
      <c r="D50" s="89" t="str">
        <f t="shared" si="0"/>
        <v>2.1.1</v>
      </c>
      <c r="E50" s="90" t="s">
        <v>115</v>
      </c>
      <c r="F50" s="87" t="s">
        <v>58</v>
      </c>
      <c r="G50" s="87">
        <v>100</v>
      </c>
      <c r="H50" s="91">
        <v>6869</v>
      </c>
      <c r="I50" s="92">
        <f t="shared" si="1"/>
        <v>686900</v>
      </c>
    </row>
    <row r="51" spans="1:9" s="85" customFormat="1" ht="31.9" customHeight="1" thickBot="1" x14ac:dyDescent="0.25">
      <c r="A51" s="86">
        <v>42</v>
      </c>
      <c r="B51" s="87" t="s">
        <v>116</v>
      </c>
      <c r="C51" s="88" t="s">
        <v>56</v>
      </c>
      <c r="D51" s="89" t="str">
        <f t="shared" si="0"/>
        <v>2.1.1</v>
      </c>
      <c r="E51" s="90" t="s">
        <v>117</v>
      </c>
      <c r="F51" s="87" t="s">
        <v>64</v>
      </c>
      <c r="G51" s="87">
        <v>200</v>
      </c>
      <c r="H51" s="91">
        <v>1400</v>
      </c>
      <c r="I51" s="92">
        <f t="shared" si="1"/>
        <v>280000</v>
      </c>
    </row>
    <row r="52" spans="1:9" s="85" customFormat="1" ht="31.9" customHeight="1" thickBot="1" x14ac:dyDescent="0.25">
      <c r="A52" s="86">
        <v>43</v>
      </c>
      <c r="B52" s="87" t="s">
        <v>118</v>
      </c>
      <c r="C52" s="88" t="s">
        <v>56</v>
      </c>
      <c r="D52" s="89" t="str">
        <f t="shared" si="0"/>
        <v>2.1.1</v>
      </c>
      <c r="E52" s="90" t="s">
        <v>119</v>
      </c>
      <c r="F52" s="87" t="s">
        <v>58</v>
      </c>
      <c r="G52" s="87">
        <v>30</v>
      </c>
      <c r="H52" s="91">
        <v>540</v>
      </c>
      <c r="I52" s="92">
        <f t="shared" si="1"/>
        <v>16200</v>
      </c>
    </row>
    <row r="53" spans="1:9" s="85" customFormat="1" ht="43.5" customHeight="1" thickBot="1" x14ac:dyDescent="0.25">
      <c r="A53" s="86">
        <v>44</v>
      </c>
      <c r="B53" s="87" t="s">
        <v>120</v>
      </c>
      <c r="C53" s="88" t="s">
        <v>56</v>
      </c>
      <c r="D53" s="89" t="str">
        <f t="shared" si="0"/>
        <v>2.1.1</v>
      </c>
      <c r="E53" s="90" t="s">
        <v>121</v>
      </c>
      <c r="F53" s="87" t="s">
        <v>58</v>
      </c>
      <c r="G53" s="87">
        <v>500</v>
      </c>
      <c r="H53" s="91">
        <v>300</v>
      </c>
      <c r="I53" s="92">
        <f t="shared" si="1"/>
        <v>150000</v>
      </c>
    </row>
    <row r="54" spans="1:9" s="85" customFormat="1" ht="35.25" customHeight="1" thickBot="1" x14ac:dyDescent="0.25">
      <c r="A54" s="86">
        <v>45</v>
      </c>
      <c r="B54" s="87" t="s">
        <v>122</v>
      </c>
      <c r="C54" s="88" t="s">
        <v>56</v>
      </c>
      <c r="D54" s="89" t="str">
        <f t="shared" si="0"/>
        <v>2.1.1</v>
      </c>
      <c r="E54" s="90" t="s">
        <v>123</v>
      </c>
      <c r="F54" s="87" t="s">
        <v>233</v>
      </c>
      <c r="G54" s="87">
        <v>800</v>
      </c>
      <c r="H54" s="91">
        <v>192</v>
      </c>
      <c r="I54" s="92">
        <f t="shared" si="1"/>
        <v>153600</v>
      </c>
    </row>
    <row r="55" spans="1:9" s="85" customFormat="1" ht="39.75" customHeight="1" thickBot="1" x14ac:dyDescent="0.25">
      <c r="A55" s="86">
        <v>46</v>
      </c>
      <c r="B55" s="87" t="s">
        <v>124</v>
      </c>
      <c r="C55" s="88" t="s">
        <v>56</v>
      </c>
      <c r="D55" s="89" t="str">
        <f t="shared" si="0"/>
        <v>2.1.1</v>
      </c>
      <c r="E55" s="90" t="s">
        <v>125</v>
      </c>
      <c r="F55" s="87" t="s">
        <v>233</v>
      </c>
      <c r="G55" s="87">
        <v>800</v>
      </c>
      <c r="H55" s="91">
        <v>169</v>
      </c>
      <c r="I55" s="92">
        <f t="shared" si="1"/>
        <v>135200</v>
      </c>
    </row>
    <row r="56" spans="1:9" s="85" customFormat="1" ht="52.5" customHeight="1" thickBot="1" x14ac:dyDescent="0.25">
      <c r="A56" s="86">
        <v>47</v>
      </c>
      <c r="B56" s="87" t="s">
        <v>126</v>
      </c>
      <c r="C56" s="88" t="s">
        <v>56</v>
      </c>
      <c r="D56" s="89" t="str">
        <f t="shared" si="0"/>
        <v>2.1.1</v>
      </c>
      <c r="E56" s="90" t="s">
        <v>127</v>
      </c>
      <c r="F56" s="87" t="s">
        <v>240</v>
      </c>
      <c r="G56" s="87">
        <v>1000</v>
      </c>
      <c r="H56" s="91">
        <v>120</v>
      </c>
      <c r="I56" s="92">
        <f t="shared" si="1"/>
        <v>120000</v>
      </c>
    </row>
    <row r="57" spans="1:9" ht="13.5" thickBot="1" x14ac:dyDescent="0.25"/>
    <row r="58" spans="1:9" ht="38.25" customHeight="1" thickTop="1" thickBot="1" x14ac:dyDescent="0.25">
      <c r="B58" s="106" t="s">
        <v>158</v>
      </c>
      <c r="C58" s="107"/>
      <c r="D58" s="107"/>
      <c r="E58" s="108"/>
    </row>
    <row r="59" spans="1:9" ht="33.6" customHeight="1" thickTop="1" thickBot="1" x14ac:dyDescent="0.25">
      <c r="B59" s="106" t="s">
        <v>128</v>
      </c>
      <c r="C59" s="107"/>
      <c r="D59" s="107"/>
      <c r="E59" s="108"/>
    </row>
    <row r="60" spans="1:9" ht="13.5" thickTop="1" x14ac:dyDescent="0.2"/>
    <row r="61" spans="1:9" ht="13.5" thickBot="1" x14ac:dyDescent="0.25"/>
    <row r="62" spans="1:9" s="56" customFormat="1" x14ac:dyDescent="0.2">
      <c r="B62" s="67" t="s">
        <v>161</v>
      </c>
      <c r="C62" s="68"/>
      <c r="D62" s="68"/>
      <c r="E62" s="69"/>
    </row>
    <row r="63" spans="1:9" s="56" customFormat="1" ht="5.25" customHeight="1" x14ac:dyDescent="0.2">
      <c r="B63" s="70"/>
      <c r="C63" s="71"/>
      <c r="D63" s="71"/>
      <c r="E63" s="72"/>
    </row>
    <row r="64" spans="1:9" s="56" customFormat="1" x14ac:dyDescent="0.2">
      <c r="B64" s="73" t="s">
        <v>144</v>
      </c>
      <c r="C64" s="71"/>
      <c r="D64" s="71"/>
      <c r="E64" s="72"/>
    </row>
    <row r="65" spans="2:5" s="56" customFormat="1" ht="30.75" customHeight="1" x14ac:dyDescent="0.2">
      <c r="B65" s="73"/>
      <c r="C65" s="99" t="s">
        <v>162</v>
      </c>
      <c r="D65" s="99"/>
      <c r="E65" s="99"/>
    </row>
    <row r="66" spans="2:5" s="56" customFormat="1" x14ac:dyDescent="0.2">
      <c r="B66" s="73" t="s">
        <v>163</v>
      </c>
      <c r="C66" s="78"/>
      <c r="D66" s="78"/>
      <c r="E66" s="79"/>
    </row>
    <row r="67" spans="2:5" s="56" customFormat="1" ht="27" customHeight="1" x14ac:dyDescent="0.2">
      <c r="B67" s="74"/>
      <c r="C67" s="105" t="s">
        <v>164</v>
      </c>
      <c r="D67" s="105"/>
      <c r="E67" s="105"/>
    </row>
    <row r="68" spans="2:5" s="56" customFormat="1" ht="95.25" customHeight="1" x14ac:dyDescent="0.2">
      <c r="B68" s="74"/>
      <c r="C68" s="100" t="s">
        <v>165</v>
      </c>
      <c r="D68" s="100"/>
      <c r="E68" s="101"/>
    </row>
    <row r="69" spans="2:5" s="56" customFormat="1" x14ac:dyDescent="0.2">
      <c r="B69" s="73" t="s">
        <v>145</v>
      </c>
      <c r="C69" s="78"/>
      <c r="D69" s="78"/>
      <c r="E69" s="79"/>
    </row>
    <row r="70" spans="2:5" s="56" customFormat="1" ht="26.25" customHeight="1" x14ac:dyDescent="0.2">
      <c r="B70" s="74"/>
      <c r="C70" s="99" t="s">
        <v>166</v>
      </c>
      <c r="D70" s="99"/>
      <c r="E70" s="99"/>
    </row>
    <row r="71" spans="2:5" s="56" customFormat="1" x14ac:dyDescent="0.2">
      <c r="B71" s="73" t="s">
        <v>146</v>
      </c>
      <c r="C71" s="80"/>
      <c r="D71" s="80"/>
      <c r="E71" s="81"/>
    </row>
    <row r="72" spans="2:5" s="56" customFormat="1" ht="22.5" customHeight="1" x14ac:dyDescent="0.2">
      <c r="B72" s="74"/>
      <c r="C72" s="99" t="s">
        <v>167</v>
      </c>
      <c r="D72" s="99"/>
      <c r="E72" s="99"/>
    </row>
    <row r="73" spans="2:5" s="56" customFormat="1" x14ac:dyDescent="0.2">
      <c r="B73" s="73" t="s">
        <v>147</v>
      </c>
      <c r="C73" s="78"/>
      <c r="D73" s="78"/>
      <c r="E73" s="79"/>
    </row>
    <row r="74" spans="2:5" s="56" customFormat="1" ht="23.25" customHeight="1" x14ac:dyDescent="0.2">
      <c r="B74" s="73"/>
      <c r="C74" s="104"/>
      <c r="D74" s="104"/>
      <c r="E74" s="104"/>
    </row>
    <row r="75" spans="2:5" s="56" customFormat="1" ht="13.5" thickBot="1" x14ac:dyDescent="0.25">
      <c r="B75" s="75"/>
      <c r="C75" s="76"/>
      <c r="D75" s="76"/>
      <c r="E75" s="77"/>
    </row>
    <row r="76" spans="2:5" s="56" customFormat="1" x14ac:dyDescent="0.2">
      <c r="B76" s="37"/>
      <c r="C76" s="37"/>
      <c r="D76" s="37"/>
      <c r="E76" s="37"/>
    </row>
    <row r="78" spans="2:5" ht="13.5" thickBot="1" x14ac:dyDescent="0.25"/>
    <row r="79" spans="2:5" x14ac:dyDescent="0.2">
      <c r="B79" s="57" t="s">
        <v>168</v>
      </c>
      <c r="C79" s="58"/>
      <c r="D79" s="58"/>
      <c r="E79" s="59"/>
    </row>
    <row r="80" spans="2:5" ht="32.25" customHeight="1" x14ac:dyDescent="0.2">
      <c r="B80" s="60"/>
      <c r="C80" s="61"/>
      <c r="D80" s="61"/>
      <c r="E80" s="62"/>
    </row>
    <row r="81" spans="2:5" x14ac:dyDescent="0.2">
      <c r="B81" s="63" t="s">
        <v>144</v>
      </c>
      <c r="C81" s="61"/>
      <c r="D81" s="61"/>
      <c r="E81" s="62"/>
    </row>
    <row r="82" spans="2:5" ht="33.75" customHeight="1" x14ac:dyDescent="0.2">
      <c r="B82" s="63"/>
      <c r="C82" s="96" t="s">
        <v>171</v>
      </c>
      <c r="D82" s="96"/>
      <c r="E82" s="97"/>
    </row>
    <row r="83" spans="2:5" x14ac:dyDescent="0.2">
      <c r="B83" s="63" t="s">
        <v>163</v>
      </c>
      <c r="C83" s="61"/>
      <c r="D83" s="61"/>
      <c r="E83" s="62"/>
    </row>
    <row r="84" spans="2:5" ht="34.5" customHeight="1" x14ac:dyDescent="0.2">
      <c r="B84" s="64"/>
      <c r="C84" s="98" t="s">
        <v>164</v>
      </c>
      <c r="D84" s="98"/>
      <c r="E84" s="99"/>
    </row>
    <row r="85" spans="2:5" ht="82.5" customHeight="1" x14ac:dyDescent="0.2">
      <c r="B85" s="64"/>
      <c r="C85" s="100" t="s">
        <v>165</v>
      </c>
      <c r="D85" s="100"/>
      <c r="E85" s="101"/>
    </row>
    <row r="86" spans="2:5" x14ac:dyDescent="0.2">
      <c r="B86" s="63" t="s">
        <v>145</v>
      </c>
      <c r="C86" s="61"/>
      <c r="D86" s="61"/>
      <c r="E86" s="62"/>
    </row>
    <row r="87" spans="2:5" x14ac:dyDescent="0.2">
      <c r="B87" s="64"/>
      <c r="C87" s="99" t="s">
        <v>169</v>
      </c>
      <c r="D87" s="99"/>
      <c r="E87" s="99"/>
    </row>
    <row r="88" spans="2:5" x14ac:dyDescent="0.2">
      <c r="B88" s="63" t="s">
        <v>146</v>
      </c>
      <c r="C88" s="65"/>
      <c r="D88" s="65"/>
      <c r="E88" s="66"/>
    </row>
    <row r="89" spans="2:5" x14ac:dyDescent="0.2">
      <c r="B89" s="64"/>
      <c r="C89" s="99" t="s">
        <v>167</v>
      </c>
      <c r="D89" s="99"/>
      <c r="E89" s="99"/>
    </row>
    <row r="90" spans="2:5" x14ac:dyDescent="0.2">
      <c r="B90" s="63" t="s">
        <v>147</v>
      </c>
      <c r="C90" s="61"/>
      <c r="D90" s="61"/>
      <c r="E90" s="62"/>
    </row>
    <row r="91" spans="2:5" ht="13.5" thickBot="1" x14ac:dyDescent="0.25">
      <c r="B91" s="82"/>
      <c r="C91" s="95"/>
      <c r="D91" s="95"/>
      <c r="E91" s="95"/>
    </row>
    <row r="94" spans="2:5" ht="13.5" thickBot="1" x14ac:dyDescent="0.25"/>
    <row r="95" spans="2:5" x14ac:dyDescent="0.2">
      <c r="B95" s="57" t="s">
        <v>170</v>
      </c>
      <c r="C95" s="58"/>
      <c r="D95" s="58"/>
      <c r="E95" s="59"/>
    </row>
    <row r="96" spans="2:5" ht="10.5" customHeight="1" x14ac:dyDescent="0.2">
      <c r="B96" s="60"/>
      <c r="C96" s="61"/>
      <c r="D96" s="61"/>
      <c r="E96" s="62"/>
    </row>
    <row r="97" spans="2:5" x14ac:dyDescent="0.2">
      <c r="B97" s="63" t="s">
        <v>144</v>
      </c>
      <c r="C97" s="61"/>
      <c r="D97" s="61"/>
      <c r="E97" s="62"/>
    </row>
    <row r="98" spans="2:5" ht="44.25" customHeight="1" x14ac:dyDescent="0.2">
      <c r="B98" s="63"/>
      <c r="C98" s="96" t="s">
        <v>174</v>
      </c>
      <c r="D98" s="96"/>
      <c r="E98" s="97"/>
    </row>
    <row r="99" spans="2:5" x14ac:dyDescent="0.2">
      <c r="B99" s="63" t="s">
        <v>163</v>
      </c>
      <c r="C99" s="61"/>
      <c r="D99" s="61"/>
      <c r="E99" s="62"/>
    </row>
    <row r="100" spans="2:5" ht="33" customHeight="1" x14ac:dyDescent="0.2">
      <c r="B100" s="64"/>
      <c r="C100" s="98" t="s">
        <v>164</v>
      </c>
      <c r="D100" s="98"/>
      <c r="E100" s="99"/>
    </row>
    <row r="101" spans="2:5" ht="81" customHeight="1" x14ac:dyDescent="0.2">
      <c r="B101" s="64"/>
      <c r="C101" s="100" t="s">
        <v>165</v>
      </c>
      <c r="D101" s="100"/>
      <c r="E101" s="101"/>
    </row>
    <row r="102" spans="2:5" x14ac:dyDescent="0.2">
      <c r="B102" s="63" t="s">
        <v>145</v>
      </c>
      <c r="C102" s="61"/>
      <c r="D102" s="61"/>
      <c r="E102" s="62"/>
    </row>
    <row r="103" spans="2:5" x14ac:dyDescent="0.2">
      <c r="B103" s="64"/>
      <c r="C103" s="99" t="s">
        <v>169</v>
      </c>
      <c r="D103" s="99"/>
      <c r="E103" s="99"/>
    </row>
    <row r="104" spans="2:5" x14ac:dyDescent="0.2">
      <c r="B104" s="63" t="s">
        <v>146</v>
      </c>
      <c r="C104" s="65"/>
      <c r="D104" s="65"/>
      <c r="E104" s="66"/>
    </row>
    <row r="105" spans="2:5" x14ac:dyDescent="0.2">
      <c r="B105" s="64"/>
      <c r="C105" s="99" t="s">
        <v>167</v>
      </c>
      <c r="D105" s="99"/>
      <c r="E105" s="99"/>
    </row>
    <row r="106" spans="2:5" x14ac:dyDescent="0.2">
      <c r="B106" s="63" t="s">
        <v>147</v>
      </c>
      <c r="C106" s="61"/>
      <c r="D106" s="61"/>
      <c r="E106" s="62"/>
    </row>
    <row r="107" spans="2:5" ht="13.5" thickBot="1" x14ac:dyDescent="0.25">
      <c r="B107" s="82"/>
      <c r="C107" s="95"/>
      <c r="D107" s="95"/>
      <c r="E107" s="95"/>
    </row>
    <row r="109" spans="2:5" ht="13.5" thickBot="1" x14ac:dyDescent="0.25"/>
    <row r="110" spans="2:5" x14ac:dyDescent="0.2">
      <c r="B110" s="57" t="s">
        <v>172</v>
      </c>
      <c r="C110" s="58"/>
      <c r="D110" s="58"/>
      <c r="E110" s="59"/>
    </row>
    <row r="111" spans="2:5" ht="14.25" customHeight="1" x14ac:dyDescent="0.2">
      <c r="B111" s="60"/>
      <c r="C111" s="61"/>
      <c r="D111" s="61"/>
      <c r="E111" s="62"/>
    </row>
    <row r="112" spans="2:5" x14ac:dyDescent="0.2">
      <c r="B112" s="63" t="s">
        <v>144</v>
      </c>
      <c r="C112" s="61"/>
      <c r="D112" s="61"/>
      <c r="E112" s="62"/>
    </row>
    <row r="113" spans="2:5" ht="35.25" customHeight="1" x14ac:dyDescent="0.2">
      <c r="B113" s="63"/>
      <c r="C113" s="96" t="s">
        <v>176</v>
      </c>
      <c r="D113" s="96"/>
      <c r="E113" s="97"/>
    </row>
    <row r="114" spans="2:5" x14ac:dyDescent="0.2">
      <c r="B114" s="63" t="s">
        <v>163</v>
      </c>
      <c r="C114" s="61"/>
      <c r="D114" s="61"/>
      <c r="E114" s="62"/>
    </row>
    <row r="115" spans="2:5" ht="44.25" customHeight="1" x14ac:dyDescent="0.2">
      <c r="B115" s="64"/>
      <c r="C115" s="99" t="s">
        <v>177</v>
      </c>
      <c r="D115" s="99"/>
      <c r="E115" s="99"/>
    </row>
    <row r="116" spans="2:5" ht="91.5" customHeight="1" x14ac:dyDescent="0.2">
      <c r="B116" s="64"/>
      <c r="C116" s="100" t="s">
        <v>165</v>
      </c>
      <c r="D116" s="100"/>
      <c r="E116" s="101"/>
    </row>
    <row r="117" spans="2:5" x14ac:dyDescent="0.2">
      <c r="B117" s="63" t="s">
        <v>145</v>
      </c>
      <c r="C117" s="61"/>
      <c r="D117" s="61"/>
      <c r="E117" s="62"/>
    </row>
    <row r="118" spans="2:5" x14ac:dyDescent="0.2">
      <c r="B118" s="64"/>
      <c r="C118" s="99" t="s">
        <v>169</v>
      </c>
      <c r="D118" s="99"/>
      <c r="E118" s="99"/>
    </row>
    <row r="119" spans="2:5" x14ac:dyDescent="0.2">
      <c r="B119" s="63" t="s">
        <v>146</v>
      </c>
      <c r="C119" s="65"/>
      <c r="D119" s="65"/>
      <c r="E119" s="66"/>
    </row>
    <row r="120" spans="2:5" x14ac:dyDescent="0.2">
      <c r="B120" s="64"/>
      <c r="C120" s="99" t="s">
        <v>167</v>
      </c>
      <c r="D120" s="99"/>
      <c r="E120" s="99"/>
    </row>
    <row r="121" spans="2:5" x14ac:dyDescent="0.2">
      <c r="B121" s="63" t="s">
        <v>147</v>
      </c>
      <c r="C121" s="61"/>
      <c r="D121" s="61"/>
      <c r="E121" s="62"/>
    </row>
    <row r="122" spans="2:5" ht="13.5" thickBot="1" x14ac:dyDescent="0.25">
      <c r="B122" s="82"/>
      <c r="C122" s="95"/>
      <c r="D122" s="95"/>
      <c r="E122" s="95"/>
    </row>
    <row r="125" spans="2:5" ht="13.5" thickBot="1" x14ac:dyDescent="0.25"/>
    <row r="126" spans="2:5" ht="21" customHeight="1" x14ac:dyDescent="0.2">
      <c r="B126" s="57" t="s">
        <v>173</v>
      </c>
      <c r="C126" s="58"/>
      <c r="D126" s="58"/>
      <c r="E126" s="59"/>
    </row>
    <row r="127" spans="2:5" x14ac:dyDescent="0.2">
      <c r="B127" s="60"/>
      <c r="C127" s="61"/>
      <c r="D127" s="61"/>
      <c r="E127" s="62"/>
    </row>
    <row r="128" spans="2:5" x14ac:dyDescent="0.2">
      <c r="B128" s="63" t="s">
        <v>144</v>
      </c>
      <c r="C128" s="61"/>
      <c r="D128" s="61"/>
      <c r="E128" s="62"/>
    </row>
    <row r="129" spans="2:5" ht="33.75" customHeight="1" x14ac:dyDescent="0.2">
      <c r="B129" s="63"/>
      <c r="C129" s="96" t="s">
        <v>179</v>
      </c>
      <c r="D129" s="96"/>
      <c r="E129" s="97"/>
    </row>
    <row r="130" spans="2:5" x14ac:dyDescent="0.2">
      <c r="B130" s="63" t="s">
        <v>163</v>
      </c>
      <c r="C130" s="61"/>
      <c r="D130" s="61"/>
      <c r="E130" s="62"/>
    </row>
    <row r="131" spans="2:5" ht="36" customHeight="1" x14ac:dyDescent="0.2">
      <c r="B131" s="64"/>
      <c r="C131" s="99" t="s">
        <v>177</v>
      </c>
      <c r="D131" s="99"/>
      <c r="E131" s="99"/>
    </row>
    <row r="132" spans="2:5" ht="84" customHeight="1" x14ac:dyDescent="0.2">
      <c r="B132" s="64"/>
      <c r="C132" s="100" t="s">
        <v>165</v>
      </c>
      <c r="D132" s="100"/>
      <c r="E132" s="101"/>
    </row>
    <row r="133" spans="2:5" x14ac:dyDescent="0.2">
      <c r="B133" s="63" t="s">
        <v>145</v>
      </c>
      <c r="C133" s="61"/>
      <c r="D133" s="61"/>
      <c r="E133" s="62"/>
    </row>
    <row r="134" spans="2:5" x14ac:dyDescent="0.2">
      <c r="B134" s="64"/>
      <c r="C134" s="99" t="s">
        <v>169</v>
      </c>
      <c r="D134" s="99"/>
      <c r="E134" s="99"/>
    </row>
    <row r="135" spans="2:5" x14ac:dyDescent="0.2">
      <c r="B135" s="63" t="s">
        <v>146</v>
      </c>
      <c r="C135" s="65"/>
      <c r="D135" s="65"/>
      <c r="E135" s="66"/>
    </row>
    <row r="136" spans="2:5" x14ac:dyDescent="0.2">
      <c r="B136" s="64"/>
      <c r="C136" s="99" t="s">
        <v>167</v>
      </c>
      <c r="D136" s="99"/>
      <c r="E136" s="99"/>
    </row>
    <row r="137" spans="2:5" x14ac:dyDescent="0.2">
      <c r="B137" s="63" t="s">
        <v>147</v>
      </c>
      <c r="C137" s="61"/>
      <c r="D137" s="61"/>
      <c r="E137" s="62"/>
    </row>
    <row r="138" spans="2:5" ht="13.5" thickBot="1" x14ac:dyDescent="0.25">
      <c r="B138" s="82"/>
      <c r="C138" s="95"/>
      <c r="D138" s="95"/>
      <c r="E138" s="95"/>
    </row>
    <row r="140" spans="2:5" ht="13.5" thickBot="1" x14ac:dyDescent="0.25"/>
    <row r="141" spans="2:5" ht="19.5" customHeight="1" x14ac:dyDescent="0.2">
      <c r="B141" s="57" t="s">
        <v>175</v>
      </c>
      <c r="C141" s="58"/>
      <c r="D141" s="58"/>
      <c r="E141" s="59"/>
    </row>
    <row r="142" spans="2:5" x14ac:dyDescent="0.2">
      <c r="B142" s="60"/>
      <c r="C142" s="61"/>
      <c r="D142" s="61"/>
      <c r="E142" s="62"/>
    </row>
    <row r="143" spans="2:5" x14ac:dyDescent="0.2">
      <c r="B143" s="63" t="s">
        <v>144</v>
      </c>
      <c r="C143" s="61"/>
      <c r="D143" s="61"/>
      <c r="E143" s="62"/>
    </row>
    <row r="144" spans="2:5" ht="39" customHeight="1" x14ac:dyDescent="0.2">
      <c r="B144" s="63"/>
      <c r="C144" s="96" t="s">
        <v>180</v>
      </c>
      <c r="D144" s="96"/>
      <c r="E144" s="97"/>
    </row>
    <row r="145" spans="2:5" x14ac:dyDescent="0.2">
      <c r="B145" s="63" t="s">
        <v>163</v>
      </c>
      <c r="C145" s="61"/>
      <c r="D145" s="61"/>
      <c r="E145" s="62"/>
    </row>
    <row r="146" spans="2:5" ht="36" customHeight="1" x14ac:dyDescent="0.2">
      <c r="B146" s="64"/>
      <c r="C146" s="99" t="s">
        <v>177</v>
      </c>
      <c r="D146" s="99"/>
      <c r="E146" s="99"/>
    </row>
    <row r="147" spans="2:5" ht="92.25" customHeight="1" x14ac:dyDescent="0.2">
      <c r="B147" s="64"/>
      <c r="C147" s="100" t="s">
        <v>165</v>
      </c>
      <c r="D147" s="100"/>
      <c r="E147" s="101"/>
    </row>
    <row r="148" spans="2:5" x14ac:dyDescent="0.2">
      <c r="B148" s="63" t="s">
        <v>145</v>
      </c>
      <c r="C148" s="61"/>
      <c r="D148" s="61"/>
      <c r="E148" s="62"/>
    </row>
    <row r="149" spans="2:5" x14ac:dyDescent="0.2">
      <c r="B149" s="64"/>
      <c r="C149" s="99" t="s">
        <v>169</v>
      </c>
      <c r="D149" s="99"/>
      <c r="E149" s="99"/>
    </row>
    <row r="150" spans="2:5" x14ac:dyDescent="0.2">
      <c r="B150" s="63" t="s">
        <v>146</v>
      </c>
      <c r="C150" s="65"/>
      <c r="D150" s="65"/>
      <c r="E150" s="66"/>
    </row>
    <row r="151" spans="2:5" x14ac:dyDescent="0.2">
      <c r="B151" s="64"/>
      <c r="C151" s="99" t="s">
        <v>167</v>
      </c>
      <c r="D151" s="99"/>
      <c r="E151" s="99"/>
    </row>
    <row r="152" spans="2:5" x14ac:dyDescent="0.2">
      <c r="B152" s="63" t="s">
        <v>147</v>
      </c>
      <c r="C152" s="61"/>
      <c r="D152" s="61"/>
      <c r="E152" s="62"/>
    </row>
    <row r="153" spans="2:5" ht="13.5" thickBot="1" x14ac:dyDescent="0.25">
      <c r="B153" s="82"/>
      <c r="C153" s="95"/>
      <c r="D153" s="95"/>
      <c r="E153" s="95"/>
    </row>
    <row r="155" spans="2:5" ht="13.5" thickBot="1" x14ac:dyDescent="0.25"/>
    <row r="156" spans="2:5" ht="32.25" customHeight="1" x14ac:dyDescent="0.2">
      <c r="B156" s="57" t="s">
        <v>178</v>
      </c>
      <c r="C156" s="58"/>
      <c r="D156" s="58"/>
      <c r="E156" s="59"/>
    </row>
    <row r="157" spans="2:5" x14ac:dyDescent="0.2">
      <c r="B157" s="60"/>
      <c r="C157" s="61"/>
      <c r="D157" s="61"/>
      <c r="E157" s="62"/>
    </row>
    <row r="158" spans="2:5" x14ac:dyDescent="0.2">
      <c r="B158" s="63" t="s">
        <v>144</v>
      </c>
      <c r="C158" s="61"/>
      <c r="D158" s="61"/>
      <c r="E158" s="62"/>
    </row>
    <row r="159" spans="2:5" ht="42" customHeight="1" x14ac:dyDescent="0.2">
      <c r="B159" s="63"/>
      <c r="C159" s="96" t="s">
        <v>241</v>
      </c>
      <c r="D159" s="96"/>
      <c r="E159" s="97"/>
    </row>
    <row r="160" spans="2:5" x14ac:dyDescent="0.2">
      <c r="B160" s="63" t="s">
        <v>163</v>
      </c>
      <c r="C160" s="61"/>
      <c r="D160" s="61"/>
      <c r="E160" s="62"/>
    </row>
    <row r="161" spans="2:5" ht="29.25" customHeight="1" x14ac:dyDescent="0.2">
      <c r="B161" s="64"/>
      <c r="C161" s="99" t="s">
        <v>177</v>
      </c>
      <c r="D161" s="99"/>
      <c r="E161" s="99"/>
    </row>
    <row r="162" spans="2:5" ht="103.5" customHeight="1" x14ac:dyDescent="0.2">
      <c r="B162" s="64"/>
      <c r="C162" s="100" t="s">
        <v>165</v>
      </c>
      <c r="D162" s="100"/>
      <c r="E162" s="101"/>
    </row>
    <row r="163" spans="2:5" x14ac:dyDescent="0.2">
      <c r="B163" s="63" t="s">
        <v>145</v>
      </c>
      <c r="C163" s="61"/>
      <c r="D163" s="61"/>
      <c r="E163" s="62"/>
    </row>
    <row r="164" spans="2:5" ht="21.75" customHeight="1" x14ac:dyDescent="0.2">
      <c r="B164" s="64"/>
      <c r="C164" s="99" t="s">
        <v>169</v>
      </c>
      <c r="D164" s="99"/>
      <c r="E164" s="99"/>
    </row>
    <row r="165" spans="2:5" x14ac:dyDescent="0.2">
      <c r="B165" s="63" t="s">
        <v>146</v>
      </c>
      <c r="C165" s="65"/>
      <c r="D165" s="65"/>
      <c r="E165" s="66"/>
    </row>
    <row r="166" spans="2:5" x14ac:dyDescent="0.2">
      <c r="B166" s="64"/>
      <c r="C166" s="99" t="s">
        <v>167</v>
      </c>
      <c r="D166" s="99"/>
      <c r="E166" s="99"/>
    </row>
    <row r="167" spans="2:5" x14ac:dyDescent="0.2">
      <c r="B167" s="63" t="s">
        <v>147</v>
      </c>
      <c r="C167" s="61"/>
      <c r="D167" s="61"/>
      <c r="E167" s="62"/>
    </row>
    <row r="168" spans="2:5" ht="13.5" thickBot="1" x14ac:dyDescent="0.25">
      <c r="B168" s="82"/>
      <c r="C168" s="95"/>
      <c r="D168" s="95"/>
      <c r="E168" s="95"/>
    </row>
    <row r="170" spans="2:5" ht="13.5" thickBot="1" x14ac:dyDescent="0.25"/>
    <row r="171" spans="2:5" ht="37.5" customHeight="1" x14ac:dyDescent="0.2">
      <c r="B171" s="57" t="s">
        <v>271</v>
      </c>
      <c r="C171" s="58"/>
      <c r="D171" s="58"/>
      <c r="E171" s="59"/>
    </row>
    <row r="172" spans="2:5" x14ac:dyDescent="0.2">
      <c r="B172" s="60"/>
      <c r="C172" s="61"/>
      <c r="D172" s="61"/>
      <c r="E172" s="62"/>
    </row>
    <row r="173" spans="2:5" x14ac:dyDescent="0.2">
      <c r="B173" s="63" t="s">
        <v>144</v>
      </c>
      <c r="C173" s="61"/>
      <c r="D173" s="61"/>
      <c r="E173" s="62"/>
    </row>
    <row r="174" spans="2:5" ht="24.75" customHeight="1" x14ac:dyDescent="0.2">
      <c r="B174" s="63"/>
      <c r="C174" s="96" t="s">
        <v>181</v>
      </c>
      <c r="D174" s="96"/>
      <c r="E174" s="97"/>
    </row>
    <row r="175" spans="2:5" x14ac:dyDescent="0.2">
      <c r="B175" s="63" t="s">
        <v>163</v>
      </c>
      <c r="C175" s="61"/>
      <c r="D175" s="61"/>
      <c r="E175" s="62"/>
    </row>
    <row r="176" spans="2:5" ht="37.5" customHeight="1" x14ac:dyDescent="0.2">
      <c r="B176" s="64"/>
      <c r="C176" s="98" t="s">
        <v>164</v>
      </c>
      <c r="D176" s="98"/>
      <c r="E176" s="99"/>
    </row>
    <row r="177" spans="2:5" ht="91.5" customHeight="1" x14ac:dyDescent="0.2">
      <c r="B177" s="64"/>
      <c r="C177" s="100" t="s">
        <v>165</v>
      </c>
      <c r="D177" s="100"/>
      <c r="E177" s="101"/>
    </row>
    <row r="178" spans="2:5" x14ac:dyDescent="0.2">
      <c r="B178" s="63" t="s">
        <v>145</v>
      </c>
      <c r="C178" s="61"/>
      <c r="D178" s="61"/>
      <c r="E178" s="62"/>
    </row>
    <row r="179" spans="2:5" ht="23.25" customHeight="1" x14ac:dyDescent="0.2">
      <c r="B179" s="64"/>
      <c r="C179" s="99" t="s">
        <v>182</v>
      </c>
      <c r="D179" s="99"/>
      <c r="E179" s="99"/>
    </row>
    <row r="180" spans="2:5" x14ac:dyDescent="0.2">
      <c r="B180" s="63" t="s">
        <v>146</v>
      </c>
      <c r="C180" s="65"/>
      <c r="D180" s="65"/>
      <c r="E180" s="66"/>
    </row>
    <row r="181" spans="2:5" x14ac:dyDescent="0.2">
      <c r="B181" s="64"/>
      <c r="C181" s="99" t="s">
        <v>167</v>
      </c>
      <c r="D181" s="99"/>
      <c r="E181" s="99"/>
    </row>
    <row r="182" spans="2:5" x14ac:dyDescent="0.2">
      <c r="B182" s="63" t="s">
        <v>147</v>
      </c>
      <c r="C182" s="61"/>
      <c r="D182" s="61"/>
      <c r="E182" s="62"/>
    </row>
    <row r="183" spans="2:5" ht="13.5" thickBot="1" x14ac:dyDescent="0.25">
      <c r="B183" s="82"/>
      <c r="C183" s="95"/>
      <c r="D183" s="95"/>
      <c r="E183" s="95"/>
    </row>
    <row r="185" spans="2:5" ht="13.5" thickBot="1" x14ac:dyDescent="0.25"/>
    <row r="186" spans="2:5" ht="33" customHeight="1" x14ac:dyDescent="0.2">
      <c r="B186" s="57" t="s">
        <v>272</v>
      </c>
      <c r="C186" s="58"/>
      <c r="D186" s="58"/>
      <c r="E186" s="59"/>
    </row>
    <row r="187" spans="2:5" x14ac:dyDescent="0.2">
      <c r="B187" s="60"/>
      <c r="C187" s="61"/>
      <c r="D187" s="61"/>
      <c r="E187" s="62"/>
    </row>
    <row r="188" spans="2:5" x14ac:dyDescent="0.2">
      <c r="B188" s="63" t="s">
        <v>144</v>
      </c>
      <c r="C188" s="61"/>
      <c r="D188" s="61"/>
      <c r="E188" s="62"/>
    </row>
    <row r="189" spans="2:5" ht="21" customHeight="1" x14ac:dyDescent="0.2">
      <c r="B189" s="63"/>
      <c r="C189" s="96" t="s">
        <v>183</v>
      </c>
      <c r="D189" s="96"/>
      <c r="E189" s="97"/>
    </row>
    <row r="190" spans="2:5" x14ac:dyDescent="0.2">
      <c r="B190" s="63" t="s">
        <v>163</v>
      </c>
      <c r="C190" s="61"/>
      <c r="D190" s="61"/>
      <c r="E190" s="62"/>
    </row>
    <row r="191" spans="2:5" ht="39" customHeight="1" x14ac:dyDescent="0.2">
      <c r="B191" s="64"/>
      <c r="C191" s="98" t="s">
        <v>164</v>
      </c>
      <c r="D191" s="98"/>
      <c r="E191" s="99"/>
    </row>
    <row r="192" spans="2:5" ht="99.75" customHeight="1" x14ac:dyDescent="0.2">
      <c r="B192" s="64"/>
      <c r="C192" s="100" t="s">
        <v>165</v>
      </c>
      <c r="D192" s="100"/>
      <c r="E192" s="101"/>
    </row>
    <row r="193" spans="2:5" x14ac:dyDescent="0.2">
      <c r="B193" s="63" t="s">
        <v>145</v>
      </c>
      <c r="C193" s="61"/>
      <c r="D193" s="61"/>
      <c r="E193" s="62"/>
    </row>
    <row r="194" spans="2:5" ht="22.5" customHeight="1" x14ac:dyDescent="0.2">
      <c r="B194" s="64"/>
      <c r="C194" s="99" t="s">
        <v>184</v>
      </c>
      <c r="D194" s="99"/>
      <c r="E194" s="99"/>
    </row>
    <row r="195" spans="2:5" x14ac:dyDescent="0.2">
      <c r="B195" s="63" t="s">
        <v>146</v>
      </c>
      <c r="C195" s="65"/>
      <c r="D195" s="65"/>
      <c r="E195" s="66"/>
    </row>
    <row r="196" spans="2:5" x14ac:dyDescent="0.2">
      <c r="B196" s="64"/>
      <c r="C196" s="99" t="s">
        <v>167</v>
      </c>
      <c r="D196" s="99"/>
      <c r="E196" s="99"/>
    </row>
    <row r="197" spans="2:5" x14ac:dyDescent="0.2">
      <c r="B197" s="63" t="s">
        <v>147</v>
      </c>
      <c r="C197" s="61"/>
      <c r="D197" s="61"/>
      <c r="E197" s="62"/>
    </row>
    <row r="198" spans="2:5" ht="13.5" thickBot="1" x14ac:dyDescent="0.25">
      <c r="B198" s="82"/>
      <c r="C198" s="95"/>
      <c r="D198" s="95"/>
      <c r="E198" s="95"/>
    </row>
    <row r="200" spans="2:5" ht="13.5" thickBot="1" x14ac:dyDescent="0.25"/>
    <row r="201" spans="2:5" x14ac:dyDescent="0.2">
      <c r="B201" s="150" t="s">
        <v>273</v>
      </c>
      <c r="C201" s="151"/>
      <c r="D201" s="151"/>
      <c r="E201" s="152"/>
    </row>
    <row r="202" spans="2:5" x14ac:dyDescent="0.2">
      <c r="B202" s="60"/>
      <c r="C202" s="61"/>
      <c r="D202" s="61"/>
      <c r="E202" s="62"/>
    </row>
    <row r="203" spans="2:5" x14ac:dyDescent="0.2">
      <c r="B203" s="63" t="s">
        <v>144</v>
      </c>
      <c r="C203" s="61"/>
      <c r="D203" s="61"/>
      <c r="E203" s="62"/>
    </row>
    <row r="204" spans="2:5" ht="23.25" customHeight="1" x14ac:dyDescent="0.2">
      <c r="B204" s="63"/>
      <c r="C204" s="96" t="s">
        <v>267</v>
      </c>
      <c r="D204" s="96"/>
      <c r="E204" s="97"/>
    </row>
    <row r="205" spans="2:5" x14ac:dyDescent="0.2">
      <c r="B205" s="63" t="s">
        <v>163</v>
      </c>
      <c r="C205" s="61"/>
      <c r="D205" s="61"/>
      <c r="E205" s="62"/>
    </row>
    <row r="206" spans="2:5" ht="42" customHeight="1" x14ac:dyDescent="0.2">
      <c r="B206" s="64"/>
      <c r="C206" s="98" t="s">
        <v>164</v>
      </c>
      <c r="D206" s="98"/>
      <c r="E206" s="99"/>
    </row>
    <row r="207" spans="2:5" ht="92.25" customHeight="1" x14ac:dyDescent="0.2">
      <c r="B207" s="64"/>
      <c r="C207" s="100" t="s">
        <v>165</v>
      </c>
      <c r="D207" s="100"/>
      <c r="E207" s="101"/>
    </row>
    <row r="208" spans="2:5" x14ac:dyDescent="0.2">
      <c r="B208" s="63" t="s">
        <v>145</v>
      </c>
      <c r="C208" s="61"/>
      <c r="D208" s="61"/>
      <c r="E208" s="62"/>
    </row>
    <row r="209" spans="2:5" ht="18.75" customHeight="1" x14ac:dyDescent="0.2">
      <c r="B209" s="64"/>
      <c r="C209" s="99" t="s">
        <v>185</v>
      </c>
      <c r="D209" s="99"/>
      <c r="E209" s="99"/>
    </row>
    <row r="210" spans="2:5" x14ac:dyDescent="0.2">
      <c r="B210" s="63" t="s">
        <v>146</v>
      </c>
      <c r="C210" s="65"/>
      <c r="D210" s="65"/>
      <c r="E210" s="66"/>
    </row>
    <row r="211" spans="2:5" x14ac:dyDescent="0.2">
      <c r="B211" s="64"/>
      <c r="C211" s="99" t="s">
        <v>167</v>
      </c>
      <c r="D211" s="99"/>
      <c r="E211" s="99"/>
    </row>
    <row r="212" spans="2:5" x14ac:dyDescent="0.2">
      <c r="B212" s="63" t="s">
        <v>147</v>
      </c>
      <c r="C212" s="61"/>
      <c r="D212" s="61"/>
      <c r="E212" s="62"/>
    </row>
    <row r="213" spans="2:5" ht="13.5" thickBot="1" x14ac:dyDescent="0.25">
      <c r="B213" s="82"/>
      <c r="C213" s="95"/>
      <c r="D213" s="95"/>
      <c r="E213" s="95"/>
    </row>
    <row r="215" spans="2:5" ht="13.5" thickBot="1" x14ac:dyDescent="0.25"/>
    <row r="216" spans="2:5" x14ac:dyDescent="0.2">
      <c r="B216" s="57" t="s">
        <v>274</v>
      </c>
      <c r="C216" s="58"/>
      <c r="D216" s="58"/>
      <c r="E216" s="59"/>
    </row>
    <row r="217" spans="2:5" x14ac:dyDescent="0.2">
      <c r="B217" s="60"/>
      <c r="C217" s="61"/>
      <c r="D217" s="61"/>
      <c r="E217" s="62"/>
    </row>
    <row r="218" spans="2:5" x14ac:dyDescent="0.2">
      <c r="B218" s="63" t="s">
        <v>144</v>
      </c>
      <c r="C218" s="61"/>
      <c r="D218" s="61"/>
      <c r="E218" s="62"/>
    </row>
    <row r="219" spans="2:5" ht="33.75" customHeight="1" x14ac:dyDescent="0.2">
      <c r="B219" s="63"/>
      <c r="C219" s="96" t="s">
        <v>236</v>
      </c>
      <c r="D219" s="96"/>
      <c r="E219" s="97"/>
    </row>
    <row r="220" spans="2:5" x14ac:dyDescent="0.2">
      <c r="B220" s="63" t="s">
        <v>163</v>
      </c>
      <c r="C220" s="61"/>
      <c r="D220" s="61"/>
      <c r="E220" s="62"/>
    </row>
    <row r="221" spans="2:5" ht="42" customHeight="1" x14ac:dyDescent="0.2">
      <c r="B221" s="64"/>
      <c r="C221" s="98" t="s">
        <v>164</v>
      </c>
      <c r="D221" s="98"/>
      <c r="E221" s="99"/>
    </row>
    <row r="222" spans="2:5" ht="92.25" customHeight="1" x14ac:dyDescent="0.2">
      <c r="B222" s="64"/>
      <c r="C222" s="100" t="s">
        <v>165</v>
      </c>
      <c r="D222" s="100"/>
      <c r="E222" s="101"/>
    </row>
    <row r="223" spans="2:5" x14ac:dyDescent="0.2">
      <c r="B223" s="63" t="s">
        <v>145</v>
      </c>
      <c r="C223" s="61"/>
      <c r="D223" s="61"/>
      <c r="E223" s="62"/>
    </row>
    <row r="224" spans="2:5" x14ac:dyDescent="0.2">
      <c r="B224" s="64"/>
      <c r="C224" s="99" t="s">
        <v>185</v>
      </c>
      <c r="D224" s="99"/>
      <c r="E224" s="99"/>
    </row>
    <row r="225" spans="2:5" x14ac:dyDescent="0.2">
      <c r="B225" s="63" t="s">
        <v>146</v>
      </c>
      <c r="C225" s="65"/>
      <c r="D225" s="65"/>
      <c r="E225" s="66"/>
    </row>
    <row r="226" spans="2:5" x14ac:dyDescent="0.2">
      <c r="B226" s="64"/>
      <c r="C226" s="99" t="s">
        <v>167</v>
      </c>
      <c r="D226" s="99"/>
      <c r="E226" s="99"/>
    </row>
    <row r="227" spans="2:5" x14ac:dyDescent="0.2">
      <c r="B227" s="63" t="s">
        <v>147</v>
      </c>
      <c r="C227" s="61"/>
      <c r="D227" s="61"/>
      <c r="E227" s="62"/>
    </row>
    <row r="228" spans="2:5" ht="13.5" thickBot="1" x14ac:dyDescent="0.25">
      <c r="B228" s="82"/>
      <c r="C228" s="95"/>
      <c r="D228" s="95"/>
      <c r="E228" s="95"/>
    </row>
    <row r="230" spans="2:5" ht="13.5" thickBot="1" x14ac:dyDescent="0.25"/>
    <row r="231" spans="2:5" x14ac:dyDescent="0.2">
      <c r="B231" s="57" t="s">
        <v>148</v>
      </c>
      <c r="C231" s="58"/>
      <c r="D231" s="58"/>
      <c r="E231" s="59"/>
    </row>
    <row r="232" spans="2:5" x14ac:dyDescent="0.2">
      <c r="B232" s="60"/>
      <c r="C232" s="61"/>
      <c r="D232" s="61"/>
      <c r="E232" s="62"/>
    </row>
    <row r="233" spans="2:5" x14ac:dyDescent="0.2">
      <c r="B233" s="63" t="s">
        <v>144</v>
      </c>
      <c r="C233" s="61"/>
      <c r="D233" s="61"/>
      <c r="E233" s="62"/>
    </row>
    <row r="234" spans="2:5" ht="22.5" customHeight="1" x14ac:dyDescent="0.2">
      <c r="B234" s="63"/>
      <c r="C234" s="96" t="s">
        <v>228</v>
      </c>
      <c r="D234" s="96"/>
      <c r="E234" s="97"/>
    </row>
    <row r="235" spans="2:5" x14ac:dyDescent="0.2">
      <c r="B235" s="63" t="s">
        <v>163</v>
      </c>
      <c r="C235" s="61"/>
      <c r="D235" s="61"/>
      <c r="E235" s="62"/>
    </row>
    <row r="236" spans="2:5" ht="37.5" customHeight="1" x14ac:dyDescent="0.2">
      <c r="B236" s="64"/>
      <c r="C236" s="98" t="s">
        <v>164</v>
      </c>
      <c r="D236" s="98"/>
      <c r="E236" s="99"/>
    </row>
    <row r="237" spans="2:5" ht="91.5" customHeight="1" x14ac:dyDescent="0.2">
      <c r="B237" s="64"/>
      <c r="C237" s="100" t="s">
        <v>165</v>
      </c>
      <c r="D237" s="100"/>
      <c r="E237" s="101"/>
    </row>
    <row r="238" spans="2:5" x14ac:dyDescent="0.2">
      <c r="B238" s="63" t="s">
        <v>145</v>
      </c>
      <c r="C238" s="61"/>
      <c r="D238" s="61"/>
      <c r="E238" s="62"/>
    </row>
    <row r="239" spans="2:5" ht="21" customHeight="1" x14ac:dyDescent="0.2">
      <c r="B239" s="64"/>
      <c r="C239" s="99" t="s">
        <v>186</v>
      </c>
      <c r="D239" s="99"/>
      <c r="E239" s="99"/>
    </row>
    <row r="240" spans="2:5" x14ac:dyDescent="0.2">
      <c r="B240" s="63" t="s">
        <v>146</v>
      </c>
      <c r="C240" s="65"/>
      <c r="D240" s="65"/>
      <c r="E240" s="66"/>
    </row>
    <row r="241" spans="2:5" x14ac:dyDescent="0.2">
      <c r="B241" s="64"/>
      <c r="C241" s="99" t="s">
        <v>167</v>
      </c>
      <c r="D241" s="99"/>
      <c r="E241" s="99"/>
    </row>
    <row r="242" spans="2:5" x14ac:dyDescent="0.2">
      <c r="B242" s="63" t="s">
        <v>147</v>
      </c>
      <c r="C242" s="61"/>
      <c r="D242" s="61"/>
      <c r="E242" s="62"/>
    </row>
    <row r="243" spans="2:5" ht="13.5" thickBot="1" x14ac:dyDescent="0.25">
      <c r="B243" s="82"/>
      <c r="C243" s="95"/>
      <c r="D243" s="95"/>
      <c r="E243" s="95"/>
    </row>
    <row r="245" spans="2:5" ht="13.5" thickBot="1" x14ac:dyDescent="0.25"/>
    <row r="246" spans="2:5" x14ac:dyDescent="0.2">
      <c r="B246" s="57" t="s">
        <v>149</v>
      </c>
      <c r="C246" s="58"/>
      <c r="D246" s="58"/>
      <c r="E246" s="59"/>
    </row>
    <row r="247" spans="2:5" x14ac:dyDescent="0.2">
      <c r="B247" s="60"/>
      <c r="C247" s="61"/>
      <c r="D247" s="61"/>
      <c r="E247" s="62"/>
    </row>
    <row r="248" spans="2:5" x14ac:dyDescent="0.2">
      <c r="B248" s="63" t="s">
        <v>144</v>
      </c>
      <c r="C248" s="61"/>
      <c r="D248" s="61"/>
      <c r="E248" s="62"/>
    </row>
    <row r="249" spans="2:5" ht="28.5" customHeight="1" x14ac:dyDescent="0.2">
      <c r="B249" s="63"/>
      <c r="C249" s="96" t="s">
        <v>237</v>
      </c>
      <c r="D249" s="96"/>
      <c r="E249" s="97"/>
    </row>
    <row r="250" spans="2:5" x14ac:dyDescent="0.2">
      <c r="B250" s="63" t="s">
        <v>163</v>
      </c>
      <c r="C250" s="61"/>
      <c r="D250" s="61"/>
      <c r="E250" s="62"/>
    </row>
    <row r="251" spans="2:5" ht="43.5" customHeight="1" x14ac:dyDescent="0.2">
      <c r="B251" s="64"/>
      <c r="C251" s="98" t="s">
        <v>164</v>
      </c>
      <c r="D251" s="98"/>
      <c r="E251" s="99"/>
    </row>
    <row r="252" spans="2:5" ht="82.5" customHeight="1" x14ac:dyDescent="0.2">
      <c r="B252" s="64"/>
      <c r="C252" s="100" t="s">
        <v>165</v>
      </c>
      <c r="D252" s="100"/>
      <c r="E252" s="101"/>
    </row>
    <row r="253" spans="2:5" x14ac:dyDescent="0.2">
      <c r="B253" s="63" t="s">
        <v>145</v>
      </c>
      <c r="C253" s="61"/>
      <c r="D253" s="61"/>
      <c r="E253" s="62"/>
    </row>
    <row r="254" spans="2:5" x14ac:dyDescent="0.2">
      <c r="B254" s="64"/>
      <c r="C254" s="99" t="s">
        <v>186</v>
      </c>
      <c r="D254" s="99"/>
      <c r="E254" s="99"/>
    </row>
    <row r="255" spans="2:5" x14ac:dyDescent="0.2">
      <c r="B255" s="63" t="s">
        <v>146</v>
      </c>
      <c r="C255" s="65"/>
      <c r="D255" s="65"/>
      <c r="E255" s="66"/>
    </row>
    <row r="256" spans="2:5" x14ac:dyDescent="0.2">
      <c r="B256" s="64"/>
      <c r="C256" s="99" t="s">
        <v>167</v>
      </c>
      <c r="D256" s="99"/>
      <c r="E256" s="99"/>
    </row>
    <row r="257" spans="2:5" x14ac:dyDescent="0.2">
      <c r="B257" s="63" t="s">
        <v>147</v>
      </c>
      <c r="C257" s="61"/>
      <c r="D257" s="61"/>
      <c r="E257" s="62"/>
    </row>
    <row r="258" spans="2:5" ht="13.5" thickBot="1" x14ac:dyDescent="0.25">
      <c r="B258" s="82"/>
      <c r="C258" s="95"/>
      <c r="D258" s="95"/>
      <c r="E258" s="95"/>
    </row>
    <row r="260" spans="2:5" ht="13.5" thickBot="1" x14ac:dyDescent="0.25"/>
    <row r="261" spans="2:5" x14ac:dyDescent="0.2">
      <c r="B261" s="57" t="s">
        <v>150</v>
      </c>
      <c r="C261" s="58"/>
      <c r="D261" s="58"/>
      <c r="E261" s="59"/>
    </row>
    <row r="262" spans="2:5" x14ac:dyDescent="0.2">
      <c r="B262" s="60"/>
      <c r="C262" s="61"/>
      <c r="D262" s="61"/>
      <c r="E262" s="62"/>
    </row>
    <row r="263" spans="2:5" x14ac:dyDescent="0.2">
      <c r="B263" s="63" t="s">
        <v>144</v>
      </c>
      <c r="C263" s="61"/>
      <c r="D263" s="61"/>
      <c r="E263" s="62"/>
    </row>
    <row r="264" spans="2:5" ht="30.75" customHeight="1" x14ac:dyDescent="0.2">
      <c r="B264" s="63"/>
      <c r="C264" s="96" t="s">
        <v>239</v>
      </c>
      <c r="D264" s="96"/>
      <c r="E264" s="97"/>
    </row>
    <row r="265" spans="2:5" x14ac:dyDescent="0.2">
      <c r="B265" s="63" t="s">
        <v>163</v>
      </c>
      <c r="C265" s="61"/>
      <c r="D265" s="61"/>
      <c r="E265" s="62"/>
    </row>
    <row r="266" spans="2:5" ht="45.75" customHeight="1" x14ac:dyDescent="0.2">
      <c r="B266" s="64"/>
      <c r="C266" s="98" t="s">
        <v>164</v>
      </c>
      <c r="D266" s="98"/>
      <c r="E266" s="99"/>
    </row>
    <row r="267" spans="2:5" ht="81" customHeight="1" x14ac:dyDescent="0.2">
      <c r="B267" s="64"/>
      <c r="C267" s="100" t="s">
        <v>165</v>
      </c>
      <c r="D267" s="100"/>
      <c r="E267" s="101"/>
    </row>
    <row r="268" spans="2:5" x14ac:dyDescent="0.2">
      <c r="B268" s="63" t="s">
        <v>145</v>
      </c>
      <c r="C268" s="61"/>
      <c r="D268" s="61"/>
      <c r="E268" s="62"/>
    </row>
    <row r="269" spans="2:5" ht="23.25" customHeight="1" x14ac:dyDescent="0.2">
      <c r="B269" s="64"/>
      <c r="C269" s="99" t="s">
        <v>186</v>
      </c>
      <c r="D269" s="99"/>
      <c r="E269" s="99"/>
    </row>
    <row r="270" spans="2:5" x14ac:dyDescent="0.2">
      <c r="B270" s="63" t="s">
        <v>146</v>
      </c>
      <c r="C270" s="65"/>
      <c r="D270" s="65"/>
      <c r="E270" s="66"/>
    </row>
    <row r="271" spans="2:5" x14ac:dyDescent="0.2">
      <c r="B271" s="64"/>
      <c r="C271" s="99" t="s">
        <v>167</v>
      </c>
      <c r="D271" s="99"/>
      <c r="E271" s="99"/>
    </row>
    <row r="272" spans="2:5" x14ac:dyDescent="0.2">
      <c r="B272" s="63" t="s">
        <v>147</v>
      </c>
      <c r="C272" s="61"/>
      <c r="D272" s="61"/>
      <c r="E272" s="62"/>
    </row>
    <row r="273" spans="2:5" ht="13.5" thickBot="1" x14ac:dyDescent="0.25">
      <c r="B273" s="82"/>
      <c r="C273" s="95"/>
      <c r="D273" s="95"/>
      <c r="E273" s="95"/>
    </row>
    <row r="275" spans="2:5" ht="13.5" thickBot="1" x14ac:dyDescent="0.25"/>
    <row r="276" spans="2:5" x14ac:dyDescent="0.2">
      <c r="B276" s="57" t="s">
        <v>187</v>
      </c>
      <c r="C276" s="58"/>
      <c r="D276" s="58"/>
      <c r="E276" s="59"/>
    </row>
    <row r="277" spans="2:5" x14ac:dyDescent="0.2">
      <c r="B277" s="60"/>
      <c r="C277" s="61"/>
      <c r="D277" s="61"/>
      <c r="E277" s="62"/>
    </row>
    <row r="278" spans="2:5" x14ac:dyDescent="0.2">
      <c r="B278" s="63" t="s">
        <v>144</v>
      </c>
      <c r="C278" s="61"/>
      <c r="D278" s="61"/>
      <c r="E278" s="62"/>
    </row>
    <row r="279" spans="2:5" ht="23.25" customHeight="1" x14ac:dyDescent="0.2">
      <c r="B279" s="63"/>
      <c r="C279" s="96" t="s">
        <v>229</v>
      </c>
      <c r="D279" s="96"/>
      <c r="E279" s="97"/>
    </row>
    <row r="280" spans="2:5" x14ac:dyDescent="0.2">
      <c r="B280" s="63" t="s">
        <v>163</v>
      </c>
      <c r="C280" s="61"/>
      <c r="D280" s="61"/>
      <c r="E280" s="62"/>
    </row>
    <row r="281" spans="2:5" ht="42" customHeight="1" x14ac:dyDescent="0.2">
      <c r="B281" s="64"/>
      <c r="C281" s="98" t="s">
        <v>164</v>
      </c>
      <c r="D281" s="98"/>
      <c r="E281" s="99"/>
    </row>
    <row r="282" spans="2:5" ht="90.75" customHeight="1" x14ac:dyDescent="0.2">
      <c r="B282" s="64"/>
      <c r="C282" s="100" t="s">
        <v>165</v>
      </c>
      <c r="D282" s="100"/>
      <c r="E282" s="101"/>
    </row>
    <row r="283" spans="2:5" x14ac:dyDescent="0.2">
      <c r="B283" s="63" t="s">
        <v>145</v>
      </c>
      <c r="C283" s="61"/>
      <c r="D283" s="61"/>
      <c r="E283" s="62"/>
    </row>
    <row r="284" spans="2:5" ht="24" customHeight="1" x14ac:dyDescent="0.2">
      <c r="B284" s="64"/>
      <c r="C284" s="99" t="s">
        <v>186</v>
      </c>
      <c r="D284" s="99"/>
      <c r="E284" s="99"/>
    </row>
    <row r="285" spans="2:5" x14ac:dyDescent="0.2">
      <c r="B285" s="63" t="s">
        <v>146</v>
      </c>
      <c r="C285" s="65"/>
      <c r="D285" s="65"/>
      <c r="E285" s="66"/>
    </row>
    <row r="286" spans="2:5" x14ac:dyDescent="0.2">
      <c r="B286" s="64"/>
      <c r="C286" s="99" t="s">
        <v>167</v>
      </c>
      <c r="D286" s="99"/>
      <c r="E286" s="99"/>
    </row>
    <row r="287" spans="2:5" x14ac:dyDescent="0.2">
      <c r="B287" s="63" t="s">
        <v>147</v>
      </c>
      <c r="C287" s="61"/>
      <c r="D287" s="61"/>
      <c r="E287" s="62"/>
    </row>
    <row r="288" spans="2:5" ht="13.5" thickBot="1" x14ac:dyDescent="0.25">
      <c r="B288" s="82"/>
      <c r="C288" s="95"/>
      <c r="D288" s="95"/>
      <c r="E288" s="95"/>
    </row>
    <row r="290" spans="2:5" ht="13.5" thickBot="1" x14ac:dyDescent="0.25"/>
    <row r="291" spans="2:5" x14ac:dyDescent="0.2">
      <c r="B291" s="57" t="s">
        <v>188</v>
      </c>
      <c r="C291" s="58"/>
      <c r="D291" s="58"/>
      <c r="E291" s="59"/>
    </row>
    <row r="292" spans="2:5" x14ac:dyDescent="0.2">
      <c r="B292" s="60"/>
      <c r="C292" s="61"/>
      <c r="D292" s="61"/>
      <c r="E292" s="62"/>
    </row>
    <row r="293" spans="2:5" x14ac:dyDescent="0.2">
      <c r="B293" s="63" t="s">
        <v>144</v>
      </c>
      <c r="C293" s="61"/>
      <c r="D293" s="61"/>
      <c r="E293" s="62"/>
    </row>
    <row r="294" spans="2:5" ht="26.25" customHeight="1" x14ac:dyDescent="0.2">
      <c r="B294" s="63"/>
      <c r="C294" s="96" t="s">
        <v>227</v>
      </c>
      <c r="D294" s="96"/>
      <c r="E294" s="97"/>
    </row>
    <row r="295" spans="2:5" x14ac:dyDescent="0.2">
      <c r="B295" s="63" t="s">
        <v>163</v>
      </c>
      <c r="C295" s="61"/>
      <c r="D295" s="61"/>
      <c r="E295" s="62"/>
    </row>
    <row r="296" spans="2:5" ht="40.5" customHeight="1" x14ac:dyDescent="0.2">
      <c r="B296" s="64"/>
      <c r="C296" s="98" t="s">
        <v>164</v>
      </c>
      <c r="D296" s="98"/>
      <c r="E296" s="99"/>
    </row>
    <row r="297" spans="2:5" ht="84" customHeight="1" x14ac:dyDescent="0.2">
      <c r="B297" s="64"/>
      <c r="C297" s="100" t="s">
        <v>165</v>
      </c>
      <c r="D297" s="100"/>
      <c r="E297" s="101"/>
    </row>
    <row r="298" spans="2:5" x14ac:dyDescent="0.2">
      <c r="B298" s="63" t="s">
        <v>145</v>
      </c>
      <c r="C298" s="61"/>
      <c r="D298" s="61"/>
      <c r="E298" s="62"/>
    </row>
    <row r="299" spans="2:5" x14ac:dyDescent="0.2">
      <c r="B299" s="64"/>
      <c r="C299" s="99" t="s">
        <v>186</v>
      </c>
      <c r="D299" s="99"/>
      <c r="E299" s="99"/>
    </row>
    <row r="300" spans="2:5" x14ac:dyDescent="0.2">
      <c r="B300" s="63" t="s">
        <v>146</v>
      </c>
      <c r="C300" s="65"/>
      <c r="D300" s="65"/>
      <c r="E300" s="66"/>
    </row>
    <row r="301" spans="2:5" x14ac:dyDescent="0.2">
      <c r="B301" s="64"/>
      <c r="C301" s="99" t="s">
        <v>167</v>
      </c>
      <c r="D301" s="99"/>
      <c r="E301" s="99"/>
    </row>
    <row r="302" spans="2:5" x14ac:dyDescent="0.2">
      <c r="B302" s="63" t="s">
        <v>147</v>
      </c>
      <c r="C302" s="61"/>
      <c r="D302" s="61"/>
      <c r="E302" s="62"/>
    </row>
    <row r="303" spans="2:5" ht="13.5" thickBot="1" x14ac:dyDescent="0.25">
      <c r="B303" s="82"/>
      <c r="C303" s="95"/>
      <c r="D303" s="95"/>
      <c r="E303" s="95"/>
    </row>
    <row r="305" spans="2:5" ht="13.5" thickBot="1" x14ac:dyDescent="0.25"/>
    <row r="306" spans="2:5" x14ac:dyDescent="0.2">
      <c r="B306" s="57" t="s">
        <v>151</v>
      </c>
      <c r="C306" s="58"/>
      <c r="D306" s="58"/>
      <c r="E306" s="59"/>
    </row>
    <row r="307" spans="2:5" x14ac:dyDescent="0.2">
      <c r="B307" s="60"/>
      <c r="C307" s="61"/>
      <c r="D307" s="61"/>
      <c r="E307" s="62"/>
    </row>
    <row r="308" spans="2:5" x14ac:dyDescent="0.2">
      <c r="B308" s="63" t="s">
        <v>144</v>
      </c>
      <c r="C308" s="61"/>
      <c r="D308" s="61"/>
      <c r="E308" s="62"/>
    </row>
    <row r="309" spans="2:5" ht="30.75" customHeight="1" x14ac:dyDescent="0.2">
      <c r="B309" s="63"/>
      <c r="C309" s="96" t="s">
        <v>190</v>
      </c>
      <c r="D309" s="96"/>
      <c r="E309" s="97"/>
    </row>
    <row r="310" spans="2:5" x14ac:dyDescent="0.2">
      <c r="B310" s="63" t="s">
        <v>163</v>
      </c>
      <c r="C310" s="61"/>
      <c r="D310" s="61"/>
      <c r="E310" s="62"/>
    </row>
    <row r="311" spans="2:5" ht="45" customHeight="1" x14ac:dyDescent="0.2">
      <c r="B311" s="64"/>
      <c r="C311" s="98" t="s">
        <v>164</v>
      </c>
      <c r="D311" s="98"/>
      <c r="E311" s="99"/>
    </row>
    <row r="312" spans="2:5" ht="81.75" customHeight="1" x14ac:dyDescent="0.2">
      <c r="B312" s="64"/>
      <c r="C312" s="100" t="s">
        <v>165</v>
      </c>
      <c r="D312" s="100"/>
      <c r="E312" s="101"/>
    </row>
    <row r="313" spans="2:5" x14ac:dyDescent="0.2">
      <c r="B313" s="63" t="s">
        <v>145</v>
      </c>
      <c r="C313" s="61"/>
      <c r="D313" s="61"/>
      <c r="E313" s="62"/>
    </row>
    <row r="314" spans="2:5" ht="23.25" customHeight="1" x14ac:dyDescent="0.2">
      <c r="B314" s="64"/>
      <c r="C314" s="99" t="s">
        <v>186</v>
      </c>
      <c r="D314" s="99"/>
      <c r="E314" s="99"/>
    </row>
    <row r="315" spans="2:5" x14ac:dyDescent="0.2">
      <c r="B315" s="63" t="s">
        <v>146</v>
      </c>
      <c r="C315" s="65"/>
      <c r="D315" s="65"/>
      <c r="E315" s="66"/>
    </row>
    <row r="316" spans="2:5" x14ac:dyDescent="0.2">
      <c r="B316" s="64"/>
      <c r="C316" s="99" t="s">
        <v>167</v>
      </c>
      <c r="D316" s="99"/>
      <c r="E316" s="99"/>
    </row>
    <row r="317" spans="2:5" x14ac:dyDescent="0.2">
      <c r="B317" s="63" t="s">
        <v>147</v>
      </c>
      <c r="C317" s="61"/>
      <c r="D317" s="61"/>
      <c r="E317" s="62"/>
    </row>
    <row r="318" spans="2:5" ht="13.5" thickBot="1" x14ac:dyDescent="0.25">
      <c r="B318" s="82"/>
      <c r="C318" s="95"/>
      <c r="D318" s="95"/>
      <c r="E318" s="95"/>
    </row>
    <row r="320" spans="2:5" ht="13.5" thickBot="1" x14ac:dyDescent="0.25"/>
    <row r="321" spans="2:5" x14ac:dyDescent="0.2">
      <c r="B321" s="57" t="s">
        <v>189</v>
      </c>
      <c r="C321" s="58"/>
      <c r="D321" s="58"/>
      <c r="E321" s="59"/>
    </row>
    <row r="322" spans="2:5" x14ac:dyDescent="0.2">
      <c r="B322" s="60"/>
      <c r="C322" s="61"/>
      <c r="D322" s="61"/>
      <c r="E322" s="62"/>
    </row>
    <row r="323" spans="2:5" x14ac:dyDescent="0.2">
      <c r="B323" s="63" t="s">
        <v>144</v>
      </c>
      <c r="C323" s="61"/>
      <c r="D323" s="61"/>
      <c r="E323" s="62"/>
    </row>
    <row r="324" spans="2:5" ht="27.75" customHeight="1" x14ac:dyDescent="0.2">
      <c r="B324" s="63"/>
      <c r="C324" s="96" t="s">
        <v>238</v>
      </c>
      <c r="D324" s="96"/>
      <c r="E324" s="97"/>
    </row>
    <row r="325" spans="2:5" x14ac:dyDescent="0.2">
      <c r="B325" s="63" t="s">
        <v>163</v>
      </c>
      <c r="C325" s="61"/>
      <c r="D325" s="61"/>
      <c r="E325" s="62"/>
    </row>
    <row r="326" spans="2:5" ht="44.25" customHeight="1" x14ac:dyDescent="0.2">
      <c r="B326" s="64"/>
      <c r="C326" s="98" t="s">
        <v>164</v>
      </c>
      <c r="D326" s="98"/>
      <c r="E326" s="99"/>
    </row>
    <row r="327" spans="2:5" ht="84.75" customHeight="1" x14ac:dyDescent="0.2">
      <c r="B327" s="64"/>
      <c r="C327" s="100" t="s">
        <v>165</v>
      </c>
      <c r="D327" s="100"/>
      <c r="E327" s="101"/>
    </row>
    <row r="328" spans="2:5" x14ac:dyDescent="0.2">
      <c r="B328" s="63" t="s">
        <v>145</v>
      </c>
      <c r="C328" s="61"/>
      <c r="D328" s="61"/>
      <c r="E328" s="62"/>
    </row>
    <row r="329" spans="2:5" ht="23.25" customHeight="1" x14ac:dyDescent="0.2">
      <c r="B329" s="64"/>
      <c r="C329" s="99" t="s">
        <v>186</v>
      </c>
      <c r="D329" s="99"/>
      <c r="E329" s="99"/>
    </row>
    <row r="330" spans="2:5" x14ac:dyDescent="0.2">
      <c r="B330" s="63" t="s">
        <v>146</v>
      </c>
      <c r="C330" s="65"/>
      <c r="D330" s="65"/>
      <c r="E330" s="66"/>
    </row>
    <row r="331" spans="2:5" x14ac:dyDescent="0.2">
      <c r="B331" s="64"/>
      <c r="C331" s="99" t="s">
        <v>167</v>
      </c>
      <c r="D331" s="99"/>
      <c r="E331" s="99"/>
    </row>
    <row r="332" spans="2:5" x14ac:dyDescent="0.2">
      <c r="B332" s="63" t="s">
        <v>147</v>
      </c>
      <c r="C332" s="61"/>
      <c r="D332" s="61"/>
      <c r="E332" s="62"/>
    </row>
    <row r="333" spans="2:5" ht="13.5" thickBot="1" x14ac:dyDescent="0.25">
      <c r="B333" s="82"/>
      <c r="C333" s="95"/>
      <c r="D333" s="95"/>
      <c r="E333" s="95"/>
    </row>
    <row r="335" spans="2:5" ht="13.5" thickBot="1" x14ac:dyDescent="0.25"/>
    <row r="336" spans="2:5" x14ac:dyDescent="0.2">
      <c r="B336" s="57" t="s">
        <v>191</v>
      </c>
      <c r="C336" s="58"/>
      <c r="D336" s="58"/>
      <c r="E336" s="59"/>
    </row>
    <row r="337" spans="2:5" x14ac:dyDescent="0.2">
      <c r="B337" s="60"/>
      <c r="C337" s="61"/>
      <c r="D337" s="61"/>
      <c r="E337" s="62"/>
    </row>
    <row r="338" spans="2:5" x14ac:dyDescent="0.2">
      <c r="B338" s="63" t="s">
        <v>144</v>
      </c>
      <c r="C338" s="61"/>
      <c r="D338" s="61"/>
      <c r="E338" s="62"/>
    </row>
    <row r="339" spans="2:5" ht="24.75" customHeight="1" x14ac:dyDescent="0.2">
      <c r="B339" s="63"/>
      <c r="C339" s="96" t="s">
        <v>194</v>
      </c>
      <c r="D339" s="96"/>
      <c r="E339" s="97"/>
    </row>
    <row r="340" spans="2:5" x14ac:dyDescent="0.2">
      <c r="B340" s="63" t="s">
        <v>163</v>
      </c>
      <c r="C340" s="61"/>
      <c r="D340" s="61"/>
      <c r="E340" s="62"/>
    </row>
    <row r="341" spans="2:5" ht="42.75" customHeight="1" x14ac:dyDescent="0.2">
      <c r="B341" s="64"/>
      <c r="C341" s="98" t="s">
        <v>164</v>
      </c>
      <c r="D341" s="98"/>
      <c r="E341" s="99"/>
    </row>
    <row r="342" spans="2:5" ht="88.5" customHeight="1" x14ac:dyDescent="0.2">
      <c r="B342" s="64"/>
      <c r="C342" s="100" t="s">
        <v>165</v>
      </c>
      <c r="D342" s="100"/>
      <c r="E342" s="101"/>
    </row>
    <row r="343" spans="2:5" x14ac:dyDescent="0.2">
      <c r="B343" s="63" t="s">
        <v>145</v>
      </c>
      <c r="C343" s="61"/>
      <c r="D343" s="61"/>
      <c r="E343" s="62"/>
    </row>
    <row r="344" spans="2:5" ht="17.25" customHeight="1" x14ac:dyDescent="0.2">
      <c r="B344" s="64"/>
      <c r="C344" s="99" t="s">
        <v>186</v>
      </c>
      <c r="D344" s="99"/>
      <c r="E344" s="99"/>
    </row>
    <row r="345" spans="2:5" x14ac:dyDescent="0.2">
      <c r="B345" s="63" t="s">
        <v>146</v>
      </c>
      <c r="C345" s="65"/>
      <c r="D345" s="65"/>
      <c r="E345" s="66"/>
    </row>
    <row r="346" spans="2:5" x14ac:dyDescent="0.2">
      <c r="B346" s="64"/>
      <c r="C346" s="99" t="s">
        <v>167</v>
      </c>
      <c r="D346" s="99"/>
      <c r="E346" s="99"/>
    </row>
    <row r="347" spans="2:5" x14ac:dyDescent="0.2">
      <c r="B347" s="63" t="s">
        <v>147</v>
      </c>
      <c r="C347" s="61"/>
      <c r="D347" s="61"/>
      <c r="E347" s="62"/>
    </row>
    <row r="348" spans="2:5" ht="13.5" thickBot="1" x14ac:dyDescent="0.25">
      <c r="B348" s="82"/>
      <c r="C348" s="95"/>
      <c r="D348" s="95"/>
      <c r="E348" s="95"/>
    </row>
    <row r="350" spans="2:5" ht="13.5" thickBot="1" x14ac:dyDescent="0.25"/>
    <row r="351" spans="2:5" x14ac:dyDescent="0.2">
      <c r="B351" s="57" t="s">
        <v>192</v>
      </c>
      <c r="C351" s="58"/>
      <c r="D351" s="58"/>
      <c r="E351" s="59"/>
    </row>
    <row r="352" spans="2:5" x14ac:dyDescent="0.2">
      <c r="B352" s="60"/>
      <c r="C352" s="61"/>
      <c r="D352" s="61"/>
      <c r="E352" s="62"/>
    </row>
    <row r="353" spans="2:5" x14ac:dyDescent="0.2">
      <c r="B353" s="63" t="s">
        <v>144</v>
      </c>
      <c r="C353" s="61"/>
      <c r="D353" s="61"/>
      <c r="E353" s="62"/>
    </row>
    <row r="354" spans="2:5" ht="24" customHeight="1" x14ac:dyDescent="0.2">
      <c r="B354" s="63"/>
      <c r="C354" s="96" t="s">
        <v>270</v>
      </c>
      <c r="D354" s="96"/>
      <c r="E354" s="97"/>
    </row>
    <row r="355" spans="2:5" ht="21" customHeight="1" x14ac:dyDescent="0.2">
      <c r="B355" s="84" t="s">
        <v>163</v>
      </c>
      <c r="C355" s="61"/>
      <c r="D355" s="61"/>
      <c r="E355" s="62"/>
    </row>
    <row r="356" spans="2:5" ht="29.25" customHeight="1" x14ac:dyDescent="0.2">
      <c r="B356" s="64"/>
      <c r="C356" s="98" t="s">
        <v>164</v>
      </c>
      <c r="D356" s="98"/>
      <c r="E356" s="99"/>
    </row>
    <row r="357" spans="2:5" ht="82.5" customHeight="1" x14ac:dyDescent="0.2">
      <c r="B357" s="64"/>
      <c r="C357" s="100" t="s">
        <v>165</v>
      </c>
      <c r="D357" s="100"/>
      <c r="E357" s="101"/>
    </row>
    <row r="358" spans="2:5" x14ac:dyDescent="0.2">
      <c r="B358" s="63" t="s">
        <v>145</v>
      </c>
      <c r="C358" s="61"/>
      <c r="D358" s="61"/>
      <c r="E358" s="62"/>
    </row>
    <row r="359" spans="2:5" x14ac:dyDescent="0.2">
      <c r="B359" s="64"/>
      <c r="C359" s="99" t="s">
        <v>186</v>
      </c>
      <c r="D359" s="99"/>
      <c r="E359" s="99"/>
    </row>
    <row r="360" spans="2:5" x14ac:dyDescent="0.2">
      <c r="B360" s="63" t="s">
        <v>146</v>
      </c>
      <c r="C360" s="65"/>
      <c r="D360" s="65"/>
      <c r="E360" s="66"/>
    </row>
    <row r="361" spans="2:5" x14ac:dyDescent="0.2">
      <c r="B361" s="64"/>
      <c r="C361" s="99" t="s">
        <v>167</v>
      </c>
      <c r="D361" s="99"/>
      <c r="E361" s="99"/>
    </row>
    <row r="362" spans="2:5" x14ac:dyDescent="0.2">
      <c r="B362" s="63" t="s">
        <v>147</v>
      </c>
      <c r="C362" s="61"/>
      <c r="D362" s="61"/>
      <c r="E362" s="62"/>
    </row>
    <row r="363" spans="2:5" ht="13.5" thickBot="1" x14ac:dyDescent="0.25">
      <c r="B363" s="82"/>
      <c r="C363" s="95"/>
      <c r="D363" s="95"/>
      <c r="E363" s="95"/>
    </row>
    <row r="365" spans="2:5" ht="13.5" thickBot="1" x14ac:dyDescent="0.25"/>
    <row r="366" spans="2:5" x14ac:dyDescent="0.2">
      <c r="B366" s="57" t="s">
        <v>193</v>
      </c>
      <c r="C366" s="58"/>
      <c r="D366" s="58"/>
      <c r="E366" s="59"/>
    </row>
    <row r="367" spans="2:5" x14ac:dyDescent="0.2">
      <c r="B367" s="60"/>
      <c r="C367" s="61"/>
      <c r="D367" s="61"/>
      <c r="E367" s="62"/>
    </row>
    <row r="368" spans="2:5" x14ac:dyDescent="0.2">
      <c r="B368" s="63" t="s">
        <v>144</v>
      </c>
      <c r="C368" s="61"/>
      <c r="D368" s="61"/>
      <c r="E368" s="62"/>
    </row>
    <row r="369" spans="2:5" ht="21" customHeight="1" x14ac:dyDescent="0.2">
      <c r="B369" s="63"/>
      <c r="C369" s="96" t="s">
        <v>197</v>
      </c>
      <c r="D369" s="96"/>
      <c r="E369" s="97"/>
    </row>
    <row r="370" spans="2:5" x14ac:dyDescent="0.2">
      <c r="B370" s="63" t="s">
        <v>163</v>
      </c>
      <c r="C370" s="61"/>
      <c r="D370" s="61"/>
      <c r="E370" s="62"/>
    </row>
    <row r="371" spans="2:5" ht="37.5" customHeight="1" x14ac:dyDescent="0.2">
      <c r="B371" s="64"/>
      <c r="C371" s="98" t="s">
        <v>164</v>
      </c>
      <c r="D371" s="98"/>
      <c r="E371" s="99"/>
    </row>
    <row r="372" spans="2:5" ht="85.5" customHeight="1" x14ac:dyDescent="0.2">
      <c r="B372" s="64"/>
      <c r="C372" s="100" t="s">
        <v>165</v>
      </c>
      <c r="D372" s="100"/>
      <c r="E372" s="101"/>
    </row>
    <row r="373" spans="2:5" x14ac:dyDescent="0.2">
      <c r="B373" s="63" t="s">
        <v>145</v>
      </c>
      <c r="C373" s="61"/>
      <c r="D373" s="61"/>
      <c r="E373" s="62"/>
    </row>
    <row r="374" spans="2:5" x14ac:dyDescent="0.2">
      <c r="B374" s="64"/>
      <c r="C374" s="99" t="s">
        <v>186</v>
      </c>
      <c r="D374" s="99"/>
      <c r="E374" s="99"/>
    </row>
    <row r="375" spans="2:5" x14ac:dyDescent="0.2">
      <c r="B375" s="63" t="s">
        <v>146</v>
      </c>
      <c r="C375" s="65"/>
      <c r="D375" s="65"/>
      <c r="E375" s="66"/>
    </row>
    <row r="376" spans="2:5" ht="18" customHeight="1" x14ac:dyDescent="0.2">
      <c r="B376" s="64"/>
      <c r="C376" s="99" t="s">
        <v>167</v>
      </c>
      <c r="D376" s="99"/>
      <c r="E376" s="99"/>
    </row>
    <row r="377" spans="2:5" x14ac:dyDescent="0.2">
      <c r="B377" s="63" t="s">
        <v>147</v>
      </c>
      <c r="C377" s="61"/>
      <c r="D377" s="61"/>
      <c r="E377" s="62"/>
    </row>
    <row r="378" spans="2:5" ht="13.5" thickBot="1" x14ac:dyDescent="0.25">
      <c r="B378" s="82"/>
      <c r="C378" s="95"/>
      <c r="D378" s="95"/>
      <c r="E378" s="95"/>
    </row>
    <row r="380" spans="2:5" ht="13.5" thickBot="1" x14ac:dyDescent="0.25"/>
    <row r="381" spans="2:5" x14ac:dyDescent="0.2">
      <c r="B381" s="57" t="s">
        <v>195</v>
      </c>
      <c r="C381" s="58"/>
      <c r="D381" s="58"/>
      <c r="E381" s="59"/>
    </row>
    <row r="382" spans="2:5" x14ac:dyDescent="0.2">
      <c r="B382" s="60"/>
      <c r="C382" s="61"/>
      <c r="D382" s="61"/>
      <c r="E382" s="62"/>
    </row>
    <row r="383" spans="2:5" x14ac:dyDescent="0.2">
      <c r="B383" s="63" t="s">
        <v>144</v>
      </c>
      <c r="C383" s="61"/>
      <c r="D383" s="61"/>
      <c r="E383" s="62"/>
    </row>
    <row r="384" spans="2:5" ht="21" customHeight="1" x14ac:dyDescent="0.2">
      <c r="B384" s="63"/>
      <c r="C384" s="96" t="s">
        <v>230</v>
      </c>
      <c r="D384" s="96"/>
      <c r="E384" s="97"/>
    </row>
    <row r="385" spans="2:5" x14ac:dyDescent="0.2">
      <c r="B385" s="63" t="s">
        <v>163</v>
      </c>
      <c r="C385" s="61"/>
      <c r="D385" s="61"/>
      <c r="E385" s="62"/>
    </row>
    <row r="386" spans="2:5" ht="45.75" customHeight="1" x14ac:dyDescent="0.2">
      <c r="B386" s="64"/>
      <c r="C386" s="98" t="s">
        <v>164</v>
      </c>
      <c r="D386" s="98"/>
      <c r="E386" s="99"/>
    </row>
    <row r="387" spans="2:5" ht="87.75" customHeight="1" x14ac:dyDescent="0.2">
      <c r="B387" s="64"/>
      <c r="C387" s="100" t="s">
        <v>165</v>
      </c>
      <c r="D387" s="100"/>
      <c r="E387" s="101"/>
    </row>
    <row r="388" spans="2:5" x14ac:dyDescent="0.2">
      <c r="B388" s="63" t="s">
        <v>145</v>
      </c>
      <c r="C388" s="61"/>
      <c r="D388" s="61"/>
      <c r="E388" s="62"/>
    </row>
    <row r="389" spans="2:5" ht="19.5" customHeight="1" x14ac:dyDescent="0.2">
      <c r="B389" s="64"/>
      <c r="C389" s="99" t="s">
        <v>186</v>
      </c>
      <c r="D389" s="99"/>
      <c r="E389" s="99"/>
    </row>
    <row r="390" spans="2:5" x14ac:dyDescent="0.2">
      <c r="B390" s="63" t="s">
        <v>146</v>
      </c>
      <c r="C390" s="65"/>
      <c r="D390" s="65"/>
      <c r="E390" s="66"/>
    </row>
    <row r="391" spans="2:5" x14ac:dyDescent="0.2">
      <c r="B391" s="64"/>
      <c r="C391" s="99" t="s">
        <v>167</v>
      </c>
      <c r="D391" s="99"/>
      <c r="E391" s="99"/>
    </row>
    <row r="392" spans="2:5" x14ac:dyDescent="0.2">
      <c r="B392" s="63" t="s">
        <v>147</v>
      </c>
      <c r="C392" s="61"/>
      <c r="D392" s="61"/>
      <c r="E392" s="62"/>
    </row>
    <row r="393" spans="2:5" ht="13.5" thickBot="1" x14ac:dyDescent="0.25">
      <c r="B393" s="82"/>
      <c r="C393" s="95"/>
      <c r="D393" s="95"/>
      <c r="E393" s="95"/>
    </row>
    <row r="395" spans="2:5" ht="13.5" thickBot="1" x14ac:dyDescent="0.25"/>
    <row r="396" spans="2:5" x14ac:dyDescent="0.2">
      <c r="B396" s="57" t="s">
        <v>196</v>
      </c>
      <c r="C396" s="58"/>
      <c r="D396" s="58"/>
      <c r="E396" s="59"/>
    </row>
    <row r="397" spans="2:5" x14ac:dyDescent="0.2">
      <c r="B397" s="60"/>
      <c r="C397" s="61"/>
      <c r="D397" s="61"/>
      <c r="E397" s="62"/>
    </row>
    <row r="398" spans="2:5" x14ac:dyDescent="0.2">
      <c r="B398" s="63" t="s">
        <v>144</v>
      </c>
      <c r="C398" s="61"/>
      <c r="D398" s="61"/>
      <c r="E398" s="62"/>
    </row>
    <row r="399" spans="2:5" ht="18" customHeight="1" x14ac:dyDescent="0.2">
      <c r="B399" s="63"/>
      <c r="C399" s="96" t="s">
        <v>199</v>
      </c>
      <c r="D399" s="96"/>
      <c r="E399" s="97"/>
    </row>
    <row r="400" spans="2:5" x14ac:dyDescent="0.2">
      <c r="B400" s="63" t="s">
        <v>163</v>
      </c>
      <c r="C400" s="61"/>
      <c r="D400" s="61"/>
      <c r="E400" s="62"/>
    </row>
    <row r="401" spans="2:5" ht="36.75" customHeight="1" x14ac:dyDescent="0.2">
      <c r="B401" s="64"/>
      <c r="C401" s="98" t="s">
        <v>164</v>
      </c>
      <c r="D401" s="98"/>
      <c r="E401" s="99"/>
    </row>
    <row r="402" spans="2:5" ht="82.5" customHeight="1" x14ac:dyDescent="0.2">
      <c r="B402" s="64"/>
      <c r="C402" s="100" t="s">
        <v>165</v>
      </c>
      <c r="D402" s="100"/>
      <c r="E402" s="101"/>
    </row>
    <row r="403" spans="2:5" x14ac:dyDescent="0.2">
      <c r="B403" s="63" t="s">
        <v>145</v>
      </c>
      <c r="C403" s="61"/>
      <c r="D403" s="61"/>
      <c r="E403" s="62"/>
    </row>
    <row r="404" spans="2:5" x14ac:dyDescent="0.2">
      <c r="B404" s="64"/>
      <c r="C404" s="99" t="s">
        <v>186</v>
      </c>
      <c r="D404" s="99"/>
      <c r="E404" s="99"/>
    </row>
    <row r="405" spans="2:5" x14ac:dyDescent="0.2">
      <c r="B405" s="63" t="s">
        <v>146</v>
      </c>
      <c r="C405" s="65"/>
      <c r="D405" s="65"/>
      <c r="E405" s="66"/>
    </row>
    <row r="406" spans="2:5" x14ac:dyDescent="0.2">
      <c r="B406" s="64"/>
      <c r="C406" s="99" t="s">
        <v>167</v>
      </c>
      <c r="D406" s="99"/>
      <c r="E406" s="99"/>
    </row>
    <row r="407" spans="2:5" x14ac:dyDescent="0.2">
      <c r="B407" s="63" t="s">
        <v>147</v>
      </c>
      <c r="C407" s="61"/>
      <c r="D407" s="61"/>
      <c r="E407" s="62"/>
    </row>
    <row r="408" spans="2:5" ht="13.5" thickBot="1" x14ac:dyDescent="0.25">
      <c r="B408" s="82"/>
      <c r="C408" s="95"/>
      <c r="D408" s="95"/>
      <c r="E408" s="95"/>
    </row>
    <row r="410" spans="2:5" ht="13.5" thickBot="1" x14ac:dyDescent="0.25"/>
    <row r="411" spans="2:5" x14ac:dyDescent="0.2">
      <c r="B411" s="57" t="s">
        <v>198</v>
      </c>
      <c r="C411" s="58"/>
      <c r="D411" s="58"/>
      <c r="E411" s="59"/>
    </row>
    <row r="412" spans="2:5" x14ac:dyDescent="0.2">
      <c r="B412" s="60"/>
      <c r="C412" s="61"/>
      <c r="D412" s="61"/>
      <c r="E412" s="62"/>
    </row>
    <row r="413" spans="2:5" x14ac:dyDescent="0.2">
      <c r="B413" s="63" t="s">
        <v>144</v>
      </c>
      <c r="C413" s="61"/>
      <c r="D413" s="61"/>
      <c r="E413" s="62"/>
    </row>
    <row r="414" spans="2:5" ht="23.25" customHeight="1" x14ac:dyDescent="0.2">
      <c r="B414" s="63"/>
      <c r="C414" s="96" t="s">
        <v>200</v>
      </c>
      <c r="D414" s="96"/>
      <c r="E414" s="97"/>
    </row>
    <row r="415" spans="2:5" x14ac:dyDescent="0.2">
      <c r="B415" s="63" t="s">
        <v>163</v>
      </c>
      <c r="C415" s="61"/>
      <c r="D415" s="61"/>
      <c r="E415" s="62"/>
    </row>
    <row r="416" spans="2:5" ht="42" customHeight="1" x14ac:dyDescent="0.2">
      <c r="B416" s="64"/>
      <c r="C416" s="98" t="s">
        <v>164</v>
      </c>
      <c r="D416" s="98"/>
      <c r="E416" s="99"/>
    </row>
    <row r="417" spans="2:5" ht="81.75" customHeight="1" x14ac:dyDescent="0.2">
      <c r="B417" s="64"/>
      <c r="C417" s="100" t="s">
        <v>165</v>
      </c>
      <c r="D417" s="100"/>
      <c r="E417" s="101"/>
    </row>
    <row r="418" spans="2:5" x14ac:dyDescent="0.2">
      <c r="B418" s="63" t="s">
        <v>145</v>
      </c>
      <c r="C418" s="61"/>
      <c r="D418" s="61"/>
      <c r="E418" s="62"/>
    </row>
    <row r="419" spans="2:5" x14ac:dyDescent="0.2">
      <c r="B419" s="64"/>
      <c r="C419" s="99" t="s">
        <v>186</v>
      </c>
      <c r="D419" s="99"/>
      <c r="E419" s="99"/>
    </row>
    <row r="420" spans="2:5" x14ac:dyDescent="0.2">
      <c r="B420" s="63" t="s">
        <v>146</v>
      </c>
      <c r="C420" s="65"/>
      <c r="D420" s="65"/>
      <c r="E420" s="66"/>
    </row>
    <row r="421" spans="2:5" x14ac:dyDescent="0.2">
      <c r="B421" s="64"/>
      <c r="C421" s="99" t="s">
        <v>167</v>
      </c>
      <c r="D421" s="99"/>
      <c r="E421" s="99"/>
    </row>
    <row r="422" spans="2:5" x14ac:dyDescent="0.2">
      <c r="B422" s="63" t="s">
        <v>147</v>
      </c>
      <c r="C422" s="61"/>
      <c r="D422" s="61"/>
      <c r="E422" s="62"/>
    </row>
    <row r="423" spans="2:5" ht="13.5" thickBot="1" x14ac:dyDescent="0.25">
      <c r="B423" s="82"/>
      <c r="C423" s="95"/>
      <c r="D423" s="95"/>
      <c r="E423" s="95"/>
    </row>
    <row r="425" spans="2:5" ht="13.5" thickBot="1" x14ac:dyDescent="0.25"/>
    <row r="426" spans="2:5" x14ac:dyDescent="0.2">
      <c r="B426" s="57" t="s">
        <v>152</v>
      </c>
      <c r="C426" s="58"/>
      <c r="D426" s="58"/>
      <c r="E426" s="59"/>
    </row>
    <row r="427" spans="2:5" x14ac:dyDescent="0.2">
      <c r="B427" s="60"/>
      <c r="C427" s="61"/>
      <c r="D427" s="61"/>
      <c r="E427" s="62"/>
    </row>
    <row r="428" spans="2:5" x14ac:dyDescent="0.2">
      <c r="B428" s="63" t="s">
        <v>144</v>
      </c>
      <c r="C428" s="61"/>
      <c r="D428" s="61"/>
      <c r="E428" s="62"/>
    </row>
    <row r="429" spans="2:5" ht="21.75" customHeight="1" x14ac:dyDescent="0.2">
      <c r="B429" s="63"/>
      <c r="C429" s="96" t="s">
        <v>201</v>
      </c>
      <c r="D429" s="96"/>
      <c r="E429" s="97"/>
    </row>
    <row r="430" spans="2:5" x14ac:dyDescent="0.2">
      <c r="B430" s="63" t="s">
        <v>163</v>
      </c>
      <c r="C430" s="61"/>
      <c r="D430" s="61"/>
      <c r="E430" s="62"/>
    </row>
    <row r="431" spans="2:5" ht="33.75" customHeight="1" x14ac:dyDescent="0.2">
      <c r="B431" s="64"/>
      <c r="C431" s="98" t="s">
        <v>164</v>
      </c>
      <c r="D431" s="98"/>
      <c r="E431" s="99"/>
    </row>
    <row r="432" spans="2:5" ht="90.75" customHeight="1" x14ac:dyDescent="0.2">
      <c r="B432" s="64"/>
      <c r="C432" s="100" t="s">
        <v>165</v>
      </c>
      <c r="D432" s="100"/>
      <c r="E432" s="101"/>
    </row>
    <row r="433" spans="2:5" x14ac:dyDescent="0.2">
      <c r="B433" s="63" t="s">
        <v>145</v>
      </c>
      <c r="C433" s="61"/>
      <c r="D433" s="61"/>
      <c r="E433" s="62"/>
    </row>
    <row r="434" spans="2:5" ht="18" customHeight="1" x14ac:dyDescent="0.2">
      <c r="B434" s="64"/>
      <c r="C434" s="99" t="s">
        <v>186</v>
      </c>
      <c r="D434" s="99"/>
      <c r="E434" s="99"/>
    </row>
    <row r="435" spans="2:5" x14ac:dyDescent="0.2">
      <c r="B435" s="63" t="s">
        <v>146</v>
      </c>
      <c r="C435" s="65"/>
      <c r="D435" s="65"/>
      <c r="E435" s="66"/>
    </row>
    <row r="436" spans="2:5" x14ac:dyDescent="0.2">
      <c r="B436" s="64"/>
      <c r="C436" s="99" t="s">
        <v>167</v>
      </c>
      <c r="D436" s="99"/>
      <c r="E436" s="99"/>
    </row>
    <row r="437" spans="2:5" x14ac:dyDescent="0.2">
      <c r="B437" s="63" t="s">
        <v>147</v>
      </c>
      <c r="C437" s="61"/>
      <c r="D437" s="61"/>
      <c r="E437" s="62"/>
    </row>
    <row r="438" spans="2:5" ht="13.5" thickBot="1" x14ac:dyDescent="0.25">
      <c r="B438" s="82"/>
      <c r="C438" s="95"/>
      <c r="D438" s="95"/>
      <c r="E438" s="95"/>
    </row>
    <row r="441" spans="2:5" ht="13.5" thickBot="1" x14ac:dyDescent="0.25"/>
    <row r="442" spans="2:5" x14ac:dyDescent="0.2">
      <c r="B442" s="57" t="s">
        <v>153</v>
      </c>
      <c r="C442" s="58"/>
      <c r="D442" s="58"/>
      <c r="E442" s="59"/>
    </row>
    <row r="443" spans="2:5" x14ac:dyDescent="0.2">
      <c r="B443" s="60"/>
      <c r="C443" s="61"/>
      <c r="D443" s="61"/>
      <c r="E443" s="62"/>
    </row>
    <row r="444" spans="2:5" x14ac:dyDescent="0.2">
      <c r="B444" s="63" t="s">
        <v>144</v>
      </c>
      <c r="C444" s="61"/>
      <c r="D444" s="61"/>
      <c r="E444" s="62"/>
    </row>
    <row r="445" spans="2:5" ht="27.75" customHeight="1" x14ac:dyDescent="0.2">
      <c r="B445" s="63"/>
      <c r="C445" s="96" t="s">
        <v>202</v>
      </c>
      <c r="D445" s="96"/>
      <c r="E445" s="97"/>
    </row>
    <row r="446" spans="2:5" x14ac:dyDescent="0.2">
      <c r="B446" s="63" t="s">
        <v>163</v>
      </c>
      <c r="C446" s="61"/>
      <c r="D446" s="61"/>
      <c r="E446" s="62"/>
    </row>
    <row r="447" spans="2:5" ht="45" customHeight="1" x14ac:dyDescent="0.2">
      <c r="B447" s="64"/>
      <c r="C447" s="98" t="s">
        <v>164</v>
      </c>
      <c r="D447" s="98"/>
      <c r="E447" s="99"/>
    </row>
    <row r="448" spans="2:5" ht="92.25" customHeight="1" x14ac:dyDescent="0.2">
      <c r="B448" s="64"/>
      <c r="C448" s="100" t="s">
        <v>165</v>
      </c>
      <c r="D448" s="100"/>
      <c r="E448" s="101"/>
    </row>
    <row r="449" spans="2:5" x14ac:dyDescent="0.2">
      <c r="B449" s="63" t="s">
        <v>145</v>
      </c>
      <c r="C449" s="61"/>
      <c r="D449" s="61"/>
      <c r="E449" s="62"/>
    </row>
    <row r="450" spans="2:5" ht="18.75" customHeight="1" x14ac:dyDescent="0.2">
      <c r="B450" s="64"/>
      <c r="C450" s="99" t="s">
        <v>186</v>
      </c>
      <c r="D450" s="99"/>
      <c r="E450" s="99"/>
    </row>
    <row r="451" spans="2:5" x14ac:dyDescent="0.2">
      <c r="B451" s="63" t="s">
        <v>146</v>
      </c>
      <c r="C451" s="65"/>
      <c r="D451" s="65"/>
      <c r="E451" s="66"/>
    </row>
    <row r="452" spans="2:5" ht="18.75" customHeight="1" x14ac:dyDescent="0.2">
      <c r="B452" s="64"/>
      <c r="C452" s="99" t="s">
        <v>167</v>
      </c>
      <c r="D452" s="99"/>
      <c r="E452" s="99"/>
    </row>
    <row r="453" spans="2:5" x14ac:dyDescent="0.2">
      <c r="B453" s="63" t="s">
        <v>147</v>
      </c>
      <c r="C453" s="61"/>
      <c r="D453" s="61"/>
      <c r="E453" s="62"/>
    </row>
    <row r="454" spans="2:5" ht="13.5" thickBot="1" x14ac:dyDescent="0.25">
      <c r="B454" s="82"/>
      <c r="C454" s="95"/>
      <c r="D454" s="95"/>
      <c r="E454" s="95"/>
    </row>
    <row r="456" spans="2:5" ht="13.5" thickBot="1" x14ac:dyDescent="0.25"/>
    <row r="457" spans="2:5" x14ac:dyDescent="0.2">
      <c r="B457" s="57" t="s">
        <v>154</v>
      </c>
      <c r="C457" s="58"/>
      <c r="D457" s="58"/>
      <c r="E457" s="59"/>
    </row>
    <row r="458" spans="2:5" x14ac:dyDescent="0.2">
      <c r="B458" s="60"/>
      <c r="C458" s="61"/>
      <c r="D458" s="61"/>
      <c r="E458" s="62"/>
    </row>
    <row r="459" spans="2:5" x14ac:dyDescent="0.2">
      <c r="B459" s="63" t="s">
        <v>144</v>
      </c>
      <c r="C459" s="61"/>
      <c r="D459" s="61"/>
      <c r="E459" s="62"/>
    </row>
    <row r="460" spans="2:5" ht="22.5" customHeight="1" x14ac:dyDescent="0.2">
      <c r="B460" s="63"/>
      <c r="C460" s="96" t="s">
        <v>203</v>
      </c>
      <c r="D460" s="96"/>
      <c r="E460" s="97"/>
    </row>
    <row r="461" spans="2:5" x14ac:dyDescent="0.2">
      <c r="B461" s="63" t="s">
        <v>163</v>
      </c>
      <c r="C461" s="61"/>
      <c r="D461" s="61"/>
      <c r="E461" s="62"/>
    </row>
    <row r="462" spans="2:5" ht="42" customHeight="1" x14ac:dyDescent="0.2">
      <c r="B462" s="64"/>
      <c r="C462" s="98" t="s">
        <v>164</v>
      </c>
      <c r="D462" s="98"/>
      <c r="E462" s="99"/>
    </row>
    <row r="463" spans="2:5" ht="84" customHeight="1" x14ac:dyDescent="0.2">
      <c r="B463" s="64"/>
      <c r="C463" s="100" t="s">
        <v>165</v>
      </c>
      <c r="D463" s="100"/>
      <c r="E463" s="101"/>
    </row>
    <row r="464" spans="2:5" x14ac:dyDescent="0.2">
      <c r="B464" s="63" t="s">
        <v>145</v>
      </c>
      <c r="C464" s="61"/>
      <c r="D464" s="61"/>
      <c r="E464" s="62"/>
    </row>
    <row r="465" spans="2:5" ht="21" customHeight="1" x14ac:dyDescent="0.2">
      <c r="B465" s="64"/>
      <c r="C465" s="99" t="s">
        <v>186</v>
      </c>
      <c r="D465" s="99"/>
      <c r="E465" s="99"/>
    </row>
    <row r="466" spans="2:5" x14ac:dyDescent="0.2">
      <c r="B466" s="63" t="s">
        <v>146</v>
      </c>
      <c r="C466" s="65"/>
      <c r="D466" s="65"/>
      <c r="E466" s="66"/>
    </row>
    <row r="467" spans="2:5" x14ac:dyDescent="0.2">
      <c r="B467" s="64"/>
      <c r="C467" s="99" t="s">
        <v>167</v>
      </c>
      <c r="D467" s="99"/>
      <c r="E467" s="99"/>
    </row>
    <row r="468" spans="2:5" x14ac:dyDescent="0.2">
      <c r="B468" s="63" t="s">
        <v>147</v>
      </c>
      <c r="C468" s="61"/>
      <c r="D468" s="61"/>
      <c r="E468" s="62"/>
    </row>
    <row r="469" spans="2:5" ht="13.5" thickBot="1" x14ac:dyDescent="0.25">
      <c r="B469" s="82"/>
      <c r="C469" s="95"/>
      <c r="D469" s="95"/>
      <c r="E469" s="95"/>
    </row>
    <row r="471" spans="2:5" ht="13.5" thickBot="1" x14ac:dyDescent="0.25"/>
    <row r="472" spans="2:5" x14ac:dyDescent="0.2">
      <c r="B472" s="57" t="s">
        <v>155</v>
      </c>
      <c r="C472" s="58"/>
      <c r="D472" s="58"/>
      <c r="E472" s="59"/>
    </row>
    <row r="473" spans="2:5" x14ac:dyDescent="0.2">
      <c r="B473" s="60"/>
      <c r="C473" s="61"/>
      <c r="D473" s="61"/>
      <c r="E473" s="62"/>
    </row>
    <row r="474" spans="2:5" x14ac:dyDescent="0.2">
      <c r="B474" s="63" t="s">
        <v>144</v>
      </c>
      <c r="C474" s="61"/>
      <c r="D474" s="61"/>
      <c r="E474" s="62"/>
    </row>
    <row r="475" spans="2:5" ht="23.25" customHeight="1" x14ac:dyDescent="0.2">
      <c r="B475" s="63"/>
      <c r="C475" s="96" t="s">
        <v>243</v>
      </c>
      <c r="D475" s="96"/>
      <c r="E475" s="97"/>
    </row>
    <row r="476" spans="2:5" x14ac:dyDescent="0.2">
      <c r="B476" s="63" t="s">
        <v>163</v>
      </c>
      <c r="C476" s="61"/>
      <c r="D476" s="61"/>
      <c r="E476" s="62"/>
    </row>
    <row r="477" spans="2:5" ht="49.5" customHeight="1" x14ac:dyDescent="0.2">
      <c r="B477" s="64"/>
      <c r="C477" s="98" t="s">
        <v>164</v>
      </c>
      <c r="D477" s="98"/>
      <c r="E477" s="99"/>
    </row>
    <row r="478" spans="2:5" ht="90" customHeight="1" x14ac:dyDescent="0.2">
      <c r="B478" s="64"/>
      <c r="C478" s="100" t="s">
        <v>165</v>
      </c>
      <c r="D478" s="100"/>
      <c r="E478" s="101"/>
    </row>
    <row r="479" spans="2:5" x14ac:dyDescent="0.2">
      <c r="B479" s="63" t="s">
        <v>145</v>
      </c>
      <c r="C479" s="61"/>
      <c r="D479" s="61"/>
      <c r="E479" s="62"/>
    </row>
    <row r="480" spans="2:5" ht="24" customHeight="1" x14ac:dyDescent="0.2">
      <c r="B480" s="64"/>
      <c r="C480" s="99" t="s">
        <v>186</v>
      </c>
      <c r="D480" s="99"/>
      <c r="E480" s="99"/>
    </row>
    <row r="481" spans="2:5" x14ac:dyDescent="0.2">
      <c r="B481" s="63" t="s">
        <v>146</v>
      </c>
      <c r="C481" s="65"/>
      <c r="D481" s="65"/>
      <c r="E481" s="66"/>
    </row>
    <row r="482" spans="2:5" x14ac:dyDescent="0.2">
      <c r="B482" s="64"/>
      <c r="C482" s="99" t="s">
        <v>167</v>
      </c>
      <c r="D482" s="99"/>
      <c r="E482" s="99"/>
    </row>
    <row r="483" spans="2:5" x14ac:dyDescent="0.2">
      <c r="B483" s="63" t="s">
        <v>147</v>
      </c>
      <c r="C483" s="61"/>
      <c r="D483" s="61"/>
      <c r="E483" s="62"/>
    </row>
    <row r="484" spans="2:5" ht="13.5" thickBot="1" x14ac:dyDescent="0.25">
      <c r="B484" s="82"/>
      <c r="C484" s="95"/>
      <c r="D484" s="95"/>
      <c r="E484" s="95"/>
    </row>
    <row r="486" spans="2:5" ht="13.5" thickBot="1" x14ac:dyDescent="0.25"/>
    <row r="487" spans="2:5" x14ac:dyDescent="0.2">
      <c r="B487" s="57" t="s">
        <v>156</v>
      </c>
      <c r="C487" s="58"/>
      <c r="D487" s="58"/>
      <c r="E487" s="59"/>
    </row>
    <row r="488" spans="2:5" x14ac:dyDescent="0.2">
      <c r="B488" s="60"/>
      <c r="C488" s="61"/>
      <c r="D488" s="61"/>
      <c r="E488" s="62"/>
    </row>
    <row r="489" spans="2:5" x14ac:dyDescent="0.2">
      <c r="B489" s="63" t="s">
        <v>144</v>
      </c>
      <c r="C489" s="61"/>
      <c r="D489" s="61"/>
      <c r="E489" s="62"/>
    </row>
    <row r="490" spans="2:5" ht="39" customHeight="1" x14ac:dyDescent="0.2">
      <c r="B490" s="63"/>
      <c r="C490" s="96" t="s">
        <v>249</v>
      </c>
      <c r="D490" s="96"/>
      <c r="E490" s="97"/>
    </row>
    <row r="491" spans="2:5" x14ac:dyDescent="0.2">
      <c r="B491" s="63" t="s">
        <v>163</v>
      </c>
      <c r="C491" s="61"/>
      <c r="D491" s="61"/>
      <c r="E491" s="62"/>
    </row>
    <row r="492" spans="2:5" ht="33.75" customHeight="1" x14ac:dyDescent="0.2">
      <c r="B492" s="64"/>
      <c r="C492" s="98" t="s">
        <v>164</v>
      </c>
      <c r="D492" s="98"/>
      <c r="E492" s="99"/>
    </row>
    <row r="493" spans="2:5" ht="86.25" customHeight="1" x14ac:dyDescent="0.2">
      <c r="B493" s="64"/>
      <c r="C493" s="100" t="s">
        <v>165</v>
      </c>
      <c r="D493" s="100"/>
      <c r="E493" s="101"/>
    </row>
    <row r="494" spans="2:5" x14ac:dyDescent="0.2">
      <c r="B494" s="63" t="s">
        <v>145</v>
      </c>
      <c r="C494" s="61"/>
      <c r="D494" s="61"/>
      <c r="E494" s="62"/>
    </row>
    <row r="495" spans="2:5" ht="27" customHeight="1" x14ac:dyDescent="0.2">
      <c r="B495" s="64"/>
      <c r="C495" s="99" t="s">
        <v>186</v>
      </c>
      <c r="D495" s="99"/>
      <c r="E495" s="99"/>
    </row>
    <row r="496" spans="2:5" x14ac:dyDescent="0.2">
      <c r="B496" s="63" t="s">
        <v>146</v>
      </c>
      <c r="C496" s="65"/>
      <c r="D496" s="65"/>
      <c r="E496" s="66"/>
    </row>
    <row r="497" spans="2:5" ht="23.25" customHeight="1" x14ac:dyDescent="0.2">
      <c r="B497" s="64"/>
      <c r="C497" s="99" t="s">
        <v>167</v>
      </c>
      <c r="D497" s="99"/>
      <c r="E497" s="99"/>
    </row>
    <row r="498" spans="2:5" x14ac:dyDescent="0.2">
      <c r="B498" s="63" t="s">
        <v>147</v>
      </c>
      <c r="C498" s="61"/>
      <c r="D498" s="61"/>
      <c r="E498" s="62"/>
    </row>
    <row r="499" spans="2:5" ht="20.25" customHeight="1" thickBot="1" x14ac:dyDescent="0.25">
      <c r="B499" s="82"/>
      <c r="C499" s="95"/>
      <c r="D499" s="95"/>
      <c r="E499" s="95"/>
    </row>
    <row r="501" spans="2:5" ht="13.5" thickBot="1" x14ac:dyDescent="0.25"/>
    <row r="502" spans="2:5" x14ac:dyDescent="0.2">
      <c r="B502" s="57" t="s">
        <v>157</v>
      </c>
      <c r="C502" s="58"/>
      <c r="D502" s="58"/>
      <c r="E502" s="59"/>
    </row>
    <row r="503" spans="2:5" x14ac:dyDescent="0.2">
      <c r="B503" s="60"/>
      <c r="C503" s="61"/>
      <c r="D503" s="61"/>
      <c r="E503" s="62"/>
    </row>
    <row r="504" spans="2:5" x14ac:dyDescent="0.2">
      <c r="B504" s="63" t="s">
        <v>144</v>
      </c>
      <c r="C504" s="61"/>
      <c r="D504" s="61"/>
      <c r="E504" s="62"/>
    </row>
    <row r="505" spans="2:5" ht="37.5" customHeight="1" x14ac:dyDescent="0.2">
      <c r="B505" s="63"/>
      <c r="C505" s="96" t="s">
        <v>250</v>
      </c>
      <c r="D505" s="96"/>
      <c r="E505" s="97"/>
    </row>
    <row r="506" spans="2:5" x14ac:dyDescent="0.2">
      <c r="B506" s="63" t="s">
        <v>163</v>
      </c>
      <c r="C506" s="61"/>
      <c r="D506" s="61"/>
      <c r="E506" s="62"/>
    </row>
    <row r="507" spans="2:5" ht="51.75" customHeight="1" x14ac:dyDescent="0.2">
      <c r="B507" s="64"/>
      <c r="C507" s="98" t="s">
        <v>164</v>
      </c>
      <c r="D507" s="98"/>
      <c r="E507" s="99"/>
    </row>
    <row r="508" spans="2:5" ht="91.5" customHeight="1" x14ac:dyDescent="0.2">
      <c r="B508" s="64"/>
      <c r="C508" s="100" t="s">
        <v>165</v>
      </c>
      <c r="D508" s="100"/>
      <c r="E508" s="101"/>
    </row>
    <row r="509" spans="2:5" x14ac:dyDescent="0.2">
      <c r="B509" s="63" t="s">
        <v>145</v>
      </c>
      <c r="C509" s="61"/>
      <c r="D509" s="61"/>
      <c r="E509" s="62"/>
    </row>
    <row r="510" spans="2:5" ht="19.5" customHeight="1" x14ac:dyDescent="0.2">
      <c r="B510" s="64"/>
      <c r="C510" s="99" t="s">
        <v>186</v>
      </c>
      <c r="D510" s="99"/>
      <c r="E510" s="99"/>
    </row>
    <row r="511" spans="2:5" x14ac:dyDescent="0.2">
      <c r="B511" s="63" t="s">
        <v>146</v>
      </c>
      <c r="C511" s="65"/>
      <c r="D511" s="65"/>
      <c r="E511" s="66"/>
    </row>
    <row r="512" spans="2:5" ht="23.25" customHeight="1" x14ac:dyDescent="0.2">
      <c r="B512" s="64"/>
      <c r="C512" s="99" t="s">
        <v>167</v>
      </c>
      <c r="D512" s="99"/>
      <c r="E512" s="99"/>
    </row>
    <row r="513" spans="2:5" x14ac:dyDescent="0.2">
      <c r="B513" s="63" t="s">
        <v>147</v>
      </c>
      <c r="C513" s="61"/>
      <c r="D513" s="61"/>
      <c r="E513" s="62"/>
    </row>
    <row r="514" spans="2:5" ht="15" customHeight="1" thickBot="1" x14ac:dyDescent="0.25">
      <c r="B514" s="82"/>
      <c r="C514" s="95"/>
      <c r="D514" s="95"/>
      <c r="E514" s="95"/>
    </row>
    <row r="516" spans="2:5" ht="13.5" thickBot="1" x14ac:dyDescent="0.25"/>
    <row r="517" spans="2:5" x14ac:dyDescent="0.2">
      <c r="B517" s="57" t="s">
        <v>204</v>
      </c>
      <c r="C517" s="58"/>
      <c r="D517" s="58"/>
      <c r="E517" s="59"/>
    </row>
    <row r="518" spans="2:5" x14ac:dyDescent="0.2">
      <c r="B518" s="60"/>
      <c r="C518" s="61"/>
      <c r="D518" s="61"/>
      <c r="E518" s="62"/>
    </row>
    <row r="519" spans="2:5" x14ac:dyDescent="0.2">
      <c r="B519" s="63" t="s">
        <v>144</v>
      </c>
      <c r="C519" s="61"/>
      <c r="D519" s="61"/>
      <c r="E519" s="62"/>
    </row>
    <row r="520" spans="2:5" ht="28.5" customHeight="1" x14ac:dyDescent="0.2">
      <c r="B520" s="63"/>
      <c r="C520" s="96" t="s">
        <v>253</v>
      </c>
      <c r="D520" s="96"/>
      <c r="E520" s="97"/>
    </row>
    <row r="521" spans="2:5" x14ac:dyDescent="0.2">
      <c r="B521" s="63" t="s">
        <v>163</v>
      </c>
      <c r="C521" s="61"/>
      <c r="D521" s="61"/>
      <c r="E521" s="62"/>
    </row>
    <row r="522" spans="2:5" ht="39.75" customHeight="1" x14ac:dyDescent="0.2">
      <c r="B522" s="64"/>
      <c r="C522" s="98" t="s">
        <v>164</v>
      </c>
      <c r="D522" s="98"/>
      <c r="E522" s="99"/>
    </row>
    <row r="523" spans="2:5" ht="91.5" customHeight="1" x14ac:dyDescent="0.2">
      <c r="B523" s="64"/>
      <c r="C523" s="100" t="s">
        <v>165</v>
      </c>
      <c r="D523" s="100"/>
      <c r="E523" s="101"/>
    </row>
    <row r="524" spans="2:5" x14ac:dyDescent="0.2">
      <c r="B524" s="63" t="s">
        <v>145</v>
      </c>
      <c r="C524" s="61"/>
      <c r="D524" s="61"/>
      <c r="E524" s="62"/>
    </row>
    <row r="525" spans="2:5" ht="27" customHeight="1" x14ac:dyDescent="0.2">
      <c r="B525" s="64"/>
      <c r="C525" s="99" t="s">
        <v>186</v>
      </c>
      <c r="D525" s="99"/>
      <c r="E525" s="99"/>
    </row>
    <row r="526" spans="2:5" x14ac:dyDescent="0.2">
      <c r="B526" s="63" t="s">
        <v>146</v>
      </c>
      <c r="C526" s="65"/>
      <c r="D526" s="65"/>
      <c r="E526" s="66"/>
    </row>
    <row r="527" spans="2:5" ht="18" customHeight="1" x14ac:dyDescent="0.2">
      <c r="B527" s="64"/>
      <c r="C527" s="99" t="s">
        <v>167</v>
      </c>
      <c r="D527" s="99"/>
      <c r="E527" s="99"/>
    </row>
    <row r="528" spans="2:5" x14ac:dyDescent="0.2">
      <c r="B528" s="63" t="s">
        <v>147</v>
      </c>
      <c r="C528" s="61"/>
      <c r="D528" s="61"/>
      <c r="E528" s="62"/>
    </row>
    <row r="529" spans="2:5" ht="25.5" customHeight="1" thickBot="1" x14ac:dyDescent="0.25">
      <c r="B529" s="82"/>
      <c r="C529" s="95"/>
      <c r="D529" s="95"/>
      <c r="E529" s="95"/>
    </row>
    <row r="531" spans="2:5" ht="13.5" thickBot="1" x14ac:dyDescent="0.25"/>
    <row r="532" spans="2:5" x14ac:dyDescent="0.2">
      <c r="B532" s="57" t="s">
        <v>205</v>
      </c>
      <c r="C532" s="58"/>
      <c r="D532" s="58"/>
      <c r="E532" s="59"/>
    </row>
    <row r="533" spans="2:5" x14ac:dyDescent="0.2">
      <c r="B533" s="60"/>
      <c r="C533" s="61"/>
      <c r="D533" s="61"/>
      <c r="E533" s="62"/>
    </row>
    <row r="534" spans="2:5" x14ac:dyDescent="0.2">
      <c r="B534" s="63" t="s">
        <v>144</v>
      </c>
      <c r="C534" s="61"/>
      <c r="D534" s="61"/>
      <c r="E534" s="62"/>
    </row>
    <row r="535" spans="2:5" ht="27.75" customHeight="1" x14ac:dyDescent="0.2">
      <c r="B535" s="63"/>
      <c r="C535" s="96" t="s">
        <v>260</v>
      </c>
      <c r="D535" s="96"/>
      <c r="E535" s="97"/>
    </row>
    <row r="536" spans="2:5" x14ac:dyDescent="0.2">
      <c r="B536" s="63" t="s">
        <v>163</v>
      </c>
      <c r="C536" s="61"/>
      <c r="D536" s="61"/>
      <c r="E536" s="62"/>
    </row>
    <row r="537" spans="2:5" ht="38.25" customHeight="1" x14ac:dyDescent="0.2">
      <c r="B537" s="64"/>
      <c r="C537" s="98" t="s">
        <v>164</v>
      </c>
      <c r="D537" s="98"/>
      <c r="E537" s="99"/>
    </row>
    <row r="538" spans="2:5" ht="81.75" customHeight="1" x14ac:dyDescent="0.2">
      <c r="B538" s="64"/>
      <c r="C538" s="100" t="s">
        <v>165</v>
      </c>
      <c r="D538" s="100"/>
      <c r="E538" s="101"/>
    </row>
    <row r="539" spans="2:5" x14ac:dyDescent="0.2">
      <c r="B539" s="63" t="s">
        <v>145</v>
      </c>
      <c r="C539" s="61"/>
      <c r="D539" s="61"/>
      <c r="E539" s="62"/>
    </row>
    <row r="540" spans="2:5" ht="24.75" customHeight="1" x14ac:dyDescent="0.2">
      <c r="B540" s="64"/>
      <c r="C540" s="99" t="s">
        <v>186</v>
      </c>
      <c r="D540" s="99"/>
      <c r="E540" s="99"/>
    </row>
    <row r="541" spans="2:5" x14ac:dyDescent="0.2">
      <c r="B541" s="63" t="s">
        <v>146</v>
      </c>
      <c r="C541" s="65"/>
      <c r="D541" s="65"/>
      <c r="E541" s="66"/>
    </row>
    <row r="542" spans="2:5" ht="18.75" customHeight="1" x14ac:dyDescent="0.2">
      <c r="B542" s="64"/>
      <c r="C542" s="99" t="s">
        <v>167</v>
      </c>
      <c r="D542" s="99"/>
      <c r="E542" s="99"/>
    </row>
    <row r="543" spans="2:5" x14ac:dyDescent="0.2">
      <c r="B543" s="63" t="s">
        <v>147</v>
      </c>
      <c r="C543" s="61"/>
      <c r="D543" s="61"/>
      <c r="E543" s="62"/>
    </row>
    <row r="544" spans="2:5" ht="27" customHeight="1" thickBot="1" x14ac:dyDescent="0.25">
      <c r="B544" s="82"/>
      <c r="C544" s="95"/>
      <c r="D544" s="95"/>
      <c r="E544" s="95"/>
    </row>
    <row r="546" spans="2:5" ht="13.5" thickBot="1" x14ac:dyDescent="0.25"/>
    <row r="547" spans="2:5" x14ac:dyDescent="0.2">
      <c r="B547" s="150" t="s">
        <v>206</v>
      </c>
      <c r="C547" s="151"/>
      <c r="D547" s="151"/>
      <c r="E547" s="152"/>
    </row>
    <row r="548" spans="2:5" x14ac:dyDescent="0.2">
      <c r="B548" s="60"/>
      <c r="C548" s="61"/>
      <c r="D548" s="61"/>
      <c r="E548" s="62"/>
    </row>
    <row r="549" spans="2:5" x14ac:dyDescent="0.2">
      <c r="B549" s="63" t="s">
        <v>144</v>
      </c>
      <c r="C549" s="61"/>
      <c r="D549" s="61"/>
      <c r="E549" s="62"/>
    </row>
    <row r="550" spans="2:5" ht="31.5" customHeight="1" x14ac:dyDescent="0.2">
      <c r="B550" s="63"/>
      <c r="C550" s="96" t="s">
        <v>261</v>
      </c>
      <c r="D550" s="96"/>
      <c r="E550" s="97"/>
    </row>
    <row r="551" spans="2:5" x14ac:dyDescent="0.2">
      <c r="B551" s="63" t="s">
        <v>163</v>
      </c>
      <c r="C551" s="61"/>
      <c r="D551" s="61"/>
      <c r="E551" s="62"/>
    </row>
    <row r="552" spans="2:5" ht="48.75" customHeight="1" x14ac:dyDescent="0.2">
      <c r="B552" s="64"/>
      <c r="C552" s="98" t="s">
        <v>164</v>
      </c>
      <c r="D552" s="98"/>
      <c r="E552" s="99"/>
    </row>
    <row r="553" spans="2:5" ht="90.75" customHeight="1" x14ac:dyDescent="0.2">
      <c r="B553" s="64"/>
      <c r="C553" s="100" t="s">
        <v>165</v>
      </c>
      <c r="D553" s="100"/>
      <c r="E553" s="101"/>
    </row>
    <row r="554" spans="2:5" x14ac:dyDescent="0.2">
      <c r="B554" s="63" t="s">
        <v>145</v>
      </c>
      <c r="C554" s="61"/>
      <c r="D554" s="61"/>
      <c r="E554" s="62"/>
    </row>
    <row r="555" spans="2:5" ht="23.25" customHeight="1" x14ac:dyDescent="0.2">
      <c r="B555" s="64"/>
      <c r="C555" s="99" t="s">
        <v>186</v>
      </c>
      <c r="D555" s="99"/>
      <c r="E555" s="99"/>
    </row>
    <row r="556" spans="2:5" x14ac:dyDescent="0.2">
      <c r="B556" s="63" t="s">
        <v>146</v>
      </c>
      <c r="C556" s="65"/>
      <c r="D556" s="65"/>
      <c r="E556" s="66"/>
    </row>
    <row r="557" spans="2:5" ht="23.25" customHeight="1" x14ac:dyDescent="0.2">
      <c r="B557" s="64"/>
      <c r="C557" s="99" t="s">
        <v>167</v>
      </c>
      <c r="D557" s="99"/>
      <c r="E557" s="99"/>
    </row>
    <row r="558" spans="2:5" ht="29.25" customHeight="1" x14ac:dyDescent="0.2">
      <c r="B558" s="63" t="s">
        <v>147</v>
      </c>
      <c r="C558" s="61"/>
      <c r="D558" s="61"/>
      <c r="E558" s="62"/>
    </row>
    <row r="559" spans="2:5" ht="21" customHeight="1" thickBot="1" x14ac:dyDescent="0.25">
      <c r="B559" s="82"/>
      <c r="C559" s="95"/>
      <c r="D559" s="95"/>
      <c r="E559" s="95"/>
    </row>
    <row r="561" spans="2:5" ht="13.5" thickBot="1" x14ac:dyDescent="0.25"/>
    <row r="562" spans="2:5" x14ac:dyDescent="0.2">
      <c r="B562" s="57" t="s">
        <v>208</v>
      </c>
      <c r="C562" s="58"/>
      <c r="D562" s="58"/>
      <c r="E562" s="59"/>
    </row>
    <row r="563" spans="2:5" x14ac:dyDescent="0.2">
      <c r="B563" s="60"/>
      <c r="C563" s="61"/>
      <c r="D563" s="61"/>
      <c r="E563" s="62"/>
    </row>
    <row r="564" spans="2:5" x14ac:dyDescent="0.2">
      <c r="B564" s="63" t="s">
        <v>144</v>
      </c>
      <c r="C564" s="61"/>
      <c r="D564" s="61"/>
      <c r="E564" s="62"/>
    </row>
    <row r="565" spans="2:5" ht="45.75" customHeight="1" x14ac:dyDescent="0.2">
      <c r="B565" s="63"/>
      <c r="C565" s="96" t="s">
        <v>262</v>
      </c>
      <c r="D565" s="96"/>
      <c r="E565" s="97"/>
    </row>
    <row r="566" spans="2:5" x14ac:dyDescent="0.2">
      <c r="B566" s="63" t="s">
        <v>163</v>
      </c>
      <c r="C566" s="61"/>
      <c r="D566" s="61"/>
      <c r="E566" s="62"/>
    </row>
    <row r="567" spans="2:5" ht="39.75" customHeight="1" x14ac:dyDescent="0.2">
      <c r="B567" s="64"/>
      <c r="C567" s="98" t="s">
        <v>164</v>
      </c>
      <c r="D567" s="98"/>
      <c r="E567" s="99"/>
    </row>
    <row r="568" spans="2:5" ht="87" customHeight="1" x14ac:dyDescent="0.2">
      <c r="B568" s="64"/>
      <c r="C568" s="100" t="s">
        <v>165</v>
      </c>
      <c r="D568" s="100"/>
      <c r="E568" s="101"/>
    </row>
    <row r="569" spans="2:5" x14ac:dyDescent="0.2">
      <c r="B569" s="63" t="s">
        <v>145</v>
      </c>
      <c r="C569" s="61"/>
      <c r="D569" s="61"/>
      <c r="E569" s="62"/>
    </row>
    <row r="570" spans="2:5" ht="14.25" customHeight="1" x14ac:dyDescent="0.2">
      <c r="B570" s="64"/>
      <c r="C570" s="99" t="s">
        <v>186</v>
      </c>
      <c r="D570" s="99"/>
      <c r="E570" s="99"/>
    </row>
    <row r="571" spans="2:5" x14ac:dyDescent="0.2">
      <c r="B571" s="63" t="s">
        <v>146</v>
      </c>
      <c r="C571" s="65"/>
      <c r="D571" s="65"/>
      <c r="E571" s="66"/>
    </row>
    <row r="572" spans="2:5" x14ac:dyDescent="0.2">
      <c r="B572" s="64"/>
      <c r="C572" s="99" t="s">
        <v>167</v>
      </c>
      <c r="D572" s="99"/>
      <c r="E572" s="99"/>
    </row>
    <row r="573" spans="2:5" x14ac:dyDescent="0.2">
      <c r="B573" s="63" t="s">
        <v>147</v>
      </c>
      <c r="C573" s="61"/>
      <c r="D573" s="61"/>
      <c r="E573" s="62"/>
    </row>
    <row r="574" spans="2:5" ht="13.5" thickBot="1" x14ac:dyDescent="0.25">
      <c r="B574" s="82"/>
      <c r="C574" s="95"/>
      <c r="D574" s="95"/>
      <c r="E574" s="95"/>
    </row>
    <row r="576" spans="2:5" ht="13.5" thickBot="1" x14ac:dyDescent="0.25"/>
    <row r="577" spans="2:5" x14ac:dyDescent="0.2">
      <c r="B577" s="57" t="s">
        <v>210</v>
      </c>
      <c r="C577" s="58"/>
      <c r="D577" s="58"/>
      <c r="E577" s="59"/>
    </row>
    <row r="578" spans="2:5" x14ac:dyDescent="0.2">
      <c r="B578" s="60"/>
      <c r="C578" s="61"/>
      <c r="D578" s="61"/>
      <c r="E578" s="62"/>
    </row>
    <row r="579" spans="2:5" x14ac:dyDescent="0.2">
      <c r="B579" s="63" t="s">
        <v>144</v>
      </c>
      <c r="C579" s="61"/>
      <c r="D579" s="61"/>
      <c r="E579" s="62"/>
    </row>
    <row r="580" spans="2:5" ht="42.75" customHeight="1" x14ac:dyDescent="0.2">
      <c r="B580" s="63"/>
      <c r="C580" s="96" t="s">
        <v>263</v>
      </c>
      <c r="D580" s="96"/>
      <c r="E580" s="97"/>
    </row>
    <row r="581" spans="2:5" x14ac:dyDescent="0.2">
      <c r="B581" s="63" t="s">
        <v>163</v>
      </c>
      <c r="C581" s="61"/>
      <c r="D581" s="61"/>
      <c r="E581" s="62"/>
    </row>
    <row r="582" spans="2:5" ht="36.75" customHeight="1" x14ac:dyDescent="0.2">
      <c r="B582" s="64"/>
      <c r="C582" s="98" t="s">
        <v>164</v>
      </c>
      <c r="D582" s="98"/>
      <c r="E582" s="99"/>
    </row>
    <row r="583" spans="2:5" ht="86.25" customHeight="1" x14ac:dyDescent="0.2">
      <c r="B583" s="64"/>
      <c r="C583" s="100" t="s">
        <v>165</v>
      </c>
      <c r="D583" s="100"/>
      <c r="E583" s="101"/>
    </row>
    <row r="584" spans="2:5" x14ac:dyDescent="0.2">
      <c r="B584" s="63" t="s">
        <v>145</v>
      </c>
      <c r="C584" s="61"/>
      <c r="D584" s="61"/>
      <c r="E584" s="62"/>
    </row>
    <row r="585" spans="2:5" ht="16.5" customHeight="1" x14ac:dyDescent="0.2">
      <c r="B585" s="64"/>
      <c r="C585" s="99" t="s">
        <v>186</v>
      </c>
      <c r="D585" s="99"/>
      <c r="E585" s="99"/>
    </row>
    <row r="586" spans="2:5" x14ac:dyDescent="0.2">
      <c r="B586" s="63" t="s">
        <v>146</v>
      </c>
      <c r="C586" s="65"/>
      <c r="D586" s="65"/>
      <c r="E586" s="66"/>
    </row>
    <row r="587" spans="2:5" x14ac:dyDescent="0.2">
      <c r="B587" s="64"/>
      <c r="C587" s="99" t="s">
        <v>167</v>
      </c>
      <c r="D587" s="99"/>
      <c r="E587" s="99"/>
    </row>
    <row r="588" spans="2:5" x14ac:dyDescent="0.2">
      <c r="B588" s="63" t="s">
        <v>147</v>
      </c>
      <c r="C588" s="61"/>
      <c r="D588" s="61"/>
      <c r="E588" s="62"/>
    </row>
    <row r="589" spans="2:5" ht="13.5" thickBot="1" x14ac:dyDescent="0.25">
      <c r="B589" s="82"/>
      <c r="C589" s="95"/>
      <c r="D589" s="95"/>
      <c r="E589" s="95"/>
    </row>
    <row r="591" spans="2:5" ht="13.5" thickBot="1" x14ac:dyDescent="0.25"/>
    <row r="592" spans="2:5" x14ac:dyDescent="0.2">
      <c r="B592" s="57" t="s">
        <v>212</v>
      </c>
      <c r="C592" s="58"/>
      <c r="D592" s="58"/>
      <c r="E592" s="59"/>
    </row>
    <row r="593" spans="2:5" x14ac:dyDescent="0.2">
      <c r="B593" s="60"/>
      <c r="C593" s="61"/>
      <c r="D593" s="61"/>
      <c r="E593" s="62"/>
    </row>
    <row r="594" spans="2:5" x14ac:dyDescent="0.2">
      <c r="B594" s="63" t="s">
        <v>144</v>
      </c>
      <c r="C594" s="61"/>
      <c r="D594" s="61"/>
      <c r="E594" s="62"/>
    </row>
    <row r="595" spans="2:5" ht="35.25" customHeight="1" x14ac:dyDescent="0.2">
      <c r="B595" s="63"/>
      <c r="C595" s="96" t="s">
        <v>207</v>
      </c>
      <c r="D595" s="96"/>
      <c r="E595" s="97"/>
    </row>
    <row r="596" spans="2:5" x14ac:dyDescent="0.2">
      <c r="B596" s="63" t="s">
        <v>163</v>
      </c>
      <c r="C596" s="61"/>
      <c r="D596" s="61"/>
      <c r="E596" s="62"/>
    </row>
    <row r="597" spans="2:5" ht="32.25" customHeight="1" x14ac:dyDescent="0.2">
      <c r="B597" s="64"/>
      <c r="C597" s="98" t="s">
        <v>164</v>
      </c>
      <c r="D597" s="98"/>
      <c r="E597" s="99"/>
    </row>
    <row r="598" spans="2:5" ht="76.5" customHeight="1" x14ac:dyDescent="0.2">
      <c r="B598" s="64"/>
      <c r="C598" s="100" t="s">
        <v>165</v>
      </c>
      <c r="D598" s="100"/>
      <c r="E598" s="101"/>
    </row>
    <row r="599" spans="2:5" x14ac:dyDescent="0.2">
      <c r="B599" s="63" t="s">
        <v>145</v>
      </c>
      <c r="C599" s="61"/>
      <c r="D599" s="61"/>
      <c r="E599" s="62"/>
    </row>
    <row r="600" spans="2:5" x14ac:dyDescent="0.2">
      <c r="B600" s="64"/>
      <c r="C600" s="99" t="s">
        <v>186</v>
      </c>
      <c r="D600" s="99"/>
      <c r="E600" s="99"/>
    </row>
    <row r="601" spans="2:5" x14ac:dyDescent="0.2">
      <c r="B601" s="63" t="s">
        <v>146</v>
      </c>
      <c r="C601" s="65"/>
      <c r="D601" s="65"/>
      <c r="E601" s="66"/>
    </row>
    <row r="602" spans="2:5" x14ac:dyDescent="0.2">
      <c r="B602" s="64"/>
      <c r="C602" s="99" t="s">
        <v>167</v>
      </c>
      <c r="D602" s="99"/>
      <c r="E602" s="99"/>
    </row>
    <row r="603" spans="2:5" x14ac:dyDescent="0.2">
      <c r="B603" s="63" t="s">
        <v>147</v>
      </c>
      <c r="C603" s="61"/>
      <c r="D603" s="61"/>
      <c r="E603" s="62"/>
    </row>
    <row r="604" spans="2:5" ht="13.5" thickBot="1" x14ac:dyDescent="0.25">
      <c r="B604" s="82"/>
      <c r="C604" s="95"/>
      <c r="D604" s="95"/>
      <c r="E604" s="95"/>
    </row>
    <row r="606" spans="2:5" ht="13.5" thickBot="1" x14ac:dyDescent="0.25"/>
    <row r="607" spans="2:5" x14ac:dyDescent="0.2">
      <c r="B607" s="57" t="s">
        <v>214</v>
      </c>
      <c r="C607" s="58"/>
      <c r="D607" s="58"/>
      <c r="E607" s="59"/>
    </row>
    <row r="608" spans="2:5" x14ac:dyDescent="0.2">
      <c r="B608" s="60"/>
      <c r="C608" s="61"/>
      <c r="D608" s="61"/>
      <c r="E608" s="62"/>
    </row>
    <row r="609" spans="2:5" x14ac:dyDescent="0.2">
      <c r="B609" s="63" t="s">
        <v>144</v>
      </c>
      <c r="C609" s="61"/>
      <c r="D609" s="61"/>
      <c r="E609" s="62"/>
    </row>
    <row r="610" spans="2:5" ht="39" customHeight="1" x14ac:dyDescent="0.2">
      <c r="B610" s="63"/>
      <c r="C610" s="96" t="s">
        <v>209</v>
      </c>
      <c r="D610" s="96"/>
      <c r="E610" s="97"/>
    </row>
    <row r="611" spans="2:5" x14ac:dyDescent="0.2">
      <c r="B611" s="63" t="s">
        <v>163</v>
      </c>
      <c r="C611" s="61"/>
      <c r="D611" s="61"/>
      <c r="E611" s="62"/>
    </row>
    <row r="612" spans="2:5" ht="43.5" customHeight="1" x14ac:dyDescent="0.2">
      <c r="B612" s="64"/>
      <c r="C612" s="98" t="s">
        <v>164</v>
      </c>
      <c r="D612" s="98"/>
      <c r="E612" s="99"/>
    </row>
    <row r="613" spans="2:5" ht="87.75" customHeight="1" x14ac:dyDescent="0.2">
      <c r="B613" s="64"/>
      <c r="C613" s="100" t="s">
        <v>165</v>
      </c>
      <c r="D613" s="100"/>
      <c r="E613" s="101"/>
    </row>
    <row r="614" spans="2:5" x14ac:dyDescent="0.2">
      <c r="B614" s="63" t="s">
        <v>145</v>
      </c>
      <c r="C614" s="61"/>
      <c r="D614" s="61"/>
      <c r="E614" s="62"/>
    </row>
    <row r="615" spans="2:5" x14ac:dyDescent="0.2">
      <c r="B615" s="64"/>
      <c r="C615" s="99" t="s">
        <v>186</v>
      </c>
      <c r="D615" s="99"/>
      <c r="E615" s="99"/>
    </row>
    <row r="616" spans="2:5" x14ac:dyDescent="0.2">
      <c r="B616" s="63" t="s">
        <v>146</v>
      </c>
      <c r="C616" s="65"/>
      <c r="D616" s="65"/>
      <c r="E616" s="66"/>
    </row>
    <row r="617" spans="2:5" x14ac:dyDescent="0.2">
      <c r="B617" s="64"/>
      <c r="C617" s="99" t="s">
        <v>167</v>
      </c>
      <c r="D617" s="99"/>
      <c r="E617" s="99"/>
    </row>
    <row r="618" spans="2:5" x14ac:dyDescent="0.2">
      <c r="B618" s="63" t="s">
        <v>147</v>
      </c>
      <c r="C618" s="61"/>
      <c r="D618" s="61"/>
      <c r="E618" s="62"/>
    </row>
    <row r="619" spans="2:5" ht="13.5" thickBot="1" x14ac:dyDescent="0.25">
      <c r="B619" s="82"/>
      <c r="C619" s="95"/>
      <c r="D619" s="95"/>
      <c r="E619" s="95"/>
    </row>
    <row r="621" spans="2:5" ht="13.5" thickBot="1" x14ac:dyDescent="0.25"/>
    <row r="622" spans="2:5" x14ac:dyDescent="0.2">
      <c r="B622" s="57" t="s">
        <v>216</v>
      </c>
      <c r="C622" s="58"/>
      <c r="D622" s="58"/>
      <c r="E622" s="59"/>
    </row>
    <row r="623" spans="2:5" x14ac:dyDescent="0.2">
      <c r="B623" s="60"/>
      <c r="C623" s="61"/>
      <c r="D623" s="61"/>
      <c r="E623" s="62"/>
    </row>
    <row r="624" spans="2:5" x14ac:dyDescent="0.2">
      <c r="B624" s="63" t="s">
        <v>144</v>
      </c>
      <c r="C624" s="61"/>
      <c r="D624" s="61"/>
      <c r="E624" s="62"/>
    </row>
    <row r="625" spans="2:5" ht="44.25" customHeight="1" x14ac:dyDescent="0.2">
      <c r="B625" s="63"/>
      <c r="C625" s="96" t="s">
        <v>211</v>
      </c>
      <c r="D625" s="96"/>
      <c r="E625" s="97"/>
    </row>
    <row r="626" spans="2:5" x14ac:dyDescent="0.2">
      <c r="B626" s="63" t="s">
        <v>163</v>
      </c>
      <c r="C626" s="61"/>
      <c r="D626" s="61"/>
      <c r="E626" s="62"/>
    </row>
    <row r="627" spans="2:5" ht="39" customHeight="1" x14ac:dyDescent="0.2">
      <c r="B627" s="64"/>
      <c r="C627" s="98" t="s">
        <v>164</v>
      </c>
      <c r="D627" s="98"/>
      <c r="E627" s="99"/>
    </row>
    <row r="628" spans="2:5" ht="90" customHeight="1" x14ac:dyDescent="0.2">
      <c r="B628" s="64"/>
      <c r="C628" s="100" t="s">
        <v>165</v>
      </c>
      <c r="D628" s="100"/>
      <c r="E628" s="101"/>
    </row>
    <row r="629" spans="2:5" x14ac:dyDescent="0.2">
      <c r="B629" s="63" t="s">
        <v>145</v>
      </c>
      <c r="C629" s="61"/>
      <c r="D629" s="61"/>
      <c r="E629" s="62"/>
    </row>
    <row r="630" spans="2:5" x14ac:dyDescent="0.2">
      <c r="B630" s="64"/>
      <c r="C630" s="99" t="s">
        <v>186</v>
      </c>
      <c r="D630" s="99"/>
      <c r="E630" s="99"/>
    </row>
    <row r="631" spans="2:5" x14ac:dyDescent="0.2">
      <c r="B631" s="63" t="s">
        <v>146</v>
      </c>
      <c r="C631" s="65"/>
      <c r="D631" s="65"/>
      <c r="E631" s="66"/>
    </row>
    <row r="632" spans="2:5" x14ac:dyDescent="0.2">
      <c r="B632" s="64"/>
      <c r="C632" s="99" t="s">
        <v>167</v>
      </c>
      <c r="D632" s="99"/>
      <c r="E632" s="99"/>
    </row>
    <row r="633" spans="2:5" x14ac:dyDescent="0.2">
      <c r="B633" s="63" t="s">
        <v>147</v>
      </c>
      <c r="C633" s="61"/>
      <c r="D633" s="61"/>
      <c r="E633" s="62"/>
    </row>
    <row r="634" spans="2:5" ht="13.5" thickBot="1" x14ac:dyDescent="0.25">
      <c r="B634" s="82"/>
      <c r="C634" s="95"/>
      <c r="D634" s="95"/>
      <c r="E634" s="95"/>
    </row>
    <row r="636" spans="2:5" ht="13.5" thickBot="1" x14ac:dyDescent="0.25"/>
    <row r="637" spans="2:5" x14ac:dyDescent="0.2">
      <c r="B637" s="57" t="s">
        <v>218</v>
      </c>
      <c r="C637" s="58"/>
      <c r="D637" s="58"/>
      <c r="E637" s="59"/>
    </row>
    <row r="638" spans="2:5" x14ac:dyDescent="0.2">
      <c r="B638" s="60"/>
      <c r="C638" s="61"/>
      <c r="D638" s="61"/>
      <c r="E638" s="62"/>
    </row>
    <row r="639" spans="2:5" x14ac:dyDescent="0.2">
      <c r="B639" s="63" t="s">
        <v>144</v>
      </c>
      <c r="C639" s="61"/>
      <c r="D639" s="61"/>
      <c r="E639" s="62"/>
    </row>
    <row r="640" spans="2:5" ht="32.25" customHeight="1" x14ac:dyDescent="0.2">
      <c r="B640" s="63"/>
      <c r="C640" s="96" t="s">
        <v>213</v>
      </c>
      <c r="D640" s="96"/>
      <c r="E640" s="97"/>
    </row>
    <row r="641" spans="2:5" x14ac:dyDescent="0.2">
      <c r="B641" s="63" t="s">
        <v>163</v>
      </c>
      <c r="C641" s="61"/>
      <c r="D641" s="61"/>
      <c r="E641" s="62"/>
    </row>
    <row r="642" spans="2:5" ht="42.75" customHeight="1" x14ac:dyDescent="0.2">
      <c r="B642" s="64"/>
      <c r="C642" s="98" t="s">
        <v>164</v>
      </c>
      <c r="D642" s="98"/>
      <c r="E642" s="99"/>
    </row>
    <row r="643" spans="2:5" ht="89.25" customHeight="1" x14ac:dyDescent="0.2">
      <c r="B643" s="64"/>
      <c r="C643" s="100" t="s">
        <v>165</v>
      </c>
      <c r="D643" s="100"/>
      <c r="E643" s="101"/>
    </row>
    <row r="644" spans="2:5" x14ac:dyDescent="0.2">
      <c r="B644" s="63" t="s">
        <v>145</v>
      </c>
      <c r="C644" s="61"/>
      <c r="D644" s="61"/>
      <c r="E644" s="62"/>
    </row>
    <row r="645" spans="2:5" ht="24.75" customHeight="1" x14ac:dyDescent="0.2">
      <c r="B645" s="64"/>
      <c r="C645" s="99" t="s">
        <v>186</v>
      </c>
      <c r="D645" s="99"/>
      <c r="E645" s="99"/>
    </row>
    <row r="646" spans="2:5" x14ac:dyDescent="0.2">
      <c r="B646" s="63" t="s">
        <v>146</v>
      </c>
      <c r="C646" s="65"/>
      <c r="D646" s="65"/>
      <c r="E646" s="66"/>
    </row>
    <row r="647" spans="2:5" ht="21.75" customHeight="1" x14ac:dyDescent="0.2">
      <c r="B647" s="64"/>
      <c r="C647" s="99" t="s">
        <v>167</v>
      </c>
      <c r="D647" s="99"/>
      <c r="E647" s="99"/>
    </row>
    <row r="648" spans="2:5" x14ac:dyDescent="0.2">
      <c r="B648" s="63" t="s">
        <v>147</v>
      </c>
      <c r="C648" s="61"/>
      <c r="D648" s="61"/>
      <c r="E648" s="62"/>
    </row>
    <row r="649" spans="2:5" ht="13.5" thickBot="1" x14ac:dyDescent="0.25">
      <c r="B649" s="82"/>
      <c r="C649" s="95"/>
      <c r="D649" s="95"/>
      <c r="E649" s="95"/>
    </row>
    <row r="651" spans="2:5" ht="13.5" thickBot="1" x14ac:dyDescent="0.25"/>
    <row r="652" spans="2:5" x14ac:dyDescent="0.2">
      <c r="B652" s="57" t="s">
        <v>219</v>
      </c>
      <c r="C652" s="58"/>
      <c r="D652" s="58"/>
      <c r="E652" s="59"/>
    </row>
    <row r="653" spans="2:5" x14ac:dyDescent="0.2">
      <c r="B653" s="60"/>
      <c r="C653" s="61"/>
      <c r="D653" s="61"/>
      <c r="E653" s="62"/>
    </row>
    <row r="654" spans="2:5" x14ac:dyDescent="0.2">
      <c r="B654" s="63" t="s">
        <v>144</v>
      </c>
      <c r="C654" s="61"/>
      <c r="D654" s="61"/>
      <c r="E654" s="62"/>
    </row>
    <row r="655" spans="2:5" ht="22.5" customHeight="1" x14ac:dyDescent="0.2">
      <c r="B655" s="63"/>
      <c r="C655" s="96" t="s">
        <v>215</v>
      </c>
      <c r="D655" s="96"/>
      <c r="E655" s="97"/>
    </row>
    <row r="656" spans="2:5" x14ac:dyDescent="0.2">
      <c r="B656" s="63" t="s">
        <v>163</v>
      </c>
      <c r="C656" s="61"/>
      <c r="D656" s="61"/>
      <c r="E656" s="62"/>
    </row>
    <row r="657" spans="2:5" ht="38.25" customHeight="1" x14ac:dyDescent="0.2">
      <c r="B657" s="64"/>
      <c r="C657" s="98" t="s">
        <v>164</v>
      </c>
      <c r="D657" s="98"/>
      <c r="E657" s="99"/>
    </row>
    <row r="658" spans="2:5" ht="82.5" customHeight="1" x14ac:dyDescent="0.2">
      <c r="B658" s="64"/>
      <c r="C658" s="100" t="s">
        <v>165</v>
      </c>
      <c r="D658" s="100"/>
      <c r="E658" s="101"/>
    </row>
    <row r="659" spans="2:5" x14ac:dyDescent="0.2">
      <c r="B659" s="63" t="s">
        <v>145</v>
      </c>
      <c r="C659" s="61"/>
      <c r="D659" s="61"/>
      <c r="E659" s="62"/>
    </row>
    <row r="660" spans="2:5" x14ac:dyDescent="0.2">
      <c r="B660" s="64"/>
      <c r="C660" s="99" t="s">
        <v>186</v>
      </c>
      <c r="D660" s="99"/>
      <c r="E660" s="99"/>
    </row>
    <row r="661" spans="2:5" x14ac:dyDescent="0.2">
      <c r="B661" s="63" t="s">
        <v>146</v>
      </c>
      <c r="C661" s="65"/>
      <c r="D661" s="65"/>
      <c r="E661" s="66"/>
    </row>
    <row r="662" spans="2:5" x14ac:dyDescent="0.2">
      <c r="B662" s="64"/>
      <c r="C662" s="99" t="s">
        <v>167</v>
      </c>
      <c r="D662" s="99"/>
      <c r="E662" s="99"/>
    </row>
    <row r="663" spans="2:5" x14ac:dyDescent="0.2">
      <c r="B663" s="63" t="s">
        <v>147</v>
      </c>
      <c r="C663" s="61"/>
      <c r="D663" s="61"/>
      <c r="E663" s="62"/>
    </row>
    <row r="664" spans="2:5" ht="13.5" thickBot="1" x14ac:dyDescent="0.25">
      <c r="B664" s="82"/>
      <c r="C664" s="95"/>
      <c r="D664" s="95"/>
      <c r="E664" s="95"/>
    </row>
    <row r="666" spans="2:5" ht="13.5" thickBot="1" x14ac:dyDescent="0.25"/>
    <row r="667" spans="2:5" x14ac:dyDescent="0.2">
      <c r="B667" s="57" t="s">
        <v>220</v>
      </c>
      <c r="C667" s="58"/>
      <c r="D667" s="58"/>
      <c r="E667" s="59"/>
    </row>
    <row r="668" spans="2:5" x14ac:dyDescent="0.2">
      <c r="B668" s="60"/>
      <c r="C668" s="61"/>
      <c r="D668" s="61"/>
      <c r="E668" s="62"/>
    </row>
    <row r="669" spans="2:5" x14ac:dyDescent="0.2">
      <c r="B669" s="63" t="s">
        <v>144</v>
      </c>
      <c r="C669" s="61"/>
      <c r="D669" s="61"/>
      <c r="E669" s="62"/>
    </row>
    <row r="670" spans="2:5" ht="22.5" customHeight="1" x14ac:dyDescent="0.2">
      <c r="B670" s="63"/>
      <c r="C670" s="96" t="s">
        <v>217</v>
      </c>
      <c r="D670" s="96"/>
      <c r="E670" s="97"/>
    </row>
    <row r="671" spans="2:5" x14ac:dyDescent="0.2">
      <c r="B671" s="63" t="s">
        <v>163</v>
      </c>
      <c r="C671" s="61"/>
      <c r="D671" s="61"/>
      <c r="E671" s="62"/>
    </row>
    <row r="672" spans="2:5" ht="47.25" customHeight="1" x14ac:dyDescent="0.2">
      <c r="B672" s="64"/>
      <c r="C672" s="98" t="s">
        <v>164</v>
      </c>
      <c r="D672" s="98"/>
      <c r="E672" s="99"/>
    </row>
    <row r="673" spans="2:5" ht="92.25" customHeight="1" x14ac:dyDescent="0.2">
      <c r="B673" s="64"/>
      <c r="C673" s="100" t="s">
        <v>165</v>
      </c>
      <c r="D673" s="100"/>
      <c r="E673" s="101"/>
    </row>
    <row r="674" spans="2:5" x14ac:dyDescent="0.2">
      <c r="B674" s="63" t="s">
        <v>145</v>
      </c>
      <c r="C674" s="61"/>
      <c r="D674" s="61"/>
      <c r="E674" s="62"/>
    </row>
    <row r="675" spans="2:5" ht="18" customHeight="1" x14ac:dyDescent="0.2">
      <c r="B675" s="64"/>
      <c r="C675" s="99" t="s">
        <v>186</v>
      </c>
      <c r="D675" s="99"/>
      <c r="E675" s="99"/>
    </row>
    <row r="676" spans="2:5" x14ac:dyDescent="0.2">
      <c r="B676" s="63" t="s">
        <v>146</v>
      </c>
      <c r="C676" s="65"/>
      <c r="D676" s="65"/>
      <c r="E676" s="66"/>
    </row>
    <row r="677" spans="2:5" x14ac:dyDescent="0.2">
      <c r="B677" s="64"/>
      <c r="C677" s="99" t="s">
        <v>167</v>
      </c>
      <c r="D677" s="99"/>
      <c r="E677" s="99"/>
    </row>
    <row r="678" spans="2:5" x14ac:dyDescent="0.2">
      <c r="B678" s="63" t="s">
        <v>147</v>
      </c>
      <c r="C678" s="61"/>
      <c r="D678" s="61"/>
      <c r="E678" s="62"/>
    </row>
    <row r="679" spans="2:5" ht="13.5" thickBot="1" x14ac:dyDescent="0.25">
      <c r="B679" s="82"/>
      <c r="C679" s="95"/>
      <c r="D679" s="95"/>
      <c r="E679" s="95"/>
    </row>
    <row r="681" spans="2:5" ht="13.5" thickBot="1" x14ac:dyDescent="0.25"/>
    <row r="682" spans="2:5" x14ac:dyDescent="0.2">
      <c r="B682" s="57" t="s">
        <v>222</v>
      </c>
      <c r="C682" s="58"/>
      <c r="D682" s="58"/>
      <c r="E682" s="59"/>
    </row>
    <row r="683" spans="2:5" x14ac:dyDescent="0.2">
      <c r="B683" s="60"/>
      <c r="C683" s="61"/>
      <c r="D683" s="61"/>
      <c r="E683" s="62"/>
    </row>
    <row r="684" spans="2:5" x14ac:dyDescent="0.2">
      <c r="B684" s="63" t="s">
        <v>144</v>
      </c>
      <c r="C684" s="61"/>
      <c r="D684" s="61"/>
      <c r="E684" s="62"/>
    </row>
    <row r="685" spans="2:5" ht="22.5" customHeight="1" x14ac:dyDescent="0.2">
      <c r="B685" s="63"/>
      <c r="C685" s="96" t="s">
        <v>231</v>
      </c>
      <c r="D685" s="96"/>
      <c r="E685" s="97"/>
    </row>
    <row r="686" spans="2:5" x14ac:dyDescent="0.2">
      <c r="B686" s="63" t="s">
        <v>163</v>
      </c>
      <c r="C686" s="61"/>
      <c r="D686" s="61"/>
      <c r="E686" s="62"/>
    </row>
    <row r="687" spans="2:5" ht="36" customHeight="1" x14ac:dyDescent="0.2">
      <c r="B687" s="64"/>
      <c r="C687" s="98" t="s">
        <v>164</v>
      </c>
      <c r="D687" s="98"/>
      <c r="E687" s="99"/>
    </row>
    <row r="688" spans="2:5" ht="99.75" customHeight="1" x14ac:dyDescent="0.2">
      <c r="B688" s="64"/>
      <c r="C688" s="100" t="s">
        <v>165</v>
      </c>
      <c r="D688" s="100"/>
      <c r="E688" s="101"/>
    </row>
    <row r="689" spans="2:5" x14ac:dyDescent="0.2">
      <c r="B689" s="63" t="s">
        <v>145</v>
      </c>
      <c r="C689" s="61"/>
      <c r="D689" s="61"/>
      <c r="E689" s="62"/>
    </row>
    <row r="690" spans="2:5" ht="21" customHeight="1" x14ac:dyDescent="0.2">
      <c r="B690" s="64"/>
      <c r="C690" s="99" t="s">
        <v>186</v>
      </c>
      <c r="D690" s="99"/>
      <c r="E690" s="99"/>
    </row>
    <row r="691" spans="2:5" x14ac:dyDescent="0.2">
      <c r="B691" s="63" t="s">
        <v>146</v>
      </c>
      <c r="C691" s="65"/>
      <c r="D691" s="65"/>
      <c r="E691" s="66"/>
    </row>
    <row r="692" spans="2:5" x14ac:dyDescent="0.2">
      <c r="B692" s="64"/>
      <c r="C692" s="99" t="s">
        <v>167</v>
      </c>
      <c r="D692" s="99"/>
      <c r="E692" s="99"/>
    </row>
    <row r="693" spans="2:5" x14ac:dyDescent="0.2">
      <c r="B693" s="63" t="s">
        <v>147</v>
      </c>
      <c r="C693" s="61"/>
      <c r="D693" s="61"/>
      <c r="E693" s="62"/>
    </row>
    <row r="694" spans="2:5" ht="13.5" thickBot="1" x14ac:dyDescent="0.25">
      <c r="B694" s="82"/>
      <c r="C694" s="95"/>
      <c r="D694" s="95"/>
      <c r="E694" s="95"/>
    </row>
    <row r="696" spans="2:5" ht="13.5" thickBot="1" x14ac:dyDescent="0.25"/>
    <row r="697" spans="2:5" x14ac:dyDescent="0.2">
      <c r="B697" s="57" t="s">
        <v>223</v>
      </c>
      <c r="C697" s="58"/>
      <c r="D697" s="58"/>
      <c r="E697" s="59"/>
    </row>
    <row r="698" spans="2:5" x14ac:dyDescent="0.2">
      <c r="B698" s="60"/>
      <c r="C698" s="61"/>
      <c r="D698" s="61"/>
      <c r="E698" s="62"/>
    </row>
    <row r="699" spans="2:5" x14ac:dyDescent="0.2">
      <c r="B699" s="63" t="s">
        <v>144</v>
      </c>
      <c r="C699" s="61"/>
      <c r="D699" s="61"/>
      <c r="E699" s="62"/>
    </row>
    <row r="700" spans="2:5" ht="24" customHeight="1" x14ac:dyDescent="0.2">
      <c r="B700" s="63"/>
      <c r="C700" s="96" t="s">
        <v>232</v>
      </c>
      <c r="D700" s="96"/>
      <c r="E700" s="97"/>
    </row>
    <row r="701" spans="2:5" x14ac:dyDescent="0.2">
      <c r="B701" s="63" t="s">
        <v>163</v>
      </c>
      <c r="C701" s="61"/>
      <c r="D701" s="61"/>
      <c r="E701" s="62"/>
    </row>
    <row r="702" spans="2:5" ht="29.25" customHeight="1" x14ac:dyDescent="0.2">
      <c r="B702" s="64"/>
      <c r="C702" s="98" t="s">
        <v>164</v>
      </c>
      <c r="D702" s="98"/>
      <c r="E702" s="99"/>
    </row>
    <row r="703" spans="2:5" ht="94.5" customHeight="1" x14ac:dyDescent="0.2">
      <c r="B703" s="64"/>
      <c r="C703" s="100" t="s">
        <v>165</v>
      </c>
      <c r="D703" s="100"/>
      <c r="E703" s="101"/>
    </row>
    <row r="704" spans="2:5" x14ac:dyDescent="0.2">
      <c r="B704" s="63" t="s">
        <v>145</v>
      </c>
      <c r="C704" s="61"/>
      <c r="D704" s="61"/>
      <c r="E704" s="62"/>
    </row>
    <row r="705" spans="2:5" x14ac:dyDescent="0.2">
      <c r="B705" s="64"/>
      <c r="C705" s="99" t="s">
        <v>186</v>
      </c>
      <c r="D705" s="99"/>
      <c r="E705" s="99"/>
    </row>
    <row r="706" spans="2:5" x14ac:dyDescent="0.2">
      <c r="B706" s="63" t="s">
        <v>146</v>
      </c>
      <c r="C706" s="65"/>
      <c r="D706" s="65"/>
      <c r="E706" s="66"/>
    </row>
    <row r="707" spans="2:5" x14ac:dyDescent="0.2">
      <c r="B707" s="64"/>
      <c r="C707" s="99" t="s">
        <v>167</v>
      </c>
      <c r="D707" s="99"/>
      <c r="E707" s="99"/>
    </row>
    <row r="708" spans="2:5" x14ac:dyDescent="0.2">
      <c r="B708" s="63" t="s">
        <v>147</v>
      </c>
      <c r="C708" s="61"/>
      <c r="D708" s="61"/>
      <c r="E708" s="62"/>
    </row>
    <row r="709" spans="2:5" ht="13.5" thickBot="1" x14ac:dyDescent="0.25">
      <c r="B709" s="82"/>
      <c r="C709" s="95"/>
      <c r="D709" s="95"/>
      <c r="E709" s="95"/>
    </row>
    <row r="711" spans="2:5" ht="13.5" thickBot="1" x14ac:dyDescent="0.25"/>
    <row r="712" spans="2:5" x14ac:dyDescent="0.2">
      <c r="B712" s="57" t="s">
        <v>225</v>
      </c>
      <c r="C712" s="58"/>
      <c r="D712" s="58"/>
      <c r="E712" s="59"/>
    </row>
    <row r="713" spans="2:5" x14ac:dyDescent="0.2">
      <c r="B713" s="60"/>
      <c r="C713" s="61"/>
      <c r="D713" s="61"/>
      <c r="E713" s="62"/>
    </row>
    <row r="714" spans="2:5" x14ac:dyDescent="0.2">
      <c r="B714" s="63" t="s">
        <v>144</v>
      </c>
      <c r="C714" s="61"/>
      <c r="D714" s="61"/>
      <c r="E714" s="62"/>
    </row>
    <row r="715" spans="2:5" ht="44.25" customHeight="1" x14ac:dyDescent="0.2">
      <c r="B715" s="63"/>
      <c r="C715" s="96" t="s">
        <v>221</v>
      </c>
      <c r="D715" s="96"/>
      <c r="E715" s="97"/>
    </row>
    <row r="716" spans="2:5" x14ac:dyDescent="0.2">
      <c r="B716" s="63" t="s">
        <v>163</v>
      </c>
      <c r="C716" s="61"/>
      <c r="D716" s="61"/>
      <c r="E716" s="62"/>
    </row>
    <row r="717" spans="2:5" ht="38.25" customHeight="1" x14ac:dyDescent="0.2">
      <c r="B717" s="64"/>
      <c r="C717" s="98" t="s">
        <v>164</v>
      </c>
      <c r="D717" s="98"/>
      <c r="E717" s="99"/>
    </row>
    <row r="718" spans="2:5" ht="84.75" customHeight="1" x14ac:dyDescent="0.2">
      <c r="B718" s="64"/>
      <c r="C718" s="100" t="s">
        <v>165</v>
      </c>
      <c r="D718" s="100"/>
      <c r="E718" s="101"/>
    </row>
    <row r="719" spans="2:5" x14ac:dyDescent="0.2">
      <c r="B719" s="63" t="s">
        <v>145</v>
      </c>
      <c r="C719" s="61"/>
      <c r="D719" s="61"/>
      <c r="E719" s="62"/>
    </row>
    <row r="720" spans="2:5" ht="21.75" customHeight="1" x14ac:dyDescent="0.2">
      <c r="B720" s="64"/>
      <c r="C720" s="99" t="s">
        <v>186</v>
      </c>
      <c r="D720" s="99"/>
      <c r="E720" s="99"/>
    </row>
    <row r="721" spans="2:5" x14ac:dyDescent="0.2">
      <c r="B721" s="63" t="s">
        <v>146</v>
      </c>
      <c r="C721" s="65"/>
      <c r="D721" s="65"/>
      <c r="E721" s="66"/>
    </row>
    <row r="722" spans="2:5" x14ac:dyDescent="0.2">
      <c r="B722" s="64"/>
      <c r="C722" s="99" t="s">
        <v>167</v>
      </c>
      <c r="D722" s="99"/>
      <c r="E722" s="99"/>
    </row>
    <row r="723" spans="2:5" x14ac:dyDescent="0.2">
      <c r="B723" s="63" t="s">
        <v>147</v>
      </c>
      <c r="C723" s="61"/>
      <c r="D723" s="61"/>
      <c r="E723" s="62"/>
    </row>
    <row r="724" spans="2:5" ht="13.5" thickBot="1" x14ac:dyDescent="0.25">
      <c r="B724" s="82"/>
      <c r="C724" s="95"/>
      <c r="D724" s="95"/>
      <c r="E724" s="95"/>
    </row>
    <row r="726" spans="2:5" ht="13.5" thickBot="1" x14ac:dyDescent="0.25"/>
    <row r="727" spans="2:5" x14ac:dyDescent="0.2">
      <c r="B727" s="57" t="s">
        <v>264</v>
      </c>
      <c r="C727" s="58"/>
      <c r="D727" s="58"/>
      <c r="E727" s="59"/>
    </row>
    <row r="728" spans="2:5" x14ac:dyDescent="0.2">
      <c r="B728" s="60"/>
      <c r="C728" s="61"/>
      <c r="D728" s="61"/>
      <c r="E728" s="62"/>
    </row>
    <row r="729" spans="2:5" x14ac:dyDescent="0.2">
      <c r="B729" s="63" t="s">
        <v>144</v>
      </c>
      <c r="C729" s="61"/>
      <c r="D729" s="61"/>
      <c r="E729" s="62"/>
    </row>
    <row r="730" spans="2:5" ht="30.75" customHeight="1" x14ac:dyDescent="0.2">
      <c r="B730" s="63"/>
      <c r="C730" s="96" t="s">
        <v>269</v>
      </c>
      <c r="D730" s="96"/>
      <c r="E730" s="97"/>
    </row>
    <row r="731" spans="2:5" x14ac:dyDescent="0.2">
      <c r="B731" s="63" t="s">
        <v>163</v>
      </c>
      <c r="C731" s="61"/>
      <c r="D731" s="61"/>
      <c r="E731" s="62"/>
    </row>
    <row r="732" spans="2:5" ht="37.5" customHeight="1" x14ac:dyDescent="0.2">
      <c r="B732" s="64"/>
      <c r="C732" s="99" t="s">
        <v>268</v>
      </c>
      <c r="D732" s="99"/>
      <c r="E732" s="99"/>
    </row>
    <row r="733" spans="2:5" ht="84" customHeight="1" x14ac:dyDescent="0.2">
      <c r="B733" s="64"/>
      <c r="C733" s="100" t="s">
        <v>165</v>
      </c>
      <c r="D733" s="100"/>
      <c r="E733" s="101"/>
    </row>
    <row r="734" spans="2:5" x14ac:dyDescent="0.2">
      <c r="B734" s="63" t="s">
        <v>145</v>
      </c>
      <c r="C734" s="61"/>
      <c r="D734" s="61"/>
      <c r="E734" s="62"/>
    </row>
    <row r="735" spans="2:5" ht="24" customHeight="1" x14ac:dyDescent="0.2">
      <c r="B735" s="64"/>
      <c r="C735" s="99" t="s">
        <v>186</v>
      </c>
      <c r="D735" s="99"/>
      <c r="E735" s="99"/>
    </row>
    <row r="736" spans="2:5" x14ac:dyDescent="0.2">
      <c r="B736" s="63" t="s">
        <v>146</v>
      </c>
      <c r="C736" s="65"/>
      <c r="D736" s="65"/>
      <c r="E736" s="66"/>
    </row>
    <row r="737" spans="2:5" ht="17.25" customHeight="1" x14ac:dyDescent="0.2">
      <c r="B737" s="64"/>
      <c r="C737" s="99" t="s">
        <v>167</v>
      </c>
      <c r="D737" s="99"/>
      <c r="E737" s="99"/>
    </row>
    <row r="738" spans="2:5" x14ac:dyDescent="0.2">
      <c r="B738" s="63" t="s">
        <v>147</v>
      </c>
      <c r="C738" s="61"/>
      <c r="D738" s="61"/>
      <c r="E738" s="62"/>
    </row>
    <row r="739" spans="2:5" ht="13.5" thickBot="1" x14ac:dyDescent="0.25">
      <c r="B739" s="82"/>
      <c r="C739" s="95"/>
      <c r="D739" s="95"/>
      <c r="E739" s="95"/>
    </row>
    <row r="741" spans="2:5" ht="13.5" thickBot="1" x14ac:dyDescent="0.25"/>
    <row r="742" spans="2:5" x14ac:dyDescent="0.2">
      <c r="B742" s="57" t="s">
        <v>265</v>
      </c>
      <c r="C742" s="58"/>
      <c r="D742" s="58"/>
      <c r="E742" s="59"/>
    </row>
    <row r="743" spans="2:5" x14ac:dyDescent="0.2">
      <c r="B743" s="60"/>
      <c r="C743" s="61"/>
      <c r="D743" s="61"/>
      <c r="E743" s="62"/>
    </row>
    <row r="744" spans="2:5" x14ac:dyDescent="0.2">
      <c r="B744" s="63" t="s">
        <v>144</v>
      </c>
      <c r="C744" s="61"/>
      <c r="D744" s="61"/>
      <c r="E744" s="62"/>
    </row>
    <row r="745" spans="2:5" ht="29.25" customHeight="1" x14ac:dyDescent="0.2">
      <c r="B745" s="63"/>
      <c r="C745" s="102" t="s">
        <v>224</v>
      </c>
      <c r="D745" s="102"/>
      <c r="E745" s="103"/>
    </row>
    <row r="746" spans="2:5" x14ac:dyDescent="0.2">
      <c r="B746" s="63" t="s">
        <v>163</v>
      </c>
      <c r="C746" s="61"/>
      <c r="D746" s="61"/>
      <c r="E746" s="62"/>
    </row>
    <row r="747" spans="2:5" ht="33" customHeight="1" x14ac:dyDescent="0.2">
      <c r="B747" s="64"/>
      <c r="C747" s="99" t="s">
        <v>268</v>
      </c>
      <c r="D747" s="99"/>
      <c r="E747" s="99"/>
    </row>
    <row r="748" spans="2:5" ht="89.25" customHeight="1" x14ac:dyDescent="0.2">
      <c r="B748" s="64"/>
      <c r="C748" s="100" t="s">
        <v>165</v>
      </c>
      <c r="D748" s="100"/>
      <c r="E748" s="101"/>
    </row>
    <row r="749" spans="2:5" x14ac:dyDescent="0.2">
      <c r="B749" s="63" t="s">
        <v>145</v>
      </c>
      <c r="C749" s="61"/>
      <c r="D749" s="61"/>
      <c r="E749" s="62"/>
    </row>
    <row r="750" spans="2:5" ht="19.5" customHeight="1" x14ac:dyDescent="0.2">
      <c r="B750" s="64"/>
      <c r="C750" s="99" t="s">
        <v>186</v>
      </c>
      <c r="D750" s="99"/>
      <c r="E750" s="99"/>
    </row>
    <row r="751" spans="2:5" x14ac:dyDescent="0.2">
      <c r="B751" s="63" t="s">
        <v>146</v>
      </c>
      <c r="C751" s="65"/>
      <c r="D751" s="65"/>
      <c r="E751" s="66"/>
    </row>
    <row r="752" spans="2:5" ht="23.25" customHeight="1" x14ac:dyDescent="0.2">
      <c r="B752" s="64"/>
      <c r="C752" s="99" t="s">
        <v>167</v>
      </c>
      <c r="D752" s="99"/>
      <c r="E752" s="99"/>
    </row>
    <row r="753" spans="2:5" x14ac:dyDescent="0.2">
      <c r="B753" s="63" t="s">
        <v>147</v>
      </c>
      <c r="C753" s="61"/>
      <c r="D753" s="61"/>
      <c r="E753" s="62"/>
    </row>
    <row r="754" spans="2:5" ht="13.5" thickBot="1" x14ac:dyDescent="0.25">
      <c r="B754" s="82"/>
      <c r="C754" s="95"/>
      <c r="D754" s="95"/>
      <c r="E754" s="95"/>
    </row>
    <row r="756" spans="2:5" ht="13.5" thickBot="1" x14ac:dyDescent="0.25"/>
    <row r="757" spans="2:5" x14ac:dyDescent="0.2">
      <c r="B757" s="57" t="s">
        <v>266</v>
      </c>
      <c r="C757" s="58"/>
      <c r="D757" s="58"/>
      <c r="E757" s="59"/>
    </row>
    <row r="758" spans="2:5" x14ac:dyDescent="0.2">
      <c r="B758" s="60"/>
      <c r="C758" s="61"/>
      <c r="D758" s="61"/>
      <c r="E758" s="62"/>
    </row>
    <row r="759" spans="2:5" x14ac:dyDescent="0.2">
      <c r="B759" s="63" t="s">
        <v>144</v>
      </c>
      <c r="C759" s="61"/>
      <c r="D759" s="61"/>
      <c r="E759" s="62"/>
    </row>
    <row r="760" spans="2:5" ht="33.75" customHeight="1" x14ac:dyDescent="0.2">
      <c r="B760" s="63"/>
      <c r="C760" s="96" t="s">
        <v>226</v>
      </c>
      <c r="D760" s="96"/>
      <c r="E760" s="97"/>
    </row>
    <row r="761" spans="2:5" x14ac:dyDescent="0.2">
      <c r="B761" s="63" t="s">
        <v>163</v>
      </c>
      <c r="C761" s="61"/>
      <c r="D761" s="61"/>
      <c r="E761" s="62"/>
    </row>
    <row r="762" spans="2:5" ht="38.25" customHeight="1" x14ac:dyDescent="0.2">
      <c r="B762" s="64"/>
      <c r="C762" s="99" t="s">
        <v>268</v>
      </c>
      <c r="D762" s="99"/>
      <c r="E762" s="99"/>
    </row>
    <row r="763" spans="2:5" ht="88.5" customHeight="1" x14ac:dyDescent="0.2">
      <c r="B763" s="64"/>
      <c r="C763" s="100" t="s">
        <v>165</v>
      </c>
      <c r="D763" s="100"/>
      <c r="E763" s="101"/>
    </row>
    <row r="764" spans="2:5" x14ac:dyDescent="0.2">
      <c r="B764" s="63" t="s">
        <v>145</v>
      </c>
      <c r="C764" s="61"/>
      <c r="D764" s="61"/>
      <c r="E764" s="62"/>
    </row>
    <row r="765" spans="2:5" ht="26.25" customHeight="1" x14ac:dyDescent="0.2">
      <c r="B765" s="64"/>
      <c r="C765" s="99" t="s">
        <v>186</v>
      </c>
      <c r="D765" s="99"/>
      <c r="E765" s="99"/>
    </row>
    <row r="766" spans="2:5" x14ac:dyDescent="0.2">
      <c r="B766" s="63" t="s">
        <v>146</v>
      </c>
      <c r="C766" s="65"/>
      <c r="D766" s="65"/>
      <c r="E766" s="66"/>
    </row>
    <row r="767" spans="2:5" ht="18" customHeight="1" x14ac:dyDescent="0.2">
      <c r="B767" s="64"/>
      <c r="C767" s="99" t="s">
        <v>167</v>
      </c>
      <c r="D767" s="99"/>
      <c r="E767" s="99"/>
    </row>
    <row r="768" spans="2:5" x14ac:dyDescent="0.2">
      <c r="B768" s="63" t="s">
        <v>147</v>
      </c>
      <c r="C768" s="61"/>
      <c r="D768" s="61"/>
      <c r="E768" s="62"/>
    </row>
    <row r="769" spans="2:5" ht="13.5" thickBot="1" x14ac:dyDescent="0.25">
      <c r="B769" s="82"/>
      <c r="C769" s="95"/>
      <c r="D769" s="95"/>
      <c r="E769" s="95"/>
    </row>
  </sheetData>
  <mergeCells count="291">
    <mergeCell ref="B58:E58"/>
    <mergeCell ref="B59:E59"/>
    <mergeCell ref="A6:B6"/>
    <mergeCell ref="A7:B7"/>
    <mergeCell ref="B2:H2"/>
    <mergeCell ref="A4:B4"/>
    <mergeCell ref="C4:E4"/>
    <mergeCell ref="A5:B5"/>
    <mergeCell ref="C5:E5"/>
    <mergeCell ref="C85:E85"/>
    <mergeCell ref="C87:E87"/>
    <mergeCell ref="C89:E89"/>
    <mergeCell ref="C84:E84"/>
    <mergeCell ref="C91:E91"/>
    <mergeCell ref="C82:E82"/>
    <mergeCell ref="C74:E74"/>
    <mergeCell ref="C65:E65"/>
    <mergeCell ref="C67:E67"/>
    <mergeCell ref="C68:E68"/>
    <mergeCell ref="C70:E70"/>
    <mergeCell ref="C72:E72"/>
    <mergeCell ref="C98:E98"/>
    <mergeCell ref="C101:E101"/>
    <mergeCell ref="C159:E159"/>
    <mergeCell ref="C161:E161"/>
    <mergeCell ref="C144:E144"/>
    <mergeCell ref="C146:E146"/>
    <mergeCell ref="C153:E153"/>
    <mergeCell ref="C129:E129"/>
    <mergeCell ref="C131:E131"/>
    <mergeCell ref="C132:E132"/>
    <mergeCell ref="C134:E134"/>
    <mergeCell ref="C136:E136"/>
    <mergeCell ref="C138:E138"/>
    <mergeCell ref="C147:E147"/>
    <mergeCell ref="C149:E149"/>
    <mergeCell ref="C151:E151"/>
    <mergeCell ref="C100:E100"/>
    <mergeCell ref="C107:E107"/>
    <mergeCell ref="C115:E115"/>
    <mergeCell ref="C122:E122"/>
    <mergeCell ref="C116:E116"/>
    <mergeCell ref="C118:E118"/>
    <mergeCell ref="C120:E120"/>
    <mergeCell ref="C113:E113"/>
    <mergeCell ref="C103:E103"/>
    <mergeCell ref="C105:E105"/>
    <mergeCell ref="C179:E179"/>
    <mergeCell ref="C181:E181"/>
    <mergeCell ref="C183:E183"/>
    <mergeCell ref="C192:E192"/>
    <mergeCell ref="C194:E194"/>
    <mergeCell ref="C162:E162"/>
    <mergeCell ref="C164:E164"/>
    <mergeCell ref="C166:E166"/>
    <mergeCell ref="C168:E168"/>
    <mergeCell ref="C177:E177"/>
    <mergeCell ref="C189:E189"/>
    <mergeCell ref="C191:E191"/>
    <mergeCell ref="C176:E176"/>
    <mergeCell ref="C174:E174"/>
    <mergeCell ref="C209:E209"/>
    <mergeCell ref="C211:E211"/>
    <mergeCell ref="C213:E213"/>
    <mergeCell ref="C219:E219"/>
    <mergeCell ref="C221:E221"/>
    <mergeCell ref="C196:E196"/>
    <mergeCell ref="C198:E198"/>
    <mergeCell ref="C204:E204"/>
    <mergeCell ref="C206:E206"/>
    <mergeCell ref="C207:E207"/>
    <mergeCell ref="C236:E236"/>
    <mergeCell ref="C237:E237"/>
    <mergeCell ref="C239:E239"/>
    <mergeCell ref="C241:E241"/>
    <mergeCell ref="C243:E243"/>
    <mergeCell ref="C222:E222"/>
    <mergeCell ref="C224:E224"/>
    <mergeCell ref="C226:E226"/>
    <mergeCell ref="C228:E228"/>
    <mergeCell ref="C234:E234"/>
    <mergeCell ref="C258:E258"/>
    <mergeCell ref="C264:E264"/>
    <mergeCell ref="C266:E266"/>
    <mergeCell ref="C267:E267"/>
    <mergeCell ref="C269:E269"/>
    <mergeCell ref="C249:E249"/>
    <mergeCell ref="C251:E251"/>
    <mergeCell ref="C252:E252"/>
    <mergeCell ref="C254:E254"/>
    <mergeCell ref="C256:E256"/>
    <mergeCell ref="C284:E284"/>
    <mergeCell ref="C286:E286"/>
    <mergeCell ref="C288:E288"/>
    <mergeCell ref="C294:E294"/>
    <mergeCell ref="C296:E296"/>
    <mergeCell ref="C271:E271"/>
    <mergeCell ref="C273:E273"/>
    <mergeCell ref="C279:E279"/>
    <mergeCell ref="C281:E281"/>
    <mergeCell ref="C282:E282"/>
    <mergeCell ref="C311:E311"/>
    <mergeCell ref="C312:E312"/>
    <mergeCell ref="C314:E314"/>
    <mergeCell ref="C316:E316"/>
    <mergeCell ref="C318:E318"/>
    <mergeCell ref="C297:E297"/>
    <mergeCell ref="C299:E299"/>
    <mergeCell ref="C301:E301"/>
    <mergeCell ref="C303:E303"/>
    <mergeCell ref="C309:E309"/>
    <mergeCell ref="C333:E333"/>
    <mergeCell ref="C339:E339"/>
    <mergeCell ref="C341:E341"/>
    <mergeCell ref="C342:E342"/>
    <mergeCell ref="C344:E344"/>
    <mergeCell ref="C324:E324"/>
    <mergeCell ref="C326:E326"/>
    <mergeCell ref="C327:E327"/>
    <mergeCell ref="C329:E329"/>
    <mergeCell ref="C331:E331"/>
    <mergeCell ref="C359:E359"/>
    <mergeCell ref="C361:E361"/>
    <mergeCell ref="C363:E363"/>
    <mergeCell ref="C369:E369"/>
    <mergeCell ref="C371:E371"/>
    <mergeCell ref="C346:E346"/>
    <mergeCell ref="C348:E348"/>
    <mergeCell ref="C354:E354"/>
    <mergeCell ref="C356:E356"/>
    <mergeCell ref="C357:E357"/>
    <mergeCell ref="C386:E386"/>
    <mergeCell ref="C387:E387"/>
    <mergeCell ref="C389:E389"/>
    <mergeCell ref="C391:E391"/>
    <mergeCell ref="C393:E393"/>
    <mergeCell ref="C372:E372"/>
    <mergeCell ref="C374:E374"/>
    <mergeCell ref="C376:E376"/>
    <mergeCell ref="C378:E378"/>
    <mergeCell ref="C384:E384"/>
    <mergeCell ref="C408:E408"/>
    <mergeCell ref="C414:E414"/>
    <mergeCell ref="C416:E416"/>
    <mergeCell ref="C417:E417"/>
    <mergeCell ref="C419:E419"/>
    <mergeCell ref="C399:E399"/>
    <mergeCell ref="C401:E401"/>
    <mergeCell ref="C402:E402"/>
    <mergeCell ref="C404:E404"/>
    <mergeCell ref="C406:E406"/>
    <mergeCell ref="C434:E434"/>
    <mergeCell ref="C436:E436"/>
    <mergeCell ref="C438:E438"/>
    <mergeCell ref="C445:E445"/>
    <mergeCell ref="C447:E447"/>
    <mergeCell ref="C421:E421"/>
    <mergeCell ref="C423:E423"/>
    <mergeCell ref="C429:E429"/>
    <mergeCell ref="C431:E431"/>
    <mergeCell ref="C432:E432"/>
    <mergeCell ref="C462:E462"/>
    <mergeCell ref="C463:E463"/>
    <mergeCell ref="C465:E465"/>
    <mergeCell ref="C467:E467"/>
    <mergeCell ref="C469:E469"/>
    <mergeCell ref="C448:E448"/>
    <mergeCell ref="C450:E450"/>
    <mergeCell ref="C452:E452"/>
    <mergeCell ref="C454:E454"/>
    <mergeCell ref="C460:E460"/>
    <mergeCell ref="C484:E484"/>
    <mergeCell ref="C565:E565"/>
    <mergeCell ref="C567:E567"/>
    <mergeCell ref="C568:E568"/>
    <mergeCell ref="C570:E570"/>
    <mergeCell ref="C475:E475"/>
    <mergeCell ref="C477:E477"/>
    <mergeCell ref="C478:E478"/>
    <mergeCell ref="C480:E480"/>
    <mergeCell ref="C482:E482"/>
    <mergeCell ref="C490:E490"/>
    <mergeCell ref="C492:E492"/>
    <mergeCell ref="C493:E493"/>
    <mergeCell ref="C495:E495"/>
    <mergeCell ref="C497:E497"/>
    <mergeCell ref="C499:E499"/>
    <mergeCell ref="C505:E505"/>
    <mergeCell ref="C507:E507"/>
    <mergeCell ref="C508:E508"/>
    <mergeCell ref="C510:E510"/>
    <mergeCell ref="C512:E512"/>
    <mergeCell ref="C514:E514"/>
    <mergeCell ref="C520:E520"/>
    <mergeCell ref="C522:E522"/>
    <mergeCell ref="C585:E585"/>
    <mergeCell ref="C587:E587"/>
    <mergeCell ref="C589:E589"/>
    <mergeCell ref="C595:E595"/>
    <mergeCell ref="C597:E597"/>
    <mergeCell ref="C572:E572"/>
    <mergeCell ref="C574:E574"/>
    <mergeCell ref="C580:E580"/>
    <mergeCell ref="C582:E582"/>
    <mergeCell ref="C583:E583"/>
    <mergeCell ref="C612:E612"/>
    <mergeCell ref="C613:E613"/>
    <mergeCell ref="C615:E615"/>
    <mergeCell ref="C617:E617"/>
    <mergeCell ref="C619:E619"/>
    <mergeCell ref="C598:E598"/>
    <mergeCell ref="C600:E600"/>
    <mergeCell ref="C602:E602"/>
    <mergeCell ref="C604:E604"/>
    <mergeCell ref="C610:E610"/>
    <mergeCell ref="C634:E634"/>
    <mergeCell ref="C640:E640"/>
    <mergeCell ref="C642:E642"/>
    <mergeCell ref="C643:E643"/>
    <mergeCell ref="C645:E645"/>
    <mergeCell ref="C625:E625"/>
    <mergeCell ref="C627:E627"/>
    <mergeCell ref="C628:E628"/>
    <mergeCell ref="C630:E630"/>
    <mergeCell ref="C632:E632"/>
    <mergeCell ref="C660:E660"/>
    <mergeCell ref="C662:E662"/>
    <mergeCell ref="C664:E664"/>
    <mergeCell ref="C670:E670"/>
    <mergeCell ref="C672:E672"/>
    <mergeCell ref="C647:E647"/>
    <mergeCell ref="C649:E649"/>
    <mergeCell ref="C655:E655"/>
    <mergeCell ref="C657:E657"/>
    <mergeCell ref="C658:E658"/>
    <mergeCell ref="C687:E687"/>
    <mergeCell ref="C688:E688"/>
    <mergeCell ref="C690:E690"/>
    <mergeCell ref="C692:E692"/>
    <mergeCell ref="C694:E694"/>
    <mergeCell ref="C673:E673"/>
    <mergeCell ref="C675:E675"/>
    <mergeCell ref="C677:E677"/>
    <mergeCell ref="C679:E679"/>
    <mergeCell ref="C685:E685"/>
    <mergeCell ref="C709:E709"/>
    <mergeCell ref="C715:E715"/>
    <mergeCell ref="C717:E717"/>
    <mergeCell ref="C718:E718"/>
    <mergeCell ref="C720:E720"/>
    <mergeCell ref="C700:E700"/>
    <mergeCell ref="C702:E702"/>
    <mergeCell ref="C703:E703"/>
    <mergeCell ref="C705:E705"/>
    <mergeCell ref="C707:E707"/>
    <mergeCell ref="C735:E735"/>
    <mergeCell ref="C737:E737"/>
    <mergeCell ref="C739:E739"/>
    <mergeCell ref="C745:E745"/>
    <mergeCell ref="C747:E747"/>
    <mergeCell ref="C722:E722"/>
    <mergeCell ref="C724:E724"/>
    <mergeCell ref="C730:E730"/>
    <mergeCell ref="C732:E732"/>
    <mergeCell ref="C733:E733"/>
    <mergeCell ref="C762:E762"/>
    <mergeCell ref="C763:E763"/>
    <mergeCell ref="C765:E765"/>
    <mergeCell ref="C767:E767"/>
    <mergeCell ref="C769:E769"/>
    <mergeCell ref="C748:E748"/>
    <mergeCell ref="C750:E750"/>
    <mergeCell ref="C752:E752"/>
    <mergeCell ref="C754:E754"/>
    <mergeCell ref="C760:E760"/>
    <mergeCell ref="C544:E544"/>
    <mergeCell ref="C550:E550"/>
    <mergeCell ref="C552:E552"/>
    <mergeCell ref="C553:E553"/>
    <mergeCell ref="C555:E555"/>
    <mergeCell ref="C557:E557"/>
    <mergeCell ref="C559:E559"/>
    <mergeCell ref="C523:E523"/>
    <mergeCell ref="C525:E525"/>
    <mergeCell ref="C527:E527"/>
    <mergeCell ref="C529:E529"/>
    <mergeCell ref="C535:E535"/>
    <mergeCell ref="C537:E537"/>
    <mergeCell ref="C538:E538"/>
    <mergeCell ref="C540:E540"/>
    <mergeCell ref="C542:E542"/>
  </mergeCells>
  <pageMargins left="0.31496062992125984" right="0.11811023622047245" top="0.15748031496062992" bottom="0.15748031496062992" header="0.51181102362204722" footer="0.51181102362204722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9"/>
  <sheetViews>
    <sheetView zoomScale="70" zoomScaleNormal="70" workbookViewId="0">
      <selection activeCell="D6" sqref="D6:K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3.28515625" style="2" customWidth="1"/>
    <col min="10" max="10" width="11.5703125" style="2" customWidth="1"/>
    <col min="11" max="11" width="46.28515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9" t="s">
        <v>278</v>
      </c>
      <c r="B1" s="119"/>
      <c r="C1" s="119"/>
      <c r="D1" s="119"/>
      <c r="E1" s="119"/>
      <c r="F1" s="119"/>
      <c r="G1" s="119"/>
      <c r="H1" s="119"/>
      <c r="I1" s="119"/>
      <c r="J1" s="3" t="s">
        <v>14</v>
      </c>
      <c r="K1" s="83" t="s">
        <v>277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0" t="s">
        <v>47</v>
      </c>
      <c r="B3" s="120"/>
      <c r="C3" s="120"/>
      <c r="D3" s="118" t="str">
        <f>'Necesidades Trimestrales'!C4</f>
        <v>40 - Ministerio de Salud</v>
      </c>
      <c r="E3" s="118"/>
      <c r="F3" s="118"/>
      <c r="G3" s="118"/>
      <c r="H3" s="118"/>
      <c r="I3" s="118"/>
      <c r="J3" s="118"/>
      <c r="K3" s="118"/>
    </row>
    <row r="4" spans="1:11" ht="18.75" customHeight="1" thickBot="1" x14ac:dyDescent="0.25">
      <c r="A4" s="121" t="s">
        <v>48</v>
      </c>
      <c r="B4" s="121"/>
      <c r="C4" s="121"/>
      <c r="D4" s="118" t="str">
        <f>'Necesidades Trimestrales'!C5</f>
        <v>23 - Hospital Interzonal San Juan Bautista</v>
      </c>
      <c r="E4" s="118"/>
      <c r="F4" s="118"/>
      <c r="G4" s="118"/>
      <c r="H4" s="118"/>
      <c r="I4" s="118"/>
      <c r="J4" s="118"/>
      <c r="K4" s="118"/>
    </row>
    <row r="5" spans="1:11" ht="18.75" customHeight="1" thickBot="1" x14ac:dyDescent="0.25">
      <c r="A5" s="121" t="s">
        <v>26</v>
      </c>
      <c r="B5" s="121"/>
      <c r="C5" s="121"/>
      <c r="D5" s="118" t="s">
        <v>52</v>
      </c>
      <c r="E5" s="118"/>
      <c r="F5" s="118"/>
      <c r="G5" s="118"/>
      <c r="H5" s="118"/>
      <c r="I5" s="118"/>
      <c r="J5" s="118"/>
      <c r="K5" s="118"/>
    </row>
    <row r="6" spans="1:11" ht="16.5" customHeight="1" thickBot="1" x14ac:dyDescent="0.25">
      <c r="A6" s="120" t="s">
        <v>49</v>
      </c>
      <c r="B6" s="120"/>
      <c r="C6" s="120"/>
      <c r="D6" s="118" t="s">
        <v>129</v>
      </c>
      <c r="E6" s="118"/>
      <c r="F6" s="118"/>
      <c r="G6" s="118"/>
      <c r="H6" s="118"/>
      <c r="I6" s="118"/>
      <c r="J6" s="118"/>
      <c r="K6" s="118"/>
    </row>
    <row r="7" spans="1:11" ht="16.5" customHeight="1" x14ac:dyDescent="0.2">
      <c r="A7" s="121" t="s">
        <v>15</v>
      </c>
      <c r="B7" s="121"/>
      <c r="C7" s="121"/>
      <c r="D7" s="118" t="str">
        <f>'Necesidades Trimestrales'!C7 &amp; "° Trimestre - Año " &amp; 'Necesidades Trimestrales'!C6</f>
        <v>3° Trimestre - Año 2022</v>
      </c>
      <c r="E7" s="118"/>
      <c r="F7" s="118"/>
      <c r="G7" s="118"/>
      <c r="H7" s="118"/>
      <c r="I7" s="118"/>
      <c r="J7" s="118"/>
      <c r="K7" s="118"/>
    </row>
    <row r="8" spans="1:11" ht="16.5" customHeight="1" x14ac:dyDescent="0.2">
      <c r="A8" s="113" t="s">
        <v>16</v>
      </c>
      <c r="B8" s="113"/>
      <c r="C8" s="113"/>
      <c r="D8" s="114" t="s">
        <v>130</v>
      </c>
      <c r="E8" s="114"/>
      <c r="F8" s="114"/>
      <c r="G8" s="114"/>
      <c r="H8" s="114"/>
      <c r="I8" s="114"/>
      <c r="J8" s="114"/>
      <c r="K8" s="11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5" t="s">
        <v>17</v>
      </c>
      <c r="B10" s="116" t="s">
        <v>18</v>
      </c>
      <c r="C10" s="116" t="s">
        <v>19</v>
      </c>
      <c r="D10" s="116"/>
      <c r="E10" s="116"/>
      <c r="F10" s="116"/>
      <c r="G10" s="116"/>
      <c r="H10" s="116" t="s">
        <v>20</v>
      </c>
      <c r="I10" s="116" t="s">
        <v>21</v>
      </c>
      <c r="J10" s="116" t="s">
        <v>22</v>
      </c>
      <c r="K10" s="117" t="s">
        <v>23</v>
      </c>
    </row>
    <row r="11" spans="1:11" ht="24" customHeight="1" thickBot="1" x14ac:dyDescent="0.25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1" ht="36" customHeight="1" thickBot="1" x14ac:dyDescent="0.25">
      <c r="A12" s="8">
        <v>1</v>
      </c>
      <c r="B12" s="43" t="str">
        <f>'Necesidades Trimestrales'!B10</f>
        <v>2.1.1-438.37</v>
      </c>
      <c r="C12" s="112" t="str">
        <f>'Necesidades Trimestrales'!E10</f>
        <v>ADEREZOS; TIPO: MAYONESA, ENVASE: BOLSA, CONTENIDO: 2,9 Kg, PRESENTACION: ENVASE X 2,9 Kg</v>
      </c>
      <c r="D12" s="112"/>
      <c r="E12" s="112"/>
      <c r="F12" s="112"/>
      <c r="G12" s="112"/>
      <c r="H12" s="44" t="s">
        <v>242</v>
      </c>
      <c r="I12" s="45" t="str">
        <f>'Necesidades Trimestrales'!F10</f>
        <v>UNIDAD</v>
      </c>
      <c r="J12" s="55">
        <f>'Necesidades Trimestrales'!H10</f>
        <v>1042</v>
      </c>
      <c r="K12" s="46">
        <f>'Necesidades Trimestrales'!G10</f>
        <v>3</v>
      </c>
    </row>
    <row r="13" spans="1:11" ht="36" customHeight="1" thickBot="1" x14ac:dyDescent="0.25">
      <c r="A13" s="8">
        <v>2</v>
      </c>
      <c r="B13" s="43" t="str">
        <f>'Necesidades Trimestrales'!B11</f>
        <v>2.1.1-483.37</v>
      </c>
      <c r="C13" s="112" t="str">
        <f>'Necesidades Trimestrales'!E11</f>
        <v>HUEVO DE GALLINA; TAMAÑO: GRANDE, COLOR: COLOR, PRESENTACION: 30 UN</v>
      </c>
      <c r="D13" s="112"/>
      <c r="E13" s="112"/>
      <c r="F13" s="112"/>
      <c r="G13" s="112"/>
      <c r="H13" s="44" t="s">
        <v>242</v>
      </c>
      <c r="I13" s="45" t="str">
        <f>'Necesidades Trimestrales'!F11</f>
        <v>UNIDAD</v>
      </c>
      <c r="J13" s="55">
        <f>'Necesidades Trimestrales'!H11</f>
        <v>690</v>
      </c>
      <c r="K13" s="46">
        <f>'Necesidades Trimestrales'!G11</f>
        <v>3000</v>
      </c>
    </row>
    <row r="14" spans="1:11" ht="36" customHeight="1" thickBot="1" x14ac:dyDescent="0.25">
      <c r="A14" s="8">
        <v>3</v>
      </c>
      <c r="B14" s="43" t="str">
        <f>'Necesidades Trimestrales'!B12</f>
        <v>2.1.1-590.27</v>
      </c>
      <c r="C14" s="112" t="str">
        <f>'Necesidades Trimestrales'!E12</f>
        <v>PESCADOS Y FRUTOS CONGELADOS; TIPO: FILET DE MERLUZA, ENVASE: POLIESTIRENO, PRESENTACION: ENVASE X 1 Kg, ELEM. TRANSPORTE: SIN, MATERIAL ELEM. TRANSPORTE: SIN</v>
      </c>
      <c r="D14" s="112"/>
      <c r="E14" s="112"/>
      <c r="F14" s="112"/>
      <c r="G14" s="112"/>
      <c r="H14" s="44" t="s">
        <v>242</v>
      </c>
      <c r="I14" s="45" t="str">
        <f>'Necesidades Trimestrales'!F12</f>
        <v>UNIDAD</v>
      </c>
      <c r="J14" s="55">
        <f>'Necesidades Trimestrales'!H12</f>
        <v>950</v>
      </c>
      <c r="K14" s="46">
        <f>'Necesidades Trimestrales'!G12</f>
        <v>300</v>
      </c>
    </row>
    <row r="15" spans="1:11" ht="36" customHeight="1" thickBot="1" x14ac:dyDescent="0.25">
      <c r="A15" s="8">
        <v>4</v>
      </c>
      <c r="B15" s="43" t="str">
        <f>'Necesidades Trimestrales'!B13</f>
        <v>2.1.1-669.27</v>
      </c>
      <c r="C15" s="112" t="str">
        <f>'Necesidades Trimestrales'!E13</f>
        <v>PANES; TIPO: MIÑON, PRESENTACION: GRANEL</v>
      </c>
      <c r="D15" s="112"/>
      <c r="E15" s="112"/>
      <c r="F15" s="112"/>
      <c r="G15" s="112"/>
      <c r="H15" s="44" t="s">
        <v>242</v>
      </c>
      <c r="I15" s="45" t="str">
        <f>'Necesidades Trimestrales'!F13</f>
        <v>KG</v>
      </c>
      <c r="J15" s="55">
        <f>'Necesidades Trimestrales'!H13</f>
        <v>300</v>
      </c>
      <c r="K15" s="46">
        <f>'Necesidades Trimestrales'!G13</f>
        <v>2000</v>
      </c>
    </row>
    <row r="16" spans="1:11" ht="36" customHeight="1" thickBot="1" x14ac:dyDescent="0.25">
      <c r="A16" s="8">
        <v>5</v>
      </c>
      <c r="B16" s="43" t="str">
        <f>'Necesidades Trimestrales'!B14</f>
        <v>2.1.1-669.51</v>
      </c>
      <c r="C16" s="112" t="str">
        <f>'Necesidades Trimestrales'!E14</f>
        <v>PANES; TIPO: FRANCES, PRESENTACION: UNIDAD</v>
      </c>
      <c r="D16" s="112"/>
      <c r="E16" s="112"/>
      <c r="F16" s="112"/>
      <c r="G16" s="112"/>
      <c r="H16" s="44" t="s">
        <v>242</v>
      </c>
      <c r="I16" s="45" t="str">
        <f>'Necesidades Trimestrales'!F14</f>
        <v>UNIDAD</v>
      </c>
      <c r="J16" s="55">
        <f>'Necesidades Trimestrales'!H14</f>
        <v>50</v>
      </c>
      <c r="K16" s="46">
        <f>'Necesidades Trimestrales'!G14</f>
        <v>4500</v>
      </c>
    </row>
    <row r="17" spans="1:11" ht="36" customHeight="1" thickBot="1" x14ac:dyDescent="0.25">
      <c r="A17" s="8">
        <v>6</v>
      </c>
      <c r="B17" s="43" t="str">
        <f>'Necesidades Trimestrales'!B15</f>
        <v>2.1.1-669.1</v>
      </c>
      <c r="C17" s="112" t="str">
        <f>'Necesidades Trimestrales'!E15</f>
        <v>PANES; PRESENTACION: GRANEL, TIPO: SALVADO</v>
      </c>
      <c r="D17" s="112"/>
      <c r="E17" s="112"/>
      <c r="F17" s="112"/>
      <c r="G17" s="112"/>
      <c r="H17" s="44" t="s">
        <v>242</v>
      </c>
      <c r="I17" s="45" t="str">
        <f>'Necesidades Trimestrales'!F15</f>
        <v>UNIDAD</v>
      </c>
      <c r="J17" s="55">
        <f>'Necesidades Trimestrales'!H15</f>
        <v>60</v>
      </c>
      <c r="K17" s="46">
        <f>'Necesidades Trimestrales'!G15</f>
        <v>5400</v>
      </c>
    </row>
    <row r="18" spans="1:11" ht="36" customHeight="1" thickBot="1" x14ac:dyDescent="0.25">
      <c r="A18" s="8">
        <v>7</v>
      </c>
      <c r="B18" s="43" t="str">
        <f>'Necesidades Trimestrales'!B16</f>
        <v>2.1.1-669.37</v>
      </c>
      <c r="C18" s="112" t="str">
        <f>'Necesidades Trimestrales'!E16</f>
        <v>PANES; TIPO: RALLADO, PRESENTACION: BOLSA X 5 Kg</v>
      </c>
      <c r="D18" s="112"/>
      <c r="E18" s="112"/>
      <c r="F18" s="112"/>
      <c r="G18" s="112"/>
      <c r="H18" s="44" t="s">
        <v>242</v>
      </c>
      <c r="I18" s="45" t="str">
        <f>'Necesidades Trimestrales'!F16</f>
        <v xml:space="preserve">BOLSA </v>
      </c>
      <c r="J18" s="55">
        <f>'Necesidades Trimestrales'!H16</f>
        <v>1100</v>
      </c>
      <c r="K18" s="46">
        <f>'Necesidades Trimestrales'!G16</f>
        <v>40</v>
      </c>
    </row>
    <row r="19" spans="1:11" ht="36" customHeight="1" thickBot="1" x14ac:dyDescent="0.25">
      <c r="A19" s="8">
        <v>8</v>
      </c>
      <c r="B19" s="43" t="str">
        <f>'Necesidades Trimestrales'!B17</f>
        <v>2.1.1-2430.1</v>
      </c>
      <c r="C19" s="112" t="str">
        <f>'Necesidades Trimestrales'!E17</f>
        <v>PREPIZZA; GUSTO: TOMATE, TAMAÑO: MEDIANO</v>
      </c>
      <c r="D19" s="112"/>
      <c r="E19" s="112"/>
      <c r="F19" s="112"/>
      <c r="G19" s="112"/>
      <c r="H19" s="44" t="s">
        <v>242</v>
      </c>
      <c r="I19" s="45" t="str">
        <f>'Necesidades Trimestrales'!F17</f>
        <v>UNIDAD</v>
      </c>
      <c r="J19" s="55">
        <f>'Necesidades Trimestrales'!H17</f>
        <v>110</v>
      </c>
      <c r="K19" s="46">
        <f>'Necesidades Trimestrales'!G17</f>
        <v>300</v>
      </c>
    </row>
    <row r="20" spans="1:11" ht="36" customHeight="1" thickBot="1" x14ac:dyDescent="0.25">
      <c r="A20" s="8">
        <v>9</v>
      </c>
      <c r="B20" s="43" t="str">
        <f>'Necesidades Trimestrales'!B18</f>
        <v>2.1.1-518.32</v>
      </c>
      <c r="C20" s="112" t="str">
        <f>'Necesidades Trimestrales'!E18</f>
        <v>TORTAS; TIPO: PIONONO, PESO: 180 GR</v>
      </c>
      <c r="D20" s="112"/>
      <c r="E20" s="112"/>
      <c r="F20" s="112"/>
      <c r="G20" s="112"/>
      <c r="H20" s="44" t="s">
        <v>242</v>
      </c>
      <c r="I20" s="45" t="str">
        <f>'Necesidades Trimestrales'!F18</f>
        <v>UNIDAD</v>
      </c>
      <c r="J20" s="55">
        <f>'Necesidades Trimestrales'!H18</f>
        <v>180</v>
      </c>
      <c r="K20" s="46">
        <f>'Necesidades Trimestrales'!G18</f>
        <v>30</v>
      </c>
    </row>
    <row r="21" spans="1:11" ht="43.5" customHeight="1" thickBot="1" x14ac:dyDescent="0.25">
      <c r="A21" s="8">
        <v>10</v>
      </c>
      <c r="B21" s="43" t="str">
        <f>'Necesidades Trimestrales'!B19</f>
        <v>2.1.1-6546.34</v>
      </c>
      <c r="C21" s="112" t="str">
        <f>'Necesidades Trimestrales'!E19</f>
        <v>VERDURAS Y HORTALIZAS; VARIEDAD: ACELGA, ESTADO: EN HOJA, PRESENTACION: ATADO, PESO: SIN VALOR</v>
      </c>
      <c r="D21" s="112"/>
      <c r="E21" s="112"/>
      <c r="F21" s="112"/>
      <c r="G21" s="112"/>
      <c r="H21" s="44" t="s">
        <v>242</v>
      </c>
      <c r="I21" s="45" t="str">
        <f>'Necesidades Trimestrales'!F19</f>
        <v>ATADO</v>
      </c>
      <c r="J21" s="55">
        <f>'Necesidades Trimestrales'!H19</f>
        <v>200</v>
      </c>
      <c r="K21" s="46">
        <f>'Necesidades Trimestrales'!G19</f>
        <v>500</v>
      </c>
    </row>
    <row r="22" spans="1:11" ht="46.5" customHeight="1" thickBot="1" x14ac:dyDescent="0.25">
      <c r="A22" s="8">
        <v>11</v>
      </c>
      <c r="B22" s="43" t="str">
        <f>'Necesidades Trimestrales'!B20</f>
        <v>2.1.1-6546.403</v>
      </c>
      <c r="C22" s="112" t="str">
        <f>'Necesidades Trimestrales'!E20</f>
        <v>VERDURAS Y HORTALIZAS; VARIEDAD: ZANAHORIA, ESTADO: NATURAL, PRESENTACION: BOLSA, PESO: NO CORRESPONDE, ELEM. TRANSPORTE: SIN, MATERIAL ELEM. TRANSPORTE: SIN, LIBRE DE GLUTEN: SI, ORGANICO: NO</v>
      </c>
      <c r="D22" s="112"/>
      <c r="E22" s="112"/>
      <c r="F22" s="112"/>
      <c r="G22" s="112"/>
      <c r="H22" s="44" t="s">
        <v>242</v>
      </c>
      <c r="I22" s="45" t="str">
        <f>'Necesidades Trimestrales'!F20</f>
        <v xml:space="preserve">BOLSA </v>
      </c>
      <c r="J22" s="55">
        <f>'Necesidades Trimestrales'!H20</f>
        <v>2340</v>
      </c>
      <c r="K22" s="46">
        <f>'Necesidades Trimestrales'!G20</f>
        <v>150</v>
      </c>
    </row>
    <row r="23" spans="1:11" ht="36" customHeight="1" thickBot="1" x14ac:dyDescent="0.25">
      <c r="A23" s="8">
        <v>12</v>
      </c>
      <c r="B23" s="43" t="str">
        <f>'Necesidades Trimestrales'!B21</f>
        <v>2.1.1-6546.151</v>
      </c>
      <c r="C23" s="112" t="str">
        <f>'Necesidades Trimestrales'!E21</f>
        <v>VERDURAS Y HORTALIZAS; VARIEDAD: ZAPALLITO REDONDO, ESTADO: NATURAL, PRESENTACION: CAJON, PESO: SIN VALOR</v>
      </c>
      <c r="D23" s="112"/>
      <c r="E23" s="112"/>
      <c r="F23" s="112"/>
      <c r="G23" s="112"/>
      <c r="H23" s="44" t="s">
        <v>242</v>
      </c>
      <c r="I23" s="45" t="str">
        <f>'Necesidades Trimestrales'!F21</f>
        <v>CAJON</v>
      </c>
      <c r="J23" s="55">
        <f>'Necesidades Trimestrales'!H21</f>
        <v>1920</v>
      </c>
      <c r="K23" s="46">
        <f>'Necesidades Trimestrales'!G21</f>
        <v>150</v>
      </c>
    </row>
    <row r="24" spans="1:11" ht="48.75" customHeight="1" thickBot="1" x14ac:dyDescent="0.25">
      <c r="A24" s="8">
        <v>13</v>
      </c>
      <c r="B24" s="43" t="str">
        <f>'Necesidades Trimestrales'!B22</f>
        <v>2.1.1-6546.335</v>
      </c>
      <c r="C24" s="112" t="str">
        <f>'Necesidades Trimestrales'!E22</f>
        <v>VERDURAS Y HORTALIZAS; VARIEDAD: PAPA BLANCA, ESTADO: NATURAL, PRESENTACION: BOLSA, PESO: 25 Kg</v>
      </c>
      <c r="D24" s="112"/>
      <c r="E24" s="112"/>
      <c r="F24" s="112"/>
      <c r="G24" s="112"/>
      <c r="H24" s="44" t="s">
        <v>242</v>
      </c>
      <c r="I24" s="45" t="str">
        <f>'Necesidades Trimestrales'!F22</f>
        <v xml:space="preserve">BOLSA </v>
      </c>
      <c r="J24" s="55">
        <f>'Necesidades Trimestrales'!H22</f>
        <v>950</v>
      </c>
      <c r="K24" s="46">
        <f>'Necesidades Trimestrales'!G22</f>
        <v>150</v>
      </c>
    </row>
    <row r="25" spans="1:11" ht="48" customHeight="1" thickBot="1" x14ac:dyDescent="0.25">
      <c r="A25" s="8">
        <v>14</v>
      </c>
      <c r="B25" s="43" t="str">
        <f>'Necesidades Trimestrales'!B23</f>
        <v>2.1.1-6546.49</v>
      </c>
      <c r="C25" s="112" t="str">
        <f>'Necesidades Trimestrales'!E23</f>
        <v>VERDURAS Y HORTALIZAS; VARIEDAD: CHAUCHA, PRESENTACION: GRANEL, ESTADO: NATURAL, PESO: SIN VALOR</v>
      </c>
      <c r="D25" s="112"/>
      <c r="E25" s="112"/>
      <c r="F25" s="112"/>
      <c r="G25" s="112"/>
      <c r="H25" s="44" t="s">
        <v>242</v>
      </c>
      <c r="I25" s="45" t="str">
        <f>'Necesidades Trimestrales'!F23</f>
        <v>KG</v>
      </c>
      <c r="J25" s="55">
        <f>'Necesidades Trimestrales'!H23</f>
        <v>600</v>
      </c>
      <c r="K25" s="46">
        <f>'Necesidades Trimestrales'!G23</f>
        <v>300</v>
      </c>
    </row>
    <row r="26" spans="1:11" ht="45.75" customHeight="1" thickBot="1" x14ac:dyDescent="0.25">
      <c r="A26" s="8">
        <v>15</v>
      </c>
      <c r="B26" s="43" t="str">
        <f>'Necesidades Trimestrales'!B24</f>
        <v>2.1.1-6546.390</v>
      </c>
      <c r="C26" s="112" t="str">
        <f>'Necesidades Trimestrales'!E24</f>
        <v>VERDURAS Y HORTALIZAS; VARIEDAD: TOMATE REDONDO, ESTADO: NATURAL, PRESENTACION: CAJON, PESO: 17 A 22 Kg, ELEM. TRANSPORTE: SIN, MATERIAL ELEM. TRANSPORTE: SIN, LIBRE DE GLUTEN: SI, ORGANICO: NO</v>
      </c>
      <c r="D26" s="112"/>
      <c r="E26" s="112"/>
      <c r="F26" s="112"/>
      <c r="G26" s="112"/>
      <c r="H26" s="44" t="s">
        <v>242</v>
      </c>
      <c r="I26" s="45" t="str">
        <f>'Necesidades Trimestrales'!F24</f>
        <v>CAJON</v>
      </c>
      <c r="J26" s="55">
        <f>'Necesidades Trimestrales'!H24</f>
        <v>3900</v>
      </c>
      <c r="K26" s="46">
        <f>'Necesidades Trimestrales'!G24</f>
        <v>150</v>
      </c>
    </row>
    <row r="27" spans="1:11" ht="36" customHeight="1" thickBot="1" x14ac:dyDescent="0.25">
      <c r="A27" s="8">
        <v>16</v>
      </c>
      <c r="B27" s="43" t="str">
        <f>'Necesidades Trimestrales'!B25</f>
        <v>2.1.1-6546.39</v>
      </c>
      <c r="C27" s="112" t="str">
        <f>'Necesidades Trimestrales'!E25</f>
        <v>VERDURAS Y HORTALIZAS; VARIEDAD: CEBOLLA, ESTADO: NATURAL, PRESENTACION: BOLSA, PESO: 25 Kg</v>
      </c>
      <c r="D27" s="112"/>
      <c r="E27" s="112"/>
      <c r="F27" s="112"/>
      <c r="G27" s="112"/>
      <c r="H27" s="44" t="s">
        <v>242</v>
      </c>
      <c r="I27" s="45" t="str">
        <f>'Necesidades Trimestrales'!F25</f>
        <v xml:space="preserve">BOLSA </v>
      </c>
      <c r="J27" s="55">
        <f>'Necesidades Trimestrales'!H25</f>
        <v>1380</v>
      </c>
      <c r="K27" s="46">
        <f>'Necesidades Trimestrales'!G25</f>
        <v>90</v>
      </c>
    </row>
    <row r="28" spans="1:11" ht="46.15" customHeight="1" thickBot="1" x14ac:dyDescent="0.25">
      <c r="A28" s="8">
        <v>17</v>
      </c>
      <c r="B28" s="43" t="str">
        <f>'Necesidades Trimestrales'!B26</f>
        <v>2.1.1-6546.377</v>
      </c>
      <c r="C28" s="112" t="str">
        <f>'Necesidades Trimestrales'!E26</f>
        <v>VERDURAS Y HORTALIZAS; VARIEDAD: CEBOLLA DE VERDEO, ESTADO: NATURAL, PRESENTACION: CAJON, PESO: 10 Kg, ELEM. TRANSPORTE: CAJON, MATERIAL ELEM. TRANSPORTE: CARTON, LIBRE DE GLUTEN: NO</v>
      </c>
      <c r="D28" s="112"/>
      <c r="E28" s="112"/>
      <c r="F28" s="112"/>
      <c r="G28" s="112"/>
      <c r="H28" s="44" t="s">
        <v>242</v>
      </c>
      <c r="I28" s="45" t="str">
        <f>'Necesidades Trimestrales'!F26</f>
        <v>CAJON</v>
      </c>
      <c r="J28" s="55">
        <f>'Necesidades Trimestrales'!H26</f>
        <v>7490</v>
      </c>
      <c r="K28" s="46">
        <f>'Necesidades Trimestrales'!G26</f>
        <v>3</v>
      </c>
    </row>
    <row r="29" spans="1:11" ht="36" customHeight="1" thickBot="1" x14ac:dyDescent="0.25">
      <c r="A29" s="8">
        <v>18</v>
      </c>
      <c r="B29" s="43" t="str">
        <f>'Necesidades Trimestrales'!B27</f>
        <v>2.1.1-6546.124</v>
      </c>
      <c r="C29" s="112" t="str">
        <f>'Necesidades Trimestrales'!E27</f>
        <v>VERDURAS Y HORTALIZAS; PESO: SIN VALOR, VARIEDAD: REMOLACHA, ESTADO: NATURAL, PRESENTACION: GRANEL</v>
      </c>
      <c r="D29" s="112"/>
      <c r="E29" s="112"/>
      <c r="F29" s="112"/>
      <c r="G29" s="112"/>
      <c r="H29" s="44" t="s">
        <v>242</v>
      </c>
      <c r="I29" s="45" t="str">
        <f>'Necesidades Trimestrales'!F27</f>
        <v>KG</v>
      </c>
      <c r="J29" s="55">
        <f>'Necesidades Trimestrales'!H27</f>
        <v>600</v>
      </c>
      <c r="K29" s="46">
        <f>'Necesidades Trimestrales'!G27</f>
        <v>800</v>
      </c>
    </row>
    <row r="30" spans="1:11" ht="42" customHeight="1" thickBot="1" x14ac:dyDescent="0.25">
      <c r="A30" s="8">
        <v>19</v>
      </c>
      <c r="B30" s="43" t="str">
        <f>'Necesidades Trimestrales'!B28</f>
        <v>2.1.1-6546.231</v>
      </c>
      <c r="C30" s="112" t="str">
        <f>'Necesidades Trimestrales'!E28</f>
        <v>VERDURAS Y HORTALIZAS; VARIEDAD: ZAPALLO ANCO, ESTADO: NATURAL, PRESENTACION: BOLSA, PESO: 20 Kg</v>
      </c>
      <c r="D30" s="112"/>
      <c r="E30" s="112"/>
      <c r="F30" s="112"/>
      <c r="G30" s="112"/>
      <c r="H30" s="44" t="s">
        <v>242</v>
      </c>
      <c r="I30" s="45" t="str">
        <f>'Necesidades Trimestrales'!F28</f>
        <v xml:space="preserve">BOLSA </v>
      </c>
      <c r="J30" s="55">
        <f>'Necesidades Trimestrales'!H28</f>
        <v>1900</v>
      </c>
      <c r="K30" s="46">
        <f>'Necesidades Trimestrales'!G28</f>
        <v>250</v>
      </c>
    </row>
    <row r="31" spans="1:11" ht="36" customHeight="1" thickBot="1" x14ac:dyDescent="0.25">
      <c r="A31" s="8">
        <v>20</v>
      </c>
      <c r="B31" s="43" t="str">
        <f>'Necesidades Trimestrales'!B29</f>
        <v>2.1.1-6546.162</v>
      </c>
      <c r="C31" s="112" t="str">
        <f>'Necesidades Trimestrales'!E29</f>
        <v>VERDURAS Y HORTALIZAS; VARIEDAD: ZAPALLO CRIOLLO, ESTADO: NATURAL, PRESENTACION: UNIDAD, PESO: SIN VALOR</v>
      </c>
      <c r="D31" s="112"/>
      <c r="E31" s="112"/>
      <c r="F31" s="112"/>
      <c r="G31" s="112"/>
      <c r="H31" s="44" t="s">
        <v>242</v>
      </c>
      <c r="I31" s="45" t="str">
        <f>'Necesidades Trimestrales'!F29</f>
        <v>KG</v>
      </c>
      <c r="J31" s="55">
        <f>'Necesidades Trimestrales'!H29</f>
        <v>70</v>
      </c>
      <c r="K31" s="46">
        <f>'Necesidades Trimestrales'!G29</f>
        <v>13600</v>
      </c>
    </row>
    <row r="32" spans="1:11" ht="36" customHeight="1" thickBot="1" x14ac:dyDescent="0.25">
      <c r="A32" s="8">
        <v>21</v>
      </c>
      <c r="B32" s="43" t="str">
        <f>'Necesidades Trimestrales'!B30</f>
        <v>2.1.1-6546.133</v>
      </c>
      <c r="C32" s="112" t="str">
        <f>'Necesidades Trimestrales'!E30</f>
        <v>VERDURAS Y HORTALIZAS; VARIEDAD: PEREJIL, ESTADO: NATURAL, PRESENTACION: ATADO, PESO: 1 Kg</v>
      </c>
      <c r="D32" s="112"/>
      <c r="E32" s="112"/>
      <c r="F32" s="112"/>
      <c r="G32" s="112"/>
      <c r="H32" s="44" t="s">
        <v>242</v>
      </c>
      <c r="I32" s="45" t="str">
        <f>'Necesidades Trimestrales'!F30</f>
        <v>KG</v>
      </c>
      <c r="J32" s="55">
        <f>'Necesidades Trimestrales'!H30</f>
        <v>1100</v>
      </c>
      <c r="K32" s="46">
        <f>'Necesidades Trimestrales'!G30</f>
        <v>60</v>
      </c>
    </row>
    <row r="33" spans="1:11" ht="36" customHeight="1" thickBot="1" x14ac:dyDescent="0.25">
      <c r="A33" s="8">
        <v>22</v>
      </c>
      <c r="B33" s="43" t="str">
        <f>'Necesidades Trimestrales'!B31</f>
        <v>2.1.1-6546.95</v>
      </c>
      <c r="C33" s="112" t="str">
        <f>'Necesidades Trimestrales'!E31</f>
        <v>VERDURAS Y HORTALIZAS; VARIEDAD: MORRON VERDE, ESTADO: NATURAL, PRESENTACION: GRANEL, PESO: SIN VALOR</v>
      </c>
      <c r="D33" s="112"/>
      <c r="E33" s="112"/>
      <c r="F33" s="112"/>
      <c r="G33" s="112"/>
      <c r="H33" s="44" t="s">
        <v>242</v>
      </c>
      <c r="I33" s="45" t="str">
        <f>'Necesidades Trimestrales'!F31</f>
        <v>KG</v>
      </c>
      <c r="J33" s="55">
        <f>'Necesidades Trimestrales'!H31</f>
        <v>450</v>
      </c>
      <c r="K33" s="46">
        <f>'Necesidades Trimestrales'!G31</f>
        <v>200</v>
      </c>
    </row>
    <row r="34" spans="1:11" ht="36" customHeight="1" thickBot="1" x14ac:dyDescent="0.25">
      <c r="A34" s="8">
        <v>23</v>
      </c>
      <c r="B34" s="43" t="str">
        <f>'Necesidades Trimestrales'!B32</f>
        <v>2.1.1-6546.82</v>
      </c>
      <c r="C34" s="112" t="str">
        <f>'Necesidades Trimestrales'!E32</f>
        <v>VERDURAS Y HORTALIZAS: VARIEDAD, LECHUGA CRIOLLA, ESTADO: NATURAL, PRESENTACION: CAJON, PESO: SIN VALOR</v>
      </c>
      <c r="D34" s="112"/>
      <c r="E34" s="112"/>
      <c r="F34" s="112"/>
      <c r="G34" s="112"/>
      <c r="H34" s="44" t="s">
        <v>242</v>
      </c>
      <c r="I34" s="45" t="str">
        <f>'Necesidades Trimestrales'!F32</f>
        <v>CAJON</v>
      </c>
      <c r="J34" s="55">
        <f>'Necesidades Trimestrales'!H32</f>
        <v>3420</v>
      </c>
      <c r="K34" s="46">
        <f>'Necesidades Trimestrales'!G32</f>
        <v>2</v>
      </c>
    </row>
    <row r="35" spans="1:11" ht="36" customHeight="1" thickBot="1" x14ac:dyDescent="0.25">
      <c r="A35" s="8">
        <v>24</v>
      </c>
      <c r="B35" s="43" t="str">
        <f>'Necesidades Trimestrales'!B33</f>
        <v>2.1.1-6539.20</v>
      </c>
      <c r="C35" s="112" t="str">
        <f>'Necesidades Trimestrales'!E33</f>
        <v>FRUTAS; ESTADO: NATURAL, VARIEDAD: MANZANA RED DELICIOSA, PRESENTACION: CAJON, PESO: SIN VALOR</v>
      </c>
      <c r="D35" s="112"/>
      <c r="E35" s="112"/>
      <c r="F35" s="112"/>
      <c r="G35" s="112"/>
      <c r="H35" s="44" t="s">
        <v>242</v>
      </c>
      <c r="I35" s="45" t="str">
        <f>'Necesidades Trimestrales'!F33</f>
        <v>CAJON</v>
      </c>
      <c r="J35" s="55">
        <f>'Necesidades Trimestrales'!H33</f>
        <v>5000</v>
      </c>
      <c r="K35" s="46">
        <f>'Necesidades Trimestrales'!G33</f>
        <v>120</v>
      </c>
    </row>
    <row r="36" spans="1:11" ht="36" customHeight="1" thickBot="1" x14ac:dyDescent="0.25">
      <c r="A36" s="8">
        <v>25</v>
      </c>
      <c r="B36" s="43" t="str">
        <f>'Necesidades Trimestrales'!B34</f>
        <v>2.1.1-6539.30</v>
      </c>
      <c r="C36" s="112" t="str">
        <f>'Necesidades Trimestrales'!E34</f>
        <v>FRUTAS; VARIEDAD: BANANA, PRESENTACION: CAJON, ESTADO: NATURAL, PESO: SIN VALOR</v>
      </c>
      <c r="D36" s="112"/>
      <c r="E36" s="112"/>
      <c r="F36" s="112"/>
      <c r="G36" s="112"/>
      <c r="H36" s="44" t="s">
        <v>242</v>
      </c>
      <c r="I36" s="45" t="str">
        <f>'Necesidades Trimestrales'!F34</f>
        <v>CAJON</v>
      </c>
      <c r="J36" s="55">
        <f>'Necesidades Trimestrales'!H34</f>
        <v>6750</v>
      </c>
      <c r="K36" s="46">
        <f>'Necesidades Trimestrales'!G34</f>
        <v>120</v>
      </c>
    </row>
    <row r="37" spans="1:11" ht="36" customHeight="1" thickBot="1" x14ac:dyDescent="0.25">
      <c r="A37" s="8">
        <v>26</v>
      </c>
      <c r="B37" s="43" t="str">
        <f>'Necesidades Trimestrales'!B35</f>
        <v>2.1.1-6539.8</v>
      </c>
      <c r="C37" s="112" t="str">
        <f>'Necesidades Trimestrales'!E35</f>
        <v>FRUTAS; VARIEDAD: NARANJA ESPECIAL, ESTADO: NATURAL, PRESENTACION: CAJON, PESO: SIN VALOR</v>
      </c>
      <c r="D37" s="112"/>
      <c r="E37" s="112"/>
      <c r="F37" s="112"/>
      <c r="G37" s="112"/>
      <c r="H37" s="44" t="s">
        <v>242</v>
      </c>
      <c r="I37" s="45" t="str">
        <f>'Necesidades Trimestrales'!F35</f>
        <v>CAJON</v>
      </c>
      <c r="J37" s="55">
        <f>'Necesidades Trimestrales'!H35</f>
        <v>3000</v>
      </c>
      <c r="K37" s="46">
        <f>'Necesidades Trimestrales'!G35</f>
        <v>90</v>
      </c>
    </row>
    <row r="38" spans="1:11" ht="36" customHeight="1" thickBot="1" x14ac:dyDescent="0.25">
      <c r="A38" s="8">
        <v>27</v>
      </c>
      <c r="B38" s="43" t="str">
        <f>'Necesidades Trimestrales'!B36</f>
        <v>2.1.1-6539.32</v>
      </c>
      <c r="C38" s="112" t="str">
        <f>'Necesidades Trimestrales'!E36</f>
        <v>FRUTAS; VARIEDAD: PERA AMARILLA, ESTADO: NATURAL, PRESENTACION: CAJON, PESO: SIN VALOR</v>
      </c>
      <c r="D38" s="112"/>
      <c r="E38" s="112"/>
      <c r="F38" s="112"/>
      <c r="G38" s="112"/>
      <c r="H38" s="44" t="s">
        <v>242</v>
      </c>
      <c r="I38" s="45" t="str">
        <f>'Necesidades Trimestrales'!F36</f>
        <v>CAJON</v>
      </c>
      <c r="J38" s="55">
        <f>'Necesidades Trimestrales'!H36</f>
        <v>3400</v>
      </c>
      <c r="K38" s="46">
        <f>'Necesidades Trimestrales'!G36</f>
        <v>90</v>
      </c>
    </row>
    <row r="39" spans="1:11" ht="36" customHeight="1" thickBot="1" x14ac:dyDescent="0.25">
      <c r="A39" s="8">
        <v>28</v>
      </c>
      <c r="B39" s="43" t="str">
        <f>'Necesidades Trimestrales'!B37</f>
        <v>2.1.1-6539.187</v>
      </c>
      <c r="C39" s="112" t="str">
        <f>'Necesidades Trimestrales'!E37</f>
        <v>FRUTAS; VARIEDAD: LIMON, ESTADO: NATURAL, PRESENTACION: CAJON, ELEM. TRANSPORTE: SIN, MATERIAL ELEM. TRANSPORTE: SIN, ORGANICO: NO</v>
      </c>
      <c r="D39" s="112"/>
      <c r="E39" s="112"/>
      <c r="F39" s="112"/>
      <c r="G39" s="112"/>
      <c r="H39" s="44" t="s">
        <v>242</v>
      </c>
      <c r="I39" s="45" t="str">
        <f>'Necesidades Trimestrales'!F37</f>
        <v>CAJON</v>
      </c>
      <c r="J39" s="55">
        <f>'Necesidades Trimestrales'!H37</f>
        <v>4000</v>
      </c>
      <c r="K39" s="46">
        <f>'Necesidades Trimestrales'!G37</f>
        <v>60</v>
      </c>
    </row>
    <row r="40" spans="1:11" ht="36" customHeight="1" thickBot="1" x14ac:dyDescent="0.25">
      <c r="A40" s="8">
        <v>29</v>
      </c>
      <c r="B40" s="43" t="str">
        <f>'Necesidades Trimestrales'!B38</f>
        <v>2.1.1-6546.153</v>
      </c>
      <c r="C40" s="112" t="str">
        <f>'Necesidades Trimestrales'!E38</f>
        <v>VERDURAS Y HORTALIZAS; VARIEDAD: AJO, ESTADO: NATURAL, PRESENTACION: RISTRA, PESO: SIN VALOR</v>
      </c>
      <c r="D40" s="112"/>
      <c r="E40" s="112"/>
      <c r="F40" s="112"/>
      <c r="G40" s="112"/>
      <c r="H40" s="44" t="s">
        <v>242</v>
      </c>
      <c r="I40" s="45" t="str">
        <f>'Necesidades Trimestrales'!F38</f>
        <v>RISTRA</v>
      </c>
      <c r="J40" s="55">
        <f>'Necesidades Trimestrales'!H38</f>
        <v>1300</v>
      </c>
      <c r="K40" s="46">
        <f>'Necesidades Trimestrales'!G38</f>
        <v>21</v>
      </c>
    </row>
    <row r="41" spans="1:11" ht="36" customHeight="1" thickBot="1" x14ac:dyDescent="0.25">
      <c r="A41" s="8">
        <v>30</v>
      </c>
      <c r="B41" s="43" t="str">
        <f>'Necesidades Trimestrales'!B39</f>
        <v>2.1.1-6546.207</v>
      </c>
      <c r="C41" s="112" t="str">
        <f>'Necesidades Trimestrales'!E39</f>
        <v>VERDURAS Y HORTALIZAS; VARIEDAD: BATATA, ESTADO: NATURAL, PRESENTACION: BOLSA, PESO: 10 Kg</v>
      </c>
      <c r="D41" s="112"/>
      <c r="E41" s="112"/>
      <c r="F41" s="112"/>
      <c r="G41" s="112"/>
      <c r="H41" s="44" t="s">
        <v>242</v>
      </c>
      <c r="I41" s="45" t="str">
        <f>'Necesidades Trimestrales'!F39</f>
        <v xml:space="preserve">BOLSA </v>
      </c>
      <c r="J41" s="55">
        <f>'Necesidades Trimestrales'!H39</f>
        <v>1050</v>
      </c>
      <c r="K41" s="46">
        <f>'Necesidades Trimestrales'!G39</f>
        <v>30</v>
      </c>
    </row>
    <row r="42" spans="1:11" ht="36" customHeight="1" thickBot="1" x14ac:dyDescent="0.25">
      <c r="A42" s="8">
        <v>31</v>
      </c>
      <c r="B42" s="43" t="str">
        <f>'Necesidades Trimestrales'!B40</f>
        <v>2.1.1-6546.159</v>
      </c>
      <c r="C42" s="112" t="str">
        <f>'Necesidades Trimestrales'!E40</f>
        <v>VERDURAS Y HORTALIZAS; VARIEDAD: ZAPALLO CALABAZA, ESTADO: NATURAL, PRESENTACION: BOLSA, PESO: 20 Kg</v>
      </c>
      <c r="D42" s="112"/>
      <c r="E42" s="112"/>
      <c r="F42" s="112"/>
      <c r="G42" s="112"/>
      <c r="H42" s="44" t="s">
        <v>242</v>
      </c>
      <c r="I42" s="45" t="str">
        <f>'Necesidades Trimestrales'!F40</f>
        <v xml:space="preserve">BOLSA </v>
      </c>
      <c r="J42" s="55">
        <f>'Necesidades Trimestrales'!H40</f>
        <v>1900</v>
      </c>
      <c r="K42" s="46">
        <f>'Necesidades Trimestrales'!G40</f>
        <v>100</v>
      </c>
    </row>
    <row r="43" spans="1:11" ht="36" customHeight="1" thickBot="1" x14ac:dyDescent="0.25">
      <c r="A43" s="8">
        <v>32</v>
      </c>
      <c r="B43" s="43" t="str">
        <f>'Necesidades Trimestrales'!B41</f>
        <v>2.1.1-6546.177</v>
      </c>
      <c r="C43" s="112" t="str">
        <f>'Necesidades Trimestrales'!E41</f>
        <v>VERDURAS Y HORTALIZAS; VARIEDAD: BERENJENA, ESTADO: NATURAL, PRESENTACION: GRANEL, PESO: SIN VALOR</v>
      </c>
      <c r="D43" s="112"/>
      <c r="E43" s="112"/>
      <c r="F43" s="112"/>
      <c r="G43" s="112"/>
      <c r="H43" s="44" t="s">
        <v>242</v>
      </c>
      <c r="I43" s="45" t="str">
        <f>'Necesidades Trimestrales'!F41</f>
        <v xml:space="preserve">KG </v>
      </c>
      <c r="J43" s="55">
        <f>'Necesidades Trimestrales'!H41</f>
        <v>150</v>
      </c>
      <c r="K43" s="46">
        <f>'Necesidades Trimestrales'!G41</f>
        <v>420</v>
      </c>
    </row>
    <row r="44" spans="1:11" ht="36" customHeight="1" thickBot="1" x14ac:dyDescent="0.25">
      <c r="A44" s="8">
        <v>33</v>
      </c>
      <c r="B44" s="43" t="str">
        <f>'Necesidades Trimestrales'!B42</f>
        <v>2.1.1-6546.298</v>
      </c>
      <c r="C44" s="112" t="str">
        <f>'Necesidades Trimestrales'!E42</f>
        <v>VERDURAS Y HORTALIZAS; VARIEDAD: ZUCHINI, ESTADO: NATURAL, PRESENTACION: CAJON, PESO: 18 Kg</v>
      </c>
      <c r="D44" s="112"/>
      <c r="E44" s="112"/>
      <c r="F44" s="112"/>
      <c r="G44" s="112"/>
      <c r="H44" s="44" t="s">
        <v>242</v>
      </c>
      <c r="I44" s="45" t="str">
        <f>'Necesidades Trimestrales'!F42</f>
        <v xml:space="preserve">CAJON </v>
      </c>
      <c r="J44" s="55">
        <f>'Necesidades Trimestrales'!H42</f>
        <v>3600</v>
      </c>
      <c r="K44" s="46">
        <f>'Necesidades Trimestrales'!G42</f>
        <v>100</v>
      </c>
    </row>
    <row r="45" spans="1:11" ht="36" customHeight="1" thickBot="1" x14ac:dyDescent="0.25">
      <c r="A45" s="8">
        <v>34</v>
      </c>
      <c r="B45" s="43" t="str">
        <f>'Necesidades Trimestrales'!B43</f>
        <v>2.1.1-541.27</v>
      </c>
      <c r="C45" s="112" t="str">
        <f>'Necesidades Trimestrales'!E43</f>
        <v>CARNES; ESPECIE: VACUNA, CORTE: CUADRIL, TIPO: VACUNA</v>
      </c>
      <c r="D45" s="112"/>
      <c r="E45" s="112"/>
      <c r="F45" s="112"/>
      <c r="G45" s="112"/>
      <c r="H45" s="44" t="s">
        <v>242</v>
      </c>
      <c r="I45" s="45" t="str">
        <f>'Necesidades Trimestrales'!F43</f>
        <v>KG</v>
      </c>
      <c r="J45" s="55">
        <f>'Necesidades Trimestrales'!H43</f>
        <v>1810</v>
      </c>
      <c r="K45" s="46">
        <f>'Necesidades Trimestrales'!G43</f>
        <v>900</v>
      </c>
    </row>
    <row r="46" spans="1:11" ht="36" customHeight="1" thickBot="1" x14ac:dyDescent="0.25">
      <c r="A46" s="8">
        <v>35</v>
      </c>
      <c r="B46" s="43" t="str">
        <f>'Necesidades Trimestrales'!B44</f>
        <v>2.1.1-541.49</v>
      </c>
      <c r="C46" s="112" t="str">
        <f>'Necesidades Trimestrales'!E44</f>
        <v>CARNES; ESPECIE: VACUNA, CORTE: NALGA, TIPO: VACUNA</v>
      </c>
      <c r="D46" s="112"/>
      <c r="E46" s="112"/>
      <c r="F46" s="112"/>
      <c r="G46" s="112"/>
      <c r="H46" s="44" t="s">
        <v>242</v>
      </c>
      <c r="I46" s="45" t="str">
        <f>'Necesidades Trimestrales'!F44</f>
        <v>KG</v>
      </c>
      <c r="J46" s="55">
        <f>'Necesidades Trimestrales'!H44</f>
        <v>1810</v>
      </c>
      <c r="K46" s="46">
        <f>'Necesidades Trimestrales'!G44</f>
        <v>300</v>
      </c>
    </row>
    <row r="47" spans="1:11" ht="36" customHeight="1" thickBot="1" x14ac:dyDescent="0.25">
      <c r="A47" s="8">
        <v>36</v>
      </c>
      <c r="B47" s="43" t="str">
        <f>'Necesidades Trimestrales'!B45</f>
        <v>2.1.1-541.7</v>
      </c>
      <c r="C47" s="112" t="str">
        <f>'Necesidades Trimestrales'!E45</f>
        <v>CARNES; ESPECIE: VACUNA, CORTE: PICADA ESPECIAL, TIPO: VACUNA</v>
      </c>
      <c r="D47" s="112"/>
      <c r="E47" s="112"/>
      <c r="F47" s="112"/>
      <c r="G47" s="112"/>
      <c r="H47" s="44" t="s">
        <v>242</v>
      </c>
      <c r="I47" s="45" t="str">
        <f>'Necesidades Trimestrales'!F45</f>
        <v>KG</v>
      </c>
      <c r="J47" s="55">
        <f>'Necesidades Trimestrales'!H45</f>
        <v>990</v>
      </c>
      <c r="K47" s="46">
        <f>'Necesidades Trimestrales'!G45</f>
        <v>900</v>
      </c>
    </row>
    <row r="48" spans="1:11" ht="36" customHeight="1" thickBot="1" x14ac:dyDescent="0.25">
      <c r="A48" s="8">
        <v>37</v>
      </c>
      <c r="B48" s="43" t="str">
        <f>'Necesidades Trimestrales'!B46</f>
        <v>2.1.1-541.70</v>
      </c>
      <c r="C48" s="112" t="str">
        <f>'Necesidades Trimestrales'!E46</f>
        <v>CARNES; CORTE: CARRE CON LOMO, TIPO: PORCINA, ESPECIE: PORCINA</v>
      </c>
      <c r="D48" s="112"/>
      <c r="E48" s="112"/>
      <c r="F48" s="112"/>
      <c r="G48" s="112"/>
      <c r="H48" s="44" t="s">
        <v>242</v>
      </c>
      <c r="I48" s="45" t="str">
        <f>'Necesidades Trimestrales'!F46</f>
        <v>KG</v>
      </c>
      <c r="J48" s="55">
        <f>'Necesidades Trimestrales'!H46</f>
        <v>945</v>
      </c>
      <c r="K48" s="46">
        <f>'Necesidades Trimestrales'!G46</f>
        <v>200</v>
      </c>
    </row>
    <row r="49" spans="1:1024" ht="36" customHeight="1" thickBot="1" x14ac:dyDescent="0.25">
      <c r="A49" s="8">
        <v>38</v>
      </c>
      <c r="B49" s="43" t="str">
        <f>'Necesidades Trimestrales'!B47</f>
        <v>2.1.1-541.164</v>
      </c>
      <c r="C49" s="112" t="str">
        <f>'Necesidades Trimestrales'!E47</f>
        <v>CARNES; TIPO: PORCINA, CORTE: COSTELETA</v>
      </c>
      <c r="D49" s="112"/>
      <c r="E49" s="112"/>
      <c r="F49" s="112"/>
      <c r="G49" s="112"/>
      <c r="H49" s="44" t="s">
        <v>242</v>
      </c>
      <c r="I49" s="45" t="str">
        <f>'Necesidades Trimestrales'!F47</f>
        <v>KG</v>
      </c>
      <c r="J49" s="55">
        <f>'Necesidades Trimestrales'!H47</f>
        <v>945</v>
      </c>
      <c r="K49" s="46">
        <f>'Necesidades Trimestrales'!G47</f>
        <v>200</v>
      </c>
    </row>
    <row r="50" spans="1:1024" ht="36" customHeight="1" thickBot="1" x14ac:dyDescent="0.25">
      <c r="A50" s="8">
        <v>39</v>
      </c>
      <c r="B50" s="43" t="str">
        <f>'Necesidades Trimestrales'!B48</f>
        <v>2.1.1-542.212</v>
      </c>
      <c r="C50" s="112" t="str">
        <f>'Necesidades Trimestrales'!E48</f>
        <v>QUESOS; TIPO: CUARTIROLO, PRESENTACION: HORMA, ELEM. TRANSPORTE: SIN, MATERIAL ELEM. TRANSPORTE: SIN, MATERIAL ENVASE: SIN, CERTIFICADO FORESTAL (GFS): SIN, LIBRE DE GLUTEN: SI</v>
      </c>
      <c r="D50" s="112"/>
      <c r="E50" s="112"/>
      <c r="F50" s="112"/>
      <c r="G50" s="112"/>
      <c r="H50" s="44" t="s">
        <v>242</v>
      </c>
      <c r="I50" s="45" t="str">
        <f>'Necesidades Trimestrales'!F48</f>
        <v>UNIDAD</v>
      </c>
      <c r="J50" s="55">
        <f>'Necesidades Trimestrales'!H48</f>
        <v>3680</v>
      </c>
      <c r="K50" s="46">
        <f>'Necesidades Trimestrales'!G48</f>
        <v>210</v>
      </c>
    </row>
    <row r="51" spans="1:1024" ht="36" customHeight="1" thickBot="1" x14ac:dyDescent="0.25">
      <c r="A51" s="8">
        <v>40</v>
      </c>
      <c r="B51" s="43" t="str">
        <f>'Necesidades Trimestrales'!B49</f>
        <v>2.1.1-542.225</v>
      </c>
      <c r="C51" s="112" t="str">
        <f>'Necesidades Trimestrales'!E49</f>
        <v>QUESOS; TIPO: TYBO, PRESENTACION: ENVASE X 1 Kg, ELEM. TRANSPORTE: SIN, MATERIAL ELEM. TRANSPORTE: SIN, MATERIAL ENVASE: POLIESTIRENO, CERTIFICADO FORESTAL (GFS): SIN, LIBRE DE GLUTEN: SI</v>
      </c>
      <c r="D51" s="112"/>
      <c r="E51" s="112"/>
      <c r="F51" s="112"/>
      <c r="G51" s="112"/>
      <c r="H51" s="44" t="s">
        <v>242</v>
      </c>
      <c r="I51" s="45" t="str">
        <f>'Necesidades Trimestrales'!F49</f>
        <v>UNIDAD</v>
      </c>
      <c r="J51" s="55">
        <f>'Necesidades Trimestrales'!H49</f>
        <v>1500</v>
      </c>
      <c r="K51" s="46">
        <f>'Necesidades Trimestrales'!G49</f>
        <v>120</v>
      </c>
    </row>
    <row r="52" spans="1:1024" ht="51" customHeight="1" thickBot="1" x14ac:dyDescent="0.25">
      <c r="A52" s="8">
        <v>41</v>
      </c>
      <c r="B52" s="43" t="str">
        <f>'Necesidades Trimestrales'!B50</f>
        <v>2.1.1-542.207</v>
      </c>
      <c r="C52" s="112" t="str">
        <f>'Necesidades Trimestrales'!E50</f>
        <v>QUESOS; TIPO: SARDO, PRESENTACION: HORMA X 3 Kg, ELEM. TRANSPORTE: SIN, MATERIAL ELEM. TRANSPORTE: SIN, MATERIAL ENVASE: SIN, CERTIFICADO FORESTAL (GFS): SIN, LIBRE DE GLUTEN: NO</v>
      </c>
      <c r="D52" s="112"/>
      <c r="E52" s="112"/>
      <c r="F52" s="112"/>
      <c r="G52" s="112"/>
      <c r="H52" s="44" t="s">
        <v>242</v>
      </c>
      <c r="I52" s="45" t="str">
        <f>'Necesidades Trimestrales'!F50</f>
        <v>UNIDAD</v>
      </c>
      <c r="J52" s="55">
        <f>'Necesidades Trimestrales'!H50</f>
        <v>6869</v>
      </c>
      <c r="K52" s="46">
        <f>'Necesidades Trimestrales'!G50</f>
        <v>100</v>
      </c>
    </row>
    <row r="53" spans="1:1024" ht="56.25" customHeight="1" thickBot="1" x14ac:dyDescent="0.25">
      <c r="A53" s="8">
        <v>42</v>
      </c>
      <c r="B53" s="43" t="str">
        <f>'Necesidades Trimestrales'!B51</f>
        <v>2.1.1-969.35</v>
      </c>
      <c r="C53" s="112" t="str">
        <f>'Necesidades Trimestrales'!E51</f>
        <v>FIAMBRES; TIPO: JAMON COCIDO ITALIANO, PRESENTACION: AL PESO</v>
      </c>
      <c r="D53" s="112"/>
      <c r="E53" s="112"/>
      <c r="F53" s="112"/>
      <c r="G53" s="112"/>
      <c r="H53" s="44" t="s">
        <v>242</v>
      </c>
      <c r="I53" s="45" t="str">
        <f>'Necesidades Trimestrales'!F51</f>
        <v>KG</v>
      </c>
      <c r="J53" s="55">
        <f>'Necesidades Trimestrales'!H51</f>
        <v>1400</v>
      </c>
      <c r="K53" s="46">
        <f>'Necesidades Trimestrales'!G51</f>
        <v>200</v>
      </c>
    </row>
    <row r="54" spans="1:1024" ht="36" customHeight="1" thickBot="1" x14ac:dyDescent="0.25">
      <c r="A54" s="8">
        <v>43</v>
      </c>
      <c r="B54" s="43" t="str">
        <f>'Necesidades Trimestrales'!B52</f>
        <v>2.1.1-4975.2</v>
      </c>
      <c r="C54" s="112" t="str">
        <f>'Necesidades Trimestrales'!E52</f>
        <v>RICOTA; ENVASE: PAQUETE, PESO: 1 Kg, SABOR: SIN</v>
      </c>
      <c r="D54" s="112"/>
      <c r="E54" s="112"/>
      <c r="F54" s="112"/>
      <c r="G54" s="112"/>
      <c r="H54" s="44" t="s">
        <v>242</v>
      </c>
      <c r="I54" s="45" t="str">
        <f>'Necesidades Trimestrales'!F52</f>
        <v>UNIDAD</v>
      </c>
      <c r="J54" s="55">
        <f>'Necesidades Trimestrales'!H52</f>
        <v>540</v>
      </c>
      <c r="K54" s="46">
        <f>'Necesidades Trimestrales'!G52</f>
        <v>30</v>
      </c>
    </row>
    <row r="55" spans="1:1024" ht="36" customHeight="1" thickBot="1" x14ac:dyDescent="0.25">
      <c r="A55" s="8">
        <v>44</v>
      </c>
      <c r="B55" s="43" t="str">
        <f>'Necesidades Trimestrales'!B53</f>
        <v>2.1.1-707.35</v>
      </c>
      <c r="C55" s="112" t="str">
        <f>'Necesidades Trimestrales'!E53</f>
        <v>PASTAS FRESCAS; VARIEDAD: RAVIOL, RELLENO: RICOTA Y POLLO, PRESENTACION: ENVASE X 2 PLANCHAS</v>
      </c>
      <c r="D55" s="112"/>
      <c r="E55" s="112"/>
      <c r="F55" s="112"/>
      <c r="G55" s="112"/>
      <c r="H55" s="44" t="s">
        <v>242</v>
      </c>
      <c r="I55" s="45" t="str">
        <f>'Necesidades Trimestrales'!F53</f>
        <v>UNIDAD</v>
      </c>
      <c r="J55" s="55">
        <f>'Necesidades Trimestrales'!H53</f>
        <v>300</v>
      </c>
      <c r="K55" s="46">
        <f>'Necesidades Trimestrales'!G53</f>
        <v>500</v>
      </c>
    </row>
    <row r="56" spans="1:1024" ht="36" customHeight="1" thickBot="1" x14ac:dyDescent="0.25">
      <c r="A56" s="8">
        <v>45</v>
      </c>
      <c r="B56" s="43" t="str">
        <f>'Necesidades Trimestrales'!B54</f>
        <v>2.1.1-2429.1</v>
      </c>
      <c r="C56" s="112" t="str">
        <f>'Necesidades Trimestrales'!E54</f>
        <v>TAPAS P/TARTAS; TIPO: REDONDA, MASA: CASERA, PRESENTACION: BOLSA</v>
      </c>
      <c r="D56" s="112"/>
      <c r="E56" s="112"/>
      <c r="F56" s="112"/>
      <c r="G56" s="112"/>
      <c r="H56" s="44" t="s">
        <v>242</v>
      </c>
      <c r="I56" s="45" t="str">
        <f>'Necesidades Trimestrales'!F54</f>
        <v xml:space="preserve">BOLSA </v>
      </c>
      <c r="J56" s="55">
        <f>'Necesidades Trimestrales'!H54</f>
        <v>192</v>
      </c>
      <c r="K56" s="46">
        <f>'Necesidades Trimestrales'!G54</f>
        <v>800</v>
      </c>
    </row>
    <row r="57" spans="1:1024" ht="36" customHeight="1" thickBot="1" x14ac:dyDescent="0.25">
      <c r="A57" s="8">
        <v>46</v>
      </c>
      <c r="B57" s="43" t="str">
        <f>'Necesidades Trimestrales'!B55</f>
        <v>2.1.1-2610.1</v>
      </c>
      <c r="C57" s="112" t="str">
        <f>'Necesidades Trimestrales'!E55</f>
        <v>TAPAS P/EMPANADAS; TIPO: P/HORNO, PRESENTACION: BOLSA X 12</v>
      </c>
      <c r="D57" s="112"/>
      <c r="E57" s="112"/>
      <c r="F57" s="112"/>
      <c r="G57" s="112"/>
      <c r="H57" s="44" t="s">
        <v>242</v>
      </c>
      <c r="I57" s="45" t="str">
        <f>'Necesidades Trimestrales'!F55</f>
        <v xml:space="preserve">BOLSA </v>
      </c>
      <c r="J57" s="55">
        <f>'Necesidades Trimestrales'!H55</f>
        <v>169</v>
      </c>
      <c r="K57" s="46">
        <f>'Necesidades Trimestrales'!G55</f>
        <v>800</v>
      </c>
    </row>
    <row r="58" spans="1:1024" ht="36" customHeight="1" thickBot="1" x14ac:dyDescent="0.25">
      <c r="A58" s="8">
        <v>47</v>
      </c>
      <c r="B58" s="43" t="str">
        <f>'Necesidades Trimestrales'!B56</f>
        <v>2.1.1-456.79</v>
      </c>
      <c r="C58" s="112" t="str">
        <f>'Necesidades Trimestrales'!E56</f>
        <v>YOGHURT; TIPO: DESCREMADO, AGREGADO: SIN, CONSISTENCIA: FIRME, SABOR: VAINILLA, PRESENTACION: POTE PLASTICO X 200 GR</v>
      </c>
      <c r="D58" s="112"/>
      <c r="E58" s="112"/>
      <c r="F58" s="112"/>
      <c r="G58" s="112"/>
      <c r="H58" s="44" t="s">
        <v>242</v>
      </c>
      <c r="I58" s="45" t="str">
        <f>'Necesidades Trimestrales'!F56</f>
        <v xml:space="preserve">POTE </v>
      </c>
      <c r="J58" s="55">
        <f>'Necesidades Trimestrales'!H56</f>
        <v>120</v>
      </c>
      <c r="K58" s="46">
        <f>'Necesidades Trimestrales'!G56</f>
        <v>1000</v>
      </c>
    </row>
    <row r="59" spans="1:1024" ht="30" customHeight="1" thickBot="1" x14ac:dyDescent="0.25">
      <c r="A59" s="118" t="s">
        <v>275</v>
      </c>
      <c r="B59" s="118"/>
      <c r="C59" s="118"/>
      <c r="D59" s="118"/>
      <c r="E59" s="118"/>
      <c r="F59" s="118"/>
      <c r="G59" s="118"/>
      <c r="H59" s="118"/>
      <c r="I59" s="118"/>
      <c r="J59" s="122">
        <f>SUMPRODUCT(J12:J58,K12:K58)</f>
        <v>16286036</v>
      </c>
      <c r="K59" s="122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</sheetData>
  <mergeCells count="69">
    <mergeCell ref="C42:G42"/>
    <mergeCell ref="C43:G43"/>
    <mergeCell ref="C44:G44"/>
    <mergeCell ref="C46:G46"/>
    <mergeCell ref="C47:G47"/>
    <mergeCell ref="A59:I59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5:G35"/>
    <mergeCell ref="C34:G34"/>
    <mergeCell ref="J59:K5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C33:G33"/>
    <mergeCell ref="C29:G29"/>
    <mergeCell ref="C30:G30"/>
    <mergeCell ref="C31:G31"/>
    <mergeCell ref="C32:G32"/>
    <mergeCell ref="C13:G13"/>
    <mergeCell ref="C14:G14"/>
    <mergeCell ref="C15:G15"/>
    <mergeCell ref="C16:G16"/>
    <mergeCell ref="C56:G56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57:G57"/>
    <mergeCell ref="C58:G58"/>
    <mergeCell ref="C39:G39"/>
    <mergeCell ref="C40:G40"/>
    <mergeCell ref="C41:G41"/>
    <mergeCell ref="C45:G45"/>
    <mergeCell ref="C48:G48"/>
    <mergeCell ref="C49:G49"/>
    <mergeCell ref="C50:G50"/>
    <mergeCell ref="C51:G51"/>
    <mergeCell ref="C52:G52"/>
    <mergeCell ref="C53:G53"/>
    <mergeCell ref="C54:G54"/>
    <mergeCell ref="C55:G55"/>
  </mergeCells>
  <printOptions horizontalCentered="1"/>
  <pageMargins left="0.19685039370078741" right="0.19685039370078741" top="0.6" bottom="0.61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topLeftCell="A10" zoomScale="130" zoomScaleNormal="130" workbookViewId="0">
      <selection activeCell="R19" sqref="R19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6" t="s">
        <v>3</v>
      </c>
      <c r="B1" s="146"/>
      <c r="C1" s="146"/>
      <c r="D1" s="147">
        <f>'Necesidades Trimestrales'!C6</f>
        <v>2022</v>
      </c>
      <c r="E1" s="147"/>
      <c r="F1" s="10"/>
      <c r="G1" s="10"/>
      <c r="H1" s="11"/>
      <c r="I1" s="11"/>
      <c r="J1" s="11"/>
      <c r="K1" s="11"/>
      <c r="L1" s="11"/>
      <c r="M1" s="11"/>
      <c r="N1" s="11"/>
      <c r="P1" s="148" t="s">
        <v>24</v>
      </c>
      <c r="Q1" s="148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8"/>
      <c r="Q2" s="148"/>
    </row>
    <row r="4" spans="1:17" s="12" customFormat="1" ht="18" customHeight="1" thickBot="1" x14ac:dyDescent="0.25">
      <c r="A4" s="149" t="s">
        <v>25</v>
      </c>
      <c r="B4" s="149"/>
      <c r="C4" s="149"/>
      <c r="D4" s="149"/>
      <c r="E4" s="149"/>
      <c r="F4" s="149"/>
      <c r="G4" s="144" t="str">
        <f>NotaPedido!D3</f>
        <v>40 - Ministerio de Salud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12" customFormat="1" ht="18" customHeight="1" thickBot="1" x14ac:dyDescent="0.25">
      <c r="A5" s="141" t="s">
        <v>48</v>
      </c>
      <c r="B5" s="142"/>
      <c r="C5" s="142"/>
      <c r="D5" s="142"/>
      <c r="E5" s="142"/>
      <c r="F5" s="143"/>
      <c r="G5" s="144" t="str">
        <f>NotaPedido!D4</f>
        <v>23 - Hospital Interzonal San Juan Bautista</v>
      </c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s="12" customFormat="1" ht="18" customHeight="1" thickBot="1" x14ac:dyDescent="0.25">
      <c r="A6" s="141" t="s">
        <v>26</v>
      </c>
      <c r="B6" s="142"/>
      <c r="C6" s="142"/>
      <c r="D6" s="142"/>
      <c r="E6" s="142"/>
      <c r="F6" s="143"/>
      <c r="G6" s="144" t="str">
        <f>NotaPedido!D5</f>
        <v>168 - Direccion Asistencial</v>
      </c>
      <c r="H6" s="144"/>
      <c r="I6" s="144"/>
      <c r="J6" s="144"/>
      <c r="K6" s="144"/>
      <c r="L6" s="144"/>
      <c r="M6" s="144"/>
      <c r="N6" s="144"/>
      <c r="O6" s="144"/>
      <c r="P6" s="144"/>
      <c r="Q6" s="144"/>
    </row>
    <row r="7" spans="1:17" s="12" customFormat="1" ht="18" customHeight="1" thickBot="1" x14ac:dyDescent="0.25">
      <c r="A7" s="141" t="s">
        <v>49</v>
      </c>
      <c r="B7" s="142"/>
      <c r="C7" s="142"/>
      <c r="D7" s="142"/>
      <c r="E7" s="142"/>
      <c r="F7" s="143"/>
      <c r="G7" s="144" t="str">
        <f>NotaPedido!D6</f>
        <v>Servicio de Nutricion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 x14ac:dyDescent="0.25">
      <c r="A8" s="145" t="s">
        <v>27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35" t="s">
        <v>28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"/>
      <c r="P9" s="1"/>
      <c r="Q9" s="13"/>
    </row>
    <row r="10" spans="1:17" ht="54.75" customHeight="1" x14ac:dyDescent="0.2">
      <c r="A10" s="136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DOCFI-2022-01231900-CAT-DASIS_HSJB,  afectando la erogación resultante a los créditos presupuestarios aprobados a favor de esta Unidad Ejecutora, conforme al siguiente detalle: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7" t="s">
        <v>29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x14ac:dyDescent="0.2">
      <c r="A13" s="138" t="s">
        <v>30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31</v>
      </c>
      <c r="P13" s="139"/>
      <c r="Q13" s="140" t="s">
        <v>32</v>
      </c>
    </row>
    <row r="14" spans="1:17" ht="15.75" customHeight="1" x14ac:dyDescent="0.2">
      <c r="A14" s="18" t="s">
        <v>33</v>
      </c>
      <c r="B14" s="19" t="s">
        <v>34</v>
      </c>
      <c r="C14" s="19" t="s">
        <v>35</v>
      </c>
      <c r="D14" s="19" t="s">
        <v>36</v>
      </c>
      <c r="E14" s="19" t="s">
        <v>37</v>
      </c>
      <c r="F14" s="19" t="s">
        <v>38</v>
      </c>
      <c r="G14" s="20" t="s">
        <v>39</v>
      </c>
      <c r="H14" s="19" t="s">
        <v>40</v>
      </c>
      <c r="I14" s="19" t="s">
        <v>41</v>
      </c>
      <c r="J14" s="19" t="s">
        <v>42</v>
      </c>
      <c r="K14" s="19" t="s">
        <v>42</v>
      </c>
      <c r="L14" s="19" t="s">
        <v>43</v>
      </c>
      <c r="M14" s="21" t="s">
        <v>44</v>
      </c>
      <c r="N14" s="22" t="s">
        <v>45</v>
      </c>
      <c r="O14" s="139"/>
      <c r="P14" s="139"/>
      <c r="Q14" s="140"/>
    </row>
    <row r="15" spans="1:17" ht="17.25" customHeight="1" x14ac:dyDescent="0.2">
      <c r="A15" s="49">
        <v>33</v>
      </c>
      <c r="B15" s="50"/>
      <c r="C15" s="50"/>
      <c r="D15" s="50">
        <v>2</v>
      </c>
      <c r="E15" s="50"/>
      <c r="F15" s="50">
        <v>4901</v>
      </c>
      <c r="G15" s="50">
        <v>3</v>
      </c>
      <c r="H15" s="51" t="s">
        <v>53</v>
      </c>
      <c r="I15" s="52">
        <v>2</v>
      </c>
      <c r="J15" s="52">
        <v>1</v>
      </c>
      <c r="K15" s="52">
        <v>1</v>
      </c>
      <c r="L15" s="50"/>
      <c r="M15" s="53">
        <v>1</v>
      </c>
      <c r="N15" s="51" t="s">
        <v>54</v>
      </c>
      <c r="O15" s="129" t="s">
        <v>131</v>
      </c>
      <c r="P15" s="129"/>
      <c r="Q15" s="93">
        <v>16286036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47"/>
      <c r="I16" s="24"/>
      <c r="J16" s="24"/>
      <c r="K16" s="24"/>
      <c r="L16" s="24"/>
      <c r="M16" s="25"/>
      <c r="N16" s="48"/>
      <c r="O16" s="130"/>
      <c r="P16" s="130"/>
      <c r="Q16" s="27"/>
    </row>
    <row r="17" spans="1:19" ht="17.25" customHeight="1" x14ac:dyDescent="0.2">
      <c r="A17" s="23"/>
      <c r="B17" s="24"/>
      <c r="C17" s="24"/>
      <c r="D17" s="24"/>
      <c r="E17" s="24"/>
      <c r="F17" s="26"/>
      <c r="G17" s="24"/>
      <c r="H17" s="47"/>
      <c r="I17" s="24"/>
      <c r="J17" s="24"/>
      <c r="K17" s="24"/>
      <c r="L17" s="24"/>
      <c r="M17" s="25"/>
      <c r="N17" s="48"/>
      <c r="O17" s="130"/>
      <c r="P17" s="130"/>
      <c r="Q17" s="27"/>
      <c r="S17" s="54"/>
    </row>
    <row r="18" spans="1:19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6"/>
      <c r="O18" s="124"/>
      <c r="P18" s="124"/>
      <c r="Q18" s="27"/>
    </row>
    <row r="19" spans="1:19" ht="17.25" customHeight="1" x14ac:dyDescent="0.2">
      <c r="A19" s="28"/>
      <c r="B19" s="29"/>
      <c r="C19" s="29"/>
      <c r="D19" s="29"/>
      <c r="E19" s="29"/>
      <c r="F19" s="30"/>
      <c r="G19" s="29"/>
      <c r="H19" s="29"/>
      <c r="I19" s="29"/>
      <c r="J19" s="29"/>
      <c r="K19" s="29"/>
      <c r="L19" s="29"/>
      <c r="M19" s="31"/>
      <c r="N19" s="32"/>
      <c r="O19" s="125"/>
      <c r="P19" s="125"/>
      <c r="Q19" s="27"/>
      <c r="R19" s="1"/>
    </row>
    <row r="20" spans="1:19" ht="17.25" customHeigh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5"/>
      <c r="N20" s="34"/>
      <c r="O20" s="126"/>
      <c r="P20" s="126"/>
      <c r="Q20" s="36"/>
    </row>
    <row r="21" spans="1:19" ht="31.9" customHeight="1" x14ac:dyDescent="0.2">
      <c r="A21" s="127" t="s">
        <v>276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94">
        <f>+Q15</f>
        <v>16286036</v>
      </c>
    </row>
    <row r="22" spans="1:19" ht="18" customHeight="1" thickBot="1" x14ac:dyDescent="0.25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</row>
    <row r="23" spans="1:19" ht="17.25" customHeight="1" thickBot="1" x14ac:dyDescent="0.25">
      <c r="A23" s="131" t="s">
        <v>46</v>
      </c>
      <c r="B23" s="132"/>
      <c r="C23" s="132"/>
      <c r="D23" s="132"/>
      <c r="E23" s="132"/>
      <c r="F23" s="133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</row>
    <row r="24" spans="1:19" ht="18" customHeight="1" thickBot="1" x14ac:dyDescent="0.25">
      <c r="A24" s="123" t="str">
        <f>"Para la "&amp; NotaPedido!D8 &amp;" para ser destinados al " &amp; NotaPedido!D6 &amp;" del HISJB del Ministerio de Salud."</f>
        <v>Para la Adquisición de Alimentos Perecederos para ser destinados al Servicio de Nutricion del HISJB del Ministerio de Salud.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</row>
    <row r="25" spans="1:19" ht="15" customHeight="1" x14ac:dyDescent="0.2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NotaPedido</vt:lpstr>
      <vt:lpstr>Autor Gastar</vt:lpstr>
      <vt:lpstr>'Autor Gastar'!Área_de_impresión</vt:lpstr>
      <vt:lpstr>'Necesidades Trimestrales'!Área_de_impresión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2022-06-16T11:09:21Z</cp:lastPrinted>
  <dcterms:created xsi:type="dcterms:W3CDTF">2020-07-17T23:44:49Z</dcterms:created>
  <dcterms:modified xsi:type="dcterms:W3CDTF">2022-07-12T11:40:40Z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