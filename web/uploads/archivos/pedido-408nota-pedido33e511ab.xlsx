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\Downloads\"/>
    </mc:Choice>
  </mc:AlternateContent>
  <xr:revisionPtr revIDLastSave="0" documentId="8_{F18FECFE-363B-4379-B901-B3B31837B4C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Print_Area" localSheetId="1">' NotaPedido'!$A$1:$K$13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3" l="1"/>
  <c r="I10" i="1" l="1"/>
  <c r="I11" i="1" s="1"/>
  <c r="D7" i="2" l="1"/>
  <c r="D3" i="2"/>
  <c r="D4" i="2"/>
  <c r="K12" i="2" l="1"/>
  <c r="J13" i="2" s="1"/>
  <c r="Q16" i="3" s="1"/>
  <c r="J12" i="2"/>
  <c r="I12" i="2"/>
  <c r="C12" i="2"/>
  <c r="B12" i="2"/>
</calcChain>
</file>

<file path=xl/sharedStrings.xml><?xml version="1.0" encoding="utf-8"?>
<sst xmlns="http://schemas.openxmlformats.org/spreadsheetml/2006/main" count="88" uniqueCount="81">
  <si>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</si>
  <si>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</si>
  <si>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</si>
  <si>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</si>
  <si>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</si>
  <si>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</si>
  <si>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</si>
  <si>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</si>
  <si>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</si>
  <si>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</si>
  <si>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</si>
  <si>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</si>
  <si>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</si>
  <si>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</si>
  <si>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</si>
  <si>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 Item N° 1: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</si>
  <si>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</si>
  <si>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</si>
  <si>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</si>
  <si>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</si>
  <si>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</si>
  <si>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</si>
  <si>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</si>
  <si>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</si>
  <si>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</si>
  <si>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</si>
  <si>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</si>
  <si>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</si>
  <si>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</si>
  <si>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</si>
  <si>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</si>
  <si>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</si>
  <si>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UNIDAD EJECUTORA:</t>
  </si>
  <si>
    <t xml:space="preserve">JURISDICCIÓN: </t>
  </si>
  <si>
    <t>SAF:</t>
  </si>
  <si>
    <t xml:space="preserve">DEPENDENCIA SOLICITANTE: </t>
  </si>
  <si>
    <t>GARANTÍA mínima de cinco años o 150.000 Km lo que ocurra primero, estableciendo claramente que partes mecánicas y/o electrónicas alcanzan dicha Garantía</t>
  </si>
  <si>
    <t>30 días</t>
  </si>
  <si>
    <t>Adquisición de unidades móviles destinadas a la Policía de la Provincia de Catamarca</t>
  </si>
  <si>
    <t>4.3.2.</t>
  </si>
  <si>
    <t>Descripción</t>
  </si>
  <si>
    <t>Que cumpla con lo solicitado.</t>
  </si>
  <si>
    <t>AUTORIZACION PARA GASTAR</t>
  </si>
  <si>
    <t>JURISDICCIÓN:</t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</si>
  <si>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</si>
  <si>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</si>
  <si>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</si>
  <si>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</si>
  <si>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</si>
  <si>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</si>
  <si>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</si>
  <si>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</si>
  <si>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</si>
  <si>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</si>
  <si>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</si>
  <si>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</si>
  <si>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</si>
  <si>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</si>
  <si>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</si>
  <si>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</si>
  <si>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</si>
  <si>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</si>
  <si>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</si>
  <si>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1.1</t>
  </si>
  <si>
    <r>
      <t>AUTORIZACIÓN</t>
    </r>
    <r>
      <rPr>
        <b/>
        <sz val="10"/>
        <rFont val="Century Gothic"/>
        <family val="2"/>
      </rPr>
      <t>:</t>
    </r>
  </si>
  <si>
    <t>4.4.0-9112.248</t>
  </si>
  <si>
    <t xml:space="preserve">EQUIPO MILITAR Y DE SEGURIDAD </t>
  </si>
  <si>
    <t>VEHICULOS P/FUERZA SEGURIDAD; TIPO: MOTOCICLETA, MOTOR:NAFTERO, POTENCIA: MAXIMA 13,6 CV, AÑO: SEGUN PLIEGO, CAJA DE VELOCIDAD: 5, CILINDRADA: 197 CM3</t>
  </si>
  <si>
    <t>Costo Total Estimado: PESOS DOS MILLONES NOVECIENTOS OCHENTA Y TRES MIL CUATROCIENTOS CON 00/100</t>
  </si>
  <si>
    <t>19 - DIRECCION DE ADM. Y RR.HH. DEL MINISTERIO DE SEGURIDAD</t>
  </si>
  <si>
    <t>90- MINISTERIO DE SEGURIDAD</t>
  </si>
  <si>
    <t>DIRECCION DE ADM. Y RR.HH. DEL MINISTERIO DE SEGURIDAD</t>
  </si>
  <si>
    <t>EQUIPO DE TRACCION Y ELEVACION</t>
  </si>
  <si>
    <t>003/2021</t>
  </si>
  <si>
    <t xml:space="preserve">Autorizo la realizacion de los trámites correspondientes, a fin de proveer a este Organismo los bienes y/o servicios que se detallan en Nota de Pedido N° 003/2021, afectando la erogacion resulatante a los créditos presupuestarios aprobados a favor de esta Unidad Ejecutora, conforme al siguiente detalle: </t>
  </si>
  <si>
    <t xml:space="preserve"> DIRECCION DE ADM. Y RR.HH. DEL MINISTERIO DE SEGURIDAD</t>
  </si>
  <si>
    <t>Para la adquisición de de unidades móviles destinadas a la Policia de la Provincia de Catamarca correspondientes al 1° TRIMESTRE.</t>
  </si>
  <si>
    <t>TOTAL DE PESOS: TRES MILLONES CON 00/100</t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</si>
  <si>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Siete(07) días hábiles, contados a partir de la recepción de la comunicación prevista en el Artículo 80° de del Reglamento Parcial N° 2 de la ley 4938.</t>
    </r>
  </si>
  <si>
    <t>División Transporte - Dpto. Logística de la Policia de Catamarca</t>
  </si>
  <si>
    <r>
      <t>CARACTERÍSTICAS:</t>
    </r>
    <r>
      <rPr>
        <sz val="10"/>
        <rFont val="Century Gothic"/>
        <family val="2"/>
      </rPr>
      <t xml:space="preserve">  Motocicleta tipo todo terreno, Año: 2021. Cilindrada hasta 200 cc . Alimentación: carburador o Inyección Electrónica –TIPO MOTOR: cg 4t con balanceador interno, refrigerado por aire, POTENCIA MINIMA :  cg 4t con balanceador interno, refrigerado por aire , Combustible: Nafta, Frenos: Delanteros a disco  y  traseros cinta Neumáticos: delanteros 90/90-19, traseros: 120/90-18.  Suspensión: Delantera a horquilla independiente, s. trasera Monoshock. Arranque: AA  Trasmisión: 5 vel. de engrane constante.  GARANTIA TÉCNICA MOTO: vigente por TRES AÑOS 0 36.000 kms. ---------------------------------
</t>
    </r>
    <r>
      <rPr>
        <b/>
        <u/>
        <sz val="10"/>
        <rFont val="Century Gothic"/>
        <family val="2"/>
      </rPr>
      <t>DEBERÁ CONTAR  CON</t>
    </r>
    <r>
      <rPr>
        <sz val="10"/>
        <rFont val="Century Gothic"/>
        <family val="2"/>
      </rPr>
      <t xml:space="preserve">: </t>
    </r>
    <r>
      <rPr>
        <b/>
        <sz val="10"/>
        <rFont val="Century Gothic"/>
        <family val="2"/>
      </rPr>
      <t>1)</t>
    </r>
    <r>
      <rPr>
        <sz val="10"/>
        <rFont val="Century Gothic"/>
        <family val="2"/>
      </rPr>
      <t xml:space="preserve">.Equipamiento Policial: Estructura metálica “mata perros”; Balizas para motocicletas, compuesto por luz trasera central sobre cola con iluminación de 360° de LED, diámetro de 12 a 17cm, luces delanteras dos (02), distribuidas una (01) en cada lado del manillar, mínimo 6 posiciones, destello en combinación una con otra incluyendo la trasera, Sirena para uso exterior con potencia de salida de 12V mínimo 25W, combinado sirena y speaker (alta voz) incluirá micrófono alojado en el manillar, de alto impacto y tamaño reducido, deberá poseer mínimo 5 tonos y uno de pedido de paso. Comando de luces y sirenas deberá colocarse en el manillar del lado contrario del acelerador, de luces y sirenas y un pulsador para toques cortos.  Sistema electrónico y cableado de última generación deberá incluir instalación con material, porta fusible de protección, soporte de faros y sirenas. </t>
    </r>
    <r>
      <rPr>
        <b/>
        <sz val="10"/>
        <rFont val="Century Gothic"/>
        <family val="2"/>
      </rPr>
      <t>2)</t>
    </r>
    <r>
      <rPr>
        <sz val="10"/>
        <rFont val="Century Gothic"/>
        <family val="2"/>
      </rPr>
      <t xml:space="preserve"> Garantía de los elementos por el término mínimo de 12 meses   </t>
    </r>
    <r>
      <rPr>
        <b/>
        <sz val="10"/>
        <rFont val="Century Gothic"/>
        <family val="2"/>
      </rPr>
      <t>3).</t>
    </r>
    <r>
      <rPr>
        <sz val="10"/>
        <rFont val="Century Gothic"/>
        <family val="2"/>
      </rPr>
      <t xml:space="preserve"> Casco de protección homologado, color negro, tipo integral, con mentonera rebatible. </t>
    </r>
    <r>
      <rPr>
        <b/>
        <sz val="10"/>
        <rFont val="Century Gothic"/>
        <family val="2"/>
      </rPr>
      <t>4)</t>
    </r>
    <r>
      <rPr>
        <sz val="10"/>
        <rFont val="Century Gothic"/>
        <family val="2"/>
      </rPr>
      <t xml:space="preserve">. Ploteo de acuerdo a modelo de móvil policial. Al momento de ser entregadas deberán estar PATENTADAS a nombre de “POLICIA DE CATAMARCA”, como así también tener cobertura de seguros de responsabilidad civil contra terceros y terceros transportados por el término de sesenta  (60) días contados a partir de la recepción definitiva de los móviles.-------------------------------------------------------------------------------------------------------------
</t>
    </r>
    <r>
      <rPr>
        <b/>
        <u/>
        <sz val="10"/>
        <rFont val="Century Gothic"/>
        <family val="2"/>
      </rPr>
      <t xml:space="preserve">Deberá especificar: </t>
    </r>
    <r>
      <rPr>
        <b/>
        <sz val="10"/>
        <rFont val="Century Gothic"/>
        <family val="2"/>
      </rPr>
      <t>1</t>
    </r>
    <r>
      <rPr>
        <sz val="10"/>
        <rFont val="Century Gothic"/>
        <family val="2"/>
      </rPr>
      <t xml:space="preserve">) SERVICIOS que cubre la concesionaria sin cargo y cuáles no (indicando progresivamente cada service); </t>
    </r>
    <r>
      <rPr>
        <b/>
        <sz val="10"/>
        <rFont val="Century Gothic"/>
        <family val="2"/>
      </rPr>
      <t>2)</t>
    </r>
    <r>
      <rPr>
        <sz val="10"/>
        <rFont val="Century Gothic"/>
        <family val="2"/>
      </rPr>
      <t xml:space="preserve"> CURSO DE CAPACITACIÓN para el personal de mantenimiento; </t>
    </r>
    <r>
      <rPr>
        <b/>
        <sz val="10"/>
        <rFont val="Century Gothic"/>
        <family val="2"/>
      </rPr>
      <t>3</t>
    </r>
    <r>
      <rPr>
        <sz val="10"/>
        <rFont val="Century Gothic"/>
        <family val="2"/>
      </rPr>
      <t xml:space="preserve">)Manual de información y reseteo del vehículo; </t>
    </r>
    <r>
      <rPr>
        <b/>
        <sz val="10"/>
        <rFont val="Century Gothic"/>
        <family val="2"/>
      </rPr>
      <t>4)</t>
    </r>
    <r>
      <rPr>
        <sz val="10"/>
        <rFont val="Century Gothic"/>
        <family val="2"/>
      </rPr>
      <t xml:space="preserve"> PATENTAMIENTO a nombre de “POLICIA DE LA PROVINCIA DE CATAMARCA” – </t>
    </r>
    <r>
      <rPr>
        <b/>
        <sz val="10"/>
        <rFont val="Century Gothic"/>
        <family val="2"/>
      </rPr>
      <t>5)</t>
    </r>
    <r>
      <rPr>
        <sz val="10"/>
        <rFont val="Century Gothic"/>
        <family val="2"/>
      </rPr>
      <t xml:space="preserve"> COBERTURA DE SEGURO OBLIGATORIO de responsabilidad civil contra terceros y terceros transportados por 60 (sesenta) días, contados a partir de la recepción definitiva de los móviles. -----------------------------------------------------------------------------------------------------------------------------------------------------------------------------------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</si>
</sst>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&quot; €&quot;_-;\-* #,##0.00&quot; €&quot;_-;_-* \-??&quot; €&quot;_-;_-@_-"/>
    <numFmt numFmtId="165" formatCode="[$$-2C0A]\ #,##0.00;[$$-2C0A]&quot; -&quot;#,##0.00"/>
    <numFmt numFmtId="166" formatCode="[$$-2C0A]\ #,##0.00"/>
    <numFmt numFmtId="167" formatCode="dd\-mm\-yy;@"/>
  </numFmts>
  <fonts count="24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sz val="9"/>
      <name val="Century Gothic"/>
      <family val="2"/>
    </font>
    <font>
      <sz val="9"/>
      <color rgb="FF000000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u/>
      <sz val="12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sz val="10"/>
      <color rgb="FFFF0000"/>
      <name val="Century Gothic"/>
      <family val="2"/>
    </font>
    <font>
      <sz val="12"/>
      <color rgb="FF000000"/>
      <name val="Century Gothic"/>
      <family val="2"/>
    </font>
    <font>
      <sz val="11"/>
      <color rgb="FF00000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/>
      <top style="medium">
        <color rgb="FF3D3D3D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rgb="FF3D3D3D"/>
      </left>
      <right/>
      <top style="medium">
        <color rgb="FF3D3D3D"/>
      </top>
      <bottom style="medium">
        <color auto="1"/>
      </bottom>
      <diagonal/>
    </border>
    <border>
      <left/>
      <right style="medium">
        <color auto="1"/>
      </right>
      <top style="medium">
        <color rgb="FF3D3D3D"/>
      </top>
      <bottom style="medium">
        <color auto="1"/>
      </bottom>
      <diagonal/>
    </border>
  </borders>
  <cellStyleXfs count="5">
    <xf numFmtId="0" fontId="0" fillId="0" borderId="0"/>
    <xf numFmtId="164" fontId="4" fillId="0" borderId="0" applyBorder="0" applyProtection="0"/>
    <xf numFmtId="0" fontId="1" fillId="0" borderId="1" applyProtection="0"/>
    <xf numFmtId="0" fontId="3" fillId="2" borderId="0" applyBorder="0" applyProtection="0"/>
    <xf numFmtId="164" fontId="2" fillId="0" borderId="0" applyBorder="0" applyProtection="0"/>
  </cellStyleXfs>
  <cellXfs count="143">
    <xf numFmtId="0" fontId="0" fillId="0" borderId="0" xfId="0"/>
    <xf numFmtId="0" fontId="5" fillId="0" borderId="0" xfId="0" applyFont="1"/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center" wrapText="1"/>
    </xf>
    <xf numFmtId="0" fontId="8" fillId="0" borderId="0" xfId="0" applyFont="1" applyFill="1" applyAlignment="1">
      <alignment horizontal="left" wrapText="1" indent="1"/>
    </xf>
    <xf numFmtId="0" fontId="10" fillId="0" borderId="0" xfId="0" applyFont="1" applyFill="1" applyAlignment="1">
      <alignment horizontal="left" wrapText="1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3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0" xfId="0" applyFont="1" applyBorder="1"/>
    <xf numFmtId="0" fontId="5" fillId="0" borderId="6" xfId="0" applyFont="1" applyBorder="1"/>
    <xf numFmtId="0" fontId="13" fillId="0" borderId="5" xfId="0" applyFont="1" applyBorder="1" applyAlignment="1">
      <alignment horizontal="left" indent="3"/>
    </xf>
    <xf numFmtId="0" fontId="5" fillId="0" borderId="5" xfId="0" applyFont="1" applyBorder="1" applyAlignment="1">
      <alignment horizontal="left" indent="3"/>
    </xf>
    <xf numFmtId="0" fontId="5" fillId="0" borderId="0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7" xfId="0" applyFont="1" applyBorder="1" applyAlignment="1">
      <alignment horizontal="left" indent="3"/>
    </xf>
    <xf numFmtId="0" fontId="5" fillId="0" borderId="8" xfId="0" applyFont="1" applyBorder="1"/>
    <xf numFmtId="0" fontId="5" fillId="0" borderId="9" xfId="0" applyFont="1" applyBorder="1"/>
    <xf numFmtId="0" fontId="18" fillId="0" borderId="10" xfId="0" applyFont="1" applyBorder="1" applyAlignment="1">
      <alignment horizontal="right" vertical="center"/>
    </xf>
    <xf numFmtId="0" fontId="5" fillId="0" borderId="0" xfId="0" applyFont="1" applyBorder="1" applyAlignment="1">
      <alignment vertical="center"/>
    </xf>
    <xf numFmtId="0" fontId="18" fillId="0" borderId="12" xfId="0" applyFont="1" applyBorder="1" applyAlignment="1">
      <alignment vertical="center"/>
    </xf>
    <xf numFmtId="0" fontId="18" fillId="0" borderId="0" xfId="0" applyFont="1" applyBorder="1" applyAlignment="1">
      <alignment vertical="center"/>
    </xf>
    <xf numFmtId="0" fontId="16" fillId="0" borderId="0" xfId="0" applyFont="1" applyBorder="1" applyAlignment="1">
      <alignment horizontal="left" vertical="center"/>
    </xf>
    <xf numFmtId="0" fontId="17" fillId="0" borderId="0" xfId="0" applyFont="1" applyBorder="1" applyAlignment="1">
      <alignment horizontal="left" vertical="center" wrapText="1" indent="1"/>
    </xf>
    <xf numFmtId="0" fontId="5" fillId="0" borderId="19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left" vertical="center"/>
    </xf>
    <xf numFmtId="0" fontId="5" fillId="0" borderId="19" xfId="0" applyFont="1" applyFill="1" applyBorder="1" applyAlignment="1">
      <alignment horizontal="center" vertical="center" wrapText="1"/>
    </xf>
    <xf numFmtId="165" fontId="5" fillId="0" borderId="19" xfId="1" applyNumberFormat="1" applyFont="1" applyFill="1" applyBorder="1" applyAlignment="1" applyProtection="1">
      <alignment horizontal="right" vertical="center" wrapText="1"/>
    </xf>
    <xf numFmtId="3" fontId="5" fillId="0" borderId="19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/>
    <xf numFmtId="0" fontId="5" fillId="0" borderId="42" xfId="0" applyNumberFormat="1" applyFont="1" applyFill="1" applyBorder="1" applyAlignment="1">
      <alignment vertical="center" wrapText="1"/>
    </xf>
    <xf numFmtId="0" fontId="5" fillId="0" borderId="0" xfId="0" applyFont="1" applyAlignment="1">
      <alignment vertical="center"/>
    </xf>
    <xf numFmtId="165" fontId="15" fillId="0" borderId="14" xfId="0" applyNumberFormat="1" applyFont="1" applyBorder="1"/>
    <xf numFmtId="0" fontId="21" fillId="0" borderId="0" xfId="0" applyFont="1"/>
    <xf numFmtId="3" fontId="19" fillId="3" borderId="0" xfId="0" applyNumberFormat="1" applyFont="1" applyFill="1" applyBorder="1" applyAlignment="1"/>
    <xf numFmtId="167" fontId="5" fillId="3" borderId="0" xfId="0" applyNumberFormat="1" applyFont="1" applyFill="1" applyAlignment="1">
      <alignment horizontal="left"/>
    </xf>
    <xf numFmtId="0" fontId="5" fillId="3" borderId="0" xfId="0" applyFont="1" applyFill="1"/>
    <xf numFmtId="0" fontId="5" fillId="3" borderId="0" xfId="0" applyFont="1" applyFill="1" applyAlignment="1">
      <alignment horizontal="left"/>
    </xf>
    <xf numFmtId="0" fontId="20" fillId="3" borderId="0" xfId="0" applyFont="1" applyFill="1"/>
    <xf numFmtId="0" fontId="5" fillId="3" borderId="30" xfId="0" applyFont="1" applyFill="1" applyBorder="1"/>
    <xf numFmtId="0" fontId="5" fillId="3" borderId="12" xfId="0" applyFont="1" applyFill="1" applyBorder="1"/>
    <xf numFmtId="0" fontId="5" fillId="3" borderId="12" xfId="0" applyFont="1" applyFill="1" applyBorder="1" applyAlignment="1">
      <alignment horizontal="left"/>
    </xf>
    <xf numFmtId="0" fontId="5" fillId="3" borderId="31" xfId="0" applyFont="1" applyFill="1" applyBorder="1"/>
    <xf numFmtId="0" fontId="15" fillId="3" borderId="34" xfId="0" applyFont="1" applyFill="1" applyBorder="1" applyAlignment="1">
      <alignment horizontal="center" vertical="center"/>
    </xf>
    <xf numFmtId="0" fontId="15" fillId="3" borderId="35" xfId="0" applyFont="1" applyFill="1" applyBorder="1" applyAlignment="1">
      <alignment horizontal="center" vertical="center"/>
    </xf>
    <xf numFmtId="0" fontId="15" fillId="3" borderId="35" xfId="0" applyFont="1" applyFill="1" applyBorder="1" applyAlignment="1">
      <alignment horizontal="left" vertical="center"/>
    </xf>
    <xf numFmtId="0" fontId="15" fillId="3" borderId="36" xfId="0" applyFont="1" applyFill="1" applyBorder="1" applyAlignment="1">
      <alignment horizontal="center" vertical="center"/>
    </xf>
    <xf numFmtId="0" fontId="15" fillId="3" borderId="29" xfId="0" applyFont="1" applyFill="1" applyBorder="1" applyAlignment="1">
      <alignment horizontal="center" vertical="center"/>
    </xf>
    <xf numFmtId="0" fontId="5" fillId="3" borderId="39" xfId="0" applyFont="1" applyFill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3" borderId="41" xfId="0" applyFont="1" applyFill="1" applyBorder="1" applyAlignment="1">
      <alignment horizontal="center" vertical="center"/>
    </xf>
    <xf numFmtId="165" fontId="5" fillId="3" borderId="14" xfId="4" applyNumberFormat="1" applyFont="1" applyFill="1" applyBorder="1" applyAlignment="1" applyProtection="1">
      <alignment horizontal="center" vertical="center"/>
    </xf>
    <xf numFmtId="165" fontId="15" fillId="3" borderId="31" xfId="0" applyNumberFormat="1" applyFont="1" applyFill="1" applyBorder="1" applyAlignment="1">
      <alignment horizontal="center" vertical="center"/>
    </xf>
    <xf numFmtId="0" fontId="5" fillId="3" borderId="2" xfId="0" applyFont="1" applyFill="1" applyBorder="1"/>
    <xf numFmtId="0" fontId="5" fillId="3" borderId="3" xfId="0" applyFont="1" applyFill="1" applyBorder="1"/>
    <xf numFmtId="0" fontId="5" fillId="3" borderId="4" xfId="0" applyFont="1" applyFill="1" applyBorder="1"/>
    <xf numFmtId="0" fontId="0" fillId="0" borderId="0" xfId="0" applyAlignment="1">
      <alignment wrapText="1"/>
    </xf>
    <xf numFmtId="0" fontId="10" fillId="0" borderId="43" xfId="0" applyFont="1" applyBorder="1" applyAlignment="1">
      <alignment horizontal="center" vertical="center" wrapText="1"/>
    </xf>
    <xf numFmtId="0" fontId="8" fillId="0" borderId="48" xfId="0" applyFont="1" applyFill="1" applyBorder="1" applyAlignment="1">
      <alignment horizontal="left" wrapText="1" indent="1"/>
    </xf>
    <xf numFmtId="0" fontId="5" fillId="0" borderId="49" xfId="0" applyFont="1" applyBorder="1"/>
    <xf numFmtId="0" fontId="9" fillId="0" borderId="0" xfId="0" applyFont="1" applyBorder="1" applyAlignment="1">
      <alignment horizontal="left" wrapText="1"/>
    </xf>
    <xf numFmtId="0" fontId="9" fillId="0" borderId="50" xfId="0" applyFont="1" applyBorder="1" applyAlignment="1">
      <alignment horizontal="center" wrapText="1"/>
    </xf>
    <xf numFmtId="0" fontId="10" fillId="0" borderId="51" xfId="0" applyFont="1" applyBorder="1" applyAlignment="1">
      <alignment horizontal="center" vertical="center" wrapText="1"/>
    </xf>
    <xf numFmtId="0" fontId="0" fillId="0" borderId="53" xfId="0" applyBorder="1" applyAlignment="1">
      <alignment vertical="center"/>
    </xf>
    <xf numFmtId="0" fontId="12" fillId="0" borderId="45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center" vertical="center" wrapText="1"/>
    </xf>
    <xf numFmtId="0" fontId="5" fillId="0" borderId="54" xfId="0" applyFont="1" applyBorder="1" applyAlignment="1">
      <alignment vertical="center"/>
    </xf>
    <xf numFmtId="0" fontId="12" fillId="0" borderId="42" xfId="0" applyFont="1" applyFill="1" applyBorder="1" applyAlignment="1">
      <alignment horizontal="center" vertical="center" wrapText="1"/>
    </xf>
    <xf numFmtId="165" fontId="11" fillId="0" borderId="42" xfId="1" applyNumberFormat="1" applyFont="1" applyFill="1" applyBorder="1" applyAlignment="1" applyProtection="1">
      <alignment horizontal="center" vertical="center" wrapText="1"/>
    </xf>
    <xf numFmtId="165" fontId="11" fillId="0" borderId="44" xfId="1" applyNumberFormat="1" applyFont="1" applyFill="1" applyBorder="1" applyAlignment="1" applyProtection="1">
      <alignment horizontal="center" vertical="center" wrapText="1"/>
    </xf>
    <xf numFmtId="17" fontId="17" fillId="0" borderId="11" xfId="0" applyNumberFormat="1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left"/>
    </xf>
    <xf numFmtId="0" fontId="22" fillId="0" borderId="26" xfId="0" applyFont="1" applyFill="1" applyBorder="1" applyAlignment="1"/>
    <xf numFmtId="0" fontId="22" fillId="0" borderId="27" xfId="0" applyFont="1" applyFill="1" applyBorder="1" applyAlignment="1"/>
    <xf numFmtId="0" fontId="23" fillId="0" borderId="13" xfId="0" applyFont="1" applyFill="1" applyBorder="1" applyAlignment="1"/>
    <xf numFmtId="0" fontId="11" fillId="0" borderId="52" xfId="0" applyFont="1" applyBorder="1" applyAlignment="1">
      <alignment horizontal="center" vertical="center"/>
    </xf>
    <xf numFmtId="0" fontId="20" fillId="3" borderId="11" xfId="0" applyFont="1" applyFill="1" applyBorder="1" applyAlignment="1">
      <alignment horizontal="left" indent="1"/>
    </xf>
    <xf numFmtId="0" fontId="5" fillId="0" borderId="0" xfId="0" applyFont="1" applyFill="1" applyBorder="1" applyAlignment="1">
      <alignment horizontal="left" vertical="top" wrapText="1"/>
    </xf>
    <xf numFmtId="0" fontId="5" fillId="0" borderId="6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wrapText="1"/>
    </xf>
    <xf numFmtId="0" fontId="5" fillId="0" borderId="6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justify" vertical="top" wrapText="1"/>
    </xf>
    <xf numFmtId="0" fontId="5" fillId="0" borderId="6" xfId="0" applyFont="1" applyFill="1" applyBorder="1" applyAlignment="1">
      <alignment horizontal="justify" vertical="top" wrapText="1"/>
    </xf>
    <xf numFmtId="0" fontId="7" fillId="0" borderId="0" xfId="0" applyFont="1" applyBorder="1" applyAlignment="1">
      <alignment horizontal="left" vertical="center" wrapText="1"/>
    </xf>
    <xf numFmtId="0" fontId="7" fillId="0" borderId="46" xfId="0" applyFont="1" applyBorder="1" applyAlignment="1">
      <alignment horizontal="left" vertical="center" wrapText="1"/>
    </xf>
    <xf numFmtId="0" fontId="7" fillId="0" borderId="47" xfId="0" applyFont="1" applyBorder="1" applyAlignment="1">
      <alignment horizontal="left" vertical="center" wrapText="1"/>
    </xf>
    <xf numFmtId="0" fontId="14" fillId="0" borderId="0" xfId="0" applyFont="1" applyAlignment="1">
      <alignment horizontal="justify" vertical="top" wrapText="1"/>
    </xf>
    <xf numFmtId="0" fontId="14" fillId="0" borderId="6" xfId="0" applyFont="1" applyBorder="1" applyAlignment="1">
      <alignment horizontal="justify" vertical="top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8" fillId="0" borderId="0" xfId="0" applyFont="1" applyFill="1" applyBorder="1" applyAlignment="1">
      <alignment horizontal="left" wrapText="1" indent="1"/>
    </xf>
    <xf numFmtId="0" fontId="17" fillId="0" borderId="14" xfId="0" applyFont="1" applyBorder="1" applyAlignment="1">
      <alignment horizontal="left" vertical="center" wrapText="1" indent="1"/>
    </xf>
    <xf numFmtId="166" fontId="17" fillId="0" borderId="14" xfId="0" applyNumberFormat="1" applyFont="1" applyBorder="1" applyAlignment="1">
      <alignment horizontal="center" vertical="center"/>
    </xf>
    <xf numFmtId="0" fontId="5" fillId="0" borderId="19" xfId="0" applyFont="1" applyFill="1" applyBorder="1" applyAlignment="1">
      <alignment horizontal="left" vertical="center" wrapText="1"/>
    </xf>
    <xf numFmtId="0" fontId="16" fillId="0" borderId="16" xfId="0" applyFont="1" applyBorder="1" applyAlignment="1">
      <alignment horizontal="left" vertical="center"/>
    </xf>
    <xf numFmtId="0" fontId="17" fillId="0" borderId="17" xfId="0" applyFont="1" applyFill="1" applyBorder="1" applyAlignment="1">
      <alignment horizontal="left" vertical="center" wrapText="1" indent="1"/>
    </xf>
    <xf numFmtId="0" fontId="19" fillId="0" borderId="16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7" fillId="0" borderId="14" xfId="0" applyFont="1" applyFill="1" applyBorder="1" applyAlignment="1">
      <alignment horizontal="left" vertical="center" wrapText="1" indent="1"/>
    </xf>
    <xf numFmtId="0" fontId="16" fillId="0" borderId="15" xfId="0" applyFont="1" applyBorder="1" applyAlignment="1">
      <alignment horizontal="left" vertical="center" wrapText="1"/>
    </xf>
    <xf numFmtId="0" fontId="5" fillId="3" borderId="20" xfId="0" applyFont="1" applyFill="1" applyBorder="1" applyAlignment="1">
      <alignment horizontal="center"/>
    </xf>
    <xf numFmtId="3" fontId="19" fillId="3" borderId="25" xfId="0" applyNumberFormat="1" applyFont="1" applyFill="1" applyBorder="1" applyAlignment="1">
      <alignment horizontal="center"/>
    </xf>
    <xf numFmtId="0" fontId="17" fillId="3" borderId="11" xfId="0" applyFont="1" applyFill="1" applyBorder="1" applyAlignment="1">
      <alignment horizontal="center" vertical="center" wrapText="1"/>
    </xf>
    <xf numFmtId="0" fontId="5" fillId="3" borderId="11" xfId="0" applyFont="1" applyFill="1" applyBorder="1"/>
    <xf numFmtId="0" fontId="20" fillId="3" borderId="11" xfId="0" applyFont="1" applyFill="1" applyBorder="1" applyAlignment="1">
      <alignment horizontal="left" indent="1"/>
    </xf>
    <xf numFmtId="0" fontId="5" fillId="3" borderId="13" xfId="0" applyFont="1" applyFill="1" applyBorder="1" applyAlignment="1">
      <alignment horizontal="left" vertical="center" wrapText="1"/>
    </xf>
    <xf numFmtId="0" fontId="5" fillId="3" borderId="26" xfId="0" applyFont="1" applyFill="1" applyBorder="1" applyAlignment="1">
      <alignment horizontal="left" vertical="center" wrapText="1"/>
    </xf>
    <xf numFmtId="0" fontId="5" fillId="3" borderId="27" xfId="0" applyFont="1" applyFill="1" applyBorder="1" applyAlignment="1">
      <alignment horizontal="left" vertical="center" wrapText="1"/>
    </xf>
    <xf numFmtId="0" fontId="14" fillId="3" borderId="32" xfId="0" applyFont="1" applyFill="1" applyBorder="1" applyAlignment="1">
      <alignment horizontal="left"/>
    </xf>
    <xf numFmtId="0" fontId="20" fillId="3" borderId="20" xfId="0" applyFont="1" applyFill="1" applyBorder="1"/>
    <xf numFmtId="0" fontId="20" fillId="3" borderId="38" xfId="0" applyFont="1" applyFill="1" applyBorder="1"/>
    <xf numFmtId="0" fontId="20" fillId="3" borderId="17" xfId="0" applyFont="1" applyFill="1" applyBorder="1"/>
    <xf numFmtId="0" fontId="20" fillId="3" borderId="28" xfId="0" applyNumberFormat="1" applyFont="1" applyFill="1" applyBorder="1" applyAlignment="1">
      <alignment horizontal="left" vertical="center" wrapText="1"/>
    </xf>
    <xf numFmtId="0" fontId="20" fillId="3" borderId="0" xfId="0" applyNumberFormat="1" applyFont="1" applyFill="1" applyBorder="1" applyAlignment="1">
      <alignment horizontal="left" vertical="center" wrapText="1"/>
    </xf>
    <xf numFmtId="0" fontId="20" fillId="3" borderId="6" xfId="0" applyNumberFormat="1" applyFont="1" applyFill="1" applyBorder="1" applyAlignment="1">
      <alignment horizontal="left" vertical="center" wrapText="1"/>
    </xf>
    <xf numFmtId="0" fontId="15" fillId="3" borderId="32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 wrapText="1"/>
    </xf>
    <xf numFmtId="0" fontId="15" fillId="3" borderId="33" xfId="0" applyFont="1" applyFill="1" applyBorder="1" applyAlignment="1">
      <alignment horizontal="center" vertical="center"/>
    </xf>
    <xf numFmtId="0" fontId="20" fillId="3" borderId="37" xfId="0" applyFont="1" applyFill="1" applyBorder="1" applyAlignment="1">
      <alignment horizontal="left" vertical="center" wrapText="1" indent="1"/>
    </xf>
    <xf numFmtId="0" fontId="5" fillId="3" borderId="56" xfId="0" applyFont="1" applyFill="1" applyBorder="1" applyAlignment="1">
      <alignment horizontal="center" vertical="center" wrapText="1"/>
    </xf>
    <xf numFmtId="0" fontId="5" fillId="3" borderId="57" xfId="0" applyFont="1" applyFill="1" applyBorder="1" applyAlignment="1">
      <alignment horizontal="center" vertical="center" wrapText="1"/>
    </xf>
    <xf numFmtId="0" fontId="19" fillId="3" borderId="16" xfId="0" applyFont="1" applyFill="1" applyBorder="1" applyAlignment="1">
      <alignment horizontal="left" vertical="center" wrapText="1"/>
    </xf>
    <xf numFmtId="0" fontId="19" fillId="3" borderId="18" xfId="0" applyFont="1" applyFill="1" applyBorder="1" applyAlignment="1">
      <alignment horizontal="left" vertical="center" wrapText="1"/>
    </xf>
    <xf numFmtId="0" fontId="19" fillId="3" borderId="17" xfId="0" applyFont="1" applyFill="1" applyBorder="1" applyAlignment="1">
      <alignment horizontal="left" vertical="center" wrapText="1"/>
    </xf>
    <xf numFmtId="0" fontId="5" fillId="3" borderId="29" xfId="0" applyFont="1" applyFill="1" applyBorder="1"/>
    <xf numFmtId="0" fontId="5" fillId="3" borderId="32" xfId="0" applyFont="1" applyFill="1" applyBorder="1"/>
    <xf numFmtId="0" fontId="19" fillId="3" borderId="20" xfId="0" applyFont="1" applyFill="1" applyBorder="1" applyAlignment="1">
      <alignment vertical="center" wrapText="1"/>
    </xf>
    <xf numFmtId="0" fontId="19" fillId="3" borderId="38" xfId="0" applyFont="1" applyFill="1" applyBorder="1" applyAlignment="1">
      <alignment vertical="center" wrapText="1"/>
    </xf>
    <xf numFmtId="0" fontId="19" fillId="3" borderId="17" xfId="0" applyFont="1" applyFill="1" applyBorder="1" applyAlignment="1">
      <alignment vertical="center" wrapText="1"/>
    </xf>
    <xf numFmtId="0" fontId="20" fillId="3" borderId="33" xfId="0" applyFont="1" applyFill="1" applyBorder="1" applyAlignment="1">
      <alignment vertical="center" wrapText="1"/>
    </xf>
  </cellXfs>
  <cellStyles count="5">
    <cellStyle name="Encabezado 1" xfId="2" xr:uid="{00000000-0005-0000-0000-000000000000}"/>
    <cellStyle name="Moneda" xfId="1" builtinId="4"/>
    <cellStyle name="Moneda_AUTORIZACION Y NOTA DE PEDIDO" xfId="4" xr:uid="{00000000-0005-0000-0000-000002000000}"/>
    <cellStyle name="Neutral 1" xfId="3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is%20Docum/Documentos/A&#209;O%202020/NOTAS%20DE%20PEDIDO%20NUEVO%20SISTEMA/FORMULARIO%20BASE%20NOTA%20DE%20PEDIDO%20Y%20AUTORIZACION%20PARA%20GAST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 refreshError="1"/>
      <sheetData sheetId="1" refreshError="1">
        <row r="3">
          <cell r="D3" t="str">
            <v>90- Ministerio de Seguridad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3"/>
  <sheetViews>
    <sheetView tabSelected="1" zoomScale="90" zoomScaleNormal="90" workbookViewId="0">
      <selection activeCell="C16" sqref="C16:E16"/>
    </sheetView>
  </sheetViews>
  <sheetFormatPr baseColWidth="10" defaultColWidth="11" defaultRowHeight="13.5" x14ac:dyDescent="0.25"/>
  <cols>
    <col min="1" max="1" width="4.5703125" style="1" customWidth="1"/>
    <col min="2" max="2" width="13.570312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8.5" x14ac:dyDescent="0.4">
      <c r="B2" s="98" t="s">
        <v>0</v>
      </c>
      <c r="C2" s="98"/>
      <c r="D2" s="98"/>
      <c r="E2" s="98"/>
      <c r="F2" s="98"/>
      <c r="G2" s="98"/>
      <c r="H2" s="98"/>
    </row>
    <row r="4" spans="1:9" ht="18" customHeight="1" x14ac:dyDescent="0.25">
      <c r="A4" s="90" t="s">
        <v>1</v>
      </c>
      <c r="B4" s="90"/>
      <c r="C4" s="99" t="s">
        <v>70</v>
      </c>
      <c r="D4" s="99"/>
      <c r="E4" s="99"/>
      <c r="F4" s="2"/>
      <c r="G4" s="3"/>
      <c r="H4" s="2"/>
    </row>
    <row r="5" spans="1:9" ht="18" customHeight="1" x14ac:dyDescent="0.25">
      <c r="A5" s="90" t="s">
        <v>2</v>
      </c>
      <c r="B5" s="90"/>
      <c r="C5" s="99" t="s">
        <v>69</v>
      </c>
      <c r="D5" s="99"/>
      <c r="E5" s="99"/>
      <c r="F5" s="2"/>
      <c r="G5" s="3"/>
      <c r="H5" s="2"/>
    </row>
    <row r="6" spans="1:9" ht="16.5" customHeight="1" x14ac:dyDescent="0.25">
      <c r="A6" s="90" t="s">
        <v>3</v>
      </c>
      <c r="B6" s="90"/>
      <c r="C6" s="4">
        <v>2021</v>
      </c>
      <c r="D6" s="5"/>
      <c r="E6" s="5"/>
      <c r="F6" s="2"/>
      <c r="G6" s="3"/>
      <c r="H6" s="2"/>
    </row>
    <row r="7" spans="1:9" ht="16.5" customHeight="1" x14ac:dyDescent="0.25">
      <c r="A7" s="91" t="s">
        <v>4</v>
      </c>
      <c r="B7" s="92"/>
      <c r="C7" s="65">
        <v>1</v>
      </c>
      <c r="D7" s="5"/>
      <c r="E7" s="5"/>
      <c r="F7" s="2"/>
      <c r="G7" s="3"/>
      <c r="H7" s="2"/>
    </row>
    <row r="8" spans="1:9" ht="14.25" thickBot="1" x14ac:dyDescent="0.3">
      <c r="A8" s="66"/>
      <c r="B8" s="67"/>
      <c r="C8" s="68"/>
      <c r="D8" s="2"/>
      <c r="E8" s="2"/>
      <c r="F8" s="2"/>
      <c r="G8" s="3"/>
      <c r="H8" s="2"/>
    </row>
    <row r="9" spans="1:9" ht="39" thickBot="1" x14ac:dyDescent="0.3">
      <c r="A9" s="69" t="s">
        <v>5</v>
      </c>
      <c r="B9" s="6" t="s">
        <v>6</v>
      </c>
      <c r="C9" s="72" t="s">
        <v>7</v>
      </c>
      <c r="D9" s="64" t="s">
        <v>8</v>
      </c>
      <c r="E9" s="8" t="s">
        <v>9</v>
      </c>
      <c r="F9" s="9" t="s">
        <v>10</v>
      </c>
      <c r="G9" s="7" t="s">
        <v>11</v>
      </c>
      <c r="H9" s="7" t="s">
        <v>12</v>
      </c>
      <c r="I9" s="10" t="s">
        <v>13</v>
      </c>
    </row>
    <row r="10" spans="1:9" s="38" customFormat="1" ht="62.25" customHeight="1" thickBot="1" x14ac:dyDescent="0.25">
      <c r="A10" s="82">
        <v>1</v>
      </c>
      <c r="B10" s="70" t="s">
        <v>65</v>
      </c>
      <c r="C10" s="73" t="s">
        <v>66</v>
      </c>
      <c r="D10" s="71" t="s">
        <v>39</v>
      </c>
      <c r="E10" s="37" t="s">
        <v>67</v>
      </c>
      <c r="F10" s="74" t="s">
        <v>14</v>
      </c>
      <c r="G10" s="74">
        <v>14</v>
      </c>
      <c r="H10" s="75">
        <v>213100</v>
      </c>
      <c r="I10" s="76">
        <f>H10*G10</f>
        <v>2983400</v>
      </c>
    </row>
    <row r="11" spans="1:9" ht="14.25" thickBot="1" x14ac:dyDescent="0.3">
      <c r="I11" s="39">
        <f>I10</f>
        <v>2983400</v>
      </c>
    </row>
    <row r="12" spans="1:9" ht="14.25" thickBot="1" x14ac:dyDescent="0.3"/>
    <row r="13" spans="1:9" x14ac:dyDescent="0.25">
      <c r="B13" s="11" t="s">
        <v>15</v>
      </c>
      <c r="C13" s="12"/>
      <c r="D13" s="12"/>
      <c r="E13" s="13"/>
    </row>
    <row r="14" spans="1:9" ht="5.25" customHeight="1" x14ac:dyDescent="0.25">
      <c r="B14" s="14"/>
      <c r="C14" s="15"/>
      <c r="D14" s="15"/>
      <c r="E14" s="16"/>
    </row>
    <row r="15" spans="1:9" x14ac:dyDescent="0.25">
      <c r="B15" s="17" t="s">
        <v>40</v>
      </c>
      <c r="C15" s="15"/>
      <c r="D15" s="15"/>
      <c r="E15" s="16"/>
    </row>
    <row r="16" spans="1:9" ht="335.25" customHeight="1" x14ac:dyDescent="0.25">
      <c r="B16" s="17"/>
      <c r="C16" s="93" t="s">
        <v>80</v>
      </c>
      <c r="D16" s="93"/>
      <c r="E16" s="94"/>
    </row>
    <row r="17" spans="1:6" ht="24" customHeight="1" x14ac:dyDescent="0.25">
      <c r="B17" s="17" t="s">
        <v>16</v>
      </c>
      <c r="C17" s="15"/>
      <c r="D17" s="15"/>
      <c r="E17" s="16"/>
    </row>
    <row r="18" spans="1:6" ht="111.75" customHeight="1" x14ac:dyDescent="0.25">
      <c r="B18" s="18"/>
      <c r="C18" s="95" t="s">
        <v>78</v>
      </c>
      <c r="D18" s="95"/>
      <c r="E18" s="96"/>
    </row>
    <row r="19" spans="1:6" x14ac:dyDescent="0.25">
      <c r="B19" s="18"/>
      <c r="C19" s="97"/>
      <c r="D19" s="97"/>
      <c r="E19" s="97"/>
    </row>
    <row r="20" spans="1:6" x14ac:dyDescent="0.25">
      <c r="B20" s="17" t="s">
        <v>17</v>
      </c>
      <c r="C20" s="15"/>
      <c r="D20" s="15"/>
      <c r="E20" s="16"/>
    </row>
    <row r="21" spans="1:6" ht="26.25" customHeight="1" x14ac:dyDescent="0.25">
      <c r="B21" s="18"/>
      <c r="C21" s="84" t="s">
        <v>41</v>
      </c>
      <c r="D21" s="84"/>
      <c r="E21" s="85"/>
    </row>
    <row r="22" spans="1:6" x14ac:dyDescent="0.25">
      <c r="B22" s="17" t="s">
        <v>18</v>
      </c>
      <c r="C22" s="19"/>
      <c r="D22" s="19"/>
      <c r="E22" s="20"/>
    </row>
    <row r="23" spans="1:6" ht="26.25" customHeight="1" x14ac:dyDescent="0.25">
      <c r="B23" s="18"/>
      <c r="C23" s="86" t="s">
        <v>37</v>
      </c>
      <c r="D23" s="86"/>
      <c r="E23" s="87"/>
    </row>
    <row r="24" spans="1:6" x14ac:dyDescent="0.25">
      <c r="B24" s="17" t="s">
        <v>19</v>
      </c>
      <c r="C24" s="15"/>
      <c r="D24" s="15"/>
      <c r="E24" s="16"/>
    </row>
    <row r="25" spans="1:6" ht="40.5" customHeight="1" x14ac:dyDescent="0.25">
      <c r="B25" s="17"/>
      <c r="C25" s="88" t="s">
        <v>36</v>
      </c>
      <c r="D25" s="88"/>
      <c r="E25" s="89"/>
    </row>
    <row r="26" spans="1:6" ht="14.25" thickBot="1" x14ac:dyDescent="0.3">
      <c r="B26" s="21"/>
      <c r="C26" s="22"/>
      <c r="D26" s="22"/>
      <c r="E26" s="23"/>
    </row>
    <row r="28" spans="1:6" x14ac:dyDescent="0.25">
      <c r="A28" s="40"/>
      <c r="B28" s="40"/>
      <c r="C28" s="40"/>
      <c r="D28" s="40"/>
      <c r="E28" s="40"/>
      <c r="F28" s="40"/>
    </row>
    <row r="29" spans="1:6" x14ac:dyDescent="0.25">
      <c r="A29" s="40"/>
      <c r="B29" s="40"/>
      <c r="C29" s="40"/>
      <c r="D29" s="40"/>
      <c r="E29" s="40"/>
      <c r="F29" s="40"/>
    </row>
    <row r="30" spans="1:6" ht="94.5" customHeight="1" x14ac:dyDescent="0.25">
      <c r="A30" s="40"/>
      <c r="B30" s="40"/>
      <c r="C30" s="40"/>
      <c r="D30" s="40"/>
      <c r="E30" s="63"/>
      <c r="F30" s="40"/>
    </row>
    <row r="31" spans="1:6" x14ac:dyDescent="0.25">
      <c r="A31" s="40"/>
      <c r="B31" s="40"/>
      <c r="C31" s="40"/>
      <c r="D31" s="40"/>
      <c r="E31" s="40"/>
      <c r="F31" s="40"/>
    </row>
    <row r="32" spans="1:6" ht="57" customHeight="1" x14ac:dyDescent="0.25">
      <c r="A32" s="40"/>
      <c r="B32" s="40"/>
      <c r="C32" s="40"/>
      <c r="D32" s="40"/>
      <c r="E32" s="40"/>
      <c r="F32" s="40"/>
    </row>
    <row r="33" spans="1:6" x14ac:dyDescent="0.25">
      <c r="A33" s="40"/>
      <c r="B33" s="40"/>
      <c r="D33" s="40"/>
      <c r="E33" s="40"/>
      <c r="F33" s="40"/>
    </row>
  </sheetData>
  <mergeCells count="13">
    <mergeCell ref="B2:H2"/>
    <mergeCell ref="A4:B4"/>
    <mergeCell ref="C4:E4"/>
    <mergeCell ref="A5:B5"/>
    <mergeCell ref="C5:E5"/>
    <mergeCell ref="C21:E21"/>
    <mergeCell ref="C23:E23"/>
    <mergeCell ref="C25:E25"/>
    <mergeCell ref="A6:B6"/>
    <mergeCell ref="A7:B7"/>
    <mergeCell ref="C16:E16"/>
    <mergeCell ref="C18:E18"/>
    <mergeCell ref="C19:E19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3"/>
  <sheetViews>
    <sheetView zoomScale="85" zoomScaleNormal="85" workbookViewId="0">
      <selection activeCell="D6" sqref="D6:K6"/>
    </sheetView>
  </sheetViews>
  <sheetFormatPr baseColWidth="10" defaultColWidth="9.140625" defaultRowHeight="13.5" x14ac:dyDescent="0.25"/>
  <cols>
    <col min="1" max="1" width="5.5703125" style="25" customWidth="1"/>
    <col min="2" max="2" width="15.140625" style="25" customWidth="1"/>
    <col min="3" max="3" width="14.140625" style="25" customWidth="1"/>
    <col min="4" max="4" width="26" style="25" customWidth="1"/>
    <col min="5" max="5" width="8" style="25" customWidth="1"/>
    <col min="6" max="6" width="7.85546875" style="25" customWidth="1"/>
    <col min="7" max="7" width="42" style="25" customWidth="1"/>
    <col min="8" max="8" width="9.28515625" style="25" customWidth="1"/>
    <col min="9" max="9" width="15.5703125" style="25" customWidth="1"/>
    <col min="10" max="10" width="14.7109375" style="25" customWidth="1"/>
    <col min="11" max="11" width="15.5703125" style="25" customWidth="1"/>
    <col min="12" max="14" width="5.85546875" style="25" customWidth="1"/>
    <col min="15" max="15" width="12.5703125" style="25" customWidth="1"/>
    <col min="16" max="1024" width="9.140625" style="25"/>
    <col min="1025" max="16384" width="9.140625" style="1"/>
  </cols>
  <sheetData>
    <row r="1" spans="1:1024" ht="18" customHeight="1" x14ac:dyDescent="0.25">
      <c r="A1" s="108" t="s">
        <v>20</v>
      </c>
      <c r="B1" s="108"/>
      <c r="C1" s="108"/>
      <c r="D1" s="108"/>
      <c r="E1" s="108"/>
      <c r="F1" s="108"/>
      <c r="G1" s="108"/>
      <c r="H1" s="108"/>
      <c r="I1" s="108"/>
      <c r="J1" s="24" t="s">
        <v>21</v>
      </c>
      <c r="K1" s="77" t="s">
        <v>73</v>
      </c>
    </row>
    <row r="2" spans="1:1024" ht="18.75" customHeight="1" thickBot="1" x14ac:dyDescent="0.3">
      <c r="A2" s="26"/>
      <c r="B2" s="26"/>
      <c r="C2" s="26"/>
      <c r="D2" s="27"/>
      <c r="E2" s="27"/>
      <c r="F2" s="27"/>
      <c r="G2" s="27"/>
      <c r="H2" s="27"/>
      <c r="I2" s="27"/>
      <c r="J2" s="27"/>
      <c r="K2" s="27"/>
    </row>
    <row r="3" spans="1:1024" ht="18.75" customHeight="1" thickBot="1" x14ac:dyDescent="0.3">
      <c r="A3" s="109" t="s">
        <v>33</v>
      </c>
      <c r="B3" s="109"/>
      <c r="C3" s="109"/>
      <c r="D3" s="110" t="str">
        <f>'Necesidades Trimestrales'!C4</f>
        <v>90- MINISTERIO DE SEGURIDAD</v>
      </c>
      <c r="E3" s="110"/>
      <c r="F3" s="110"/>
      <c r="G3" s="110"/>
      <c r="H3" s="110"/>
      <c r="I3" s="110"/>
      <c r="J3" s="110"/>
      <c r="K3" s="110"/>
    </row>
    <row r="4" spans="1:1024" ht="18.75" customHeight="1" thickBot="1" x14ac:dyDescent="0.3">
      <c r="A4" s="111" t="s">
        <v>34</v>
      </c>
      <c r="B4" s="111"/>
      <c r="C4" s="111"/>
      <c r="D4" s="110" t="str">
        <f>'Necesidades Trimestrales'!C5</f>
        <v>19 - DIRECCION DE ADM. Y RR.HH. DEL MINISTERIO DE SEGURIDAD</v>
      </c>
      <c r="E4" s="110"/>
      <c r="F4" s="110"/>
      <c r="G4" s="110"/>
      <c r="H4" s="110"/>
      <c r="I4" s="110"/>
      <c r="J4" s="110"/>
      <c r="K4" s="110"/>
    </row>
    <row r="5" spans="1:1024" ht="18.75" customHeight="1" thickBot="1" x14ac:dyDescent="0.3">
      <c r="A5" s="111" t="s">
        <v>32</v>
      </c>
      <c r="B5" s="111"/>
      <c r="C5" s="111"/>
      <c r="D5" s="110" t="s">
        <v>71</v>
      </c>
      <c r="E5" s="110"/>
      <c r="F5" s="110"/>
      <c r="G5" s="110"/>
      <c r="H5" s="110"/>
      <c r="I5" s="110"/>
      <c r="J5" s="110"/>
      <c r="K5" s="110"/>
    </row>
    <row r="6" spans="1:1024" ht="16.5" customHeight="1" thickBot="1" x14ac:dyDescent="0.3">
      <c r="A6" s="109" t="s">
        <v>35</v>
      </c>
      <c r="B6" s="109"/>
      <c r="C6" s="109"/>
      <c r="D6" s="110" t="s">
        <v>79</v>
      </c>
      <c r="E6" s="110"/>
      <c r="F6" s="110"/>
      <c r="G6" s="110"/>
      <c r="H6" s="110"/>
      <c r="I6" s="110"/>
      <c r="J6" s="110"/>
      <c r="K6" s="110"/>
    </row>
    <row r="7" spans="1:1024" ht="16.5" customHeight="1" x14ac:dyDescent="0.25">
      <c r="A7" s="111" t="s">
        <v>22</v>
      </c>
      <c r="B7" s="111"/>
      <c r="C7" s="111"/>
      <c r="D7" s="110" t="str">
        <f>'Necesidades Trimestrales'!C7 &amp; "° Trimestre - Año " &amp; 'Necesidades Trimestrales'!C6</f>
        <v>1° Trimestre - Año 2021</v>
      </c>
      <c r="E7" s="110"/>
      <c r="F7" s="110"/>
      <c r="G7" s="110"/>
      <c r="H7" s="110"/>
      <c r="I7" s="110"/>
      <c r="J7" s="110"/>
      <c r="K7" s="110"/>
    </row>
    <row r="8" spans="1:1024" ht="16.5" customHeight="1" x14ac:dyDescent="0.25">
      <c r="A8" s="103" t="s">
        <v>23</v>
      </c>
      <c r="B8" s="103"/>
      <c r="C8" s="103"/>
      <c r="D8" s="104" t="s">
        <v>38</v>
      </c>
      <c r="E8" s="104"/>
      <c r="F8" s="104"/>
      <c r="G8" s="104"/>
      <c r="H8" s="104"/>
      <c r="I8" s="104"/>
      <c r="J8" s="104"/>
      <c r="K8" s="104"/>
    </row>
    <row r="9" spans="1:1024" ht="17.25" x14ac:dyDescent="0.25">
      <c r="A9" s="28"/>
      <c r="B9" s="28"/>
      <c r="C9" s="28"/>
      <c r="D9" s="29"/>
      <c r="E9" s="29"/>
      <c r="F9" s="29"/>
      <c r="G9" s="29"/>
      <c r="H9" s="29"/>
      <c r="I9" s="29"/>
      <c r="J9" s="29"/>
      <c r="K9" s="29"/>
    </row>
    <row r="10" spans="1:1024" ht="18.75" customHeight="1" x14ac:dyDescent="0.25">
      <c r="A10" s="105" t="s">
        <v>24</v>
      </c>
      <c r="B10" s="106" t="s">
        <v>25</v>
      </c>
      <c r="C10" s="106" t="s">
        <v>26</v>
      </c>
      <c r="D10" s="106"/>
      <c r="E10" s="106"/>
      <c r="F10" s="106"/>
      <c r="G10" s="106"/>
      <c r="H10" s="106" t="s">
        <v>27</v>
      </c>
      <c r="I10" s="106" t="s">
        <v>28</v>
      </c>
      <c r="J10" s="106" t="s">
        <v>29</v>
      </c>
      <c r="K10" s="107" t="s">
        <v>30</v>
      </c>
    </row>
    <row r="11" spans="1:1024" ht="24" customHeight="1" x14ac:dyDescent="0.25">
      <c r="A11" s="105"/>
      <c r="B11" s="106"/>
      <c r="C11" s="106"/>
      <c r="D11" s="106"/>
      <c r="E11" s="106"/>
      <c r="F11" s="106"/>
      <c r="G11" s="106"/>
      <c r="H11" s="106"/>
      <c r="I11" s="106"/>
      <c r="J11" s="106"/>
      <c r="K11" s="107"/>
    </row>
    <row r="12" spans="1:1024" s="36" customFormat="1" ht="93.75" customHeight="1" thickBot="1" x14ac:dyDescent="0.3">
      <c r="A12" s="30">
        <v>1</v>
      </c>
      <c r="B12" s="31" t="str">
        <f>'Necesidades Trimestrales'!B10</f>
        <v>4.4.0-9112.248</v>
      </c>
      <c r="C12" s="102" t="str">
        <f>'Necesidades Trimestrales'!E10</f>
        <v>VEHICULOS P/FUERZA SEGURIDAD; TIPO: MOTOCICLETA, MOTOR:NAFTERO, POTENCIA: MAXIMA 13,6 CV, AÑO: SEGUN PLIEGO, CAJA DE VELOCIDAD: 5, CILINDRADA: 197 CM3</v>
      </c>
      <c r="D12" s="102"/>
      <c r="E12" s="102"/>
      <c r="F12" s="102"/>
      <c r="G12" s="102"/>
      <c r="H12" s="30" t="s">
        <v>31</v>
      </c>
      <c r="I12" s="32" t="str">
        <f>'Necesidades Trimestrales'!F10</f>
        <v>UNIDAD</v>
      </c>
      <c r="J12" s="33">
        <f>'Necesidades Trimestrales'!H10</f>
        <v>213100</v>
      </c>
      <c r="K12" s="34">
        <f>'Necesidades Trimestrales'!G10</f>
        <v>14</v>
      </c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  <c r="MN12" s="35"/>
      <c r="MO12" s="35"/>
      <c r="MP12" s="35"/>
      <c r="MQ12" s="35"/>
      <c r="MR12" s="35"/>
      <c r="MS12" s="35"/>
      <c r="MT12" s="35"/>
      <c r="MU12" s="35"/>
      <c r="MV12" s="35"/>
      <c r="MW12" s="35"/>
      <c r="MX12" s="35"/>
      <c r="MY12" s="35"/>
      <c r="MZ12" s="35"/>
      <c r="NA12" s="35"/>
      <c r="NB12" s="35"/>
      <c r="NC12" s="35"/>
      <c r="ND12" s="35"/>
      <c r="NE12" s="35"/>
      <c r="NF12" s="35"/>
      <c r="NG12" s="35"/>
      <c r="NH12" s="35"/>
      <c r="NI12" s="35"/>
      <c r="NJ12" s="35"/>
      <c r="NK12" s="35"/>
      <c r="NL12" s="35"/>
      <c r="NM12" s="35"/>
      <c r="NN12" s="35"/>
      <c r="NO12" s="35"/>
      <c r="NP12" s="35"/>
      <c r="NQ12" s="35"/>
      <c r="NR12" s="35"/>
      <c r="NS12" s="35"/>
      <c r="NT12" s="35"/>
      <c r="NU12" s="35"/>
      <c r="NV12" s="35"/>
      <c r="NW12" s="35"/>
      <c r="NX12" s="35"/>
      <c r="NY12" s="35"/>
      <c r="NZ12" s="35"/>
      <c r="OA12" s="35"/>
      <c r="OB12" s="35"/>
      <c r="OC12" s="35"/>
      <c r="OD12" s="35"/>
      <c r="OE12" s="35"/>
      <c r="OF12" s="35"/>
      <c r="OG12" s="35"/>
      <c r="OH12" s="35"/>
      <c r="OI12" s="35"/>
      <c r="OJ12" s="35"/>
      <c r="OK12" s="35"/>
      <c r="OL12" s="35"/>
      <c r="OM12" s="35"/>
      <c r="ON12" s="35"/>
      <c r="OO12" s="35"/>
      <c r="OP12" s="35"/>
      <c r="OQ12" s="35"/>
      <c r="OR12" s="35"/>
      <c r="OS12" s="35"/>
      <c r="OT12" s="35"/>
      <c r="OU12" s="35"/>
      <c r="OV12" s="35"/>
      <c r="OW12" s="35"/>
      <c r="OX12" s="35"/>
      <c r="OY12" s="35"/>
      <c r="OZ12" s="35"/>
      <c r="PA12" s="35"/>
      <c r="PB12" s="35"/>
      <c r="PC12" s="35"/>
      <c r="PD12" s="35"/>
      <c r="PE12" s="35"/>
      <c r="PF12" s="35"/>
      <c r="PG12" s="35"/>
      <c r="PH12" s="35"/>
      <c r="PI12" s="35"/>
      <c r="PJ12" s="35"/>
      <c r="PK12" s="35"/>
      <c r="PL12" s="35"/>
      <c r="PM12" s="35"/>
      <c r="PN12" s="35"/>
      <c r="PO12" s="35"/>
      <c r="PP12" s="35"/>
      <c r="PQ12" s="35"/>
      <c r="PR12" s="35"/>
      <c r="PS12" s="35"/>
      <c r="PT12" s="35"/>
      <c r="PU12" s="35"/>
      <c r="PV12" s="35"/>
      <c r="PW12" s="35"/>
      <c r="PX12" s="35"/>
      <c r="PY12" s="35"/>
      <c r="PZ12" s="35"/>
      <c r="QA12" s="35"/>
      <c r="QB12" s="35"/>
      <c r="QC12" s="35"/>
      <c r="QD12" s="35"/>
      <c r="QE12" s="35"/>
      <c r="QF12" s="35"/>
      <c r="QG12" s="35"/>
      <c r="QH12" s="35"/>
      <c r="QI12" s="35"/>
      <c r="QJ12" s="35"/>
      <c r="QK12" s="35"/>
      <c r="QL12" s="35"/>
      <c r="QM12" s="35"/>
      <c r="QN12" s="35"/>
      <c r="QO12" s="35"/>
      <c r="QP12" s="35"/>
      <c r="QQ12" s="35"/>
      <c r="QR12" s="35"/>
      <c r="QS12" s="35"/>
      <c r="QT12" s="35"/>
      <c r="QU12" s="35"/>
      <c r="QV12" s="35"/>
      <c r="QW12" s="35"/>
      <c r="QX12" s="35"/>
      <c r="QY12" s="35"/>
      <c r="QZ12" s="35"/>
      <c r="RA12" s="35"/>
      <c r="RB12" s="35"/>
      <c r="RC12" s="35"/>
      <c r="RD12" s="35"/>
      <c r="RE12" s="35"/>
      <c r="RF12" s="35"/>
      <c r="RG12" s="35"/>
      <c r="RH12" s="35"/>
      <c r="RI12" s="35"/>
      <c r="RJ12" s="35"/>
      <c r="RK12" s="35"/>
      <c r="RL12" s="35"/>
      <c r="RM12" s="35"/>
      <c r="RN12" s="35"/>
      <c r="RO12" s="35"/>
      <c r="RP12" s="35"/>
      <c r="RQ12" s="35"/>
      <c r="RR12" s="35"/>
      <c r="RS12" s="35"/>
      <c r="RT12" s="35"/>
      <c r="RU12" s="35"/>
      <c r="RV12" s="35"/>
      <c r="RW12" s="35"/>
      <c r="RX12" s="35"/>
      <c r="RY12" s="35"/>
      <c r="RZ12" s="35"/>
      <c r="SA12" s="35"/>
      <c r="SB12" s="35"/>
      <c r="SC12" s="35"/>
      <c r="SD12" s="35"/>
      <c r="SE12" s="35"/>
      <c r="SF12" s="35"/>
      <c r="SG12" s="35"/>
      <c r="SH12" s="35"/>
      <c r="SI12" s="35"/>
      <c r="SJ12" s="35"/>
      <c r="SK12" s="35"/>
      <c r="SL12" s="35"/>
      <c r="SM12" s="35"/>
      <c r="SN12" s="35"/>
      <c r="SO12" s="35"/>
      <c r="SP12" s="35"/>
      <c r="SQ12" s="35"/>
      <c r="SR12" s="35"/>
      <c r="SS12" s="35"/>
      <c r="ST12" s="35"/>
      <c r="SU12" s="35"/>
      <c r="SV12" s="35"/>
      <c r="SW12" s="35"/>
      <c r="SX12" s="35"/>
      <c r="SY12" s="35"/>
      <c r="SZ12" s="35"/>
      <c r="TA12" s="35"/>
      <c r="TB12" s="35"/>
      <c r="TC12" s="35"/>
      <c r="TD12" s="35"/>
      <c r="TE12" s="35"/>
      <c r="TF12" s="35"/>
      <c r="TG12" s="35"/>
      <c r="TH12" s="35"/>
      <c r="TI12" s="35"/>
      <c r="TJ12" s="35"/>
      <c r="TK12" s="35"/>
      <c r="TL12" s="35"/>
      <c r="TM12" s="35"/>
      <c r="TN12" s="35"/>
      <c r="TO12" s="35"/>
      <c r="TP12" s="35"/>
      <c r="TQ12" s="35"/>
      <c r="TR12" s="35"/>
      <c r="TS12" s="35"/>
      <c r="TT12" s="35"/>
      <c r="TU12" s="35"/>
      <c r="TV12" s="35"/>
      <c r="TW12" s="35"/>
      <c r="TX12" s="35"/>
      <c r="TY12" s="35"/>
      <c r="TZ12" s="35"/>
      <c r="UA12" s="35"/>
      <c r="UB12" s="35"/>
      <c r="UC12" s="35"/>
      <c r="UD12" s="35"/>
      <c r="UE12" s="35"/>
      <c r="UF12" s="35"/>
      <c r="UG12" s="35"/>
      <c r="UH12" s="35"/>
      <c r="UI12" s="35"/>
      <c r="UJ12" s="35"/>
      <c r="UK12" s="35"/>
      <c r="UL12" s="35"/>
      <c r="UM12" s="35"/>
      <c r="UN12" s="35"/>
      <c r="UO12" s="35"/>
      <c r="UP12" s="35"/>
      <c r="UQ12" s="35"/>
      <c r="UR12" s="35"/>
      <c r="US12" s="35"/>
      <c r="UT12" s="35"/>
      <c r="UU12" s="35"/>
      <c r="UV12" s="35"/>
      <c r="UW12" s="35"/>
      <c r="UX12" s="35"/>
      <c r="UY12" s="35"/>
      <c r="UZ12" s="35"/>
      <c r="VA12" s="35"/>
      <c r="VB12" s="35"/>
      <c r="VC12" s="35"/>
      <c r="VD12" s="35"/>
      <c r="VE12" s="35"/>
      <c r="VF12" s="35"/>
      <c r="VG12" s="35"/>
      <c r="VH12" s="35"/>
      <c r="VI12" s="35"/>
      <c r="VJ12" s="35"/>
      <c r="VK12" s="35"/>
      <c r="VL12" s="35"/>
      <c r="VM12" s="35"/>
      <c r="VN12" s="35"/>
      <c r="VO12" s="35"/>
      <c r="VP12" s="35"/>
      <c r="VQ12" s="35"/>
      <c r="VR12" s="35"/>
      <c r="VS12" s="35"/>
      <c r="VT12" s="35"/>
      <c r="VU12" s="35"/>
      <c r="VV12" s="35"/>
      <c r="VW12" s="35"/>
      <c r="VX12" s="35"/>
      <c r="VY12" s="35"/>
      <c r="VZ12" s="35"/>
      <c r="WA12" s="35"/>
      <c r="WB12" s="35"/>
      <c r="WC12" s="35"/>
      <c r="WD12" s="35"/>
      <c r="WE12" s="35"/>
      <c r="WF12" s="35"/>
      <c r="WG12" s="35"/>
      <c r="WH12" s="35"/>
      <c r="WI12" s="35"/>
      <c r="WJ12" s="35"/>
      <c r="WK12" s="35"/>
      <c r="WL12" s="35"/>
      <c r="WM12" s="35"/>
      <c r="WN12" s="35"/>
      <c r="WO12" s="35"/>
      <c r="WP12" s="35"/>
      <c r="WQ12" s="35"/>
      <c r="WR12" s="35"/>
      <c r="WS12" s="35"/>
      <c r="WT12" s="35"/>
      <c r="WU12" s="35"/>
      <c r="WV12" s="35"/>
      <c r="WW12" s="35"/>
      <c r="WX12" s="35"/>
      <c r="WY12" s="35"/>
      <c r="WZ12" s="35"/>
      <c r="XA12" s="35"/>
      <c r="XB12" s="35"/>
      <c r="XC12" s="35"/>
      <c r="XD12" s="35"/>
      <c r="XE12" s="35"/>
      <c r="XF12" s="35"/>
      <c r="XG12" s="35"/>
      <c r="XH12" s="35"/>
      <c r="XI12" s="35"/>
      <c r="XJ12" s="35"/>
      <c r="XK12" s="35"/>
      <c r="XL12" s="35"/>
      <c r="XM12" s="35"/>
      <c r="XN12" s="35"/>
      <c r="XO12" s="35"/>
      <c r="XP12" s="35"/>
      <c r="XQ12" s="35"/>
      <c r="XR12" s="35"/>
      <c r="XS12" s="35"/>
      <c r="XT12" s="35"/>
      <c r="XU12" s="35"/>
      <c r="XV12" s="35"/>
      <c r="XW12" s="35"/>
      <c r="XX12" s="35"/>
      <c r="XY12" s="35"/>
      <c r="XZ12" s="35"/>
      <c r="YA12" s="35"/>
      <c r="YB12" s="35"/>
      <c r="YC12" s="35"/>
      <c r="YD12" s="35"/>
      <c r="YE12" s="35"/>
      <c r="YF12" s="35"/>
      <c r="YG12" s="35"/>
      <c r="YH12" s="35"/>
      <c r="YI12" s="35"/>
      <c r="YJ12" s="35"/>
      <c r="YK12" s="35"/>
      <c r="YL12" s="35"/>
      <c r="YM12" s="35"/>
      <c r="YN12" s="35"/>
      <c r="YO12" s="35"/>
      <c r="YP12" s="35"/>
      <c r="YQ12" s="35"/>
      <c r="YR12" s="35"/>
      <c r="YS12" s="35"/>
      <c r="YT12" s="35"/>
      <c r="YU12" s="35"/>
      <c r="YV12" s="35"/>
      <c r="YW12" s="35"/>
      <c r="YX12" s="35"/>
      <c r="YY12" s="35"/>
      <c r="YZ12" s="35"/>
      <c r="ZA12" s="35"/>
      <c r="ZB12" s="35"/>
      <c r="ZC12" s="35"/>
      <c r="ZD12" s="35"/>
      <c r="ZE12" s="35"/>
      <c r="ZF12" s="35"/>
      <c r="ZG12" s="35"/>
      <c r="ZH12" s="35"/>
      <c r="ZI12" s="35"/>
      <c r="ZJ12" s="35"/>
      <c r="ZK12" s="35"/>
      <c r="ZL12" s="35"/>
      <c r="ZM12" s="35"/>
      <c r="ZN12" s="35"/>
      <c r="ZO12" s="35"/>
      <c r="ZP12" s="35"/>
      <c r="ZQ12" s="35"/>
      <c r="ZR12" s="35"/>
      <c r="ZS12" s="35"/>
      <c r="ZT12" s="35"/>
      <c r="ZU12" s="35"/>
      <c r="ZV12" s="35"/>
      <c r="ZW12" s="35"/>
      <c r="ZX12" s="35"/>
      <c r="ZY12" s="35"/>
      <c r="ZZ12" s="35"/>
      <c r="AAA12" s="35"/>
      <c r="AAB12" s="35"/>
      <c r="AAC12" s="35"/>
      <c r="AAD12" s="35"/>
      <c r="AAE12" s="35"/>
      <c r="AAF12" s="35"/>
      <c r="AAG12" s="35"/>
      <c r="AAH12" s="35"/>
      <c r="AAI12" s="35"/>
      <c r="AAJ12" s="35"/>
      <c r="AAK12" s="35"/>
      <c r="AAL12" s="35"/>
      <c r="AAM12" s="35"/>
      <c r="AAN12" s="35"/>
      <c r="AAO12" s="35"/>
      <c r="AAP12" s="35"/>
      <c r="AAQ12" s="35"/>
      <c r="AAR12" s="35"/>
      <c r="AAS12" s="35"/>
      <c r="AAT12" s="35"/>
      <c r="AAU12" s="35"/>
      <c r="AAV12" s="35"/>
      <c r="AAW12" s="35"/>
      <c r="AAX12" s="35"/>
      <c r="AAY12" s="35"/>
      <c r="AAZ12" s="35"/>
      <c r="ABA12" s="35"/>
      <c r="ABB12" s="35"/>
      <c r="ABC12" s="35"/>
      <c r="ABD12" s="35"/>
      <c r="ABE12" s="35"/>
      <c r="ABF12" s="35"/>
      <c r="ABG12" s="35"/>
      <c r="ABH12" s="35"/>
      <c r="ABI12" s="35"/>
      <c r="ABJ12" s="35"/>
      <c r="ABK12" s="35"/>
      <c r="ABL12" s="35"/>
      <c r="ABM12" s="35"/>
      <c r="ABN12" s="35"/>
      <c r="ABO12" s="35"/>
      <c r="ABP12" s="35"/>
      <c r="ABQ12" s="35"/>
      <c r="ABR12" s="35"/>
      <c r="ABS12" s="35"/>
      <c r="ABT12" s="35"/>
      <c r="ABU12" s="35"/>
      <c r="ABV12" s="35"/>
      <c r="ABW12" s="35"/>
      <c r="ABX12" s="35"/>
      <c r="ABY12" s="35"/>
      <c r="ABZ12" s="35"/>
      <c r="ACA12" s="35"/>
      <c r="ACB12" s="35"/>
      <c r="ACC12" s="35"/>
      <c r="ACD12" s="35"/>
      <c r="ACE12" s="35"/>
      <c r="ACF12" s="35"/>
      <c r="ACG12" s="35"/>
      <c r="ACH12" s="35"/>
      <c r="ACI12" s="35"/>
      <c r="ACJ12" s="35"/>
      <c r="ACK12" s="35"/>
      <c r="ACL12" s="35"/>
      <c r="ACM12" s="35"/>
      <c r="ACN12" s="35"/>
      <c r="ACO12" s="35"/>
      <c r="ACP12" s="35"/>
      <c r="ACQ12" s="35"/>
      <c r="ACR12" s="35"/>
      <c r="ACS12" s="35"/>
      <c r="ACT12" s="35"/>
      <c r="ACU12" s="35"/>
      <c r="ACV12" s="35"/>
      <c r="ACW12" s="35"/>
      <c r="ACX12" s="35"/>
      <c r="ACY12" s="35"/>
      <c r="ACZ12" s="35"/>
      <c r="ADA12" s="35"/>
      <c r="ADB12" s="35"/>
      <c r="ADC12" s="35"/>
      <c r="ADD12" s="35"/>
      <c r="ADE12" s="35"/>
      <c r="ADF12" s="35"/>
      <c r="ADG12" s="35"/>
      <c r="ADH12" s="35"/>
      <c r="ADI12" s="35"/>
      <c r="ADJ12" s="35"/>
      <c r="ADK12" s="35"/>
      <c r="ADL12" s="35"/>
      <c r="ADM12" s="35"/>
      <c r="ADN12" s="35"/>
      <c r="ADO12" s="35"/>
      <c r="ADP12" s="35"/>
      <c r="ADQ12" s="35"/>
      <c r="ADR12" s="35"/>
      <c r="ADS12" s="35"/>
      <c r="ADT12" s="35"/>
      <c r="ADU12" s="35"/>
      <c r="ADV12" s="35"/>
      <c r="ADW12" s="35"/>
      <c r="ADX12" s="35"/>
      <c r="ADY12" s="35"/>
      <c r="ADZ12" s="35"/>
      <c r="AEA12" s="35"/>
      <c r="AEB12" s="35"/>
      <c r="AEC12" s="35"/>
      <c r="AED12" s="35"/>
      <c r="AEE12" s="35"/>
      <c r="AEF12" s="35"/>
      <c r="AEG12" s="35"/>
      <c r="AEH12" s="35"/>
      <c r="AEI12" s="35"/>
      <c r="AEJ12" s="35"/>
      <c r="AEK12" s="35"/>
      <c r="AEL12" s="35"/>
      <c r="AEM12" s="35"/>
      <c r="AEN12" s="35"/>
      <c r="AEO12" s="35"/>
      <c r="AEP12" s="35"/>
      <c r="AEQ12" s="35"/>
      <c r="AER12" s="35"/>
      <c r="AES12" s="35"/>
      <c r="AET12" s="35"/>
      <c r="AEU12" s="35"/>
      <c r="AEV12" s="35"/>
      <c r="AEW12" s="35"/>
      <c r="AEX12" s="35"/>
      <c r="AEY12" s="35"/>
      <c r="AEZ12" s="35"/>
      <c r="AFA12" s="35"/>
      <c r="AFB12" s="35"/>
      <c r="AFC12" s="35"/>
      <c r="AFD12" s="35"/>
      <c r="AFE12" s="35"/>
      <c r="AFF12" s="35"/>
      <c r="AFG12" s="35"/>
      <c r="AFH12" s="35"/>
      <c r="AFI12" s="35"/>
      <c r="AFJ12" s="35"/>
      <c r="AFK12" s="35"/>
      <c r="AFL12" s="35"/>
      <c r="AFM12" s="35"/>
      <c r="AFN12" s="35"/>
      <c r="AFO12" s="35"/>
      <c r="AFP12" s="35"/>
      <c r="AFQ12" s="35"/>
      <c r="AFR12" s="35"/>
      <c r="AFS12" s="35"/>
      <c r="AFT12" s="35"/>
      <c r="AFU12" s="35"/>
      <c r="AFV12" s="35"/>
      <c r="AFW12" s="35"/>
      <c r="AFX12" s="35"/>
      <c r="AFY12" s="35"/>
      <c r="AFZ12" s="35"/>
      <c r="AGA12" s="35"/>
      <c r="AGB12" s="35"/>
      <c r="AGC12" s="35"/>
      <c r="AGD12" s="35"/>
      <c r="AGE12" s="35"/>
      <c r="AGF12" s="35"/>
      <c r="AGG12" s="35"/>
      <c r="AGH12" s="35"/>
      <c r="AGI12" s="35"/>
      <c r="AGJ12" s="35"/>
      <c r="AGK12" s="35"/>
      <c r="AGL12" s="35"/>
      <c r="AGM12" s="35"/>
      <c r="AGN12" s="35"/>
      <c r="AGO12" s="35"/>
      <c r="AGP12" s="35"/>
      <c r="AGQ12" s="35"/>
      <c r="AGR12" s="35"/>
      <c r="AGS12" s="35"/>
      <c r="AGT12" s="35"/>
      <c r="AGU12" s="35"/>
      <c r="AGV12" s="35"/>
      <c r="AGW12" s="35"/>
      <c r="AGX12" s="35"/>
      <c r="AGY12" s="35"/>
      <c r="AGZ12" s="35"/>
      <c r="AHA12" s="35"/>
      <c r="AHB12" s="35"/>
      <c r="AHC12" s="35"/>
      <c r="AHD12" s="35"/>
      <c r="AHE12" s="35"/>
      <c r="AHF12" s="35"/>
      <c r="AHG12" s="35"/>
      <c r="AHH12" s="35"/>
      <c r="AHI12" s="35"/>
      <c r="AHJ12" s="35"/>
      <c r="AHK12" s="35"/>
      <c r="AHL12" s="35"/>
      <c r="AHM12" s="35"/>
      <c r="AHN12" s="35"/>
      <c r="AHO12" s="35"/>
      <c r="AHP12" s="35"/>
      <c r="AHQ12" s="35"/>
      <c r="AHR12" s="35"/>
      <c r="AHS12" s="35"/>
      <c r="AHT12" s="35"/>
      <c r="AHU12" s="35"/>
      <c r="AHV12" s="35"/>
      <c r="AHW12" s="35"/>
      <c r="AHX12" s="35"/>
      <c r="AHY12" s="35"/>
      <c r="AHZ12" s="35"/>
      <c r="AIA12" s="35"/>
      <c r="AIB12" s="35"/>
      <c r="AIC12" s="35"/>
      <c r="AID12" s="35"/>
      <c r="AIE12" s="35"/>
      <c r="AIF12" s="35"/>
      <c r="AIG12" s="35"/>
      <c r="AIH12" s="35"/>
      <c r="AII12" s="35"/>
      <c r="AIJ12" s="35"/>
      <c r="AIK12" s="35"/>
      <c r="AIL12" s="35"/>
      <c r="AIM12" s="35"/>
      <c r="AIN12" s="35"/>
      <c r="AIO12" s="35"/>
      <c r="AIP12" s="35"/>
      <c r="AIQ12" s="35"/>
      <c r="AIR12" s="35"/>
      <c r="AIS12" s="35"/>
      <c r="AIT12" s="35"/>
      <c r="AIU12" s="35"/>
      <c r="AIV12" s="35"/>
      <c r="AIW12" s="35"/>
      <c r="AIX12" s="35"/>
      <c r="AIY12" s="35"/>
      <c r="AIZ12" s="35"/>
      <c r="AJA12" s="35"/>
      <c r="AJB12" s="35"/>
      <c r="AJC12" s="35"/>
      <c r="AJD12" s="35"/>
      <c r="AJE12" s="35"/>
      <c r="AJF12" s="35"/>
      <c r="AJG12" s="35"/>
      <c r="AJH12" s="35"/>
      <c r="AJI12" s="35"/>
      <c r="AJJ12" s="35"/>
      <c r="AJK12" s="35"/>
      <c r="AJL12" s="35"/>
      <c r="AJM12" s="35"/>
      <c r="AJN12" s="35"/>
      <c r="AJO12" s="35"/>
      <c r="AJP12" s="35"/>
      <c r="AJQ12" s="35"/>
      <c r="AJR12" s="35"/>
      <c r="AJS12" s="35"/>
      <c r="AJT12" s="35"/>
      <c r="AJU12" s="35"/>
      <c r="AJV12" s="35"/>
      <c r="AJW12" s="35"/>
      <c r="AJX12" s="35"/>
      <c r="AJY12" s="35"/>
      <c r="AJZ12" s="35"/>
      <c r="AKA12" s="35"/>
      <c r="AKB12" s="35"/>
      <c r="AKC12" s="35"/>
      <c r="AKD12" s="35"/>
      <c r="AKE12" s="35"/>
      <c r="AKF12" s="35"/>
      <c r="AKG12" s="35"/>
      <c r="AKH12" s="35"/>
      <c r="AKI12" s="35"/>
      <c r="AKJ12" s="35"/>
      <c r="AKK12" s="35"/>
      <c r="AKL12" s="35"/>
      <c r="AKM12" s="35"/>
      <c r="AKN12" s="35"/>
      <c r="AKO12" s="35"/>
      <c r="AKP12" s="35"/>
      <c r="AKQ12" s="35"/>
      <c r="AKR12" s="35"/>
      <c r="AKS12" s="35"/>
      <c r="AKT12" s="35"/>
      <c r="AKU12" s="35"/>
      <c r="AKV12" s="35"/>
      <c r="AKW12" s="35"/>
      <c r="AKX12" s="35"/>
      <c r="AKY12" s="35"/>
      <c r="AKZ12" s="35"/>
      <c r="ALA12" s="35"/>
      <c r="ALB12" s="35"/>
      <c r="ALC12" s="35"/>
      <c r="ALD12" s="35"/>
      <c r="ALE12" s="35"/>
      <c r="ALF12" s="35"/>
      <c r="ALG12" s="35"/>
      <c r="ALH12" s="35"/>
      <c r="ALI12" s="35"/>
      <c r="ALJ12" s="35"/>
      <c r="ALK12" s="35"/>
      <c r="ALL12" s="35"/>
      <c r="ALM12" s="35"/>
      <c r="ALN12" s="35"/>
      <c r="ALO12" s="35"/>
      <c r="ALP12" s="35"/>
      <c r="ALQ12" s="35"/>
      <c r="ALR12" s="35"/>
      <c r="ALS12" s="35"/>
      <c r="ALT12" s="35"/>
      <c r="ALU12" s="35"/>
      <c r="ALV12" s="35"/>
      <c r="ALW12" s="35"/>
      <c r="ALX12" s="35"/>
      <c r="ALY12" s="35"/>
      <c r="ALZ12" s="35"/>
      <c r="AMA12" s="35"/>
      <c r="AMB12" s="35"/>
      <c r="AMC12" s="35"/>
      <c r="AMD12" s="35"/>
      <c r="AME12" s="35"/>
      <c r="AMF12" s="35"/>
      <c r="AMG12" s="35"/>
      <c r="AMH12" s="35"/>
      <c r="AMI12" s="35"/>
      <c r="AMJ12" s="35"/>
    </row>
    <row r="13" spans="1:1024" ht="20.25" customHeight="1" thickBot="1" x14ac:dyDescent="0.3">
      <c r="A13" s="100" t="s">
        <v>68</v>
      </c>
      <c r="B13" s="100"/>
      <c r="C13" s="100"/>
      <c r="D13" s="100"/>
      <c r="E13" s="100"/>
      <c r="F13" s="100"/>
      <c r="G13" s="100"/>
      <c r="H13" s="100"/>
      <c r="I13" s="100"/>
      <c r="J13" s="101">
        <f>SUMPRODUCT(J12:J12,K12:K12)</f>
        <v>2983400</v>
      </c>
      <c r="K13" s="101"/>
    </row>
  </sheetData>
  <mergeCells count="23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3:I13"/>
    <mergeCell ref="J13:K13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0"/>
  <sheetViews>
    <sheetView workbookViewId="0">
      <selection activeCell="S10" sqref="S10"/>
    </sheetView>
  </sheetViews>
  <sheetFormatPr baseColWidth="10" defaultColWidth="11" defaultRowHeight="13.5" x14ac:dyDescent="0.25"/>
  <cols>
    <col min="1" max="5" width="4.42578125" style="43" customWidth="1"/>
    <col min="6" max="6" width="5.28515625" style="43" customWidth="1"/>
    <col min="7" max="7" width="4.42578125" style="44" customWidth="1"/>
    <col min="8" max="11" width="4.42578125" style="43" customWidth="1"/>
    <col min="12" max="12" width="4.7109375" style="43" customWidth="1"/>
    <col min="13" max="14" width="4.42578125" style="43" customWidth="1"/>
    <col min="15" max="15" width="14.85546875" style="43" customWidth="1"/>
    <col min="16" max="16" width="13" style="43" customWidth="1"/>
    <col min="17" max="17" width="13.140625" style="43" customWidth="1"/>
    <col min="18" max="16384" width="11" style="43"/>
  </cols>
  <sheetData>
    <row r="1" spans="1:18" ht="15.75" customHeight="1" thickBot="1" x14ac:dyDescent="0.3">
      <c r="A1" s="112" t="s">
        <v>3</v>
      </c>
      <c r="B1" s="112"/>
      <c r="C1" s="112"/>
      <c r="D1" s="113">
        <v>2021</v>
      </c>
      <c r="E1" s="113"/>
      <c r="F1" s="41"/>
      <c r="G1" s="41"/>
      <c r="H1" s="42"/>
      <c r="I1" s="42"/>
      <c r="J1" s="42"/>
      <c r="K1" s="42"/>
      <c r="L1" s="42"/>
      <c r="M1" s="42"/>
      <c r="N1" s="42"/>
      <c r="P1" s="114" t="s">
        <v>42</v>
      </c>
      <c r="Q1" s="114"/>
    </row>
    <row r="2" spans="1:18" ht="15.75" customHeight="1" thickBot="1" x14ac:dyDescent="0.3">
      <c r="H2" s="42"/>
      <c r="I2" s="42"/>
      <c r="J2" s="42"/>
      <c r="K2" s="42"/>
      <c r="L2" s="42"/>
      <c r="M2" s="42"/>
      <c r="N2" s="42"/>
      <c r="P2" s="114"/>
      <c r="Q2" s="114"/>
    </row>
    <row r="3" spans="1:18" ht="14.25" thickBot="1" x14ac:dyDescent="0.3"/>
    <row r="4" spans="1:18" ht="18" customHeight="1" thickBot="1" x14ac:dyDescent="0.35">
      <c r="A4" s="115" t="s">
        <v>43</v>
      </c>
      <c r="B4" s="115"/>
      <c r="C4" s="115"/>
      <c r="D4" s="115"/>
      <c r="E4" s="115"/>
      <c r="F4" s="115"/>
      <c r="G4" s="116" t="str">
        <f>'[1] NotaPedido'!D3</f>
        <v>90- Ministerio de Seguridad</v>
      </c>
      <c r="H4" s="116"/>
      <c r="I4" s="116"/>
      <c r="J4" s="116"/>
      <c r="K4" s="116"/>
      <c r="L4" s="116"/>
      <c r="M4" s="116"/>
      <c r="N4" s="116"/>
      <c r="O4" s="116"/>
      <c r="P4" s="116"/>
      <c r="Q4" s="116"/>
    </row>
    <row r="5" spans="1:18" ht="18" customHeight="1" thickBot="1" x14ac:dyDescent="0.35">
      <c r="A5" s="117" t="s">
        <v>34</v>
      </c>
      <c r="B5" s="118"/>
      <c r="C5" s="118"/>
      <c r="D5" s="118"/>
      <c r="E5" s="118"/>
      <c r="F5" s="119"/>
      <c r="G5" s="81" t="s">
        <v>69</v>
      </c>
      <c r="H5" s="79"/>
      <c r="I5" s="80"/>
      <c r="J5" s="78"/>
      <c r="K5" s="78"/>
      <c r="L5" s="78"/>
      <c r="M5" s="78"/>
      <c r="N5" s="78"/>
      <c r="O5" s="78"/>
      <c r="P5" s="78"/>
      <c r="Q5" s="78"/>
    </row>
    <row r="6" spans="1:18" ht="18" customHeight="1" thickBot="1" x14ac:dyDescent="0.35">
      <c r="A6" s="117" t="s">
        <v>32</v>
      </c>
      <c r="B6" s="118"/>
      <c r="C6" s="118"/>
      <c r="D6" s="118"/>
      <c r="E6" s="118"/>
      <c r="F6" s="119"/>
      <c r="G6" s="116" t="s">
        <v>75</v>
      </c>
      <c r="H6" s="116"/>
      <c r="I6" s="116"/>
      <c r="J6" s="116"/>
      <c r="K6" s="116"/>
      <c r="L6" s="116"/>
      <c r="M6" s="116"/>
      <c r="N6" s="116"/>
      <c r="O6" s="116"/>
      <c r="P6" s="116"/>
      <c r="Q6" s="116"/>
    </row>
    <row r="7" spans="1:18" ht="18" customHeight="1" thickBot="1" x14ac:dyDescent="0.35">
      <c r="A7" s="117" t="s">
        <v>35</v>
      </c>
      <c r="B7" s="118"/>
      <c r="C7" s="118"/>
      <c r="D7" s="118"/>
      <c r="E7" s="118"/>
      <c r="F7" s="119"/>
      <c r="G7" s="43" t="s">
        <v>79</v>
      </c>
      <c r="H7" s="83"/>
      <c r="I7" s="83"/>
      <c r="J7" s="83"/>
      <c r="K7" s="83"/>
      <c r="L7" s="83"/>
      <c r="M7" s="83"/>
      <c r="N7" s="83"/>
      <c r="O7" s="83"/>
      <c r="P7" s="83"/>
      <c r="Q7" s="83"/>
    </row>
    <row r="8" spans="1:18" ht="18" customHeight="1" thickBot="1" x14ac:dyDescent="0.3">
      <c r="A8" s="120" t="s">
        <v>64</v>
      </c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</row>
    <row r="9" spans="1:18" ht="21" customHeight="1" thickBot="1" x14ac:dyDescent="0.35">
      <c r="A9" s="121" t="s">
        <v>44</v>
      </c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3"/>
      <c r="O9" s="60"/>
      <c r="P9" s="61"/>
      <c r="Q9" s="62"/>
    </row>
    <row r="10" spans="1:18" ht="66.75" customHeight="1" x14ac:dyDescent="0.3">
      <c r="A10" s="124" t="s">
        <v>74</v>
      </c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6"/>
      <c r="R10" s="45"/>
    </row>
    <row r="11" spans="1:18" ht="9" customHeight="1" thickBot="1" x14ac:dyDescent="0.3">
      <c r="A11" s="46"/>
      <c r="B11" s="47"/>
      <c r="C11" s="47"/>
      <c r="D11" s="47"/>
      <c r="E11" s="47"/>
      <c r="F11" s="47"/>
      <c r="G11" s="48"/>
      <c r="H11" s="47"/>
      <c r="I11" s="47"/>
      <c r="J11" s="47"/>
      <c r="K11" s="47"/>
      <c r="L11" s="47"/>
      <c r="M11" s="47"/>
      <c r="N11" s="47"/>
      <c r="O11" s="47"/>
      <c r="P11" s="47"/>
      <c r="Q11" s="49"/>
    </row>
    <row r="12" spans="1:18" ht="15.75" customHeight="1" thickBot="1" x14ac:dyDescent="0.3">
      <c r="A12" s="127" t="s">
        <v>45</v>
      </c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</row>
    <row r="13" spans="1:18" ht="15.75" customHeight="1" thickBot="1" x14ac:dyDescent="0.3">
      <c r="A13" s="128" t="s">
        <v>46</v>
      </c>
      <c r="B13" s="128"/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9" t="s">
        <v>47</v>
      </c>
      <c r="P13" s="129"/>
      <c r="Q13" s="130" t="s">
        <v>48</v>
      </c>
    </row>
    <row r="14" spans="1:18" ht="15.75" customHeight="1" thickBot="1" x14ac:dyDescent="0.3">
      <c r="A14" s="50" t="s">
        <v>49</v>
      </c>
      <c r="B14" s="51" t="s">
        <v>50</v>
      </c>
      <c r="C14" s="51" t="s">
        <v>51</v>
      </c>
      <c r="D14" s="51" t="s">
        <v>52</v>
      </c>
      <c r="E14" s="51" t="s">
        <v>53</v>
      </c>
      <c r="F14" s="51" t="s">
        <v>54</v>
      </c>
      <c r="G14" s="52" t="s">
        <v>55</v>
      </c>
      <c r="H14" s="51" t="s">
        <v>56</v>
      </c>
      <c r="I14" s="51" t="s">
        <v>57</v>
      </c>
      <c r="J14" s="51" t="s">
        <v>58</v>
      </c>
      <c r="K14" s="51" t="s">
        <v>58</v>
      </c>
      <c r="L14" s="51" t="s">
        <v>59</v>
      </c>
      <c r="M14" s="53" t="s">
        <v>60</v>
      </c>
      <c r="N14" s="54" t="s">
        <v>61</v>
      </c>
      <c r="O14" s="129"/>
      <c r="P14" s="129"/>
      <c r="Q14" s="130"/>
    </row>
    <row r="15" spans="1:18" ht="33.75" customHeight="1" thickBot="1" x14ac:dyDescent="0.3">
      <c r="A15" s="55">
        <v>1</v>
      </c>
      <c r="B15" s="56">
        <v>0</v>
      </c>
      <c r="C15" s="56">
        <v>0</v>
      </c>
      <c r="D15" s="56">
        <v>1</v>
      </c>
      <c r="E15" s="56">
        <v>0</v>
      </c>
      <c r="F15" s="56">
        <v>4901</v>
      </c>
      <c r="G15" s="56">
        <v>2</v>
      </c>
      <c r="H15" s="56">
        <v>1</v>
      </c>
      <c r="I15" s="56">
        <v>4</v>
      </c>
      <c r="J15" s="56">
        <v>3</v>
      </c>
      <c r="K15" s="56">
        <v>2</v>
      </c>
      <c r="L15" s="56">
        <v>0</v>
      </c>
      <c r="M15" s="57">
        <v>1</v>
      </c>
      <c r="N15" s="56" t="s">
        <v>63</v>
      </c>
      <c r="O15" s="132" t="s">
        <v>72</v>
      </c>
      <c r="P15" s="133"/>
      <c r="Q15" s="58">
        <v>3000000</v>
      </c>
    </row>
    <row r="16" spans="1:18" ht="38.25" customHeight="1" thickBot="1" x14ac:dyDescent="0.3">
      <c r="A16" s="134" t="s">
        <v>77</v>
      </c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6"/>
      <c r="Q16" s="59">
        <f>SUM(Q15:Q15)</f>
        <v>3000000</v>
      </c>
    </row>
    <row r="17" spans="1:17" ht="18" customHeight="1" thickBot="1" x14ac:dyDescent="0.3">
      <c r="A17" s="137"/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8"/>
    </row>
    <row r="18" spans="1:17" ht="17.25" customHeight="1" thickBot="1" x14ac:dyDescent="0.3">
      <c r="A18" s="139" t="s">
        <v>62</v>
      </c>
      <c r="B18" s="140"/>
      <c r="C18" s="140"/>
      <c r="D18" s="140"/>
      <c r="E18" s="140"/>
      <c r="F18" s="141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</row>
    <row r="19" spans="1:17" ht="18" customHeight="1" thickBot="1" x14ac:dyDescent="0.3">
      <c r="A19" s="131" t="s">
        <v>76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</row>
    <row r="20" spans="1:17" ht="21" customHeight="1" thickBot="1" x14ac:dyDescent="0.3">
      <c r="A20" s="131"/>
      <c r="B20" s="131"/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</row>
  </sheetData>
  <mergeCells count="22">
    <mergeCell ref="A19:Q20"/>
    <mergeCell ref="O15:P15"/>
    <mergeCell ref="A16:P16"/>
    <mergeCell ref="A17:Q17"/>
    <mergeCell ref="A18:F18"/>
    <mergeCell ref="G18:Q18"/>
    <mergeCell ref="A9:N9"/>
    <mergeCell ref="A10:Q10"/>
    <mergeCell ref="A12:Q12"/>
    <mergeCell ref="A13:N13"/>
    <mergeCell ref="O13:P14"/>
    <mergeCell ref="Q13:Q14"/>
    <mergeCell ref="A6:F6"/>
    <mergeCell ref="G6:Q6"/>
    <mergeCell ref="A7:F7"/>
    <mergeCell ref="A8:Q8"/>
    <mergeCell ref="A5:F5"/>
    <mergeCell ref="A1:C1"/>
    <mergeCell ref="D1:E1"/>
    <mergeCell ref="P1:Q2"/>
    <mergeCell ref="A4:F4"/>
    <mergeCell ref="G4:Q4"/>
  </mergeCells>
  <pageMargins left="0.25" right="0.25" top="0.75" bottom="0.75" header="0.3" footer="0.3"/>
  <pageSetup paperSize="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Necesidades Trimestrales</vt:lpstr>
      <vt:lpstr> NotaPedido</vt:lpstr>
      <vt:lpstr>Autor Gastar</vt:lpstr>
      <vt:lpstr>' NotaPedido'!Área_de_impresión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Policia</dc:creator>
  <cp:lastModifiedBy>elias quintar</cp:lastModifiedBy>
  <cp:revision>2</cp:revision>
  <cp:lastPrinted>2021-02-05T13:05:58Z</cp:lastPrinted>
  <dcterms:created xsi:type="dcterms:W3CDTF">2020-07-17T23:44:49Z</dcterms:created>
  <dcterms:modified xsi:type="dcterms:W3CDTF">2021-08-17T13:21:36Z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