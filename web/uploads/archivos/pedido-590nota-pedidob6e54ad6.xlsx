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Trimestrales'!$B$9:$J$34</definedName>
    <definedName name="_xlnm.Print_Area" localSheetId="2">'Autor Gastar'!$A$1:$Q$26</definedName>
    <definedName name="_xlnm.Print_Area" localSheetId="1">NotaPedido!$A$1:$K$37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8" i="1"/>
  <c r="I34"/>
  <c r="D34"/>
  <c r="I33"/>
  <c r="D33"/>
  <c r="I32"/>
  <c r="D32"/>
  <c r="I31"/>
  <c r="D31"/>
  <c r="I30"/>
  <c r="D30"/>
  <c r="I29"/>
  <c r="D29"/>
  <c r="I28"/>
  <c r="D10" l="1"/>
  <c r="D23"/>
  <c r="D24"/>
  <c r="D19"/>
  <c r="D15"/>
  <c r="D14"/>
  <c r="D20"/>
  <c r="D21"/>
  <c r="D22" l="1"/>
  <c r="D26"/>
  <c r="D27"/>
  <c r="D11"/>
  <c r="D25"/>
  <c r="D18"/>
  <c r="D17"/>
  <c r="D16"/>
  <c r="D12"/>
  <c r="D13"/>
  <c r="B15" i="2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A25" i="3"/>
  <c r="A10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13" i="1"/>
  <c r="I12"/>
  <c r="I16"/>
  <c r="I17"/>
  <c r="I18"/>
  <c r="I25"/>
  <c r="I11"/>
  <c r="I27"/>
  <c r="I26"/>
  <c r="I22"/>
  <c r="I21"/>
  <c r="I20"/>
  <c r="I14"/>
  <c r="I15"/>
  <c r="I19"/>
  <c r="I24"/>
  <c r="I23"/>
  <c r="I10"/>
  <c r="J37" i="2" l="1"/>
  <c r="G6" i="3" l="1"/>
  <c r="G7"/>
  <c r="D7" i="2"/>
  <c r="D3"/>
  <c r="G4" i="3" s="1"/>
  <c r="D4" i="2"/>
  <c r="G5" i="3" s="1"/>
  <c r="D1" l="1"/>
  <c r="Q22"/>
</calcChain>
</file>

<file path=xl/sharedStrings.xml><?xml version="1.0" encoding="utf-8"?>
<sst xmlns="http://schemas.openxmlformats.org/spreadsheetml/2006/main" count="208" uniqueCount="133">
  <si>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</si>
  <si>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</si>
  <si>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</si>
  <si>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</si>
  <si>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</si>
  <si>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</si>
  <si>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</si>
  <si>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</si>
  <si>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</si>
  <si>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</si>
  <si>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</si>
  <si>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</si>
  <si>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</si>
  <si>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</si>
  <si>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</si>
  <si>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</si>
  <si>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</si>
  <si>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</si>
  <si>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</si>
  <si>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</si>
  <si>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</si>
  <si>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</si>
  <si>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</si>
  <si>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</si>
  <si>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</si>
  <si>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</si>
  <si>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</si>
  <si>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</si>
  <si>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</si>
  <si>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</si>
  <si>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</si>
  <si>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</si>
  <si>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</si>
  <si>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</si>
  <si>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</si>
  <si>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</si>
  <si>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</si>
  <si>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</si>
  <si>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</si>
  <si>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</si>
  <si>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</si>
  <si>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</si>
  <si>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</si>
  <si>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</si>
  <si>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</si>
  <si>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</si>
  <si>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</si>
  <si>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</si>
  <si>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</si>
  <si>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</si>
  <si>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</si>
  <si>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</si>
  <si>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</si>
  <si>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</si>
  <si>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3.1</t>
  </si>
  <si>
    <t>1.1</t>
  </si>
  <si>
    <t>Utiles Menores Med. Quir. y de Lab.</t>
  </si>
  <si>
    <t>PROD. MEDICO/FARMACEUTICOS/LAB</t>
  </si>
  <si>
    <t>CAJA</t>
  </si>
  <si>
    <t>2.9.5-4091.39</t>
  </si>
  <si>
    <t>AGUJAS Y JERINGAS; TIPO: ECLIPSE, PASO: 1 1/4", PRESENTACION: CAJA X 48 UNIDADES</t>
  </si>
  <si>
    <t>2.9.5-5410.11</t>
  </si>
  <si>
    <t>CUBETAS DE REACCION; MATERIAL: PLASTICO, CELDAS: 500 C/AGITADOR, USO: COAGULOMETRO</t>
  </si>
  <si>
    <t>ROLLO</t>
  </si>
  <si>
    <t>2.9.5-4633.2</t>
  </si>
  <si>
    <t>2.9.5-7074.4</t>
  </si>
  <si>
    <t>2.9.5-5410.1</t>
  </si>
  <si>
    <t>2.9.5-2366.2</t>
  </si>
  <si>
    <t>2.9.5-7870.18</t>
  </si>
  <si>
    <t>2.9.5-6349.3</t>
  </si>
  <si>
    <t>2.9.5-3492.338</t>
  </si>
  <si>
    <t>2.9.5-2576.56</t>
  </si>
  <si>
    <t>2.9.5-2576.58</t>
  </si>
  <si>
    <t>2.9.5-2576.40</t>
  </si>
  <si>
    <t>2.9.5-3492.184</t>
  </si>
  <si>
    <t>2.9.5-931.47</t>
  </si>
  <si>
    <t>MICROTUBOS P/LABORATORIO; MATERIAL: POLIPROPILENO, PRESENTACION: BOLSA X 1000 UN, MEDIDA: 1,5 mL, COLOR: INCOLORO, TIPO: EPPENDORF</t>
  </si>
  <si>
    <t>ENVASES P/RESIDUOS PATOLOGICOS; MATERIAL: POLIPROPILENO, DIMENSION: VOLUMEN 20 L, USO: RESIDUO QUIMICO LIQUIDO, TAPA: A ROSCA</t>
  </si>
  <si>
    <t>CUBETAS DE REACCION; MATERIAL: PLASTICO, CELDAS: 5, USO: AUTOANALIZADOR QUIMICA CLINICA</t>
  </si>
  <si>
    <t>HISOPOS; MATERIAL DE EXTREMOS: ALGODON, PRESENTACION: CAJA X 100</t>
  </si>
  <si>
    <t>LAMPARAS P/AUTOANALIZADOR; TIPO: HALOGENA, EQUIPO: COBAS C-311, MARCA: ROCHE</t>
  </si>
  <si>
    <t>TIP; TIPO: AMARILLO CON CORONA, PRESENTACION: ENVASE X 1000 UN, CAPACIDAD: 5 A 200 µL</t>
  </si>
  <si>
    <t>TUBOS AL VACIO P/EXTRACCION; MATERIAL: PLASTICO, MEDIDA: 2 mL, ADITIVO: EDTA TRIPOTASICO, AGUJA: SIN</t>
  </si>
  <si>
    <t>TUBOS AL VACIO P/EXTRACCION; MATERIAL: PLASTICO, MEDIDA: 2,7 ML, ADITIVO: CITRATO DE SODIO 3,2 %, AGUJA: SIN</t>
  </si>
  <si>
    <t>TUBOS AL VACIO P/EXTRACCION; MATERIAL: POLIETILENO, MEDIDA: CAPACIDAD 3,5 ML. 13 X 75 mm, ADITIVO: ACTIVADOR DE COAGULO, AGUJA: SIN</t>
  </si>
  <si>
    <t>TIP; TIPO: AUTOANALIZADOR, PRESENTACION: 30 X ENVASE X 120 UN, CAPACIDAD: 10 A 200 µL</t>
  </si>
  <si>
    <t>TELAS ADHESIVAS; ANCHO: 2,5 Cm, LONG.DE CUERPO: 9 M, TIPO: HIPOALERGICA MICROPOROSA</t>
  </si>
  <si>
    <t>TIPO AMPOULER</t>
  </si>
  <si>
    <t>TIPO CLOT CATCHER</t>
  </si>
  <si>
    <t>COBAS B221</t>
  </si>
  <si>
    <t>TIPO COATRON</t>
  </si>
  <si>
    <t>PARA COBAS C311- 3 SET COMPLETOS</t>
  </si>
  <si>
    <t>NO ESTERIL</t>
  </si>
  <si>
    <t>TUBO CON GEL AL VACIO TAPA AMARILLA</t>
  </si>
  <si>
    <t>ASSAY TIP P COBAS 411</t>
  </si>
  <si>
    <t>ASSAY CUP COBAS 411</t>
  </si>
  <si>
    <t>CAJA 12 UNIDADES TIPO MICROPOR</t>
  </si>
  <si>
    <t>ESPECIFICACIONES TECNICAS</t>
  </si>
  <si>
    <t>BOLSA</t>
  </si>
  <si>
    <t>UNIDAD</t>
  </si>
  <si>
    <t>2.9.5-5568.1</t>
  </si>
  <si>
    <t>CASSETTES P/BIOPSIAS; MATERIAL: PLASTICO, TAMAÑO: 4 X 2,7 X 0,5 Cm</t>
  </si>
  <si>
    <t>2.9.5-5321.4</t>
  </si>
  <si>
    <t>NAVAJAS P/MICROTOMO; TIPO: DESCARTABLE Nº 819, PRESENTACION: CAJA X 50 UN</t>
  </si>
  <si>
    <t>2.9.5-2557.19</t>
  </si>
  <si>
    <t>CUBREOBJETOS; MATERIAL: VIDRIO, DIMENSION: 24 X 60 mm, PRESENTACION: CAJA X 100 UN</t>
  </si>
  <si>
    <t>2.9.5-2557.11</t>
  </si>
  <si>
    <t>CUBREOBJETOS; MATERIAL: VIDRIO, DIMENSION: 24 X 50 mm, PRESENTACION: CAJA X 100 UN</t>
  </si>
  <si>
    <t>2.9.5-2557.3</t>
  </si>
  <si>
    <t>CUBREOBJETOS; MATERIAL: VIDRIO, DIMENSION: 24 X 40 mm, PRESENTACION: CAJA X 100 UN</t>
  </si>
  <si>
    <t>2.9.5-4047.2</t>
  </si>
  <si>
    <t>CRIOVIALES; MATERIAL: POLIPROPILENO, VOLUMEN: 2 Ml</t>
  </si>
  <si>
    <t>CRIOVIALES; MATERIAL: POLIPROPILENO, VOLUMEN: 5 Ml</t>
  </si>
  <si>
    <t>2.9.5-4047.6</t>
  </si>
  <si>
    <t>CRIOVIALES ESTERILES 2 ML X 100 UNIDADES T/SIMPORT</t>
  </si>
  <si>
    <t>CRIOVIALES ESTERILES 5 ML X 100 UNIDADES T/SIMPORT</t>
  </si>
  <si>
    <t xml:space="preserve">PLAZO DE MANTENIMIENTO DE OFERTA: 45 DIAS HABILES </t>
  </si>
  <si>
    <t xml:space="preserve">PLAZO DE ENTREGA: 15 DIAS HABILES EN EL SERVICIO DE LABORATORIO CENTRAL - AVDA. ILLIA Y MARIANO MORENO - DE LUNES A VIERNES EN EL HORARIO DE 08 A 11 HORAS </t>
  </si>
  <si>
    <t>Servicio de Laboratorio Central</t>
  </si>
  <si>
    <t>Adquisición de Descartables</t>
  </si>
  <si>
    <t>MICROCOPAS DE MUESTRA; TIPO: AUTOANALIZADOR, PRESENTACION: CAJA X 500</t>
  </si>
  <si>
    <t>SI</t>
  </si>
  <si>
    <t>Costo total estimado: PESOS TRES MILLONES QUINIENTOS SETENTA Y NUEVE MIL OCHOCIENTOS NOVENTA Y OCHO CON 80/100</t>
  </si>
  <si>
    <t>TOTAL DE PESOS:  TRES MILLONES QUINIENTOS SETENTA Y NUEVE MIL OCHOCIENTOS NOVENTA Y OCHO CON 80/100</t>
  </si>
  <si>
    <t>Etiquetas Rollo tipo Itecrap de 8 cm x 25 cm con estampilla</t>
  </si>
  <si>
    <t>2.9.5-2562.34</t>
  </si>
  <si>
    <t>PORTAOBJETOS P/MICROSCOPIO; MATERIAL: VIDRIO C/BORDE SIN PULIR, PRESENTACION: ENVASE X 50 UN, TAMAÑO: 25,4 X 76,2 mm</t>
  </si>
  <si>
    <t>NOTA DE PEDIDO 133-2022</t>
  </si>
  <si>
    <t>2.9.5-10013.6</t>
  </si>
  <si>
    <t>PAPEL P/EQUIPO MEDICO; USO: IMPRESIÓN EQUIPO COBAS U411, PRESENTACION: PAPEL TERMICO EN ROLLO DE 11 CM X 20 MTS</t>
  </si>
  <si>
    <t>2.9.5-10013.7</t>
  </si>
  <si>
    <t>PAPEL P/EQUIPO MEDICO; USO: IMPRESIÓN ETIQUETAS EQUIPO COBAS ROCHE, PRESENTACION: ETIQUETA TERMICA C/CORTE 80 X 25 X 1800 TIPO ITECRA</t>
  </si>
  <si>
    <t>DOCFI-2022-02214366-CAT-DASIS#HSJB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</si>
</sst>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5" fillId="0" borderId="0"/>
  </cellStyleXfs>
  <cellXfs count="10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166" fontId="0" fillId="0" borderId="21" xfId="3" applyNumberFormat="1" applyFont="1" applyBorder="1" applyAlignment="1" applyProtection="1">
      <alignment horizontal="center" vertical="center"/>
    </xf>
    <xf numFmtId="166" fontId="0" fillId="0" borderId="23" xfId="3" applyNumberFormat="1" applyFont="1" applyBorder="1" applyAlignment="1" applyProtection="1">
      <alignment horizontal="center" vertical="center"/>
    </xf>
    <xf numFmtId="166" fontId="13" fillId="0" borderId="2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21" fillId="3" borderId="6" xfId="0" applyFont="1" applyFill="1" applyBorder="1" applyAlignment="1">
      <alignment horizontal="left" vertical="center" wrapText="1"/>
    </xf>
    <xf numFmtId="166" fontId="4" fillId="4" borderId="11" xfId="1" applyNumberFormat="1" applyFont="1" applyFill="1" applyBorder="1" applyAlignment="1" applyProtection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0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3" fillId="4" borderId="6" xfId="0" applyFont="1" applyFill="1" applyBorder="1" applyAlignment="1">
      <alignment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5" fillId="5" borderId="12" xfId="0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11" fillId="3" borderId="24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9" fillId="0" borderId="24" xfId="0" applyFont="1" applyBorder="1" applyAlignment="1">
      <alignment horizontal="left" vertical="center" wrapText="1"/>
    </xf>
    <xf numFmtId="0" fontId="0" fillId="0" borderId="14" xfId="0" applyBorder="1"/>
    <xf numFmtId="0" fontId="24" fillId="0" borderId="30" xfId="0" applyFont="1" applyBorder="1" applyAlignment="1">
      <alignment horizontal="left" vertical="center"/>
    </xf>
    <xf numFmtId="0" fontId="24" fillId="0" borderId="20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9" fillId="0" borderId="12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7"/>
  <sheetViews>
    <sheetView topLeftCell="A23" zoomScale="85" zoomScaleNormal="85" workbookViewId="0">
      <pane xSplit="1" topLeftCell="B1" activePane="topRight" state="frozen"/>
      <selection pane="topRight" activeCell="G35" sqref="G35"/>
    </sheetView>
  </sheetViews>
  <sheetFormatPr baseColWidth="10" defaultColWidth="11" defaultRowHeight="13.2"/>
  <cols>
    <col min="1" max="1" width="4.5546875" style="21" customWidth="1"/>
    <col min="2" max="2" width="11.88671875" style="21" customWidth="1"/>
    <col min="3" max="3" width="32.44140625" style="21" customWidth="1"/>
    <col min="4" max="4" width="6.6640625" style="21" customWidth="1"/>
    <col min="5" max="5" width="79" style="21" customWidth="1"/>
    <col min="6" max="6" width="11" style="21"/>
    <col min="7" max="7" width="12.6640625" style="21" customWidth="1"/>
    <col min="8" max="8" width="13.88671875" style="21" customWidth="1"/>
    <col min="9" max="9" width="12.6640625" style="21" customWidth="1"/>
    <col min="10" max="10" width="39.6640625" style="21" customWidth="1"/>
    <col min="11" max="16384" width="11" style="21"/>
  </cols>
  <sheetData>
    <row r="2" spans="1:10" ht="27.6">
      <c r="B2" s="56" t="s">
        <v>0</v>
      </c>
      <c r="C2" s="56"/>
      <c r="D2" s="56"/>
      <c r="E2" s="56"/>
      <c r="F2" s="56"/>
      <c r="G2" s="56"/>
      <c r="H2" s="56"/>
    </row>
    <row r="4" spans="1:10" ht="18" customHeight="1">
      <c r="A4" s="49" t="s">
        <v>1</v>
      </c>
      <c r="B4" s="49"/>
      <c r="C4" s="57" t="s">
        <v>51</v>
      </c>
      <c r="D4" s="57"/>
      <c r="E4" s="57"/>
      <c r="F4" s="22"/>
      <c r="G4" s="23"/>
      <c r="H4" s="22"/>
    </row>
    <row r="5" spans="1:10" ht="18" customHeight="1">
      <c r="A5" s="49" t="s">
        <v>2</v>
      </c>
      <c r="B5" s="49"/>
      <c r="C5" s="57" t="s">
        <v>52</v>
      </c>
      <c r="D5" s="57"/>
      <c r="E5" s="57"/>
      <c r="F5" s="22"/>
      <c r="G5" s="23"/>
      <c r="H5" s="22"/>
    </row>
    <row r="6" spans="1:10" ht="16.5" customHeight="1">
      <c r="A6" s="49" t="s">
        <v>3</v>
      </c>
      <c r="B6" s="49"/>
      <c r="C6" s="32">
        <v>2022</v>
      </c>
      <c r="D6" s="33"/>
      <c r="E6" s="33"/>
      <c r="F6" s="22"/>
      <c r="G6" s="23"/>
      <c r="H6" s="22"/>
    </row>
    <row r="7" spans="1:10" ht="16.5" customHeight="1">
      <c r="A7" s="49" t="s">
        <v>4</v>
      </c>
      <c r="B7" s="49"/>
      <c r="C7" s="32">
        <v>4</v>
      </c>
      <c r="D7" s="33"/>
      <c r="E7" s="33"/>
      <c r="F7" s="22"/>
      <c r="G7" s="23"/>
      <c r="H7" s="22"/>
    </row>
    <row r="8" spans="1:10" ht="13.8" thickBot="1">
      <c r="B8" s="22"/>
      <c r="C8" s="23"/>
      <c r="D8" s="22"/>
      <c r="E8" s="22"/>
      <c r="F8" s="22"/>
      <c r="G8" s="23"/>
      <c r="H8" s="22"/>
    </row>
    <row r="9" spans="1:10" ht="40.200000000000003" thickBot="1">
      <c r="A9" s="24" t="s">
        <v>5</v>
      </c>
      <c r="B9" s="24" t="s">
        <v>6</v>
      </c>
      <c r="C9" s="24" t="s">
        <v>7</v>
      </c>
      <c r="D9" s="24" t="s">
        <v>8</v>
      </c>
      <c r="E9" s="24" t="s">
        <v>9</v>
      </c>
      <c r="F9" s="24" t="s">
        <v>10</v>
      </c>
      <c r="G9" s="24" t="s">
        <v>11</v>
      </c>
      <c r="H9" s="24" t="s">
        <v>12</v>
      </c>
      <c r="I9" s="24" t="s">
        <v>13</v>
      </c>
      <c r="J9" s="24" t="s">
        <v>97</v>
      </c>
    </row>
    <row r="10" spans="1:10" ht="31.95" customHeight="1" thickBot="1">
      <c r="A10" s="25">
        <v>1</v>
      </c>
      <c r="B10" s="29" t="s">
        <v>59</v>
      </c>
      <c r="C10" s="26" t="s">
        <v>57</v>
      </c>
      <c r="D10" s="27" t="str">
        <f t="shared" ref="D10:D27" si="0">LEFT(B10,5)</f>
        <v>2.9.5</v>
      </c>
      <c r="E10" s="28" t="s">
        <v>60</v>
      </c>
      <c r="F10" s="29" t="s">
        <v>58</v>
      </c>
      <c r="G10" s="29">
        <v>84</v>
      </c>
      <c r="H10" s="30">
        <v>2164</v>
      </c>
      <c r="I10" s="31">
        <f t="shared" ref="I10:I27" si="1">G10*H10</f>
        <v>181776</v>
      </c>
      <c r="J10" s="39"/>
    </row>
    <row r="11" spans="1:10" ht="31.95" customHeight="1" thickBot="1">
      <c r="A11" s="25">
        <v>2</v>
      </c>
      <c r="B11" s="29" t="s">
        <v>100</v>
      </c>
      <c r="C11" s="26" t="s">
        <v>57</v>
      </c>
      <c r="D11" s="27" t="str">
        <f t="shared" si="0"/>
        <v>2.9.5</v>
      </c>
      <c r="E11" s="28" t="s">
        <v>101</v>
      </c>
      <c r="F11" s="29" t="s">
        <v>99</v>
      </c>
      <c r="G11" s="29">
        <v>2000</v>
      </c>
      <c r="H11" s="30">
        <v>29.9</v>
      </c>
      <c r="I11" s="31">
        <f t="shared" si="1"/>
        <v>59800</v>
      </c>
      <c r="J11" s="39"/>
    </row>
    <row r="12" spans="1:10" ht="31.95" customHeight="1" thickBot="1">
      <c r="A12" s="25">
        <v>3</v>
      </c>
      <c r="B12" s="29" t="s">
        <v>110</v>
      </c>
      <c r="C12" s="26" t="s">
        <v>57</v>
      </c>
      <c r="D12" s="27" t="str">
        <f t="shared" si="0"/>
        <v>2.9.5</v>
      </c>
      <c r="E12" s="28" t="s">
        <v>111</v>
      </c>
      <c r="F12" s="29" t="s">
        <v>98</v>
      </c>
      <c r="G12" s="29">
        <v>1</v>
      </c>
      <c r="H12" s="30">
        <v>10028</v>
      </c>
      <c r="I12" s="31">
        <f t="shared" si="1"/>
        <v>10028</v>
      </c>
      <c r="J12" s="39" t="s">
        <v>114</v>
      </c>
    </row>
    <row r="13" spans="1:10" ht="31.95" customHeight="1" thickBot="1">
      <c r="A13" s="25">
        <v>4</v>
      </c>
      <c r="B13" s="29" t="s">
        <v>113</v>
      </c>
      <c r="C13" s="26" t="s">
        <v>57</v>
      </c>
      <c r="D13" s="27" t="str">
        <f t="shared" si="0"/>
        <v>2.9.5</v>
      </c>
      <c r="E13" s="28" t="s">
        <v>112</v>
      </c>
      <c r="F13" s="29" t="s">
        <v>98</v>
      </c>
      <c r="G13" s="29">
        <v>1</v>
      </c>
      <c r="H13" s="30">
        <v>16117</v>
      </c>
      <c r="I13" s="31">
        <f t="shared" si="1"/>
        <v>16117</v>
      </c>
      <c r="J13" s="39" t="s">
        <v>115</v>
      </c>
    </row>
    <row r="14" spans="1:10" ht="31.95" customHeight="1" thickBot="1">
      <c r="A14" s="25">
        <v>5</v>
      </c>
      <c r="B14" s="29" t="s">
        <v>66</v>
      </c>
      <c r="C14" s="26" t="s">
        <v>57</v>
      </c>
      <c r="D14" s="27" t="str">
        <f t="shared" si="0"/>
        <v>2.9.5</v>
      </c>
      <c r="E14" s="28" t="s">
        <v>78</v>
      </c>
      <c r="F14" s="29" t="s">
        <v>58</v>
      </c>
      <c r="G14" s="29">
        <v>3</v>
      </c>
      <c r="H14" s="30">
        <v>237052</v>
      </c>
      <c r="I14" s="31">
        <f t="shared" si="1"/>
        <v>711156</v>
      </c>
      <c r="J14" s="39" t="s">
        <v>91</v>
      </c>
    </row>
    <row r="15" spans="1:10" ht="31.95" customHeight="1" thickBot="1">
      <c r="A15" s="25">
        <v>6</v>
      </c>
      <c r="B15" s="29" t="s">
        <v>61</v>
      </c>
      <c r="C15" s="26" t="s">
        <v>57</v>
      </c>
      <c r="D15" s="27" t="str">
        <f t="shared" si="0"/>
        <v>2.9.5</v>
      </c>
      <c r="E15" s="28" t="s">
        <v>62</v>
      </c>
      <c r="F15" s="29" t="s">
        <v>58</v>
      </c>
      <c r="G15" s="29">
        <v>30</v>
      </c>
      <c r="H15" s="30">
        <v>15000</v>
      </c>
      <c r="I15" s="31">
        <f t="shared" si="1"/>
        <v>450000</v>
      </c>
      <c r="J15" s="39" t="s">
        <v>90</v>
      </c>
    </row>
    <row r="16" spans="1:10" ht="31.95" customHeight="1" thickBot="1">
      <c r="A16" s="25">
        <v>7</v>
      </c>
      <c r="B16" s="29" t="s">
        <v>108</v>
      </c>
      <c r="C16" s="26" t="s">
        <v>57</v>
      </c>
      <c r="D16" s="27" t="str">
        <f t="shared" si="0"/>
        <v>2.9.5</v>
      </c>
      <c r="E16" s="28" t="s">
        <v>109</v>
      </c>
      <c r="F16" s="29" t="s">
        <v>58</v>
      </c>
      <c r="G16" s="29">
        <v>15</v>
      </c>
      <c r="H16" s="30">
        <v>447.2</v>
      </c>
      <c r="I16" s="31">
        <f t="shared" si="1"/>
        <v>6708</v>
      </c>
      <c r="J16" s="39"/>
    </row>
    <row r="17" spans="1:10" ht="31.95" customHeight="1" thickBot="1">
      <c r="A17" s="25">
        <v>8</v>
      </c>
      <c r="B17" s="29" t="s">
        <v>106</v>
      </c>
      <c r="C17" s="26" t="s">
        <v>57</v>
      </c>
      <c r="D17" s="27" t="str">
        <f t="shared" si="0"/>
        <v>2.9.5</v>
      </c>
      <c r="E17" s="28" t="s">
        <v>107</v>
      </c>
      <c r="F17" s="29" t="s">
        <v>58</v>
      </c>
      <c r="G17" s="29">
        <v>10</v>
      </c>
      <c r="H17" s="30">
        <v>894.4</v>
      </c>
      <c r="I17" s="31">
        <f t="shared" si="1"/>
        <v>8944</v>
      </c>
      <c r="J17" s="39"/>
    </row>
    <row r="18" spans="1:10" ht="31.95" customHeight="1" thickBot="1">
      <c r="A18" s="25">
        <v>9</v>
      </c>
      <c r="B18" s="29" t="s">
        <v>104</v>
      </c>
      <c r="C18" s="26" t="s">
        <v>57</v>
      </c>
      <c r="D18" s="27" t="str">
        <f t="shared" si="0"/>
        <v>2.9.5</v>
      </c>
      <c r="E18" s="28" t="s">
        <v>105</v>
      </c>
      <c r="F18" s="29" t="s">
        <v>58</v>
      </c>
      <c r="G18" s="29">
        <v>20</v>
      </c>
      <c r="H18" s="30">
        <v>1090.7</v>
      </c>
      <c r="I18" s="31">
        <f t="shared" si="1"/>
        <v>21814</v>
      </c>
      <c r="J18" s="39"/>
    </row>
    <row r="19" spans="1:10" ht="31.95" customHeight="1" thickBot="1">
      <c r="A19" s="25">
        <v>10</v>
      </c>
      <c r="B19" s="29" t="s">
        <v>65</v>
      </c>
      <c r="C19" s="26" t="s">
        <v>57</v>
      </c>
      <c r="D19" s="27" t="str">
        <f t="shared" si="0"/>
        <v>2.9.5</v>
      </c>
      <c r="E19" s="28" t="s">
        <v>77</v>
      </c>
      <c r="F19" s="29" t="s">
        <v>58</v>
      </c>
      <c r="G19" s="29">
        <v>12</v>
      </c>
      <c r="H19" s="30">
        <v>10775</v>
      </c>
      <c r="I19" s="31">
        <f t="shared" si="1"/>
        <v>129300</v>
      </c>
      <c r="J19" s="39" t="s">
        <v>89</v>
      </c>
    </row>
    <row r="20" spans="1:10" ht="31.95" customHeight="1" thickBot="1">
      <c r="A20" s="25">
        <v>11</v>
      </c>
      <c r="B20" s="29" t="s">
        <v>67</v>
      </c>
      <c r="C20" s="26" t="s">
        <v>57</v>
      </c>
      <c r="D20" s="27" t="str">
        <f t="shared" si="0"/>
        <v>2.9.5</v>
      </c>
      <c r="E20" s="28" t="s">
        <v>79</v>
      </c>
      <c r="F20" s="29" t="s">
        <v>58</v>
      </c>
      <c r="G20" s="29">
        <v>20</v>
      </c>
      <c r="H20" s="30">
        <v>200</v>
      </c>
      <c r="I20" s="31">
        <f t="shared" si="1"/>
        <v>4000</v>
      </c>
      <c r="J20" s="39" t="s">
        <v>92</v>
      </c>
    </row>
    <row r="21" spans="1:10" ht="31.95" customHeight="1" thickBot="1">
      <c r="A21" s="25">
        <v>12</v>
      </c>
      <c r="B21" s="29" t="s">
        <v>68</v>
      </c>
      <c r="C21" s="26" t="s">
        <v>57</v>
      </c>
      <c r="D21" s="27" t="str">
        <f t="shared" si="0"/>
        <v>2.9.5</v>
      </c>
      <c r="E21" s="28" t="s">
        <v>80</v>
      </c>
      <c r="F21" s="29" t="s">
        <v>99</v>
      </c>
      <c r="G21" s="29">
        <v>2</v>
      </c>
      <c r="H21" s="30">
        <v>103773</v>
      </c>
      <c r="I21" s="31">
        <f t="shared" si="1"/>
        <v>207546</v>
      </c>
      <c r="J21" s="39"/>
    </row>
    <row r="22" spans="1:10" ht="31.95" customHeight="1" thickBot="1">
      <c r="A22" s="25">
        <v>13</v>
      </c>
      <c r="B22" s="29" t="s">
        <v>69</v>
      </c>
      <c r="C22" s="26" t="s">
        <v>57</v>
      </c>
      <c r="D22" s="27" t="str">
        <f t="shared" si="0"/>
        <v>2.9.5</v>
      </c>
      <c r="E22" s="28" t="s">
        <v>120</v>
      </c>
      <c r="F22" s="29" t="s">
        <v>58</v>
      </c>
      <c r="G22" s="29">
        <v>4</v>
      </c>
      <c r="H22" s="30">
        <v>44297</v>
      </c>
      <c r="I22" s="31">
        <f t="shared" si="1"/>
        <v>177188</v>
      </c>
      <c r="J22" s="39" t="s">
        <v>95</v>
      </c>
    </row>
    <row r="23" spans="1:10" ht="31.95" customHeight="1" thickBot="1">
      <c r="A23" s="25">
        <v>14</v>
      </c>
      <c r="B23" s="29" t="s">
        <v>64</v>
      </c>
      <c r="C23" s="26" t="s">
        <v>57</v>
      </c>
      <c r="D23" s="27" t="str">
        <f t="shared" si="0"/>
        <v>2.9.5</v>
      </c>
      <c r="E23" s="28" t="s">
        <v>76</v>
      </c>
      <c r="F23" s="29" t="s">
        <v>98</v>
      </c>
      <c r="G23" s="29">
        <v>6</v>
      </c>
      <c r="H23" s="30">
        <v>10022</v>
      </c>
      <c r="I23" s="31">
        <f t="shared" si="1"/>
        <v>60132</v>
      </c>
      <c r="J23" s="39" t="s">
        <v>87</v>
      </c>
    </row>
    <row r="24" spans="1:10" ht="31.95" customHeight="1" thickBot="1">
      <c r="A24" s="25">
        <v>15</v>
      </c>
      <c r="B24" s="29" t="s">
        <v>64</v>
      </c>
      <c r="C24" s="26" t="s">
        <v>57</v>
      </c>
      <c r="D24" s="27" t="str">
        <f t="shared" si="0"/>
        <v>2.9.5</v>
      </c>
      <c r="E24" s="28" t="s">
        <v>76</v>
      </c>
      <c r="F24" s="29" t="s">
        <v>98</v>
      </c>
      <c r="G24" s="29">
        <v>12</v>
      </c>
      <c r="H24" s="30">
        <v>2805</v>
      </c>
      <c r="I24" s="31">
        <f t="shared" si="1"/>
        <v>33660</v>
      </c>
      <c r="J24" s="39" t="s">
        <v>88</v>
      </c>
    </row>
    <row r="25" spans="1:10" ht="31.95" customHeight="1" thickBot="1">
      <c r="A25" s="25">
        <v>16</v>
      </c>
      <c r="B25" s="29" t="s">
        <v>102</v>
      </c>
      <c r="C25" s="26" t="s">
        <v>57</v>
      </c>
      <c r="D25" s="27" t="str">
        <f t="shared" si="0"/>
        <v>2.9.5</v>
      </c>
      <c r="E25" s="28" t="s">
        <v>103</v>
      </c>
      <c r="F25" s="29" t="s">
        <v>58</v>
      </c>
      <c r="G25" s="29">
        <v>2</v>
      </c>
      <c r="H25" s="30">
        <v>52380.9</v>
      </c>
      <c r="I25" s="31">
        <f t="shared" si="1"/>
        <v>104761.8</v>
      </c>
      <c r="J25" s="39"/>
    </row>
    <row r="26" spans="1:10" ht="31.95" customHeight="1" thickBot="1">
      <c r="A26" s="25">
        <v>17</v>
      </c>
      <c r="B26" s="29" t="s">
        <v>128</v>
      </c>
      <c r="C26" s="26" t="s">
        <v>57</v>
      </c>
      <c r="D26" s="27" t="str">
        <f t="shared" si="0"/>
        <v>2.9.5</v>
      </c>
      <c r="E26" s="47" t="s">
        <v>129</v>
      </c>
      <c r="F26" s="29" t="s">
        <v>63</v>
      </c>
      <c r="G26" s="29">
        <v>10</v>
      </c>
      <c r="H26" s="30">
        <v>690</v>
      </c>
      <c r="I26" s="31">
        <f t="shared" si="1"/>
        <v>6900</v>
      </c>
      <c r="J26" s="39"/>
    </row>
    <row r="27" spans="1:10" ht="31.95" customHeight="1" thickBot="1">
      <c r="A27" s="25">
        <v>18</v>
      </c>
      <c r="B27" s="29" t="s">
        <v>130</v>
      </c>
      <c r="C27" s="26" t="s">
        <v>57</v>
      </c>
      <c r="D27" s="27" t="str">
        <f t="shared" si="0"/>
        <v>2.9.5</v>
      </c>
      <c r="E27" s="28" t="s">
        <v>131</v>
      </c>
      <c r="F27" s="29" t="s">
        <v>63</v>
      </c>
      <c r="G27" s="29">
        <v>80</v>
      </c>
      <c r="H27" s="30">
        <v>4237</v>
      </c>
      <c r="I27" s="31">
        <f t="shared" si="1"/>
        <v>338960</v>
      </c>
      <c r="J27" s="39" t="s">
        <v>124</v>
      </c>
    </row>
    <row r="28" spans="1:10" ht="31.95" customHeight="1" thickBot="1">
      <c r="A28" s="25">
        <v>19</v>
      </c>
      <c r="B28" s="29" t="s">
        <v>125</v>
      </c>
      <c r="C28" s="26" t="s">
        <v>57</v>
      </c>
      <c r="D28" s="27" t="str">
        <f>LEFT(B28,5)</f>
        <v>2.9.5</v>
      </c>
      <c r="E28" s="47" t="s">
        <v>126</v>
      </c>
      <c r="F28" s="29" t="s">
        <v>58</v>
      </c>
      <c r="G28" s="29">
        <v>36</v>
      </c>
      <c r="H28" s="30">
        <v>256</v>
      </c>
      <c r="I28" s="31">
        <f t="shared" ref="I28:I34" si="2">G28*H28</f>
        <v>9216</v>
      </c>
      <c r="J28" s="39"/>
    </row>
    <row r="29" spans="1:10" ht="31.95" customHeight="1" thickBot="1">
      <c r="A29" s="25">
        <v>20</v>
      </c>
      <c r="B29" s="29" t="s">
        <v>75</v>
      </c>
      <c r="C29" s="26" t="s">
        <v>57</v>
      </c>
      <c r="D29" s="27" t="str">
        <f t="shared" ref="D29:D34" si="3">LEFT(B29,5)</f>
        <v>2.9.5</v>
      </c>
      <c r="E29" s="28" t="s">
        <v>86</v>
      </c>
      <c r="F29" s="29" t="s">
        <v>58</v>
      </c>
      <c r="G29" s="29">
        <v>150</v>
      </c>
      <c r="H29" s="30">
        <v>2151</v>
      </c>
      <c r="I29" s="31">
        <f t="shared" si="2"/>
        <v>322650</v>
      </c>
      <c r="J29" s="39" t="s">
        <v>96</v>
      </c>
    </row>
    <row r="30" spans="1:10" ht="31.95" customHeight="1" thickBot="1">
      <c r="A30" s="25">
        <v>21</v>
      </c>
      <c r="B30" s="29" t="s">
        <v>70</v>
      </c>
      <c r="C30" s="26" t="s">
        <v>57</v>
      </c>
      <c r="D30" s="27" t="str">
        <f t="shared" si="3"/>
        <v>2.9.5</v>
      </c>
      <c r="E30" s="28" t="s">
        <v>81</v>
      </c>
      <c r="F30" s="29" t="s">
        <v>98</v>
      </c>
      <c r="G30" s="29">
        <v>16</v>
      </c>
      <c r="H30" s="30">
        <v>1843</v>
      </c>
      <c r="I30" s="31">
        <f t="shared" si="2"/>
        <v>29488</v>
      </c>
      <c r="J30" s="39"/>
    </row>
    <row r="31" spans="1:10" ht="31.95" customHeight="1" thickBot="1">
      <c r="A31" s="25">
        <v>22</v>
      </c>
      <c r="B31" s="29" t="s">
        <v>74</v>
      </c>
      <c r="C31" s="26" t="s">
        <v>57</v>
      </c>
      <c r="D31" s="27" t="str">
        <f t="shared" si="3"/>
        <v>2.9.5</v>
      </c>
      <c r="E31" s="28" t="s">
        <v>85</v>
      </c>
      <c r="F31" s="29" t="s">
        <v>58</v>
      </c>
      <c r="G31" s="29">
        <v>4</v>
      </c>
      <c r="H31" s="30">
        <v>32911</v>
      </c>
      <c r="I31" s="31">
        <f t="shared" si="2"/>
        <v>131644</v>
      </c>
      <c r="J31" s="39" t="s">
        <v>94</v>
      </c>
    </row>
    <row r="32" spans="1:10" ht="31.95" customHeight="1" thickBot="1">
      <c r="A32" s="25">
        <v>23</v>
      </c>
      <c r="B32" s="29" t="s">
        <v>71</v>
      </c>
      <c r="C32" s="26" t="s">
        <v>57</v>
      </c>
      <c r="D32" s="27" t="str">
        <f t="shared" si="3"/>
        <v>2.9.5</v>
      </c>
      <c r="E32" s="28" t="s">
        <v>82</v>
      </c>
      <c r="F32" s="29" t="s">
        <v>99</v>
      </c>
      <c r="G32" s="29">
        <v>12000</v>
      </c>
      <c r="H32" s="30">
        <v>15.28</v>
      </c>
      <c r="I32" s="31">
        <f t="shared" si="2"/>
        <v>183360</v>
      </c>
      <c r="J32" s="39"/>
    </row>
    <row r="33" spans="1:10" ht="31.95" customHeight="1" thickBot="1">
      <c r="A33" s="25">
        <v>24</v>
      </c>
      <c r="B33" s="29" t="s">
        <v>72</v>
      </c>
      <c r="C33" s="26" t="s">
        <v>57</v>
      </c>
      <c r="D33" s="27" t="str">
        <f t="shared" si="3"/>
        <v>2.9.5</v>
      </c>
      <c r="E33" s="28" t="s">
        <v>83</v>
      </c>
      <c r="F33" s="29" t="s">
        <v>99</v>
      </c>
      <c r="G33" s="29">
        <v>5000</v>
      </c>
      <c r="H33" s="30">
        <v>16.63</v>
      </c>
      <c r="I33" s="31">
        <f t="shared" si="2"/>
        <v>83150</v>
      </c>
      <c r="J33" s="39"/>
    </row>
    <row r="34" spans="1:10" ht="31.95" customHeight="1" thickBot="1">
      <c r="A34" s="25">
        <v>25</v>
      </c>
      <c r="B34" s="29" t="s">
        <v>73</v>
      </c>
      <c r="C34" s="26" t="s">
        <v>57</v>
      </c>
      <c r="D34" s="27" t="str">
        <f t="shared" si="3"/>
        <v>2.9.5</v>
      </c>
      <c r="E34" s="28" t="s">
        <v>84</v>
      </c>
      <c r="F34" s="29" t="s">
        <v>99</v>
      </c>
      <c r="G34" s="29">
        <v>12000</v>
      </c>
      <c r="H34" s="30">
        <v>24.3</v>
      </c>
      <c r="I34" s="31">
        <f t="shared" si="2"/>
        <v>291600</v>
      </c>
      <c r="J34" s="39" t="s">
        <v>93</v>
      </c>
    </row>
    <row r="35" spans="1:10" ht="13.8" thickBot="1"/>
    <row r="36" spans="1:10" ht="39.75" customHeight="1" thickBot="1">
      <c r="C36" s="50" t="s">
        <v>116</v>
      </c>
      <c r="D36" s="51"/>
      <c r="E36" s="52"/>
    </row>
    <row r="37" spans="1:10" ht="48.75" customHeight="1" thickBot="1">
      <c r="C37" s="53" t="s">
        <v>117</v>
      </c>
      <c r="D37" s="54"/>
      <c r="E37" s="55"/>
    </row>
  </sheetData>
  <autoFilter ref="B9:J34">
    <sortState ref="B10:J36">
      <sortCondition ref="E9"/>
    </sortState>
  </autoFilter>
  <mergeCells count="9">
    <mergeCell ref="A6:B6"/>
    <mergeCell ref="A7:B7"/>
    <mergeCell ref="C36:E36"/>
    <mergeCell ref="C37:E3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37"/>
  <sheetViews>
    <sheetView zoomScale="85" zoomScaleNormal="85" workbookViewId="0">
      <selection activeCell="K2" sqref="K2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34.200000000000003" customHeight="1" thickBot="1">
      <c r="A1" s="66" t="s">
        <v>127</v>
      </c>
      <c r="B1" s="66"/>
      <c r="C1" s="66"/>
      <c r="D1" s="66"/>
      <c r="E1" s="66"/>
      <c r="F1" s="66"/>
      <c r="G1" s="66"/>
      <c r="H1" s="66"/>
      <c r="I1" s="66"/>
      <c r="J1" s="3" t="s">
        <v>14</v>
      </c>
      <c r="K1" s="48" t="s">
        <v>132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67" t="s">
        <v>47</v>
      </c>
      <c r="B3" s="67"/>
      <c r="C3" s="67"/>
      <c r="D3" s="68" t="str">
        <f>'Necesidades Trimestrales'!C4</f>
        <v>40 - Ministerio de Salud</v>
      </c>
      <c r="E3" s="68"/>
      <c r="F3" s="68"/>
      <c r="G3" s="68"/>
      <c r="H3" s="68"/>
      <c r="I3" s="68"/>
      <c r="J3" s="68"/>
      <c r="K3" s="68"/>
    </row>
    <row r="4" spans="1:11" ht="18.75" customHeight="1" thickBot="1">
      <c r="A4" s="69" t="s">
        <v>48</v>
      </c>
      <c r="B4" s="69"/>
      <c r="C4" s="69"/>
      <c r="D4" s="68" t="str">
        <f>'Necesidades Trimestrales'!C5</f>
        <v>23 - Hospital Interzonal San Juan Bautista</v>
      </c>
      <c r="E4" s="68"/>
      <c r="F4" s="68"/>
      <c r="G4" s="68"/>
      <c r="H4" s="68"/>
      <c r="I4" s="68"/>
      <c r="J4" s="68"/>
      <c r="K4" s="68"/>
    </row>
    <row r="5" spans="1:11" ht="18.75" customHeight="1" thickBot="1">
      <c r="A5" s="69" t="s">
        <v>26</v>
      </c>
      <c r="B5" s="69"/>
      <c r="C5" s="69"/>
      <c r="D5" s="68" t="s">
        <v>53</v>
      </c>
      <c r="E5" s="68"/>
      <c r="F5" s="68"/>
      <c r="G5" s="68"/>
      <c r="H5" s="68"/>
      <c r="I5" s="68"/>
      <c r="J5" s="68"/>
      <c r="K5" s="68"/>
    </row>
    <row r="6" spans="1:11" ht="16.5" customHeight="1" thickBot="1">
      <c r="A6" s="67" t="s">
        <v>49</v>
      </c>
      <c r="B6" s="67"/>
      <c r="C6" s="67"/>
      <c r="D6" s="68" t="s">
        <v>118</v>
      </c>
      <c r="E6" s="68"/>
      <c r="F6" s="68"/>
      <c r="G6" s="68"/>
      <c r="H6" s="68"/>
      <c r="I6" s="68"/>
      <c r="J6" s="68"/>
      <c r="K6" s="68"/>
    </row>
    <row r="7" spans="1:11" ht="16.5" customHeight="1">
      <c r="A7" s="69" t="s">
        <v>15</v>
      </c>
      <c r="B7" s="69"/>
      <c r="C7" s="69"/>
      <c r="D7" s="68" t="str">
        <f>'Necesidades Trimestrales'!C7 &amp; "° Trimestre - Año " &amp; 'Necesidades Trimestrales'!C6</f>
        <v>4° Trimestre - Año 2022</v>
      </c>
      <c r="E7" s="68"/>
      <c r="F7" s="68"/>
      <c r="G7" s="68"/>
      <c r="H7" s="68"/>
      <c r="I7" s="68"/>
      <c r="J7" s="68"/>
      <c r="K7" s="68"/>
    </row>
    <row r="8" spans="1:11" ht="16.5" customHeight="1">
      <c r="A8" s="61" t="s">
        <v>16</v>
      </c>
      <c r="B8" s="61"/>
      <c r="C8" s="61"/>
      <c r="D8" s="62" t="s">
        <v>119</v>
      </c>
      <c r="E8" s="62"/>
      <c r="F8" s="62"/>
      <c r="G8" s="62"/>
      <c r="H8" s="62"/>
      <c r="I8" s="62"/>
      <c r="J8" s="62"/>
      <c r="K8" s="62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63" t="s">
        <v>17</v>
      </c>
      <c r="B10" s="64" t="s">
        <v>18</v>
      </c>
      <c r="C10" s="64" t="s">
        <v>19</v>
      </c>
      <c r="D10" s="64"/>
      <c r="E10" s="64"/>
      <c r="F10" s="64"/>
      <c r="G10" s="64"/>
      <c r="H10" s="64" t="s">
        <v>20</v>
      </c>
      <c r="I10" s="64" t="s">
        <v>21</v>
      </c>
      <c r="J10" s="64" t="s">
        <v>22</v>
      </c>
      <c r="K10" s="65" t="s">
        <v>23</v>
      </c>
    </row>
    <row r="11" spans="1:11" ht="24" customHeight="1" thickBot="1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5"/>
    </row>
    <row r="12" spans="1:11" ht="20.25" customHeight="1" thickBot="1">
      <c r="A12" s="8">
        <v>1</v>
      </c>
      <c r="B12" s="34" t="str">
        <f>'Necesidades Trimestrales'!B10</f>
        <v>2.9.5-4091.39</v>
      </c>
      <c r="C12" s="58" t="str">
        <f>'Necesidades Trimestrales'!E10</f>
        <v>AGUJAS Y JERINGAS; TIPO: ECLIPSE, PASO: 1 1/4", PRESENTACION: CAJA X 48 UNIDADES</v>
      </c>
      <c r="D12" s="58"/>
      <c r="E12" s="58"/>
      <c r="F12" s="58"/>
      <c r="G12" s="58"/>
      <c r="H12" s="35" t="s">
        <v>50</v>
      </c>
      <c r="I12" s="36" t="str">
        <f>'Necesidades Trimestrales'!F10</f>
        <v>CAJA</v>
      </c>
      <c r="J12" s="40">
        <f>'Necesidades Trimestrales'!H10</f>
        <v>2164</v>
      </c>
      <c r="K12" s="37">
        <f>'Necesidades Trimestrales'!G10</f>
        <v>84</v>
      </c>
    </row>
    <row r="13" spans="1:11" ht="20.25" customHeight="1" thickBot="1">
      <c r="A13" s="8">
        <v>2</v>
      </c>
      <c r="B13" s="34" t="str">
        <f>'Necesidades Trimestrales'!B11</f>
        <v>2.9.5-5568.1</v>
      </c>
      <c r="C13" s="58" t="str">
        <f>'Necesidades Trimestrales'!E11</f>
        <v>CASSETTES P/BIOPSIAS; MATERIAL: PLASTICO, TAMAÑO: 4 X 2,7 X 0,5 Cm</v>
      </c>
      <c r="D13" s="58"/>
      <c r="E13" s="58"/>
      <c r="F13" s="58"/>
      <c r="G13" s="58"/>
      <c r="H13" s="35" t="s">
        <v>50</v>
      </c>
      <c r="I13" s="36" t="str">
        <f>'Necesidades Trimestrales'!F11</f>
        <v>UNIDAD</v>
      </c>
      <c r="J13" s="40">
        <f>'Necesidades Trimestrales'!H11</f>
        <v>29.9</v>
      </c>
      <c r="K13" s="37">
        <f>'Necesidades Trimestrales'!G11</f>
        <v>2000</v>
      </c>
    </row>
    <row r="14" spans="1:11" ht="20.25" customHeight="1" thickBot="1">
      <c r="A14" s="8">
        <v>3</v>
      </c>
      <c r="B14" s="34" t="str">
        <f>'Necesidades Trimestrales'!B12</f>
        <v>2.9.5-4047.2</v>
      </c>
      <c r="C14" s="58" t="str">
        <f>'Necesidades Trimestrales'!E12</f>
        <v>CRIOVIALES; MATERIAL: POLIPROPILENO, VOLUMEN: 2 Ml</v>
      </c>
      <c r="D14" s="58"/>
      <c r="E14" s="58"/>
      <c r="F14" s="58"/>
      <c r="G14" s="58"/>
      <c r="H14" s="35" t="s">
        <v>121</v>
      </c>
      <c r="I14" s="36" t="str">
        <f>'Necesidades Trimestrales'!F12</f>
        <v>BOLSA</v>
      </c>
      <c r="J14" s="40">
        <f>'Necesidades Trimestrales'!H12</f>
        <v>10028</v>
      </c>
      <c r="K14" s="37">
        <f>'Necesidades Trimestrales'!G12</f>
        <v>1</v>
      </c>
    </row>
    <row r="15" spans="1:11" ht="20.25" customHeight="1" thickBot="1">
      <c r="A15" s="8">
        <v>4</v>
      </c>
      <c r="B15" s="34" t="str">
        <f>'Necesidades Trimestrales'!B13</f>
        <v>2.9.5-4047.6</v>
      </c>
      <c r="C15" s="58" t="str">
        <f>'Necesidades Trimestrales'!E13</f>
        <v>CRIOVIALES; MATERIAL: POLIPROPILENO, VOLUMEN: 5 Ml</v>
      </c>
      <c r="D15" s="58"/>
      <c r="E15" s="58"/>
      <c r="F15" s="58"/>
      <c r="G15" s="58"/>
      <c r="H15" s="35" t="s">
        <v>121</v>
      </c>
      <c r="I15" s="36" t="str">
        <f>'Necesidades Trimestrales'!F13</f>
        <v>BOLSA</v>
      </c>
      <c r="J15" s="40">
        <f>'Necesidades Trimestrales'!H13</f>
        <v>16117</v>
      </c>
      <c r="K15" s="37">
        <f>'Necesidades Trimestrales'!G13</f>
        <v>1</v>
      </c>
    </row>
    <row r="16" spans="1:11" ht="20.25" customHeight="1" thickBot="1">
      <c r="A16" s="8">
        <v>5</v>
      </c>
      <c r="B16" s="34" t="str">
        <f>'Necesidades Trimestrales'!B14</f>
        <v>2.9.5-5410.1</v>
      </c>
      <c r="C16" s="58" t="str">
        <f>'Necesidades Trimestrales'!E14</f>
        <v>CUBETAS DE REACCION; MATERIAL: PLASTICO, CELDAS: 5, USO: AUTOANALIZADOR QUIMICA CLINICA</v>
      </c>
      <c r="D16" s="58"/>
      <c r="E16" s="58"/>
      <c r="F16" s="58"/>
      <c r="G16" s="58"/>
      <c r="H16" s="35" t="s">
        <v>121</v>
      </c>
      <c r="I16" s="36" t="str">
        <f>'Necesidades Trimestrales'!F14</f>
        <v>CAJA</v>
      </c>
      <c r="J16" s="40">
        <f>'Necesidades Trimestrales'!H14</f>
        <v>237052</v>
      </c>
      <c r="K16" s="37">
        <f>'Necesidades Trimestrales'!G14</f>
        <v>3</v>
      </c>
    </row>
    <row r="17" spans="1:11" ht="20.25" customHeight="1" thickBot="1">
      <c r="A17" s="8">
        <v>6</v>
      </c>
      <c r="B17" s="34" t="str">
        <f>'Necesidades Trimestrales'!B15</f>
        <v>2.9.5-5410.11</v>
      </c>
      <c r="C17" s="58" t="str">
        <f>'Necesidades Trimestrales'!E15</f>
        <v>CUBETAS DE REACCION; MATERIAL: PLASTICO, CELDAS: 500 C/AGITADOR, USO: COAGULOMETRO</v>
      </c>
      <c r="D17" s="58"/>
      <c r="E17" s="58"/>
      <c r="F17" s="58"/>
      <c r="G17" s="58"/>
      <c r="H17" s="35" t="s">
        <v>121</v>
      </c>
      <c r="I17" s="36" t="str">
        <f>'Necesidades Trimestrales'!F15</f>
        <v>CAJA</v>
      </c>
      <c r="J17" s="40">
        <f>'Necesidades Trimestrales'!H15</f>
        <v>15000</v>
      </c>
      <c r="K17" s="37">
        <f>'Necesidades Trimestrales'!G15</f>
        <v>30</v>
      </c>
    </row>
    <row r="18" spans="1:11" ht="20.25" customHeight="1" thickBot="1">
      <c r="A18" s="8">
        <v>7</v>
      </c>
      <c r="B18" s="34" t="str">
        <f>'Necesidades Trimestrales'!B16</f>
        <v>2.9.5-2557.3</v>
      </c>
      <c r="C18" s="58" t="str">
        <f>'Necesidades Trimestrales'!E16</f>
        <v>CUBREOBJETOS; MATERIAL: VIDRIO, DIMENSION: 24 X 40 mm, PRESENTACION: CAJA X 100 UN</v>
      </c>
      <c r="D18" s="58"/>
      <c r="E18" s="58"/>
      <c r="F18" s="58"/>
      <c r="G18" s="58"/>
      <c r="H18" s="35" t="s">
        <v>50</v>
      </c>
      <c r="I18" s="36" t="str">
        <f>'Necesidades Trimestrales'!F16</f>
        <v>CAJA</v>
      </c>
      <c r="J18" s="40">
        <f>'Necesidades Trimestrales'!H16</f>
        <v>447.2</v>
      </c>
      <c r="K18" s="37">
        <f>'Necesidades Trimestrales'!G16</f>
        <v>15</v>
      </c>
    </row>
    <row r="19" spans="1:11" ht="20.25" customHeight="1" thickBot="1">
      <c r="A19" s="8">
        <v>8</v>
      </c>
      <c r="B19" s="34" t="str">
        <f>'Necesidades Trimestrales'!B17</f>
        <v>2.9.5-2557.11</v>
      </c>
      <c r="C19" s="58" t="str">
        <f>'Necesidades Trimestrales'!E17</f>
        <v>CUBREOBJETOS; MATERIAL: VIDRIO, DIMENSION: 24 X 50 mm, PRESENTACION: CAJA X 100 UN</v>
      </c>
      <c r="D19" s="58"/>
      <c r="E19" s="58"/>
      <c r="F19" s="58"/>
      <c r="G19" s="58"/>
      <c r="H19" s="35" t="s">
        <v>50</v>
      </c>
      <c r="I19" s="36" t="str">
        <f>'Necesidades Trimestrales'!F17</f>
        <v>CAJA</v>
      </c>
      <c r="J19" s="40">
        <f>'Necesidades Trimestrales'!H17</f>
        <v>894.4</v>
      </c>
      <c r="K19" s="37">
        <f>'Necesidades Trimestrales'!G17</f>
        <v>10</v>
      </c>
    </row>
    <row r="20" spans="1:11" ht="20.25" customHeight="1" thickBot="1">
      <c r="A20" s="8">
        <v>9</v>
      </c>
      <c r="B20" s="34" t="str">
        <f>'Necesidades Trimestrales'!B18</f>
        <v>2.9.5-2557.19</v>
      </c>
      <c r="C20" s="58" t="str">
        <f>'Necesidades Trimestrales'!E18</f>
        <v>CUBREOBJETOS; MATERIAL: VIDRIO, DIMENSION: 24 X 60 mm, PRESENTACION: CAJA X 100 UN</v>
      </c>
      <c r="D20" s="58"/>
      <c r="E20" s="58"/>
      <c r="F20" s="58"/>
      <c r="G20" s="58"/>
      <c r="H20" s="35" t="s">
        <v>50</v>
      </c>
      <c r="I20" s="36" t="str">
        <f>'Necesidades Trimestrales'!F18</f>
        <v>CAJA</v>
      </c>
      <c r="J20" s="40">
        <f>'Necesidades Trimestrales'!H18</f>
        <v>1090.7</v>
      </c>
      <c r="K20" s="37">
        <f>'Necesidades Trimestrales'!G18</f>
        <v>20</v>
      </c>
    </row>
    <row r="21" spans="1:11" ht="30" customHeight="1" thickBot="1">
      <c r="A21" s="8">
        <v>10</v>
      </c>
      <c r="B21" s="34" t="str">
        <f>'Necesidades Trimestrales'!B19</f>
        <v>2.9.5-7074.4</v>
      </c>
      <c r="C21" s="58" t="str">
        <f>'Necesidades Trimestrales'!E19</f>
        <v>ENVASES P/RESIDUOS PATOLOGICOS; MATERIAL: POLIPROPILENO, DIMENSION: VOLUMEN 20 L, USO: RESIDUO QUIMICO LIQUIDO, TAPA: A ROSCA</v>
      </c>
      <c r="D21" s="58"/>
      <c r="E21" s="58"/>
      <c r="F21" s="58"/>
      <c r="G21" s="58"/>
      <c r="H21" s="35" t="s">
        <v>121</v>
      </c>
      <c r="I21" s="36" t="str">
        <f>'Necesidades Trimestrales'!F19</f>
        <v>CAJA</v>
      </c>
      <c r="J21" s="40">
        <f>'Necesidades Trimestrales'!H19</f>
        <v>10775</v>
      </c>
      <c r="K21" s="37">
        <f>'Necesidades Trimestrales'!G19</f>
        <v>12</v>
      </c>
    </row>
    <row r="22" spans="1:11" ht="20.25" customHeight="1" thickBot="1">
      <c r="A22" s="8">
        <v>11</v>
      </c>
      <c r="B22" s="34" t="str">
        <f>'Necesidades Trimestrales'!B20</f>
        <v>2.9.5-2366.2</v>
      </c>
      <c r="C22" s="58" t="str">
        <f>'Necesidades Trimestrales'!E20</f>
        <v>HISOPOS; MATERIAL DE EXTREMOS: ALGODON, PRESENTACION: CAJA X 100</v>
      </c>
      <c r="D22" s="58"/>
      <c r="E22" s="58"/>
      <c r="F22" s="58"/>
      <c r="G22" s="58"/>
      <c r="H22" s="35" t="s">
        <v>121</v>
      </c>
      <c r="I22" s="36" t="str">
        <f>'Necesidades Trimestrales'!F20</f>
        <v>CAJA</v>
      </c>
      <c r="J22" s="40">
        <f>'Necesidades Trimestrales'!H20</f>
        <v>200</v>
      </c>
      <c r="K22" s="37">
        <f>'Necesidades Trimestrales'!G20</f>
        <v>20</v>
      </c>
    </row>
    <row r="23" spans="1:11" ht="20.25" customHeight="1" thickBot="1">
      <c r="A23" s="8">
        <v>12</v>
      </c>
      <c r="B23" s="34" t="str">
        <f>'Necesidades Trimestrales'!B21</f>
        <v>2.9.5-7870.18</v>
      </c>
      <c r="C23" s="58" t="str">
        <f>'Necesidades Trimestrales'!E21</f>
        <v>LAMPARAS P/AUTOANALIZADOR; TIPO: HALOGENA, EQUIPO: COBAS C-311, MARCA: ROCHE</v>
      </c>
      <c r="D23" s="58"/>
      <c r="E23" s="58"/>
      <c r="F23" s="58"/>
      <c r="G23" s="58"/>
      <c r="H23" s="35" t="s">
        <v>50</v>
      </c>
      <c r="I23" s="36" t="str">
        <f>'Necesidades Trimestrales'!F21</f>
        <v>UNIDAD</v>
      </c>
      <c r="J23" s="40">
        <f>'Necesidades Trimestrales'!H21</f>
        <v>103773</v>
      </c>
      <c r="K23" s="37">
        <f>'Necesidades Trimestrales'!G21</f>
        <v>2</v>
      </c>
    </row>
    <row r="24" spans="1:11" ht="20.25" customHeight="1" thickBot="1">
      <c r="A24" s="8">
        <v>13</v>
      </c>
      <c r="B24" s="34" t="str">
        <f>'Necesidades Trimestrales'!B22</f>
        <v>2.9.5-6349.3</v>
      </c>
      <c r="C24" s="58" t="str">
        <f>'Necesidades Trimestrales'!E22</f>
        <v>MICROCOPAS DE MUESTRA; TIPO: AUTOANALIZADOR, PRESENTACION: CAJA X 500</v>
      </c>
      <c r="D24" s="58"/>
      <c r="E24" s="58"/>
      <c r="F24" s="58"/>
      <c r="G24" s="58"/>
      <c r="H24" s="35" t="s">
        <v>121</v>
      </c>
      <c r="I24" s="36" t="str">
        <f>'Necesidades Trimestrales'!F22</f>
        <v>CAJA</v>
      </c>
      <c r="J24" s="40">
        <f>'Necesidades Trimestrales'!H22</f>
        <v>44297</v>
      </c>
      <c r="K24" s="37">
        <f>'Necesidades Trimestrales'!G22</f>
        <v>4</v>
      </c>
    </row>
    <row r="25" spans="1:11" ht="28.2" customHeight="1" thickBot="1">
      <c r="A25" s="8">
        <v>14</v>
      </c>
      <c r="B25" s="34" t="str">
        <f>'Necesidades Trimestrales'!B23</f>
        <v>2.9.5-4633.2</v>
      </c>
      <c r="C25" s="58" t="str">
        <f>'Necesidades Trimestrales'!E23</f>
        <v>MICROTUBOS P/LABORATORIO; MATERIAL: POLIPROPILENO, PRESENTACION: BOLSA X 1000 UN, MEDIDA: 1,5 mL, COLOR: INCOLORO, TIPO: EPPENDORF</v>
      </c>
      <c r="D25" s="58"/>
      <c r="E25" s="58"/>
      <c r="F25" s="58"/>
      <c r="G25" s="58"/>
      <c r="H25" s="35" t="s">
        <v>121</v>
      </c>
      <c r="I25" s="36" t="str">
        <f>'Necesidades Trimestrales'!F23</f>
        <v>BOLSA</v>
      </c>
      <c r="J25" s="40">
        <f>'Necesidades Trimestrales'!H23</f>
        <v>10022</v>
      </c>
      <c r="K25" s="37">
        <f>'Necesidades Trimestrales'!G23</f>
        <v>6</v>
      </c>
    </row>
    <row r="26" spans="1:11" ht="30" customHeight="1" thickBot="1">
      <c r="A26" s="8">
        <v>15</v>
      </c>
      <c r="B26" s="34" t="str">
        <f>'Necesidades Trimestrales'!B24</f>
        <v>2.9.5-4633.2</v>
      </c>
      <c r="C26" s="58" t="str">
        <f>'Necesidades Trimestrales'!E24</f>
        <v>MICROTUBOS P/LABORATORIO; MATERIAL: POLIPROPILENO, PRESENTACION: BOLSA X 1000 UN, MEDIDA: 1,5 mL, COLOR: INCOLORO, TIPO: EPPENDORF</v>
      </c>
      <c r="D26" s="58"/>
      <c r="E26" s="58"/>
      <c r="F26" s="58"/>
      <c r="G26" s="58"/>
      <c r="H26" s="35" t="s">
        <v>121</v>
      </c>
      <c r="I26" s="36" t="str">
        <f>'Necesidades Trimestrales'!F24</f>
        <v>BOLSA</v>
      </c>
      <c r="J26" s="40">
        <f>'Necesidades Trimestrales'!H24</f>
        <v>2805</v>
      </c>
      <c r="K26" s="37">
        <f>'Necesidades Trimestrales'!G24</f>
        <v>12</v>
      </c>
    </row>
    <row r="27" spans="1:11" ht="20.25" customHeight="1" thickBot="1">
      <c r="A27" s="8">
        <v>16</v>
      </c>
      <c r="B27" s="34" t="str">
        <f>'Necesidades Trimestrales'!B25</f>
        <v>2.9.5-5321.4</v>
      </c>
      <c r="C27" s="58" t="str">
        <f>'Necesidades Trimestrales'!E25</f>
        <v>NAVAJAS P/MICROTOMO; TIPO: DESCARTABLE Nº 819, PRESENTACION: CAJA X 50 UN</v>
      </c>
      <c r="D27" s="58"/>
      <c r="E27" s="58"/>
      <c r="F27" s="58"/>
      <c r="G27" s="58"/>
      <c r="H27" s="35" t="s">
        <v>50</v>
      </c>
      <c r="I27" s="36" t="str">
        <f>'Necesidades Trimestrales'!F25</f>
        <v>CAJA</v>
      </c>
      <c r="J27" s="40">
        <f>'Necesidades Trimestrales'!H25</f>
        <v>52380.9</v>
      </c>
      <c r="K27" s="37">
        <f>'Necesidades Trimestrales'!G25</f>
        <v>2</v>
      </c>
    </row>
    <row r="28" spans="1:11" ht="27" customHeight="1" thickBot="1">
      <c r="A28" s="8">
        <v>17</v>
      </c>
      <c r="B28" s="34" t="str">
        <f>'Necesidades Trimestrales'!B26</f>
        <v>2.9.5-10013.6</v>
      </c>
      <c r="C28" s="58" t="str">
        <f>'Necesidades Trimestrales'!E26</f>
        <v>PAPEL P/EQUIPO MEDICO; USO: IMPRESIÓN EQUIPO COBAS U411, PRESENTACION: PAPEL TERMICO EN ROLLO DE 11 CM X 20 MTS</v>
      </c>
      <c r="D28" s="58"/>
      <c r="E28" s="58"/>
      <c r="F28" s="58"/>
      <c r="G28" s="58"/>
      <c r="H28" s="35" t="s">
        <v>50</v>
      </c>
      <c r="I28" s="36" t="str">
        <f>'Necesidades Trimestrales'!F26</f>
        <v>ROLLO</v>
      </c>
      <c r="J28" s="40">
        <f>'Necesidades Trimestrales'!H26</f>
        <v>690</v>
      </c>
      <c r="K28" s="37">
        <f>'Necesidades Trimestrales'!G26</f>
        <v>10</v>
      </c>
    </row>
    <row r="29" spans="1:11" ht="28.8" customHeight="1" thickBot="1">
      <c r="A29" s="8">
        <v>18</v>
      </c>
      <c r="B29" s="34" t="str">
        <f>'Necesidades Trimestrales'!B27</f>
        <v>2.9.5-10013.7</v>
      </c>
      <c r="C29" s="58" t="str">
        <f>'Necesidades Trimestrales'!E27</f>
        <v>PAPEL P/EQUIPO MEDICO; USO: IMPRESIÓN ETIQUETAS EQUIPO COBAS ROCHE, PRESENTACION: ETIQUETA TERMICA C/CORTE 80 X 25 X 1800 TIPO ITECRA</v>
      </c>
      <c r="D29" s="58"/>
      <c r="E29" s="58"/>
      <c r="F29" s="58"/>
      <c r="G29" s="58"/>
      <c r="H29" s="35" t="s">
        <v>121</v>
      </c>
      <c r="I29" s="36" t="str">
        <f>'Necesidades Trimestrales'!F27</f>
        <v>ROLLO</v>
      </c>
      <c r="J29" s="40">
        <f>'Necesidades Trimestrales'!H27</f>
        <v>4237</v>
      </c>
      <c r="K29" s="37">
        <f>'Necesidades Trimestrales'!G27</f>
        <v>80</v>
      </c>
    </row>
    <row r="30" spans="1:11" ht="29.4" customHeight="1" thickBot="1">
      <c r="A30" s="8">
        <v>19</v>
      </c>
      <c r="B30" s="34" t="str">
        <f>'Necesidades Trimestrales'!B28</f>
        <v>2.9.5-2562.34</v>
      </c>
      <c r="C30" s="58" t="str">
        <f>'Necesidades Trimestrales'!E28</f>
        <v>PORTAOBJETOS P/MICROSCOPIO; MATERIAL: VIDRIO C/BORDE SIN PULIR, PRESENTACION: ENVASE X 50 UN, TAMAÑO: 25,4 X 76,2 mm</v>
      </c>
      <c r="D30" s="58"/>
      <c r="E30" s="58"/>
      <c r="F30" s="58"/>
      <c r="G30" s="58"/>
      <c r="H30" s="35" t="s">
        <v>50</v>
      </c>
      <c r="I30" s="36" t="str">
        <f>'Necesidades Trimestrales'!F28</f>
        <v>CAJA</v>
      </c>
      <c r="J30" s="40">
        <f>'Necesidades Trimestrales'!H28</f>
        <v>256</v>
      </c>
      <c r="K30" s="37">
        <f>'Necesidades Trimestrales'!G28</f>
        <v>36</v>
      </c>
    </row>
    <row r="31" spans="1:11" ht="29.4" customHeight="1" thickBot="1">
      <c r="A31" s="8">
        <v>20</v>
      </c>
      <c r="B31" s="34" t="str">
        <f>'Necesidades Trimestrales'!B29</f>
        <v>2.9.5-931.47</v>
      </c>
      <c r="C31" s="58" t="str">
        <f>'Necesidades Trimestrales'!E29</f>
        <v>TELAS ADHESIVAS; ANCHO: 2,5 Cm, LONG.DE CUERPO: 9 M, TIPO: HIPOALERGICA MICROPOROSA</v>
      </c>
      <c r="D31" s="58"/>
      <c r="E31" s="58"/>
      <c r="F31" s="58"/>
      <c r="G31" s="58"/>
      <c r="H31" s="35" t="s">
        <v>121</v>
      </c>
      <c r="I31" s="36" t="str">
        <f>'Necesidades Trimestrales'!F29</f>
        <v>CAJA</v>
      </c>
      <c r="J31" s="40">
        <f>'Necesidades Trimestrales'!H29</f>
        <v>2151</v>
      </c>
      <c r="K31" s="37">
        <f>'Necesidades Trimestrales'!G29</f>
        <v>150</v>
      </c>
    </row>
    <row r="32" spans="1:11" ht="29.4" customHeight="1" thickBot="1">
      <c r="A32" s="8">
        <v>21</v>
      </c>
      <c r="B32" s="34" t="str">
        <f>'Necesidades Trimestrales'!B30</f>
        <v>2.9.5-3492.338</v>
      </c>
      <c r="C32" s="58" t="str">
        <f>'Necesidades Trimestrales'!E30</f>
        <v>TIP; TIPO: AMARILLO CON CORONA, PRESENTACION: ENVASE X 1000 UN, CAPACIDAD: 5 A 200 µL</v>
      </c>
      <c r="D32" s="58"/>
      <c r="E32" s="58"/>
      <c r="F32" s="58"/>
      <c r="G32" s="58"/>
      <c r="H32" s="35" t="s">
        <v>50</v>
      </c>
      <c r="I32" s="36" t="str">
        <f>'Necesidades Trimestrales'!F30</f>
        <v>BOLSA</v>
      </c>
      <c r="J32" s="40">
        <f>'Necesidades Trimestrales'!H30</f>
        <v>1843</v>
      </c>
      <c r="K32" s="37">
        <f>'Necesidades Trimestrales'!G30</f>
        <v>16</v>
      </c>
    </row>
    <row r="33" spans="1:1024" ht="20.25" customHeight="1" thickBot="1">
      <c r="A33" s="8">
        <v>22</v>
      </c>
      <c r="B33" s="34" t="str">
        <f>'Necesidades Trimestrales'!B31</f>
        <v>2.9.5-3492.184</v>
      </c>
      <c r="C33" s="58" t="str">
        <f>'Necesidades Trimestrales'!E31</f>
        <v>TIP; TIPO: AUTOANALIZADOR, PRESENTACION: 30 X ENVASE X 120 UN, CAPACIDAD: 10 A 200 µL</v>
      </c>
      <c r="D33" s="58"/>
      <c r="E33" s="58"/>
      <c r="F33" s="58"/>
      <c r="G33" s="58"/>
      <c r="H33" s="35" t="s">
        <v>121</v>
      </c>
      <c r="I33" s="36" t="str">
        <f>'Necesidades Trimestrales'!F31</f>
        <v>CAJA</v>
      </c>
      <c r="J33" s="40">
        <f>'Necesidades Trimestrales'!H31</f>
        <v>32911</v>
      </c>
      <c r="K33" s="37">
        <f>'Necesidades Trimestrales'!G31</f>
        <v>4</v>
      </c>
    </row>
    <row r="34" spans="1:1024" ht="32.4" customHeight="1" thickBot="1">
      <c r="A34" s="8">
        <v>23</v>
      </c>
      <c r="B34" s="34" t="str">
        <f>'Necesidades Trimestrales'!B32</f>
        <v>2.9.5-2576.56</v>
      </c>
      <c r="C34" s="58" t="str">
        <f>'Necesidades Trimestrales'!E32</f>
        <v>TUBOS AL VACIO P/EXTRACCION; MATERIAL: PLASTICO, MEDIDA: 2 mL, ADITIVO: EDTA TRIPOTASICO, AGUJA: SIN</v>
      </c>
      <c r="D34" s="58"/>
      <c r="E34" s="58"/>
      <c r="F34" s="58"/>
      <c r="G34" s="58"/>
      <c r="H34" s="35" t="s">
        <v>50</v>
      </c>
      <c r="I34" s="36" t="str">
        <f>'Necesidades Trimestrales'!F32</f>
        <v>UNIDAD</v>
      </c>
      <c r="J34" s="40">
        <f>'Necesidades Trimestrales'!H32</f>
        <v>15.28</v>
      </c>
      <c r="K34" s="37">
        <f>'Necesidades Trimestrales'!G32</f>
        <v>12000</v>
      </c>
    </row>
    <row r="35" spans="1:1024" ht="34.200000000000003" customHeight="1" thickBot="1">
      <c r="A35" s="8">
        <v>24</v>
      </c>
      <c r="B35" s="34" t="str">
        <f>'Necesidades Trimestrales'!B33</f>
        <v>2.9.5-2576.58</v>
      </c>
      <c r="C35" s="58" t="str">
        <f>'Necesidades Trimestrales'!E33</f>
        <v>TUBOS AL VACIO P/EXTRACCION; MATERIAL: PLASTICO, MEDIDA: 2,7 ML, ADITIVO: CITRATO DE SODIO 3,2 %, AGUJA: SIN</v>
      </c>
      <c r="D35" s="58"/>
      <c r="E35" s="58"/>
      <c r="F35" s="58"/>
      <c r="G35" s="58"/>
      <c r="H35" s="35" t="s">
        <v>50</v>
      </c>
      <c r="I35" s="36" t="str">
        <f>'Necesidades Trimestrales'!F33</f>
        <v>UNIDAD</v>
      </c>
      <c r="J35" s="40">
        <f>'Necesidades Trimestrales'!H33</f>
        <v>16.63</v>
      </c>
      <c r="K35" s="37">
        <f>'Necesidades Trimestrales'!G33</f>
        <v>5000</v>
      </c>
    </row>
    <row r="36" spans="1:1024" ht="31.8" customHeight="1" thickBot="1">
      <c r="A36" s="8">
        <v>25</v>
      </c>
      <c r="B36" s="34" t="str">
        <f>'Necesidades Trimestrales'!B34</f>
        <v>2.9.5-2576.40</v>
      </c>
      <c r="C36" s="58" t="str">
        <f>'Necesidades Trimestrales'!E34</f>
        <v>TUBOS AL VACIO P/EXTRACCION; MATERIAL: POLIETILENO, MEDIDA: CAPACIDAD 3,5 ML. 13 X 75 mm, ADITIVO: ACTIVADOR DE COAGULO, AGUJA: SIN</v>
      </c>
      <c r="D36" s="58"/>
      <c r="E36" s="58"/>
      <c r="F36" s="58"/>
      <c r="G36" s="58"/>
      <c r="H36" s="35" t="s">
        <v>121</v>
      </c>
      <c r="I36" s="36" t="str">
        <f>'Necesidades Trimestrales'!F34</f>
        <v>UNIDAD</v>
      </c>
      <c r="J36" s="40">
        <f>'Necesidades Trimestrales'!H34</f>
        <v>24.3</v>
      </c>
      <c r="K36" s="37">
        <f>'Necesidades Trimestrales'!G34</f>
        <v>12000</v>
      </c>
    </row>
    <row r="37" spans="1:1024" ht="24" customHeight="1" thickBot="1">
      <c r="A37" s="59" t="s">
        <v>122</v>
      </c>
      <c r="B37" s="59"/>
      <c r="C37" s="59"/>
      <c r="D37" s="59"/>
      <c r="E37" s="59"/>
      <c r="F37" s="59"/>
      <c r="G37" s="59"/>
      <c r="H37" s="59"/>
      <c r="I37" s="59"/>
      <c r="J37" s="60">
        <f>SUMPRODUCT(J12:J36,K12:K36)</f>
        <v>3579898.8</v>
      </c>
      <c r="K37" s="60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</sheetData>
  <mergeCells count="4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7:I37"/>
    <mergeCell ref="J37:K3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6:G36"/>
    <mergeCell ref="C31:G31"/>
    <mergeCell ref="C32:G32"/>
    <mergeCell ref="C33:G33"/>
    <mergeCell ref="C34:G34"/>
    <mergeCell ref="C35:G3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6"/>
  <sheetViews>
    <sheetView tabSelected="1" topLeftCell="A10" zoomScale="130" zoomScaleNormal="130" workbookViewId="0">
      <selection activeCell="Q16" sqref="Q16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1" width="4.44140625" customWidth="1"/>
    <col min="12" max="12" width="4.88671875" customWidth="1"/>
    <col min="13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9" ht="15.75" customHeight="1">
      <c r="A1" s="97" t="s">
        <v>3</v>
      </c>
      <c r="B1" s="97"/>
      <c r="C1" s="97"/>
      <c r="D1" s="98">
        <f>'Necesidades Trimestrales'!C6</f>
        <v>2022</v>
      </c>
      <c r="E1" s="98"/>
      <c r="F1" s="10"/>
      <c r="G1" s="10"/>
      <c r="H1" s="11"/>
      <c r="I1" s="11"/>
      <c r="J1" s="11"/>
      <c r="K1" s="11"/>
      <c r="L1" s="11"/>
      <c r="M1" s="11"/>
      <c r="N1" s="11"/>
      <c r="P1" s="99" t="s">
        <v>24</v>
      </c>
      <c r="Q1" s="99"/>
    </row>
    <row r="2" spans="1:19" ht="15.75" customHeight="1">
      <c r="H2" s="11"/>
      <c r="I2" s="11"/>
      <c r="J2" s="11"/>
      <c r="K2" s="11"/>
      <c r="L2" s="11"/>
      <c r="M2" s="11"/>
      <c r="N2" s="11"/>
      <c r="P2" s="99"/>
      <c r="Q2" s="99"/>
    </row>
    <row r="4" spans="1:19" s="12" customFormat="1" ht="18" customHeight="1" thickBot="1">
      <c r="A4" s="100" t="s">
        <v>25</v>
      </c>
      <c r="B4" s="100"/>
      <c r="C4" s="100"/>
      <c r="D4" s="100"/>
      <c r="E4" s="100"/>
      <c r="F4" s="100"/>
      <c r="G4" s="95" t="str">
        <f>NotaPedido!D3</f>
        <v>40 - Ministerio de Salud</v>
      </c>
      <c r="H4" s="95"/>
      <c r="I4" s="95"/>
      <c r="J4" s="95"/>
      <c r="K4" s="95"/>
      <c r="L4" s="95"/>
      <c r="M4" s="95"/>
      <c r="N4" s="95"/>
      <c r="O4" s="95"/>
      <c r="P4" s="95"/>
      <c r="Q4" s="95"/>
    </row>
    <row r="5" spans="1:19" s="12" customFormat="1" ht="18" customHeight="1" thickBot="1">
      <c r="A5" s="92" t="s">
        <v>48</v>
      </c>
      <c r="B5" s="93"/>
      <c r="C5" s="93"/>
      <c r="D5" s="93"/>
      <c r="E5" s="93"/>
      <c r="F5" s="94"/>
      <c r="G5" s="95" t="str">
        <f>NotaPedido!D4</f>
        <v>23 - Hospital Interzonal San Juan Bautista</v>
      </c>
      <c r="H5" s="95"/>
      <c r="I5" s="95"/>
      <c r="J5" s="95"/>
      <c r="K5" s="95"/>
      <c r="L5" s="95"/>
      <c r="M5" s="95"/>
      <c r="N5" s="95"/>
      <c r="O5" s="95"/>
      <c r="P5" s="95"/>
      <c r="Q5" s="95"/>
    </row>
    <row r="6" spans="1:19" s="12" customFormat="1" ht="18" customHeight="1" thickBot="1">
      <c r="A6" s="92" t="s">
        <v>26</v>
      </c>
      <c r="B6" s="93"/>
      <c r="C6" s="93"/>
      <c r="D6" s="93"/>
      <c r="E6" s="93"/>
      <c r="F6" s="94"/>
      <c r="G6" s="95" t="str">
        <f>NotaPedido!D5</f>
        <v>168 - Direccion Asistencial</v>
      </c>
      <c r="H6" s="95"/>
      <c r="I6" s="95"/>
      <c r="J6" s="95"/>
      <c r="K6" s="95"/>
      <c r="L6" s="95"/>
      <c r="M6" s="95"/>
      <c r="N6" s="95"/>
      <c r="O6" s="95"/>
      <c r="P6" s="95"/>
      <c r="Q6" s="95"/>
    </row>
    <row r="7" spans="1:19" s="12" customFormat="1" ht="18" customHeight="1" thickBot="1">
      <c r="A7" s="92" t="s">
        <v>49</v>
      </c>
      <c r="B7" s="93"/>
      <c r="C7" s="93"/>
      <c r="D7" s="93"/>
      <c r="E7" s="93"/>
      <c r="F7" s="94"/>
      <c r="G7" s="95" t="str">
        <f>NotaPedido!D6</f>
        <v>Servicio de Laboratorio Central</v>
      </c>
      <c r="H7" s="95"/>
      <c r="I7" s="95"/>
      <c r="J7" s="95"/>
      <c r="K7" s="95"/>
      <c r="L7" s="95"/>
      <c r="M7" s="95"/>
      <c r="N7" s="95"/>
      <c r="O7" s="95"/>
      <c r="P7" s="95"/>
      <c r="Q7" s="95"/>
    </row>
    <row r="8" spans="1:19" ht="18" customHeight="1" thickBot="1">
      <c r="A8" s="96" t="s">
        <v>27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</row>
    <row r="9" spans="1:19" ht="18" customHeight="1">
      <c r="A9" s="86" t="s">
        <v>28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1"/>
      <c r="P9" s="1"/>
      <c r="Q9" s="13"/>
    </row>
    <row r="10" spans="1:19" ht="54.75" customHeight="1">
      <c r="A10" s="8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DOCFI-2022-02214366-CAT-DASIS#HSJB,  afectando la erogación resultante a los créditos presupuestarios aprobados a favor de esta Unidad Ejecutora, conforme al siguiente detalle: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</row>
    <row r="11" spans="1:19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thickBot="1">
      <c r="A12" s="88" t="s">
        <v>29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</row>
    <row r="13" spans="1:19" ht="15.75" customHeight="1" thickBot="1">
      <c r="A13" s="88" t="s">
        <v>30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9" t="s">
        <v>31</v>
      </c>
      <c r="P13" s="89"/>
      <c r="Q13" s="91" t="s">
        <v>32</v>
      </c>
    </row>
    <row r="14" spans="1:19" ht="15.75" customHeight="1">
      <c r="A14" s="41" t="s">
        <v>33</v>
      </c>
      <c r="B14" s="41" t="s">
        <v>34</v>
      </c>
      <c r="C14" s="41" t="s">
        <v>35</v>
      </c>
      <c r="D14" s="41" t="s">
        <v>36</v>
      </c>
      <c r="E14" s="41" t="s">
        <v>37</v>
      </c>
      <c r="F14" s="41" t="s">
        <v>38</v>
      </c>
      <c r="G14" s="42" t="s">
        <v>39</v>
      </c>
      <c r="H14" s="41" t="s">
        <v>40</v>
      </c>
      <c r="I14" s="41" t="s">
        <v>41</v>
      </c>
      <c r="J14" s="41" t="s">
        <v>42</v>
      </c>
      <c r="K14" s="41" t="s">
        <v>42</v>
      </c>
      <c r="L14" s="41" t="s">
        <v>43</v>
      </c>
      <c r="M14" s="41" t="s">
        <v>44</v>
      </c>
      <c r="N14" s="41" t="s">
        <v>45</v>
      </c>
      <c r="O14" s="90"/>
      <c r="P14" s="89"/>
      <c r="Q14" s="91"/>
    </row>
    <row r="15" spans="1:19" ht="17.25" customHeight="1">
      <c r="A15" s="43">
        <v>33</v>
      </c>
      <c r="B15" s="43"/>
      <c r="C15" s="43"/>
      <c r="D15" s="43">
        <v>2</v>
      </c>
      <c r="E15" s="43"/>
      <c r="F15" s="43">
        <v>4901</v>
      </c>
      <c r="G15" s="43">
        <v>3</v>
      </c>
      <c r="H15" s="44" t="s">
        <v>54</v>
      </c>
      <c r="I15" s="43">
        <v>2</v>
      </c>
      <c r="J15" s="43">
        <v>9</v>
      </c>
      <c r="K15" s="43">
        <v>5</v>
      </c>
      <c r="L15" s="43"/>
      <c r="M15" s="43">
        <v>1</v>
      </c>
      <c r="N15" s="44" t="s">
        <v>55</v>
      </c>
      <c r="O15" s="79" t="s">
        <v>56</v>
      </c>
      <c r="P15" s="80"/>
      <c r="Q15" s="18">
        <v>3579898.8</v>
      </c>
    </row>
    <row r="16" spans="1:19" ht="17.25" customHeight="1">
      <c r="A16" s="43"/>
      <c r="B16" s="43"/>
      <c r="C16" s="43"/>
      <c r="D16" s="43"/>
      <c r="E16" s="43"/>
      <c r="F16" s="43"/>
      <c r="G16" s="43"/>
      <c r="H16" s="44"/>
      <c r="I16" s="43"/>
      <c r="J16" s="43"/>
      <c r="K16" s="43"/>
      <c r="L16" s="43"/>
      <c r="M16" s="43"/>
      <c r="N16" s="44"/>
      <c r="O16" s="79"/>
      <c r="P16" s="80"/>
      <c r="Q16" s="18"/>
      <c r="S16" s="38"/>
    </row>
    <row r="17" spans="1:18" ht="17.25" customHeight="1">
      <c r="A17" s="43"/>
      <c r="B17" s="43"/>
      <c r="C17" s="43"/>
      <c r="D17" s="43"/>
      <c r="E17" s="43"/>
      <c r="F17" s="43"/>
      <c r="G17" s="43"/>
      <c r="H17" s="44"/>
      <c r="I17" s="43"/>
      <c r="J17" s="43"/>
      <c r="K17" s="43"/>
      <c r="L17" s="43"/>
      <c r="M17" s="43"/>
      <c r="N17" s="44"/>
      <c r="O17" s="81"/>
      <c r="P17" s="72"/>
      <c r="Q17" s="18"/>
    </row>
    <row r="18" spans="1:18" ht="17.2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71"/>
      <c r="P18" s="72"/>
      <c r="Q18" s="18"/>
    </row>
    <row r="19" spans="1:18" ht="17.2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71"/>
      <c r="P19" s="72"/>
      <c r="Q19" s="18"/>
    </row>
    <row r="20" spans="1:18" ht="17.25" customHeight="1">
      <c r="A20" s="45"/>
      <c r="B20" s="45"/>
      <c r="C20" s="45"/>
      <c r="D20" s="45"/>
      <c r="E20" s="45"/>
      <c r="F20" s="46"/>
      <c r="G20" s="45"/>
      <c r="H20" s="45"/>
      <c r="I20" s="45"/>
      <c r="J20" s="45"/>
      <c r="K20" s="45"/>
      <c r="L20" s="45"/>
      <c r="M20" s="45"/>
      <c r="N20" s="45"/>
      <c r="O20" s="73"/>
      <c r="P20" s="74"/>
      <c r="Q20" s="18"/>
      <c r="R20" s="1"/>
    </row>
    <row r="21" spans="1:18" ht="17.25" customHeight="1" thickBo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75"/>
      <c r="P21" s="76"/>
      <c r="Q21" s="19"/>
    </row>
    <row r="22" spans="1:18" ht="30" customHeight="1" thickBot="1">
      <c r="A22" s="77" t="s">
        <v>123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20">
        <f>SUM(Q15:Q21)</f>
        <v>3579898.8</v>
      </c>
    </row>
    <row r="23" spans="1:18" ht="18" customHeight="1" thickBo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</row>
    <row r="24" spans="1:18" ht="17.25" customHeight="1" thickBot="1">
      <c r="A24" s="82" t="s">
        <v>46</v>
      </c>
      <c r="B24" s="83"/>
      <c r="C24" s="83"/>
      <c r="D24" s="83"/>
      <c r="E24" s="83"/>
      <c r="F24" s="84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</row>
    <row r="25" spans="1:18" ht="18" customHeight="1" thickBot="1">
      <c r="A25" s="70" t="str">
        <f>"Para la "&amp; NotaPedido!D8 &amp;" para ser destinados al " &amp; NotaPedido!D6 &amp;"  del HISJB del Ministerio de Salud."</f>
        <v>Para la Adquisición de Descartables para ser destinados al Servicio de Laboratorio Central  del HISJB del Ministerio de Salud.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spans="1:18" ht="1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2020-07-17T22:18:48Z</cp:lastPrinted>
  <dcterms:created xsi:type="dcterms:W3CDTF">2020-07-17T23:44:49Z</dcterms:created>
  <dcterms:modified xsi:type="dcterms:W3CDTF">2022-11-14T13:19:28Z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