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MEDICAMENTOS TRACTO ALIM CONSOLIDADO\"/>
    </mc:Choice>
  </mc:AlternateContent>
  <xr:revisionPtr revIDLastSave="0" documentId="8_{A2CCDBD9-E908-4E62-940F-F27CC32DBB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0" i="2" l="1"/>
  <c r="M50" i="2"/>
  <c r="Q50" i="2"/>
  <c r="U50" i="2"/>
  <c r="Y50" i="2"/>
  <c r="AC50" i="2"/>
</calcChain>
</file>

<file path=xl/sharedStrings.xml><?xml version="1.0" encoding="utf-8"?>
<sst xmlns="http://schemas.openxmlformats.org/spreadsheetml/2006/main" count="287" uniqueCount="187">
  <si>
    <t>Número expediente:</t>
  </si>
  <si>
    <t>EX-2022-00292799-   -CAT-DPCBS#MEC</t>
  </si>
  <si>
    <t>Número proceso de compra:</t>
  </si>
  <si>
    <t>100-0012-CPR22</t>
  </si>
  <si>
    <t>Nombre descriptivo proceso de compra:</t>
  </si>
  <si>
    <t>ADQUISICIÓN DE MEDICAMENTOS PARA TRACTO ALIMENTARIO/VITAMINAS Y OTROS/ANTIDIABETICOS E INSULINAS</t>
  </si>
  <si>
    <t>Unidad Operativa de Compras:</t>
  </si>
  <si>
    <t>Secretaria de Compras y Abastecimiento</t>
  </si>
  <si>
    <t>Fecha de Apertura:</t>
  </si>
  <si>
    <t>15/03/2022</t>
  </si>
  <si>
    <t>Renglón</t>
  </si>
  <si>
    <t>ANA GABRIELA CORDOBA</t>
  </si>
  <si>
    <t>NORGREEN S.A.</t>
  </si>
  <si>
    <t xml:space="preserve">DNM FARMA SA </t>
  </si>
  <si>
    <t>DENVER FARMA S.A.</t>
  </si>
  <si>
    <t xml:space="preserve">DROGUERIA PLAZA OÑA SA </t>
  </si>
  <si>
    <t>PRODUMED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</si>
  <si>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</si>
  <si>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</si>
  <si>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</si>
  <si>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</si>
  <si>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</si>
  <si>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</si>
  <si>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</si>
  <si>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</si>
  <si>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</si>
  <si>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</si>
  <si>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2.5.2-1841.17 </t>
  </si>
  <si>
    <t xml:space="preserve">ANTIACIDOS; TIPO: MONODROGA, DROGA GENERICA: RANITIDINA, FORMA FARMACEUTICA: AMPOLLA, PRESENTACION: 
UNIDAD </t>
  </si>
  <si>
    <t xml:space="preserve">UNIDAD </t>
  </si>
  <si>
    <t xml:space="preserve">RANITIDINA AMP   KLONAL 42046 </t>
  </si>
  <si>
    <t xml:space="preserve">Ranitidina 50mg Ampolla x 5ml PEDIR POR CAJA CERRADA - 
NO FRACCIONAMOS Estéril, Apirogeno, Marca Norgreen  - Env. Convencional 
Aprobado por el M.S. ANMAT - Certificado N° 52747 Envase: 
Caja x 100 Ampollas  </t>
  </si>
  <si>
    <t xml:space="preserve">RANITIDINA AMP 50 MG GOBBI (H-1-50)  Certif ANMAT Nº: 
57.951 </t>
  </si>
  <si>
    <t xml:space="preserve">Ranitidina 50 mg/ 5 ml ca 44601 </t>
  </si>
  <si>
    <t xml:space="preserve">ranitidna en ampollas - drawer  </t>
  </si>
  <si>
    <t xml:space="preserve">2 </t>
  </si>
  <si>
    <t xml:space="preserve">2.5.2-1816.34 </t>
  </si>
  <si>
    <t xml:space="preserve">ANTIDIARREICOS; TIPO: MONODROGA, DROGA GENERICA: LOPERAMIDA, FORMA FARMACEUTICA: CAPSULA, PRESENTACION: 
2 mGr </t>
  </si>
  <si>
    <t xml:space="preserve">3 </t>
  </si>
  <si>
    <t xml:space="preserve">2.5.2-6910.6 </t>
  </si>
  <si>
    <t xml:space="preserve">ANTIEMETICOS; TIPO: MONODROGA, DROGA GENERICA: METOCLOPRAMIDA, FORMA FARMACEUTICA: AMPOLLA, PRESENTACION: 
2 mL </t>
  </si>
  <si>
    <t xml:space="preserve">METOCLOPRAMIDA AMP    41559 LAVIMAR </t>
  </si>
  <si>
    <t xml:space="preserve">Metoclopramida 10mg Ampolla x 2ml PEDIR POR CAJA CERRADA - 
NO FRACCIONAMOS Estéril, Apirogeno, Marca Norgreen  - Env. Convencional 
Aprobado por el M.S. ANMAT - Certificado N° 51100 Envase: 
Caja x 100 Ampollas  </t>
  </si>
  <si>
    <t xml:space="preserve">METOCLOPRAMIDA AMP 10 MG X 2 ML LAVIMAR (H-1-100) Certif 
ANMAT Nº: 41.559 </t>
  </si>
  <si>
    <t xml:space="preserve">metoclopramida amp. 2 ml - drawer </t>
  </si>
  <si>
    <t xml:space="preserve">4 </t>
  </si>
  <si>
    <t xml:space="preserve">2.5.2-1843.63 </t>
  </si>
  <si>
    <t xml:space="preserve">ANTIESPASMODICOS; TIPO: MONODROGA, DROGA GENERICA: ATROPINA 1%, FORMA FARMACEUTICA: AMPOLLA, 
PRESENTACION: ENVASE X 1 mL </t>
  </si>
  <si>
    <t xml:space="preserve">ATROPINA 1 % AMP  BIOL 39383 </t>
  </si>
  <si>
    <t xml:space="preserve">Sulfato de Atropina 0,1% Ampolla x 1ml PEDIR POR CAJA 
CERRADA - NO FRACCIONAMOS Estéril, Apirogeno, Marca Norgreen  - 
Env. Convencional Aprobado por el M.S. ANMAT - Certificado N° 
49261 Envase: Caja x 100 Ampollas  </t>
  </si>
  <si>
    <t xml:space="preserve">5 </t>
  </si>
  <si>
    <t xml:space="preserve">2.5.2-1843.51 </t>
  </si>
  <si>
    <t xml:space="preserve">ANTIESPASMODICOS; TIPO: MONODROGA, DROGA GENERICA: HIOSCINA N-BUTILBROMURO 20 MG, FORMA 
FARMACEUTICA: AMPOLLA, PRESENTACION: 1 ML </t>
  </si>
  <si>
    <t xml:space="preserve">HIOSCINA 20MG AMP   FADA 39571 </t>
  </si>
  <si>
    <t xml:space="preserve">6 </t>
  </si>
  <si>
    <t xml:space="preserve">2.5.2-1843.1 </t>
  </si>
  <si>
    <t xml:space="preserve">ANTIESPASMODICOS; TIPO: MONODROGA, PRESENTACION: 10 mGr, FORMA FARMACEUTICA: COMPRIMIDO, DROGA 
GENERICA: HIOSCINA N-BUTILBROMURO </t>
  </si>
  <si>
    <t xml:space="preserve">HIOSCINA BUTIESCOPO COMP 10 MG DUNCAN (H-15-1020) Certif. ANMAT Nº: 
41.313 </t>
  </si>
  <si>
    <t xml:space="preserve">7 </t>
  </si>
  <si>
    <t xml:space="preserve">2.5.2-1849.3 </t>
  </si>
  <si>
    <t xml:space="preserve">ANTIULCEROSOS; TIPO: MONODROGA, DROGA GENERICA: OMEPRAZOL, FORMA FARMACEUTICA: CAPSULA, PRESENTACION: 
20 mGr </t>
  </si>
  <si>
    <t xml:space="preserve">OMEPRAZOL CAPSULAS   BIOTENK  44872 </t>
  </si>
  <si>
    <t xml:space="preserve">OMEPRAZOL CAPS 20 MG KILAB (H-14-504) Certif ANMAT Nº: 52.634 
</t>
  </si>
  <si>
    <t xml:space="preserve">8 </t>
  </si>
  <si>
    <t xml:space="preserve">2.5.2-8078.68 </t>
  </si>
  <si>
    <t xml:space="preserve">EXCIPIENTES; TIPO: MONODROGA, PRESENTACION: ENVASE X 1 Kg, COMPUESTO: CARBON 
ACTIVADO, CONCENTRACION/PUREZA: 100 % </t>
  </si>
  <si>
    <t xml:space="preserve">9 </t>
  </si>
  <si>
    <t xml:space="preserve">2.5.2-1861.38 </t>
  </si>
  <si>
    <t xml:space="preserve">HIPOGLUCEMIANTES INYECTABLES; TIPO: MONODROGA, DROGA GENERICA: INSULINA ASPARTICA, FORMA FARMACEUTICA: 
LAPICERA PRELLENADA, PRESENTACION: 5 UNIDADES </t>
  </si>
  <si>
    <t xml:space="preserve">INSUL. ASPARTICA 100 UI / 3 ML X 5 LAP 
NOVORAPID FLEXPEN NOVO NORDISK - TRAZ T/A C/FRIO Certif ANMAT 
Nº: 48.419 </t>
  </si>
  <si>
    <t xml:space="preserve">10 </t>
  </si>
  <si>
    <t xml:space="preserve">2.5.2-1861.39 </t>
  </si>
  <si>
    <t xml:space="preserve">HIPOGLUCEMIANTES INYECTABLES; TIPO: MONODROGA, DROGA GENERICA: INSULINA HUMANA NHP 100 
UI, FORMA FARMACEUTICA: LAPICERA PRELLENADA, PRESENTACION: 5 AMPOLLAS </t>
  </si>
  <si>
    <t xml:space="preserve">INSUL. HUMANA NPH LAP PRELL X 5 X 3 ML 
INSULATARD FLEXPEN NOVO NORDISK - TRAZ - C/FRIO Certif ANMAT 
Nº: 38.987 </t>
  </si>
  <si>
    <t xml:space="preserve">11 </t>
  </si>
  <si>
    <t xml:space="preserve">2.5.2-1862.1 </t>
  </si>
  <si>
    <t xml:space="preserve">HIPOGLUCEMIANTES ORALES; TIPO: MONODROGA, DROGA GENERICA: METFORMINA, FORMA FARMACEUTICA: COMPRIMIDO, 
PRESENTACION: 500 mGr </t>
  </si>
  <si>
    <t xml:space="preserve">12 </t>
  </si>
  <si>
    <t xml:space="preserve">2.5.2-1903.85 </t>
  </si>
  <si>
    <t xml:space="preserve">RECONSTITUYENTE GENERAL; TIPO: ASOCIACION, DROGA GENERICA: SALES DE REHIDRATACION, FORMA 
FARMACEUTICA: POLVO, PRESENTACION: SOBRE X 27,9 GR </t>
  </si>
  <si>
    <t xml:space="preserve">SALES DE REHIDRATACION ORAL SOBRES FRUTAS VENT 3 (H-1-300) Certif 
ANMAT Nº: 39.281 </t>
  </si>
  <si>
    <t xml:space="preserve">SALES DE REHIDRATACION ORAL SOBRE X 30 GRAMOS  RNPA 
04075087 </t>
  </si>
  <si>
    <t xml:space="preserve">13 </t>
  </si>
  <si>
    <t xml:space="preserve">2.5.2-2804.1 </t>
  </si>
  <si>
    <t xml:space="preserve">REGULADORES INTESTINALES; TIPO: MONODROGA, DROGA GENERICA: LACTULOSA, FORMA FARMACEUTICA: JARABE, 
PRESENTACION: 120 mL </t>
  </si>
  <si>
    <t xml:space="preserve">LACTULOSA SUSP X 120 ML LAFEDAR (H-1-24) Certif ANMAT Nº: 
50.195 </t>
  </si>
  <si>
    <t xml:space="preserve">14 </t>
  </si>
  <si>
    <t xml:space="preserve">2.5.2-1724.57 </t>
  </si>
  <si>
    <t xml:space="preserve">ANALGESICOS ; TIPO: ASOCIACION, DROGA GENERICA: DIPIRONA+ HIOSCINA, FORMA FARMACEUTICA: 
AMPOLLA, PRESENTACION: AMPOLLA X 5 mL </t>
  </si>
  <si>
    <t xml:space="preserve">HIOSCINA N BUTIL + DIPIRONA AMP DRAWER (H-1-100) Certif ANMAT 
Nº: 52.551 </t>
  </si>
  <si>
    <t xml:space="preserve">dipirona + hiosicina amp. x 5ml- drawer </t>
  </si>
  <si>
    <t xml:space="preserve">15 </t>
  </si>
  <si>
    <t xml:space="preserve">2.5.2-1903.89 </t>
  </si>
  <si>
    <t xml:space="preserve">RECONSTITUYENTE GENERAL; TIPO: MONODROGA, DROGA GENERICA: CALCIO CARBONATO, FORMA FARMACEUTICA: 
COMPRIMIDO, PRESENTACION: 500 mGr </t>
  </si>
  <si>
    <t xml:space="preserve">CALCIO CARBONATO COMP MAST 1250 MG VENT-3 (H-20-3000) Certif ANMAT 
Nº: 44.133 </t>
  </si>
  <si>
    <t xml:space="preserve">16 </t>
  </si>
  <si>
    <t xml:space="preserve">2.5.2-1901.7 </t>
  </si>
  <si>
    <t xml:space="preserve">VITAMINAS; FORMA FARMACEUTICA: AMPOLLA, PRESENTACION: 2 mL, TIPO: MONODROGA, DROGA 
GENERICA: VITAMINA B </t>
  </si>
  <si>
    <t xml:space="preserve">VITAMINA B1 AMP 100 MG X 1ML BIOL (H-1-100)  
Certif ANMAT Nº: 16.504 </t>
  </si>
  <si>
    <t xml:space="preserve">según pliego </t>
  </si>
  <si>
    <t xml:space="preserve">17 </t>
  </si>
  <si>
    <t xml:space="preserve">2.5.2-1872.65 </t>
  </si>
  <si>
    <t xml:space="preserve">ANTIANEMICOS; TIPO: MONODROGA, DROGA GENERICA: COMPLEJO VITAMINICO B, FORMA FARMACEUTICA: 
COMPRIMIDO, PRESENTACION: UNIDAD </t>
  </si>
  <si>
    <t xml:space="preserve">18 </t>
  </si>
  <si>
    <t xml:space="preserve">2.5.2-1816.19 </t>
  </si>
  <si>
    <t xml:space="preserve">ANTIDIARREICOS; TIPO: MONODROGA, DROGA GENERICA: BISMUTO, FORMA FARMACEUTICA: CREMA, PRESENTACION: 
90 mL </t>
  </si>
  <si>
    <t xml:space="preserve">CREMA DE BISMUTO 90 ML JBE CHOBET 30223 </t>
  </si>
  <si>
    <t xml:space="preserve">19 </t>
  </si>
  <si>
    <t xml:space="preserve">2.5.2-3603.13 </t>
  </si>
  <si>
    <t xml:space="preserve">EVACUANTES INTESTINALES; TIPO: ASOCIACION, DROGA GENERICA: FOSFATO MONOSODICO-BISODICO, FORMA FARMACEUTICA: 
SOLUCION, PRESENTACION: ENVASE X 45 mL </t>
  </si>
  <si>
    <t xml:space="preserve">20 </t>
  </si>
  <si>
    <t xml:space="preserve">2.5.2-1861.33 </t>
  </si>
  <si>
    <t xml:space="preserve">HIPOGLUCEMIANTES INYECTABLES; TIPO: MONODROGA, DROGA GENERICA: INSULINA CTE, FORMA FARMACEUTICA: 
AMPOLLA, PRESENTACION: ENVASE X 10 mL </t>
  </si>
  <si>
    <t xml:space="preserve">INSULINA CORRIENTE AMP X 10 ML   NOVA 53590 
</t>
  </si>
  <si>
    <t xml:space="preserve">DENSULIN R ca 52706 Insulina Humana 100 UI/ml Composición Cada 
ml de la solución inyectable contiene: 100 UI de insulina 
humana corriente en solución * Excipientes c.s. * Producida por 
tecnología de ADN recombinante, idéntica a la insulina propia del 
organismo.  </t>
  </si>
  <si>
    <t xml:space="preserve">21 </t>
  </si>
  <si>
    <t xml:space="preserve">2.5.2-1861.10 </t>
  </si>
  <si>
    <t xml:space="preserve">HIPOGLUCEMIANTES INYECTABLES; TIPO: MONODROGA, DROGA GENERICA: INSULINA HUMANA NHP 100 
UI, FORMA FARMACEUTICA: AMPOLLA, PRESENTACION: 10 mL </t>
  </si>
  <si>
    <t xml:space="preserve">INSULINA NPH 100UI AMP 10 ML NOVA 53590 </t>
  </si>
  <si>
    <t xml:space="preserve">INSUL. HUMANA NPH 100 UI X 10 ML NOVOLIN N 
NOVO NORDISK C/FRIO - TRAZ Certif ANMAT Nº: 53.592 </t>
  </si>
  <si>
    <t xml:space="preserve">DENSULIN® N ca 52706 Insulina Humana 100 UI/ml  Composición 
Cada ml de la solución inyectable contiene: 100 UI de 
insulina humana NPH (100% de insulina cristalina con protamina)* Excipientes 
c.s. * La insulina humana es producida por tecnología de 
ADN recombinante, idéntica a la insulina propia del organismo.  
 </t>
  </si>
  <si>
    <t xml:space="preserve">22 </t>
  </si>
  <si>
    <t xml:space="preserve">2.5.2-1862.16 </t>
  </si>
  <si>
    <t xml:space="preserve">HIPOGLUCEMIANTES ORALES; TIPO: MONODROGA, DROGA GENERICA: METFORMINA, FORMA FARMACEUTICA: COMPRIMIDO, 
PRESENTACION: 850 mGr </t>
  </si>
  <si>
    <t xml:space="preserve">23 </t>
  </si>
  <si>
    <t xml:space="preserve">2.5.2-1823.46 </t>
  </si>
  <si>
    <t xml:space="preserve">ANTIMICOTICOS; TIPO: MONODROGA, DROGA GENERICA: NISTATINA 100000 UI/ML, FORMA FARMACEUTICA: 
SUSPENSION, PRESENTACION: ENVASE X 60 mL </t>
  </si>
  <si>
    <t xml:space="preserve">NISTATINA SUSP X 60 ML LAFEDAR 41234 </t>
  </si>
  <si>
    <t xml:space="preserve">NISTATINA DENVER FARMA  ca 49375 Nistatina 100.000 UI/ml Composición 
Cada ml de suspensión oral contiene: Nistatina 100.000 UI.  
</t>
  </si>
  <si>
    <t xml:space="preserve">24 </t>
  </si>
  <si>
    <t xml:space="preserve">2.5.2-6910.13 </t>
  </si>
  <si>
    <t xml:space="preserve">ANTIEMETICOS; TIPO: MONODROGA, DROGA GENERICA: ONDANSETRON X 8 mGr, FORMA 
FARMACEUTICA: AMPOLLA, PRESENTACION: ENVASE X 1 UN </t>
  </si>
  <si>
    <t xml:space="preserve">ONDASETRON 8MG AMP  NORTHIA 48909 </t>
  </si>
  <si>
    <t xml:space="preserve">ONDANSETRON AMP 8 MG X 4 ML GOBBI (H-1-50)  
Certif ANMAT Nº: 49.978 </t>
  </si>
  <si>
    <t xml:space="preserve">25 </t>
  </si>
  <si>
    <t xml:space="preserve">2.5.2-5520.5 </t>
  </si>
  <si>
    <t xml:space="preserve">VASELINA; TIPO: LIQUIDA, PRESENTACION: ENVASE X 1000 mL </t>
  </si>
  <si>
    <t xml:space="preserve">26 </t>
  </si>
  <si>
    <t xml:space="preserve">2.5.2-3259.11 </t>
  </si>
  <si>
    <t xml:space="preserve">DIGESTIVOS; TIPO: MONODROGA, DROGA GENERICA: ACIDO URSODESOXICOLICO, FORMA FARMACEUTICA: COMPRIMIDO, 
PRESENTACION: 150 MGR </t>
  </si>
  <si>
    <t xml:space="preserve">27 </t>
  </si>
  <si>
    <t xml:space="preserve">2.5.2-1849.19 </t>
  </si>
  <si>
    <t xml:space="preserve">ANTIULCEROSOS; TIPO: MONODROGA, DROGA GENERICA: OMEPRAZOL 40 mGr, FORMA FARMACEUTICA: 
AMPOLLA, PRESENTACION: UNIDAD </t>
  </si>
  <si>
    <t xml:space="preserve">OMEPRAZOL 40MG AMP KLONAL 48514 </t>
  </si>
  <si>
    <t xml:space="preserve">OMEPRAZOL F/A 40 MG KLONAL (H-1-100) SIN SOLV Certif ANMAT 
Nº: 45.514 </t>
  </si>
  <si>
    <t xml:space="preserve">según pliego  </t>
  </si>
  <si>
    <t xml:space="preserve">28 </t>
  </si>
  <si>
    <t xml:space="preserve">2.5.2-1901.127 </t>
  </si>
  <si>
    <t xml:space="preserve">VITAMINAS; TIPO: ASOCIACION, DROGA GENERICA: VIT.A +D+C, FORMA FARMACEUTICA: GOTA, 
PRESENTACION: 30 ML </t>
  </si>
  <si>
    <t xml:space="preserve">29 </t>
  </si>
  <si>
    <t xml:space="preserve">2.5.2-1901.128 </t>
  </si>
  <si>
    <t xml:space="preserve">VITAMINAS; TIPO: MONODROGA, DROGA GENERICA: VITAMINA C 200 MG/ML, FORMA 
FARMACEUTICA: AMPOLLA, PRESENTACION: 5 ML </t>
  </si>
  <si>
    <t xml:space="preserve">30 </t>
  </si>
  <si>
    <t xml:space="preserve">2.5.2-1901.130 </t>
  </si>
  <si>
    <t xml:space="preserve">VITAMINAS; TIPO: MONODROGA, DROGA GENERICA: VITAMINA D3 2000 UI/ML, FORMA 
FARMACEUTICA: SOLUCION, PRESENTACION: 2 ML </t>
  </si>
  <si>
    <t xml:space="preserve">31 </t>
  </si>
  <si>
    <t xml:space="preserve">2.5.2-3259.14 </t>
  </si>
  <si>
    <t xml:space="preserve">DIGESTIVOS; TIPO: MONODROGA, DROGA GENERICA: ACIDO URSODEOXICOLICO, FORMA FARMACEUTICA: COMPRIMIDO, 
PRESENTACION: 300 MGR </t>
  </si>
  <si>
    <t xml:space="preserve">32 </t>
  </si>
  <si>
    <t xml:space="preserve">2.5.2-1841.33 </t>
  </si>
  <si>
    <t xml:space="preserve">ANTIACIDOS; TIPO: ASOCIACION, DROGA GENERICA: HIDROX. ALUM. + HIDROX. MAG., 
FORMA FARMACEUTICA: SUSPENSION, PRESENTACION: ENVASE X 160 ML </t>
  </si>
  <si>
    <t xml:space="preserve">33 </t>
  </si>
  <si>
    <t xml:space="preserve">2.5.2-1903.66 </t>
  </si>
  <si>
    <t xml:space="preserve">RECONSTITUYENTE GENERAL; TIPO: MONODROGA, DROGA GENERICA: CALCIO CARBONATO, FORMA FARMACEUTICA: 
COMPRIMIDO, PRESENTACION: 1250 mGr </t>
  </si>
  <si>
    <t xml:space="preserve">34 </t>
  </si>
  <si>
    <t xml:space="preserve">2.5.2-6910.3 </t>
  </si>
  <si>
    <t xml:space="preserve">ANTIEMETICOS; TIPO: MONODROGA, DROGA GENERICA: DOMPERIDONA 4 MG, FORMA FARMACEUTICA: 
AMPOLLA, PRESENTACION: 3 ML </t>
  </si>
  <si>
    <t xml:space="preserve">35 </t>
  </si>
  <si>
    <t xml:space="preserve">2.5.2-6910.11 </t>
  </si>
  <si>
    <t xml:space="preserve">ANTIEMETICOS; TIPO: MONODROGA, DROGA GENERICA: DOMPERIDONA 1%, FORMA FARMACEUTICA: GOTAS, 
PRESENTACION: ENVASE X 20 ML </t>
  </si>
  <si>
    <t xml:space="preserve">36 </t>
  </si>
  <si>
    <t xml:space="preserve">2.5.2-2689.1 </t>
  </si>
  <si>
    <t xml:space="preserve">NORMALIZADORES DE CALCEMIA; TIPO: MONODROGA, FORMA FARMACEUTICA: ELIXIR, PRESENTACION: 150 
mL, DROGA GENERICA: GLUCONATO DE POTASIO </t>
  </si>
  <si>
    <t xml:space="preserve">37 </t>
  </si>
  <si>
    <t xml:space="preserve">2.5.2-1841.34 </t>
  </si>
  <si>
    <t xml:space="preserve">ANTIACIDOS; TIPO: MONODROGA, DROGA GENERICA: HIDROXIDO DE MAGNESIO, FORMA FARMACEUTICA: 
SUSPENCION, PRESENTACION: ENVASE X 240 ML </t>
  </si>
  <si>
    <t xml:space="preserve">38 </t>
  </si>
  <si>
    <t xml:space="preserve">2.5.2-2480.14 </t>
  </si>
  <si>
    <t xml:space="preserve">ANTIHEMETICOS; TIPO: MONODROGA, DROGA GENERICA: METOCLOPRAMIDA 0,2 %, FORMA FARMACEUTICA: 
GOTAS, PRESENTACION: 20 ML </t>
  </si>
  <si>
    <t xml:space="preserve">METOCLOPRAMIDA GOTAS 0.2% X 20 ML KLONAL (H-1-32) Certif ANMAT 
Nº: 37.766 </t>
  </si>
  <si>
    <t xml:space="preserve">39 </t>
  </si>
  <si>
    <t xml:space="preserve">2.5.2-1841.13 </t>
  </si>
  <si>
    <t xml:space="preserve">ANTIACIDOS; TIPO: MONODROGA, DROGA GENERICA: SUCRALFATO, FORMA FARMACEUTICA: SOLUCION, PRESENTACION: 
ENVASE X 200 mL </t>
  </si>
  <si>
    <t xml:space="preserve">40 </t>
  </si>
  <si>
    <t xml:space="preserve">2.5.2-1901.129 </t>
  </si>
  <si>
    <t xml:space="preserve">VITAMINAS; TIPO: MONODROGA, DROGA GENERICA: VITAMINA C, FORMA FARMACEUTICA: COMPRIMIDOS, 
PRESENTACION: 10 COMPRIMIDOS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</si>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</sst>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0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50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50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50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13.42578125" customWidth="1"/>
    <col min="5" max="5" width="103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4.42578125" customWidth="1"/>
    <col min="11" max="11" width="14.28515625" customWidth="1"/>
    <col min="12" max="12" width="17.28515625" customWidth="1"/>
    <col min="13" max="13" width="16.5703125" customWidth="1"/>
    <col min="14" max="14" width="67.42578125" customWidth="1"/>
    <col min="15" max="15" width="14.28515625" customWidth="1"/>
    <col min="16" max="16" width="17.28515625" customWidth="1"/>
    <col min="17" max="17" width="16.5703125" customWidth="1"/>
    <col min="18" max="18" width="68.5703125" customWidth="1"/>
    <col min="19" max="19" width="14.28515625" customWidth="1"/>
    <col min="20" max="20" width="17.28515625" customWidth="1"/>
    <col min="21" max="21" width="16.5703125" customWidth="1"/>
    <col min="22" max="22" width="68.42578125" customWidth="1"/>
    <col min="23" max="23" width="14.28515625" customWidth="1"/>
    <col min="24" max="24" width="17.28515625" customWidth="1"/>
    <col min="25" max="25" width="16.5703125" customWidth="1"/>
    <col min="26" max="26" width="35.42578125" customWidth="1"/>
    <col min="27" max="27" width="14.28515625" customWidth="1"/>
    <col min="28" max="28" width="17.28515625" customWidth="1"/>
    <col min="29" max="29" width="16.5703125" customWidth="1"/>
    <col min="30" max="30" width="53.85546875" customWidth="1"/>
  </cols>
  <sheetData>
    <row r="1" spans="1:30" x14ac:dyDescent="0.25">
      <c r="D1" s="2" t="s">
        <v>0</v>
      </c>
      <c r="E1" s="2" t="s">
        <v>1</v>
      </c>
    </row>
    <row r="2" spans="1:30" x14ac:dyDescent="0.25">
      <c r="D2" s="2" t="s">
        <v>2</v>
      </c>
      <c r="E2" s="2" t="s">
        <v>3</v>
      </c>
    </row>
    <row r="3" spans="1:30" x14ac:dyDescent="0.25">
      <c r="D3" s="2" t="s">
        <v>4</v>
      </c>
      <c r="E3" s="2" t="s">
        <v>5</v>
      </c>
    </row>
    <row r="4" spans="1:30" x14ac:dyDescent="0.25">
      <c r="D4" s="2" t="s">
        <v>6</v>
      </c>
      <c r="E4" s="2" t="s">
        <v>7</v>
      </c>
    </row>
    <row r="5" spans="1:30" x14ac:dyDescent="0.25">
      <c r="D5" s="2" t="s">
        <v>8</v>
      </c>
      <c r="E5" s="2" t="s">
        <v>9</v>
      </c>
    </row>
    <row r="8" spans="1:3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</row>
    <row r="9" spans="1:30" x14ac:dyDescent="0.25">
      <c r="A9" t="s">
        <v>10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 t="s">
        <v>22</v>
      </c>
      <c r="H9" s="3" t="s">
        <v>23</v>
      </c>
      <c r="I9" t="s">
        <v>24</v>
      </c>
      <c r="J9" t="s">
        <v>25</v>
      </c>
      <c r="K9" s="3" t="s">
        <v>22</v>
      </c>
      <c r="L9" s="3" t="s">
        <v>23</v>
      </c>
      <c r="M9" t="s">
        <v>24</v>
      </c>
      <c r="N9" t="s">
        <v>25</v>
      </c>
      <c r="O9" s="3" t="s">
        <v>22</v>
      </c>
      <c r="P9" s="3" t="s">
        <v>23</v>
      </c>
      <c r="Q9" t="s">
        <v>24</v>
      </c>
      <c r="R9" t="s">
        <v>25</v>
      </c>
      <c r="S9" s="3" t="s">
        <v>22</v>
      </c>
      <c r="T9" s="3" t="s">
        <v>23</v>
      </c>
      <c r="U9" t="s">
        <v>24</v>
      </c>
      <c r="V9" t="s">
        <v>25</v>
      </c>
      <c r="W9" s="3" t="s">
        <v>22</v>
      </c>
      <c r="X9" s="3" t="s">
        <v>23</v>
      </c>
      <c r="Y9" t="s">
        <v>24</v>
      </c>
      <c r="Z9" t="s">
        <v>25</v>
      </c>
      <c r="AA9" s="3" t="s">
        <v>22</v>
      </c>
      <c r="AB9" s="3" t="s">
        <v>23</v>
      </c>
      <c r="AC9" t="s">
        <v>24</v>
      </c>
      <c r="AD9" t="s">
        <v>25</v>
      </c>
    </row>
    <row r="10" spans="1:30" ht="75" x14ac:dyDescent="0.25">
      <c r="A10" t="s">
        <v>26</v>
      </c>
      <c r="B10" t="s">
        <v>26</v>
      </c>
      <c r="C10" t="s">
        <v>27</v>
      </c>
      <c r="D10" s="4" t="s">
        <v>28</v>
      </c>
      <c r="E10">
        <v>88600</v>
      </c>
      <c r="F10" t="s">
        <v>29</v>
      </c>
      <c r="G10" s="3">
        <v>42.43</v>
      </c>
      <c r="H10" s="3">
        <v>88600</v>
      </c>
      <c r="I10" s="5">
        <v>3759298</v>
      </c>
      <c r="J10" t="s">
        <v>30</v>
      </c>
      <c r="K10" s="3">
        <v>29.44</v>
      </c>
      <c r="L10" s="3">
        <v>88600</v>
      </c>
      <c r="M10" s="5">
        <v>2608384</v>
      </c>
      <c r="N10" s="4" t="s">
        <v>31</v>
      </c>
      <c r="O10" s="3">
        <v>37.840000000000003</v>
      </c>
      <c r="P10" s="3">
        <v>88600</v>
      </c>
      <c r="Q10" s="5">
        <v>3352624</v>
      </c>
      <c r="R10" s="4" t="s">
        <v>32</v>
      </c>
      <c r="S10" s="3">
        <v>24.86</v>
      </c>
      <c r="T10" s="3">
        <v>88600</v>
      </c>
      <c r="U10" s="5">
        <v>2202596</v>
      </c>
      <c r="V10" t="s">
        <v>33</v>
      </c>
      <c r="W10" s="3">
        <v>52</v>
      </c>
      <c r="X10" s="3">
        <v>88600</v>
      </c>
      <c r="Y10" s="5">
        <v>4607200</v>
      </c>
      <c r="Z10" t="s">
        <v>34</v>
      </c>
      <c r="AA10" s="3"/>
      <c r="AB10" s="3"/>
      <c r="AC10" s="5"/>
    </row>
    <row r="11" spans="1:30" ht="30" x14ac:dyDescent="0.25">
      <c r="A11" t="s">
        <v>35</v>
      </c>
      <c r="B11" t="s">
        <v>26</v>
      </c>
      <c r="C11" t="s">
        <v>36</v>
      </c>
      <c r="D11" s="4" t="s">
        <v>37</v>
      </c>
      <c r="E11">
        <v>2400</v>
      </c>
      <c r="F11" t="s">
        <v>29</v>
      </c>
      <c r="G11" s="3"/>
      <c r="H11" s="3"/>
      <c r="I11" s="5"/>
      <c r="K11" s="3"/>
      <c r="L11" s="3"/>
      <c r="M11" s="5"/>
      <c r="O11" s="3"/>
      <c r="P11" s="3"/>
      <c r="Q11" s="5"/>
      <c r="S11" s="3"/>
      <c r="T11" s="3"/>
      <c r="U11" s="5"/>
      <c r="W11" s="3"/>
      <c r="X11" s="3"/>
      <c r="Y11" s="5"/>
      <c r="AA11" s="3"/>
      <c r="AB11" s="3"/>
      <c r="AC11" s="5"/>
    </row>
    <row r="12" spans="1:30" ht="75" x14ac:dyDescent="0.25">
      <c r="A12" t="s">
        <v>38</v>
      </c>
      <c r="B12" t="s">
        <v>26</v>
      </c>
      <c r="C12" t="s">
        <v>39</v>
      </c>
      <c r="D12" s="4" t="s">
        <v>40</v>
      </c>
      <c r="E12">
        <v>67200</v>
      </c>
      <c r="F12" t="s">
        <v>29</v>
      </c>
      <c r="G12" s="3">
        <v>40</v>
      </c>
      <c r="H12" s="3">
        <v>67200</v>
      </c>
      <c r="I12" s="5">
        <v>2688000</v>
      </c>
      <c r="J12" t="s">
        <v>41</v>
      </c>
      <c r="K12" s="3">
        <v>27.23</v>
      </c>
      <c r="L12" s="3">
        <v>67200</v>
      </c>
      <c r="M12" s="5">
        <v>1829856</v>
      </c>
      <c r="N12" s="4" t="s">
        <v>42</v>
      </c>
      <c r="O12" s="3">
        <v>35.85</v>
      </c>
      <c r="P12" s="3">
        <v>67200</v>
      </c>
      <c r="Q12" s="5">
        <v>2409120</v>
      </c>
      <c r="R12" s="4" t="s">
        <v>43</v>
      </c>
      <c r="S12" s="3"/>
      <c r="T12" s="3"/>
      <c r="U12" s="5"/>
      <c r="W12" s="3">
        <v>56</v>
      </c>
      <c r="X12" s="3">
        <v>67200</v>
      </c>
      <c r="Y12" s="5">
        <v>3763200</v>
      </c>
      <c r="Z12" t="s">
        <v>44</v>
      </c>
      <c r="AA12" s="3"/>
      <c r="AB12" s="3"/>
      <c r="AC12" s="5"/>
    </row>
    <row r="13" spans="1:30" ht="60" x14ac:dyDescent="0.25">
      <c r="A13" t="s">
        <v>45</v>
      </c>
      <c r="B13" t="s">
        <v>26</v>
      </c>
      <c r="C13" t="s">
        <v>46</v>
      </c>
      <c r="D13" s="4" t="s">
        <v>47</v>
      </c>
      <c r="E13">
        <v>1900</v>
      </c>
      <c r="F13" t="s">
        <v>29</v>
      </c>
      <c r="G13" s="3">
        <v>50.4</v>
      </c>
      <c r="H13" s="3">
        <v>1900</v>
      </c>
      <c r="I13" s="5">
        <v>95760</v>
      </c>
      <c r="J13" t="s">
        <v>48</v>
      </c>
      <c r="K13" s="3">
        <v>28.4</v>
      </c>
      <c r="L13" s="3">
        <v>1900</v>
      </c>
      <c r="M13" s="5">
        <v>53960</v>
      </c>
      <c r="N13" s="4" t="s">
        <v>49</v>
      </c>
      <c r="O13" s="3"/>
      <c r="P13" s="3"/>
      <c r="Q13" s="5"/>
      <c r="S13" s="3"/>
      <c r="T13" s="3"/>
      <c r="U13" s="5"/>
      <c r="W13" s="3"/>
      <c r="X13" s="3"/>
      <c r="Y13" s="5"/>
      <c r="AA13" s="3"/>
      <c r="AB13" s="3"/>
      <c r="AC13" s="5"/>
    </row>
    <row r="14" spans="1:30" ht="30" x14ac:dyDescent="0.25">
      <c r="A14" t="s">
        <v>50</v>
      </c>
      <c r="B14" t="s">
        <v>26</v>
      </c>
      <c r="C14" t="s">
        <v>51</v>
      </c>
      <c r="D14" s="4" t="s">
        <v>52</v>
      </c>
      <c r="E14">
        <v>77000</v>
      </c>
      <c r="F14" t="s">
        <v>29</v>
      </c>
      <c r="G14" s="3">
        <v>56.93</v>
      </c>
      <c r="H14" s="3">
        <v>77000</v>
      </c>
      <c r="I14" s="5">
        <v>4383610</v>
      </c>
      <c r="J14" t="s">
        <v>53</v>
      </c>
      <c r="K14" s="3"/>
      <c r="L14" s="3"/>
      <c r="M14" s="5"/>
      <c r="O14" s="3"/>
      <c r="P14" s="3"/>
      <c r="Q14" s="5"/>
      <c r="S14" s="3"/>
      <c r="T14" s="3"/>
      <c r="U14" s="5"/>
      <c r="W14" s="3"/>
      <c r="X14" s="3"/>
      <c r="Y14" s="5"/>
      <c r="AA14" s="3"/>
      <c r="AB14" s="3"/>
      <c r="AC14" s="5"/>
    </row>
    <row r="15" spans="1:30" ht="45" x14ac:dyDescent="0.25">
      <c r="A15" t="s">
        <v>54</v>
      </c>
      <c r="B15" t="s">
        <v>26</v>
      </c>
      <c r="C15" t="s">
        <v>55</v>
      </c>
      <c r="D15" s="4" t="s">
        <v>56</v>
      </c>
      <c r="E15">
        <v>30800</v>
      </c>
      <c r="F15" t="s">
        <v>29</v>
      </c>
      <c r="G15" s="3"/>
      <c r="H15" s="3"/>
      <c r="I15" s="5"/>
      <c r="K15" s="3"/>
      <c r="L15" s="3"/>
      <c r="M15" s="5"/>
      <c r="O15" s="3">
        <v>10.96</v>
      </c>
      <c r="P15" s="3">
        <v>30800</v>
      </c>
      <c r="Q15" s="5">
        <v>337568</v>
      </c>
      <c r="R15" s="4" t="s">
        <v>57</v>
      </c>
      <c r="S15" s="3"/>
      <c r="T15" s="3"/>
      <c r="U15" s="5"/>
      <c r="W15" s="3"/>
      <c r="X15" s="3"/>
      <c r="Y15" s="5"/>
      <c r="AA15" s="3"/>
      <c r="AB15" s="3"/>
      <c r="AC15" s="5"/>
    </row>
    <row r="16" spans="1:30" ht="30" x14ac:dyDescent="0.25">
      <c r="A16" t="s">
        <v>58</v>
      </c>
      <c r="B16" t="s">
        <v>26</v>
      </c>
      <c r="C16" t="s">
        <v>59</v>
      </c>
      <c r="D16" s="4" t="s">
        <v>60</v>
      </c>
      <c r="E16">
        <v>109200</v>
      </c>
      <c r="F16" t="s">
        <v>29</v>
      </c>
      <c r="G16" s="3">
        <v>1.79</v>
      </c>
      <c r="H16" s="3">
        <v>109200</v>
      </c>
      <c r="I16" s="5">
        <v>195468</v>
      </c>
      <c r="J16" t="s">
        <v>61</v>
      </c>
      <c r="K16" s="3"/>
      <c r="L16" s="3"/>
      <c r="M16" s="5"/>
      <c r="O16" s="3">
        <v>1.49</v>
      </c>
      <c r="P16" s="3">
        <v>109200</v>
      </c>
      <c r="Q16" s="5">
        <v>162708</v>
      </c>
      <c r="R16" s="4" t="s">
        <v>62</v>
      </c>
      <c r="S16" s="3"/>
      <c r="T16" s="3"/>
      <c r="U16" s="5"/>
      <c r="W16" s="3"/>
      <c r="X16" s="3"/>
      <c r="Y16" s="5"/>
      <c r="AA16" s="3"/>
      <c r="AB16" s="3"/>
      <c r="AC16" s="5"/>
    </row>
    <row r="17" spans="1:30" ht="30" x14ac:dyDescent="0.25">
      <c r="A17" t="s">
        <v>63</v>
      </c>
      <c r="B17" t="s">
        <v>26</v>
      </c>
      <c r="C17" t="s">
        <v>64</v>
      </c>
      <c r="D17" s="4" t="s">
        <v>65</v>
      </c>
      <c r="E17">
        <v>7</v>
      </c>
      <c r="F17" t="s">
        <v>29</v>
      </c>
      <c r="G17" s="3"/>
      <c r="H17" s="3"/>
      <c r="I17" s="5"/>
      <c r="K17" s="3"/>
      <c r="L17" s="3"/>
      <c r="M17" s="5"/>
      <c r="O17" s="3"/>
      <c r="P17" s="3"/>
      <c r="Q17" s="5"/>
      <c r="S17" s="3"/>
      <c r="T17" s="3"/>
      <c r="U17" s="5"/>
      <c r="W17" s="3"/>
      <c r="X17" s="3"/>
      <c r="Y17" s="5"/>
      <c r="AA17" s="3"/>
      <c r="AB17" s="3"/>
      <c r="AC17" s="5"/>
    </row>
    <row r="18" spans="1:30" ht="45" x14ac:dyDescent="0.25">
      <c r="A18" t="s">
        <v>66</v>
      </c>
      <c r="B18" t="s">
        <v>26</v>
      </c>
      <c r="C18" t="s">
        <v>67</v>
      </c>
      <c r="D18" s="4" t="s">
        <v>68</v>
      </c>
      <c r="E18">
        <v>604</v>
      </c>
      <c r="F18" t="s">
        <v>29</v>
      </c>
      <c r="G18" s="3"/>
      <c r="H18" s="3"/>
      <c r="I18" s="5"/>
      <c r="K18" s="3"/>
      <c r="L18" s="3"/>
      <c r="M18" s="5"/>
      <c r="O18" s="3">
        <v>14477.6</v>
      </c>
      <c r="P18" s="3">
        <v>604</v>
      </c>
      <c r="Q18" s="5">
        <v>8744470.4000000004</v>
      </c>
      <c r="R18" s="4" t="s">
        <v>69</v>
      </c>
      <c r="S18" s="3"/>
      <c r="T18" s="3"/>
      <c r="U18" s="5"/>
      <c r="W18" s="3"/>
      <c r="X18" s="3"/>
      <c r="Y18" s="5"/>
      <c r="AA18" s="3"/>
      <c r="AB18" s="3"/>
      <c r="AC18" s="5"/>
    </row>
    <row r="19" spans="1:30" ht="45" x14ac:dyDescent="0.25">
      <c r="A19" t="s">
        <v>70</v>
      </c>
      <c r="B19" t="s">
        <v>26</v>
      </c>
      <c r="C19" t="s">
        <v>71</v>
      </c>
      <c r="D19" s="4" t="s">
        <v>72</v>
      </c>
      <c r="E19">
        <v>1004</v>
      </c>
      <c r="F19" t="s">
        <v>29</v>
      </c>
      <c r="G19" s="3"/>
      <c r="H19" s="3"/>
      <c r="I19" s="5"/>
      <c r="K19" s="3"/>
      <c r="L19" s="3"/>
      <c r="M19" s="5"/>
      <c r="O19" s="3">
        <v>8273.75</v>
      </c>
      <c r="P19" s="3">
        <v>1004</v>
      </c>
      <c r="Q19" s="5">
        <v>8306845</v>
      </c>
      <c r="R19" s="4" t="s">
        <v>73</v>
      </c>
      <c r="S19" s="3"/>
      <c r="T19" s="3"/>
      <c r="U19" s="5"/>
      <c r="W19" s="3"/>
      <c r="X19" s="3"/>
      <c r="Y19" s="5"/>
      <c r="AA19" s="3"/>
      <c r="AB19" s="3"/>
      <c r="AC19" s="5"/>
    </row>
    <row r="20" spans="1:30" ht="30" x14ac:dyDescent="0.25">
      <c r="A20" t="s">
        <v>74</v>
      </c>
      <c r="B20" t="s">
        <v>26</v>
      </c>
      <c r="C20" t="s">
        <v>75</v>
      </c>
      <c r="D20" s="4" t="s">
        <v>76</v>
      </c>
      <c r="E20">
        <v>5000</v>
      </c>
      <c r="F20" t="s">
        <v>29</v>
      </c>
      <c r="G20" s="3"/>
      <c r="H20" s="3"/>
      <c r="I20" s="5"/>
      <c r="K20" s="3"/>
      <c r="L20" s="3"/>
      <c r="M20" s="5"/>
      <c r="O20" s="3"/>
      <c r="P20" s="3"/>
      <c r="Q20" s="5"/>
      <c r="S20" s="3"/>
      <c r="T20" s="3"/>
      <c r="U20" s="5"/>
      <c r="W20" s="3"/>
      <c r="X20" s="3"/>
      <c r="Y20" s="5"/>
      <c r="AA20" s="3"/>
      <c r="AB20" s="3"/>
      <c r="AC20" s="5"/>
    </row>
    <row r="21" spans="1:30" ht="45" x14ac:dyDescent="0.25">
      <c r="A21" t="s">
        <v>77</v>
      </c>
      <c r="B21" t="s">
        <v>26</v>
      </c>
      <c r="C21" t="s">
        <v>78</v>
      </c>
      <c r="D21" s="4" t="s">
        <v>79</v>
      </c>
      <c r="E21">
        <v>2000</v>
      </c>
      <c r="F21" t="s">
        <v>29</v>
      </c>
      <c r="G21" s="3"/>
      <c r="H21" s="3"/>
      <c r="I21" s="5"/>
      <c r="K21" s="3"/>
      <c r="L21" s="3"/>
      <c r="M21" s="5"/>
      <c r="O21" s="3">
        <v>84.93</v>
      </c>
      <c r="P21" s="3">
        <v>2000</v>
      </c>
      <c r="Q21" s="5">
        <v>169860</v>
      </c>
      <c r="R21" s="4" t="s">
        <v>80</v>
      </c>
      <c r="S21" s="3"/>
      <c r="T21" s="3"/>
      <c r="U21" s="5"/>
      <c r="W21" s="3"/>
      <c r="X21" s="3"/>
      <c r="Y21" s="5"/>
      <c r="AA21" s="3">
        <v>47.94</v>
      </c>
      <c r="AB21" s="3">
        <v>2000</v>
      </c>
      <c r="AC21" s="5">
        <v>95880</v>
      </c>
      <c r="AD21" s="4" t="s">
        <v>81</v>
      </c>
    </row>
    <row r="22" spans="1:30" ht="30" x14ac:dyDescent="0.25">
      <c r="A22" t="s">
        <v>82</v>
      </c>
      <c r="B22" t="s">
        <v>26</v>
      </c>
      <c r="C22" t="s">
        <v>83</v>
      </c>
      <c r="D22" s="4" t="s">
        <v>84</v>
      </c>
      <c r="E22">
        <v>800</v>
      </c>
      <c r="F22" t="s">
        <v>29</v>
      </c>
      <c r="G22" s="3"/>
      <c r="H22" s="3"/>
      <c r="I22" s="5"/>
      <c r="K22" s="3"/>
      <c r="L22" s="3"/>
      <c r="M22" s="5"/>
      <c r="O22" s="3">
        <v>324.66000000000003</v>
      </c>
      <c r="P22" s="3">
        <v>800</v>
      </c>
      <c r="Q22" s="5">
        <v>259728</v>
      </c>
      <c r="R22" s="4" t="s">
        <v>85</v>
      </c>
      <c r="S22" s="3"/>
      <c r="T22" s="3"/>
      <c r="U22" s="5"/>
      <c r="W22" s="3"/>
      <c r="X22" s="3"/>
      <c r="Y22" s="5"/>
      <c r="AA22" s="3"/>
      <c r="AB22" s="3"/>
      <c r="AC22" s="5"/>
    </row>
    <row r="23" spans="1:30" ht="30" x14ac:dyDescent="0.25">
      <c r="A23" t="s">
        <v>86</v>
      </c>
      <c r="B23" t="s">
        <v>26</v>
      </c>
      <c r="C23" t="s">
        <v>87</v>
      </c>
      <c r="D23" s="4" t="s">
        <v>88</v>
      </c>
      <c r="E23">
        <v>3000</v>
      </c>
      <c r="F23" t="s">
        <v>29</v>
      </c>
      <c r="G23" s="3"/>
      <c r="H23" s="3"/>
      <c r="I23" s="5"/>
      <c r="K23" s="3"/>
      <c r="L23" s="3"/>
      <c r="M23" s="5"/>
      <c r="O23" s="3">
        <v>80.819999999999993</v>
      </c>
      <c r="P23" s="3">
        <v>3000</v>
      </c>
      <c r="Q23" s="5">
        <v>242460</v>
      </c>
      <c r="R23" s="4" t="s">
        <v>89</v>
      </c>
      <c r="S23" s="3"/>
      <c r="T23" s="3"/>
      <c r="U23" s="5"/>
      <c r="W23" s="3">
        <v>84</v>
      </c>
      <c r="X23" s="3">
        <v>3000</v>
      </c>
      <c r="Y23" s="5">
        <v>252000</v>
      </c>
      <c r="Z23" t="s">
        <v>90</v>
      </c>
      <c r="AA23" s="3"/>
      <c r="AB23" s="3"/>
      <c r="AC23" s="5"/>
    </row>
    <row r="24" spans="1:30" ht="45" x14ac:dyDescent="0.25">
      <c r="A24" t="s">
        <v>91</v>
      </c>
      <c r="B24" t="s">
        <v>26</v>
      </c>
      <c r="C24" t="s">
        <v>92</v>
      </c>
      <c r="D24" s="4" t="s">
        <v>93</v>
      </c>
      <c r="E24">
        <v>9000</v>
      </c>
      <c r="F24" t="s">
        <v>29</v>
      </c>
      <c r="G24" s="3"/>
      <c r="H24" s="3"/>
      <c r="I24" s="5"/>
      <c r="K24" s="3"/>
      <c r="L24" s="3"/>
      <c r="M24" s="5"/>
      <c r="O24" s="3">
        <v>4.2</v>
      </c>
      <c r="P24" s="3">
        <v>9000</v>
      </c>
      <c r="Q24" s="5">
        <v>37800</v>
      </c>
      <c r="R24" s="4" t="s">
        <v>94</v>
      </c>
      <c r="S24" s="3"/>
      <c r="T24" s="3"/>
      <c r="U24" s="5"/>
      <c r="W24" s="3"/>
      <c r="X24" s="3"/>
      <c r="Y24" s="5"/>
      <c r="AA24" s="3"/>
      <c r="AB24" s="3"/>
      <c r="AC24" s="5"/>
    </row>
    <row r="25" spans="1:30" ht="30" x14ac:dyDescent="0.25">
      <c r="A25" t="s">
        <v>95</v>
      </c>
      <c r="B25" t="s">
        <v>26</v>
      </c>
      <c r="C25" t="s">
        <v>96</v>
      </c>
      <c r="D25" s="4" t="s">
        <v>97</v>
      </c>
      <c r="E25">
        <v>3450</v>
      </c>
      <c r="F25" t="s">
        <v>29</v>
      </c>
      <c r="G25" s="3"/>
      <c r="H25" s="3"/>
      <c r="I25" s="5"/>
      <c r="K25" s="3"/>
      <c r="L25" s="3"/>
      <c r="M25" s="5"/>
      <c r="O25" s="3">
        <v>67.010000000000005</v>
      </c>
      <c r="P25" s="3">
        <v>3450</v>
      </c>
      <c r="Q25" s="5">
        <v>231184.5</v>
      </c>
      <c r="R25" s="4" t="s">
        <v>98</v>
      </c>
      <c r="S25" s="3"/>
      <c r="T25" s="3"/>
      <c r="U25" s="5"/>
      <c r="W25" s="3">
        <v>105</v>
      </c>
      <c r="X25" s="3">
        <v>3450</v>
      </c>
      <c r="Y25" s="5">
        <v>362250</v>
      </c>
      <c r="Z25" t="s">
        <v>99</v>
      </c>
      <c r="AA25" s="3"/>
      <c r="AB25" s="3"/>
      <c r="AC25" s="5"/>
    </row>
    <row r="26" spans="1:30" ht="30" x14ac:dyDescent="0.25">
      <c r="A26" t="s">
        <v>100</v>
      </c>
      <c r="B26" t="s">
        <v>26</v>
      </c>
      <c r="C26" t="s">
        <v>101</v>
      </c>
      <c r="D26" s="4" t="s">
        <v>102</v>
      </c>
      <c r="E26">
        <v>500</v>
      </c>
      <c r="F26" t="s">
        <v>29</v>
      </c>
      <c r="G26" s="3"/>
      <c r="H26" s="3"/>
      <c r="I26" s="5"/>
      <c r="K26" s="3"/>
      <c r="L26" s="3"/>
      <c r="M26" s="5"/>
      <c r="O26" s="3"/>
      <c r="P26" s="3"/>
      <c r="Q26" s="5"/>
      <c r="S26" s="3"/>
      <c r="T26" s="3"/>
      <c r="U26" s="5"/>
      <c r="W26" s="3"/>
      <c r="X26" s="3"/>
      <c r="Y26" s="5"/>
      <c r="AA26" s="3"/>
      <c r="AB26" s="3"/>
      <c r="AC26" s="5"/>
    </row>
    <row r="27" spans="1:30" ht="30" x14ac:dyDescent="0.25">
      <c r="A27" t="s">
        <v>103</v>
      </c>
      <c r="B27" t="s">
        <v>26</v>
      </c>
      <c r="C27" t="s">
        <v>104</v>
      </c>
      <c r="D27" s="4" t="s">
        <v>105</v>
      </c>
      <c r="E27">
        <v>300</v>
      </c>
      <c r="F27" t="s">
        <v>29</v>
      </c>
      <c r="G27" s="3">
        <v>466.8</v>
      </c>
      <c r="H27" s="3">
        <v>300</v>
      </c>
      <c r="I27" s="5">
        <v>140040</v>
      </c>
      <c r="J27" t="s">
        <v>106</v>
      </c>
      <c r="K27" s="3"/>
      <c r="L27" s="3"/>
      <c r="M27" s="5"/>
      <c r="O27" s="3"/>
      <c r="P27" s="3"/>
      <c r="Q27" s="5"/>
      <c r="S27" s="3"/>
      <c r="T27" s="3"/>
      <c r="U27" s="5"/>
      <c r="W27" s="3"/>
      <c r="X27" s="3"/>
      <c r="Y27" s="5"/>
      <c r="AA27" s="3"/>
      <c r="AB27" s="3"/>
      <c r="AC27" s="5"/>
    </row>
    <row r="28" spans="1:30" ht="45" x14ac:dyDescent="0.25">
      <c r="A28" t="s">
        <v>107</v>
      </c>
      <c r="B28" t="s">
        <v>26</v>
      </c>
      <c r="C28" t="s">
        <v>108</v>
      </c>
      <c r="D28" s="4" t="s">
        <v>109</v>
      </c>
      <c r="E28">
        <v>150</v>
      </c>
      <c r="F28" t="s">
        <v>29</v>
      </c>
      <c r="G28" s="3"/>
      <c r="H28" s="3"/>
      <c r="I28" s="5"/>
      <c r="K28" s="3"/>
      <c r="L28" s="3"/>
      <c r="M28" s="5"/>
      <c r="O28" s="3"/>
      <c r="P28" s="3"/>
      <c r="Q28" s="5"/>
      <c r="S28" s="3"/>
      <c r="T28" s="3"/>
      <c r="U28" s="5"/>
      <c r="W28" s="3"/>
      <c r="X28" s="3"/>
      <c r="Y28" s="5"/>
      <c r="AA28" s="3"/>
      <c r="AB28" s="3"/>
      <c r="AC28" s="5"/>
    </row>
    <row r="29" spans="1:30" ht="75" x14ac:dyDescent="0.25">
      <c r="A29" t="s">
        <v>110</v>
      </c>
      <c r="B29" t="s">
        <v>26</v>
      </c>
      <c r="C29" t="s">
        <v>111</v>
      </c>
      <c r="D29" s="4" t="s">
        <v>112</v>
      </c>
      <c r="E29">
        <v>160</v>
      </c>
      <c r="F29" t="s">
        <v>29</v>
      </c>
      <c r="G29" s="3">
        <v>1391.5</v>
      </c>
      <c r="H29" s="3">
        <v>160</v>
      </c>
      <c r="I29" s="5">
        <v>222640</v>
      </c>
      <c r="J29" s="4" t="s">
        <v>113</v>
      </c>
      <c r="K29" s="3"/>
      <c r="L29" s="3"/>
      <c r="M29" s="5"/>
      <c r="O29" s="3"/>
      <c r="P29" s="3"/>
      <c r="Q29" s="5"/>
      <c r="S29" s="3">
        <v>1150</v>
      </c>
      <c r="T29" s="3">
        <v>160</v>
      </c>
      <c r="U29" s="5">
        <v>184000</v>
      </c>
      <c r="V29" s="4" t="s">
        <v>114</v>
      </c>
      <c r="W29" s="3"/>
      <c r="X29" s="3"/>
      <c r="Y29" s="5"/>
      <c r="AA29" s="3"/>
      <c r="AB29" s="3"/>
      <c r="AC29" s="5"/>
    </row>
    <row r="30" spans="1:30" ht="105" x14ac:dyDescent="0.25">
      <c r="A30" t="s">
        <v>115</v>
      </c>
      <c r="B30" t="s">
        <v>26</v>
      </c>
      <c r="C30" t="s">
        <v>116</v>
      </c>
      <c r="D30" s="4" t="s">
        <v>117</v>
      </c>
      <c r="E30">
        <v>70</v>
      </c>
      <c r="F30" t="s">
        <v>29</v>
      </c>
      <c r="G30" s="3">
        <v>1391.5</v>
      </c>
      <c r="H30" s="3">
        <v>70</v>
      </c>
      <c r="I30" s="5">
        <v>97405</v>
      </c>
      <c r="J30" t="s">
        <v>118</v>
      </c>
      <c r="K30" s="3"/>
      <c r="L30" s="3"/>
      <c r="M30" s="5"/>
      <c r="O30" s="3">
        <v>1242.6400000000001</v>
      </c>
      <c r="P30" s="3">
        <v>70</v>
      </c>
      <c r="Q30" s="5">
        <v>86984.8</v>
      </c>
      <c r="R30" s="4" t="s">
        <v>119</v>
      </c>
      <c r="S30" s="3">
        <v>1100</v>
      </c>
      <c r="T30" s="3">
        <v>70</v>
      </c>
      <c r="U30" s="5">
        <v>77000</v>
      </c>
      <c r="V30" s="4" t="s">
        <v>120</v>
      </c>
      <c r="W30" s="3"/>
      <c r="X30" s="3"/>
      <c r="Y30" s="5"/>
      <c r="AA30" s="3"/>
      <c r="AB30" s="3"/>
      <c r="AC30" s="5"/>
    </row>
    <row r="31" spans="1:30" ht="30" x14ac:dyDescent="0.25">
      <c r="A31" t="s">
        <v>121</v>
      </c>
      <c r="B31" t="s">
        <v>26</v>
      </c>
      <c r="C31" t="s">
        <v>122</v>
      </c>
      <c r="D31" s="4" t="s">
        <v>123</v>
      </c>
      <c r="E31">
        <v>150</v>
      </c>
      <c r="F31" t="s">
        <v>29</v>
      </c>
      <c r="G31" s="3"/>
      <c r="H31" s="3"/>
      <c r="I31" s="5"/>
      <c r="K31" s="3"/>
      <c r="L31" s="3"/>
      <c r="M31" s="5"/>
      <c r="O31" s="3"/>
      <c r="P31" s="3"/>
      <c r="Q31" s="5"/>
      <c r="S31" s="3"/>
      <c r="T31" s="3"/>
      <c r="U31" s="5"/>
      <c r="W31" s="3"/>
      <c r="X31" s="3"/>
      <c r="Y31" s="5"/>
      <c r="AA31" s="3"/>
      <c r="AB31" s="3"/>
      <c r="AC31" s="5"/>
    </row>
    <row r="32" spans="1:30" ht="45" x14ac:dyDescent="0.25">
      <c r="A32" t="s">
        <v>124</v>
      </c>
      <c r="B32" t="s">
        <v>26</v>
      </c>
      <c r="C32" t="s">
        <v>125</v>
      </c>
      <c r="D32" s="4" t="s">
        <v>126</v>
      </c>
      <c r="E32">
        <v>310</v>
      </c>
      <c r="F32" t="s">
        <v>29</v>
      </c>
      <c r="G32" s="3">
        <v>330</v>
      </c>
      <c r="H32" s="3">
        <v>310</v>
      </c>
      <c r="I32" s="5">
        <v>102300</v>
      </c>
      <c r="J32" t="s">
        <v>127</v>
      </c>
      <c r="K32" s="3"/>
      <c r="L32" s="3"/>
      <c r="M32" s="5"/>
      <c r="O32" s="3"/>
      <c r="P32" s="3"/>
      <c r="Q32" s="5"/>
      <c r="S32" s="3">
        <v>336</v>
      </c>
      <c r="T32" s="3">
        <v>310</v>
      </c>
      <c r="U32" s="5">
        <v>104160</v>
      </c>
      <c r="V32" s="4" t="s">
        <v>128</v>
      </c>
      <c r="W32" s="3"/>
      <c r="X32" s="3"/>
      <c r="Y32" s="5"/>
      <c r="AA32" s="3"/>
      <c r="AB32" s="3"/>
      <c r="AC32" s="5"/>
    </row>
    <row r="33" spans="1:29" ht="30" x14ac:dyDescent="0.25">
      <c r="A33" t="s">
        <v>129</v>
      </c>
      <c r="B33" t="s">
        <v>26</v>
      </c>
      <c r="C33" t="s">
        <v>130</v>
      </c>
      <c r="D33" s="4" t="s">
        <v>131</v>
      </c>
      <c r="E33">
        <v>600</v>
      </c>
      <c r="F33" t="s">
        <v>29</v>
      </c>
      <c r="G33" s="3">
        <v>106.8</v>
      </c>
      <c r="H33" s="3">
        <v>600</v>
      </c>
      <c r="I33" s="5">
        <v>64080</v>
      </c>
      <c r="J33" t="s">
        <v>132</v>
      </c>
      <c r="K33" s="3"/>
      <c r="L33" s="3"/>
      <c r="M33" s="5"/>
      <c r="O33" s="3">
        <v>68.489999999999995</v>
      </c>
      <c r="P33" s="3">
        <v>600</v>
      </c>
      <c r="Q33" s="5">
        <v>41094</v>
      </c>
      <c r="R33" s="4" t="s">
        <v>133</v>
      </c>
      <c r="S33" s="3"/>
      <c r="T33" s="3"/>
      <c r="U33" s="5"/>
      <c r="W33" s="3"/>
      <c r="X33" s="3"/>
      <c r="Y33" s="5"/>
      <c r="AA33" s="3"/>
      <c r="AB33" s="3"/>
      <c r="AC33" s="5"/>
    </row>
    <row r="34" spans="1:29" x14ac:dyDescent="0.25">
      <c r="A34" t="s">
        <v>134</v>
      </c>
      <c r="B34" t="s">
        <v>26</v>
      </c>
      <c r="C34" t="s">
        <v>135</v>
      </c>
      <c r="D34" t="s">
        <v>136</v>
      </c>
      <c r="E34">
        <v>56</v>
      </c>
      <c r="F34" t="s">
        <v>29</v>
      </c>
      <c r="G34" s="3"/>
      <c r="H34" s="3"/>
      <c r="I34" s="5"/>
      <c r="K34" s="3"/>
      <c r="L34" s="3"/>
      <c r="M34" s="5"/>
      <c r="O34" s="3"/>
      <c r="P34" s="3"/>
      <c r="Q34" s="5"/>
      <c r="S34" s="3"/>
      <c r="T34" s="3"/>
      <c r="U34" s="5"/>
      <c r="W34" s="3"/>
      <c r="X34" s="3"/>
      <c r="Y34" s="5"/>
      <c r="AA34" s="3"/>
      <c r="AB34" s="3"/>
      <c r="AC34" s="5"/>
    </row>
    <row r="35" spans="1:29" ht="30" x14ac:dyDescent="0.25">
      <c r="A35" t="s">
        <v>137</v>
      </c>
      <c r="B35" t="s">
        <v>26</v>
      </c>
      <c r="C35" t="s">
        <v>138</v>
      </c>
      <c r="D35" s="4" t="s">
        <v>139</v>
      </c>
      <c r="E35">
        <v>400</v>
      </c>
      <c r="F35" t="s">
        <v>29</v>
      </c>
      <c r="G35" s="3"/>
      <c r="H35" s="3"/>
      <c r="I35" s="5"/>
      <c r="K35" s="3"/>
      <c r="L35" s="3"/>
      <c r="M35" s="5"/>
      <c r="O35" s="3"/>
      <c r="P35" s="3"/>
      <c r="Q35" s="5"/>
      <c r="S35" s="3"/>
      <c r="T35" s="3"/>
      <c r="U35" s="5"/>
      <c r="W35" s="3"/>
      <c r="X35" s="3"/>
      <c r="Y35" s="5"/>
      <c r="AA35" s="3"/>
      <c r="AB35" s="3"/>
      <c r="AC35" s="5"/>
    </row>
    <row r="36" spans="1:29" ht="30" x14ac:dyDescent="0.25">
      <c r="A36" t="s">
        <v>140</v>
      </c>
      <c r="B36" t="s">
        <v>26</v>
      </c>
      <c r="C36" t="s">
        <v>141</v>
      </c>
      <c r="D36" s="4" t="s">
        <v>142</v>
      </c>
      <c r="E36">
        <v>520</v>
      </c>
      <c r="F36" t="s">
        <v>29</v>
      </c>
      <c r="G36" s="3">
        <v>338.4</v>
      </c>
      <c r="H36" s="3">
        <v>520</v>
      </c>
      <c r="I36" s="5">
        <v>175968</v>
      </c>
      <c r="J36" t="s">
        <v>143</v>
      </c>
      <c r="K36" s="3"/>
      <c r="L36" s="3"/>
      <c r="M36" s="5"/>
      <c r="O36" s="3">
        <v>246.58</v>
      </c>
      <c r="P36" s="3">
        <v>520</v>
      </c>
      <c r="Q36" s="5">
        <v>128221.6</v>
      </c>
      <c r="R36" s="4" t="s">
        <v>144</v>
      </c>
      <c r="S36" s="3"/>
      <c r="T36" s="3"/>
      <c r="U36" s="5"/>
      <c r="W36" s="3">
        <v>360</v>
      </c>
      <c r="X36" s="3">
        <v>520</v>
      </c>
      <c r="Y36" s="5">
        <v>187200</v>
      </c>
      <c r="Z36" t="s">
        <v>145</v>
      </c>
      <c r="AA36" s="3"/>
      <c r="AB36" s="3"/>
      <c r="AC36" s="5"/>
    </row>
    <row r="37" spans="1:29" ht="30" x14ac:dyDescent="0.25">
      <c r="A37" t="s">
        <v>146</v>
      </c>
      <c r="B37" t="s">
        <v>26</v>
      </c>
      <c r="C37" t="s">
        <v>147</v>
      </c>
      <c r="D37" s="4" t="s">
        <v>148</v>
      </c>
      <c r="E37">
        <v>250</v>
      </c>
      <c r="F37" t="s">
        <v>29</v>
      </c>
      <c r="G37" s="3"/>
      <c r="H37" s="3"/>
      <c r="I37" s="5"/>
      <c r="K37" s="3"/>
      <c r="L37" s="3"/>
      <c r="M37" s="5"/>
      <c r="O37" s="3"/>
      <c r="P37" s="3"/>
      <c r="Q37" s="5"/>
      <c r="S37" s="3"/>
      <c r="T37" s="3"/>
      <c r="U37" s="5"/>
      <c r="W37" s="3"/>
      <c r="X37" s="3"/>
      <c r="Y37" s="5"/>
      <c r="AA37" s="3"/>
      <c r="AB37" s="3"/>
      <c r="AC37" s="5"/>
    </row>
    <row r="38" spans="1:29" ht="30" x14ac:dyDescent="0.25">
      <c r="A38" t="s">
        <v>149</v>
      </c>
      <c r="B38" t="s">
        <v>26</v>
      </c>
      <c r="C38" t="s">
        <v>150</v>
      </c>
      <c r="D38" s="4" t="s">
        <v>151</v>
      </c>
      <c r="E38">
        <v>200</v>
      </c>
      <c r="F38" t="s">
        <v>29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/>
      <c r="AB38" s="3"/>
      <c r="AC38" s="5"/>
    </row>
    <row r="39" spans="1:29" ht="30" x14ac:dyDescent="0.25">
      <c r="A39" t="s">
        <v>152</v>
      </c>
      <c r="B39" t="s">
        <v>26</v>
      </c>
      <c r="C39" t="s">
        <v>153</v>
      </c>
      <c r="D39" s="4" t="s">
        <v>154</v>
      </c>
      <c r="E39">
        <v>30</v>
      </c>
      <c r="F39" t="s">
        <v>29</v>
      </c>
      <c r="G39" s="3"/>
      <c r="H39" s="3"/>
      <c r="I39" s="5"/>
      <c r="K39" s="3"/>
      <c r="L39" s="3"/>
      <c r="M39" s="5"/>
      <c r="O39" s="3"/>
      <c r="P39" s="3"/>
      <c r="Q39" s="5"/>
      <c r="S39" s="3"/>
      <c r="T39" s="3"/>
      <c r="U39" s="5"/>
      <c r="W39" s="3"/>
      <c r="X39" s="3"/>
      <c r="Y39" s="5"/>
      <c r="AA39" s="3"/>
      <c r="AB39" s="3"/>
      <c r="AC39" s="5"/>
    </row>
    <row r="40" spans="1:29" ht="30" x14ac:dyDescent="0.25">
      <c r="A40" t="s">
        <v>155</v>
      </c>
      <c r="B40" t="s">
        <v>26</v>
      </c>
      <c r="C40" t="s">
        <v>156</v>
      </c>
      <c r="D40" s="4" t="s">
        <v>157</v>
      </c>
      <c r="E40">
        <v>100</v>
      </c>
      <c r="F40" t="s">
        <v>29</v>
      </c>
      <c r="G40" s="3"/>
      <c r="H40" s="3"/>
      <c r="I40" s="5"/>
      <c r="K40" s="3"/>
      <c r="L40" s="3"/>
      <c r="M40" s="5"/>
      <c r="O40" s="3"/>
      <c r="P40" s="3"/>
      <c r="Q40" s="5"/>
      <c r="S40" s="3"/>
      <c r="T40" s="3"/>
      <c r="U40" s="5"/>
      <c r="W40" s="3"/>
      <c r="X40" s="3"/>
      <c r="Y40" s="5"/>
      <c r="AA40" s="3"/>
      <c r="AB40" s="3"/>
      <c r="AC40" s="5"/>
    </row>
    <row r="41" spans="1:29" ht="30" x14ac:dyDescent="0.25">
      <c r="A41" t="s">
        <v>158</v>
      </c>
      <c r="B41" t="s">
        <v>26</v>
      </c>
      <c r="C41" t="s">
        <v>159</v>
      </c>
      <c r="D41" s="4" t="s">
        <v>160</v>
      </c>
      <c r="E41">
        <v>100</v>
      </c>
      <c r="F41" t="s">
        <v>29</v>
      </c>
      <c r="G41" s="3"/>
      <c r="H41" s="3"/>
      <c r="I41" s="5"/>
      <c r="K41" s="3"/>
      <c r="L41" s="3"/>
      <c r="M41" s="5"/>
      <c r="O41" s="3"/>
      <c r="P41" s="3"/>
      <c r="Q41" s="5"/>
      <c r="S41" s="3"/>
      <c r="T41" s="3"/>
      <c r="U41" s="5"/>
      <c r="W41" s="3"/>
      <c r="X41" s="3"/>
      <c r="Y41" s="5"/>
      <c r="AA41" s="3"/>
      <c r="AB41" s="3"/>
      <c r="AC41" s="5"/>
    </row>
    <row r="42" spans="1:29" ht="30" x14ac:dyDescent="0.25">
      <c r="A42" t="s">
        <v>161</v>
      </c>
      <c r="B42" t="s">
        <v>26</v>
      </c>
      <c r="C42" t="s">
        <v>162</v>
      </c>
      <c r="D42" s="4" t="s">
        <v>163</v>
      </c>
      <c r="E42">
        <v>200</v>
      </c>
      <c r="F42" t="s">
        <v>29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/>
      <c r="X42" s="3"/>
      <c r="Y42" s="5"/>
      <c r="AA42" s="3"/>
      <c r="AB42" s="3"/>
      <c r="AC42" s="5"/>
    </row>
    <row r="43" spans="1:29" ht="30" x14ac:dyDescent="0.25">
      <c r="A43" t="s">
        <v>164</v>
      </c>
      <c r="B43" t="s">
        <v>26</v>
      </c>
      <c r="C43" t="s">
        <v>165</v>
      </c>
      <c r="D43" s="4" t="s">
        <v>166</v>
      </c>
      <c r="E43">
        <v>1000</v>
      </c>
      <c r="F43" t="s">
        <v>29</v>
      </c>
      <c r="G43" s="3"/>
      <c r="H43" s="3"/>
      <c r="I43" s="5"/>
      <c r="K43" s="3"/>
      <c r="L43" s="3"/>
      <c r="M43" s="5"/>
      <c r="O43" s="3"/>
      <c r="P43" s="3"/>
      <c r="Q43" s="5"/>
      <c r="S43" s="3"/>
      <c r="T43" s="3"/>
      <c r="U43" s="5"/>
      <c r="W43" s="3"/>
      <c r="X43" s="3"/>
      <c r="Y43" s="5"/>
      <c r="AA43" s="3"/>
      <c r="AB43" s="3"/>
      <c r="AC43" s="5"/>
    </row>
    <row r="44" spans="1:29" ht="30" x14ac:dyDescent="0.25">
      <c r="A44" t="s">
        <v>167</v>
      </c>
      <c r="B44" t="s">
        <v>26</v>
      </c>
      <c r="C44" t="s">
        <v>168</v>
      </c>
      <c r="D44" s="4" t="s">
        <v>169</v>
      </c>
      <c r="E44">
        <v>200</v>
      </c>
      <c r="F44" t="s">
        <v>29</v>
      </c>
      <c r="G44" s="3"/>
      <c r="H44" s="3"/>
      <c r="I44" s="5"/>
      <c r="K44" s="3"/>
      <c r="L44" s="3"/>
      <c r="M44" s="5"/>
      <c r="O44" s="3"/>
      <c r="P44" s="3"/>
      <c r="Q44" s="5"/>
      <c r="S44" s="3"/>
      <c r="T44" s="3"/>
      <c r="U44" s="5"/>
      <c r="W44" s="3"/>
      <c r="X44" s="3"/>
      <c r="Y44" s="5"/>
      <c r="AA44" s="3"/>
      <c r="AB44" s="3"/>
      <c r="AC44" s="5"/>
    </row>
    <row r="45" spans="1:29" ht="30" x14ac:dyDescent="0.25">
      <c r="A45" t="s">
        <v>170</v>
      </c>
      <c r="B45" t="s">
        <v>26</v>
      </c>
      <c r="C45" t="s">
        <v>171</v>
      </c>
      <c r="D45" s="4" t="s">
        <v>172</v>
      </c>
      <c r="E45">
        <v>50</v>
      </c>
      <c r="F45" t="s">
        <v>29</v>
      </c>
      <c r="G45" s="3"/>
      <c r="H45" s="3"/>
      <c r="I45" s="5"/>
      <c r="K45" s="3"/>
      <c r="L45" s="3"/>
      <c r="M45" s="5"/>
      <c r="O45" s="3"/>
      <c r="P45" s="3"/>
      <c r="Q45" s="5"/>
      <c r="S45" s="3"/>
      <c r="T45" s="3"/>
      <c r="U45" s="5"/>
      <c r="W45" s="3"/>
      <c r="X45" s="3"/>
      <c r="Y45" s="5"/>
      <c r="AA45" s="3"/>
      <c r="AB45" s="3"/>
      <c r="AC45" s="5"/>
    </row>
    <row r="46" spans="1:29" ht="30" x14ac:dyDescent="0.25">
      <c r="A46" t="s">
        <v>173</v>
      </c>
      <c r="B46" t="s">
        <v>26</v>
      </c>
      <c r="C46" t="s">
        <v>174</v>
      </c>
      <c r="D46" s="4" t="s">
        <v>175</v>
      </c>
      <c r="E46">
        <v>10</v>
      </c>
      <c r="F46" t="s">
        <v>29</v>
      </c>
      <c r="G46" s="3"/>
      <c r="H46" s="3"/>
      <c r="I46" s="5"/>
      <c r="K46" s="3"/>
      <c r="L46" s="3"/>
      <c r="M46" s="5"/>
      <c r="O46" s="3"/>
      <c r="P46" s="3"/>
      <c r="Q46" s="5"/>
      <c r="S46" s="3"/>
      <c r="T46" s="3"/>
      <c r="U46" s="5"/>
      <c r="W46" s="3"/>
      <c r="X46" s="3"/>
      <c r="Y46" s="5"/>
      <c r="AA46" s="3"/>
      <c r="AB46" s="3"/>
      <c r="AC46" s="5"/>
    </row>
    <row r="47" spans="1:29" ht="30" x14ac:dyDescent="0.25">
      <c r="A47" t="s">
        <v>176</v>
      </c>
      <c r="B47" t="s">
        <v>26</v>
      </c>
      <c r="C47" t="s">
        <v>177</v>
      </c>
      <c r="D47" s="4" t="s">
        <v>178</v>
      </c>
      <c r="E47">
        <v>400</v>
      </c>
      <c r="F47" t="s">
        <v>29</v>
      </c>
      <c r="G47" s="3"/>
      <c r="H47" s="3"/>
      <c r="I47" s="5"/>
      <c r="K47" s="3"/>
      <c r="L47" s="3"/>
      <c r="M47" s="5"/>
      <c r="O47" s="3">
        <v>84.93</v>
      </c>
      <c r="P47" s="3">
        <v>400</v>
      </c>
      <c r="Q47" s="5">
        <v>33972</v>
      </c>
      <c r="R47" s="4" t="s">
        <v>179</v>
      </c>
      <c r="S47" s="3"/>
      <c r="T47" s="3"/>
      <c r="U47" s="5"/>
      <c r="W47" s="3"/>
      <c r="X47" s="3"/>
      <c r="Y47" s="5"/>
      <c r="AA47" s="3"/>
      <c r="AB47" s="3"/>
      <c r="AC47" s="5"/>
    </row>
    <row r="48" spans="1:29" ht="30" x14ac:dyDescent="0.25">
      <c r="A48" t="s">
        <v>180</v>
      </c>
      <c r="B48" t="s">
        <v>26</v>
      </c>
      <c r="C48" t="s">
        <v>181</v>
      </c>
      <c r="D48" s="4" t="s">
        <v>182</v>
      </c>
      <c r="E48">
        <v>28</v>
      </c>
      <c r="F48" t="s">
        <v>29</v>
      </c>
      <c r="G48" s="3"/>
      <c r="H48" s="3"/>
      <c r="I48" s="5"/>
      <c r="K48" s="3"/>
      <c r="L48" s="3"/>
      <c r="M48" s="5"/>
      <c r="O48" s="3"/>
      <c r="P48" s="3"/>
      <c r="Q48" s="5"/>
      <c r="S48" s="3"/>
      <c r="T48" s="3"/>
      <c r="U48" s="5"/>
      <c r="W48" s="3"/>
      <c r="X48" s="3"/>
      <c r="Y48" s="5"/>
      <c r="AA48" s="3"/>
      <c r="AB48" s="3"/>
      <c r="AC48" s="5"/>
    </row>
    <row r="49" spans="1:29" ht="30" x14ac:dyDescent="0.25">
      <c r="A49" t="s">
        <v>183</v>
      </c>
      <c r="B49" t="s">
        <v>26</v>
      </c>
      <c r="C49" t="s">
        <v>184</v>
      </c>
      <c r="D49" s="4" t="s">
        <v>185</v>
      </c>
      <c r="E49">
        <v>50</v>
      </c>
      <c r="F49" t="s">
        <v>29</v>
      </c>
      <c r="G49" s="3"/>
      <c r="H49" s="3"/>
      <c r="I49" s="5"/>
      <c r="K49" s="3"/>
      <c r="L49" s="3"/>
      <c r="M49" s="5"/>
      <c r="O49" s="3"/>
      <c r="P49" s="3"/>
      <c r="Q49" s="5"/>
      <c r="S49" s="3"/>
      <c r="T49" s="3"/>
      <c r="U49" s="5"/>
      <c r="W49" s="3"/>
      <c r="X49" s="3"/>
      <c r="Y49" s="5"/>
      <c r="AA49" s="3"/>
      <c r="AB49" s="3"/>
      <c r="AC49" s="5"/>
    </row>
    <row r="50" spans="1:29" x14ac:dyDescent="0.25">
      <c r="C50" t="s">
        <v>186</v>
      </c>
      <c r="D50" s="4"/>
      <c r="G50" s="3"/>
      <c r="H50" s="3"/>
      <c r="I50" s="5">
        <f>SUBTOTAL(109,Table2[Total por renglón])</f>
        <v>11924569</v>
      </c>
      <c r="K50" s="3"/>
      <c r="L50" s="3"/>
      <c r="M50" s="5">
        <f>SUBTOTAL(109,Table3[Total por renglón])</f>
        <v>4492200</v>
      </c>
      <c r="O50" s="3"/>
      <c r="P50" s="3"/>
      <c r="Q50" s="5">
        <f>SUBTOTAL(109,Table4[Total por renglón])</f>
        <v>24544640.300000001</v>
      </c>
      <c r="S50" s="3"/>
      <c r="T50" s="3"/>
      <c r="U50" s="5">
        <f>SUBTOTAL(109,Table5[Total por renglón])</f>
        <v>2567756</v>
      </c>
      <c r="W50" s="3"/>
      <c r="X50" s="3"/>
      <c r="Y50" s="5">
        <f>SUBTOTAL(109,Table6[Total por renglón])</f>
        <v>9171850</v>
      </c>
      <c r="AA50" s="3"/>
      <c r="AB50" s="3"/>
      <c r="AC50" s="5">
        <f>SUBTOTAL(109,Table7[Total por renglón])</f>
        <v>95880</v>
      </c>
    </row>
  </sheetData>
  <mergeCells count="7">
    <mergeCell ref="AA8:AD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2022-03-16T13:11:44Z</dcterms:created>
  <dcterms:modified xsi:type="dcterms:W3CDTF">2022-03-16T13:12:17Z</dcterms:modified>
</cp:coreProperties>
</file>