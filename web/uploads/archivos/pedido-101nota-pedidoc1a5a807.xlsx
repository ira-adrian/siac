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05" yWindow="135" windowWidth="20640" windowHeight="11520" tabRatio="500"/>
  </bookViews>
  <sheets>
    <sheet name="Necesidades Trimestrales" sheetId="1" r:id="rId1"/>
    <sheet name="Autor Gastar" sheetId="3" r:id="rId2"/>
  </sheets>
  <definedNames>
    <definedName name="_xlnm.Print_Area" localSheetId="1">'Autor Gastar'!$A$1:$Q$23</definedName>
  </definedNames>
  <calcPr calcId="144525"/>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I12" i="1" l="1"/>
  <c r="I11" i="1" l="1"/>
  <c r="D1" i="3" l="1"/>
  <c r="I10" i="1"/>
  <c r="Q19" i="3" l="1"/>
</calcChain>
</file>

<file path=xl/sharedStrings.xml><?xml version="1.0" encoding="utf-8"?>
<sst xmlns="http://schemas.openxmlformats.org/spreadsheetml/2006/main" count="83" uniqueCount="72">
  <si>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</si>
  <si>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</si>
  <si>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</si>
  <si>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</si>
  <si>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</si>
  <si>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</si>
  <si>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</si>
  <si>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</si>
  <si>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</si>
  <si>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</si>
  <si>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</si>
  <si>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</si>
  <si>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</si>
  <si>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</si>
  <si>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Especificidades Item N° 1:</t>
  </si>
  <si>
    <t>Descripción técnica</t>
  </si>
  <si>
    <t>Plazos y lugares de entrega</t>
  </si>
  <si>
    <t>Calidad Minima esperada</t>
  </si>
  <si>
    <t>Mantenimiento</t>
  </si>
  <si>
    <t>Garantia</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</si>
  <si>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</si>
  <si>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</si>
  <si>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</si>
  <si>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</si>
  <si>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</si>
  <si>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</si>
  <si>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</si>
  <si>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</si>
  <si>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</si>
  <si>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</si>
  <si>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</si>
  <si>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</si>
  <si>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</si>
  <si>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</si>
  <si>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</si>
  <si>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</si>
  <si>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</si>
  <si>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</si>
  <si>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</si>
  <si>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</si>
  <si>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</si>
  <si>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</si>
  <si>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</si>
  <si>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SAF:</t>
  </si>
  <si>
    <t xml:space="preserve">DEPENDENCIA SOLICITANTE: </t>
  </si>
  <si>
    <t>1.1</t>
  </si>
  <si>
    <t>090 - MINISTERIO DE SEGURIDAD</t>
  </si>
  <si>
    <t>SAF 19 - DIRECCION PROVINCIAL DE ADM. Y RR.HH. DEL MIISTERIO DE SEGURIDAD</t>
  </si>
  <si>
    <t xml:space="preserve">Primera Calidad </t>
  </si>
  <si>
    <t>Treinta (30) Dias</t>
  </si>
  <si>
    <t>MATERIALES DE CONSTRUCCION</t>
  </si>
  <si>
    <t>UNIDAD</t>
  </si>
  <si>
    <t>2.5.8-3995.74</t>
  </si>
  <si>
    <t>QUIMICOS</t>
  </si>
  <si>
    <t>POLIETILENO; ESPESOR: 200 Mn, PRESENTACION: ROLLO X 50 M</t>
  </si>
  <si>
    <t>Especificidades Item N° 2:</t>
  </si>
  <si>
    <t>2.7.1</t>
  </si>
  <si>
    <t>2.5.8</t>
  </si>
  <si>
    <t>Productos Ferrosos</t>
  </si>
  <si>
    <t>Asistencia a Personas en situaciones de Emergencia, mediante la entrega de chapas y nylon.</t>
  </si>
  <si>
    <t>COSTO TOTAL ESTIMADO: Tres Millones Cuatrocientos Cincuenta y Cuatro Mil Setecientos Cincuenta 00/100.-</t>
  </si>
  <si>
    <t>TOTAL DE PESOS: Tres Millones Cuatrocientos Cincuenta y Cuatro Mil Setecientos Cincuenta con 00/100.-</t>
  </si>
  <si>
    <t>Autorizo la realización de los  trámites correspondientes, a fin de proveer a  este Organismo los bienes y/o servicios que se detallan en la Nesecidad Trimestral para el 1° Trimestre,  afectando la erogación resultante a los créditos presupuestarios aprobados a favor de esta Unidad Ejecutora, conforme al siguiente detalle:</t>
  </si>
  <si>
    <t>MINISTERIO DE SEGURIDAD</t>
  </si>
  <si>
    <t>Productos de Material Plastico</t>
  </si>
  <si>
    <t>30 dias</t>
  </si>
  <si>
    <t>CHAPAS GALVANIZADAS; ANCHO: 1100 mm, CALIBRE (BWG): SIN VALOR, LARGO UTIL: 3,50 M, CALIBRE BWG: SIN VALOR, LARGO: 3,50 M</t>
  </si>
  <si>
    <t>2.7.1-331.34</t>
  </si>
  <si>
    <t>SAF 19 - DIRECCION PROVINCIAL DE ADM. Y RR.HH. DEL MINISTERIO DE SEGURIDAD</t>
  </si>
  <si>
    <t>CHAPAS GALVANIZADAS; DE CALIBRE BWG: 24, LARGO: 3,50 M, ANCHO: 1,10 M.</t>
  </si>
  <si>
    <t>Plazo de entrega Tres 03 días hábiles. Periodo de utilización 60 Dias. Las entregas se efecturan en la Direccion de Defensa Civil  sito Av. Manuel Acosta Villafañez  Esq. Hernando de Pedraza de la ciudad de San Fernando del Valle de Catamarca, en horario de 8 a 13 horas.</t>
  </si>
  <si>
    <t>DIRECCION PROVINCIAL DEFENSA CIVIL</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</si>
</sst>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 #,##0.00_);_(\$* \(#,##0.00\);_(\$* \-??_);_(@_)"/>
    <numFmt numFmtId="165" formatCode="_-* #,##0.00&quot; €&quot;_-;\-* #,##0.00&quot; €&quot;_-;_-* \-??&quot; €&quot;_-;_-@_-"/>
    <numFmt numFmtId="166" formatCode="[$$-2C0A]\ #,##0.00;[$$-2C0A]&quot; -&quot;#,##0.00"/>
    <numFmt numFmtId="167" formatCode="dd\-mm\-yy;@"/>
    <numFmt numFmtId="168" formatCode="&quot;$&quot;\ #,##0.00;[Red]&quot;$&quot;\ #,##0.00"/>
  </numFmts>
  <fonts count="25"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b/>
      <sz val="12"/>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u/>
      <sz val="11"/>
      <name val="Century Gothic"/>
      <family val="2"/>
    </font>
    <font>
      <sz val="11"/>
      <name val="Century Gothic"/>
      <family val="2"/>
    </font>
    <font>
      <sz val="11"/>
      <name val="Times New Roman"/>
      <family val="1"/>
    </font>
    <font>
      <sz val="10"/>
      <name val="Times"/>
      <family val="1"/>
    </font>
    <font>
      <b/>
      <sz val="10"/>
      <color rgb="FF000000"/>
      <name val="Arial"/>
      <family val="2"/>
    </font>
  </fonts>
  <fills count="4">
    <fill>
      <patternFill patternType="none"/>
    </fill>
    <fill>
      <patternFill patternType="gray125"/>
    </fill>
    <fill>
      <patternFill patternType="solid">
        <fgColor rgb="FFFFFF99"/>
        <bgColor rgb="FFFFFFCC"/>
      </patternFill>
    </fill>
    <fill>
      <patternFill patternType="solid">
        <fgColor theme="0"/>
        <bgColor indexed="64"/>
      </patternFill>
    </fill>
  </fills>
  <borders count="62">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style="medium">
        <color indexed="64"/>
      </left>
      <right style="thin">
        <color rgb="FF3D3D3D"/>
      </right>
      <top style="medium">
        <color indexed="64"/>
      </top>
      <bottom style="thin">
        <color rgb="FF3D3D3D"/>
      </bottom>
      <diagonal/>
    </border>
    <border>
      <left style="thin">
        <color rgb="FF3D3D3D"/>
      </left>
      <right style="thin">
        <color rgb="FF3D3D3D"/>
      </right>
      <top style="medium">
        <color indexed="64"/>
      </top>
      <bottom style="thin">
        <color rgb="FF3D3D3D"/>
      </bottom>
      <diagonal/>
    </border>
    <border>
      <left style="thin">
        <color rgb="FF3D3D3D"/>
      </left>
      <right/>
      <top style="medium">
        <color indexed="64"/>
      </top>
      <bottom style="thin">
        <color rgb="FF3D3D3D"/>
      </bottom>
      <diagonal/>
    </border>
    <border>
      <left style="thin">
        <color rgb="FF3D3D3D"/>
      </left>
      <right style="medium">
        <color indexed="64"/>
      </right>
      <top style="medium">
        <color indexed="64"/>
      </top>
      <bottom style="thin">
        <color rgb="FF3D3D3D"/>
      </bottom>
      <diagonal/>
    </border>
    <border>
      <left/>
      <right style="medium">
        <color rgb="FF3D3D3D"/>
      </right>
      <top style="medium">
        <color rgb="FF3D3D3D"/>
      </top>
      <bottom style="thin">
        <color rgb="FF3D3D3D"/>
      </bottom>
      <diagonal/>
    </border>
    <border>
      <left/>
      <right style="medium">
        <color rgb="FF3D3D3D"/>
      </right>
      <top style="thin">
        <color rgb="FF3D3D3D"/>
      </top>
      <bottom style="thin">
        <color rgb="FF3D3D3D"/>
      </bottom>
      <diagonal/>
    </border>
    <border>
      <left style="thin">
        <color auto="1"/>
      </left>
      <right style="thin">
        <color auto="1"/>
      </right>
      <top/>
      <bottom style="thin">
        <color indexed="64"/>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style="thin">
        <color auto="1"/>
      </right>
      <top/>
      <bottom style="thin">
        <color auto="1"/>
      </bottom>
      <diagonal/>
    </border>
    <border>
      <left style="medium">
        <color indexed="64"/>
      </left>
      <right style="thick">
        <color auto="1"/>
      </right>
      <top style="medium">
        <color indexed="64"/>
      </top>
      <bottom style="medium">
        <color indexed="64"/>
      </bottom>
      <diagonal/>
    </border>
    <border>
      <left style="thick">
        <color auto="1"/>
      </left>
      <right style="medium">
        <color indexed="64"/>
      </right>
      <top style="medium">
        <color indexed="64"/>
      </top>
      <bottom style="medium">
        <color indexed="64"/>
      </bottom>
      <diagonal/>
    </border>
    <border>
      <left/>
      <right style="thick">
        <color auto="1"/>
      </right>
      <top style="medium">
        <color indexed="64"/>
      </top>
      <bottom style="medium">
        <color indexed="64"/>
      </bottom>
      <diagonal/>
    </border>
    <border>
      <left style="thick">
        <color auto="1"/>
      </left>
      <right style="thick">
        <color auto="1"/>
      </right>
      <top style="medium">
        <color indexed="64"/>
      </top>
      <bottom style="medium">
        <color indexed="64"/>
      </bottom>
      <diagonal/>
    </border>
    <border>
      <left style="thin">
        <color auto="1"/>
      </left>
      <right/>
      <top/>
      <bottom style="thin">
        <color indexed="64"/>
      </bottom>
      <diagonal/>
    </border>
    <border>
      <left style="thin">
        <color auto="1"/>
      </left>
      <right/>
      <top style="thin">
        <color auto="1"/>
      </top>
      <bottom style="medium">
        <color indexed="64"/>
      </bottom>
      <diagonal/>
    </border>
    <border>
      <left style="medium">
        <color indexed="64"/>
      </left>
      <right style="medium">
        <color indexed="64"/>
      </right>
      <top style="thin">
        <color auto="1"/>
      </top>
      <bottom style="medium">
        <color indexed="64"/>
      </bottom>
      <diagonal/>
    </border>
    <border>
      <left/>
      <right/>
      <top style="medium">
        <color indexed="64"/>
      </top>
      <bottom style="medium">
        <color auto="1"/>
      </bottom>
      <diagonal/>
    </border>
    <border>
      <left style="medium">
        <color indexed="64"/>
      </left>
      <right/>
      <top style="thin">
        <color rgb="FF3D3D3D"/>
      </top>
      <bottom style="thin">
        <color rgb="FF3D3D3D"/>
      </bottom>
      <diagonal/>
    </border>
    <border>
      <left/>
      <right style="medium">
        <color indexed="64"/>
      </right>
      <top style="thin">
        <color rgb="FF3D3D3D"/>
      </top>
      <bottom style="thin">
        <color rgb="FF3D3D3D"/>
      </bottom>
      <diagonal/>
    </border>
    <border>
      <left style="thin">
        <color indexed="64"/>
      </left>
      <right style="thin">
        <color indexed="64"/>
      </right>
      <top style="thin">
        <color indexed="64"/>
      </top>
      <bottom style="thin">
        <color indexed="64"/>
      </bottom>
      <diagonal/>
    </border>
    <border>
      <left style="medium">
        <color indexed="64"/>
      </left>
      <right style="medium">
        <color rgb="FF3D3D3D"/>
      </right>
      <top style="medium">
        <color indexed="64"/>
      </top>
      <bottom style="medium">
        <color rgb="FF3D3D3D"/>
      </bottom>
      <diagonal/>
    </border>
    <border>
      <left style="medium">
        <color rgb="FF3D3D3D"/>
      </left>
      <right style="medium">
        <color rgb="FF3D3D3D"/>
      </right>
      <top style="medium">
        <color indexed="64"/>
      </top>
      <bottom style="medium">
        <color rgb="FF3D3D3D"/>
      </bottom>
      <diagonal/>
    </border>
    <border>
      <left style="medium">
        <color rgb="FF3D3D3D"/>
      </left>
      <right/>
      <top style="medium">
        <color indexed="64"/>
      </top>
      <bottom style="medium">
        <color rgb="FF3D3D3D"/>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rgb="FF3D3D3D"/>
      </top>
      <bottom style="medium">
        <color rgb="FF3D3D3D"/>
      </bottom>
      <diagonal/>
    </border>
    <border>
      <left style="thin">
        <color indexed="64"/>
      </left>
      <right style="medium">
        <color indexed="64"/>
      </right>
      <top style="thin">
        <color indexed="64"/>
      </top>
      <bottom style="thin">
        <color indexed="64"/>
      </bottom>
      <diagonal/>
    </border>
    <border>
      <left style="medium">
        <color indexed="64"/>
      </left>
      <right style="medium">
        <color rgb="FF3D3D3D"/>
      </right>
      <top style="medium">
        <color rgb="FF3D3D3D"/>
      </top>
      <bottom style="medium">
        <color indexed="64"/>
      </bottom>
      <diagonal/>
    </border>
    <border>
      <left style="medium">
        <color rgb="FF3D3D3D"/>
      </left>
      <right style="medium">
        <color rgb="FF3D3D3D"/>
      </right>
      <top style="medium">
        <color rgb="FF3D3D3D"/>
      </top>
      <bottom style="medium">
        <color indexed="64"/>
      </bottom>
      <diagonal/>
    </border>
    <border>
      <left style="medium">
        <color rgb="FF3D3D3D"/>
      </left>
      <right style="medium">
        <color rgb="FF3D3D3D"/>
      </right>
      <top/>
      <bottom style="medium">
        <color indexed="64"/>
      </bottom>
      <diagonal/>
    </border>
    <border>
      <left style="medium">
        <color rgb="FF3D3D3D"/>
      </left>
      <right style="medium">
        <color indexed="64"/>
      </right>
      <top/>
      <bottom style="medium">
        <color indexed="64"/>
      </bottom>
      <diagonal/>
    </border>
  </borders>
  <cellStyleXfs count="5">
    <xf numFmtId="0" fontId="0" fillId="0" borderId="0"/>
    <xf numFmtId="165" fontId="10" fillId="0" borderId="0" applyBorder="0" applyProtection="0"/>
    <xf numFmtId="0" fontId="1" fillId="0" borderId="1" applyProtection="0"/>
    <xf numFmtId="164" fontId="2" fillId="0" borderId="0" applyBorder="0" applyProtection="0"/>
    <xf numFmtId="0" fontId="3" fillId="2" borderId="0" applyBorder="0" applyProtection="0"/>
  </cellStyleXfs>
  <cellXfs count="128">
    <xf numFmtId="0" fontId="0" fillId="0" borderId="0" xfId="0"/>
    <xf numFmtId="0" fontId="0" fillId="0" borderId="0" xfId="0" applyBorder="1"/>
    <xf numFmtId="0" fontId="0" fillId="0" borderId="0" xfId="0" applyAlignment="1">
      <alignment horizontal="left"/>
    </xf>
    <xf numFmtId="3" fontId="5" fillId="0" borderId="0" xfId="0" applyNumberFormat="1" applyFont="1" applyBorder="1" applyAlignment="1"/>
    <xf numFmtId="167" fontId="0" fillId="0" borderId="0" xfId="0" applyNumberFormat="1" applyAlignment="1">
      <alignment horizontal="left"/>
    </xf>
    <xf numFmtId="0" fontId="2" fillId="0" borderId="0" xfId="0" applyFont="1"/>
    <xf numFmtId="0" fontId="0" fillId="0" borderId="10" xfId="0" applyBorder="1"/>
    <xf numFmtId="0" fontId="0" fillId="0" borderId="21" xfId="0" applyBorder="1"/>
    <xf numFmtId="0" fontId="0" fillId="0" borderId="12" xfId="0" applyBorder="1"/>
    <xf numFmtId="0" fontId="0" fillId="0" borderId="12" xfId="0" applyBorder="1" applyAlignment="1">
      <alignment horizontal="left"/>
    </xf>
    <xf numFmtId="0" fontId="0" fillId="0" borderId="22" xfId="0" applyBorder="1"/>
    <xf numFmtId="0" fontId="9" fillId="0" borderId="24" xfId="0" applyFont="1" applyBorder="1" applyAlignment="1">
      <alignment horizontal="center" vertical="center"/>
    </xf>
    <xf numFmtId="0" fontId="9" fillId="0" borderId="25" xfId="0" applyFont="1" applyBorder="1" applyAlignment="1">
      <alignment horizontal="center" vertical="center"/>
    </xf>
    <xf numFmtId="0" fontId="9" fillId="0" borderId="25" xfId="0" applyFont="1" applyBorder="1" applyAlignment="1">
      <alignment horizontal="left" vertical="center"/>
    </xf>
    <xf numFmtId="0" fontId="9" fillId="0" borderId="26" xfId="0" applyFont="1" applyBorder="1" applyAlignment="1">
      <alignment horizontal="center" vertical="center"/>
    </xf>
    <xf numFmtId="0" fontId="9" fillId="0" borderId="20" xfId="0" applyFont="1" applyBorder="1" applyAlignment="1">
      <alignment horizontal="center" vertical="center"/>
    </xf>
    <xf numFmtId="166" fontId="9" fillId="0" borderId="27" xfId="0" applyNumberFormat="1" applyFont="1" applyBorder="1" applyAlignment="1">
      <alignment horizontal="center" vertical="center"/>
    </xf>
    <xf numFmtId="0" fontId="11" fillId="0" borderId="0" xfId="0" applyFont="1"/>
    <xf numFmtId="0" fontId="14" fillId="0" borderId="0" xfId="0" applyFont="1" applyAlignment="1">
      <alignment horizontal="left" wrapText="1"/>
    </xf>
    <xf numFmtId="0" fontId="14" fillId="0" borderId="0" xfId="0" applyFont="1" applyAlignment="1">
      <alignment horizontal="center" wrapText="1"/>
    </xf>
    <xf numFmtId="0" fontId="18" fillId="0" borderId="2" xfId="0" applyFont="1" applyBorder="1"/>
    <xf numFmtId="0" fontId="11" fillId="0" borderId="3" xfId="0" applyFont="1" applyBorder="1"/>
    <xf numFmtId="0" fontId="11" fillId="0" borderId="4" xfId="0" applyFont="1" applyBorder="1"/>
    <xf numFmtId="0" fontId="11" fillId="0" borderId="5" xfId="0" applyFont="1" applyBorder="1"/>
    <xf numFmtId="0" fontId="11" fillId="0" borderId="0" xfId="0" applyFont="1" applyBorder="1"/>
    <xf numFmtId="0" fontId="11" fillId="0" borderId="6" xfId="0" applyFont="1" applyBorder="1"/>
    <xf numFmtId="0" fontId="18" fillId="0" borderId="5" xfId="0" applyFont="1" applyBorder="1" applyAlignment="1">
      <alignment horizontal="left" indent="3"/>
    </xf>
    <xf numFmtId="0" fontId="11" fillId="0" borderId="5" xfId="0" applyFont="1" applyBorder="1" applyAlignment="1">
      <alignment horizontal="left" indent="3"/>
    </xf>
    <xf numFmtId="0" fontId="11" fillId="0" borderId="7" xfId="0" applyFont="1" applyBorder="1" applyAlignment="1">
      <alignment horizontal="left" indent="3"/>
    </xf>
    <xf numFmtId="0" fontId="15" fillId="0" borderId="0" xfId="0" applyFont="1" applyAlignment="1">
      <alignment horizontal="left" wrapText="1"/>
    </xf>
    <xf numFmtId="0" fontId="19" fillId="0" borderId="0" xfId="0" applyFont="1" applyFill="1" applyAlignment="1">
      <alignment horizontal="left" wrapText="1" indent="1"/>
    </xf>
    <xf numFmtId="0" fontId="11" fillId="0" borderId="0" xfId="0" applyFont="1" applyFill="1" applyBorder="1"/>
    <xf numFmtId="0" fontId="11" fillId="0" borderId="6" xfId="0" applyFont="1" applyFill="1" applyBorder="1"/>
    <xf numFmtId="0" fontId="11" fillId="0" borderId="0" xfId="0" applyFont="1" applyFill="1" applyBorder="1" applyAlignment="1">
      <alignment horizontal="center" wrapText="1"/>
    </xf>
    <xf numFmtId="0" fontId="11" fillId="0" borderId="6" xfId="0" applyFont="1" applyFill="1" applyBorder="1" applyAlignment="1">
      <alignment horizontal="center" wrapText="1"/>
    </xf>
    <xf numFmtId="0" fontId="11" fillId="0" borderId="8" xfId="0" applyFont="1" applyFill="1" applyBorder="1"/>
    <xf numFmtId="0" fontId="11" fillId="0" borderId="9" xfId="0" applyFont="1" applyFill="1" applyBorder="1"/>
    <xf numFmtId="0" fontId="11" fillId="0" borderId="0" xfId="0" applyFont="1" applyFill="1"/>
    <xf numFmtId="0" fontId="11" fillId="0" borderId="0" xfId="0" applyFont="1" applyAlignment="1"/>
    <xf numFmtId="0" fontId="11" fillId="0" borderId="0" xfId="0" applyFont="1" applyAlignment="1">
      <alignment horizontal="left" vertical="center"/>
    </xf>
    <xf numFmtId="168" fontId="11" fillId="0" borderId="0" xfId="0" applyNumberFormat="1" applyFont="1" applyAlignment="1">
      <alignment horizontal="left" vertical="center"/>
    </xf>
    <xf numFmtId="0" fontId="0" fillId="0" borderId="30" xfId="0" applyFont="1" applyFill="1" applyBorder="1" applyAlignment="1">
      <alignment horizontal="center" vertical="center"/>
    </xf>
    <xf numFmtId="0" fontId="0" fillId="0" borderId="31" xfId="0" applyFont="1" applyFill="1" applyBorder="1" applyAlignment="1">
      <alignment horizontal="center" vertical="center"/>
    </xf>
    <xf numFmtId="0" fontId="10" fillId="0" borderId="31" xfId="0" applyFont="1" applyFill="1" applyBorder="1" applyAlignment="1">
      <alignment horizontal="center" vertical="center"/>
    </xf>
    <xf numFmtId="0" fontId="0" fillId="0" borderId="32" xfId="0" applyFont="1" applyFill="1" applyBorder="1" applyAlignment="1">
      <alignment horizontal="center" vertical="center"/>
    </xf>
    <xf numFmtId="0" fontId="10" fillId="0" borderId="33" xfId="0" applyFont="1" applyFill="1" applyBorder="1" applyAlignment="1">
      <alignment horizontal="center" vertical="center"/>
    </xf>
    <xf numFmtId="0" fontId="20" fillId="0" borderId="0" xfId="0" applyFont="1" applyAlignment="1">
      <alignment horizontal="justify" vertical="center"/>
    </xf>
    <xf numFmtId="0" fontId="21" fillId="0" borderId="0" xfId="0" applyFont="1" applyAlignment="1">
      <alignment horizontal="justify" vertical="center"/>
    </xf>
    <xf numFmtId="0" fontId="11" fillId="0" borderId="0" xfId="0" applyFont="1" applyFill="1" applyBorder="1" applyAlignment="1">
      <alignment horizontal="center" vertical="center" wrapText="1"/>
    </xf>
    <xf numFmtId="0" fontId="11" fillId="0" borderId="6" xfId="0" applyFont="1" applyFill="1" applyBorder="1" applyAlignment="1">
      <alignment horizontal="center" vertical="center" wrapText="1"/>
    </xf>
    <xf numFmtId="0" fontId="17" fillId="0" borderId="36" xfId="0" applyFont="1" applyBorder="1" applyAlignment="1">
      <alignment horizontal="center" vertical="center" wrapText="1"/>
    </xf>
    <xf numFmtId="0" fontId="16" fillId="0" borderId="37" xfId="0" applyFont="1" applyBorder="1" applyAlignment="1">
      <alignment horizontal="center" vertical="center"/>
    </xf>
    <xf numFmtId="0" fontId="17" fillId="0" borderId="38" xfId="0" applyFont="1" applyBorder="1" applyAlignment="1">
      <alignment horizontal="center" vertical="center" wrapText="1"/>
    </xf>
    <xf numFmtId="0" fontId="0" fillId="0" borderId="38" xfId="0" applyBorder="1" applyAlignment="1">
      <alignment horizontal="left" vertical="center"/>
    </xf>
    <xf numFmtId="0" fontId="14" fillId="0" borderId="38" xfId="0" applyFont="1" applyFill="1" applyBorder="1" applyAlignment="1">
      <alignment horizontal="center" vertical="center" wrapText="1"/>
    </xf>
    <xf numFmtId="0" fontId="17" fillId="0" borderId="38" xfId="0" applyFont="1" applyFill="1" applyBorder="1" applyAlignment="1">
      <alignment horizontal="center" vertical="center" wrapText="1"/>
    </xf>
    <xf numFmtId="0" fontId="16" fillId="0" borderId="39" xfId="0" applyFont="1" applyBorder="1" applyAlignment="1">
      <alignment horizontal="center" vertical="center"/>
    </xf>
    <xf numFmtId="0" fontId="14" fillId="0" borderId="36" xfId="0" applyFont="1" applyFill="1" applyBorder="1" applyAlignment="1">
      <alignment horizontal="center" vertical="center" wrapText="1"/>
    </xf>
    <xf numFmtId="0" fontId="17" fillId="0" borderId="36" xfId="0" applyFont="1" applyFill="1" applyBorder="1" applyAlignment="1">
      <alignment horizontal="center" vertical="center" wrapText="1"/>
    </xf>
    <xf numFmtId="0" fontId="15" fillId="0" borderId="16" xfId="0" applyFont="1" applyBorder="1" applyAlignment="1">
      <alignment horizontal="center" vertical="center" wrapText="1"/>
    </xf>
    <xf numFmtId="0" fontId="15" fillId="0" borderId="40" xfId="0" applyFont="1" applyBorder="1" applyAlignment="1">
      <alignment horizontal="center" vertical="center" wrapText="1"/>
    </xf>
    <xf numFmtId="0" fontId="15" fillId="0" borderId="41" xfId="0" applyFont="1" applyBorder="1" applyAlignment="1">
      <alignment horizontal="center" vertical="center" wrapText="1"/>
    </xf>
    <xf numFmtId="0" fontId="15" fillId="0" borderId="42" xfId="0" applyFont="1" applyBorder="1" applyAlignment="1">
      <alignment horizontal="center" vertical="center" wrapText="1"/>
    </xf>
    <xf numFmtId="0" fontId="15" fillId="0" borderId="43" xfId="0" applyFont="1" applyBorder="1" applyAlignment="1">
      <alignment horizontal="center" vertical="center" wrapText="1"/>
    </xf>
    <xf numFmtId="0" fontId="0" fillId="0" borderId="38" xfId="0" applyBorder="1" applyAlignment="1">
      <alignment vertical="center"/>
    </xf>
    <xf numFmtId="0" fontId="0" fillId="0" borderId="36" xfId="0" applyBorder="1" applyAlignment="1">
      <alignment vertical="center"/>
    </xf>
    <xf numFmtId="0" fontId="23" fillId="0" borderId="0" xfId="0" applyFont="1" applyAlignment="1">
      <alignment vertical="center"/>
    </xf>
    <xf numFmtId="166" fontId="0" fillId="0" borderId="0" xfId="0" applyNumberFormat="1"/>
    <xf numFmtId="166" fontId="11" fillId="0" borderId="0" xfId="0" applyNumberFormat="1" applyFont="1"/>
    <xf numFmtId="0" fontId="0" fillId="0" borderId="0" xfId="0" applyAlignment="1">
      <alignment vertical="center" wrapText="1"/>
    </xf>
    <xf numFmtId="0" fontId="0" fillId="0" borderId="0" xfId="0" applyAlignment="1">
      <alignment vertical="center"/>
    </xf>
    <xf numFmtId="166" fontId="16" fillId="0" borderId="44" xfId="1" applyNumberFormat="1" applyFont="1" applyFill="1" applyBorder="1" applyAlignment="1" applyProtection="1">
      <alignment horizontal="center" vertical="center" wrapText="1"/>
    </xf>
    <xf numFmtId="166" fontId="16" fillId="0" borderId="45" xfId="1" applyNumberFormat="1" applyFont="1" applyFill="1" applyBorder="1" applyAlignment="1" applyProtection="1">
      <alignment horizontal="center" vertical="center" wrapText="1"/>
    </xf>
    <xf numFmtId="166" fontId="16" fillId="0" borderId="15" xfId="1" applyNumberFormat="1" applyFont="1" applyFill="1" applyBorder="1" applyAlignment="1" applyProtection="1">
      <alignment horizontal="center" vertical="center" wrapText="1"/>
    </xf>
    <xf numFmtId="166" fontId="16" fillId="0" borderId="46" xfId="1" applyNumberFormat="1" applyFont="1" applyFill="1" applyBorder="1" applyAlignment="1" applyProtection="1">
      <alignment horizontal="center" vertical="center" wrapText="1"/>
    </xf>
    <xf numFmtId="166" fontId="11" fillId="0" borderId="0" xfId="0" applyNumberFormat="1" applyFont="1" applyAlignment="1">
      <alignment horizontal="left" vertical="center"/>
    </xf>
    <xf numFmtId="166" fontId="0" fillId="0" borderId="34" xfId="3" applyNumberFormat="1" applyFont="1" applyFill="1" applyBorder="1" applyAlignment="1" applyProtection="1">
      <alignment horizontal="right" vertical="center"/>
    </xf>
    <xf numFmtId="166" fontId="0" fillId="0" borderId="35" xfId="3" applyNumberFormat="1" applyFont="1" applyBorder="1" applyAlignment="1" applyProtection="1">
      <alignment horizontal="right" vertical="center"/>
    </xf>
    <xf numFmtId="166" fontId="4" fillId="0" borderId="13" xfId="0" applyNumberFormat="1" applyFont="1" applyFill="1" applyBorder="1" applyAlignment="1">
      <alignment horizontal="center" vertical="center" wrapText="1"/>
    </xf>
    <xf numFmtId="0" fontId="12" fillId="0" borderId="0" xfId="0" applyFont="1" applyBorder="1" applyAlignment="1">
      <alignment horizontal="center"/>
    </xf>
    <xf numFmtId="0" fontId="13" fillId="0" borderId="0" xfId="0" applyFont="1" applyBorder="1" applyAlignment="1">
      <alignment horizontal="left" vertical="center" wrapText="1"/>
    </xf>
    <xf numFmtId="0" fontId="19" fillId="0" borderId="0" xfId="0" applyFont="1" applyFill="1" applyBorder="1" applyAlignment="1">
      <alignment horizontal="left" wrapText="1" indent="1"/>
    </xf>
    <xf numFmtId="0" fontId="19" fillId="0" borderId="0" xfId="0" applyFont="1" applyFill="1" applyBorder="1" applyAlignment="1">
      <alignment horizontal="left" wrapText="1"/>
    </xf>
    <xf numFmtId="0" fontId="11" fillId="0" borderId="6" xfId="0" applyFont="1" applyFill="1" applyBorder="1" applyAlignment="1">
      <alignment horizontal="center" wrapText="1"/>
    </xf>
    <xf numFmtId="0" fontId="11" fillId="0" borderId="6" xfId="0" applyFont="1" applyFill="1" applyBorder="1" applyAlignment="1">
      <alignment horizontal="center"/>
    </xf>
    <xf numFmtId="0" fontId="11" fillId="0" borderId="0" xfId="0" applyFont="1" applyFill="1" applyBorder="1" applyAlignment="1">
      <alignment horizontal="left" vertical="center" wrapText="1"/>
    </xf>
    <xf numFmtId="0" fontId="11" fillId="0" borderId="6" xfId="0" applyFont="1" applyFill="1" applyBorder="1" applyAlignment="1">
      <alignment horizontal="left" vertical="center" wrapText="1"/>
    </xf>
    <xf numFmtId="0" fontId="22" fillId="0" borderId="0" xfId="0" applyFont="1" applyFill="1" applyBorder="1" applyAlignment="1">
      <alignment vertical="center" wrapText="1"/>
    </xf>
    <xf numFmtId="0" fontId="22" fillId="0" borderId="6" xfId="0" applyFont="1" applyFill="1" applyBorder="1" applyAlignment="1">
      <alignment vertical="center" wrapText="1"/>
    </xf>
    <xf numFmtId="0" fontId="4" fillId="0" borderId="16" xfId="0" applyFont="1" applyFill="1" applyBorder="1" applyAlignment="1">
      <alignment horizontal="left" vertical="center" wrapText="1"/>
    </xf>
    <xf numFmtId="0" fontId="4" fillId="0" borderId="47" xfId="0" applyFont="1" applyFill="1" applyBorder="1" applyAlignment="1">
      <alignment horizontal="left" vertical="center" wrapText="1"/>
    </xf>
    <xf numFmtId="0" fontId="0" fillId="0" borderId="16" xfId="0" applyFont="1" applyBorder="1" applyAlignment="1">
      <alignment horizontal="center"/>
    </xf>
    <xf numFmtId="3" fontId="5" fillId="0" borderId="17" xfId="0" applyNumberFormat="1" applyFont="1" applyBorder="1" applyAlignment="1">
      <alignment horizontal="center"/>
    </xf>
    <xf numFmtId="0" fontId="6" fillId="0" borderId="11" xfId="0" applyFont="1" applyBorder="1" applyAlignment="1">
      <alignment horizontal="center" vertical="center" wrapText="1"/>
    </xf>
    <xf numFmtId="0" fontId="10" fillId="0" borderId="51" xfId="0" applyFont="1" applyBorder="1"/>
    <xf numFmtId="0" fontId="10" fillId="0" borderId="52" xfId="0" applyFont="1" applyBorder="1"/>
    <xf numFmtId="0" fontId="10" fillId="0" borderId="53" xfId="0" applyFont="1" applyBorder="1"/>
    <xf numFmtId="0" fontId="24" fillId="0" borderId="54" xfId="0" applyFont="1" applyFill="1" applyBorder="1" applyAlignment="1">
      <alignment horizontal="left" wrapText="1"/>
    </xf>
    <xf numFmtId="0" fontId="24" fillId="0" borderId="55" xfId="0" applyFont="1" applyFill="1" applyBorder="1" applyAlignment="1">
      <alignment horizontal="left" wrapText="1"/>
    </xf>
    <xf numFmtId="0" fontId="10" fillId="0" borderId="56" xfId="0" applyFont="1" applyBorder="1" applyAlignment="1">
      <alignment horizontal="left" vertical="center" wrapText="1"/>
    </xf>
    <xf numFmtId="0" fontId="10" fillId="0" borderId="29" xfId="0" applyFont="1" applyBorder="1" applyAlignment="1">
      <alignment horizontal="left" vertical="center" wrapText="1"/>
    </xf>
    <xf numFmtId="0" fontId="10" fillId="0" borderId="50" xfId="0" applyFont="1" applyBorder="1" applyAlignment="1">
      <alignment horizontal="left"/>
    </xf>
    <xf numFmtId="0" fontId="10" fillId="0" borderId="57" xfId="0" applyFont="1" applyBorder="1" applyAlignment="1">
      <alignment horizontal="left"/>
    </xf>
    <xf numFmtId="0" fontId="8" fillId="0" borderId="58" xfId="0" applyFont="1" applyBorder="1" applyAlignment="1">
      <alignment horizontal="left"/>
    </xf>
    <xf numFmtId="0" fontId="8" fillId="0" borderId="59" xfId="0" applyFont="1" applyBorder="1" applyAlignment="1">
      <alignment horizontal="left"/>
    </xf>
    <xf numFmtId="0" fontId="8" fillId="0" borderId="60" xfId="0" applyFont="1" applyBorder="1" applyAlignment="1">
      <alignment horizontal="left"/>
    </xf>
    <xf numFmtId="0" fontId="8" fillId="0" borderId="61" xfId="0" applyFont="1" applyBorder="1" applyAlignment="1">
      <alignment horizontal="left"/>
    </xf>
    <xf numFmtId="0" fontId="10" fillId="3" borderId="50" xfId="0" applyFont="1" applyFill="1" applyBorder="1" applyAlignment="1">
      <alignment horizontal="left" indent="1"/>
    </xf>
    <xf numFmtId="0" fontId="10" fillId="3" borderId="57" xfId="0" applyFont="1" applyFill="1" applyBorder="1" applyAlignment="1">
      <alignment horizontal="left" indent="1"/>
    </xf>
    <xf numFmtId="0" fontId="7" fillId="0" borderId="19" xfId="0" applyFont="1" applyBorder="1"/>
    <xf numFmtId="0" fontId="0" fillId="0" borderId="0" xfId="0" applyAlignment="1">
      <alignment horizontal="left" vertical="center" wrapText="1"/>
    </xf>
    <xf numFmtId="0" fontId="0" fillId="0" borderId="10" xfId="0" applyBorder="1" applyAlignment="1">
      <alignment horizontal="left" vertical="center" wrapText="1"/>
    </xf>
    <xf numFmtId="0" fontId="9" fillId="0" borderId="18" xfId="0" applyFont="1" applyBorder="1" applyAlignment="1">
      <alignment horizontal="center" vertical="center"/>
    </xf>
    <xf numFmtId="0" fontId="9" fillId="0" borderId="11" xfId="0" applyFont="1" applyBorder="1" applyAlignment="1">
      <alignment horizontal="center" vertical="center"/>
    </xf>
    <xf numFmtId="0" fontId="9" fillId="0" borderId="18" xfId="0" applyFont="1" applyBorder="1" applyAlignment="1">
      <alignment horizontal="center" vertical="center" wrapText="1"/>
    </xf>
    <xf numFmtId="0" fontId="9" fillId="0" borderId="23" xfId="0" applyFont="1" applyBorder="1" applyAlignment="1">
      <alignment horizontal="center" vertical="center"/>
    </xf>
    <xf numFmtId="0" fontId="15" fillId="0" borderId="0" xfId="0" applyFont="1" applyFill="1" applyBorder="1" applyAlignment="1">
      <alignment horizontal="center" wrapText="1"/>
    </xf>
    <xf numFmtId="0" fontId="10" fillId="0" borderId="30" xfId="0" applyFont="1" applyFill="1" applyBorder="1" applyAlignment="1">
      <alignment horizontal="center" vertical="center" wrapText="1"/>
    </xf>
    <xf numFmtId="0" fontId="10" fillId="0" borderId="33" xfId="0" applyFont="1" applyFill="1" applyBorder="1" applyAlignment="1">
      <alignment horizontal="center" vertical="center" wrapText="1"/>
    </xf>
    <xf numFmtId="0" fontId="5" fillId="0" borderId="16" xfId="0" applyFont="1" applyBorder="1" applyAlignment="1">
      <alignment vertical="center" wrapText="1"/>
    </xf>
    <xf numFmtId="0" fontId="5" fillId="0" borderId="28" xfId="0" applyFont="1" applyBorder="1" applyAlignment="1">
      <alignment vertical="center" wrapText="1"/>
    </xf>
    <xf numFmtId="0" fontId="5" fillId="0" borderId="14" xfId="0" applyFont="1" applyBorder="1" applyAlignment="1">
      <alignment vertical="center" wrapText="1"/>
    </xf>
    <xf numFmtId="0" fontId="7" fillId="0" borderId="23" xfId="0" applyFont="1" applyBorder="1" applyAlignment="1">
      <alignment vertical="center" wrapText="1"/>
    </xf>
    <xf numFmtId="0" fontId="7" fillId="0" borderId="27" xfId="0" applyFont="1" applyFill="1" applyBorder="1" applyAlignment="1">
      <alignment horizontal="left" vertical="center" wrapText="1" indent="1"/>
    </xf>
    <xf numFmtId="0" fontId="5" fillId="0" borderId="27" xfId="0" applyFont="1" applyBorder="1" applyAlignment="1">
      <alignment horizontal="left" vertical="center" wrapText="1"/>
    </xf>
    <xf numFmtId="0" fontId="0" fillId="0" borderId="18" xfId="0" applyBorder="1"/>
    <xf numFmtId="0" fontId="0" fillId="0" borderId="48" xfId="0" applyFont="1" applyBorder="1" applyAlignment="1">
      <alignment horizontal="center" vertical="center"/>
    </xf>
    <xf numFmtId="0" fontId="0" fillId="0" borderId="49" xfId="0" applyFont="1" applyBorder="1" applyAlignment="1">
      <alignment horizontal="center" vertical="center"/>
    </xf>
  </cellXfs>
  <cellStyles count="5">
    <cellStyle name="Encabezado 1" xfId="2"/>
    <cellStyle name="Moneda" xfId="1" builtinId="4"/>
    <cellStyle name="Moneda_AUTORIZACION Y NOTA DE PEDIDO" xfId="3"/>
    <cellStyle name="Neutral 1" xfId="4"/>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36"/>
  <sheetViews>
    <sheetView tabSelected="1" topLeftCell="A4" zoomScale="80" zoomScaleNormal="80" workbookViewId="0">
      <selection activeCell="C20" sqref="C20"/>
    </sheetView>
  </sheetViews>
  <sheetFormatPr baseColWidth="10" defaultColWidth="11" defaultRowHeight="12.75" x14ac:dyDescent="0.2"/>
  <cols>
    <col min="1" max="1" width="4.5703125" style="17" customWidth="1"/>
    <col min="2" max="2" width="12.85546875" style="17" customWidth="1"/>
    <col min="3" max="3" width="32.42578125" style="17" customWidth="1"/>
    <col min="4" max="4" width="8.42578125" style="17" customWidth="1"/>
    <col min="5" max="5" width="79" style="17" customWidth="1"/>
    <col min="6" max="6" width="11.7109375" style="17" customWidth="1"/>
    <col min="7" max="7" width="12.7109375" style="17" customWidth="1"/>
    <col min="8" max="8" width="13.85546875" style="17" customWidth="1"/>
    <col min="9" max="9" width="18.5703125" style="17" customWidth="1"/>
    <col min="10" max="10" width="11" style="40"/>
    <col min="11" max="11" width="13.5703125" style="39" customWidth="1"/>
    <col min="12" max="14" width="11" style="39"/>
    <col min="15" max="16384" width="11" style="17"/>
  </cols>
  <sheetData>
    <row r="2" spans="1:11" ht="27" x14ac:dyDescent="0.35">
      <c r="B2" s="79" t="s">
        <v>0</v>
      </c>
      <c r="C2" s="79"/>
      <c r="D2" s="79"/>
      <c r="E2" s="79"/>
      <c r="F2" s="79"/>
      <c r="G2" s="79"/>
      <c r="H2" s="79"/>
    </row>
    <row r="4" spans="1:11" ht="18" customHeight="1" x14ac:dyDescent="0.25">
      <c r="A4" s="80" t="s">
        <v>1</v>
      </c>
      <c r="B4" s="80"/>
      <c r="C4" s="81" t="s">
        <v>46</v>
      </c>
      <c r="D4" s="81"/>
      <c r="E4" s="81"/>
      <c r="F4" s="18"/>
      <c r="G4" s="19"/>
      <c r="H4" s="18"/>
    </row>
    <row r="5" spans="1:11" ht="18" customHeight="1" x14ac:dyDescent="0.25">
      <c r="A5" s="80" t="s">
        <v>2</v>
      </c>
      <c r="B5" s="80"/>
      <c r="C5" s="82" t="s">
        <v>68</v>
      </c>
      <c r="D5" s="82"/>
      <c r="E5" s="82"/>
      <c r="F5" s="18"/>
      <c r="G5" s="19"/>
      <c r="H5" s="18"/>
    </row>
    <row r="6" spans="1:11" ht="16.5" customHeight="1" x14ac:dyDescent="0.25">
      <c r="A6" s="80" t="s">
        <v>3</v>
      </c>
      <c r="B6" s="80"/>
      <c r="C6" s="30">
        <v>2022</v>
      </c>
      <c r="D6" s="29"/>
      <c r="E6" s="29"/>
      <c r="F6" s="18"/>
      <c r="G6" s="19"/>
      <c r="H6" s="18"/>
    </row>
    <row r="7" spans="1:11" ht="16.5" customHeight="1" x14ac:dyDescent="0.25">
      <c r="A7" s="80" t="s">
        <v>4</v>
      </c>
      <c r="B7" s="80"/>
      <c r="C7" s="30">
        <v>1</v>
      </c>
      <c r="D7" s="29"/>
      <c r="E7" s="29"/>
      <c r="F7" s="18"/>
      <c r="G7" s="19"/>
      <c r="H7" s="18"/>
    </row>
    <row r="8" spans="1:11" ht="13.5" thickBot="1" x14ac:dyDescent="0.25">
      <c r="B8" s="18"/>
      <c r="C8" s="19"/>
      <c r="D8" s="18"/>
      <c r="E8" s="18"/>
      <c r="F8" s="18"/>
      <c r="G8" s="19"/>
      <c r="H8" s="18"/>
    </row>
    <row r="9" spans="1:11" ht="39" thickBot="1" x14ac:dyDescent="0.25">
      <c r="A9" s="59" t="s">
        <v>5</v>
      </c>
      <c r="B9" s="60" t="s">
        <v>6</v>
      </c>
      <c r="C9" s="61" t="s">
        <v>7</v>
      </c>
      <c r="D9" s="62" t="s">
        <v>8</v>
      </c>
      <c r="E9" s="63" t="s">
        <v>9</v>
      </c>
      <c r="F9" s="63" t="s">
        <v>10</v>
      </c>
      <c r="G9" s="63" t="s">
        <v>11</v>
      </c>
      <c r="H9" s="63" t="s">
        <v>12</v>
      </c>
      <c r="I9" s="61" t="s">
        <v>13</v>
      </c>
    </row>
    <row r="10" spans="1:11" ht="42.75" customHeight="1" x14ac:dyDescent="0.2">
      <c r="A10" s="56">
        <v>1</v>
      </c>
      <c r="B10" s="70" t="s">
        <v>67</v>
      </c>
      <c r="C10" s="65" t="s">
        <v>50</v>
      </c>
      <c r="D10" s="50" t="s">
        <v>56</v>
      </c>
      <c r="E10" s="69" t="s">
        <v>66</v>
      </c>
      <c r="F10" s="57" t="s">
        <v>51</v>
      </c>
      <c r="G10" s="58">
        <v>150</v>
      </c>
      <c r="H10" s="71">
        <v>8365</v>
      </c>
      <c r="I10" s="73">
        <f>H10*G10</f>
        <v>1254750</v>
      </c>
      <c r="K10" s="75"/>
    </row>
    <row r="11" spans="1:11" ht="49.5" customHeight="1" thickBot="1" x14ac:dyDescent="0.25">
      <c r="A11" s="51">
        <v>2</v>
      </c>
      <c r="B11" s="64" t="s">
        <v>52</v>
      </c>
      <c r="C11" s="64" t="s">
        <v>53</v>
      </c>
      <c r="D11" s="52" t="s">
        <v>57</v>
      </c>
      <c r="E11" s="53" t="s">
        <v>54</v>
      </c>
      <c r="F11" s="54" t="s">
        <v>51</v>
      </c>
      <c r="G11" s="55">
        <v>80</v>
      </c>
      <c r="H11" s="72">
        <v>27500</v>
      </c>
      <c r="I11" s="74">
        <f>H11*G11</f>
        <v>2200000</v>
      </c>
    </row>
    <row r="12" spans="1:11" ht="28.5" customHeight="1" thickBot="1" x14ac:dyDescent="0.25">
      <c r="A12" s="89" t="s">
        <v>60</v>
      </c>
      <c r="B12" s="90"/>
      <c r="C12" s="90"/>
      <c r="D12" s="90"/>
      <c r="E12" s="90"/>
      <c r="F12" s="90"/>
      <c r="G12" s="90"/>
      <c r="H12" s="90"/>
      <c r="I12" s="78">
        <f>SUM(I10:I11)</f>
        <v>3454750</v>
      </c>
    </row>
    <row r="13" spans="1:11" ht="13.5" thickBot="1" x14ac:dyDescent="0.25">
      <c r="I13" s="68"/>
    </row>
    <row r="14" spans="1:11" x14ac:dyDescent="0.2">
      <c r="B14" s="20" t="s">
        <v>14</v>
      </c>
      <c r="C14" s="21"/>
      <c r="D14" s="21"/>
      <c r="E14" s="22"/>
    </row>
    <row r="15" spans="1:11" ht="5.25" customHeight="1" x14ac:dyDescent="0.2">
      <c r="B15" s="23"/>
      <c r="C15" s="24"/>
      <c r="D15" s="24"/>
      <c r="E15" s="25"/>
    </row>
    <row r="16" spans="1:11" x14ac:dyDescent="0.2">
      <c r="B16" s="26" t="s">
        <v>15</v>
      </c>
      <c r="C16" s="24"/>
      <c r="D16" s="24"/>
      <c r="E16" s="25"/>
    </row>
    <row r="17" spans="2:9" ht="45.75" customHeight="1" thickBot="1" x14ac:dyDescent="0.25">
      <c r="B17" s="26"/>
      <c r="C17" s="85" t="s">
        <v>69</v>
      </c>
      <c r="D17" s="85"/>
      <c r="E17" s="86"/>
      <c r="I17" s="68"/>
    </row>
    <row r="18" spans="2:9" ht="16.5" customHeight="1" x14ac:dyDescent="0.2">
      <c r="B18" s="20" t="s">
        <v>55</v>
      </c>
      <c r="C18" s="21"/>
      <c r="D18" s="48"/>
      <c r="E18" s="49"/>
    </row>
    <row r="19" spans="2:9" ht="16.5" customHeight="1" x14ac:dyDescent="0.2">
      <c r="B19" s="26" t="s">
        <v>15</v>
      </c>
      <c r="C19" s="48"/>
      <c r="D19" s="48"/>
      <c r="E19" s="49"/>
    </row>
    <row r="20" spans="2:9" ht="39.75" customHeight="1" x14ac:dyDescent="0.2">
      <c r="B20" s="26"/>
      <c r="C20" s="66" t="s">
        <v>54</v>
      </c>
      <c r="D20" s="48"/>
      <c r="E20" s="49"/>
    </row>
    <row r="21" spans="2:9" ht="20.25" customHeight="1" x14ac:dyDescent="0.2">
      <c r="B21" s="26" t="s">
        <v>16</v>
      </c>
      <c r="C21" s="31"/>
      <c r="D21" s="31"/>
      <c r="E21" s="32"/>
    </row>
    <row r="22" spans="2:9" ht="53.25" customHeight="1" x14ac:dyDescent="0.2">
      <c r="B22" s="27"/>
      <c r="C22" s="87" t="s">
        <v>70</v>
      </c>
      <c r="D22" s="87"/>
      <c r="E22" s="88"/>
    </row>
    <row r="23" spans="2:9" x14ac:dyDescent="0.2">
      <c r="B23" s="26" t="s">
        <v>17</v>
      </c>
      <c r="C23" s="31"/>
      <c r="D23" s="31"/>
      <c r="E23" s="32"/>
      <c r="G23" s="38"/>
    </row>
    <row r="24" spans="2:9" x14ac:dyDescent="0.2">
      <c r="B24" s="27"/>
      <c r="C24" s="83" t="s">
        <v>48</v>
      </c>
      <c r="D24" s="83"/>
      <c r="E24" s="83"/>
    </row>
    <row r="25" spans="2:9" x14ac:dyDescent="0.2">
      <c r="B25" s="26" t="s">
        <v>18</v>
      </c>
      <c r="C25" s="33"/>
      <c r="D25" s="33"/>
      <c r="E25" s="34"/>
    </row>
    <row r="26" spans="2:9" x14ac:dyDescent="0.2">
      <c r="B26" s="27"/>
      <c r="C26" s="83" t="s">
        <v>49</v>
      </c>
      <c r="D26" s="83"/>
      <c r="E26" s="83"/>
    </row>
    <row r="27" spans="2:9" x14ac:dyDescent="0.2">
      <c r="B27" s="26" t="s">
        <v>19</v>
      </c>
      <c r="C27" s="31"/>
      <c r="D27" s="31"/>
      <c r="E27" s="32"/>
    </row>
    <row r="28" spans="2:9" x14ac:dyDescent="0.2">
      <c r="B28" s="26"/>
      <c r="C28" s="84" t="s">
        <v>65</v>
      </c>
      <c r="D28" s="84"/>
      <c r="E28" s="84"/>
    </row>
    <row r="29" spans="2:9" ht="13.5" thickBot="1" x14ac:dyDescent="0.25">
      <c r="B29" s="28"/>
      <c r="C29" s="35"/>
      <c r="D29" s="35"/>
      <c r="E29" s="36"/>
    </row>
    <row r="30" spans="2:9" x14ac:dyDescent="0.2">
      <c r="C30" s="37"/>
      <c r="D30" s="37"/>
      <c r="E30" s="37"/>
    </row>
    <row r="31" spans="2:9" x14ac:dyDescent="0.2">
      <c r="B31"/>
      <c r="C31"/>
      <c r="D31"/>
      <c r="E31"/>
      <c r="F31"/>
    </row>
    <row r="34" spans="5:5" ht="16.5" x14ac:dyDescent="0.2">
      <c r="E34" s="46"/>
    </row>
    <row r="35" spans="5:5" ht="16.5" x14ac:dyDescent="0.2">
      <c r="E35" s="47"/>
    </row>
    <row r="36" spans="5:5" ht="16.5" x14ac:dyDescent="0.2">
      <c r="E36" s="47"/>
    </row>
  </sheetData>
  <mergeCells count="13">
    <mergeCell ref="C24:E24"/>
    <mergeCell ref="C26:E26"/>
    <mergeCell ref="C28:E28"/>
    <mergeCell ref="A6:B6"/>
    <mergeCell ref="A7:B7"/>
    <mergeCell ref="C17:E17"/>
    <mergeCell ref="C22:E22"/>
    <mergeCell ref="A12:H12"/>
    <mergeCell ref="B2:H2"/>
    <mergeCell ref="A4:B4"/>
    <mergeCell ref="C4:E4"/>
    <mergeCell ref="A5:B5"/>
    <mergeCell ref="C5:E5"/>
  </mergeCells>
  <pageMargins left="0.7" right="0.7" top="0.75" bottom="0.75" header="0.51180555555555496" footer="0.51180555555555496"/>
  <pageSetup paperSize="9" firstPageNumber="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6"/>
  <sheetViews>
    <sheetView topLeftCell="A16" zoomScale="130" zoomScaleNormal="130" workbookViewId="0">
      <selection activeCell="D35" sqref="D35"/>
    </sheetView>
  </sheetViews>
  <sheetFormatPr baseColWidth="10" defaultColWidth="11" defaultRowHeight="12.75" x14ac:dyDescent="0.2"/>
  <cols>
    <col min="1" max="5" width="4.42578125" customWidth="1"/>
    <col min="6" max="6" width="6.140625" customWidth="1"/>
    <col min="7" max="7" width="4.42578125" style="2" customWidth="1"/>
    <col min="8" max="14" width="4.42578125" customWidth="1"/>
    <col min="15" max="16" width="14.85546875" customWidth="1"/>
    <col min="17" max="17" width="14.7109375" customWidth="1"/>
    <col min="19" max="19" width="11.7109375" bestFit="1" customWidth="1"/>
  </cols>
  <sheetData>
    <row r="1" spans="1:19" ht="15.75" customHeight="1" x14ac:dyDescent="0.25">
      <c r="A1" s="91" t="s">
        <v>3</v>
      </c>
      <c r="B1" s="91"/>
      <c r="C1" s="91"/>
      <c r="D1" s="92">
        <f>'Necesidades Trimestrales'!C6</f>
        <v>2022</v>
      </c>
      <c r="E1" s="92"/>
      <c r="F1" s="3"/>
      <c r="G1" s="3"/>
      <c r="H1" s="4"/>
      <c r="I1" s="4"/>
      <c r="J1" s="4"/>
      <c r="K1" s="4"/>
      <c r="L1" s="4"/>
      <c r="M1" s="4"/>
      <c r="N1" s="4"/>
      <c r="P1" s="93" t="s">
        <v>20</v>
      </c>
      <c r="Q1" s="93"/>
    </row>
    <row r="2" spans="1:19" ht="15.75" customHeight="1" x14ac:dyDescent="0.2">
      <c r="H2" s="4"/>
      <c r="I2" s="4"/>
      <c r="J2" s="4"/>
      <c r="K2" s="4"/>
      <c r="L2" s="4"/>
      <c r="M2" s="4"/>
      <c r="N2" s="4"/>
      <c r="P2" s="93"/>
      <c r="Q2" s="93"/>
    </row>
    <row r="3" spans="1:19" ht="13.5" thickBot="1" x14ac:dyDescent="0.25"/>
    <row r="4" spans="1:19" s="5" customFormat="1" ht="18" customHeight="1" thickBot="1" x14ac:dyDescent="0.25">
      <c r="A4" s="94" t="s">
        <v>21</v>
      </c>
      <c r="B4" s="95"/>
      <c r="C4" s="95"/>
      <c r="D4" s="95"/>
      <c r="E4" s="95"/>
      <c r="F4" s="96"/>
      <c r="G4" s="97" t="s">
        <v>46</v>
      </c>
      <c r="H4" s="97"/>
      <c r="I4" s="97"/>
      <c r="J4" s="97"/>
      <c r="K4" s="97"/>
      <c r="L4" s="97"/>
      <c r="M4" s="97"/>
      <c r="N4" s="97"/>
      <c r="O4" s="97"/>
      <c r="P4" s="97"/>
      <c r="Q4" s="98"/>
    </row>
    <row r="5" spans="1:19" s="5" customFormat="1" ht="18" customHeight="1" thickBot="1" x14ac:dyDescent="0.25">
      <c r="A5" s="99" t="s">
        <v>43</v>
      </c>
      <c r="B5" s="100"/>
      <c r="C5" s="100"/>
      <c r="D5" s="100"/>
      <c r="E5" s="100"/>
      <c r="F5" s="100"/>
      <c r="G5" s="101" t="s">
        <v>47</v>
      </c>
      <c r="H5" s="101"/>
      <c r="I5" s="101"/>
      <c r="J5" s="101"/>
      <c r="K5" s="101"/>
      <c r="L5" s="101"/>
      <c r="M5" s="101"/>
      <c r="N5" s="101"/>
      <c r="O5" s="101"/>
      <c r="P5" s="101"/>
      <c r="Q5" s="102"/>
    </row>
    <row r="6" spans="1:19" s="5" customFormat="1" ht="18" customHeight="1" thickBot="1" x14ac:dyDescent="0.25">
      <c r="A6" s="99" t="s">
        <v>22</v>
      </c>
      <c r="B6" s="100"/>
      <c r="C6" s="100"/>
      <c r="D6" s="100"/>
      <c r="E6" s="100"/>
      <c r="F6" s="100"/>
      <c r="G6" s="107" t="s">
        <v>63</v>
      </c>
      <c r="H6" s="107"/>
      <c r="I6" s="107"/>
      <c r="J6" s="107"/>
      <c r="K6" s="107"/>
      <c r="L6" s="107"/>
      <c r="M6" s="107"/>
      <c r="N6" s="107"/>
      <c r="O6" s="107"/>
      <c r="P6" s="107"/>
      <c r="Q6" s="108"/>
    </row>
    <row r="7" spans="1:19" s="5" customFormat="1" ht="18" customHeight="1" thickBot="1" x14ac:dyDescent="0.25">
      <c r="A7" s="99" t="s">
        <v>44</v>
      </c>
      <c r="B7" s="100"/>
      <c r="C7" s="100"/>
      <c r="D7" s="100"/>
      <c r="E7" s="100"/>
      <c r="F7" s="100"/>
      <c r="G7" s="107" t="s">
        <v>71</v>
      </c>
      <c r="H7" s="107"/>
      <c r="I7" s="107"/>
      <c r="J7" s="107"/>
      <c r="K7" s="107"/>
      <c r="L7" s="107"/>
      <c r="M7" s="107"/>
      <c r="N7" s="107"/>
      <c r="O7" s="107"/>
      <c r="P7" s="107"/>
      <c r="Q7" s="108"/>
    </row>
    <row r="8" spans="1:19" ht="18" customHeight="1" thickBot="1" x14ac:dyDescent="0.25">
      <c r="A8" s="103" t="s">
        <v>23</v>
      </c>
      <c r="B8" s="104"/>
      <c r="C8" s="104"/>
      <c r="D8" s="104"/>
      <c r="E8" s="104"/>
      <c r="F8" s="104"/>
      <c r="G8" s="105"/>
      <c r="H8" s="105"/>
      <c r="I8" s="105"/>
      <c r="J8" s="105"/>
      <c r="K8" s="105"/>
      <c r="L8" s="105"/>
      <c r="M8" s="105"/>
      <c r="N8" s="105"/>
      <c r="O8" s="105"/>
      <c r="P8" s="105"/>
      <c r="Q8" s="106"/>
    </row>
    <row r="9" spans="1:19" ht="18" customHeight="1" x14ac:dyDescent="0.2">
      <c r="A9" s="109" t="s">
        <v>24</v>
      </c>
      <c r="B9" s="109"/>
      <c r="C9" s="109"/>
      <c r="D9" s="109"/>
      <c r="E9" s="109"/>
      <c r="F9" s="109"/>
      <c r="G9" s="109"/>
      <c r="H9" s="109"/>
      <c r="I9" s="109"/>
      <c r="J9" s="109"/>
      <c r="K9" s="109"/>
      <c r="L9" s="109"/>
      <c r="M9" s="109"/>
      <c r="N9" s="109"/>
      <c r="O9" s="1"/>
      <c r="P9" s="1"/>
      <c r="Q9" s="6"/>
    </row>
    <row r="10" spans="1:19" ht="54.75" customHeight="1" x14ac:dyDescent="0.2">
      <c r="A10" s="110" t="s">
        <v>62</v>
      </c>
      <c r="B10" s="110"/>
      <c r="C10" s="110"/>
      <c r="D10" s="110"/>
      <c r="E10" s="110"/>
      <c r="F10" s="110"/>
      <c r="G10" s="110"/>
      <c r="H10" s="110"/>
      <c r="I10" s="110"/>
      <c r="J10" s="110"/>
      <c r="K10" s="110"/>
      <c r="L10" s="110"/>
      <c r="M10" s="110"/>
      <c r="N10" s="110"/>
      <c r="O10" s="110"/>
      <c r="P10" s="110"/>
      <c r="Q10" s="111"/>
    </row>
    <row r="11" spans="1:19" ht="9" customHeight="1" thickBot="1" x14ac:dyDescent="0.25">
      <c r="A11" s="7"/>
      <c r="B11" s="8"/>
      <c r="C11" s="8"/>
      <c r="D11" s="8"/>
      <c r="E11" s="8"/>
      <c r="F11" s="8"/>
      <c r="G11" s="9"/>
      <c r="H11" s="8"/>
      <c r="I11" s="8"/>
      <c r="J11" s="8"/>
      <c r="K11" s="8"/>
      <c r="L11" s="8"/>
      <c r="M11" s="8"/>
      <c r="N11" s="8"/>
      <c r="O11" s="8"/>
      <c r="P11" s="8"/>
      <c r="Q11" s="10"/>
    </row>
    <row r="12" spans="1:19" ht="15.75" customHeight="1" x14ac:dyDescent="0.2">
      <c r="A12" s="112" t="s">
        <v>25</v>
      </c>
      <c r="B12" s="112"/>
      <c r="C12" s="112"/>
      <c r="D12" s="112"/>
      <c r="E12" s="112"/>
      <c r="F12" s="112"/>
      <c r="G12" s="112"/>
      <c r="H12" s="112"/>
      <c r="I12" s="112"/>
      <c r="J12" s="112"/>
      <c r="K12" s="112"/>
      <c r="L12" s="112"/>
      <c r="M12" s="112"/>
      <c r="N12" s="112"/>
      <c r="O12" s="112"/>
      <c r="P12" s="112"/>
      <c r="Q12" s="112"/>
    </row>
    <row r="13" spans="1:19" ht="15.75" customHeight="1" x14ac:dyDescent="0.2">
      <c r="A13" s="113" t="s">
        <v>26</v>
      </c>
      <c r="B13" s="113"/>
      <c r="C13" s="113"/>
      <c r="D13" s="113"/>
      <c r="E13" s="113"/>
      <c r="F13" s="113"/>
      <c r="G13" s="113"/>
      <c r="H13" s="113"/>
      <c r="I13" s="113"/>
      <c r="J13" s="113"/>
      <c r="K13" s="113"/>
      <c r="L13" s="113"/>
      <c r="M13" s="113"/>
      <c r="N13" s="113"/>
      <c r="O13" s="114" t="s">
        <v>27</v>
      </c>
      <c r="P13" s="114"/>
      <c r="Q13" s="115" t="s">
        <v>28</v>
      </c>
    </row>
    <row r="14" spans="1:19" ht="15.75" customHeight="1" thickBot="1" x14ac:dyDescent="0.25">
      <c r="A14" s="11" t="s">
        <v>29</v>
      </c>
      <c r="B14" s="12" t="s">
        <v>30</v>
      </c>
      <c r="C14" s="12" t="s">
        <v>31</v>
      </c>
      <c r="D14" s="12" t="s">
        <v>32</v>
      </c>
      <c r="E14" s="12" t="s">
        <v>33</v>
      </c>
      <c r="F14" s="12" t="s">
        <v>34</v>
      </c>
      <c r="G14" s="13" t="s">
        <v>35</v>
      </c>
      <c r="H14" s="12" t="s">
        <v>36</v>
      </c>
      <c r="I14" s="12" t="s">
        <v>37</v>
      </c>
      <c r="J14" s="12" t="s">
        <v>38</v>
      </c>
      <c r="K14" s="12" t="s">
        <v>38</v>
      </c>
      <c r="L14" s="12" t="s">
        <v>39</v>
      </c>
      <c r="M14" s="14" t="s">
        <v>40</v>
      </c>
      <c r="N14" s="15" t="s">
        <v>41</v>
      </c>
      <c r="O14" s="114"/>
      <c r="P14" s="114"/>
      <c r="Q14" s="115"/>
    </row>
    <row r="15" spans="1:19" ht="17.25" customHeight="1" thickBot="1" x14ac:dyDescent="0.25">
      <c r="A15" s="41">
        <v>1</v>
      </c>
      <c r="B15" s="42">
        <v>0</v>
      </c>
      <c r="C15" s="42">
        <v>0</v>
      </c>
      <c r="D15" s="43">
        <v>1</v>
      </c>
      <c r="E15" s="42">
        <v>0</v>
      </c>
      <c r="F15" s="42">
        <v>4901</v>
      </c>
      <c r="G15" s="42">
        <v>2</v>
      </c>
      <c r="H15" s="43">
        <v>1</v>
      </c>
      <c r="I15" s="42">
        <v>2</v>
      </c>
      <c r="J15" s="42">
        <v>5</v>
      </c>
      <c r="K15" s="42">
        <v>8</v>
      </c>
      <c r="L15" s="42">
        <v>0</v>
      </c>
      <c r="M15" s="44">
        <v>1</v>
      </c>
      <c r="N15" s="45" t="s">
        <v>45</v>
      </c>
      <c r="O15" s="117" t="s">
        <v>64</v>
      </c>
      <c r="P15" s="118"/>
      <c r="Q15" s="76">
        <v>1100000</v>
      </c>
      <c r="S15" s="67"/>
    </row>
    <row r="16" spans="1:19" ht="17.25" customHeight="1" thickBot="1" x14ac:dyDescent="0.25">
      <c r="A16" s="41">
        <v>1</v>
      </c>
      <c r="B16" s="42">
        <v>0</v>
      </c>
      <c r="C16" s="42">
        <v>0</v>
      </c>
      <c r="D16" s="43">
        <v>3</v>
      </c>
      <c r="E16" s="42">
        <v>0</v>
      </c>
      <c r="F16" s="42">
        <v>4901</v>
      </c>
      <c r="G16" s="42">
        <v>2</v>
      </c>
      <c r="H16" s="43">
        <v>1</v>
      </c>
      <c r="I16" s="42">
        <v>2</v>
      </c>
      <c r="J16" s="42">
        <v>5</v>
      </c>
      <c r="K16" s="42">
        <v>8</v>
      </c>
      <c r="L16" s="42">
        <v>0</v>
      </c>
      <c r="M16" s="44">
        <v>1</v>
      </c>
      <c r="N16" s="45" t="s">
        <v>45</v>
      </c>
      <c r="O16" s="117" t="s">
        <v>64</v>
      </c>
      <c r="P16" s="118"/>
      <c r="Q16" s="77">
        <v>1100000</v>
      </c>
    </row>
    <row r="17" spans="1:17" ht="17.25" customHeight="1" thickBot="1" x14ac:dyDescent="0.25">
      <c r="A17" s="41">
        <v>1</v>
      </c>
      <c r="B17" s="42">
        <v>0</v>
      </c>
      <c r="C17" s="42">
        <v>0</v>
      </c>
      <c r="D17" s="43">
        <v>1</v>
      </c>
      <c r="E17" s="42">
        <v>0</v>
      </c>
      <c r="F17" s="42">
        <v>4901</v>
      </c>
      <c r="G17" s="42">
        <v>2</v>
      </c>
      <c r="H17" s="43">
        <v>1</v>
      </c>
      <c r="I17" s="42">
        <v>2</v>
      </c>
      <c r="J17" s="42">
        <v>7</v>
      </c>
      <c r="K17" s="42">
        <v>1</v>
      </c>
      <c r="L17" s="42">
        <v>0</v>
      </c>
      <c r="M17" s="44">
        <v>1</v>
      </c>
      <c r="N17" s="45" t="s">
        <v>45</v>
      </c>
      <c r="O17" s="126" t="s">
        <v>58</v>
      </c>
      <c r="P17" s="127"/>
      <c r="Q17" s="77">
        <v>454750</v>
      </c>
    </row>
    <row r="18" spans="1:17" ht="17.25" customHeight="1" x14ac:dyDescent="0.2">
      <c r="A18" s="41">
        <v>1</v>
      </c>
      <c r="B18" s="42">
        <v>0</v>
      </c>
      <c r="C18" s="42">
        <v>0</v>
      </c>
      <c r="D18" s="43">
        <v>3</v>
      </c>
      <c r="E18" s="42">
        <v>0</v>
      </c>
      <c r="F18" s="42">
        <v>4901</v>
      </c>
      <c r="G18" s="42">
        <v>2</v>
      </c>
      <c r="H18" s="43">
        <v>1</v>
      </c>
      <c r="I18" s="42">
        <v>2</v>
      </c>
      <c r="J18" s="42">
        <v>7</v>
      </c>
      <c r="K18" s="42">
        <v>1</v>
      </c>
      <c r="L18" s="42">
        <v>0</v>
      </c>
      <c r="M18" s="44">
        <v>1</v>
      </c>
      <c r="N18" s="45" t="s">
        <v>45</v>
      </c>
      <c r="O18" s="126" t="s">
        <v>58</v>
      </c>
      <c r="P18" s="127"/>
      <c r="Q18" s="77">
        <v>800000</v>
      </c>
    </row>
    <row r="19" spans="1:17" ht="30.75" customHeight="1" thickBot="1" x14ac:dyDescent="0.25">
      <c r="A19" s="124" t="s">
        <v>61</v>
      </c>
      <c r="B19" s="124"/>
      <c r="C19" s="124"/>
      <c r="D19" s="124"/>
      <c r="E19" s="124"/>
      <c r="F19" s="124"/>
      <c r="G19" s="124"/>
      <c r="H19" s="124"/>
      <c r="I19" s="124"/>
      <c r="J19" s="124"/>
      <c r="K19" s="124"/>
      <c r="L19" s="124"/>
      <c r="M19" s="124"/>
      <c r="N19" s="124"/>
      <c r="O19" s="124"/>
      <c r="P19" s="124"/>
      <c r="Q19" s="16">
        <f>SUM(Q15:Q18)</f>
        <v>3454750</v>
      </c>
    </row>
    <row r="20" spans="1:17" ht="18" customHeight="1" thickBot="1" x14ac:dyDescent="0.25">
      <c r="A20" s="125"/>
      <c r="B20" s="125"/>
      <c r="C20" s="125"/>
      <c r="D20" s="125"/>
      <c r="E20" s="125"/>
      <c r="F20" s="125"/>
      <c r="G20" s="125"/>
      <c r="H20" s="125"/>
      <c r="I20" s="125"/>
      <c r="J20" s="125"/>
      <c r="K20" s="125"/>
      <c r="L20" s="125"/>
      <c r="M20" s="125"/>
      <c r="N20" s="125"/>
      <c r="O20" s="125"/>
      <c r="P20" s="125"/>
      <c r="Q20" s="125"/>
    </row>
    <row r="21" spans="1:17" ht="17.25" customHeight="1" thickBot="1" x14ac:dyDescent="0.25">
      <c r="A21" s="119" t="s">
        <v>42</v>
      </c>
      <c r="B21" s="120"/>
      <c r="C21" s="120"/>
      <c r="D21" s="120"/>
      <c r="E21" s="120"/>
      <c r="F21" s="121"/>
      <c r="G21" s="122"/>
      <c r="H21" s="122"/>
      <c r="I21" s="122"/>
      <c r="J21" s="122"/>
      <c r="K21" s="122"/>
      <c r="L21" s="122"/>
      <c r="M21" s="122"/>
      <c r="N21" s="122"/>
      <c r="O21" s="122"/>
      <c r="P21" s="122"/>
      <c r="Q21" s="122"/>
    </row>
    <row r="22" spans="1:17" ht="18" customHeight="1" thickBot="1" x14ac:dyDescent="0.25">
      <c r="A22" s="123" t="s">
        <v>59</v>
      </c>
      <c r="B22" s="123"/>
      <c r="C22" s="123"/>
      <c r="D22" s="123"/>
      <c r="E22" s="123"/>
      <c r="F22" s="123"/>
      <c r="G22" s="123"/>
      <c r="H22" s="123"/>
      <c r="I22" s="123"/>
      <c r="J22" s="123"/>
      <c r="K22" s="123"/>
      <c r="L22" s="123"/>
      <c r="M22" s="123"/>
      <c r="N22" s="123"/>
      <c r="O22" s="123"/>
      <c r="P22" s="123"/>
      <c r="Q22" s="123"/>
    </row>
    <row r="23" spans="1:17" ht="15" customHeight="1" x14ac:dyDescent="0.2">
      <c r="A23" s="123"/>
      <c r="B23" s="123"/>
      <c r="C23" s="123"/>
      <c r="D23" s="123"/>
      <c r="E23" s="123"/>
      <c r="F23" s="123"/>
      <c r="G23" s="123"/>
      <c r="H23" s="123"/>
      <c r="I23" s="123"/>
      <c r="J23" s="123"/>
      <c r="K23" s="123"/>
      <c r="L23" s="123"/>
      <c r="M23" s="123"/>
      <c r="N23" s="123"/>
      <c r="O23" s="123"/>
      <c r="P23" s="123"/>
      <c r="Q23" s="123"/>
    </row>
    <row r="26" spans="1:17" ht="12.75" customHeight="1" x14ac:dyDescent="0.2">
      <c r="B26" s="116"/>
      <c r="C26" s="116"/>
      <c r="D26" s="116"/>
    </row>
  </sheetData>
  <mergeCells count="28">
    <mergeCell ref="B26:D26"/>
    <mergeCell ref="O15:P15"/>
    <mergeCell ref="O16:P16"/>
    <mergeCell ref="A21:F21"/>
    <mergeCell ref="G21:Q21"/>
    <mergeCell ref="A22:Q23"/>
    <mergeCell ref="A19:P19"/>
    <mergeCell ref="A20:Q20"/>
    <mergeCell ref="O17:P17"/>
    <mergeCell ref="O18:P18"/>
    <mergeCell ref="A9:N9"/>
    <mergeCell ref="A10:Q10"/>
    <mergeCell ref="A12:Q12"/>
    <mergeCell ref="A13:N13"/>
    <mergeCell ref="O13:P14"/>
    <mergeCell ref="Q13:Q14"/>
    <mergeCell ref="A5:F5"/>
    <mergeCell ref="G5:Q5"/>
    <mergeCell ref="A8:Q8"/>
    <mergeCell ref="A6:F6"/>
    <mergeCell ref="G6:Q6"/>
    <mergeCell ref="A7:F7"/>
    <mergeCell ref="G7:Q7"/>
    <mergeCell ref="A1:C1"/>
    <mergeCell ref="D1:E1"/>
    <mergeCell ref="P1:Q2"/>
    <mergeCell ref="A4:F4"/>
    <mergeCell ref="G4:Q4"/>
  </mergeCells>
  <printOptions horizontalCentered="1"/>
  <pageMargins left="0.39374999999999999" right="0.39374999999999999" top="0.98402777777777795" bottom="0.98402777777777795" header="0.51180555555555496" footer="0.51180555555555496"/>
  <pageSetup paperSize="9"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Necesidades Trimestrales</vt:lpstr>
      <vt:lpstr>Autor Gastar</vt:lpstr>
      <vt:lpstr>'Autor Gastar'!Área_de_impresión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Secretaria1</cp:lastModifiedBy>
  <cp:revision>2</cp:revision>
  <cp:lastPrinted>2020-07-17T22:18:48Z</cp:lastPrinted>
  <dcterms:created xsi:type="dcterms:W3CDTF">2020-07-17T23:44:49Z</dcterms:created>
  <dcterms:modified xsi:type="dcterms:W3CDTF">2022-02-25T12:26:21Z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