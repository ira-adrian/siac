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DE4F952-8EF3-4C18-8C2A-839CA16ED32D}" xr6:coauthVersionLast="46" xr6:coauthVersionMax="46" xr10:uidLastSave="{00000000-0000-0000-0000-000000000000}"/>
  <bookViews>
    <workbookView xWindow="-120" yWindow="-120" windowWidth="29040" windowHeight="15840" xr2:uid="{2054AA42-F6CB-4EF5-8E6B-CCAE4034572B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</calcChain>
</file>

<file path=xl/sharedStrings.xml><?xml version="1.0" encoding="utf-8"?>
<sst xmlns="http://schemas.openxmlformats.org/spreadsheetml/2006/main" count="390" uniqueCount="148">
  <si>
    <t>VALVULA DE PEEP 1' MASCARA AMBU</t>
  </si>
  <si>
    <t>Descripción técnica</t>
  </si>
  <si>
    <t>Especificidades Item N° 122: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</si>
  <si>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</si>
  <si>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</si>
  <si>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</si>
  <si>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</si>
  <si>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</si>
  <si>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VALVULA DE PIC P/MASC.AMBU</t>
  </si>
  <si>
    <t>PROD. MEDICO/ FARMACEUTICOS/LAB</t>
  </si>
  <si>
    <t>TUBO TRAQUEAL EN "T" COD.260/10 T/SILMAG</t>
  </si>
  <si>
    <t>TUBO P/DRENAJE 110-28-SILMAG</t>
  </si>
  <si>
    <t>TUBO P/DRENAJE 110-24-SILMAG</t>
  </si>
  <si>
    <t>TUBO P/DRENAJE 110-20-SILMAG</t>
  </si>
  <si>
    <t>TUBO P/DRENAJE 110-16-SILMAG</t>
  </si>
  <si>
    <t>TUBO P/DRENAJE 110-12-SILMAG</t>
  </si>
  <si>
    <t>TUBO DE INTUBACION SELECTIVA IZQUIERDO CH 25</t>
  </si>
  <si>
    <t>TUBO DE INTUBACION SELECTIVA DERECHO CH 35</t>
  </si>
  <si>
    <t>TUBO DE INTUBACION SELECTIVA DERECHO CH 25</t>
  </si>
  <si>
    <t>TROCAR P/DRENAJE PLEURAL FR 8</t>
  </si>
  <si>
    <t>TROCAR P/DRENAJE PLEURAL FR 28</t>
  </si>
  <si>
    <t>TROCAR P/DRENAJE PLEURAL FR 24</t>
  </si>
  <si>
    <t>TROCAR P/DRENAJE PLEURAL FR 22</t>
  </si>
  <si>
    <t>TROCAR P/DRENAJE PLEURAL FR 20</t>
  </si>
  <si>
    <t>TROCAR P/DRENAJE PLEURAL FR 18</t>
  </si>
  <si>
    <t>TROCAR P/DRENAJE PLEURAL FR 16</t>
  </si>
  <si>
    <t>TROCAR P/DRENAJE PLEURAL FR 14</t>
  </si>
  <si>
    <t>TROCAR P/DRENAJE PLEURAL FR 12</t>
  </si>
  <si>
    <t>TROCAR P/DRENAJE PLEURAL FR 10</t>
  </si>
  <si>
    <t>TROCAR &amp; CATETER toracico med 12 fr. TIPO PAHSCO</t>
  </si>
  <si>
    <t>TROCAR &amp; CATETER toracico med 10 fr. TIPO PAHSCO</t>
  </si>
  <si>
    <t>TROCAR &amp; CATETER toracico med 08 fr. TIPO PAHSCO</t>
  </si>
  <si>
    <t>SURGICEL 7 x 5 CM SOBRE</t>
  </si>
  <si>
    <t>SONDA TRANSP.C/LASTRE Y MANDRIL 398-10</t>
  </si>
  <si>
    <t xml:space="preserve">SONDA PARA DRENAJE TORACICO SILICONADO 150/40 TIPO SILMAG </t>
  </si>
  <si>
    <t xml:space="preserve">SONDA PARA DRENAJE TORACICO SILICONADO 150/28 TIPO SILMAG </t>
  </si>
  <si>
    <t>SONDA GASTRICA SILICONA PURA SP392-09</t>
  </si>
  <si>
    <t>SONDA GASTRICA SILICONA PURA SP392-07</t>
  </si>
  <si>
    <t>SONDA GASTRICA SILICONA PURA SP391-14</t>
  </si>
  <si>
    <t>SONDA GASTRICA SILICONA PURA SP391-12</t>
  </si>
  <si>
    <t>SONDA GASTRICA SILICONA PURA SP391-10</t>
  </si>
  <si>
    <t>SONDA FOLEY TRIPLE VIA HEMATURICA Nº18</t>
  </si>
  <si>
    <t>SISTEMA CPAP CANULA NASAL TIPO SILMAG  -  COD  233-02</t>
  </si>
  <si>
    <t>SISTEMA CPAP CANULA NASAL TIPO SILMAG  -  COD  233-01</t>
  </si>
  <si>
    <t>SISTEMA CPAP CANULA NASAL TIPO SILMAG  -  COD  233-00</t>
  </si>
  <si>
    <t>SIERRA GIGLI</t>
  </si>
  <si>
    <t>SET.P/DRENAJE VENTRICULAR EXT. X 1COD.130/09 T/SIL</t>
  </si>
  <si>
    <t>SET.P/CATET.VENA CENTRAL 5 FR/30 CM 2 LUM.</t>
  </si>
  <si>
    <t>SET.P/CATET.VENA CENTRAL 5 FR/20 CM 2 LUM.</t>
  </si>
  <si>
    <t>SET.P/CATET.VENA CENTRAL 5 FR/13 CM 2 LUM.20/18G T</t>
  </si>
  <si>
    <t>SET TRANSDUCTOR SENSILLO DE PRESION DT-4812BD-</t>
  </si>
  <si>
    <t>SET P/VIA PERCUTANEA 4 FR</t>
  </si>
  <si>
    <t>SET P/VIA PERCUTANEA 3FR.</t>
  </si>
  <si>
    <t>SET P/ANESTESIA EPIDURAL X 1</t>
  </si>
  <si>
    <t>SET DE VIA CENTRAL DOBLE LUMEN 7 FRENCH TIPO ARROW</t>
  </si>
  <si>
    <t>SET DE VIA CENTRAL DOBLE LUMEN 4  FRENCH  /30 CM 22/22 G TIPO ARROW</t>
  </si>
  <si>
    <t>SET DE VIA CENTRAL DOBLE LUMEN 4  FRENCH  /13 CM 22/22 G TIPO ARROW</t>
  </si>
  <si>
    <t>SET CATETER PERIDURAL N 20</t>
  </si>
  <si>
    <t>SET CATETER PERIDURAL N 18</t>
  </si>
  <si>
    <t>RESUCITADOR PED.MANUAL REUTILIZABLE HAND</t>
  </si>
  <si>
    <t>MASCARA LARINGEA N° 1.</t>
  </si>
  <si>
    <t>MASCARA VENTURI DE OXIGENO (6 VARIADORES)</t>
  </si>
  <si>
    <t>MANGO P/TENSIOMETRO PED.X 1</t>
  </si>
  <si>
    <t>MANGO ELECTROBISTURI</t>
  </si>
  <si>
    <t>LIGACLIP LT 400</t>
  </si>
  <si>
    <t>LIGACLIP LT 300</t>
  </si>
  <si>
    <t>LIGACLIP LT 200</t>
  </si>
  <si>
    <t>JERINGA DE BONEAU</t>
  </si>
  <si>
    <t>Jackson Rees pediátrico y adulto</t>
  </si>
  <si>
    <t xml:space="preserve">INTERFASE P/VNI TALLE L TOTAL FACE </t>
  </si>
  <si>
    <t>HEMOSUCTOR  X 800 ML</t>
  </si>
  <si>
    <t>HEMOSTATICO ABSORBIBLE T/SURGICEL COD.1953  X 1</t>
  </si>
  <si>
    <t>FRASCO PARA DRENAJE TORACICO x 750 ML</t>
  </si>
  <si>
    <t>FRASCO PARA DRENAJE TORACICO x 2500 ML</t>
  </si>
  <si>
    <t>FILTRO PARA HEMODIALISIS 1.7 m2 HF</t>
  </si>
  <si>
    <t>ESPONJA GELATINOSA ABSORBIBLE TIPO SPONGOSTAN 80 X 50 X 10 MM SOBRE</t>
  </si>
  <si>
    <t>EQUIPO P/DIALISIS PERITONEAL PED.T/V-308</t>
  </si>
  <si>
    <t>DRENAJE DE SILICONA ESTERIL TIPO DRENAJE BLAKE</t>
  </si>
  <si>
    <t>CLIPS DE LIGADURA MED/LAR X 1 (CARTRIDGE)</t>
  </si>
  <si>
    <t xml:space="preserve">CLIP PARA VIDEOLAPAROSCOPIA LT-300 </t>
  </si>
  <si>
    <t>CLAVO DE KISHNER Nº 5 x 25 CM (CLAVIJAS)</t>
  </si>
  <si>
    <t>CLAVO DE KISHNER Nº 4 x 25 CM (CLAVIJAS)</t>
  </si>
  <si>
    <t>CLAVIJAS ULTRAFINAS 0,5 MM</t>
  </si>
  <si>
    <t>CLAVIJAS ULTRAFINA 1 MM</t>
  </si>
  <si>
    <t>CLAVIJAS DE ACERO 2 MM X 20CM</t>
  </si>
  <si>
    <t>CLAVIJAS DE ACERO 1,5MM</t>
  </si>
  <si>
    <t>CIRCUITO RESPIRADOR CON TRAMPA DE AGUA AUTOCLAVABLE PEDIATRICO</t>
  </si>
  <si>
    <t>CIRCUITO RESPIRADOR CON TRAMPA DE AGUA AUTOCLAVABLE NEONATAL</t>
  </si>
  <si>
    <t>CIRCUITO RESPIRADOR CON TRAMPA DE AGUA AUTOCLAVABLE ADULTO</t>
  </si>
  <si>
    <t>CIRCUITO PARA ALTO FLUJO TIPO RT 330 FISHER PAYKEL</t>
  </si>
  <si>
    <t>CIRCUITO CERRADO P/ASPIRACION 8 FR</t>
  </si>
  <si>
    <t>CIRCUITO CERRADO P/ASPIRACION 7 FR</t>
  </si>
  <si>
    <t>CIRCUITO CERRADO P/ASPIRACION 6 FR</t>
  </si>
  <si>
    <t>CIRCUITO CERRADO P/ASPIRACION 16 FR</t>
  </si>
  <si>
    <t>CIRCUITO CERRADO P/ASPIRACION 14 FR</t>
  </si>
  <si>
    <t>CIRCUITO CERRADO P/ASPIRACION 12 FR</t>
  </si>
  <si>
    <t>CIRCUITO CERRADO P/ASPIRACION 10 FR</t>
  </si>
  <si>
    <t>CIRCUITO ANESTESIA EXTENSIBLE PEDIATRICO AUTOCLAVABLE</t>
  </si>
  <si>
    <t>CIRCUITO ANESTESIA EXTENSIBLE NEONATAL AUTOCLAVABLE</t>
  </si>
  <si>
    <t>CIRCUITO ANESTESIA EXTENSIBLE ADULTO AUTOCLAVABLE</t>
  </si>
  <si>
    <t>CERA P/HUESOS 2,5 GR. ESTERIL X 1</t>
  </si>
  <si>
    <t>CATETER PERCUTANEO C/INT.PELABLE 650-03-50-S</t>
  </si>
  <si>
    <t>CATETER PERCUTANEO C/INT.PELABLE 650-02-30</t>
  </si>
  <si>
    <t>CATETER P/HEMODIALISIS DOBLE LUMEN SUBCLAVIA P/HEMODIALISIS 11FR.X 15CM</t>
  </si>
  <si>
    <t>CATETER P/HEMODIALISIS 2 LUM/9 FR X 15 CM T/MEDCOM</t>
  </si>
  <si>
    <t>CATETER EPICUTANEO CAVA COD.541-50 T/SILMAG</t>
  </si>
  <si>
    <t>CATETER EPICUTANEO CAVA COD.541-30 T/SILMAG</t>
  </si>
  <si>
    <t>CATETER EPICUTANEO CAVA COD.541-15 T/SILMAG</t>
  </si>
  <si>
    <t>CATETER EPICUTANEO CAVA COD.540-30 T/SILMAG</t>
  </si>
  <si>
    <t>CATETER DOBLE P/DIAG.NEUMONIA T/BRONCHOCATH DCD</t>
  </si>
  <si>
    <t xml:space="preserve">CATÉTER DE DIALISIS PERITONEAL 15FR. T/SILMAG </t>
  </si>
  <si>
    <t>CATÉTER DE DIÁLISIS PERITONEAL 12FR. T/SILMAG</t>
  </si>
  <si>
    <t>CANULA PARA TRAQUEOTOMIA  Nº 5</t>
  </si>
  <si>
    <t xml:space="preserve">CANULA PARA TRAQUEOSTOMIA Nº6 </t>
  </si>
  <si>
    <t>CANULA PARA TRAQUEOSTOMIA Nº 7</t>
  </si>
  <si>
    <t xml:space="preserve">CANULA PARA TRAQUEOSTOMIA N°5-5 </t>
  </si>
  <si>
    <t xml:space="preserve">CANULA PARA TRAQUEOSTOMIA N°3,5 </t>
  </si>
  <si>
    <t xml:space="preserve">CANULA PARA TRAQUEOSTOMIA N°3 </t>
  </si>
  <si>
    <t>CANULA PARA TRAQUEOSTOMIA  Nº 41/2</t>
  </si>
  <si>
    <t xml:space="preserve">CANULA PARA TRAQUEOSTOMIA  Nº 4 </t>
  </si>
  <si>
    <t xml:space="preserve">CANULA PARA TRAQUEOSTOMIA  N°6.5 </t>
  </si>
  <si>
    <t>CAMPO DE INCISION U-DRAPE 10-15</t>
  </si>
  <si>
    <t>CAMPO DE INCISION STERI-DRAPE 10-50</t>
  </si>
  <si>
    <t>BOLSA P/COLOSTOMIA PEDIATRICA</t>
  </si>
  <si>
    <t>BOLSA P/COLOSTOMIA NEONATAL</t>
  </si>
  <si>
    <t>BOLSA P/ANESTESIA NORMAL X 4 LTS</t>
  </si>
  <si>
    <t>BOLSA P/ANESTESIA NORMAL X 3LTS.</t>
  </si>
  <si>
    <t>BOLSA P/ANESTESIA NORMAL X 2LTS.</t>
  </si>
  <si>
    <t>BOLSA P/ANESTESIA NORMAL X 1LTS.</t>
  </si>
  <si>
    <t>BANDEJA PARA HEMOFILTRACION PEDIATRICA – HEMOFILTRO D150</t>
  </si>
  <si>
    <t>AEROCAMARA C/ FUELLE ADULTO TIPO AEROCHAMBER VET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</si>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</sst>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2" fillId="0" borderId="0" xfId="0" applyFont="1"/>
    <xf numFmtId="164" fontId="3" fillId="0" borderId="0" xfId="0" applyNumberFormat="1" applyFont="1"/>
    <xf numFmtId="4" fontId="2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165" fontId="2" fillId="0" borderId="0" xfId="0" applyNumberFormat="1" applyFont="1"/>
    <xf numFmtId="0" fontId="4" fillId="0" borderId="8" xfId="0" applyFont="1" applyBorder="1" applyAlignment="1">
      <alignment horizontal="left" indent="3"/>
    </xf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1" xfId="0" applyFont="1" applyBorder="1" applyAlignment="1">
      <alignment horizontal="center" vertical="center"/>
    </xf>
    <xf numFmtId="165" fontId="3" fillId="2" borderId="12" xfId="1" applyNumberFormat="1" applyFont="1" applyFill="1" applyBorder="1" applyAlignment="1" applyProtection="1">
      <alignment horizontal="right" vertical="center" wrapText="1"/>
    </xf>
    <xf numFmtId="166" fontId="0" fillId="0" borderId="13" xfId="1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0" fillId="0" borderId="14" xfId="0" applyBorder="1"/>
    <xf numFmtId="0" fontId="5" fillId="0" borderId="15" xfId="0" applyFont="1" applyBorder="1" applyAlignment="1">
      <alignment vertical="center"/>
    </xf>
    <xf numFmtId="166" fontId="0" fillId="3" borderId="13" xfId="1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7" fillId="0" borderId="13" xfId="3" applyFont="1" applyBorder="1" applyAlignment="1">
      <alignment vertical="center" wrapText="1"/>
    </xf>
    <xf numFmtId="0" fontId="5" fillId="0" borderId="13" xfId="4" applyFont="1" applyBorder="1" applyAlignment="1">
      <alignment horizontal="left" vertical="center"/>
    </xf>
    <xf numFmtId="0" fontId="7" fillId="0" borderId="13" xfId="3" applyFont="1" applyBorder="1" applyAlignment="1">
      <alignment vertical="center"/>
    </xf>
    <xf numFmtId="0" fontId="7" fillId="0" borderId="1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left" vertical="center"/>
    </xf>
    <xf numFmtId="0" fontId="5" fillId="0" borderId="15" xfId="4" applyFont="1" applyBorder="1" applyAlignment="1">
      <alignment horizontal="left" vertical="center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165" fontId="3" fillId="0" borderId="12" xfId="1" applyNumberFormat="1" applyFont="1" applyFill="1" applyBorder="1" applyAlignment="1" applyProtection="1">
      <alignment horizontal="right" vertical="center" wrapText="1"/>
    </xf>
    <xf numFmtId="166" fontId="0" fillId="0" borderId="13" xfId="1" applyNumberFormat="1" applyFont="1" applyFill="1" applyBorder="1" applyAlignment="1">
      <alignment horizontal="center" vertical="center" wrapText="1"/>
    </xf>
    <xf numFmtId="165" fontId="3" fillId="2" borderId="16" xfId="1" applyNumberFormat="1" applyFont="1" applyFill="1" applyBorder="1" applyAlignment="1" applyProtection="1">
      <alignment horizontal="right" vertical="center" wrapText="1"/>
    </xf>
    <xf numFmtId="0" fontId="0" fillId="3" borderId="17" xfId="0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wrapText="1"/>
    </xf>
    <xf numFmtId="0" fontId="0" fillId="0" borderId="17" xfId="0" applyBorder="1"/>
    <xf numFmtId="0" fontId="9" fillId="0" borderId="18" xfId="0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9" fillId="3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 indent="1"/>
    </xf>
    <xf numFmtId="0" fontId="13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left" wrapText="1" indent="1"/>
    </xf>
    <xf numFmtId="0" fontId="14" fillId="0" borderId="0" xfId="0" applyFont="1" applyAlignment="1">
      <alignment horizontal="center"/>
    </xf>
  </cellXfs>
  <cellStyles count="5">
    <cellStyle name="Moneda" xfId="1" builtinId="4"/>
    <cellStyle name="Normal" xfId="0" builtinId="0"/>
    <cellStyle name="Normal 2 3" xfId="2" xr:uid="{25FC3E4B-40D1-45F2-8876-C745517C55D4}"/>
    <cellStyle name="Normal 3" xfId="3" xr:uid="{245B405F-E2D6-49A0-84FD-607C6C6D336E}"/>
    <cellStyle name="Normal 4" xfId="4" xr:uid="{F35569B0-8C30-49D9-A6BC-3EA70E612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68D7-F549-41F8-B7A1-4C89424D00B1}">
  <dimension ref="A1:J158"/>
  <sheetViews>
    <sheetView tabSelected="1" zoomScale="78" zoomScaleNormal="78" workbookViewId="0">
      <selection activeCell="C21" sqref="C21"/>
    </sheetView>
  </sheetViews>
  <sheetFormatPr baseColWidth="10" defaultRowHeight="15" x14ac:dyDescent="0.25"/>
  <cols>
    <col min="1" max="1" width="6.42578125" customWidth="1"/>
    <col min="2" max="2" width="12.28515625" customWidth="1"/>
    <col min="3" max="3" width="28.42578125" customWidth="1"/>
    <col min="4" max="4" width="8.42578125" customWidth="1"/>
    <col min="5" max="5" width="76.42578125" customWidth="1"/>
    <col min="7" max="7" width="10.42578125" bestFit="1" customWidth="1"/>
    <col min="8" max="8" width="13.85546875" customWidth="1"/>
    <col min="9" max="9" width="18.5703125" customWidth="1"/>
    <col min="11" max="11" width="14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2"/>
      <c r="I1" s="1"/>
      <c r="J1" s="1"/>
    </row>
    <row r="2" spans="1:10" ht="27" x14ac:dyDescent="0.35">
      <c r="A2" s="1"/>
      <c r="B2" s="65" t="s">
        <v>147</v>
      </c>
      <c r="C2" s="65"/>
      <c r="D2" s="65"/>
      <c r="E2" s="65"/>
      <c r="F2" s="65"/>
      <c r="G2" s="65"/>
      <c r="H2" s="65"/>
      <c r="I2" s="1"/>
    </row>
    <row r="3" spans="1:10" x14ac:dyDescent="0.25">
      <c r="A3" s="1"/>
      <c r="B3" s="1"/>
      <c r="C3" s="1"/>
      <c r="D3" s="1"/>
      <c r="E3" s="1"/>
      <c r="F3" s="1"/>
      <c r="G3" s="1"/>
      <c r="H3" s="2"/>
      <c r="I3" s="1"/>
    </row>
    <row r="4" spans="1:10" ht="15.75" x14ac:dyDescent="0.25">
      <c r="A4" s="63" t="s">
        <v>146</v>
      </c>
      <c r="B4" s="63"/>
      <c r="C4" s="64" t="s">
        <v>145</v>
      </c>
      <c r="D4" s="64"/>
      <c r="E4" s="64"/>
      <c r="F4" s="60"/>
      <c r="G4" s="59"/>
      <c r="H4" s="58"/>
      <c r="I4" s="1"/>
    </row>
    <row r="5" spans="1:10" ht="15.75" x14ac:dyDescent="0.25">
      <c r="A5" s="63" t="s">
        <v>144</v>
      </c>
      <c r="B5" s="63"/>
      <c r="C5" s="64" t="s">
        <v>143</v>
      </c>
      <c r="D5" s="64"/>
      <c r="E5" s="64"/>
      <c r="F5" s="60"/>
      <c r="G5" s="59" t="s">
        <v>142</v>
      </c>
      <c r="H5" s="58"/>
      <c r="I5" s="1"/>
    </row>
    <row r="6" spans="1:10" ht="15.75" x14ac:dyDescent="0.25">
      <c r="A6" s="63" t="s">
        <v>141</v>
      </c>
      <c r="B6" s="63"/>
      <c r="C6" s="62">
        <v>2021</v>
      </c>
      <c r="D6" s="61"/>
      <c r="E6" s="61"/>
      <c r="F6" s="60"/>
      <c r="G6" s="59"/>
      <c r="H6" s="58"/>
      <c r="I6" s="1"/>
    </row>
    <row r="7" spans="1:10" ht="15.75" x14ac:dyDescent="0.25">
      <c r="A7" s="63" t="s">
        <v>140</v>
      </c>
      <c r="B7" s="63"/>
      <c r="C7" s="62">
        <v>2</v>
      </c>
      <c r="D7" s="61"/>
      <c r="E7" s="61"/>
      <c r="F7" s="60"/>
      <c r="G7" s="59"/>
      <c r="H7" s="58"/>
      <c r="I7" s="1"/>
    </row>
    <row r="8" spans="1:10" ht="15.75" thickBot="1" x14ac:dyDescent="0.3">
      <c r="A8" s="1"/>
      <c r="B8" s="60"/>
      <c r="C8" s="59"/>
      <c r="D8" s="60"/>
      <c r="E8" s="60"/>
      <c r="F8" s="60"/>
      <c r="G8" s="59"/>
      <c r="H8" s="58"/>
      <c r="I8" s="1"/>
    </row>
    <row r="9" spans="1:10" ht="36.75" thickBot="1" x14ac:dyDescent="0.3">
      <c r="A9" s="56" t="s">
        <v>139</v>
      </c>
      <c r="B9" s="56" t="s">
        <v>138</v>
      </c>
      <c r="C9" s="56" t="s">
        <v>137</v>
      </c>
      <c r="D9" s="56" t="s">
        <v>136</v>
      </c>
      <c r="E9" s="56" t="s">
        <v>135</v>
      </c>
      <c r="F9" s="56" t="s">
        <v>134</v>
      </c>
      <c r="G9" s="56" t="s">
        <v>133</v>
      </c>
      <c r="H9" s="57" t="s">
        <v>132</v>
      </c>
      <c r="I9" s="56" t="s">
        <v>131</v>
      </c>
    </row>
    <row r="10" spans="1:10" ht="27" thickBot="1" x14ac:dyDescent="0.3">
      <c r="A10" s="28">
        <v>1</v>
      </c>
      <c r="B10" s="55"/>
      <c r="C10" s="54" t="s">
        <v>9</v>
      </c>
      <c r="D10" s="53">
        <v>295</v>
      </c>
      <c r="E10" s="37" t="s">
        <v>130</v>
      </c>
      <c r="F10" s="52" t="s">
        <v>7</v>
      </c>
      <c r="G10" s="31">
        <v>100</v>
      </c>
      <c r="H10" s="30">
        <v>2630</v>
      </c>
      <c r="I10" s="51">
        <f>+G10*H10</f>
        <v>263000</v>
      </c>
    </row>
    <row r="11" spans="1:10" ht="27" thickBot="1" x14ac:dyDescent="0.3">
      <c r="A11" s="28">
        <v>2</v>
      </c>
      <c r="B11" s="39"/>
      <c r="C11" s="35" t="s">
        <v>9</v>
      </c>
      <c r="D11" s="34">
        <v>295</v>
      </c>
      <c r="E11" s="47" t="s">
        <v>129</v>
      </c>
      <c r="F11" s="32" t="s">
        <v>7</v>
      </c>
      <c r="G11" s="31">
        <v>10</v>
      </c>
      <c r="H11" s="30">
        <v>2650</v>
      </c>
      <c r="I11" s="29">
        <f>+G11*H11</f>
        <v>26500</v>
      </c>
    </row>
    <row r="12" spans="1:10" ht="27" thickBot="1" x14ac:dyDescent="0.3">
      <c r="A12" s="28">
        <v>3</v>
      </c>
      <c r="B12" s="39"/>
      <c r="C12" s="35" t="s">
        <v>9</v>
      </c>
      <c r="D12" s="34">
        <v>295</v>
      </c>
      <c r="E12" s="37" t="s">
        <v>128</v>
      </c>
      <c r="F12" s="32" t="s">
        <v>7</v>
      </c>
      <c r="G12" s="31">
        <v>100</v>
      </c>
      <c r="H12" s="30">
        <v>463</v>
      </c>
      <c r="I12" s="29">
        <f>+G12*H12</f>
        <v>46300</v>
      </c>
    </row>
    <row r="13" spans="1:10" ht="27" thickBot="1" x14ac:dyDescent="0.3">
      <c r="A13" s="28">
        <v>4</v>
      </c>
      <c r="B13" s="39"/>
      <c r="C13" s="35" t="s">
        <v>9</v>
      </c>
      <c r="D13" s="34">
        <v>295</v>
      </c>
      <c r="E13" s="37" t="s">
        <v>127</v>
      </c>
      <c r="F13" s="32" t="s">
        <v>7</v>
      </c>
      <c r="G13" s="31">
        <v>100</v>
      </c>
      <c r="H13" s="30">
        <v>463</v>
      </c>
      <c r="I13" s="29">
        <f>+G13*H13</f>
        <v>46300</v>
      </c>
    </row>
    <row r="14" spans="1:10" ht="27" thickBot="1" x14ac:dyDescent="0.3">
      <c r="A14" s="28">
        <v>5</v>
      </c>
      <c r="B14" s="39"/>
      <c r="C14" s="35" t="s">
        <v>9</v>
      </c>
      <c r="D14" s="34">
        <v>295</v>
      </c>
      <c r="E14" s="37" t="s">
        <v>126</v>
      </c>
      <c r="F14" s="32" t="s">
        <v>7</v>
      </c>
      <c r="G14" s="31">
        <v>100</v>
      </c>
      <c r="H14" s="30">
        <v>463</v>
      </c>
      <c r="I14" s="29">
        <f>+G14*H14</f>
        <v>46300</v>
      </c>
    </row>
    <row r="15" spans="1:10" ht="27" thickBot="1" x14ac:dyDescent="0.3">
      <c r="A15" s="28">
        <v>6</v>
      </c>
      <c r="B15" s="39"/>
      <c r="C15" s="35" t="s">
        <v>9</v>
      </c>
      <c r="D15" s="34">
        <v>295</v>
      </c>
      <c r="E15" s="37" t="s">
        <v>125</v>
      </c>
      <c r="F15" s="32" t="s">
        <v>7</v>
      </c>
      <c r="G15" s="31">
        <v>100</v>
      </c>
      <c r="H15" s="30">
        <v>463</v>
      </c>
      <c r="I15" s="29">
        <f>+G15*H15</f>
        <v>46300</v>
      </c>
    </row>
    <row r="16" spans="1:10" ht="27" thickBot="1" x14ac:dyDescent="0.3">
      <c r="A16" s="28">
        <v>7</v>
      </c>
      <c r="B16" s="39"/>
      <c r="C16" s="35" t="s">
        <v>9</v>
      </c>
      <c r="D16" s="34">
        <v>295</v>
      </c>
      <c r="E16" s="37" t="s">
        <v>124</v>
      </c>
      <c r="F16" s="32" t="s">
        <v>7</v>
      </c>
      <c r="G16" s="31">
        <v>50</v>
      </c>
      <c r="H16" s="30">
        <v>463</v>
      </c>
      <c r="I16" s="29">
        <f>+G16*H16</f>
        <v>23150</v>
      </c>
    </row>
    <row r="17" spans="1:9" ht="27" thickBot="1" x14ac:dyDescent="0.3">
      <c r="A17" s="28">
        <v>8</v>
      </c>
      <c r="B17" s="39"/>
      <c r="C17" s="35" t="s">
        <v>9</v>
      </c>
      <c r="D17" s="34">
        <v>295</v>
      </c>
      <c r="E17" s="37" t="s">
        <v>123</v>
      </c>
      <c r="F17" s="32" t="s">
        <v>7</v>
      </c>
      <c r="G17" s="31">
        <v>50</v>
      </c>
      <c r="H17" s="30">
        <v>463</v>
      </c>
      <c r="I17" s="29">
        <f>+G17*H17</f>
        <v>23150</v>
      </c>
    </row>
    <row r="18" spans="1:9" ht="27" thickBot="1" x14ac:dyDescent="0.3">
      <c r="A18" s="28">
        <v>9</v>
      </c>
      <c r="B18" s="39"/>
      <c r="C18" s="35" t="s">
        <v>9</v>
      </c>
      <c r="D18" s="34">
        <v>295</v>
      </c>
      <c r="E18" s="37" t="s">
        <v>122</v>
      </c>
      <c r="F18" s="32" t="s">
        <v>7</v>
      </c>
      <c r="G18" s="31">
        <v>120</v>
      </c>
      <c r="H18" s="30">
        <v>55</v>
      </c>
      <c r="I18" s="29">
        <f>+G18*H18</f>
        <v>6600</v>
      </c>
    </row>
    <row r="19" spans="1:9" ht="27" thickBot="1" x14ac:dyDescent="0.3">
      <c r="A19" s="28">
        <v>10</v>
      </c>
      <c r="B19" s="39"/>
      <c r="C19" s="35" t="s">
        <v>9</v>
      </c>
      <c r="D19" s="34">
        <v>295</v>
      </c>
      <c r="E19" s="37" t="s">
        <v>121</v>
      </c>
      <c r="F19" s="32" t="s">
        <v>7</v>
      </c>
      <c r="G19" s="31">
        <v>120</v>
      </c>
      <c r="H19" s="30">
        <v>55</v>
      </c>
      <c r="I19" s="29">
        <f>+G19*H19</f>
        <v>6600</v>
      </c>
    </row>
    <row r="20" spans="1:9" ht="27" thickBot="1" x14ac:dyDescent="0.3">
      <c r="A20" s="28">
        <v>11</v>
      </c>
      <c r="B20" s="39"/>
      <c r="C20" s="35" t="s">
        <v>9</v>
      </c>
      <c r="D20" s="34">
        <v>295</v>
      </c>
      <c r="E20" s="37" t="s">
        <v>120</v>
      </c>
      <c r="F20" s="32" t="s">
        <v>7</v>
      </c>
      <c r="G20" s="31">
        <v>10</v>
      </c>
      <c r="H20" s="30">
        <v>380</v>
      </c>
      <c r="I20" s="29">
        <f>+G20*H20</f>
        <v>3800</v>
      </c>
    </row>
    <row r="21" spans="1:9" ht="27" thickBot="1" x14ac:dyDescent="0.3">
      <c r="A21" s="28">
        <v>12</v>
      </c>
      <c r="B21" s="39"/>
      <c r="C21" s="35" t="s">
        <v>9</v>
      </c>
      <c r="D21" s="34">
        <v>295</v>
      </c>
      <c r="E21" s="37" t="s">
        <v>119</v>
      </c>
      <c r="F21" s="32" t="s">
        <v>7</v>
      </c>
      <c r="G21" s="31">
        <v>70</v>
      </c>
      <c r="H21" s="30">
        <v>380</v>
      </c>
      <c r="I21" s="29">
        <f>+G21*H21</f>
        <v>26600</v>
      </c>
    </row>
    <row r="22" spans="1:9" ht="27" thickBot="1" x14ac:dyDescent="0.3">
      <c r="A22" s="28">
        <v>13</v>
      </c>
      <c r="B22" s="39"/>
      <c r="C22" s="35" t="s">
        <v>9</v>
      </c>
      <c r="D22" s="34">
        <v>295</v>
      </c>
      <c r="E22" s="37" t="s">
        <v>118</v>
      </c>
      <c r="F22" s="32" t="s">
        <v>7</v>
      </c>
      <c r="G22" s="31">
        <v>70</v>
      </c>
      <c r="H22" s="30">
        <v>380</v>
      </c>
      <c r="I22" s="29">
        <f>+G22*H22</f>
        <v>26600</v>
      </c>
    </row>
    <row r="23" spans="1:9" ht="27" thickBot="1" x14ac:dyDescent="0.3">
      <c r="A23" s="28">
        <v>14</v>
      </c>
      <c r="B23" s="39"/>
      <c r="C23" s="35" t="s">
        <v>9</v>
      </c>
      <c r="D23" s="34">
        <v>295</v>
      </c>
      <c r="E23" s="37" t="s">
        <v>117</v>
      </c>
      <c r="F23" s="32" t="s">
        <v>7</v>
      </c>
      <c r="G23" s="31">
        <v>70</v>
      </c>
      <c r="H23" s="30">
        <v>380</v>
      </c>
      <c r="I23" s="29">
        <f>+G23*H23</f>
        <v>26600</v>
      </c>
    </row>
    <row r="24" spans="1:9" ht="27" thickBot="1" x14ac:dyDescent="0.3">
      <c r="A24" s="28">
        <v>15</v>
      </c>
      <c r="B24" s="39"/>
      <c r="C24" s="35" t="s">
        <v>9</v>
      </c>
      <c r="D24" s="34">
        <v>295</v>
      </c>
      <c r="E24" s="37" t="s">
        <v>116</v>
      </c>
      <c r="F24" s="32" t="s">
        <v>7</v>
      </c>
      <c r="G24" s="31">
        <v>70</v>
      </c>
      <c r="H24" s="30">
        <v>380</v>
      </c>
      <c r="I24" s="29">
        <f>+G24*H24</f>
        <v>26600</v>
      </c>
    </row>
    <row r="25" spans="1:9" ht="27" thickBot="1" x14ac:dyDescent="0.3">
      <c r="A25" s="28">
        <v>16</v>
      </c>
      <c r="B25" s="39"/>
      <c r="C25" s="35" t="s">
        <v>9</v>
      </c>
      <c r="D25" s="34">
        <v>295</v>
      </c>
      <c r="E25" s="37" t="s">
        <v>115</v>
      </c>
      <c r="F25" s="32" t="s">
        <v>7</v>
      </c>
      <c r="G25" s="31">
        <v>70</v>
      </c>
      <c r="H25" s="30">
        <v>380</v>
      </c>
      <c r="I25" s="29">
        <f>+G25*H25</f>
        <v>26600</v>
      </c>
    </row>
    <row r="26" spans="1:9" ht="27" thickBot="1" x14ac:dyDescent="0.3">
      <c r="A26" s="28">
        <v>17</v>
      </c>
      <c r="B26" s="39"/>
      <c r="C26" s="35" t="s">
        <v>9</v>
      </c>
      <c r="D26" s="34">
        <v>295</v>
      </c>
      <c r="E26" s="37" t="s">
        <v>114</v>
      </c>
      <c r="F26" s="32" t="s">
        <v>7</v>
      </c>
      <c r="G26" s="31">
        <v>10</v>
      </c>
      <c r="H26" s="30">
        <v>380</v>
      </c>
      <c r="I26" s="29">
        <f>+G26*H26</f>
        <v>3800</v>
      </c>
    </row>
    <row r="27" spans="1:9" ht="27" thickBot="1" x14ac:dyDescent="0.3">
      <c r="A27" s="28">
        <v>18</v>
      </c>
      <c r="B27" s="39"/>
      <c r="C27" s="35" t="s">
        <v>9</v>
      </c>
      <c r="D27" s="34">
        <v>295</v>
      </c>
      <c r="E27" s="37" t="s">
        <v>113</v>
      </c>
      <c r="F27" s="32" t="s">
        <v>7</v>
      </c>
      <c r="G27" s="31">
        <v>70</v>
      </c>
      <c r="H27" s="30">
        <v>380</v>
      </c>
      <c r="I27" s="29">
        <f>+G27*H27</f>
        <v>26600</v>
      </c>
    </row>
    <row r="28" spans="1:9" ht="27" thickBot="1" x14ac:dyDescent="0.3">
      <c r="A28" s="28">
        <v>19</v>
      </c>
      <c r="B28" s="39"/>
      <c r="C28" s="35" t="s">
        <v>9</v>
      </c>
      <c r="D28" s="34">
        <v>295</v>
      </c>
      <c r="E28" s="37" t="s">
        <v>112</v>
      </c>
      <c r="F28" s="32" t="s">
        <v>7</v>
      </c>
      <c r="G28" s="31">
        <v>70</v>
      </c>
      <c r="H28" s="30">
        <v>380</v>
      </c>
      <c r="I28" s="29">
        <f>+G28*H28</f>
        <v>26600</v>
      </c>
    </row>
    <row r="29" spans="1:9" ht="27" thickBot="1" x14ac:dyDescent="0.3">
      <c r="A29" s="28">
        <v>20</v>
      </c>
      <c r="B29" s="39"/>
      <c r="C29" s="35" t="s">
        <v>9</v>
      </c>
      <c r="D29" s="34">
        <v>295</v>
      </c>
      <c r="E29" s="47" t="s">
        <v>111</v>
      </c>
      <c r="F29" s="32" t="s">
        <v>7</v>
      </c>
      <c r="G29" s="31">
        <v>20</v>
      </c>
      <c r="H29" s="30">
        <v>3900</v>
      </c>
      <c r="I29" s="29">
        <f>+G29*H29</f>
        <v>78000</v>
      </c>
    </row>
    <row r="30" spans="1:9" ht="27" thickBot="1" x14ac:dyDescent="0.3">
      <c r="A30" s="28">
        <v>21</v>
      </c>
      <c r="B30" s="39"/>
      <c r="C30" s="35" t="s">
        <v>9</v>
      </c>
      <c r="D30" s="34">
        <v>295</v>
      </c>
      <c r="E30" s="47" t="s">
        <v>110</v>
      </c>
      <c r="F30" s="32" t="s">
        <v>7</v>
      </c>
      <c r="G30" s="31">
        <v>20</v>
      </c>
      <c r="H30" s="30">
        <v>3900</v>
      </c>
      <c r="I30" s="29">
        <f>+G30*H30</f>
        <v>78000</v>
      </c>
    </row>
    <row r="31" spans="1:9" ht="27" thickBot="1" x14ac:dyDescent="0.3">
      <c r="A31" s="28">
        <v>22</v>
      </c>
      <c r="B31" s="39"/>
      <c r="C31" s="35" t="s">
        <v>9</v>
      </c>
      <c r="D31" s="34">
        <v>295</v>
      </c>
      <c r="E31" s="37" t="s">
        <v>109</v>
      </c>
      <c r="F31" s="32" t="s">
        <v>7</v>
      </c>
      <c r="G31" s="31">
        <v>50</v>
      </c>
      <c r="H31" s="30">
        <v>2638</v>
      </c>
      <c r="I31" s="29">
        <f>+G31*H31</f>
        <v>131900</v>
      </c>
    </row>
    <row r="32" spans="1:9" ht="27" thickBot="1" x14ac:dyDescent="0.3">
      <c r="A32" s="28">
        <v>23</v>
      </c>
      <c r="B32" s="39"/>
      <c r="C32" s="35" t="s">
        <v>9</v>
      </c>
      <c r="D32" s="34">
        <v>295</v>
      </c>
      <c r="E32" s="37" t="s">
        <v>108</v>
      </c>
      <c r="F32" s="32" t="s">
        <v>7</v>
      </c>
      <c r="G32" s="31">
        <v>10</v>
      </c>
      <c r="H32" s="30">
        <v>276</v>
      </c>
      <c r="I32" s="29">
        <f>+G32*H32</f>
        <v>2760</v>
      </c>
    </row>
    <row r="33" spans="1:9" ht="27" thickBot="1" x14ac:dyDescent="0.3">
      <c r="A33" s="28">
        <v>24</v>
      </c>
      <c r="B33" s="39"/>
      <c r="C33" s="35" t="s">
        <v>9</v>
      </c>
      <c r="D33" s="34">
        <v>295</v>
      </c>
      <c r="E33" s="37" t="s">
        <v>107</v>
      </c>
      <c r="F33" s="31" t="s">
        <v>7</v>
      </c>
      <c r="G33" s="31">
        <v>20</v>
      </c>
      <c r="H33" s="50">
        <v>276</v>
      </c>
      <c r="I33" s="49">
        <f>+G33*H33</f>
        <v>5520</v>
      </c>
    </row>
    <row r="34" spans="1:9" ht="27" thickBot="1" x14ac:dyDescent="0.3">
      <c r="A34" s="28">
        <v>25</v>
      </c>
      <c r="B34" s="39"/>
      <c r="C34" s="35" t="s">
        <v>9</v>
      </c>
      <c r="D34" s="34">
        <v>295</v>
      </c>
      <c r="E34" s="37" t="s">
        <v>106</v>
      </c>
      <c r="F34" s="32" t="s">
        <v>7</v>
      </c>
      <c r="G34" s="31">
        <v>20</v>
      </c>
      <c r="H34" s="30">
        <v>276</v>
      </c>
      <c r="I34" s="29">
        <f>+G34*H34</f>
        <v>5520</v>
      </c>
    </row>
    <row r="35" spans="1:9" ht="27" thickBot="1" x14ac:dyDescent="0.3">
      <c r="A35" s="28">
        <v>26</v>
      </c>
      <c r="B35" s="39"/>
      <c r="C35" s="35" t="s">
        <v>9</v>
      </c>
      <c r="D35" s="34">
        <v>295</v>
      </c>
      <c r="E35" s="37" t="s">
        <v>105</v>
      </c>
      <c r="F35" s="32" t="s">
        <v>7</v>
      </c>
      <c r="G35" s="31">
        <v>10</v>
      </c>
      <c r="H35" s="30">
        <v>276</v>
      </c>
      <c r="I35" s="29">
        <f>+G35*H35</f>
        <v>2760</v>
      </c>
    </row>
    <row r="36" spans="1:9" ht="27" thickBot="1" x14ac:dyDescent="0.3">
      <c r="A36" s="28">
        <v>27</v>
      </c>
      <c r="B36" s="39"/>
      <c r="C36" s="35" t="s">
        <v>9</v>
      </c>
      <c r="D36" s="34">
        <v>295</v>
      </c>
      <c r="E36" s="37" t="s">
        <v>104</v>
      </c>
      <c r="F36" s="32" t="s">
        <v>7</v>
      </c>
      <c r="G36" s="31">
        <v>5</v>
      </c>
      <c r="H36" s="30">
        <v>1700</v>
      </c>
      <c r="I36" s="29">
        <f>+G36*H36</f>
        <v>8500</v>
      </c>
    </row>
    <row r="37" spans="1:9" ht="27" thickBot="1" x14ac:dyDescent="0.3">
      <c r="A37" s="28">
        <v>28</v>
      </c>
      <c r="B37" s="39"/>
      <c r="C37" s="35" t="s">
        <v>9</v>
      </c>
      <c r="D37" s="34">
        <v>295</v>
      </c>
      <c r="E37" s="48" t="s">
        <v>103</v>
      </c>
      <c r="F37" s="32" t="s">
        <v>7</v>
      </c>
      <c r="G37" s="31">
        <v>5</v>
      </c>
      <c r="H37" s="30"/>
      <c r="I37" s="29">
        <f>+G37*H37</f>
        <v>0</v>
      </c>
    </row>
    <row r="38" spans="1:9" ht="27" thickBot="1" x14ac:dyDescent="0.3">
      <c r="A38" s="28">
        <v>29</v>
      </c>
      <c r="B38" s="39"/>
      <c r="C38" s="35" t="s">
        <v>9</v>
      </c>
      <c r="D38" s="34">
        <v>295</v>
      </c>
      <c r="E38" s="37" t="s">
        <v>102</v>
      </c>
      <c r="F38" s="32" t="s">
        <v>7</v>
      </c>
      <c r="G38" s="31">
        <v>10</v>
      </c>
      <c r="H38" s="30">
        <v>750</v>
      </c>
      <c r="I38" s="29">
        <f>+G38*H38</f>
        <v>7500</v>
      </c>
    </row>
    <row r="39" spans="1:9" ht="27" thickBot="1" x14ac:dyDescent="0.3">
      <c r="A39" s="28">
        <v>30</v>
      </c>
      <c r="B39" s="39"/>
      <c r="C39" s="35" t="s">
        <v>9</v>
      </c>
      <c r="D39" s="34">
        <v>295</v>
      </c>
      <c r="E39" s="37" t="s">
        <v>101</v>
      </c>
      <c r="F39" s="32" t="s">
        <v>7</v>
      </c>
      <c r="G39" s="31">
        <v>10</v>
      </c>
      <c r="H39" s="30">
        <v>750</v>
      </c>
      <c r="I39" s="29">
        <f>+G39*H39</f>
        <v>7500</v>
      </c>
    </row>
    <row r="40" spans="1:9" ht="27" thickBot="1" x14ac:dyDescent="0.3">
      <c r="A40" s="28">
        <v>31</v>
      </c>
      <c r="B40" s="39"/>
      <c r="C40" s="35" t="s">
        <v>9</v>
      </c>
      <c r="D40" s="34">
        <v>295</v>
      </c>
      <c r="E40" s="37" t="s">
        <v>100</v>
      </c>
      <c r="F40" s="32" t="s">
        <v>7</v>
      </c>
      <c r="G40" s="31">
        <v>180</v>
      </c>
      <c r="H40" s="30">
        <v>430</v>
      </c>
      <c r="I40" s="29">
        <f>+G40*H40</f>
        <v>77400</v>
      </c>
    </row>
    <row r="41" spans="1:9" ht="27" thickBot="1" x14ac:dyDescent="0.3">
      <c r="A41" s="28">
        <v>32</v>
      </c>
      <c r="B41" s="39"/>
      <c r="C41" s="35" t="s">
        <v>9</v>
      </c>
      <c r="D41" s="34">
        <v>295</v>
      </c>
      <c r="E41" s="37" t="s">
        <v>99</v>
      </c>
      <c r="F41" s="32" t="s">
        <v>7</v>
      </c>
      <c r="G41" s="31">
        <v>10</v>
      </c>
      <c r="H41" s="30">
        <v>1950</v>
      </c>
      <c r="I41" s="29">
        <f>+G41*H41</f>
        <v>19500</v>
      </c>
    </row>
    <row r="42" spans="1:9" ht="27" thickBot="1" x14ac:dyDescent="0.3">
      <c r="A42" s="28">
        <v>33</v>
      </c>
      <c r="B42" s="39"/>
      <c r="C42" s="35" t="s">
        <v>9</v>
      </c>
      <c r="D42" s="34">
        <v>295</v>
      </c>
      <c r="E42" s="37" t="s">
        <v>98</v>
      </c>
      <c r="F42" s="32" t="s">
        <v>7</v>
      </c>
      <c r="G42" s="31">
        <v>10</v>
      </c>
      <c r="H42" s="30">
        <v>1950</v>
      </c>
      <c r="I42" s="29">
        <f>+G42*H42</f>
        <v>19500</v>
      </c>
    </row>
    <row r="43" spans="1:9" ht="27" thickBot="1" x14ac:dyDescent="0.3">
      <c r="A43" s="28">
        <v>34</v>
      </c>
      <c r="B43" s="39"/>
      <c r="C43" s="35" t="s">
        <v>9</v>
      </c>
      <c r="D43" s="34">
        <v>295</v>
      </c>
      <c r="E43" s="37" t="s">
        <v>97</v>
      </c>
      <c r="F43" s="32" t="s">
        <v>7</v>
      </c>
      <c r="G43" s="31">
        <v>10</v>
      </c>
      <c r="H43" s="30">
        <v>1950</v>
      </c>
      <c r="I43" s="29">
        <f>+G43*H43</f>
        <v>19500</v>
      </c>
    </row>
    <row r="44" spans="1:9" ht="27" thickBot="1" x14ac:dyDescent="0.3">
      <c r="A44" s="28">
        <v>35</v>
      </c>
      <c r="B44" s="39"/>
      <c r="C44" s="35" t="s">
        <v>9</v>
      </c>
      <c r="D44" s="34">
        <v>295</v>
      </c>
      <c r="E44" s="37" t="s">
        <v>96</v>
      </c>
      <c r="F44" s="32" t="s">
        <v>7</v>
      </c>
      <c r="G44" s="31">
        <v>50</v>
      </c>
      <c r="H44" s="30">
        <v>2000</v>
      </c>
      <c r="I44" s="29">
        <f>+G44*H44</f>
        <v>100000</v>
      </c>
    </row>
    <row r="45" spans="1:9" ht="27" thickBot="1" x14ac:dyDescent="0.3">
      <c r="A45" s="28">
        <v>36</v>
      </c>
      <c r="B45" s="39"/>
      <c r="C45" s="35" t="s">
        <v>9</v>
      </c>
      <c r="D45" s="34">
        <v>295</v>
      </c>
      <c r="E45" s="37" t="s">
        <v>95</v>
      </c>
      <c r="F45" s="32" t="s">
        <v>7</v>
      </c>
      <c r="G45" s="31">
        <v>50</v>
      </c>
      <c r="H45" s="30">
        <v>2000</v>
      </c>
      <c r="I45" s="29">
        <f>+G45*H45</f>
        <v>100000</v>
      </c>
    </row>
    <row r="46" spans="1:9" ht="27" thickBot="1" x14ac:dyDescent="0.3">
      <c r="A46" s="28">
        <v>37</v>
      </c>
      <c r="B46" s="39"/>
      <c r="C46" s="35" t="s">
        <v>9</v>
      </c>
      <c r="D46" s="34">
        <v>295</v>
      </c>
      <c r="E46" s="37" t="s">
        <v>94</v>
      </c>
      <c r="F46" s="32" t="s">
        <v>7</v>
      </c>
      <c r="G46" s="31">
        <v>50</v>
      </c>
      <c r="H46" s="30">
        <v>2000</v>
      </c>
      <c r="I46" s="29">
        <f>+G46*H46</f>
        <v>100000</v>
      </c>
    </row>
    <row r="47" spans="1:9" ht="27" thickBot="1" x14ac:dyDescent="0.3">
      <c r="A47" s="28">
        <v>38</v>
      </c>
      <c r="B47" s="39"/>
      <c r="C47" s="35" t="s">
        <v>9</v>
      </c>
      <c r="D47" s="34">
        <v>295</v>
      </c>
      <c r="E47" s="37" t="s">
        <v>93</v>
      </c>
      <c r="F47" s="32" t="s">
        <v>7</v>
      </c>
      <c r="G47" s="31">
        <v>50</v>
      </c>
      <c r="H47" s="30">
        <v>2000</v>
      </c>
      <c r="I47" s="29">
        <f>+G47*H47</f>
        <v>100000</v>
      </c>
    </row>
    <row r="48" spans="1:9" ht="27" thickBot="1" x14ac:dyDescent="0.3">
      <c r="A48" s="28">
        <v>39</v>
      </c>
      <c r="B48" s="39"/>
      <c r="C48" s="35" t="s">
        <v>9</v>
      </c>
      <c r="D48" s="34">
        <v>295</v>
      </c>
      <c r="E48" s="37" t="s">
        <v>92</v>
      </c>
      <c r="F48" s="32" t="s">
        <v>7</v>
      </c>
      <c r="G48" s="31">
        <v>50</v>
      </c>
      <c r="H48" s="30">
        <v>2000</v>
      </c>
      <c r="I48" s="29">
        <f>+G48*H48</f>
        <v>100000</v>
      </c>
    </row>
    <row r="49" spans="1:9" ht="27" thickBot="1" x14ac:dyDescent="0.3">
      <c r="A49" s="28">
        <v>40</v>
      </c>
      <c r="B49" s="39"/>
      <c r="C49" s="35" t="s">
        <v>9</v>
      </c>
      <c r="D49" s="34">
        <v>295</v>
      </c>
      <c r="E49" s="37" t="s">
        <v>91</v>
      </c>
      <c r="F49" s="32" t="s">
        <v>7</v>
      </c>
      <c r="G49" s="31">
        <v>50</v>
      </c>
      <c r="H49" s="30">
        <v>2000</v>
      </c>
      <c r="I49" s="29">
        <f>+G49*H49</f>
        <v>100000</v>
      </c>
    </row>
    <row r="50" spans="1:9" ht="27" thickBot="1" x14ac:dyDescent="0.3">
      <c r="A50" s="28">
        <v>41</v>
      </c>
      <c r="B50" s="39"/>
      <c r="C50" s="35" t="s">
        <v>9</v>
      </c>
      <c r="D50" s="34">
        <v>295</v>
      </c>
      <c r="E50" s="37" t="s">
        <v>90</v>
      </c>
      <c r="F50" s="32" t="s">
        <v>7</v>
      </c>
      <c r="G50" s="31">
        <v>50</v>
      </c>
      <c r="H50" s="30">
        <v>2000</v>
      </c>
      <c r="I50" s="29">
        <f>+G50*H50</f>
        <v>100000</v>
      </c>
    </row>
    <row r="51" spans="1:9" ht="27" thickBot="1" x14ac:dyDescent="0.3">
      <c r="A51" s="28">
        <v>42</v>
      </c>
      <c r="B51" s="39"/>
      <c r="C51" s="35" t="s">
        <v>9</v>
      </c>
      <c r="D51" s="34">
        <v>295</v>
      </c>
      <c r="E51" s="47" t="s">
        <v>89</v>
      </c>
      <c r="F51" s="32" t="s">
        <v>7</v>
      </c>
      <c r="G51" s="31">
        <v>100</v>
      </c>
      <c r="H51" s="30">
        <v>4690</v>
      </c>
      <c r="I51" s="29">
        <f>+G51*H51</f>
        <v>469000</v>
      </c>
    </row>
    <row r="52" spans="1:9" ht="27" thickBot="1" x14ac:dyDescent="0.3">
      <c r="A52" s="28">
        <v>43</v>
      </c>
      <c r="B52" s="39"/>
      <c r="C52" s="35" t="s">
        <v>9</v>
      </c>
      <c r="D52" s="34">
        <v>295</v>
      </c>
      <c r="E52" s="37" t="s">
        <v>88</v>
      </c>
      <c r="F52" s="32" t="s">
        <v>7</v>
      </c>
      <c r="G52" s="31">
        <v>10</v>
      </c>
      <c r="H52" s="30">
        <v>2490</v>
      </c>
      <c r="I52" s="29">
        <f>+G52*H52</f>
        <v>24900</v>
      </c>
    </row>
    <row r="53" spans="1:9" ht="27" thickBot="1" x14ac:dyDescent="0.3">
      <c r="A53" s="28">
        <v>44</v>
      </c>
      <c r="B53" s="39"/>
      <c r="C53" s="35" t="s">
        <v>9</v>
      </c>
      <c r="D53" s="34">
        <v>295</v>
      </c>
      <c r="E53" s="37" t="s">
        <v>87</v>
      </c>
      <c r="F53" s="32" t="s">
        <v>7</v>
      </c>
      <c r="G53" s="31">
        <v>10</v>
      </c>
      <c r="H53" s="30">
        <v>2490</v>
      </c>
      <c r="I53" s="29">
        <f>+G53*H53</f>
        <v>24900</v>
      </c>
    </row>
    <row r="54" spans="1:9" ht="27" thickBot="1" x14ac:dyDescent="0.3">
      <c r="A54" s="28">
        <v>45</v>
      </c>
      <c r="B54" s="39"/>
      <c r="C54" s="35" t="s">
        <v>9</v>
      </c>
      <c r="D54" s="34">
        <v>295</v>
      </c>
      <c r="E54" s="37" t="s">
        <v>86</v>
      </c>
      <c r="F54" s="32" t="s">
        <v>7</v>
      </c>
      <c r="G54" s="31">
        <v>10</v>
      </c>
      <c r="H54" s="30">
        <v>2490</v>
      </c>
      <c r="I54" s="29">
        <f>+G54*H54</f>
        <v>24900</v>
      </c>
    </row>
    <row r="55" spans="1:9" ht="27" thickBot="1" x14ac:dyDescent="0.3">
      <c r="A55" s="28">
        <v>46</v>
      </c>
      <c r="B55" s="39"/>
      <c r="C55" s="35" t="s">
        <v>9</v>
      </c>
      <c r="D55" s="34">
        <v>295</v>
      </c>
      <c r="E55" s="37" t="s">
        <v>85</v>
      </c>
      <c r="F55" s="32" t="s">
        <v>7</v>
      </c>
      <c r="G55" s="31">
        <v>300</v>
      </c>
      <c r="H55" s="30">
        <v>190</v>
      </c>
      <c r="I55" s="29">
        <f>+G55*H55</f>
        <v>57000</v>
      </c>
    </row>
    <row r="56" spans="1:9" ht="27" thickBot="1" x14ac:dyDescent="0.3">
      <c r="A56" s="28">
        <v>47</v>
      </c>
      <c r="B56" s="39"/>
      <c r="C56" s="35" t="s">
        <v>9</v>
      </c>
      <c r="D56" s="34">
        <v>295</v>
      </c>
      <c r="E56" s="37" t="s">
        <v>84</v>
      </c>
      <c r="F56" s="32" t="s">
        <v>7</v>
      </c>
      <c r="G56" s="31">
        <v>300</v>
      </c>
      <c r="H56" s="30">
        <v>200</v>
      </c>
      <c r="I56" s="29">
        <f>+G56*H56</f>
        <v>60000</v>
      </c>
    </row>
    <row r="57" spans="1:9" ht="27" thickBot="1" x14ac:dyDescent="0.3">
      <c r="A57" s="28">
        <v>48</v>
      </c>
      <c r="B57" s="39"/>
      <c r="C57" s="35" t="s">
        <v>9</v>
      </c>
      <c r="D57" s="34">
        <v>295</v>
      </c>
      <c r="E57" s="37" t="s">
        <v>83</v>
      </c>
      <c r="F57" s="32" t="s">
        <v>7</v>
      </c>
      <c r="G57" s="31">
        <v>300</v>
      </c>
      <c r="H57" s="30">
        <v>210</v>
      </c>
      <c r="I57" s="29">
        <f>+G57*H57</f>
        <v>63000</v>
      </c>
    </row>
    <row r="58" spans="1:9" ht="27" thickBot="1" x14ac:dyDescent="0.3">
      <c r="A58" s="28">
        <v>49</v>
      </c>
      <c r="B58" s="39"/>
      <c r="C58" s="35" t="s">
        <v>9</v>
      </c>
      <c r="D58" s="34">
        <v>295</v>
      </c>
      <c r="E58" s="37" t="s">
        <v>82</v>
      </c>
      <c r="F58" s="32" t="s">
        <v>7</v>
      </c>
      <c r="G58" s="31">
        <v>300</v>
      </c>
      <c r="H58" s="30">
        <v>180</v>
      </c>
      <c r="I58" s="29">
        <f>+G58*H58</f>
        <v>54000</v>
      </c>
    </row>
    <row r="59" spans="1:9" ht="27" thickBot="1" x14ac:dyDescent="0.3">
      <c r="A59" s="28">
        <v>50</v>
      </c>
      <c r="B59" s="39"/>
      <c r="C59" s="35" t="s">
        <v>9</v>
      </c>
      <c r="D59" s="34">
        <v>295</v>
      </c>
      <c r="E59" s="37" t="s">
        <v>81</v>
      </c>
      <c r="F59" s="32" t="s">
        <v>7</v>
      </c>
      <c r="G59" s="31">
        <v>100</v>
      </c>
      <c r="H59" s="30">
        <v>300</v>
      </c>
      <c r="I59" s="29">
        <f>+G59*H59</f>
        <v>30000</v>
      </c>
    </row>
    <row r="60" spans="1:9" ht="27" thickBot="1" x14ac:dyDescent="0.3">
      <c r="A60" s="28">
        <v>51</v>
      </c>
      <c r="B60" s="39"/>
      <c r="C60" s="35" t="s">
        <v>9</v>
      </c>
      <c r="D60" s="34">
        <v>295</v>
      </c>
      <c r="E60" s="37" t="s">
        <v>80</v>
      </c>
      <c r="F60" s="32" t="s">
        <v>7</v>
      </c>
      <c r="G60" s="31">
        <v>100</v>
      </c>
      <c r="H60" s="30">
        <v>300</v>
      </c>
      <c r="I60" s="29">
        <f>+G60*H60</f>
        <v>30000</v>
      </c>
    </row>
    <row r="61" spans="1:9" ht="27" thickBot="1" x14ac:dyDescent="0.3">
      <c r="A61" s="28">
        <v>52</v>
      </c>
      <c r="B61" s="39"/>
      <c r="C61" s="35" t="s">
        <v>9</v>
      </c>
      <c r="D61" s="34">
        <v>295</v>
      </c>
      <c r="E61" s="37" t="s">
        <v>79</v>
      </c>
      <c r="F61" s="32" t="s">
        <v>7</v>
      </c>
      <c r="G61" s="31">
        <v>100</v>
      </c>
      <c r="H61" s="30">
        <v>300</v>
      </c>
      <c r="I61" s="29">
        <f>+G61*H61</f>
        <v>30000</v>
      </c>
    </row>
    <row r="62" spans="1:9" ht="27" thickBot="1" x14ac:dyDescent="0.3">
      <c r="A62" s="28">
        <v>53</v>
      </c>
      <c r="B62" s="39"/>
      <c r="C62" s="35" t="s">
        <v>9</v>
      </c>
      <c r="D62" s="34">
        <v>295</v>
      </c>
      <c r="E62" s="37" t="s">
        <v>78</v>
      </c>
      <c r="F62" s="32" t="s">
        <v>7</v>
      </c>
      <c r="G62" s="31">
        <v>100</v>
      </c>
      <c r="H62" s="30">
        <v>300</v>
      </c>
      <c r="I62" s="29">
        <f>+G62*H62</f>
        <v>30000</v>
      </c>
    </row>
    <row r="63" spans="1:9" ht="27" thickBot="1" x14ac:dyDescent="0.3">
      <c r="A63" s="28">
        <v>54</v>
      </c>
      <c r="B63" s="39"/>
      <c r="C63" s="35" t="s">
        <v>9</v>
      </c>
      <c r="D63" s="34">
        <v>295</v>
      </c>
      <c r="E63" s="37" t="s">
        <v>77</v>
      </c>
      <c r="F63" s="32" t="s">
        <v>7</v>
      </c>
      <c r="G63" s="31">
        <v>100</v>
      </c>
      <c r="H63" s="30">
        <v>320</v>
      </c>
      <c r="I63" s="29">
        <f>+G63*H63</f>
        <v>32000</v>
      </c>
    </row>
    <row r="64" spans="1:9" ht="27" thickBot="1" x14ac:dyDescent="0.3">
      <c r="A64" s="28">
        <v>55</v>
      </c>
      <c r="B64" s="39"/>
      <c r="C64" s="35" t="s">
        <v>9</v>
      </c>
      <c r="D64" s="34">
        <v>295</v>
      </c>
      <c r="E64" s="37" t="s">
        <v>76</v>
      </c>
      <c r="F64" s="32" t="s">
        <v>7</v>
      </c>
      <c r="G64" s="31">
        <v>70</v>
      </c>
      <c r="H64" s="30">
        <v>3500</v>
      </c>
      <c r="I64" s="29">
        <f>+G64*H64</f>
        <v>245000</v>
      </c>
    </row>
    <row r="65" spans="1:9" ht="27" thickBot="1" x14ac:dyDescent="0.3">
      <c r="A65" s="28">
        <v>56</v>
      </c>
      <c r="B65" s="39"/>
      <c r="C65" s="35" t="s">
        <v>9</v>
      </c>
      <c r="D65" s="34">
        <v>295</v>
      </c>
      <c r="E65" s="37" t="s">
        <v>75</v>
      </c>
      <c r="F65" s="32" t="s">
        <v>7</v>
      </c>
      <c r="G65" s="31">
        <v>50</v>
      </c>
      <c r="H65" s="30">
        <v>345</v>
      </c>
      <c r="I65" s="29">
        <f>+G65*H65</f>
        <v>17250</v>
      </c>
    </row>
    <row r="66" spans="1:9" ht="27" thickBot="1" x14ac:dyDescent="0.3">
      <c r="A66" s="28">
        <v>57</v>
      </c>
      <c r="B66" s="39"/>
      <c r="C66" s="35" t="s">
        <v>9</v>
      </c>
      <c r="D66" s="34">
        <v>295</v>
      </c>
      <c r="E66" s="37" t="s">
        <v>74</v>
      </c>
      <c r="F66" s="32" t="s">
        <v>7</v>
      </c>
      <c r="G66" s="31">
        <v>200</v>
      </c>
      <c r="H66" s="30">
        <v>750</v>
      </c>
      <c r="I66" s="29">
        <f>+G66*H66</f>
        <v>150000</v>
      </c>
    </row>
    <row r="67" spans="1:9" ht="27" thickBot="1" x14ac:dyDescent="0.3">
      <c r="A67" s="28">
        <v>58</v>
      </c>
      <c r="B67" s="39"/>
      <c r="C67" s="35" t="s">
        <v>9</v>
      </c>
      <c r="D67" s="34">
        <v>295</v>
      </c>
      <c r="E67" s="37" t="s">
        <v>73</v>
      </c>
      <c r="F67" s="32" t="s">
        <v>7</v>
      </c>
      <c r="G67" s="31">
        <v>50</v>
      </c>
      <c r="H67" s="30">
        <v>500</v>
      </c>
      <c r="I67" s="29">
        <f>+G67*H67</f>
        <v>25000</v>
      </c>
    </row>
    <row r="68" spans="1:9" ht="27" thickBot="1" x14ac:dyDescent="0.3">
      <c r="A68" s="28">
        <v>59</v>
      </c>
      <c r="B68" s="39"/>
      <c r="C68" s="35" t="s">
        <v>9</v>
      </c>
      <c r="D68" s="34">
        <v>295</v>
      </c>
      <c r="E68" s="37" t="s">
        <v>72</v>
      </c>
      <c r="F68" s="32" t="s">
        <v>7</v>
      </c>
      <c r="G68" s="31">
        <v>50</v>
      </c>
      <c r="H68" s="30">
        <v>265</v>
      </c>
      <c r="I68" s="29">
        <f>+G68*H68</f>
        <v>13250</v>
      </c>
    </row>
    <row r="69" spans="1:9" ht="27" thickBot="1" x14ac:dyDescent="0.3">
      <c r="A69" s="28">
        <v>60</v>
      </c>
      <c r="B69" s="39"/>
      <c r="C69" s="35" t="s">
        <v>9</v>
      </c>
      <c r="D69" s="34">
        <v>295</v>
      </c>
      <c r="E69" s="37" t="s">
        <v>71</v>
      </c>
      <c r="F69" s="32" t="s">
        <v>7</v>
      </c>
      <c r="G69" s="31">
        <v>200</v>
      </c>
      <c r="H69" s="30">
        <v>550</v>
      </c>
      <c r="I69" s="29">
        <f>+G69*H69</f>
        <v>110000</v>
      </c>
    </row>
    <row r="70" spans="1:9" ht="27" thickBot="1" x14ac:dyDescent="0.3">
      <c r="A70" s="28">
        <v>61</v>
      </c>
      <c r="B70" s="39"/>
      <c r="C70" s="35" t="s">
        <v>9</v>
      </c>
      <c r="D70" s="34">
        <v>295</v>
      </c>
      <c r="E70" s="46" t="s">
        <v>70</v>
      </c>
      <c r="F70" s="32" t="s">
        <v>7</v>
      </c>
      <c r="G70" s="31">
        <v>20</v>
      </c>
      <c r="H70" s="30">
        <v>625</v>
      </c>
      <c r="I70" s="29">
        <f>+G70*H70</f>
        <v>12500</v>
      </c>
    </row>
    <row r="71" spans="1:9" ht="27" thickBot="1" x14ac:dyDescent="0.3">
      <c r="A71" s="28">
        <v>62</v>
      </c>
      <c r="B71" s="39"/>
      <c r="C71" s="35" t="s">
        <v>9</v>
      </c>
      <c r="D71" s="34">
        <v>295</v>
      </c>
      <c r="E71" s="43" t="s">
        <v>69</v>
      </c>
      <c r="F71" s="32" t="s">
        <v>7</v>
      </c>
      <c r="G71" s="31">
        <v>2</v>
      </c>
      <c r="H71" s="30">
        <v>25600</v>
      </c>
      <c r="I71" s="29">
        <f>+G71*H71</f>
        <v>51200</v>
      </c>
    </row>
    <row r="72" spans="1:9" ht="27" thickBot="1" x14ac:dyDescent="0.3">
      <c r="A72" s="28">
        <v>63</v>
      </c>
      <c r="B72" s="39"/>
      <c r="C72" s="35" t="s">
        <v>9</v>
      </c>
      <c r="D72" s="34">
        <v>295</v>
      </c>
      <c r="E72" s="44" t="s">
        <v>68</v>
      </c>
      <c r="F72" s="32" t="s">
        <v>7</v>
      </c>
      <c r="G72" s="31">
        <v>50</v>
      </c>
      <c r="H72" s="30">
        <v>7320</v>
      </c>
      <c r="I72" s="29">
        <f>+G72*H72</f>
        <v>366000</v>
      </c>
    </row>
    <row r="73" spans="1:9" ht="27" thickBot="1" x14ac:dyDescent="0.3">
      <c r="A73" s="28">
        <v>64</v>
      </c>
      <c r="B73" s="39"/>
      <c r="C73" s="35" t="s">
        <v>9</v>
      </c>
      <c r="D73" s="34">
        <v>295</v>
      </c>
      <c r="E73" s="33" t="s">
        <v>67</v>
      </c>
      <c r="F73" s="32" t="s">
        <v>7</v>
      </c>
      <c r="G73" s="31">
        <v>50</v>
      </c>
      <c r="H73" s="30">
        <v>1100</v>
      </c>
      <c r="I73" s="29">
        <f>+G73*H73</f>
        <v>55000</v>
      </c>
    </row>
    <row r="74" spans="1:9" ht="27" thickBot="1" x14ac:dyDescent="0.3">
      <c r="A74" s="28">
        <v>65</v>
      </c>
      <c r="B74" s="39"/>
      <c r="C74" s="35" t="s">
        <v>9</v>
      </c>
      <c r="D74" s="34">
        <v>295</v>
      </c>
      <c r="E74" s="33" t="s">
        <v>66</v>
      </c>
      <c r="F74" s="32" t="s">
        <v>7</v>
      </c>
      <c r="G74" s="31">
        <v>60</v>
      </c>
      <c r="H74" s="30">
        <v>190</v>
      </c>
      <c r="I74" s="29">
        <f>+G74*H74</f>
        <v>11400</v>
      </c>
    </row>
    <row r="75" spans="1:9" ht="27" thickBot="1" x14ac:dyDescent="0.3">
      <c r="A75" s="28">
        <v>66</v>
      </c>
      <c r="B75" s="39"/>
      <c r="C75" s="35" t="s">
        <v>9</v>
      </c>
      <c r="D75" s="34">
        <v>295</v>
      </c>
      <c r="E75" s="33" t="s">
        <v>65</v>
      </c>
      <c r="F75" s="32" t="s">
        <v>7</v>
      </c>
      <c r="G75" s="31">
        <v>120</v>
      </c>
      <c r="H75" s="30">
        <v>190</v>
      </c>
      <c r="I75" s="29">
        <f>+G75*H75</f>
        <v>22800</v>
      </c>
    </row>
    <row r="76" spans="1:9" ht="27" thickBot="1" x14ac:dyDescent="0.3">
      <c r="A76" s="28">
        <v>67</v>
      </c>
      <c r="B76" s="39"/>
      <c r="C76" s="35" t="s">
        <v>9</v>
      </c>
      <c r="D76" s="34">
        <v>295</v>
      </c>
      <c r="E76" s="33" t="s">
        <v>64</v>
      </c>
      <c r="F76" s="32" t="s">
        <v>7</v>
      </c>
      <c r="G76" s="31">
        <v>60</v>
      </c>
      <c r="H76" s="30">
        <v>190</v>
      </c>
      <c r="I76" s="29">
        <f>+G76*H76</f>
        <v>11400</v>
      </c>
    </row>
    <row r="77" spans="1:9" ht="27" thickBot="1" x14ac:dyDescent="0.3">
      <c r="A77" s="28">
        <v>68</v>
      </c>
      <c r="B77" s="39"/>
      <c r="C77" s="35" t="s">
        <v>9</v>
      </c>
      <c r="D77" s="34">
        <v>295</v>
      </c>
      <c r="E77" s="45" t="s">
        <v>63</v>
      </c>
      <c r="F77" s="32" t="s">
        <v>7</v>
      </c>
      <c r="G77" s="31">
        <v>100</v>
      </c>
      <c r="H77" s="30">
        <v>1200</v>
      </c>
      <c r="I77" s="29">
        <f>+G77*H77</f>
        <v>120000</v>
      </c>
    </row>
    <row r="78" spans="1:9" ht="27" thickBot="1" x14ac:dyDescent="0.3">
      <c r="A78" s="28">
        <v>69</v>
      </c>
      <c r="B78" s="39"/>
      <c r="C78" s="35" t="s">
        <v>9</v>
      </c>
      <c r="D78" s="34">
        <v>295</v>
      </c>
      <c r="E78" s="33" t="s">
        <v>62</v>
      </c>
      <c r="F78" s="32" t="s">
        <v>7</v>
      </c>
      <c r="G78" s="31">
        <v>50</v>
      </c>
      <c r="H78" s="30">
        <v>700</v>
      </c>
      <c r="I78" s="29">
        <f>+G78*H78</f>
        <v>35000</v>
      </c>
    </row>
    <row r="79" spans="1:9" ht="27" thickBot="1" x14ac:dyDescent="0.3">
      <c r="A79" s="28">
        <v>70</v>
      </c>
      <c r="B79" s="39"/>
      <c r="C79" s="35" t="s">
        <v>9</v>
      </c>
      <c r="D79" s="34">
        <v>295</v>
      </c>
      <c r="E79" s="33" t="s">
        <v>61</v>
      </c>
      <c r="F79" s="32" t="s">
        <v>7</v>
      </c>
      <c r="G79" s="31">
        <v>1500</v>
      </c>
      <c r="H79" s="30">
        <v>135</v>
      </c>
      <c r="I79" s="29">
        <f>+G79*H79</f>
        <v>202500</v>
      </c>
    </row>
    <row r="80" spans="1:9" ht="27" thickBot="1" x14ac:dyDescent="0.3">
      <c r="A80" s="28">
        <v>71</v>
      </c>
      <c r="B80" s="39"/>
      <c r="C80" s="35" t="s">
        <v>9</v>
      </c>
      <c r="D80" s="34">
        <v>295</v>
      </c>
      <c r="E80" s="44" t="s">
        <v>60</v>
      </c>
      <c r="F80" s="32" t="s">
        <v>7</v>
      </c>
      <c r="G80" s="31">
        <v>50</v>
      </c>
      <c r="H80" s="30">
        <v>1950</v>
      </c>
      <c r="I80" s="29">
        <f>+G80*H80</f>
        <v>97500</v>
      </c>
    </row>
    <row r="81" spans="1:9" ht="27" thickBot="1" x14ac:dyDescent="0.3">
      <c r="A81" s="28">
        <v>72</v>
      </c>
      <c r="B81" s="39"/>
      <c r="C81" s="35" t="s">
        <v>9</v>
      </c>
      <c r="D81" s="34">
        <v>295</v>
      </c>
      <c r="E81" s="33" t="s">
        <v>59</v>
      </c>
      <c r="F81" s="32" t="s">
        <v>7</v>
      </c>
      <c r="G81" s="31">
        <v>100</v>
      </c>
      <c r="H81" s="30">
        <v>2300</v>
      </c>
      <c r="I81" s="29">
        <f>+G81*H81</f>
        <v>230000</v>
      </c>
    </row>
    <row r="82" spans="1:9" ht="27" thickBot="1" x14ac:dyDescent="0.3">
      <c r="A82" s="28">
        <v>73</v>
      </c>
      <c r="B82" s="39"/>
      <c r="C82" s="35" t="s">
        <v>9</v>
      </c>
      <c r="D82" s="34">
        <v>295</v>
      </c>
      <c r="E82" s="44" t="s">
        <v>58</v>
      </c>
      <c r="F82" s="32" t="s">
        <v>7</v>
      </c>
      <c r="G82" s="31">
        <v>30</v>
      </c>
      <c r="H82" s="30">
        <v>3540</v>
      </c>
      <c r="I82" s="29">
        <f>+G82*H82</f>
        <v>106200</v>
      </c>
    </row>
    <row r="83" spans="1:9" ht="27" thickBot="1" x14ac:dyDescent="0.3">
      <c r="A83" s="28">
        <v>74</v>
      </c>
      <c r="B83" s="39"/>
      <c r="C83" s="35" t="s">
        <v>9</v>
      </c>
      <c r="D83" s="34">
        <v>295</v>
      </c>
      <c r="E83" s="44" t="s">
        <v>57</v>
      </c>
      <c r="F83" s="32" t="s">
        <v>7</v>
      </c>
      <c r="G83" s="31">
        <v>30</v>
      </c>
      <c r="H83" s="30">
        <v>3540</v>
      </c>
      <c r="I83" s="29">
        <f>+G83*H83</f>
        <v>106200</v>
      </c>
    </row>
    <row r="84" spans="1:9" ht="27" thickBot="1" x14ac:dyDescent="0.3">
      <c r="A84" s="28">
        <v>75</v>
      </c>
      <c r="B84" s="39"/>
      <c r="C84" s="35" t="s">
        <v>9</v>
      </c>
      <c r="D84" s="34">
        <v>295</v>
      </c>
      <c r="E84" s="33" t="s">
        <v>56</v>
      </c>
      <c r="F84" s="32" t="s">
        <v>7</v>
      </c>
      <c r="G84" s="31">
        <v>70</v>
      </c>
      <c r="H84" s="30">
        <v>14429</v>
      </c>
      <c r="I84" s="29">
        <f>+G84*H84</f>
        <v>1010030</v>
      </c>
    </row>
    <row r="85" spans="1:9" ht="27" thickBot="1" x14ac:dyDescent="0.3">
      <c r="A85" s="28">
        <v>76</v>
      </c>
      <c r="B85" s="39"/>
      <c r="C85" s="35" t="s">
        <v>9</v>
      </c>
      <c r="D85" s="34">
        <v>295</v>
      </c>
      <c r="E85" s="33" t="s">
        <v>55</v>
      </c>
      <c r="F85" s="32" t="s">
        <v>7</v>
      </c>
      <c r="G85" s="31">
        <v>70</v>
      </c>
      <c r="H85" s="30">
        <v>14429</v>
      </c>
      <c r="I85" s="29">
        <f>+G85*H85</f>
        <v>1010030</v>
      </c>
    </row>
    <row r="86" spans="1:9" ht="27" thickBot="1" x14ac:dyDescent="0.3">
      <c r="A86" s="28">
        <v>77</v>
      </c>
      <c r="B86" s="39"/>
      <c r="C86" s="35" t="s">
        <v>9</v>
      </c>
      <c r="D86" s="34">
        <v>295</v>
      </c>
      <c r="E86" s="33" t="s">
        <v>54</v>
      </c>
      <c r="F86" s="32" t="s">
        <v>7</v>
      </c>
      <c r="G86" s="31">
        <v>20</v>
      </c>
      <c r="H86" s="30">
        <v>5339</v>
      </c>
      <c r="I86" s="29">
        <f>+G86*H86</f>
        <v>106780</v>
      </c>
    </row>
    <row r="87" spans="1:9" ht="27" thickBot="1" x14ac:dyDescent="0.3">
      <c r="A87" s="28">
        <v>78</v>
      </c>
      <c r="B87" s="39"/>
      <c r="C87" s="35" t="s">
        <v>9</v>
      </c>
      <c r="D87" s="34">
        <v>295</v>
      </c>
      <c r="E87" s="33" t="s">
        <v>53</v>
      </c>
      <c r="F87" s="32" t="s">
        <v>7</v>
      </c>
      <c r="G87" s="31">
        <v>100</v>
      </c>
      <c r="H87" s="30">
        <v>635</v>
      </c>
      <c r="I87" s="29">
        <f>+G87*H87</f>
        <v>63500</v>
      </c>
    </row>
    <row r="88" spans="1:9" ht="27" thickBot="1" x14ac:dyDescent="0.3">
      <c r="A88" s="28">
        <v>79</v>
      </c>
      <c r="B88" s="39"/>
      <c r="C88" s="35" t="s">
        <v>9</v>
      </c>
      <c r="D88" s="34">
        <v>295</v>
      </c>
      <c r="E88" s="43" t="s">
        <v>52</v>
      </c>
      <c r="F88" s="32" t="s">
        <v>7</v>
      </c>
      <c r="G88" s="31">
        <v>10</v>
      </c>
      <c r="H88" s="30">
        <v>1500</v>
      </c>
      <c r="I88" s="29">
        <f>+G88*H88</f>
        <v>15000</v>
      </c>
    </row>
    <row r="89" spans="1:9" ht="27" thickBot="1" x14ac:dyDescent="0.3">
      <c r="A89" s="28">
        <v>80</v>
      </c>
      <c r="B89" s="39"/>
      <c r="C89" s="35" t="s">
        <v>9</v>
      </c>
      <c r="D89" s="34">
        <v>295</v>
      </c>
      <c r="E89" s="43" t="s">
        <v>51</v>
      </c>
      <c r="F89" s="32" t="s">
        <v>7</v>
      </c>
      <c r="G89" s="31">
        <v>10</v>
      </c>
      <c r="H89" s="30">
        <v>1500</v>
      </c>
      <c r="I89" s="29">
        <f>+G89*H89</f>
        <v>15000</v>
      </c>
    </row>
    <row r="90" spans="1:9" ht="27" thickBot="1" x14ac:dyDescent="0.3">
      <c r="A90" s="28">
        <v>81</v>
      </c>
      <c r="B90" s="39"/>
      <c r="C90" s="35" t="s">
        <v>9</v>
      </c>
      <c r="D90" s="34">
        <v>295</v>
      </c>
      <c r="E90" s="33" t="s">
        <v>50</v>
      </c>
      <c r="F90" s="32" t="s">
        <v>7</v>
      </c>
      <c r="G90" s="31">
        <v>50</v>
      </c>
      <c r="H90" s="30">
        <v>295</v>
      </c>
      <c r="I90" s="29">
        <f>+G90*H90</f>
        <v>14750</v>
      </c>
    </row>
    <row r="91" spans="1:9" ht="27" thickBot="1" x14ac:dyDescent="0.3">
      <c r="A91" s="28">
        <v>82</v>
      </c>
      <c r="B91" s="39"/>
      <c r="C91" s="35" t="s">
        <v>9</v>
      </c>
      <c r="D91" s="34">
        <v>295</v>
      </c>
      <c r="E91" s="33" t="s">
        <v>49</v>
      </c>
      <c r="F91" s="32" t="s">
        <v>7</v>
      </c>
      <c r="G91" s="31">
        <v>140</v>
      </c>
      <c r="H91" s="30">
        <v>5300</v>
      </c>
      <c r="I91" s="29">
        <f>+G91*H91</f>
        <v>742000</v>
      </c>
    </row>
    <row r="92" spans="1:9" ht="27" thickBot="1" x14ac:dyDescent="0.3">
      <c r="A92" s="28">
        <v>83</v>
      </c>
      <c r="B92" s="39"/>
      <c r="C92" s="35" t="s">
        <v>9</v>
      </c>
      <c r="D92" s="34">
        <v>295</v>
      </c>
      <c r="E92" s="33" t="s">
        <v>48</v>
      </c>
      <c r="F92" s="32" t="s">
        <v>7</v>
      </c>
      <c r="G92" s="31">
        <v>100</v>
      </c>
      <c r="H92" s="30">
        <v>5300</v>
      </c>
      <c r="I92" s="29">
        <f>+G92*H92</f>
        <v>530000</v>
      </c>
    </row>
    <row r="93" spans="1:9" ht="27" thickBot="1" x14ac:dyDescent="0.3">
      <c r="A93" s="28">
        <v>84</v>
      </c>
      <c r="B93" s="39"/>
      <c r="C93" s="35" t="s">
        <v>9</v>
      </c>
      <c r="D93" s="34">
        <v>295</v>
      </c>
      <c r="E93" s="33" t="s">
        <v>47</v>
      </c>
      <c r="F93" s="32" t="s">
        <v>7</v>
      </c>
      <c r="G93" s="31">
        <v>100</v>
      </c>
      <c r="H93" s="30">
        <v>5300</v>
      </c>
      <c r="I93" s="29">
        <f>+G93*H93</f>
        <v>530000</v>
      </c>
    </row>
    <row r="94" spans="1:9" ht="27" thickBot="1" x14ac:dyDescent="0.3">
      <c r="A94" s="28">
        <v>85</v>
      </c>
      <c r="B94" s="39"/>
      <c r="C94" s="35" t="s">
        <v>9</v>
      </c>
      <c r="D94" s="34">
        <v>295</v>
      </c>
      <c r="E94" s="33" t="s">
        <v>46</v>
      </c>
      <c r="F94" s="32" t="s">
        <v>7</v>
      </c>
      <c r="G94" s="31">
        <v>50</v>
      </c>
      <c r="H94" s="30">
        <v>33050</v>
      </c>
      <c r="I94" s="29">
        <f>+G94*H94</f>
        <v>1652500</v>
      </c>
    </row>
    <row r="95" spans="1:9" ht="27" thickBot="1" x14ac:dyDescent="0.3">
      <c r="A95" s="28">
        <v>86</v>
      </c>
      <c r="B95" s="39"/>
      <c r="C95" s="35" t="s">
        <v>9</v>
      </c>
      <c r="D95" s="34">
        <v>295</v>
      </c>
      <c r="E95" s="33" t="s">
        <v>45</v>
      </c>
      <c r="F95" s="32" t="s">
        <v>7</v>
      </c>
      <c r="G95" s="31">
        <v>50</v>
      </c>
      <c r="H95" s="30">
        <v>1112</v>
      </c>
      <c r="I95" s="29">
        <f>+G95*H95</f>
        <v>55600</v>
      </c>
    </row>
    <row r="96" spans="1:9" ht="27" thickBot="1" x14ac:dyDescent="0.3">
      <c r="A96" s="28">
        <v>87</v>
      </c>
      <c r="B96" s="39"/>
      <c r="C96" s="35" t="s">
        <v>9</v>
      </c>
      <c r="D96" s="34">
        <v>295</v>
      </c>
      <c r="E96" s="42" t="s">
        <v>44</v>
      </c>
      <c r="F96" s="32" t="s">
        <v>7</v>
      </c>
      <c r="G96" s="31">
        <v>5</v>
      </c>
      <c r="H96" s="30">
        <v>2000</v>
      </c>
      <c r="I96" s="29">
        <f>+G96*H96</f>
        <v>10000</v>
      </c>
    </row>
    <row r="97" spans="1:9" ht="27" thickBot="1" x14ac:dyDescent="0.3">
      <c r="A97" s="28">
        <v>88</v>
      </c>
      <c r="B97" s="39"/>
      <c r="C97" s="35" t="s">
        <v>9</v>
      </c>
      <c r="D97" s="34">
        <v>295</v>
      </c>
      <c r="E97" s="42" t="s">
        <v>43</v>
      </c>
      <c r="F97" s="32" t="s">
        <v>7</v>
      </c>
      <c r="G97" s="31">
        <v>5</v>
      </c>
      <c r="H97" s="30">
        <v>2000</v>
      </c>
      <c r="I97" s="29">
        <f>+G97*H97</f>
        <v>10000</v>
      </c>
    </row>
    <row r="98" spans="1:9" ht="27" thickBot="1" x14ac:dyDescent="0.3">
      <c r="A98" s="28">
        <v>89</v>
      </c>
      <c r="B98" s="39"/>
      <c r="C98" s="35" t="s">
        <v>9</v>
      </c>
      <c r="D98" s="34">
        <v>295</v>
      </c>
      <c r="E98" s="42" t="s">
        <v>42</v>
      </c>
      <c r="F98" s="32" t="s">
        <v>7</v>
      </c>
      <c r="G98" s="31">
        <v>5</v>
      </c>
      <c r="H98" s="30">
        <v>2000</v>
      </c>
      <c r="I98" s="29">
        <f>+G98*H98</f>
        <v>10000</v>
      </c>
    </row>
    <row r="99" spans="1:9" ht="27" thickBot="1" x14ac:dyDescent="0.3">
      <c r="A99" s="28">
        <v>90</v>
      </c>
      <c r="B99" s="39"/>
      <c r="C99" s="35" t="s">
        <v>9</v>
      </c>
      <c r="D99" s="34">
        <v>295</v>
      </c>
      <c r="E99" s="41" t="s">
        <v>41</v>
      </c>
      <c r="F99" s="32" t="s">
        <v>7</v>
      </c>
      <c r="G99" s="31">
        <v>15</v>
      </c>
      <c r="H99" s="30">
        <v>1200</v>
      </c>
      <c r="I99" s="29">
        <f>+G99*H99</f>
        <v>18000</v>
      </c>
    </row>
    <row r="100" spans="1:9" ht="27" thickBot="1" x14ac:dyDescent="0.3">
      <c r="A100" s="28">
        <v>91</v>
      </c>
      <c r="B100" s="39"/>
      <c r="C100" s="35" t="s">
        <v>9</v>
      </c>
      <c r="D100" s="34">
        <v>295</v>
      </c>
      <c r="E100" s="33" t="s">
        <v>40</v>
      </c>
      <c r="F100" s="32" t="s">
        <v>7</v>
      </c>
      <c r="G100" s="31">
        <v>200</v>
      </c>
      <c r="H100" s="30">
        <v>589</v>
      </c>
      <c r="I100" s="29">
        <f>+G100*H100</f>
        <v>117800</v>
      </c>
    </row>
    <row r="101" spans="1:9" ht="27" thickBot="1" x14ac:dyDescent="0.3">
      <c r="A101" s="28">
        <v>92</v>
      </c>
      <c r="B101" s="39"/>
      <c r="C101" s="35" t="s">
        <v>9</v>
      </c>
      <c r="D101" s="34">
        <v>295</v>
      </c>
      <c r="E101" s="33" t="s">
        <v>39</v>
      </c>
      <c r="F101" s="32" t="s">
        <v>7</v>
      </c>
      <c r="G101" s="31">
        <v>200</v>
      </c>
      <c r="H101" s="30">
        <v>589</v>
      </c>
      <c r="I101" s="29">
        <f>+G101*H101</f>
        <v>117800</v>
      </c>
    </row>
    <row r="102" spans="1:9" ht="27" thickBot="1" x14ac:dyDescent="0.3">
      <c r="A102" s="28">
        <v>93</v>
      </c>
      <c r="B102" s="39"/>
      <c r="C102" s="35" t="s">
        <v>9</v>
      </c>
      <c r="D102" s="34">
        <v>295</v>
      </c>
      <c r="E102" s="33" t="s">
        <v>38</v>
      </c>
      <c r="F102" s="32" t="s">
        <v>7</v>
      </c>
      <c r="G102" s="31">
        <v>200</v>
      </c>
      <c r="H102" s="30">
        <v>589</v>
      </c>
      <c r="I102" s="29">
        <f>+G102*H102</f>
        <v>117800</v>
      </c>
    </row>
    <row r="103" spans="1:9" ht="27" thickBot="1" x14ac:dyDescent="0.3">
      <c r="A103" s="28">
        <v>94</v>
      </c>
      <c r="B103" s="39"/>
      <c r="C103" s="35" t="s">
        <v>9</v>
      </c>
      <c r="D103" s="34">
        <v>295</v>
      </c>
      <c r="E103" s="33" t="s">
        <v>37</v>
      </c>
      <c r="F103" s="32" t="s">
        <v>7</v>
      </c>
      <c r="G103" s="31">
        <v>400</v>
      </c>
      <c r="H103" s="30">
        <v>808</v>
      </c>
      <c r="I103" s="29">
        <f>+G103*H103</f>
        <v>323200</v>
      </c>
    </row>
    <row r="104" spans="1:9" ht="27" thickBot="1" x14ac:dyDescent="0.3">
      <c r="A104" s="28">
        <v>95</v>
      </c>
      <c r="B104" s="39"/>
      <c r="C104" s="35" t="s">
        <v>9</v>
      </c>
      <c r="D104" s="34">
        <v>295</v>
      </c>
      <c r="E104" s="33" t="s">
        <v>36</v>
      </c>
      <c r="F104" s="32" t="s">
        <v>7</v>
      </c>
      <c r="G104" s="31">
        <v>400</v>
      </c>
      <c r="H104" s="30">
        <v>808</v>
      </c>
      <c r="I104" s="29">
        <f>+G104*H104</f>
        <v>323200</v>
      </c>
    </row>
    <row r="105" spans="1:9" ht="27" thickBot="1" x14ac:dyDescent="0.3">
      <c r="A105" s="28">
        <v>96</v>
      </c>
      <c r="B105" s="39"/>
      <c r="C105" s="35" t="s">
        <v>9</v>
      </c>
      <c r="D105" s="34">
        <v>295</v>
      </c>
      <c r="E105" s="33" t="s">
        <v>35</v>
      </c>
      <c r="F105" s="32" t="s">
        <v>7</v>
      </c>
      <c r="G105" s="31">
        <v>50</v>
      </c>
      <c r="H105" s="30">
        <v>2946</v>
      </c>
      <c r="I105" s="29">
        <f>+G105*H105</f>
        <v>147300</v>
      </c>
    </row>
    <row r="106" spans="1:9" ht="27" thickBot="1" x14ac:dyDescent="0.3">
      <c r="A106" s="28">
        <v>97</v>
      </c>
      <c r="B106" s="39"/>
      <c r="C106" s="35" t="s">
        <v>9</v>
      </c>
      <c r="D106" s="34">
        <v>295</v>
      </c>
      <c r="E106" s="33" t="s">
        <v>34</v>
      </c>
      <c r="F106" s="32" t="s">
        <v>7</v>
      </c>
      <c r="G106" s="31">
        <v>20</v>
      </c>
      <c r="H106" s="30">
        <v>2946</v>
      </c>
      <c r="I106" s="29">
        <f>+G106*H106</f>
        <v>58920</v>
      </c>
    </row>
    <row r="107" spans="1:9" ht="27" thickBot="1" x14ac:dyDescent="0.3">
      <c r="A107" s="28">
        <v>98</v>
      </c>
      <c r="B107" s="39"/>
      <c r="C107" s="35" t="s">
        <v>9</v>
      </c>
      <c r="D107" s="34">
        <v>295</v>
      </c>
      <c r="E107" s="33" t="s">
        <v>33</v>
      </c>
      <c r="F107" s="32" t="s">
        <v>7</v>
      </c>
      <c r="G107" s="31">
        <v>50</v>
      </c>
      <c r="H107" s="30">
        <v>4300</v>
      </c>
      <c r="I107" s="29">
        <f>+G107*H107</f>
        <v>215000</v>
      </c>
    </row>
    <row r="108" spans="1:9" ht="27" thickBot="1" x14ac:dyDescent="0.3">
      <c r="A108" s="28">
        <v>99</v>
      </c>
      <c r="B108" s="39"/>
      <c r="C108" s="35" t="s">
        <v>9</v>
      </c>
      <c r="D108" s="34">
        <v>295</v>
      </c>
      <c r="E108" s="33" t="s">
        <v>32</v>
      </c>
      <c r="F108" s="32" t="s">
        <v>7</v>
      </c>
      <c r="G108" s="31">
        <v>150</v>
      </c>
      <c r="H108" s="30">
        <v>550</v>
      </c>
      <c r="I108" s="29">
        <f>+G108*H108</f>
        <v>82500</v>
      </c>
    </row>
    <row r="109" spans="1:9" ht="27" thickBot="1" x14ac:dyDescent="0.3">
      <c r="A109" s="28">
        <v>100</v>
      </c>
      <c r="B109" s="39"/>
      <c r="C109" s="35" t="s">
        <v>9</v>
      </c>
      <c r="D109" s="34">
        <v>295</v>
      </c>
      <c r="E109" s="40" t="s">
        <v>31</v>
      </c>
      <c r="F109" s="32" t="s">
        <v>7</v>
      </c>
      <c r="G109" s="31">
        <v>20</v>
      </c>
      <c r="H109" s="30">
        <v>610</v>
      </c>
      <c r="I109" s="29">
        <f>+G109*H109</f>
        <v>12200</v>
      </c>
    </row>
    <row r="110" spans="1:9" ht="27" thickBot="1" x14ac:dyDescent="0.3">
      <c r="A110" s="28">
        <v>101</v>
      </c>
      <c r="B110" s="39"/>
      <c r="C110" s="35" t="s">
        <v>9</v>
      </c>
      <c r="D110" s="34">
        <v>295</v>
      </c>
      <c r="E110" s="40" t="s">
        <v>30</v>
      </c>
      <c r="F110" s="32" t="s">
        <v>7</v>
      </c>
      <c r="G110" s="31">
        <v>20</v>
      </c>
      <c r="H110" s="30">
        <v>610</v>
      </c>
      <c r="I110" s="29">
        <f>+G110*H110</f>
        <v>12200</v>
      </c>
    </row>
    <row r="111" spans="1:9" ht="27" thickBot="1" x14ac:dyDescent="0.3">
      <c r="A111" s="28">
        <v>102</v>
      </c>
      <c r="B111" s="39"/>
      <c r="C111" s="35" t="s">
        <v>9</v>
      </c>
      <c r="D111" s="34">
        <v>295</v>
      </c>
      <c r="E111" s="40" t="s">
        <v>29</v>
      </c>
      <c r="F111" s="32" t="s">
        <v>7</v>
      </c>
      <c r="G111" s="31">
        <v>20</v>
      </c>
      <c r="H111" s="30">
        <v>610</v>
      </c>
      <c r="I111" s="29">
        <f>+G111*H111</f>
        <v>12200</v>
      </c>
    </row>
    <row r="112" spans="1:9" ht="27" thickBot="1" x14ac:dyDescent="0.3">
      <c r="A112" s="28">
        <v>103</v>
      </c>
      <c r="B112" s="39"/>
      <c r="C112" s="35" t="s">
        <v>9</v>
      </c>
      <c r="D112" s="34">
        <v>295</v>
      </c>
      <c r="E112" s="33" t="s">
        <v>28</v>
      </c>
      <c r="F112" s="32" t="s">
        <v>7</v>
      </c>
      <c r="G112" s="31">
        <v>30</v>
      </c>
      <c r="H112" s="30">
        <v>448</v>
      </c>
      <c r="I112" s="29">
        <f>+G112*H112</f>
        <v>13440</v>
      </c>
    </row>
    <row r="113" spans="1:9" ht="27" thickBot="1" x14ac:dyDescent="0.3">
      <c r="A113" s="28">
        <v>104</v>
      </c>
      <c r="B113" s="39"/>
      <c r="C113" s="35" t="s">
        <v>9</v>
      </c>
      <c r="D113" s="34">
        <v>295</v>
      </c>
      <c r="E113" s="33" t="s">
        <v>27</v>
      </c>
      <c r="F113" s="32" t="s">
        <v>7</v>
      </c>
      <c r="G113" s="31">
        <v>30</v>
      </c>
      <c r="H113" s="30">
        <v>448</v>
      </c>
      <c r="I113" s="29">
        <f>+G113*H113</f>
        <v>13440</v>
      </c>
    </row>
    <row r="114" spans="1:9" ht="27" thickBot="1" x14ac:dyDescent="0.3">
      <c r="A114" s="28">
        <v>105</v>
      </c>
      <c r="B114" s="39"/>
      <c r="C114" s="35" t="s">
        <v>9</v>
      </c>
      <c r="D114" s="34">
        <v>295</v>
      </c>
      <c r="E114" s="33" t="s">
        <v>26</v>
      </c>
      <c r="F114" s="32" t="s">
        <v>7</v>
      </c>
      <c r="G114" s="31">
        <v>30</v>
      </c>
      <c r="H114" s="30">
        <v>448</v>
      </c>
      <c r="I114" s="29">
        <f>+G114*H114</f>
        <v>13440</v>
      </c>
    </row>
    <row r="115" spans="1:9" ht="27" thickBot="1" x14ac:dyDescent="0.3">
      <c r="A115" s="28">
        <v>106</v>
      </c>
      <c r="B115" s="39"/>
      <c r="C115" s="35" t="s">
        <v>9</v>
      </c>
      <c r="D115" s="34">
        <v>295</v>
      </c>
      <c r="E115" s="33" t="s">
        <v>25</v>
      </c>
      <c r="F115" s="32" t="s">
        <v>7</v>
      </c>
      <c r="G115" s="31">
        <v>30</v>
      </c>
      <c r="H115" s="30">
        <v>448</v>
      </c>
      <c r="I115" s="29">
        <f>+G115*H115</f>
        <v>13440</v>
      </c>
    </row>
    <row r="116" spans="1:9" ht="27" thickBot="1" x14ac:dyDescent="0.3">
      <c r="A116" s="28">
        <v>107</v>
      </c>
      <c r="B116" s="39"/>
      <c r="C116" s="35" t="s">
        <v>9</v>
      </c>
      <c r="D116" s="34">
        <v>295</v>
      </c>
      <c r="E116" s="33" t="s">
        <v>24</v>
      </c>
      <c r="F116" s="32" t="s">
        <v>7</v>
      </c>
      <c r="G116" s="31">
        <v>30</v>
      </c>
      <c r="H116" s="30">
        <v>448</v>
      </c>
      <c r="I116" s="29">
        <f>+G116*H116</f>
        <v>13440</v>
      </c>
    </row>
    <row r="117" spans="1:9" ht="27" thickBot="1" x14ac:dyDescent="0.3">
      <c r="A117" s="28">
        <v>108</v>
      </c>
      <c r="B117" s="36"/>
      <c r="C117" s="35" t="s">
        <v>9</v>
      </c>
      <c r="D117" s="34">
        <v>295</v>
      </c>
      <c r="E117" s="33" t="s">
        <v>23</v>
      </c>
      <c r="F117" s="32" t="s">
        <v>7</v>
      </c>
      <c r="G117" s="31">
        <v>30</v>
      </c>
      <c r="H117" s="30">
        <v>448</v>
      </c>
      <c r="I117" s="29">
        <f>+G117*H117</f>
        <v>13440</v>
      </c>
    </row>
    <row r="118" spans="1:9" ht="27" thickBot="1" x14ac:dyDescent="0.3">
      <c r="A118" s="28">
        <v>109</v>
      </c>
      <c r="B118" s="36"/>
      <c r="C118" s="35" t="s">
        <v>9</v>
      </c>
      <c r="D118" s="34">
        <v>295</v>
      </c>
      <c r="E118" s="33" t="s">
        <v>22</v>
      </c>
      <c r="F118" s="32" t="s">
        <v>7</v>
      </c>
      <c r="G118" s="31">
        <v>30</v>
      </c>
      <c r="H118" s="30">
        <v>448</v>
      </c>
      <c r="I118" s="29">
        <f>+G118*H118</f>
        <v>13440</v>
      </c>
    </row>
    <row r="119" spans="1:9" ht="27" thickBot="1" x14ac:dyDescent="0.3">
      <c r="A119" s="28">
        <v>110</v>
      </c>
      <c r="B119" s="36"/>
      <c r="C119" s="35" t="s">
        <v>9</v>
      </c>
      <c r="D119" s="34">
        <v>295</v>
      </c>
      <c r="E119" s="37" t="s">
        <v>21</v>
      </c>
      <c r="F119" s="32" t="s">
        <v>7</v>
      </c>
      <c r="G119" s="31">
        <v>30</v>
      </c>
      <c r="H119" s="30">
        <v>448</v>
      </c>
      <c r="I119" s="29">
        <f>+G119*H119</f>
        <v>13440</v>
      </c>
    </row>
    <row r="120" spans="1:9" ht="27" thickBot="1" x14ac:dyDescent="0.3">
      <c r="A120" s="28">
        <v>111</v>
      </c>
      <c r="B120" s="36"/>
      <c r="C120" s="35" t="s">
        <v>9</v>
      </c>
      <c r="D120" s="34">
        <v>295</v>
      </c>
      <c r="E120" s="37" t="s">
        <v>20</v>
      </c>
      <c r="F120" s="32" t="s">
        <v>7</v>
      </c>
      <c r="G120" s="31">
        <v>30</v>
      </c>
      <c r="H120" s="30">
        <v>448</v>
      </c>
      <c r="I120" s="29">
        <f>+G120*H120</f>
        <v>13440</v>
      </c>
    </row>
    <row r="121" spans="1:9" ht="27" thickBot="1" x14ac:dyDescent="0.3">
      <c r="A121" s="28">
        <v>112</v>
      </c>
      <c r="B121" s="36"/>
      <c r="C121" s="35" t="s">
        <v>9</v>
      </c>
      <c r="D121" s="34">
        <v>295</v>
      </c>
      <c r="E121" s="37" t="s">
        <v>19</v>
      </c>
      <c r="F121" s="32" t="s">
        <v>7</v>
      </c>
      <c r="G121" s="31">
        <v>30</v>
      </c>
      <c r="H121" s="30">
        <v>448</v>
      </c>
      <c r="I121" s="29">
        <f>+G121*H121</f>
        <v>13440</v>
      </c>
    </row>
    <row r="122" spans="1:9" ht="27" thickBot="1" x14ac:dyDescent="0.3">
      <c r="A122" s="28">
        <v>113</v>
      </c>
      <c r="B122" s="36"/>
      <c r="C122" s="35" t="s">
        <v>9</v>
      </c>
      <c r="D122" s="34">
        <v>295</v>
      </c>
      <c r="E122" s="37" t="s">
        <v>18</v>
      </c>
      <c r="F122" s="32" t="s">
        <v>7</v>
      </c>
      <c r="G122" s="32">
        <v>5</v>
      </c>
      <c r="H122" s="38">
        <v>3900</v>
      </c>
      <c r="I122" s="29">
        <f>+G122*H122</f>
        <v>19500</v>
      </c>
    </row>
    <row r="123" spans="1:9" ht="27" thickBot="1" x14ac:dyDescent="0.3">
      <c r="A123" s="28">
        <v>114</v>
      </c>
      <c r="B123" s="36"/>
      <c r="C123" s="35" t="s">
        <v>9</v>
      </c>
      <c r="D123" s="34">
        <v>295</v>
      </c>
      <c r="E123" s="37" t="s">
        <v>17</v>
      </c>
      <c r="F123" s="32" t="s">
        <v>7</v>
      </c>
      <c r="G123" s="32">
        <v>5</v>
      </c>
      <c r="H123" s="38">
        <v>3900</v>
      </c>
      <c r="I123" s="29">
        <f>+G123*H123</f>
        <v>19500</v>
      </c>
    </row>
    <row r="124" spans="1:9" ht="27" thickBot="1" x14ac:dyDescent="0.3">
      <c r="A124" s="28">
        <v>115</v>
      </c>
      <c r="B124" s="36"/>
      <c r="C124" s="35" t="s">
        <v>9</v>
      </c>
      <c r="D124" s="34">
        <v>295</v>
      </c>
      <c r="E124" s="37" t="s">
        <v>16</v>
      </c>
      <c r="F124" s="32" t="s">
        <v>7</v>
      </c>
      <c r="G124" s="32">
        <v>5</v>
      </c>
      <c r="H124" s="38">
        <v>3900</v>
      </c>
      <c r="I124" s="29">
        <f>+G124*H124</f>
        <v>19500</v>
      </c>
    </row>
    <row r="125" spans="1:9" ht="27" thickBot="1" x14ac:dyDescent="0.3">
      <c r="A125" s="28">
        <v>116</v>
      </c>
      <c r="B125" s="36"/>
      <c r="C125" s="35" t="s">
        <v>9</v>
      </c>
      <c r="D125" s="34">
        <v>295</v>
      </c>
      <c r="E125" s="37" t="s">
        <v>15</v>
      </c>
      <c r="F125" s="32" t="s">
        <v>7</v>
      </c>
      <c r="G125" s="31">
        <v>20</v>
      </c>
      <c r="H125" s="30">
        <v>617</v>
      </c>
      <c r="I125" s="29">
        <f>+G125*H125</f>
        <v>12340</v>
      </c>
    </row>
    <row r="126" spans="1:9" ht="27" thickBot="1" x14ac:dyDescent="0.3">
      <c r="A126" s="28">
        <v>117</v>
      </c>
      <c r="B126" s="36"/>
      <c r="C126" s="35" t="s">
        <v>9</v>
      </c>
      <c r="D126" s="34">
        <v>295</v>
      </c>
      <c r="E126" s="37" t="s">
        <v>14</v>
      </c>
      <c r="F126" s="32" t="s">
        <v>7</v>
      </c>
      <c r="G126" s="31">
        <v>20</v>
      </c>
      <c r="H126" s="30">
        <v>617</v>
      </c>
      <c r="I126" s="29">
        <f>+G126*H126</f>
        <v>12340</v>
      </c>
    </row>
    <row r="127" spans="1:9" ht="27" thickBot="1" x14ac:dyDescent="0.3">
      <c r="A127" s="28">
        <v>118</v>
      </c>
      <c r="B127" s="36"/>
      <c r="C127" s="35" t="s">
        <v>9</v>
      </c>
      <c r="D127" s="34">
        <v>295</v>
      </c>
      <c r="E127" s="37" t="s">
        <v>13</v>
      </c>
      <c r="F127" s="32" t="s">
        <v>7</v>
      </c>
      <c r="G127" s="31">
        <v>20</v>
      </c>
      <c r="H127" s="30">
        <v>617</v>
      </c>
      <c r="I127" s="29">
        <f>+G127*H127</f>
        <v>12340</v>
      </c>
    </row>
    <row r="128" spans="1:9" ht="27" thickBot="1" x14ac:dyDescent="0.3">
      <c r="A128" s="28">
        <v>119</v>
      </c>
      <c r="B128" s="36"/>
      <c r="C128" s="35" t="s">
        <v>9</v>
      </c>
      <c r="D128" s="34">
        <v>295</v>
      </c>
      <c r="E128" s="37" t="s">
        <v>12</v>
      </c>
      <c r="F128" s="32" t="s">
        <v>7</v>
      </c>
      <c r="G128" s="31">
        <v>20</v>
      </c>
      <c r="H128" s="30">
        <v>617</v>
      </c>
      <c r="I128" s="29">
        <f>+G128*H128</f>
        <v>12340</v>
      </c>
    </row>
    <row r="129" spans="1:9" ht="27" thickBot="1" x14ac:dyDescent="0.3">
      <c r="A129" s="28">
        <v>120</v>
      </c>
      <c r="B129" s="36"/>
      <c r="C129" s="35" t="s">
        <v>9</v>
      </c>
      <c r="D129" s="34">
        <v>295</v>
      </c>
      <c r="E129" s="37" t="s">
        <v>11</v>
      </c>
      <c r="F129" s="32" t="s">
        <v>7</v>
      </c>
      <c r="G129" s="31">
        <v>20</v>
      </c>
      <c r="H129" s="30">
        <v>617</v>
      </c>
      <c r="I129" s="29">
        <f>+G129*H129</f>
        <v>12340</v>
      </c>
    </row>
    <row r="130" spans="1:9" ht="27" thickBot="1" x14ac:dyDescent="0.3">
      <c r="A130" s="28">
        <v>121</v>
      </c>
      <c r="B130" s="36"/>
      <c r="C130" s="35" t="s">
        <v>9</v>
      </c>
      <c r="D130" s="34">
        <v>295</v>
      </c>
      <c r="E130" s="33" t="s">
        <v>10</v>
      </c>
      <c r="F130" s="32" t="s">
        <v>7</v>
      </c>
      <c r="G130" s="31">
        <v>20</v>
      </c>
      <c r="H130" s="30">
        <v>617</v>
      </c>
      <c r="I130" s="29">
        <f>+G130*H130</f>
        <v>12340</v>
      </c>
    </row>
    <row r="131" spans="1:9" ht="27" thickBot="1" x14ac:dyDescent="0.3">
      <c r="A131" s="28">
        <v>122</v>
      </c>
      <c r="B131" s="27"/>
      <c r="C131" s="26" t="s">
        <v>9</v>
      </c>
      <c r="D131" s="25">
        <v>295</v>
      </c>
      <c r="E131" s="24" t="s">
        <v>8</v>
      </c>
      <c r="F131" s="23" t="s">
        <v>7</v>
      </c>
      <c r="G131" s="22">
        <v>30</v>
      </c>
      <c r="H131" s="21">
        <v>2480</v>
      </c>
      <c r="I131" s="20">
        <f>+G131*H131</f>
        <v>74400</v>
      </c>
    </row>
    <row r="132" spans="1:9" ht="15.75" thickBot="1" x14ac:dyDescent="0.3">
      <c r="A132" s="1"/>
      <c r="B132" s="1"/>
      <c r="C132" s="1"/>
      <c r="D132" s="1"/>
      <c r="E132" s="1"/>
      <c r="F132" s="1"/>
      <c r="G132" s="1"/>
      <c r="H132" s="2"/>
      <c r="I132" s="18"/>
    </row>
    <row r="133" spans="1:9" x14ac:dyDescent="0.25">
      <c r="A133" s="1"/>
      <c r="B133" s="19" t="s">
        <v>6</v>
      </c>
      <c r="C133" s="10"/>
      <c r="D133" s="10"/>
      <c r="E133" s="9"/>
      <c r="F133" s="1"/>
      <c r="G133" s="1"/>
      <c r="H133" s="2"/>
      <c r="I133" s="18"/>
    </row>
    <row r="134" spans="1:9" x14ac:dyDescent="0.25">
      <c r="A134" s="1"/>
      <c r="B134" s="17" t="s">
        <v>5</v>
      </c>
      <c r="C134" s="16"/>
      <c r="D134" s="16"/>
      <c r="E134" s="15"/>
      <c r="F134" s="1"/>
      <c r="G134" s="1"/>
      <c r="H134" s="2"/>
      <c r="I134" s="1"/>
    </row>
    <row r="135" spans="1:9" x14ac:dyDescent="0.25">
      <c r="A135" s="1"/>
      <c r="B135" s="17"/>
      <c r="C135" s="16"/>
      <c r="D135" s="16"/>
      <c r="E135" s="15"/>
      <c r="F135" s="12"/>
      <c r="G135" s="1"/>
      <c r="H135" s="2"/>
      <c r="I135" s="1"/>
    </row>
    <row r="136" spans="1:9" x14ac:dyDescent="0.25">
      <c r="A136" s="1"/>
      <c r="B136" s="17" t="s">
        <v>4</v>
      </c>
      <c r="C136" s="16"/>
      <c r="D136" s="16"/>
      <c r="E136" s="15"/>
      <c r="F136" s="12"/>
      <c r="G136" s="1"/>
      <c r="H136" s="2"/>
      <c r="I136" s="1"/>
    </row>
    <row r="137" spans="1:9" x14ac:dyDescent="0.25">
      <c r="A137" s="1"/>
      <c r="B137" s="8" t="s">
        <v>3</v>
      </c>
      <c r="C137" s="14"/>
      <c r="D137" s="14"/>
      <c r="E137" s="13"/>
      <c r="F137" s="12"/>
      <c r="G137" s="1"/>
      <c r="H137" s="2"/>
      <c r="I137" s="1"/>
    </row>
    <row r="138" spans="1:9" ht="15.75" thickBot="1" x14ac:dyDescent="0.3">
      <c r="A138" s="1"/>
      <c r="B138" s="1"/>
      <c r="C138" s="1"/>
      <c r="D138" s="1"/>
      <c r="E138" s="1"/>
      <c r="F138" s="1"/>
      <c r="G138" s="1"/>
      <c r="H138" s="2"/>
      <c r="I138" s="1"/>
    </row>
    <row r="139" spans="1:9" x14ac:dyDescent="0.25">
      <c r="A139" s="1"/>
      <c r="B139" s="11" t="s">
        <v>2</v>
      </c>
      <c r="C139" s="10"/>
      <c r="D139" s="10"/>
      <c r="E139" s="9"/>
      <c r="F139" s="1"/>
      <c r="G139" s="1"/>
      <c r="H139" s="2"/>
      <c r="I139" s="1"/>
    </row>
    <row r="140" spans="1:9" x14ac:dyDescent="0.25">
      <c r="A140" s="1"/>
      <c r="B140" s="8" t="s">
        <v>1</v>
      </c>
      <c r="C140" s="1"/>
      <c r="D140" s="1"/>
      <c r="E140" s="7"/>
      <c r="F140" s="1"/>
      <c r="G140" s="1"/>
      <c r="H140" s="2"/>
      <c r="I140" s="1"/>
    </row>
    <row r="141" spans="1:9" ht="15.75" thickBot="1" x14ac:dyDescent="0.3">
      <c r="A141" s="1"/>
      <c r="B141" s="6" t="s">
        <v>0</v>
      </c>
      <c r="C141" s="5"/>
      <c r="D141" s="5"/>
      <c r="E141" s="4"/>
      <c r="F141" s="1"/>
      <c r="G141" s="1"/>
      <c r="H141" s="2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2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2"/>
      <c r="I143" s="3"/>
    </row>
    <row r="144" spans="1:9" x14ac:dyDescent="0.25">
      <c r="A144" s="1"/>
      <c r="B144" s="1"/>
      <c r="C144" s="1"/>
      <c r="D144" s="1"/>
      <c r="E144" s="1"/>
      <c r="F144" s="1"/>
      <c r="G144" s="1"/>
      <c r="H144" s="2"/>
      <c r="I144" s="3"/>
    </row>
    <row r="145" spans="1:9" x14ac:dyDescent="0.25">
      <c r="A145" s="1"/>
      <c r="B145" s="1"/>
      <c r="C145" s="1"/>
      <c r="D145" s="1"/>
      <c r="E145" s="1"/>
      <c r="F145" s="1"/>
      <c r="G145" s="1"/>
      <c r="H145" s="2"/>
      <c r="I145" s="3"/>
    </row>
    <row r="146" spans="1:9" x14ac:dyDescent="0.25">
      <c r="A146" s="1"/>
      <c r="B146" s="1"/>
      <c r="C146" s="1"/>
      <c r="D146" s="1"/>
      <c r="E146" s="1"/>
      <c r="F146" s="1"/>
      <c r="G146" s="1"/>
      <c r="H146" s="2"/>
      <c r="I146" s="3"/>
    </row>
    <row r="147" spans="1:9" x14ac:dyDescent="0.25">
      <c r="A147" s="1"/>
      <c r="B147" s="1"/>
      <c r="C147" s="1"/>
      <c r="D147" s="1"/>
      <c r="E147" s="1"/>
      <c r="F147" s="1"/>
      <c r="G147" s="1"/>
      <c r="H147" s="2"/>
      <c r="I147" s="3"/>
    </row>
    <row r="148" spans="1:9" x14ac:dyDescent="0.25">
      <c r="A148" s="1"/>
      <c r="B148" s="1"/>
      <c r="C148" s="1"/>
      <c r="D148" s="1"/>
      <c r="E148" s="1"/>
      <c r="F148" s="1"/>
      <c r="G148" s="1"/>
      <c r="H148" s="2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2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2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2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2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2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2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2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2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2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2"/>
      <c r="I158" s="1"/>
    </row>
  </sheetData>
  <mergeCells count="10">
    <mergeCell ref="B136:E136"/>
    <mergeCell ref="B141:E141"/>
    <mergeCell ref="B2:H2"/>
    <mergeCell ref="C5:E5"/>
    <mergeCell ref="A7:B7"/>
    <mergeCell ref="A6:B6"/>
    <mergeCell ref="A4:B4"/>
    <mergeCell ref="C4:E4"/>
    <mergeCell ref="A5:B5"/>
    <mergeCell ref="B134:E135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2021-08-12T14:26:04Z</dcterms:created>
  <dcterms:modified xsi:type="dcterms:W3CDTF">2021-08-12T14:28:05Z</dcterms:modified>
</cp:coreProperties>
</file>