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POLICIA\agua mineral\corregido\"/>
    </mc:Choice>
  </mc:AlternateContent>
  <xr:revisionPtr revIDLastSave="0" documentId="8_{42914DC7-0409-4D84-8954-02F6D5158DE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  <definedName name="_xlnm.Print_Area" localSheetId="0">'Necesidades Trimestrales'!$A$1:$I$34</definedName>
  </definedNames>
  <calcPr calcId="181029"/>
</workbook>
</file>

<file path=xl/calcChain.xml><?xml version="1.0" encoding="utf-8"?>
<calcChain xmlns="http://schemas.openxmlformats.org/spreadsheetml/2006/main">
  <c r="I12" i="1" l="1"/>
  <c r="I11" i="1"/>
  <c r="I10" i="1"/>
  <c r="I13" i="2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I13" i="1" l="1"/>
  <c r="O15" i="3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<sst xmlns="http://schemas.openxmlformats.org/spreadsheetml/2006/main" count="98" uniqueCount="84">
  <si>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</si>
  <si>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</si>
  <si>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</si>
  <si>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</si>
  <si>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</si>
  <si>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</si>
  <si>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</si>
  <si>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</si>
  <si>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</si>
  <si>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</si>
  <si>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</si>
  <si>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</si>
  <si>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</si>
  <si>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</si>
  <si>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</si>
  <si>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</si>
  <si>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2.1.1-478.47</t>
  </si>
  <si>
    <t>ALIMENTOS</t>
  </si>
  <si>
    <t>2.1.1</t>
  </si>
  <si>
    <t>AGUA MINERAL; TIPO: SIN GASIFICAR, PRESENTACION: BIDON X 20 L, MATERIAL ENVASE: POLICARBONATO, TIPO ENVASE: RETORNABLE, ELEM. TRANSPORTE: SIN, MATERIAL ELEM. TRANSPORTE: SIN</t>
  </si>
  <si>
    <t>UNIDAD</t>
  </si>
  <si>
    <t>2.1.1-478.68</t>
  </si>
  <si>
    <t>AGUA MINERAL; TIPO: SIN GASIFICAR, PRESENTACION: SEGUN PLIEGO, MATERIAL ENVASE: PLASTICO (PVC), TIPO ENVASE: NO RETORNABLE, ELEM. TRANSPORTE: SIN, MATERIAL ELEM. TRANSPORTE: PLASTICO</t>
  </si>
  <si>
    <t>PACK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</si>
  <si>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</si>
  <si>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</si>
  <si>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t xml:space="preserve">Tipo: Sin gas Presentación: Bidón por 20 Litros Material envasado: Plástico PVC Tipo envase: Retornable 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</si>
  <si>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2</t>
    </r>
    <r>
      <rPr>
        <sz val="11"/>
        <color theme="1"/>
        <rFont val="Calibri"/>
        <family val="2"/>
        <scheme val="minor"/>
      </rPr>
      <t/>
    </r>
  </si>
  <si>
    <t>Tipo: Sin gas Presentación: Pack por 12 botellas por 500 c.c.  Material envasado: Plástico PVC Tipo envase: No Retornable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</si>
  <si>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  <r>
      <rPr>
        <sz val="11"/>
        <color theme="1"/>
        <rFont val="Calibri"/>
        <family val="2"/>
        <scheme val="minor"/>
      </rPr>
      <t/>
    </r>
  </si>
  <si>
    <t>Tipo: Sin gas Presentación: Pack por 6 botellas por 1.500 c.c. Material envasado: Plástico PVC Tipo envase: No Retornable</t>
  </si>
  <si>
    <t>Plazos y lugares de entrega</t>
  </si>
  <si>
    <t>a) LUGAR DE ENTREGA: Departamento Logística, sito en Av. Felix Avellaneda RP N° 33  KM 2., SUMALAO - VALLE VIEJO. De 08 a 12 horas. 
b) FORMA DE LA ENTREGA: 1 entrega mensual durante  3 meses  de 1800 bidones de 20 Ltrs ( Items 1), 100 Packs de botellas de 500 cc. ( Items 2) y 100 Packs de botellas 1.500 cc.(Items 3), junto con la 1° entrega el proveedor  del Items 1 debe incluir la prestamo  sin cargo de 150 dispensadores de agua fria/Caliente  incluyendo su mantenimiento y reparcion durante el plazo de 3 meses apartir de la 1° entrega.todos los conceptosdeben ser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</si>
  <si>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</si>
  <si>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 xml:space="preserve">Que Cumpla con lo Solicitado de Forma Integra. 
</t>
  </si>
  <si>
    <t>Mantenimiento</t>
  </si>
  <si>
    <t xml:space="preserve">30 (treinta)  días </t>
  </si>
  <si>
    <t>Garantia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</si>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</sst>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166" fontId="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</cellStyleXfs>
  <cellXfs count="157">
    <xf numFmtId="0" fontId="0" fillId="0" borderId="0" xfId="0"/>
    <xf numFmtId="0" fontId="6" fillId="3" borderId="0" xfId="0" applyFont="1" applyFill="1"/>
    <xf numFmtId="0" fontId="9" fillId="3" borderId="0" xfId="0" applyFont="1" applyFill="1" applyAlignment="1">
      <alignment horizontal="left" wrapText="1"/>
    </xf>
    <xf numFmtId="0" fontId="8" fillId="3" borderId="43" xfId="0" applyFont="1" applyFill="1" applyBorder="1" applyAlignment="1">
      <alignment horizontal="center" vertical="center" wrapText="1"/>
    </xf>
    <xf numFmtId="0" fontId="6" fillId="3" borderId="0" xfId="0" applyFont="1" applyFill="1" applyBorder="1"/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horizontal="center" wrapText="1"/>
    </xf>
    <xf numFmtId="0" fontId="20" fillId="4" borderId="0" xfId="0" applyFont="1" applyFill="1" applyAlignment="1">
      <alignment horizontal="left" wrapText="1" indent="1"/>
    </xf>
    <xf numFmtId="0" fontId="8" fillId="3" borderId="0" xfId="0" applyFont="1" applyFill="1" applyAlignment="1">
      <alignment horizontal="left" wrapText="1"/>
    </xf>
    <xf numFmtId="171" fontId="7" fillId="3" borderId="38" xfId="0" applyNumberFormat="1" applyFont="1" applyFill="1" applyBorder="1"/>
    <xf numFmtId="3" fontId="15" fillId="3" borderId="0" xfId="0" applyNumberFormat="1" applyFont="1" applyFill="1" applyBorder="1" applyAlignment="1"/>
    <xf numFmtId="169" fontId="6" fillId="3" borderId="0" xfId="0" applyNumberFormat="1" applyFont="1" applyFill="1" applyAlignment="1">
      <alignment horizontal="left"/>
    </xf>
    <xf numFmtId="0" fontId="6" fillId="3" borderId="10" xfId="0" applyFont="1" applyFill="1" applyBorder="1"/>
    <xf numFmtId="0" fontId="6" fillId="3" borderId="24" xfId="0" applyFont="1" applyFill="1" applyBorder="1"/>
    <xf numFmtId="0" fontId="6" fillId="3" borderId="12" xfId="0" applyFont="1" applyFill="1" applyBorder="1"/>
    <xf numFmtId="0" fontId="6" fillId="3" borderId="12" xfId="0" applyFont="1" applyFill="1" applyBorder="1" applyAlignment="1">
      <alignment horizontal="left"/>
    </xf>
    <xf numFmtId="0" fontId="6" fillId="3" borderId="25" xfId="0" applyFont="1" applyFill="1" applyBorder="1"/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left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7" fontId="6" fillId="3" borderId="33" xfId="3" applyNumberFormat="1" applyFont="1" applyFill="1" applyBorder="1" applyAlignment="1" applyProtection="1">
      <alignment horizontal="center" vertical="center"/>
    </xf>
    <xf numFmtId="167" fontId="7" fillId="3" borderId="34" xfId="0" applyNumberFormat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right" vertical="center"/>
    </xf>
    <xf numFmtId="0" fontId="13" fillId="3" borderId="1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6" fillId="3" borderId="41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170" fontId="6" fillId="3" borderId="42" xfId="1" applyNumberFormat="1" applyFont="1" applyFill="1" applyBorder="1" applyAlignment="1" applyProtection="1">
      <alignment horizontal="center" vertical="center"/>
    </xf>
    <xf numFmtId="3" fontId="6" fillId="3" borderId="42" xfId="0" applyNumberFormat="1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>
      <alignment vertical="center"/>
    </xf>
    <xf numFmtId="0" fontId="10" fillId="5" borderId="2" xfId="0" applyFont="1" applyFill="1" applyBorder="1" applyAlignment="1">
      <alignment horizontal="left"/>
    </xf>
    <xf numFmtId="0" fontId="6" fillId="5" borderId="3" xfId="0" applyFont="1" applyFill="1" applyBorder="1"/>
    <xf numFmtId="0" fontId="6" fillId="5" borderId="0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7" xfId="0" applyFont="1" applyFill="1" applyBorder="1"/>
    <xf numFmtId="0" fontId="6" fillId="5" borderId="8" xfId="0" applyFont="1" applyFill="1" applyBorder="1"/>
    <xf numFmtId="0" fontId="6" fillId="5" borderId="3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left" indent="3"/>
    </xf>
    <xf numFmtId="0" fontId="11" fillId="5" borderId="5" xfId="0" applyFont="1" applyFill="1" applyBorder="1" applyAlignment="1"/>
    <xf numFmtId="0" fontId="10" fillId="5" borderId="5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8" fillId="3" borderId="50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49" fontId="6" fillId="3" borderId="56" xfId="0" applyNumberFormat="1" applyFont="1" applyFill="1" applyBorder="1"/>
    <xf numFmtId="0" fontId="10" fillId="5" borderId="7" xfId="0" applyFont="1" applyFill="1" applyBorder="1" applyAlignment="1">
      <alignment horizontal="left"/>
    </xf>
    <xf numFmtId="49" fontId="6" fillId="0" borderId="54" xfId="0" applyNumberFormat="1" applyFont="1" applyFill="1" applyBorder="1" applyAlignment="1">
      <alignment vertical="center"/>
    </xf>
    <xf numFmtId="0" fontId="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164" fontId="22" fillId="0" borderId="54" xfId="1" applyNumberFormat="1" applyFont="1" applyFill="1" applyBorder="1" applyAlignment="1">
      <alignment horizontal="center" vertical="center"/>
    </xf>
    <xf numFmtId="167" fontId="6" fillId="0" borderId="55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Fill="1"/>
    <xf numFmtId="0" fontId="22" fillId="0" borderId="52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8" fillId="6" borderId="43" xfId="0" applyFont="1" applyFill="1" applyBorder="1" applyAlignment="1">
      <alignment horizontal="center" vertical="center" wrapText="1"/>
    </xf>
    <xf numFmtId="0" fontId="6" fillId="6" borderId="0" xfId="0" applyFont="1" applyFill="1"/>
    <xf numFmtId="0" fontId="6" fillId="6" borderId="4" xfId="0" applyFont="1" applyFill="1" applyBorder="1"/>
    <xf numFmtId="0" fontId="6" fillId="6" borderId="6" xfId="0" applyFont="1" applyFill="1" applyBorder="1"/>
    <xf numFmtId="0" fontId="6" fillId="6" borderId="4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9" xfId="0" applyFont="1" applyFill="1" applyBorder="1"/>
    <xf numFmtId="0" fontId="6" fillId="6" borderId="4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 wrapText="1"/>
    </xf>
    <xf numFmtId="49" fontId="22" fillId="0" borderId="54" xfId="0" applyNumberFormat="1" applyFont="1" applyFill="1" applyBorder="1" applyAlignment="1">
      <alignment vertical="top" wrapText="1"/>
    </xf>
    <xf numFmtId="171" fontId="7" fillId="3" borderId="0" xfId="0" applyNumberFormat="1" applyFont="1" applyFill="1" applyBorder="1"/>
    <xf numFmtId="0" fontId="6" fillId="6" borderId="44" xfId="0" applyFont="1" applyFill="1" applyBorder="1" applyAlignment="1">
      <alignment horizontal="left" vertical="center" wrapText="1"/>
    </xf>
    <xf numFmtId="49" fontId="22" fillId="0" borderId="54" xfId="0" applyNumberFormat="1" applyFont="1" applyBorder="1" applyAlignment="1">
      <alignment vertical="center" wrapText="1"/>
    </xf>
    <xf numFmtId="0" fontId="9" fillId="3" borderId="5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left" wrapText="1"/>
    </xf>
    <xf numFmtId="0" fontId="6" fillId="5" borderId="0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center"/>
    </xf>
    <xf numFmtId="0" fontId="20" fillId="4" borderId="0" xfId="0" applyFont="1" applyFill="1" applyBorder="1" applyAlignment="1">
      <alignment horizontal="left" wrapText="1" indent="1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13" fillId="3" borderId="38" xfId="0" applyFont="1" applyFill="1" applyBorder="1" applyAlignment="1">
      <alignment horizontal="left" vertical="center" wrapText="1" indent="1"/>
    </xf>
    <xf numFmtId="168" fontId="13" fillId="3" borderId="38" xfId="0" applyNumberFormat="1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left" vertical="center" wrapText="1" indent="1"/>
    </xf>
    <xf numFmtId="0" fontId="13" fillId="3" borderId="44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left" vertical="center" wrapText="1" indent="1"/>
    </xf>
    <xf numFmtId="0" fontId="15" fillId="3" borderId="19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left" vertical="center"/>
    </xf>
    <xf numFmtId="49" fontId="16" fillId="3" borderId="45" xfId="0" applyNumberFormat="1" applyFont="1" applyFill="1" applyBorder="1" applyAlignment="1">
      <alignment horizontal="left" vertical="center" wrapText="1"/>
    </xf>
    <xf numFmtId="0" fontId="16" fillId="3" borderId="53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left" vertical="center" wrapText="1" indent="1"/>
    </xf>
    <xf numFmtId="0" fontId="14" fillId="3" borderId="15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 indent="1"/>
    </xf>
    <xf numFmtId="0" fontId="6" fillId="3" borderId="32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17" xfId="0" applyFont="1" applyFill="1" applyBorder="1" applyAlignment="1">
      <alignment vertical="center" wrapText="1"/>
    </xf>
    <xf numFmtId="0" fontId="17" fillId="3" borderId="46" xfId="0" applyFont="1" applyFill="1" applyBorder="1" applyAlignment="1">
      <alignment vertical="center" wrapText="1"/>
    </xf>
    <xf numFmtId="0" fontId="17" fillId="3" borderId="47" xfId="0" applyFont="1" applyFill="1" applyBorder="1" applyAlignment="1">
      <alignment vertical="center" wrapText="1"/>
    </xf>
    <xf numFmtId="0" fontId="17" fillId="3" borderId="22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7" fillId="3" borderId="10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5" xfId="0" applyFont="1" applyFill="1" applyBorder="1" applyAlignment="1">
      <alignment horizontal="left" vertical="center" wrapText="1"/>
    </xf>
    <xf numFmtId="0" fontId="15" fillId="3" borderId="34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vertical="center"/>
    </xf>
    <xf numFmtId="0" fontId="7" fillId="3" borderId="40" xfId="0" applyFont="1" applyFill="1" applyBorder="1" applyAlignment="1">
      <alignment vertical="center"/>
    </xf>
    <xf numFmtId="0" fontId="7" fillId="3" borderId="26" xfId="0" applyFont="1" applyFill="1" applyBorder="1" applyAlignment="1">
      <alignment vertical="center"/>
    </xf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7" fillId="3" borderId="2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left" vertical="center" wrapText="1"/>
    </xf>
    <xf numFmtId="0" fontId="6" fillId="3" borderId="36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indent="1"/>
    </xf>
    <xf numFmtId="0" fontId="11" fillId="3" borderId="11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center"/>
    </xf>
    <xf numFmtId="3" fontId="15" fillId="3" borderId="20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5"/>
  <sheetViews>
    <sheetView tabSelected="1" view="pageBreakPreview" zoomScale="90" zoomScaleNormal="85" zoomScaleSheetLayoutView="90" workbookViewId="0">
      <selection activeCell="E12" sqref="E12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1.28515625" style="1" customWidth="1"/>
    <col min="4" max="4" width="8.42578125" style="1" customWidth="1"/>
    <col min="5" max="5" width="94.28515625" style="7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97" t="s">
        <v>0</v>
      </c>
      <c r="C2" s="97"/>
      <c r="D2" s="97"/>
      <c r="E2" s="97"/>
      <c r="F2" s="97"/>
      <c r="G2" s="97"/>
      <c r="H2" s="97"/>
    </row>
    <row r="4" spans="1:9" ht="18" customHeight="1" x14ac:dyDescent="0.25">
      <c r="A4" s="96" t="s">
        <v>1</v>
      </c>
      <c r="B4" s="96"/>
      <c r="C4" s="98" t="s">
        <v>2</v>
      </c>
      <c r="D4" s="98"/>
      <c r="E4" s="98"/>
      <c r="F4" s="2"/>
      <c r="G4" s="6"/>
      <c r="H4" s="2"/>
    </row>
    <row r="5" spans="1:9" ht="18" customHeight="1" x14ac:dyDescent="0.25">
      <c r="A5" s="96" t="s">
        <v>3</v>
      </c>
      <c r="B5" s="96"/>
      <c r="C5" s="98" t="s">
        <v>4</v>
      </c>
      <c r="D5" s="98"/>
      <c r="E5" s="98"/>
      <c r="F5" s="2"/>
      <c r="G5" s="6"/>
      <c r="H5" s="2"/>
    </row>
    <row r="6" spans="1:9" ht="16.5" customHeight="1" x14ac:dyDescent="0.25">
      <c r="A6" s="96" t="s">
        <v>5</v>
      </c>
      <c r="B6" s="96"/>
      <c r="C6" s="7">
        <v>2022</v>
      </c>
      <c r="D6" s="8"/>
      <c r="E6" s="68"/>
      <c r="F6" s="2"/>
      <c r="G6" s="6"/>
      <c r="H6" s="2"/>
    </row>
    <row r="7" spans="1:9" ht="16.5" customHeight="1" x14ac:dyDescent="0.25">
      <c r="A7" s="96" t="s">
        <v>6</v>
      </c>
      <c r="B7" s="96"/>
      <c r="C7" s="7">
        <v>2</v>
      </c>
      <c r="D7" s="8"/>
      <c r="E7" s="68"/>
      <c r="F7" s="2"/>
      <c r="G7" s="6"/>
      <c r="H7" s="2"/>
    </row>
    <row r="8" spans="1:9" ht="14.25" thickBot="1" x14ac:dyDescent="0.3">
      <c r="B8" s="2"/>
      <c r="C8" s="6"/>
      <c r="D8" s="2"/>
      <c r="E8" s="69"/>
      <c r="F8" s="2"/>
      <c r="G8" s="6"/>
      <c r="H8" s="2"/>
    </row>
    <row r="9" spans="1:9" ht="39.75" thickTop="1" thickBot="1" x14ac:dyDescent="0.3">
      <c r="A9" s="55" t="s">
        <v>7</v>
      </c>
      <c r="B9" s="57" t="s">
        <v>8</v>
      </c>
      <c r="C9" s="56" t="s">
        <v>9</v>
      </c>
      <c r="D9" s="3" t="s">
        <v>10</v>
      </c>
      <c r="E9" s="70" t="s">
        <v>11</v>
      </c>
      <c r="F9" s="3" t="s">
        <v>12</v>
      </c>
      <c r="G9" s="3" t="s">
        <v>13</v>
      </c>
      <c r="H9" s="3" t="s">
        <v>14</v>
      </c>
      <c r="I9" s="3" t="s">
        <v>15</v>
      </c>
    </row>
    <row r="10" spans="1:9" ht="41.25" thickBot="1" x14ac:dyDescent="0.3">
      <c r="A10" s="67">
        <v>1</v>
      </c>
      <c r="B10" s="61" t="s">
        <v>16</v>
      </c>
      <c r="C10" s="82" t="s">
        <v>17</v>
      </c>
      <c r="D10" s="83" t="s">
        <v>18</v>
      </c>
      <c r="E10" s="79" t="s">
        <v>19</v>
      </c>
      <c r="F10" s="62" t="s">
        <v>20</v>
      </c>
      <c r="G10" s="63">
        <v>5400</v>
      </c>
      <c r="H10" s="64">
        <v>550</v>
      </c>
      <c r="I10" s="65">
        <f t="shared" ref="I10:I12" si="0">H10*G10</f>
        <v>2970000</v>
      </c>
    </row>
    <row r="11" spans="1:9" ht="40.5" x14ac:dyDescent="0.25">
      <c r="A11" s="67">
        <v>2</v>
      </c>
      <c r="B11" s="61" t="s">
        <v>21</v>
      </c>
      <c r="C11" s="82" t="s">
        <v>17</v>
      </c>
      <c r="D11" s="83" t="s">
        <v>18</v>
      </c>
      <c r="E11" s="79" t="s">
        <v>22</v>
      </c>
      <c r="F11" s="62" t="s">
        <v>23</v>
      </c>
      <c r="G11" s="63">
        <v>300</v>
      </c>
      <c r="H11" s="64">
        <v>720</v>
      </c>
      <c r="I11" s="65">
        <f t="shared" si="0"/>
        <v>216000</v>
      </c>
    </row>
    <row r="12" spans="1:9" ht="40.5" x14ac:dyDescent="0.25">
      <c r="A12" s="67">
        <v>3</v>
      </c>
      <c r="B12" s="61" t="s">
        <v>21</v>
      </c>
      <c r="C12" s="82" t="s">
        <v>17</v>
      </c>
      <c r="D12" s="83" t="s">
        <v>18</v>
      </c>
      <c r="E12" s="79" t="s">
        <v>22</v>
      </c>
      <c r="F12" s="62" t="s">
        <v>23</v>
      </c>
      <c r="G12" s="63">
        <v>300</v>
      </c>
      <c r="H12" s="64">
        <v>680</v>
      </c>
      <c r="I12" s="65">
        <f t="shared" si="0"/>
        <v>204000</v>
      </c>
    </row>
    <row r="13" spans="1:9" ht="15" thickBot="1" x14ac:dyDescent="0.3">
      <c r="B13" s="58"/>
      <c r="I13" s="9">
        <f>SUM(I10:I12)</f>
        <v>3390000</v>
      </c>
    </row>
    <row r="14" spans="1:9" ht="15" thickBot="1" x14ac:dyDescent="0.3">
      <c r="B14" s="58"/>
      <c r="I14" s="80"/>
    </row>
    <row r="15" spans="1:9" x14ac:dyDescent="0.25">
      <c r="B15" s="40" t="s">
        <v>24</v>
      </c>
      <c r="C15" s="41"/>
      <c r="D15" s="41"/>
      <c r="E15" s="72"/>
    </row>
    <row r="16" spans="1:9" x14ac:dyDescent="0.25">
      <c r="B16" s="101" t="s">
        <v>25</v>
      </c>
      <c r="C16" s="102"/>
      <c r="D16" s="42"/>
      <c r="E16" s="73"/>
    </row>
    <row r="17" spans="1:9" x14ac:dyDescent="0.25">
      <c r="B17" s="84"/>
      <c r="C17" s="99" t="s">
        <v>26</v>
      </c>
      <c r="D17" s="99"/>
      <c r="E17" s="100"/>
    </row>
    <row r="18" spans="1:9" ht="15" x14ac:dyDescent="0.25">
      <c r="B18" s="101" t="s">
        <v>27</v>
      </c>
      <c r="C18" s="102"/>
      <c r="D18" s="42"/>
      <c r="E18" s="73"/>
    </row>
    <row r="19" spans="1:9" x14ac:dyDescent="0.25">
      <c r="B19" s="84"/>
      <c r="C19" s="99" t="s">
        <v>28</v>
      </c>
      <c r="D19" s="99"/>
      <c r="E19" s="100"/>
    </row>
    <row r="20" spans="1:9" ht="15" x14ac:dyDescent="0.25">
      <c r="B20" s="101" t="s">
        <v>29</v>
      </c>
      <c r="C20" s="102"/>
      <c r="D20" s="42"/>
      <c r="E20" s="73"/>
    </row>
    <row r="21" spans="1:9" s="66" customFormat="1" x14ac:dyDescent="0.25">
      <c r="A21" s="1"/>
      <c r="B21" s="60"/>
      <c r="C21" s="103" t="s">
        <v>30</v>
      </c>
      <c r="D21" s="103"/>
      <c r="E21" s="104"/>
      <c r="F21" s="1"/>
      <c r="G21" s="1"/>
      <c r="H21" s="1"/>
      <c r="I21" s="1"/>
    </row>
    <row r="22" spans="1:9" ht="39" customHeight="1" thickBot="1" x14ac:dyDescent="0.3">
      <c r="B22" s="85"/>
      <c r="C22" s="78"/>
      <c r="D22" s="78"/>
      <c r="E22" s="81"/>
    </row>
    <row r="23" spans="1:9" ht="14.25" customHeight="1" x14ac:dyDescent="0.25">
      <c r="B23" s="43" t="s">
        <v>31</v>
      </c>
      <c r="C23" s="44"/>
      <c r="D23" s="41"/>
      <c r="E23" s="74"/>
    </row>
    <row r="24" spans="1:9" ht="153.75" customHeight="1" x14ac:dyDescent="0.25">
      <c r="B24" s="45"/>
      <c r="C24" s="86" t="s">
        <v>32</v>
      </c>
      <c r="D24" s="86"/>
      <c r="E24" s="87"/>
    </row>
    <row r="25" spans="1:9" ht="14.25" customHeight="1" x14ac:dyDescent="0.25">
      <c r="B25" s="45"/>
      <c r="C25" s="88"/>
      <c r="D25" s="88"/>
      <c r="E25" s="89"/>
    </row>
    <row r="26" spans="1:9" ht="18" customHeight="1" x14ac:dyDescent="0.25">
      <c r="B26" s="46" t="s">
        <v>33</v>
      </c>
      <c r="C26" s="47"/>
      <c r="D26" s="42"/>
      <c r="E26" s="75"/>
    </row>
    <row r="27" spans="1:9" ht="14.25" customHeight="1" x14ac:dyDescent="0.25">
      <c r="B27" s="45"/>
      <c r="C27" s="90" t="s">
        <v>34</v>
      </c>
      <c r="D27" s="90"/>
      <c r="E27" s="91"/>
    </row>
    <row r="28" spans="1:9" ht="8.25" customHeight="1" x14ac:dyDescent="0.25">
      <c r="B28" s="48"/>
      <c r="C28" s="49"/>
      <c r="D28" s="49"/>
      <c r="E28" s="76"/>
    </row>
    <row r="29" spans="1:9" ht="14.25" customHeight="1" x14ac:dyDescent="0.25">
      <c r="B29" s="42"/>
      <c r="C29" s="42"/>
      <c r="D29" s="42"/>
      <c r="E29" s="76"/>
    </row>
    <row r="30" spans="1:9" ht="39" customHeight="1" x14ac:dyDescent="0.25">
      <c r="B30" s="43" t="s">
        <v>35</v>
      </c>
      <c r="C30" s="50"/>
      <c r="D30" s="50"/>
      <c r="E30" s="77"/>
    </row>
    <row r="31" spans="1:9" ht="14.25" customHeight="1" x14ac:dyDescent="0.25">
      <c r="B31" s="51"/>
      <c r="C31" s="92" t="s">
        <v>36</v>
      </c>
      <c r="D31" s="92"/>
      <c r="E31" s="93"/>
    </row>
    <row r="32" spans="1:9" ht="18.75" customHeight="1" x14ac:dyDescent="0.25">
      <c r="B32" s="52" t="s">
        <v>37</v>
      </c>
      <c r="C32" s="42"/>
      <c r="D32" s="42"/>
      <c r="E32" s="73"/>
    </row>
    <row r="33" spans="2:5" ht="14.25" customHeight="1" x14ac:dyDescent="0.25">
      <c r="B33" s="53"/>
      <c r="C33" s="94"/>
      <c r="D33" s="94"/>
      <c r="E33" s="95"/>
    </row>
    <row r="34" spans="2:5" ht="14.25" thickBot="1" x14ac:dyDescent="0.3">
      <c r="B34" s="54"/>
      <c r="C34" s="49"/>
      <c r="D34" s="49"/>
      <c r="E34" s="76"/>
    </row>
    <row r="35" spans="2:5" ht="98.25" customHeight="1" x14ac:dyDescent="0.25"/>
    <row r="37" spans="2:5" ht="13.5" customHeight="1" x14ac:dyDescent="0.25"/>
    <row r="38" spans="2:5" ht="15.75" customHeight="1" x14ac:dyDescent="0.25"/>
    <row r="39" spans="2:5" ht="15.75" customHeight="1" x14ac:dyDescent="0.25"/>
    <row r="41" spans="2:5" ht="13.5" customHeight="1" x14ac:dyDescent="0.25"/>
    <row r="43" spans="2:5" ht="13.5" customHeight="1" x14ac:dyDescent="0.25"/>
    <row r="45" spans="2:5" ht="14.25" customHeight="1" x14ac:dyDescent="0.25"/>
  </sheetData>
  <mergeCells count="18">
    <mergeCell ref="C19:E19"/>
    <mergeCell ref="B20:C20"/>
    <mergeCell ref="C21:E21"/>
    <mergeCell ref="B16:C16"/>
    <mergeCell ref="C17:E17"/>
    <mergeCell ref="B18:C18"/>
    <mergeCell ref="A6:B6"/>
    <mergeCell ref="A7:B7"/>
    <mergeCell ref="B2:H2"/>
    <mergeCell ref="A4:B4"/>
    <mergeCell ref="C4:E4"/>
    <mergeCell ref="A5:B5"/>
    <mergeCell ref="C5:E5"/>
    <mergeCell ref="C24:E24"/>
    <mergeCell ref="C25:E25"/>
    <mergeCell ref="C27:E27"/>
    <mergeCell ref="C31:E31"/>
    <mergeCell ref="C33:E33"/>
  </mergeCells>
  <printOptions horizontalCentered="1" verticalCentered="1"/>
  <pageMargins left="0" right="0" top="0" bottom="0" header="0.51181102362204722" footer="0.51181102362204722"/>
  <pageSetup paperSize="5" scale="7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9" customWidth="1"/>
    <col min="2" max="2" width="12.28515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77.42578125" style="29" customWidth="1"/>
    <col min="8" max="8" width="8.42578125" style="29" customWidth="1"/>
    <col min="9" max="9" width="12" style="29" customWidth="1"/>
    <col min="10" max="10" width="11.42578125" style="29" customWidth="1"/>
    <col min="11" max="11" width="10.8554687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024" ht="18" customHeight="1" x14ac:dyDescent="0.25">
      <c r="A1" s="120" t="s">
        <v>38</v>
      </c>
      <c r="B1" s="120"/>
      <c r="C1" s="120"/>
      <c r="D1" s="120"/>
      <c r="E1" s="120"/>
      <c r="F1" s="120"/>
      <c r="G1" s="120"/>
      <c r="H1" s="120"/>
      <c r="I1" s="120"/>
      <c r="J1" s="27" t="s">
        <v>39</v>
      </c>
      <c r="K1" s="28" t="s">
        <v>40</v>
      </c>
    </row>
    <row r="2" spans="1:1024" ht="18.75" customHeight="1" thickBot="1" x14ac:dyDescent="0.3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 x14ac:dyDescent="0.3">
      <c r="A3" s="121" t="s">
        <v>41</v>
      </c>
      <c r="B3" s="121"/>
      <c r="C3" s="121"/>
      <c r="D3" s="124" t="str">
        <f>'Necesidades Trimestrales'!C4</f>
        <v>90 - Ministerio de Seguridad</v>
      </c>
      <c r="E3" s="124"/>
      <c r="F3" s="124"/>
      <c r="G3" s="124"/>
      <c r="H3" s="124"/>
      <c r="I3" s="124"/>
      <c r="J3" s="124"/>
      <c r="K3" s="124"/>
    </row>
    <row r="4" spans="1:1024" ht="18.75" customHeight="1" thickBot="1" x14ac:dyDescent="0.3">
      <c r="A4" s="123" t="s">
        <v>42</v>
      </c>
      <c r="B4" s="123"/>
      <c r="C4" s="123"/>
      <c r="D4" s="124" t="str">
        <f>'Necesidades Trimestrales'!C5</f>
        <v>7- Dirección Provincial de Administración de la Policía de la Provincia de Catamarca</v>
      </c>
      <c r="E4" s="124"/>
      <c r="F4" s="124"/>
      <c r="G4" s="124"/>
      <c r="H4" s="124"/>
      <c r="I4" s="124"/>
      <c r="J4" s="124"/>
      <c r="K4" s="124"/>
    </row>
    <row r="5" spans="1:1024" ht="18.75" customHeight="1" thickBot="1" x14ac:dyDescent="0.3">
      <c r="A5" s="123" t="s">
        <v>43</v>
      </c>
      <c r="B5" s="123"/>
      <c r="C5" s="123"/>
      <c r="D5" s="124" t="s">
        <v>44</v>
      </c>
      <c r="E5" s="124"/>
      <c r="F5" s="124"/>
      <c r="G5" s="124"/>
      <c r="H5" s="124"/>
      <c r="I5" s="124"/>
      <c r="J5" s="124"/>
      <c r="K5" s="124"/>
    </row>
    <row r="6" spans="1:1024" ht="16.5" customHeight="1" thickBot="1" x14ac:dyDescent="0.3">
      <c r="A6" s="121" t="s">
        <v>45</v>
      </c>
      <c r="B6" s="121"/>
      <c r="C6" s="121"/>
      <c r="D6" s="122" t="s">
        <v>46</v>
      </c>
      <c r="E6" s="108"/>
      <c r="F6" s="108"/>
      <c r="G6" s="108"/>
      <c r="H6" s="108"/>
      <c r="I6" s="108"/>
      <c r="J6" s="108"/>
      <c r="K6" s="109"/>
    </row>
    <row r="7" spans="1:1024" ht="16.5" customHeight="1" thickBot="1" x14ac:dyDescent="0.3">
      <c r="A7" s="123" t="s">
        <v>47</v>
      </c>
      <c r="B7" s="123"/>
      <c r="C7" s="123"/>
      <c r="D7" s="124" t="s">
        <v>48</v>
      </c>
      <c r="E7" s="124"/>
      <c r="F7" s="124"/>
      <c r="G7" s="124"/>
      <c r="H7" s="124"/>
      <c r="I7" s="124"/>
      <c r="J7" s="124"/>
      <c r="K7" s="124"/>
    </row>
    <row r="8" spans="1:1024" ht="16.5" customHeight="1" thickBot="1" x14ac:dyDescent="0.3">
      <c r="A8" s="116" t="s">
        <v>49</v>
      </c>
      <c r="B8" s="116"/>
      <c r="C8" s="116"/>
      <c r="D8" s="107" t="s">
        <v>50</v>
      </c>
      <c r="E8" s="108"/>
      <c r="F8" s="108"/>
      <c r="G8" s="108"/>
      <c r="H8" s="108"/>
      <c r="I8" s="108"/>
      <c r="J8" s="108"/>
      <c r="K8" s="109"/>
    </row>
    <row r="9" spans="1:1024" ht="18" thickBot="1" x14ac:dyDescent="0.3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4.25" customHeight="1" thickBot="1" x14ac:dyDescent="0.3">
      <c r="A10" s="110" t="s">
        <v>51</v>
      </c>
      <c r="B10" s="111" t="s">
        <v>52</v>
      </c>
      <c r="C10" s="112" t="s">
        <v>53</v>
      </c>
      <c r="D10" s="113"/>
      <c r="E10" s="113"/>
      <c r="F10" s="113"/>
      <c r="G10" s="114"/>
      <c r="H10" s="115" t="s">
        <v>54</v>
      </c>
      <c r="I10" s="113" t="s">
        <v>55</v>
      </c>
      <c r="J10" s="113" t="s">
        <v>56</v>
      </c>
      <c r="K10" s="114" t="s">
        <v>57</v>
      </c>
    </row>
    <row r="11" spans="1:1024" ht="14.25" customHeight="1" thickBot="1" x14ac:dyDescent="0.3">
      <c r="A11" s="110"/>
      <c r="B11" s="111"/>
      <c r="C11" s="112"/>
      <c r="D11" s="113"/>
      <c r="E11" s="113"/>
      <c r="F11" s="113"/>
      <c r="G11" s="114"/>
      <c r="H11" s="115"/>
      <c r="I11" s="113"/>
      <c r="J11" s="113"/>
      <c r="K11" s="114"/>
    </row>
    <row r="12" spans="1:1024" ht="22.5" customHeight="1" thickBot="1" x14ac:dyDescent="0.3">
      <c r="A12" s="34">
        <v>1</v>
      </c>
      <c r="B12" s="59" t="e">
        <f>'Necesidades Trimestrales'!#REF!</f>
        <v>#REF!</v>
      </c>
      <c r="C12" s="117" t="e">
        <f>'Necesidades Trimestrales'!#REF!</f>
        <v>#REF!</v>
      </c>
      <c r="D12" s="118"/>
      <c r="E12" s="118"/>
      <c r="F12" s="118"/>
      <c r="G12" s="119"/>
      <c r="H12" s="35" t="s">
        <v>58</v>
      </c>
      <c r="I12" s="36" t="e">
        <f>'Necesidades Trimestrales'!#REF!</f>
        <v>#REF!</v>
      </c>
      <c r="J12" s="37" t="e">
        <f>'Necesidades Trimestrales'!#REF!</f>
        <v>#REF!</v>
      </c>
      <c r="K12" s="38" t="e">
        <f>'Necesidades Trimestrales'!#REF!</f>
        <v>#REF!</v>
      </c>
    </row>
    <row r="13" spans="1:1024" ht="22.5" customHeight="1" thickBot="1" x14ac:dyDescent="0.3">
      <c r="A13" s="34"/>
      <c r="B13" s="59" t="e">
        <f>'Necesidades Trimestrales'!#REF!</f>
        <v>#REF!</v>
      </c>
      <c r="C13" s="117" t="e">
        <f>'Necesidades Trimestrales'!#REF!</f>
        <v>#REF!</v>
      </c>
      <c r="D13" s="118"/>
      <c r="E13" s="118"/>
      <c r="F13" s="118"/>
      <c r="G13" s="119"/>
      <c r="H13" s="35" t="s">
        <v>58</v>
      </c>
      <c r="I13" s="36" t="e">
        <f>'Necesidades Trimestrales'!#REF!</f>
        <v>#REF!</v>
      </c>
      <c r="J13" s="37" t="e">
        <f>'Necesidades Trimestrales'!#REF!</f>
        <v>#REF!</v>
      </c>
      <c r="K13" s="38" t="e">
        <f>'Necesidades Trimestrales'!#REF!</f>
        <v>#REF!</v>
      </c>
    </row>
    <row r="14" spans="1:1024" ht="19.5" customHeight="1" x14ac:dyDescent="0.25">
      <c r="A14" s="34">
        <v>3</v>
      </c>
      <c r="B14" s="59" t="e">
        <f>'Necesidades Trimestrales'!#REF!</f>
        <v>#REF!</v>
      </c>
      <c r="C14" s="117" t="e">
        <f>'Necesidades Trimestrales'!#REF!</f>
        <v>#REF!</v>
      </c>
      <c r="D14" s="118"/>
      <c r="E14" s="118"/>
      <c r="F14" s="118"/>
      <c r="G14" s="119"/>
      <c r="H14" s="35" t="s">
        <v>58</v>
      </c>
      <c r="I14" s="36" t="e">
        <f>'Necesidades Trimestrales'!#REF!</f>
        <v>#REF!</v>
      </c>
      <c r="J14" s="37" t="e">
        <f>'Necesidades Trimestrales'!#REF!</f>
        <v>#REF!</v>
      </c>
      <c r="K14" s="38" t="e">
        <f>'Necesidades Trimestrales'!#REF!</f>
        <v>#REF!</v>
      </c>
    </row>
    <row r="15" spans="1:1024" ht="15.75" thickBot="1" x14ac:dyDescent="0.3">
      <c r="A15" s="105" t="s">
        <v>59</v>
      </c>
      <c r="B15" s="105"/>
      <c r="C15" s="105"/>
      <c r="D15" s="105"/>
      <c r="E15" s="105"/>
      <c r="F15" s="105"/>
      <c r="G15" s="105"/>
      <c r="H15" s="105"/>
      <c r="I15" s="105"/>
      <c r="J15" s="106">
        <f>'Necesidades Trimestrales'!I13</f>
        <v>3390000</v>
      </c>
      <c r="K15" s="10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9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53" t="s">
        <v>5</v>
      </c>
      <c r="B1" s="153"/>
      <c r="C1" s="153"/>
      <c r="D1" s="154">
        <f>'Necesidades Trimestrales'!C6</f>
        <v>2022</v>
      </c>
      <c r="E1" s="154"/>
      <c r="F1" s="10"/>
      <c r="G1" s="10"/>
      <c r="H1" s="11"/>
      <c r="I1" s="11"/>
      <c r="J1" s="11"/>
      <c r="K1" s="11"/>
      <c r="L1" s="11"/>
      <c r="M1" s="11"/>
      <c r="N1" s="11"/>
      <c r="P1" s="155" t="s">
        <v>60</v>
      </c>
      <c r="Q1" s="155"/>
    </row>
    <row r="2" spans="1:17" ht="15.75" customHeight="1" x14ac:dyDescent="0.25">
      <c r="H2" s="11"/>
      <c r="I2" s="11"/>
      <c r="J2" s="11"/>
      <c r="K2" s="11"/>
      <c r="L2" s="11"/>
      <c r="M2" s="11"/>
      <c r="N2" s="11"/>
      <c r="P2" s="155"/>
      <c r="Q2" s="155"/>
    </row>
    <row r="4" spans="1:17" ht="18" customHeight="1" thickBot="1" x14ac:dyDescent="0.35">
      <c r="A4" s="156" t="s">
        <v>61</v>
      </c>
      <c r="B4" s="156"/>
      <c r="C4" s="156"/>
      <c r="D4" s="156"/>
      <c r="E4" s="156"/>
      <c r="F4" s="156"/>
      <c r="G4" s="151" t="str">
        <f>' NotaPedido'!D3</f>
        <v>90 - Ministerio de Seguridad</v>
      </c>
      <c r="H4" s="151"/>
      <c r="I4" s="151"/>
      <c r="J4" s="151"/>
      <c r="K4" s="151"/>
      <c r="L4" s="151"/>
      <c r="M4" s="151"/>
      <c r="N4" s="151"/>
      <c r="O4" s="151"/>
      <c r="P4" s="151"/>
      <c r="Q4" s="151"/>
    </row>
    <row r="5" spans="1:17" ht="18" customHeight="1" thickBot="1" x14ac:dyDescent="0.35">
      <c r="A5" s="148" t="s">
        <v>42</v>
      </c>
      <c r="B5" s="149"/>
      <c r="C5" s="149"/>
      <c r="D5" s="149"/>
      <c r="E5" s="149"/>
      <c r="F5" s="150"/>
      <c r="G5" s="151" t="str">
        <f>' NotaPedido'!D4</f>
        <v>7- Dirección Provincial de Administración de la Policía de la Provincia de Catamarca</v>
      </c>
      <c r="H5" s="151"/>
      <c r="I5" s="151"/>
      <c r="J5" s="151"/>
      <c r="K5" s="151"/>
      <c r="L5" s="151"/>
      <c r="M5" s="151"/>
      <c r="N5" s="151"/>
      <c r="O5" s="151"/>
      <c r="P5" s="151"/>
      <c r="Q5" s="151"/>
    </row>
    <row r="6" spans="1:17" ht="18" customHeight="1" thickBot="1" x14ac:dyDescent="0.35">
      <c r="A6" s="148" t="s">
        <v>43</v>
      </c>
      <c r="B6" s="149"/>
      <c r="C6" s="149"/>
      <c r="D6" s="149"/>
      <c r="E6" s="149"/>
      <c r="F6" s="150"/>
      <c r="G6" s="151" t="str">
        <f>' NotaPedido'!D5</f>
        <v>Policía de la Provincia de Catamarca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</row>
    <row r="7" spans="1:17" ht="18" customHeight="1" thickBot="1" x14ac:dyDescent="0.35">
      <c r="A7" s="148" t="s">
        <v>45</v>
      </c>
      <c r="B7" s="149"/>
      <c r="C7" s="149"/>
      <c r="D7" s="149"/>
      <c r="E7" s="149"/>
      <c r="F7" s="150"/>
      <c r="G7" s="151" t="str">
        <f>' NotaPedido'!D6</f>
        <v>División Intendencia, Departamento Logística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</row>
    <row r="8" spans="1:17" ht="18" customHeight="1" thickBot="1" x14ac:dyDescent="0.3">
      <c r="A8" s="152" t="s">
        <v>62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</row>
    <row r="9" spans="1:17" ht="18" customHeight="1" x14ac:dyDescent="0.3">
      <c r="A9" s="142" t="s">
        <v>63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4"/>
      <c r="P9" s="4"/>
      <c r="Q9" s="12"/>
    </row>
    <row r="10" spans="1:17" ht="66.75" customHeight="1" x14ac:dyDescent="0.25">
      <c r="A10" s="143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5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5">
      <c r="A12" s="144" t="s">
        <v>64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5">
      <c r="A13" s="145" t="s">
        <v>65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66</v>
      </c>
      <c r="P13" s="146"/>
      <c r="Q13" s="147" t="s">
        <v>67</v>
      </c>
    </row>
    <row r="14" spans="1:17" ht="15.75" customHeight="1" thickBot="1" x14ac:dyDescent="0.3">
      <c r="A14" s="17" t="s">
        <v>68</v>
      </c>
      <c r="B14" s="18" t="s">
        <v>69</v>
      </c>
      <c r="C14" s="18" t="s">
        <v>70</v>
      </c>
      <c r="D14" s="18" t="s">
        <v>71</v>
      </c>
      <c r="E14" s="18" t="s">
        <v>72</v>
      </c>
      <c r="F14" s="18" t="s">
        <v>73</v>
      </c>
      <c r="G14" s="19" t="s">
        <v>74</v>
      </c>
      <c r="H14" s="18" t="s">
        <v>75</v>
      </c>
      <c r="I14" s="18" t="s">
        <v>76</v>
      </c>
      <c r="J14" s="18" t="s">
        <v>77</v>
      </c>
      <c r="K14" s="18" t="s">
        <v>77</v>
      </c>
      <c r="L14" s="18" t="s">
        <v>78</v>
      </c>
      <c r="M14" s="20" t="s">
        <v>79</v>
      </c>
      <c r="N14" s="21" t="s">
        <v>80</v>
      </c>
      <c r="O14" s="146"/>
      <c r="P14" s="146"/>
      <c r="Q14" s="147"/>
    </row>
    <row r="15" spans="1:17" ht="26.25" customHeight="1" x14ac:dyDescent="0.25">
      <c r="A15" s="22">
        <v>16</v>
      </c>
      <c r="B15" s="23">
        <v>0</v>
      </c>
      <c r="C15" s="23">
        <v>0</v>
      </c>
      <c r="D15" s="23">
        <v>1</v>
      </c>
      <c r="E15" s="23">
        <v>0</v>
      </c>
      <c r="F15" s="23">
        <v>10</v>
      </c>
      <c r="G15" s="23">
        <v>2</v>
      </c>
      <c r="H15" s="23">
        <v>210</v>
      </c>
      <c r="I15" s="23">
        <v>2</v>
      </c>
      <c r="J15" s="23">
        <v>9</v>
      </c>
      <c r="K15" s="23">
        <v>1</v>
      </c>
      <c r="L15" s="23">
        <v>0</v>
      </c>
      <c r="M15" s="24">
        <v>1</v>
      </c>
      <c r="N15" s="23" t="s">
        <v>81</v>
      </c>
      <c r="O15" s="125" t="e">
        <f>'Necesidades Trimestrales'!#REF!</f>
        <v>#REF!</v>
      </c>
      <c r="P15" s="126"/>
      <c r="Q15" s="25">
        <f>' NotaPedido'!J15</f>
        <v>3390000</v>
      </c>
    </row>
    <row r="16" spans="1:17" ht="33" customHeight="1" thickBot="1" x14ac:dyDescent="0.3">
      <c r="A16" s="138" t="s">
        <v>82</v>
      </c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26">
        <f>Q15</f>
        <v>3390000</v>
      </c>
    </row>
    <row r="17" spans="1:17" ht="18" customHeight="1" thickBot="1" x14ac:dyDescent="0.3">
      <c r="A17" s="139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1"/>
    </row>
    <row r="18" spans="1:17" ht="17.25" customHeight="1" thickBot="1" x14ac:dyDescent="0.3">
      <c r="A18" s="127" t="s">
        <v>83</v>
      </c>
      <c r="B18" s="128"/>
      <c r="C18" s="128"/>
      <c r="D18" s="128"/>
      <c r="E18" s="128"/>
      <c r="F18" s="129"/>
      <c r="G18" s="130"/>
      <c r="H18" s="131"/>
      <c r="I18" s="131"/>
      <c r="J18" s="131"/>
      <c r="K18" s="131"/>
      <c r="L18" s="131"/>
      <c r="M18" s="131"/>
      <c r="N18" s="131"/>
      <c r="O18" s="131"/>
      <c r="P18" s="131"/>
      <c r="Q18" s="131"/>
    </row>
    <row r="19" spans="1:17" ht="18" customHeight="1" x14ac:dyDescent="0.25">
      <c r="A19" s="132" t="str">
        <f>' NotaPedido'!D8</f>
        <v>Adquisición de Uniformes de Fajina para el personal policial.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4"/>
    </row>
    <row r="20" spans="1:17" ht="15" customHeight="1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7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COMPRAS</cp:lastModifiedBy>
  <cp:revision>2</cp:revision>
  <dcterms:created xsi:type="dcterms:W3CDTF">2020-07-17T23:44:49Z</dcterms:created>
  <dcterms:modified xsi:type="dcterms:W3CDTF">2022-05-03T13:40:12Z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