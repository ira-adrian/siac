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A AYBAR\AppData\Local\Temp\$frd_\F9R23A9.tmp\"/>
    </mc:Choice>
  </mc:AlternateContent>
  <xr:revisionPtr revIDLastSave="0" documentId="13_ncr:1_{F744E464-9643-40B3-AF8E-26545872F14A}" xr6:coauthVersionLast="47" xr6:coauthVersionMax="47" xr10:uidLastSave="{00000000-0000-0000-0000-000000000000}"/>
  <bookViews>
    <workbookView xWindow="-120" yWindow="-120" windowWidth="29040" windowHeight="15840" tabRatio="533" activeTab="3" xr2:uid="{00000000-000D-0000-FFFF-FFFF00000000}"/>
  </bookViews>
  <sheets>
    <sheet name="Necesidades Trimestrales (2)" sheetId="3" r:id="rId1"/>
    <sheet name="NP LAB" sheetId="5" r:id="rId2"/>
    <sheet name="APG LAB" sheetId="4" r:id="rId3"/>
    <sheet name="NP BCO SANGRE" sheetId="9" r:id="rId4"/>
    <sheet name="APG BCO SANGRE" sheetId="10" r:id="rId5"/>
  </sheets>
  <definedNames>
    <definedName name="_xlnm._FilterDatabase" localSheetId="0" hidden="1">'Necesidades Trimestrales (2)'!$A$9:$AU$49</definedName>
  </definedNames>
  <calcPr calcId="181029"/>
</workbook>
</file>

<file path=xl/calcChain.xml><?xml version="1.0" encoding="utf-8"?>
<calcChain xmlns="http://schemas.openxmlformats.org/spreadsheetml/2006/main">
  <c r="M12" i="3" l="1"/>
  <c r="L10" i="3" l="1"/>
  <c r="L14" i="3"/>
  <c r="L15" i="3"/>
  <c r="L16" i="3"/>
  <c r="L17" i="3"/>
  <c r="L18" i="3"/>
  <c r="L19" i="3"/>
  <c r="L21" i="3"/>
  <c r="L22" i="3"/>
  <c r="L23" i="3"/>
  <c r="L24" i="3"/>
  <c r="L25" i="3"/>
  <c r="L26" i="3"/>
  <c r="L28" i="3"/>
  <c r="L29" i="3"/>
  <c r="L30" i="3"/>
  <c r="L31" i="3"/>
  <c r="L33" i="3"/>
  <c r="L35" i="3"/>
  <c r="L36" i="3"/>
  <c r="L37" i="3"/>
  <c r="L38" i="3"/>
  <c r="L42" i="3"/>
  <c r="L43" i="3"/>
  <c r="L44" i="3"/>
  <c r="N31" i="3" l="1"/>
  <c r="A26" i="10" l="1"/>
  <c r="G4" i="10"/>
  <c r="G5" i="10"/>
  <c r="G7" i="10"/>
  <c r="G6" i="10"/>
  <c r="M37" i="5"/>
  <c r="J26" i="9"/>
  <c r="C26" i="9"/>
  <c r="J25" i="9"/>
  <c r="I25" i="9"/>
  <c r="C25" i="9"/>
  <c r="J24" i="9"/>
  <c r="C24" i="9"/>
  <c r="J23" i="9"/>
  <c r="C23" i="9"/>
  <c r="J22" i="9"/>
  <c r="C22" i="9"/>
  <c r="J21" i="9"/>
  <c r="I21" i="9"/>
  <c r="C21" i="9"/>
  <c r="J20" i="9"/>
  <c r="I20" i="9"/>
  <c r="C20" i="9"/>
  <c r="J19" i="9"/>
  <c r="C19" i="9"/>
  <c r="J18" i="9"/>
  <c r="I18" i="9"/>
  <c r="C18" i="9"/>
  <c r="J17" i="9"/>
  <c r="I17" i="9"/>
  <c r="C17" i="9"/>
  <c r="J16" i="9"/>
  <c r="I16" i="9"/>
  <c r="C16" i="9"/>
  <c r="J15" i="9"/>
  <c r="I15" i="9"/>
  <c r="C15" i="9"/>
  <c r="J14" i="9"/>
  <c r="I14" i="9"/>
  <c r="C14" i="9"/>
  <c r="J13" i="9"/>
  <c r="I13" i="9"/>
  <c r="C13" i="9"/>
  <c r="J12" i="9"/>
  <c r="I12" i="9"/>
  <c r="C12" i="9"/>
  <c r="G4" i="4" l="1"/>
  <c r="G5" i="4"/>
  <c r="A26" i="4" l="1"/>
  <c r="G7" i="4"/>
  <c r="G6" i="4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L28" i="5" s="1"/>
  <c r="J29" i="5"/>
  <c r="J30" i="5"/>
  <c r="J31" i="5"/>
  <c r="J32" i="5"/>
  <c r="J33" i="5"/>
  <c r="J34" i="5"/>
  <c r="J35" i="5"/>
  <c r="J36" i="5"/>
  <c r="J12" i="5"/>
  <c r="L12" i="5" s="1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12" i="5"/>
  <c r="L21" i="5" l="1"/>
  <c r="L15" i="5"/>
  <c r="L36" i="5"/>
  <c r="L30" i="5"/>
  <c r="AS49" i="3"/>
  <c r="N49" i="3"/>
  <c r="AS48" i="3"/>
  <c r="N48" i="3"/>
  <c r="AS47" i="3"/>
  <c r="K24" i="9" s="1"/>
  <c r="M24" i="9" s="1"/>
  <c r="N47" i="3"/>
  <c r="AS46" i="3"/>
  <c r="N46" i="3"/>
  <c r="AS45" i="3"/>
  <c r="N45" i="3"/>
  <c r="AS44" i="3"/>
  <c r="K36" i="5" s="1"/>
  <c r="M36" i="5" s="1"/>
  <c r="AS43" i="3"/>
  <c r="AS42" i="3"/>
  <c r="AS41" i="3"/>
  <c r="K21" i="9" s="1"/>
  <c r="M21" i="9" s="1"/>
  <c r="N41" i="3"/>
  <c r="AS40" i="3"/>
  <c r="K20" i="9" s="1"/>
  <c r="N40" i="3"/>
  <c r="AS39" i="3"/>
  <c r="M19" i="9" s="1"/>
  <c r="N39" i="3"/>
  <c r="AS38" i="3"/>
  <c r="K33" i="5" s="1"/>
  <c r="M33" i="5" s="1"/>
  <c r="AS37" i="3"/>
  <c r="AS36" i="3"/>
  <c r="AS35" i="3"/>
  <c r="K30" i="5" s="1"/>
  <c r="M30" i="5" s="1"/>
  <c r="AS34" i="3"/>
  <c r="N34" i="3"/>
  <c r="AS33" i="3"/>
  <c r="K29" i="5" s="1"/>
  <c r="M29" i="5" s="1"/>
  <c r="AS32" i="3"/>
  <c r="K17" i="9" s="1"/>
  <c r="M17" i="9" s="1"/>
  <c r="N32" i="3"/>
  <c r="AS31" i="3"/>
  <c r="AS30" i="3"/>
  <c r="K27" i="5" s="1"/>
  <c r="M27" i="5" s="1"/>
  <c r="AS29" i="3"/>
  <c r="AS28" i="3"/>
  <c r="AS27" i="3"/>
  <c r="K16" i="9" s="1"/>
  <c r="M16" i="9" s="1"/>
  <c r="N27" i="3"/>
  <c r="AS26" i="3"/>
  <c r="AS25" i="3"/>
  <c r="AS24" i="3"/>
  <c r="K22" i="5" s="1"/>
  <c r="M22" i="5" s="1"/>
  <c r="AS23" i="3"/>
  <c r="K21" i="5" s="1"/>
  <c r="M21" i="5" s="1"/>
  <c r="AS22" i="3"/>
  <c r="AS21" i="3"/>
  <c r="AS20" i="3"/>
  <c r="M15" i="9" s="1"/>
  <c r="N20" i="3"/>
  <c r="AS19" i="3"/>
  <c r="AS18" i="3"/>
  <c r="AS17" i="3"/>
  <c r="AS16" i="3"/>
  <c r="K15" i="5" s="1"/>
  <c r="M15" i="5" s="1"/>
  <c r="AS15" i="3"/>
  <c r="AS14" i="3"/>
  <c r="AS13" i="3"/>
  <c r="N13" i="3"/>
  <c r="AS12" i="3"/>
  <c r="K13" i="9" s="1"/>
  <c r="M13" i="9" s="1"/>
  <c r="N12" i="3"/>
  <c r="AS11" i="3"/>
  <c r="N11" i="3"/>
  <c r="AS10" i="3"/>
  <c r="L22" i="5" l="1"/>
  <c r="L29" i="5"/>
  <c r="L27" i="5"/>
  <c r="L33" i="5"/>
  <c r="N50" i="3"/>
  <c r="AU35" i="3"/>
  <c r="AU12" i="3"/>
  <c r="AU47" i="3"/>
  <c r="AU30" i="3"/>
  <c r="AU25" i="3"/>
  <c r="K23" i="5"/>
  <c r="AU13" i="3"/>
  <c r="K14" i="9"/>
  <c r="M14" i="9" s="1"/>
  <c r="AU17" i="3"/>
  <c r="K16" i="5"/>
  <c r="AU19" i="3"/>
  <c r="K18" i="5"/>
  <c r="AU23" i="3"/>
  <c r="AU28" i="3"/>
  <c r="K25" i="5"/>
  <c r="AU37" i="3"/>
  <c r="K32" i="5"/>
  <c r="AU40" i="3"/>
  <c r="M20" i="9"/>
  <c r="AU41" i="3"/>
  <c r="AU43" i="3"/>
  <c r="K35" i="5"/>
  <c r="AU45" i="3"/>
  <c r="K22" i="9"/>
  <c r="M22" i="9" s="1"/>
  <c r="AU10" i="3"/>
  <c r="M12" i="5"/>
  <c r="AU22" i="3"/>
  <c r="K20" i="5"/>
  <c r="AU16" i="3"/>
  <c r="AU27" i="3"/>
  <c r="AU31" i="3"/>
  <c r="M28" i="5"/>
  <c r="AU33" i="3"/>
  <c r="AU34" i="3"/>
  <c r="K18" i="9"/>
  <c r="M18" i="9" s="1"/>
  <c r="AU36" i="3"/>
  <c r="K31" i="5"/>
  <c r="AU14" i="3"/>
  <c r="K13" i="5"/>
  <c r="AU11" i="3"/>
  <c r="M12" i="9"/>
  <c r="AU18" i="3"/>
  <c r="K17" i="5"/>
  <c r="AU29" i="3"/>
  <c r="K26" i="5"/>
  <c r="AU39" i="3"/>
  <c r="AU42" i="3"/>
  <c r="K34" i="5"/>
  <c r="AU46" i="3"/>
  <c r="K23" i="9"/>
  <c r="M23" i="9" s="1"/>
  <c r="AU15" i="3"/>
  <c r="K14" i="5"/>
  <c r="AU20" i="3"/>
  <c r="AU21" i="3"/>
  <c r="K19" i="5"/>
  <c r="AU24" i="3"/>
  <c r="AU26" i="3"/>
  <c r="K24" i="5"/>
  <c r="AU32" i="3"/>
  <c r="AU38" i="3"/>
  <c r="AU44" i="3"/>
  <c r="AU48" i="3"/>
  <c r="K25" i="9"/>
  <c r="M25" i="9" s="1"/>
  <c r="AU49" i="3"/>
  <c r="K26" i="9"/>
  <c r="M26" i="9" s="1"/>
  <c r="M17" i="5" l="1"/>
  <c r="L17" i="5"/>
  <c r="M13" i="5"/>
  <c r="L13" i="5"/>
  <c r="M35" i="5"/>
  <c r="L35" i="5"/>
  <c r="M16" i="5"/>
  <c r="L16" i="5"/>
  <c r="Q17" i="4" s="1"/>
  <c r="M23" i="5"/>
  <c r="L23" i="5"/>
  <c r="M26" i="5"/>
  <c r="L26" i="5"/>
  <c r="M31" i="5"/>
  <c r="L31" i="5"/>
  <c r="M32" i="5"/>
  <c r="L32" i="5"/>
  <c r="M19" i="5"/>
  <c r="L19" i="5"/>
  <c r="M25" i="5"/>
  <c r="L25" i="5"/>
  <c r="M24" i="5"/>
  <c r="L24" i="5"/>
  <c r="M14" i="5"/>
  <c r="L14" i="5"/>
  <c r="M34" i="5"/>
  <c r="L34" i="5"/>
  <c r="M20" i="5"/>
  <c r="L20" i="5"/>
  <c r="M18" i="5"/>
  <c r="L18" i="5"/>
  <c r="M38" i="5"/>
  <c r="AU50" i="3"/>
  <c r="M28" i="9"/>
  <c r="J38" i="5" l="1"/>
  <c r="Q16" i="4"/>
  <c r="Q15" i="4"/>
  <c r="Q23" i="4"/>
  <c r="J28" i="9"/>
  <c r="Q15" i="10"/>
  <c r="Q23" i="10" s="1"/>
</calcChain>
</file>

<file path=xl/sharedStrings.xml><?xml version="1.0" encoding="utf-8"?>
<sst xmlns="http://schemas.openxmlformats.org/spreadsheetml/2006/main" count="343" uniqueCount="171">
  <si>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</si>
  <si>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</si>
  <si>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</si>
  <si>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</si>
  <si>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</si>
  <si>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</si>
  <si>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</si>
  <si>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</si>
  <si>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</si>
  <si>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</si>
  <si>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</si>
  <si>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</si>
  <si>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</si>
  <si>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 xml:space="preserve">UNIDAD </t>
  </si>
  <si>
    <t>CAJA</t>
  </si>
  <si>
    <t>40 - MINISTERIO DE SALUD</t>
  </si>
  <si>
    <t>Pedido de Necesidades Trimestrales</t>
  </si>
  <si>
    <t>BOLSA</t>
  </si>
  <si>
    <t xml:space="preserve">GUIA V20 C/RUEDITA *SANGRE* </t>
  </si>
  <si>
    <t>DESCARTADOR PARA AGUJA P/500 AGUJAS, MODELO E-500</t>
  </si>
  <si>
    <t>TUBOS DE ENSAYO; TIPO: VACUTAINER UN, MATERIAL: VIDRIO, DIMENSION: 10 mL, ACCESORIOS: SIN, ACCESORIO: SIN</t>
  </si>
  <si>
    <t>TUBOS DE ENSAYO; TIPO: EPPENDORF, MATERIAL: PLASTICO, DIMENSION: 1.5 mL, ACCESORIOS: SIN, ACCESORIO: SIN</t>
  </si>
  <si>
    <t>PLACA PARA VDRL CON POCILLO PROFUNDO 12HOYOS</t>
  </si>
  <si>
    <t>TUBOS DE HEMOLISIS; MATERIAL: VIDRIO, PRESENTACION: CAJA, DIMENSION: 100 X 13 DIAM. EXT., MEDIDAS: 100 X 13 DIAM. EXT., FORMA DE PRESENTACION: SOLIDO, ESTADO: SOLIDO</t>
  </si>
  <si>
    <t>CEPILLO LIMPIA PIPETA DE CERDA NATURAL DE 10 MM</t>
  </si>
  <si>
    <t>MICROPIPETAS REGULABLES; CAPACIDAD: 10-100 µL, DIVISIONES: CADA 1 µL, MATERIAL: PLASTICO</t>
  </si>
  <si>
    <t>TUBOS VACUTAINER P/SUERO DE 4ML, TAPA ROJA C/ETIQUETA CODIGO 367812 (1000 TUBOS)</t>
  </si>
  <si>
    <t>11 - DIRE PROV DE ADMINISTRACION - MINISTERIO DE SALUD</t>
  </si>
  <si>
    <t>CANTIDAD TOTAL</t>
  </si>
  <si>
    <t>unidad</t>
  </si>
  <si>
    <t>caja</t>
  </si>
  <si>
    <t>DIR. LAB. CENTRAL</t>
  </si>
  <si>
    <t>TOTAL DE LAB CENTRAL</t>
  </si>
  <si>
    <t>Cubetas Serie X 500 Un. Tipo TECO GMBH (Alemania)</t>
  </si>
  <si>
    <t>Portaobjetos borde sin pulir 50 U Tipo BREMEN</t>
  </si>
  <si>
    <t>Gradilla alambre / plastico 48 Tubos 30 MM Tipo ARGA</t>
  </si>
  <si>
    <t>Gradilla alambre / plastico 24 Tubos 30 MM Tipo ARGA</t>
  </si>
  <si>
    <t>Gradilla PP resistente 80ºC 80 Tubos Eppendorf Tipo DELTALAB</t>
  </si>
  <si>
    <t>Microtubo Eppendorf Autoclavable 1,5 Ml Tipo DELTALAB</t>
  </si>
  <si>
    <t>Cubreobjetos HDA 20x20 MM x 200 U Tipo KINDER</t>
  </si>
  <si>
    <t>Rollo de papel para Counter Liso para Desfribilador 50 MM Tipo CARDIO CHARTS</t>
  </si>
  <si>
    <t>Cepillo para Tubo de Khan y Hemolisis Tipo ARGA</t>
  </si>
  <si>
    <t>Cepillo para Pipeta Serologica Tipo ARGA</t>
  </si>
  <si>
    <t>rollo</t>
  </si>
  <si>
    <t>Frasco de Bioseguridad Triple envase Tipo SISTEG M6</t>
  </si>
  <si>
    <t>pack</t>
  </si>
  <si>
    <t>TOTAL RUBRO DESCARTABLE PARA LABORATORIO</t>
  </si>
  <si>
    <t xml:space="preserve">BCO DE SANGRE </t>
  </si>
  <si>
    <t xml:space="preserve">TOTAL BANCO DE SANGRE </t>
  </si>
  <si>
    <t>TUBOS DE ENSAYO; TIPO: CONICO P/CENTRIFUGA, MATERIAL: POLIPROPILENO, DIMENSION: 0,5 A 15 mL, ACCESORIO: SIN VALOR, ACCESORIOS: SIN VALOR A ROSCA 15ML NO ETERIL, BOLSA X 100 UNID TIPO BIOLIX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</si>
  <si>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</si>
  <si>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</si>
  <si>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</si>
  <si>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</si>
  <si>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</si>
  <si>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</si>
  <si>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</si>
  <si>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</si>
  <si>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</si>
  <si>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</si>
  <si>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</si>
  <si>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</si>
  <si>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</si>
  <si>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</si>
  <si>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</si>
  <si>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</si>
  <si>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</si>
  <si>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</si>
  <si>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</si>
  <si>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</si>
  <si>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</si>
  <si>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</si>
  <si>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</si>
  <si>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</si>
  <si>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</si>
  <si>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</si>
  <si>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</si>
  <si>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</si>
  <si>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</si>
  <si>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</si>
  <si>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PROD. MEDICO/FARMACEUTICOS/LAB</t>
  </si>
  <si>
    <t>SEC PREV</t>
  </si>
  <si>
    <t>TOTAL SEC PREVEN</t>
  </si>
  <si>
    <t>DIR DE ADM</t>
  </si>
  <si>
    <t>TOTAL DIR ADM</t>
  </si>
  <si>
    <t>Aguja descartable 25x8 (21Gx1) X 100 Tipo TERUMO</t>
  </si>
  <si>
    <t xml:space="preserve">Tubo con citrato tapa celeste para coagulograma 1 ml </t>
  </si>
  <si>
    <t>Tubo para suero con gel tapa Amarilla 5 ML</t>
  </si>
  <si>
    <t>Tubo con Edta 0.6 ml</t>
  </si>
  <si>
    <t>Gas calibracion OSMETECH Optti</t>
  </si>
  <si>
    <t>rollo de papel para MINIVIDAS x5 unidades</t>
  </si>
  <si>
    <t>lampara para METROLAB  A6 W10</t>
  </si>
  <si>
    <t>MICROPIPETA REGULABLE 100 A 1000 UL TIPO SOCOREX</t>
  </si>
  <si>
    <t xml:space="preserve">HISOPOS NASOFARINGEOS </t>
  </si>
  <si>
    <t>CLOT CATCHER  X250 UN. TIPO ROCHE</t>
  </si>
  <si>
    <t>ROLLO DE PAPEL IMPRESORA COBAS B221 TIPO ROCHE X 6 UN.</t>
  </si>
  <si>
    <t>COBAS LAMPARA HALOGENA Tipo ROCHE C311</t>
  </si>
  <si>
    <t>JERINGAS CON HEPARINA PARA GASES 3 ml TIPO ROCHE</t>
  </si>
  <si>
    <t>ETIQUETAS PARA IMPRESORA ZEBRA X1800 UNIDAD. TIPO ITECRA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</si>
  <si>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</si>
  <si>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</si>
  <si>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</si>
  <si>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</si>
  <si>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</si>
  <si>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</si>
  <si>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</si>
  <si>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</si>
  <si>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</si>
  <si>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</si>
  <si>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</si>
  <si>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</si>
  <si>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</si>
  <si>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</si>
  <si>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</si>
  <si>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</si>
  <si>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</si>
  <si>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</si>
  <si>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</si>
  <si>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</si>
  <si>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</si>
  <si>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</si>
  <si>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</si>
  <si>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</si>
  <si>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</si>
  <si>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</si>
  <si>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</si>
  <si>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</si>
  <si>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</si>
  <si>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</si>
  <si>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</si>
  <si>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</si>
  <si>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</si>
  <si>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</si>
  <si>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</si>
  <si>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</si>
  <si>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</si>
  <si>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</si>
  <si>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</si>
  <si>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</si>
  <si>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DETALLE TECNICO Y ESPECIFICACIONES</t>
  </si>
  <si>
    <t xml:space="preserve"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
</t>
  </si>
  <si>
    <t>Plazos de entrega</t>
  </si>
  <si>
    <t>veinte (20) dias corridos</t>
  </si>
  <si>
    <t>Lugar de Entrega:</t>
  </si>
  <si>
    <t>Calidad Minima esperada</t>
  </si>
  <si>
    <t>Mantenimiento</t>
  </si>
  <si>
    <t>cuarenta y cinco (45) días</t>
  </si>
  <si>
    <t>468 - DIRECCION PROVINCIAL DE LABORATORIO</t>
  </si>
  <si>
    <t>Adquisicion del  RUBRO DESCARTABLES PARA LABORATORIO</t>
  </si>
  <si>
    <t>UTILES MENORES MEDICOS, QUIRURGICOS Y DE LABORATORIO</t>
  </si>
  <si>
    <t>Costo total estimado: DIEZ MILLONES TRESCIENTOS TREINTA Y SEIS MIL SEISCIENTOS CINCUENTA Y OCHO con 00/100</t>
  </si>
  <si>
    <t>747 - DIRECCION PROVINCIAL BANCO DE SANGRE</t>
  </si>
  <si>
    <t>3° TRIMESTRE</t>
  </si>
  <si>
    <t>TERCER TRIMESTRE</t>
  </si>
  <si>
    <t>TOTAL DE PESOS:  DIEZ MILLONES TRESCIENTOS TREINTA Y SEIS MIL SEISCIENTOS CINCUENTA Y OCHO con 00/100</t>
  </si>
  <si>
    <t>BOLSAS DE SANGRE TRIPLE KS TIPO GRIFOLS</t>
  </si>
  <si>
    <t>TIPS AMARILLO 5 A 200 µl,  SIN CORONA X 1000 UN TIPO DELTALAB</t>
  </si>
  <si>
    <t>TIPS AMARILLO  5 A 200 µl,   CON CORONA X 1000 UN TIPO DELTALAB</t>
  </si>
  <si>
    <t>APOSITOS; TIPO: POST EXTRACCION SANGUINEA, hipoalergenica TAMAÑO: 40 X 40 mm</t>
  </si>
  <si>
    <t>TIPS AZUL 100-1000 UL AUTOCLAVABLE - CON CORONA BOLSA POR 1000 UNIDADES TIPO DELTALAB</t>
  </si>
  <si>
    <t>Los items 1, 5 al 10, 12 al 17, 19 al 22, 24, 26 al 29, 33 al al 35  DIR. PROV. DE LABORATORIO - CHACABUCO N° 169 - en el horario de 8:00hs a 12:00hs de lunes a viernes</t>
  </si>
  <si>
    <t>Los items 2 al 4, 11, 18, 23, 25, 30 al 32, 36 al 40  DIR. PROV. BANCO DE SANGRE - Pasaje Boto Gray N°500 (frente la Maternida Provincial 25 de Mayo) en el horario de 8:00hs a 12:00hs de lunes a viernes</t>
  </si>
  <si>
    <t>_33/21</t>
  </si>
  <si>
    <t>Autorizo la realización de los  trámites correspondientes, a fin de proveer a  este Organismo los bienes que se detallan en Nota de pedido y Entrega N° 33/2021,  afectando la erogación resultante a los créditos presupuestarios aprobados a favor de esta Unidad Ejecutora, conforme al siguiente detalle:</t>
  </si>
  <si>
    <t>Costo total estimado:  CINCO MILLONES QUINIENTOS  CUATRO MIL  SEISCIENTOS SETENTA Y TRES con 00/100</t>
  </si>
  <si>
    <t>TOTAL DE PESOS:  CINCO MILLONES QUINIENTOS  CUATRO MIL  SEISCIENTOS SETENTA Y TRES con 00/100</t>
  </si>
  <si>
    <t>Productos de Papel y Cartón</t>
  </si>
  <si>
    <t>NO</t>
  </si>
  <si>
    <t>Útiles y Materiales Eléctricos</t>
  </si>
  <si>
    <t>Autorizo la realización de los  trámites correspondientes, a fin de proveer a  este Organismo los bienes que se detallan en Nota de pedido y Entrega N° 20/2021,  afectando la erogación resultante a los créditos presupuestarios aprobados a favor de esta Unidad Ejecutora, conforme al siguiente detalle:</t>
  </si>
  <si>
    <t>_20/21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</si>
</sst>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* #,##0.00&quot; €&quot;_-;\-* #,##0.00&quot; €&quot;_-;_-* \-??&quot; €&quot;_-;_-@_-"/>
    <numFmt numFmtId="166" formatCode="_-[$$-2C0A]\ * #,##0.00_-;\-[$$-2C0A]\ * #,##0.00_-;_-[$$-2C0A]\ * &quot;-&quot;??_-;_-@_-"/>
    <numFmt numFmtId="167" formatCode="[$$-2C0A]\ #,##0.00;[$$-2C0A]&quot; -&quot;#,##0.00"/>
    <numFmt numFmtId="168" formatCode="[$$-2C0A]\ #,##0.00"/>
    <numFmt numFmtId="169" formatCode="&quot;$&quot;\ #,##0.00"/>
    <numFmt numFmtId="170" formatCode="dd\-mm\-yy;@"/>
    <numFmt numFmtId="171" formatCode="_(\$* #,##0.00_);_(\$* \(#,##0.00\);_(\$* \-??_);_(@_)"/>
  </numFmts>
  <fonts count="3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color theme="0"/>
      <name val="Arial"/>
      <family val="2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sz val="11"/>
      <name val="Calibri"/>
      <family val="2"/>
      <scheme val="minor"/>
    </font>
    <font>
      <sz val="11"/>
      <name val="Times New Roman"/>
      <family val="1"/>
      <charset val="1"/>
    </font>
    <font>
      <b/>
      <sz val="10"/>
      <name val="Arial"/>
      <family val="2"/>
    </font>
    <font>
      <b/>
      <sz val="10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thin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thin">
        <color indexed="64"/>
      </bottom>
      <diagonal/>
    </border>
    <border>
      <left style="medium">
        <color rgb="FF3D3D3D"/>
      </left>
      <right/>
      <top style="medium">
        <color auto="1"/>
      </top>
      <bottom style="thin">
        <color indexed="64"/>
      </bottom>
      <diagonal/>
    </border>
  </borders>
  <cellStyleXfs count="26">
    <xf numFmtId="0" fontId="0" fillId="0" borderId="0"/>
    <xf numFmtId="165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164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5" fontId="6" fillId="0" borderId="0" applyBorder="0" applyProtection="0"/>
    <xf numFmtId="0" fontId="4" fillId="0" borderId="1" applyProtection="0"/>
    <xf numFmtId="0" fontId="6" fillId="0" borderId="0"/>
    <xf numFmtId="164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5" fontId="6" fillId="0" borderId="0" applyBorder="0" applyProtection="0"/>
    <xf numFmtId="0" fontId="2" fillId="0" borderId="0"/>
    <xf numFmtId="0" fontId="2" fillId="0" borderId="0"/>
    <xf numFmtId="0" fontId="1" fillId="0" borderId="0"/>
    <xf numFmtId="171" fontId="26" fillId="0" borderId="0" applyBorder="0" applyProtection="0"/>
  </cellStyleXfs>
  <cellXfs count="297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3" fontId="13" fillId="4" borderId="2" xfId="0" applyNumberFormat="1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vertical="center"/>
    </xf>
    <xf numFmtId="0" fontId="15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8" fontId="15" fillId="4" borderId="10" xfId="0" applyNumberFormat="1" applyFont="1" applyFill="1" applyBorder="1" applyAlignment="1">
      <alignment horizontal="center" vertical="center" wrapText="1"/>
    </xf>
    <xf numFmtId="168" fontId="7" fillId="0" borderId="0" xfId="0" applyNumberFormat="1" applyFont="1" applyAlignment="1">
      <alignment horizontal="center"/>
    </xf>
    <xf numFmtId="0" fontId="15" fillId="0" borderId="10" xfId="0" applyFont="1" applyBorder="1" applyAlignment="1">
      <alignment horizontal="center" vertical="center"/>
    </xf>
    <xf numFmtId="3" fontId="15" fillId="0" borderId="10" xfId="0" applyNumberFormat="1" applyFont="1" applyBorder="1" applyAlignment="1">
      <alignment horizontal="center"/>
    </xf>
    <xf numFmtId="169" fontId="15" fillId="0" borderId="10" xfId="0" applyNumberFormat="1" applyFont="1" applyBorder="1" applyAlignment="1">
      <alignment horizontal="center"/>
    </xf>
    <xf numFmtId="3" fontId="15" fillId="0" borderId="10" xfId="4" applyNumberFormat="1" applyFont="1" applyBorder="1" applyAlignment="1">
      <alignment horizontal="center" vertical="center" wrapText="1"/>
    </xf>
    <xf numFmtId="166" fontId="15" fillId="4" borderId="10" xfId="4" applyNumberFormat="1" applyFont="1" applyFill="1" applyBorder="1" applyAlignment="1">
      <alignment vertical="center" wrapText="1"/>
    </xf>
    <xf numFmtId="1" fontId="17" fillId="0" borderId="10" xfId="0" applyNumberFormat="1" applyFont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5" fillId="4" borderId="10" xfId="4" applyFont="1" applyFill="1" applyBorder="1" applyAlignment="1">
      <alignment horizontal="center" vertical="center" wrapText="1"/>
    </xf>
    <xf numFmtId="1" fontId="15" fillId="4" borderId="10" xfId="4" applyNumberFormat="1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168" fontId="15" fillId="0" borderId="10" xfId="0" applyNumberFormat="1" applyFont="1" applyBorder="1" applyAlignment="1">
      <alignment horizontal="center"/>
    </xf>
    <xf numFmtId="1" fontId="15" fillId="0" borderId="10" xfId="0" applyNumberFormat="1" applyFont="1" applyBorder="1" applyAlignment="1">
      <alignment horizontal="center"/>
    </xf>
    <xf numFmtId="169" fontId="15" fillId="4" borderId="10" xfId="0" applyNumberFormat="1" applyFont="1" applyFill="1" applyBorder="1" applyAlignment="1">
      <alignment horizontal="center" vertical="center" wrapText="1"/>
    </xf>
    <xf numFmtId="1" fontId="15" fillId="4" borderId="10" xfId="0" applyNumberFormat="1" applyFont="1" applyFill="1" applyBorder="1" applyAlignment="1">
      <alignment horizontal="center" vertical="center" wrapText="1"/>
    </xf>
    <xf numFmtId="3" fontId="15" fillId="4" borderId="10" xfId="0" applyNumberFormat="1" applyFont="1" applyFill="1" applyBorder="1" applyAlignment="1">
      <alignment horizontal="center" vertical="center" wrapText="1"/>
    </xf>
    <xf numFmtId="166" fontId="19" fillId="4" borderId="10" xfId="4" applyNumberFormat="1" applyFont="1" applyFill="1" applyBorder="1" applyAlignment="1">
      <alignment vertical="center" wrapText="1"/>
    </xf>
    <xf numFmtId="168" fontId="9" fillId="0" borderId="0" xfId="0" applyNumberFormat="1" applyFont="1" applyAlignment="1">
      <alignment horizontal="center" wrapText="1"/>
    </xf>
    <xf numFmtId="0" fontId="18" fillId="0" borderId="0" xfId="0" applyFont="1" applyAlignment="1">
      <alignment wrapText="1"/>
    </xf>
    <xf numFmtId="0" fontId="15" fillId="0" borderId="0" xfId="0" applyFont="1"/>
    <xf numFmtId="0" fontId="18" fillId="0" borderId="0" xfId="0" applyFont="1"/>
    <xf numFmtId="0" fontId="15" fillId="0" borderId="0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5" xfId="0" applyFont="1" applyBorder="1" applyAlignment="1">
      <alignment wrapText="1"/>
    </xf>
    <xf numFmtId="0" fontId="15" fillId="0" borderId="6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1" fontId="8" fillId="0" borderId="10" xfId="0" applyNumberFormat="1" applyFont="1" applyBorder="1" applyAlignment="1">
      <alignment horizontal="center" vertical="center" wrapText="1"/>
    </xf>
    <xf numFmtId="169" fontId="8" fillId="0" borderId="10" xfId="0" applyNumberFormat="1" applyFont="1" applyBorder="1" applyAlignment="1">
      <alignment horizontal="center" vertical="center" wrapText="1"/>
    </xf>
    <xf numFmtId="3" fontId="8" fillId="0" borderId="10" xfId="0" applyNumberFormat="1" applyFont="1" applyBorder="1" applyAlignment="1">
      <alignment horizontal="center" vertical="center" wrapText="1"/>
    </xf>
    <xf numFmtId="168" fontId="8" fillId="0" borderId="10" xfId="0" applyNumberFormat="1" applyFont="1" applyBorder="1" applyAlignment="1">
      <alignment horizontal="center" vertical="center" wrapText="1"/>
    </xf>
    <xf numFmtId="3" fontId="8" fillId="5" borderId="10" xfId="0" applyNumberFormat="1" applyFont="1" applyFill="1" applyBorder="1" applyAlignment="1">
      <alignment horizontal="center" vertical="center" wrapText="1"/>
    </xf>
    <xf numFmtId="166" fontId="8" fillId="0" borderId="10" xfId="0" applyNumberFormat="1" applyFont="1" applyBorder="1" applyAlignment="1">
      <alignment vertical="center" wrapText="1"/>
    </xf>
    <xf numFmtId="166" fontId="15" fillId="4" borderId="12" xfId="4" applyNumberFormat="1" applyFont="1" applyFill="1" applyBorder="1" applyAlignment="1">
      <alignment vertical="center" wrapText="1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20" fillId="0" borderId="16" xfId="13" applyFont="1" applyBorder="1" applyAlignment="1">
      <alignment horizontal="right" vertical="center"/>
    </xf>
    <xf numFmtId="17" fontId="21" fillId="3" borderId="17" xfId="13" applyNumberFormat="1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18" xfId="13" applyFont="1" applyBorder="1" applyAlignment="1">
      <alignment vertical="center"/>
    </xf>
    <xf numFmtId="0" fontId="20" fillId="0" borderId="0" xfId="13" applyFont="1" applyBorder="1" applyAlignment="1">
      <alignment vertical="center"/>
    </xf>
    <xf numFmtId="0" fontId="21" fillId="0" borderId="20" xfId="13" applyFont="1" applyBorder="1" applyAlignment="1">
      <alignment vertical="center"/>
    </xf>
    <xf numFmtId="0" fontId="21" fillId="0" borderId="21" xfId="13" applyFont="1" applyBorder="1" applyAlignment="1">
      <alignment vertical="center"/>
    </xf>
    <xf numFmtId="0" fontId="21" fillId="0" borderId="22" xfId="13" applyFont="1" applyBorder="1" applyAlignment="1">
      <alignment vertical="center"/>
    </xf>
    <xf numFmtId="0" fontId="21" fillId="0" borderId="21" xfId="13" applyFont="1" applyBorder="1" applyAlignment="1">
      <alignment vertical="center" wrapText="1"/>
    </xf>
    <xf numFmtId="0" fontId="21" fillId="0" borderId="22" xfId="13" applyFont="1" applyBorder="1" applyAlignment="1">
      <alignment vertical="center" wrapText="1"/>
    </xf>
    <xf numFmtId="0" fontId="23" fillId="0" borderId="0" xfId="13" applyFont="1" applyBorder="1" applyAlignment="1">
      <alignment horizontal="left" vertical="center"/>
    </xf>
    <xf numFmtId="0" fontId="21" fillId="0" borderId="0" xfId="13" applyFont="1" applyBorder="1" applyAlignment="1">
      <alignment horizontal="left" vertical="center" wrapText="1" indent="1"/>
    </xf>
    <xf numFmtId="0" fontId="25" fillId="4" borderId="29" xfId="13" applyFont="1" applyFill="1" applyBorder="1" applyAlignment="1">
      <alignment horizontal="center" vertical="center"/>
    </xf>
    <xf numFmtId="0" fontId="25" fillId="4" borderId="29" xfId="13" applyFont="1" applyFill="1" applyBorder="1" applyAlignment="1">
      <alignment horizontal="left" vertical="center"/>
    </xf>
    <xf numFmtId="0" fontId="25" fillId="3" borderId="30" xfId="13" applyFont="1" applyFill="1" applyBorder="1" applyAlignment="1">
      <alignment horizontal="center" vertical="center"/>
    </xf>
    <xf numFmtId="0" fontId="6" fillId="0" borderId="29" xfId="13" applyBorder="1" applyAlignment="1">
      <alignment horizontal="center" vertical="center"/>
    </xf>
    <xf numFmtId="166" fontId="7" fillId="0" borderId="29" xfId="13" applyNumberFormat="1" applyFont="1" applyBorder="1" applyAlignment="1">
      <alignment horizontal="center" vertical="center"/>
    </xf>
    <xf numFmtId="3" fontId="6" fillId="4" borderId="29" xfId="13" applyNumberFormat="1" applyFont="1" applyFill="1" applyBorder="1" applyAlignment="1">
      <alignment horizontal="center" vertical="center"/>
    </xf>
    <xf numFmtId="0" fontId="6" fillId="4" borderId="11" xfId="13" applyFont="1" applyFill="1" applyBorder="1" applyAlignment="1">
      <alignment vertical="center" wrapText="1"/>
    </xf>
    <xf numFmtId="0" fontId="6" fillId="4" borderId="9" xfId="13" applyFont="1" applyFill="1" applyBorder="1" applyAlignment="1">
      <alignment vertical="center" wrapText="1"/>
    </xf>
    <xf numFmtId="0" fontId="27" fillId="4" borderId="6" xfId="13" applyFont="1" applyFill="1" applyBorder="1" applyAlignment="1">
      <alignment horizontal="left" vertical="center" wrapText="1"/>
    </xf>
    <xf numFmtId="0" fontId="27" fillId="4" borderId="8" xfId="13" applyFont="1" applyFill="1" applyBorder="1" applyAlignment="1">
      <alignment horizontal="left" vertical="center" wrapText="1"/>
    </xf>
    <xf numFmtId="0" fontId="27" fillId="4" borderId="11" xfId="13" applyFont="1" applyFill="1" applyBorder="1" applyAlignment="1">
      <alignment vertical="center" wrapText="1"/>
    </xf>
    <xf numFmtId="0" fontId="27" fillId="4" borderId="9" xfId="13" applyFont="1" applyFill="1" applyBorder="1" applyAlignment="1">
      <alignment vertical="center" wrapText="1"/>
    </xf>
    <xf numFmtId="0" fontId="28" fillId="0" borderId="33" xfId="13" applyFont="1" applyBorder="1" applyAlignment="1">
      <alignment horizontal="left" vertical="center"/>
    </xf>
    <xf numFmtId="0" fontId="28" fillId="0" borderId="34" xfId="13" applyFont="1" applyBorder="1" applyAlignment="1">
      <alignment horizontal="center" vertical="center"/>
    </xf>
    <xf numFmtId="0" fontId="28" fillId="0" borderId="34" xfId="13" applyFont="1" applyBorder="1" applyAlignment="1">
      <alignment horizontal="left" vertical="center"/>
    </xf>
    <xf numFmtId="0" fontId="6" fillId="4" borderId="35" xfId="13" applyFont="1" applyFill="1" applyBorder="1" applyAlignment="1">
      <alignment vertical="center"/>
    </xf>
    <xf numFmtId="0" fontId="6" fillId="4" borderId="36" xfId="13" applyFont="1" applyFill="1" applyBorder="1" applyAlignment="1">
      <alignment vertical="center"/>
    </xf>
    <xf numFmtId="0" fontId="6" fillId="4" borderId="37" xfId="13" applyFont="1" applyFill="1" applyBorder="1" applyAlignment="1">
      <alignment vertical="center"/>
    </xf>
    <xf numFmtId="0" fontId="25" fillId="0" borderId="38" xfId="13" applyFont="1" applyBorder="1" applyAlignment="1">
      <alignment horizontal="center" vertical="center"/>
    </xf>
    <xf numFmtId="0" fontId="25" fillId="0" borderId="34" xfId="13" applyFont="1" applyBorder="1" applyAlignment="1">
      <alignment horizontal="center" vertical="center" wrapText="1"/>
    </xf>
    <xf numFmtId="44" fontId="25" fillId="0" borderId="34" xfId="13" applyNumberFormat="1" applyFont="1" applyBorder="1" applyAlignment="1">
      <alignment horizontal="center" vertical="center" wrapText="1"/>
    </xf>
    <xf numFmtId="3" fontId="25" fillId="0" borderId="34" xfId="13" applyNumberFormat="1" applyFont="1" applyBorder="1" applyAlignment="1">
      <alignment horizontal="center" vertical="center"/>
    </xf>
    <xf numFmtId="3" fontId="31" fillId="0" borderId="0" xfId="13" applyNumberFormat="1" applyFont="1" applyBorder="1" applyAlignment="1"/>
    <xf numFmtId="170" fontId="6" fillId="0" borderId="0" xfId="13" applyNumberFormat="1" applyAlignment="1">
      <alignment horizontal="left"/>
    </xf>
    <xf numFmtId="0" fontId="6" fillId="0" borderId="0" xfId="13"/>
    <xf numFmtId="0" fontId="6" fillId="0" borderId="0" xfId="13" applyAlignment="1">
      <alignment horizontal="left"/>
    </xf>
    <xf numFmtId="0" fontId="33" fillId="4" borderId="19" xfId="13" applyFont="1" applyFill="1" applyBorder="1" applyAlignment="1">
      <alignment vertical="center"/>
    </xf>
    <xf numFmtId="0" fontId="33" fillId="4" borderId="39" xfId="13" applyFont="1" applyFill="1" applyBorder="1" applyAlignment="1">
      <alignment vertical="center"/>
    </xf>
    <xf numFmtId="0" fontId="33" fillId="4" borderId="40" xfId="13" applyFont="1" applyFill="1" applyBorder="1" applyAlignment="1">
      <alignment vertical="center"/>
    </xf>
    <xf numFmtId="0" fontId="6" fillId="0" borderId="0" xfId="13" applyBorder="1"/>
    <xf numFmtId="0" fontId="6" fillId="0" borderId="16" xfId="13" applyBorder="1"/>
    <xf numFmtId="0" fontId="6" fillId="0" borderId="42" xfId="13" applyBorder="1"/>
    <xf numFmtId="0" fontId="6" fillId="0" borderId="18" xfId="13" applyBorder="1"/>
    <xf numFmtId="0" fontId="6" fillId="0" borderId="18" xfId="13" applyBorder="1" applyAlignment="1">
      <alignment horizontal="left"/>
    </xf>
    <xf numFmtId="0" fontId="6" fillId="0" borderId="43" xfId="13" applyBorder="1"/>
    <xf numFmtId="0" fontId="35" fillId="0" borderId="46" xfId="13" applyFont="1" applyBorder="1" applyAlignment="1">
      <alignment horizontal="center" vertical="center"/>
    </xf>
    <xf numFmtId="0" fontId="35" fillId="0" borderId="47" xfId="13" applyFont="1" applyBorder="1" applyAlignment="1">
      <alignment horizontal="center" vertical="center"/>
    </xf>
    <xf numFmtId="0" fontId="35" fillId="0" borderId="47" xfId="13" applyFont="1" applyBorder="1" applyAlignment="1">
      <alignment horizontal="left" vertical="center"/>
    </xf>
    <xf numFmtId="0" fontId="35" fillId="0" borderId="48" xfId="13" applyFont="1" applyBorder="1" applyAlignment="1">
      <alignment horizontal="center" vertical="center"/>
    </xf>
    <xf numFmtId="0" fontId="35" fillId="0" borderId="49" xfId="13" applyFont="1" applyBorder="1" applyAlignment="1">
      <alignment horizontal="center" vertical="center"/>
    </xf>
    <xf numFmtId="0" fontId="6" fillId="3" borderId="50" xfId="13" applyFont="1" applyFill="1" applyBorder="1" applyAlignment="1">
      <alignment horizontal="center" vertical="center"/>
    </xf>
    <xf numFmtId="0" fontId="6" fillId="3" borderId="51" xfId="13" applyFont="1" applyFill="1" applyBorder="1" applyAlignment="1">
      <alignment horizontal="center" vertical="center"/>
    </xf>
    <xf numFmtId="0" fontId="6" fillId="0" borderId="51" xfId="13" applyFont="1" applyBorder="1" applyAlignment="1">
      <alignment horizontal="center" vertical="center"/>
    </xf>
    <xf numFmtId="0" fontId="6" fillId="3" borderId="52" xfId="13" applyFont="1" applyFill="1" applyBorder="1" applyAlignment="1">
      <alignment horizontal="center" vertical="center"/>
    </xf>
    <xf numFmtId="0" fontId="6" fillId="3" borderId="51" xfId="13" applyFill="1" applyBorder="1" applyAlignment="1">
      <alignment horizontal="center" vertical="center"/>
    </xf>
    <xf numFmtId="167" fontId="0" fillId="0" borderId="53" xfId="25" applyNumberFormat="1" applyFont="1" applyBorder="1" applyAlignment="1" applyProtection="1">
      <alignment horizontal="center" vertical="center"/>
    </xf>
    <xf numFmtId="0" fontId="6" fillId="0" borderId="54" xfId="13" applyFont="1" applyBorder="1" applyAlignment="1">
      <alignment horizontal="center" vertical="center"/>
    </xf>
    <xf numFmtId="0" fontId="6" fillId="0" borderId="55" xfId="13" applyFont="1" applyBorder="1" applyAlignment="1">
      <alignment horizontal="center" vertical="center"/>
    </xf>
    <xf numFmtId="0" fontId="6" fillId="0" borderId="56" xfId="13" applyFont="1" applyBorder="1" applyAlignment="1">
      <alignment horizontal="center" vertical="center"/>
    </xf>
    <xf numFmtId="0" fontId="6" fillId="0" borderId="57" xfId="13" applyFont="1" applyBorder="1" applyAlignment="1">
      <alignment horizontal="center" vertical="center"/>
    </xf>
    <xf numFmtId="167" fontId="0" fillId="0" borderId="58" xfId="25" applyNumberFormat="1" applyFont="1" applyBorder="1" applyAlignment="1" applyProtection="1">
      <alignment horizontal="center" vertical="center"/>
    </xf>
    <xf numFmtId="0" fontId="33" fillId="0" borderId="54" xfId="13" applyFont="1" applyBorder="1" applyAlignment="1">
      <alignment horizontal="center" vertical="center"/>
    </xf>
    <xf numFmtId="0" fontId="33" fillId="0" borderId="55" xfId="13" applyFont="1" applyBorder="1" applyAlignment="1">
      <alignment horizontal="center" vertical="center"/>
    </xf>
    <xf numFmtId="0" fontId="6" fillId="0" borderId="57" xfId="13" applyBorder="1" applyAlignment="1">
      <alignment horizontal="center" vertical="center"/>
    </xf>
    <xf numFmtId="0" fontId="33" fillId="0" borderId="56" xfId="13" applyFont="1" applyBorder="1" applyAlignment="1">
      <alignment horizontal="center" vertical="center"/>
    </xf>
    <xf numFmtId="0" fontId="33" fillId="0" borderId="57" xfId="13" applyFont="1" applyBorder="1" applyAlignment="1">
      <alignment horizontal="center" vertical="center"/>
    </xf>
    <xf numFmtId="0" fontId="6" fillId="0" borderId="59" xfId="13" applyBorder="1" applyAlignment="1">
      <alignment horizontal="center" vertical="center"/>
    </xf>
    <xf numFmtId="0" fontId="6" fillId="0" borderId="60" xfId="13" applyBorder="1" applyAlignment="1">
      <alignment horizontal="center" vertical="center"/>
    </xf>
    <xf numFmtId="0" fontId="6" fillId="0" borderId="61" xfId="13" applyBorder="1" applyAlignment="1">
      <alignment horizontal="center" vertical="center"/>
    </xf>
    <xf numFmtId="167" fontId="0" fillId="0" borderId="62" xfId="25" applyNumberFormat="1" applyFont="1" applyBorder="1" applyAlignment="1" applyProtection="1">
      <alignment horizontal="center" vertical="center"/>
    </xf>
    <xf numFmtId="167" fontId="35" fillId="0" borderId="63" xfId="13" applyNumberFormat="1" applyFont="1" applyBorder="1" applyAlignment="1">
      <alignment horizontal="center" vertical="center"/>
    </xf>
    <xf numFmtId="0" fontId="33" fillId="3" borderId="41" xfId="13" applyFont="1" applyFill="1" applyBorder="1" applyAlignment="1">
      <alignment vertical="center"/>
    </xf>
    <xf numFmtId="0" fontId="33" fillId="3" borderId="0" xfId="13" applyFont="1" applyFill="1" applyBorder="1" applyAlignment="1">
      <alignment vertical="center" wrapText="1"/>
    </xf>
    <xf numFmtId="0" fontId="33" fillId="3" borderId="16" xfId="13" applyFont="1" applyFill="1" applyBorder="1" applyAlignment="1">
      <alignment vertical="center" wrapText="1"/>
    </xf>
    <xf numFmtId="0" fontId="33" fillId="3" borderId="42" xfId="13" applyFont="1" applyFill="1" applyBorder="1" applyAlignment="1">
      <alignment vertical="center" wrapText="1"/>
    </xf>
    <xf numFmtId="0" fontId="33" fillId="3" borderId="18" xfId="13" applyFont="1" applyFill="1" applyBorder="1" applyAlignment="1">
      <alignment vertical="center" wrapText="1"/>
    </xf>
    <xf numFmtId="0" fontId="33" fillId="3" borderId="43" xfId="13" applyFont="1" applyFill="1" applyBorder="1" applyAlignment="1">
      <alignment vertical="center" wrapText="1"/>
    </xf>
    <xf numFmtId="166" fontId="13" fillId="0" borderId="0" xfId="1" applyNumberFormat="1" applyFont="1" applyAlignment="1">
      <alignment vertical="center"/>
    </xf>
    <xf numFmtId="166" fontId="18" fillId="0" borderId="10" xfId="1" applyNumberFormat="1" applyFont="1" applyBorder="1" applyAlignment="1">
      <alignment vertical="center" wrapText="1"/>
    </xf>
    <xf numFmtId="166" fontId="17" fillId="0" borderId="10" xfId="1" applyNumberFormat="1" applyFont="1" applyBorder="1" applyAlignment="1">
      <alignment vertical="center"/>
    </xf>
    <xf numFmtId="0" fontId="15" fillId="0" borderId="64" xfId="13" applyFont="1" applyFill="1" applyBorder="1" applyAlignment="1">
      <alignment vertical="center" wrapText="1"/>
    </xf>
    <xf numFmtId="0" fontId="15" fillId="0" borderId="67" xfId="13" applyFont="1" applyFill="1" applyBorder="1" applyAlignment="1">
      <alignment horizontal="center" vertical="center" wrapText="1"/>
    </xf>
    <xf numFmtId="0" fontId="7" fillId="0" borderId="0" xfId="13" applyFont="1" applyFill="1" applyBorder="1" applyAlignment="1">
      <alignment horizontal="center" vertical="center"/>
    </xf>
    <xf numFmtId="0" fontId="7" fillId="0" borderId="0" xfId="13" applyFont="1" applyFill="1" applyBorder="1" applyAlignment="1">
      <alignment horizontal="center" vertical="center" wrapText="1"/>
    </xf>
    <xf numFmtId="0" fontId="7" fillId="0" borderId="68" xfId="13" applyFont="1" applyFill="1" applyBorder="1" applyAlignment="1">
      <alignment horizontal="center" vertical="center"/>
    </xf>
    <xf numFmtId="0" fontId="15" fillId="0" borderId="67" xfId="13" applyFont="1" applyBorder="1" applyAlignment="1">
      <alignment horizontal="center" vertical="center" wrapText="1"/>
    </xf>
    <xf numFmtId="0" fontId="7" fillId="0" borderId="0" xfId="13" applyFont="1" applyBorder="1" applyAlignment="1">
      <alignment horizontal="center" vertical="center"/>
    </xf>
    <xf numFmtId="0" fontId="7" fillId="0" borderId="0" xfId="13" applyFont="1" applyBorder="1" applyAlignment="1">
      <alignment horizontal="center" vertical="center" wrapText="1"/>
    </xf>
    <xf numFmtId="0" fontId="7" fillId="0" borderId="68" xfId="13" applyFont="1" applyBorder="1" applyAlignment="1">
      <alignment horizontal="center" vertical="center"/>
    </xf>
    <xf numFmtId="0" fontId="15" fillId="0" borderId="69" xfId="13" applyFont="1" applyBorder="1" applyAlignment="1">
      <alignment horizontal="center" vertical="center" wrapText="1"/>
    </xf>
    <xf numFmtId="0" fontId="7" fillId="0" borderId="70" xfId="13" applyFont="1" applyBorder="1" applyAlignment="1">
      <alignment horizontal="left" vertical="center"/>
    </xf>
    <xf numFmtId="0" fontId="7" fillId="0" borderId="70" xfId="13" applyFont="1" applyBorder="1" applyAlignment="1">
      <alignment horizontal="center" vertical="center"/>
    </xf>
    <xf numFmtId="0" fontId="7" fillId="0" borderId="70" xfId="13" applyFont="1" applyBorder="1" applyAlignment="1">
      <alignment horizontal="center" vertical="center" wrapText="1"/>
    </xf>
    <xf numFmtId="0" fontId="7" fillId="0" borderId="71" xfId="13" applyFont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 wrapText="1"/>
    </xf>
    <xf numFmtId="1" fontId="15" fillId="4" borderId="14" xfId="4" applyNumberFormat="1" applyFont="1" applyFill="1" applyBorder="1" applyAlignment="1">
      <alignment horizontal="center" vertical="center" wrapText="1"/>
    </xf>
    <xf numFmtId="166" fontId="15" fillId="4" borderId="13" xfId="4" applyNumberFormat="1" applyFont="1" applyFill="1" applyBorder="1" applyAlignment="1">
      <alignment vertical="center" wrapText="1"/>
    </xf>
    <xf numFmtId="0" fontId="15" fillId="4" borderId="14" xfId="0" applyFont="1" applyFill="1" applyBorder="1" applyAlignment="1">
      <alignment horizontal="left" vertical="center" wrapText="1"/>
    </xf>
    <xf numFmtId="0" fontId="15" fillId="4" borderId="10" xfId="0" applyFont="1" applyFill="1" applyBorder="1" applyAlignment="1">
      <alignment horizontal="left" vertical="center" wrapText="1"/>
    </xf>
    <xf numFmtId="0" fontId="19" fillId="4" borderId="10" xfId="0" applyFont="1" applyFill="1" applyBorder="1" applyAlignment="1">
      <alignment horizontal="center" vertical="center" wrapText="1"/>
    </xf>
    <xf numFmtId="166" fontId="15" fillId="3" borderId="13" xfId="5" applyNumberFormat="1" applyFont="1" applyFill="1" applyBorder="1" applyAlignment="1" applyProtection="1">
      <alignment horizontal="right" vertical="center" wrapText="1"/>
    </xf>
    <xf numFmtId="166" fontId="15" fillId="3" borderId="10" xfId="5" applyNumberFormat="1" applyFont="1" applyFill="1" applyBorder="1" applyAlignment="1" applyProtection="1">
      <alignment horizontal="right" vertical="center" wrapText="1"/>
    </xf>
    <xf numFmtId="166" fontId="15" fillId="3" borderId="10" xfId="1" applyNumberFormat="1" applyFont="1" applyFill="1" applyBorder="1" applyAlignment="1" applyProtection="1">
      <alignment horizontal="right" vertical="center" wrapText="1"/>
    </xf>
    <xf numFmtId="3" fontId="15" fillId="3" borderId="14" xfId="1" applyNumberFormat="1" applyFont="1" applyFill="1" applyBorder="1" applyAlignment="1" applyProtection="1">
      <alignment horizontal="center" vertical="center" wrapText="1"/>
    </xf>
    <xf numFmtId="166" fontId="15" fillId="3" borderId="14" xfId="1" applyNumberFormat="1" applyFont="1" applyFill="1" applyBorder="1" applyAlignment="1" applyProtection="1">
      <alignment horizontal="right" vertical="center" wrapText="1"/>
    </xf>
    <xf numFmtId="166" fontId="15" fillId="3" borderId="14" xfId="5" applyNumberFormat="1" applyFont="1" applyFill="1" applyBorder="1" applyAlignment="1" applyProtection="1">
      <alignment horizontal="right" vertical="center" wrapText="1"/>
    </xf>
    <xf numFmtId="166" fontId="15" fillId="0" borderId="10" xfId="1" applyNumberFormat="1" applyFont="1" applyFill="1" applyBorder="1" applyAlignment="1" applyProtection="1">
      <alignment horizontal="right" vertical="center" wrapText="1"/>
    </xf>
    <xf numFmtId="0" fontId="15" fillId="0" borderId="10" xfId="0" applyFont="1" applyBorder="1" applyAlignment="1">
      <alignment horizontal="center" wrapText="1"/>
    </xf>
    <xf numFmtId="0" fontId="15" fillId="0" borderId="10" xfId="0" applyFont="1" applyBorder="1" applyAlignment="1">
      <alignment horizontal="center" vertical="center" wrapText="1"/>
    </xf>
    <xf numFmtId="0" fontId="15" fillId="4" borderId="10" xfId="9" applyFont="1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center"/>
    </xf>
    <xf numFmtId="1" fontId="15" fillId="0" borderId="10" xfId="0" applyNumberFormat="1" applyFont="1" applyBorder="1" applyAlignment="1">
      <alignment horizontal="center" vertical="center"/>
    </xf>
    <xf numFmtId="0" fontId="15" fillId="0" borderId="14" xfId="13" applyFont="1" applyBorder="1" applyAlignment="1">
      <alignment horizontal="center" vertical="top"/>
    </xf>
    <xf numFmtId="0" fontId="15" fillId="0" borderId="10" xfId="8" applyFont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3" fontId="15" fillId="0" borderId="10" xfId="8" applyNumberFormat="1" applyFont="1" applyBorder="1" applyAlignment="1">
      <alignment horizontal="center" vertical="center"/>
    </xf>
    <xf numFmtId="166" fontId="15" fillId="0" borderId="13" xfId="1" applyNumberFormat="1" applyFont="1" applyBorder="1" applyAlignment="1">
      <alignment vertical="center"/>
    </xf>
    <xf numFmtId="0" fontId="15" fillId="0" borderId="14" xfId="0" applyFont="1" applyBorder="1" applyAlignment="1">
      <alignment horizont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0" borderId="10" xfId="13" applyFont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0" borderId="14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left" wrapText="1"/>
    </xf>
    <xf numFmtId="1" fontId="15" fillId="0" borderId="10" xfId="13" applyNumberFormat="1" applyFont="1" applyBorder="1" applyAlignment="1">
      <alignment horizontal="center"/>
    </xf>
    <xf numFmtId="166" fontId="15" fillId="0" borderId="10" xfId="1" applyNumberFormat="1" applyFont="1" applyBorder="1" applyAlignment="1">
      <alignment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0" borderId="10" xfId="13" applyFont="1" applyBorder="1" applyAlignment="1">
      <alignment horizontal="center" vertical="top"/>
    </xf>
    <xf numFmtId="0" fontId="15" fillId="0" borderId="10" xfId="0" applyFont="1" applyBorder="1" applyAlignment="1">
      <alignment horizontal="left" wrapText="1"/>
    </xf>
    <xf numFmtId="1" fontId="15" fillId="0" borderId="10" xfId="8" applyNumberFormat="1" applyFont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 wrapText="1"/>
    </xf>
    <xf numFmtId="0" fontId="26" fillId="0" borderId="31" xfId="13" applyFont="1" applyBorder="1" applyAlignment="1">
      <alignment vertical="center"/>
    </xf>
    <xf numFmtId="0" fontId="15" fillId="4" borderId="13" xfId="0" applyFont="1" applyFill="1" applyBorder="1" applyAlignment="1">
      <alignment horizontal="center" vertical="center" wrapText="1"/>
    </xf>
    <xf numFmtId="3" fontId="15" fillId="4" borderId="13" xfId="0" applyNumberFormat="1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wrapText="1"/>
    </xf>
    <xf numFmtId="168" fontId="15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69" fontId="15" fillId="0" borderId="13" xfId="0" applyNumberFormat="1" applyFont="1" applyBorder="1" applyAlignment="1">
      <alignment horizontal="center"/>
    </xf>
    <xf numFmtId="3" fontId="15" fillId="0" borderId="13" xfId="0" applyNumberFormat="1" applyFont="1" applyBorder="1" applyAlignment="1">
      <alignment horizontal="center"/>
    </xf>
    <xf numFmtId="3" fontId="15" fillId="0" borderId="13" xfId="4" applyNumberFormat="1" applyFont="1" applyBorder="1" applyAlignment="1">
      <alignment horizontal="center" vertical="center" wrapText="1"/>
    </xf>
    <xf numFmtId="0" fontId="26" fillId="0" borderId="30" xfId="13" applyFont="1" applyBorder="1" applyAlignment="1">
      <alignment vertical="center"/>
    </xf>
    <xf numFmtId="0" fontId="26" fillId="4" borderId="31" xfId="13" applyFont="1" applyFill="1" applyBorder="1" applyAlignment="1">
      <alignment vertical="center"/>
    </xf>
    <xf numFmtId="0" fontId="26" fillId="4" borderId="11" xfId="13" applyFont="1" applyFill="1" applyBorder="1" applyAlignment="1">
      <alignment vertical="center"/>
    </xf>
    <xf numFmtId="0" fontId="26" fillId="4" borderId="9" xfId="13" applyFont="1" applyFill="1" applyBorder="1" applyAlignment="1">
      <alignment vertical="center"/>
    </xf>
    <xf numFmtId="0" fontId="21" fillId="0" borderId="28" xfId="13" applyFont="1" applyBorder="1" applyAlignment="1">
      <alignment vertical="center"/>
    </xf>
    <xf numFmtId="0" fontId="6" fillId="4" borderId="29" xfId="13" applyFont="1" applyFill="1" applyBorder="1" applyAlignment="1">
      <alignment horizontal="center" vertical="center"/>
    </xf>
    <xf numFmtId="0" fontId="6" fillId="4" borderId="29" xfId="13" applyFont="1" applyFill="1" applyBorder="1" applyAlignment="1">
      <alignment horizontal="left" vertical="center"/>
    </xf>
    <xf numFmtId="0" fontId="6" fillId="0" borderId="31" xfId="13" applyFont="1" applyBorder="1" applyAlignment="1">
      <alignment vertical="center"/>
    </xf>
    <xf numFmtId="0" fontId="6" fillId="3" borderId="31" xfId="13" applyFont="1" applyFill="1" applyBorder="1" applyAlignment="1">
      <alignment horizontal="center" vertical="center"/>
    </xf>
    <xf numFmtId="0" fontId="6" fillId="0" borderId="29" xfId="13" applyFont="1" applyBorder="1" applyAlignment="1">
      <alignment horizontal="center" vertical="center"/>
    </xf>
    <xf numFmtId="166" fontId="6" fillId="0" borderId="29" xfId="13" applyNumberFormat="1" applyFont="1" applyBorder="1" applyAlignment="1">
      <alignment horizontal="center" vertical="center"/>
    </xf>
    <xf numFmtId="0" fontId="6" fillId="0" borderId="38" xfId="13" applyFont="1" applyBorder="1" applyAlignment="1">
      <alignment horizontal="center" vertical="center"/>
    </xf>
    <xf numFmtId="0" fontId="6" fillId="0" borderId="34" xfId="13" applyFont="1" applyBorder="1" applyAlignment="1">
      <alignment horizontal="center" vertical="center" wrapText="1"/>
    </xf>
    <xf numFmtId="44" fontId="6" fillId="0" borderId="34" xfId="13" applyNumberFormat="1" applyFont="1" applyBorder="1" applyAlignment="1">
      <alignment horizontal="center" vertical="center" wrapText="1"/>
    </xf>
    <xf numFmtId="3" fontId="6" fillId="0" borderId="34" xfId="13" applyNumberFormat="1" applyFont="1" applyBorder="1" applyAlignment="1">
      <alignment horizontal="center" vertical="center"/>
    </xf>
    <xf numFmtId="0" fontId="6" fillId="4" borderId="6" xfId="13" applyFont="1" applyFill="1" applyBorder="1" applyAlignment="1">
      <alignment horizontal="left" vertical="center" wrapText="1"/>
    </xf>
    <xf numFmtId="0" fontId="6" fillId="4" borderId="8" xfId="13" applyFont="1" applyFill="1" applyBorder="1" applyAlignment="1">
      <alignment horizontal="left" vertical="center" wrapText="1"/>
    </xf>
    <xf numFmtId="0" fontId="6" fillId="0" borderId="32" xfId="13" applyFont="1" applyBorder="1" applyAlignment="1">
      <alignment horizontal="left" vertical="center"/>
    </xf>
    <xf numFmtId="0" fontId="6" fillId="0" borderId="33" xfId="13" applyFont="1" applyBorder="1" applyAlignment="1">
      <alignment horizontal="left" vertical="center"/>
    </xf>
    <xf numFmtId="0" fontId="6" fillId="0" borderId="34" xfId="13" applyFont="1" applyBorder="1" applyAlignment="1">
      <alignment horizontal="center" vertical="center"/>
    </xf>
    <xf numFmtId="0" fontId="6" fillId="0" borderId="34" xfId="13" applyFont="1" applyBorder="1" applyAlignment="1">
      <alignment horizontal="left" vertical="center"/>
    </xf>
    <xf numFmtId="0" fontId="7" fillId="0" borderId="0" xfId="13" applyFont="1" applyFill="1" applyBorder="1" applyAlignment="1">
      <alignment horizontal="left" vertical="center"/>
    </xf>
    <xf numFmtId="0" fontId="15" fillId="4" borderId="13" xfId="0" applyFont="1" applyFill="1" applyBorder="1" applyAlignment="1">
      <alignment horizontal="left" vertical="center" wrapText="1"/>
    </xf>
    <xf numFmtId="166" fontId="0" fillId="0" borderId="0" xfId="0" applyNumberFormat="1"/>
    <xf numFmtId="0" fontId="22" fillId="0" borderId="0" xfId="0" applyFont="1"/>
    <xf numFmtId="0" fontId="8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vertical="center" wrapText="1"/>
    </xf>
    <xf numFmtId="0" fontId="7" fillId="0" borderId="65" xfId="13" applyFont="1" applyFill="1" applyBorder="1" applyAlignment="1">
      <alignment horizontal="left" vertical="center" wrapText="1"/>
    </xf>
    <xf numFmtId="0" fontId="7" fillId="0" borderId="66" xfId="13" applyFont="1" applyFill="1" applyBorder="1" applyAlignment="1">
      <alignment horizontal="left" vertical="center" wrapText="1"/>
    </xf>
    <xf numFmtId="0" fontId="7" fillId="0" borderId="0" xfId="13" applyFont="1" applyFill="1" applyBorder="1" applyAlignment="1">
      <alignment horizontal="left" vertical="center" wrapText="1"/>
    </xf>
    <xf numFmtId="0" fontId="7" fillId="0" borderId="68" xfId="13" applyFont="1" applyFill="1" applyBorder="1" applyAlignment="1">
      <alignment horizontal="left" vertical="center" wrapText="1"/>
    </xf>
    <xf numFmtId="0" fontId="15" fillId="4" borderId="7" xfId="0" applyFont="1" applyFill="1" applyBorder="1" applyAlignment="1">
      <alignment horizontal="left" wrapText="1"/>
    </xf>
    <xf numFmtId="0" fontId="15" fillId="4" borderId="3" xfId="0" applyFont="1" applyFill="1" applyBorder="1" applyAlignment="1">
      <alignment horizontal="left" wrapText="1"/>
    </xf>
    <xf numFmtId="0" fontId="15" fillId="4" borderId="6" xfId="0" applyFont="1" applyFill="1" applyBorder="1" applyAlignment="1">
      <alignment horizontal="left" wrapText="1"/>
    </xf>
    <xf numFmtId="0" fontId="15" fillId="4" borderId="4" xfId="0" applyFont="1" applyFill="1" applyBorder="1" applyAlignment="1">
      <alignment horizontal="left" wrapText="1"/>
    </xf>
    <xf numFmtId="0" fontId="23" fillId="0" borderId="23" xfId="13" applyFont="1" applyBorder="1" applyAlignment="1">
      <alignment horizontal="left" vertical="center" wrapText="1"/>
    </xf>
    <xf numFmtId="0" fontId="21" fillId="0" borderId="24" xfId="13" applyFont="1" applyBorder="1" applyAlignment="1">
      <alignment horizontal="left" vertical="center" wrapText="1" indent="1"/>
    </xf>
    <xf numFmtId="0" fontId="20" fillId="0" borderId="0" xfId="13" applyFont="1" applyBorder="1" applyAlignment="1">
      <alignment horizontal="center" vertical="center"/>
    </xf>
    <xf numFmtId="0" fontId="23" fillId="0" borderId="19" xfId="13" applyFont="1" applyBorder="1" applyAlignment="1">
      <alignment horizontal="left" vertical="center" wrapText="1"/>
    </xf>
    <xf numFmtId="0" fontId="29" fillId="0" borderId="20" xfId="13" applyFont="1" applyBorder="1" applyAlignment="1">
      <alignment horizontal="left" vertical="center"/>
    </xf>
    <xf numFmtId="0" fontId="29" fillId="0" borderId="21" xfId="13" applyFont="1" applyBorder="1" applyAlignment="1">
      <alignment horizontal="left" vertical="center"/>
    </xf>
    <xf numFmtId="0" fontId="29" fillId="0" borderId="22" xfId="13" applyFont="1" applyBorder="1" applyAlignment="1">
      <alignment horizontal="left" vertical="center"/>
    </xf>
    <xf numFmtId="166" fontId="30" fillId="0" borderId="21" xfId="13" applyNumberFormat="1" applyFont="1" applyBorder="1" applyAlignment="1">
      <alignment horizontal="center" vertical="center" wrapText="1"/>
    </xf>
    <xf numFmtId="166" fontId="30" fillId="0" borderId="22" xfId="13" applyNumberFormat="1" applyFont="1" applyBorder="1" applyAlignment="1">
      <alignment horizontal="center" vertical="center" wrapText="1"/>
    </xf>
    <xf numFmtId="0" fontId="23" fillId="0" borderId="25" xfId="13" applyFont="1" applyBorder="1" applyAlignment="1">
      <alignment horizontal="left" vertical="center"/>
    </xf>
    <xf numFmtId="0" fontId="21" fillId="0" borderId="26" xfId="13" applyFont="1" applyBorder="1" applyAlignment="1">
      <alignment horizontal="left" vertical="center" wrapText="1" indent="1"/>
    </xf>
    <xf numFmtId="0" fontId="24" fillId="0" borderId="25" xfId="13" applyFont="1" applyBorder="1" applyAlignment="1">
      <alignment horizontal="center" vertical="center"/>
    </xf>
    <xf numFmtId="0" fontId="24" fillId="0" borderId="73" xfId="13" applyFont="1" applyBorder="1" applyAlignment="1">
      <alignment horizontal="center" vertical="center"/>
    </xf>
    <xf numFmtId="0" fontId="24" fillId="0" borderId="27" xfId="13" applyFont="1" applyBorder="1" applyAlignment="1">
      <alignment horizontal="center" vertical="center" wrapText="1"/>
    </xf>
    <xf numFmtId="0" fontId="24" fillId="0" borderId="74" xfId="13" applyFont="1" applyBorder="1" applyAlignment="1">
      <alignment horizontal="center" vertical="center" wrapText="1"/>
    </xf>
    <xf numFmtId="0" fontId="24" fillId="0" borderId="28" xfId="13" applyFont="1" applyBorder="1" applyAlignment="1">
      <alignment horizontal="center" vertical="center" wrapText="1"/>
    </xf>
    <xf numFmtId="0" fontId="24" fillId="0" borderId="75" xfId="13" applyFont="1" applyBorder="1" applyAlignment="1">
      <alignment horizontal="center" vertical="center" wrapText="1"/>
    </xf>
    <xf numFmtId="0" fontId="24" fillId="0" borderId="24" xfId="13" applyFont="1" applyBorder="1" applyAlignment="1">
      <alignment horizontal="center" vertical="center" wrapText="1"/>
    </xf>
    <xf numFmtId="0" fontId="24" fillId="0" borderId="72" xfId="13" applyFont="1" applyBorder="1" applyAlignment="1">
      <alignment horizontal="center" vertical="center" wrapText="1"/>
    </xf>
    <xf numFmtId="0" fontId="25" fillId="0" borderId="19" xfId="13" applyFont="1" applyBorder="1" applyAlignment="1">
      <alignment horizontal="left" vertical="center" wrapText="1"/>
    </xf>
    <xf numFmtId="0" fontId="25" fillId="0" borderId="39" xfId="13" applyFont="1" applyBorder="1" applyAlignment="1">
      <alignment horizontal="left" vertical="center" wrapText="1"/>
    </xf>
    <xf numFmtId="0" fontId="25" fillId="0" borderId="40" xfId="13" applyFont="1" applyBorder="1" applyAlignment="1">
      <alignment horizontal="left" vertical="center" wrapText="1"/>
    </xf>
    <xf numFmtId="0" fontId="6" fillId="0" borderId="20" xfId="13" applyFont="1" applyBorder="1" applyAlignment="1">
      <alignment horizontal="center"/>
    </xf>
    <xf numFmtId="0" fontId="31" fillId="0" borderId="22" xfId="13" applyNumberFormat="1" applyFont="1" applyBorder="1" applyAlignment="1">
      <alignment horizontal="center"/>
    </xf>
    <xf numFmtId="0" fontId="32" fillId="0" borderId="17" xfId="13" applyFont="1" applyBorder="1" applyAlignment="1">
      <alignment horizontal="center" vertical="center" wrapText="1"/>
    </xf>
    <xf numFmtId="0" fontId="26" fillId="0" borderId="17" xfId="13" applyFont="1" applyBorder="1" applyAlignment="1">
      <alignment vertical="center"/>
    </xf>
    <xf numFmtId="0" fontId="6" fillId="0" borderId="57" xfId="13" applyFont="1" applyBorder="1" applyAlignment="1">
      <alignment horizontal="left" vertical="center"/>
    </xf>
    <xf numFmtId="0" fontId="34" fillId="0" borderId="17" xfId="13" applyFont="1" applyBorder="1" applyAlignment="1">
      <alignment horizontal="left" vertical="center"/>
    </xf>
    <xf numFmtId="0" fontId="33" fillId="0" borderId="41" xfId="13" applyFont="1" applyBorder="1"/>
    <xf numFmtId="0" fontId="33" fillId="4" borderId="41" xfId="13" applyNumberFormat="1" applyFont="1" applyFill="1" applyBorder="1" applyAlignment="1">
      <alignment horizontal="left" vertical="justify" wrapText="1" indent="1"/>
    </xf>
    <xf numFmtId="0" fontId="33" fillId="4" borderId="0" xfId="13" applyNumberFormat="1" applyFont="1" applyFill="1" applyBorder="1" applyAlignment="1">
      <alignment horizontal="left" vertical="justify" wrapText="1" indent="1"/>
    </xf>
    <xf numFmtId="0" fontId="33" fillId="4" borderId="16" xfId="13" applyNumberFormat="1" applyFont="1" applyFill="1" applyBorder="1" applyAlignment="1">
      <alignment horizontal="left" vertical="justify" wrapText="1" indent="1"/>
    </xf>
    <xf numFmtId="0" fontId="35" fillId="0" borderId="44" xfId="13" applyFont="1" applyBorder="1" applyAlignment="1">
      <alignment horizontal="center" vertical="center"/>
    </xf>
    <xf numFmtId="0" fontId="35" fillId="0" borderId="17" xfId="13" applyFont="1" applyBorder="1" applyAlignment="1">
      <alignment horizontal="center" vertical="center"/>
    </xf>
    <xf numFmtId="0" fontId="35" fillId="0" borderId="44" xfId="13" applyFont="1" applyBorder="1" applyAlignment="1">
      <alignment horizontal="center" vertical="center" wrapText="1"/>
    </xf>
    <xf numFmtId="0" fontId="35" fillId="0" borderId="45" xfId="13" applyFont="1" applyBorder="1" applyAlignment="1">
      <alignment horizontal="center" vertical="center"/>
    </xf>
    <xf numFmtId="0" fontId="6" fillId="0" borderId="51" xfId="13" applyBorder="1" applyAlignment="1">
      <alignment horizontal="left" vertical="center" wrapText="1"/>
    </xf>
    <xf numFmtId="0" fontId="6" fillId="0" borderId="51" xfId="13" applyFont="1" applyBorder="1" applyAlignment="1">
      <alignment horizontal="left" vertical="center" wrapText="1"/>
    </xf>
    <xf numFmtId="0" fontId="6" fillId="0" borderId="57" xfId="13" applyBorder="1" applyAlignment="1">
      <alignment horizontal="left" vertical="center"/>
    </xf>
    <xf numFmtId="0" fontId="6" fillId="0" borderId="60" xfId="13" applyBorder="1" applyAlignment="1">
      <alignment horizontal="left" vertical="center"/>
    </xf>
    <xf numFmtId="0" fontId="31" fillId="0" borderId="63" xfId="13" applyFont="1" applyBorder="1" applyAlignment="1">
      <alignment horizontal="left" vertical="center" wrapText="1"/>
    </xf>
    <xf numFmtId="0" fontId="6" fillId="0" borderId="44" xfId="13" applyBorder="1"/>
    <xf numFmtId="0" fontId="31" fillId="0" borderId="20" xfId="13" applyFont="1" applyBorder="1" applyAlignment="1">
      <alignment vertical="center" wrapText="1"/>
    </xf>
    <xf numFmtId="0" fontId="31" fillId="0" borderId="28" xfId="13" applyFont="1" applyBorder="1" applyAlignment="1">
      <alignment vertical="center" wrapText="1"/>
    </xf>
    <xf numFmtId="0" fontId="31" fillId="0" borderId="26" xfId="13" applyFont="1" applyBorder="1" applyAlignment="1">
      <alignment vertical="center" wrapText="1"/>
    </xf>
    <xf numFmtId="0" fontId="33" fillId="0" borderId="45" xfId="13" applyFont="1" applyBorder="1" applyAlignment="1">
      <alignment vertical="center" wrapText="1"/>
    </xf>
    <xf numFmtId="166" fontId="29" fillId="0" borderId="21" xfId="13" applyNumberFormat="1" applyFont="1" applyBorder="1" applyAlignment="1">
      <alignment horizontal="center" vertical="center" wrapText="1"/>
    </xf>
    <xf numFmtId="166" fontId="29" fillId="0" borderId="22" xfId="13" applyNumberFormat="1" applyFont="1" applyBorder="1" applyAlignment="1">
      <alignment horizontal="center" vertical="center" wrapText="1"/>
    </xf>
    <xf numFmtId="0" fontId="6" fillId="4" borderId="31" xfId="13" applyFont="1" applyFill="1" applyBorder="1" applyAlignment="1">
      <alignment horizontal="left" vertical="center" wrapText="1"/>
    </xf>
    <xf numFmtId="0" fontId="6" fillId="4" borderId="11" xfId="13" applyFont="1" applyFill="1" applyBorder="1" applyAlignment="1">
      <alignment horizontal="left" vertical="center" wrapText="1"/>
    </xf>
    <xf numFmtId="0" fontId="6" fillId="4" borderId="9" xfId="13" applyFont="1" applyFill="1" applyBorder="1" applyAlignment="1">
      <alignment horizontal="left" vertical="center" wrapText="1"/>
    </xf>
    <xf numFmtId="0" fontId="6" fillId="0" borderId="31" xfId="13" applyFont="1" applyBorder="1" applyAlignment="1">
      <alignment vertical="center" wrapText="1"/>
    </xf>
    <xf numFmtId="0" fontId="6" fillId="0" borderId="11" xfId="13" applyFont="1" applyBorder="1" applyAlignment="1">
      <alignment vertical="center" wrapText="1"/>
    </xf>
    <xf numFmtId="0" fontId="6" fillId="0" borderId="9" xfId="13" applyFont="1" applyBorder="1" applyAlignment="1">
      <alignment vertical="center" wrapText="1"/>
    </xf>
    <xf numFmtId="0" fontId="6" fillId="0" borderId="31" xfId="13" applyFont="1" applyBorder="1" applyAlignment="1">
      <alignment horizontal="left" vertical="center" wrapText="1"/>
    </xf>
    <xf numFmtId="0" fontId="6" fillId="0" borderId="11" xfId="13" applyFont="1" applyBorder="1" applyAlignment="1">
      <alignment horizontal="left" vertical="center" wrapText="1"/>
    </xf>
    <xf numFmtId="0" fontId="6" fillId="0" borderId="9" xfId="13" applyFont="1" applyBorder="1" applyAlignment="1">
      <alignment horizontal="left" vertical="center" wrapText="1"/>
    </xf>
  </cellXfs>
  <cellStyles count="26">
    <cellStyle name="Encabezado 1" xfId="2" xr:uid="{00000000-0005-0000-0000-000000000000}"/>
    <cellStyle name="Encabezado 1 2" xfId="12" xr:uid="{00000000-0005-0000-0000-000001000000}"/>
    <cellStyle name="Millares 2" xfId="19" xr:uid="{00000000-0005-0000-0000-000002000000}"/>
    <cellStyle name="Moneda" xfId="1" builtinId="4"/>
    <cellStyle name="Moneda 2" xfId="5" xr:uid="{00000000-0005-0000-0000-000004000000}"/>
    <cellStyle name="Moneda 2 2" xfId="14" xr:uid="{00000000-0005-0000-0000-000005000000}"/>
    <cellStyle name="Moneda 3" xfId="11" xr:uid="{00000000-0005-0000-0000-000006000000}"/>
    <cellStyle name="Moneda 4" xfId="21" xr:uid="{00000000-0005-0000-0000-000007000000}"/>
    <cellStyle name="Moneda_AUTORIZACION Y NOTA DE PEDIDO" xfId="25" xr:uid="{00000000-0005-0000-0000-000008000000}"/>
    <cellStyle name="Neutral 1" xfId="3" xr:uid="{00000000-0005-0000-0000-000009000000}"/>
    <cellStyle name="Normal" xfId="0" builtinId="0"/>
    <cellStyle name="Normal 2" xfId="4" xr:uid="{00000000-0005-0000-0000-00000B000000}"/>
    <cellStyle name="Normal 2 2" xfId="13" xr:uid="{00000000-0005-0000-0000-00000C000000}"/>
    <cellStyle name="Normal 3" xfId="6" xr:uid="{00000000-0005-0000-0000-00000D000000}"/>
    <cellStyle name="Normal 3 2" xfId="7" xr:uid="{00000000-0005-0000-0000-00000E000000}"/>
    <cellStyle name="Normal 3 2 2" xfId="16" xr:uid="{00000000-0005-0000-0000-00000F000000}"/>
    <cellStyle name="Normal 3 3" xfId="15" xr:uid="{00000000-0005-0000-0000-000010000000}"/>
    <cellStyle name="Normal 3 4" xfId="22" xr:uid="{00000000-0005-0000-0000-000011000000}"/>
    <cellStyle name="Normal 4" xfId="8" xr:uid="{00000000-0005-0000-0000-000012000000}"/>
    <cellStyle name="Normal 4 2" xfId="17" xr:uid="{00000000-0005-0000-0000-000013000000}"/>
    <cellStyle name="Normal 4 3" xfId="23" xr:uid="{00000000-0005-0000-0000-000014000000}"/>
    <cellStyle name="Normal 5" xfId="9" xr:uid="{00000000-0005-0000-0000-000015000000}"/>
    <cellStyle name="Normal 5 2" xfId="20" xr:uid="{00000000-0005-0000-0000-000016000000}"/>
    <cellStyle name="Normal 5 3" xfId="24" xr:uid="{00000000-0005-0000-0000-000017000000}"/>
    <cellStyle name="Normal 6" xfId="10" xr:uid="{00000000-0005-0000-0000-000018000000}"/>
    <cellStyle name="Normal 7" xfId="18" xr:uid="{00000000-0005-0000-0000-000019000000}"/>
  </cellStyles>
  <dxfs count="21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9"/>
  <sheetViews>
    <sheetView topLeftCell="A41" zoomScaleNormal="100" workbookViewId="0">
      <selection activeCell="F46" sqref="F46"/>
    </sheetView>
  </sheetViews>
  <sheetFormatPr baseColWidth="10" defaultColWidth="10.85546875" defaultRowHeight="15" x14ac:dyDescent="0.25"/>
  <cols>
    <col min="1" max="1" width="9.140625" style="15" customWidth="1"/>
    <col min="2" max="2" width="16" style="14" customWidth="1"/>
    <col min="3" max="3" width="40.5703125" style="15" customWidth="1"/>
    <col min="4" max="4" width="8.42578125" style="3" customWidth="1"/>
    <col min="5" max="5" width="32" style="18" customWidth="1"/>
    <col min="6" max="6" width="11.5703125" style="3" customWidth="1"/>
    <col min="7" max="12" width="14.85546875" style="3" hidden="1" customWidth="1"/>
    <col min="13" max="13" width="14.85546875" style="6" hidden="1" customWidth="1"/>
    <col min="14" max="14" width="16.42578125" style="7" hidden="1" customWidth="1"/>
    <col min="15" max="15" width="13.42578125" style="9" hidden="1" customWidth="1"/>
    <col min="16" max="16" width="11.28515625" style="3" hidden="1" customWidth="1"/>
    <col min="17" max="17" width="14.28515625" style="6" hidden="1" customWidth="1"/>
    <col min="18" max="18" width="13" style="3" hidden="1" customWidth="1"/>
    <col min="19" max="19" width="19.140625" style="9" hidden="1" customWidth="1"/>
    <col min="20" max="20" width="14" style="20" hidden="1" customWidth="1"/>
    <col min="21" max="21" width="15.42578125" style="6" hidden="1" customWidth="1"/>
    <col min="22" max="22" width="16.140625" style="3" hidden="1" customWidth="1"/>
    <col min="23" max="23" width="16.140625" style="9" hidden="1" customWidth="1"/>
    <col min="24" max="24" width="11.5703125" style="3" hidden="1" customWidth="1"/>
    <col min="25" max="25" width="14.7109375" style="9" hidden="1" customWidth="1"/>
    <col min="26" max="26" width="14.42578125" style="3" hidden="1" customWidth="1"/>
    <col min="27" max="27" width="17.28515625" style="9" hidden="1" customWidth="1"/>
    <col min="28" max="28" width="13.7109375" style="3" hidden="1" customWidth="1"/>
    <col min="29" max="29" width="13.5703125" style="9" hidden="1" customWidth="1"/>
    <col min="30" max="30" width="14" style="3" hidden="1" customWidth="1"/>
    <col min="31" max="31" width="13" style="9" hidden="1" customWidth="1"/>
    <col min="32" max="32" width="16.5703125" style="3" hidden="1" customWidth="1"/>
    <col min="33" max="33" width="14.7109375" style="9" hidden="1" customWidth="1"/>
    <col min="34" max="34" width="16.42578125" style="3" hidden="1" customWidth="1"/>
    <col min="35" max="35" width="12" style="9" hidden="1" customWidth="1"/>
    <col min="36" max="36" width="10.140625" style="3" hidden="1" customWidth="1"/>
    <col min="37" max="37" width="11.85546875" style="9" hidden="1" customWidth="1"/>
    <col min="38" max="38" width="18.7109375" style="3" hidden="1" customWidth="1"/>
    <col min="39" max="39" width="12.5703125" style="9" hidden="1" customWidth="1"/>
    <col min="40" max="40" width="13.28515625" style="3" hidden="1" customWidth="1"/>
    <col min="41" max="41" width="9.85546875" style="9" hidden="1" customWidth="1"/>
    <col min="42" max="42" width="16.85546875" style="3" hidden="1" customWidth="1"/>
    <col min="43" max="43" width="8.7109375" style="9" hidden="1" customWidth="1"/>
    <col min="44" max="44" width="8.42578125" style="3" hidden="1" customWidth="1"/>
    <col min="45" max="45" width="16.42578125" style="11" customWidth="1"/>
    <col min="46" max="46" width="16.5703125" style="137" bestFit="1" customWidth="1"/>
    <col min="47" max="47" width="22.5703125" style="13" customWidth="1"/>
    <col min="48" max="48" width="23.5703125" style="1" customWidth="1"/>
    <col min="49" max="16384" width="10.85546875" style="1"/>
  </cols>
  <sheetData>
    <row r="1" spans="1:52" x14ac:dyDescent="0.25">
      <c r="A1" s="4">
        <v>2021</v>
      </c>
    </row>
    <row r="2" spans="1:52" ht="25.5" x14ac:dyDescent="0.35">
      <c r="B2" s="228" t="s">
        <v>16</v>
      </c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8"/>
      <c r="AR2" s="228"/>
      <c r="AS2" s="229"/>
      <c r="AT2" s="230"/>
    </row>
    <row r="4" spans="1:52" ht="18" customHeight="1" x14ac:dyDescent="0.2">
      <c r="A4" s="227" t="s">
        <v>0</v>
      </c>
      <c r="B4" s="227"/>
      <c r="C4" s="231" t="s">
        <v>15</v>
      </c>
      <c r="D4" s="231"/>
      <c r="E4" s="231"/>
      <c r="F4" s="2"/>
      <c r="G4" s="2"/>
      <c r="H4" s="2"/>
      <c r="I4" s="2"/>
      <c r="J4" s="2"/>
      <c r="K4" s="2"/>
      <c r="L4" s="2"/>
      <c r="M4" s="5"/>
      <c r="N4" s="8"/>
      <c r="O4" s="10"/>
      <c r="P4" s="2"/>
      <c r="Q4" s="5"/>
      <c r="R4" s="2"/>
      <c r="S4" s="10"/>
      <c r="T4" s="38"/>
      <c r="U4" s="5"/>
      <c r="V4" s="2"/>
      <c r="W4" s="10"/>
      <c r="X4" s="2"/>
      <c r="Y4" s="10"/>
      <c r="Z4" s="2"/>
      <c r="AA4" s="10"/>
      <c r="AB4" s="2"/>
      <c r="AC4" s="10"/>
      <c r="AD4" s="2"/>
      <c r="AE4" s="10"/>
      <c r="AF4" s="2"/>
      <c r="AG4" s="10"/>
      <c r="AH4" s="2"/>
      <c r="AI4" s="10"/>
      <c r="AJ4" s="2"/>
      <c r="AK4" s="10"/>
      <c r="AL4" s="2"/>
      <c r="AM4" s="10"/>
      <c r="AN4" s="2"/>
      <c r="AO4" s="10"/>
      <c r="AP4" s="2"/>
      <c r="AQ4" s="10"/>
      <c r="AR4" s="2"/>
      <c r="AS4" s="12"/>
    </row>
    <row r="5" spans="1:52" ht="18" customHeight="1" x14ac:dyDescent="0.2">
      <c r="A5" s="227" t="s">
        <v>1</v>
      </c>
      <c r="B5" s="227"/>
      <c r="C5" s="231" t="s">
        <v>27</v>
      </c>
      <c r="D5" s="231"/>
      <c r="E5" s="231"/>
      <c r="F5" s="2"/>
      <c r="G5" s="2"/>
      <c r="H5" s="2"/>
      <c r="I5" s="2"/>
      <c r="J5" s="2"/>
      <c r="K5" s="2"/>
      <c r="L5" s="2"/>
      <c r="M5" s="5"/>
      <c r="N5" s="8"/>
      <c r="O5" s="10"/>
      <c r="P5" s="2"/>
      <c r="Q5" s="5"/>
      <c r="R5" s="2"/>
      <c r="S5" s="10"/>
      <c r="T5" s="38"/>
      <c r="U5" s="5"/>
      <c r="V5" s="2"/>
      <c r="W5" s="10"/>
      <c r="X5" s="2"/>
      <c r="Y5" s="10"/>
      <c r="Z5" s="2"/>
      <c r="AA5" s="10"/>
      <c r="AB5" s="2"/>
      <c r="AC5" s="10"/>
      <c r="AD5" s="2"/>
      <c r="AE5" s="10"/>
      <c r="AF5" s="2"/>
      <c r="AG5" s="10"/>
      <c r="AH5" s="2"/>
      <c r="AI5" s="10"/>
      <c r="AJ5" s="2"/>
      <c r="AK5" s="10"/>
      <c r="AL5" s="2"/>
      <c r="AM5" s="10"/>
      <c r="AN5" s="2"/>
      <c r="AO5" s="10"/>
      <c r="AP5" s="2"/>
      <c r="AQ5" s="10"/>
      <c r="AR5" s="2"/>
      <c r="AS5" s="12"/>
    </row>
    <row r="6" spans="1:52" ht="16.5" customHeight="1" x14ac:dyDescent="0.2">
      <c r="A6" s="227" t="s">
        <v>2</v>
      </c>
      <c r="B6" s="227"/>
      <c r="C6" s="56">
        <v>2021</v>
      </c>
      <c r="D6" s="57"/>
      <c r="E6" s="57"/>
      <c r="F6" s="2"/>
      <c r="G6" s="2"/>
      <c r="H6" s="2"/>
      <c r="I6" s="2"/>
      <c r="J6" s="2"/>
      <c r="K6" s="2"/>
      <c r="L6" s="2"/>
      <c r="M6" s="5"/>
      <c r="N6" s="8"/>
      <c r="O6" s="10"/>
      <c r="P6" s="2"/>
      <c r="Q6" s="5"/>
      <c r="R6" s="2"/>
      <c r="S6" s="10"/>
      <c r="T6" s="38"/>
      <c r="U6" s="5"/>
      <c r="V6" s="2"/>
      <c r="W6" s="10"/>
      <c r="X6" s="2"/>
      <c r="Y6" s="10"/>
      <c r="Z6" s="2"/>
      <c r="AA6" s="10"/>
      <c r="AB6" s="2"/>
      <c r="AC6" s="10"/>
      <c r="AD6" s="2"/>
      <c r="AE6" s="10"/>
      <c r="AF6" s="2"/>
      <c r="AG6" s="10"/>
      <c r="AH6" s="2"/>
      <c r="AI6" s="10"/>
      <c r="AJ6" s="2"/>
      <c r="AK6" s="10"/>
      <c r="AL6" s="2"/>
      <c r="AM6" s="10"/>
      <c r="AN6" s="2"/>
      <c r="AO6" s="10"/>
      <c r="AP6" s="2"/>
      <c r="AQ6" s="10"/>
      <c r="AR6" s="2"/>
      <c r="AS6" s="12"/>
    </row>
    <row r="7" spans="1:52" ht="31.5" customHeight="1" x14ac:dyDescent="0.2">
      <c r="A7" s="227" t="s">
        <v>3</v>
      </c>
      <c r="B7" s="227"/>
      <c r="C7" s="56" t="s">
        <v>153</v>
      </c>
      <c r="D7" s="57"/>
      <c r="E7" s="57"/>
      <c r="F7" s="2"/>
      <c r="G7" s="2"/>
      <c r="H7" s="2"/>
      <c r="I7" s="2"/>
      <c r="J7" s="2"/>
      <c r="K7" s="2"/>
      <c r="L7" s="2"/>
      <c r="M7" s="5"/>
      <c r="N7" s="8"/>
      <c r="O7" s="10"/>
      <c r="P7" s="2"/>
      <c r="Q7" s="5"/>
      <c r="R7" s="2"/>
      <c r="S7" s="10"/>
      <c r="T7" s="38"/>
      <c r="U7" s="5"/>
      <c r="V7" s="2"/>
      <c r="W7" s="10"/>
      <c r="X7" s="2"/>
      <c r="Y7" s="10"/>
      <c r="Z7" s="2"/>
      <c r="AA7" s="10"/>
      <c r="AB7" s="2"/>
      <c r="AC7" s="10"/>
      <c r="AD7" s="2"/>
      <c r="AE7" s="10"/>
      <c r="AF7" s="2"/>
      <c r="AG7" s="10"/>
      <c r="AH7" s="2"/>
      <c r="AI7" s="10"/>
      <c r="AJ7" s="2"/>
      <c r="AK7" s="10"/>
      <c r="AL7" s="2"/>
      <c r="AM7" s="10"/>
      <c r="AN7" s="2"/>
      <c r="AO7" s="10"/>
      <c r="AP7" s="2"/>
      <c r="AQ7" s="10"/>
      <c r="AR7" s="2"/>
      <c r="AS7" s="12"/>
    </row>
    <row r="8" spans="1:52" ht="2.25" customHeight="1" x14ac:dyDescent="0.25">
      <c r="B8" s="16"/>
      <c r="C8" s="17"/>
      <c r="D8" s="2"/>
      <c r="E8" s="17"/>
      <c r="F8" s="2"/>
      <c r="G8" s="2"/>
      <c r="H8" s="2"/>
      <c r="I8" s="2"/>
      <c r="J8" s="2"/>
      <c r="K8" s="2"/>
      <c r="L8" s="2"/>
      <c r="M8" s="5"/>
      <c r="N8" s="8"/>
      <c r="O8" s="10"/>
      <c r="P8" s="2"/>
      <c r="Q8" s="5"/>
      <c r="R8" s="2"/>
      <c r="S8" s="10"/>
      <c r="T8" s="38"/>
      <c r="U8" s="5"/>
      <c r="V8" s="2"/>
      <c r="W8" s="10"/>
      <c r="X8" s="2"/>
      <c r="Y8" s="10"/>
      <c r="Z8" s="2"/>
      <c r="AA8" s="10"/>
      <c r="AB8" s="2"/>
      <c r="AC8" s="10"/>
      <c r="AD8" s="2"/>
      <c r="AE8" s="10"/>
      <c r="AF8" s="2"/>
      <c r="AG8" s="10"/>
      <c r="AH8" s="2"/>
      <c r="AI8" s="10"/>
      <c r="AJ8" s="2"/>
      <c r="AK8" s="10"/>
      <c r="AL8" s="2"/>
      <c r="AM8" s="10"/>
      <c r="AN8" s="2"/>
      <c r="AO8" s="10"/>
      <c r="AP8" s="2"/>
      <c r="AQ8" s="10"/>
      <c r="AR8" s="2"/>
      <c r="AS8" s="12"/>
    </row>
    <row r="9" spans="1:52" s="41" customFormat="1" ht="42.75" x14ac:dyDescent="0.2">
      <c r="A9" s="47" t="s">
        <v>4</v>
      </c>
      <c r="B9" s="47" t="s">
        <v>5</v>
      </c>
      <c r="C9" s="48" t="s">
        <v>6</v>
      </c>
      <c r="D9" s="47" t="s">
        <v>7</v>
      </c>
      <c r="E9" s="48" t="s">
        <v>8</v>
      </c>
      <c r="F9" s="48" t="s">
        <v>9</v>
      </c>
      <c r="G9" s="48" t="s">
        <v>83</v>
      </c>
      <c r="H9" s="48" t="s">
        <v>84</v>
      </c>
      <c r="I9" s="48" t="s">
        <v>81</v>
      </c>
      <c r="J9" s="48" t="s">
        <v>82</v>
      </c>
      <c r="K9" s="48" t="s">
        <v>31</v>
      </c>
      <c r="L9" s="48" t="s">
        <v>32</v>
      </c>
      <c r="M9" s="49" t="s">
        <v>47</v>
      </c>
      <c r="N9" s="50" t="s">
        <v>48</v>
      </c>
      <c r="O9" s="51" t="s">
        <v>50</v>
      </c>
      <c r="P9" s="48" t="s">
        <v>51</v>
      </c>
      <c r="Q9" s="49" t="s">
        <v>52</v>
      </c>
      <c r="R9" s="48" t="s">
        <v>53</v>
      </c>
      <c r="S9" s="51" t="s">
        <v>54</v>
      </c>
      <c r="T9" s="52" t="s">
        <v>55</v>
      </c>
      <c r="U9" s="49" t="s">
        <v>56</v>
      </c>
      <c r="V9" s="48" t="s">
        <v>57</v>
      </c>
      <c r="W9" s="51" t="s">
        <v>58</v>
      </c>
      <c r="X9" s="48" t="s">
        <v>59</v>
      </c>
      <c r="Y9" s="51" t="s">
        <v>60</v>
      </c>
      <c r="Z9" s="48" t="s">
        <v>61</v>
      </c>
      <c r="AA9" s="51" t="s">
        <v>62</v>
      </c>
      <c r="AB9" s="48" t="s">
        <v>63</v>
      </c>
      <c r="AC9" s="53" t="s">
        <v>64</v>
      </c>
      <c r="AD9" s="48" t="s">
        <v>65</v>
      </c>
      <c r="AE9" s="51" t="s">
        <v>66</v>
      </c>
      <c r="AF9" s="48" t="s">
        <v>67</v>
      </c>
      <c r="AG9" s="51" t="s">
        <v>68</v>
      </c>
      <c r="AH9" s="48" t="s">
        <v>69</v>
      </c>
      <c r="AI9" s="51" t="s">
        <v>70</v>
      </c>
      <c r="AJ9" s="48" t="s">
        <v>71</v>
      </c>
      <c r="AK9" s="51" t="s">
        <v>72</v>
      </c>
      <c r="AL9" s="48" t="s">
        <v>73</v>
      </c>
      <c r="AM9" s="53" t="s">
        <v>74</v>
      </c>
      <c r="AN9" s="48" t="s">
        <v>75</v>
      </c>
      <c r="AO9" s="51" t="s">
        <v>76</v>
      </c>
      <c r="AP9" s="48" t="s">
        <v>77</v>
      </c>
      <c r="AQ9" s="51" t="s">
        <v>78</v>
      </c>
      <c r="AR9" s="48" t="s">
        <v>79</v>
      </c>
      <c r="AS9" s="51" t="s">
        <v>28</v>
      </c>
      <c r="AT9" s="138" t="s">
        <v>10</v>
      </c>
      <c r="AU9" s="54" t="s">
        <v>11</v>
      </c>
      <c r="AV9" s="39"/>
    </row>
    <row r="10" spans="1:52" s="40" customFormat="1" ht="30" x14ac:dyDescent="0.25">
      <c r="A10" s="194">
        <v>1</v>
      </c>
      <c r="B10" s="195"/>
      <c r="C10" s="194" t="s">
        <v>80</v>
      </c>
      <c r="D10" s="194">
        <v>295</v>
      </c>
      <c r="E10" s="224" t="s">
        <v>85</v>
      </c>
      <c r="F10" s="196" t="s">
        <v>14</v>
      </c>
      <c r="G10" s="194"/>
      <c r="H10" s="194"/>
      <c r="I10" s="194"/>
      <c r="J10" s="194"/>
      <c r="K10" s="196">
        <v>600</v>
      </c>
      <c r="L10" s="197">
        <f>+K10*AT10</f>
        <v>1228800</v>
      </c>
      <c r="M10" s="198"/>
      <c r="N10" s="199"/>
      <c r="O10" s="200"/>
      <c r="P10" s="197"/>
      <c r="Q10" s="198"/>
      <c r="R10" s="197"/>
      <c r="S10" s="200"/>
      <c r="T10" s="197"/>
      <c r="U10" s="198"/>
      <c r="V10" s="197"/>
      <c r="W10" s="200"/>
      <c r="X10" s="197"/>
      <c r="Y10" s="200"/>
      <c r="Z10" s="197"/>
      <c r="AA10" s="200"/>
      <c r="AB10" s="197"/>
      <c r="AC10" s="200"/>
      <c r="AD10" s="197"/>
      <c r="AE10" s="200"/>
      <c r="AF10" s="197"/>
      <c r="AG10" s="200"/>
      <c r="AH10" s="197"/>
      <c r="AI10" s="200"/>
      <c r="AJ10" s="197"/>
      <c r="AK10" s="200"/>
      <c r="AL10" s="197"/>
      <c r="AM10" s="200"/>
      <c r="AN10" s="197"/>
      <c r="AO10" s="200"/>
      <c r="AP10" s="197"/>
      <c r="AQ10" s="200"/>
      <c r="AR10" s="197"/>
      <c r="AS10" s="201">
        <f t="shared" ref="AS10:AS49" si="0">+AQ10+AO10+AM10+AK10+AI10+AG10+AE10+AC10+AA10+Y10+W10+U10+S10+Q10+O10+M10+K10+I10</f>
        <v>600</v>
      </c>
      <c r="AT10" s="160">
        <v>2048</v>
      </c>
      <c r="AU10" s="156">
        <f t="shared" ref="AU10:AU41" si="1">+AS10*AT10</f>
        <v>1228800</v>
      </c>
      <c r="AV10" s="42"/>
      <c r="AW10" s="43"/>
      <c r="AX10" s="43"/>
      <c r="AY10" s="43"/>
      <c r="AZ10" s="44"/>
    </row>
    <row r="11" spans="1:52" s="40" customFormat="1" ht="66" customHeight="1" x14ac:dyDescent="0.25">
      <c r="A11" s="194">
        <v>2</v>
      </c>
      <c r="B11" s="169"/>
      <c r="C11" s="27" t="s">
        <v>80</v>
      </c>
      <c r="D11" s="27">
        <v>295</v>
      </c>
      <c r="E11" s="157" t="s">
        <v>158</v>
      </c>
      <c r="F11" s="171" t="s">
        <v>14</v>
      </c>
      <c r="G11" s="29"/>
      <c r="H11" s="29"/>
      <c r="I11" s="29"/>
      <c r="J11" s="29"/>
      <c r="K11" s="155"/>
      <c r="L11" s="34"/>
      <c r="M11" s="172">
        <v>50</v>
      </c>
      <c r="N11" s="23">
        <f>+M11*AT11</f>
        <v>35100</v>
      </c>
      <c r="O11" s="36"/>
      <c r="P11" s="34"/>
      <c r="Q11" s="35"/>
      <c r="R11" s="34"/>
      <c r="S11" s="36"/>
      <c r="T11" s="19"/>
      <c r="U11" s="35"/>
      <c r="V11" s="34"/>
      <c r="W11" s="36"/>
      <c r="X11" s="34"/>
      <c r="Y11" s="36"/>
      <c r="Z11" s="34"/>
      <c r="AA11" s="36"/>
      <c r="AB11" s="34"/>
      <c r="AC11" s="36"/>
      <c r="AD11" s="34"/>
      <c r="AE11" s="36"/>
      <c r="AF11" s="34"/>
      <c r="AG11" s="36"/>
      <c r="AH11" s="34"/>
      <c r="AI11" s="36"/>
      <c r="AJ11" s="34"/>
      <c r="AK11" s="36"/>
      <c r="AL11" s="34"/>
      <c r="AM11" s="36"/>
      <c r="AN11" s="34"/>
      <c r="AO11" s="36"/>
      <c r="AP11" s="34"/>
      <c r="AQ11" s="36"/>
      <c r="AR11" s="34"/>
      <c r="AS11" s="24">
        <f t="shared" si="0"/>
        <v>50</v>
      </c>
      <c r="AT11" s="156">
        <v>702</v>
      </c>
      <c r="AU11" s="25">
        <f t="shared" si="1"/>
        <v>35100</v>
      </c>
      <c r="AV11" s="45"/>
      <c r="AW11" s="45"/>
      <c r="AX11" s="45"/>
      <c r="AY11" s="45"/>
      <c r="AZ11" s="46"/>
    </row>
    <row r="12" spans="1:52" s="40" customFormat="1" ht="30" x14ac:dyDescent="0.25">
      <c r="A12" s="194">
        <v>3</v>
      </c>
      <c r="B12" s="36"/>
      <c r="C12" s="27" t="s">
        <v>80</v>
      </c>
      <c r="D12" s="27">
        <v>295</v>
      </c>
      <c r="E12" s="157" t="s">
        <v>155</v>
      </c>
      <c r="F12" s="173" t="s">
        <v>13</v>
      </c>
      <c r="G12" s="174"/>
      <c r="H12" s="175"/>
      <c r="I12" s="174"/>
      <c r="J12" s="175"/>
      <c r="K12" s="171"/>
      <c r="L12" s="34"/>
      <c r="M12" s="176">
        <f>1950*2</f>
        <v>3900</v>
      </c>
      <c r="N12" s="23">
        <f>+M12*AT12</f>
        <v>5031000</v>
      </c>
      <c r="O12" s="22"/>
      <c r="P12" s="32"/>
      <c r="Q12" s="33"/>
      <c r="R12" s="32"/>
      <c r="S12" s="22"/>
      <c r="T12" s="32"/>
      <c r="U12" s="33"/>
      <c r="V12" s="32"/>
      <c r="W12" s="22"/>
      <c r="X12" s="32"/>
      <c r="Y12" s="22"/>
      <c r="Z12" s="32"/>
      <c r="AA12" s="22"/>
      <c r="AB12" s="32"/>
      <c r="AC12" s="22"/>
      <c r="AD12" s="32"/>
      <c r="AE12" s="22"/>
      <c r="AF12" s="32"/>
      <c r="AG12" s="22"/>
      <c r="AH12" s="32"/>
      <c r="AI12" s="22"/>
      <c r="AJ12" s="32"/>
      <c r="AK12" s="22"/>
      <c r="AL12" s="32"/>
      <c r="AM12" s="22"/>
      <c r="AN12" s="32"/>
      <c r="AO12" s="22"/>
      <c r="AP12" s="32"/>
      <c r="AQ12" s="22"/>
      <c r="AR12" s="32"/>
      <c r="AS12" s="24">
        <f t="shared" si="0"/>
        <v>3900</v>
      </c>
      <c r="AT12" s="177">
        <v>1290</v>
      </c>
      <c r="AU12" s="25">
        <f t="shared" si="1"/>
        <v>5031000</v>
      </c>
      <c r="AV12" s="236"/>
      <c r="AW12" s="236"/>
      <c r="AX12" s="236"/>
      <c r="AY12" s="236"/>
      <c r="AZ12" s="237"/>
    </row>
    <row r="13" spans="1:52" s="40" customFormat="1" ht="30" x14ac:dyDescent="0.25">
      <c r="A13" s="194">
        <v>4</v>
      </c>
      <c r="B13" s="169"/>
      <c r="C13" s="27" t="s">
        <v>80</v>
      </c>
      <c r="D13" s="27">
        <v>295</v>
      </c>
      <c r="E13" s="157" t="s">
        <v>24</v>
      </c>
      <c r="F13" s="173" t="s">
        <v>12</v>
      </c>
      <c r="G13" s="27"/>
      <c r="H13" s="27"/>
      <c r="I13" s="27"/>
      <c r="J13" s="27"/>
      <c r="K13" s="154"/>
      <c r="L13" s="19"/>
      <c r="M13" s="21">
        <v>10</v>
      </c>
      <c r="N13" s="23">
        <f>+M13*AT13</f>
        <v>1250</v>
      </c>
      <c r="O13" s="36"/>
      <c r="P13" s="19"/>
      <c r="Q13" s="35"/>
      <c r="R13" s="19"/>
      <c r="S13" s="36"/>
      <c r="T13" s="19"/>
      <c r="U13" s="35"/>
      <c r="V13" s="19"/>
      <c r="W13" s="36"/>
      <c r="X13" s="19"/>
      <c r="Y13" s="36"/>
      <c r="Z13" s="19"/>
      <c r="AA13" s="36"/>
      <c r="AB13" s="19"/>
      <c r="AC13" s="36"/>
      <c r="AD13" s="19"/>
      <c r="AE13" s="36"/>
      <c r="AF13" s="19"/>
      <c r="AG13" s="36"/>
      <c r="AH13" s="19"/>
      <c r="AI13" s="36"/>
      <c r="AJ13" s="19"/>
      <c r="AK13" s="36"/>
      <c r="AL13" s="19"/>
      <c r="AM13" s="36"/>
      <c r="AN13" s="19"/>
      <c r="AO13" s="36"/>
      <c r="AP13" s="19"/>
      <c r="AQ13" s="36"/>
      <c r="AR13" s="19"/>
      <c r="AS13" s="24">
        <f t="shared" si="0"/>
        <v>10</v>
      </c>
      <c r="AT13" s="177">
        <v>125</v>
      </c>
      <c r="AU13" s="25">
        <f t="shared" si="1"/>
        <v>1250</v>
      </c>
      <c r="AV13" s="238"/>
      <c r="AW13" s="238"/>
      <c r="AX13" s="238"/>
      <c r="AY13" s="238"/>
      <c r="AZ13" s="239"/>
    </row>
    <row r="14" spans="1:52" s="40" customFormat="1" ht="30" x14ac:dyDescent="0.25">
      <c r="A14" s="194">
        <v>5</v>
      </c>
      <c r="B14" s="29"/>
      <c r="C14" s="27" t="s">
        <v>80</v>
      </c>
      <c r="D14" s="27">
        <v>295</v>
      </c>
      <c r="E14" s="170" t="s">
        <v>42</v>
      </c>
      <c r="F14" s="178" t="s">
        <v>29</v>
      </c>
      <c r="G14" s="27"/>
      <c r="H14" s="27"/>
      <c r="I14" s="27"/>
      <c r="J14" s="27"/>
      <c r="K14" s="178">
        <v>20</v>
      </c>
      <c r="L14" s="32">
        <f t="shared" ref="L14:L19" si="2">+K14*AT14</f>
        <v>6440</v>
      </c>
      <c r="M14" s="33"/>
      <c r="N14" s="23"/>
      <c r="O14" s="22"/>
      <c r="P14" s="32"/>
      <c r="Q14" s="33"/>
      <c r="R14" s="32"/>
      <c r="S14" s="22"/>
      <c r="T14" s="32"/>
      <c r="U14" s="33"/>
      <c r="V14" s="32"/>
      <c r="W14" s="22"/>
      <c r="X14" s="32"/>
      <c r="Y14" s="22"/>
      <c r="Z14" s="32"/>
      <c r="AA14" s="22"/>
      <c r="AB14" s="32"/>
      <c r="AC14" s="22"/>
      <c r="AD14" s="32"/>
      <c r="AE14" s="22"/>
      <c r="AF14" s="32"/>
      <c r="AG14" s="22"/>
      <c r="AH14" s="32"/>
      <c r="AI14" s="22"/>
      <c r="AJ14" s="32"/>
      <c r="AK14" s="22"/>
      <c r="AL14" s="32"/>
      <c r="AM14" s="22"/>
      <c r="AN14" s="32"/>
      <c r="AO14" s="22"/>
      <c r="AP14" s="32"/>
      <c r="AQ14" s="22"/>
      <c r="AR14" s="32"/>
      <c r="AS14" s="24">
        <f t="shared" si="0"/>
        <v>20</v>
      </c>
      <c r="AT14" s="160">
        <v>322</v>
      </c>
      <c r="AU14" s="25">
        <f t="shared" si="1"/>
        <v>6440</v>
      </c>
    </row>
    <row r="15" spans="1:52" s="40" customFormat="1" ht="30" x14ac:dyDescent="0.25">
      <c r="A15" s="194">
        <v>6</v>
      </c>
      <c r="B15" s="27"/>
      <c r="C15" s="27" t="s">
        <v>80</v>
      </c>
      <c r="D15" s="27">
        <v>295</v>
      </c>
      <c r="E15" s="170" t="s">
        <v>41</v>
      </c>
      <c r="F15" s="178" t="s">
        <v>29</v>
      </c>
      <c r="G15" s="29"/>
      <c r="H15" s="29"/>
      <c r="I15" s="29"/>
      <c r="J15" s="29"/>
      <c r="K15" s="178">
        <v>50</v>
      </c>
      <c r="L15" s="32">
        <f t="shared" si="2"/>
        <v>12200</v>
      </c>
      <c r="M15" s="33"/>
      <c r="N15" s="23"/>
      <c r="O15" s="22"/>
      <c r="P15" s="32"/>
      <c r="Q15" s="33"/>
      <c r="R15" s="32"/>
      <c r="S15" s="22"/>
      <c r="T15" s="32"/>
      <c r="U15" s="33"/>
      <c r="V15" s="32"/>
      <c r="W15" s="22"/>
      <c r="X15" s="32"/>
      <c r="Y15" s="22"/>
      <c r="Z15" s="32"/>
      <c r="AA15" s="22"/>
      <c r="AB15" s="32"/>
      <c r="AC15" s="22"/>
      <c r="AD15" s="32"/>
      <c r="AE15" s="22"/>
      <c r="AF15" s="32"/>
      <c r="AG15" s="22"/>
      <c r="AH15" s="32"/>
      <c r="AI15" s="22"/>
      <c r="AJ15" s="32"/>
      <c r="AK15" s="22"/>
      <c r="AL15" s="32"/>
      <c r="AM15" s="22"/>
      <c r="AN15" s="32"/>
      <c r="AO15" s="22"/>
      <c r="AP15" s="32"/>
      <c r="AQ15" s="22"/>
      <c r="AR15" s="32"/>
      <c r="AS15" s="24">
        <f t="shared" si="0"/>
        <v>50</v>
      </c>
      <c r="AT15" s="161">
        <v>244</v>
      </c>
      <c r="AU15" s="25">
        <f t="shared" si="1"/>
        <v>12200</v>
      </c>
    </row>
    <row r="16" spans="1:52" s="40" customFormat="1" ht="30" x14ac:dyDescent="0.25">
      <c r="A16" s="194">
        <v>7</v>
      </c>
      <c r="B16" s="27"/>
      <c r="C16" s="27" t="s">
        <v>80</v>
      </c>
      <c r="D16" s="27">
        <v>295</v>
      </c>
      <c r="E16" s="157" t="s">
        <v>94</v>
      </c>
      <c r="F16" s="179" t="s">
        <v>30</v>
      </c>
      <c r="G16" s="180"/>
      <c r="H16" s="181"/>
      <c r="I16" s="180"/>
      <c r="J16" s="181"/>
      <c r="K16" s="179">
        <v>50</v>
      </c>
      <c r="L16" s="32">
        <f t="shared" si="2"/>
        <v>79600</v>
      </c>
      <c r="M16" s="33"/>
      <c r="N16" s="23"/>
      <c r="O16" s="22"/>
      <c r="P16" s="32"/>
      <c r="Q16" s="33"/>
      <c r="R16" s="32"/>
      <c r="S16" s="22"/>
      <c r="T16" s="32"/>
      <c r="U16" s="33"/>
      <c r="V16" s="32"/>
      <c r="W16" s="22"/>
      <c r="X16" s="32"/>
      <c r="Y16" s="22"/>
      <c r="Z16" s="32"/>
      <c r="AA16" s="22"/>
      <c r="AB16" s="32"/>
      <c r="AC16" s="22"/>
      <c r="AD16" s="32"/>
      <c r="AE16" s="22"/>
      <c r="AF16" s="32"/>
      <c r="AG16" s="22"/>
      <c r="AH16" s="32"/>
      <c r="AI16" s="22"/>
      <c r="AJ16" s="32"/>
      <c r="AK16" s="22"/>
      <c r="AL16" s="32"/>
      <c r="AM16" s="22"/>
      <c r="AN16" s="32"/>
      <c r="AO16" s="22"/>
      <c r="AP16" s="32"/>
      <c r="AQ16" s="22"/>
      <c r="AR16" s="32"/>
      <c r="AS16" s="24">
        <f t="shared" si="0"/>
        <v>50</v>
      </c>
      <c r="AT16" s="162">
        <v>1592</v>
      </c>
      <c r="AU16" s="25">
        <f t="shared" si="1"/>
        <v>79600</v>
      </c>
    </row>
    <row r="17" spans="1:47" s="40" customFormat="1" ht="30" x14ac:dyDescent="0.25">
      <c r="A17" s="194">
        <v>8</v>
      </c>
      <c r="B17" s="27"/>
      <c r="C17" s="27" t="s">
        <v>80</v>
      </c>
      <c r="D17" s="27">
        <v>293</v>
      </c>
      <c r="E17" s="170" t="s">
        <v>96</v>
      </c>
      <c r="F17" s="179" t="s">
        <v>12</v>
      </c>
      <c r="G17" s="180"/>
      <c r="H17" s="181"/>
      <c r="I17" s="180"/>
      <c r="J17" s="181"/>
      <c r="K17" s="163">
        <v>6</v>
      </c>
      <c r="L17" s="32">
        <f t="shared" si="2"/>
        <v>389898</v>
      </c>
      <c r="M17" s="33"/>
      <c r="N17" s="23"/>
      <c r="O17" s="22"/>
      <c r="P17" s="32"/>
      <c r="Q17" s="33"/>
      <c r="R17" s="32"/>
      <c r="S17" s="22"/>
      <c r="T17" s="32"/>
      <c r="U17" s="33"/>
      <c r="V17" s="32"/>
      <c r="W17" s="22"/>
      <c r="X17" s="32"/>
      <c r="Y17" s="22"/>
      <c r="Z17" s="32"/>
      <c r="AA17" s="22"/>
      <c r="AB17" s="32"/>
      <c r="AC17" s="22"/>
      <c r="AD17" s="32"/>
      <c r="AE17" s="22"/>
      <c r="AF17" s="32"/>
      <c r="AG17" s="22"/>
      <c r="AH17" s="32"/>
      <c r="AI17" s="22"/>
      <c r="AJ17" s="32"/>
      <c r="AK17" s="22"/>
      <c r="AL17" s="32"/>
      <c r="AM17" s="22"/>
      <c r="AN17" s="32"/>
      <c r="AO17" s="22"/>
      <c r="AP17" s="32"/>
      <c r="AQ17" s="22"/>
      <c r="AR17" s="32"/>
      <c r="AS17" s="24">
        <f t="shared" si="0"/>
        <v>6</v>
      </c>
      <c r="AT17" s="162">
        <v>64983</v>
      </c>
      <c r="AU17" s="25">
        <f t="shared" si="1"/>
        <v>389898</v>
      </c>
    </row>
    <row r="18" spans="1:47" s="40" customFormat="1" ht="30" x14ac:dyDescent="0.25">
      <c r="A18" s="194">
        <v>9</v>
      </c>
      <c r="B18" s="169"/>
      <c r="C18" s="27" t="s">
        <v>80</v>
      </c>
      <c r="D18" s="27">
        <v>295</v>
      </c>
      <c r="E18" s="157" t="s">
        <v>33</v>
      </c>
      <c r="F18" s="179" t="s">
        <v>14</v>
      </c>
      <c r="G18" s="27"/>
      <c r="H18" s="27"/>
      <c r="I18" s="27"/>
      <c r="J18" s="27"/>
      <c r="K18" s="154">
        <v>30</v>
      </c>
      <c r="L18" s="32">
        <f t="shared" si="2"/>
        <v>308430</v>
      </c>
      <c r="M18" s="33"/>
      <c r="N18" s="23"/>
      <c r="O18" s="22"/>
      <c r="P18" s="32"/>
      <c r="Q18" s="33"/>
      <c r="R18" s="32"/>
      <c r="S18" s="22"/>
      <c r="T18" s="32"/>
      <c r="U18" s="33"/>
      <c r="V18" s="32"/>
      <c r="W18" s="22"/>
      <c r="X18" s="32"/>
      <c r="Y18" s="22"/>
      <c r="Z18" s="32"/>
      <c r="AA18" s="22"/>
      <c r="AB18" s="32"/>
      <c r="AC18" s="22"/>
      <c r="AD18" s="32"/>
      <c r="AE18" s="22"/>
      <c r="AF18" s="32"/>
      <c r="AG18" s="22"/>
      <c r="AH18" s="32"/>
      <c r="AI18" s="22"/>
      <c r="AJ18" s="32"/>
      <c r="AK18" s="22"/>
      <c r="AL18" s="32"/>
      <c r="AM18" s="22"/>
      <c r="AN18" s="32"/>
      <c r="AO18" s="22"/>
      <c r="AP18" s="32"/>
      <c r="AQ18" s="22"/>
      <c r="AR18" s="32"/>
      <c r="AS18" s="24">
        <f t="shared" si="0"/>
        <v>30</v>
      </c>
      <c r="AT18" s="161">
        <v>10281</v>
      </c>
      <c r="AU18" s="25">
        <f t="shared" si="1"/>
        <v>308430</v>
      </c>
    </row>
    <row r="19" spans="1:47" s="40" customFormat="1" ht="30" x14ac:dyDescent="0.25">
      <c r="A19" s="194">
        <v>10</v>
      </c>
      <c r="B19" s="27"/>
      <c r="C19" s="27" t="s">
        <v>80</v>
      </c>
      <c r="D19" s="27">
        <v>295</v>
      </c>
      <c r="E19" s="170" t="s">
        <v>39</v>
      </c>
      <c r="F19" s="178" t="s">
        <v>14</v>
      </c>
      <c r="G19" s="27"/>
      <c r="H19" s="27"/>
      <c r="I19" s="27"/>
      <c r="J19" s="27"/>
      <c r="K19" s="178">
        <v>500</v>
      </c>
      <c r="L19" s="32">
        <f t="shared" si="2"/>
        <v>120000</v>
      </c>
      <c r="M19" s="33"/>
      <c r="N19" s="23"/>
      <c r="O19" s="22"/>
      <c r="P19" s="32"/>
      <c r="Q19" s="33"/>
      <c r="R19" s="32"/>
      <c r="S19" s="22"/>
      <c r="T19" s="32"/>
      <c r="U19" s="33"/>
      <c r="V19" s="32"/>
      <c r="W19" s="22"/>
      <c r="X19" s="32"/>
      <c r="Y19" s="22"/>
      <c r="Z19" s="32"/>
      <c r="AA19" s="22"/>
      <c r="AB19" s="32"/>
      <c r="AC19" s="22"/>
      <c r="AD19" s="32"/>
      <c r="AE19" s="22"/>
      <c r="AF19" s="32"/>
      <c r="AG19" s="22"/>
      <c r="AH19" s="32"/>
      <c r="AI19" s="22"/>
      <c r="AJ19" s="32"/>
      <c r="AK19" s="22"/>
      <c r="AL19" s="32"/>
      <c r="AM19" s="22"/>
      <c r="AN19" s="32"/>
      <c r="AO19" s="22"/>
      <c r="AP19" s="32"/>
      <c r="AQ19" s="22"/>
      <c r="AR19" s="32"/>
      <c r="AS19" s="24">
        <f t="shared" si="0"/>
        <v>500</v>
      </c>
      <c r="AT19" s="161">
        <v>240</v>
      </c>
      <c r="AU19" s="25">
        <f t="shared" si="1"/>
        <v>120000</v>
      </c>
    </row>
    <row r="20" spans="1:47" s="40" customFormat="1" ht="30" x14ac:dyDescent="0.25">
      <c r="A20" s="194">
        <v>11</v>
      </c>
      <c r="B20" s="169"/>
      <c r="C20" s="27" t="s">
        <v>80</v>
      </c>
      <c r="D20" s="27">
        <v>295</v>
      </c>
      <c r="E20" s="157" t="s">
        <v>19</v>
      </c>
      <c r="F20" s="182" t="s">
        <v>12</v>
      </c>
      <c r="G20" s="29"/>
      <c r="H20" s="29"/>
      <c r="I20" s="29"/>
      <c r="J20" s="29"/>
      <c r="K20" s="155"/>
      <c r="L20" s="34"/>
      <c r="M20" s="35">
        <v>200</v>
      </c>
      <c r="N20" s="23">
        <f>+M20*AT20</f>
        <v>39000</v>
      </c>
      <c r="O20" s="36"/>
      <c r="P20" s="34"/>
      <c r="Q20" s="35"/>
      <c r="R20" s="34"/>
      <c r="S20" s="36"/>
      <c r="T20" s="19"/>
      <c r="U20" s="35"/>
      <c r="V20" s="34"/>
      <c r="W20" s="36"/>
      <c r="X20" s="34"/>
      <c r="Y20" s="36"/>
      <c r="Z20" s="34"/>
      <c r="AA20" s="36"/>
      <c r="AB20" s="34"/>
      <c r="AC20" s="36"/>
      <c r="AD20" s="34"/>
      <c r="AE20" s="36"/>
      <c r="AF20" s="34"/>
      <c r="AG20" s="36"/>
      <c r="AH20" s="34"/>
      <c r="AI20" s="36"/>
      <c r="AJ20" s="34"/>
      <c r="AK20" s="36"/>
      <c r="AL20" s="34"/>
      <c r="AM20" s="36"/>
      <c r="AN20" s="34"/>
      <c r="AO20" s="36"/>
      <c r="AP20" s="34"/>
      <c r="AQ20" s="36"/>
      <c r="AR20" s="34"/>
      <c r="AS20" s="24">
        <f t="shared" si="0"/>
        <v>200</v>
      </c>
      <c r="AT20" s="25">
        <v>195</v>
      </c>
      <c r="AU20" s="25">
        <f t="shared" si="1"/>
        <v>39000</v>
      </c>
    </row>
    <row r="21" spans="1:47" s="40" customFormat="1" ht="45" x14ac:dyDescent="0.25">
      <c r="A21" s="194">
        <v>12</v>
      </c>
      <c r="B21" s="27"/>
      <c r="C21" s="27" t="s">
        <v>80</v>
      </c>
      <c r="D21" s="27">
        <v>234</v>
      </c>
      <c r="E21" s="183" t="s">
        <v>98</v>
      </c>
      <c r="F21" s="184" t="s">
        <v>14</v>
      </c>
      <c r="G21" s="180"/>
      <c r="H21" s="181"/>
      <c r="I21" s="180"/>
      <c r="J21" s="181"/>
      <c r="K21" s="167">
        <v>60</v>
      </c>
      <c r="L21" s="32">
        <f t="shared" ref="L21:L26" si="3">+K21*AT21</f>
        <v>67080</v>
      </c>
      <c r="M21" s="33"/>
      <c r="N21" s="23"/>
      <c r="O21" s="22"/>
      <c r="P21" s="32"/>
      <c r="Q21" s="33"/>
      <c r="R21" s="32"/>
      <c r="S21" s="22"/>
      <c r="T21" s="32"/>
      <c r="U21" s="33"/>
      <c r="V21" s="32"/>
      <c r="W21" s="22"/>
      <c r="X21" s="32"/>
      <c r="Y21" s="22"/>
      <c r="Z21" s="32"/>
      <c r="AA21" s="22"/>
      <c r="AB21" s="32"/>
      <c r="AC21" s="22"/>
      <c r="AD21" s="32"/>
      <c r="AE21" s="22"/>
      <c r="AF21" s="32"/>
      <c r="AG21" s="22"/>
      <c r="AH21" s="32"/>
      <c r="AI21" s="22"/>
      <c r="AJ21" s="32"/>
      <c r="AK21" s="22"/>
      <c r="AL21" s="32"/>
      <c r="AM21" s="22"/>
      <c r="AN21" s="32"/>
      <c r="AO21" s="22"/>
      <c r="AP21" s="32"/>
      <c r="AQ21" s="22"/>
      <c r="AR21" s="32"/>
      <c r="AS21" s="24">
        <f t="shared" si="0"/>
        <v>60</v>
      </c>
      <c r="AT21" s="164">
        <v>1118</v>
      </c>
      <c r="AU21" s="25">
        <f t="shared" si="1"/>
        <v>67080</v>
      </c>
    </row>
    <row r="22" spans="1:47" s="40" customFormat="1" ht="30" x14ac:dyDescent="0.25">
      <c r="A22" s="194">
        <v>13</v>
      </c>
      <c r="B22" s="27"/>
      <c r="C22" s="27" t="s">
        <v>80</v>
      </c>
      <c r="D22" s="27">
        <v>295</v>
      </c>
      <c r="E22" s="183" t="s">
        <v>44</v>
      </c>
      <c r="F22" s="167" t="s">
        <v>29</v>
      </c>
      <c r="G22" s="29"/>
      <c r="H22" s="29"/>
      <c r="I22" s="29"/>
      <c r="J22" s="29"/>
      <c r="K22" s="167">
        <v>100</v>
      </c>
      <c r="L22" s="32">
        <f t="shared" si="3"/>
        <v>478000</v>
      </c>
      <c r="M22" s="35"/>
      <c r="N22" s="34"/>
      <c r="O22" s="36"/>
      <c r="P22" s="34"/>
      <c r="Q22" s="35"/>
      <c r="R22" s="34"/>
      <c r="S22" s="36"/>
      <c r="T22" s="19"/>
      <c r="U22" s="35"/>
      <c r="V22" s="34"/>
      <c r="W22" s="36"/>
      <c r="X22" s="34"/>
      <c r="Y22" s="36"/>
      <c r="Z22" s="34"/>
      <c r="AA22" s="36"/>
      <c r="AB22" s="34"/>
      <c r="AC22" s="36"/>
      <c r="AD22" s="34"/>
      <c r="AE22" s="36"/>
      <c r="AF22" s="34"/>
      <c r="AG22" s="36"/>
      <c r="AH22" s="34"/>
      <c r="AI22" s="36"/>
      <c r="AJ22" s="34"/>
      <c r="AK22" s="36"/>
      <c r="AL22" s="34"/>
      <c r="AM22" s="36"/>
      <c r="AN22" s="34"/>
      <c r="AO22" s="36"/>
      <c r="AP22" s="34"/>
      <c r="AQ22" s="36"/>
      <c r="AR22" s="34"/>
      <c r="AS22" s="24">
        <f t="shared" si="0"/>
        <v>100</v>
      </c>
      <c r="AT22" s="165">
        <v>4780</v>
      </c>
      <c r="AU22" s="25">
        <f t="shared" si="1"/>
        <v>478000</v>
      </c>
    </row>
    <row r="23" spans="1:47" s="40" customFormat="1" x14ac:dyDescent="0.25">
      <c r="A23" s="194">
        <v>14</v>
      </c>
      <c r="B23" s="27"/>
      <c r="C23" s="27" t="s">
        <v>80</v>
      </c>
      <c r="D23" s="27">
        <v>295</v>
      </c>
      <c r="E23" s="183" t="s">
        <v>89</v>
      </c>
      <c r="F23" s="167" t="s">
        <v>29</v>
      </c>
      <c r="G23" s="27"/>
      <c r="H23" s="27"/>
      <c r="I23" s="27"/>
      <c r="J23" s="27"/>
      <c r="K23" s="35">
        <v>5</v>
      </c>
      <c r="L23" s="32">
        <f t="shared" si="3"/>
        <v>19500</v>
      </c>
      <c r="M23" s="35"/>
      <c r="N23" s="34"/>
      <c r="O23" s="36"/>
      <c r="P23" s="34"/>
      <c r="Q23" s="35"/>
      <c r="R23" s="34"/>
      <c r="S23" s="36"/>
      <c r="T23" s="19"/>
      <c r="U23" s="35"/>
      <c r="V23" s="34"/>
      <c r="W23" s="36"/>
      <c r="X23" s="34"/>
      <c r="Y23" s="36"/>
      <c r="Z23" s="34"/>
      <c r="AA23" s="36"/>
      <c r="AB23" s="34"/>
      <c r="AC23" s="36"/>
      <c r="AD23" s="34"/>
      <c r="AE23" s="36"/>
      <c r="AF23" s="34"/>
      <c r="AG23" s="36"/>
      <c r="AH23" s="34"/>
      <c r="AI23" s="36"/>
      <c r="AJ23" s="34"/>
      <c r="AK23" s="36"/>
      <c r="AL23" s="34"/>
      <c r="AM23" s="36"/>
      <c r="AN23" s="34"/>
      <c r="AO23" s="36"/>
      <c r="AP23" s="34"/>
      <c r="AQ23" s="36"/>
      <c r="AR23" s="34"/>
      <c r="AS23" s="24">
        <f t="shared" si="0"/>
        <v>5</v>
      </c>
      <c r="AT23" s="165">
        <v>3900</v>
      </c>
      <c r="AU23" s="25">
        <f t="shared" si="1"/>
        <v>19500</v>
      </c>
    </row>
    <row r="24" spans="1:47" s="40" customFormat="1" ht="30" x14ac:dyDescent="0.25">
      <c r="A24" s="194">
        <v>15</v>
      </c>
      <c r="B24" s="27"/>
      <c r="C24" s="27" t="s">
        <v>80</v>
      </c>
      <c r="D24" s="27">
        <v>295</v>
      </c>
      <c r="E24" s="183" t="s">
        <v>36</v>
      </c>
      <c r="F24" s="167" t="s">
        <v>29</v>
      </c>
      <c r="G24" s="29"/>
      <c r="H24" s="29"/>
      <c r="I24" s="29"/>
      <c r="J24" s="29"/>
      <c r="K24" s="167">
        <v>20</v>
      </c>
      <c r="L24" s="32">
        <f t="shared" si="3"/>
        <v>16200</v>
      </c>
      <c r="M24" s="33"/>
      <c r="N24" s="23"/>
      <c r="O24" s="22"/>
      <c r="P24" s="32"/>
      <c r="Q24" s="33"/>
      <c r="R24" s="32"/>
      <c r="S24" s="22"/>
      <c r="T24" s="32"/>
      <c r="U24" s="33"/>
      <c r="V24" s="32"/>
      <c r="W24" s="22"/>
      <c r="X24" s="32"/>
      <c r="Y24" s="22"/>
      <c r="Z24" s="32"/>
      <c r="AA24" s="22"/>
      <c r="AB24" s="32"/>
      <c r="AC24" s="22"/>
      <c r="AD24" s="32"/>
      <c r="AE24" s="22"/>
      <c r="AF24" s="32"/>
      <c r="AG24" s="22"/>
      <c r="AH24" s="32"/>
      <c r="AI24" s="22"/>
      <c r="AJ24" s="32"/>
      <c r="AK24" s="22"/>
      <c r="AL24" s="32"/>
      <c r="AM24" s="22"/>
      <c r="AN24" s="32"/>
      <c r="AO24" s="22"/>
      <c r="AP24" s="32"/>
      <c r="AQ24" s="22"/>
      <c r="AR24" s="32"/>
      <c r="AS24" s="24">
        <f t="shared" si="0"/>
        <v>20</v>
      </c>
      <c r="AT24" s="165">
        <v>810</v>
      </c>
      <c r="AU24" s="25">
        <f t="shared" si="1"/>
        <v>16200</v>
      </c>
    </row>
    <row r="25" spans="1:47" s="40" customFormat="1" ht="30" x14ac:dyDescent="0.25">
      <c r="A25" s="194">
        <v>16</v>
      </c>
      <c r="B25" s="27"/>
      <c r="C25" s="27" t="s">
        <v>80</v>
      </c>
      <c r="D25" s="27">
        <v>295</v>
      </c>
      <c r="E25" s="183" t="s">
        <v>35</v>
      </c>
      <c r="F25" s="167" t="s">
        <v>29</v>
      </c>
      <c r="G25" s="27"/>
      <c r="H25" s="27"/>
      <c r="I25" s="27"/>
      <c r="J25" s="27"/>
      <c r="K25" s="167">
        <v>20</v>
      </c>
      <c r="L25" s="32">
        <f t="shared" si="3"/>
        <v>17000</v>
      </c>
      <c r="M25" s="33"/>
      <c r="N25" s="23"/>
      <c r="O25" s="22"/>
      <c r="P25" s="23"/>
      <c r="Q25" s="33"/>
      <c r="R25" s="23"/>
      <c r="S25" s="22"/>
      <c r="T25" s="32"/>
      <c r="U25" s="33"/>
      <c r="V25" s="23"/>
      <c r="W25" s="22"/>
      <c r="X25" s="23"/>
      <c r="Y25" s="22"/>
      <c r="Z25" s="23"/>
      <c r="AA25" s="22"/>
      <c r="AB25" s="23"/>
      <c r="AC25" s="22"/>
      <c r="AD25" s="23"/>
      <c r="AE25" s="22"/>
      <c r="AF25" s="23"/>
      <c r="AG25" s="22"/>
      <c r="AH25" s="23"/>
      <c r="AI25" s="22"/>
      <c r="AJ25" s="23"/>
      <c r="AK25" s="22"/>
      <c r="AL25" s="23"/>
      <c r="AM25" s="22"/>
      <c r="AN25" s="23"/>
      <c r="AO25" s="22"/>
      <c r="AP25" s="23"/>
      <c r="AQ25" s="22"/>
      <c r="AR25" s="23"/>
      <c r="AS25" s="24">
        <f t="shared" si="0"/>
        <v>20</v>
      </c>
      <c r="AT25" s="161">
        <v>850</v>
      </c>
      <c r="AU25" s="25">
        <f t="shared" si="1"/>
        <v>17000</v>
      </c>
    </row>
    <row r="26" spans="1:47" s="40" customFormat="1" ht="38.25" customHeight="1" x14ac:dyDescent="0.25">
      <c r="A26" s="194">
        <v>17</v>
      </c>
      <c r="B26" s="169"/>
      <c r="C26" s="27" t="s">
        <v>80</v>
      </c>
      <c r="D26" s="27">
        <v>295</v>
      </c>
      <c r="E26" s="183" t="s">
        <v>37</v>
      </c>
      <c r="F26" s="167" t="s">
        <v>29</v>
      </c>
      <c r="G26" s="27"/>
      <c r="H26" s="27"/>
      <c r="I26" s="27"/>
      <c r="J26" s="27"/>
      <c r="K26" s="167">
        <v>50</v>
      </c>
      <c r="L26" s="32">
        <f t="shared" si="3"/>
        <v>105000</v>
      </c>
      <c r="M26" s="33"/>
      <c r="N26" s="23"/>
      <c r="O26" s="22"/>
      <c r="P26" s="32"/>
      <c r="Q26" s="33"/>
      <c r="R26" s="32"/>
      <c r="S26" s="22"/>
      <c r="T26" s="32"/>
      <c r="U26" s="33"/>
      <c r="V26" s="32"/>
      <c r="W26" s="22"/>
      <c r="X26" s="32"/>
      <c r="Y26" s="22"/>
      <c r="Z26" s="32"/>
      <c r="AA26" s="22"/>
      <c r="AB26" s="32"/>
      <c r="AC26" s="22"/>
      <c r="AD26" s="32"/>
      <c r="AE26" s="22"/>
      <c r="AF26" s="32"/>
      <c r="AG26" s="22"/>
      <c r="AH26" s="32"/>
      <c r="AI26" s="22"/>
      <c r="AJ26" s="32"/>
      <c r="AK26" s="22"/>
      <c r="AL26" s="32"/>
      <c r="AM26" s="22"/>
      <c r="AN26" s="32"/>
      <c r="AO26" s="22"/>
      <c r="AP26" s="32"/>
      <c r="AQ26" s="22"/>
      <c r="AR26" s="32"/>
      <c r="AS26" s="24">
        <f t="shared" si="0"/>
        <v>50</v>
      </c>
      <c r="AT26" s="160">
        <v>2100</v>
      </c>
      <c r="AU26" s="25">
        <f t="shared" si="1"/>
        <v>105000</v>
      </c>
    </row>
    <row r="27" spans="1:47" s="40" customFormat="1" ht="30" x14ac:dyDescent="0.25">
      <c r="A27" s="194">
        <v>18</v>
      </c>
      <c r="B27" s="169"/>
      <c r="C27" s="27" t="s">
        <v>80</v>
      </c>
      <c r="D27" s="27">
        <v>295</v>
      </c>
      <c r="E27" s="185" t="s">
        <v>18</v>
      </c>
      <c r="F27" s="180" t="s">
        <v>13</v>
      </c>
      <c r="G27" s="21"/>
      <c r="H27" s="168"/>
      <c r="I27" s="21"/>
      <c r="J27" s="168"/>
      <c r="K27" s="168"/>
      <c r="L27" s="34"/>
      <c r="M27" s="186">
        <v>600</v>
      </c>
      <c r="N27" s="23">
        <f>+M27*AT27</f>
        <v>55200</v>
      </c>
      <c r="O27" s="22"/>
      <c r="P27" s="32"/>
      <c r="Q27" s="33"/>
      <c r="R27" s="32"/>
      <c r="S27" s="22"/>
      <c r="T27" s="32"/>
      <c r="U27" s="33"/>
      <c r="V27" s="32"/>
      <c r="W27" s="22"/>
      <c r="X27" s="32"/>
      <c r="Y27" s="22"/>
      <c r="Z27" s="32"/>
      <c r="AA27" s="22"/>
      <c r="AB27" s="32"/>
      <c r="AC27" s="22"/>
      <c r="AD27" s="32"/>
      <c r="AE27" s="22"/>
      <c r="AF27" s="32"/>
      <c r="AG27" s="22"/>
      <c r="AH27" s="32"/>
      <c r="AI27" s="22"/>
      <c r="AJ27" s="32"/>
      <c r="AK27" s="22"/>
      <c r="AL27" s="32"/>
      <c r="AM27" s="22"/>
      <c r="AN27" s="32"/>
      <c r="AO27" s="22"/>
      <c r="AP27" s="32"/>
      <c r="AQ27" s="22"/>
      <c r="AR27" s="32"/>
      <c r="AS27" s="24">
        <f t="shared" si="0"/>
        <v>600</v>
      </c>
      <c r="AT27" s="187">
        <v>92</v>
      </c>
      <c r="AU27" s="25">
        <f t="shared" si="1"/>
        <v>55200</v>
      </c>
    </row>
    <row r="28" spans="1:47" s="40" customFormat="1" x14ac:dyDescent="0.25">
      <c r="A28" s="194">
        <v>19</v>
      </c>
      <c r="B28" s="27"/>
      <c r="C28" s="27" t="s">
        <v>80</v>
      </c>
      <c r="D28" s="27">
        <v>295</v>
      </c>
      <c r="E28" s="183" t="s">
        <v>93</v>
      </c>
      <c r="F28" s="167" t="s">
        <v>12</v>
      </c>
      <c r="G28" s="27"/>
      <c r="H28" s="27"/>
      <c r="I28" s="27"/>
      <c r="J28" s="27"/>
      <c r="K28" s="167">
        <v>50000</v>
      </c>
      <c r="L28" s="32">
        <f>+K28*AT28</f>
        <v>4600000</v>
      </c>
      <c r="M28" s="35"/>
      <c r="N28" s="34"/>
      <c r="O28" s="36"/>
      <c r="P28" s="34"/>
      <c r="Q28" s="35"/>
      <c r="R28" s="34"/>
      <c r="S28" s="36"/>
      <c r="T28" s="19"/>
      <c r="U28" s="35"/>
      <c r="V28" s="34"/>
      <c r="W28" s="36"/>
      <c r="X28" s="34"/>
      <c r="Y28" s="36"/>
      <c r="Z28" s="34"/>
      <c r="AA28" s="36"/>
      <c r="AB28" s="34"/>
      <c r="AC28" s="36"/>
      <c r="AD28" s="34"/>
      <c r="AE28" s="36"/>
      <c r="AF28" s="34"/>
      <c r="AG28" s="36"/>
      <c r="AH28" s="34"/>
      <c r="AI28" s="36"/>
      <c r="AJ28" s="34"/>
      <c r="AK28" s="36"/>
      <c r="AL28" s="34"/>
      <c r="AM28" s="36"/>
      <c r="AN28" s="34"/>
      <c r="AO28" s="36"/>
      <c r="AP28" s="34"/>
      <c r="AQ28" s="36"/>
      <c r="AR28" s="34"/>
      <c r="AS28" s="24">
        <f t="shared" si="0"/>
        <v>50000</v>
      </c>
      <c r="AT28" s="161">
        <v>92</v>
      </c>
      <c r="AU28" s="25">
        <f t="shared" si="1"/>
        <v>4600000</v>
      </c>
    </row>
    <row r="29" spans="1:47" s="40" customFormat="1" ht="30" x14ac:dyDescent="0.25">
      <c r="A29" s="194">
        <v>20</v>
      </c>
      <c r="B29" s="27"/>
      <c r="C29" s="27" t="s">
        <v>80</v>
      </c>
      <c r="D29" s="27">
        <v>295</v>
      </c>
      <c r="E29" s="170" t="s">
        <v>97</v>
      </c>
      <c r="F29" s="188" t="s">
        <v>12</v>
      </c>
      <c r="G29" s="180"/>
      <c r="H29" s="181"/>
      <c r="I29" s="180"/>
      <c r="J29" s="181"/>
      <c r="K29" s="178">
        <v>8000</v>
      </c>
      <c r="L29" s="32">
        <f>+K29*AT29</f>
        <v>630400</v>
      </c>
      <c r="M29" s="33"/>
      <c r="N29" s="23"/>
      <c r="O29" s="22"/>
      <c r="P29" s="32"/>
      <c r="Q29" s="33"/>
      <c r="R29" s="32"/>
      <c r="S29" s="22"/>
      <c r="T29" s="32"/>
      <c r="U29" s="33"/>
      <c r="V29" s="32"/>
      <c r="W29" s="22"/>
      <c r="X29" s="32"/>
      <c r="Y29" s="22"/>
      <c r="Z29" s="32"/>
      <c r="AA29" s="22"/>
      <c r="AB29" s="32"/>
      <c r="AC29" s="22"/>
      <c r="AD29" s="32"/>
      <c r="AE29" s="22"/>
      <c r="AF29" s="32"/>
      <c r="AG29" s="22"/>
      <c r="AH29" s="32"/>
      <c r="AI29" s="22"/>
      <c r="AJ29" s="32"/>
      <c r="AK29" s="22"/>
      <c r="AL29" s="32"/>
      <c r="AM29" s="22"/>
      <c r="AN29" s="32"/>
      <c r="AO29" s="22"/>
      <c r="AP29" s="32"/>
      <c r="AQ29" s="22"/>
      <c r="AR29" s="32"/>
      <c r="AS29" s="24">
        <f t="shared" si="0"/>
        <v>8000</v>
      </c>
      <c r="AT29" s="166">
        <v>78.8</v>
      </c>
      <c r="AU29" s="25">
        <f t="shared" si="1"/>
        <v>630400</v>
      </c>
    </row>
    <row r="30" spans="1:47" s="40" customFormat="1" ht="30" x14ac:dyDescent="0.25">
      <c r="A30" s="194">
        <v>21</v>
      </c>
      <c r="B30" s="27"/>
      <c r="C30" s="27" t="s">
        <v>80</v>
      </c>
      <c r="D30" s="27">
        <v>293</v>
      </c>
      <c r="E30" s="183" t="s">
        <v>91</v>
      </c>
      <c r="F30" s="167" t="s">
        <v>12</v>
      </c>
      <c r="G30" s="27"/>
      <c r="H30" s="27"/>
      <c r="I30" s="27"/>
      <c r="J30" s="27"/>
      <c r="K30" s="167">
        <v>20</v>
      </c>
      <c r="L30" s="32">
        <f>+K30*AT30</f>
        <v>32500</v>
      </c>
      <c r="M30" s="35"/>
      <c r="N30" s="34"/>
      <c r="O30" s="36"/>
      <c r="P30" s="34"/>
      <c r="Q30" s="35"/>
      <c r="R30" s="34"/>
      <c r="S30" s="36"/>
      <c r="T30" s="19"/>
      <c r="U30" s="35"/>
      <c r="V30" s="34"/>
      <c r="W30" s="36"/>
      <c r="X30" s="34"/>
      <c r="Y30" s="36"/>
      <c r="Z30" s="34"/>
      <c r="AA30" s="36"/>
      <c r="AB30" s="34"/>
      <c r="AC30" s="36"/>
      <c r="AD30" s="34"/>
      <c r="AE30" s="36"/>
      <c r="AF30" s="34"/>
      <c r="AG30" s="36"/>
      <c r="AH30" s="34"/>
      <c r="AI30" s="36"/>
      <c r="AJ30" s="34"/>
      <c r="AK30" s="36"/>
      <c r="AL30" s="34"/>
      <c r="AM30" s="36"/>
      <c r="AN30" s="34"/>
      <c r="AO30" s="36"/>
      <c r="AP30" s="34"/>
      <c r="AQ30" s="36"/>
      <c r="AR30" s="34"/>
      <c r="AS30" s="24">
        <f t="shared" si="0"/>
        <v>20</v>
      </c>
      <c r="AT30" s="161">
        <v>1625</v>
      </c>
      <c r="AU30" s="25">
        <f t="shared" si="1"/>
        <v>32500</v>
      </c>
    </row>
    <row r="31" spans="1:47" s="40" customFormat="1" ht="30" x14ac:dyDescent="0.25">
      <c r="A31" s="194">
        <v>22</v>
      </c>
      <c r="B31" s="27"/>
      <c r="C31" s="27" t="s">
        <v>80</v>
      </c>
      <c r="D31" s="27">
        <v>295</v>
      </c>
      <c r="E31" s="158" t="s">
        <v>92</v>
      </c>
      <c r="F31" s="167" t="s">
        <v>12</v>
      </c>
      <c r="G31" s="27"/>
      <c r="H31" s="27"/>
      <c r="I31" s="27"/>
      <c r="J31" s="27"/>
      <c r="K31" s="167">
        <v>10</v>
      </c>
      <c r="L31" s="32">
        <f>+K31*AT31</f>
        <v>705760</v>
      </c>
      <c r="M31" s="35">
        <v>0</v>
      </c>
      <c r="N31" s="34">
        <f>+AT31*M31</f>
        <v>0</v>
      </c>
      <c r="O31" s="36"/>
      <c r="P31" s="34"/>
      <c r="Q31" s="35"/>
      <c r="R31" s="34"/>
      <c r="S31" s="36"/>
      <c r="T31" s="19"/>
      <c r="U31" s="35"/>
      <c r="V31" s="34"/>
      <c r="W31" s="36"/>
      <c r="X31" s="34"/>
      <c r="Y31" s="36"/>
      <c r="Z31" s="34"/>
      <c r="AA31" s="36"/>
      <c r="AB31" s="34"/>
      <c r="AC31" s="36"/>
      <c r="AD31" s="34"/>
      <c r="AE31" s="36"/>
      <c r="AF31" s="34"/>
      <c r="AG31" s="36"/>
      <c r="AH31" s="34"/>
      <c r="AI31" s="36"/>
      <c r="AJ31" s="34"/>
      <c r="AK31" s="36"/>
      <c r="AL31" s="34"/>
      <c r="AM31" s="36"/>
      <c r="AN31" s="34"/>
      <c r="AO31" s="36"/>
      <c r="AP31" s="34"/>
      <c r="AQ31" s="36"/>
      <c r="AR31" s="34"/>
      <c r="AS31" s="24">
        <f t="shared" si="0"/>
        <v>10</v>
      </c>
      <c r="AT31" s="161">
        <v>70576</v>
      </c>
      <c r="AU31" s="25">
        <f t="shared" si="1"/>
        <v>705760</v>
      </c>
    </row>
    <row r="32" spans="1:47" s="40" customFormat="1" ht="60" x14ac:dyDescent="0.25">
      <c r="A32" s="194">
        <v>23</v>
      </c>
      <c r="B32" s="169"/>
      <c r="C32" s="27" t="s">
        <v>80</v>
      </c>
      <c r="D32" s="27">
        <v>295</v>
      </c>
      <c r="E32" s="158" t="s">
        <v>25</v>
      </c>
      <c r="F32" s="189" t="s">
        <v>12</v>
      </c>
      <c r="G32" s="27"/>
      <c r="H32" s="27"/>
      <c r="I32" s="27"/>
      <c r="J32" s="27"/>
      <c r="K32" s="167"/>
      <c r="L32" s="32"/>
      <c r="M32" s="21">
        <v>2</v>
      </c>
      <c r="N32" s="23">
        <f>+M32*AT32</f>
        <v>100700</v>
      </c>
      <c r="O32" s="36"/>
      <c r="P32" s="34"/>
      <c r="Q32" s="35"/>
      <c r="R32" s="34"/>
      <c r="S32" s="36"/>
      <c r="T32" s="19"/>
      <c r="U32" s="35"/>
      <c r="V32" s="34"/>
      <c r="W32" s="36"/>
      <c r="X32" s="34"/>
      <c r="Y32" s="36"/>
      <c r="Z32" s="34"/>
      <c r="AA32" s="36"/>
      <c r="AB32" s="34"/>
      <c r="AC32" s="36"/>
      <c r="AD32" s="34"/>
      <c r="AE32" s="36"/>
      <c r="AF32" s="34"/>
      <c r="AG32" s="36"/>
      <c r="AH32" s="34"/>
      <c r="AI32" s="36"/>
      <c r="AJ32" s="34"/>
      <c r="AK32" s="36"/>
      <c r="AL32" s="34"/>
      <c r="AM32" s="36"/>
      <c r="AN32" s="34"/>
      <c r="AO32" s="36"/>
      <c r="AP32" s="34"/>
      <c r="AQ32" s="36"/>
      <c r="AR32" s="34"/>
      <c r="AS32" s="24">
        <f t="shared" si="0"/>
        <v>2</v>
      </c>
      <c r="AT32" s="187">
        <v>50350</v>
      </c>
      <c r="AU32" s="25">
        <f t="shared" si="1"/>
        <v>100700</v>
      </c>
    </row>
    <row r="33" spans="1:47" s="40" customFormat="1" ht="30" x14ac:dyDescent="0.25">
      <c r="A33" s="194">
        <v>24</v>
      </c>
      <c r="B33" s="27"/>
      <c r="C33" s="27" t="s">
        <v>80</v>
      </c>
      <c r="D33" s="27">
        <v>295</v>
      </c>
      <c r="E33" s="183" t="s">
        <v>38</v>
      </c>
      <c r="F33" s="167" t="s">
        <v>29</v>
      </c>
      <c r="G33" s="27"/>
      <c r="H33" s="27"/>
      <c r="I33" s="27"/>
      <c r="J33" s="27"/>
      <c r="K33" s="167">
        <v>80000</v>
      </c>
      <c r="L33" s="32">
        <f>+K33*AT33</f>
        <v>320000</v>
      </c>
      <c r="M33" s="33"/>
      <c r="N33" s="23"/>
      <c r="O33" s="22"/>
      <c r="P33" s="32"/>
      <c r="Q33" s="33"/>
      <c r="R33" s="32"/>
      <c r="S33" s="22"/>
      <c r="T33" s="32"/>
      <c r="U33" s="33"/>
      <c r="V33" s="32"/>
      <c r="W33" s="22"/>
      <c r="X33" s="32"/>
      <c r="Y33" s="22"/>
      <c r="Z33" s="32"/>
      <c r="AA33" s="22"/>
      <c r="AB33" s="32"/>
      <c r="AC33" s="22"/>
      <c r="AD33" s="32"/>
      <c r="AE33" s="22"/>
      <c r="AF33" s="32"/>
      <c r="AG33" s="22"/>
      <c r="AH33" s="32"/>
      <c r="AI33" s="22"/>
      <c r="AJ33" s="32"/>
      <c r="AK33" s="22"/>
      <c r="AL33" s="32"/>
      <c r="AM33" s="22"/>
      <c r="AN33" s="32"/>
      <c r="AO33" s="22"/>
      <c r="AP33" s="32"/>
      <c r="AQ33" s="22"/>
      <c r="AR33" s="32"/>
      <c r="AS33" s="24">
        <f t="shared" si="0"/>
        <v>80000</v>
      </c>
      <c r="AT33" s="161">
        <v>4</v>
      </c>
      <c r="AU33" s="25">
        <f t="shared" si="1"/>
        <v>320000</v>
      </c>
    </row>
    <row r="34" spans="1:47" s="40" customFormat="1" ht="45" x14ac:dyDescent="0.25">
      <c r="A34" s="194">
        <v>25</v>
      </c>
      <c r="B34" s="169"/>
      <c r="C34" s="27" t="s">
        <v>80</v>
      </c>
      <c r="D34" s="27">
        <v>295</v>
      </c>
      <c r="E34" s="158" t="s">
        <v>22</v>
      </c>
      <c r="F34" s="189" t="s">
        <v>12</v>
      </c>
      <c r="G34" s="29"/>
      <c r="H34" s="29"/>
      <c r="I34" s="29"/>
      <c r="J34" s="29"/>
      <c r="K34" s="30"/>
      <c r="L34" s="34"/>
      <c r="M34" s="21">
        <v>5</v>
      </c>
      <c r="N34" s="23">
        <f>+M34*AT34</f>
        <v>6100</v>
      </c>
      <c r="O34" s="36"/>
      <c r="P34" s="34"/>
      <c r="Q34" s="35"/>
      <c r="R34" s="34"/>
      <c r="S34" s="36"/>
      <c r="T34" s="19"/>
      <c r="U34" s="35"/>
      <c r="V34" s="34"/>
      <c r="W34" s="36"/>
      <c r="X34" s="34"/>
      <c r="Y34" s="36"/>
      <c r="Z34" s="34"/>
      <c r="AA34" s="36"/>
      <c r="AB34" s="34"/>
      <c r="AC34" s="36"/>
      <c r="AD34" s="34"/>
      <c r="AE34" s="36"/>
      <c r="AF34" s="34"/>
      <c r="AG34" s="36"/>
      <c r="AH34" s="34"/>
      <c r="AI34" s="36"/>
      <c r="AJ34" s="34"/>
      <c r="AK34" s="36"/>
      <c r="AL34" s="34"/>
      <c r="AM34" s="36"/>
      <c r="AN34" s="34"/>
      <c r="AO34" s="36"/>
      <c r="AP34" s="34"/>
      <c r="AQ34" s="36"/>
      <c r="AR34" s="34"/>
      <c r="AS34" s="24">
        <f t="shared" si="0"/>
        <v>5</v>
      </c>
      <c r="AT34" s="187">
        <v>1220</v>
      </c>
      <c r="AU34" s="25">
        <f t="shared" si="1"/>
        <v>6100</v>
      </c>
    </row>
    <row r="35" spans="1:47" s="40" customFormat="1" ht="30" x14ac:dyDescent="0.25">
      <c r="A35" s="194">
        <v>26</v>
      </c>
      <c r="B35" s="21"/>
      <c r="C35" s="27" t="s">
        <v>80</v>
      </c>
      <c r="D35" s="27">
        <v>295</v>
      </c>
      <c r="E35" s="183" t="s">
        <v>34</v>
      </c>
      <c r="F35" s="167" t="s">
        <v>14</v>
      </c>
      <c r="G35" s="27"/>
      <c r="H35" s="27"/>
      <c r="I35" s="27"/>
      <c r="J35" s="27"/>
      <c r="K35" s="167">
        <v>500</v>
      </c>
      <c r="L35" s="32">
        <f>+K35*AT35</f>
        <v>93500</v>
      </c>
      <c r="M35" s="35"/>
      <c r="N35" s="34"/>
      <c r="O35" s="36"/>
      <c r="P35" s="34"/>
      <c r="Q35" s="35"/>
      <c r="R35" s="34"/>
      <c r="S35" s="36"/>
      <c r="T35" s="19"/>
      <c r="U35" s="35"/>
      <c r="V35" s="34"/>
      <c r="W35" s="36"/>
      <c r="X35" s="34"/>
      <c r="Y35" s="36"/>
      <c r="Z35" s="34"/>
      <c r="AA35" s="36"/>
      <c r="AB35" s="34"/>
      <c r="AC35" s="36"/>
      <c r="AD35" s="34"/>
      <c r="AE35" s="36"/>
      <c r="AF35" s="34"/>
      <c r="AG35" s="36"/>
      <c r="AH35" s="34"/>
      <c r="AI35" s="36"/>
      <c r="AJ35" s="34"/>
      <c r="AK35" s="36"/>
      <c r="AL35" s="34"/>
      <c r="AM35" s="36"/>
      <c r="AN35" s="34"/>
      <c r="AO35" s="36"/>
      <c r="AP35" s="34"/>
      <c r="AQ35" s="36"/>
      <c r="AR35" s="34"/>
      <c r="AS35" s="24">
        <f t="shared" si="0"/>
        <v>500</v>
      </c>
      <c r="AT35" s="161">
        <v>187</v>
      </c>
      <c r="AU35" s="25">
        <f t="shared" si="1"/>
        <v>93500</v>
      </c>
    </row>
    <row r="36" spans="1:47" s="40" customFormat="1" ht="45" x14ac:dyDescent="0.25">
      <c r="A36" s="194">
        <v>27</v>
      </c>
      <c r="B36" s="27"/>
      <c r="C36" s="27" t="s">
        <v>80</v>
      </c>
      <c r="D36" s="27">
        <v>234</v>
      </c>
      <c r="E36" s="158" t="s">
        <v>95</v>
      </c>
      <c r="F36" s="184" t="s">
        <v>14</v>
      </c>
      <c r="G36" s="180"/>
      <c r="H36" s="181"/>
      <c r="I36" s="180"/>
      <c r="J36" s="181"/>
      <c r="K36" s="184">
        <v>5</v>
      </c>
      <c r="L36" s="32">
        <f>+K36*AT36</f>
        <v>19650</v>
      </c>
      <c r="M36" s="33"/>
      <c r="N36" s="23"/>
      <c r="O36" s="22"/>
      <c r="P36" s="32"/>
      <c r="Q36" s="33"/>
      <c r="R36" s="32"/>
      <c r="S36" s="22"/>
      <c r="T36" s="32"/>
      <c r="U36" s="33"/>
      <c r="V36" s="32"/>
      <c r="W36" s="22"/>
      <c r="X36" s="32"/>
      <c r="Y36" s="22"/>
      <c r="Z36" s="32"/>
      <c r="AA36" s="22"/>
      <c r="AB36" s="32"/>
      <c r="AC36" s="22"/>
      <c r="AD36" s="32"/>
      <c r="AE36" s="22"/>
      <c r="AF36" s="32"/>
      <c r="AG36" s="22"/>
      <c r="AH36" s="32"/>
      <c r="AI36" s="22"/>
      <c r="AJ36" s="32"/>
      <c r="AK36" s="22"/>
      <c r="AL36" s="32"/>
      <c r="AM36" s="22"/>
      <c r="AN36" s="32"/>
      <c r="AO36" s="22"/>
      <c r="AP36" s="32"/>
      <c r="AQ36" s="22"/>
      <c r="AR36" s="32"/>
      <c r="AS36" s="24">
        <f t="shared" si="0"/>
        <v>5</v>
      </c>
      <c r="AT36" s="162">
        <v>3930</v>
      </c>
      <c r="AU36" s="25">
        <f t="shared" si="1"/>
        <v>19650</v>
      </c>
    </row>
    <row r="37" spans="1:47" s="40" customFormat="1" ht="45" x14ac:dyDescent="0.25">
      <c r="A37" s="194">
        <v>28</v>
      </c>
      <c r="B37" s="27"/>
      <c r="C37" s="27" t="s">
        <v>80</v>
      </c>
      <c r="D37" s="27">
        <v>234</v>
      </c>
      <c r="E37" s="183" t="s">
        <v>40</v>
      </c>
      <c r="F37" s="167" t="s">
        <v>43</v>
      </c>
      <c r="G37" s="27"/>
      <c r="H37" s="27"/>
      <c r="I37" s="27"/>
      <c r="J37" s="27"/>
      <c r="K37" s="167">
        <v>200</v>
      </c>
      <c r="L37" s="32">
        <f>+K37*AT37</f>
        <v>26200</v>
      </c>
      <c r="M37" s="33"/>
      <c r="N37" s="23"/>
      <c r="O37" s="22"/>
      <c r="P37" s="32"/>
      <c r="Q37" s="33"/>
      <c r="R37" s="32"/>
      <c r="S37" s="22"/>
      <c r="T37" s="32"/>
      <c r="U37" s="33"/>
      <c r="V37" s="32"/>
      <c r="W37" s="22"/>
      <c r="X37" s="32"/>
      <c r="Y37" s="22"/>
      <c r="Z37" s="32"/>
      <c r="AA37" s="22"/>
      <c r="AB37" s="32"/>
      <c r="AC37" s="22"/>
      <c r="AD37" s="32"/>
      <c r="AE37" s="22"/>
      <c r="AF37" s="32"/>
      <c r="AG37" s="22"/>
      <c r="AH37" s="32"/>
      <c r="AI37" s="22"/>
      <c r="AJ37" s="32"/>
      <c r="AK37" s="22"/>
      <c r="AL37" s="32"/>
      <c r="AM37" s="22"/>
      <c r="AN37" s="32"/>
      <c r="AO37" s="22"/>
      <c r="AP37" s="32"/>
      <c r="AQ37" s="22"/>
      <c r="AR37" s="32"/>
      <c r="AS37" s="24">
        <f t="shared" si="0"/>
        <v>200</v>
      </c>
      <c r="AT37" s="161">
        <v>131</v>
      </c>
      <c r="AU37" s="25">
        <f t="shared" si="1"/>
        <v>26200</v>
      </c>
    </row>
    <row r="38" spans="1:47" s="40" customFormat="1" ht="30" x14ac:dyDescent="0.25">
      <c r="A38" s="194">
        <v>29</v>
      </c>
      <c r="B38" s="27"/>
      <c r="C38" s="27" t="s">
        <v>80</v>
      </c>
      <c r="D38" s="27">
        <v>234</v>
      </c>
      <c r="E38" s="183" t="s">
        <v>90</v>
      </c>
      <c r="F38" s="167" t="s">
        <v>45</v>
      </c>
      <c r="G38" s="27"/>
      <c r="H38" s="27"/>
      <c r="I38" s="27"/>
      <c r="J38" s="27"/>
      <c r="K38" s="167">
        <v>5</v>
      </c>
      <c r="L38" s="32">
        <f>+K38*AT38</f>
        <v>19500</v>
      </c>
      <c r="M38" s="35"/>
      <c r="N38" s="34"/>
      <c r="O38" s="36"/>
      <c r="P38" s="34"/>
      <c r="Q38" s="35"/>
      <c r="R38" s="34"/>
      <c r="S38" s="36"/>
      <c r="T38" s="19"/>
      <c r="U38" s="35"/>
      <c r="V38" s="34"/>
      <c r="W38" s="36"/>
      <c r="X38" s="34"/>
      <c r="Y38" s="36"/>
      <c r="Z38" s="34"/>
      <c r="AA38" s="36"/>
      <c r="AB38" s="34"/>
      <c r="AC38" s="36"/>
      <c r="AD38" s="34"/>
      <c r="AE38" s="36"/>
      <c r="AF38" s="34"/>
      <c r="AG38" s="36"/>
      <c r="AH38" s="34"/>
      <c r="AI38" s="36"/>
      <c r="AJ38" s="34"/>
      <c r="AK38" s="36"/>
      <c r="AL38" s="34"/>
      <c r="AM38" s="36"/>
      <c r="AN38" s="34"/>
      <c r="AO38" s="36"/>
      <c r="AP38" s="34"/>
      <c r="AQ38" s="36"/>
      <c r="AR38" s="34"/>
      <c r="AS38" s="24">
        <f t="shared" si="0"/>
        <v>5</v>
      </c>
      <c r="AT38" s="161">
        <v>3900</v>
      </c>
      <c r="AU38" s="25">
        <f t="shared" si="1"/>
        <v>19500</v>
      </c>
    </row>
    <row r="39" spans="1:47" s="40" customFormat="1" ht="45" x14ac:dyDescent="0.25">
      <c r="A39" s="194">
        <v>30</v>
      </c>
      <c r="B39" s="169"/>
      <c r="C39" s="27" t="s">
        <v>80</v>
      </c>
      <c r="D39" s="27">
        <v>295</v>
      </c>
      <c r="E39" s="158" t="s">
        <v>156</v>
      </c>
      <c r="F39" s="189" t="s">
        <v>17</v>
      </c>
      <c r="G39" s="29"/>
      <c r="H39" s="29"/>
      <c r="I39" s="29"/>
      <c r="J39" s="29"/>
      <c r="K39" s="30"/>
      <c r="L39" s="34"/>
      <c r="M39" s="21">
        <v>5</v>
      </c>
      <c r="N39" s="23">
        <f>+M39*AT39</f>
        <v>14325</v>
      </c>
      <c r="O39" s="36"/>
      <c r="P39" s="34"/>
      <c r="Q39" s="35"/>
      <c r="R39" s="34"/>
      <c r="S39" s="36"/>
      <c r="T39" s="19"/>
      <c r="U39" s="35"/>
      <c r="V39" s="34"/>
      <c r="W39" s="36"/>
      <c r="X39" s="34"/>
      <c r="Y39" s="36"/>
      <c r="Z39" s="34"/>
      <c r="AA39" s="36"/>
      <c r="AB39" s="34"/>
      <c r="AC39" s="36"/>
      <c r="AD39" s="34"/>
      <c r="AE39" s="36"/>
      <c r="AF39" s="34"/>
      <c r="AG39" s="36"/>
      <c r="AH39" s="34"/>
      <c r="AI39" s="36"/>
      <c r="AJ39" s="34"/>
      <c r="AK39" s="36"/>
      <c r="AL39" s="34"/>
      <c r="AM39" s="36"/>
      <c r="AN39" s="34"/>
      <c r="AO39" s="36"/>
      <c r="AP39" s="34"/>
      <c r="AQ39" s="36"/>
      <c r="AR39" s="34"/>
      <c r="AS39" s="24">
        <f t="shared" si="0"/>
        <v>5</v>
      </c>
      <c r="AT39" s="187">
        <v>2865</v>
      </c>
      <c r="AU39" s="25">
        <f t="shared" si="1"/>
        <v>14325</v>
      </c>
    </row>
    <row r="40" spans="1:47" s="40" customFormat="1" ht="45" x14ac:dyDescent="0.25">
      <c r="A40" s="194">
        <v>31</v>
      </c>
      <c r="B40" s="169"/>
      <c r="C40" s="27" t="s">
        <v>80</v>
      </c>
      <c r="D40" s="27">
        <v>295</v>
      </c>
      <c r="E40" s="190" t="s">
        <v>157</v>
      </c>
      <c r="F40" s="189" t="s">
        <v>17</v>
      </c>
      <c r="G40" s="168"/>
      <c r="H40" s="168"/>
      <c r="I40" s="168"/>
      <c r="J40" s="168"/>
      <c r="K40" s="168"/>
      <c r="L40" s="34"/>
      <c r="M40" s="191">
        <v>2</v>
      </c>
      <c r="N40" s="23">
        <f>+M40*AT40</f>
        <v>3080</v>
      </c>
      <c r="O40" s="36"/>
      <c r="P40" s="34"/>
      <c r="Q40" s="35"/>
      <c r="R40" s="34"/>
      <c r="S40" s="36"/>
      <c r="T40" s="19"/>
      <c r="U40" s="35"/>
      <c r="V40" s="34"/>
      <c r="W40" s="36"/>
      <c r="X40" s="34"/>
      <c r="Y40" s="36"/>
      <c r="Z40" s="34"/>
      <c r="AA40" s="36"/>
      <c r="AB40" s="34"/>
      <c r="AC40" s="36"/>
      <c r="AD40" s="34"/>
      <c r="AE40" s="36"/>
      <c r="AF40" s="34"/>
      <c r="AG40" s="36"/>
      <c r="AH40" s="34"/>
      <c r="AI40" s="36"/>
      <c r="AJ40" s="34"/>
      <c r="AK40" s="36"/>
      <c r="AL40" s="34"/>
      <c r="AM40" s="36"/>
      <c r="AN40" s="34"/>
      <c r="AO40" s="36"/>
      <c r="AP40" s="34"/>
      <c r="AQ40" s="36"/>
      <c r="AR40" s="34"/>
      <c r="AS40" s="24">
        <f t="shared" si="0"/>
        <v>2</v>
      </c>
      <c r="AT40" s="187">
        <v>1540</v>
      </c>
      <c r="AU40" s="25">
        <f t="shared" si="1"/>
        <v>3080</v>
      </c>
    </row>
    <row r="41" spans="1:47" s="40" customFormat="1" ht="60" x14ac:dyDescent="0.25">
      <c r="A41" s="194">
        <v>32</v>
      </c>
      <c r="B41" s="169"/>
      <c r="C41" s="27" t="s">
        <v>80</v>
      </c>
      <c r="D41" s="27">
        <v>295</v>
      </c>
      <c r="E41" s="185" t="s">
        <v>159</v>
      </c>
      <c r="F41" s="189" t="s">
        <v>17</v>
      </c>
      <c r="G41" s="168"/>
      <c r="H41" s="168"/>
      <c r="I41" s="168"/>
      <c r="J41" s="168"/>
      <c r="K41" s="168"/>
      <c r="L41" s="34"/>
      <c r="M41" s="191">
        <v>2</v>
      </c>
      <c r="N41" s="23">
        <f>+M41*AT41</f>
        <v>4408</v>
      </c>
      <c r="O41" s="36"/>
      <c r="P41" s="34"/>
      <c r="Q41" s="35"/>
      <c r="R41" s="34"/>
      <c r="S41" s="36"/>
      <c r="T41" s="19"/>
      <c r="U41" s="35"/>
      <c r="V41" s="34"/>
      <c r="W41" s="36"/>
      <c r="X41" s="34"/>
      <c r="Y41" s="36"/>
      <c r="Z41" s="34"/>
      <c r="AA41" s="36"/>
      <c r="AB41" s="34"/>
      <c r="AC41" s="36"/>
      <c r="AD41" s="34"/>
      <c r="AE41" s="36"/>
      <c r="AF41" s="34"/>
      <c r="AG41" s="36"/>
      <c r="AH41" s="34"/>
      <c r="AI41" s="36"/>
      <c r="AJ41" s="34"/>
      <c r="AK41" s="36"/>
      <c r="AL41" s="34"/>
      <c r="AM41" s="36"/>
      <c r="AN41" s="34"/>
      <c r="AO41" s="36"/>
      <c r="AP41" s="34"/>
      <c r="AQ41" s="36"/>
      <c r="AR41" s="34"/>
      <c r="AS41" s="24">
        <f t="shared" si="0"/>
        <v>2</v>
      </c>
      <c r="AT41" s="187">
        <v>2204</v>
      </c>
      <c r="AU41" s="25">
        <f t="shared" si="1"/>
        <v>4408</v>
      </c>
    </row>
    <row r="42" spans="1:47" s="40" customFormat="1" ht="30" x14ac:dyDescent="0.25">
      <c r="A42" s="194">
        <v>33</v>
      </c>
      <c r="B42" s="27"/>
      <c r="C42" s="27" t="s">
        <v>80</v>
      </c>
      <c r="D42" s="27">
        <v>295</v>
      </c>
      <c r="E42" s="183" t="s">
        <v>86</v>
      </c>
      <c r="F42" s="167" t="s">
        <v>29</v>
      </c>
      <c r="G42" s="27"/>
      <c r="H42" s="27"/>
      <c r="I42" s="27"/>
      <c r="J42" s="27"/>
      <c r="K42" s="167">
        <v>3000</v>
      </c>
      <c r="L42" s="32">
        <f>+K42*AT42</f>
        <v>45000</v>
      </c>
      <c r="M42" s="35"/>
      <c r="N42" s="34"/>
      <c r="O42" s="36"/>
      <c r="P42" s="34"/>
      <c r="Q42" s="35"/>
      <c r="R42" s="34"/>
      <c r="S42" s="36"/>
      <c r="T42" s="19"/>
      <c r="U42" s="35"/>
      <c r="V42" s="34"/>
      <c r="W42" s="36"/>
      <c r="X42" s="34"/>
      <c r="Y42" s="36"/>
      <c r="Z42" s="34"/>
      <c r="AA42" s="36"/>
      <c r="AB42" s="34"/>
      <c r="AC42" s="36"/>
      <c r="AD42" s="34"/>
      <c r="AE42" s="36"/>
      <c r="AF42" s="34"/>
      <c r="AG42" s="36"/>
      <c r="AH42" s="34"/>
      <c r="AI42" s="36"/>
      <c r="AJ42" s="34"/>
      <c r="AK42" s="36"/>
      <c r="AL42" s="34"/>
      <c r="AM42" s="36"/>
      <c r="AN42" s="34"/>
      <c r="AO42" s="36"/>
      <c r="AP42" s="34"/>
      <c r="AQ42" s="36"/>
      <c r="AR42" s="34"/>
      <c r="AS42" s="24">
        <f t="shared" si="0"/>
        <v>3000</v>
      </c>
      <c r="AT42" s="161">
        <v>15</v>
      </c>
      <c r="AU42" s="25">
        <f t="shared" ref="AU42:AU49" si="4">+AS42*AT42</f>
        <v>45000</v>
      </c>
    </row>
    <row r="43" spans="1:47" s="40" customFormat="1" x14ac:dyDescent="0.25">
      <c r="A43" s="194">
        <v>34</v>
      </c>
      <c r="B43" s="27"/>
      <c r="C43" s="27" t="s">
        <v>80</v>
      </c>
      <c r="D43" s="192">
        <v>295</v>
      </c>
      <c r="E43" s="183" t="s">
        <v>88</v>
      </c>
      <c r="F43" s="167" t="s">
        <v>29</v>
      </c>
      <c r="G43" s="27"/>
      <c r="H43" s="27"/>
      <c r="I43" s="27"/>
      <c r="J43" s="27"/>
      <c r="K43" s="167">
        <v>8000</v>
      </c>
      <c r="L43" s="32">
        <f>+K43*AT43</f>
        <v>296000</v>
      </c>
      <c r="M43" s="35"/>
      <c r="N43" s="34"/>
      <c r="O43" s="36"/>
      <c r="P43" s="34"/>
      <c r="Q43" s="35"/>
      <c r="R43" s="34"/>
      <c r="S43" s="36"/>
      <c r="T43" s="19"/>
      <c r="U43" s="35"/>
      <c r="V43" s="34"/>
      <c r="W43" s="36"/>
      <c r="X43" s="34"/>
      <c r="Y43" s="36"/>
      <c r="Z43" s="34"/>
      <c r="AA43" s="36"/>
      <c r="AB43" s="34"/>
      <c r="AC43" s="36"/>
      <c r="AD43" s="34"/>
      <c r="AE43" s="36"/>
      <c r="AF43" s="34"/>
      <c r="AG43" s="36"/>
      <c r="AH43" s="34"/>
      <c r="AI43" s="36"/>
      <c r="AJ43" s="34"/>
      <c r="AK43" s="36"/>
      <c r="AL43" s="34"/>
      <c r="AM43" s="36"/>
      <c r="AN43" s="34"/>
      <c r="AO43" s="36"/>
      <c r="AP43" s="34"/>
      <c r="AQ43" s="36"/>
      <c r="AR43" s="34"/>
      <c r="AS43" s="24">
        <f t="shared" si="0"/>
        <v>8000</v>
      </c>
      <c r="AT43" s="161">
        <v>37</v>
      </c>
      <c r="AU43" s="55">
        <f t="shared" si="4"/>
        <v>296000</v>
      </c>
    </row>
    <row r="44" spans="1:47" s="40" customFormat="1" ht="30" x14ac:dyDescent="0.25">
      <c r="A44" s="194">
        <v>35</v>
      </c>
      <c r="B44" s="169"/>
      <c r="C44" s="27" t="s">
        <v>80</v>
      </c>
      <c r="D44" s="192">
        <v>295</v>
      </c>
      <c r="E44" s="158" t="s">
        <v>87</v>
      </c>
      <c r="F44" s="167" t="s">
        <v>29</v>
      </c>
      <c r="G44" s="29"/>
      <c r="H44" s="29"/>
      <c r="I44" s="29"/>
      <c r="J44" s="29"/>
      <c r="K44" s="167">
        <v>20000</v>
      </c>
      <c r="L44" s="32">
        <f>+K44*AT44</f>
        <v>700000</v>
      </c>
      <c r="M44" s="35"/>
      <c r="N44" s="34"/>
      <c r="O44" s="36"/>
      <c r="P44" s="34"/>
      <c r="Q44" s="35"/>
      <c r="R44" s="34"/>
      <c r="S44" s="36"/>
      <c r="T44" s="19"/>
      <c r="U44" s="35"/>
      <c r="V44" s="34"/>
      <c r="W44" s="36"/>
      <c r="X44" s="34"/>
      <c r="Y44" s="36"/>
      <c r="Z44" s="34"/>
      <c r="AA44" s="36"/>
      <c r="AB44" s="34"/>
      <c r="AC44" s="36"/>
      <c r="AD44" s="34"/>
      <c r="AE44" s="36"/>
      <c r="AF44" s="34"/>
      <c r="AG44" s="36"/>
      <c r="AH44" s="34"/>
      <c r="AI44" s="36"/>
      <c r="AJ44" s="34"/>
      <c r="AK44" s="36"/>
      <c r="AL44" s="34"/>
      <c r="AM44" s="36"/>
      <c r="AN44" s="34"/>
      <c r="AO44" s="36"/>
      <c r="AP44" s="34"/>
      <c r="AQ44" s="36"/>
      <c r="AR44" s="34"/>
      <c r="AS44" s="24">
        <f t="shared" si="0"/>
        <v>20000</v>
      </c>
      <c r="AT44" s="161">
        <v>35</v>
      </c>
      <c r="AU44" s="55">
        <f t="shared" si="4"/>
        <v>700000</v>
      </c>
    </row>
    <row r="45" spans="1:47" s="40" customFormat="1" ht="117.95" customHeight="1" x14ac:dyDescent="0.25">
      <c r="A45" s="194">
        <v>36</v>
      </c>
      <c r="B45" s="169"/>
      <c r="C45" s="27" t="s">
        <v>80</v>
      </c>
      <c r="D45" s="192">
        <v>295</v>
      </c>
      <c r="E45" s="183" t="s">
        <v>49</v>
      </c>
      <c r="F45" s="189" t="s">
        <v>17</v>
      </c>
      <c r="G45" s="29"/>
      <c r="H45" s="29"/>
      <c r="I45" s="29"/>
      <c r="J45" s="29"/>
      <c r="K45" s="30"/>
      <c r="L45" s="34"/>
      <c r="M45" s="35">
        <v>2</v>
      </c>
      <c r="N45" s="23">
        <f>+M45*AT45</f>
        <v>27400</v>
      </c>
      <c r="O45" s="36"/>
      <c r="P45" s="34"/>
      <c r="Q45" s="35"/>
      <c r="R45" s="34"/>
      <c r="S45" s="36"/>
      <c r="T45" s="19"/>
      <c r="U45" s="35"/>
      <c r="V45" s="34"/>
      <c r="W45" s="36"/>
      <c r="X45" s="34"/>
      <c r="Y45" s="36"/>
      <c r="Z45" s="34"/>
      <c r="AA45" s="36"/>
      <c r="AB45" s="34"/>
      <c r="AC45" s="36"/>
      <c r="AD45" s="34"/>
      <c r="AE45" s="36"/>
      <c r="AF45" s="34"/>
      <c r="AG45" s="36"/>
      <c r="AH45" s="34"/>
      <c r="AI45" s="36"/>
      <c r="AJ45" s="34"/>
      <c r="AK45" s="36"/>
      <c r="AL45" s="34"/>
      <c r="AM45" s="36"/>
      <c r="AN45" s="34"/>
      <c r="AO45" s="36"/>
      <c r="AP45" s="34"/>
      <c r="AQ45" s="36"/>
      <c r="AR45" s="34"/>
      <c r="AS45" s="24">
        <f t="shared" si="0"/>
        <v>2</v>
      </c>
      <c r="AT45" s="25">
        <v>13700</v>
      </c>
      <c r="AU45" s="55">
        <f t="shared" si="4"/>
        <v>27400</v>
      </c>
    </row>
    <row r="46" spans="1:47" s="40" customFormat="1" ht="86.45" customHeight="1" x14ac:dyDescent="0.25">
      <c r="A46" s="194">
        <v>37</v>
      </c>
      <c r="B46" s="169"/>
      <c r="C46" s="27" t="s">
        <v>80</v>
      </c>
      <c r="D46" s="192">
        <v>295</v>
      </c>
      <c r="E46" s="158" t="s">
        <v>21</v>
      </c>
      <c r="F46" s="189" t="s">
        <v>12</v>
      </c>
      <c r="G46" s="29"/>
      <c r="H46" s="29"/>
      <c r="I46" s="29"/>
      <c r="J46" s="29"/>
      <c r="K46" s="30"/>
      <c r="L46" s="34"/>
      <c r="M46" s="35">
        <v>10</v>
      </c>
      <c r="N46" s="23">
        <f>+M46*AT46</f>
        <v>53530</v>
      </c>
      <c r="O46" s="36"/>
      <c r="P46" s="34"/>
      <c r="Q46" s="35"/>
      <c r="R46" s="34"/>
      <c r="S46" s="36"/>
      <c r="T46" s="19"/>
      <c r="U46" s="35"/>
      <c r="V46" s="34"/>
      <c r="W46" s="36"/>
      <c r="X46" s="34"/>
      <c r="Y46" s="36"/>
      <c r="Z46" s="34"/>
      <c r="AA46" s="36"/>
      <c r="AB46" s="34"/>
      <c r="AC46" s="36"/>
      <c r="AD46" s="34"/>
      <c r="AE46" s="36"/>
      <c r="AF46" s="34"/>
      <c r="AG46" s="36"/>
      <c r="AH46" s="34"/>
      <c r="AI46" s="36"/>
      <c r="AJ46" s="34"/>
      <c r="AK46" s="36"/>
      <c r="AL46" s="34"/>
      <c r="AM46" s="36"/>
      <c r="AN46" s="34"/>
      <c r="AO46" s="36"/>
      <c r="AP46" s="34"/>
      <c r="AQ46" s="36"/>
      <c r="AR46" s="34"/>
      <c r="AS46" s="24">
        <f t="shared" si="0"/>
        <v>10</v>
      </c>
      <c r="AT46" s="25">
        <v>5353</v>
      </c>
      <c r="AU46" s="25">
        <f t="shared" si="4"/>
        <v>53530</v>
      </c>
    </row>
    <row r="47" spans="1:47" s="40" customFormat="1" ht="75" x14ac:dyDescent="0.25">
      <c r="A47" s="194">
        <v>38</v>
      </c>
      <c r="B47" s="169"/>
      <c r="C47" s="27" t="s">
        <v>80</v>
      </c>
      <c r="D47" s="27">
        <v>295</v>
      </c>
      <c r="E47" s="183" t="s">
        <v>20</v>
      </c>
      <c r="F47" s="189" t="s">
        <v>12</v>
      </c>
      <c r="G47" s="29"/>
      <c r="H47" s="29"/>
      <c r="I47" s="29"/>
      <c r="J47" s="29"/>
      <c r="K47" s="30"/>
      <c r="L47" s="34"/>
      <c r="M47" s="35">
        <v>2</v>
      </c>
      <c r="N47" s="23">
        <f>+M47*AT47</f>
        <v>26000</v>
      </c>
      <c r="O47" s="36"/>
      <c r="P47" s="34"/>
      <c r="Q47" s="35"/>
      <c r="R47" s="34"/>
      <c r="S47" s="36"/>
      <c r="T47" s="19"/>
      <c r="U47" s="35"/>
      <c r="V47" s="34"/>
      <c r="W47" s="36"/>
      <c r="X47" s="34"/>
      <c r="Y47" s="36"/>
      <c r="Z47" s="34"/>
      <c r="AA47" s="36"/>
      <c r="AB47" s="34"/>
      <c r="AC47" s="36"/>
      <c r="AD47" s="34"/>
      <c r="AE47" s="36"/>
      <c r="AF47" s="34"/>
      <c r="AG47" s="36"/>
      <c r="AH47" s="34"/>
      <c r="AI47" s="36"/>
      <c r="AJ47" s="34"/>
      <c r="AK47" s="36"/>
      <c r="AL47" s="34"/>
      <c r="AM47" s="36"/>
      <c r="AN47" s="34"/>
      <c r="AO47" s="36"/>
      <c r="AP47" s="34"/>
      <c r="AQ47" s="36"/>
      <c r="AR47" s="34"/>
      <c r="AS47" s="24">
        <f t="shared" si="0"/>
        <v>2</v>
      </c>
      <c r="AT47" s="25">
        <v>13000</v>
      </c>
      <c r="AU47" s="25">
        <f t="shared" si="4"/>
        <v>26000</v>
      </c>
    </row>
    <row r="48" spans="1:47" s="40" customFormat="1" ht="120" x14ac:dyDescent="0.25">
      <c r="A48" s="194">
        <v>39</v>
      </c>
      <c r="B48" s="169"/>
      <c r="C48" s="27" t="s">
        <v>80</v>
      </c>
      <c r="D48" s="27">
        <v>295</v>
      </c>
      <c r="E48" s="158" t="s">
        <v>23</v>
      </c>
      <c r="F48" s="189" t="s">
        <v>12</v>
      </c>
      <c r="G48" s="29"/>
      <c r="H48" s="29"/>
      <c r="I48" s="29"/>
      <c r="J48" s="29"/>
      <c r="K48" s="30"/>
      <c r="L48" s="34"/>
      <c r="M48" s="21">
        <v>1000</v>
      </c>
      <c r="N48" s="23">
        <f>+M48*AT48</f>
        <v>72000</v>
      </c>
      <c r="O48" s="36"/>
      <c r="P48" s="34"/>
      <c r="Q48" s="35"/>
      <c r="R48" s="34"/>
      <c r="S48" s="36"/>
      <c r="T48" s="19"/>
      <c r="U48" s="35"/>
      <c r="V48" s="34"/>
      <c r="W48" s="36"/>
      <c r="X48" s="34"/>
      <c r="Y48" s="36"/>
      <c r="Z48" s="34"/>
      <c r="AA48" s="36"/>
      <c r="AB48" s="34"/>
      <c r="AC48" s="36"/>
      <c r="AD48" s="34"/>
      <c r="AE48" s="36"/>
      <c r="AF48" s="34"/>
      <c r="AG48" s="36"/>
      <c r="AH48" s="34"/>
      <c r="AI48" s="36"/>
      <c r="AJ48" s="34"/>
      <c r="AK48" s="36"/>
      <c r="AL48" s="34"/>
      <c r="AM48" s="36"/>
      <c r="AN48" s="34"/>
      <c r="AO48" s="36"/>
      <c r="AP48" s="34"/>
      <c r="AQ48" s="36"/>
      <c r="AR48" s="34"/>
      <c r="AS48" s="24">
        <f t="shared" si="0"/>
        <v>1000</v>
      </c>
      <c r="AT48" s="187">
        <v>72</v>
      </c>
      <c r="AU48" s="25">
        <f t="shared" si="4"/>
        <v>72000</v>
      </c>
    </row>
    <row r="49" spans="1:47" s="40" customFormat="1" ht="60" x14ac:dyDescent="0.25">
      <c r="A49" s="194">
        <v>40</v>
      </c>
      <c r="B49" s="169"/>
      <c r="C49" s="27" t="s">
        <v>80</v>
      </c>
      <c r="D49" s="27">
        <v>295</v>
      </c>
      <c r="E49" s="158" t="s">
        <v>26</v>
      </c>
      <c r="F49" s="189" t="s">
        <v>12</v>
      </c>
      <c r="G49" s="29"/>
      <c r="H49" s="29"/>
      <c r="I49" s="29"/>
      <c r="J49" s="29"/>
      <c r="K49" s="30"/>
      <c r="L49" s="34"/>
      <c r="M49" s="21">
        <v>10</v>
      </c>
      <c r="N49" s="23">
        <f>+M49*AT49</f>
        <v>35580</v>
      </c>
      <c r="O49" s="36"/>
      <c r="P49" s="34"/>
      <c r="Q49" s="35"/>
      <c r="R49" s="34"/>
      <c r="S49" s="36"/>
      <c r="T49" s="19"/>
      <c r="U49" s="35"/>
      <c r="V49" s="34"/>
      <c r="W49" s="36"/>
      <c r="X49" s="34"/>
      <c r="Y49" s="36"/>
      <c r="Z49" s="34"/>
      <c r="AA49" s="36"/>
      <c r="AB49" s="34"/>
      <c r="AC49" s="36"/>
      <c r="AD49" s="34"/>
      <c r="AE49" s="36"/>
      <c r="AF49" s="34"/>
      <c r="AG49" s="36"/>
      <c r="AH49" s="34"/>
      <c r="AI49" s="36"/>
      <c r="AJ49" s="34"/>
      <c r="AK49" s="36"/>
      <c r="AL49" s="34"/>
      <c r="AM49" s="36"/>
      <c r="AN49" s="34"/>
      <c r="AO49" s="36"/>
      <c r="AP49" s="34"/>
      <c r="AQ49" s="36"/>
      <c r="AR49" s="34"/>
      <c r="AS49" s="24">
        <f t="shared" si="0"/>
        <v>10</v>
      </c>
      <c r="AT49" s="187">
        <v>3558</v>
      </c>
      <c r="AU49" s="25">
        <f t="shared" si="4"/>
        <v>35580</v>
      </c>
    </row>
    <row r="50" spans="1:47" s="40" customFormat="1" ht="42.75" x14ac:dyDescent="0.25">
      <c r="A50" s="21"/>
      <c r="B50" s="27"/>
      <c r="C50" s="31"/>
      <c r="D50" s="28"/>
      <c r="E50" s="159" t="s">
        <v>46</v>
      </c>
      <c r="F50" s="27"/>
      <c r="G50" s="27"/>
      <c r="H50" s="27"/>
      <c r="I50" s="27"/>
      <c r="J50" s="27"/>
      <c r="K50" s="27"/>
      <c r="L50" s="19"/>
      <c r="M50" s="26"/>
      <c r="N50" s="34">
        <f>SUM(N10:N49)</f>
        <v>5504673</v>
      </c>
      <c r="O50" s="36"/>
      <c r="P50" s="34"/>
      <c r="Q50" s="35"/>
      <c r="R50" s="34"/>
      <c r="S50" s="36"/>
      <c r="T50" s="19"/>
      <c r="U50" s="35"/>
      <c r="V50" s="34"/>
      <c r="W50" s="36"/>
      <c r="X50" s="34"/>
      <c r="Y50" s="36"/>
      <c r="Z50" s="34"/>
      <c r="AA50" s="36"/>
      <c r="AB50" s="34"/>
      <c r="AC50" s="36"/>
      <c r="AD50" s="34"/>
      <c r="AE50" s="36"/>
      <c r="AF50" s="34"/>
      <c r="AG50" s="36"/>
      <c r="AH50" s="34"/>
      <c r="AI50" s="36"/>
      <c r="AJ50" s="34"/>
      <c r="AK50" s="36"/>
      <c r="AL50" s="34"/>
      <c r="AM50" s="36"/>
      <c r="AN50" s="34"/>
      <c r="AO50" s="36"/>
      <c r="AP50" s="34"/>
      <c r="AQ50" s="36"/>
      <c r="AR50" s="34"/>
      <c r="AS50" s="36"/>
      <c r="AT50" s="139"/>
      <c r="AU50" s="37">
        <f>SUM(AU10:AU49)</f>
        <v>15841331</v>
      </c>
    </row>
    <row r="51" spans="1:47" ht="15.75" thickBot="1" x14ac:dyDescent="0.3"/>
    <row r="52" spans="1:47" ht="132.6" customHeight="1" x14ac:dyDescent="0.2">
      <c r="B52" s="140" t="s">
        <v>139</v>
      </c>
      <c r="C52" s="232" t="s">
        <v>140</v>
      </c>
      <c r="D52" s="232"/>
      <c r="E52" s="232"/>
      <c r="F52" s="233"/>
    </row>
    <row r="53" spans="1:47" x14ac:dyDescent="0.2">
      <c r="B53" s="141" t="s">
        <v>141</v>
      </c>
      <c r="C53" s="223" t="s">
        <v>142</v>
      </c>
      <c r="D53" s="142"/>
      <c r="E53" s="143"/>
      <c r="F53" s="144"/>
    </row>
    <row r="54" spans="1:47" x14ac:dyDescent="0.2">
      <c r="B54" s="141"/>
      <c r="C54" s="142"/>
      <c r="D54" s="142"/>
      <c r="E54" s="143"/>
      <c r="F54" s="144"/>
    </row>
    <row r="55" spans="1:47" ht="34.5" customHeight="1" x14ac:dyDescent="0.2">
      <c r="B55" s="141" t="s">
        <v>143</v>
      </c>
      <c r="C55" s="234" t="s">
        <v>160</v>
      </c>
      <c r="D55" s="234"/>
      <c r="E55" s="234"/>
      <c r="F55" s="235"/>
    </row>
    <row r="56" spans="1:47" ht="50.1" customHeight="1" x14ac:dyDescent="0.2">
      <c r="B56" s="141"/>
      <c r="C56" s="234" t="s">
        <v>161</v>
      </c>
      <c r="D56" s="234"/>
      <c r="E56" s="234"/>
      <c r="F56" s="235"/>
    </row>
    <row r="57" spans="1:47" ht="30" x14ac:dyDescent="0.2">
      <c r="B57" s="145" t="s">
        <v>144</v>
      </c>
      <c r="C57" s="146"/>
      <c r="D57" s="146"/>
      <c r="E57" s="147"/>
      <c r="F57" s="148"/>
    </row>
    <row r="58" spans="1:47" x14ac:dyDescent="0.2">
      <c r="B58" s="145"/>
      <c r="C58" s="146"/>
      <c r="D58" s="146"/>
      <c r="E58" s="147"/>
      <c r="F58" s="148"/>
    </row>
    <row r="59" spans="1:47" ht="15.75" thickBot="1" x14ac:dyDescent="0.25">
      <c r="B59" s="149" t="s">
        <v>145</v>
      </c>
      <c r="C59" s="150" t="s">
        <v>146</v>
      </c>
      <c r="D59" s="151"/>
      <c r="E59" s="152"/>
      <c r="F59" s="153"/>
    </row>
  </sheetData>
  <sortState xmlns:xlrd2="http://schemas.microsoft.com/office/spreadsheetml/2017/richdata2" ref="A10:AV64">
    <sortCondition ref="E10"/>
  </sortState>
  <mergeCells count="11">
    <mergeCell ref="C52:F52"/>
    <mergeCell ref="C55:F55"/>
    <mergeCell ref="C56:F56"/>
    <mergeCell ref="A7:B7"/>
    <mergeCell ref="AV12:AZ13"/>
    <mergeCell ref="A6:B6"/>
    <mergeCell ref="B2:AT2"/>
    <mergeCell ref="A4:B4"/>
    <mergeCell ref="C4:E4"/>
    <mergeCell ref="A5:B5"/>
    <mergeCell ref="C5:E5"/>
  </mergeCells>
  <conditionalFormatting sqref="E31:E50 B26:B29 B31:B50 E26:E29">
    <cfRule type="duplicateValues" dxfId="20" priority="8341"/>
  </conditionalFormatting>
  <conditionalFormatting sqref="B31:B50 B26:B29">
    <cfRule type="duplicateValues" dxfId="19" priority="8345"/>
  </conditionalFormatting>
  <conditionalFormatting sqref="B1:B51 B60:B1048576">
    <cfRule type="duplicateValues" dxfId="18" priority="12814"/>
  </conditionalFormatting>
  <conditionalFormatting sqref="E60:E1048576 E1:E51">
    <cfRule type="duplicateValues" dxfId="17" priority="12817"/>
  </conditionalFormatting>
  <conditionalFormatting sqref="E51 E60:E1048576">
    <cfRule type="duplicateValues" dxfId="16" priority="12834"/>
  </conditionalFormatting>
  <conditionalFormatting sqref="E60:E1048576 E1:E51">
    <cfRule type="duplicateValues" dxfId="15" priority="12850"/>
    <cfRule type="duplicateValues" dxfId="14" priority="12851"/>
  </conditionalFormatting>
  <conditionalFormatting sqref="E57:E59 E53:E54">
    <cfRule type="duplicateValues" dxfId="13" priority="5"/>
  </conditionalFormatting>
  <conditionalFormatting sqref="E57:E59 B53:B59 E53:E54">
    <cfRule type="duplicateValues" dxfId="12" priority="4"/>
  </conditionalFormatting>
  <conditionalFormatting sqref="E57:E59">
    <cfRule type="duplicateValues" dxfId="11" priority="3"/>
  </conditionalFormatting>
  <conditionalFormatting sqref="E57:E59 E53:E54">
    <cfRule type="duplicateValues" dxfId="10" priority="1"/>
    <cfRule type="duplicateValues" dxfId="9" priority="2"/>
  </conditionalFormatting>
  <conditionalFormatting sqref="B53:B59">
    <cfRule type="duplicateValues" dxfId="8" priority="6"/>
  </conditionalFormatting>
  <conditionalFormatting sqref="E53:E54 E57:E59">
    <cfRule type="duplicateValues" dxfId="7" priority="7"/>
    <cfRule type="duplicateValues" dxfId="6" priority="8"/>
  </conditionalFormatting>
  <conditionalFormatting sqref="E53:E54 E57:E59">
    <cfRule type="duplicateValues" dxfId="5" priority="9"/>
  </conditionalFormatting>
  <conditionalFormatting sqref="E53:E54 E57:E59">
    <cfRule type="duplicateValues" dxfId="4" priority="10"/>
  </conditionalFormatting>
  <conditionalFormatting sqref="B53:B59 E53:E54 E57:E59">
    <cfRule type="duplicateValues" dxfId="3" priority="11"/>
  </conditionalFormatting>
  <conditionalFormatting sqref="B53:B59">
    <cfRule type="duplicateValues" dxfId="2" priority="12"/>
  </conditionalFormatting>
  <conditionalFormatting sqref="E60:E1048576 B30 E30 B1:B25 E1:E25 E51 B51 B60:B1048576">
    <cfRule type="duplicateValues" dxfId="1" priority="12852"/>
  </conditionalFormatting>
  <conditionalFormatting sqref="E60:E1048576 B30 E30 E1:E25 B1:B25 E51 B51 B60:B1048576">
    <cfRule type="duplicateValues" dxfId="0" priority="12860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"/>
  <sheetViews>
    <sheetView topLeftCell="B22" workbookViewId="0">
      <selection activeCell="I15" sqref="I15"/>
    </sheetView>
  </sheetViews>
  <sheetFormatPr baseColWidth="10" defaultRowHeight="12.75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13.42578125" customWidth="1"/>
    <col min="8" max="8" width="9.28515625" customWidth="1"/>
    <col min="9" max="9" width="14.5703125" customWidth="1"/>
    <col min="10" max="10" width="16" customWidth="1"/>
    <col min="11" max="11" width="15.5703125" customWidth="1"/>
    <col min="13" max="13" width="15.42578125" bestFit="1" customWidth="1"/>
  </cols>
  <sheetData>
    <row r="1" spans="1:13" ht="16.5" thickBot="1" x14ac:dyDescent="0.25">
      <c r="A1" s="242" t="s">
        <v>99</v>
      </c>
      <c r="B1" s="242"/>
      <c r="C1" s="242"/>
      <c r="D1" s="242"/>
      <c r="E1" s="242"/>
      <c r="F1" s="242"/>
      <c r="G1" s="242"/>
      <c r="H1" s="242"/>
      <c r="I1" s="242"/>
      <c r="J1" s="58" t="s">
        <v>100</v>
      </c>
      <c r="K1" s="59" t="s">
        <v>162</v>
      </c>
      <c r="M1" s="60"/>
    </row>
    <row r="2" spans="1:13" ht="16.5" thickBot="1" x14ac:dyDescent="0.25">
      <c r="A2" s="61"/>
      <c r="B2" s="61"/>
      <c r="C2" s="61"/>
      <c r="D2" s="62"/>
      <c r="E2" s="62"/>
      <c r="F2" s="62"/>
      <c r="G2" s="62"/>
      <c r="H2" s="62"/>
      <c r="I2" s="62"/>
      <c r="J2" s="62"/>
      <c r="K2" s="62"/>
      <c r="M2" s="60"/>
    </row>
    <row r="3" spans="1:13" ht="16.5" thickBot="1" x14ac:dyDescent="0.25">
      <c r="A3" s="243" t="s">
        <v>101</v>
      </c>
      <c r="B3" s="243"/>
      <c r="C3" s="243"/>
      <c r="D3" s="63" t="s">
        <v>102</v>
      </c>
      <c r="E3" s="64"/>
      <c r="F3" s="64"/>
      <c r="G3" s="64"/>
      <c r="H3" s="64"/>
      <c r="I3" s="64"/>
      <c r="J3" s="64"/>
      <c r="K3" s="65"/>
      <c r="M3" s="60"/>
    </row>
    <row r="4" spans="1:13" ht="16.5" thickBot="1" x14ac:dyDescent="0.25">
      <c r="A4" s="240" t="s">
        <v>103</v>
      </c>
      <c r="B4" s="240"/>
      <c r="C4" s="240"/>
      <c r="D4" s="63" t="s">
        <v>104</v>
      </c>
      <c r="E4" s="64"/>
      <c r="F4" s="64"/>
      <c r="G4" s="64"/>
      <c r="H4" s="64"/>
      <c r="I4" s="64"/>
      <c r="J4" s="64"/>
      <c r="K4" s="65"/>
      <c r="M4" s="60"/>
    </row>
    <row r="5" spans="1:13" ht="16.5" thickBot="1" x14ac:dyDescent="0.25">
      <c r="A5" s="240" t="s">
        <v>105</v>
      </c>
      <c r="B5" s="240"/>
      <c r="C5" s="240"/>
      <c r="D5" s="63" t="s">
        <v>147</v>
      </c>
      <c r="E5" s="66"/>
      <c r="F5" s="66"/>
      <c r="G5" s="66"/>
      <c r="H5" s="66"/>
      <c r="I5" s="66"/>
      <c r="J5" s="66"/>
      <c r="K5" s="67"/>
      <c r="M5" s="60"/>
    </row>
    <row r="6" spans="1:13" ht="16.5" thickBot="1" x14ac:dyDescent="0.25">
      <c r="A6" s="243" t="s">
        <v>106</v>
      </c>
      <c r="B6" s="243"/>
      <c r="C6" s="243"/>
      <c r="D6" s="63" t="s">
        <v>147</v>
      </c>
      <c r="E6" s="66"/>
      <c r="F6" s="66"/>
      <c r="G6" s="66"/>
      <c r="H6" s="66"/>
      <c r="I6" s="66"/>
      <c r="J6" s="66"/>
      <c r="K6" s="67"/>
      <c r="M6" s="60"/>
    </row>
    <row r="7" spans="1:13" ht="16.5" thickBot="1" x14ac:dyDescent="0.25">
      <c r="A7" s="240" t="s">
        <v>107</v>
      </c>
      <c r="B7" s="240"/>
      <c r="C7" s="240"/>
      <c r="D7" s="241" t="s">
        <v>152</v>
      </c>
      <c r="E7" s="241"/>
      <c r="F7" s="241"/>
      <c r="G7" s="241"/>
      <c r="H7" s="241"/>
      <c r="I7" s="241"/>
      <c r="J7" s="241"/>
      <c r="K7" s="241"/>
      <c r="M7" s="60"/>
    </row>
    <row r="8" spans="1:13" ht="16.5" thickBot="1" x14ac:dyDescent="0.25">
      <c r="A8" s="249" t="s">
        <v>108</v>
      </c>
      <c r="B8" s="249"/>
      <c r="C8" s="249"/>
      <c r="D8" s="250" t="s">
        <v>148</v>
      </c>
      <c r="E8" s="250"/>
      <c r="F8" s="250"/>
      <c r="G8" s="250"/>
      <c r="H8" s="250"/>
      <c r="I8" s="250"/>
      <c r="J8" s="250"/>
      <c r="K8" s="250"/>
      <c r="M8" s="60"/>
    </row>
    <row r="9" spans="1:13" ht="16.5" thickBot="1" x14ac:dyDescent="0.25">
      <c r="A9" s="68"/>
      <c r="B9" s="68"/>
      <c r="C9" s="68"/>
      <c r="D9" s="69"/>
      <c r="E9" s="69"/>
      <c r="F9" s="69"/>
      <c r="G9" s="69"/>
      <c r="H9" s="69"/>
      <c r="I9" s="69"/>
      <c r="J9" s="69"/>
      <c r="K9" s="69"/>
      <c r="M9" s="60"/>
    </row>
    <row r="10" spans="1:13" ht="13.5" thickBot="1" x14ac:dyDescent="0.25">
      <c r="A10" s="251" t="s">
        <v>109</v>
      </c>
      <c r="B10" s="253" t="s">
        <v>110</v>
      </c>
      <c r="C10" s="253" t="s">
        <v>111</v>
      </c>
      <c r="D10" s="253"/>
      <c r="E10" s="253"/>
      <c r="F10" s="253"/>
      <c r="G10" s="253"/>
      <c r="H10" s="255" t="s">
        <v>112</v>
      </c>
      <c r="I10" s="257" t="s">
        <v>113</v>
      </c>
      <c r="J10" s="257" t="s">
        <v>114</v>
      </c>
      <c r="K10" s="257" t="s">
        <v>115</v>
      </c>
      <c r="M10" s="60"/>
    </row>
    <row r="11" spans="1:13" x14ac:dyDescent="0.2">
      <c r="A11" s="252"/>
      <c r="B11" s="254"/>
      <c r="C11" s="254"/>
      <c r="D11" s="254"/>
      <c r="E11" s="254"/>
      <c r="F11" s="254"/>
      <c r="G11" s="254"/>
      <c r="H11" s="256"/>
      <c r="I11" s="258"/>
      <c r="J11" s="258"/>
      <c r="K11" s="258"/>
      <c r="M11" s="60"/>
    </row>
    <row r="12" spans="1:13" ht="16.5" customHeight="1" x14ac:dyDescent="0.2">
      <c r="A12" s="70">
        <v>1</v>
      </c>
      <c r="B12" s="71"/>
      <c r="C12" s="203" t="str">
        <f>'Necesidades Trimestrales (2)'!E10</f>
        <v>Aguja descartable 25x8 (21Gx1) X 100 Tipo TERUMO</v>
      </c>
      <c r="D12" s="204"/>
      <c r="E12" s="204"/>
      <c r="F12" s="204"/>
      <c r="G12" s="205"/>
      <c r="H12" s="72" t="s">
        <v>167</v>
      </c>
      <c r="I12" s="73" t="str">
        <f>'Necesidades Trimestrales (2)'!F10</f>
        <v>CAJA</v>
      </c>
      <c r="J12" s="74">
        <f>'Necesidades Trimestrales (2)'!AT10</f>
        <v>2048</v>
      </c>
      <c r="K12" s="75">
        <v>600</v>
      </c>
      <c r="L12" s="226">
        <f>+J12*K12</f>
        <v>1228800</v>
      </c>
      <c r="M12" s="60">
        <f>+J12*K12</f>
        <v>1228800</v>
      </c>
    </row>
    <row r="13" spans="1:13" ht="16.5" customHeight="1" x14ac:dyDescent="0.2">
      <c r="A13" s="70">
        <v>2</v>
      </c>
      <c r="B13" s="71"/>
      <c r="C13" s="202" t="str">
        <f>'Necesidades Trimestrales (2)'!E14</f>
        <v>Cepillo para Pipeta Serologica Tipo ARGA</v>
      </c>
      <c r="D13" s="78"/>
      <c r="E13" s="78"/>
      <c r="F13" s="78"/>
      <c r="G13" s="79"/>
      <c r="H13" s="72" t="s">
        <v>167</v>
      </c>
      <c r="I13" s="73" t="str">
        <f>'Necesidades Trimestrales (2)'!F14</f>
        <v>unidad</v>
      </c>
      <c r="J13" s="74">
        <f>'Necesidades Trimestrales (2)'!AT14</f>
        <v>322</v>
      </c>
      <c r="K13" s="75">
        <f>'Necesidades Trimestrales (2)'!AS14</f>
        <v>20</v>
      </c>
      <c r="L13" s="226">
        <f t="shared" ref="L13:L36" si="0">+J13*K13</f>
        <v>6440</v>
      </c>
      <c r="M13" s="60">
        <f t="shared" ref="M13:M37" si="1">+J13*K13</f>
        <v>6440</v>
      </c>
    </row>
    <row r="14" spans="1:13" ht="16.5" customHeight="1" x14ac:dyDescent="0.2">
      <c r="A14" s="70">
        <v>3</v>
      </c>
      <c r="B14" s="71"/>
      <c r="C14" s="193" t="str">
        <f>'Necesidades Trimestrales (2)'!E15</f>
        <v>Cepillo para Tubo de Khan y Hemolisis Tipo ARGA</v>
      </c>
      <c r="D14" s="78"/>
      <c r="E14" s="78"/>
      <c r="F14" s="78"/>
      <c r="G14" s="79"/>
      <c r="H14" s="72" t="s">
        <v>167</v>
      </c>
      <c r="I14" s="73" t="str">
        <f>'Necesidades Trimestrales (2)'!F15</f>
        <v>unidad</v>
      </c>
      <c r="J14" s="74">
        <f>'Necesidades Trimestrales (2)'!AT15</f>
        <v>244</v>
      </c>
      <c r="K14" s="75">
        <f>'Necesidades Trimestrales (2)'!AS15</f>
        <v>50</v>
      </c>
      <c r="L14" s="226">
        <f t="shared" si="0"/>
        <v>12200</v>
      </c>
      <c r="M14" s="60">
        <f t="shared" si="1"/>
        <v>12200</v>
      </c>
    </row>
    <row r="15" spans="1:13" ht="16.5" customHeight="1" x14ac:dyDescent="0.2">
      <c r="A15" s="70">
        <v>4</v>
      </c>
      <c r="B15" s="71"/>
      <c r="C15" s="193" t="str">
        <f>'Necesidades Trimestrales (2)'!E16</f>
        <v>CLOT CATCHER  X250 UN. TIPO ROCHE</v>
      </c>
      <c r="D15" s="78"/>
      <c r="E15" s="78"/>
      <c r="F15" s="78"/>
      <c r="G15" s="79"/>
      <c r="H15" s="72" t="s">
        <v>167</v>
      </c>
      <c r="I15" s="73" t="str">
        <f>'Necesidades Trimestrales (2)'!F16</f>
        <v>caja</v>
      </c>
      <c r="J15" s="74">
        <f>'Necesidades Trimestrales (2)'!AT16</f>
        <v>1592</v>
      </c>
      <c r="K15" s="75">
        <f>'Necesidades Trimestrales (2)'!AS16</f>
        <v>50</v>
      </c>
      <c r="L15" s="226">
        <f t="shared" si="0"/>
        <v>79600</v>
      </c>
      <c r="M15" s="60">
        <f t="shared" si="1"/>
        <v>79600</v>
      </c>
    </row>
    <row r="16" spans="1:13" ht="16.5" customHeight="1" x14ac:dyDescent="0.2">
      <c r="A16" s="70">
        <v>5</v>
      </c>
      <c r="B16" s="71"/>
      <c r="C16" s="193" t="str">
        <f>'Necesidades Trimestrales (2)'!E17</f>
        <v>COBAS LAMPARA HALOGENA Tipo ROCHE C311</v>
      </c>
      <c r="D16" s="78"/>
      <c r="E16" s="78"/>
      <c r="F16" s="78"/>
      <c r="G16" s="79"/>
      <c r="H16" s="72" t="s">
        <v>167</v>
      </c>
      <c r="I16" s="73" t="str">
        <f>'Necesidades Trimestrales (2)'!F17</f>
        <v>UNIDAD</v>
      </c>
      <c r="J16" s="74">
        <f>'Necesidades Trimestrales (2)'!AT17</f>
        <v>64983</v>
      </c>
      <c r="K16" s="75">
        <f>'Necesidades Trimestrales (2)'!AS17</f>
        <v>6</v>
      </c>
      <c r="L16" s="226">
        <f t="shared" si="0"/>
        <v>389898</v>
      </c>
      <c r="M16" s="60">
        <f t="shared" si="1"/>
        <v>389898</v>
      </c>
    </row>
    <row r="17" spans="1:13" ht="16.5" customHeight="1" x14ac:dyDescent="0.2">
      <c r="A17" s="70">
        <v>6</v>
      </c>
      <c r="B17" s="71"/>
      <c r="C17" s="193" t="str">
        <f>'Necesidades Trimestrales (2)'!E18</f>
        <v>Cubetas Serie X 500 Un. Tipo TECO GMBH (Alemania)</v>
      </c>
      <c r="D17" s="78"/>
      <c r="E17" s="78"/>
      <c r="F17" s="78"/>
      <c r="G17" s="79"/>
      <c r="H17" s="72" t="s">
        <v>167</v>
      </c>
      <c r="I17" s="73" t="str">
        <f>'Necesidades Trimestrales (2)'!F18</f>
        <v>CAJA</v>
      </c>
      <c r="J17" s="74">
        <f>'Necesidades Trimestrales (2)'!AT18</f>
        <v>10281</v>
      </c>
      <c r="K17" s="75">
        <f>'Necesidades Trimestrales (2)'!AS18</f>
        <v>30</v>
      </c>
      <c r="L17" s="226">
        <f t="shared" si="0"/>
        <v>308430</v>
      </c>
      <c r="M17" s="60">
        <f t="shared" si="1"/>
        <v>308430</v>
      </c>
    </row>
    <row r="18" spans="1:13" ht="16.5" customHeight="1" x14ac:dyDescent="0.2">
      <c r="A18" s="70">
        <v>7</v>
      </c>
      <c r="B18" s="71"/>
      <c r="C18" s="193" t="str">
        <f>'Necesidades Trimestrales (2)'!E19</f>
        <v>Cubreobjetos HDA 20x20 MM x 200 U Tipo KINDER</v>
      </c>
      <c r="D18" s="78"/>
      <c r="E18" s="78"/>
      <c r="F18" s="78"/>
      <c r="G18" s="79"/>
      <c r="H18" s="72" t="s">
        <v>167</v>
      </c>
      <c r="I18" s="73" t="str">
        <f>'Necesidades Trimestrales (2)'!F19</f>
        <v>CAJA</v>
      </c>
      <c r="J18" s="74">
        <f>'Necesidades Trimestrales (2)'!AT19</f>
        <v>240</v>
      </c>
      <c r="K18" s="75">
        <f>'Necesidades Trimestrales (2)'!AS19</f>
        <v>500</v>
      </c>
      <c r="L18" s="226">
        <f t="shared" si="0"/>
        <v>120000</v>
      </c>
      <c r="M18" s="60">
        <f t="shared" si="1"/>
        <v>120000</v>
      </c>
    </row>
    <row r="19" spans="1:13" ht="16.5" customHeight="1" x14ac:dyDescent="0.2">
      <c r="A19" s="70">
        <v>8</v>
      </c>
      <c r="B19" s="71"/>
      <c r="C19" s="193" t="str">
        <f>'Necesidades Trimestrales (2)'!E21</f>
        <v>ETIQUETAS PARA IMPRESORA ZEBRA X1800 UNIDAD. TIPO ITECRA</v>
      </c>
      <c r="D19" s="78"/>
      <c r="E19" s="78"/>
      <c r="F19" s="78"/>
      <c r="G19" s="79"/>
      <c r="H19" s="72" t="s">
        <v>167</v>
      </c>
      <c r="I19" s="73" t="str">
        <f>'Necesidades Trimestrales (2)'!F21</f>
        <v>CAJA</v>
      </c>
      <c r="J19" s="74">
        <f>'Necesidades Trimestrales (2)'!AT21</f>
        <v>1118</v>
      </c>
      <c r="K19" s="75">
        <f>'Necesidades Trimestrales (2)'!AS21</f>
        <v>60</v>
      </c>
      <c r="L19" s="226">
        <f t="shared" si="0"/>
        <v>67080</v>
      </c>
      <c r="M19" s="60">
        <f t="shared" si="1"/>
        <v>67080</v>
      </c>
    </row>
    <row r="20" spans="1:13" ht="16.5" customHeight="1" x14ac:dyDescent="0.2">
      <c r="A20" s="70">
        <v>9</v>
      </c>
      <c r="B20" s="71"/>
      <c r="C20" s="193" t="str">
        <f>'Necesidades Trimestrales (2)'!E22</f>
        <v>Frasco de Bioseguridad Triple envase Tipo SISTEG M6</v>
      </c>
      <c r="D20" s="78"/>
      <c r="E20" s="78"/>
      <c r="F20" s="78"/>
      <c r="G20" s="79"/>
      <c r="H20" s="72" t="s">
        <v>167</v>
      </c>
      <c r="I20" s="73" t="str">
        <f>'Necesidades Trimestrales (2)'!F22</f>
        <v>unidad</v>
      </c>
      <c r="J20" s="74">
        <f>'Necesidades Trimestrales (2)'!AT22</f>
        <v>4780</v>
      </c>
      <c r="K20" s="75">
        <f>'Necesidades Trimestrales (2)'!AS22</f>
        <v>100</v>
      </c>
      <c r="L20" s="226">
        <f t="shared" si="0"/>
        <v>478000</v>
      </c>
      <c r="M20" s="60">
        <f t="shared" si="1"/>
        <v>478000</v>
      </c>
    </row>
    <row r="21" spans="1:13" ht="16.5" customHeight="1" x14ac:dyDescent="0.2">
      <c r="A21" s="70">
        <v>10</v>
      </c>
      <c r="B21" s="71"/>
      <c r="C21" s="193" t="str">
        <f>'Necesidades Trimestrales (2)'!E23</f>
        <v>Gas calibracion OSMETECH Optti</v>
      </c>
      <c r="D21" s="78"/>
      <c r="E21" s="78"/>
      <c r="F21" s="78"/>
      <c r="G21" s="79"/>
      <c r="H21" s="72" t="s">
        <v>167</v>
      </c>
      <c r="I21" s="73" t="str">
        <f>'Necesidades Trimestrales (2)'!F23</f>
        <v>unidad</v>
      </c>
      <c r="J21" s="74">
        <f>'Necesidades Trimestrales (2)'!AT23</f>
        <v>3900</v>
      </c>
      <c r="K21" s="75">
        <f>'Necesidades Trimestrales (2)'!AS23</f>
        <v>5</v>
      </c>
      <c r="L21" s="226">
        <f t="shared" si="0"/>
        <v>19500</v>
      </c>
      <c r="M21" s="60">
        <f t="shared" si="1"/>
        <v>19500</v>
      </c>
    </row>
    <row r="22" spans="1:13" ht="16.5" customHeight="1" x14ac:dyDescent="0.2">
      <c r="A22" s="70">
        <v>11</v>
      </c>
      <c r="B22" s="71"/>
      <c r="C22" s="193" t="str">
        <f>'Necesidades Trimestrales (2)'!E24</f>
        <v>Gradilla alambre / plastico 24 Tubos 30 MM Tipo ARGA</v>
      </c>
      <c r="D22" s="78"/>
      <c r="E22" s="78"/>
      <c r="F22" s="78"/>
      <c r="G22" s="79"/>
      <c r="H22" s="72" t="s">
        <v>167</v>
      </c>
      <c r="I22" s="73" t="str">
        <f>'Necesidades Trimestrales (2)'!F24</f>
        <v>unidad</v>
      </c>
      <c r="J22" s="74">
        <f>'Necesidades Trimestrales (2)'!AT24</f>
        <v>810</v>
      </c>
      <c r="K22" s="75">
        <f>'Necesidades Trimestrales (2)'!AS24</f>
        <v>20</v>
      </c>
      <c r="L22" s="226">
        <f t="shared" si="0"/>
        <v>16200</v>
      </c>
      <c r="M22" s="60">
        <f t="shared" si="1"/>
        <v>16200</v>
      </c>
    </row>
    <row r="23" spans="1:13" ht="16.5" customHeight="1" x14ac:dyDescent="0.2">
      <c r="A23" s="70">
        <v>12</v>
      </c>
      <c r="B23" s="71"/>
      <c r="C23" s="193" t="str">
        <f>'Necesidades Trimestrales (2)'!E25</f>
        <v>Gradilla alambre / plastico 48 Tubos 30 MM Tipo ARGA</v>
      </c>
      <c r="D23" s="78"/>
      <c r="E23" s="78"/>
      <c r="F23" s="78"/>
      <c r="G23" s="79"/>
      <c r="H23" s="72" t="s">
        <v>167</v>
      </c>
      <c r="I23" s="73" t="str">
        <f>'Necesidades Trimestrales (2)'!F25</f>
        <v>unidad</v>
      </c>
      <c r="J23" s="74">
        <f>'Necesidades Trimestrales (2)'!AT25</f>
        <v>850</v>
      </c>
      <c r="K23" s="75">
        <f>'Necesidades Trimestrales (2)'!AS25</f>
        <v>20</v>
      </c>
      <c r="L23" s="226">
        <f t="shared" si="0"/>
        <v>17000</v>
      </c>
      <c r="M23" s="60">
        <f t="shared" si="1"/>
        <v>17000</v>
      </c>
    </row>
    <row r="24" spans="1:13" ht="16.5" customHeight="1" x14ac:dyDescent="0.2">
      <c r="A24" s="70">
        <v>13</v>
      </c>
      <c r="B24" s="71"/>
      <c r="C24" s="193" t="str">
        <f>'Necesidades Trimestrales (2)'!E26</f>
        <v>Gradilla PP resistente 80ºC 80 Tubos Eppendorf Tipo DELTALAB</v>
      </c>
      <c r="D24" s="78"/>
      <c r="E24" s="78"/>
      <c r="F24" s="78"/>
      <c r="G24" s="79"/>
      <c r="H24" s="72" t="s">
        <v>167</v>
      </c>
      <c r="I24" s="73" t="str">
        <f>'Necesidades Trimestrales (2)'!F26</f>
        <v>unidad</v>
      </c>
      <c r="J24" s="74">
        <f>'Necesidades Trimestrales (2)'!AT26</f>
        <v>2100</v>
      </c>
      <c r="K24" s="75">
        <f>'Necesidades Trimestrales (2)'!AS26</f>
        <v>50</v>
      </c>
      <c r="L24" s="226">
        <f t="shared" si="0"/>
        <v>105000</v>
      </c>
      <c r="M24" s="60">
        <f t="shared" si="1"/>
        <v>105000</v>
      </c>
    </row>
    <row r="25" spans="1:13" ht="18.75" customHeight="1" x14ac:dyDescent="0.2">
      <c r="A25" s="70">
        <v>14</v>
      </c>
      <c r="B25" s="82"/>
      <c r="C25" s="193" t="str">
        <f>'Necesidades Trimestrales (2)'!E28</f>
        <v xml:space="preserve">HISOPOS NASOFARINGEOS </v>
      </c>
      <c r="D25" s="80"/>
      <c r="E25" s="80"/>
      <c r="F25" s="80"/>
      <c r="G25" s="81"/>
      <c r="H25" s="72" t="s">
        <v>167</v>
      </c>
      <c r="I25" s="73" t="str">
        <f>'Necesidades Trimestrales (2)'!F28</f>
        <v>UNIDAD</v>
      </c>
      <c r="J25" s="74">
        <f>'Necesidades Trimestrales (2)'!AT28</f>
        <v>92</v>
      </c>
      <c r="K25" s="75">
        <f>'Necesidades Trimestrales (2)'!AS28</f>
        <v>50000</v>
      </c>
      <c r="L25" s="226">
        <f t="shared" si="0"/>
        <v>4600000</v>
      </c>
      <c r="M25" s="60">
        <f t="shared" si="1"/>
        <v>4600000</v>
      </c>
    </row>
    <row r="26" spans="1:13" ht="18.75" customHeight="1" x14ac:dyDescent="0.2">
      <c r="A26" s="70">
        <v>15</v>
      </c>
      <c r="B26" s="82"/>
      <c r="C26" s="193" t="str">
        <f>'Necesidades Trimestrales (2)'!E29</f>
        <v>JERINGAS CON HEPARINA PARA GASES 3 ml TIPO ROCHE</v>
      </c>
      <c r="D26" s="80"/>
      <c r="E26" s="80"/>
      <c r="F26" s="80"/>
      <c r="G26" s="81"/>
      <c r="H26" s="72" t="s">
        <v>167</v>
      </c>
      <c r="I26" s="73" t="str">
        <f>'Necesidades Trimestrales (2)'!F29</f>
        <v>UNIDAD</v>
      </c>
      <c r="J26" s="74">
        <f>'Necesidades Trimestrales (2)'!AT29</f>
        <v>78.8</v>
      </c>
      <c r="K26" s="75">
        <f>'Necesidades Trimestrales (2)'!AS29</f>
        <v>8000</v>
      </c>
      <c r="L26" s="226">
        <f t="shared" si="0"/>
        <v>630400</v>
      </c>
      <c r="M26" s="60">
        <f t="shared" si="1"/>
        <v>630400</v>
      </c>
    </row>
    <row r="27" spans="1:13" ht="18.75" customHeight="1" x14ac:dyDescent="0.2">
      <c r="A27" s="70">
        <v>16</v>
      </c>
      <c r="B27" s="82"/>
      <c r="C27" s="193" t="str">
        <f>'Necesidades Trimestrales (2)'!E30</f>
        <v>lampara para METROLAB  A6 W10</v>
      </c>
      <c r="D27" s="80"/>
      <c r="E27" s="80"/>
      <c r="F27" s="80"/>
      <c r="G27" s="81"/>
      <c r="H27" s="72" t="s">
        <v>167</v>
      </c>
      <c r="I27" s="73" t="str">
        <f>'Necesidades Trimestrales (2)'!F30</f>
        <v>UNIDAD</v>
      </c>
      <c r="J27" s="74">
        <f>'Necesidades Trimestrales (2)'!AT30</f>
        <v>1625</v>
      </c>
      <c r="K27" s="75">
        <f>'Necesidades Trimestrales (2)'!AS30</f>
        <v>20</v>
      </c>
      <c r="L27" s="226">
        <f t="shared" si="0"/>
        <v>32500</v>
      </c>
      <c r="M27" s="60">
        <f t="shared" si="1"/>
        <v>32500</v>
      </c>
    </row>
    <row r="28" spans="1:13" ht="18.75" customHeight="1" x14ac:dyDescent="0.2">
      <c r="A28" s="70">
        <v>17</v>
      </c>
      <c r="B28" s="82"/>
      <c r="C28" s="193" t="str">
        <f>'Necesidades Trimestrales (2)'!E31</f>
        <v>MICROPIPETA REGULABLE 100 A 1000 UL TIPO SOCOREX</v>
      </c>
      <c r="D28" s="80"/>
      <c r="E28" s="80"/>
      <c r="F28" s="80"/>
      <c r="G28" s="81"/>
      <c r="H28" s="72" t="s">
        <v>167</v>
      </c>
      <c r="I28" s="73" t="str">
        <f>'Necesidades Trimestrales (2)'!F31</f>
        <v>UNIDAD</v>
      </c>
      <c r="J28" s="74">
        <f>'Necesidades Trimestrales (2)'!AT31</f>
        <v>70576</v>
      </c>
      <c r="K28" s="75">
        <v>10</v>
      </c>
      <c r="L28" s="226">
        <f t="shared" si="0"/>
        <v>705760</v>
      </c>
      <c r="M28" s="60">
        <f t="shared" si="1"/>
        <v>705760</v>
      </c>
    </row>
    <row r="29" spans="1:13" ht="18.75" customHeight="1" x14ac:dyDescent="0.2">
      <c r="A29" s="70">
        <v>18</v>
      </c>
      <c r="B29" s="82"/>
      <c r="C29" s="193" t="str">
        <f>'Necesidades Trimestrales (2)'!E33</f>
        <v>Microtubo Eppendorf Autoclavable 1,5 Ml Tipo DELTALAB</v>
      </c>
      <c r="D29" s="80"/>
      <c r="E29" s="80"/>
      <c r="F29" s="80"/>
      <c r="G29" s="81"/>
      <c r="H29" s="72" t="s">
        <v>167</v>
      </c>
      <c r="I29" s="73" t="str">
        <f>'Necesidades Trimestrales (2)'!F33</f>
        <v>unidad</v>
      </c>
      <c r="J29" s="74">
        <f>'Necesidades Trimestrales (2)'!AT33</f>
        <v>4</v>
      </c>
      <c r="K29" s="75">
        <f>'Necesidades Trimestrales (2)'!AS33</f>
        <v>80000</v>
      </c>
      <c r="L29" s="226">
        <f t="shared" si="0"/>
        <v>320000</v>
      </c>
      <c r="M29" s="60">
        <f t="shared" si="1"/>
        <v>320000</v>
      </c>
    </row>
    <row r="30" spans="1:13" ht="18.75" customHeight="1" x14ac:dyDescent="0.2">
      <c r="A30" s="70">
        <v>19</v>
      </c>
      <c r="B30" s="82"/>
      <c r="C30" s="193" t="str">
        <f>'Necesidades Trimestrales (2)'!E35</f>
        <v>Portaobjetos borde sin pulir 50 U Tipo BREMEN</v>
      </c>
      <c r="D30" s="80"/>
      <c r="E30" s="80"/>
      <c r="F30" s="80"/>
      <c r="G30" s="81"/>
      <c r="H30" s="72" t="s">
        <v>167</v>
      </c>
      <c r="I30" s="73" t="str">
        <f>'Necesidades Trimestrales (2)'!F35</f>
        <v>CAJA</v>
      </c>
      <c r="J30" s="74">
        <f>'Necesidades Trimestrales (2)'!AT35</f>
        <v>187</v>
      </c>
      <c r="K30" s="75">
        <f>'Necesidades Trimestrales (2)'!AS35</f>
        <v>500</v>
      </c>
      <c r="L30" s="226">
        <f t="shared" si="0"/>
        <v>93500</v>
      </c>
      <c r="M30" s="60">
        <f t="shared" si="1"/>
        <v>93500</v>
      </c>
    </row>
    <row r="31" spans="1:13" ht="18.75" customHeight="1" x14ac:dyDescent="0.2">
      <c r="A31" s="70">
        <v>20</v>
      </c>
      <c r="B31" s="82"/>
      <c r="C31" s="193" t="str">
        <f>'Necesidades Trimestrales (2)'!E36</f>
        <v>ROLLO DE PAPEL IMPRESORA COBAS B221 TIPO ROCHE X 6 UN.</v>
      </c>
      <c r="D31" s="80"/>
      <c r="E31" s="80"/>
      <c r="F31" s="80"/>
      <c r="G31" s="81"/>
      <c r="H31" s="72" t="s">
        <v>167</v>
      </c>
      <c r="I31" s="73" t="str">
        <f>'Necesidades Trimestrales (2)'!F36</f>
        <v>CAJA</v>
      </c>
      <c r="J31" s="74">
        <f>'Necesidades Trimestrales (2)'!AT36</f>
        <v>3930</v>
      </c>
      <c r="K31" s="75">
        <f>'Necesidades Trimestrales (2)'!AS36</f>
        <v>5</v>
      </c>
      <c r="L31" s="226">
        <f t="shared" si="0"/>
        <v>19650</v>
      </c>
      <c r="M31" s="60">
        <f t="shared" si="1"/>
        <v>19650</v>
      </c>
    </row>
    <row r="32" spans="1:13" ht="18.75" customHeight="1" x14ac:dyDescent="0.2">
      <c r="A32" s="70">
        <v>21</v>
      </c>
      <c r="B32" s="82"/>
      <c r="C32" s="193" t="str">
        <f>'Necesidades Trimestrales (2)'!E37</f>
        <v>Rollo de papel para Counter Liso para Desfribilador 50 MM Tipo CARDIO CHARTS</v>
      </c>
      <c r="D32" s="80"/>
      <c r="E32" s="80"/>
      <c r="F32" s="80"/>
      <c r="G32" s="81"/>
      <c r="H32" s="72" t="s">
        <v>167</v>
      </c>
      <c r="I32" s="73" t="str">
        <f>'Necesidades Trimestrales (2)'!F37</f>
        <v>rollo</v>
      </c>
      <c r="J32" s="74">
        <f>'Necesidades Trimestrales (2)'!AT37</f>
        <v>131</v>
      </c>
      <c r="K32" s="75">
        <f>'Necesidades Trimestrales (2)'!AS37</f>
        <v>200</v>
      </c>
      <c r="L32" s="226">
        <f t="shared" si="0"/>
        <v>26200</v>
      </c>
      <c r="M32" s="60">
        <f t="shared" si="1"/>
        <v>26200</v>
      </c>
    </row>
    <row r="33" spans="1:13" ht="18.75" customHeight="1" x14ac:dyDescent="0.2">
      <c r="A33" s="70">
        <v>22</v>
      </c>
      <c r="B33" s="82"/>
      <c r="C33" s="193" t="str">
        <f>'Necesidades Trimestrales (2)'!E38</f>
        <v>rollo de papel para MINIVIDAS x5 unidades</v>
      </c>
      <c r="D33" s="80"/>
      <c r="E33" s="80"/>
      <c r="F33" s="80"/>
      <c r="G33" s="81"/>
      <c r="H33" s="72" t="s">
        <v>167</v>
      </c>
      <c r="I33" s="73" t="str">
        <f>'Necesidades Trimestrales (2)'!F38</f>
        <v>pack</v>
      </c>
      <c r="J33" s="74">
        <f>'Necesidades Trimestrales (2)'!AT38</f>
        <v>3900</v>
      </c>
      <c r="K33" s="75">
        <f>'Necesidades Trimestrales (2)'!AS38</f>
        <v>5</v>
      </c>
      <c r="L33" s="226">
        <f t="shared" si="0"/>
        <v>19500</v>
      </c>
      <c r="M33" s="60">
        <f t="shared" si="1"/>
        <v>19500</v>
      </c>
    </row>
    <row r="34" spans="1:13" ht="18.75" customHeight="1" x14ac:dyDescent="0.2">
      <c r="A34" s="70">
        <v>23</v>
      </c>
      <c r="B34" s="82"/>
      <c r="C34" s="193" t="str">
        <f>'Necesidades Trimestrales (2)'!E42</f>
        <v xml:space="preserve">Tubo con citrato tapa celeste para coagulograma 1 ml </v>
      </c>
      <c r="D34" s="80"/>
      <c r="E34" s="80"/>
      <c r="F34" s="80"/>
      <c r="G34" s="81"/>
      <c r="H34" s="72" t="s">
        <v>167</v>
      </c>
      <c r="I34" s="73" t="str">
        <f>'Necesidades Trimestrales (2)'!F42</f>
        <v>unidad</v>
      </c>
      <c r="J34" s="74">
        <f>'Necesidades Trimestrales (2)'!AT42</f>
        <v>15</v>
      </c>
      <c r="K34" s="75">
        <f>'Necesidades Trimestrales (2)'!AS42</f>
        <v>3000</v>
      </c>
      <c r="L34" s="226">
        <f t="shared" si="0"/>
        <v>45000</v>
      </c>
      <c r="M34" s="60">
        <f t="shared" si="1"/>
        <v>45000</v>
      </c>
    </row>
    <row r="35" spans="1:13" ht="18.75" customHeight="1" x14ac:dyDescent="0.2">
      <c r="A35" s="70">
        <v>24</v>
      </c>
      <c r="B35" s="82"/>
      <c r="C35" s="193" t="str">
        <f>'Necesidades Trimestrales (2)'!E43</f>
        <v>Tubo con Edta 0.6 ml</v>
      </c>
      <c r="D35" s="80"/>
      <c r="E35" s="80"/>
      <c r="F35" s="80"/>
      <c r="G35" s="81"/>
      <c r="H35" s="72" t="s">
        <v>167</v>
      </c>
      <c r="I35" s="73" t="str">
        <f>'Necesidades Trimestrales (2)'!F43</f>
        <v>unidad</v>
      </c>
      <c r="J35" s="74">
        <f>'Necesidades Trimestrales (2)'!AT43</f>
        <v>37</v>
      </c>
      <c r="K35" s="75">
        <f>'Necesidades Trimestrales (2)'!AS43</f>
        <v>8000</v>
      </c>
      <c r="L35" s="226">
        <f t="shared" si="0"/>
        <v>296000</v>
      </c>
      <c r="M35" s="60">
        <f t="shared" si="1"/>
        <v>296000</v>
      </c>
    </row>
    <row r="36" spans="1:13" ht="18.75" customHeight="1" x14ac:dyDescent="0.2">
      <c r="A36" s="70">
        <v>25</v>
      </c>
      <c r="B36" s="82"/>
      <c r="C36" s="193" t="str">
        <f>'Necesidades Trimestrales (2)'!E44</f>
        <v>Tubo para suero con gel tapa Amarilla 5 ML</v>
      </c>
      <c r="D36" s="80"/>
      <c r="E36" s="80"/>
      <c r="F36" s="80"/>
      <c r="G36" s="81"/>
      <c r="H36" s="72" t="s">
        <v>167</v>
      </c>
      <c r="I36" s="73" t="str">
        <f>'Necesidades Trimestrales (2)'!F44</f>
        <v>unidad</v>
      </c>
      <c r="J36" s="74">
        <f>'Necesidades Trimestrales (2)'!AT44</f>
        <v>35</v>
      </c>
      <c r="K36" s="75">
        <f>'Necesidades Trimestrales (2)'!AS44</f>
        <v>20000</v>
      </c>
      <c r="L36" s="226">
        <f t="shared" si="0"/>
        <v>700000</v>
      </c>
      <c r="M36" s="60">
        <f t="shared" si="1"/>
        <v>700000</v>
      </c>
    </row>
    <row r="37" spans="1:13" ht="15.75" thickBot="1" x14ac:dyDescent="0.25">
      <c r="A37" s="83"/>
      <c r="B37" s="84"/>
      <c r="C37" s="85"/>
      <c r="D37" s="86"/>
      <c r="E37" s="86"/>
      <c r="F37" s="86"/>
      <c r="G37" s="87"/>
      <c r="H37" s="88"/>
      <c r="I37" s="89"/>
      <c r="J37" s="90"/>
      <c r="K37" s="91"/>
      <c r="L37" s="226"/>
      <c r="M37" s="60">
        <f t="shared" si="1"/>
        <v>0</v>
      </c>
    </row>
    <row r="38" spans="1:13" ht="13.5" thickBot="1" x14ac:dyDescent="0.25">
      <c r="A38" s="244" t="s">
        <v>150</v>
      </c>
      <c r="B38" s="245"/>
      <c r="C38" s="245"/>
      <c r="D38" s="245"/>
      <c r="E38" s="245"/>
      <c r="F38" s="245"/>
      <c r="G38" s="245"/>
      <c r="H38" s="245"/>
      <c r="I38" s="246"/>
      <c r="J38" s="247">
        <f>SUM(L12:L36)</f>
        <v>10336658</v>
      </c>
      <c r="K38" s="248"/>
      <c r="L38" s="226"/>
      <c r="M38" s="60">
        <f>SUM(M12:M37)</f>
        <v>10336658</v>
      </c>
    </row>
    <row r="39" spans="1:13" x14ac:dyDescent="0.2">
      <c r="L39" s="226"/>
    </row>
    <row r="40" spans="1:13" x14ac:dyDescent="0.2">
      <c r="L40" s="226"/>
    </row>
  </sheetData>
  <mergeCells count="18">
    <mergeCell ref="A38:I38"/>
    <mergeCell ref="J38:K3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7:C7"/>
    <mergeCell ref="D7:K7"/>
    <mergeCell ref="A1:I1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workbookViewId="0">
      <selection activeCell="L20" sqref="L20"/>
    </sheetView>
  </sheetViews>
  <sheetFormatPr baseColWidth="10" defaultRowHeight="12.75" x14ac:dyDescent="0.2"/>
  <cols>
    <col min="1" max="5" width="4.42578125" customWidth="1"/>
    <col min="6" max="6" width="5.5703125" customWidth="1"/>
    <col min="7" max="14" width="4.42578125" customWidth="1"/>
    <col min="15" max="16" width="14.85546875" customWidth="1"/>
    <col min="17" max="17" width="17.7109375" customWidth="1"/>
  </cols>
  <sheetData>
    <row r="1" spans="1:17" ht="18.75" customHeight="1" thickBot="1" x14ac:dyDescent="0.3">
      <c r="A1" s="262" t="s">
        <v>2</v>
      </c>
      <c r="B1" s="262"/>
      <c r="C1" s="262"/>
      <c r="D1" s="263">
        <v>2021</v>
      </c>
      <c r="E1" s="263"/>
      <c r="F1" s="92"/>
      <c r="G1" s="92"/>
      <c r="H1" s="93"/>
      <c r="I1" s="93"/>
      <c r="J1" s="93"/>
      <c r="K1" s="93"/>
      <c r="L1" s="93"/>
      <c r="M1" s="93"/>
      <c r="N1" s="93"/>
      <c r="O1" s="94"/>
      <c r="P1" s="264" t="s">
        <v>116</v>
      </c>
      <c r="Q1" s="264"/>
    </row>
    <row r="2" spans="1:17" ht="18.75" customHeight="1" thickBot="1" x14ac:dyDescent="0.25">
      <c r="A2" s="94"/>
      <c r="B2" s="94"/>
      <c r="C2" s="94"/>
      <c r="D2" s="94"/>
      <c r="E2" s="94"/>
      <c r="F2" s="94"/>
      <c r="G2" s="95"/>
      <c r="H2" s="93"/>
      <c r="I2" s="93"/>
      <c r="J2" s="93"/>
      <c r="K2" s="93"/>
      <c r="L2" s="93"/>
      <c r="M2" s="93"/>
      <c r="N2" s="93"/>
      <c r="O2" s="94"/>
      <c r="P2" s="264"/>
      <c r="Q2" s="264"/>
    </row>
    <row r="3" spans="1:17" ht="18.75" customHeight="1" thickBot="1" x14ac:dyDescent="0.25">
      <c r="A3" s="94"/>
      <c r="B3" s="94"/>
      <c r="C3" s="94"/>
      <c r="D3" s="94"/>
      <c r="E3" s="94"/>
      <c r="F3" s="94"/>
      <c r="G3" s="95"/>
      <c r="H3" s="94"/>
      <c r="I3" s="94"/>
      <c r="J3" s="94"/>
      <c r="K3" s="94"/>
      <c r="L3" s="94"/>
      <c r="M3" s="94"/>
      <c r="N3" s="94"/>
      <c r="O3" s="94"/>
      <c r="P3" s="94"/>
      <c r="Q3" s="94"/>
    </row>
    <row r="4" spans="1:17" ht="18.75" customHeight="1" thickBot="1" x14ac:dyDescent="0.25">
      <c r="A4" s="265" t="s">
        <v>117</v>
      </c>
      <c r="B4" s="265"/>
      <c r="C4" s="265"/>
      <c r="D4" s="265"/>
      <c r="E4" s="265"/>
      <c r="F4" s="265"/>
      <c r="G4" s="96" t="str">
        <f>'NP LAB'!D3</f>
        <v>040 - Ministerio de Salud</v>
      </c>
      <c r="H4" s="97"/>
      <c r="I4" s="97"/>
      <c r="J4" s="97"/>
      <c r="K4" s="97"/>
      <c r="L4" s="97"/>
      <c r="M4" s="97"/>
      <c r="N4" s="97"/>
      <c r="O4" s="97"/>
      <c r="P4" s="97"/>
      <c r="Q4" s="98"/>
    </row>
    <row r="5" spans="1:17" ht="18.75" customHeight="1" thickBot="1" x14ac:dyDescent="0.25">
      <c r="A5" s="259" t="s">
        <v>103</v>
      </c>
      <c r="B5" s="260"/>
      <c r="C5" s="260"/>
      <c r="D5" s="260"/>
      <c r="E5" s="260"/>
      <c r="F5" s="261"/>
      <c r="G5" s="96" t="str">
        <f>'NP LAB'!D4</f>
        <v>011 - Direccion Provincial de Administración - Ministerio de Salud</v>
      </c>
      <c r="H5" s="97"/>
      <c r="I5" s="97"/>
      <c r="J5" s="97"/>
      <c r="K5" s="97"/>
      <c r="L5" s="97"/>
      <c r="M5" s="97"/>
      <c r="N5" s="97"/>
      <c r="O5" s="97"/>
      <c r="P5" s="97"/>
      <c r="Q5" s="98"/>
    </row>
    <row r="6" spans="1:17" ht="18.75" customHeight="1" thickBot="1" x14ac:dyDescent="0.25">
      <c r="A6" s="259" t="s">
        <v>105</v>
      </c>
      <c r="B6" s="260"/>
      <c r="C6" s="260"/>
      <c r="D6" s="260"/>
      <c r="E6" s="260"/>
      <c r="F6" s="261"/>
      <c r="G6" s="96" t="str">
        <f>'NP LAB'!D5</f>
        <v>468 - DIRECCION PROVINCIAL DE LABORATORIO</v>
      </c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1:17" ht="18.75" customHeight="1" thickBot="1" x14ac:dyDescent="0.25">
      <c r="A7" s="259" t="s">
        <v>106</v>
      </c>
      <c r="B7" s="260"/>
      <c r="C7" s="260"/>
      <c r="D7" s="260"/>
      <c r="E7" s="260"/>
      <c r="F7" s="261"/>
      <c r="G7" s="96" t="str">
        <f>'NP LAB'!D6</f>
        <v>468 - DIRECCION PROVINCIAL DE LABORATORIO</v>
      </c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1:17" ht="18.75" customHeight="1" thickBot="1" x14ac:dyDescent="0.25">
      <c r="A8" s="267" t="s">
        <v>118</v>
      </c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</row>
    <row r="9" spans="1:17" ht="18.75" customHeight="1" x14ac:dyDescent="0.2">
      <c r="A9" s="268" t="s">
        <v>119</v>
      </c>
      <c r="B9" s="268"/>
      <c r="C9" s="268"/>
      <c r="D9" s="268"/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99"/>
      <c r="P9" s="99"/>
      <c r="Q9" s="100"/>
    </row>
    <row r="10" spans="1:17" ht="48.75" customHeight="1" x14ac:dyDescent="0.2">
      <c r="A10" s="269" t="s">
        <v>163</v>
      </c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1"/>
    </row>
    <row r="11" spans="1:17" ht="18.75" customHeight="1" thickBot="1" x14ac:dyDescent="0.25">
      <c r="A11" s="101"/>
      <c r="B11" s="102"/>
      <c r="C11" s="102"/>
      <c r="D11" s="102"/>
      <c r="E11" s="102"/>
      <c r="F11" s="102"/>
      <c r="G11" s="103"/>
      <c r="H11" s="102"/>
      <c r="I11" s="102"/>
      <c r="J11" s="102"/>
      <c r="K11" s="102"/>
      <c r="L11" s="102"/>
      <c r="M11" s="102"/>
      <c r="N11" s="102"/>
      <c r="O11" s="102"/>
      <c r="P11" s="102"/>
      <c r="Q11" s="104"/>
    </row>
    <row r="12" spans="1:17" ht="18.75" customHeight="1" thickBot="1" x14ac:dyDescent="0.25">
      <c r="A12" s="272" t="s">
        <v>120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 s="272"/>
      <c r="M12" s="272"/>
      <c r="N12" s="272"/>
      <c r="O12" s="272"/>
      <c r="P12" s="272"/>
      <c r="Q12" s="272"/>
    </row>
    <row r="13" spans="1:17" ht="18.75" customHeight="1" thickBot="1" x14ac:dyDescent="0.25">
      <c r="A13" s="273" t="s">
        <v>121</v>
      </c>
      <c r="B13" s="273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4" t="s">
        <v>122</v>
      </c>
      <c r="P13" s="274"/>
      <c r="Q13" s="275" t="s">
        <v>123</v>
      </c>
    </row>
    <row r="14" spans="1:17" ht="18.75" customHeight="1" thickBot="1" x14ac:dyDescent="0.25">
      <c r="A14" s="105" t="s">
        <v>124</v>
      </c>
      <c r="B14" s="106" t="s">
        <v>125</v>
      </c>
      <c r="C14" s="106" t="s">
        <v>126</v>
      </c>
      <c r="D14" s="106" t="s">
        <v>127</v>
      </c>
      <c r="E14" s="106" t="s">
        <v>128</v>
      </c>
      <c r="F14" s="106" t="s">
        <v>129</v>
      </c>
      <c r="G14" s="107" t="s">
        <v>130</v>
      </c>
      <c r="H14" s="106" t="s">
        <v>131</v>
      </c>
      <c r="I14" s="106" t="s">
        <v>132</v>
      </c>
      <c r="J14" s="106" t="s">
        <v>133</v>
      </c>
      <c r="K14" s="106" t="s">
        <v>133</v>
      </c>
      <c r="L14" s="106" t="s">
        <v>134</v>
      </c>
      <c r="M14" s="108" t="s">
        <v>135</v>
      </c>
      <c r="N14" s="109" t="s">
        <v>136</v>
      </c>
      <c r="O14" s="274"/>
      <c r="P14" s="274"/>
      <c r="Q14" s="275"/>
    </row>
    <row r="15" spans="1:17" ht="51" customHeight="1" x14ac:dyDescent="0.2">
      <c r="A15" s="110">
        <v>62</v>
      </c>
      <c r="B15" s="111"/>
      <c r="C15" s="111"/>
      <c r="D15" s="111">
        <v>1</v>
      </c>
      <c r="E15" s="111"/>
      <c r="F15" s="111">
        <v>4901</v>
      </c>
      <c r="G15" s="111">
        <v>3</v>
      </c>
      <c r="H15" s="111">
        <v>1</v>
      </c>
      <c r="I15" s="112">
        <v>2</v>
      </c>
      <c r="J15" s="112">
        <v>9</v>
      </c>
      <c r="K15" s="112">
        <v>5</v>
      </c>
      <c r="L15" s="111"/>
      <c r="M15" s="113">
        <v>1</v>
      </c>
      <c r="N15" s="114" t="s">
        <v>137</v>
      </c>
      <c r="O15" s="276" t="s">
        <v>149</v>
      </c>
      <c r="P15" s="277"/>
      <c r="Q15" s="115">
        <f>'NP LAB'!M38-Q16-Q17</f>
        <v>9781830</v>
      </c>
    </row>
    <row r="16" spans="1:17" ht="18.75" customHeight="1" x14ac:dyDescent="0.2">
      <c r="A16" s="116">
        <v>62</v>
      </c>
      <c r="B16" s="117"/>
      <c r="C16" s="117"/>
      <c r="D16" s="117">
        <v>1</v>
      </c>
      <c r="E16" s="117"/>
      <c r="F16" s="117">
        <v>4901</v>
      </c>
      <c r="G16" s="117">
        <v>3</v>
      </c>
      <c r="H16" s="117">
        <v>1</v>
      </c>
      <c r="I16" s="117">
        <v>2</v>
      </c>
      <c r="J16" s="117">
        <v>3</v>
      </c>
      <c r="K16" s="117">
        <v>4</v>
      </c>
      <c r="L16" s="117"/>
      <c r="M16" s="118">
        <v>1</v>
      </c>
      <c r="N16" s="119" t="s">
        <v>137</v>
      </c>
      <c r="O16" s="278" t="s">
        <v>166</v>
      </c>
      <c r="P16" s="266"/>
      <c r="Q16" s="120">
        <f>+'NP LAB'!L31+'NP LAB'!L32+'NP LAB'!L33+'NP LAB'!M19</f>
        <v>132430</v>
      </c>
    </row>
    <row r="17" spans="1:17" ht="18.75" customHeight="1" x14ac:dyDescent="0.2">
      <c r="A17" s="116">
        <v>62</v>
      </c>
      <c r="B17" s="117"/>
      <c r="C17" s="117"/>
      <c r="D17" s="117">
        <v>1</v>
      </c>
      <c r="E17" s="117"/>
      <c r="F17" s="119">
        <v>4901</v>
      </c>
      <c r="G17" s="117">
        <v>3</v>
      </c>
      <c r="H17" s="117">
        <v>1</v>
      </c>
      <c r="I17" s="117">
        <v>2</v>
      </c>
      <c r="J17" s="117">
        <v>9</v>
      </c>
      <c r="K17" s="117">
        <v>3</v>
      </c>
      <c r="L17" s="117"/>
      <c r="M17" s="118">
        <v>1</v>
      </c>
      <c r="N17" s="119" t="s">
        <v>137</v>
      </c>
      <c r="O17" s="278" t="s">
        <v>168</v>
      </c>
      <c r="P17" s="266"/>
      <c r="Q17" s="120">
        <f>+'NP LAB'!L16+'NP LAB'!L27</f>
        <v>422398</v>
      </c>
    </row>
    <row r="18" spans="1:17" ht="18.75" customHeight="1" x14ac:dyDescent="0.2">
      <c r="A18" s="116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8"/>
      <c r="N18" s="119"/>
      <c r="O18" s="266"/>
      <c r="P18" s="266"/>
      <c r="Q18" s="120"/>
    </row>
    <row r="19" spans="1:17" ht="18.75" customHeight="1" x14ac:dyDescent="0.2">
      <c r="A19" s="116"/>
      <c r="B19" s="117"/>
      <c r="C19" s="117"/>
      <c r="D19" s="117"/>
      <c r="E19" s="117"/>
      <c r="F19" s="119"/>
      <c r="G19" s="117"/>
      <c r="H19" s="117"/>
      <c r="I19" s="117"/>
      <c r="J19" s="117"/>
      <c r="K19" s="117"/>
      <c r="L19" s="117"/>
      <c r="M19" s="118"/>
      <c r="N19" s="119"/>
      <c r="O19" s="266"/>
      <c r="P19" s="266"/>
      <c r="Q19" s="120"/>
    </row>
    <row r="20" spans="1:17" ht="18.75" customHeight="1" x14ac:dyDescent="0.2">
      <c r="A20" s="116"/>
      <c r="B20" s="117"/>
      <c r="C20" s="117"/>
      <c r="D20" s="117"/>
      <c r="E20" s="117"/>
      <c r="F20" s="119"/>
      <c r="G20" s="117"/>
      <c r="H20" s="117"/>
      <c r="I20" s="117"/>
      <c r="J20" s="117"/>
      <c r="K20" s="117"/>
      <c r="L20" s="117"/>
      <c r="M20" s="118"/>
      <c r="N20" s="119"/>
      <c r="O20" s="266"/>
      <c r="P20" s="266"/>
      <c r="Q20" s="120"/>
    </row>
    <row r="21" spans="1:17" ht="18.75" customHeight="1" x14ac:dyDescent="0.2">
      <c r="A21" s="121"/>
      <c r="B21" s="122"/>
      <c r="C21" s="122"/>
      <c r="D21" s="122"/>
      <c r="E21" s="122"/>
      <c r="F21" s="123"/>
      <c r="G21" s="122"/>
      <c r="H21" s="122"/>
      <c r="I21" s="122"/>
      <c r="J21" s="122"/>
      <c r="K21" s="122"/>
      <c r="L21" s="122"/>
      <c r="M21" s="124"/>
      <c r="N21" s="125"/>
      <c r="O21" s="278"/>
      <c r="P21" s="278"/>
      <c r="Q21" s="120"/>
    </row>
    <row r="22" spans="1:17" ht="18.75" customHeight="1" thickBot="1" x14ac:dyDescent="0.25">
      <c r="A22" s="126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8"/>
      <c r="N22" s="127"/>
      <c r="O22" s="279"/>
      <c r="P22" s="279"/>
      <c r="Q22" s="129"/>
    </row>
    <row r="23" spans="1:17" ht="37.5" customHeight="1" thickBot="1" x14ac:dyDescent="0.25">
      <c r="A23" s="280" t="s">
        <v>154</v>
      </c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130">
        <f>SUM(Q15:Q22)</f>
        <v>10336658</v>
      </c>
    </row>
    <row r="24" spans="1:17" ht="18.75" customHeight="1" thickBot="1" x14ac:dyDescent="0.25">
      <c r="A24" s="281"/>
      <c r="B24" s="281"/>
      <c r="C24" s="281"/>
      <c r="D24" s="281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1"/>
    </row>
    <row r="25" spans="1:17" ht="18.75" customHeight="1" thickBot="1" x14ac:dyDescent="0.25">
      <c r="A25" s="282" t="s">
        <v>138</v>
      </c>
      <c r="B25" s="283"/>
      <c r="C25" s="283"/>
      <c r="D25" s="283"/>
      <c r="E25" s="283"/>
      <c r="F25" s="284"/>
      <c r="G25" s="285"/>
      <c r="H25" s="285"/>
      <c r="I25" s="285"/>
      <c r="J25" s="285"/>
      <c r="K25" s="285"/>
      <c r="L25" s="285"/>
      <c r="M25" s="285"/>
      <c r="N25" s="285"/>
      <c r="O25" s="285"/>
      <c r="P25" s="285"/>
      <c r="Q25" s="285"/>
    </row>
    <row r="26" spans="1:17" ht="18.75" customHeight="1" x14ac:dyDescent="0.2">
      <c r="A26" s="131" t="str">
        <f>'NP LAB'!D8</f>
        <v>Adquisicion del  RUBRO DESCARTABLES PARA LABORATORIO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3"/>
    </row>
    <row r="27" spans="1:17" ht="18.75" customHeight="1" thickBot="1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6"/>
    </row>
  </sheetData>
  <mergeCells count="26">
    <mergeCell ref="O21:P21"/>
    <mergeCell ref="O22:P22"/>
    <mergeCell ref="A23:P23"/>
    <mergeCell ref="A24:Q24"/>
    <mergeCell ref="A25:F25"/>
    <mergeCell ref="G25:Q25"/>
    <mergeCell ref="O20:P20"/>
    <mergeCell ref="A7:F7"/>
    <mergeCell ref="A8:Q8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6:F6"/>
    <mergeCell ref="A1:C1"/>
    <mergeCell ref="D1:E1"/>
    <mergeCell ref="P1:Q2"/>
    <mergeCell ref="A4:F4"/>
    <mergeCell ref="A5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tabSelected="1" workbookViewId="0">
      <selection activeCell="Q17" sqref="Q17"/>
    </sheetView>
  </sheetViews>
  <sheetFormatPr baseColWidth="10" defaultRowHeight="12.75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0.42578125" customWidth="1"/>
    <col min="8" max="8" width="9.28515625" customWidth="1"/>
    <col min="9" max="9" width="14.5703125" customWidth="1"/>
    <col min="10" max="10" width="16" customWidth="1"/>
    <col min="11" max="11" width="15.5703125" customWidth="1"/>
    <col min="13" max="13" width="15.42578125" bestFit="1" customWidth="1"/>
  </cols>
  <sheetData>
    <row r="1" spans="1:13" ht="16.5" thickBot="1" x14ac:dyDescent="0.25">
      <c r="A1" s="242" t="s">
        <v>99</v>
      </c>
      <c r="B1" s="242"/>
      <c r="C1" s="242"/>
      <c r="D1" s="242"/>
      <c r="E1" s="242"/>
      <c r="F1" s="242"/>
      <c r="G1" s="242"/>
      <c r="H1" s="242"/>
      <c r="I1" s="242"/>
      <c r="J1" s="58" t="s">
        <v>100</v>
      </c>
      <c r="K1" s="59" t="s">
        <v>170</v>
      </c>
      <c r="M1" s="60"/>
    </row>
    <row r="2" spans="1:13" ht="16.5" thickBot="1" x14ac:dyDescent="0.25">
      <c r="A2" s="61"/>
      <c r="B2" s="61"/>
      <c r="C2" s="61"/>
      <c r="D2" s="62"/>
      <c r="E2" s="62"/>
      <c r="F2" s="62"/>
      <c r="G2" s="62"/>
      <c r="H2" s="62"/>
      <c r="I2" s="62"/>
      <c r="J2" s="62"/>
      <c r="K2" s="62"/>
      <c r="M2" s="60"/>
    </row>
    <row r="3" spans="1:13" ht="16.5" thickBot="1" x14ac:dyDescent="0.25">
      <c r="A3" s="243" t="s">
        <v>101</v>
      </c>
      <c r="B3" s="243"/>
      <c r="C3" s="243"/>
      <c r="D3" s="63" t="s">
        <v>102</v>
      </c>
      <c r="E3" s="64"/>
      <c r="F3" s="64"/>
      <c r="G3" s="64"/>
      <c r="H3" s="64"/>
      <c r="I3" s="64"/>
      <c r="J3" s="64"/>
      <c r="K3" s="65"/>
      <c r="M3" s="60"/>
    </row>
    <row r="4" spans="1:13" ht="16.5" thickBot="1" x14ac:dyDescent="0.25">
      <c r="A4" s="240" t="s">
        <v>103</v>
      </c>
      <c r="B4" s="240"/>
      <c r="C4" s="240"/>
      <c r="D4" s="63" t="s">
        <v>104</v>
      </c>
      <c r="E4" s="64"/>
      <c r="F4" s="64"/>
      <c r="G4" s="64"/>
      <c r="H4" s="64"/>
      <c r="I4" s="64"/>
      <c r="J4" s="64"/>
      <c r="K4" s="65"/>
      <c r="M4" s="60"/>
    </row>
    <row r="5" spans="1:13" ht="16.5" thickBot="1" x14ac:dyDescent="0.25">
      <c r="A5" s="240" t="s">
        <v>105</v>
      </c>
      <c r="B5" s="240"/>
      <c r="C5" s="240"/>
      <c r="D5" s="63" t="s">
        <v>151</v>
      </c>
      <c r="E5" s="66"/>
      <c r="F5" s="66"/>
      <c r="G5" s="66"/>
      <c r="H5" s="66"/>
      <c r="I5" s="66"/>
      <c r="J5" s="66"/>
      <c r="K5" s="67"/>
      <c r="M5" s="60"/>
    </row>
    <row r="6" spans="1:13" ht="16.5" thickBot="1" x14ac:dyDescent="0.25">
      <c r="A6" s="243" t="s">
        <v>106</v>
      </c>
      <c r="B6" s="243"/>
      <c r="C6" s="243"/>
      <c r="D6" s="63" t="s">
        <v>151</v>
      </c>
      <c r="E6" s="66"/>
      <c r="F6" s="66"/>
      <c r="G6" s="66"/>
      <c r="H6" s="66"/>
      <c r="I6" s="66"/>
      <c r="J6" s="66"/>
      <c r="K6" s="67"/>
      <c r="M6" s="60"/>
    </row>
    <row r="7" spans="1:13" ht="16.5" thickBot="1" x14ac:dyDescent="0.25">
      <c r="A7" s="240" t="s">
        <v>107</v>
      </c>
      <c r="B7" s="240"/>
      <c r="C7" s="240"/>
      <c r="D7" s="241" t="s">
        <v>152</v>
      </c>
      <c r="E7" s="241"/>
      <c r="F7" s="241"/>
      <c r="G7" s="241"/>
      <c r="H7" s="241"/>
      <c r="I7" s="241"/>
      <c r="J7" s="241"/>
      <c r="K7" s="241"/>
      <c r="M7" s="60"/>
    </row>
    <row r="8" spans="1:13" ht="16.5" customHeight="1" thickBot="1" x14ac:dyDescent="0.25">
      <c r="A8" s="249" t="s">
        <v>108</v>
      </c>
      <c r="B8" s="249"/>
      <c r="C8" s="249"/>
      <c r="D8" s="206" t="s">
        <v>148</v>
      </c>
      <c r="E8" s="64"/>
      <c r="F8" s="64"/>
      <c r="G8" s="64"/>
      <c r="H8" s="64"/>
      <c r="I8" s="64"/>
      <c r="J8" s="64"/>
      <c r="K8" s="65"/>
      <c r="M8" s="60"/>
    </row>
    <row r="9" spans="1:13" ht="16.5" thickBot="1" x14ac:dyDescent="0.25">
      <c r="A9" s="68"/>
      <c r="B9" s="68"/>
      <c r="C9" s="68"/>
      <c r="D9" s="69"/>
      <c r="E9" s="69"/>
      <c r="F9" s="69"/>
      <c r="G9" s="69"/>
      <c r="H9" s="69"/>
      <c r="I9" s="69"/>
      <c r="J9" s="69"/>
      <c r="K9" s="69"/>
      <c r="M9" s="60"/>
    </row>
    <row r="10" spans="1:13" ht="13.5" thickBot="1" x14ac:dyDescent="0.25">
      <c r="A10" s="251" t="s">
        <v>109</v>
      </c>
      <c r="B10" s="253" t="s">
        <v>110</v>
      </c>
      <c r="C10" s="253" t="s">
        <v>111</v>
      </c>
      <c r="D10" s="253"/>
      <c r="E10" s="253"/>
      <c r="F10" s="253"/>
      <c r="G10" s="253"/>
      <c r="H10" s="255" t="s">
        <v>112</v>
      </c>
      <c r="I10" s="257" t="s">
        <v>113</v>
      </c>
      <c r="J10" s="257" t="s">
        <v>114</v>
      </c>
      <c r="K10" s="257" t="s">
        <v>115</v>
      </c>
      <c r="M10" s="60"/>
    </row>
    <row r="11" spans="1:13" x14ac:dyDescent="0.2">
      <c r="A11" s="252"/>
      <c r="B11" s="254"/>
      <c r="C11" s="254"/>
      <c r="D11" s="254"/>
      <c r="E11" s="254"/>
      <c r="F11" s="254"/>
      <c r="G11" s="254"/>
      <c r="H11" s="256"/>
      <c r="I11" s="258"/>
      <c r="J11" s="258"/>
      <c r="K11" s="258"/>
      <c r="M11" s="60"/>
    </row>
    <row r="12" spans="1:13" ht="16.5" customHeight="1" x14ac:dyDescent="0.2">
      <c r="A12" s="207">
        <v>1</v>
      </c>
      <c r="B12" s="208"/>
      <c r="C12" s="209" t="str">
        <f>'Necesidades Trimestrales (2)'!E11</f>
        <v>APOSITOS; TIPO: POST EXTRACCION SANGUINEA, hipoalergenica TAMAÑO: 40 X 40 mm</v>
      </c>
      <c r="D12" s="217"/>
      <c r="E12" s="217"/>
      <c r="F12" s="217"/>
      <c r="G12" s="218"/>
      <c r="H12" s="210" t="s">
        <v>167</v>
      </c>
      <c r="I12" s="211" t="str">
        <f>'Necesidades Trimestrales (2)'!F11</f>
        <v>CAJA</v>
      </c>
      <c r="J12" s="212">
        <f>'Necesidades Trimestrales (2)'!AT11</f>
        <v>702</v>
      </c>
      <c r="K12" s="75">
        <v>50</v>
      </c>
      <c r="M12" s="60">
        <f t="shared" ref="M12:M26" si="0">+J12*K12</f>
        <v>35100</v>
      </c>
    </row>
    <row r="13" spans="1:13" ht="16.5" customHeight="1" x14ac:dyDescent="0.2">
      <c r="A13" s="207">
        <v>2</v>
      </c>
      <c r="B13" s="208"/>
      <c r="C13" s="209" t="str">
        <f>'Necesidades Trimestrales (2)'!E12</f>
        <v>BOLSAS DE SANGRE TRIPLE KS TIPO GRIFOLS</v>
      </c>
      <c r="D13" s="217"/>
      <c r="E13" s="217"/>
      <c r="F13" s="217"/>
      <c r="G13" s="218"/>
      <c r="H13" s="210" t="s">
        <v>167</v>
      </c>
      <c r="I13" s="211" t="str">
        <f>'Necesidades Trimestrales (2)'!F12</f>
        <v xml:space="preserve">UNIDAD </v>
      </c>
      <c r="J13" s="212">
        <f>'Necesidades Trimestrales (2)'!AT12</f>
        <v>1290</v>
      </c>
      <c r="K13" s="75">
        <f>'Necesidades Trimestrales (2)'!AS12</f>
        <v>3900</v>
      </c>
      <c r="M13" s="60">
        <f t="shared" si="0"/>
        <v>5031000</v>
      </c>
    </row>
    <row r="14" spans="1:13" ht="16.5" customHeight="1" x14ac:dyDescent="0.2">
      <c r="A14" s="207">
        <v>3</v>
      </c>
      <c r="B14" s="208"/>
      <c r="C14" s="209" t="str">
        <f>'Necesidades Trimestrales (2)'!E13</f>
        <v>CEPILLO LIMPIA PIPETA DE CERDA NATURAL DE 10 MM</v>
      </c>
      <c r="D14" s="217"/>
      <c r="E14" s="217"/>
      <c r="F14" s="217"/>
      <c r="G14" s="218"/>
      <c r="H14" s="210" t="s">
        <v>167</v>
      </c>
      <c r="I14" s="211" t="str">
        <f>'Necesidades Trimestrales (2)'!F13</f>
        <v>UNIDAD</v>
      </c>
      <c r="J14" s="212">
        <f>'Necesidades Trimestrales (2)'!AT13</f>
        <v>125</v>
      </c>
      <c r="K14" s="75">
        <f>'Necesidades Trimestrales (2)'!AS13</f>
        <v>10</v>
      </c>
      <c r="M14" s="60">
        <f t="shared" si="0"/>
        <v>1250</v>
      </c>
    </row>
    <row r="15" spans="1:13" ht="16.5" customHeight="1" x14ac:dyDescent="0.2">
      <c r="A15" s="207">
        <v>4</v>
      </c>
      <c r="B15" s="208"/>
      <c r="C15" s="209" t="str">
        <f>'Necesidades Trimestrales (2)'!E20</f>
        <v>DESCARTADOR PARA AGUJA P/500 AGUJAS, MODELO E-500</v>
      </c>
      <c r="D15" s="217"/>
      <c r="E15" s="217"/>
      <c r="F15" s="217"/>
      <c r="G15" s="218"/>
      <c r="H15" s="210" t="s">
        <v>167</v>
      </c>
      <c r="I15" s="211" t="str">
        <f>'Necesidades Trimestrales (2)'!F20</f>
        <v>UNIDAD</v>
      </c>
      <c r="J15" s="212">
        <f>'Necesidades Trimestrales (2)'!AT20</f>
        <v>195</v>
      </c>
      <c r="K15" s="75">
        <v>200</v>
      </c>
      <c r="M15" s="60">
        <f t="shared" si="0"/>
        <v>39000</v>
      </c>
    </row>
    <row r="16" spans="1:13" ht="18.75" customHeight="1" x14ac:dyDescent="0.2">
      <c r="A16" s="207">
        <v>5</v>
      </c>
      <c r="B16" s="219"/>
      <c r="C16" s="209" t="str">
        <f>'Necesidades Trimestrales (2)'!E27</f>
        <v xml:space="preserve">GUIA V20 C/RUEDITA *SANGRE* </v>
      </c>
      <c r="D16" s="76"/>
      <c r="E16" s="76"/>
      <c r="F16" s="76"/>
      <c r="G16" s="77"/>
      <c r="H16" s="210" t="s">
        <v>167</v>
      </c>
      <c r="I16" s="211" t="str">
        <f>'Necesidades Trimestrales (2)'!F27</f>
        <v xml:space="preserve">UNIDAD </v>
      </c>
      <c r="J16" s="212">
        <f>'Necesidades Trimestrales (2)'!AT27</f>
        <v>92</v>
      </c>
      <c r="K16" s="75">
        <f>'Necesidades Trimestrales (2)'!AS27</f>
        <v>600</v>
      </c>
      <c r="M16" s="60">
        <f t="shared" si="0"/>
        <v>55200</v>
      </c>
    </row>
    <row r="17" spans="1:13" ht="18.75" customHeight="1" x14ac:dyDescent="0.2">
      <c r="A17" s="207">
        <v>6</v>
      </c>
      <c r="B17" s="220"/>
      <c r="C17" s="209" t="str">
        <f>'Necesidades Trimestrales (2)'!E32</f>
        <v>MICROPIPETAS REGULABLES; CAPACIDAD: 10-100 µL, DIVISIONES: CADA 1 µL, MATERIAL: PLASTICO</v>
      </c>
      <c r="D17" s="76"/>
      <c r="E17" s="76"/>
      <c r="F17" s="76"/>
      <c r="G17" s="77"/>
      <c r="H17" s="210" t="s">
        <v>167</v>
      </c>
      <c r="I17" s="211" t="str">
        <f>'Necesidades Trimestrales (2)'!F32</f>
        <v>UNIDAD</v>
      </c>
      <c r="J17" s="212">
        <f>'Necesidades Trimestrales (2)'!AT32</f>
        <v>50350</v>
      </c>
      <c r="K17" s="75">
        <f>'Necesidades Trimestrales (2)'!AS32</f>
        <v>2</v>
      </c>
      <c r="M17" s="60">
        <f t="shared" si="0"/>
        <v>100700</v>
      </c>
    </row>
    <row r="18" spans="1:13" ht="18.75" customHeight="1" x14ac:dyDescent="0.2">
      <c r="A18" s="207">
        <v>7</v>
      </c>
      <c r="B18" s="220"/>
      <c r="C18" s="209" t="str">
        <f>'Necesidades Trimestrales (2)'!E34</f>
        <v>PLACA PARA VDRL CON POCILLO PROFUNDO 12HOYOS</v>
      </c>
      <c r="D18" s="76"/>
      <c r="E18" s="76"/>
      <c r="F18" s="76"/>
      <c r="G18" s="77"/>
      <c r="H18" s="210" t="s">
        <v>167</v>
      </c>
      <c r="I18" s="211" t="str">
        <f>'Necesidades Trimestrales (2)'!F34</f>
        <v>UNIDAD</v>
      </c>
      <c r="J18" s="212">
        <f>'Necesidades Trimestrales (2)'!AT34</f>
        <v>1220</v>
      </c>
      <c r="K18" s="75">
        <f>'Necesidades Trimestrales (2)'!AS34</f>
        <v>5</v>
      </c>
      <c r="M18" s="60">
        <f t="shared" si="0"/>
        <v>6100</v>
      </c>
    </row>
    <row r="19" spans="1:13" ht="18.75" customHeight="1" x14ac:dyDescent="0.2">
      <c r="A19" s="207">
        <v>8</v>
      </c>
      <c r="B19" s="220"/>
      <c r="C19" s="209" t="str">
        <f>'Necesidades Trimestrales (2)'!E39</f>
        <v>TIPS AMARILLO 5 A 200 µl,  SIN CORONA X 1000 UN TIPO DELTALAB</v>
      </c>
      <c r="D19" s="76"/>
      <c r="E19" s="76"/>
      <c r="F19" s="76"/>
      <c r="G19" s="77"/>
      <c r="H19" s="210" t="s">
        <v>167</v>
      </c>
      <c r="I19" s="211" t="s">
        <v>17</v>
      </c>
      <c r="J19" s="212">
        <f>'Necesidades Trimestrales (2)'!AT39</f>
        <v>2865</v>
      </c>
      <c r="K19" s="75">
        <v>5</v>
      </c>
      <c r="M19" s="60">
        <f t="shared" si="0"/>
        <v>14325</v>
      </c>
    </row>
    <row r="20" spans="1:13" ht="18.75" customHeight="1" x14ac:dyDescent="0.2">
      <c r="A20" s="207">
        <v>9</v>
      </c>
      <c r="B20" s="220"/>
      <c r="C20" s="209" t="str">
        <f>'Necesidades Trimestrales (2)'!E40</f>
        <v>TIPS AMARILLO  5 A 200 µl,   CON CORONA X 1000 UN TIPO DELTALAB</v>
      </c>
      <c r="D20" s="76"/>
      <c r="E20" s="76"/>
      <c r="F20" s="76"/>
      <c r="G20" s="77"/>
      <c r="H20" s="210" t="s">
        <v>167</v>
      </c>
      <c r="I20" s="211" t="str">
        <f>'Necesidades Trimestrales (2)'!F40</f>
        <v>BOLSA</v>
      </c>
      <c r="J20" s="212">
        <f>'Necesidades Trimestrales (2)'!AT40</f>
        <v>1540</v>
      </c>
      <c r="K20" s="75">
        <f>'Necesidades Trimestrales (2)'!AS40</f>
        <v>2</v>
      </c>
      <c r="M20" s="60">
        <f t="shared" si="0"/>
        <v>3080</v>
      </c>
    </row>
    <row r="21" spans="1:13" ht="18.75" customHeight="1" x14ac:dyDescent="0.2">
      <c r="A21" s="207">
        <v>10</v>
      </c>
      <c r="B21" s="220"/>
      <c r="C21" s="209" t="str">
        <f>'Necesidades Trimestrales (2)'!E41</f>
        <v>TIPS AZUL 100-1000 UL AUTOCLAVABLE - CON CORONA BOLSA POR 1000 UNIDADES TIPO DELTALAB</v>
      </c>
      <c r="D21" s="76"/>
      <c r="E21" s="76"/>
      <c r="F21" s="76"/>
      <c r="G21" s="77"/>
      <c r="H21" s="210" t="s">
        <v>167</v>
      </c>
      <c r="I21" s="211" t="str">
        <f>'Necesidades Trimestrales (2)'!F41</f>
        <v>BOLSA</v>
      </c>
      <c r="J21" s="212">
        <f>'Necesidades Trimestrales (2)'!AT41</f>
        <v>2204</v>
      </c>
      <c r="K21" s="75">
        <f>'Necesidades Trimestrales (2)'!AS41</f>
        <v>2</v>
      </c>
      <c r="M21" s="60">
        <f t="shared" si="0"/>
        <v>4408</v>
      </c>
    </row>
    <row r="22" spans="1:13" ht="40.5" customHeight="1" x14ac:dyDescent="0.2">
      <c r="A22" s="207">
        <v>11</v>
      </c>
      <c r="B22" s="220"/>
      <c r="C22" s="288" t="str">
        <f>'Necesidades Trimestrales (2)'!E45</f>
        <v>TUBOS DE ENSAYO; TIPO: CONICO P/CENTRIFUGA, MATERIAL: POLIPROPILENO, DIMENSION: 0,5 A 15 mL, ACCESORIO: SIN VALOR, ACCESORIOS: SIN VALOR A ROSCA 15ML NO ETERIL, BOLSA X 100 UNID TIPO BIOLIX</v>
      </c>
      <c r="D22" s="289"/>
      <c r="E22" s="289"/>
      <c r="F22" s="289"/>
      <c r="G22" s="290"/>
      <c r="H22" s="210" t="s">
        <v>167</v>
      </c>
      <c r="I22" s="211" t="s">
        <v>17</v>
      </c>
      <c r="J22" s="212">
        <f>'Necesidades Trimestrales (2)'!AT45</f>
        <v>13700</v>
      </c>
      <c r="K22" s="75">
        <f>'Necesidades Trimestrales (2)'!AS45</f>
        <v>2</v>
      </c>
      <c r="M22" s="60">
        <f t="shared" si="0"/>
        <v>27400</v>
      </c>
    </row>
    <row r="23" spans="1:13" ht="30.75" customHeight="1" x14ac:dyDescent="0.2">
      <c r="A23" s="207">
        <v>12</v>
      </c>
      <c r="B23" s="220"/>
      <c r="C23" s="291" t="str">
        <f>'Necesidades Trimestrales (2)'!E46</f>
        <v>TUBOS DE ENSAYO; TIPO: EPPENDORF, MATERIAL: PLASTICO, DIMENSION: 1.5 mL, ACCESORIOS: SIN, ACCESORIO: SIN</v>
      </c>
      <c r="D23" s="292"/>
      <c r="E23" s="292"/>
      <c r="F23" s="292"/>
      <c r="G23" s="293"/>
      <c r="H23" s="210" t="s">
        <v>167</v>
      </c>
      <c r="I23" s="211" t="s">
        <v>12</v>
      </c>
      <c r="J23" s="212">
        <f>'Necesidades Trimestrales (2)'!AT46</f>
        <v>5353</v>
      </c>
      <c r="K23" s="75">
        <f>'Necesidades Trimestrales (2)'!AS46</f>
        <v>10</v>
      </c>
      <c r="M23" s="60">
        <f t="shared" si="0"/>
        <v>53530</v>
      </c>
    </row>
    <row r="24" spans="1:13" ht="32.25" customHeight="1" x14ac:dyDescent="0.2">
      <c r="A24" s="207">
        <v>13</v>
      </c>
      <c r="B24" s="220"/>
      <c r="C24" s="294" t="str">
        <f>'Necesidades Trimestrales (2)'!E47</f>
        <v>TUBOS DE ENSAYO; TIPO: VACUTAINER UN, MATERIAL: VIDRIO, DIMENSION: 10 mL, ACCESORIOS: SIN, ACCESORIO: SIN</v>
      </c>
      <c r="D24" s="295"/>
      <c r="E24" s="295"/>
      <c r="F24" s="295"/>
      <c r="G24" s="296"/>
      <c r="H24" s="210" t="s">
        <v>167</v>
      </c>
      <c r="I24" s="211" t="s">
        <v>12</v>
      </c>
      <c r="J24" s="212">
        <f>'Necesidades Trimestrales (2)'!AT47</f>
        <v>13000</v>
      </c>
      <c r="K24" s="75">
        <f>'Necesidades Trimestrales (2)'!AS47</f>
        <v>2</v>
      </c>
      <c r="M24" s="60">
        <f t="shared" si="0"/>
        <v>26000</v>
      </c>
    </row>
    <row r="25" spans="1:13" ht="29.25" customHeight="1" x14ac:dyDescent="0.2">
      <c r="A25" s="207">
        <v>14</v>
      </c>
      <c r="B25" s="220"/>
      <c r="C25" s="288" t="str">
        <f>'Necesidades Trimestrales (2)'!E48</f>
        <v>TUBOS DE HEMOLISIS; MATERIAL: VIDRIO, PRESENTACION: CAJA, DIMENSION: 100 X 13 DIAM. EXT., MEDIDAS: 100 X 13 DIAM. EXT., FORMA DE PRESENTACION: SOLIDO, ESTADO: SOLIDO</v>
      </c>
      <c r="D25" s="289"/>
      <c r="E25" s="289"/>
      <c r="F25" s="289"/>
      <c r="G25" s="290"/>
      <c r="H25" s="210" t="s">
        <v>167</v>
      </c>
      <c r="I25" s="211" t="str">
        <f>'Necesidades Trimestrales (2)'!F48</f>
        <v>UNIDAD</v>
      </c>
      <c r="J25" s="212">
        <f>'Necesidades Trimestrales (2)'!AT48</f>
        <v>72</v>
      </c>
      <c r="K25" s="75">
        <f>'Necesidades Trimestrales (2)'!AS48</f>
        <v>1000</v>
      </c>
      <c r="M25" s="60">
        <f t="shared" si="0"/>
        <v>72000</v>
      </c>
    </row>
    <row r="26" spans="1:13" ht="18.75" customHeight="1" x14ac:dyDescent="0.2">
      <c r="A26" s="207">
        <v>15</v>
      </c>
      <c r="B26" s="220"/>
      <c r="C26" s="209" t="str">
        <f>'Necesidades Trimestrales (2)'!E49</f>
        <v>TUBOS VACUTAINER P/SUERO DE 4ML, TAPA ROJA C/ETIQUETA CODIGO 367812 (1000 TUBOS)</v>
      </c>
      <c r="D26" s="76"/>
      <c r="E26" s="76"/>
      <c r="F26" s="76"/>
      <c r="G26" s="77"/>
      <c r="H26" s="210" t="s">
        <v>167</v>
      </c>
      <c r="I26" s="211" t="s">
        <v>14</v>
      </c>
      <c r="J26" s="212">
        <f>'Necesidades Trimestrales (2)'!AT49</f>
        <v>3558</v>
      </c>
      <c r="K26" s="75">
        <f>'Necesidades Trimestrales (2)'!AS49</f>
        <v>10</v>
      </c>
      <c r="M26" s="60">
        <f t="shared" si="0"/>
        <v>35580</v>
      </c>
    </row>
    <row r="27" spans="1:13" ht="13.5" thickBot="1" x14ac:dyDescent="0.25">
      <c r="A27" s="221"/>
      <c r="B27" s="222"/>
      <c r="C27" s="85"/>
      <c r="D27" s="86"/>
      <c r="E27" s="86"/>
      <c r="F27" s="86"/>
      <c r="G27" s="87"/>
      <c r="H27" s="213"/>
      <c r="I27" s="214"/>
      <c r="J27" s="215"/>
      <c r="K27" s="216"/>
      <c r="M27" s="60"/>
    </row>
    <row r="28" spans="1:13" ht="24.75" customHeight="1" thickBot="1" x14ac:dyDescent="0.25">
      <c r="A28" s="244" t="s">
        <v>164</v>
      </c>
      <c r="B28" s="245"/>
      <c r="C28" s="245"/>
      <c r="D28" s="245"/>
      <c r="E28" s="245"/>
      <c r="F28" s="245"/>
      <c r="G28" s="245"/>
      <c r="H28" s="245"/>
      <c r="I28" s="246"/>
      <c r="J28" s="286">
        <f>+M28</f>
        <v>5504673</v>
      </c>
      <c r="K28" s="287"/>
      <c r="M28" s="60">
        <f>SUM(M12:M27)</f>
        <v>5504673</v>
      </c>
    </row>
    <row r="30" spans="1:13" x14ac:dyDescent="0.2">
      <c r="J30" s="225"/>
    </row>
  </sheetData>
  <mergeCells count="21">
    <mergeCell ref="A28:I28"/>
    <mergeCell ref="J28:K28"/>
    <mergeCell ref="C22:G22"/>
    <mergeCell ref="C23:G23"/>
    <mergeCell ref="C24:G24"/>
    <mergeCell ref="C25:G25"/>
    <mergeCell ref="I10:I11"/>
    <mergeCell ref="J10:J11"/>
    <mergeCell ref="K10:K11"/>
    <mergeCell ref="A1:I1"/>
    <mergeCell ref="A3:C3"/>
    <mergeCell ref="A4:C4"/>
    <mergeCell ref="A5:C5"/>
    <mergeCell ref="A6:C6"/>
    <mergeCell ref="A7:C7"/>
    <mergeCell ref="D7:K7"/>
    <mergeCell ref="A8:C8"/>
    <mergeCell ref="A10:A11"/>
    <mergeCell ref="B10:B11"/>
    <mergeCell ref="C10:G11"/>
    <mergeCell ref="H10:H1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7"/>
  <sheetViews>
    <sheetView workbookViewId="0">
      <selection activeCell="J14" sqref="J14"/>
    </sheetView>
  </sheetViews>
  <sheetFormatPr baseColWidth="10" defaultRowHeight="12.75" x14ac:dyDescent="0.2"/>
  <cols>
    <col min="1" max="5" width="4.42578125" customWidth="1"/>
    <col min="6" max="6" width="5.5703125" customWidth="1"/>
    <col min="7" max="14" width="4.42578125" customWidth="1"/>
    <col min="15" max="16" width="14.85546875" customWidth="1"/>
    <col min="17" max="17" width="17.7109375" customWidth="1"/>
  </cols>
  <sheetData>
    <row r="1" spans="1:17" ht="18.75" customHeight="1" thickBot="1" x14ac:dyDescent="0.3">
      <c r="A1" s="262" t="s">
        <v>2</v>
      </c>
      <c r="B1" s="262"/>
      <c r="C1" s="262"/>
      <c r="D1" s="263">
        <v>2021</v>
      </c>
      <c r="E1" s="263"/>
      <c r="F1" s="92"/>
      <c r="G1" s="92"/>
      <c r="H1" s="93"/>
      <c r="I1" s="93"/>
      <c r="J1" s="93"/>
      <c r="K1" s="93"/>
      <c r="L1" s="93"/>
      <c r="M1" s="93"/>
      <c r="N1" s="93"/>
      <c r="O1" s="94"/>
      <c r="P1" s="264" t="s">
        <v>116</v>
      </c>
      <c r="Q1" s="264"/>
    </row>
    <row r="2" spans="1:17" ht="18.75" customHeight="1" thickBot="1" x14ac:dyDescent="0.25">
      <c r="A2" s="94"/>
      <c r="B2" s="94"/>
      <c r="C2" s="94"/>
      <c r="D2" s="94"/>
      <c r="E2" s="94"/>
      <c r="F2" s="94"/>
      <c r="G2" s="95"/>
      <c r="H2" s="93"/>
      <c r="I2" s="93"/>
      <c r="J2" s="93"/>
      <c r="K2" s="93"/>
      <c r="L2" s="93"/>
      <c r="M2" s="93"/>
      <c r="N2" s="93"/>
      <c r="O2" s="94"/>
      <c r="P2" s="264"/>
      <c r="Q2" s="264"/>
    </row>
    <row r="3" spans="1:17" ht="18.75" customHeight="1" thickBot="1" x14ac:dyDescent="0.25">
      <c r="A3" s="94"/>
      <c r="B3" s="94"/>
      <c r="C3" s="94"/>
      <c r="D3" s="94"/>
      <c r="E3" s="94"/>
      <c r="F3" s="94"/>
      <c r="G3" s="95"/>
      <c r="H3" s="94"/>
      <c r="I3" s="94"/>
      <c r="J3" s="94"/>
      <c r="K3" s="94"/>
      <c r="L3" s="94"/>
      <c r="M3" s="94"/>
      <c r="N3" s="94"/>
      <c r="O3" s="94"/>
      <c r="P3" s="94"/>
      <c r="Q3" s="94"/>
    </row>
    <row r="4" spans="1:17" ht="18.75" customHeight="1" thickBot="1" x14ac:dyDescent="0.25">
      <c r="A4" s="265" t="s">
        <v>117</v>
      </c>
      <c r="B4" s="265"/>
      <c r="C4" s="265"/>
      <c r="D4" s="265"/>
      <c r="E4" s="265"/>
      <c r="F4" s="265"/>
      <c r="G4" s="96" t="str">
        <f>'NP BCO SANGRE'!D3</f>
        <v>040 - Ministerio de Salud</v>
      </c>
      <c r="H4" s="97"/>
      <c r="I4" s="97"/>
      <c r="J4" s="97"/>
      <c r="K4" s="97"/>
      <c r="L4" s="97"/>
      <c r="M4" s="97"/>
      <c r="N4" s="97"/>
      <c r="O4" s="97"/>
      <c r="P4" s="97"/>
      <c r="Q4" s="98"/>
    </row>
    <row r="5" spans="1:17" ht="18.75" customHeight="1" thickBot="1" x14ac:dyDescent="0.25">
      <c r="A5" s="259" t="s">
        <v>103</v>
      </c>
      <c r="B5" s="260"/>
      <c r="C5" s="260"/>
      <c r="D5" s="260"/>
      <c r="E5" s="260"/>
      <c r="F5" s="261"/>
      <c r="G5" s="96" t="str">
        <f>'NP BCO SANGRE'!D4</f>
        <v>011 - Direccion Provincial de Administración - Ministerio de Salud</v>
      </c>
      <c r="H5" s="97"/>
      <c r="I5" s="97"/>
      <c r="J5" s="97"/>
      <c r="K5" s="97"/>
      <c r="L5" s="97"/>
      <c r="M5" s="97"/>
      <c r="N5" s="97"/>
      <c r="O5" s="97"/>
      <c r="P5" s="97"/>
      <c r="Q5" s="98"/>
    </row>
    <row r="6" spans="1:17" ht="18.75" customHeight="1" thickBot="1" x14ac:dyDescent="0.25">
      <c r="A6" s="259" t="s">
        <v>105</v>
      </c>
      <c r="B6" s="260"/>
      <c r="C6" s="260"/>
      <c r="D6" s="260"/>
      <c r="E6" s="260"/>
      <c r="F6" s="261"/>
      <c r="G6" s="96" t="str">
        <f>'NP BCO SANGRE'!D5</f>
        <v>747 - DIRECCION PROVINCIAL BANCO DE SANGRE</v>
      </c>
      <c r="H6" s="97"/>
      <c r="I6" s="97"/>
      <c r="J6" s="97"/>
      <c r="K6" s="97"/>
      <c r="L6" s="97"/>
      <c r="M6" s="97"/>
      <c r="N6" s="97"/>
      <c r="O6" s="97"/>
      <c r="P6" s="97"/>
      <c r="Q6" s="98"/>
    </row>
    <row r="7" spans="1:17" ht="18.75" customHeight="1" thickBot="1" x14ac:dyDescent="0.25">
      <c r="A7" s="259" t="s">
        <v>106</v>
      </c>
      <c r="B7" s="260"/>
      <c r="C7" s="260"/>
      <c r="D7" s="260"/>
      <c r="E7" s="260"/>
      <c r="F7" s="261"/>
      <c r="G7" s="96" t="str">
        <f>'NP BCO SANGRE'!D6</f>
        <v>747 - DIRECCION PROVINCIAL BANCO DE SANGRE</v>
      </c>
      <c r="H7" s="97"/>
      <c r="I7" s="97"/>
      <c r="J7" s="97"/>
      <c r="K7" s="97"/>
      <c r="L7" s="97"/>
      <c r="M7" s="97"/>
      <c r="N7" s="97"/>
      <c r="O7" s="97"/>
      <c r="P7" s="97"/>
      <c r="Q7" s="98"/>
    </row>
    <row r="8" spans="1:17" ht="18.75" customHeight="1" thickBot="1" x14ac:dyDescent="0.25">
      <c r="A8" s="267" t="s">
        <v>118</v>
      </c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</row>
    <row r="9" spans="1:17" ht="18.75" customHeight="1" x14ac:dyDescent="0.2">
      <c r="A9" s="268" t="s">
        <v>119</v>
      </c>
      <c r="B9" s="268"/>
      <c r="C9" s="268"/>
      <c r="D9" s="268"/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99"/>
      <c r="P9" s="99"/>
      <c r="Q9" s="100"/>
    </row>
    <row r="10" spans="1:17" ht="48.75" customHeight="1" x14ac:dyDescent="0.2">
      <c r="A10" s="269" t="s">
        <v>169</v>
      </c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1"/>
    </row>
    <row r="11" spans="1:17" ht="18.75" customHeight="1" thickBot="1" x14ac:dyDescent="0.25">
      <c r="A11" s="101"/>
      <c r="B11" s="102"/>
      <c r="C11" s="102"/>
      <c r="D11" s="102"/>
      <c r="E11" s="102"/>
      <c r="F11" s="102"/>
      <c r="G11" s="103"/>
      <c r="H11" s="102"/>
      <c r="I11" s="102"/>
      <c r="J11" s="102"/>
      <c r="K11" s="102"/>
      <c r="L11" s="102"/>
      <c r="M11" s="102"/>
      <c r="N11" s="102"/>
      <c r="O11" s="102"/>
      <c r="P11" s="102"/>
      <c r="Q11" s="104"/>
    </row>
    <row r="12" spans="1:17" ht="18.75" customHeight="1" thickBot="1" x14ac:dyDescent="0.25">
      <c r="A12" s="272" t="s">
        <v>120</v>
      </c>
      <c r="B12" s="272"/>
      <c r="C12" s="272"/>
      <c r="D12" s="272"/>
      <c r="E12" s="272"/>
      <c r="F12" s="272"/>
      <c r="G12" s="272"/>
      <c r="H12" s="272"/>
      <c r="I12" s="272"/>
      <c r="J12" s="272"/>
      <c r="K12" s="272"/>
      <c r="L12" s="272"/>
      <c r="M12" s="272"/>
      <c r="N12" s="272"/>
      <c r="O12" s="272"/>
      <c r="P12" s="272"/>
      <c r="Q12" s="272"/>
    </row>
    <row r="13" spans="1:17" ht="18.75" customHeight="1" thickBot="1" x14ac:dyDescent="0.25">
      <c r="A13" s="273" t="s">
        <v>121</v>
      </c>
      <c r="B13" s="273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4" t="s">
        <v>122</v>
      </c>
      <c r="P13" s="274"/>
      <c r="Q13" s="275" t="s">
        <v>123</v>
      </c>
    </row>
    <row r="14" spans="1:17" ht="18.75" customHeight="1" thickBot="1" x14ac:dyDescent="0.25">
      <c r="A14" s="105" t="s">
        <v>124</v>
      </c>
      <c r="B14" s="106" t="s">
        <v>125</v>
      </c>
      <c r="C14" s="106" t="s">
        <v>126</v>
      </c>
      <c r="D14" s="106" t="s">
        <v>127</v>
      </c>
      <c r="E14" s="106" t="s">
        <v>128</v>
      </c>
      <c r="F14" s="106" t="s">
        <v>129</v>
      </c>
      <c r="G14" s="107" t="s">
        <v>130</v>
      </c>
      <c r="H14" s="106" t="s">
        <v>131</v>
      </c>
      <c r="I14" s="106" t="s">
        <v>132</v>
      </c>
      <c r="J14" s="106" t="s">
        <v>133</v>
      </c>
      <c r="K14" s="106" t="s">
        <v>133</v>
      </c>
      <c r="L14" s="106" t="s">
        <v>134</v>
      </c>
      <c r="M14" s="108" t="s">
        <v>135</v>
      </c>
      <c r="N14" s="109" t="s">
        <v>136</v>
      </c>
      <c r="O14" s="274"/>
      <c r="P14" s="274"/>
      <c r="Q14" s="275"/>
    </row>
    <row r="15" spans="1:17" ht="51" customHeight="1" x14ac:dyDescent="0.2">
      <c r="A15" s="110">
        <v>27</v>
      </c>
      <c r="B15" s="111"/>
      <c r="C15" s="111"/>
      <c r="D15" s="111">
        <v>1</v>
      </c>
      <c r="E15" s="111"/>
      <c r="F15" s="111">
        <v>4901</v>
      </c>
      <c r="G15" s="111">
        <v>3</v>
      </c>
      <c r="H15" s="111">
        <v>1</v>
      </c>
      <c r="I15" s="112">
        <v>2</v>
      </c>
      <c r="J15" s="112">
        <v>9</v>
      </c>
      <c r="K15" s="112">
        <v>5</v>
      </c>
      <c r="L15" s="111"/>
      <c r="M15" s="113">
        <v>1</v>
      </c>
      <c r="N15" s="114" t="s">
        <v>137</v>
      </c>
      <c r="O15" s="276" t="s">
        <v>149</v>
      </c>
      <c r="P15" s="277"/>
      <c r="Q15" s="115">
        <f>'NP BCO SANGRE'!M28</f>
        <v>5504673</v>
      </c>
    </row>
    <row r="16" spans="1:17" ht="18.75" customHeight="1" x14ac:dyDescent="0.2">
      <c r="A16" s="116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8"/>
      <c r="N16" s="119"/>
      <c r="O16" s="278"/>
      <c r="P16" s="266"/>
      <c r="Q16" s="120"/>
    </row>
    <row r="17" spans="1:17" ht="18.75" customHeight="1" x14ac:dyDescent="0.2">
      <c r="A17" s="116"/>
      <c r="B17" s="117"/>
      <c r="C17" s="117"/>
      <c r="D17" s="117"/>
      <c r="E17" s="117"/>
      <c r="F17" s="119"/>
      <c r="G17" s="117"/>
      <c r="H17" s="117"/>
      <c r="I17" s="117"/>
      <c r="J17" s="117"/>
      <c r="K17" s="117"/>
      <c r="L17" s="117"/>
      <c r="M17" s="118"/>
      <c r="N17" s="119"/>
      <c r="O17" s="278"/>
      <c r="P17" s="266"/>
      <c r="Q17" s="120"/>
    </row>
    <row r="18" spans="1:17" ht="18.75" customHeight="1" x14ac:dyDescent="0.2">
      <c r="A18" s="116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8"/>
      <c r="N18" s="119"/>
      <c r="O18" s="266"/>
      <c r="P18" s="266"/>
      <c r="Q18" s="120"/>
    </row>
    <row r="19" spans="1:17" ht="18.75" customHeight="1" x14ac:dyDescent="0.2">
      <c r="A19" s="116"/>
      <c r="B19" s="117"/>
      <c r="C19" s="117"/>
      <c r="D19" s="117"/>
      <c r="E19" s="117"/>
      <c r="F19" s="119"/>
      <c r="G19" s="117"/>
      <c r="H19" s="117"/>
      <c r="I19" s="117"/>
      <c r="J19" s="117"/>
      <c r="K19" s="117"/>
      <c r="L19" s="117"/>
      <c r="M19" s="118"/>
      <c r="N19" s="119"/>
      <c r="O19" s="266"/>
      <c r="P19" s="266"/>
      <c r="Q19" s="120"/>
    </row>
    <row r="20" spans="1:17" ht="18.75" customHeight="1" x14ac:dyDescent="0.2">
      <c r="A20" s="116"/>
      <c r="B20" s="117"/>
      <c r="C20" s="117"/>
      <c r="D20" s="117"/>
      <c r="E20" s="117"/>
      <c r="F20" s="119"/>
      <c r="G20" s="117"/>
      <c r="H20" s="117"/>
      <c r="I20" s="117"/>
      <c r="J20" s="117"/>
      <c r="K20" s="117"/>
      <c r="L20" s="117"/>
      <c r="M20" s="118"/>
      <c r="N20" s="119"/>
      <c r="O20" s="266"/>
      <c r="P20" s="266"/>
      <c r="Q20" s="120"/>
    </row>
    <row r="21" spans="1:17" ht="18.75" customHeight="1" x14ac:dyDescent="0.2">
      <c r="A21" s="121"/>
      <c r="B21" s="122"/>
      <c r="C21" s="122"/>
      <c r="D21" s="122"/>
      <c r="E21" s="122"/>
      <c r="F21" s="123"/>
      <c r="G21" s="122"/>
      <c r="H21" s="122"/>
      <c r="I21" s="122"/>
      <c r="J21" s="122"/>
      <c r="K21" s="122"/>
      <c r="L21" s="122"/>
      <c r="M21" s="124"/>
      <c r="N21" s="125"/>
      <c r="O21" s="278"/>
      <c r="P21" s="278"/>
      <c r="Q21" s="120"/>
    </row>
    <row r="22" spans="1:17" ht="18.75" customHeight="1" thickBot="1" x14ac:dyDescent="0.25">
      <c r="A22" s="126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8"/>
      <c r="N22" s="127"/>
      <c r="O22" s="279"/>
      <c r="P22" s="279"/>
      <c r="Q22" s="129"/>
    </row>
    <row r="23" spans="1:17" ht="37.5" customHeight="1" thickBot="1" x14ac:dyDescent="0.25">
      <c r="A23" s="280" t="s">
        <v>165</v>
      </c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0"/>
      <c r="P23" s="280"/>
      <c r="Q23" s="130">
        <f>SUM(Q15:Q22)</f>
        <v>5504673</v>
      </c>
    </row>
    <row r="24" spans="1:17" ht="18.75" customHeight="1" thickBot="1" x14ac:dyDescent="0.25">
      <c r="A24" s="281"/>
      <c r="B24" s="281"/>
      <c r="C24" s="281"/>
      <c r="D24" s="281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1"/>
    </row>
    <row r="25" spans="1:17" ht="18.75" customHeight="1" thickBot="1" x14ac:dyDescent="0.25">
      <c r="A25" s="282" t="s">
        <v>138</v>
      </c>
      <c r="B25" s="283"/>
      <c r="C25" s="283"/>
      <c r="D25" s="283"/>
      <c r="E25" s="283"/>
      <c r="F25" s="284"/>
      <c r="G25" s="285"/>
      <c r="H25" s="285"/>
      <c r="I25" s="285"/>
      <c r="J25" s="285"/>
      <c r="K25" s="285"/>
      <c r="L25" s="285"/>
      <c r="M25" s="285"/>
      <c r="N25" s="285"/>
      <c r="O25" s="285"/>
      <c r="P25" s="285"/>
      <c r="Q25" s="285"/>
    </row>
    <row r="26" spans="1:17" ht="18.75" customHeight="1" x14ac:dyDescent="0.2">
      <c r="A26" s="131" t="str">
        <f>'NP BCO SANGRE'!D8</f>
        <v>Adquisicion del  RUBRO DESCARTABLES PARA LABORATORIO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3"/>
    </row>
    <row r="27" spans="1:17" ht="18.75" customHeight="1" thickBot="1" x14ac:dyDescent="0.25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6"/>
    </row>
  </sheetData>
  <mergeCells count="26">
    <mergeCell ref="O21:P21"/>
    <mergeCell ref="O22:P22"/>
    <mergeCell ref="A23:P23"/>
    <mergeCell ref="A24:Q24"/>
    <mergeCell ref="A25:F25"/>
    <mergeCell ref="G25:Q25"/>
    <mergeCell ref="O20:P20"/>
    <mergeCell ref="A7:F7"/>
    <mergeCell ref="A8:Q8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6:F6"/>
    <mergeCell ref="A1:C1"/>
    <mergeCell ref="D1:E1"/>
    <mergeCell ref="P1:Q2"/>
    <mergeCell ref="A4:F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Necesidades Trimestrales (2)</vt:lpstr>
      <vt:lpstr>NP LAB</vt:lpstr>
      <vt:lpstr>APG LAB</vt:lpstr>
      <vt:lpstr>NP BCO SANGRE</vt:lpstr>
      <vt:lpstr>APG BCO SANGRE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JOHANA AYBAR</cp:lastModifiedBy>
  <cp:revision>2</cp:revision>
  <cp:lastPrinted>2021-02-22T15:06:37Z</cp:lastPrinted>
  <dcterms:created xsi:type="dcterms:W3CDTF">2020-07-17T23:44:49Z</dcterms:created>
  <dcterms:modified xsi:type="dcterms:W3CDTF">2021-07-15T11:58:31Z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