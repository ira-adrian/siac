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Nair\PEDIDOS 2022\4 TRIMESTRE 2022\acuerdo marco dermatologica\maternidad\"/>
    </mc:Choice>
  </mc:AlternateContent>
  <xr:revisionPtr revIDLastSave="0" documentId="8_{043DA4EA-E83F-49B1-B23C-5EFBAB88E5E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definedNames>
    <definedName name="_xlnm._FilterDatabase" localSheetId="0" hidden="1">'Necesidades Trimestrales'!$A$9:$I$44</definedName>
    <definedName name="_xlnm.Print_Area" localSheetId="0">'Necesidades Trimestrales'!#REF!</definedName>
  </definedNames>
  <calcPr calcId="181029"/>
</workbook>
</file>

<file path=xl/calcChain.xml><?xml version="1.0" encoding="utf-8"?>
<calcChain xmlns="http://schemas.openxmlformats.org/spreadsheetml/2006/main">
  <c r="I11" i="1" l="1"/>
  <c r="I10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</calcChain>
</file>

<file path=xl/sharedStrings.xml><?xml version="1.0" encoding="utf-8"?>
<sst xmlns="http://schemas.openxmlformats.org/spreadsheetml/2006/main" count="173" uniqueCount="102">
  <si>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</si>
  <si>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</si>
  <si>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</si>
  <si>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</si>
  <si>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</si>
  <si>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</si>
  <si>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</si>
  <si>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</si>
  <si>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</si>
  <si>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</si>
  <si>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</si>
  <si>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</si>
  <si>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</si>
  <si>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040 - Ministerio de Salud</t>
  </si>
  <si>
    <r>
      <t>Mantenimiento</t>
    </r>
    <r>
      <rPr>
        <sz val="10"/>
        <rFont val="Times New Roman"/>
        <family val="1"/>
      </rPr>
      <t xml:space="preserve">: 45 dias habiles 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</si>
  <si>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</t>
    </r>
  </si>
  <si>
    <t>COMPRIMIDO</t>
  </si>
  <si>
    <t>FRASCO</t>
  </si>
  <si>
    <t>AMPOLLA</t>
  </si>
  <si>
    <t>UNIDAD</t>
  </si>
  <si>
    <t>GOTERO</t>
  </si>
  <si>
    <t>CAJA</t>
  </si>
  <si>
    <t>CAPSULA</t>
  </si>
  <si>
    <t>2.5.2-5661.11</t>
  </si>
  <si>
    <t>2.5.2-1855.23</t>
  </si>
  <si>
    <t>2.5.2-1855.83</t>
  </si>
  <si>
    <t>2.5.2-2476.50</t>
  </si>
  <si>
    <t>2.5.2-1902.14</t>
  </si>
  <si>
    <t>2.5.2-1855.7</t>
  </si>
  <si>
    <t>2.5.2-2476.36</t>
  </si>
  <si>
    <t>2.5.2-2476.44</t>
  </si>
  <si>
    <t>2.5.2-1853.4</t>
  </si>
  <si>
    <t>2.5.2-1855.47</t>
  </si>
  <si>
    <t>2.5.2-1855.77</t>
  </si>
  <si>
    <t>2.5.2-1875.9</t>
  </si>
  <si>
    <t>2.5.2-1902.10</t>
  </si>
  <si>
    <t>2.5.2-5559.10</t>
  </si>
  <si>
    <t>2.5.2-2200.4</t>
  </si>
  <si>
    <t>2.5.2-2200.19</t>
  </si>
  <si>
    <t>2.5.2-1855.105</t>
  </si>
  <si>
    <t>2.5.2-1821.487</t>
  </si>
  <si>
    <t>2.5.2-1723.122</t>
  </si>
  <si>
    <t>2.5.2-1853.2</t>
  </si>
  <si>
    <t>2.5.2-1875.11</t>
  </si>
  <si>
    <t>REGULADORES HORMONALES; TIPO: MONODROGA, DROGA GENERICA: ATOSIBAN, FORMA FARMACEUTICA: AMPOLLA, PRESENTACION: ENVASE X 0,9 mL</t>
  </si>
  <si>
    <t>CORTICOESTEROIDES; TIPO: MONODROGA, DROGA GENERICA: BETAMETASONA, FORMA FARMACEUTICA: CREMA, PRESENTACION: 15 GR</t>
  </si>
  <si>
    <t>CORTICOESTEROIDES; TIPO: ASOCIACION, DROGA GENERICA: BETAMETASONA ACETATO+FOSFATO, FORMA FARMACEUTICA: AMPOLLA, PRESENTACION: ENVASE X 2 mL</t>
  </si>
  <si>
    <t>ANTIALERGICOS-ANTIHISTAMINICOS; TIPO: MONODROGA, DROGA GENERICA: BUDESONIDA 1 MG/ML, FORMA FARMACEUTICA: GOTAS, PRESENTACION: ENVASE X 20 mL</t>
  </si>
  <si>
    <t>CORTICOESTEROIDES; TIPO: MONODROGA, DROGA GENERICA: DEXAMETASONA, FORMA FARMACEUTICA: AMPOLLA, PRESENTACION: 8 mGr</t>
  </si>
  <si>
    <t>ANTIALERGICOS-ANTIHISTAMINICOS; TIPO: MONODROGA, DROGA GENERICA: DIFENHIDRAMINA, FORMA FARMACEUTICA: COMPRIMIDO, PRESENTACION: 50 mGr</t>
  </si>
  <si>
    <t>ANTIALERGICOS-ANTIHISTAMINICOS; TIPO: MONODROGA, DROGA GENERICA: DIFENHIDRAMINA, FORMA FARMACEUTICA: AMPOLLA, PRESENTACION: 10 mGr</t>
  </si>
  <si>
    <t>OCITOCICOS; TIPO: MONODROGA, DROGA GENERICA: ERGONOVINA, PRESENTACION: 0.2 mGr, FORMA FARMACEUTICA: AMPOLLAS</t>
  </si>
  <si>
    <t>CORTICOESTEROIDES; TIPO: MONODROGA, DROGA GENERICA: HIDROCORTISONA, FORMA FARMACEUTICA: AMPOLLA/FRASCO, PRESENTACION: 100 mGr</t>
  </si>
  <si>
    <t>CORTICOESTEROIDES; TIPO: MONODROGA, DROGA GENERICA: HIDROCORTISONA, FORMA FARMACEUTICA: FRASCO AMPOLLA, PRESENTACION: ENVASE X 500 mGr</t>
  </si>
  <si>
    <t>ANTIASMATICO BRONCODILATADOR; TIPO: MONODROGA, DROGA GENERICA: BROMURO DE IPRATROPIO, FORMA FARMACEUTICA: SOLUCION, PRESENTACION: 20 mL</t>
  </si>
  <si>
    <t>DROGAS UTERINAS; TIPO: MONODROGA, DROGA GENERICA: ISOXUPRINA 10 mGr, FORMA FARMACEUTICA: AMPOLLA, PRESENTACION: UNIDAD</t>
  </si>
  <si>
    <t>NORMALIZADORES TIROIDEOS; TIPO: MONODROGA, PRESENTACION: UNIDAD, DROGA GENERICA: LEVOTIROXINA 100 µGr, FORMA FARMACEUTICA: COMPRIMIDO</t>
  </si>
  <si>
    <t>CORTICOIDES; DROGA GENERICA: MEPREDNISONA, FORMA FARMACEUTICA: COMPRIMIDO, PRESENTACION: 4 mGr, TIPO: MONODROGA</t>
  </si>
  <si>
    <t>CORTICOESTEROIDES; TIPO: MONODROGA, DROGA GENERICA: MEPREDNISONA 8 mGr, FORMA FARMACEUTICA: COMPRIMIDO, PRESENTACION: UNIDAD</t>
  </si>
  <si>
    <t>ANTIBIOTICOS P/PERSONAS; TIPO: MONODROGA, DROGA GENERICA: METRONIDAZOL, FORMA FARMACEUTICA: OVULO, PRESENTACION: UNIDAD</t>
  </si>
  <si>
    <t>ANTISEPTICOS LOCALES P/PERSONA; TIPO: MONODROGA, DROGA GENERICA: NITROFURAZONA, FORMA FARMACEUTICA: APOSITO, PRESENTACION: ENVASE X 20 UN</t>
  </si>
  <si>
    <t>OCITOCICOS; TIPO: MONODROGA, DROGA GENERICA: OXITOCINA SINTÉTICA, PRESENTACION: 10 UI, FORMA FARMACEUTICA: AMPOLLA</t>
  </si>
  <si>
    <t>ANTIASMATICO BRONCODILATADOR; TIPO: MONODROGA, PRESENTACION: 20 mL, FORMA FARMACEUTICA: GOTAS, DROGA GENERICA: SALBUTAMOL</t>
  </si>
  <si>
    <t>PROD. MEDICO/FARMACEUTICOS/LAB</t>
  </si>
  <si>
    <t>CORTICOIDES; DROGA GENERICA: MEPREDNISONA, FORMA FARMACEUTICA: COMPRIMIDO, PRESENTACION: 40 mGr, TIPO: MONODROGA</t>
  </si>
  <si>
    <t>2.5.2-1875.108</t>
  </si>
  <si>
    <t>ANTIASMATICO BRONCODILATADOR; TIPO: MONODROGA, DROGA GENERICA: BROMURO DE IPRATROPIO 20 µGr, FORMA FARMACEUTICA: AEROSOL, PRESENTACION: UNIDAD</t>
  </si>
  <si>
    <t>APOSITOS; TIPO: HIDROCOLOIDE, TAMAÑO: 10 X 10 Cm</t>
  </si>
  <si>
    <t>2.9.5-427.39</t>
  </si>
  <si>
    <t>2.5.2-9500.2</t>
  </si>
  <si>
    <t>ANTIASMATICO BRONCODILATADOR; TIPO: MONODROGA, DROGA GENERICA: SURFACTANTE PULMONAR BOVI 30MG, FORMA FARMACEUTICA: AMPOLLA, PRESENTACION: ENVASE X 4 mL</t>
  </si>
  <si>
    <t>2.5.2-1875.68</t>
  </si>
  <si>
    <t>2.5.2-1875.55</t>
  </si>
  <si>
    <t>ANTIASMATICO BRONCODILATADOR; TIPO: MONODROGA, DROGA GENERICA: SALBUTAMOL, FORMA FARMACEUTICA: AEROSOL, PRESENTACION: 250 DOSIS</t>
  </si>
  <si>
    <t>ANTIASMATICO BRONCODILATADOR; TIPO: MONODROGA, DROGA GENERICA: N-ACETIL CISTEINA 600 MGR, FORMA FARMACEUTICA: TABLETA EFERVESCENTE, PRESENTACION: UNIDAD</t>
  </si>
  <si>
    <t>2.5.2-1875.133</t>
  </si>
  <si>
    <t>APOSITOS; TIPO: HIDROCOLOIDE, TAMAÑO: 15 X 17,5 Cm</t>
  </si>
  <si>
    <t>2.9.5-427.33</t>
  </si>
  <si>
    <t>ANTIASMATICO BRONCODILATADOR; TIPO: MONODROGA, DROGA GENERICA: BUDESONIDE 200 µGR, FORMA FARMACEUTICA: AEROSOL, PRESENTACION: 100 DOSIS</t>
  </si>
  <si>
    <t>2.5.2-1875.134</t>
  </si>
  <si>
    <t>HORMONAS MEDICINALES; TIPO: MONODROGA, DROGA GENERICA: CABERGOLINA, FORMA FARMACEUTICA: COMPRIMIDO, PRESENTACION: 0,5 mGr, USO: SEXUAL</t>
  </si>
  <si>
    <t>2.5.2-1895.19</t>
  </si>
  <si>
    <t>DROGAS UTERINAS; TIPO: MONODROGA, DROGA GENERICA: CARBETOCIN 100 MCG, FORMA FARMACEUTICA: AMPOLLA, PRESENTACION: UNIDAD</t>
  </si>
  <si>
    <t>NORMALIZADORES TIROIDEOS; TIPO: MONODROGA, PRESENTACION: UNIDAD, DROGA GENERICA: LEVOTIROXINA 75 µGR, FORMA FARMACEUTICA: COMPRIMIDOS</t>
  </si>
  <si>
    <t>2.5.2-5559.12</t>
  </si>
  <si>
    <t>GENITOURINARIO; TIPO: MONODROGA, DROGA GENÉRICA: NISTATINA, FORMA FARMACEÚTICA: COMPRIMIDO VAGINAL, PRESENTACIÓN: 100000 UI</t>
  </si>
  <si>
    <t>2.5.2-1851.29</t>
  </si>
  <si>
    <t>HORMONAS MEDICINALES; TIPO: MONODROGA, DROGA GENÉRICA: PROGESTERONA MICRONIZADA 200 MG, FORMA FARMACEÚTICA: CÁPSULAS, USO: SEXUAL</t>
  </si>
  <si>
    <t>2.5.2-1895.88</t>
  </si>
  <si>
    <t>INDUCTOR DEL PARTO; TIPO: MONODROGA, DROGA GENÉRICA: MISOPROSTOL 200 MGR, FORMA FARMACEÚTICA: COMPRIMIDO VAGINAL, PRESENTACION: UNIDAD</t>
  </si>
  <si>
    <t>Calidad Minima esperada:</t>
  </si>
  <si>
    <t>DESCRIPCION</t>
  </si>
  <si>
    <t>2.5.2-2198.8</t>
  </si>
  <si>
    <t>ANTIDIURETICOS; DROGA GENERICA: VASOPRESINA ACUOSA, FORMA FARMACEUTICA: AMPOLLA, PRESENTACION: 1 mL, TIPO: MONODROGA</t>
  </si>
  <si>
    <t>ANTIBIOTICOS P/PERSONAS; TIPO: MONODROGA, DROGA GENERICA: SULFADIAZINA DE PLATA + VIT.A, FORMA FARMACEUTICA: CREMA, PRESENTACION: ENVASE X 200 GR</t>
  </si>
  <si>
    <t>2.5.2-1821.324</t>
  </si>
  <si>
    <t xml:space="preserve">  28-Maternidad provincial 25 de Mayo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</si>
  <si>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 DE 08:00 A 13:00HS.,HERNANDO DE PEDRAZA N° 1650-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</si>
  <si>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10 DIAS HABILES DESDE LA RECEPCION DE LA SOLICITUD DE PROVISION</t>
    </r>
  </si>
  <si>
    <t>Ítem 2: VASOPRESINA 20UI AMPOLLA CAJA X 5 UNIDADES TIPO NOVOPRESSINA - V</t>
  </si>
  <si>
    <r>
      <rPr>
        <b/>
        <u/>
        <sz val="10"/>
        <rFont val="Times New Roman"/>
        <family val="1"/>
      </rPr>
      <t>Especificidades</t>
    </r>
    <r>
      <rPr>
        <b/>
        <sz val="10"/>
        <rFont val="Times New Roman"/>
        <family val="1"/>
      </rPr>
      <t>: ITEMS 1 AL 35</t>
    </r>
  </si>
  <si>
    <t>Ítem 32: Con AEROCAMARA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</si>
</sst>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* #,##0.00_-;\-&quot;$&quot;* #,##0.00_-;_-&quot;$&quot;* &quot;-&quot;??_-;_-@_-"/>
    <numFmt numFmtId="166" formatCode="_-* #,##0.00&quot; €&quot;_-;\-* #,##0.00&quot; €&quot;_-;_-* \-??&quot; €&quot;_-;_-@_-"/>
    <numFmt numFmtId="167" formatCode="&quot;$&quot;\ #,##0.00"/>
  </numFmts>
  <fonts count="23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sz val="10"/>
      <color theme="1"/>
      <name val="Arial"/>
      <family val="2"/>
    </font>
    <font>
      <b/>
      <sz val="10"/>
      <name val="Times New Roman"/>
      <family val="1"/>
    </font>
    <font>
      <b/>
      <u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4">
    <xf numFmtId="0" fontId="0" fillId="0" borderId="0"/>
    <xf numFmtId="166" fontId="7" fillId="0" borderId="0" applyBorder="0" applyProtection="0"/>
    <xf numFmtId="0" fontId="5" fillId="0" borderId="1" applyProtection="0"/>
    <xf numFmtId="0" fontId="6" fillId="2" borderId="0" applyBorder="0" applyProtection="0"/>
    <xf numFmtId="0" fontId="7" fillId="0" borderId="0"/>
    <xf numFmtId="0" fontId="7" fillId="0" borderId="0"/>
    <xf numFmtId="0" fontId="7" fillId="0" borderId="0"/>
    <xf numFmtId="0" fontId="4" fillId="0" borderId="0"/>
    <xf numFmtId="0" fontId="7" fillId="0" borderId="0"/>
    <xf numFmtId="43" fontId="4" fillId="0" borderId="0" applyFont="0" applyFill="0" applyBorder="0" applyAlignment="0" applyProtection="0"/>
    <xf numFmtId="0" fontId="7" fillId="0" borderId="0"/>
    <xf numFmtId="0" fontId="3" fillId="0" borderId="0"/>
    <xf numFmtId="0" fontId="2" fillId="0" borderId="0"/>
    <xf numFmtId="0" fontId="1" fillId="0" borderId="0"/>
  </cellStyleXfs>
  <cellXfs count="69">
    <xf numFmtId="0" fontId="0" fillId="0" borderId="0" xfId="0"/>
    <xf numFmtId="0" fontId="15" fillId="4" borderId="0" xfId="0" applyFont="1" applyFill="1" applyAlignment="1">
      <alignment horizontal="left" wrapText="1" indent="1"/>
    </xf>
    <xf numFmtId="0" fontId="12" fillId="3" borderId="0" xfId="0" applyFont="1" applyFill="1" applyAlignment="1">
      <alignment horizontal="left" wrapText="1"/>
    </xf>
    <xf numFmtId="0" fontId="8" fillId="3" borderId="0" xfId="0" applyFont="1" applyFill="1"/>
    <xf numFmtId="0" fontId="11" fillId="3" borderId="0" xfId="0" applyFont="1" applyFill="1" applyAlignment="1">
      <alignment horizontal="left" wrapText="1"/>
    </xf>
    <xf numFmtId="0" fontId="11" fillId="3" borderId="0" xfId="0" applyFont="1" applyFill="1" applyAlignment="1">
      <alignment horizontal="center" wrapText="1"/>
    </xf>
    <xf numFmtId="0" fontId="8" fillId="3" borderId="3" xfId="0" applyFont="1" applyFill="1" applyBorder="1"/>
    <xf numFmtId="0" fontId="8" fillId="3" borderId="0" xfId="0" applyFont="1" applyFill="1" applyAlignment="1">
      <alignment horizontal="center" vertical="center"/>
    </xf>
    <xf numFmtId="167" fontId="13" fillId="3" borderId="0" xfId="0" applyNumberFormat="1" applyFont="1" applyFill="1"/>
    <xf numFmtId="0" fontId="14" fillId="3" borderId="7" xfId="0" applyFont="1" applyFill="1" applyBorder="1"/>
    <xf numFmtId="164" fontId="8" fillId="3" borderId="0" xfId="0" applyNumberFormat="1" applyFont="1" applyFill="1"/>
    <xf numFmtId="0" fontId="8" fillId="3" borderId="0" xfId="0" applyFont="1" applyFill="1" applyAlignment="1">
      <alignment horizontal="center" wrapText="1"/>
    </xf>
    <xf numFmtId="0" fontId="8" fillId="3" borderId="8" xfId="0" applyFont="1" applyFill="1" applyBorder="1"/>
    <xf numFmtId="0" fontId="8" fillId="3" borderId="9" xfId="0" applyFont="1" applyFill="1" applyBorder="1"/>
    <xf numFmtId="0" fontId="8" fillId="3" borderId="2" xfId="0" applyFont="1" applyFill="1" applyBorder="1"/>
    <xf numFmtId="0" fontId="16" fillId="3" borderId="10" xfId="0" applyFont="1" applyFill="1" applyBorder="1" applyAlignment="1">
      <alignment horizontal="center" vertical="center" wrapText="1"/>
    </xf>
    <xf numFmtId="164" fontId="16" fillId="3" borderId="10" xfId="0" applyNumberFormat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 wrapText="1"/>
    </xf>
    <xf numFmtId="0" fontId="17" fillId="3" borderId="10" xfId="0" applyFont="1" applyFill="1" applyBorder="1" applyAlignment="1">
      <alignment horizontal="left" vertical="center" wrapText="1"/>
    </xf>
    <xf numFmtId="3" fontId="7" fillId="3" borderId="10" xfId="0" applyNumberFormat="1" applyFont="1" applyFill="1" applyBorder="1" applyAlignment="1">
      <alignment horizontal="center" vertical="center"/>
    </xf>
    <xf numFmtId="44" fontId="20" fillId="3" borderId="10" xfId="7" applyNumberFormat="1" applyFont="1" applyFill="1" applyBorder="1" applyAlignment="1">
      <alignment horizontal="left" vertical="center"/>
    </xf>
    <xf numFmtId="0" fontId="7" fillId="0" borderId="10" xfId="0" applyFont="1" applyBorder="1" applyAlignment="1">
      <alignment horizontal="center" vertical="center"/>
    </xf>
    <xf numFmtId="44" fontId="7" fillId="3" borderId="10" xfId="1" applyNumberFormat="1" applyFill="1" applyBorder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left" vertical="center" wrapText="1"/>
    </xf>
    <xf numFmtId="44" fontId="20" fillId="0" borderId="10" xfId="7" applyNumberFormat="1" applyFont="1" applyBorder="1" applyAlignment="1">
      <alignment horizontal="left" vertical="center"/>
    </xf>
    <xf numFmtId="0" fontId="0" fillId="0" borderId="10" xfId="0" applyBorder="1" applyAlignment="1">
      <alignment vertical="center" wrapText="1"/>
    </xf>
    <xf numFmtId="0" fontId="7" fillId="3" borderId="10" xfId="0" applyFont="1" applyFill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7" fillId="0" borderId="10" xfId="0" applyFont="1" applyBorder="1" applyAlignment="1">
      <alignment horizontal="left" vertical="center" wrapText="1"/>
    </xf>
    <xf numFmtId="0" fontId="8" fillId="0" borderId="0" xfId="0" applyFont="1"/>
    <xf numFmtId="0" fontId="12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8" fillId="3" borderId="5" xfId="0" applyFont="1" applyFill="1" applyBorder="1"/>
    <xf numFmtId="0" fontId="8" fillId="3" borderId="0" xfId="0" applyFont="1" applyFill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0" fillId="3" borderId="10" xfId="0" applyFill="1" applyBorder="1" applyAlignment="1">
      <alignment vertical="center" wrapText="1"/>
    </xf>
    <xf numFmtId="0" fontId="7" fillId="3" borderId="10" xfId="0" applyFont="1" applyFill="1" applyBorder="1" applyAlignment="1">
      <alignment horizontal="left" vertical="center" wrapText="1"/>
    </xf>
    <xf numFmtId="44" fontId="7" fillId="3" borderId="10" xfId="1" applyNumberFormat="1" applyFill="1" applyBorder="1" applyAlignment="1">
      <alignment horizontal="right" vertical="center"/>
    </xf>
    <xf numFmtId="0" fontId="20" fillId="3" borderId="0" xfId="13" applyFont="1" applyFill="1" applyAlignment="1">
      <alignment vertical="center"/>
    </xf>
    <xf numFmtId="0" fontId="8" fillId="3" borderId="5" xfId="5" applyFont="1" applyFill="1" applyBorder="1" applyAlignment="1">
      <alignment horizontal="left" vertical="center" wrapText="1"/>
    </xf>
    <xf numFmtId="0" fontId="8" fillId="3" borderId="0" xfId="5" applyFont="1" applyFill="1" applyAlignment="1">
      <alignment horizontal="left" vertical="center" wrapText="1"/>
    </xf>
    <xf numFmtId="0" fontId="8" fillId="3" borderId="6" xfId="5" applyFont="1" applyFill="1" applyBorder="1" applyAlignment="1">
      <alignment horizontal="left" vertical="center" wrapText="1"/>
    </xf>
    <xf numFmtId="0" fontId="8" fillId="3" borderId="5" xfId="5" applyFont="1" applyFill="1" applyBorder="1" applyAlignment="1">
      <alignment horizontal="left" wrapText="1"/>
    </xf>
    <xf numFmtId="0" fontId="8" fillId="3" borderId="0" xfId="5" applyFont="1" applyFill="1" applyAlignment="1">
      <alignment horizontal="left" wrapText="1"/>
    </xf>
    <xf numFmtId="0" fontId="21" fillId="3" borderId="2" xfId="0" applyFont="1" applyFill="1" applyBorder="1"/>
    <xf numFmtId="0" fontId="21" fillId="3" borderId="3" xfId="0" applyFont="1" applyFill="1" applyBorder="1"/>
    <xf numFmtId="0" fontId="21" fillId="3" borderId="5" xfId="0" applyFont="1" applyFill="1" applyBorder="1"/>
    <xf numFmtId="0" fontId="21" fillId="3" borderId="0" xfId="0" applyFont="1" applyFill="1"/>
    <xf numFmtId="0" fontId="21" fillId="3" borderId="0" xfId="0" applyFont="1" applyFill="1" applyAlignment="1">
      <alignment horizontal="left" vertical="center"/>
    </xf>
    <xf numFmtId="0" fontId="9" fillId="3" borderId="0" xfId="0" applyFont="1" applyFill="1" applyAlignment="1">
      <alignment horizontal="center"/>
    </xf>
    <xf numFmtId="0" fontId="10" fillId="3" borderId="0" xfId="0" applyFont="1" applyFill="1" applyAlignment="1">
      <alignment horizontal="left" vertical="center" wrapText="1"/>
    </xf>
    <xf numFmtId="0" fontId="15" fillId="4" borderId="0" xfId="0" applyFont="1" applyFill="1" applyAlignment="1">
      <alignment horizontal="left" wrapText="1" indent="1"/>
    </xf>
    <xf numFmtId="0" fontId="8" fillId="3" borderId="5" xfId="5" applyFont="1" applyFill="1" applyBorder="1" applyAlignment="1">
      <alignment horizontal="left" vertical="center" wrapText="1"/>
    </xf>
    <xf numFmtId="0" fontId="8" fillId="3" borderId="0" xfId="5" applyFont="1" applyFill="1" applyAlignment="1">
      <alignment horizontal="left" vertical="center" wrapText="1"/>
    </xf>
    <xf numFmtId="0" fontId="8" fillId="3" borderId="6" xfId="5" applyFont="1" applyFill="1" applyBorder="1" applyAlignment="1">
      <alignment horizontal="left" vertical="center" wrapText="1"/>
    </xf>
    <xf numFmtId="0" fontId="8" fillId="3" borderId="5" xfId="5" applyFont="1" applyFill="1" applyBorder="1" applyAlignment="1">
      <alignment horizontal="left" wrapText="1"/>
    </xf>
    <xf numFmtId="0" fontId="8" fillId="3" borderId="0" xfId="5" applyFont="1" applyFill="1" applyAlignment="1">
      <alignment horizontal="left" wrapText="1"/>
    </xf>
    <xf numFmtId="0" fontId="19" fillId="0" borderId="5" xfId="6" applyFont="1" applyBorder="1" applyAlignment="1">
      <alignment horizontal="left" vertical="center" wrapText="1"/>
    </xf>
    <xf numFmtId="0" fontId="18" fillId="0" borderId="0" xfId="6" applyFont="1" applyAlignment="1">
      <alignment horizontal="left" vertical="center" wrapText="1"/>
    </xf>
  </cellXfs>
  <cellStyles count="14">
    <cellStyle name="Encabezado 1" xfId="2" xr:uid="{00000000-0005-0000-0000-000000000000}"/>
    <cellStyle name="Millares 2" xfId="9" xr:uid="{00000000-0005-0000-0000-000001000000}"/>
    <cellStyle name="Moneda" xfId="1" builtinId="4"/>
    <cellStyle name="Neutral 1" xfId="3" xr:uid="{00000000-0005-0000-0000-000004000000}"/>
    <cellStyle name="Normal" xfId="0" builtinId="0"/>
    <cellStyle name="Normal 2" xfId="4" xr:uid="{00000000-0005-0000-0000-000006000000}"/>
    <cellStyle name="Normal 2 2" xfId="6" xr:uid="{00000000-0005-0000-0000-000007000000}"/>
    <cellStyle name="Normal 2 3" xfId="5" xr:uid="{00000000-0005-0000-0000-000008000000}"/>
    <cellStyle name="Normal 3" xfId="10" xr:uid="{00000000-0005-0000-0000-000009000000}"/>
    <cellStyle name="Normal 4" xfId="8" xr:uid="{00000000-0005-0000-0000-00000A000000}"/>
    <cellStyle name="Normal 5" xfId="7" xr:uid="{00000000-0005-0000-0000-00000B000000}"/>
    <cellStyle name="Normal 6" xfId="11" xr:uid="{00000000-0005-0000-0000-00000C000000}"/>
    <cellStyle name="Normal 7" xfId="12" xr:uid="{00000000-0005-0000-0000-00000D000000}"/>
    <cellStyle name="Normal 8" xfId="13" xr:uid="{00000000-0005-0000-0000-00000E000000}"/>
  </cellStyles>
  <dxfs count="6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87"/>
  <sheetViews>
    <sheetView tabSelected="1" zoomScale="77" zoomScaleNormal="77" workbookViewId="0">
      <selection activeCell="I10" sqref="I10:I44"/>
    </sheetView>
  </sheetViews>
  <sheetFormatPr baseColWidth="10" defaultColWidth="11" defaultRowHeight="12.75" x14ac:dyDescent="0.2"/>
  <cols>
    <col min="1" max="1" width="4.5703125" style="3" customWidth="1"/>
    <col min="2" max="2" width="14" style="3" customWidth="1"/>
    <col min="3" max="3" width="35.85546875" style="3" bestFit="1" customWidth="1"/>
    <col min="4" max="4" width="8.42578125" style="3" customWidth="1"/>
    <col min="5" max="5" width="70" style="25" customWidth="1"/>
    <col min="6" max="6" width="15.28515625" style="3" customWidth="1"/>
    <col min="7" max="7" width="15" style="3" bestFit="1" customWidth="1"/>
    <col min="8" max="8" width="14.42578125" style="3" bestFit="1" customWidth="1"/>
    <col min="9" max="9" width="17" style="3" customWidth="1"/>
    <col min="10" max="10" width="24.140625" style="10" customWidth="1"/>
    <col min="11" max="11" width="10.42578125" style="25" customWidth="1"/>
    <col min="12" max="16384" width="11" style="3"/>
  </cols>
  <sheetData>
    <row r="2" spans="1:11" ht="27" x14ac:dyDescent="0.35">
      <c r="B2" s="59" t="s">
        <v>0</v>
      </c>
      <c r="C2" s="59"/>
      <c r="D2" s="59"/>
      <c r="E2" s="59"/>
      <c r="F2" s="59"/>
      <c r="G2" s="59"/>
      <c r="H2" s="59"/>
      <c r="I2" s="59"/>
    </row>
    <row r="4" spans="1:11" ht="15.75" x14ac:dyDescent="0.25">
      <c r="A4" s="60" t="s">
        <v>1</v>
      </c>
      <c r="B4" s="60"/>
      <c r="C4" s="61" t="s">
        <v>13</v>
      </c>
      <c r="D4" s="61"/>
      <c r="E4" s="61"/>
      <c r="F4" s="61"/>
      <c r="G4" s="4"/>
      <c r="H4" s="5"/>
      <c r="I4" s="4"/>
    </row>
    <row r="5" spans="1:11" ht="15.75" x14ac:dyDescent="0.25">
      <c r="A5" s="60" t="s">
        <v>2</v>
      </c>
      <c r="B5" s="60"/>
      <c r="C5" s="61" t="s">
        <v>96</v>
      </c>
      <c r="D5" s="61"/>
      <c r="E5" s="61"/>
      <c r="F5" s="61"/>
      <c r="G5" s="4"/>
      <c r="H5" s="5"/>
      <c r="I5" s="4"/>
    </row>
    <row r="6" spans="1:11" ht="15.75" x14ac:dyDescent="0.25">
      <c r="A6" s="60" t="s">
        <v>3</v>
      </c>
      <c r="B6" s="60"/>
      <c r="C6" s="1">
        <v>2023</v>
      </c>
      <c r="D6" s="2"/>
      <c r="E6" s="35"/>
      <c r="F6" s="2"/>
      <c r="G6" s="4"/>
      <c r="H6" s="5"/>
      <c r="I6" s="4"/>
    </row>
    <row r="7" spans="1:11" ht="15.75" x14ac:dyDescent="0.25">
      <c r="A7" s="60" t="s">
        <v>4</v>
      </c>
      <c r="B7" s="60"/>
      <c r="C7" s="1">
        <v>1</v>
      </c>
      <c r="D7" s="2"/>
      <c r="E7" s="35"/>
      <c r="F7" s="2"/>
      <c r="G7" s="4"/>
      <c r="H7" s="5"/>
      <c r="I7" s="4"/>
    </row>
    <row r="8" spans="1:11" ht="13.5" thickBot="1" x14ac:dyDescent="0.25">
      <c r="B8" s="4"/>
      <c r="C8" s="5"/>
      <c r="D8" s="4"/>
      <c r="E8" s="36"/>
      <c r="F8" s="4"/>
      <c r="G8" s="4"/>
      <c r="H8" s="5"/>
      <c r="I8" s="4"/>
    </row>
    <row r="9" spans="1:11" s="42" customFormat="1" ht="39" thickBot="1" x14ac:dyDescent="0.25">
      <c r="A9" s="15" t="s">
        <v>5</v>
      </c>
      <c r="B9" s="15" t="s">
        <v>6</v>
      </c>
      <c r="C9" s="15" t="s">
        <v>7</v>
      </c>
      <c r="D9" s="15" t="s">
        <v>8</v>
      </c>
      <c r="E9" s="15" t="s">
        <v>91</v>
      </c>
      <c r="F9" s="15" t="s">
        <v>9</v>
      </c>
      <c r="G9" s="15" t="s">
        <v>10</v>
      </c>
      <c r="H9" s="15" t="s">
        <v>11</v>
      </c>
      <c r="I9" s="16" t="s">
        <v>12</v>
      </c>
      <c r="J9" s="7"/>
    </row>
    <row r="10" spans="1:11" ht="45.75" customHeight="1" thickBot="1" x14ac:dyDescent="0.25">
      <c r="A10" s="17">
        <v>1</v>
      </c>
      <c r="B10" s="22" t="s">
        <v>75</v>
      </c>
      <c r="C10" s="29" t="s">
        <v>63</v>
      </c>
      <c r="D10" s="26">
        <v>252</v>
      </c>
      <c r="E10" s="33" t="s">
        <v>74</v>
      </c>
      <c r="F10" s="17" t="s">
        <v>19</v>
      </c>
      <c r="G10" s="20">
        <v>80</v>
      </c>
      <c r="H10" s="23">
        <v>38</v>
      </c>
      <c r="I10" s="21">
        <f t="shared" ref="I10:I21" si="0">+G10*H10</f>
        <v>3040</v>
      </c>
      <c r="J10" s="3"/>
      <c r="K10" s="3"/>
    </row>
    <row r="11" spans="1:11" ht="45.75" customHeight="1" thickBot="1" x14ac:dyDescent="0.25">
      <c r="A11" s="17">
        <v>2</v>
      </c>
      <c r="B11" s="17" t="s">
        <v>92</v>
      </c>
      <c r="C11" s="45" t="s">
        <v>63</v>
      </c>
      <c r="D11" s="18">
        <v>252</v>
      </c>
      <c r="E11" s="46" t="s">
        <v>93</v>
      </c>
      <c r="F11" s="17" t="s">
        <v>21</v>
      </c>
      <c r="G11" s="20">
        <v>50</v>
      </c>
      <c r="H11" s="23">
        <v>6325.28</v>
      </c>
      <c r="I11" s="21">
        <f t="shared" si="0"/>
        <v>316264</v>
      </c>
      <c r="J11" s="3"/>
      <c r="K11" s="3"/>
    </row>
    <row r="12" spans="1:11" ht="45.75" customHeight="1" thickBot="1" x14ac:dyDescent="0.25">
      <c r="A12" s="17">
        <v>3</v>
      </c>
      <c r="B12" s="22" t="s">
        <v>77</v>
      </c>
      <c r="C12" s="29" t="s">
        <v>63</v>
      </c>
      <c r="D12" s="26">
        <v>252</v>
      </c>
      <c r="E12" s="40" t="s">
        <v>76</v>
      </c>
      <c r="F12" s="17" t="s">
        <v>19</v>
      </c>
      <c r="G12" s="20">
        <v>10</v>
      </c>
      <c r="H12" s="23">
        <v>1120</v>
      </c>
      <c r="I12" s="21">
        <f t="shared" si="0"/>
        <v>11200</v>
      </c>
      <c r="J12" s="3"/>
      <c r="K12" s="3"/>
    </row>
    <row r="13" spans="1:11" ht="45.75" customHeight="1" thickBot="1" x14ac:dyDescent="0.25">
      <c r="A13" s="17">
        <v>4</v>
      </c>
      <c r="B13" s="22" t="s">
        <v>68</v>
      </c>
      <c r="C13" s="29" t="s">
        <v>63</v>
      </c>
      <c r="D13" s="26">
        <v>252</v>
      </c>
      <c r="E13" s="27" t="s">
        <v>67</v>
      </c>
      <c r="F13" s="17" t="s">
        <v>19</v>
      </c>
      <c r="G13" s="20">
        <v>20</v>
      </c>
      <c r="H13" s="23">
        <v>620</v>
      </c>
      <c r="I13" s="21">
        <f t="shared" si="0"/>
        <v>12400</v>
      </c>
      <c r="J13" s="3"/>
      <c r="K13" s="3"/>
    </row>
    <row r="14" spans="1:11" ht="45.75" customHeight="1" thickBot="1" x14ac:dyDescent="0.25">
      <c r="A14" s="17">
        <v>5</v>
      </c>
      <c r="B14" s="17" t="s">
        <v>23</v>
      </c>
      <c r="C14" s="29" t="s">
        <v>63</v>
      </c>
      <c r="D14" s="18">
        <v>252</v>
      </c>
      <c r="E14" s="19" t="s">
        <v>44</v>
      </c>
      <c r="F14" s="17" t="s">
        <v>17</v>
      </c>
      <c r="G14" s="20">
        <v>90</v>
      </c>
      <c r="H14" s="23">
        <v>18320</v>
      </c>
      <c r="I14" s="21">
        <f t="shared" si="0"/>
        <v>1648800</v>
      </c>
      <c r="J14" s="3"/>
      <c r="K14" s="3"/>
    </row>
    <row r="15" spans="1:11" ht="45.75" customHeight="1" thickBot="1" x14ac:dyDescent="0.25">
      <c r="A15" s="17">
        <v>6</v>
      </c>
      <c r="B15" s="17" t="s">
        <v>24</v>
      </c>
      <c r="C15" s="29" t="s">
        <v>63</v>
      </c>
      <c r="D15" s="18">
        <v>252</v>
      </c>
      <c r="E15" s="19" t="s">
        <v>45</v>
      </c>
      <c r="F15" s="17" t="s">
        <v>19</v>
      </c>
      <c r="G15" s="20">
        <v>10</v>
      </c>
      <c r="H15" s="23">
        <v>185.23</v>
      </c>
      <c r="I15" s="21">
        <f t="shared" si="0"/>
        <v>1852.3</v>
      </c>
      <c r="J15" s="3"/>
      <c r="K15" s="3"/>
    </row>
    <row r="16" spans="1:11" ht="45.75" customHeight="1" thickBot="1" x14ac:dyDescent="0.25">
      <c r="A16" s="17">
        <v>7</v>
      </c>
      <c r="B16" s="17" t="s">
        <v>25</v>
      </c>
      <c r="C16" s="29" t="s">
        <v>63</v>
      </c>
      <c r="D16" s="18">
        <v>252</v>
      </c>
      <c r="E16" s="19" t="s">
        <v>46</v>
      </c>
      <c r="F16" s="17" t="s">
        <v>18</v>
      </c>
      <c r="G16" s="20">
        <v>500</v>
      </c>
      <c r="H16" s="23">
        <v>320</v>
      </c>
      <c r="I16" s="21">
        <f t="shared" si="0"/>
        <v>160000</v>
      </c>
      <c r="J16" s="3"/>
      <c r="K16" s="3"/>
    </row>
    <row r="17" spans="1:11" ht="45.75" customHeight="1" thickBot="1" x14ac:dyDescent="0.25">
      <c r="A17" s="17">
        <v>8</v>
      </c>
      <c r="B17" s="22" t="s">
        <v>79</v>
      </c>
      <c r="C17" s="29" t="s">
        <v>63</v>
      </c>
      <c r="D17" s="26">
        <v>252</v>
      </c>
      <c r="E17" s="33" t="s">
        <v>78</v>
      </c>
      <c r="F17" s="22" t="s">
        <v>19</v>
      </c>
      <c r="G17" s="20">
        <v>50</v>
      </c>
      <c r="H17" s="23">
        <v>780</v>
      </c>
      <c r="I17" s="28">
        <f t="shared" si="0"/>
        <v>39000</v>
      </c>
      <c r="J17" s="3"/>
      <c r="K17" s="3"/>
    </row>
    <row r="18" spans="1:11" ht="45.75" customHeight="1" thickBot="1" x14ac:dyDescent="0.25">
      <c r="A18" s="17">
        <v>9</v>
      </c>
      <c r="B18" s="17" t="s">
        <v>26</v>
      </c>
      <c r="C18" s="29" t="s">
        <v>63</v>
      </c>
      <c r="D18" s="18">
        <v>252</v>
      </c>
      <c r="E18" s="19" t="s">
        <v>47</v>
      </c>
      <c r="F18" s="17" t="s">
        <v>19</v>
      </c>
      <c r="G18" s="20">
        <v>20</v>
      </c>
      <c r="H18" s="23">
        <v>355</v>
      </c>
      <c r="I18" s="21">
        <f t="shared" si="0"/>
        <v>7100</v>
      </c>
      <c r="J18" s="3"/>
      <c r="K18" s="3"/>
    </row>
    <row r="19" spans="1:11" ht="45.75" customHeight="1" thickBot="1" x14ac:dyDescent="0.25">
      <c r="A19" s="17">
        <v>10</v>
      </c>
      <c r="B19" s="22" t="s">
        <v>81</v>
      </c>
      <c r="C19" s="29" t="s">
        <v>63</v>
      </c>
      <c r="D19" s="26">
        <v>252</v>
      </c>
      <c r="E19" s="33" t="s">
        <v>80</v>
      </c>
      <c r="F19" s="22" t="s">
        <v>16</v>
      </c>
      <c r="G19" s="20">
        <v>40</v>
      </c>
      <c r="H19" s="23">
        <v>659</v>
      </c>
      <c r="I19" s="28">
        <f t="shared" si="0"/>
        <v>26360</v>
      </c>
      <c r="J19" s="3"/>
      <c r="K19" s="3"/>
    </row>
    <row r="20" spans="1:11" ht="45.75" customHeight="1" thickBot="1" x14ac:dyDescent="0.25">
      <c r="A20" s="17">
        <v>11</v>
      </c>
      <c r="B20" s="22" t="s">
        <v>27</v>
      </c>
      <c r="C20" s="31" t="s">
        <v>63</v>
      </c>
      <c r="D20" s="26">
        <v>252</v>
      </c>
      <c r="E20" s="33" t="s">
        <v>82</v>
      </c>
      <c r="F20" s="22" t="s">
        <v>18</v>
      </c>
      <c r="G20" s="20">
        <v>50</v>
      </c>
      <c r="H20" s="23">
        <v>980</v>
      </c>
      <c r="I20" s="28">
        <f t="shared" si="0"/>
        <v>49000</v>
      </c>
      <c r="J20" s="32"/>
      <c r="K20" s="3"/>
    </row>
    <row r="21" spans="1:11" ht="45.75" customHeight="1" thickBot="1" x14ac:dyDescent="0.25">
      <c r="A21" s="17">
        <v>12</v>
      </c>
      <c r="B21" s="17" t="s">
        <v>28</v>
      </c>
      <c r="C21" s="29" t="s">
        <v>63</v>
      </c>
      <c r="D21" s="18">
        <v>252</v>
      </c>
      <c r="E21" s="19" t="s">
        <v>48</v>
      </c>
      <c r="F21" s="17" t="s">
        <v>18</v>
      </c>
      <c r="G21" s="20">
        <v>1600</v>
      </c>
      <c r="H21" s="23">
        <v>46</v>
      </c>
      <c r="I21" s="21">
        <f t="shared" si="0"/>
        <v>73600</v>
      </c>
      <c r="J21" s="3"/>
      <c r="K21" s="3"/>
    </row>
    <row r="22" spans="1:11" ht="45.75" customHeight="1" thickBot="1" x14ac:dyDescent="0.25">
      <c r="A22" s="17">
        <v>13</v>
      </c>
      <c r="B22" s="17" t="s">
        <v>29</v>
      </c>
      <c r="C22" s="29" t="s">
        <v>63</v>
      </c>
      <c r="D22" s="18">
        <v>252</v>
      </c>
      <c r="E22" s="19" t="s">
        <v>49</v>
      </c>
      <c r="F22" s="17" t="s">
        <v>16</v>
      </c>
      <c r="G22" s="20">
        <v>40</v>
      </c>
      <c r="H22" s="23">
        <v>4.6500000000000004</v>
      </c>
      <c r="I22" s="21">
        <f t="shared" ref="I22:I44" si="1">+G22*H22</f>
        <v>186</v>
      </c>
      <c r="J22" s="3"/>
      <c r="K22" s="3"/>
    </row>
    <row r="23" spans="1:11" ht="45.75" customHeight="1" thickBot="1" x14ac:dyDescent="0.25">
      <c r="A23" s="17">
        <v>14</v>
      </c>
      <c r="B23" s="17" t="s">
        <v>30</v>
      </c>
      <c r="C23" s="29" t="s">
        <v>63</v>
      </c>
      <c r="D23" s="18">
        <v>252</v>
      </c>
      <c r="E23" s="19" t="s">
        <v>50</v>
      </c>
      <c r="F23" s="17" t="s">
        <v>18</v>
      </c>
      <c r="G23" s="20">
        <v>400</v>
      </c>
      <c r="H23" s="23">
        <v>52</v>
      </c>
      <c r="I23" s="21">
        <f t="shared" si="1"/>
        <v>20800</v>
      </c>
      <c r="J23" s="3"/>
      <c r="K23" s="3"/>
    </row>
    <row r="24" spans="1:11" ht="45.75" customHeight="1" thickBot="1" x14ac:dyDescent="0.25">
      <c r="A24" s="17">
        <v>15</v>
      </c>
      <c r="B24" s="17" t="s">
        <v>31</v>
      </c>
      <c r="C24" s="29" t="s">
        <v>63</v>
      </c>
      <c r="D24" s="18">
        <v>252</v>
      </c>
      <c r="E24" s="19" t="s">
        <v>51</v>
      </c>
      <c r="F24" s="17" t="s">
        <v>18</v>
      </c>
      <c r="G24" s="20">
        <v>400</v>
      </c>
      <c r="H24" s="23">
        <v>45</v>
      </c>
      <c r="I24" s="21">
        <f t="shared" si="1"/>
        <v>18000</v>
      </c>
      <c r="J24" s="3"/>
      <c r="K24" s="3"/>
    </row>
    <row r="25" spans="1:11" ht="45.75" customHeight="1" thickBot="1" x14ac:dyDescent="0.25">
      <c r="A25" s="17">
        <v>16</v>
      </c>
      <c r="B25" s="17" t="s">
        <v>32</v>
      </c>
      <c r="C25" s="29" t="s">
        <v>63</v>
      </c>
      <c r="D25" s="18">
        <v>252</v>
      </c>
      <c r="E25" s="19" t="s">
        <v>52</v>
      </c>
      <c r="F25" s="17" t="s">
        <v>18</v>
      </c>
      <c r="G25" s="20">
        <v>300</v>
      </c>
      <c r="H25" s="23">
        <v>220</v>
      </c>
      <c r="I25" s="21">
        <f t="shared" si="1"/>
        <v>66000</v>
      </c>
      <c r="J25" s="3"/>
      <c r="K25" s="3"/>
    </row>
    <row r="26" spans="1:11" ht="45.75" customHeight="1" thickBot="1" x14ac:dyDescent="0.25">
      <c r="A26" s="17">
        <v>17</v>
      </c>
      <c r="B26" s="17" t="s">
        <v>33</v>
      </c>
      <c r="C26" s="29" t="s">
        <v>63</v>
      </c>
      <c r="D26" s="18">
        <v>252</v>
      </c>
      <c r="E26" s="19" t="s">
        <v>53</v>
      </c>
      <c r="F26" s="17" t="s">
        <v>18</v>
      </c>
      <c r="G26" s="20">
        <v>100</v>
      </c>
      <c r="H26" s="23">
        <v>332</v>
      </c>
      <c r="I26" s="21">
        <f t="shared" si="1"/>
        <v>33200</v>
      </c>
      <c r="J26" s="3"/>
      <c r="K26" s="3"/>
    </row>
    <row r="27" spans="1:11" ht="45.75" customHeight="1" thickBot="1" x14ac:dyDescent="0.25">
      <c r="A27" s="17">
        <v>18</v>
      </c>
      <c r="B27" s="17" t="s">
        <v>65</v>
      </c>
      <c r="C27" s="30" t="s">
        <v>63</v>
      </c>
      <c r="D27" s="18">
        <v>252</v>
      </c>
      <c r="E27" s="19" t="s">
        <v>66</v>
      </c>
      <c r="F27" s="17" t="s">
        <v>19</v>
      </c>
      <c r="G27" s="20">
        <v>20</v>
      </c>
      <c r="H27" s="23">
        <v>2043</v>
      </c>
      <c r="I27" s="21">
        <f t="shared" si="1"/>
        <v>40860</v>
      </c>
      <c r="J27" s="25"/>
      <c r="K27" s="3"/>
    </row>
    <row r="28" spans="1:11" ht="45.75" customHeight="1" thickBot="1" x14ac:dyDescent="0.25">
      <c r="A28" s="17">
        <v>19</v>
      </c>
      <c r="B28" s="17" t="s">
        <v>34</v>
      </c>
      <c r="C28" s="29" t="s">
        <v>63</v>
      </c>
      <c r="D28" s="18">
        <v>252</v>
      </c>
      <c r="E28" s="19" t="s">
        <v>54</v>
      </c>
      <c r="F28" s="17" t="s">
        <v>20</v>
      </c>
      <c r="G28" s="20">
        <v>30</v>
      </c>
      <c r="H28" s="23">
        <v>98</v>
      </c>
      <c r="I28" s="21">
        <f t="shared" si="1"/>
        <v>2940</v>
      </c>
      <c r="J28" s="3"/>
      <c r="K28" s="3"/>
    </row>
    <row r="29" spans="1:11" ht="45.75" customHeight="1" thickBot="1" x14ac:dyDescent="0.25">
      <c r="A29" s="17">
        <v>20</v>
      </c>
      <c r="B29" s="17" t="s">
        <v>35</v>
      </c>
      <c r="C29" s="29" t="s">
        <v>63</v>
      </c>
      <c r="D29" s="18">
        <v>252</v>
      </c>
      <c r="E29" s="19" t="s">
        <v>55</v>
      </c>
      <c r="F29" s="17" t="s">
        <v>18</v>
      </c>
      <c r="G29" s="20">
        <v>1800</v>
      </c>
      <c r="H29" s="23">
        <v>45</v>
      </c>
      <c r="I29" s="21">
        <f t="shared" si="1"/>
        <v>81000</v>
      </c>
      <c r="J29" s="25"/>
      <c r="K29" s="3"/>
    </row>
    <row r="30" spans="1:11" ht="45.75" customHeight="1" thickBot="1" x14ac:dyDescent="0.25">
      <c r="A30" s="17">
        <v>21</v>
      </c>
      <c r="B30" s="17" t="s">
        <v>36</v>
      </c>
      <c r="C30" s="29" t="s">
        <v>63</v>
      </c>
      <c r="D30" s="18">
        <v>252</v>
      </c>
      <c r="E30" s="19" t="s">
        <v>56</v>
      </c>
      <c r="F30" s="17" t="s">
        <v>16</v>
      </c>
      <c r="G30" s="20">
        <v>50</v>
      </c>
      <c r="H30" s="23">
        <v>18.3</v>
      </c>
      <c r="I30" s="21">
        <f t="shared" si="1"/>
        <v>915</v>
      </c>
      <c r="J30" s="3"/>
      <c r="K30" s="3"/>
    </row>
    <row r="31" spans="1:11" ht="45.75" customHeight="1" thickBot="1" x14ac:dyDescent="0.25">
      <c r="A31" s="17">
        <v>22</v>
      </c>
      <c r="B31" s="22" t="s">
        <v>84</v>
      </c>
      <c r="C31" s="29" t="s">
        <v>63</v>
      </c>
      <c r="D31" s="26">
        <v>252</v>
      </c>
      <c r="E31" s="33" t="s">
        <v>83</v>
      </c>
      <c r="F31" s="22" t="s">
        <v>16</v>
      </c>
      <c r="G31" s="20">
        <v>50</v>
      </c>
      <c r="H31" s="23">
        <v>13.2</v>
      </c>
      <c r="I31" s="28">
        <f t="shared" si="1"/>
        <v>660</v>
      </c>
      <c r="J31" s="3"/>
      <c r="K31" s="3"/>
    </row>
    <row r="32" spans="1:11" ht="45.75" customHeight="1" thickBot="1" x14ac:dyDescent="0.25">
      <c r="A32" s="17">
        <v>23</v>
      </c>
      <c r="B32" s="17" t="s">
        <v>37</v>
      </c>
      <c r="C32" s="29" t="s">
        <v>63</v>
      </c>
      <c r="D32" s="18">
        <v>252</v>
      </c>
      <c r="E32" s="19" t="s">
        <v>57</v>
      </c>
      <c r="F32" s="17" t="s">
        <v>16</v>
      </c>
      <c r="G32" s="20">
        <v>30</v>
      </c>
      <c r="H32" s="23">
        <v>16</v>
      </c>
      <c r="I32" s="21">
        <f t="shared" si="1"/>
        <v>480</v>
      </c>
      <c r="J32" s="3"/>
      <c r="K32" s="3"/>
    </row>
    <row r="33" spans="1:11" ht="45.75" customHeight="1" thickBot="1" x14ac:dyDescent="0.25">
      <c r="A33" s="17">
        <v>24</v>
      </c>
      <c r="B33" s="17" t="s">
        <v>38</v>
      </c>
      <c r="C33" s="29" t="s">
        <v>63</v>
      </c>
      <c r="D33" s="18">
        <v>252</v>
      </c>
      <c r="E33" s="19" t="s">
        <v>64</v>
      </c>
      <c r="F33" s="17" t="s">
        <v>16</v>
      </c>
      <c r="G33" s="20">
        <v>30</v>
      </c>
      <c r="H33" s="47">
        <v>65</v>
      </c>
      <c r="I33" s="21">
        <f t="shared" si="1"/>
        <v>1950</v>
      </c>
      <c r="J33" s="3"/>
      <c r="K33" s="3"/>
    </row>
    <row r="34" spans="1:11" ht="45.75" customHeight="1" thickBot="1" x14ac:dyDescent="0.25">
      <c r="A34" s="17">
        <v>25</v>
      </c>
      <c r="B34" s="17" t="s">
        <v>39</v>
      </c>
      <c r="C34" s="29" t="s">
        <v>63</v>
      </c>
      <c r="D34" s="18">
        <v>252</v>
      </c>
      <c r="E34" s="19" t="s">
        <v>58</v>
      </c>
      <c r="F34" s="17" t="s">
        <v>16</v>
      </c>
      <c r="G34" s="20">
        <v>30</v>
      </c>
      <c r="H34" s="47">
        <v>20</v>
      </c>
      <c r="I34" s="21">
        <f t="shared" si="1"/>
        <v>600</v>
      </c>
      <c r="J34" s="3"/>
      <c r="K34" s="3"/>
    </row>
    <row r="35" spans="1:11" ht="45.75" customHeight="1" thickBot="1" x14ac:dyDescent="0.25">
      <c r="A35" s="17">
        <v>26</v>
      </c>
      <c r="B35" s="17" t="s">
        <v>40</v>
      </c>
      <c r="C35" s="29" t="s">
        <v>63</v>
      </c>
      <c r="D35" s="18">
        <v>252</v>
      </c>
      <c r="E35" s="19" t="s">
        <v>59</v>
      </c>
      <c r="F35" s="17" t="s">
        <v>19</v>
      </c>
      <c r="G35" s="20">
        <v>150</v>
      </c>
      <c r="H35" s="47">
        <v>47.5</v>
      </c>
      <c r="I35" s="21">
        <f t="shared" si="1"/>
        <v>7125</v>
      </c>
      <c r="J35" s="3"/>
      <c r="K35" s="3"/>
    </row>
    <row r="36" spans="1:11" ht="45.75" customHeight="1" thickBot="1" x14ac:dyDescent="0.25">
      <c r="A36" s="17">
        <v>27</v>
      </c>
      <c r="B36" s="22" t="s">
        <v>69</v>
      </c>
      <c r="C36" s="31" t="s">
        <v>63</v>
      </c>
      <c r="D36" s="26">
        <v>252</v>
      </c>
      <c r="E36" s="33" t="s">
        <v>89</v>
      </c>
      <c r="F36" s="22" t="s">
        <v>16</v>
      </c>
      <c r="G36" s="20">
        <v>3200</v>
      </c>
      <c r="H36" s="23">
        <v>520</v>
      </c>
      <c r="I36" s="28">
        <f t="shared" si="1"/>
        <v>1664000</v>
      </c>
      <c r="J36" s="32"/>
      <c r="K36" s="3"/>
    </row>
    <row r="37" spans="1:11" ht="45.75" customHeight="1" thickBot="1" x14ac:dyDescent="0.25">
      <c r="A37" s="17">
        <v>28</v>
      </c>
      <c r="B37" s="22" t="s">
        <v>86</v>
      </c>
      <c r="C37" s="29" t="s">
        <v>63</v>
      </c>
      <c r="D37" s="26">
        <v>252</v>
      </c>
      <c r="E37" s="27" t="s">
        <v>85</v>
      </c>
      <c r="F37" s="22" t="s">
        <v>16</v>
      </c>
      <c r="G37" s="20">
        <v>100</v>
      </c>
      <c r="H37" s="47">
        <v>45</v>
      </c>
      <c r="I37" s="28">
        <f t="shared" si="1"/>
        <v>4500</v>
      </c>
      <c r="J37" s="34"/>
      <c r="K37" s="3"/>
    </row>
    <row r="38" spans="1:11" ht="45.75" customHeight="1" thickBot="1" x14ac:dyDescent="0.25">
      <c r="A38" s="17">
        <v>29</v>
      </c>
      <c r="B38" s="17" t="s">
        <v>41</v>
      </c>
      <c r="C38" s="29" t="s">
        <v>63</v>
      </c>
      <c r="D38" s="18">
        <v>252</v>
      </c>
      <c r="E38" s="19" t="s">
        <v>60</v>
      </c>
      <c r="F38" s="17" t="s">
        <v>21</v>
      </c>
      <c r="G38" s="20">
        <v>10</v>
      </c>
      <c r="H38" s="47">
        <v>830</v>
      </c>
      <c r="I38" s="21">
        <f t="shared" si="1"/>
        <v>8300</v>
      </c>
      <c r="J38" s="3"/>
      <c r="K38" s="3"/>
    </row>
    <row r="39" spans="1:11" ht="45.75" customHeight="1" thickBot="1" x14ac:dyDescent="0.25">
      <c r="A39" s="17">
        <v>30</v>
      </c>
      <c r="B39" s="17" t="s">
        <v>42</v>
      </c>
      <c r="C39" s="29" t="s">
        <v>63</v>
      </c>
      <c r="D39" s="18">
        <v>252</v>
      </c>
      <c r="E39" s="19" t="s">
        <v>61</v>
      </c>
      <c r="F39" s="17" t="s">
        <v>18</v>
      </c>
      <c r="G39" s="20">
        <v>6500</v>
      </c>
      <c r="H39" s="47">
        <v>45</v>
      </c>
      <c r="I39" s="21">
        <f t="shared" si="1"/>
        <v>292500</v>
      </c>
      <c r="J39" s="3"/>
      <c r="K39" s="3"/>
    </row>
    <row r="40" spans="1:11" ht="45.75" customHeight="1" thickBot="1" x14ac:dyDescent="0.25">
      <c r="A40" s="17">
        <v>31</v>
      </c>
      <c r="B40" s="22" t="s">
        <v>88</v>
      </c>
      <c r="C40" s="29" t="s">
        <v>63</v>
      </c>
      <c r="D40" s="26">
        <v>252</v>
      </c>
      <c r="E40" s="33" t="s">
        <v>87</v>
      </c>
      <c r="F40" s="22" t="s">
        <v>22</v>
      </c>
      <c r="G40" s="20">
        <v>120</v>
      </c>
      <c r="H40" s="47">
        <v>416</v>
      </c>
      <c r="I40" s="28">
        <f t="shared" si="1"/>
        <v>49920</v>
      </c>
      <c r="J40" s="3"/>
      <c r="K40" s="3"/>
    </row>
    <row r="41" spans="1:11" ht="45.75" customHeight="1" thickBot="1" x14ac:dyDescent="0.25">
      <c r="A41" s="17">
        <v>32</v>
      </c>
      <c r="B41" s="22" t="s">
        <v>72</v>
      </c>
      <c r="C41" s="31" t="s">
        <v>63</v>
      </c>
      <c r="D41" s="26">
        <v>252</v>
      </c>
      <c r="E41" s="27" t="s">
        <v>73</v>
      </c>
      <c r="F41" s="22" t="s">
        <v>19</v>
      </c>
      <c r="G41" s="20">
        <v>70</v>
      </c>
      <c r="H41" s="47">
        <v>1580</v>
      </c>
      <c r="I41" s="28">
        <f t="shared" si="1"/>
        <v>110600</v>
      </c>
      <c r="J41" s="32"/>
      <c r="K41" s="24"/>
    </row>
    <row r="42" spans="1:11" ht="45.75" customHeight="1" thickBot="1" x14ac:dyDescent="0.25">
      <c r="A42" s="17">
        <v>33</v>
      </c>
      <c r="B42" s="17" t="s">
        <v>43</v>
      </c>
      <c r="C42" s="29" t="s">
        <v>63</v>
      </c>
      <c r="D42" s="18">
        <v>252</v>
      </c>
      <c r="E42" s="19" t="s">
        <v>62</v>
      </c>
      <c r="F42" s="17" t="s">
        <v>20</v>
      </c>
      <c r="G42" s="20">
        <v>20</v>
      </c>
      <c r="H42" s="47">
        <v>95</v>
      </c>
      <c r="I42" s="21">
        <f t="shared" si="1"/>
        <v>1900</v>
      </c>
      <c r="J42" s="3"/>
      <c r="K42" s="3"/>
    </row>
    <row r="43" spans="1:11" ht="45.75" customHeight="1" thickBot="1" x14ac:dyDescent="0.25">
      <c r="A43" s="17">
        <v>34</v>
      </c>
      <c r="B43" s="48" t="s">
        <v>95</v>
      </c>
      <c r="C43" s="45" t="s">
        <v>63</v>
      </c>
      <c r="D43" s="18">
        <v>252</v>
      </c>
      <c r="E43" s="46" t="s">
        <v>94</v>
      </c>
      <c r="F43" s="17" t="s">
        <v>19</v>
      </c>
      <c r="G43" s="20">
        <v>16</v>
      </c>
      <c r="H43" s="47">
        <v>1510</v>
      </c>
      <c r="I43" s="21">
        <f t="shared" si="1"/>
        <v>24160</v>
      </c>
      <c r="J43" s="3"/>
      <c r="K43" s="3"/>
    </row>
    <row r="44" spans="1:11" ht="45.75" customHeight="1" thickBot="1" x14ac:dyDescent="0.25">
      <c r="A44" s="17">
        <v>35</v>
      </c>
      <c r="B44" s="22" t="s">
        <v>71</v>
      </c>
      <c r="C44" s="31" t="s">
        <v>63</v>
      </c>
      <c r="D44" s="26">
        <v>252</v>
      </c>
      <c r="E44" s="27" t="s">
        <v>70</v>
      </c>
      <c r="F44" s="22" t="s">
        <v>18</v>
      </c>
      <c r="G44" s="20">
        <v>60</v>
      </c>
      <c r="H44" s="47">
        <v>10300</v>
      </c>
      <c r="I44" s="28">
        <f t="shared" si="1"/>
        <v>618000</v>
      </c>
      <c r="J44" s="32"/>
      <c r="K44" s="3"/>
    </row>
    <row r="49" spans="2:9" ht="13.5" thickBot="1" x14ac:dyDescent="0.25"/>
    <row r="50" spans="2:9" x14ac:dyDescent="0.2">
      <c r="B50" s="54" t="s">
        <v>100</v>
      </c>
      <c r="C50" s="55"/>
      <c r="D50" s="6"/>
      <c r="E50" s="37"/>
      <c r="F50" s="6"/>
      <c r="G50" s="43"/>
    </row>
    <row r="51" spans="2:9" x14ac:dyDescent="0.2">
      <c r="B51" s="41"/>
      <c r="G51" s="44"/>
    </row>
    <row r="52" spans="2:9" x14ac:dyDescent="0.2">
      <c r="B52" s="41"/>
      <c r="G52" s="44"/>
    </row>
    <row r="53" spans="2:9" x14ac:dyDescent="0.2">
      <c r="B53" s="41"/>
      <c r="G53" s="44"/>
    </row>
    <row r="54" spans="2:9" ht="32.25" customHeight="1" x14ac:dyDescent="0.2">
      <c r="B54" s="62" t="s">
        <v>97</v>
      </c>
      <c r="C54" s="63"/>
      <c r="D54" s="63"/>
      <c r="E54" s="63"/>
      <c r="F54" s="63"/>
      <c r="G54" s="64"/>
    </row>
    <row r="55" spans="2:9" x14ac:dyDescent="0.2">
      <c r="B55" s="49"/>
      <c r="C55" s="50"/>
      <c r="D55" s="50"/>
      <c r="E55" s="50"/>
      <c r="F55" s="50"/>
      <c r="G55" s="51"/>
    </row>
    <row r="56" spans="2:9" x14ac:dyDescent="0.2">
      <c r="B56" s="65" t="s">
        <v>98</v>
      </c>
      <c r="C56" s="66"/>
      <c r="D56" s="66"/>
      <c r="E56" s="66"/>
      <c r="F56" s="66"/>
      <c r="G56" s="44"/>
    </row>
    <row r="57" spans="2:9" x14ac:dyDescent="0.2">
      <c r="B57" s="52"/>
      <c r="C57" s="53"/>
      <c r="D57" s="53"/>
      <c r="E57" s="53"/>
      <c r="F57" s="53"/>
      <c r="G57" s="44"/>
    </row>
    <row r="58" spans="2:9" ht="15" x14ac:dyDescent="0.2">
      <c r="B58" s="67" t="s">
        <v>90</v>
      </c>
      <c r="C58" s="68"/>
      <c r="D58" s="11"/>
      <c r="E58" s="38"/>
      <c r="F58" s="11"/>
      <c r="G58" s="44"/>
    </row>
    <row r="59" spans="2:9" ht="13.5" thickBot="1" x14ac:dyDescent="0.25">
      <c r="B59" s="9" t="s">
        <v>14</v>
      </c>
      <c r="C59" s="12"/>
      <c r="D59" s="12"/>
      <c r="E59" s="39"/>
      <c r="F59" s="12"/>
      <c r="G59" s="13"/>
    </row>
    <row r="62" spans="2:9" ht="13.5" thickBot="1" x14ac:dyDescent="0.25"/>
    <row r="63" spans="2:9" x14ac:dyDescent="0.2">
      <c r="B63" s="14" t="s">
        <v>15</v>
      </c>
      <c r="C63" s="6"/>
      <c r="D63" s="6"/>
      <c r="E63" s="37"/>
      <c r="F63" s="6"/>
      <c r="G63" s="43"/>
      <c r="H63" s="7"/>
      <c r="I63" s="8"/>
    </row>
    <row r="64" spans="2:9" x14ac:dyDescent="0.2">
      <c r="B64" s="41"/>
      <c r="G64" s="44"/>
      <c r="H64" s="7"/>
      <c r="I64" s="8"/>
    </row>
    <row r="65" spans="2:9" x14ac:dyDescent="0.2">
      <c r="B65" s="56" t="s">
        <v>99</v>
      </c>
      <c r="C65" s="57"/>
      <c r="D65" s="57"/>
      <c r="E65" s="58"/>
      <c r="G65" s="44"/>
      <c r="H65" s="7"/>
      <c r="I65" s="8"/>
    </row>
    <row r="66" spans="2:9" x14ac:dyDescent="0.2">
      <c r="B66" s="41"/>
      <c r="G66" s="44"/>
      <c r="H66" s="7"/>
      <c r="I66" s="8"/>
    </row>
    <row r="67" spans="2:9" ht="32.25" customHeight="1" x14ac:dyDescent="0.2">
      <c r="B67" s="62" t="s">
        <v>97</v>
      </c>
      <c r="C67" s="63"/>
      <c r="D67" s="63"/>
      <c r="E67" s="63"/>
      <c r="F67" s="63"/>
      <c r="G67" s="64"/>
      <c r="H67" s="7"/>
      <c r="I67" s="8"/>
    </row>
    <row r="68" spans="2:9" ht="12.75" customHeight="1" x14ac:dyDescent="0.2">
      <c r="B68" s="49"/>
      <c r="C68" s="50"/>
      <c r="D68" s="50"/>
      <c r="E68" s="50"/>
      <c r="F68" s="50"/>
      <c r="G68" s="51"/>
      <c r="H68" s="7"/>
      <c r="I68" s="8"/>
    </row>
    <row r="69" spans="2:9" ht="12.75" customHeight="1" x14ac:dyDescent="0.2">
      <c r="B69" s="65" t="s">
        <v>98</v>
      </c>
      <c r="C69" s="66"/>
      <c r="D69" s="66"/>
      <c r="E69" s="66"/>
      <c r="F69" s="66"/>
      <c r="G69" s="44"/>
      <c r="H69" s="7"/>
      <c r="I69" s="8"/>
    </row>
    <row r="70" spans="2:9" x14ac:dyDescent="0.2">
      <c r="B70" s="52"/>
      <c r="C70" s="53"/>
      <c r="D70" s="53"/>
      <c r="E70" s="53"/>
      <c r="F70" s="53"/>
      <c r="G70" s="44"/>
      <c r="H70" s="7"/>
      <c r="I70" s="8"/>
    </row>
    <row r="71" spans="2:9" ht="15" x14ac:dyDescent="0.2">
      <c r="B71" s="67" t="s">
        <v>90</v>
      </c>
      <c r="C71" s="68"/>
      <c r="D71" s="11"/>
      <c r="E71" s="38"/>
      <c r="F71" s="11"/>
      <c r="G71" s="44"/>
      <c r="H71" s="7"/>
      <c r="I71" s="8"/>
    </row>
    <row r="72" spans="2:9" ht="13.5" thickBot="1" x14ac:dyDescent="0.25">
      <c r="B72" s="9" t="s">
        <v>14</v>
      </c>
      <c r="C72" s="12"/>
      <c r="D72" s="12"/>
      <c r="E72" s="39"/>
      <c r="F72" s="12"/>
      <c r="G72" s="13"/>
    </row>
    <row r="76" spans="2:9" ht="13.5" thickBot="1" x14ac:dyDescent="0.25"/>
    <row r="77" spans="2:9" x14ac:dyDescent="0.2">
      <c r="B77" s="14" t="s">
        <v>15</v>
      </c>
      <c r="C77" s="6"/>
      <c r="D77" s="6"/>
      <c r="E77" s="37"/>
      <c r="F77" s="6"/>
      <c r="G77" s="43"/>
    </row>
    <row r="78" spans="2:9" x14ac:dyDescent="0.2">
      <c r="B78" s="41"/>
      <c r="G78" s="44"/>
    </row>
    <row r="79" spans="2:9" x14ac:dyDescent="0.2">
      <c r="B79" s="56" t="s">
        <v>101</v>
      </c>
      <c r="C79" s="57"/>
      <c r="G79" s="44"/>
    </row>
    <row r="80" spans="2:9" x14ac:dyDescent="0.2">
      <c r="B80" s="41"/>
      <c r="G80" s="44"/>
    </row>
    <row r="81" spans="2:7" ht="32.25" customHeight="1" x14ac:dyDescent="0.2">
      <c r="B81" s="62" t="s">
        <v>97</v>
      </c>
      <c r="C81" s="63"/>
      <c r="D81" s="63"/>
      <c r="E81" s="63"/>
      <c r="F81" s="63"/>
      <c r="G81" s="64"/>
    </row>
    <row r="82" spans="2:7" x14ac:dyDescent="0.2">
      <c r="B82" s="49"/>
      <c r="C82" s="50"/>
      <c r="D82" s="50"/>
      <c r="E82" s="50"/>
      <c r="F82" s="50"/>
      <c r="G82" s="51"/>
    </row>
    <row r="83" spans="2:7" x14ac:dyDescent="0.2">
      <c r="B83" s="49"/>
      <c r="C83" s="50"/>
      <c r="D83" s="50"/>
      <c r="E83" s="50"/>
      <c r="F83" s="50"/>
      <c r="G83" s="51"/>
    </row>
    <row r="84" spans="2:7" ht="12.75" customHeight="1" x14ac:dyDescent="0.2">
      <c r="B84" s="65" t="s">
        <v>98</v>
      </c>
      <c r="C84" s="66"/>
      <c r="D84" s="66"/>
      <c r="E84" s="66"/>
      <c r="F84" s="66"/>
      <c r="G84" s="44"/>
    </row>
    <row r="85" spans="2:7" x14ac:dyDescent="0.2">
      <c r="B85" s="52"/>
      <c r="C85" s="53"/>
      <c r="D85" s="53"/>
      <c r="E85" s="53"/>
      <c r="F85" s="53"/>
      <c r="G85" s="44"/>
    </row>
    <row r="86" spans="2:7" ht="15" x14ac:dyDescent="0.2">
      <c r="B86" s="67" t="s">
        <v>90</v>
      </c>
      <c r="C86" s="68"/>
      <c r="D86" s="11"/>
      <c r="E86" s="38"/>
      <c r="F86" s="11"/>
      <c r="G86" s="44"/>
    </row>
    <row r="87" spans="2:7" x14ac:dyDescent="0.2">
      <c r="B87" s="9" t="s">
        <v>14</v>
      </c>
      <c r="C87" s="12"/>
      <c r="D87" s="12"/>
      <c r="E87" s="39"/>
      <c r="F87" s="12"/>
      <c r="G87" s="13"/>
    </row>
  </sheetData>
  <mergeCells count="16">
    <mergeCell ref="B81:G81"/>
    <mergeCell ref="B84:F84"/>
    <mergeCell ref="B86:C86"/>
    <mergeCell ref="B71:C71"/>
    <mergeCell ref="B67:G67"/>
    <mergeCell ref="B69:F69"/>
    <mergeCell ref="A6:B6"/>
    <mergeCell ref="A7:B7"/>
    <mergeCell ref="B54:G54"/>
    <mergeCell ref="B56:F56"/>
    <mergeCell ref="B58:C58"/>
    <mergeCell ref="B2:I2"/>
    <mergeCell ref="A4:B4"/>
    <mergeCell ref="C4:F4"/>
    <mergeCell ref="A5:B5"/>
    <mergeCell ref="C5:F5"/>
  </mergeCells>
  <conditionalFormatting sqref="B71">
    <cfRule type="duplicateValues" dxfId="5" priority="15"/>
  </conditionalFormatting>
  <conditionalFormatting sqref="B71">
    <cfRule type="duplicateValues" dxfId="4" priority="16"/>
  </conditionalFormatting>
  <conditionalFormatting sqref="B86">
    <cfRule type="duplicateValues" dxfId="3" priority="3"/>
  </conditionalFormatting>
  <conditionalFormatting sqref="B86">
    <cfRule type="duplicateValues" dxfId="2" priority="4"/>
  </conditionalFormatting>
  <conditionalFormatting sqref="B58">
    <cfRule type="duplicateValues" dxfId="1" priority="1"/>
  </conditionalFormatting>
  <conditionalFormatting sqref="B58">
    <cfRule type="duplicateValues" dxfId="0" priority="2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2022-12-15T13:37:38Z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