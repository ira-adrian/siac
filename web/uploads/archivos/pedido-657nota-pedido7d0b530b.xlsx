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F3FE8BF5-E4B1-4162-ADCD-5E20F83E9751}" xr6:coauthVersionLast="47" xr6:coauthVersionMax="47" xr10:uidLastSave="{00000000-0000-0000-0000-000000000000}"/>
  <bookViews>
    <workbookView xWindow="-120" yWindow="-120" windowWidth="29040" windowHeight="15840" tabRatio="500" xr2:uid="{00000000-000D-0000-FFFF-FFFF00000000}"/>
  </bookViews>
  <sheets>
    <sheet name="Necesidades Trimestrales (2)" sheetId="4" r:id="rId1"/>
    <sheet name=" NotaPedido" sheetId="2" r:id="rId2"/>
    <sheet name="Autor Gastar" sheetId="3" r:id="rId3"/>
  </sheets>
  <definedNames>
    <definedName name="_xlnm.Print_Area" localSheetId="1">' NotaPedido'!$A$1:$K$17</definedName>
    <definedName name="_xlnm.Print_Area" localSheetId="2">'Autor Gastar'!$A$1:$Q$25</definedName>
    <definedName name="_xlnm.Print_Area" localSheetId="0">'Necesidades Trimestrales (2)'!$A$1:$I$17</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15" i="4" l="1"/>
  <c r="K16" i="2"/>
  <c r="K15" i="2"/>
  <c r="J16" i="2"/>
  <c r="J15" i="2"/>
  <c r="B16" i="2"/>
  <c r="B15" i="2"/>
  <c r="C16" i="2"/>
  <c r="C15" i="2"/>
  <c r="K14" i="2"/>
  <c r="J14" i="2"/>
  <c r="B14" i="2"/>
  <c r="C14" i="2"/>
  <c r="K13" i="2"/>
  <c r="J13" i="2"/>
  <c r="B13" i="2"/>
  <c r="C13" i="2"/>
  <c r="I14" i="4" l="1"/>
  <c r="D14" i="4"/>
  <c r="I13" i="4"/>
  <c r="D13" i="4"/>
  <c r="I12" i="4"/>
  <c r="D12" i="4"/>
  <c r="K12" i="2" l="1"/>
  <c r="J12" i="2"/>
  <c r="C12" i="2"/>
  <c r="B12" i="2"/>
  <c r="I11" i="4"/>
  <c r="D11" i="4"/>
  <c r="I10" i="4"/>
  <c r="D10" i="4"/>
  <c r="L10" i="4" l="1"/>
  <c r="J17" i="2" l="1"/>
  <c r="Q18" i="3" l="1"/>
  <c r="G4" i="3" l="1"/>
  <c r="G6" i="3" l="1"/>
  <c r="G7" i="3"/>
  <c r="G5" i="3"/>
  <c r="A10" i="3" l="1"/>
</calcChain>
</file>

<file path=xl/sharedStrings.xml><?xml version="1.0" encoding="utf-8"?>
<sst xmlns="http://schemas.openxmlformats.org/spreadsheetml/2006/main" count="168" uniqueCount="97">
  <si>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</si>
  <si>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</si>
  <si>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</si>
  <si>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</si>
  <si>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</si>
  <si>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</si>
  <si>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</si>
  <si>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</si>
  <si>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</si>
  <si>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</si>
  <si>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</si>
  <si>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</si>
  <si>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</si>
  <si>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</si>
  <si>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</si>
  <si>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</si>
  <si>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</si>
  <si>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</si>
  <si>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</si>
  <si>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</si>
  <si>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</si>
  <si>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</si>
  <si>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</si>
  <si>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</si>
  <si>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</si>
  <si>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</si>
  <si>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</si>
  <si>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</si>
  <si>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</si>
  <si>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</si>
  <si>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</si>
  <si>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</si>
  <si>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</si>
  <si>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</si>
  <si>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</si>
  <si>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</si>
  <si>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</si>
  <si>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</si>
  <si>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</si>
  <si>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</si>
  <si>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</si>
  <si>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</si>
  <si>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</si>
  <si>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</si>
  <si>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</si>
  <si>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</si>
  <si>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</si>
  <si>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</si>
  <si>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</si>
  <si>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</si>
  <si>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</si>
  <si>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</si>
  <si>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</si>
  <si>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</si>
  <si>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</si>
  <si>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</si>
  <si>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</si>
  <si>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</si>
  <si>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</si>
  <si>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</si>
  <si>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</si>
  <si>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</si>
  <si>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r>
      <t xml:space="preserve">Mantenimiento: </t>
    </r>
    <r>
      <rPr>
        <sz val="10"/>
        <rFont val="Times New Roman"/>
        <family val="1"/>
      </rPr>
      <t>treinta (30) dias corridos</t>
    </r>
  </si>
  <si>
    <r>
      <t>Mantenimiento:</t>
    </r>
    <r>
      <rPr>
        <sz val="10"/>
        <rFont val="Times New Roman"/>
        <family val="1"/>
      </rPr>
      <t xml:space="preserve"> treinta (30) dias corridos</t>
    </r>
  </si>
  <si>
    <t>DIRECCION PROVINCIAL DE GESTION ADMINISTRATIVA RECURSOS HUMANOS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</si>
  <si>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</si>
  <si>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</si>
  <si>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Especificidades Item N° 3:</t>
  </si>
  <si>
    <t>Especificidades Item N° 4:</t>
  </si>
  <si>
    <t>Especificidades Item N° 5:</t>
  </si>
  <si>
    <t>Garantía del fabricante minima de un (1) año.</t>
  </si>
  <si>
    <t>COMPUTADORAS; TIPO: NOTEBOOK, CODIGO ETAP: PC-008, VERSION ETAP: 22.0</t>
  </si>
  <si>
    <t>INFORMATICA</t>
  </si>
  <si>
    <t>Equipos para Computación</t>
  </si>
  <si>
    <t>4.3.6-6161.251</t>
  </si>
  <si>
    <t>IMPRESORAS; TIPO: MULTIFUNCION LASER MONOCROM., CODIGO ETAP: PR-026, VERSION ETAP: VERSION 18.1</t>
  </si>
  <si>
    <t>4.3.6-6170.59</t>
  </si>
  <si>
    <t>DIG. DE IMAGENES/ESCANER; TIPO: ESCANER DOCUMENTOS PRODUCCION, CODIGO ETAP: SC-006, VERSION ETAP: 22.0</t>
  </si>
  <si>
    <t>4° TRIMESTRE 2021</t>
  </si>
  <si>
    <t>IMPRESORA MULTIFUNCION: # monocromática. # Imprime, escanea y hace copias. # Impresión doble faz automática. # Tecnología de impresión: láser. # Su pantalla táctil hace que el uso sea más intuitivo. # Con conexión bluetooth y entrada USB. # Cuenta con 2 bandejas. # Capacidad máxima de 400 hojas. #Soporta papel tamaño A4, A5, A6, B5 JIS, Oficio, Tarjeta postal japonesa, Tarjeta postal japonesa con rotación doble, Sobre B5, Sobre C5, Sobre DL, 76.2 x 127 mm - 215.9 x 355.6 mm, 104.9 x 148.59 mm - 215.9 x 355.6 mm, 16.000 (195 x 270 mm), 16.000 (184 x 260 mm), 16.000 (197 x 273 mm), Sobre N10, Sobre monarca, 4 x 6 ", 5 x 8 ", Declaración, A5-R, B6 JIS</t>
  </si>
  <si>
    <t>Escáner, Alimentador de hojas múltiples * Medidas 330 mm x 246 mm x 162 mm * Velocidades de producción: Hasta 30 ppm / 60 ipm a 200 dpi y 300 dpi * Volumen diario recomendado: Hasta 3,000 páginas al día * Tamaño máximo del documento: 216 x 356 mm; documentos largos hasta 3 metros * Alimentador: Hasta 75 hojas; compatible con documentos pequeños * Conectividad: USB 2.0 de alta velocidad * Resolución óptica: 600 dpi * Panel de control: Pantalla gráfica LCD en color.</t>
  </si>
  <si>
    <t>4.3.5-241.86</t>
  </si>
  <si>
    <t>ARTICULOS DEL HOGAR</t>
  </si>
  <si>
    <t>TELEVISORES; PANTALLA: LED 50 pulg, NORMA: MULTINORMA, CANTIDAD DE CANALES: 180, APAGADO: AUTOMATICO, VISION MULTICANAL: SI</t>
  </si>
  <si>
    <t>EQUIPOS DIDACTICOS TECNICOS; NOMBRE: MARCO TOUCH, TIPO: P/PANTALLA</t>
  </si>
  <si>
    <t>4.3.5-9163.83</t>
  </si>
  <si>
    <t>EQUIPOS</t>
  </si>
  <si>
    <t xml:space="preserve">Costo total estimado: </t>
  </si>
  <si>
    <t>Smart Tv 50". Resolucion FHD 1920x1080. Entradas HDMI y puertos USB disponibles. Sintonizador digital incorporado con funcion PVR y Timeshift para grabar tus programas favoritos. Wi-fi. Netflix, Youtube y Vewd (ex Opera store).</t>
  </si>
  <si>
    <t>Marcos táctiles de 50" pulgadas convierten una pantalla plana en una pantalla interactiva.</t>
  </si>
  <si>
    <t>Marcos táctiles de 65" pulgadas convierten una pantalla plana en una pantalla interactiva.</t>
  </si>
  <si>
    <t>Costo total estimado:  PESOS UN MILLON CIENTO OCHENTA MIL SETECIENTOS NOVENTA Y SIETE CON 00/100.-</t>
  </si>
  <si>
    <t>Equipos Educacional y Recreativo</t>
  </si>
  <si>
    <t>PESOS:  UN MILLON CIENTO OCHENTA MIL SETECIENTOS NOVENTA Y SIETE CON 00/100.-</t>
  </si>
  <si>
    <t>SECRETARIA DE INNOVACION TECNOLOGICA - DIRECCION PROVINCIAL DE GESTION ADMINISTRATIVA RECURSOS HUMANOS</t>
  </si>
  <si>
    <t>049/2021</t>
  </si>
  <si>
    <t xml:space="preserve">ADQUISICIÓN DE  DIVERSOS EQUIPOS DESTINADO AL LABORATORIO DE ROBOTICA DEPENDIENTE DEL MINISTERIO DE CIENCIA E INNOVACIÓN TECNOLOGICA.-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</si>
</sst>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 numFmtId="171" formatCode="_-[$$-2C0A]\ * #,##0.00_-;\-[$$-2C0A]\ * #,##0.00_-;_-[$$-2C0A]\ * &quot;-&quot;??_-;_-@"/>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u/>
      <sz val="10"/>
      <name val="Times New Roman"/>
      <family val="1"/>
    </font>
    <font>
      <sz val="10"/>
      <color theme="0"/>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Times New Roman"/>
      <family val="1"/>
    </font>
    <font>
      <sz val="8"/>
      <name val="Arial"/>
      <family val="2"/>
      <charset val="1"/>
    </font>
  </fonts>
  <fills count="8">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
      <patternFill patternType="solid">
        <fgColor theme="0"/>
        <bgColor rgb="FFCCFFFF"/>
      </patternFill>
    </fill>
  </fills>
  <borders count="4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auto="1"/>
      </top>
      <bottom style="medium">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1">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4" xfId="0" applyBorder="1"/>
    <xf numFmtId="0" fontId="0" fillId="0" borderId="12" xfId="0" applyBorder="1"/>
    <xf numFmtId="0" fontId="0" fillId="0" borderId="12" xfId="0" applyBorder="1" applyAlignment="1">
      <alignment horizontal="left"/>
    </xf>
    <xf numFmtId="0" fontId="0" fillId="0" borderId="25" xfId="0" applyBorder="1"/>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3"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16" fillId="0" borderId="0" xfId="0" applyFont="1"/>
    <xf numFmtId="0" fontId="18"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18"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0" fillId="4" borderId="30" xfId="0" applyFont="1" applyFill="1" applyBorder="1" applyAlignment="1">
      <alignment horizontal="center" vertical="center"/>
    </xf>
    <xf numFmtId="0" fontId="15" fillId="0" borderId="0" xfId="0" applyFont="1"/>
    <xf numFmtId="167" fontId="2" fillId="0" borderId="0" xfId="0" applyNumberFormat="1" applyFont="1" applyBorder="1" applyAlignment="1">
      <alignment vertical="center"/>
    </xf>
    <xf numFmtId="166" fontId="14" fillId="3" borderId="32" xfId="0" applyNumberFormat="1" applyFont="1" applyFill="1" applyBorder="1" applyAlignment="1">
      <alignment horizontal="center" vertical="center"/>
    </xf>
    <xf numFmtId="0" fontId="0" fillId="4" borderId="31" xfId="0" applyFont="1" applyFill="1" applyBorder="1" applyAlignment="1">
      <alignment horizontal="center" vertical="center"/>
    </xf>
    <xf numFmtId="0" fontId="9" fillId="0" borderId="14" xfId="0" applyFont="1" applyBorder="1" applyAlignment="1">
      <alignment horizontal="center" vertical="center"/>
    </xf>
    <xf numFmtId="0" fontId="9" fillId="0" borderId="14" xfId="0" applyFont="1" applyBorder="1" applyAlignment="1">
      <alignment horizontal="left" vertical="center"/>
    </xf>
    <xf numFmtId="0" fontId="4" fillId="4" borderId="14" xfId="0" applyFont="1" applyFill="1" applyBorder="1" applyAlignment="1">
      <alignment horizontal="center" vertical="center"/>
    </xf>
    <xf numFmtId="0" fontId="4" fillId="3" borderId="14" xfId="0" applyFont="1" applyFill="1" applyBorder="1" applyAlignment="1">
      <alignment horizontal="center" vertical="center" wrapText="1"/>
    </xf>
    <xf numFmtId="166" fontId="4" fillId="3" borderId="14" xfId="1" applyNumberFormat="1" applyFont="1" applyFill="1" applyBorder="1" applyAlignment="1" applyProtection="1">
      <alignment horizontal="right" vertical="center" wrapText="1"/>
    </xf>
    <xf numFmtId="3" fontId="4" fillId="3" borderId="14" xfId="0" applyNumberFormat="1" applyFont="1" applyFill="1" applyBorder="1" applyAlignment="1">
      <alignment horizontal="center" vertical="center"/>
    </xf>
    <xf numFmtId="169" fontId="0" fillId="3" borderId="30" xfId="3" applyNumberFormat="1" applyFont="1" applyFill="1" applyBorder="1" applyAlignment="1" applyProtection="1">
      <alignment horizontal="center" vertical="center"/>
    </xf>
    <xf numFmtId="169" fontId="0" fillId="0" borderId="31" xfId="3" applyNumberFormat="1" applyFont="1" applyBorder="1" applyAlignment="1" applyProtection="1">
      <alignment horizontal="center" vertical="center"/>
    </xf>
    <xf numFmtId="167" fontId="19" fillId="0" borderId="0" xfId="0" applyNumberFormat="1" applyFont="1"/>
    <xf numFmtId="0" fontId="16" fillId="0" borderId="0" xfId="0" applyFont="1" applyAlignment="1">
      <alignment horizontal="center" vertical="center"/>
    </xf>
    <xf numFmtId="0" fontId="16" fillId="0" borderId="0" xfId="0" applyFont="1" applyAlignment="1">
      <alignment horizontal="center"/>
    </xf>
    <xf numFmtId="0" fontId="20" fillId="0" borderId="0" xfId="0" applyFont="1" applyAlignment="1">
      <alignment horizontal="left" vertical="top"/>
    </xf>
    <xf numFmtId="170" fontId="16" fillId="0" borderId="0" xfId="0" applyNumberFormat="1" applyFont="1" applyAlignment="1">
      <alignment horizontal="center"/>
    </xf>
    <xf numFmtId="0" fontId="22" fillId="0" borderId="0" xfId="0" applyFont="1" applyAlignment="1">
      <alignment horizontal="left" wrapText="1"/>
    </xf>
    <xf numFmtId="0" fontId="22" fillId="0" borderId="0" xfId="0" applyFont="1" applyAlignment="1">
      <alignment horizontal="center" wrapText="1"/>
    </xf>
    <xf numFmtId="170" fontId="22" fillId="0" borderId="0" xfId="0" applyNumberFormat="1" applyFont="1" applyAlignment="1">
      <alignment horizontal="center" wrapText="1"/>
    </xf>
    <xf numFmtId="0" fontId="23" fillId="0" borderId="0" xfId="0" applyFont="1"/>
    <xf numFmtId="0" fontId="21" fillId="5" borderId="0" xfId="0" applyFont="1" applyFill="1" applyBorder="1" applyAlignment="1">
      <alignment horizontal="left" wrapText="1"/>
    </xf>
    <xf numFmtId="0" fontId="21" fillId="5" borderId="0" xfId="0" applyFont="1" applyFill="1" applyBorder="1" applyAlignment="1">
      <alignment horizontal="left" vertical="top" wrapText="1"/>
    </xf>
    <xf numFmtId="0" fontId="22" fillId="0" borderId="0" xfId="0" applyFont="1" applyAlignment="1">
      <alignment horizontal="center" vertical="center" wrapText="1"/>
    </xf>
    <xf numFmtId="0" fontId="22" fillId="0" borderId="0" xfId="0" applyFont="1" applyAlignment="1">
      <alignment horizontal="left" vertical="top" wrapText="1"/>
    </xf>
    <xf numFmtId="0" fontId="21" fillId="6" borderId="36" xfId="0" applyFont="1" applyFill="1" applyBorder="1" applyAlignment="1">
      <alignment horizontal="center" vertical="center" wrapText="1"/>
    </xf>
    <xf numFmtId="0" fontId="24" fillId="6" borderId="36" xfId="0" applyFont="1" applyFill="1" applyBorder="1" applyAlignment="1">
      <alignment horizontal="center" vertical="center" wrapText="1"/>
    </xf>
    <xf numFmtId="170" fontId="21" fillId="6" borderId="36" xfId="0" applyNumberFormat="1" applyFont="1" applyFill="1" applyBorder="1" applyAlignment="1">
      <alignment horizontal="center" vertical="center" wrapText="1"/>
    </xf>
    <xf numFmtId="0" fontId="16" fillId="0" borderId="0" xfId="0" applyFont="1" applyAlignment="1">
      <alignment vertical="center"/>
    </xf>
    <xf numFmtId="167" fontId="16" fillId="0" borderId="0" xfId="0" applyNumberFormat="1" applyFont="1" applyAlignment="1">
      <alignment horizontal="center" vertical="center"/>
    </xf>
    <xf numFmtId="0" fontId="23" fillId="0" borderId="0" xfId="0" applyFont="1" applyAlignment="1">
      <alignment horizontal="left" vertical="top"/>
    </xf>
    <xf numFmtId="170" fontId="23" fillId="0" borderId="0" xfId="0" applyNumberFormat="1" applyFont="1" applyAlignment="1">
      <alignment horizontal="center"/>
    </xf>
    <xf numFmtId="171" fontId="23" fillId="0" borderId="0" xfId="0" applyNumberFormat="1" applyFont="1"/>
    <xf numFmtId="0" fontId="20" fillId="0" borderId="37" xfId="0" applyFont="1" applyBorder="1" applyAlignment="1">
      <alignment horizontal="center" vertical="center"/>
    </xf>
    <xf numFmtId="171" fontId="20" fillId="0" borderId="37" xfId="0" applyNumberFormat="1" applyFont="1" applyBorder="1" applyAlignment="1">
      <alignment vertical="center"/>
    </xf>
    <xf numFmtId="171" fontId="25" fillId="6" borderId="38" xfId="0" applyNumberFormat="1" applyFont="1" applyFill="1" applyBorder="1" applyAlignment="1">
      <alignment vertical="center"/>
    </xf>
    <xf numFmtId="0" fontId="23" fillId="0" borderId="0" xfId="0" applyFont="1" applyAlignment="1">
      <alignment horizontal="left"/>
    </xf>
    <xf numFmtId="0" fontId="23" fillId="0" borderId="0" xfId="0" applyFont="1" applyAlignment="1">
      <alignment vertical="center"/>
    </xf>
    <xf numFmtId="0" fontId="20" fillId="4" borderId="37" xfId="0" applyFont="1" applyFill="1" applyBorder="1" applyAlignment="1">
      <alignment horizontal="center" vertical="center"/>
    </xf>
    <xf numFmtId="0" fontId="20" fillId="5" borderId="37" xfId="0" applyFont="1" applyFill="1" applyBorder="1" applyAlignment="1">
      <alignment horizontal="center" vertical="center"/>
    </xf>
    <xf numFmtId="0" fontId="20" fillId="5" borderId="37" xfId="0" applyFont="1" applyFill="1" applyBorder="1" applyAlignment="1">
      <alignment horizontal="left" vertical="center" wrapText="1"/>
    </xf>
    <xf numFmtId="0" fontId="15" fillId="0" borderId="0" xfId="0" applyFont="1" applyBorder="1"/>
    <xf numFmtId="171" fontId="25" fillId="7" borderId="0" xfId="0" applyNumberFormat="1" applyFont="1" applyFill="1" applyBorder="1" applyAlignment="1">
      <alignment vertical="center"/>
    </xf>
    <xf numFmtId="0" fontId="25" fillId="7" borderId="0" xfId="0" applyFont="1" applyFill="1" applyBorder="1" applyAlignment="1">
      <alignment horizontal="center" vertical="center" wrapText="1"/>
    </xf>
    <xf numFmtId="0" fontId="25" fillId="6" borderId="39" xfId="0" applyFont="1" applyFill="1" applyBorder="1" applyAlignment="1">
      <alignment horizontal="center" vertical="center" wrapText="1"/>
    </xf>
    <xf numFmtId="0" fontId="15" fillId="0" borderId="40" xfId="0" applyFont="1" applyBorder="1"/>
    <xf numFmtId="0" fontId="15" fillId="0" borderId="41" xfId="0" applyFont="1" applyBorder="1"/>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21" fillId="0" borderId="0" xfId="0" applyFont="1" applyAlignment="1">
      <alignment horizontal="left" vertical="center" wrapText="1"/>
    </xf>
    <xf numFmtId="0" fontId="0" fillId="0" borderId="0" xfId="0" applyFont="1" applyAlignment="1"/>
    <xf numFmtId="0" fontId="17" fillId="0" borderId="0" xfId="0" applyFont="1" applyAlignment="1">
      <alignment horizontal="center"/>
    </xf>
    <xf numFmtId="0" fontId="21" fillId="5" borderId="0" xfId="0" applyFont="1" applyFill="1" applyBorder="1" applyAlignment="1">
      <alignment horizontal="left" wrapText="1"/>
    </xf>
    <xf numFmtId="0" fontId="15" fillId="0" borderId="0" xfId="0" applyFont="1" applyBorder="1"/>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8" fillId="3" borderId="14" xfId="0" applyFont="1" applyFill="1" applyBorder="1" applyAlignment="1">
      <alignment horizontal="left" vertical="center" wrapText="1" indent="1"/>
    </xf>
    <xf numFmtId="167" fontId="7" fillId="3" borderId="14" xfId="0" applyNumberFormat="1" applyFont="1" applyFill="1" applyBorder="1" applyAlignment="1">
      <alignment horizontal="center" vertical="center"/>
    </xf>
    <xf numFmtId="0" fontId="4" fillId="0" borderId="19" xfId="0" applyFont="1" applyBorder="1" applyAlignment="1">
      <alignment horizontal="left" vertical="center" wrapText="1"/>
    </xf>
    <xf numFmtId="0" fontId="4" fillId="0" borderId="42" xfId="0" applyFont="1" applyBorder="1" applyAlignment="1">
      <alignment horizontal="left" vertical="center" wrapText="1"/>
    </xf>
    <xf numFmtId="0" fontId="4" fillId="0" borderId="20"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0" fillId="0" borderId="19" xfId="0" applyFont="1" applyBorder="1" applyAlignment="1">
      <alignment horizontal="center"/>
    </xf>
    <xf numFmtId="3" fontId="10" fillId="0" borderId="20"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indent="1"/>
    </xf>
    <xf numFmtId="0" fontId="4" fillId="0" borderId="13" xfId="0" applyFont="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13" fillId="0" borderId="11" xfId="0" applyFont="1" applyBorder="1" applyAlignment="1">
      <alignment horizontal="left"/>
    </xf>
    <xf numFmtId="0" fontId="26" fillId="0" borderId="13" xfId="0" applyFont="1" applyBorder="1" applyAlignment="1">
      <alignment horizontal="left" wrapText="1" indent="1"/>
    </xf>
    <xf numFmtId="0" fontId="26" fillId="0" borderId="34" xfId="0" applyFont="1" applyBorder="1" applyAlignment="1">
      <alignment horizontal="left" wrapText="1" indent="1"/>
    </xf>
    <xf numFmtId="0" fontId="26" fillId="0" borderId="35" xfId="0" applyFont="1" applyBorder="1" applyAlignment="1">
      <alignment horizontal="left" wrapText="1" indent="1"/>
    </xf>
    <xf numFmtId="0" fontId="2" fillId="0" borderId="11" xfId="0" applyFont="1" applyBorder="1" applyAlignment="1">
      <alignment horizontal="left" indent="1"/>
    </xf>
    <xf numFmtId="0" fontId="12" fillId="0" borderId="22" xfId="0" applyFont="1" applyBorder="1"/>
    <xf numFmtId="0" fontId="12" fillId="0" borderId="23" xfId="0" applyFont="1" applyBorder="1" applyAlignment="1">
      <alignment horizontal="left" vertical="center" wrapText="1" indent="1"/>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21" xfId="0" applyFont="1" applyBorder="1" applyAlignment="1">
      <alignment horizontal="center" vertical="center" wrapText="1"/>
    </xf>
    <xf numFmtId="0" fontId="14" fillId="0" borderId="26" xfId="0" applyFont="1" applyBorder="1" applyAlignment="1">
      <alignment horizontal="center" vertical="center"/>
    </xf>
    <xf numFmtId="0" fontId="15" fillId="4" borderId="32" xfId="0" applyFont="1" applyFill="1" applyBorder="1" applyAlignment="1">
      <alignment horizontal="left" vertical="center" wrapText="1" indent="1"/>
    </xf>
    <xf numFmtId="0" fontId="2" fillId="4" borderId="32" xfId="0" applyFont="1" applyFill="1" applyBorder="1" applyAlignment="1">
      <alignment horizontal="left" vertical="center" wrapText="1" indent="1"/>
    </xf>
    <xf numFmtId="0" fontId="10" fillId="3" borderId="32" xfId="0" applyFont="1" applyFill="1" applyBorder="1" applyAlignment="1">
      <alignment horizontal="left" vertical="center" wrapText="1"/>
    </xf>
    <xf numFmtId="0" fontId="0" fillId="0" borderId="21" xfId="0" applyBorder="1"/>
    <xf numFmtId="0" fontId="15" fillId="0" borderId="30" xfId="0" applyFont="1" applyBorder="1" applyAlignment="1">
      <alignment horizontal="left" vertical="center" wrapText="1"/>
    </xf>
    <xf numFmtId="0" fontId="0" fillId="0" borderId="30" xfId="0" applyFont="1" applyBorder="1" applyAlignment="1">
      <alignment horizontal="left" vertical="center" wrapText="1"/>
    </xf>
    <xf numFmtId="0" fontId="15" fillId="0" borderId="31" xfId="0" applyFont="1" applyBorder="1" applyAlignment="1">
      <alignment horizontal="left" vertical="center" wrapText="1"/>
    </xf>
    <xf numFmtId="0" fontId="0" fillId="0" borderId="31" xfId="0" applyFont="1" applyBorder="1" applyAlignment="1">
      <alignment horizontal="left" vertical="center" wrapText="1"/>
    </xf>
    <xf numFmtId="0" fontId="10" fillId="0" borderId="19" xfId="0" applyFont="1" applyBorder="1" applyAlignment="1">
      <alignment vertical="center" wrapText="1"/>
    </xf>
    <xf numFmtId="0" fontId="10" fillId="0" borderId="33" xfId="0" applyFont="1" applyBorder="1" applyAlignment="1">
      <alignment vertical="center" wrapText="1"/>
    </xf>
    <xf numFmtId="0" fontId="10" fillId="0" borderId="17" xfId="0" applyFont="1" applyBorder="1" applyAlignment="1">
      <alignment vertical="center" wrapText="1"/>
    </xf>
    <xf numFmtId="0" fontId="12" fillId="0" borderId="26" xfId="0" applyFont="1" applyBorder="1" applyAlignment="1">
      <alignment vertical="center" wrapText="1"/>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336"/>
  <sheetViews>
    <sheetView tabSelected="1" zoomScale="96" zoomScaleNormal="96" workbookViewId="0">
      <selection activeCell="I16" sqref="I16"/>
    </sheetView>
  </sheetViews>
  <sheetFormatPr baseColWidth="10" defaultColWidth="11" defaultRowHeight="12.75" x14ac:dyDescent="0.2"/>
  <cols>
    <col min="1" max="1" width="4.5703125" style="24" customWidth="1"/>
    <col min="2" max="2" width="15.7109375" style="24" customWidth="1"/>
    <col min="3" max="3" width="33" style="24" customWidth="1"/>
    <col min="4" max="4" width="7.140625" style="24" customWidth="1"/>
    <col min="5" max="5" width="59.42578125" style="24" customWidth="1"/>
    <col min="6" max="6" width="11" style="24"/>
    <col min="7" max="7" width="12.42578125" style="24" customWidth="1"/>
    <col min="8" max="8" width="14.42578125" style="24" customWidth="1"/>
    <col min="9" max="9" width="18.140625" style="24" customWidth="1"/>
    <col min="10" max="10" width="0" style="24" hidden="1" customWidth="1"/>
    <col min="11" max="11" width="11" style="24"/>
    <col min="12" max="12" width="14.140625" style="24" customWidth="1"/>
    <col min="13" max="16384" width="11" style="24"/>
  </cols>
  <sheetData>
    <row r="2" spans="1:12" ht="27" x14ac:dyDescent="0.35">
      <c r="B2" s="93" t="s">
        <v>0</v>
      </c>
      <c r="C2" s="92"/>
      <c r="D2" s="92"/>
      <c r="E2" s="92"/>
      <c r="F2" s="92"/>
      <c r="G2" s="92"/>
      <c r="H2" s="92"/>
    </row>
    <row r="3" spans="1:12" ht="8.25" customHeight="1" x14ac:dyDescent="0.2">
      <c r="B3" s="53"/>
      <c r="C3" s="54"/>
      <c r="E3" s="55"/>
      <c r="H3" s="56"/>
    </row>
    <row r="4" spans="1:12" ht="27.75" customHeight="1" x14ac:dyDescent="0.25">
      <c r="A4" s="91" t="s">
        <v>1</v>
      </c>
      <c r="B4" s="92"/>
      <c r="C4" s="94" t="s">
        <v>59</v>
      </c>
      <c r="D4" s="95"/>
      <c r="E4" s="95"/>
      <c r="F4" s="57"/>
      <c r="G4" s="58"/>
      <c r="H4" s="59"/>
      <c r="I4" s="60"/>
    </row>
    <row r="5" spans="1:12" ht="18" customHeight="1" x14ac:dyDescent="0.25">
      <c r="A5" s="91" t="s">
        <v>2</v>
      </c>
      <c r="B5" s="92"/>
      <c r="C5" s="94" t="s">
        <v>60</v>
      </c>
      <c r="D5" s="95"/>
      <c r="E5" s="95"/>
      <c r="F5" s="57"/>
      <c r="G5" s="58"/>
      <c r="H5" s="59"/>
      <c r="I5" s="60"/>
    </row>
    <row r="6" spans="1:12" ht="16.5" customHeight="1" x14ac:dyDescent="0.25">
      <c r="A6" s="91" t="s">
        <v>3</v>
      </c>
      <c r="B6" s="92"/>
      <c r="C6" s="61">
        <v>2021</v>
      </c>
      <c r="D6" s="61"/>
      <c r="E6" s="62"/>
      <c r="F6" s="57"/>
      <c r="G6" s="58"/>
      <c r="H6" s="59"/>
      <c r="I6" s="60"/>
    </row>
    <row r="7" spans="1:12" ht="16.5" customHeight="1" x14ac:dyDescent="0.25">
      <c r="A7" s="91" t="s">
        <v>4</v>
      </c>
      <c r="B7" s="92"/>
      <c r="C7" s="61">
        <v>4</v>
      </c>
      <c r="D7" s="61"/>
      <c r="E7" s="62"/>
      <c r="F7" s="57"/>
      <c r="G7" s="58"/>
      <c r="H7" s="59"/>
      <c r="I7" s="60"/>
    </row>
    <row r="8" spans="1:12" ht="15" thickBot="1" x14ac:dyDescent="0.25">
      <c r="A8" s="60"/>
      <c r="B8" s="63"/>
      <c r="C8" s="58"/>
      <c r="D8" s="57"/>
      <c r="E8" s="64"/>
      <c r="F8" s="57"/>
      <c r="G8" s="58"/>
      <c r="H8" s="59"/>
      <c r="I8" s="60"/>
    </row>
    <row r="9" spans="1:12" ht="45.75" thickTop="1" x14ac:dyDescent="0.2">
      <c r="A9" s="65" t="s">
        <v>5</v>
      </c>
      <c r="B9" s="65" t="s">
        <v>6</v>
      </c>
      <c r="C9" s="65" t="s">
        <v>7</v>
      </c>
      <c r="D9" s="65" t="s">
        <v>8</v>
      </c>
      <c r="E9" s="65" t="s">
        <v>9</v>
      </c>
      <c r="F9" s="66" t="s">
        <v>10</v>
      </c>
      <c r="G9" s="65" t="s">
        <v>11</v>
      </c>
      <c r="H9" s="67" t="s">
        <v>12</v>
      </c>
      <c r="I9" s="65" t="s">
        <v>13</v>
      </c>
    </row>
    <row r="10" spans="1:12" ht="51.75" customHeight="1" x14ac:dyDescent="0.2">
      <c r="A10" s="78">
        <v>1</v>
      </c>
      <c r="B10" s="78" t="s">
        <v>74</v>
      </c>
      <c r="C10" s="79" t="s">
        <v>72</v>
      </c>
      <c r="D10" s="79" t="str">
        <f t="shared" ref="D10:D11" si="0">LEFT(B10,5)</f>
        <v>4.3.6</v>
      </c>
      <c r="E10" s="80" t="s">
        <v>75</v>
      </c>
      <c r="F10" s="73" t="s">
        <v>14</v>
      </c>
      <c r="G10" s="73">
        <v>3</v>
      </c>
      <c r="H10" s="74">
        <v>83599</v>
      </c>
      <c r="I10" s="74">
        <f t="shared" ref="I10:I11" si="1">G10*H10</f>
        <v>250797</v>
      </c>
      <c r="J10" s="68"/>
      <c r="L10" s="52" t="e">
        <f>#REF!+#REF!+#REF!+#REF!+#REF!</f>
        <v>#REF!</v>
      </c>
    </row>
    <row r="11" spans="1:12" ht="51" customHeight="1" x14ac:dyDescent="0.2">
      <c r="A11" s="78">
        <v>2</v>
      </c>
      <c r="B11" s="78" t="s">
        <v>76</v>
      </c>
      <c r="C11" s="79" t="s">
        <v>72</v>
      </c>
      <c r="D11" s="79" t="str">
        <f t="shared" si="0"/>
        <v>4.3.6</v>
      </c>
      <c r="E11" s="80" t="s">
        <v>77</v>
      </c>
      <c r="F11" s="73" t="s">
        <v>14</v>
      </c>
      <c r="G11" s="73">
        <v>2</v>
      </c>
      <c r="H11" s="74">
        <v>80000</v>
      </c>
      <c r="I11" s="74">
        <f t="shared" si="1"/>
        <v>160000</v>
      </c>
      <c r="J11" s="68"/>
    </row>
    <row r="12" spans="1:12" ht="51" customHeight="1" x14ac:dyDescent="0.2">
      <c r="A12" s="78">
        <v>3</v>
      </c>
      <c r="B12" s="78" t="s">
        <v>81</v>
      </c>
      <c r="C12" s="79" t="s">
        <v>82</v>
      </c>
      <c r="D12" s="79" t="str">
        <f t="shared" ref="D12:D14" si="2">LEFT(B12,5)</f>
        <v>4.3.5</v>
      </c>
      <c r="E12" s="80" t="s">
        <v>83</v>
      </c>
      <c r="F12" s="73" t="s">
        <v>14</v>
      </c>
      <c r="G12" s="73">
        <v>5</v>
      </c>
      <c r="H12" s="74">
        <v>100000</v>
      </c>
      <c r="I12" s="74">
        <f t="shared" ref="I12:I14" si="3">G12*H12</f>
        <v>500000</v>
      </c>
    </row>
    <row r="13" spans="1:12" ht="51" customHeight="1" x14ac:dyDescent="0.2">
      <c r="A13" s="78">
        <v>4</v>
      </c>
      <c r="B13" s="78" t="s">
        <v>85</v>
      </c>
      <c r="C13" s="79" t="s">
        <v>86</v>
      </c>
      <c r="D13" s="79" t="str">
        <f t="shared" si="2"/>
        <v>4.3.5</v>
      </c>
      <c r="E13" s="80" t="s">
        <v>84</v>
      </c>
      <c r="F13" s="73" t="s">
        <v>14</v>
      </c>
      <c r="G13" s="73">
        <v>5</v>
      </c>
      <c r="H13" s="74">
        <v>30000</v>
      </c>
      <c r="I13" s="74">
        <f t="shared" si="3"/>
        <v>150000</v>
      </c>
    </row>
    <row r="14" spans="1:12" ht="51" customHeight="1" x14ac:dyDescent="0.2">
      <c r="A14" s="78">
        <v>5</v>
      </c>
      <c r="B14" s="78" t="s">
        <v>85</v>
      </c>
      <c r="C14" s="79" t="s">
        <v>86</v>
      </c>
      <c r="D14" s="79" t="str">
        <f t="shared" si="2"/>
        <v>4.3.5</v>
      </c>
      <c r="E14" s="80" t="s">
        <v>84</v>
      </c>
      <c r="F14" s="73" t="s">
        <v>14</v>
      </c>
      <c r="G14" s="73">
        <v>4</v>
      </c>
      <c r="H14" s="74">
        <v>30000</v>
      </c>
      <c r="I14" s="74">
        <f t="shared" si="3"/>
        <v>120000</v>
      </c>
    </row>
    <row r="15" spans="1:12" ht="27.75" customHeight="1" x14ac:dyDescent="0.2">
      <c r="A15" s="84" t="s">
        <v>87</v>
      </c>
      <c r="B15" s="85"/>
      <c r="C15" s="85"/>
      <c r="D15" s="85"/>
      <c r="E15" s="85"/>
      <c r="F15" s="85"/>
      <c r="G15" s="85"/>
      <c r="H15" s="86"/>
      <c r="I15" s="75">
        <f>SUM(I10:I14)</f>
        <v>1180797</v>
      </c>
    </row>
    <row r="16" spans="1:12" ht="27" customHeight="1" x14ac:dyDescent="0.2">
      <c r="A16" s="83"/>
      <c r="B16" s="81"/>
      <c r="C16" s="81"/>
      <c r="D16" s="81"/>
      <c r="E16" s="81"/>
      <c r="F16" s="81"/>
      <c r="G16" s="81"/>
      <c r="H16" s="81"/>
      <c r="I16" s="82"/>
    </row>
    <row r="17" spans="1:10" x14ac:dyDescent="0.25">
      <c r="A17" s="77"/>
      <c r="B17" s="77"/>
      <c r="C17" s="76"/>
      <c r="D17" s="60"/>
      <c r="E17" s="70"/>
      <c r="F17" s="60"/>
      <c r="G17" s="60"/>
      <c r="H17" s="71"/>
      <c r="I17" s="72"/>
    </row>
    <row r="18" spans="1:10" x14ac:dyDescent="0.2">
      <c r="B18" s="25" t="s">
        <v>15</v>
      </c>
      <c r="C18" s="26"/>
      <c r="D18" s="26"/>
      <c r="E18" s="27"/>
    </row>
    <row r="19" spans="1:10" ht="8.25" customHeight="1" x14ac:dyDescent="0.2">
      <c r="B19" s="28"/>
      <c r="C19" s="29"/>
      <c r="D19" s="29"/>
      <c r="E19" s="30"/>
    </row>
    <row r="20" spans="1:10" ht="14.25" customHeight="1" x14ac:dyDescent="0.2">
      <c r="B20" s="31" t="s">
        <v>16</v>
      </c>
      <c r="C20" s="29"/>
      <c r="D20" s="29"/>
      <c r="E20" s="30"/>
    </row>
    <row r="21" spans="1:10" ht="86.25" customHeight="1" x14ac:dyDescent="0.2">
      <c r="B21" s="31"/>
      <c r="C21" s="87" t="s">
        <v>79</v>
      </c>
      <c r="D21" s="87"/>
      <c r="E21" s="88"/>
    </row>
    <row r="22" spans="1:10" x14ac:dyDescent="0.2">
      <c r="B22" s="31" t="s">
        <v>17</v>
      </c>
      <c r="C22" s="29"/>
      <c r="D22" s="29"/>
      <c r="E22" s="30"/>
    </row>
    <row r="23" spans="1:10" x14ac:dyDescent="0.2">
      <c r="B23" s="32"/>
      <c r="C23" s="87" t="s">
        <v>66</v>
      </c>
      <c r="D23" s="87"/>
      <c r="E23" s="88"/>
    </row>
    <row r="24" spans="1:10" ht="56.25" customHeight="1" x14ac:dyDescent="0.2">
      <c r="B24" s="32"/>
      <c r="C24" s="87"/>
      <c r="D24" s="87"/>
      <c r="E24" s="88"/>
    </row>
    <row r="25" spans="1:10" x14ac:dyDescent="0.2">
      <c r="B25" s="31" t="s">
        <v>18</v>
      </c>
      <c r="C25" s="29"/>
      <c r="D25" s="29"/>
      <c r="E25" s="30"/>
    </row>
    <row r="26" spans="1:10" x14ac:dyDescent="0.2">
      <c r="B26" s="32"/>
      <c r="C26" s="89"/>
      <c r="D26" s="89"/>
      <c r="E26" s="90"/>
    </row>
    <row r="27" spans="1:10" x14ac:dyDescent="0.2">
      <c r="B27" s="31" t="s">
        <v>62</v>
      </c>
      <c r="C27" s="33"/>
      <c r="D27" s="33"/>
      <c r="E27" s="34"/>
    </row>
    <row r="28" spans="1:10" x14ac:dyDescent="0.2">
      <c r="B28" s="32"/>
      <c r="C28" s="89"/>
      <c r="D28" s="89"/>
      <c r="E28" s="90"/>
    </row>
    <row r="29" spans="1:10" x14ac:dyDescent="0.2">
      <c r="B29" s="31" t="s">
        <v>19</v>
      </c>
      <c r="C29" s="29"/>
      <c r="D29" s="29"/>
      <c r="E29" s="30"/>
    </row>
    <row r="30" spans="1:10" x14ac:dyDescent="0.2">
      <c r="B30" s="31"/>
      <c r="C30" s="89" t="s">
        <v>70</v>
      </c>
      <c r="D30" s="89"/>
      <c r="E30" s="90"/>
    </row>
    <row r="31" spans="1:10" ht="12" customHeight="1" thickBot="1" x14ac:dyDescent="0.25">
      <c r="B31" s="35"/>
      <c r="C31" s="36"/>
      <c r="D31" s="36"/>
      <c r="E31" s="37"/>
      <c r="J31" s="69"/>
    </row>
    <row r="32" spans="1:10" ht="13.5" customHeight="1" thickBot="1" x14ac:dyDescent="0.25"/>
    <row r="33" spans="2:5" ht="19.5" customHeight="1" x14ac:dyDescent="0.2">
      <c r="B33" s="25" t="s">
        <v>20</v>
      </c>
      <c r="C33" s="26"/>
      <c r="D33" s="26"/>
      <c r="E33" s="27"/>
    </row>
    <row r="34" spans="2:5" ht="9.75" customHeight="1" x14ac:dyDescent="0.2">
      <c r="B34" s="28"/>
      <c r="C34" s="29"/>
      <c r="D34" s="29"/>
      <c r="E34" s="30"/>
    </row>
    <row r="35" spans="2:5" ht="12.75" customHeight="1" x14ac:dyDescent="0.2">
      <c r="B35" s="31" t="s">
        <v>16</v>
      </c>
      <c r="C35" s="29"/>
      <c r="D35" s="29"/>
      <c r="E35" s="30"/>
    </row>
    <row r="36" spans="2:5" ht="69" customHeight="1" x14ac:dyDescent="0.2">
      <c r="B36" s="31"/>
      <c r="C36" s="87" t="s">
        <v>80</v>
      </c>
      <c r="D36" s="87"/>
      <c r="E36" s="88"/>
    </row>
    <row r="37" spans="2:5" x14ac:dyDescent="0.2">
      <c r="B37" s="31" t="s">
        <v>17</v>
      </c>
      <c r="C37" s="29"/>
      <c r="D37" s="29"/>
      <c r="E37" s="30"/>
    </row>
    <row r="38" spans="2:5" ht="17.25" customHeight="1" x14ac:dyDescent="0.2">
      <c r="B38" s="32"/>
      <c r="C38" s="87" t="s">
        <v>65</v>
      </c>
      <c r="D38" s="87"/>
      <c r="E38" s="88"/>
    </row>
    <row r="39" spans="2:5" ht="56.25" customHeight="1" x14ac:dyDescent="0.2">
      <c r="B39" s="32"/>
      <c r="C39" s="87"/>
      <c r="D39" s="87"/>
      <c r="E39" s="88"/>
    </row>
    <row r="40" spans="2:5" ht="13.5" customHeight="1" x14ac:dyDescent="0.2">
      <c r="B40" s="31" t="s">
        <v>18</v>
      </c>
      <c r="C40" s="29"/>
      <c r="D40" s="29"/>
      <c r="E40" s="30"/>
    </row>
    <row r="41" spans="2:5" ht="7.5" customHeight="1" x14ac:dyDescent="0.2">
      <c r="B41" s="32"/>
      <c r="C41" s="89"/>
      <c r="D41" s="89"/>
      <c r="E41" s="90"/>
    </row>
    <row r="42" spans="2:5" ht="14.25" customHeight="1" x14ac:dyDescent="0.2">
      <c r="B42" s="31" t="s">
        <v>63</v>
      </c>
      <c r="C42" s="33"/>
      <c r="D42" s="33"/>
      <c r="E42" s="34"/>
    </row>
    <row r="43" spans="2:5" ht="7.5" customHeight="1" x14ac:dyDescent="0.2">
      <c r="B43" s="32"/>
      <c r="C43" s="89"/>
      <c r="D43" s="89"/>
      <c r="E43" s="90"/>
    </row>
    <row r="44" spans="2:5" ht="13.5" customHeight="1" x14ac:dyDescent="0.2">
      <c r="B44" s="31" t="s">
        <v>19</v>
      </c>
      <c r="C44" s="29"/>
      <c r="D44" s="29"/>
      <c r="E44" s="30"/>
    </row>
    <row r="45" spans="2:5" x14ac:dyDescent="0.2">
      <c r="B45" s="31"/>
      <c r="C45" s="89" t="s">
        <v>70</v>
      </c>
      <c r="D45" s="89"/>
      <c r="E45" s="90"/>
    </row>
    <row r="46" spans="2:5" ht="12" customHeight="1" thickBot="1" x14ac:dyDescent="0.25">
      <c r="B46" s="35"/>
      <c r="C46" s="36"/>
      <c r="D46" s="36"/>
      <c r="E46" s="37"/>
    </row>
    <row r="47" spans="2:5" ht="25.5" customHeight="1" x14ac:dyDescent="0.2"/>
    <row r="48" spans="2:5" ht="13.5" thickBot="1" x14ac:dyDescent="0.25"/>
    <row r="49" spans="2:5" ht="12.75" customHeight="1" x14ac:dyDescent="0.2">
      <c r="B49" s="25" t="s">
        <v>67</v>
      </c>
      <c r="C49" s="26"/>
      <c r="D49" s="26"/>
      <c r="E49" s="27"/>
    </row>
    <row r="50" spans="2:5" ht="12" customHeight="1" x14ac:dyDescent="0.2">
      <c r="B50" s="28"/>
      <c r="C50" s="29"/>
      <c r="D50" s="29"/>
      <c r="E50" s="30"/>
    </row>
    <row r="51" spans="2:5" ht="12.75" customHeight="1" x14ac:dyDescent="0.2">
      <c r="B51" s="31" t="s">
        <v>16</v>
      </c>
      <c r="C51" s="29"/>
      <c r="D51" s="29"/>
      <c r="E51" s="30"/>
    </row>
    <row r="52" spans="2:5" ht="51.75" customHeight="1" x14ac:dyDescent="0.2">
      <c r="B52" s="31"/>
      <c r="C52" s="87" t="s">
        <v>88</v>
      </c>
      <c r="D52" s="87"/>
      <c r="E52" s="88"/>
    </row>
    <row r="53" spans="2:5" ht="12.75" customHeight="1" x14ac:dyDescent="0.2">
      <c r="B53" s="31" t="s">
        <v>17</v>
      </c>
      <c r="C53" s="29"/>
      <c r="D53" s="29"/>
      <c r="E53" s="30"/>
    </row>
    <row r="54" spans="2:5" x14ac:dyDescent="0.2">
      <c r="B54" s="32"/>
      <c r="C54" s="87" t="s">
        <v>66</v>
      </c>
      <c r="D54" s="87"/>
      <c r="E54" s="88"/>
    </row>
    <row r="55" spans="2:5" ht="62.25" customHeight="1" x14ac:dyDescent="0.2">
      <c r="B55" s="32"/>
      <c r="C55" s="87"/>
      <c r="D55" s="87"/>
      <c r="E55" s="88"/>
    </row>
    <row r="56" spans="2:5" x14ac:dyDescent="0.2">
      <c r="B56" s="31" t="s">
        <v>18</v>
      </c>
      <c r="C56" s="29"/>
      <c r="D56" s="29"/>
      <c r="E56" s="30"/>
    </row>
    <row r="57" spans="2:5" ht="13.5" customHeight="1" x14ac:dyDescent="0.2">
      <c r="B57" s="32"/>
      <c r="C57" s="89"/>
      <c r="D57" s="89"/>
      <c r="E57" s="90"/>
    </row>
    <row r="58" spans="2:5" x14ac:dyDescent="0.2">
      <c r="B58" s="31" t="s">
        <v>62</v>
      </c>
      <c r="C58" s="33"/>
      <c r="D58" s="33"/>
      <c r="E58" s="34"/>
    </row>
    <row r="59" spans="2:5" ht="10.5" customHeight="1" x14ac:dyDescent="0.2">
      <c r="B59" s="32"/>
      <c r="C59" s="89"/>
      <c r="D59" s="89"/>
      <c r="E59" s="90"/>
    </row>
    <row r="60" spans="2:5" x14ac:dyDescent="0.2">
      <c r="B60" s="31" t="s">
        <v>19</v>
      </c>
      <c r="C60" s="29"/>
      <c r="D60" s="29"/>
      <c r="E60" s="30"/>
    </row>
    <row r="61" spans="2:5" ht="12" customHeight="1" x14ac:dyDescent="0.2">
      <c r="B61" s="31"/>
      <c r="C61" s="89" t="s">
        <v>70</v>
      </c>
      <c r="D61" s="89"/>
      <c r="E61" s="90"/>
    </row>
    <row r="62" spans="2:5" ht="13.5" customHeight="1" thickBot="1" x14ac:dyDescent="0.25">
      <c r="B62" s="35"/>
      <c r="C62" s="36"/>
      <c r="D62" s="36"/>
      <c r="E62" s="37"/>
    </row>
    <row r="63" spans="2:5" ht="17.25" customHeight="1" x14ac:dyDescent="0.2"/>
    <row r="64" spans="2:5" ht="13.5" thickBot="1" x14ac:dyDescent="0.25"/>
    <row r="65" spans="2:5" ht="15" customHeight="1" x14ac:dyDescent="0.2">
      <c r="B65" s="25" t="s">
        <v>68</v>
      </c>
      <c r="C65" s="26"/>
      <c r="D65" s="26"/>
      <c r="E65" s="27"/>
    </row>
    <row r="66" spans="2:5" ht="11.25" customHeight="1" x14ac:dyDescent="0.2">
      <c r="B66" s="28"/>
      <c r="C66" s="29"/>
      <c r="D66" s="29"/>
      <c r="E66" s="30"/>
    </row>
    <row r="67" spans="2:5" x14ac:dyDescent="0.2">
      <c r="B67" s="31" t="s">
        <v>16</v>
      </c>
      <c r="C67" s="29"/>
      <c r="D67" s="29"/>
      <c r="E67" s="30"/>
    </row>
    <row r="68" spans="2:5" ht="36" customHeight="1" x14ac:dyDescent="0.2">
      <c r="B68" s="31"/>
      <c r="C68" s="87" t="s">
        <v>89</v>
      </c>
      <c r="D68" s="87"/>
      <c r="E68" s="88"/>
    </row>
    <row r="69" spans="2:5" x14ac:dyDescent="0.2">
      <c r="B69" s="31" t="s">
        <v>17</v>
      </c>
      <c r="C69" s="29"/>
      <c r="D69" s="29"/>
      <c r="E69" s="30"/>
    </row>
    <row r="70" spans="2:5" x14ac:dyDescent="0.2">
      <c r="B70" s="32"/>
      <c r="C70" s="87" t="s">
        <v>66</v>
      </c>
      <c r="D70" s="87"/>
      <c r="E70" s="88"/>
    </row>
    <row r="71" spans="2:5" ht="69" customHeight="1" x14ac:dyDescent="0.2">
      <c r="B71" s="32"/>
      <c r="C71" s="87"/>
      <c r="D71" s="87"/>
      <c r="E71" s="88"/>
    </row>
    <row r="72" spans="2:5" ht="12.75" customHeight="1" x14ac:dyDescent="0.2">
      <c r="B72" s="31" t="s">
        <v>18</v>
      </c>
      <c r="C72" s="29"/>
      <c r="D72" s="29"/>
      <c r="E72" s="30"/>
    </row>
    <row r="73" spans="2:5" ht="7.5" customHeight="1" x14ac:dyDescent="0.2">
      <c r="B73" s="32"/>
      <c r="C73" s="89"/>
      <c r="D73" s="89"/>
      <c r="E73" s="90"/>
    </row>
    <row r="74" spans="2:5" ht="20.25" customHeight="1" x14ac:dyDescent="0.2">
      <c r="B74" s="31" t="s">
        <v>62</v>
      </c>
      <c r="C74" s="33"/>
      <c r="D74" s="33"/>
      <c r="E74" s="34"/>
    </row>
    <row r="75" spans="2:5" ht="8.25" customHeight="1" x14ac:dyDescent="0.2">
      <c r="B75" s="32"/>
      <c r="C75" s="89"/>
      <c r="D75" s="89"/>
      <c r="E75" s="90"/>
    </row>
    <row r="76" spans="2:5" ht="15" customHeight="1" x14ac:dyDescent="0.2">
      <c r="B76" s="31" t="s">
        <v>19</v>
      </c>
      <c r="C76" s="29"/>
      <c r="D76" s="29"/>
      <c r="E76" s="30"/>
    </row>
    <row r="77" spans="2:5" ht="16.5" customHeight="1" x14ac:dyDescent="0.2">
      <c r="B77" s="31"/>
      <c r="C77" s="89" t="s">
        <v>70</v>
      </c>
      <c r="D77" s="89"/>
      <c r="E77" s="90"/>
    </row>
    <row r="78" spans="2:5" ht="11.25" customHeight="1" thickBot="1" x14ac:dyDescent="0.25">
      <c r="B78" s="35"/>
      <c r="C78" s="36"/>
      <c r="D78" s="36"/>
      <c r="E78" s="37"/>
    </row>
    <row r="79" spans="2:5" ht="13.5" thickBot="1" x14ac:dyDescent="0.25"/>
    <row r="80" spans="2:5" x14ac:dyDescent="0.2">
      <c r="B80" s="25" t="s">
        <v>69</v>
      </c>
      <c r="C80" s="26"/>
      <c r="D80" s="26"/>
      <c r="E80" s="27"/>
    </row>
    <row r="81" spans="2:5" ht="12.75" customHeight="1" x14ac:dyDescent="0.2">
      <c r="B81" s="28"/>
      <c r="C81" s="29"/>
      <c r="D81" s="29"/>
      <c r="E81" s="30"/>
    </row>
    <row r="82" spans="2:5" x14ac:dyDescent="0.2">
      <c r="B82" s="31" t="s">
        <v>16</v>
      </c>
      <c r="C82" s="29"/>
      <c r="D82" s="29"/>
      <c r="E82" s="30"/>
    </row>
    <row r="83" spans="2:5" ht="39.75" customHeight="1" x14ac:dyDescent="0.2">
      <c r="B83" s="31"/>
      <c r="C83" s="87" t="s">
        <v>90</v>
      </c>
      <c r="D83" s="87"/>
      <c r="E83" s="88"/>
    </row>
    <row r="84" spans="2:5" x14ac:dyDescent="0.2">
      <c r="B84" s="31" t="s">
        <v>17</v>
      </c>
      <c r="C84" s="29"/>
      <c r="D84" s="29"/>
      <c r="E84" s="30"/>
    </row>
    <row r="85" spans="2:5" x14ac:dyDescent="0.2">
      <c r="B85" s="32"/>
      <c r="C85" s="87" t="s">
        <v>66</v>
      </c>
      <c r="D85" s="87"/>
      <c r="E85" s="88"/>
    </row>
    <row r="86" spans="2:5" ht="64.5" customHeight="1" x14ac:dyDescent="0.2">
      <c r="B86" s="32"/>
      <c r="C86" s="87"/>
      <c r="D86" s="87"/>
      <c r="E86" s="88"/>
    </row>
    <row r="87" spans="2:5" ht="12.75" customHeight="1" x14ac:dyDescent="0.2">
      <c r="B87" s="31" t="s">
        <v>18</v>
      </c>
      <c r="C87" s="29"/>
      <c r="D87" s="29"/>
      <c r="E87" s="30"/>
    </row>
    <row r="88" spans="2:5" ht="6" customHeight="1" x14ac:dyDescent="0.2">
      <c r="B88" s="32"/>
      <c r="C88" s="89"/>
      <c r="D88" s="89"/>
      <c r="E88" s="90"/>
    </row>
    <row r="89" spans="2:5" ht="20.25" customHeight="1" x14ac:dyDescent="0.2">
      <c r="B89" s="31" t="s">
        <v>62</v>
      </c>
      <c r="C89" s="33"/>
      <c r="D89" s="33"/>
      <c r="E89" s="34"/>
    </row>
    <row r="90" spans="2:5" ht="8.25" customHeight="1" x14ac:dyDescent="0.2">
      <c r="B90" s="32"/>
      <c r="C90" s="89"/>
      <c r="D90" s="89"/>
      <c r="E90" s="90"/>
    </row>
    <row r="91" spans="2:5" ht="12.75" customHeight="1" x14ac:dyDescent="0.2">
      <c r="B91" s="31" t="s">
        <v>19</v>
      </c>
      <c r="C91" s="29"/>
      <c r="D91" s="29"/>
      <c r="E91" s="30"/>
    </row>
    <row r="92" spans="2:5" ht="14.25" customHeight="1" x14ac:dyDescent="0.2">
      <c r="B92" s="31"/>
      <c r="C92" s="89" t="s">
        <v>70</v>
      </c>
      <c r="D92" s="89"/>
      <c r="E92" s="90"/>
    </row>
    <row r="93" spans="2:5" ht="13.5" thickBot="1" x14ac:dyDescent="0.25">
      <c r="B93" s="35"/>
      <c r="C93" s="36"/>
      <c r="D93" s="36"/>
      <c r="E93" s="37"/>
    </row>
    <row r="96" spans="2:5" ht="12.75" customHeight="1" x14ac:dyDescent="0.2"/>
    <row r="97" ht="14.25" customHeight="1" x14ac:dyDescent="0.2"/>
    <row r="98" ht="12.75" customHeight="1" x14ac:dyDescent="0.2"/>
    <row r="100" ht="12.75" customHeight="1" x14ac:dyDescent="0.2"/>
    <row r="102" ht="12.75" customHeight="1" x14ac:dyDescent="0.2"/>
    <row r="104" ht="51.75" customHeight="1" x14ac:dyDescent="0.2"/>
    <row r="106" ht="12.75" customHeight="1" x14ac:dyDescent="0.2"/>
    <row r="107" ht="74.25" customHeight="1" x14ac:dyDescent="0.2"/>
    <row r="111" ht="12.75" customHeight="1" x14ac:dyDescent="0.2"/>
    <row r="113" ht="12.75" customHeight="1" x14ac:dyDescent="0.2"/>
    <row r="115" ht="12.75" customHeight="1" x14ac:dyDescent="0.2"/>
    <row r="117" ht="12.75" customHeight="1" x14ac:dyDescent="0.2"/>
    <row r="119" ht="41.25" customHeight="1" x14ac:dyDescent="0.2"/>
    <row r="121" ht="12.75" customHeight="1" x14ac:dyDescent="0.2"/>
    <row r="122" ht="72.75" customHeight="1" x14ac:dyDescent="0.2"/>
    <row r="124" ht="14.25" customHeight="1" x14ac:dyDescent="0.2"/>
    <row r="126" ht="12.75" customHeight="1" x14ac:dyDescent="0.2"/>
    <row r="128" ht="12.75" customHeight="1" x14ac:dyDescent="0.2"/>
    <row r="130" ht="12.75" customHeight="1" x14ac:dyDescent="0.2"/>
    <row r="131" ht="14.25" customHeight="1" x14ac:dyDescent="0.2"/>
    <row r="132" ht="12.75" customHeight="1" x14ac:dyDescent="0.2"/>
    <row r="134" ht="77.25" customHeight="1" x14ac:dyDescent="0.2"/>
    <row r="136" ht="12.75" customHeight="1" x14ac:dyDescent="0.2"/>
    <row r="137" ht="75.75" customHeight="1" x14ac:dyDescent="0.2"/>
    <row r="141" ht="12.75" customHeight="1" x14ac:dyDescent="0.2"/>
    <row r="143" ht="12.75" customHeight="1" x14ac:dyDescent="0.2"/>
    <row r="145" ht="12.75" customHeight="1" x14ac:dyDescent="0.2"/>
    <row r="147" ht="12.75" customHeight="1" x14ac:dyDescent="0.2"/>
    <row r="149" ht="102" customHeight="1" x14ac:dyDescent="0.2"/>
    <row r="151" ht="79.5" customHeight="1" x14ac:dyDescent="0.2"/>
    <row r="152" ht="12.75" customHeight="1" x14ac:dyDescent="0.2"/>
    <row r="153" ht="12.75" customHeight="1" x14ac:dyDescent="0.2"/>
    <row r="154" ht="22.5" customHeight="1" x14ac:dyDescent="0.2"/>
    <row r="156" ht="12.75" customHeight="1" x14ac:dyDescent="0.2"/>
    <row r="158" ht="12.75" customHeight="1" x14ac:dyDescent="0.2"/>
    <row r="160" ht="12.75" customHeight="1" x14ac:dyDescent="0.2"/>
    <row r="163" ht="12.75" customHeight="1" x14ac:dyDescent="0.2"/>
    <row r="164" ht="107.25" customHeight="1" x14ac:dyDescent="0.2"/>
    <row r="165" ht="12.75" customHeight="1" x14ac:dyDescent="0.2"/>
    <row r="166" ht="56.25" customHeight="1" x14ac:dyDescent="0.2"/>
    <row r="167" ht="12.75" customHeight="1" x14ac:dyDescent="0.2"/>
    <row r="168" ht="12.75" customHeight="1" x14ac:dyDescent="0.2"/>
    <row r="169" ht="22.5" customHeight="1" x14ac:dyDescent="0.2"/>
    <row r="172" ht="12.75" customHeight="1" x14ac:dyDescent="0.2"/>
    <row r="173" ht="12.75" customHeight="1" x14ac:dyDescent="0.2"/>
    <row r="175" ht="12.75" customHeight="1" x14ac:dyDescent="0.2"/>
    <row r="179" ht="132" customHeight="1" x14ac:dyDescent="0.2"/>
    <row r="181" ht="54" customHeight="1" x14ac:dyDescent="0.2"/>
    <row r="182" ht="12.75" customHeight="1" x14ac:dyDescent="0.2"/>
    <row r="183" ht="12.75" customHeight="1" x14ac:dyDescent="0.2"/>
    <row r="184" ht="16.5" customHeight="1" x14ac:dyDescent="0.2"/>
    <row r="190" ht="12.75" customHeight="1" x14ac:dyDescent="0.2"/>
    <row r="192" ht="12.75" customHeight="1" x14ac:dyDescent="0.2"/>
    <row r="194" ht="155.25" customHeight="1" x14ac:dyDescent="0.2"/>
    <row r="196" ht="54" customHeight="1" x14ac:dyDescent="0.2"/>
    <row r="198" ht="12.75" customHeight="1" x14ac:dyDescent="0.2"/>
    <row r="199" ht="19.5" customHeight="1" x14ac:dyDescent="0.2"/>
    <row r="205" ht="12.75" customHeight="1" x14ac:dyDescent="0.2"/>
    <row r="207" ht="12.75" customHeight="1" x14ac:dyDescent="0.2"/>
    <row r="211" ht="166.5" customHeight="1" x14ac:dyDescent="0.2"/>
    <row r="213" ht="12.75" customHeight="1" x14ac:dyDescent="0.2"/>
    <row r="214" ht="65.25" customHeight="1" x14ac:dyDescent="0.2"/>
    <row r="220" ht="12.75" customHeight="1" x14ac:dyDescent="0.2"/>
    <row r="222" ht="12.75" customHeight="1" x14ac:dyDescent="0.2"/>
    <row r="226" ht="120" customHeight="1" x14ac:dyDescent="0.2"/>
    <row r="228" ht="12.75" customHeight="1" x14ac:dyDescent="0.2"/>
    <row r="229" ht="71.25" customHeight="1" x14ac:dyDescent="0.2"/>
    <row r="235" ht="12.75" customHeight="1" x14ac:dyDescent="0.2"/>
    <row r="237" ht="12.75" customHeight="1" x14ac:dyDescent="0.2"/>
    <row r="241" ht="40.5" customHeight="1" x14ac:dyDescent="0.2"/>
    <row r="243" ht="12.75" customHeight="1" x14ac:dyDescent="0.2"/>
    <row r="244" ht="66" customHeight="1" x14ac:dyDescent="0.2"/>
    <row r="250" ht="12.75" customHeight="1" x14ac:dyDescent="0.2"/>
    <row r="252" ht="12.75" customHeight="1" x14ac:dyDescent="0.2"/>
    <row r="256" ht="87" customHeight="1" x14ac:dyDescent="0.2"/>
    <row r="258" ht="12.75" customHeight="1" x14ac:dyDescent="0.2"/>
    <row r="259" ht="72.75" customHeight="1" x14ac:dyDescent="0.2"/>
    <row r="265" ht="12.75" customHeight="1" x14ac:dyDescent="0.2"/>
    <row r="266" ht="12.75" customHeight="1" x14ac:dyDescent="0.2"/>
    <row r="268" ht="12.75" customHeight="1" x14ac:dyDescent="0.2"/>
    <row r="271" ht="80.25" customHeight="1" x14ac:dyDescent="0.2"/>
    <row r="272" ht="19.5" customHeight="1" x14ac:dyDescent="0.2"/>
    <row r="274" ht="60" customHeight="1" x14ac:dyDescent="0.2"/>
    <row r="275" ht="15.75" customHeight="1" x14ac:dyDescent="0.2"/>
    <row r="282" ht="12.75" customHeight="1" x14ac:dyDescent="0.2"/>
    <row r="284" ht="12.75" customHeight="1" x14ac:dyDescent="0.2"/>
    <row r="287" ht="87.75" customHeight="1" x14ac:dyDescent="0.2"/>
    <row r="290" ht="61.5" customHeight="1" x14ac:dyDescent="0.2"/>
    <row r="291" ht="12.75" customHeight="1" x14ac:dyDescent="0.2"/>
    <row r="297" ht="12.75" customHeight="1" x14ac:dyDescent="0.2"/>
    <row r="299" ht="12.75" customHeight="1" x14ac:dyDescent="0.2"/>
    <row r="303" ht="65.25" customHeight="1" x14ac:dyDescent="0.2"/>
    <row r="306" ht="71.25" customHeight="1" x14ac:dyDescent="0.2"/>
    <row r="312" ht="12.75" customHeight="1" x14ac:dyDescent="0.2"/>
    <row r="314" ht="12.75" customHeight="1" x14ac:dyDescent="0.2"/>
    <row r="318" ht="52.5" customHeight="1" x14ac:dyDescent="0.2"/>
    <row r="321" ht="69.75" customHeight="1" x14ac:dyDescent="0.2"/>
    <row r="333" ht="34.5" customHeight="1" x14ac:dyDescent="0.2"/>
    <row r="336" ht="72.75" customHeight="1" x14ac:dyDescent="0.2"/>
  </sheetData>
  <mergeCells count="33">
    <mergeCell ref="C38:E39"/>
    <mergeCell ref="C41:E41"/>
    <mergeCell ref="C43:E43"/>
    <mergeCell ref="C45:E45"/>
    <mergeCell ref="C52:E52"/>
    <mergeCell ref="C23:E24"/>
    <mergeCell ref="C26:E26"/>
    <mergeCell ref="C28:E28"/>
    <mergeCell ref="C30:E30"/>
    <mergeCell ref="C36:E36"/>
    <mergeCell ref="C21:E21"/>
    <mergeCell ref="A7:B7"/>
    <mergeCell ref="B2:H2"/>
    <mergeCell ref="A4:B4"/>
    <mergeCell ref="C4:E4"/>
    <mergeCell ref="A5:B5"/>
    <mergeCell ref="C5:E5"/>
    <mergeCell ref="A6:B6"/>
    <mergeCell ref="A15:H15"/>
    <mergeCell ref="C83:E83"/>
    <mergeCell ref="C85:E86"/>
    <mergeCell ref="C92:E92"/>
    <mergeCell ref="C88:E88"/>
    <mergeCell ref="C90:E90"/>
    <mergeCell ref="C54:E55"/>
    <mergeCell ref="C57:E57"/>
    <mergeCell ref="C59:E59"/>
    <mergeCell ref="C61:E61"/>
    <mergeCell ref="C73:E73"/>
    <mergeCell ref="C75:E75"/>
    <mergeCell ref="C68:E68"/>
    <mergeCell ref="C70:E71"/>
    <mergeCell ref="C77:E77"/>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7"/>
  <sheetViews>
    <sheetView topLeftCell="A4" zoomScale="80" zoomScaleNormal="80" workbookViewId="0">
      <selection activeCell="D8" sqref="D8:K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96" t="s">
        <v>21</v>
      </c>
      <c r="B1" s="96"/>
      <c r="C1" s="96"/>
      <c r="D1" s="96"/>
      <c r="E1" s="96"/>
      <c r="F1" s="96"/>
      <c r="G1" s="96"/>
      <c r="H1" s="96"/>
      <c r="I1" s="96"/>
      <c r="J1" s="3" t="s">
        <v>22</v>
      </c>
      <c r="K1" s="38" t="s">
        <v>95</v>
      </c>
    </row>
    <row r="2" spans="1:12" ht="18.75" customHeight="1" thickBot="1" x14ac:dyDescent="0.25">
      <c r="A2" s="4"/>
      <c r="B2" s="4"/>
      <c r="C2" s="4"/>
      <c r="D2" s="5"/>
      <c r="E2" s="5"/>
      <c r="F2" s="5"/>
      <c r="G2" s="5"/>
      <c r="H2" s="5"/>
      <c r="I2" s="5"/>
      <c r="J2" s="5"/>
      <c r="K2" s="5"/>
    </row>
    <row r="3" spans="1:12" ht="18.75" customHeight="1" thickBot="1" x14ac:dyDescent="0.25">
      <c r="A3" s="97" t="s">
        <v>56</v>
      </c>
      <c r="B3" s="97"/>
      <c r="C3" s="97"/>
      <c r="D3" s="98" t="s">
        <v>59</v>
      </c>
      <c r="E3" s="98"/>
      <c r="F3" s="98"/>
      <c r="G3" s="98"/>
      <c r="H3" s="98"/>
      <c r="I3" s="98"/>
      <c r="J3" s="98"/>
      <c r="K3" s="98"/>
    </row>
    <row r="4" spans="1:12" ht="18.75" customHeight="1" thickBot="1" x14ac:dyDescent="0.25">
      <c r="A4" s="99" t="s">
        <v>57</v>
      </c>
      <c r="B4" s="99"/>
      <c r="C4" s="99"/>
      <c r="D4" s="98" t="s">
        <v>60</v>
      </c>
      <c r="E4" s="98"/>
      <c r="F4" s="98"/>
      <c r="G4" s="98"/>
      <c r="H4" s="98"/>
      <c r="I4" s="98"/>
      <c r="J4" s="98"/>
      <c r="K4" s="98"/>
    </row>
    <row r="5" spans="1:12" ht="35.25" customHeight="1" thickBot="1" x14ac:dyDescent="0.25">
      <c r="A5" s="99" t="s">
        <v>35</v>
      </c>
      <c r="B5" s="99"/>
      <c r="C5" s="99"/>
      <c r="D5" s="98" t="s">
        <v>94</v>
      </c>
      <c r="E5" s="98"/>
      <c r="F5" s="98"/>
      <c r="G5" s="98"/>
      <c r="H5" s="98"/>
      <c r="I5" s="98"/>
      <c r="J5" s="98"/>
      <c r="K5" s="98"/>
    </row>
    <row r="6" spans="1:12" ht="17.25" customHeight="1" thickBot="1" x14ac:dyDescent="0.25">
      <c r="A6" s="97" t="s">
        <v>58</v>
      </c>
      <c r="B6" s="97"/>
      <c r="C6" s="97"/>
      <c r="D6" s="98" t="s">
        <v>64</v>
      </c>
      <c r="E6" s="98"/>
      <c r="F6" s="98"/>
      <c r="G6" s="98"/>
      <c r="H6" s="98"/>
      <c r="I6" s="98"/>
      <c r="J6" s="98"/>
      <c r="K6" s="98"/>
    </row>
    <row r="7" spans="1:12" ht="20.25" customHeight="1" x14ac:dyDescent="0.2">
      <c r="A7" s="99" t="s">
        <v>23</v>
      </c>
      <c r="B7" s="99"/>
      <c r="C7" s="99"/>
      <c r="D7" s="98" t="s">
        <v>78</v>
      </c>
      <c r="E7" s="98"/>
      <c r="F7" s="98"/>
      <c r="G7" s="98"/>
      <c r="H7" s="98"/>
      <c r="I7" s="98"/>
      <c r="J7" s="98"/>
      <c r="K7" s="98"/>
    </row>
    <row r="8" spans="1:12" ht="40.5" customHeight="1" x14ac:dyDescent="0.2">
      <c r="A8" s="105" t="s">
        <v>24</v>
      </c>
      <c r="B8" s="105"/>
      <c r="C8" s="105"/>
      <c r="D8" s="106" t="s">
        <v>96</v>
      </c>
      <c r="E8" s="106"/>
      <c r="F8" s="106"/>
      <c r="G8" s="106"/>
      <c r="H8" s="106"/>
      <c r="I8" s="106"/>
      <c r="J8" s="106"/>
      <c r="K8" s="106"/>
    </row>
    <row r="9" spans="1:12" ht="15.75" x14ac:dyDescent="0.2">
      <c r="A9" s="6"/>
      <c r="B9" s="6"/>
      <c r="C9" s="6"/>
      <c r="D9" s="7"/>
      <c r="E9" s="7"/>
      <c r="F9" s="7"/>
      <c r="G9" s="7"/>
      <c r="H9" s="7"/>
      <c r="I9" s="7"/>
      <c r="J9" s="7"/>
      <c r="K9" s="7"/>
    </row>
    <row r="10" spans="1:12" ht="18.75" customHeight="1" x14ac:dyDescent="0.2">
      <c r="A10" s="107" t="s">
        <v>25</v>
      </c>
      <c r="B10" s="108" t="s">
        <v>26</v>
      </c>
      <c r="C10" s="108" t="s">
        <v>27</v>
      </c>
      <c r="D10" s="108"/>
      <c r="E10" s="108"/>
      <c r="F10" s="108"/>
      <c r="G10" s="108"/>
      <c r="H10" s="108" t="s">
        <v>28</v>
      </c>
      <c r="I10" s="108" t="s">
        <v>29</v>
      </c>
      <c r="J10" s="108" t="s">
        <v>30</v>
      </c>
      <c r="K10" s="109" t="s">
        <v>31</v>
      </c>
    </row>
    <row r="11" spans="1:12" ht="24" customHeight="1" thickBot="1" x14ac:dyDescent="0.25">
      <c r="A11" s="107"/>
      <c r="B11" s="108"/>
      <c r="C11" s="108"/>
      <c r="D11" s="108"/>
      <c r="E11" s="108"/>
      <c r="F11" s="108"/>
      <c r="G11" s="108"/>
      <c r="H11" s="108"/>
      <c r="I11" s="108"/>
      <c r="J11" s="108"/>
      <c r="K11" s="109"/>
    </row>
    <row r="12" spans="1:12" ht="49.5" customHeight="1" thickBot="1" x14ac:dyDescent="0.25">
      <c r="A12" s="44">
        <v>1</v>
      </c>
      <c r="B12" s="45" t="str">
        <f>'Necesidades Trimestrales (2)'!B10</f>
        <v>4.3.6-6161.251</v>
      </c>
      <c r="C12" s="102" t="str">
        <f>'Necesidades Trimestrales (2)'!E10</f>
        <v>IMPRESORAS; TIPO: MULTIFUNCION LASER MONOCROM., CODIGO ETAP: PR-026, VERSION ETAP: VERSION 18.1</v>
      </c>
      <c r="D12" s="103" t="s">
        <v>71</v>
      </c>
      <c r="E12" s="103" t="s">
        <v>71</v>
      </c>
      <c r="F12" s="103" t="s">
        <v>71</v>
      </c>
      <c r="G12" s="104" t="s">
        <v>71</v>
      </c>
      <c r="H12" s="46" t="s">
        <v>32</v>
      </c>
      <c r="I12" s="47" t="s">
        <v>14</v>
      </c>
      <c r="J12" s="48">
        <f>'Necesidades Trimestrales (2)'!H10</f>
        <v>83599</v>
      </c>
      <c r="K12" s="49">
        <f>'Necesidades Trimestrales (2)'!G10</f>
        <v>3</v>
      </c>
      <c r="L12" s="41"/>
    </row>
    <row r="13" spans="1:12" ht="49.5" customHeight="1" thickBot="1" x14ac:dyDescent="0.25">
      <c r="A13" s="44">
        <v>2</v>
      </c>
      <c r="B13" s="45" t="str">
        <f>'Necesidades Trimestrales (2)'!B11</f>
        <v>4.3.6-6170.59</v>
      </c>
      <c r="C13" s="102" t="str">
        <f>'Necesidades Trimestrales (2)'!E11</f>
        <v>DIG. DE IMAGENES/ESCANER; TIPO: ESCANER DOCUMENTOS PRODUCCION, CODIGO ETAP: SC-006, VERSION ETAP: 22.0</v>
      </c>
      <c r="D13" s="103" t="s">
        <v>71</v>
      </c>
      <c r="E13" s="103" t="s">
        <v>71</v>
      </c>
      <c r="F13" s="103" t="s">
        <v>71</v>
      </c>
      <c r="G13" s="104" t="s">
        <v>71</v>
      </c>
      <c r="H13" s="46" t="s">
        <v>32</v>
      </c>
      <c r="I13" s="47" t="s">
        <v>14</v>
      </c>
      <c r="J13" s="48">
        <f>'Necesidades Trimestrales (2)'!H11</f>
        <v>80000</v>
      </c>
      <c r="K13" s="49">
        <f>'Necesidades Trimestrales (2)'!G11</f>
        <v>2</v>
      </c>
      <c r="L13" s="41"/>
    </row>
    <row r="14" spans="1:12" ht="49.5" customHeight="1" thickBot="1" x14ac:dyDescent="0.25">
      <c r="A14" s="44">
        <v>3</v>
      </c>
      <c r="B14" s="45" t="str">
        <f>'Necesidades Trimestrales (2)'!B12</f>
        <v>4.3.5-241.86</v>
      </c>
      <c r="C14" s="102" t="str">
        <f>'Necesidades Trimestrales (2)'!E12</f>
        <v>TELEVISORES; PANTALLA: LED 50 pulg, NORMA: MULTINORMA, CANTIDAD DE CANALES: 180, APAGADO: AUTOMATICO, VISION MULTICANAL: SI</v>
      </c>
      <c r="D14" s="103" t="s">
        <v>71</v>
      </c>
      <c r="E14" s="103" t="s">
        <v>71</v>
      </c>
      <c r="F14" s="103" t="s">
        <v>71</v>
      </c>
      <c r="G14" s="104" t="s">
        <v>71</v>
      </c>
      <c r="H14" s="46" t="s">
        <v>32</v>
      </c>
      <c r="I14" s="47" t="s">
        <v>14</v>
      </c>
      <c r="J14" s="48">
        <f>'Necesidades Trimestrales (2)'!H12</f>
        <v>100000</v>
      </c>
      <c r="K14" s="49">
        <f>'Necesidades Trimestrales (2)'!G12</f>
        <v>5</v>
      </c>
      <c r="L14" s="41"/>
    </row>
    <row r="15" spans="1:12" ht="49.5" customHeight="1" thickBot="1" x14ac:dyDescent="0.25">
      <c r="A15" s="44">
        <v>4</v>
      </c>
      <c r="B15" s="45" t="str">
        <f>'Necesidades Trimestrales (2)'!B13</f>
        <v>4.3.5-9163.83</v>
      </c>
      <c r="C15" s="102" t="str">
        <f>'Necesidades Trimestrales (2)'!E13</f>
        <v>EQUIPOS DIDACTICOS TECNICOS; NOMBRE: MARCO TOUCH, TIPO: P/PANTALLA</v>
      </c>
      <c r="D15" s="103" t="s">
        <v>71</v>
      </c>
      <c r="E15" s="103" t="s">
        <v>71</v>
      </c>
      <c r="F15" s="103" t="s">
        <v>71</v>
      </c>
      <c r="G15" s="104" t="s">
        <v>71</v>
      </c>
      <c r="H15" s="46" t="s">
        <v>32</v>
      </c>
      <c r="I15" s="47" t="s">
        <v>14</v>
      </c>
      <c r="J15" s="48">
        <f>'Necesidades Trimestrales (2)'!H13</f>
        <v>30000</v>
      </c>
      <c r="K15" s="49">
        <f>'Necesidades Trimestrales (2)'!G13</f>
        <v>5</v>
      </c>
      <c r="L15" s="41"/>
    </row>
    <row r="16" spans="1:12" ht="49.5" customHeight="1" thickBot="1" x14ac:dyDescent="0.25">
      <c r="A16" s="44">
        <v>5</v>
      </c>
      <c r="B16" s="45" t="str">
        <f>'Necesidades Trimestrales (2)'!B14</f>
        <v>4.3.5-9163.83</v>
      </c>
      <c r="C16" s="102" t="str">
        <f>'Necesidades Trimestrales (2)'!E14</f>
        <v>EQUIPOS DIDACTICOS TECNICOS; NOMBRE: MARCO TOUCH, TIPO: P/PANTALLA</v>
      </c>
      <c r="D16" s="103" t="s">
        <v>71</v>
      </c>
      <c r="E16" s="103" t="s">
        <v>71</v>
      </c>
      <c r="F16" s="103" t="s">
        <v>71</v>
      </c>
      <c r="G16" s="104" t="s">
        <v>71</v>
      </c>
      <c r="H16" s="46" t="s">
        <v>32</v>
      </c>
      <c r="I16" s="47" t="s">
        <v>14</v>
      </c>
      <c r="J16" s="48">
        <f>'Necesidades Trimestrales (2)'!H14</f>
        <v>30000</v>
      </c>
      <c r="K16" s="49">
        <f>'Necesidades Trimestrales (2)'!G14</f>
        <v>4</v>
      </c>
      <c r="L16" s="41"/>
    </row>
    <row r="17" spans="1:12" ht="38.25" customHeight="1" thickBot="1" x14ac:dyDescent="0.25">
      <c r="A17" s="100" t="s">
        <v>91</v>
      </c>
      <c r="B17" s="100"/>
      <c r="C17" s="100"/>
      <c r="D17" s="100"/>
      <c r="E17" s="100"/>
      <c r="F17" s="100"/>
      <c r="G17" s="100"/>
      <c r="H17" s="100"/>
      <c r="I17" s="100"/>
      <c r="J17" s="101">
        <f>SUMPRODUCT(J12:J16,K12:K16)</f>
        <v>1180797</v>
      </c>
      <c r="K17" s="101"/>
      <c r="L17" s="41"/>
    </row>
  </sheetData>
  <mergeCells count="27">
    <mergeCell ref="A17:I17"/>
    <mergeCell ref="J17:K17"/>
    <mergeCell ref="C12:G12"/>
    <mergeCell ref="A8:C8"/>
    <mergeCell ref="D8:K8"/>
    <mergeCell ref="A10:A11"/>
    <mergeCell ref="B10:B11"/>
    <mergeCell ref="C10:G11"/>
    <mergeCell ref="H10:H11"/>
    <mergeCell ref="I10:I11"/>
    <mergeCell ref="J10:J11"/>
    <mergeCell ref="K10:K11"/>
    <mergeCell ref="C13:G13"/>
    <mergeCell ref="C14:G14"/>
    <mergeCell ref="C15:G15"/>
    <mergeCell ref="C16:G16"/>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scale="68" firstPageNumber="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topLeftCell="A13" zoomScale="130" zoomScaleNormal="130" workbookViewId="0">
      <selection activeCell="G5" sqref="G5:Q5"/>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s>
  <sheetData>
    <row r="1" spans="1:17" ht="15.75" customHeight="1" x14ac:dyDescent="0.25">
      <c r="A1" s="110" t="s">
        <v>3</v>
      </c>
      <c r="B1" s="110"/>
      <c r="C1" s="110"/>
      <c r="D1" s="111">
        <v>2021</v>
      </c>
      <c r="E1" s="111"/>
      <c r="F1" s="9"/>
      <c r="G1" s="9"/>
      <c r="H1" s="10"/>
      <c r="I1" s="10"/>
      <c r="J1" s="10"/>
      <c r="K1" s="10"/>
      <c r="L1" s="10"/>
      <c r="M1" s="10"/>
      <c r="N1" s="10"/>
      <c r="P1" s="112" t="s">
        <v>33</v>
      </c>
      <c r="Q1" s="112"/>
    </row>
    <row r="2" spans="1:17" ht="15.75" customHeight="1" x14ac:dyDescent="0.2">
      <c r="H2" s="10"/>
      <c r="I2" s="10"/>
      <c r="J2" s="10"/>
      <c r="K2" s="10"/>
      <c r="L2" s="10"/>
      <c r="M2" s="10"/>
      <c r="N2" s="10"/>
      <c r="P2" s="112"/>
      <c r="Q2" s="112"/>
    </row>
    <row r="4" spans="1:17" s="11" customFormat="1" ht="18" customHeight="1" thickBot="1" x14ac:dyDescent="0.25">
      <c r="A4" s="113" t="s">
        <v>34</v>
      </c>
      <c r="B4" s="113"/>
      <c r="C4" s="113"/>
      <c r="D4" s="113"/>
      <c r="E4" s="113"/>
      <c r="F4" s="113"/>
      <c r="G4" s="114" t="str">
        <f>' NotaPedido'!D3</f>
        <v>70 - MINISTERIO DE CIENCIA E INNOVACION TECNOLOGICA</v>
      </c>
      <c r="H4" s="114"/>
      <c r="I4" s="114"/>
      <c r="J4" s="114"/>
      <c r="K4" s="114"/>
      <c r="L4" s="114"/>
      <c r="M4" s="114"/>
      <c r="N4" s="114"/>
      <c r="O4" s="114"/>
      <c r="P4" s="114"/>
      <c r="Q4" s="114"/>
    </row>
    <row r="5" spans="1:17" s="11" customFormat="1" ht="18" customHeight="1" thickBot="1" x14ac:dyDescent="0.25">
      <c r="A5" s="115" t="s">
        <v>57</v>
      </c>
      <c r="B5" s="116"/>
      <c r="C5" s="116"/>
      <c r="D5" s="116"/>
      <c r="E5" s="116"/>
      <c r="F5" s="117"/>
      <c r="G5" s="114" t="str">
        <f>' NotaPedido'!D4</f>
        <v>20 - MINISTERIO DE CIENCIA E INNOVACION TECNOLOGICA</v>
      </c>
      <c r="H5" s="114"/>
      <c r="I5" s="114"/>
      <c r="J5" s="114"/>
      <c r="K5" s="114"/>
      <c r="L5" s="114"/>
      <c r="M5" s="114"/>
      <c r="N5" s="114"/>
      <c r="O5" s="114"/>
      <c r="P5" s="114"/>
      <c r="Q5" s="114"/>
    </row>
    <row r="6" spans="1:17" s="11" customFormat="1" ht="26.25" customHeight="1" thickBot="1" x14ac:dyDescent="0.25">
      <c r="A6" s="115" t="s">
        <v>35</v>
      </c>
      <c r="B6" s="116"/>
      <c r="C6" s="116"/>
      <c r="D6" s="116"/>
      <c r="E6" s="116"/>
      <c r="F6" s="117"/>
      <c r="G6" s="119" t="str">
        <f>' NotaPedido'!D5</f>
        <v>SECRETARIA DE INNOVACION TECNOLOGICA - DIRECCION PROVINCIAL DE GESTION ADMINISTRATIVA RECURSOS HUMANOS</v>
      </c>
      <c r="H6" s="120"/>
      <c r="I6" s="120"/>
      <c r="J6" s="120"/>
      <c r="K6" s="120"/>
      <c r="L6" s="120"/>
      <c r="M6" s="120"/>
      <c r="N6" s="120"/>
      <c r="O6" s="120"/>
      <c r="P6" s="120"/>
      <c r="Q6" s="121"/>
    </row>
    <row r="7" spans="1:17" s="11" customFormat="1" ht="18" customHeight="1" thickBot="1" x14ac:dyDescent="0.25">
      <c r="A7" s="115" t="s">
        <v>58</v>
      </c>
      <c r="B7" s="116"/>
      <c r="C7" s="116"/>
      <c r="D7" s="116"/>
      <c r="E7" s="116"/>
      <c r="F7" s="117"/>
      <c r="G7" s="122" t="str">
        <f>' NotaPedido'!D6</f>
        <v>DIRECCION PROVINCIAL DE GESTION ADMINISTRATIVA RECURSOS HUMANOS</v>
      </c>
      <c r="H7" s="122"/>
      <c r="I7" s="122"/>
      <c r="J7" s="122"/>
      <c r="K7" s="122"/>
      <c r="L7" s="122"/>
      <c r="M7" s="122"/>
      <c r="N7" s="122"/>
      <c r="O7" s="122"/>
      <c r="P7" s="122"/>
      <c r="Q7" s="122"/>
    </row>
    <row r="8" spans="1:17" ht="18" customHeight="1" thickBot="1" x14ac:dyDescent="0.25">
      <c r="A8" s="118" t="s">
        <v>36</v>
      </c>
      <c r="B8" s="118"/>
      <c r="C8" s="118"/>
      <c r="D8" s="118"/>
      <c r="E8" s="118"/>
      <c r="F8" s="118"/>
      <c r="G8" s="118"/>
      <c r="H8" s="118"/>
      <c r="I8" s="118"/>
      <c r="J8" s="118"/>
      <c r="K8" s="118"/>
      <c r="L8" s="118"/>
      <c r="M8" s="118"/>
      <c r="N8" s="118"/>
      <c r="O8" s="118"/>
      <c r="P8" s="118"/>
      <c r="Q8" s="118"/>
    </row>
    <row r="9" spans="1:17" ht="18" customHeight="1" x14ac:dyDescent="0.2">
      <c r="A9" s="123" t="s">
        <v>37</v>
      </c>
      <c r="B9" s="123"/>
      <c r="C9" s="123"/>
      <c r="D9" s="123"/>
      <c r="E9" s="123"/>
      <c r="F9" s="123"/>
      <c r="G9" s="123"/>
      <c r="H9" s="123"/>
      <c r="I9" s="123"/>
      <c r="J9" s="123"/>
      <c r="K9" s="123"/>
      <c r="L9" s="123"/>
      <c r="M9" s="123"/>
      <c r="N9" s="123"/>
      <c r="O9" s="1"/>
      <c r="P9" s="1"/>
      <c r="Q9" s="12"/>
    </row>
    <row r="10" spans="1:17" ht="54.75" customHeight="1" x14ac:dyDescent="0.2">
      <c r="A10" s="12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049/2021,  afectando la erogación resultante a los créditos presupuestarios aprobados a favor de esta Unidad Ejecutora, conforme al siguiente detalle:</v>
      </c>
      <c r="B10" s="124"/>
      <c r="C10" s="124"/>
      <c r="D10" s="124"/>
      <c r="E10" s="124"/>
      <c r="F10" s="124"/>
      <c r="G10" s="124"/>
      <c r="H10" s="124"/>
      <c r="I10" s="124"/>
      <c r="J10" s="124"/>
      <c r="K10" s="124"/>
      <c r="L10" s="124"/>
      <c r="M10" s="124"/>
      <c r="N10" s="124"/>
      <c r="O10" s="124"/>
      <c r="P10" s="124"/>
      <c r="Q10" s="124"/>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125" t="s">
        <v>38</v>
      </c>
      <c r="B12" s="125"/>
      <c r="C12" s="125"/>
      <c r="D12" s="125"/>
      <c r="E12" s="125"/>
      <c r="F12" s="125"/>
      <c r="G12" s="125"/>
      <c r="H12" s="125"/>
      <c r="I12" s="125"/>
      <c r="J12" s="125"/>
      <c r="K12" s="125"/>
      <c r="L12" s="125"/>
      <c r="M12" s="125"/>
      <c r="N12" s="125"/>
      <c r="O12" s="125"/>
      <c r="P12" s="125"/>
      <c r="Q12" s="125"/>
    </row>
    <row r="13" spans="1:17" ht="15.75" customHeight="1" x14ac:dyDescent="0.2">
      <c r="A13" s="126" t="s">
        <v>39</v>
      </c>
      <c r="B13" s="126"/>
      <c r="C13" s="126"/>
      <c r="D13" s="126"/>
      <c r="E13" s="126"/>
      <c r="F13" s="126"/>
      <c r="G13" s="126"/>
      <c r="H13" s="126"/>
      <c r="I13" s="126"/>
      <c r="J13" s="126"/>
      <c r="K13" s="126"/>
      <c r="L13" s="126"/>
      <c r="M13" s="126"/>
      <c r="N13" s="126"/>
      <c r="O13" s="127" t="s">
        <v>40</v>
      </c>
      <c r="P13" s="127"/>
      <c r="Q13" s="128" t="s">
        <v>41</v>
      </c>
    </row>
    <row r="14" spans="1:17" ht="15.75" customHeight="1" thickBot="1" x14ac:dyDescent="0.25">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127"/>
      <c r="P14" s="127"/>
      <c r="Q14" s="128"/>
    </row>
    <row r="15" spans="1:17" ht="27.75" customHeight="1" thickBot="1" x14ac:dyDescent="0.25">
      <c r="A15" s="39">
        <v>3</v>
      </c>
      <c r="B15" s="39">
        <v>0</v>
      </c>
      <c r="C15" s="39">
        <v>0</v>
      </c>
      <c r="D15" s="39">
        <v>1</v>
      </c>
      <c r="E15" s="39">
        <v>0</v>
      </c>
      <c r="F15" s="39">
        <v>4901</v>
      </c>
      <c r="G15" s="39">
        <v>3</v>
      </c>
      <c r="H15" s="39">
        <v>5</v>
      </c>
      <c r="I15" s="22">
        <v>4</v>
      </c>
      <c r="J15" s="22">
        <v>3</v>
      </c>
      <c r="K15" s="22">
        <v>5</v>
      </c>
      <c r="L15" s="39">
        <v>0</v>
      </c>
      <c r="M15" s="39">
        <v>1</v>
      </c>
      <c r="N15" s="39" t="s">
        <v>61</v>
      </c>
      <c r="O15" s="133" t="s">
        <v>92</v>
      </c>
      <c r="P15" s="134"/>
      <c r="Q15" s="50">
        <v>770000</v>
      </c>
    </row>
    <row r="16" spans="1:17" ht="28.5" customHeight="1" x14ac:dyDescent="0.2">
      <c r="A16" s="43">
        <v>5</v>
      </c>
      <c r="B16" s="43">
        <v>0</v>
      </c>
      <c r="C16" s="43">
        <v>0</v>
      </c>
      <c r="D16" s="43">
        <v>1</v>
      </c>
      <c r="E16" s="43">
        <v>0</v>
      </c>
      <c r="F16" s="43">
        <v>4901</v>
      </c>
      <c r="G16" s="43">
        <v>3</v>
      </c>
      <c r="H16" s="43">
        <v>5</v>
      </c>
      <c r="I16" s="23">
        <v>4</v>
      </c>
      <c r="J16" s="23">
        <v>3</v>
      </c>
      <c r="K16" s="23">
        <v>6</v>
      </c>
      <c r="L16" s="43">
        <v>0</v>
      </c>
      <c r="M16" s="43">
        <v>1</v>
      </c>
      <c r="N16" s="43" t="s">
        <v>61</v>
      </c>
      <c r="O16" s="133" t="s">
        <v>73</v>
      </c>
      <c r="P16" s="134"/>
      <c r="Q16" s="51">
        <v>410797</v>
      </c>
    </row>
    <row r="17" spans="1:17" ht="24.75" customHeight="1" x14ac:dyDescent="0.2">
      <c r="A17" s="43"/>
      <c r="B17" s="43"/>
      <c r="C17" s="43"/>
      <c r="D17" s="43"/>
      <c r="E17" s="43"/>
      <c r="F17" s="43"/>
      <c r="G17" s="43"/>
      <c r="H17" s="43"/>
      <c r="I17" s="23"/>
      <c r="J17" s="23"/>
      <c r="K17" s="23"/>
      <c r="L17" s="43"/>
      <c r="M17" s="43"/>
      <c r="N17" s="43"/>
      <c r="O17" s="135"/>
      <c r="P17" s="136"/>
      <c r="Q17" s="51"/>
    </row>
    <row r="18" spans="1:17" ht="32.25" customHeight="1" thickBot="1" x14ac:dyDescent="0.25">
      <c r="A18" s="131" t="s">
        <v>93</v>
      </c>
      <c r="B18" s="131"/>
      <c r="C18" s="131"/>
      <c r="D18" s="131"/>
      <c r="E18" s="131"/>
      <c r="F18" s="131"/>
      <c r="G18" s="131"/>
      <c r="H18" s="131"/>
      <c r="I18" s="131"/>
      <c r="J18" s="131"/>
      <c r="K18" s="131"/>
      <c r="L18" s="131"/>
      <c r="M18" s="131"/>
      <c r="N18" s="131"/>
      <c r="O18" s="131"/>
      <c r="P18" s="131"/>
      <c r="Q18" s="42">
        <f>SUM(Q15:Q17)</f>
        <v>1180797</v>
      </c>
    </row>
    <row r="19" spans="1:17" ht="18" customHeight="1" thickBot="1" x14ac:dyDescent="0.25">
      <c r="A19" s="132"/>
      <c r="B19" s="132"/>
      <c r="C19" s="132"/>
      <c r="D19" s="132"/>
      <c r="E19" s="132"/>
      <c r="F19" s="132"/>
      <c r="G19" s="132"/>
      <c r="H19" s="132"/>
      <c r="I19" s="132"/>
      <c r="J19" s="132"/>
      <c r="K19" s="132"/>
      <c r="L19" s="132"/>
      <c r="M19" s="132"/>
      <c r="N19" s="132"/>
      <c r="O19" s="132"/>
      <c r="P19" s="132"/>
      <c r="Q19" s="132"/>
    </row>
    <row r="20" spans="1:17" ht="17.25" customHeight="1" thickBot="1" x14ac:dyDescent="0.25">
      <c r="A20" s="137" t="s">
        <v>55</v>
      </c>
      <c r="B20" s="138"/>
      <c r="C20" s="138"/>
      <c r="D20" s="138"/>
      <c r="E20" s="138"/>
      <c r="F20" s="139"/>
      <c r="G20" s="140"/>
      <c r="H20" s="140"/>
      <c r="I20" s="140"/>
      <c r="J20" s="140"/>
      <c r="K20" s="140"/>
      <c r="L20" s="140"/>
      <c r="M20" s="140"/>
      <c r="N20" s="140"/>
      <c r="O20" s="140"/>
      <c r="P20" s="140"/>
      <c r="Q20" s="140"/>
    </row>
    <row r="21" spans="1:17" ht="18" customHeight="1" thickBot="1" x14ac:dyDescent="0.25">
      <c r="A21" s="129" t="s">
        <v>96</v>
      </c>
      <c r="B21" s="130"/>
      <c r="C21" s="130"/>
      <c r="D21" s="130"/>
      <c r="E21" s="130"/>
      <c r="F21" s="130"/>
      <c r="G21" s="130"/>
      <c r="H21" s="130"/>
      <c r="I21" s="130"/>
      <c r="J21" s="130"/>
      <c r="K21" s="130"/>
      <c r="L21" s="130"/>
      <c r="M21" s="130"/>
      <c r="N21" s="130"/>
      <c r="O21" s="130"/>
      <c r="P21" s="130"/>
      <c r="Q21" s="130"/>
    </row>
    <row r="22" spans="1:17" ht="21.75" customHeight="1" x14ac:dyDescent="0.2">
      <c r="A22" s="130"/>
      <c r="B22" s="130"/>
      <c r="C22" s="130"/>
      <c r="D22" s="130"/>
      <c r="E22" s="130"/>
      <c r="F22" s="130"/>
      <c r="G22" s="130"/>
      <c r="H22" s="130"/>
      <c r="I22" s="130"/>
      <c r="J22" s="130"/>
      <c r="K22" s="130"/>
      <c r="L22" s="130"/>
      <c r="M22" s="130"/>
      <c r="N22" s="130"/>
      <c r="O22" s="130"/>
      <c r="P22" s="130"/>
      <c r="Q22" s="130"/>
    </row>
    <row r="25" spans="1:17" x14ac:dyDescent="0.2">
      <c r="A25" s="40"/>
    </row>
  </sheetData>
  <mergeCells count="26">
    <mergeCell ref="A21:Q22"/>
    <mergeCell ref="A18:P18"/>
    <mergeCell ref="A19:Q19"/>
    <mergeCell ref="O15:P15"/>
    <mergeCell ref="O16:P16"/>
    <mergeCell ref="O17:P17"/>
    <mergeCell ref="A20:F20"/>
    <mergeCell ref="G20:Q20"/>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 (2)</vt:lpstr>
      <vt:lpstr> NotaPedido</vt:lpstr>
      <vt:lpstr>Autor Gastar</vt:lpstr>
      <vt:lpstr>' NotaPedido'!Área_de_impresión</vt:lpstr>
      <vt:lpstr>'Autor Gastar'!Área_de_impresión</vt:lpstr>
      <vt:lpstr>'Necesidades Trimestrales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2021-12-01T13:34:57Z</cp:lastPrinted>
  <dcterms:created xsi:type="dcterms:W3CDTF">2020-07-17T23:44:49Z</dcterms:created>
  <dcterms:modified xsi:type="dcterms:W3CDTF">2021-12-13T15:00:34Z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