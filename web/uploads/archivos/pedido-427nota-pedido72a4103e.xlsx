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ACCC49B8-67DC-4EEC-8B0F-90E4C87D354E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Trimestrales'!$E$2:$E$96</definedName>
    <definedName name="_xlnm.Print_Area" localSheetId="1">' NotaPedido'!$A$1:$K$43</definedName>
    <definedName name="_xlnm.Print_Area" localSheetId="2">'Autor Gastar'!$A$1:$Q$42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3" l="1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10" i="3"/>
  <c r="I42" i="3" l="1"/>
  <c r="I43" i="3" s="1"/>
  <c r="Q38" i="2" l="1"/>
</calcChain>
</file>

<file path=xl/sharedStrings.xml><?xml version="1.0" encoding="utf-8"?>
<sst xmlns="http://schemas.openxmlformats.org/spreadsheetml/2006/main" count="277" uniqueCount="146">
  <si>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</si>
  <si>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</si>
  <si>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</si>
  <si>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</si>
  <si>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</si>
  <si>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</si>
  <si>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</si>
  <si>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</si>
  <si>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</si>
  <si>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</si>
  <si>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</si>
  <si>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</si>
  <si>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</si>
  <si>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</si>
  <si>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</si>
  <si>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</si>
  <si>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</si>
  <si>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</si>
  <si>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</si>
  <si>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</si>
  <si>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</si>
  <si>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</si>
  <si>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</si>
  <si>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</si>
  <si>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</si>
  <si>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</si>
  <si>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</si>
  <si>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</si>
  <si>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</si>
  <si>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</si>
  <si>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</si>
  <si>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</si>
  <si>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</si>
  <si>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</si>
  <si>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</si>
  <si>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</si>
  <si>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</si>
  <si>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Pedido de Necesidades Trimestrales</t>
  </si>
  <si>
    <t>JURISDICCION:</t>
  </si>
  <si>
    <t>40 - MINISTERIO DE SALUD</t>
  </si>
  <si>
    <t xml:space="preserve">SAF N°: </t>
  </si>
  <si>
    <t>TRIMESTRE:</t>
  </si>
  <si>
    <t>4to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</si>
  <si>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</si>
  <si>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</si>
  <si>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</si>
  <si>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</si>
  <si>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</si>
  <si>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</si>
  <si>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</si>
  <si>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</si>
  <si>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</si>
  <si>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TOTAL DEL RUBRO</t>
  </si>
  <si>
    <t>TOTAL</t>
  </si>
  <si>
    <t>Descripción técnica</t>
  </si>
  <si>
    <t>Plazos y lugares de entrega</t>
  </si>
  <si>
    <t>Calidad Minima esperada</t>
  </si>
  <si>
    <t>Mantenimiento</t>
  </si>
  <si>
    <t>Garantia</t>
  </si>
  <si>
    <t>040 - Ministerio de Salud</t>
  </si>
  <si>
    <t>011 - Direccion Provincial de Administración - Ministerio de Salud</t>
  </si>
  <si>
    <t xml:space="preserve">Creatinina cinetica AA liquida tipo Wiener </t>
  </si>
  <si>
    <t>Diluyente Counter W19 tipo Wiener 20 l</t>
  </si>
  <si>
    <t>EZ counter w19 tipo Mindray</t>
  </si>
  <si>
    <t>Fecuntet directo tipo Wiener por 50 det.</t>
  </si>
  <si>
    <t>Fecuntest Strip por 25 det</t>
  </si>
  <si>
    <t>Formol 40%</t>
  </si>
  <si>
    <t>Fosfatasa Alcalina Optimizada</t>
  </si>
  <si>
    <t>Gas calibracioin tubo tipo Optimedical</t>
  </si>
  <si>
    <t>Colesterol Enzimatico AA liquido 2 x500 ml tipo Wiener</t>
  </si>
  <si>
    <t>GOT (AST) UV AA 10x 20 ml tipo wiener</t>
  </si>
  <si>
    <t>GPT (ALT) UV AA 10x 20 ml tipo wiener</t>
  </si>
  <si>
    <t xml:space="preserve">HBAgS ELISA </t>
  </si>
  <si>
    <t>Indol reactivo (según Erlich)</t>
  </si>
  <si>
    <t>Lisante Counter WL19</t>
  </si>
  <si>
    <t>Lisante Mindray</t>
  </si>
  <si>
    <t>Medio de transporte Stuart - Hisopos x100 unidades</t>
  </si>
  <si>
    <t>Pack Diestro</t>
  </si>
  <si>
    <t>PCR latex directo x 50 det.</t>
  </si>
  <si>
    <t>Probe Cleanser Counter W19 x 20 ml</t>
  </si>
  <si>
    <t>Urea Color 2R</t>
  </si>
  <si>
    <t>Control de Hematologia Tipo Mindray 3 niveles</t>
  </si>
  <si>
    <t>Casett Ecloro para determinacion de gases en sangre tipo Optimedical</t>
  </si>
  <si>
    <t>ALP 405 AA LL 100 ML TIPO WIENER</t>
  </si>
  <si>
    <t>AMILOKIT 25-40 DET TIPO WIENER</t>
  </si>
  <si>
    <t>COMPUESTOS QUIMICOS</t>
  </si>
  <si>
    <t>ARTRITEST DIRECTO 50 DET TIPO WIENER</t>
  </si>
  <si>
    <t>BILIRRUBINA DIRECTA AA LL 240 ML TIPO WIENER</t>
  </si>
  <si>
    <t>COLESTAT ENZIMATICO AA LL 400 ML (4X100 ML) TIPO WIENER</t>
  </si>
  <si>
    <t>WL 19 CONTROL AA 3 NIVELES 3X3 ML (BAJO-NORMAL-ALTO) TIPO WIENER</t>
  </si>
  <si>
    <t>CONTROL DE HEMATOLOGIA 3 NIVELES TIPO MINDRAY</t>
  </si>
  <si>
    <t>CREATININA CINETICA AA LL 250 ML TIPO WIENER</t>
  </si>
  <si>
    <t>WL 19 DILUYENTE COUNTER  AA 20 LITROS TIPO WIENER</t>
  </si>
  <si>
    <t>DILUYENTE 20 LITROS TIPO MINDRAY</t>
  </si>
  <si>
    <t>EZ COUNTER  WL 19 TIPO MINDRAY</t>
  </si>
  <si>
    <t>FECUNTEST DIRECTO 50 DET TIPO WIENER</t>
  </si>
  <si>
    <t>FECUNTEST STRIPS 25 DET TIPO WIENER</t>
  </si>
  <si>
    <t>FORMOL 40 % 1 LITRO TIPO  CICARELLI</t>
  </si>
  <si>
    <t>FOSFATASA ALCALINA OPTIMIZADA 200 DET TIPO WIENER</t>
  </si>
  <si>
    <t>GAS CALIBRACION TUBO TIPO OPTI-MEDICAL</t>
  </si>
  <si>
    <t>CASSETTE E-CLORO PARA DETERMINACION DE GASES EN SANGRE TIPO OPTI-MEDICAL</t>
  </si>
  <si>
    <t>COLESTEROL ENZIMATICO AA LL 1000 ML (2X500 ML) TIPO WIENER</t>
  </si>
  <si>
    <t>GOT (AST) UV AA 200 ML (10X20 ML) TIPO WIENER</t>
  </si>
  <si>
    <t>GPT (ALT) UV AA 200 ML (10X20 ML) TIPO WIENER</t>
  </si>
  <si>
    <t>HBSAG HEPATITIS B ELISA 96 DET TIPO WIENER</t>
  </si>
  <si>
    <t xml:space="preserve">INDOL REACTIVO (SEGÚN ERLICH) </t>
  </si>
  <si>
    <t>WL 19 LISANTE COUNTER AA 500 ML TIPO WIENER</t>
  </si>
  <si>
    <t>PACK DE DIESTRO 103 AUTOMATICO TIPO DIESTRO</t>
  </si>
  <si>
    <t>PCR LATEX DIRECTO 50 DET TIPO WIENER</t>
  </si>
  <si>
    <t>WL 19 PROBE CLEANSER AA 20 ML TIPO WIENER</t>
  </si>
  <si>
    <t>UREA COLOR 2R 500 DET TIPO WIENER</t>
  </si>
  <si>
    <t>UNIDAD</t>
  </si>
  <si>
    <t>MEDIO DE TRANSPORTE STUART - HISOPOS X 100 UNIDADES TIPO DELTALAB</t>
  </si>
  <si>
    <t>CAJA</t>
  </si>
  <si>
    <t>WL 19 LISANTE TIPO MINDRAY</t>
  </si>
  <si>
    <t>EJERCICIO: 2020</t>
  </si>
  <si>
    <t>BOLSA</t>
  </si>
  <si>
    <t>PACK</t>
  </si>
  <si>
    <t>Diluyente Mindray 20 litros</t>
  </si>
  <si>
    <t>CROMAGAR STREP B x 20 PLACAS TIPO BIOMERIEUX</t>
  </si>
  <si>
    <t>CROMAGAR STREP B X 20 PLACAS TIPO BIOMERIEUX</t>
  </si>
  <si>
    <t>Plazo de entrega 10 dias habiles, contados a partir del dia habil inmediato siguiente al de la notificacion correspondiente.</t>
  </si>
  <si>
    <t>DIRECCION PROVINCIAL DE LABORATORIO</t>
  </si>
  <si>
    <t>Contacto de referencia: DRA. CAMPI C. VERONICA - Tel: 3834902984</t>
  </si>
  <si>
    <t>De la oferta 30 dias, contados a partir de la apertura.</t>
  </si>
  <si>
    <t>Direccion Provincial de Laboratorio</t>
  </si>
  <si>
    <t>3 meses</t>
  </si>
  <si>
    <t xml:space="preserve">Adquisiscion de Reactivos </t>
  </si>
  <si>
    <t>040-MINISTERIO DE SALUD</t>
  </si>
  <si>
    <t>011-DIRECCION PROVINCIAL DE ADMINISTRACION-M.S.</t>
  </si>
  <si>
    <t>42/2020</t>
  </si>
  <si>
    <t>Autorizo la realización de los  trámites correspondientes, a fin de (proveer a  este Organismo los bienes, servicios o ejecución de obras públicas que se detallan en Nota  de Pedido N°042-2020 , / otorgar la transferencia de fondos autorizada por Acto Administrativo Nº ....) afectando la erogación resultante a los créditos presupuestarios aprobados a favor de esta Unidad Ejecutora, conforme al siguiente detalle:</t>
  </si>
  <si>
    <t>1.1</t>
  </si>
  <si>
    <t>ALCOHOL ETILICO AL 70% 10 LITROS TIPO BIOPACK</t>
  </si>
  <si>
    <t>Alcohol elilico 70%  botella por 10 Ls  tipo Biopack</t>
  </si>
  <si>
    <r>
      <t xml:space="preserve">Costo total estimado: </t>
    </r>
    <r>
      <rPr>
        <b/>
        <sz val="12"/>
        <rFont val="Times New Roman"/>
        <family val="1"/>
      </rPr>
      <t>TRES MILLONES DOSCIENTOS TREINTA Y NUEVE MIL QUINIENTOS SESENTA Y UNO CON 00/100.-</t>
    </r>
  </si>
  <si>
    <t>TOTAL DE PESOS: TRES MILLONES DOSCIENTOS TREINTA Y NUEVE MIL QUINIENTOS SESENTA Y UNO CON 00/100.-</t>
  </si>
  <si>
    <t>JUSTIFICACIÓN: ADQUISICIÓN DE REACTIVOS DESTINADOS  A LA DISTRIBUCIÓN DE LAS ÁREAS PROGRAMÁTICAS Y AL LABORATORIO CENTRAL DEL MINISTERIO.-</t>
  </si>
  <si>
    <t>(PROD.MED./FARMAC./LAB)</t>
  </si>
  <si>
    <t>NO</t>
  </si>
  <si>
    <t>DIRECCION PROVINCIAL DE LABORATORIO M.S.</t>
  </si>
  <si>
    <t>Chacabuco N° 169, LOCALES DEL 1 AL 6 S.F.V.C. DE LUNES A VIERNES DE 06 A 12 HORAS.</t>
  </si>
  <si>
    <t>Especificidades Items</t>
  </si>
  <si>
    <t>N° 1 al N° 4 vencimiento NO inferior a un (1) año.</t>
  </si>
  <si>
    <t>N° 5 vencimiento NO inferior a dos (2) meses.</t>
  </si>
  <si>
    <t>N° 6 al N° 31 vencimiento NO inferior a un (1)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</si>
</sst>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_-[$$-2C0A]\ * #,##0.00_-;\-[$$-2C0A]\ * #,##0.00_-;_-[$$-2C0A]\ * &quot;-&quot;??_-;_-@_-"/>
    <numFmt numFmtId="169" formatCode="_-* #,##0.00&quot; €&quot;_-;\-* #,##0.00&quot; €&quot;_-;_-* \-??&quot; €&quot;_-;_-@_-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sz val="9"/>
      <name val="Times New Roman"/>
      <family val="1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10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169" fontId="23" fillId="0" borderId="0" applyBorder="0" applyProtection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</cellStyleXfs>
  <cellXfs count="205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13" fillId="0" borderId="21" xfId="0" applyNumberFormat="1" applyFont="1" applyBorder="1" applyAlignment="1"/>
    <xf numFmtId="166" fontId="0" fillId="0" borderId="21" xfId="0" applyNumberFormat="1" applyBorder="1" applyAlignment="1">
      <alignment horizontal="left"/>
    </xf>
    <xf numFmtId="0" fontId="0" fillId="0" borderId="21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7" xfId="0" applyBorder="1"/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7" fontId="0" fillId="0" borderId="37" xfId="2" applyNumberFormat="1" applyFont="1" applyBorder="1" applyAlignment="1" applyProtection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7" fontId="0" fillId="0" borderId="42" xfId="2" applyNumberFormat="1" applyFont="1" applyBorder="1" applyAlignment="1" applyProtection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7" fontId="0" fillId="0" borderId="46" xfId="2" applyNumberFormat="1" applyFont="1" applyBorder="1" applyAlignment="1" applyProtection="1">
      <alignment horizontal="center" vertical="center"/>
    </xf>
    <xf numFmtId="167" fontId="17" fillId="0" borderId="48" xfId="0" applyNumberFormat="1" applyFont="1" applyBorder="1" applyAlignment="1">
      <alignment horizontal="center" vertical="center"/>
    </xf>
    <xf numFmtId="0" fontId="18" fillId="0" borderId="0" xfId="0" applyFont="1"/>
    <xf numFmtId="168" fontId="18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168" fontId="23" fillId="0" borderId="0" xfId="4" applyNumberFormat="1" applyAlignment="1">
      <alignment horizontal="right" vertical="center"/>
    </xf>
    <xf numFmtId="0" fontId="21" fillId="0" borderId="0" xfId="0" applyFont="1" applyFill="1" applyAlignment="1">
      <alignment horizontal="left" vertical="center" wrapText="1"/>
    </xf>
    <xf numFmtId="0" fontId="24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8" fillId="0" borderId="0" xfId="0" applyFont="1" applyFill="1"/>
    <xf numFmtId="0" fontId="31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168" fontId="33" fillId="0" borderId="52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/>
    </xf>
    <xf numFmtId="0" fontId="18" fillId="0" borderId="21" xfId="0" applyFont="1" applyBorder="1" applyAlignment="1">
      <alignment horizontal="center"/>
    </xf>
    <xf numFmtId="0" fontId="18" fillId="0" borderId="53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center"/>
    </xf>
    <xf numFmtId="0" fontId="18" fillId="0" borderId="7" xfId="0" applyFont="1" applyBorder="1" applyAlignment="1">
      <alignment horizontal="left" vertical="center"/>
    </xf>
    <xf numFmtId="0" fontId="34" fillId="0" borderId="13" xfId="0" applyFont="1" applyBorder="1" applyAlignment="1">
      <alignment horizontal="left" vertical="center" wrapText="1"/>
    </xf>
    <xf numFmtId="3" fontId="11" fillId="0" borderId="0" xfId="5" applyNumberFormat="1" applyFont="1" applyBorder="1" applyAlignment="1">
      <alignment horizontal="center" vertical="center"/>
    </xf>
    <xf numFmtId="169" fontId="11" fillId="0" borderId="0" xfId="4" applyFont="1" applyBorder="1" applyAlignment="1">
      <alignment horizontal="center" vertical="center" wrapText="1"/>
    </xf>
    <xf numFmtId="169" fontId="23" fillId="0" borderId="0" xfId="4" applyFont="1" applyBorder="1" applyAlignment="1">
      <alignment horizontal="center" vertical="center"/>
    </xf>
    <xf numFmtId="0" fontId="18" fillId="0" borderId="0" xfId="0" applyFont="1" applyFill="1" applyAlignment="1">
      <alignment wrapText="1"/>
    </xf>
    <xf numFmtId="0" fontId="31" fillId="0" borderId="54" xfId="0" applyFont="1" applyBorder="1" applyAlignment="1">
      <alignment horizontal="left" vertical="center" wrapText="1"/>
    </xf>
    <xf numFmtId="0" fontId="28" fillId="0" borderId="50" xfId="5" applyFont="1" applyFill="1" applyBorder="1" applyAlignment="1">
      <alignment horizontal="left" vertical="center" wrapText="1"/>
    </xf>
    <xf numFmtId="0" fontId="28" fillId="0" borderId="50" xfId="5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/>
    </xf>
    <xf numFmtId="0" fontId="26" fillId="0" borderId="50" xfId="0" applyFont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 wrapText="1"/>
    </xf>
    <xf numFmtId="0" fontId="28" fillId="0" borderId="49" xfId="0" applyFont="1" applyFill="1" applyBorder="1" applyAlignment="1">
      <alignment horizontal="left" vertical="center" wrapText="1"/>
    </xf>
    <xf numFmtId="0" fontId="29" fillId="0" borderId="50" xfId="0" applyFont="1" applyFill="1" applyBorder="1" applyAlignment="1">
      <alignment horizontal="left" vertical="center" wrapText="1"/>
    </xf>
    <xf numFmtId="168" fontId="27" fillId="0" borderId="59" xfId="4" applyNumberFormat="1" applyFont="1" applyBorder="1" applyAlignment="1">
      <alignment horizontal="center" vertical="center" wrapText="1"/>
    </xf>
    <xf numFmtId="0" fontId="11" fillId="0" borderId="59" xfId="6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9" fillId="0" borderId="58" xfId="0" applyFont="1" applyFill="1" applyBorder="1" applyAlignment="1">
      <alignment vertical="center" wrapText="1"/>
    </xf>
    <xf numFmtId="0" fontId="26" fillId="0" borderId="51" xfId="0" applyFont="1" applyBorder="1" applyAlignment="1">
      <alignment horizontal="center" vertical="center"/>
    </xf>
    <xf numFmtId="0" fontId="28" fillId="0" borderId="51" xfId="5" applyFont="1" applyFill="1" applyBorder="1" applyAlignment="1">
      <alignment horizontal="center" vertical="center" wrapText="1"/>
    </xf>
    <xf numFmtId="168" fontId="26" fillId="0" borderId="9" xfId="0" applyNumberFormat="1" applyFont="1" applyBorder="1" applyAlignment="1">
      <alignment horizontal="center" vertical="center" wrapText="1"/>
    </xf>
    <xf numFmtId="168" fontId="30" fillId="0" borderId="9" xfId="0" applyNumberFormat="1" applyFont="1" applyBorder="1" applyAlignment="1">
      <alignment wrapText="1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left" vertical="center"/>
    </xf>
    <xf numFmtId="0" fontId="11" fillId="0" borderId="61" xfId="0" applyFont="1" applyBorder="1" applyAlignment="1">
      <alignment horizontal="center" vertical="center"/>
    </xf>
    <xf numFmtId="3" fontId="11" fillId="0" borderId="61" xfId="0" applyNumberFormat="1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3" fontId="11" fillId="3" borderId="61" xfId="0" applyNumberFormat="1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/>
    </xf>
    <xf numFmtId="0" fontId="26" fillId="0" borderId="58" xfId="0" applyFont="1" applyBorder="1" applyAlignment="1">
      <alignment vertical="center" wrapText="1"/>
    </xf>
    <xf numFmtId="3" fontId="27" fillId="0" borderId="66" xfId="0" applyNumberFormat="1" applyFont="1" applyBorder="1" applyAlignment="1">
      <alignment horizontal="center" vertical="center" wrapText="1"/>
    </xf>
    <xf numFmtId="3" fontId="27" fillId="0" borderId="67" xfId="0" applyNumberFormat="1" applyFont="1" applyBorder="1" applyAlignment="1">
      <alignment horizontal="center" vertical="center" wrapText="1"/>
    </xf>
    <xf numFmtId="3" fontId="27" fillId="0" borderId="50" xfId="0" applyNumberFormat="1" applyFont="1" applyBorder="1" applyAlignment="1">
      <alignment horizontal="center" vertical="center" wrapText="1"/>
    </xf>
    <xf numFmtId="3" fontId="27" fillId="3" borderId="50" xfId="0" applyNumberFormat="1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center" vertical="center"/>
    </xf>
    <xf numFmtId="0" fontId="26" fillId="3" borderId="50" xfId="0" applyFont="1" applyFill="1" applyBorder="1" applyAlignment="1">
      <alignment horizontal="left" vertical="center"/>
    </xf>
    <xf numFmtId="0" fontId="26" fillId="3" borderId="58" xfId="0" applyFont="1" applyFill="1" applyBorder="1" applyAlignment="1">
      <alignment horizontal="left" vertical="center"/>
    </xf>
    <xf numFmtId="0" fontId="26" fillId="3" borderId="50" xfId="0" applyFont="1" applyFill="1" applyBorder="1" applyAlignment="1">
      <alignment horizontal="center" vertical="center" wrapText="1"/>
    </xf>
    <xf numFmtId="168" fontId="27" fillId="3" borderId="59" xfId="4" applyNumberFormat="1" applyFont="1" applyFill="1" applyBorder="1" applyAlignment="1">
      <alignment horizontal="center" vertical="center" wrapText="1"/>
    </xf>
    <xf numFmtId="168" fontId="26" fillId="3" borderId="9" xfId="0" applyNumberFormat="1" applyFont="1" applyFill="1" applyBorder="1" applyAlignment="1">
      <alignment horizontal="center" vertical="center" wrapText="1"/>
    </xf>
    <xf numFmtId="0" fontId="18" fillId="3" borderId="0" xfId="0" applyFont="1" applyFill="1"/>
    <xf numFmtId="0" fontId="35" fillId="0" borderId="50" xfId="0" applyFont="1" applyBorder="1" applyAlignment="1">
      <alignment horizontal="center" vertical="center" wrapText="1"/>
    </xf>
    <xf numFmtId="0" fontId="35" fillId="3" borderId="50" xfId="0" applyFont="1" applyFill="1" applyBorder="1" applyAlignment="1">
      <alignment horizontal="center" vertical="center" wrapText="1"/>
    </xf>
    <xf numFmtId="3" fontId="11" fillId="0" borderId="65" xfId="0" applyNumberFormat="1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/>
    </xf>
    <xf numFmtId="3" fontId="27" fillId="3" borderId="66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/>
    </xf>
    <xf numFmtId="0" fontId="18" fillId="0" borderId="55" xfId="0" applyFont="1" applyFill="1" applyBorder="1" applyAlignment="1">
      <alignment horizontal="center"/>
    </xf>
    <xf numFmtId="0" fontId="18" fillId="0" borderId="56" xfId="0" applyFont="1" applyFill="1" applyBorder="1" applyAlignment="1">
      <alignment horizontal="center"/>
    </xf>
    <xf numFmtId="0" fontId="18" fillId="0" borderId="0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7" xfId="0" applyFont="1" applyFill="1" applyBorder="1" applyAlignment="1">
      <alignment horizont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7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24" fillId="0" borderId="19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right" vertical="center"/>
    </xf>
    <xf numFmtId="0" fontId="20" fillId="0" borderId="0" xfId="0" applyFont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21" fillId="0" borderId="0" xfId="0" applyFont="1" applyFill="1" applyBorder="1" applyAlignment="1">
      <alignment horizontal="center" wrapText="1"/>
    </xf>
    <xf numFmtId="0" fontId="26" fillId="0" borderId="5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32" fillId="0" borderId="5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8" fillId="0" borderId="62" xfId="0" applyFont="1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12" fillId="0" borderId="18" xfId="0" applyFont="1" applyBorder="1" applyAlignment="1">
      <alignment horizontal="left" vertical="center" wrapText="1" indent="1"/>
    </xf>
    <xf numFmtId="165" fontId="8" fillId="0" borderId="18" xfId="0" applyNumberFormat="1" applyFont="1" applyBorder="1" applyAlignment="1">
      <alignment horizontal="center" vertical="center"/>
    </xf>
    <xf numFmtId="0" fontId="8" fillId="3" borderId="62" xfId="0" applyFont="1" applyFill="1" applyBorder="1" applyAlignment="1">
      <alignment vertical="center" wrapText="1"/>
    </xf>
    <xf numFmtId="0" fontId="0" fillId="3" borderId="63" xfId="0" applyFill="1" applyBorder="1" applyAlignment="1">
      <alignment vertical="center" wrapText="1"/>
    </xf>
    <xf numFmtId="0" fontId="0" fillId="3" borderId="64" xfId="0" applyFill="1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69" xfId="0" applyFont="1" applyBorder="1" applyAlignment="1">
      <alignment vertical="center" wrapText="1"/>
    </xf>
    <xf numFmtId="0" fontId="0" fillId="0" borderId="70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8" fillId="0" borderId="63" xfId="0" applyFont="1" applyBorder="1" applyAlignment="1">
      <alignment vertical="center" wrapText="1"/>
    </xf>
    <xf numFmtId="0" fontId="8" fillId="0" borderId="64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13" fillId="0" borderId="54" xfId="0" applyFont="1" applyBorder="1" applyAlignment="1">
      <alignment vertical="top" wrapText="1"/>
    </xf>
    <xf numFmtId="0" fontId="13" fillId="0" borderId="55" xfId="0" applyFont="1" applyBorder="1" applyAlignment="1">
      <alignment vertical="top" wrapText="1"/>
    </xf>
    <xf numFmtId="0" fontId="13" fillId="0" borderId="56" xfId="0" applyFont="1" applyBorder="1" applyAlignment="1">
      <alignment vertical="top" wrapText="1"/>
    </xf>
    <xf numFmtId="0" fontId="0" fillId="0" borderId="41" xfId="0" applyFont="1" applyBorder="1" applyAlignment="1">
      <alignment horizontal="center" vertical="center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0" fillId="0" borderId="25" xfId="0" applyBorder="1"/>
    <xf numFmtId="0" fontId="0" fillId="0" borderId="36" xfId="0" applyFont="1" applyBorder="1" applyAlignment="1">
      <alignment horizontal="center" wrapText="1"/>
    </xf>
    <xf numFmtId="0" fontId="0" fillId="0" borderId="73" xfId="0" applyFont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49" fontId="15" fillId="0" borderId="26" xfId="0" applyNumberFormat="1" applyFont="1" applyBorder="1" applyAlignment="1">
      <alignment horizontal="justify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indent="1"/>
    </xf>
    <xf numFmtId="0" fontId="0" fillId="0" borderId="19" xfId="0" applyFont="1" applyBorder="1" applyAlignment="1">
      <alignment horizontal="center"/>
    </xf>
    <xf numFmtId="3" fontId="13" fillId="0" borderId="20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3" fillId="0" borderId="22" xfId="0" applyFont="1" applyBorder="1"/>
  </cellXfs>
  <cellStyles count="10">
    <cellStyle name="Encabezado 1" xfId="1" xr:uid="{00000000-0005-0000-0000-000000000000}"/>
    <cellStyle name="Moneda 2" xfId="4" xr:uid="{00000000-0005-0000-0000-000001000000}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 3 2" xfId="8" xr:uid="{00000000-0005-0000-0000-000007000000}"/>
    <cellStyle name="Normal 4" xfId="9" xr:uid="{00000000-0005-0000-0000-000008000000}"/>
    <cellStyle name="Normal 5" xfId="6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3"/>
  <sheetViews>
    <sheetView tabSelected="1" zoomScaleNormal="100" workbookViewId="0">
      <selection activeCell="G58" sqref="G58"/>
    </sheetView>
  </sheetViews>
  <sheetFormatPr baseColWidth="10" defaultColWidth="11" defaultRowHeight="12.75" x14ac:dyDescent="0.2"/>
  <cols>
    <col min="1" max="1" width="8.42578125" style="52" customWidth="1"/>
    <col min="2" max="2" width="16.5703125" style="63" bestFit="1" customWidth="1"/>
    <col min="3" max="3" width="32.42578125" style="64" customWidth="1"/>
    <col min="4" max="4" width="8.42578125" style="65" customWidth="1"/>
    <col min="5" max="5" width="79.85546875" style="64" customWidth="1"/>
    <col min="6" max="6" width="11" style="65"/>
    <col min="7" max="7" width="13.42578125" style="67" customWidth="1"/>
    <col min="8" max="8" width="16.42578125" style="56" customWidth="1"/>
    <col min="9" max="9" width="23.5703125" style="53" customWidth="1"/>
    <col min="10" max="10" width="11" style="52"/>
    <col min="11" max="11" width="14.7109375" style="52" customWidth="1"/>
    <col min="12" max="12" width="13.7109375" style="52" customWidth="1"/>
    <col min="13" max="16384" width="11" style="52"/>
  </cols>
  <sheetData>
    <row r="2" spans="1:9" ht="27" x14ac:dyDescent="0.35">
      <c r="B2" s="142" t="s">
        <v>37</v>
      </c>
      <c r="C2" s="142"/>
      <c r="D2" s="142"/>
      <c r="E2" s="142"/>
      <c r="F2" s="142"/>
      <c r="G2" s="143"/>
      <c r="H2" s="144"/>
    </row>
    <row r="3" spans="1:9" ht="18" customHeight="1" x14ac:dyDescent="0.25">
      <c r="A3" s="145"/>
      <c r="B3" s="145"/>
      <c r="C3" s="146"/>
      <c r="D3" s="147"/>
      <c r="E3" s="146"/>
      <c r="F3" s="54"/>
      <c r="G3" s="55"/>
    </row>
    <row r="4" spans="1:9" ht="18" customHeight="1" x14ac:dyDescent="0.25">
      <c r="A4" s="145" t="s">
        <v>38</v>
      </c>
      <c r="B4" s="145"/>
      <c r="C4" s="146" t="s">
        <v>39</v>
      </c>
      <c r="D4" s="147"/>
      <c r="E4" s="146"/>
      <c r="F4" s="54"/>
      <c r="G4" s="55"/>
    </row>
    <row r="5" spans="1:9" ht="18" customHeight="1" x14ac:dyDescent="0.25">
      <c r="A5" s="145" t="s">
        <v>40</v>
      </c>
      <c r="B5" s="145"/>
      <c r="C5" s="146" t="s">
        <v>60</v>
      </c>
      <c r="D5" s="147"/>
      <c r="E5" s="146"/>
      <c r="F5" s="54"/>
      <c r="G5" s="55"/>
    </row>
    <row r="6" spans="1:9" ht="16.5" customHeight="1" x14ac:dyDescent="0.2">
      <c r="A6" s="145" t="s">
        <v>15</v>
      </c>
      <c r="B6" s="145"/>
      <c r="C6" s="57">
        <v>2020</v>
      </c>
      <c r="D6" s="58"/>
      <c r="E6" s="59"/>
      <c r="F6" s="54"/>
      <c r="G6" s="55"/>
    </row>
    <row r="7" spans="1:9" ht="15.75" x14ac:dyDescent="0.2">
      <c r="A7" s="145" t="s">
        <v>41</v>
      </c>
      <c r="B7" s="145"/>
      <c r="C7" s="57" t="s">
        <v>42</v>
      </c>
      <c r="D7" s="58"/>
      <c r="E7" s="59"/>
      <c r="F7" s="54"/>
      <c r="G7" s="55"/>
    </row>
    <row r="8" spans="1:9" ht="13.5" thickBot="1" x14ac:dyDescent="0.25">
      <c r="B8" s="60"/>
      <c r="C8" s="61"/>
      <c r="D8" s="54"/>
      <c r="E8" s="61"/>
      <c r="F8" s="54"/>
      <c r="G8" s="55"/>
    </row>
    <row r="9" spans="1:9" ht="51" customHeight="1" thickBot="1" x14ac:dyDescent="0.25">
      <c r="A9" s="84" t="s">
        <v>43</v>
      </c>
      <c r="B9" s="85" t="s">
        <v>44</v>
      </c>
      <c r="C9" s="86" t="s">
        <v>45</v>
      </c>
      <c r="D9" s="94" t="s">
        <v>46</v>
      </c>
      <c r="E9" s="92" t="s">
        <v>47</v>
      </c>
      <c r="F9" s="87" t="s">
        <v>48</v>
      </c>
      <c r="G9" s="86" t="s">
        <v>49</v>
      </c>
      <c r="H9" s="90" t="s">
        <v>50</v>
      </c>
      <c r="I9" s="96" t="s">
        <v>51</v>
      </c>
    </row>
    <row r="10" spans="1:9" ht="51" customHeight="1" thickBot="1" x14ac:dyDescent="0.25">
      <c r="A10" s="84">
        <v>1</v>
      </c>
      <c r="B10" s="85"/>
      <c r="C10" s="86" t="s">
        <v>138</v>
      </c>
      <c r="D10" s="94">
        <v>251</v>
      </c>
      <c r="E10" s="106" t="s">
        <v>83</v>
      </c>
      <c r="F10" s="103" t="s">
        <v>111</v>
      </c>
      <c r="G10" s="108">
        <v>20</v>
      </c>
      <c r="H10" s="90">
        <v>1858</v>
      </c>
      <c r="I10" s="96">
        <f>G10*H10</f>
        <v>37160</v>
      </c>
    </row>
    <row r="11" spans="1:9" ht="51" customHeight="1" thickBot="1" x14ac:dyDescent="0.25">
      <c r="A11" s="84">
        <v>2</v>
      </c>
      <c r="B11" s="85"/>
      <c r="C11" s="86" t="s">
        <v>138</v>
      </c>
      <c r="D11" s="94">
        <v>251</v>
      </c>
      <c r="E11" s="106" t="s">
        <v>84</v>
      </c>
      <c r="F11" s="103" t="s">
        <v>111</v>
      </c>
      <c r="G11" s="109">
        <v>20</v>
      </c>
      <c r="H11" s="90">
        <v>3747</v>
      </c>
      <c r="I11" s="96">
        <f t="shared" ref="I11:I40" si="0">G11*H11</f>
        <v>74940</v>
      </c>
    </row>
    <row r="12" spans="1:9" ht="51" customHeight="1" thickBot="1" x14ac:dyDescent="0.25">
      <c r="A12" s="84">
        <v>3</v>
      </c>
      <c r="B12" s="85"/>
      <c r="C12" s="86" t="s">
        <v>138</v>
      </c>
      <c r="D12" s="94">
        <v>251</v>
      </c>
      <c r="E12" s="106" t="s">
        <v>86</v>
      </c>
      <c r="F12" s="103" t="s">
        <v>111</v>
      </c>
      <c r="G12" s="109">
        <v>10</v>
      </c>
      <c r="H12" s="90">
        <v>1646</v>
      </c>
      <c r="I12" s="96">
        <f t="shared" si="0"/>
        <v>16460</v>
      </c>
    </row>
    <row r="13" spans="1:9" ht="51" customHeight="1" thickBot="1" x14ac:dyDescent="0.25">
      <c r="A13" s="84">
        <v>4</v>
      </c>
      <c r="B13" s="85"/>
      <c r="C13" s="86" t="s">
        <v>138</v>
      </c>
      <c r="D13" s="94">
        <v>251</v>
      </c>
      <c r="E13" s="106" t="s">
        <v>87</v>
      </c>
      <c r="F13" s="103" t="s">
        <v>111</v>
      </c>
      <c r="G13" s="110">
        <v>8</v>
      </c>
      <c r="H13" s="90">
        <v>3694</v>
      </c>
      <c r="I13" s="96">
        <f t="shared" si="0"/>
        <v>29552</v>
      </c>
    </row>
    <row r="14" spans="1:9" s="119" customFormat="1" ht="51" customHeight="1" thickBot="1" x14ac:dyDescent="0.25">
      <c r="A14" s="113">
        <v>5</v>
      </c>
      <c r="B14" s="114"/>
      <c r="C14" s="86" t="s">
        <v>138</v>
      </c>
      <c r="D14" s="94">
        <v>251</v>
      </c>
      <c r="E14" s="115" t="s">
        <v>120</v>
      </c>
      <c r="F14" s="116" t="s">
        <v>111</v>
      </c>
      <c r="G14" s="125">
        <v>6</v>
      </c>
      <c r="H14" s="117">
        <v>4992</v>
      </c>
      <c r="I14" s="118">
        <f t="shared" si="0"/>
        <v>29952</v>
      </c>
    </row>
    <row r="15" spans="1:9" ht="51" customHeight="1" thickBot="1" x14ac:dyDescent="0.25">
      <c r="A15" s="84">
        <v>6</v>
      </c>
      <c r="B15" s="85"/>
      <c r="C15" s="86" t="s">
        <v>138</v>
      </c>
      <c r="D15" s="94">
        <v>251</v>
      </c>
      <c r="E15" s="106" t="s">
        <v>88</v>
      </c>
      <c r="F15" s="103" t="s">
        <v>113</v>
      </c>
      <c r="G15" s="110">
        <v>20</v>
      </c>
      <c r="H15" s="90">
        <v>3477</v>
      </c>
      <c r="I15" s="96">
        <f t="shared" si="0"/>
        <v>69540</v>
      </c>
    </row>
    <row r="16" spans="1:9" ht="51" customHeight="1" thickBot="1" x14ac:dyDescent="0.25">
      <c r="A16" s="84">
        <v>7</v>
      </c>
      <c r="B16" s="85"/>
      <c r="C16" s="86" t="s">
        <v>138</v>
      </c>
      <c r="D16" s="94">
        <v>251</v>
      </c>
      <c r="E16" s="106" t="s">
        <v>89</v>
      </c>
      <c r="F16" s="103" t="s">
        <v>113</v>
      </c>
      <c r="G16" s="110">
        <v>10</v>
      </c>
      <c r="H16" s="90">
        <v>7973</v>
      </c>
      <c r="I16" s="96">
        <f t="shared" si="0"/>
        <v>79730</v>
      </c>
    </row>
    <row r="17" spans="1:9" ht="51" customHeight="1" thickBot="1" x14ac:dyDescent="0.25">
      <c r="A17" s="84">
        <v>8</v>
      </c>
      <c r="B17" s="85"/>
      <c r="C17" s="86" t="s">
        <v>138</v>
      </c>
      <c r="D17" s="94">
        <v>251</v>
      </c>
      <c r="E17" s="106" t="s">
        <v>90</v>
      </c>
      <c r="F17" s="103" t="s">
        <v>111</v>
      </c>
      <c r="G17" s="108">
        <v>10</v>
      </c>
      <c r="H17" s="90">
        <v>11900</v>
      </c>
      <c r="I17" s="96">
        <f t="shared" si="0"/>
        <v>119000</v>
      </c>
    </row>
    <row r="18" spans="1:9" ht="51" customHeight="1" thickBot="1" x14ac:dyDescent="0.25">
      <c r="A18" s="84">
        <v>9</v>
      </c>
      <c r="B18" s="85"/>
      <c r="C18" s="86" t="s">
        <v>138</v>
      </c>
      <c r="D18" s="94">
        <v>251</v>
      </c>
      <c r="E18" s="106" t="s">
        <v>91</v>
      </c>
      <c r="F18" s="103" t="s">
        <v>111</v>
      </c>
      <c r="G18" s="109">
        <v>10</v>
      </c>
      <c r="H18" s="90">
        <v>2768</v>
      </c>
      <c r="I18" s="96">
        <f t="shared" si="0"/>
        <v>27680</v>
      </c>
    </row>
    <row r="19" spans="1:9" ht="51" customHeight="1" thickBot="1" x14ac:dyDescent="0.25">
      <c r="A19" s="84">
        <v>10</v>
      </c>
      <c r="B19" s="85"/>
      <c r="C19" s="86" t="s">
        <v>138</v>
      </c>
      <c r="D19" s="94">
        <v>251</v>
      </c>
      <c r="E19" s="106" t="s">
        <v>92</v>
      </c>
      <c r="F19" s="103" t="s">
        <v>111</v>
      </c>
      <c r="G19" s="110">
        <v>30</v>
      </c>
      <c r="H19" s="90">
        <v>6023</v>
      </c>
      <c r="I19" s="96">
        <f t="shared" si="0"/>
        <v>180690</v>
      </c>
    </row>
    <row r="20" spans="1:9" ht="51" customHeight="1" thickBot="1" x14ac:dyDescent="0.25">
      <c r="A20" s="84">
        <v>11</v>
      </c>
      <c r="B20" s="85"/>
      <c r="C20" s="86" t="s">
        <v>138</v>
      </c>
      <c r="D20" s="94">
        <v>251</v>
      </c>
      <c r="E20" s="106" t="s">
        <v>93</v>
      </c>
      <c r="F20" s="103" t="s">
        <v>111</v>
      </c>
      <c r="G20" s="108">
        <v>30</v>
      </c>
      <c r="H20" s="90">
        <v>5950</v>
      </c>
      <c r="I20" s="96">
        <f t="shared" si="0"/>
        <v>178500</v>
      </c>
    </row>
    <row r="21" spans="1:9" ht="51" customHeight="1" thickBot="1" x14ac:dyDescent="0.25">
      <c r="A21" s="84">
        <v>12</v>
      </c>
      <c r="B21" s="85"/>
      <c r="C21" s="86" t="s">
        <v>138</v>
      </c>
      <c r="D21" s="94">
        <v>251</v>
      </c>
      <c r="E21" s="106" t="s">
        <v>94</v>
      </c>
      <c r="F21" s="103" t="s">
        <v>111</v>
      </c>
      <c r="G21" s="109">
        <v>10</v>
      </c>
      <c r="H21" s="90">
        <v>4457</v>
      </c>
      <c r="I21" s="96">
        <f t="shared" si="0"/>
        <v>44570</v>
      </c>
    </row>
    <row r="22" spans="1:9" ht="51" customHeight="1" thickBot="1" x14ac:dyDescent="0.25">
      <c r="A22" s="84">
        <v>13</v>
      </c>
      <c r="B22" s="85"/>
      <c r="C22" s="86" t="s">
        <v>138</v>
      </c>
      <c r="D22" s="94">
        <v>251</v>
      </c>
      <c r="E22" s="106" t="s">
        <v>95</v>
      </c>
      <c r="F22" s="103" t="s">
        <v>111</v>
      </c>
      <c r="G22" s="109">
        <v>15</v>
      </c>
      <c r="H22" s="90">
        <v>5477</v>
      </c>
      <c r="I22" s="96">
        <f t="shared" si="0"/>
        <v>82155</v>
      </c>
    </row>
    <row r="23" spans="1:9" ht="51" customHeight="1" thickBot="1" x14ac:dyDescent="0.25">
      <c r="A23" s="84">
        <v>14</v>
      </c>
      <c r="B23" s="85"/>
      <c r="C23" s="86" t="s">
        <v>138</v>
      </c>
      <c r="D23" s="94">
        <v>251</v>
      </c>
      <c r="E23" s="106" t="s">
        <v>96</v>
      </c>
      <c r="F23" s="103" t="s">
        <v>111</v>
      </c>
      <c r="G23" s="109">
        <v>100</v>
      </c>
      <c r="H23" s="90">
        <v>1505</v>
      </c>
      <c r="I23" s="96">
        <f t="shared" si="0"/>
        <v>150500</v>
      </c>
    </row>
    <row r="24" spans="1:9" ht="51" customHeight="1" thickBot="1" x14ac:dyDescent="0.25">
      <c r="A24" s="84">
        <v>15</v>
      </c>
      <c r="B24" s="85"/>
      <c r="C24" s="86" t="s">
        <v>138</v>
      </c>
      <c r="D24" s="94">
        <v>251</v>
      </c>
      <c r="E24" s="106" t="s">
        <v>97</v>
      </c>
      <c r="F24" s="103" t="s">
        <v>111</v>
      </c>
      <c r="G24" s="109">
        <v>20</v>
      </c>
      <c r="H24" s="90">
        <v>1378</v>
      </c>
      <c r="I24" s="96">
        <f t="shared" si="0"/>
        <v>27560</v>
      </c>
    </row>
    <row r="25" spans="1:9" ht="51" customHeight="1" thickBot="1" x14ac:dyDescent="0.25">
      <c r="A25" s="84">
        <v>16</v>
      </c>
      <c r="B25" s="85"/>
      <c r="C25" s="86" t="s">
        <v>138</v>
      </c>
      <c r="D25" s="94">
        <v>251</v>
      </c>
      <c r="E25" s="106" t="s">
        <v>98</v>
      </c>
      <c r="F25" s="103" t="s">
        <v>111</v>
      </c>
      <c r="G25" s="110">
        <v>30</v>
      </c>
      <c r="H25" s="90">
        <v>4168</v>
      </c>
      <c r="I25" s="96">
        <f t="shared" si="0"/>
        <v>125040</v>
      </c>
    </row>
    <row r="26" spans="1:9" ht="51" customHeight="1" thickBot="1" x14ac:dyDescent="0.25">
      <c r="A26" s="84">
        <v>17</v>
      </c>
      <c r="B26" s="85"/>
      <c r="C26" s="86" t="s">
        <v>138</v>
      </c>
      <c r="D26" s="94">
        <v>251</v>
      </c>
      <c r="E26" s="106" t="s">
        <v>99</v>
      </c>
      <c r="F26" s="103" t="s">
        <v>111</v>
      </c>
      <c r="G26" s="108">
        <v>5</v>
      </c>
      <c r="H26" s="90">
        <v>23186</v>
      </c>
      <c r="I26" s="96">
        <f t="shared" si="0"/>
        <v>115930</v>
      </c>
    </row>
    <row r="27" spans="1:9" ht="51" customHeight="1" thickBot="1" x14ac:dyDescent="0.25">
      <c r="A27" s="84">
        <v>18</v>
      </c>
      <c r="B27" s="85"/>
      <c r="C27" s="86" t="s">
        <v>138</v>
      </c>
      <c r="D27" s="94">
        <v>251</v>
      </c>
      <c r="E27" s="107" t="s">
        <v>100</v>
      </c>
      <c r="F27" s="103" t="s">
        <v>111</v>
      </c>
      <c r="G27" s="111">
        <v>15</v>
      </c>
      <c r="H27" s="90">
        <v>30197</v>
      </c>
      <c r="I27" s="96">
        <f t="shared" si="0"/>
        <v>452955</v>
      </c>
    </row>
    <row r="28" spans="1:9" ht="51" customHeight="1" thickBot="1" x14ac:dyDescent="0.25">
      <c r="A28" s="84">
        <v>19</v>
      </c>
      <c r="B28" s="85"/>
      <c r="C28" s="86" t="s">
        <v>138</v>
      </c>
      <c r="D28" s="94">
        <v>251</v>
      </c>
      <c r="E28" s="106" t="s">
        <v>101</v>
      </c>
      <c r="F28" s="103" t="s">
        <v>113</v>
      </c>
      <c r="G28" s="110">
        <v>10</v>
      </c>
      <c r="H28" s="90">
        <v>6590</v>
      </c>
      <c r="I28" s="96">
        <f t="shared" si="0"/>
        <v>65900</v>
      </c>
    </row>
    <row r="29" spans="1:9" ht="51" customHeight="1" thickBot="1" x14ac:dyDescent="0.25">
      <c r="A29" s="84">
        <v>20</v>
      </c>
      <c r="B29" s="85"/>
      <c r="C29" s="86" t="s">
        <v>138</v>
      </c>
      <c r="D29" s="94">
        <v>251</v>
      </c>
      <c r="E29" s="106" t="s">
        <v>102</v>
      </c>
      <c r="F29" s="103" t="s">
        <v>113</v>
      </c>
      <c r="G29" s="108">
        <v>20</v>
      </c>
      <c r="H29" s="90">
        <v>5986</v>
      </c>
      <c r="I29" s="96">
        <f t="shared" si="0"/>
        <v>119720</v>
      </c>
    </row>
    <row r="30" spans="1:9" ht="51" customHeight="1" thickBot="1" x14ac:dyDescent="0.25">
      <c r="A30" s="84">
        <v>21</v>
      </c>
      <c r="B30" s="85"/>
      <c r="C30" s="86" t="s">
        <v>138</v>
      </c>
      <c r="D30" s="94">
        <v>251</v>
      </c>
      <c r="E30" s="106" t="s">
        <v>103</v>
      </c>
      <c r="F30" s="103" t="s">
        <v>113</v>
      </c>
      <c r="G30" s="110">
        <v>20</v>
      </c>
      <c r="H30" s="90">
        <v>5986</v>
      </c>
      <c r="I30" s="96">
        <f t="shared" si="0"/>
        <v>119720</v>
      </c>
    </row>
    <row r="31" spans="1:9" ht="51" customHeight="1" thickBot="1" x14ac:dyDescent="0.25">
      <c r="A31" s="84">
        <v>22</v>
      </c>
      <c r="B31" s="85"/>
      <c r="C31" s="86" t="s">
        <v>138</v>
      </c>
      <c r="D31" s="94">
        <v>251</v>
      </c>
      <c r="E31" s="106" t="s">
        <v>104</v>
      </c>
      <c r="F31" s="103" t="s">
        <v>111</v>
      </c>
      <c r="G31" s="110">
        <v>20</v>
      </c>
      <c r="H31" s="90">
        <v>13632</v>
      </c>
      <c r="I31" s="96">
        <f t="shared" si="0"/>
        <v>272640</v>
      </c>
    </row>
    <row r="32" spans="1:9" ht="51" customHeight="1" thickBot="1" x14ac:dyDescent="0.25">
      <c r="A32" s="84">
        <v>23</v>
      </c>
      <c r="B32" s="85"/>
      <c r="C32" s="86" t="s">
        <v>138</v>
      </c>
      <c r="D32" s="94">
        <v>251</v>
      </c>
      <c r="E32" s="106" t="s">
        <v>105</v>
      </c>
      <c r="F32" s="103" t="s">
        <v>111</v>
      </c>
      <c r="G32" s="108">
        <v>3</v>
      </c>
      <c r="H32" s="90">
        <v>5379</v>
      </c>
      <c r="I32" s="96">
        <f t="shared" si="0"/>
        <v>16137</v>
      </c>
    </row>
    <row r="33" spans="1:9" s="119" customFormat="1" ht="51" customHeight="1" thickBot="1" x14ac:dyDescent="0.25">
      <c r="A33" s="113">
        <v>24</v>
      </c>
      <c r="B33" s="114"/>
      <c r="C33" s="86" t="s">
        <v>138</v>
      </c>
      <c r="D33" s="94">
        <v>251</v>
      </c>
      <c r="E33" s="115" t="s">
        <v>106</v>
      </c>
      <c r="F33" s="116" t="s">
        <v>111</v>
      </c>
      <c r="G33" s="111">
        <v>20</v>
      </c>
      <c r="H33" s="117">
        <v>5035</v>
      </c>
      <c r="I33" s="96">
        <f t="shared" si="0"/>
        <v>100700</v>
      </c>
    </row>
    <row r="34" spans="1:9" ht="51" customHeight="1" thickBot="1" x14ac:dyDescent="0.25">
      <c r="A34" s="84">
        <v>25</v>
      </c>
      <c r="B34" s="85"/>
      <c r="C34" s="86" t="s">
        <v>138</v>
      </c>
      <c r="D34" s="94">
        <v>251</v>
      </c>
      <c r="E34" s="106" t="s">
        <v>114</v>
      </c>
      <c r="F34" s="103" t="s">
        <v>111</v>
      </c>
      <c r="G34" s="110">
        <v>15</v>
      </c>
      <c r="H34" s="90">
        <v>9270</v>
      </c>
      <c r="I34" s="96">
        <f t="shared" si="0"/>
        <v>139050</v>
      </c>
    </row>
    <row r="35" spans="1:9" ht="51" customHeight="1" thickBot="1" x14ac:dyDescent="0.25">
      <c r="A35" s="84">
        <v>26</v>
      </c>
      <c r="B35" s="85"/>
      <c r="C35" s="86" t="s">
        <v>138</v>
      </c>
      <c r="D35" s="94">
        <v>251</v>
      </c>
      <c r="E35" s="107" t="s">
        <v>112</v>
      </c>
      <c r="F35" s="103" t="s">
        <v>116</v>
      </c>
      <c r="G35" s="110">
        <v>5</v>
      </c>
      <c r="H35" s="90">
        <v>7100</v>
      </c>
      <c r="I35" s="96">
        <f t="shared" si="0"/>
        <v>35500</v>
      </c>
    </row>
    <row r="36" spans="1:9" ht="51" customHeight="1" thickBot="1" x14ac:dyDescent="0.25">
      <c r="A36" s="113">
        <v>27</v>
      </c>
      <c r="B36" s="85"/>
      <c r="C36" s="86" t="s">
        <v>138</v>
      </c>
      <c r="D36" s="94">
        <v>251</v>
      </c>
      <c r="E36" s="106" t="s">
        <v>107</v>
      </c>
      <c r="F36" s="103" t="s">
        <v>117</v>
      </c>
      <c r="G36" s="110">
        <v>10</v>
      </c>
      <c r="H36" s="90">
        <v>21896</v>
      </c>
      <c r="I36" s="96">
        <f t="shared" si="0"/>
        <v>218960</v>
      </c>
    </row>
    <row r="37" spans="1:9" ht="51" customHeight="1" thickBot="1" x14ac:dyDescent="0.25">
      <c r="A37" s="84">
        <v>28</v>
      </c>
      <c r="B37" s="85"/>
      <c r="C37" s="86" t="s">
        <v>138</v>
      </c>
      <c r="D37" s="94">
        <v>251</v>
      </c>
      <c r="E37" s="106" t="s">
        <v>108</v>
      </c>
      <c r="F37" s="103" t="s">
        <v>111</v>
      </c>
      <c r="G37" s="108">
        <v>20</v>
      </c>
      <c r="H37" s="90">
        <v>2806</v>
      </c>
      <c r="I37" s="96">
        <f t="shared" si="0"/>
        <v>56120</v>
      </c>
    </row>
    <row r="38" spans="1:9" ht="51" customHeight="1" thickBot="1" x14ac:dyDescent="0.25">
      <c r="A38" s="84">
        <v>29</v>
      </c>
      <c r="B38" s="85"/>
      <c r="C38" s="86" t="s">
        <v>138</v>
      </c>
      <c r="D38" s="94">
        <v>251</v>
      </c>
      <c r="E38" s="106" t="s">
        <v>109</v>
      </c>
      <c r="F38" s="103" t="s">
        <v>111</v>
      </c>
      <c r="G38" s="109">
        <v>20</v>
      </c>
      <c r="H38" s="90">
        <v>603</v>
      </c>
      <c r="I38" s="96">
        <f t="shared" si="0"/>
        <v>12060</v>
      </c>
    </row>
    <row r="39" spans="1:9" ht="51" customHeight="1" thickBot="1" x14ac:dyDescent="0.25">
      <c r="A39" s="113">
        <v>30</v>
      </c>
      <c r="B39" s="85"/>
      <c r="C39" s="86" t="s">
        <v>138</v>
      </c>
      <c r="D39" s="94">
        <v>251</v>
      </c>
      <c r="E39" s="106" t="s">
        <v>133</v>
      </c>
      <c r="F39" s="103" t="s">
        <v>111</v>
      </c>
      <c r="G39" s="109">
        <v>30</v>
      </c>
      <c r="H39" s="90">
        <v>3280</v>
      </c>
      <c r="I39" s="96">
        <f t="shared" si="0"/>
        <v>98400</v>
      </c>
    </row>
    <row r="40" spans="1:9" ht="51" customHeight="1" thickBot="1" x14ac:dyDescent="0.25">
      <c r="A40" s="84">
        <v>31</v>
      </c>
      <c r="B40" s="85"/>
      <c r="C40" s="86" t="s">
        <v>138</v>
      </c>
      <c r="D40" s="94">
        <v>251</v>
      </c>
      <c r="E40" s="106" t="s">
        <v>110</v>
      </c>
      <c r="F40" s="103" t="s">
        <v>111</v>
      </c>
      <c r="G40" s="109">
        <v>30</v>
      </c>
      <c r="H40" s="90">
        <v>4758</v>
      </c>
      <c r="I40" s="96">
        <f t="shared" si="0"/>
        <v>142740</v>
      </c>
    </row>
    <row r="41" spans="1:9" s="62" customFormat="1" ht="43.5" customHeight="1" thickBot="1" x14ac:dyDescent="0.25">
      <c r="A41" s="88"/>
      <c r="B41" s="89"/>
      <c r="C41" s="82"/>
      <c r="D41" s="95"/>
      <c r="E41" s="93"/>
      <c r="F41" s="83"/>
      <c r="G41" s="112"/>
      <c r="H41" s="91"/>
      <c r="I41" s="96"/>
    </row>
    <row r="42" spans="1:9" ht="43.5" customHeight="1" thickBot="1" x14ac:dyDescent="0.3">
      <c r="A42" s="139"/>
      <c r="B42" s="140"/>
      <c r="C42" s="140"/>
      <c r="D42" s="141"/>
      <c r="E42" s="148" t="s">
        <v>52</v>
      </c>
      <c r="F42" s="149"/>
      <c r="G42" s="149"/>
      <c r="H42" s="150"/>
      <c r="I42" s="97">
        <f>SUM(I10:I41)</f>
        <v>3239561</v>
      </c>
    </row>
    <row r="43" spans="1:9" ht="18.75" thickBot="1" x14ac:dyDescent="0.3">
      <c r="E43" s="151" t="s">
        <v>53</v>
      </c>
      <c r="F43" s="151"/>
      <c r="G43" s="151"/>
      <c r="H43" s="151"/>
      <c r="I43" s="66">
        <f>+I42</f>
        <v>3239561</v>
      </c>
    </row>
    <row r="44" spans="1:9" ht="27" customHeight="1" thickTop="1" thickBot="1" x14ac:dyDescent="0.25"/>
    <row r="45" spans="1:9" ht="26.25" customHeight="1" x14ac:dyDescent="0.2">
      <c r="B45" s="68" t="s">
        <v>142</v>
      </c>
      <c r="C45" s="69" t="s">
        <v>143</v>
      </c>
      <c r="D45" s="70"/>
      <c r="E45" s="71"/>
    </row>
    <row r="46" spans="1:9" ht="24.75" customHeight="1" x14ac:dyDescent="0.2">
      <c r="B46" s="72"/>
      <c r="C46" s="73" t="s">
        <v>144</v>
      </c>
      <c r="D46" s="74"/>
      <c r="E46" s="75"/>
    </row>
    <row r="47" spans="1:9" ht="24.75" customHeight="1" x14ac:dyDescent="0.2">
      <c r="B47" s="72"/>
      <c r="C47" s="73" t="s">
        <v>145</v>
      </c>
      <c r="D47" s="126"/>
      <c r="E47" s="75"/>
    </row>
    <row r="48" spans="1:9" ht="24.75" customHeight="1" x14ac:dyDescent="0.2">
      <c r="B48" s="72"/>
      <c r="C48" s="73"/>
      <c r="D48" s="126"/>
      <c r="E48" s="75"/>
    </row>
    <row r="49" spans="1:12" ht="24.75" customHeight="1" x14ac:dyDescent="0.2">
      <c r="B49" s="76" t="s">
        <v>54</v>
      </c>
      <c r="C49" s="152"/>
      <c r="D49" s="152"/>
      <c r="E49" s="153"/>
    </row>
    <row r="50" spans="1:12" ht="24.75" customHeight="1" x14ac:dyDescent="0.2">
      <c r="B50" s="76"/>
      <c r="C50" s="135"/>
      <c r="D50" s="135"/>
      <c r="E50" s="135"/>
    </row>
    <row r="51" spans="1:12" ht="38.25" customHeight="1" x14ac:dyDescent="0.2">
      <c r="B51" s="76" t="s">
        <v>55</v>
      </c>
      <c r="C51" s="129" t="s">
        <v>121</v>
      </c>
      <c r="D51" s="129"/>
      <c r="E51" s="130"/>
    </row>
    <row r="52" spans="1:12" ht="24.75" customHeight="1" x14ac:dyDescent="0.2">
      <c r="B52" s="76"/>
      <c r="C52" s="129" t="s">
        <v>140</v>
      </c>
      <c r="D52" s="129"/>
      <c r="E52" s="130"/>
    </row>
    <row r="53" spans="1:12" ht="24.75" customHeight="1" x14ac:dyDescent="0.2">
      <c r="B53" s="76"/>
      <c r="C53" s="129" t="s">
        <v>141</v>
      </c>
      <c r="D53" s="129"/>
      <c r="E53" s="130"/>
    </row>
    <row r="54" spans="1:12" s="80" customFormat="1" ht="24.75" customHeight="1" x14ac:dyDescent="0.2">
      <c r="A54" s="52"/>
      <c r="B54" s="72"/>
      <c r="C54" s="131" t="s">
        <v>123</v>
      </c>
      <c r="D54" s="131"/>
      <c r="E54" s="132"/>
      <c r="F54" s="65"/>
      <c r="G54" s="67"/>
      <c r="H54" s="56"/>
      <c r="I54" s="53"/>
      <c r="J54" s="77"/>
      <c r="K54" s="78"/>
      <c r="L54" s="79"/>
    </row>
    <row r="55" spans="1:12" ht="24.75" customHeight="1" x14ac:dyDescent="0.2">
      <c r="B55" s="72"/>
      <c r="C55" s="133"/>
      <c r="D55" s="133"/>
      <c r="E55" s="133"/>
      <c r="J55" s="77"/>
      <c r="K55" s="78"/>
      <c r="L55" s="79"/>
    </row>
    <row r="56" spans="1:12" ht="29.25" customHeight="1" x14ac:dyDescent="0.2">
      <c r="B56" s="76" t="s">
        <v>56</v>
      </c>
      <c r="C56" s="134"/>
      <c r="D56" s="134"/>
      <c r="E56" s="133"/>
      <c r="J56" s="77"/>
      <c r="K56" s="78"/>
      <c r="L56" s="79"/>
    </row>
    <row r="57" spans="1:12" ht="24.75" customHeight="1" x14ac:dyDescent="0.2">
      <c r="B57" s="72"/>
      <c r="C57" s="135"/>
      <c r="D57" s="135"/>
      <c r="E57" s="135"/>
      <c r="J57" s="77"/>
      <c r="K57" s="78"/>
      <c r="L57" s="79"/>
    </row>
    <row r="58" spans="1:12" ht="24.75" customHeight="1" x14ac:dyDescent="0.2">
      <c r="B58" s="76" t="s">
        <v>57</v>
      </c>
      <c r="C58" s="136" t="s">
        <v>124</v>
      </c>
      <c r="D58" s="136"/>
      <c r="E58" s="137"/>
      <c r="J58" s="77"/>
      <c r="K58" s="78"/>
      <c r="L58" s="79"/>
    </row>
    <row r="59" spans="1:12" ht="24.75" customHeight="1" x14ac:dyDescent="0.2">
      <c r="B59" s="72"/>
      <c r="C59" s="135"/>
      <c r="D59" s="135"/>
      <c r="E59" s="135"/>
    </row>
    <row r="60" spans="1:12" ht="24.75" customHeight="1" x14ac:dyDescent="0.2">
      <c r="B60" s="76" t="s">
        <v>58</v>
      </c>
      <c r="C60" s="138"/>
      <c r="D60" s="138"/>
      <c r="E60" s="130"/>
    </row>
    <row r="61" spans="1:12" ht="24.75" customHeight="1" x14ac:dyDescent="0.2">
      <c r="B61" s="76"/>
      <c r="C61" s="133"/>
      <c r="D61" s="133"/>
      <c r="E61" s="133"/>
    </row>
    <row r="62" spans="1:12" ht="24.75" customHeight="1" thickBot="1" x14ac:dyDescent="0.25">
      <c r="B62" s="81"/>
      <c r="C62" s="127"/>
      <c r="D62" s="127"/>
      <c r="E62" s="128"/>
    </row>
    <row r="63" spans="1:12" x14ac:dyDescent="0.2">
      <c r="J63" s="77"/>
      <c r="K63" s="78"/>
      <c r="L63" s="79"/>
    </row>
  </sheetData>
  <mergeCells count="26">
    <mergeCell ref="C50:E50"/>
    <mergeCell ref="A42:D42"/>
    <mergeCell ref="B2:H2"/>
    <mergeCell ref="A3:B3"/>
    <mergeCell ref="C3:E3"/>
    <mergeCell ref="A4:B4"/>
    <mergeCell ref="C4:E4"/>
    <mergeCell ref="A5:B5"/>
    <mergeCell ref="C5:E5"/>
    <mergeCell ref="A6:B6"/>
    <mergeCell ref="A7:B7"/>
    <mergeCell ref="E42:H42"/>
    <mergeCell ref="E43:H43"/>
    <mergeCell ref="C49:E49"/>
    <mergeCell ref="C62:E62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pageMargins left="0.7" right="0.7" top="0.75" bottom="0.75" header="0.51180555555555496" footer="0.51180555555555496"/>
  <pageSetup paperSize="5" scale="50" firstPageNumber="0" orientation="landscape" horizontalDpi="300" verticalDpi="300" r:id="rId1"/>
  <rowBreaks count="3" manualBreakCount="3">
    <brk id="20" max="16383" man="1"/>
    <brk id="40" max="16383" man="1"/>
    <brk id="43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3"/>
  <sheetViews>
    <sheetView topLeftCell="A31" zoomScale="115" zoomScaleNormal="115" workbookViewId="0">
      <selection activeCell="C12" sqref="C12:G12"/>
    </sheetView>
  </sheetViews>
  <sheetFormatPr baseColWidth="10" defaultColWidth="9.140625" defaultRowHeight="12.75" x14ac:dyDescent="0.2"/>
  <cols>
    <col min="1" max="1" width="5.5703125" style="1" customWidth="1"/>
    <col min="2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15.8554687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2" t="s">
        <v>1</v>
      </c>
      <c r="K1" s="3" t="s">
        <v>130</v>
      </c>
    </row>
    <row r="2" spans="1:11" ht="18.75" customHeight="1" x14ac:dyDescent="0.2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x14ac:dyDescent="0.2">
      <c r="A3" s="171" t="s">
        <v>2</v>
      </c>
      <c r="B3" s="171"/>
      <c r="C3" s="171"/>
      <c r="D3" s="172" t="s">
        <v>59</v>
      </c>
      <c r="E3" s="172"/>
      <c r="F3" s="172"/>
      <c r="G3" s="172"/>
      <c r="H3" s="172"/>
      <c r="I3" s="172"/>
      <c r="J3" s="172"/>
      <c r="K3" s="172"/>
    </row>
    <row r="4" spans="1:11" ht="18.75" customHeight="1" thickBot="1" x14ac:dyDescent="0.25">
      <c r="A4" s="173" t="s">
        <v>3</v>
      </c>
      <c r="B4" s="173"/>
      <c r="C4" s="173"/>
      <c r="D4" s="172" t="s">
        <v>60</v>
      </c>
      <c r="E4" s="172"/>
      <c r="F4" s="172"/>
      <c r="G4" s="172"/>
      <c r="H4" s="172"/>
      <c r="I4" s="172"/>
      <c r="J4" s="172"/>
      <c r="K4" s="172"/>
    </row>
    <row r="5" spans="1:11" ht="18.75" customHeight="1" thickBot="1" x14ac:dyDescent="0.25">
      <c r="A5" s="173" t="s">
        <v>4</v>
      </c>
      <c r="B5" s="173"/>
      <c r="C5" s="173"/>
      <c r="D5" s="172" t="s">
        <v>125</v>
      </c>
      <c r="E5" s="172"/>
      <c r="F5" s="172"/>
      <c r="G5" s="172"/>
      <c r="H5" s="172"/>
      <c r="I5" s="172"/>
      <c r="J5" s="172"/>
      <c r="K5" s="172"/>
    </row>
    <row r="6" spans="1:11" ht="16.5" customHeight="1" thickBot="1" x14ac:dyDescent="0.25">
      <c r="A6" s="171" t="s">
        <v>5</v>
      </c>
      <c r="B6" s="171"/>
      <c r="C6" s="171"/>
      <c r="D6" s="172" t="s">
        <v>125</v>
      </c>
      <c r="E6" s="172"/>
      <c r="F6" s="172"/>
      <c r="G6" s="172"/>
      <c r="H6" s="172"/>
      <c r="I6" s="172"/>
      <c r="J6" s="172"/>
      <c r="K6" s="172"/>
    </row>
    <row r="7" spans="1:11" ht="16.5" customHeight="1" x14ac:dyDescent="0.2">
      <c r="A7" s="173" t="s">
        <v>6</v>
      </c>
      <c r="B7" s="173"/>
      <c r="C7" s="173"/>
      <c r="D7" s="172" t="s">
        <v>126</v>
      </c>
      <c r="E7" s="172"/>
      <c r="F7" s="172"/>
      <c r="G7" s="172"/>
      <c r="H7" s="172"/>
      <c r="I7" s="172"/>
      <c r="J7" s="172"/>
      <c r="K7" s="172"/>
    </row>
    <row r="8" spans="1:11" ht="16.5" customHeight="1" x14ac:dyDescent="0.2">
      <c r="A8" s="174" t="s">
        <v>7</v>
      </c>
      <c r="B8" s="174"/>
      <c r="C8" s="174"/>
      <c r="D8" s="175" t="s">
        <v>127</v>
      </c>
      <c r="E8" s="175"/>
      <c r="F8" s="175"/>
      <c r="G8" s="175"/>
      <c r="H8" s="175"/>
      <c r="I8" s="175"/>
      <c r="J8" s="175"/>
      <c r="K8" s="175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76" t="s">
        <v>8</v>
      </c>
      <c r="B10" s="168" t="s">
        <v>9</v>
      </c>
      <c r="C10" s="168" t="s">
        <v>10</v>
      </c>
      <c r="D10" s="168"/>
      <c r="E10" s="168"/>
      <c r="F10" s="168"/>
      <c r="G10" s="168"/>
      <c r="H10" s="168" t="s">
        <v>11</v>
      </c>
      <c r="I10" s="168" t="s">
        <v>12</v>
      </c>
      <c r="J10" s="168" t="s">
        <v>13</v>
      </c>
      <c r="K10" s="162" t="s">
        <v>14</v>
      </c>
    </row>
    <row r="11" spans="1:11" ht="24" customHeight="1" thickBot="1" x14ac:dyDescent="0.25">
      <c r="A11" s="176"/>
      <c r="B11" s="169"/>
      <c r="C11" s="168"/>
      <c r="D11" s="168"/>
      <c r="E11" s="168"/>
      <c r="F11" s="168"/>
      <c r="G11" s="168"/>
      <c r="H11" s="169"/>
      <c r="I11" s="168"/>
      <c r="J11" s="168"/>
      <c r="K11" s="162"/>
    </row>
    <row r="12" spans="1:11" ht="36.75" customHeight="1" thickBot="1" x14ac:dyDescent="0.25">
      <c r="A12" s="124">
        <v>1</v>
      </c>
      <c r="B12" s="99"/>
      <c r="C12" s="163" t="s">
        <v>83</v>
      </c>
      <c r="D12" s="164"/>
      <c r="E12" s="164"/>
      <c r="F12" s="164"/>
      <c r="G12" s="165"/>
      <c r="H12" s="100" t="s">
        <v>139</v>
      </c>
      <c r="I12" s="120" t="s">
        <v>111</v>
      </c>
      <c r="J12" s="123">
        <v>1858</v>
      </c>
      <c r="K12" s="122">
        <v>20</v>
      </c>
    </row>
    <row r="13" spans="1:11" ht="36.75" customHeight="1" thickBot="1" x14ac:dyDescent="0.25">
      <c r="A13" s="98">
        <v>2</v>
      </c>
      <c r="B13" s="99"/>
      <c r="C13" s="154" t="s">
        <v>84</v>
      </c>
      <c r="D13" s="155"/>
      <c r="E13" s="155"/>
      <c r="F13" s="155"/>
      <c r="G13" s="156"/>
      <c r="H13" s="100" t="s">
        <v>139</v>
      </c>
      <c r="I13" s="120" t="s">
        <v>111</v>
      </c>
      <c r="J13" s="102">
        <v>3747</v>
      </c>
      <c r="K13" s="101">
        <v>20</v>
      </c>
    </row>
    <row r="14" spans="1:11" ht="36.75" customHeight="1" thickBot="1" x14ac:dyDescent="0.25">
      <c r="A14" s="98">
        <v>3</v>
      </c>
      <c r="B14" s="99"/>
      <c r="C14" s="154" t="s">
        <v>86</v>
      </c>
      <c r="D14" s="155"/>
      <c r="E14" s="155"/>
      <c r="F14" s="155"/>
      <c r="G14" s="156"/>
      <c r="H14" s="100" t="s">
        <v>139</v>
      </c>
      <c r="I14" s="120" t="s">
        <v>111</v>
      </c>
      <c r="J14" s="102">
        <v>1646</v>
      </c>
      <c r="K14" s="101">
        <v>10</v>
      </c>
    </row>
    <row r="15" spans="1:11" ht="36.75" customHeight="1" thickBot="1" x14ac:dyDescent="0.25">
      <c r="A15" s="98">
        <v>4</v>
      </c>
      <c r="B15" s="99"/>
      <c r="C15" s="154" t="s">
        <v>87</v>
      </c>
      <c r="D15" s="155"/>
      <c r="E15" s="155"/>
      <c r="F15" s="155"/>
      <c r="G15" s="156"/>
      <c r="H15" s="100" t="s">
        <v>139</v>
      </c>
      <c r="I15" s="120" t="s">
        <v>111</v>
      </c>
      <c r="J15" s="102">
        <v>3694</v>
      </c>
      <c r="K15" s="101">
        <v>8</v>
      </c>
    </row>
    <row r="16" spans="1:11" ht="36.75" customHeight="1" thickBot="1" x14ac:dyDescent="0.25">
      <c r="A16" s="98">
        <v>5</v>
      </c>
      <c r="B16" s="99"/>
      <c r="C16" s="154" t="s">
        <v>119</v>
      </c>
      <c r="D16" s="155"/>
      <c r="E16" s="155"/>
      <c r="F16" s="155"/>
      <c r="G16" s="156"/>
      <c r="H16" s="100" t="s">
        <v>139</v>
      </c>
      <c r="I16" s="121" t="s">
        <v>111</v>
      </c>
      <c r="J16" s="102">
        <v>4992</v>
      </c>
      <c r="K16" s="101">
        <v>6</v>
      </c>
    </row>
    <row r="17" spans="1:11" ht="36.75" customHeight="1" thickBot="1" x14ac:dyDescent="0.25">
      <c r="A17" s="98">
        <v>6</v>
      </c>
      <c r="B17" s="99"/>
      <c r="C17" s="154" t="s">
        <v>88</v>
      </c>
      <c r="D17" s="155"/>
      <c r="E17" s="155"/>
      <c r="F17" s="155"/>
      <c r="G17" s="156"/>
      <c r="H17" s="100" t="s">
        <v>139</v>
      </c>
      <c r="I17" s="120" t="s">
        <v>113</v>
      </c>
      <c r="J17" s="102">
        <v>3477</v>
      </c>
      <c r="K17" s="101">
        <v>20</v>
      </c>
    </row>
    <row r="18" spans="1:11" ht="36.75" customHeight="1" thickBot="1" x14ac:dyDescent="0.25">
      <c r="A18" s="98">
        <v>7</v>
      </c>
      <c r="B18" s="99"/>
      <c r="C18" s="154" t="s">
        <v>89</v>
      </c>
      <c r="D18" s="155"/>
      <c r="E18" s="155"/>
      <c r="F18" s="155"/>
      <c r="G18" s="156"/>
      <c r="H18" s="100" t="s">
        <v>139</v>
      </c>
      <c r="I18" s="120" t="s">
        <v>113</v>
      </c>
      <c r="J18" s="102">
        <v>7973</v>
      </c>
      <c r="K18" s="101">
        <v>10</v>
      </c>
    </row>
    <row r="19" spans="1:11" ht="36.75" customHeight="1" thickBot="1" x14ac:dyDescent="0.25">
      <c r="A19" s="98">
        <v>8</v>
      </c>
      <c r="B19" s="99"/>
      <c r="C19" s="159" t="s">
        <v>81</v>
      </c>
      <c r="D19" s="160"/>
      <c r="E19" s="160"/>
      <c r="F19" s="160"/>
      <c r="G19" s="161"/>
      <c r="H19" s="100" t="s">
        <v>139</v>
      </c>
      <c r="I19" s="120" t="s">
        <v>111</v>
      </c>
      <c r="J19" s="102">
        <v>11900</v>
      </c>
      <c r="K19" s="101">
        <v>10</v>
      </c>
    </row>
    <row r="20" spans="1:11" ht="36.75" customHeight="1" thickBot="1" x14ac:dyDescent="0.25">
      <c r="A20" s="98">
        <v>9</v>
      </c>
      <c r="B20" s="99"/>
      <c r="C20" s="154" t="s">
        <v>61</v>
      </c>
      <c r="D20" s="155"/>
      <c r="E20" s="155"/>
      <c r="F20" s="155"/>
      <c r="G20" s="156"/>
      <c r="H20" s="100" t="s">
        <v>139</v>
      </c>
      <c r="I20" s="120" t="s">
        <v>111</v>
      </c>
      <c r="J20" s="102">
        <v>2768</v>
      </c>
      <c r="K20" s="101">
        <v>10</v>
      </c>
    </row>
    <row r="21" spans="1:11" ht="36.75" customHeight="1" thickBot="1" x14ac:dyDescent="0.25">
      <c r="A21" s="98">
        <v>10</v>
      </c>
      <c r="B21" s="99"/>
      <c r="C21" s="154" t="s">
        <v>62</v>
      </c>
      <c r="D21" s="155"/>
      <c r="E21" s="155"/>
      <c r="F21" s="155"/>
      <c r="G21" s="156"/>
      <c r="H21" s="100" t="s">
        <v>139</v>
      </c>
      <c r="I21" s="120" t="s">
        <v>111</v>
      </c>
      <c r="J21" s="102">
        <v>6023</v>
      </c>
      <c r="K21" s="101">
        <v>30</v>
      </c>
    </row>
    <row r="22" spans="1:11" ht="36.75" customHeight="1" thickBot="1" x14ac:dyDescent="0.25">
      <c r="A22" s="98">
        <v>11</v>
      </c>
      <c r="B22" s="99"/>
      <c r="C22" s="159" t="s">
        <v>118</v>
      </c>
      <c r="D22" s="160"/>
      <c r="E22" s="160"/>
      <c r="F22" s="160"/>
      <c r="G22" s="161"/>
      <c r="H22" s="100" t="s">
        <v>139</v>
      </c>
      <c r="I22" s="120" t="s">
        <v>111</v>
      </c>
      <c r="J22" s="102">
        <v>5950</v>
      </c>
      <c r="K22" s="101">
        <v>30</v>
      </c>
    </row>
    <row r="23" spans="1:11" ht="36.75" customHeight="1" thickBot="1" x14ac:dyDescent="0.25">
      <c r="A23" s="98">
        <v>12</v>
      </c>
      <c r="B23" s="99"/>
      <c r="C23" s="159" t="s">
        <v>63</v>
      </c>
      <c r="D23" s="160"/>
      <c r="E23" s="160"/>
      <c r="F23" s="160"/>
      <c r="G23" s="161"/>
      <c r="H23" s="100" t="s">
        <v>139</v>
      </c>
      <c r="I23" s="120" t="s">
        <v>111</v>
      </c>
      <c r="J23" s="102">
        <v>4457</v>
      </c>
      <c r="K23" s="101">
        <v>10</v>
      </c>
    </row>
    <row r="24" spans="1:11" ht="36.75" customHeight="1" thickBot="1" x14ac:dyDescent="0.25">
      <c r="A24" s="98">
        <v>13</v>
      </c>
      <c r="B24" s="99"/>
      <c r="C24" s="154" t="s">
        <v>64</v>
      </c>
      <c r="D24" s="155"/>
      <c r="E24" s="155"/>
      <c r="F24" s="155"/>
      <c r="G24" s="156"/>
      <c r="H24" s="100" t="s">
        <v>139</v>
      </c>
      <c r="I24" s="120" t="s">
        <v>111</v>
      </c>
      <c r="J24" s="102">
        <v>5477</v>
      </c>
      <c r="K24" s="101">
        <v>15</v>
      </c>
    </row>
    <row r="25" spans="1:11" ht="36.75" customHeight="1" thickBot="1" x14ac:dyDescent="0.25">
      <c r="A25" s="98">
        <v>14</v>
      </c>
      <c r="B25" s="99"/>
      <c r="C25" s="154" t="s">
        <v>65</v>
      </c>
      <c r="D25" s="155"/>
      <c r="E25" s="155"/>
      <c r="F25" s="155"/>
      <c r="G25" s="156"/>
      <c r="H25" s="100" t="s">
        <v>139</v>
      </c>
      <c r="I25" s="120" t="s">
        <v>111</v>
      </c>
      <c r="J25" s="102">
        <v>1505</v>
      </c>
      <c r="K25" s="101">
        <v>100</v>
      </c>
    </row>
    <row r="26" spans="1:11" ht="36.75" customHeight="1" thickBot="1" x14ac:dyDescent="0.25">
      <c r="A26" s="98">
        <v>15</v>
      </c>
      <c r="B26" s="99"/>
      <c r="C26" s="154" t="s">
        <v>66</v>
      </c>
      <c r="D26" s="155"/>
      <c r="E26" s="155"/>
      <c r="F26" s="155"/>
      <c r="G26" s="156"/>
      <c r="H26" s="100" t="s">
        <v>139</v>
      </c>
      <c r="I26" s="120" t="s">
        <v>111</v>
      </c>
      <c r="J26" s="102">
        <v>1378</v>
      </c>
      <c r="K26" s="101">
        <v>20</v>
      </c>
    </row>
    <row r="27" spans="1:11" ht="36.75" customHeight="1" thickBot="1" x14ac:dyDescent="0.25">
      <c r="A27" s="98">
        <v>16</v>
      </c>
      <c r="B27" s="99"/>
      <c r="C27" s="154" t="s">
        <v>67</v>
      </c>
      <c r="D27" s="155"/>
      <c r="E27" s="155"/>
      <c r="F27" s="155"/>
      <c r="G27" s="156"/>
      <c r="H27" s="100" t="s">
        <v>139</v>
      </c>
      <c r="I27" s="120" t="s">
        <v>111</v>
      </c>
      <c r="J27" s="102">
        <v>4168</v>
      </c>
      <c r="K27" s="101">
        <v>30</v>
      </c>
    </row>
    <row r="28" spans="1:11" ht="36.75" customHeight="1" thickBot="1" x14ac:dyDescent="0.25">
      <c r="A28" s="98">
        <v>17</v>
      </c>
      <c r="B28" s="99"/>
      <c r="C28" s="154" t="s">
        <v>68</v>
      </c>
      <c r="D28" s="155"/>
      <c r="E28" s="155"/>
      <c r="F28" s="155"/>
      <c r="G28" s="156"/>
      <c r="H28" s="100" t="s">
        <v>139</v>
      </c>
      <c r="I28" s="120" t="s">
        <v>111</v>
      </c>
      <c r="J28" s="102">
        <v>23186</v>
      </c>
      <c r="K28" s="101">
        <v>5</v>
      </c>
    </row>
    <row r="29" spans="1:11" ht="36.75" customHeight="1" thickBot="1" x14ac:dyDescent="0.25">
      <c r="A29" s="98">
        <v>18</v>
      </c>
      <c r="B29" s="99"/>
      <c r="C29" s="159" t="s">
        <v>82</v>
      </c>
      <c r="D29" s="160"/>
      <c r="E29" s="160"/>
      <c r="F29" s="160"/>
      <c r="G29" s="161"/>
      <c r="H29" s="100" t="s">
        <v>139</v>
      </c>
      <c r="I29" s="120" t="s">
        <v>111</v>
      </c>
      <c r="J29" s="105">
        <v>30197</v>
      </c>
      <c r="K29" s="104">
        <v>15</v>
      </c>
    </row>
    <row r="30" spans="1:11" ht="36.75" customHeight="1" thickBot="1" x14ac:dyDescent="0.25">
      <c r="A30" s="98">
        <v>19</v>
      </c>
      <c r="B30" s="99"/>
      <c r="C30" s="154" t="s">
        <v>69</v>
      </c>
      <c r="D30" s="155"/>
      <c r="E30" s="155"/>
      <c r="F30" s="155"/>
      <c r="G30" s="156"/>
      <c r="H30" s="100" t="s">
        <v>139</v>
      </c>
      <c r="I30" s="120" t="s">
        <v>113</v>
      </c>
      <c r="J30" s="102">
        <v>6590</v>
      </c>
      <c r="K30" s="101">
        <v>10</v>
      </c>
    </row>
    <row r="31" spans="1:11" ht="36.75" customHeight="1" thickBot="1" x14ac:dyDescent="0.25">
      <c r="A31" s="98">
        <v>20</v>
      </c>
      <c r="B31" s="99"/>
      <c r="C31" s="154" t="s">
        <v>70</v>
      </c>
      <c r="D31" s="155"/>
      <c r="E31" s="155"/>
      <c r="F31" s="155"/>
      <c r="G31" s="156"/>
      <c r="H31" s="100" t="s">
        <v>139</v>
      </c>
      <c r="I31" s="120" t="s">
        <v>113</v>
      </c>
      <c r="J31" s="102">
        <v>5986</v>
      </c>
      <c r="K31" s="101">
        <v>20</v>
      </c>
    </row>
    <row r="32" spans="1:11" ht="36.75" customHeight="1" thickBot="1" x14ac:dyDescent="0.25">
      <c r="A32" s="98">
        <v>21</v>
      </c>
      <c r="B32" s="99"/>
      <c r="C32" s="154" t="s">
        <v>71</v>
      </c>
      <c r="D32" s="155"/>
      <c r="E32" s="155"/>
      <c r="F32" s="155"/>
      <c r="G32" s="156"/>
      <c r="H32" s="100" t="s">
        <v>139</v>
      </c>
      <c r="I32" s="120" t="s">
        <v>113</v>
      </c>
      <c r="J32" s="102">
        <v>5986</v>
      </c>
      <c r="K32" s="101">
        <v>20</v>
      </c>
    </row>
    <row r="33" spans="1:11" ht="36.75" customHeight="1" thickBot="1" x14ac:dyDescent="0.25">
      <c r="A33" s="98">
        <v>22</v>
      </c>
      <c r="B33" s="99"/>
      <c r="C33" s="154" t="s">
        <v>72</v>
      </c>
      <c r="D33" s="155"/>
      <c r="E33" s="155"/>
      <c r="F33" s="155"/>
      <c r="G33" s="156"/>
      <c r="H33" s="100" t="s">
        <v>139</v>
      </c>
      <c r="I33" s="120" t="s">
        <v>111</v>
      </c>
      <c r="J33" s="102">
        <v>13632</v>
      </c>
      <c r="K33" s="101">
        <v>20</v>
      </c>
    </row>
    <row r="34" spans="1:11" ht="36.75" customHeight="1" thickBot="1" x14ac:dyDescent="0.25">
      <c r="A34" s="98">
        <v>23</v>
      </c>
      <c r="B34" s="99"/>
      <c r="C34" s="154" t="s">
        <v>73</v>
      </c>
      <c r="D34" s="155"/>
      <c r="E34" s="155"/>
      <c r="F34" s="155"/>
      <c r="G34" s="156"/>
      <c r="H34" s="100" t="s">
        <v>139</v>
      </c>
      <c r="I34" s="120" t="s">
        <v>111</v>
      </c>
      <c r="J34" s="102">
        <v>5379</v>
      </c>
      <c r="K34" s="101">
        <v>3</v>
      </c>
    </row>
    <row r="35" spans="1:11" ht="36.75" customHeight="1" thickBot="1" x14ac:dyDescent="0.25">
      <c r="A35" s="98">
        <v>24</v>
      </c>
      <c r="B35" s="99"/>
      <c r="C35" s="154" t="s">
        <v>74</v>
      </c>
      <c r="D35" s="155"/>
      <c r="E35" s="155"/>
      <c r="F35" s="155"/>
      <c r="G35" s="156"/>
      <c r="H35" s="100" t="s">
        <v>139</v>
      </c>
      <c r="I35" s="121" t="s">
        <v>111</v>
      </c>
      <c r="J35" s="102">
        <v>5035</v>
      </c>
      <c r="K35" s="101">
        <v>20</v>
      </c>
    </row>
    <row r="36" spans="1:11" ht="36.75" customHeight="1" thickBot="1" x14ac:dyDescent="0.25">
      <c r="A36" s="98">
        <v>25</v>
      </c>
      <c r="B36" s="99"/>
      <c r="C36" s="159" t="s">
        <v>75</v>
      </c>
      <c r="D36" s="160"/>
      <c r="E36" s="160"/>
      <c r="F36" s="160"/>
      <c r="G36" s="161"/>
      <c r="H36" s="100" t="s">
        <v>139</v>
      </c>
      <c r="I36" s="120" t="s">
        <v>111</v>
      </c>
      <c r="J36" s="102">
        <v>9270</v>
      </c>
      <c r="K36" s="101">
        <v>15</v>
      </c>
    </row>
    <row r="37" spans="1:11" ht="36.75" customHeight="1" thickBot="1" x14ac:dyDescent="0.25">
      <c r="A37" s="98">
        <v>26</v>
      </c>
      <c r="B37" s="99"/>
      <c r="C37" s="154" t="s">
        <v>76</v>
      </c>
      <c r="D37" s="155"/>
      <c r="E37" s="155"/>
      <c r="F37" s="155"/>
      <c r="G37" s="156"/>
      <c r="H37" s="100" t="s">
        <v>139</v>
      </c>
      <c r="I37" s="120" t="s">
        <v>116</v>
      </c>
      <c r="J37" s="102">
        <v>7100</v>
      </c>
      <c r="K37" s="101">
        <v>5</v>
      </c>
    </row>
    <row r="38" spans="1:11" ht="36.75" customHeight="1" thickBot="1" x14ac:dyDescent="0.25">
      <c r="A38" s="98">
        <v>27</v>
      </c>
      <c r="B38" s="99"/>
      <c r="C38" s="154" t="s">
        <v>77</v>
      </c>
      <c r="D38" s="155"/>
      <c r="E38" s="155"/>
      <c r="F38" s="155"/>
      <c r="G38" s="156"/>
      <c r="H38" s="100" t="s">
        <v>139</v>
      </c>
      <c r="I38" s="120" t="s">
        <v>117</v>
      </c>
      <c r="J38" s="102">
        <v>21896</v>
      </c>
      <c r="K38" s="101">
        <v>10</v>
      </c>
    </row>
    <row r="39" spans="1:11" ht="36.75" customHeight="1" thickBot="1" x14ac:dyDescent="0.25">
      <c r="A39" s="98">
        <v>28</v>
      </c>
      <c r="B39" s="99"/>
      <c r="C39" s="154" t="s">
        <v>78</v>
      </c>
      <c r="D39" s="155"/>
      <c r="E39" s="155"/>
      <c r="F39" s="155"/>
      <c r="G39" s="156"/>
      <c r="H39" s="100" t="s">
        <v>139</v>
      </c>
      <c r="I39" s="120" t="s">
        <v>111</v>
      </c>
      <c r="J39" s="102">
        <v>2806</v>
      </c>
      <c r="K39" s="101">
        <v>20</v>
      </c>
    </row>
    <row r="40" spans="1:11" ht="36.75" customHeight="1" thickBot="1" x14ac:dyDescent="0.25">
      <c r="A40" s="98">
        <v>29</v>
      </c>
      <c r="B40" s="99"/>
      <c r="C40" s="154" t="s">
        <v>79</v>
      </c>
      <c r="D40" s="155"/>
      <c r="E40" s="155"/>
      <c r="F40" s="155"/>
      <c r="G40" s="156"/>
      <c r="H40" s="100" t="s">
        <v>139</v>
      </c>
      <c r="I40" s="120" t="s">
        <v>111</v>
      </c>
      <c r="J40" s="102">
        <v>603</v>
      </c>
      <c r="K40" s="101">
        <v>20</v>
      </c>
    </row>
    <row r="41" spans="1:11" ht="36.75" customHeight="1" thickBot="1" x14ac:dyDescent="0.25">
      <c r="A41" s="98">
        <v>30</v>
      </c>
      <c r="B41" s="99"/>
      <c r="C41" s="154" t="s">
        <v>134</v>
      </c>
      <c r="D41" s="155"/>
      <c r="E41" s="155"/>
      <c r="F41" s="155"/>
      <c r="G41" s="156"/>
      <c r="H41" s="100" t="s">
        <v>139</v>
      </c>
      <c r="I41" s="120" t="s">
        <v>111</v>
      </c>
      <c r="J41" s="102">
        <v>3280</v>
      </c>
      <c r="K41" s="101">
        <v>30</v>
      </c>
    </row>
    <row r="42" spans="1:11" ht="24" customHeight="1" thickBot="1" x14ac:dyDescent="0.25">
      <c r="A42" s="98">
        <v>31</v>
      </c>
      <c r="B42" s="12"/>
      <c r="C42" s="154" t="s">
        <v>80</v>
      </c>
      <c r="D42" s="166"/>
      <c r="E42" s="166"/>
      <c r="F42" s="166"/>
      <c r="G42" s="167"/>
      <c r="H42" s="100" t="s">
        <v>139</v>
      </c>
      <c r="I42" s="120" t="s">
        <v>111</v>
      </c>
      <c r="J42" s="13">
        <v>4758</v>
      </c>
      <c r="K42" s="13">
        <v>30</v>
      </c>
    </row>
    <row r="43" spans="1:11" ht="37.5" customHeight="1" thickBot="1" x14ac:dyDescent="0.25">
      <c r="A43" s="157" t="s">
        <v>135</v>
      </c>
      <c r="B43" s="157"/>
      <c r="C43" s="157"/>
      <c r="D43" s="157"/>
      <c r="E43" s="157"/>
      <c r="F43" s="157"/>
      <c r="G43" s="157"/>
      <c r="H43" s="157"/>
      <c r="I43" s="157"/>
      <c r="J43" s="158">
        <v>3239561</v>
      </c>
      <c r="K43" s="158"/>
    </row>
  </sheetData>
  <mergeCells count="53">
    <mergeCell ref="C39:G39"/>
    <mergeCell ref="C40:G40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42:G4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32:G32"/>
    <mergeCell ref="C33:G33"/>
    <mergeCell ref="A43:I43"/>
    <mergeCell ref="J43:K43"/>
    <mergeCell ref="C25:G25"/>
    <mergeCell ref="C26:G26"/>
    <mergeCell ref="C27:G27"/>
    <mergeCell ref="C28:G28"/>
    <mergeCell ref="C29:G29"/>
    <mergeCell ref="C30:G30"/>
    <mergeCell ref="C31:G31"/>
    <mergeCell ref="C41:G41"/>
    <mergeCell ref="C34:G34"/>
    <mergeCell ref="C35:G35"/>
    <mergeCell ref="C36:G36"/>
    <mergeCell ref="C37:G37"/>
    <mergeCell ref="C38:G38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70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"/>
  <sheetViews>
    <sheetView zoomScale="130" zoomScaleNormal="130" workbookViewId="0">
      <selection activeCell="Q38" sqref="Q38"/>
    </sheetView>
  </sheetViews>
  <sheetFormatPr baseColWidth="10" defaultColWidth="11" defaultRowHeight="12.75" x14ac:dyDescent="0.2"/>
  <cols>
    <col min="1" max="2" width="4.42578125" customWidth="1"/>
    <col min="3" max="3" width="6.140625" customWidth="1"/>
    <col min="4" max="5" width="4.42578125" customWidth="1"/>
    <col min="6" max="6" width="5.140625" customWidth="1"/>
    <col min="7" max="7" width="4.42578125" style="14" customWidth="1"/>
    <col min="8" max="11" width="4.42578125" customWidth="1"/>
    <col min="12" max="12" width="4.85546875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201" t="s">
        <v>115</v>
      </c>
      <c r="B1" s="201"/>
      <c r="C1" s="201"/>
      <c r="D1" s="202"/>
      <c r="E1" s="202"/>
      <c r="F1" s="15"/>
      <c r="G1" s="15"/>
      <c r="H1" s="16"/>
      <c r="I1" s="16"/>
      <c r="J1" s="16"/>
      <c r="K1" s="16"/>
      <c r="L1" s="16"/>
      <c r="M1" s="16"/>
      <c r="N1" s="16"/>
      <c r="O1" s="17"/>
      <c r="P1" s="203" t="s">
        <v>16</v>
      </c>
      <c r="Q1" s="203"/>
    </row>
    <row r="2" spans="1:17" ht="15.75" customHeight="1" x14ac:dyDescent="0.2">
      <c r="A2" s="18"/>
      <c r="B2" s="19"/>
      <c r="C2" s="19"/>
      <c r="D2" s="19"/>
      <c r="E2" s="19"/>
      <c r="F2" s="19"/>
      <c r="G2" s="20"/>
      <c r="H2" s="21"/>
      <c r="I2" s="21"/>
      <c r="J2" s="21"/>
      <c r="K2" s="21"/>
      <c r="L2" s="21"/>
      <c r="M2" s="21"/>
      <c r="N2" s="21"/>
      <c r="O2" s="19"/>
      <c r="P2" s="203"/>
      <c r="Q2" s="203"/>
    </row>
    <row r="3" spans="1:17" x14ac:dyDescent="0.2">
      <c r="A3" s="18"/>
      <c r="B3" s="19"/>
      <c r="C3" s="19"/>
      <c r="D3" s="19"/>
      <c r="E3" s="19"/>
      <c r="F3" s="19"/>
      <c r="G3" s="20"/>
      <c r="H3" s="19"/>
      <c r="I3" s="19"/>
      <c r="J3" s="19"/>
      <c r="K3" s="19"/>
      <c r="L3" s="19"/>
      <c r="M3" s="19"/>
      <c r="N3" s="19"/>
      <c r="O3" s="19"/>
      <c r="P3" s="19"/>
      <c r="Q3" s="22"/>
    </row>
    <row r="4" spans="1:17" s="23" customFormat="1" ht="18" customHeight="1" x14ac:dyDescent="0.2">
      <c r="A4" s="204" t="s">
        <v>17</v>
      </c>
      <c r="B4" s="204"/>
      <c r="C4" s="204"/>
      <c r="D4" s="204"/>
      <c r="E4" s="204"/>
      <c r="F4" s="204"/>
      <c r="G4" s="200" t="s">
        <v>128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</row>
    <row r="5" spans="1:17" s="23" customFormat="1" ht="18" customHeight="1" x14ac:dyDescent="0.2">
      <c r="A5" s="199" t="s">
        <v>3</v>
      </c>
      <c r="B5" s="199"/>
      <c r="C5" s="199"/>
      <c r="D5" s="199"/>
      <c r="E5" s="199"/>
      <c r="F5" s="199"/>
      <c r="G5" s="200" t="s">
        <v>129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</row>
    <row r="6" spans="1:17" s="23" customFormat="1" ht="18" customHeight="1" x14ac:dyDescent="0.2">
      <c r="A6" s="199" t="s">
        <v>4</v>
      </c>
      <c r="B6" s="199"/>
      <c r="C6" s="199"/>
      <c r="D6" s="199"/>
      <c r="E6" s="199"/>
      <c r="F6" s="199"/>
      <c r="G6" s="200" t="s">
        <v>122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</row>
    <row r="7" spans="1:17" s="23" customFormat="1" ht="18" customHeight="1" x14ac:dyDescent="0.2">
      <c r="A7" s="199" t="s">
        <v>5</v>
      </c>
      <c r="B7" s="199"/>
      <c r="C7" s="199"/>
      <c r="D7" s="199"/>
      <c r="E7" s="199"/>
      <c r="F7" s="199"/>
      <c r="G7" s="200" t="s">
        <v>122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</row>
    <row r="8" spans="1:17" ht="18" customHeight="1" x14ac:dyDescent="0.2">
      <c r="A8" s="192" t="s">
        <v>18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</row>
    <row r="9" spans="1:17" ht="18" customHeight="1" x14ac:dyDescent="0.2">
      <c r="A9" s="193" t="s">
        <v>19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66" customHeight="1" x14ac:dyDescent="0.2">
      <c r="A10" s="194" t="s">
        <v>131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</row>
    <row r="11" spans="1:17" ht="9" customHeight="1" x14ac:dyDescent="0.2">
      <c r="A11" s="24"/>
      <c r="B11" s="25"/>
      <c r="C11" s="25"/>
      <c r="D11" s="25"/>
      <c r="E11" s="25"/>
      <c r="F11" s="25"/>
      <c r="G11" s="26"/>
      <c r="H11" s="25"/>
      <c r="I11" s="25"/>
      <c r="J11" s="25"/>
      <c r="K11" s="25"/>
      <c r="L11" s="25"/>
      <c r="M11" s="25"/>
      <c r="N11" s="25"/>
      <c r="O11" s="25"/>
      <c r="P11" s="25"/>
      <c r="Q11" s="27"/>
    </row>
    <row r="12" spans="1:17" ht="15.75" customHeight="1" x14ac:dyDescent="0.2">
      <c r="A12" s="195" t="s">
        <v>20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</row>
    <row r="13" spans="1:17" ht="15.75" customHeight="1" x14ac:dyDescent="0.2">
      <c r="A13" s="196" t="s">
        <v>21</v>
      </c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7" t="s">
        <v>22</v>
      </c>
      <c r="P13" s="197"/>
      <c r="Q13" s="198" t="s">
        <v>23</v>
      </c>
    </row>
    <row r="14" spans="1:17" ht="15.75" customHeight="1" x14ac:dyDescent="0.2">
      <c r="A14" s="28" t="s">
        <v>24</v>
      </c>
      <c r="B14" s="29" t="s">
        <v>25</v>
      </c>
      <c r="C14" s="29" t="s">
        <v>26</v>
      </c>
      <c r="D14" s="29" t="s">
        <v>27</v>
      </c>
      <c r="E14" s="29" t="s">
        <v>28</v>
      </c>
      <c r="F14" s="29" t="s">
        <v>29</v>
      </c>
      <c r="G14" s="30" t="s">
        <v>30</v>
      </c>
      <c r="H14" s="29" t="s">
        <v>31</v>
      </c>
      <c r="I14" s="29" t="s">
        <v>32</v>
      </c>
      <c r="J14" s="29" t="s">
        <v>33</v>
      </c>
      <c r="K14" s="29" t="s">
        <v>33</v>
      </c>
      <c r="L14" s="29" t="s">
        <v>34</v>
      </c>
      <c r="M14" s="31" t="s">
        <v>35</v>
      </c>
      <c r="N14" s="32" t="s">
        <v>36</v>
      </c>
      <c r="O14" s="197"/>
      <c r="P14" s="197"/>
      <c r="Q14" s="198"/>
    </row>
    <row r="15" spans="1:17" ht="17.25" customHeight="1" x14ac:dyDescent="0.2">
      <c r="A15" s="33">
        <v>21</v>
      </c>
      <c r="B15" s="34"/>
      <c r="C15" s="34"/>
      <c r="D15" s="34">
        <v>3</v>
      </c>
      <c r="E15" s="34"/>
      <c r="F15" s="34">
        <v>4901</v>
      </c>
      <c r="G15" s="34">
        <v>3</v>
      </c>
      <c r="H15" s="34">
        <v>1</v>
      </c>
      <c r="I15" s="34">
        <v>2</v>
      </c>
      <c r="J15" s="34">
        <v>5</v>
      </c>
      <c r="K15" s="34">
        <v>1</v>
      </c>
      <c r="L15" s="34"/>
      <c r="M15" s="35">
        <v>1</v>
      </c>
      <c r="N15" s="34" t="s">
        <v>132</v>
      </c>
      <c r="O15" s="189" t="s">
        <v>85</v>
      </c>
      <c r="P15" s="190"/>
      <c r="Q15" s="36">
        <v>3239561</v>
      </c>
    </row>
    <row r="16" spans="1:17" ht="17.25" customHeight="1" x14ac:dyDescent="0.2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9"/>
      <c r="N16" s="40"/>
      <c r="O16" s="184"/>
      <c r="P16" s="184"/>
      <c r="Q16" s="41"/>
    </row>
    <row r="17" spans="1:17" ht="17.25" customHeight="1" x14ac:dyDescent="0.2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9"/>
      <c r="N17" s="40"/>
      <c r="O17" s="191"/>
      <c r="P17" s="191"/>
      <c r="Q17" s="41"/>
    </row>
    <row r="18" spans="1:17" ht="17.25" customHeight="1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9"/>
      <c r="N18" s="40"/>
      <c r="O18" s="183"/>
      <c r="P18" s="183"/>
      <c r="Q18" s="41"/>
    </row>
    <row r="19" spans="1:17" ht="17.25" customHeight="1" x14ac:dyDescent="0.2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9"/>
      <c r="N19" s="40"/>
      <c r="O19" s="183"/>
      <c r="P19" s="183"/>
      <c r="Q19" s="41"/>
    </row>
    <row r="20" spans="1:17" ht="17.25" customHeight="1" x14ac:dyDescent="0.2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9"/>
      <c r="N20" s="40"/>
      <c r="O20" s="183"/>
      <c r="P20" s="183"/>
      <c r="Q20" s="41"/>
    </row>
    <row r="21" spans="1:17" ht="17.25" customHeight="1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40"/>
      <c r="O21" s="183"/>
      <c r="P21" s="183"/>
      <c r="Q21" s="41"/>
    </row>
    <row r="22" spans="1:17" ht="17.25" customHeight="1" x14ac:dyDescent="0.2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  <c r="N22" s="40"/>
      <c r="O22" s="183"/>
      <c r="P22" s="183"/>
      <c r="Q22" s="41"/>
    </row>
    <row r="23" spans="1:17" ht="17.25" customHeight="1" x14ac:dyDescent="0.2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  <c r="N23" s="40"/>
      <c r="O23" s="183"/>
      <c r="P23" s="183"/>
      <c r="Q23" s="41"/>
    </row>
    <row r="24" spans="1:17" ht="17.25" customHeight="1" x14ac:dyDescent="0.2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  <c r="N24" s="40"/>
      <c r="O24" s="183"/>
      <c r="P24" s="183"/>
      <c r="Q24" s="41"/>
    </row>
    <row r="25" spans="1:17" ht="17.25" customHeight="1" x14ac:dyDescent="0.2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  <c r="N25" s="40"/>
      <c r="O25" s="183"/>
      <c r="P25" s="183"/>
      <c r="Q25" s="41"/>
    </row>
    <row r="26" spans="1:17" ht="17.25" customHeight="1" x14ac:dyDescent="0.2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  <c r="N26" s="40"/>
      <c r="O26" s="183"/>
      <c r="P26" s="183"/>
      <c r="Q26" s="41"/>
    </row>
    <row r="27" spans="1:17" ht="17.25" customHeight="1" x14ac:dyDescent="0.2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9"/>
      <c r="N27" s="40"/>
      <c r="O27" s="183"/>
      <c r="P27" s="183"/>
      <c r="Q27" s="41"/>
    </row>
    <row r="28" spans="1:17" ht="17.25" customHeight="1" x14ac:dyDescent="0.2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  <c r="N28" s="40"/>
      <c r="O28" s="183"/>
      <c r="P28" s="183"/>
      <c r="Q28" s="41"/>
    </row>
    <row r="29" spans="1:17" ht="17.25" customHeight="1" x14ac:dyDescent="0.2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/>
      <c r="N29" s="40"/>
      <c r="O29" s="183"/>
      <c r="P29" s="183"/>
      <c r="Q29" s="41"/>
    </row>
    <row r="30" spans="1:17" ht="17.25" customHeight="1" x14ac:dyDescent="0.2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9"/>
      <c r="N30" s="40"/>
      <c r="O30" s="183"/>
      <c r="P30" s="183"/>
      <c r="Q30" s="41"/>
    </row>
    <row r="31" spans="1:17" ht="17.25" customHeight="1" x14ac:dyDescent="0.2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9"/>
      <c r="N31" s="40"/>
      <c r="O31" s="183"/>
      <c r="P31" s="183"/>
      <c r="Q31" s="41"/>
    </row>
    <row r="32" spans="1:17" ht="17.25" customHeight="1" x14ac:dyDescent="0.2">
      <c r="A32" s="37"/>
      <c r="B32" s="38"/>
      <c r="C32" s="38"/>
      <c r="D32" s="38"/>
      <c r="E32" s="38"/>
      <c r="F32" s="40"/>
      <c r="G32" s="38"/>
      <c r="H32" s="38"/>
      <c r="I32" s="38"/>
      <c r="J32" s="38"/>
      <c r="K32" s="38"/>
      <c r="L32" s="38"/>
      <c r="M32" s="39"/>
      <c r="N32" s="40"/>
      <c r="O32" s="184"/>
      <c r="P32" s="184"/>
      <c r="Q32" s="41"/>
    </row>
    <row r="33" spans="1:18" ht="17.25" customHeight="1" x14ac:dyDescent="0.2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9"/>
      <c r="N33" s="40"/>
      <c r="O33" s="184"/>
      <c r="P33" s="184"/>
      <c r="Q33" s="41"/>
    </row>
    <row r="34" spans="1:18" ht="17.25" customHeight="1" x14ac:dyDescent="0.2">
      <c r="A34" s="37"/>
      <c r="B34" s="38"/>
      <c r="C34" s="38"/>
      <c r="D34" s="38"/>
      <c r="E34" s="38"/>
      <c r="F34" s="40"/>
      <c r="G34" s="38"/>
      <c r="H34" s="38"/>
      <c r="I34" s="38"/>
      <c r="J34" s="38"/>
      <c r="K34" s="38"/>
      <c r="L34" s="38"/>
      <c r="M34" s="39"/>
      <c r="N34" s="40"/>
      <c r="O34" s="184"/>
      <c r="P34" s="184"/>
      <c r="Q34" s="41"/>
    </row>
    <row r="35" spans="1:18" ht="17.25" customHeight="1" x14ac:dyDescent="0.2">
      <c r="A35" s="37"/>
      <c r="B35" s="38"/>
      <c r="C35" s="38"/>
      <c r="D35" s="38"/>
      <c r="E35" s="38"/>
      <c r="F35" s="40"/>
      <c r="G35" s="38"/>
      <c r="H35" s="38"/>
      <c r="I35" s="38"/>
      <c r="J35" s="38"/>
      <c r="K35" s="38"/>
      <c r="L35" s="38"/>
      <c r="M35" s="39"/>
      <c r="N35" s="40"/>
      <c r="O35" s="184"/>
      <c r="P35" s="184"/>
      <c r="Q35" s="41"/>
    </row>
    <row r="36" spans="1:18" ht="17.25" customHeight="1" x14ac:dyDescent="0.2">
      <c r="A36" s="42"/>
      <c r="B36" s="43"/>
      <c r="C36" s="43"/>
      <c r="D36" s="43"/>
      <c r="E36" s="43"/>
      <c r="F36" s="44"/>
      <c r="G36" s="43"/>
      <c r="H36" s="43"/>
      <c r="I36" s="43"/>
      <c r="J36" s="43"/>
      <c r="K36" s="43"/>
      <c r="L36" s="43"/>
      <c r="M36" s="45"/>
      <c r="N36" s="46"/>
      <c r="O36" s="185"/>
      <c r="P36" s="185"/>
      <c r="Q36" s="41"/>
      <c r="R36" s="19"/>
    </row>
    <row r="37" spans="1:18" ht="17.25" customHeight="1" x14ac:dyDescent="0.2">
      <c r="A37" s="47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9"/>
      <c r="N37" s="48"/>
      <c r="O37" s="186"/>
      <c r="P37" s="186"/>
      <c r="Q37" s="50"/>
    </row>
    <row r="38" spans="1:18" ht="29.25" customHeight="1" x14ac:dyDescent="0.2">
      <c r="A38" s="187" t="s">
        <v>136</v>
      </c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51">
        <f>SUM(Q15:Q37)</f>
        <v>3239561</v>
      </c>
    </row>
    <row r="39" spans="1:18" ht="12" customHeight="1" x14ac:dyDescent="0.2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</row>
    <row r="40" spans="1:18" ht="17.25" customHeight="1" x14ac:dyDescent="0.2">
      <c r="A40" s="177" t="s">
        <v>137</v>
      </c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9"/>
    </row>
    <row r="41" spans="1:18" ht="18" customHeight="1" x14ac:dyDescent="0.2">
      <c r="A41" s="177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9"/>
    </row>
    <row r="42" spans="1:18" ht="63.75" customHeight="1" thickBot="1" x14ac:dyDescent="0.25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2"/>
    </row>
  </sheetData>
  <mergeCells count="44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A40:Q42"/>
    <mergeCell ref="O30:P30"/>
    <mergeCell ref="O31:P31"/>
    <mergeCell ref="O32:P32"/>
    <mergeCell ref="O33:P33"/>
    <mergeCell ref="O34:P34"/>
    <mergeCell ref="O35:P35"/>
    <mergeCell ref="O36:P36"/>
    <mergeCell ref="O37:P37"/>
    <mergeCell ref="A38:P38"/>
    <mergeCell ref="A39:Q39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2020-12-02T16:55:10Z</cp:lastPrinted>
  <dcterms:created xsi:type="dcterms:W3CDTF">2020-07-17T23:44:49Z</dcterms:created>
  <dcterms:modified xsi:type="dcterms:W3CDTF">2021-08-17T14:37:14Z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