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4" windowWidth="18360" windowHeight="6600" activeTab="1"/>
  </bookViews>
  <sheets>
    <sheet name="NUTRICION NT" sheetId="1" r:id="rId1"/>
    <sheet name="NUTRICION NPYE " sheetId="2" r:id="rId2"/>
    <sheet name="NUTRICION APG " sheetId="3" r:id="rId3"/>
  </sheets>
  <externalReferences>
    <externalReference r:id="rId4"/>
    <externalReference r:id="rId5"/>
  </externalReferences>
  <definedNames>
    <definedName name="_xlnm.Print_Area" localSheetId="2">'NUTRICION APG '!$A$1:$Q$27</definedName>
    <definedName name="_xlnm.Print_Area" localSheetId="1">'NUTRICION NPYE '!$A$1:$K$103</definedName>
  </definedNames>
  <calcPr calcId="124519"/>
</workbook>
</file>

<file path=xl/calcChain.xml><?xml version="1.0" encoding="utf-8"?>
<calcChain xmlns="http://schemas.openxmlformats.org/spreadsheetml/2006/main">
  <c r="A26" i="3"/>
  <c r="A10"/>
  <c r="G7"/>
  <c r="G6"/>
  <c r="G5"/>
  <c r="G4"/>
  <c r="B13" i="2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D7"/>
  <c r="D3"/>
  <c r="D4"/>
  <c r="C12"/>
  <c r="B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2"/>
  <c r="J97" l="1"/>
  <c r="J98"/>
  <c r="J99"/>
  <c r="J100"/>
  <c r="J101"/>
  <c r="J102"/>
  <c r="J91"/>
  <c r="J92"/>
  <c r="J93"/>
  <c r="J94"/>
  <c r="J95"/>
  <c r="J96"/>
  <c r="J82"/>
  <c r="J83"/>
  <c r="J84"/>
  <c r="J85"/>
  <c r="J86"/>
  <c r="J87"/>
  <c r="J88"/>
  <c r="J89"/>
  <c r="J90"/>
  <c r="J76"/>
  <c r="J77"/>
  <c r="J78"/>
  <c r="J79"/>
  <c r="J80"/>
  <c r="J81"/>
  <c r="J71"/>
  <c r="J72"/>
  <c r="J73"/>
  <c r="J74"/>
  <c r="J75"/>
  <c r="J65"/>
  <c r="J66"/>
  <c r="J67"/>
  <c r="J68"/>
  <c r="J69"/>
  <c r="J70"/>
  <c r="J55"/>
  <c r="J56"/>
  <c r="J57"/>
  <c r="J58"/>
  <c r="J59"/>
  <c r="J60"/>
  <c r="J61"/>
  <c r="J62"/>
  <c r="J63"/>
  <c r="J64"/>
  <c r="J47"/>
  <c r="J48"/>
  <c r="J49"/>
  <c r="J50"/>
  <c r="J51"/>
  <c r="J52"/>
  <c r="J53"/>
  <c r="J54"/>
  <c r="J42"/>
  <c r="J43"/>
  <c r="J44"/>
  <c r="J45"/>
  <c r="J46"/>
  <c r="J35"/>
  <c r="J36"/>
  <c r="J37"/>
  <c r="J38"/>
  <c r="J39"/>
  <c r="J40"/>
  <c r="J41"/>
  <c r="J31"/>
  <c r="J32"/>
  <c r="J33"/>
  <c r="J34"/>
  <c r="J24"/>
  <c r="J25"/>
  <c r="J26"/>
  <c r="J27"/>
  <c r="J28"/>
  <c r="J29"/>
  <c r="J30"/>
  <c r="J17"/>
  <c r="J18"/>
  <c r="J19"/>
  <c r="J20"/>
  <c r="J21"/>
  <c r="J22"/>
  <c r="J23"/>
  <c r="J15"/>
  <c r="J16"/>
  <c r="J14"/>
  <c r="J13"/>
  <c r="J12"/>
  <c r="Q23" i="3"/>
  <c r="D1"/>
  <c r="I100" i="1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J103" i="2" l="1"/>
</calcChain>
</file>

<file path=xl/sharedStrings.xml><?xml version="1.0" encoding="utf-8"?>
<sst xmlns="http://schemas.openxmlformats.org/spreadsheetml/2006/main" count="748" uniqueCount="302">
  <si>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</si>
  <si>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</si>
  <si>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</si>
  <si>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</si>
  <si>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</si>
  <si>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</si>
  <si>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</si>
  <si>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</si>
  <si>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</si>
  <si>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</si>
  <si>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</si>
  <si>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</si>
  <si>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</si>
  <si>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</si>
  <si>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</si>
  <si>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</si>
  <si>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2.1.1-439.60</t>
  </si>
  <si>
    <t>ALIMENTOS</t>
  </si>
  <si>
    <t>2.1.1</t>
  </si>
  <si>
    <t>ACEITES COMESTIBLES; TIPO: MEZCLA, PRESENTACION: ENVASE X 900 CM3, MATERIAL ENVASE: PLASTICO 1 (PET), ELEM. TRANSPORTE: SIN, MATERIAL ELEM. TRANSPORTE : SIN, LIBRE DE GLUTEN: SI</t>
  </si>
  <si>
    <t>BOTELLA</t>
  </si>
  <si>
    <t>2.1.1-481.38</t>
  </si>
  <si>
    <t>AZUCARES; TIPO: "A" COMUN, ESTADO: MOLIDA, PESO: 1 Kg, MATERIAL ENVASE: PLASTICO, CERTIFICADO FORESTAL (GFS): SIN, ELEM. TRANSPORTE: SIN, MATERIAL ELEM. TRANSPORTE: SIN</t>
  </si>
  <si>
    <t>PAQUETES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</si>
  <si>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</si>
  <si>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</si>
  <si>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LITROS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</si>
  <si>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</si>
  <si>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</si>
  <si>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2.1.1-511.8</t>
  </si>
  <si>
    <t>TE; SAQUITOS 2G P/CAJA: 50, PESO: SIN VALOR, TIPO: SIN VALOR, PRESENTACION: EN SAQUITOS</t>
  </si>
  <si>
    <t>CAJAS</t>
  </si>
  <si>
    <t>2.1.1-454.25</t>
  </si>
  <si>
    <t>YERBAS; PALO: CON, PESO: 1 Kg, MATERIAL ENVASE : PAPEL, CERTIFICADO FORESTAL (GFS): CON, ELEM. TRANSPORTE: SIN, MATERIAL ELEM. TRANSPORTE: SIN, LIBRE DE GLUTEN: SI</t>
  </si>
  <si>
    <t>2.1.1-2126.13</t>
  </si>
  <si>
    <t>SEMOLAS; TIPO: VITINA, PRESENTACION: BOLSA, PESO: 500 GR, MATERIAL ENVASE: PLASTICO 1 (PET), CERTICADO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</si>
  <si>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</si>
  <si>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</si>
  <si>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2.1.1-613.9</t>
  </si>
  <si>
    <t>FECULA DE MAIZ; ENVASE: BOLSA, PESO: 500 GR, LIBRE DE GLUTEN: SI</t>
  </si>
  <si>
    <t>2.1.1-6547.57</t>
  </si>
  <si>
    <t>LEGUMBRES; VARIEDAD: LENTEJAS SECAS, ESTADO: SECO, PRESENTACION: BOLSA, PESO: 500 GR</t>
  </si>
  <si>
    <t>2.1.1-514.2</t>
  </si>
  <si>
    <t>SAL DE MESA; CONSISTENCIA: FINA, PESO: 500 GR, TIPO: SIN VALOR, ENVASE: PAQUETE</t>
  </si>
  <si>
    <t>2.1.1-514.11</t>
  </si>
  <si>
    <t>SAL DE MESA; CONSISTENCIA: GRUESA, PESO: 50 Kg, TIPO: SIN VALOR, ENVASE: BOLSA</t>
  </si>
  <si>
    <t>BOLSAS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</si>
  <si>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</si>
  <si>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</si>
  <si>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</si>
  <si>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</si>
  <si>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2.1.1-706.4</t>
  </si>
  <si>
    <t>MATE COCIDO; ENVASE: CAJA CARTON, PESO X SAQ.: 3, PRESENTACION: ENSOBRADO, SAQUITOS P/CAJA: 50</t>
  </si>
  <si>
    <t>2.1.1-595.2</t>
  </si>
  <si>
    <t>EDULCORANTES; PRESENTACION: LIQUIDO, ENVASE: BOTELLA PLASTICA, CONTENIDO: 500 CM3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</si>
  <si>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</si>
  <si>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</si>
  <si>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</si>
  <si>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</si>
  <si>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</si>
  <si>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</si>
  <si>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2.1.1-510.5</t>
  </si>
  <si>
    <t>GELATINAS; ENVASE: CAJA DE CARTON, PESO: 30 GR, TIPO: BAJAS CALORIAS, SABOR: FRUTILLA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</si>
  <si>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</si>
  <si>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</si>
  <si>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2.1.1-517.86</t>
  </si>
  <si>
    <t>POSTRES; ESTADO PREPARACION: CON COCCION, TIPO: POLVO, ENVASE: CAJA DE CARTON, PESO: 80 GR, SABOR: VAINILLA, LIBRE DE GLUTEN: SI</t>
  </si>
  <si>
    <t>2.1.1-517.83</t>
  </si>
  <si>
    <t>POSTRES; ESTADO PREPARACION: CON COCCION, TIPO: POLVO, ENVASE: SOBRE, PESO: 75 GR, SABOR: DULCE DE LECHE, LIBRE DE GLUTEN: NO</t>
  </si>
  <si>
    <t>2.1.1-5917.8</t>
  </si>
  <si>
    <t>CEREALES; TIPO: TRIGO BURGOL, PRESENTACION: ENVASE X 1 Kg</t>
  </si>
  <si>
    <t>2.1.1-6539.114</t>
  </si>
  <si>
    <t>FRUTAS; VARIEDAD: CIRUELA ( SIN CAROZO ), ESTADO: DESECADA, PRESENTACION: ENVASE X 10 Kg, PESO: 10 Kg</t>
  </si>
  <si>
    <t>ENVASE</t>
  </si>
  <si>
    <t>2.1.1-6539.178</t>
  </si>
  <si>
    <t>FRUTAS; VARIEDAD: DURAZNO ( SIN CAROZO ), ESTADO: DESECADA, PRESENTACION: ENVASE X 5 Kg, ELEM. TRANSPORTE: SIN, MATERIAL ELEM. TRANSPORTE: SIN</t>
  </si>
  <si>
    <t>2.1.1-513.9</t>
  </si>
  <si>
    <t>FLANES; PESO: 60 GR, ENVASE: CAJA CARTON, ESTADO PREPARACION: CON COCCION, SABOR: VAINILLA, TIPO: SIN VALOR, PRESENTACION: 60 GR</t>
  </si>
  <si>
    <t>2.1.1-519.27</t>
  </si>
  <si>
    <t>VINAGRES; TIPO: VINO, PRESENTACION: ENVASE X 1 L, MATERIAL ENVASE: PLASTICO 1 (PET), LIBRE DE GLUTEN: NO</t>
  </si>
  <si>
    <t>2.1.1-2124.3</t>
  </si>
  <si>
    <t>AVENAS; TIPO: ARROLLADA, ESTADO: NATURAL, PRESENTACION: BOLSA, PESO: 1 Kg</t>
  </si>
  <si>
    <t>2.1.1-6547.84</t>
  </si>
  <si>
    <t>LEGUMBRES; VARIEDAD: ARVEJAS, ESTADO: CONSERVA, PRESENTACION: LATA, PESO: 350 GR, MATERIAL ENVASE: METAL, ELEM. TRANSPORTE: SIN, MATERIAL ELEM. TRANSPORTE: SIN, LIBRE DE GLUTEN: NO</t>
  </si>
  <si>
    <t>LATAS</t>
  </si>
  <si>
    <t>2.1.1-708.43</t>
  </si>
  <si>
    <t>CONSERVAS PESCADO Y FRUTOS MAR; TIPO: ATUN, ESTADO: AL NATURAL, PESO: 170 GR, ENVASE: LATA, ELEM. TRANSPORTE: SIN, MATERIAL ELEM. TRANSPORTE: SIN</t>
  </si>
  <si>
    <t>2.1.1-6546.183</t>
  </si>
  <si>
    <t>VERDURAS Y HORTALIZAS; VARIEDAD: TOMATE PERITA, ESTADO: NATURAL, PRESENTACION: LATA, PESO: 380 GR</t>
  </si>
  <si>
    <t>2.1.1-6539.46</t>
  </si>
  <si>
    <t>FRUTAS; VARIEDAD: DURAZNO, ESTADO: CONSERVA, PRESENTACION: ENVASE X 800 GR, PESO: 800 GR</t>
  </si>
  <si>
    <t>2.1.1-597.41</t>
  </si>
  <si>
    <t>CONSERVAS DE FRUTAS; VARIEDAD: COCTEL, ENVASE: LATA, PESO: 800 GR,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</si>
  <si>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</si>
  <si>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</si>
  <si>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2.1.1-438.37</t>
  </si>
  <si>
    <t>ADEREZOS; TIPO: MAYONESA, ENVASE: BOLSA, CONTENIDO: 2,9 Kg, PRESENTACION: ENVASE X 2,9 Kg</t>
  </si>
  <si>
    <t>SACHET</t>
  </si>
  <si>
    <t>2.1.1-6546.269</t>
  </si>
  <si>
    <t>VERDURAS Y HORTALIZAS; VARIEDAD: CHOCLO, ESTADO: GRANO, PRESENTACION: LATA, PESO: 350 GR</t>
  </si>
  <si>
    <t>2.1.1-6546.81</t>
  </si>
  <si>
    <t>VERDURAS Y HORTALIZAS; VARIEDAD: TOMATE, ESTADO: PURE NATURAL, PRESENTACION: CAJA, PESO: 500 GR</t>
  </si>
  <si>
    <t>2.1.1-2113.1</t>
  </si>
  <si>
    <t>DULCES; TIPO: DE BATATA, PRESENTACION: LATA, PESO: 5</t>
  </si>
  <si>
    <t>KG</t>
  </si>
  <si>
    <t>2.1.1-2113.2</t>
  </si>
  <si>
    <t>DULCES; TIPO: DE MEMBRILLO, PRESENTACION: LATA, PESO: 5 Kg</t>
  </si>
  <si>
    <t>2.1.1-6546.336</t>
  </si>
  <si>
    <t>VERDURAS Y HORTALIZAS; VARIEDAD: CHOCLO, ESTADO: CREMOSO, PRESENTACION: LATA, PESO: 350 GR, ELEM. TRANSPORTE: SIN, MATERIAL ELEM. TRANSPORTE: SIN, LIBRE DE GLUTEN: NO</t>
  </si>
  <si>
    <t>2.1.1-489.66</t>
  </si>
  <si>
    <t>ESPECIAS; TIPO: OREGANO, PRESENTACION: BOLSA DE 1 Kg</t>
  </si>
  <si>
    <t>2.1.1-489.67</t>
  </si>
  <si>
    <t>ESPECIAS; TIPO: PIMENTON, PRESENTACION: BOLSA DE 1 Kg</t>
  </si>
  <si>
    <t>2.1.1-489.53</t>
  </si>
  <si>
    <t>ESPECIAS; TIPO: NUEZ MOSCADA, PRESENTACION: POLVO</t>
  </si>
  <si>
    <t>2.1.1-489.132</t>
  </si>
  <si>
    <t>ESPECIAS; TIPO: PIMIENTA BLANCA, PRESENTACION: ENVASE X 1 Kg</t>
  </si>
  <si>
    <t>2.1.1-621.7</t>
  </si>
  <si>
    <t>AVES; ESPECIE: POLLO, EVISCERADO: SIN MENUDOS, PRESENTACION: ENTERO, TIPO: POLLO</t>
  </si>
  <si>
    <t>2.1.1-483.20</t>
  </si>
  <si>
    <t>HUEVO DE GALLINA; COLOR: COLOR, PRESENTACION: 60, TAMAÑO: MEDIANOS</t>
  </si>
  <si>
    <t>CARTON</t>
  </si>
  <si>
    <t>2.1.1-621.11</t>
  </si>
  <si>
    <t>AVES; ESPECIE: PECHUGA DE POLLO, PRESENTACION: BOLSA X 2 Kg, EVISCERADO: SIN VALOR, TIPO: PECHUGA DE POLLO</t>
  </si>
  <si>
    <t>2.1.1-590.27</t>
  </si>
  <si>
    <t>PESCADOS Y FRUTOS CONGELADOS; TIPO: FILET DE MERLUZA, ENVASE: POLIESTIRENO, PRESENTACION: ENVASE X 1 Kg, ELEM. TRANSPORTE: SIN, MATERIAL ELEM. TRANSPORTE: SIN</t>
  </si>
  <si>
    <t>2.1.1-669.27</t>
  </si>
  <si>
    <t>PANES; TIPO: MIÑON, PRESENTACION: GRANEL</t>
  </si>
  <si>
    <t>2.1.1-669.51</t>
  </si>
  <si>
    <t>PANES; TIPO: FRANCES, PRESENTACION: UNIDAD</t>
  </si>
  <si>
    <t>UNIDAD</t>
  </si>
  <si>
    <t>2.1.1-669.1</t>
  </si>
  <si>
    <t>PANES; PRESENTACION: GRANEL, TIPO: SALVADO</t>
  </si>
  <si>
    <t>2.1.1-669.37</t>
  </si>
  <si>
    <t>PANES; TIPO: RALLADO, PRESENTACION: BOLSA X 5 Kg</t>
  </si>
  <si>
    <t>2.1.1-2430.1</t>
  </si>
  <si>
    <t>PREPIZZA; GUSTO: TOMATE, TAMAÑO: MEDIANO</t>
  </si>
  <si>
    <t>2.1.1-518.32</t>
  </si>
  <si>
    <t>TORTAS; TIPO: PIONONO, PESO: 180 GR</t>
  </si>
  <si>
    <t>2.1.1-788.229</t>
  </si>
  <si>
    <t>GALLETITAS; VARIEDAD: VAINILLA, RELLENO: SIN, PRESENTACION: ENVASE X 792 GR, ELEM. TRANSPORTE: SIN, MATERIAL ELEM. TRANSPORTE: SIN, LIBRE DE GLUTEN: NO</t>
  </si>
  <si>
    <t>2.1.1-788.224</t>
  </si>
  <si>
    <t>GALLETITAS; VARIEDAD: SALADA, RELLENO: SIN, PRESENTACION: ENVASE X 275 GR, ELEM. TRANSPORTE: SIN, MATERIAL ELEM. TRANSPORTE: SIN, LIBRE DE GLUTEN: SI</t>
  </si>
  <si>
    <t>2.1.1-6546.34</t>
  </si>
  <si>
    <t>VERDURAS Y HORTALIZAS; VARIEDAD: ACELGA, ESTADO: EN HOJA, PRESENTACION: ATADO, PESO: SIN VALOR</t>
  </si>
  <si>
    <t>ATADOS</t>
  </si>
  <si>
    <t>2.1.1-6546.166</t>
  </si>
  <si>
    <t>VERDURAS Y HORTALIZAS; PRESENTACION: GRANEL, VARIEDAD: ZANAHORIA, ESTADO: NATURAL, PESO: SIN VALOR</t>
  </si>
  <si>
    <t>2.1.1-6546.151</t>
  </si>
  <si>
    <t>VERDURAS Y HORTALIZAS; VARIEDAD: ZAPALLITO REDONDO, ESTADO: NATURAL, PRESENTACION: CAJON, PESO: SIN VALOR</t>
  </si>
  <si>
    <t>CAJON</t>
  </si>
  <si>
    <t>2.1.1-6546.100</t>
  </si>
  <si>
    <t>VERDURAS Y HORTALIZAS; ESTADO: NATURAL, PRESENTACION: GRANEL, VARIEDAD: PAPA BLANCA, PESO: SIN VALOR</t>
  </si>
  <si>
    <t>2.1.1-6546.49</t>
  </si>
  <si>
    <t>VERDURAS Y HORTALIZAS; VARIEDAD: CHAUCHA, PRESENTACION: GRANEL, ESTADO: NATURAL, PESO: SIN VALOR</t>
  </si>
  <si>
    <t>2.1.1-6546.2</t>
  </si>
  <si>
    <t>VERDURAS Y HORTALIZAS; VARIEDAD: TOMATE REDONDO, ESTADO: NATURAL, PRESENTACION: GRANEL, PESO: SIN VALOR</t>
  </si>
  <si>
    <t>2.1.1-6546.39</t>
  </si>
  <si>
    <t>VERDURAS Y HORTALIZAS; VARIEDAD: CEBOLLA, ESTADO: NATURAL, PRESENTACION: BOLSA, PESO: 25 Kg</t>
  </si>
  <si>
    <t>2.1.1-6546.47</t>
  </si>
  <si>
    <t>VERDURAS Y HORTALIZAS; VARIEDAD: CEBOLLA DE VERDEO, ESTADO: NATURAL, PRESENTACION: GRANEL, PESO: SIN VALOR</t>
  </si>
  <si>
    <t>2.1.1-6546.124</t>
  </si>
  <si>
    <t>VERDURAS Y HORTALIZAS; PESO: SIN VALOR, VARIEDAD: REMOLACHA, ESTADO: NATURAL, PRESENTACION: GRANEL</t>
  </si>
  <si>
    <t>2.1.1-6546.231</t>
  </si>
  <si>
    <t>VERDURAS Y HORTALIZAS; VARIEDAD: ZAPALLO ANCO, ESTADO: NATURAL, PRESENTACION: BOLSA, PESO: 20 Kg</t>
  </si>
  <si>
    <t>2.1.1-6546.162</t>
  </si>
  <si>
    <t>VERDURAS Y HORTALIZAS; VARIEDAD: ZAPALLO CRIOLLO, ESTADO: NATURAL, PRESENTACION: UNIDAD, PESO: SIN VALOR</t>
  </si>
  <si>
    <t>2.1.1-6546.132</t>
  </si>
  <si>
    <t>VERDURAS Y HORTALIZAS; VARIEDAD: PEREJIL, ESTADO: NATURAL, PRESENTACION: GRANEL, PESO: SIN VALOR</t>
  </si>
  <si>
    <t>2.1.1-6546.95</t>
  </si>
  <si>
    <t>VERDURAS Y HORTALIZAS; VARIEDAD: MORRON VERDE, ESTADO: NATURAL, PRESENTACION: GRANEL, PESO: SIN VALOR</t>
  </si>
  <si>
    <t>2.1.1-6546.89</t>
  </si>
  <si>
    <t>VERDURAS Y HORTALIZAS; VARIEDAD: LECHUGA, ESTADO: NATURAL, PRESENTACION: GRANEL, PESO: SIN VALOR</t>
  </si>
  <si>
    <t>2.1.1-6539.20</t>
  </si>
  <si>
    <t>FRUTAS; ESTADO: NATURAL, VARIEDAD: MANZANA RED DELICIOSA, PRESENTACION: CAJON, PESO: SIN VALOR</t>
  </si>
  <si>
    <t>2.1.1-6539.30</t>
  </si>
  <si>
    <t>FRUTAS; VARIEDAD: BANANA, PRESENTACION: CAJON, ESTADO: NATURAL, PESO: SIN VALOR</t>
  </si>
  <si>
    <t>2.1.1-6539.8</t>
  </si>
  <si>
    <t>FRUTAS; VARIEDAD: NARANJA ESPECIAL, ESTADO: NATURAL, PRESENTACION: CAJON, PESO: SIN VALOR</t>
  </si>
  <si>
    <t>2.1.1-6539.32</t>
  </si>
  <si>
    <t>FRUTAS; VARIEDAD: PERA AMARILLA, ESTADO: NATURAL, PRESENTACION: CAJON, PESO: SIN VALOR</t>
  </si>
  <si>
    <t>2.1.1-6539.187</t>
  </si>
  <si>
    <t>FRUTAS; VARIEDAD: LIMON, ESTADO: NATURAL, PRESENTACION: CAJON, ELEM. TRANSPORTE: SIN, MATERIAL ELEM. TRANSPORTE: SIN, ORGANICO: NO</t>
  </si>
  <si>
    <t>2.1.1-541.27</t>
  </si>
  <si>
    <t>CARNES; ESPECIE: VACUNA, CORTE: CUADRIL, TIPO: VACUNA</t>
  </si>
  <si>
    <t>2.1.1-541.49</t>
  </si>
  <si>
    <t>CARNES; ESPECIE: VACUNA, CORTE: NALGA, TIPO: VACUNA</t>
  </si>
  <si>
    <t>2.1.1-541.7</t>
  </si>
  <si>
    <t>CARNES; ESPECIE: VACUNA, CORTE: PICADA ESPECIAL, TIPO: VACUNA</t>
  </si>
  <si>
    <t>2.1.1-541.70</t>
  </si>
  <si>
    <t>CARNES; CORTE: CARRE CON LOMO, TIPO: PORCINA, ESPECIE: PORCINA</t>
  </si>
  <si>
    <t>2.1.1-541.164</t>
  </si>
  <si>
    <t>CARNES; TIPO: PORCINA, CORTE: COSTELETA</t>
  </si>
  <si>
    <t>2.1.1-542.212</t>
  </si>
  <si>
    <t>QUESOS; TIPO: CUARTIROLO, PRESENTACION: HORMA, ELEM. TRANSPORTE: SIN, MATERIAL ELEM. TRANSPORTE: SIN, MATERIAL ENVASE: SIN, CERTIFICADO FORESTAL (GFS): SIN, LIBRE DE GLUTEN: SI</t>
  </si>
  <si>
    <t>2.1.1-542.197</t>
  </si>
  <si>
    <t>QUESOS; TIPO: TYBO, PRESENTACION: HORMA, ELEM. TRANSPORTE: SIN, MATERIAL ELEM. TRANSPORTE: SIN, MATERIAL ENVASE: PLASTICO, CERTIFICADO FORESTAL (GFS): SIN, LIBRE DE GLUTEN: NO</t>
  </si>
  <si>
    <t>2.1.1-542.207</t>
  </si>
  <si>
    <t>QUESOS; TIPO: SARDO, PRESENTACION: HORMA X 3 Kg, ELEM. TRANSPORTE: SIN, MATERIAL ELEM. TRANSPORTE: SIN, MATERIAL ENVASE: SIN, CERTIFICADO FORESTAL (GFS): SIN, LIBRE DE GLUTEN: NO</t>
  </si>
  <si>
    <t>HORMA</t>
  </si>
  <si>
    <t>2.1.1-969.35</t>
  </si>
  <si>
    <t>FIAMBRES; TIPO: JAMON COCIDO ITALIANO, PRESENTACION: AL PESO</t>
  </si>
  <si>
    <t>2.1.1-4975.2</t>
  </si>
  <si>
    <t>RICOTA; ENVASE: PAQUETE, PESO: 1 Kg, SABOR: SIN</t>
  </si>
  <si>
    <t>2.1.1-707.32</t>
  </si>
  <si>
    <t>PASTAS FRESCAS; VARIEDAD: RAVIOL, RELLENO: RICOTA Y ACELGA, PRESENTACION: 2 PLANCHA X 24 UN</t>
  </si>
  <si>
    <t>2.1.1-2429.1</t>
  </si>
  <si>
    <t>TAPAS P/TARTAS; TIPO: REDONDA, MASA: CASERA, PRESENTACION: BOLSA</t>
  </si>
  <si>
    <t>2.1.1-2610.1</t>
  </si>
  <si>
    <t>TAPAS P/EMPANADAS; TIPO: P/HORNO, PRESENTACION: BOLSA X 12</t>
  </si>
  <si>
    <t>2.1.1-456.79</t>
  </si>
  <si>
    <t>YOGHURT; TIPO: DESCREMADO, AGREGADO: SIN, CONSISTENCIA: FIRME, SABOR: VAINILLA, PRESENTACION: POTE PLASTICO X 200 GR</t>
  </si>
  <si>
    <t>2.1.1-455.16</t>
  </si>
  <si>
    <t>DULCE DE LECHE; ENVASE: DE CARTON, CAPACIDAD: 5000 GR, TIPO: DE REPOSTERIA, PRESENTACION: ENVASE DE CARTON X 5 Kg</t>
  </si>
  <si>
    <t>Especificidades Item N° 6:</t>
  </si>
  <si>
    <t>Descripción técnica</t>
  </si>
  <si>
    <t xml:space="preserve">YERBA MATE X 1 KG NO MARCA LA HOJA </t>
  </si>
  <si>
    <t>Plazos y lugares de entrega</t>
  </si>
  <si>
    <t>Según necesidad de servicio - Servicio de Nutricion del HISJB</t>
  </si>
  <si>
    <t>Calidad Minima esperada</t>
  </si>
  <si>
    <t>Mantenimiento</t>
  </si>
  <si>
    <t xml:space="preserve">90 dias habiles </t>
  </si>
  <si>
    <t>Garantia</t>
  </si>
  <si>
    <t>NOTA DE PEDIDO</t>
  </si>
  <si>
    <t>N°</t>
  </si>
  <si>
    <t>372 - 2020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</si>
  <si>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</si>
  <si>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</si>
  <si>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</si>
  <si>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</si>
  <si>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</si>
  <si>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Nutrición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</si>
  <si>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</si>
  <si>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</si>
  <si>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</si>
  <si>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</si>
  <si>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</si>
  <si>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</si>
  <si>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</si>
  <si>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</si>
  <si>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</si>
  <si>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</si>
  <si>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</si>
  <si>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</si>
  <si>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</si>
  <si>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</si>
  <si>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</si>
  <si>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</si>
  <si>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</si>
  <si>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</si>
  <si>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</si>
  <si>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</si>
  <si>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</si>
  <si>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</si>
  <si>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</si>
  <si>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</si>
  <si>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</si>
  <si>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</si>
  <si>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</si>
  <si>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</si>
  <si>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</si>
  <si>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</si>
  <si>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</si>
  <si>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</si>
  <si>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</si>
  <si>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Alimentos para Personas</t>
  </si>
  <si>
    <t>JUSTIFICACIÓN:</t>
  </si>
  <si>
    <t>Especificidades Item N° 61:</t>
  </si>
  <si>
    <t>Según necesidad de Servicio - Servicio de Nutrición</t>
  </si>
  <si>
    <t>90 días habiles</t>
  </si>
  <si>
    <t>ZANAHORIA FRESCA NATURAL BOLSA X 25 KG.</t>
  </si>
  <si>
    <t>Especificidades Item N° 63:</t>
  </si>
  <si>
    <t>PAPA BLANCA BOLSA X 25 KG.</t>
  </si>
  <si>
    <t>Especificidades Item N° 65:</t>
  </si>
  <si>
    <t>Especificidades Item N° 66:</t>
  </si>
  <si>
    <t>CEBOLLA DE VERDEO NATURAL ATADOS X 1 KG.</t>
  </si>
  <si>
    <t>REMOLACHA FRESCA TIERNA ATADO X 12 CABEZAS</t>
  </si>
  <si>
    <t>Especificidades Item N° 70:</t>
  </si>
  <si>
    <t>Especificidades Item N° 72:</t>
  </si>
  <si>
    <t>Especificidades Item N° 73:</t>
  </si>
  <si>
    <t>Especificidades Item N° 74:</t>
  </si>
  <si>
    <t>Especificidades Item N° 75:</t>
  </si>
  <si>
    <t>Especificidades Item N° 76:</t>
  </si>
  <si>
    <t>Especificidades Item N° 59:</t>
  </si>
  <si>
    <t>Especificidades Item N° 60:</t>
  </si>
  <si>
    <t>Especificidades Item N° 51:</t>
  </si>
  <si>
    <t>Especificidades Item N° 52:</t>
  </si>
  <si>
    <t>ROSETAS SIN SAL DE 60 GRS CADA UNA</t>
  </si>
  <si>
    <t>PAN SALVADO DE 60 GRS C/U</t>
  </si>
  <si>
    <t>ZAPALLITO REDONDO VERDE FRESCO (CAJON X 15 KG)</t>
  </si>
  <si>
    <t>TOMATE REDONDO FRESCO (CAJON X 17 KG)</t>
  </si>
  <si>
    <t>PIMIENTO MORRON VERDE FRESCO (CAJON X 10 KG)</t>
  </si>
  <si>
    <t>MANZANA DELICIOSA TAMAÑO MEDIANO (CAJON X 20 KG)</t>
  </si>
  <si>
    <t>BANANA TIPO ECUATORIANA (CAJON X 25 KG)</t>
  </si>
  <si>
    <t>NARANJA CRIOLLA (CAJON X 20 KG)</t>
  </si>
  <si>
    <t>PERAS DE AGUA TIERNA (CAJON X 17 KG)</t>
  </si>
  <si>
    <t>LIMÓN FRESCO PARA JUGO (CAJON X 12 KG)</t>
  </si>
  <si>
    <t>Costo total estimado: cuatro millones quinientos noventa y ocho mil treinta y dos con 77/100.-------------</t>
  </si>
  <si>
    <t>TOTAL DE PESOS: CUATRO MILLONES QUINIENTOS NOVENTA Y OCHO MIL TREINTA Y DOS CON 77/100.--</t>
  </si>
  <si>
    <t>PAQUETE</t>
  </si>
  <si>
    <t>CAJA/BOLSA</t>
  </si>
  <si>
    <t>Adquisición de Alimentos Perecederos y no Perecederos</t>
  </si>
</sst>
</file>

<file path=xl/styles.xml><?xml version="1.0" encoding="utf-8"?>
<styleSheet xmlns="http://schemas.openxmlformats.org/spreadsheetml/2006/main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27">
    <font>
      <sz val="10"/>
      <name val="Arial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Border="0" applyProtection="0"/>
    <xf numFmtId="0" fontId="1" fillId="0" borderId="0"/>
    <xf numFmtId="0" fontId="12" fillId="0" borderId="12" applyProtection="0"/>
    <xf numFmtId="166" fontId="13" fillId="0" borderId="0" applyBorder="0" applyProtection="0"/>
    <xf numFmtId="0" fontId="14" fillId="5" borderId="0" applyBorder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2" applyFont="1"/>
    <xf numFmtId="0" fontId="6" fillId="0" borderId="0" xfId="2" applyFont="1" applyAlignment="1">
      <alignment horizontal="left" wrapText="1"/>
    </xf>
    <xf numFmtId="0" fontId="6" fillId="0" borderId="0" xfId="2" applyFont="1" applyAlignment="1">
      <alignment horizontal="center" wrapText="1"/>
    </xf>
    <xf numFmtId="0" fontId="5" fillId="2" borderId="0" xfId="2" applyFont="1" applyFill="1" applyAlignment="1">
      <alignment horizontal="left" wrapText="1" indent="1"/>
    </xf>
    <xf numFmtId="0" fontId="7" fillId="3" borderId="0" xfId="2" applyFont="1" applyFill="1" applyAlignment="1">
      <alignment horizontal="left" wrapText="1"/>
    </xf>
    <xf numFmtId="0" fontId="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center" vertical="center" wrapText="1"/>
    </xf>
    <xf numFmtId="0" fontId="10" fillId="0" borderId="1" xfId="2" applyFont="1" applyFill="1" applyBorder="1" applyAlignment="1">
      <alignment vertical="center" wrapText="1"/>
    </xf>
    <xf numFmtId="165" fontId="8" fillId="2" borderId="1" xfId="1" applyNumberFormat="1" applyFont="1" applyFill="1" applyBorder="1" applyAlignment="1" applyProtection="1">
      <alignment horizontal="center" vertical="center" wrapText="1"/>
    </xf>
    <xf numFmtId="165" fontId="8" fillId="2" borderId="1" xfId="1" applyNumberFormat="1" applyFont="1" applyFill="1" applyBorder="1" applyAlignment="1" applyProtection="1">
      <alignment horizontal="right" vertical="center" wrapText="1"/>
    </xf>
    <xf numFmtId="0" fontId="1" fillId="0" borderId="0" xfId="2" applyAlignment="1">
      <alignment wrapText="1"/>
    </xf>
    <xf numFmtId="0" fontId="1" fillId="0" borderId="0" xfId="2" applyAlignment="1">
      <alignment vertical="center"/>
    </xf>
    <xf numFmtId="0" fontId="1" fillId="0" borderId="0" xfId="2" applyAlignment="1">
      <alignment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vertical="center" wrapText="1"/>
    </xf>
    <xf numFmtId="0" fontId="2" fillId="3" borderId="0" xfId="2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0" fillId="0" borderId="2" xfId="2" applyFont="1" applyFill="1" applyBorder="1" applyAlignment="1">
      <alignment vertical="center" wrapText="1"/>
    </xf>
    <xf numFmtId="0" fontId="10" fillId="0" borderId="3" xfId="2" applyFont="1" applyFill="1" applyBorder="1" applyAlignment="1">
      <alignment vertical="center" wrapText="1"/>
    </xf>
    <xf numFmtId="0" fontId="11" fillId="0" borderId="4" xfId="2" applyFont="1" applyBorder="1"/>
    <xf numFmtId="0" fontId="2" fillId="0" borderId="5" xfId="2" applyFont="1" applyBorder="1"/>
    <xf numFmtId="0" fontId="2" fillId="0" borderId="6" xfId="2" applyFont="1" applyBorder="1"/>
    <xf numFmtId="0" fontId="2" fillId="0" borderId="7" xfId="2" applyFont="1" applyBorder="1"/>
    <xf numFmtId="0" fontId="2" fillId="0" borderId="0" xfId="2" applyFont="1" applyBorder="1"/>
    <xf numFmtId="0" fontId="2" fillId="0" borderId="8" xfId="2" applyFont="1" applyBorder="1"/>
    <xf numFmtId="0" fontId="11" fillId="0" borderId="7" xfId="2" applyFont="1" applyBorder="1" applyAlignment="1">
      <alignment horizontal="left" indent="3"/>
    </xf>
    <xf numFmtId="0" fontId="2" fillId="0" borderId="7" xfId="2" applyFont="1" applyBorder="1" applyAlignment="1">
      <alignment horizontal="left" indent="3"/>
    </xf>
    <xf numFmtId="0" fontId="2" fillId="0" borderId="0" xfId="2" applyFont="1" applyBorder="1" applyAlignment="1">
      <alignment horizontal="center" wrapText="1"/>
    </xf>
    <xf numFmtId="0" fontId="2" fillId="0" borderId="8" xfId="2" applyFont="1" applyBorder="1" applyAlignment="1">
      <alignment horizontal="center" wrapText="1"/>
    </xf>
    <xf numFmtId="0" fontId="2" fillId="0" borderId="9" xfId="2" applyFont="1" applyBorder="1" applyAlignment="1">
      <alignment horizontal="left" indent="3"/>
    </xf>
    <xf numFmtId="0" fontId="2" fillId="0" borderId="10" xfId="2" applyFont="1" applyBorder="1"/>
    <xf numFmtId="0" fontId="2" fillId="0" borderId="11" xfId="2" applyFont="1" applyBorder="1"/>
    <xf numFmtId="0" fontId="15" fillId="0" borderId="13" xfId="2" applyFont="1" applyBorder="1" applyAlignment="1">
      <alignment horizontal="right" vertical="center"/>
    </xf>
    <xf numFmtId="0" fontId="16" fillId="2" borderId="14" xfId="2" applyFont="1" applyFill="1" applyBorder="1" applyAlignment="1">
      <alignment horizontal="center" vertical="center"/>
    </xf>
    <xf numFmtId="0" fontId="13" fillId="0" borderId="0" xfId="2" applyFont="1" applyBorder="1" applyAlignment="1">
      <alignment vertical="center"/>
    </xf>
    <xf numFmtId="0" fontId="15" fillId="0" borderId="15" xfId="2" applyFont="1" applyBorder="1" applyAlignment="1">
      <alignment vertical="center"/>
    </xf>
    <xf numFmtId="0" fontId="15" fillId="0" borderId="0" xfId="2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0" fontId="16" fillId="0" borderId="0" xfId="2" applyFont="1" applyBorder="1" applyAlignment="1">
      <alignment horizontal="left" vertical="center" wrapText="1" indent="1"/>
    </xf>
    <xf numFmtId="0" fontId="19" fillId="0" borderId="21" xfId="2" applyFont="1" applyBorder="1" applyAlignment="1">
      <alignment horizontal="center" vertical="center"/>
    </xf>
    <xf numFmtId="0" fontId="19" fillId="3" borderId="21" xfId="2" applyFont="1" applyFill="1" applyBorder="1" applyAlignment="1">
      <alignment horizontal="left" vertical="center"/>
    </xf>
    <xf numFmtId="0" fontId="19" fillId="2" borderId="21" xfId="2" applyFont="1" applyFill="1" applyBorder="1" applyAlignment="1">
      <alignment horizontal="center" vertical="center"/>
    </xf>
    <xf numFmtId="0" fontId="19" fillId="3" borderId="21" xfId="2" applyFont="1" applyFill="1" applyBorder="1" applyAlignment="1">
      <alignment horizontal="center" vertical="center" wrapText="1"/>
    </xf>
    <xf numFmtId="0" fontId="1" fillId="0" borderId="0" xfId="2"/>
    <xf numFmtId="3" fontId="20" fillId="0" borderId="0" xfId="2" applyNumberFormat="1" applyFont="1" applyBorder="1" applyAlignment="1"/>
    <xf numFmtId="168" fontId="1" fillId="0" borderId="0" xfId="2" applyNumberFormat="1" applyAlignment="1">
      <alignment horizontal="left"/>
    </xf>
    <xf numFmtId="0" fontId="1" fillId="0" borderId="0" xfId="2" applyAlignment="1">
      <alignment horizontal="left"/>
    </xf>
    <xf numFmtId="0" fontId="13" fillId="0" borderId="0" xfId="2" applyFont="1"/>
    <xf numFmtId="0" fontId="1" fillId="0" borderId="0" xfId="2" applyBorder="1"/>
    <xf numFmtId="0" fontId="1" fillId="0" borderId="13" xfId="2" applyBorder="1"/>
    <xf numFmtId="0" fontId="1" fillId="0" borderId="28" xfId="2" applyBorder="1"/>
    <xf numFmtId="0" fontId="1" fillId="0" borderId="15" xfId="2" applyBorder="1"/>
    <xf numFmtId="0" fontId="1" fillId="0" borderId="15" xfId="2" applyBorder="1" applyAlignment="1">
      <alignment horizontal="left"/>
    </xf>
    <xf numFmtId="0" fontId="1" fillId="0" borderId="29" xfId="2" applyBorder="1"/>
    <xf numFmtId="0" fontId="24" fillId="0" borderId="32" xfId="2" applyFont="1" applyBorder="1" applyAlignment="1">
      <alignment horizontal="center" vertical="center"/>
    </xf>
    <xf numFmtId="0" fontId="24" fillId="0" borderId="33" xfId="2" applyFont="1" applyBorder="1" applyAlignment="1">
      <alignment horizontal="center" vertical="center"/>
    </xf>
    <xf numFmtId="0" fontId="24" fillId="0" borderId="33" xfId="2" applyFont="1" applyBorder="1" applyAlignment="1">
      <alignment horizontal="left" vertical="center"/>
    </xf>
    <xf numFmtId="0" fontId="24" fillId="0" borderId="34" xfId="2" applyFont="1" applyBorder="1" applyAlignment="1">
      <alignment horizontal="center" vertical="center"/>
    </xf>
    <xf numFmtId="0" fontId="24" fillId="0" borderId="27" xfId="2" applyFont="1" applyBorder="1" applyAlignment="1">
      <alignment horizontal="center" vertical="center"/>
    </xf>
    <xf numFmtId="0" fontId="1" fillId="2" borderId="35" xfId="2" applyFont="1" applyFill="1" applyBorder="1" applyAlignment="1">
      <alignment horizontal="center" vertical="center"/>
    </xf>
    <xf numFmtId="0" fontId="1" fillId="2" borderId="36" xfId="2" applyFont="1" applyFill="1" applyBorder="1" applyAlignment="1">
      <alignment horizontal="center" vertical="center"/>
    </xf>
    <xf numFmtId="0" fontId="1" fillId="3" borderId="36" xfId="2" applyFont="1" applyFill="1" applyBorder="1" applyAlignment="1">
      <alignment horizontal="center" vertical="center"/>
    </xf>
    <xf numFmtId="0" fontId="1" fillId="2" borderId="37" xfId="2" applyFont="1" applyFill="1" applyBorder="1" applyAlignment="1">
      <alignment horizontal="center" vertical="center"/>
    </xf>
    <xf numFmtId="165" fontId="0" fillId="0" borderId="38" xfId="4" applyNumberFormat="1" applyFont="1" applyBorder="1" applyAlignment="1" applyProtection="1">
      <alignment horizontal="center" vertical="center"/>
    </xf>
    <xf numFmtId="0" fontId="1" fillId="0" borderId="39" xfId="2" applyFont="1" applyBorder="1" applyAlignment="1">
      <alignment horizontal="center" vertical="center"/>
    </xf>
    <xf numFmtId="0" fontId="1" fillId="0" borderId="40" xfId="2" applyFont="1" applyBorder="1" applyAlignment="1">
      <alignment horizontal="center" vertical="center"/>
    </xf>
    <xf numFmtId="0" fontId="1" fillId="0" borderId="41" xfId="2" applyFont="1" applyBorder="1" applyAlignment="1">
      <alignment horizontal="center" vertical="center"/>
    </xf>
    <xf numFmtId="0" fontId="1" fillId="0" borderId="42" xfId="2" applyFont="1" applyBorder="1" applyAlignment="1">
      <alignment horizontal="center" vertical="center"/>
    </xf>
    <xf numFmtId="165" fontId="0" fillId="0" borderId="43" xfId="4" applyNumberFormat="1" applyFont="1" applyBorder="1" applyAlignment="1" applyProtection="1">
      <alignment horizontal="center" vertical="center"/>
    </xf>
    <xf numFmtId="165" fontId="1" fillId="0" borderId="0" xfId="2" applyNumberFormat="1"/>
    <xf numFmtId="0" fontId="22" fillId="0" borderId="39" xfId="2" applyFont="1" applyBorder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0" borderId="42" xfId="2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42" xfId="2" applyFont="1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45" xfId="2" applyBorder="1" applyAlignment="1">
      <alignment horizontal="center" vertical="center"/>
    </xf>
    <xf numFmtId="0" fontId="1" fillId="0" borderId="46" xfId="2" applyBorder="1" applyAlignment="1">
      <alignment horizontal="center" vertical="center"/>
    </xf>
    <xf numFmtId="165" fontId="0" fillId="0" borderId="47" xfId="4" applyNumberFormat="1" applyFont="1" applyBorder="1" applyAlignment="1" applyProtection="1">
      <alignment horizontal="center" vertical="center"/>
    </xf>
    <xf numFmtId="165" fontId="24" fillId="0" borderId="48" xfId="2" applyNumberFormat="1" applyFont="1" applyBorder="1" applyAlignment="1">
      <alignment horizontal="center" vertical="center"/>
    </xf>
    <xf numFmtId="0" fontId="2" fillId="0" borderId="0" xfId="0" applyFont="1"/>
    <xf numFmtId="0" fontId="1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11" fillId="0" borderId="7" xfId="0" applyFont="1" applyBorder="1" applyAlignment="1">
      <alignment horizontal="left" indent="3"/>
    </xf>
    <xf numFmtId="0" fontId="2" fillId="0" borderId="7" xfId="0" applyFont="1" applyBorder="1" applyAlignment="1">
      <alignment horizontal="left" indent="3"/>
    </xf>
    <xf numFmtId="0" fontId="2" fillId="0" borderId="0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left" indent="3"/>
    </xf>
    <xf numFmtId="0" fontId="2" fillId="0" borderId="10" xfId="0" applyFont="1" applyBorder="1"/>
    <xf numFmtId="0" fontId="2" fillId="0" borderId="11" xfId="0" applyFont="1" applyBorder="1"/>
    <xf numFmtId="0" fontId="2" fillId="4" borderId="8" xfId="2" applyFont="1" applyFill="1" applyBorder="1" applyAlignment="1">
      <alignment horizontal="center"/>
    </xf>
    <xf numFmtId="0" fontId="2" fillId="4" borderId="8" xfId="2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4" fillId="0" borderId="0" xfId="2" applyFont="1" applyBorder="1" applyAlignment="1">
      <alignment horizontal="left" vertical="center" wrapText="1"/>
    </xf>
    <xf numFmtId="0" fontId="3" fillId="0" borderId="0" xfId="2" applyFont="1" applyBorder="1" applyAlignment="1">
      <alignment horizontal="center"/>
    </xf>
    <xf numFmtId="0" fontId="5" fillId="2" borderId="0" xfId="2" applyFont="1" applyFill="1" applyBorder="1" applyAlignment="1">
      <alignment horizontal="left" wrapText="1" indent="1"/>
    </xf>
    <xf numFmtId="0" fontId="2" fillId="4" borderId="8" xfId="2" applyFont="1" applyFill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/>
    </xf>
    <xf numFmtId="0" fontId="17" fillId="0" borderId="16" xfId="2" applyFont="1" applyBorder="1" applyAlignment="1">
      <alignment horizontal="left" vertical="center" wrapText="1"/>
    </xf>
    <xf numFmtId="0" fontId="16" fillId="3" borderId="1" xfId="2" applyFont="1" applyFill="1" applyBorder="1" applyAlignment="1">
      <alignment horizontal="left" vertical="center" wrapText="1" indent="1"/>
    </xf>
    <xf numFmtId="0" fontId="17" fillId="0" borderId="17" xfId="2" applyFont="1" applyBorder="1" applyAlignment="1">
      <alignment horizontal="left" vertical="center" wrapText="1"/>
    </xf>
    <xf numFmtId="0" fontId="18" fillId="0" borderId="18" xfId="2" applyFont="1" applyBorder="1" applyAlignment="1">
      <alignment horizontal="center" vertical="center"/>
    </xf>
    <xf numFmtId="0" fontId="18" fillId="0" borderId="20" xfId="2" applyFont="1" applyBorder="1" applyAlignment="1">
      <alignment horizontal="center" vertical="center" wrapText="1"/>
    </xf>
    <xf numFmtId="0" fontId="17" fillId="0" borderId="18" xfId="2" applyFont="1" applyBorder="1" applyAlignment="1">
      <alignment horizontal="left" vertical="center"/>
    </xf>
    <xf numFmtId="0" fontId="16" fillId="2" borderId="19" xfId="2" applyFont="1" applyFill="1" applyBorder="1" applyAlignment="1">
      <alignment horizontal="left" vertical="center" wrapText="1" indent="1"/>
    </xf>
    <xf numFmtId="0" fontId="19" fillId="3" borderId="21" xfId="2" applyFont="1" applyFill="1" applyBorder="1" applyAlignment="1">
      <alignment horizontal="left" vertical="center" wrapText="1"/>
    </xf>
    <xf numFmtId="0" fontId="18" fillId="0" borderId="19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left" vertical="center" wrapText="1" indent="1"/>
    </xf>
    <xf numFmtId="167" fontId="17" fillId="0" borderId="1" xfId="2" applyNumberFormat="1" applyFont="1" applyBorder="1" applyAlignment="1">
      <alignment horizontal="center" vertical="center"/>
    </xf>
    <xf numFmtId="0" fontId="19" fillId="0" borderId="16" xfId="2" applyFont="1" applyBorder="1" applyAlignment="1">
      <alignment horizontal="left" vertical="center" wrapText="1"/>
    </xf>
    <xf numFmtId="0" fontId="19" fillId="0" borderId="24" xfId="2" applyFont="1" applyBorder="1" applyAlignment="1">
      <alignment horizontal="left" vertical="center" wrapText="1"/>
    </xf>
    <xf numFmtId="0" fontId="19" fillId="0" borderId="25" xfId="2" applyFont="1" applyBorder="1" applyAlignment="1">
      <alignment horizontal="left" vertical="center" wrapText="1"/>
    </xf>
    <xf numFmtId="0" fontId="22" fillId="0" borderId="14" xfId="2" applyFont="1" applyBorder="1" applyAlignment="1">
      <alignment horizontal="left" indent="1"/>
    </xf>
    <xf numFmtId="0" fontId="1" fillId="0" borderId="22" xfId="2" applyFont="1" applyBorder="1" applyAlignment="1">
      <alignment horizontal="center"/>
    </xf>
    <xf numFmtId="3" fontId="20" fillId="0" borderId="23" xfId="2" applyNumberFormat="1" applyFont="1" applyBorder="1" applyAlignment="1">
      <alignment horizontal="center"/>
    </xf>
    <xf numFmtId="0" fontId="21" fillId="0" borderId="14" xfId="2" applyFont="1" applyBorder="1" applyAlignment="1">
      <alignment horizontal="center" vertical="center" wrapText="1"/>
    </xf>
    <xf numFmtId="0" fontId="13" fillId="0" borderId="14" xfId="2" applyFont="1" applyBorder="1"/>
    <xf numFmtId="0" fontId="25" fillId="0" borderId="36" xfId="2" applyFont="1" applyBorder="1" applyAlignment="1">
      <alignment horizontal="left" vertical="center" wrapText="1"/>
    </xf>
    <xf numFmtId="0" fontId="23" fillId="0" borderId="14" xfId="2" applyFont="1" applyBorder="1" applyAlignment="1">
      <alignment horizontal="left"/>
    </xf>
    <xf numFmtId="0" fontId="22" fillId="0" borderId="26" xfId="2" applyFont="1" applyBorder="1"/>
    <xf numFmtId="0" fontId="22" fillId="0" borderId="27" xfId="2" applyFont="1" applyBorder="1" applyAlignment="1">
      <alignment horizontal="left" vertical="center" wrapText="1" indent="1"/>
    </xf>
    <xf numFmtId="0" fontId="24" fillId="0" borderId="30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4" fillId="0" borderId="30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/>
    </xf>
    <xf numFmtId="0" fontId="22" fillId="2" borderId="48" xfId="2" applyFont="1" applyFill="1" applyBorder="1" applyAlignment="1">
      <alignment horizontal="left" vertical="center" wrapText="1" indent="1"/>
    </xf>
    <xf numFmtId="0" fontId="25" fillId="0" borderId="42" xfId="2" applyFont="1" applyBorder="1" applyAlignment="1">
      <alignment horizontal="left" vertical="center"/>
    </xf>
    <xf numFmtId="0" fontId="1" fillId="0" borderId="42" xfId="2" applyFont="1" applyBorder="1" applyAlignment="1">
      <alignment horizontal="left" vertical="center"/>
    </xf>
    <xf numFmtId="0" fontId="1" fillId="0" borderId="42" xfId="2" applyBorder="1" applyAlignment="1">
      <alignment horizontal="left" vertical="center"/>
    </xf>
    <xf numFmtId="0" fontId="1" fillId="0" borderId="45" xfId="2" applyBorder="1" applyAlignment="1">
      <alignment horizontal="left" vertical="center"/>
    </xf>
    <xf numFmtId="0" fontId="26" fillId="0" borderId="48" xfId="2" applyFont="1" applyBorder="1" applyAlignment="1">
      <alignment horizontal="left" vertical="center" wrapText="1"/>
    </xf>
    <xf numFmtId="0" fontId="1" fillId="0" borderId="30" xfId="2" applyBorder="1"/>
    <xf numFmtId="0" fontId="20" fillId="0" borderId="22" xfId="2" applyFont="1" applyBorder="1" applyAlignment="1">
      <alignment vertical="center" wrapText="1"/>
    </xf>
    <xf numFmtId="0" fontId="20" fillId="0" borderId="49" xfId="2" applyFont="1" applyBorder="1" applyAlignment="1">
      <alignment vertical="center" wrapText="1"/>
    </xf>
    <xf numFmtId="0" fontId="20" fillId="0" borderId="19" xfId="2" applyFont="1" applyBorder="1" applyAlignment="1">
      <alignment vertical="center" wrapText="1"/>
    </xf>
    <xf numFmtId="0" fontId="22" fillId="0" borderId="31" xfId="2" applyFont="1" applyBorder="1" applyAlignment="1">
      <alignment vertical="center" wrapText="1"/>
    </xf>
  </cellXfs>
  <cellStyles count="9">
    <cellStyle name="Encabezado 1" xfId="3"/>
    <cellStyle name="Moneda" xfId="1" builtinId="4"/>
    <cellStyle name="Moneda_AUTORIZACION Y NOTA DE PEDIDO" xfId="4"/>
    <cellStyle name="Neutral 1" xfId="5"/>
    <cellStyle name="Normal" xfId="0" builtinId="0"/>
    <cellStyle name="Normal 2" xfId="2"/>
    <cellStyle name="Normal 3" xfId="6"/>
    <cellStyle name="Normal 4" xfId="7"/>
    <cellStyle name="Porcentaje 2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ITACION6\PROGRAMACION%20PRIMER%20TRIMESTRE%202021\SERVICIO%20DE%20NUTRICION\ALIMENTOS%20PARA%20PERSONAS\NPYE%20ALIMENTOS%20PARA%20PERSONAS%20CODIFICA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UTRICION%20NPYE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NotaPedido"/>
      <sheetName val="Autor Gastar"/>
    </sheetNames>
    <sheetDataSet>
      <sheetData sheetId="0">
        <row r="4">
          <cell r="C4" t="str">
            <v>40 - Ministerio de Salud</v>
          </cell>
        </row>
        <row r="6">
          <cell r="C6">
            <v>2021</v>
          </cell>
        </row>
      </sheetData>
      <sheetData sheetId="1">
        <row r="1">
          <cell r="K1" t="str">
            <v>372 - 2020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UTRICION NT"/>
      <sheetName val="NUTRICION NPYE "/>
      <sheetName val="NUTRICION APG "/>
      <sheetName val="NUTRICION NPYE"/>
    </sheetNames>
    <sheetDataSet>
      <sheetData sheetId="0"/>
      <sheetData sheetId="1">
        <row r="1">
          <cell r="K1" t="str">
            <v>372 - 2020</v>
          </cell>
        </row>
        <row r="6">
          <cell r="D6" t="str">
            <v>Servicio de Nutrición</v>
          </cell>
        </row>
        <row r="8">
          <cell r="D8" t="str">
            <v>Adquisición de Alimentos Perecederos  y no Perecederos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27"/>
  <sheetViews>
    <sheetView zoomScale="80" zoomScaleNormal="80" workbookViewId="0">
      <selection activeCell="I11" sqref="I11"/>
    </sheetView>
  </sheetViews>
  <sheetFormatPr baseColWidth="10" defaultColWidth="11" defaultRowHeight="13.2"/>
  <cols>
    <col min="1" max="1" width="4.5546875" style="1" customWidth="1"/>
    <col min="2" max="2" width="12.88671875" style="1" customWidth="1"/>
    <col min="3" max="3" width="32.44140625" style="1" customWidth="1"/>
    <col min="4" max="4" width="8.44140625" style="1" customWidth="1"/>
    <col min="5" max="5" width="79" style="1" customWidth="1"/>
    <col min="6" max="6" width="11" style="1"/>
    <col min="7" max="7" width="12.6640625" style="1" customWidth="1"/>
    <col min="8" max="8" width="13.88671875" style="1" customWidth="1"/>
    <col min="9" max="9" width="18.5546875" style="1" customWidth="1"/>
    <col min="10" max="16384" width="11" style="1"/>
  </cols>
  <sheetData>
    <row r="2" spans="1:9" ht="27.6">
      <c r="B2" s="107" t="s">
        <v>0</v>
      </c>
      <c r="C2" s="107"/>
      <c r="D2" s="107"/>
      <c r="E2" s="107"/>
      <c r="F2" s="107"/>
      <c r="G2" s="107"/>
      <c r="H2" s="107"/>
    </row>
    <row r="4" spans="1:9" ht="18" customHeight="1">
      <c r="A4" s="106" t="s">
        <v>1</v>
      </c>
      <c r="B4" s="106"/>
      <c r="C4" s="108" t="s">
        <v>2</v>
      </c>
      <c r="D4" s="108"/>
      <c r="E4" s="108"/>
      <c r="F4" s="2"/>
      <c r="G4" s="3"/>
      <c r="H4" s="2"/>
    </row>
    <row r="5" spans="1:9" ht="18" customHeight="1">
      <c r="A5" s="106" t="s">
        <v>3</v>
      </c>
      <c r="B5" s="106"/>
      <c r="C5" s="108" t="s">
        <v>4</v>
      </c>
      <c r="D5" s="108"/>
      <c r="E5" s="108"/>
      <c r="F5" s="2"/>
      <c r="G5" s="3"/>
      <c r="H5" s="2"/>
    </row>
    <row r="6" spans="1:9" ht="16.5" customHeight="1">
      <c r="A6" s="106" t="s">
        <v>5</v>
      </c>
      <c r="B6" s="106"/>
      <c r="C6" s="4">
        <v>2021</v>
      </c>
      <c r="D6" s="5"/>
      <c r="E6" s="5"/>
      <c r="F6" s="2"/>
      <c r="G6" s="3"/>
      <c r="H6" s="2"/>
    </row>
    <row r="7" spans="1:9" ht="16.5" customHeight="1">
      <c r="A7" s="106" t="s">
        <v>6</v>
      </c>
      <c r="B7" s="106"/>
      <c r="C7" s="4">
        <v>1</v>
      </c>
      <c r="D7" s="5"/>
      <c r="E7" s="5"/>
      <c r="F7" s="2"/>
      <c r="G7" s="3"/>
      <c r="H7" s="2"/>
    </row>
    <row r="8" spans="1:9" ht="13.8" thickBot="1">
      <c r="B8" s="2"/>
      <c r="C8" s="3"/>
      <c r="D8" s="2"/>
      <c r="E8" s="2"/>
      <c r="F8" s="2"/>
      <c r="G8" s="3"/>
      <c r="H8" s="2"/>
    </row>
    <row r="9" spans="1:9" ht="40.200000000000003" thickBot="1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51" customHeight="1" thickBot="1">
      <c r="A10" s="7">
        <v>1</v>
      </c>
      <c r="B10" s="8" t="s">
        <v>16</v>
      </c>
      <c r="C10" s="9" t="s">
        <v>17</v>
      </c>
      <c r="D10" s="10" t="s">
        <v>18</v>
      </c>
      <c r="E10" s="11" t="s">
        <v>19</v>
      </c>
      <c r="F10" s="8" t="s">
        <v>20</v>
      </c>
      <c r="G10" s="8">
        <v>500</v>
      </c>
      <c r="H10" s="12">
        <v>118.46</v>
      </c>
      <c r="I10" s="13">
        <f t="shared" ref="I10:I73" si="0">G10*H10</f>
        <v>59230</v>
      </c>
    </row>
    <row r="11" spans="1:9" ht="58.5" customHeight="1" thickBot="1">
      <c r="A11" s="7">
        <v>2</v>
      </c>
      <c r="B11" s="8" t="s">
        <v>21</v>
      </c>
      <c r="C11" s="9" t="s">
        <v>17</v>
      </c>
      <c r="D11" s="10" t="s">
        <v>18</v>
      </c>
      <c r="E11" s="11" t="s">
        <v>22</v>
      </c>
      <c r="F11" s="8" t="s">
        <v>23</v>
      </c>
      <c r="G11" s="8">
        <v>800</v>
      </c>
      <c r="H11" s="12">
        <v>72</v>
      </c>
      <c r="I11" s="13">
        <f t="shared" si="0"/>
        <v>57600</v>
      </c>
    </row>
    <row r="12" spans="1:9" ht="71.25" customHeight="1" thickBot="1">
      <c r="A12" s="7">
        <v>3</v>
      </c>
      <c r="B12" s="8" t="s">
        <v>24</v>
      </c>
      <c r="C12" s="9" t="s">
        <v>17</v>
      </c>
      <c r="D12" s="10" t="s">
        <v>18</v>
      </c>
      <c r="E12" s="14" t="s">
        <v>25</v>
      </c>
      <c r="F12" s="8" t="s">
        <v>26</v>
      </c>
      <c r="G12" s="8">
        <v>1200</v>
      </c>
      <c r="H12" s="12">
        <v>71.98</v>
      </c>
      <c r="I12" s="13">
        <f t="shared" si="0"/>
        <v>86376</v>
      </c>
    </row>
    <row r="13" spans="1:9" ht="57.75" customHeight="1" thickBot="1">
      <c r="A13" s="7">
        <v>4</v>
      </c>
      <c r="B13" s="8" t="s">
        <v>27</v>
      </c>
      <c r="C13" s="9" t="s">
        <v>17</v>
      </c>
      <c r="D13" s="10" t="s">
        <v>18</v>
      </c>
      <c r="E13" s="11" t="s">
        <v>28</v>
      </c>
      <c r="F13" s="8" t="s">
        <v>23</v>
      </c>
      <c r="G13" s="8">
        <v>50</v>
      </c>
      <c r="H13" s="12">
        <v>46.66</v>
      </c>
      <c r="I13" s="13">
        <f t="shared" si="0"/>
        <v>2333</v>
      </c>
    </row>
    <row r="14" spans="1:9" ht="45.75" customHeight="1" thickBot="1">
      <c r="A14" s="7">
        <v>5</v>
      </c>
      <c r="B14" s="8" t="s">
        <v>29</v>
      </c>
      <c r="C14" s="9" t="s">
        <v>17</v>
      </c>
      <c r="D14" s="10" t="s">
        <v>18</v>
      </c>
      <c r="E14" s="11" t="s">
        <v>30</v>
      </c>
      <c r="F14" s="8" t="s">
        <v>31</v>
      </c>
      <c r="G14" s="8">
        <v>1300</v>
      </c>
      <c r="H14" s="12">
        <v>81.010000000000005</v>
      </c>
      <c r="I14" s="13">
        <f t="shared" si="0"/>
        <v>105313</v>
      </c>
    </row>
    <row r="15" spans="1:9" ht="56.25" customHeight="1" thickBot="1">
      <c r="A15" s="7">
        <v>6</v>
      </c>
      <c r="B15" s="8" t="s">
        <v>32</v>
      </c>
      <c r="C15" s="9" t="s">
        <v>17</v>
      </c>
      <c r="D15" s="10" t="s">
        <v>18</v>
      </c>
      <c r="E15" s="11" t="s">
        <v>33</v>
      </c>
      <c r="F15" s="8" t="s">
        <v>23</v>
      </c>
      <c r="G15" s="8">
        <v>50</v>
      </c>
      <c r="H15" s="12">
        <v>226.8</v>
      </c>
      <c r="I15" s="13">
        <f t="shared" si="0"/>
        <v>11340</v>
      </c>
    </row>
    <row r="16" spans="1:9" ht="58.5" customHeight="1" thickBot="1">
      <c r="A16" s="7">
        <v>7</v>
      </c>
      <c r="B16" s="8" t="s">
        <v>34</v>
      </c>
      <c r="C16" s="9" t="s">
        <v>17</v>
      </c>
      <c r="D16" s="10" t="s">
        <v>18</v>
      </c>
      <c r="E16" s="11" t="s">
        <v>35</v>
      </c>
      <c r="F16" s="8" t="s">
        <v>23</v>
      </c>
      <c r="G16" s="8">
        <v>14</v>
      </c>
      <c r="H16" s="12">
        <v>102</v>
      </c>
      <c r="I16" s="13">
        <f t="shared" si="0"/>
        <v>1428</v>
      </c>
    </row>
    <row r="17" spans="1:9" ht="66.75" customHeight="1" thickBot="1">
      <c r="A17" s="7">
        <v>8</v>
      </c>
      <c r="B17" s="15" t="s">
        <v>36</v>
      </c>
      <c r="C17" s="9" t="s">
        <v>17</v>
      </c>
      <c r="D17" s="10" t="s">
        <v>18</v>
      </c>
      <c r="E17" s="16" t="s">
        <v>37</v>
      </c>
      <c r="F17" s="8" t="s">
        <v>23</v>
      </c>
      <c r="G17" s="8">
        <v>84</v>
      </c>
      <c r="H17" s="12">
        <v>46.66</v>
      </c>
      <c r="I17" s="13">
        <f t="shared" si="0"/>
        <v>3919.4399999999996</v>
      </c>
    </row>
    <row r="18" spans="1:9" ht="31.95" customHeight="1" thickBot="1">
      <c r="A18" s="7">
        <v>9</v>
      </c>
      <c r="B18" s="8" t="s">
        <v>38</v>
      </c>
      <c r="C18" s="9" t="s">
        <v>17</v>
      </c>
      <c r="D18" s="10" t="s">
        <v>18</v>
      </c>
      <c r="E18" s="11" t="s">
        <v>39</v>
      </c>
      <c r="F18" s="8" t="s">
        <v>23</v>
      </c>
      <c r="G18" s="8">
        <v>34</v>
      </c>
      <c r="H18" s="12">
        <v>94.79</v>
      </c>
      <c r="I18" s="13">
        <f t="shared" si="0"/>
        <v>3222.86</v>
      </c>
    </row>
    <row r="19" spans="1:9" ht="48.75" customHeight="1" thickBot="1">
      <c r="A19" s="7">
        <v>10</v>
      </c>
      <c r="B19" s="8" t="s">
        <v>40</v>
      </c>
      <c r="C19" s="9" t="s">
        <v>17</v>
      </c>
      <c r="D19" s="10" t="s">
        <v>18</v>
      </c>
      <c r="E19" s="11" t="s">
        <v>41</v>
      </c>
      <c r="F19" s="8" t="s">
        <v>23</v>
      </c>
      <c r="G19" s="8">
        <v>26</v>
      </c>
      <c r="H19" s="12">
        <v>118.04</v>
      </c>
      <c r="I19" s="13">
        <f t="shared" si="0"/>
        <v>3069.04</v>
      </c>
    </row>
    <row r="20" spans="1:9" ht="46.5" customHeight="1" thickBot="1">
      <c r="A20" s="7">
        <v>11</v>
      </c>
      <c r="B20" s="8" t="s">
        <v>42</v>
      </c>
      <c r="C20" s="9" t="s">
        <v>17</v>
      </c>
      <c r="D20" s="10" t="s">
        <v>18</v>
      </c>
      <c r="E20" s="11" t="s">
        <v>43</v>
      </c>
      <c r="F20" s="8" t="s">
        <v>23</v>
      </c>
      <c r="G20" s="8">
        <v>65</v>
      </c>
      <c r="H20" s="12">
        <v>45.48</v>
      </c>
      <c r="I20" s="13">
        <f t="shared" si="0"/>
        <v>2956.2</v>
      </c>
    </row>
    <row r="21" spans="1:9" s="20" customFormat="1" ht="45.75" customHeight="1" thickBot="1">
      <c r="A21" s="7">
        <v>12</v>
      </c>
      <c r="B21" s="8" t="s">
        <v>44</v>
      </c>
      <c r="C21" s="17" t="s">
        <v>17</v>
      </c>
      <c r="D21" s="18" t="s">
        <v>18</v>
      </c>
      <c r="E21" s="19" t="s">
        <v>45</v>
      </c>
      <c r="F21" s="8" t="s">
        <v>46</v>
      </c>
      <c r="G21" s="8">
        <v>10</v>
      </c>
      <c r="H21" s="12">
        <v>2601</v>
      </c>
      <c r="I21" s="13">
        <f t="shared" si="0"/>
        <v>26010</v>
      </c>
    </row>
    <row r="22" spans="1:9" ht="54.75" customHeight="1" thickBot="1">
      <c r="A22" s="7">
        <v>13</v>
      </c>
      <c r="B22" s="8" t="s">
        <v>47</v>
      </c>
      <c r="C22" s="9" t="s">
        <v>17</v>
      </c>
      <c r="D22" s="10" t="s">
        <v>18</v>
      </c>
      <c r="E22" s="11" t="s">
        <v>48</v>
      </c>
      <c r="F22" s="8" t="s">
        <v>23</v>
      </c>
      <c r="G22" s="8">
        <v>34</v>
      </c>
      <c r="H22" s="12">
        <v>62.58</v>
      </c>
      <c r="I22" s="13">
        <f t="shared" si="0"/>
        <v>2127.7199999999998</v>
      </c>
    </row>
    <row r="23" spans="1:9" ht="62.25" customHeight="1" thickBot="1">
      <c r="A23" s="7">
        <v>14</v>
      </c>
      <c r="B23" s="8" t="s">
        <v>49</v>
      </c>
      <c r="C23" s="9" t="s">
        <v>17</v>
      </c>
      <c r="D23" s="10" t="s">
        <v>18</v>
      </c>
      <c r="E23" s="11" t="s">
        <v>50</v>
      </c>
      <c r="F23" s="8" t="s">
        <v>23</v>
      </c>
      <c r="G23" s="8">
        <v>20</v>
      </c>
      <c r="H23" s="12">
        <v>60.02</v>
      </c>
      <c r="I23" s="13">
        <f t="shared" si="0"/>
        <v>1200.4000000000001</v>
      </c>
    </row>
    <row r="24" spans="1:9" ht="41.25" customHeight="1" thickBot="1">
      <c r="A24" s="7">
        <v>15</v>
      </c>
      <c r="B24" s="8" t="s">
        <v>51</v>
      </c>
      <c r="C24" s="9" t="s">
        <v>17</v>
      </c>
      <c r="D24" s="10" t="s">
        <v>18</v>
      </c>
      <c r="E24" s="11" t="s">
        <v>52</v>
      </c>
      <c r="F24" s="8" t="s">
        <v>31</v>
      </c>
      <c r="G24" s="8">
        <v>50</v>
      </c>
      <c r="H24" s="12">
        <v>205.63</v>
      </c>
      <c r="I24" s="13">
        <f t="shared" si="0"/>
        <v>10281.5</v>
      </c>
    </row>
    <row r="25" spans="1:9" ht="47.25" customHeight="1" thickBot="1">
      <c r="A25" s="7">
        <v>16</v>
      </c>
      <c r="B25" s="8" t="s">
        <v>53</v>
      </c>
      <c r="C25" s="9" t="s">
        <v>17</v>
      </c>
      <c r="D25" s="10" t="s">
        <v>18</v>
      </c>
      <c r="E25" s="11" t="s">
        <v>54</v>
      </c>
      <c r="F25" s="8" t="s">
        <v>20</v>
      </c>
      <c r="G25" s="8">
        <v>34</v>
      </c>
      <c r="H25" s="12">
        <v>174</v>
      </c>
      <c r="I25" s="13">
        <f t="shared" si="0"/>
        <v>5916</v>
      </c>
    </row>
    <row r="26" spans="1:9" ht="75" customHeight="1" thickBot="1">
      <c r="A26" s="7">
        <v>17</v>
      </c>
      <c r="B26" s="8" t="s">
        <v>55</v>
      </c>
      <c r="C26" s="9" t="s">
        <v>17</v>
      </c>
      <c r="D26" s="10" t="s">
        <v>18</v>
      </c>
      <c r="E26" s="11" t="s">
        <v>56</v>
      </c>
      <c r="F26" s="8" t="s">
        <v>23</v>
      </c>
      <c r="G26" s="8">
        <v>100</v>
      </c>
      <c r="H26" s="12">
        <v>66.959999999999994</v>
      </c>
      <c r="I26" s="13">
        <f t="shared" si="0"/>
        <v>6695.9999999999991</v>
      </c>
    </row>
    <row r="27" spans="1:9" ht="56.25" customHeight="1" thickBot="1">
      <c r="A27" s="7">
        <v>18</v>
      </c>
      <c r="B27" s="8" t="s">
        <v>57</v>
      </c>
      <c r="C27" s="9" t="s">
        <v>17</v>
      </c>
      <c r="D27" s="10" t="s">
        <v>18</v>
      </c>
      <c r="E27" s="11" t="s">
        <v>58</v>
      </c>
      <c r="F27" s="8" t="s">
        <v>23</v>
      </c>
      <c r="G27" s="8">
        <v>30</v>
      </c>
      <c r="H27" s="12">
        <v>48.53</v>
      </c>
      <c r="I27" s="13">
        <f t="shared" si="0"/>
        <v>1455.9</v>
      </c>
    </row>
    <row r="28" spans="1:9" ht="61.5" customHeight="1" thickBot="1">
      <c r="A28" s="7">
        <v>19</v>
      </c>
      <c r="B28" s="8" t="s">
        <v>59</v>
      </c>
      <c r="C28" s="9" t="s">
        <v>17</v>
      </c>
      <c r="D28" s="10" t="s">
        <v>18</v>
      </c>
      <c r="E28" s="11" t="s">
        <v>60</v>
      </c>
      <c r="F28" s="8" t="s">
        <v>23</v>
      </c>
      <c r="G28" s="8">
        <v>250</v>
      </c>
      <c r="H28" s="12">
        <v>150</v>
      </c>
      <c r="I28" s="13">
        <f t="shared" si="0"/>
        <v>37500</v>
      </c>
    </row>
    <row r="29" spans="1:9" ht="49.5" customHeight="1" thickBot="1">
      <c r="A29" s="7">
        <v>20</v>
      </c>
      <c r="B29" s="8" t="s">
        <v>61</v>
      </c>
      <c r="C29" s="9" t="s">
        <v>17</v>
      </c>
      <c r="D29" s="10" t="s">
        <v>18</v>
      </c>
      <c r="E29" s="11" t="s">
        <v>62</v>
      </c>
      <c r="F29" s="8" t="s">
        <v>31</v>
      </c>
      <c r="G29" s="8">
        <v>270</v>
      </c>
      <c r="H29" s="12">
        <v>59.87</v>
      </c>
      <c r="I29" s="13">
        <f t="shared" si="0"/>
        <v>16164.9</v>
      </c>
    </row>
    <row r="30" spans="1:9" ht="79.5" customHeight="1" thickBot="1">
      <c r="A30" s="7">
        <v>21</v>
      </c>
      <c r="B30" s="8" t="s">
        <v>63</v>
      </c>
      <c r="C30" s="9" t="s">
        <v>17</v>
      </c>
      <c r="D30" s="10" t="s">
        <v>18</v>
      </c>
      <c r="E30" s="11" t="s">
        <v>64</v>
      </c>
      <c r="F30" s="8" t="s">
        <v>23</v>
      </c>
      <c r="G30" s="8">
        <v>35</v>
      </c>
      <c r="H30" s="12">
        <v>81.22</v>
      </c>
      <c r="I30" s="13">
        <f t="shared" si="0"/>
        <v>2842.7</v>
      </c>
    </row>
    <row r="31" spans="1:9" ht="50.25" customHeight="1" thickBot="1">
      <c r="A31" s="7">
        <v>22</v>
      </c>
      <c r="B31" s="8" t="s">
        <v>65</v>
      </c>
      <c r="C31" s="9" t="s">
        <v>17</v>
      </c>
      <c r="D31" s="10" t="s">
        <v>18</v>
      </c>
      <c r="E31" s="11" t="s">
        <v>66</v>
      </c>
      <c r="F31" s="8" t="s">
        <v>31</v>
      </c>
      <c r="G31" s="8">
        <v>40</v>
      </c>
      <c r="H31" s="12">
        <v>78</v>
      </c>
      <c r="I31" s="13">
        <f t="shared" si="0"/>
        <v>3120</v>
      </c>
    </row>
    <row r="32" spans="1:9" ht="46.5" customHeight="1" thickBot="1">
      <c r="A32" s="7">
        <v>23</v>
      </c>
      <c r="B32" s="8" t="s">
        <v>67</v>
      </c>
      <c r="C32" s="9" t="s">
        <v>17</v>
      </c>
      <c r="D32" s="10" t="s">
        <v>18</v>
      </c>
      <c r="E32" s="11" t="s">
        <v>68</v>
      </c>
      <c r="F32" s="8" t="s">
        <v>31</v>
      </c>
      <c r="G32" s="8">
        <v>30</v>
      </c>
      <c r="H32" s="12">
        <v>39.53</v>
      </c>
      <c r="I32" s="13">
        <f t="shared" si="0"/>
        <v>1185.9000000000001</v>
      </c>
    </row>
    <row r="33" spans="1:9" ht="31.95" customHeight="1" thickBot="1">
      <c r="A33" s="7">
        <v>24</v>
      </c>
      <c r="B33" s="8" t="s">
        <v>69</v>
      </c>
      <c r="C33" s="9" t="s">
        <v>17</v>
      </c>
      <c r="D33" s="10" t="s">
        <v>18</v>
      </c>
      <c r="E33" s="11" t="s">
        <v>70</v>
      </c>
      <c r="F33" s="8" t="s">
        <v>23</v>
      </c>
      <c r="G33" s="8">
        <v>13</v>
      </c>
      <c r="H33" s="12">
        <v>95</v>
      </c>
      <c r="I33" s="13">
        <f t="shared" si="0"/>
        <v>1235</v>
      </c>
    </row>
    <row r="34" spans="1:9" ht="47.25" customHeight="1" thickBot="1">
      <c r="A34" s="7">
        <v>25</v>
      </c>
      <c r="B34" s="8" t="s">
        <v>71</v>
      </c>
      <c r="C34" s="9" t="s">
        <v>17</v>
      </c>
      <c r="D34" s="10" t="s">
        <v>18</v>
      </c>
      <c r="E34" s="11" t="s">
        <v>72</v>
      </c>
      <c r="F34" s="8" t="s">
        <v>73</v>
      </c>
      <c r="G34" s="8">
        <v>2</v>
      </c>
      <c r="H34" s="12">
        <v>5600</v>
      </c>
      <c r="I34" s="13">
        <f t="shared" si="0"/>
        <v>11200</v>
      </c>
    </row>
    <row r="35" spans="1:9" ht="60" customHeight="1" thickBot="1">
      <c r="A35" s="7">
        <v>26</v>
      </c>
      <c r="B35" s="8" t="s">
        <v>74</v>
      </c>
      <c r="C35" s="9" t="s">
        <v>17</v>
      </c>
      <c r="D35" s="10" t="s">
        <v>18</v>
      </c>
      <c r="E35" s="11" t="s">
        <v>75</v>
      </c>
      <c r="F35" s="8" t="s">
        <v>73</v>
      </c>
      <c r="G35" s="8">
        <v>2</v>
      </c>
      <c r="H35" s="12">
        <v>3400</v>
      </c>
      <c r="I35" s="13">
        <f t="shared" si="0"/>
        <v>6800</v>
      </c>
    </row>
    <row r="36" spans="1:9" ht="47.25" customHeight="1" thickBot="1">
      <c r="A36" s="7">
        <v>27</v>
      </c>
      <c r="B36" s="8" t="s">
        <v>76</v>
      </c>
      <c r="C36" s="9" t="s">
        <v>17</v>
      </c>
      <c r="D36" s="10" t="s">
        <v>18</v>
      </c>
      <c r="E36" s="11" t="s">
        <v>77</v>
      </c>
      <c r="F36" s="8" t="s">
        <v>31</v>
      </c>
      <c r="G36" s="8">
        <v>135</v>
      </c>
      <c r="H36" s="12">
        <v>42.64</v>
      </c>
      <c r="I36" s="13">
        <f t="shared" si="0"/>
        <v>5756.4</v>
      </c>
    </row>
    <row r="37" spans="1:9" ht="42" customHeight="1" thickBot="1">
      <c r="A37" s="7">
        <v>28</v>
      </c>
      <c r="B37" s="8" t="s">
        <v>78</v>
      </c>
      <c r="C37" s="9" t="s">
        <v>17</v>
      </c>
      <c r="D37" s="10" t="s">
        <v>18</v>
      </c>
      <c r="E37" s="11" t="s">
        <v>79</v>
      </c>
      <c r="F37" s="8" t="s">
        <v>20</v>
      </c>
      <c r="G37" s="8">
        <v>15</v>
      </c>
      <c r="H37" s="12">
        <v>98.4</v>
      </c>
      <c r="I37" s="13">
        <f t="shared" si="0"/>
        <v>1476</v>
      </c>
    </row>
    <row r="38" spans="1:9" ht="31.95" customHeight="1" thickBot="1">
      <c r="A38" s="7">
        <v>29</v>
      </c>
      <c r="B38" s="8" t="s">
        <v>80</v>
      </c>
      <c r="C38" s="9" t="s">
        <v>17</v>
      </c>
      <c r="D38" s="10" t="s">
        <v>18</v>
      </c>
      <c r="E38" s="11" t="s">
        <v>81</v>
      </c>
      <c r="F38" s="8" t="s">
        <v>23</v>
      </c>
      <c r="G38" s="8">
        <v>8</v>
      </c>
      <c r="H38" s="12">
        <v>204</v>
      </c>
      <c r="I38" s="13">
        <f t="shared" si="0"/>
        <v>1632</v>
      </c>
    </row>
    <row r="39" spans="1:9" ht="59.25" customHeight="1" thickBot="1">
      <c r="A39" s="7">
        <v>30</v>
      </c>
      <c r="B39" s="8" t="s">
        <v>82</v>
      </c>
      <c r="C39" s="9" t="s">
        <v>17</v>
      </c>
      <c r="D39" s="10" t="s">
        <v>18</v>
      </c>
      <c r="E39" s="11" t="s">
        <v>83</v>
      </c>
      <c r="F39" s="8" t="s">
        <v>84</v>
      </c>
      <c r="G39" s="8">
        <v>200</v>
      </c>
      <c r="H39" s="12">
        <v>36.119999999999997</v>
      </c>
      <c r="I39" s="13">
        <f t="shared" si="0"/>
        <v>7223.9999999999991</v>
      </c>
    </row>
    <row r="40" spans="1:9" ht="52.5" customHeight="1" thickBot="1">
      <c r="A40" s="7">
        <v>31</v>
      </c>
      <c r="B40" s="8" t="s">
        <v>85</v>
      </c>
      <c r="C40" s="9" t="s">
        <v>17</v>
      </c>
      <c r="D40" s="10" t="s">
        <v>18</v>
      </c>
      <c r="E40" s="11" t="s">
        <v>86</v>
      </c>
      <c r="F40" s="8" t="s">
        <v>84</v>
      </c>
      <c r="G40" s="8">
        <v>65</v>
      </c>
      <c r="H40" s="12">
        <v>162</v>
      </c>
      <c r="I40" s="13">
        <f t="shared" si="0"/>
        <v>10530</v>
      </c>
    </row>
    <row r="41" spans="1:9" ht="47.25" customHeight="1" thickBot="1">
      <c r="A41" s="7">
        <v>32</v>
      </c>
      <c r="B41" s="8" t="s">
        <v>87</v>
      </c>
      <c r="C41" s="9" t="s">
        <v>17</v>
      </c>
      <c r="D41" s="10" t="s">
        <v>18</v>
      </c>
      <c r="E41" s="11" t="s">
        <v>88</v>
      </c>
      <c r="F41" s="8" t="s">
        <v>84</v>
      </c>
      <c r="G41" s="8">
        <v>200</v>
      </c>
      <c r="H41" s="12">
        <v>68.78</v>
      </c>
      <c r="I41" s="13">
        <f t="shared" si="0"/>
        <v>13756</v>
      </c>
    </row>
    <row r="42" spans="1:9" ht="46.5" customHeight="1" thickBot="1">
      <c r="A42" s="7">
        <v>33</v>
      </c>
      <c r="B42" s="8" t="s">
        <v>89</v>
      </c>
      <c r="C42" s="9" t="s">
        <v>17</v>
      </c>
      <c r="D42" s="10" t="s">
        <v>18</v>
      </c>
      <c r="E42" s="11" t="s">
        <v>90</v>
      </c>
      <c r="F42" s="8" t="s">
        <v>84</v>
      </c>
      <c r="G42" s="8">
        <v>400</v>
      </c>
      <c r="H42" s="12">
        <v>198</v>
      </c>
      <c r="I42" s="13">
        <f t="shared" si="0"/>
        <v>79200</v>
      </c>
    </row>
    <row r="43" spans="1:9" ht="39.75" customHeight="1" thickBot="1">
      <c r="A43" s="7">
        <v>34</v>
      </c>
      <c r="B43" s="8" t="s">
        <v>91</v>
      </c>
      <c r="C43" s="9" t="s">
        <v>17</v>
      </c>
      <c r="D43" s="10" t="s">
        <v>18</v>
      </c>
      <c r="E43" s="11" t="s">
        <v>92</v>
      </c>
      <c r="F43" s="8" t="s">
        <v>84</v>
      </c>
      <c r="G43" s="8">
        <v>400</v>
      </c>
      <c r="H43" s="12">
        <v>252</v>
      </c>
      <c r="I43" s="13">
        <f t="shared" si="0"/>
        <v>100800</v>
      </c>
    </row>
    <row r="44" spans="1:9" ht="42.75" customHeight="1" thickBot="1">
      <c r="A44" s="7">
        <v>35</v>
      </c>
      <c r="B44" s="8" t="s">
        <v>93</v>
      </c>
      <c r="C44" s="9" t="s">
        <v>17</v>
      </c>
      <c r="D44" s="10" t="s">
        <v>18</v>
      </c>
      <c r="E44" s="11" t="s">
        <v>94</v>
      </c>
      <c r="F44" s="8" t="s">
        <v>84</v>
      </c>
      <c r="G44" s="8">
        <v>135</v>
      </c>
      <c r="H44" s="12">
        <v>69.900000000000006</v>
      </c>
      <c r="I44" s="13">
        <f t="shared" si="0"/>
        <v>9436.5</v>
      </c>
    </row>
    <row r="45" spans="1:9" s="20" customFormat="1" ht="48.75" customHeight="1" thickBot="1">
      <c r="A45" s="7">
        <v>36</v>
      </c>
      <c r="B45" s="8" t="s">
        <v>95</v>
      </c>
      <c r="C45" s="17" t="s">
        <v>17</v>
      </c>
      <c r="D45" s="18" t="s">
        <v>18</v>
      </c>
      <c r="E45" s="19" t="s">
        <v>96</v>
      </c>
      <c r="F45" s="8" t="s">
        <v>97</v>
      </c>
      <c r="G45" s="8">
        <v>10</v>
      </c>
      <c r="H45" s="12">
        <v>590.76</v>
      </c>
      <c r="I45" s="13">
        <f t="shared" si="0"/>
        <v>5907.6</v>
      </c>
    </row>
    <row r="46" spans="1:9" ht="45" customHeight="1" thickBot="1">
      <c r="A46" s="7">
        <v>37</v>
      </c>
      <c r="B46" s="8" t="s">
        <v>98</v>
      </c>
      <c r="C46" s="9" t="s">
        <v>17</v>
      </c>
      <c r="D46" s="10" t="s">
        <v>18</v>
      </c>
      <c r="E46" s="11" t="s">
        <v>99</v>
      </c>
      <c r="F46" s="8" t="s">
        <v>84</v>
      </c>
      <c r="G46" s="8">
        <v>135</v>
      </c>
      <c r="H46" s="12">
        <v>80.209999999999994</v>
      </c>
      <c r="I46" s="13">
        <f t="shared" si="0"/>
        <v>10828.349999999999</v>
      </c>
    </row>
    <row r="47" spans="1:9" ht="43.5" customHeight="1" thickBot="1">
      <c r="A47" s="7">
        <v>38</v>
      </c>
      <c r="B47" s="8" t="s">
        <v>100</v>
      </c>
      <c r="C47" s="9" t="s">
        <v>17</v>
      </c>
      <c r="D47" s="10" t="s">
        <v>18</v>
      </c>
      <c r="E47" s="11" t="s">
        <v>101</v>
      </c>
      <c r="F47" s="8" t="s">
        <v>31</v>
      </c>
      <c r="G47" s="8">
        <v>200</v>
      </c>
      <c r="H47" s="12">
        <v>50.83</v>
      </c>
      <c r="I47" s="13">
        <f t="shared" si="0"/>
        <v>10166</v>
      </c>
    </row>
    <row r="48" spans="1:9" ht="31.95" customHeight="1" thickBot="1">
      <c r="A48" s="7">
        <v>39</v>
      </c>
      <c r="B48" s="8" t="s">
        <v>102</v>
      </c>
      <c r="C48" s="9" t="s">
        <v>17</v>
      </c>
      <c r="D48" s="10" t="s">
        <v>18</v>
      </c>
      <c r="E48" s="11" t="s">
        <v>103</v>
      </c>
      <c r="F48" s="8" t="s">
        <v>104</v>
      </c>
      <c r="G48" s="8">
        <v>26</v>
      </c>
      <c r="H48" s="12">
        <v>942</v>
      </c>
      <c r="I48" s="13">
        <f t="shared" si="0"/>
        <v>24492</v>
      </c>
    </row>
    <row r="49" spans="1:9" ht="31.95" customHeight="1" thickBot="1">
      <c r="A49" s="7">
        <v>40</v>
      </c>
      <c r="B49" s="8" t="s">
        <v>105</v>
      </c>
      <c r="C49" s="9" t="s">
        <v>17</v>
      </c>
      <c r="D49" s="10" t="s">
        <v>18</v>
      </c>
      <c r="E49" s="11" t="s">
        <v>106</v>
      </c>
      <c r="F49" s="8" t="s">
        <v>104</v>
      </c>
      <c r="G49" s="8">
        <v>26</v>
      </c>
      <c r="H49" s="12">
        <v>915.07</v>
      </c>
      <c r="I49" s="13">
        <f t="shared" si="0"/>
        <v>23791.82</v>
      </c>
    </row>
    <row r="50" spans="1:9" ht="59.25" customHeight="1" thickBot="1">
      <c r="A50" s="7">
        <v>41</v>
      </c>
      <c r="B50" s="8" t="s">
        <v>107</v>
      </c>
      <c r="C50" s="9" t="s">
        <v>17</v>
      </c>
      <c r="D50" s="10" t="s">
        <v>18</v>
      </c>
      <c r="E50" s="11" t="s">
        <v>108</v>
      </c>
      <c r="F50" s="8" t="s">
        <v>84</v>
      </c>
      <c r="G50" s="8">
        <v>35</v>
      </c>
      <c r="H50" s="12">
        <v>54.06</v>
      </c>
      <c r="I50" s="13">
        <f t="shared" si="0"/>
        <v>1892.1000000000001</v>
      </c>
    </row>
    <row r="51" spans="1:9" ht="31.95" customHeight="1" thickBot="1">
      <c r="A51" s="7">
        <v>42</v>
      </c>
      <c r="B51" s="8" t="s">
        <v>109</v>
      </c>
      <c r="C51" s="9" t="s">
        <v>17</v>
      </c>
      <c r="D51" s="10" t="s">
        <v>18</v>
      </c>
      <c r="E51" s="11" t="s">
        <v>110</v>
      </c>
      <c r="F51" s="8" t="s">
        <v>104</v>
      </c>
      <c r="G51" s="8">
        <v>7</v>
      </c>
      <c r="H51" s="12">
        <v>1903.2</v>
      </c>
      <c r="I51" s="13">
        <f t="shared" si="0"/>
        <v>13322.4</v>
      </c>
    </row>
    <row r="52" spans="1:9" ht="31.95" customHeight="1" thickBot="1">
      <c r="A52" s="7">
        <v>43</v>
      </c>
      <c r="B52" s="8" t="s">
        <v>111</v>
      </c>
      <c r="C52" s="9" t="s">
        <v>17</v>
      </c>
      <c r="D52" s="10" t="s">
        <v>18</v>
      </c>
      <c r="E52" s="11" t="s">
        <v>112</v>
      </c>
      <c r="F52" s="8" t="s">
        <v>104</v>
      </c>
      <c r="G52" s="8">
        <v>7</v>
      </c>
      <c r="H52" s="12">
        <v>1335.12</v>
      </c>
      <c r="I52" s="13">
        <f t="shared" si="0"/>
        <v>9345.84</v>
      </c>
    </row>
    <row r="53" spans="1:9" ht="31.95" customHeight="1" thickBot="1">
      <c r="A53" s="7">
        <v>44</v>
      </c>
      <c r="B53" s="8" t="s">
        <v>113</v>
      </c>
      <c r="C53" s="9" t="s">
        <v>17</v>
      </c>
      <c r="D53" s="10" t="s">
        <v>18</v>
      </c>
      <c r="E53" s="11" t="s">
        <v>114</v>
      </c>
      <c r="F53" s="8" t="s">
        <v>104</v>
      </c>
      <c r="G53" s="8">
        <v>1</v>
      </c>
      <c r="H53" s="12">
        <v>4518.72</v>
      </c>
      <c r="I53" s="13">
        <f t="shared" si="0"/>
        <v>4518.72</v>
      </c>
    </row>
    <row r="54" spans="1:9" ht="31.95" customHeight="1" thickBot="1">
      <c r="A54" s="7">
        <v>45</v>
      </c>
      <c r="B54" s="8" t="s">
        <v>115</v>
      </c>
      <c r="C54" s="9" t="s">
        <v>17</v>
      </c>
      <c r="D54" s="10" t="s">
        <v>18</v>
      </c>
      <c r="E54" s="11" t="s">
        <v>116</v>
      </c>
      <c r="F54" s="8" t="s">
        <v>104</v>
      </c>
      <c r="G54" s="8">
        <v>1</v>
      </c>
      <c r="H54" s="12">
        <v>1452.96</v>
      </c>
      <c r="I54" s="13">
        <f t="shared" si="0"/>
        <v>1452.96</v>
      </c>
    </row>
    <row r="55" spans="1:9" ht="47.25" customHeight="1" thickBot="1">
      <c r="A55" s="7">
        <v>46</v>
      </c>
      <c r="B55" s="8" t="s">
        <v>117</v>
      </c>
      <c r="C55" s="9" t="s">
        <v>17</v>
      </c>
      <c r="D55" s="10" t="s">
        <v>18</v>
      </c>
      <c r="E55" s="11" t="s">
        <v>118</v>
      </c>
      <c r="F55" s="8" t="s">
        <v>104</v>
      </c>
      <c r="G55" s="8">
        <v>2000</v>
      </c>
      <c r="H55" s="12">
        <v>127.08</v>
      </c>
      <c r="I55" s="13">
        <f t="shared" si="0"/>
        <v>254160</v>
      </c>
    </row>
    <row r="56" spans="1:9" ht="31.95" customHeight="1" thickBot="1">
      <c r="A56" s="7">
        <v>47</v>
      </c>
      <c r="B56" s="8" t="s">
        <v>119</v>
      </c>
      <c r="C56" s="9" t="s">
        <v>17</v>
      </c>
      <c r="D56" s="10" t="s">
        <v>18</v>
      </c>
      <c r="E56" s="11" t="s">
        <v>120</v>
      </c>
      <c r="F56" s="8" t="s">
        <v>121</v>
      </c>
      <c r="G56" s="8">
        <v>320</v>
      </c>
      <c r="H56" s="12">
        <v>594</v>
      </c>
      <c r="I56" s="13">
        <f t="shared" si="0"/>
        <v>190080</v>
      </c>
    </row>
    <row r="57" spans="1:9" ht="42.75" customHeight="1" thickBot="1">
      <c r="A57" s="7">
        <v>48</v>
      </c>
      <c r="B57" s="8" t="s">
        <v>122</v>
      </c>
      <c r="C57" s="9" t="s">
        <v>17</v>
      </c>
      <c r="D57" s="10" t="s">
        <v>18</v>
      </c>
      <c r="E57" s="11" t="s">
        <v>123</v>
      </c>
      <c r="F57" s="8" t="s">
        <v>46</v>
      </c>
      <c r="G57" s="8">
        <v>150</v>
      </c>
      <c r="H57" s="12">
        <v>936</v>
      </c>
      <c r="I57" s="13">
        <f t="shared" si="0"/>
        <v>140400</v>
      </c>
    </row>
    <row r="58" spans="1:9" ht="57.75" customHeight="1" thickBot="1">
      <c r="A58" s="7">
        <v>49</v>
      </c>
      <c r="B58" s="8" t="s">
        <v>124</v>
      </c>
      <c r="C58" s="9" t="s">
        <v>17</v>
      </c>
      <c r="D58" s="10" t="s">
        <v>18</v>
      </c>
      <c r="E58" s="11" t="s">
        <v>125</v>
      </c>
      <c r="F58" s="8" t="s">
        <v>104</v>
      </c>
      <c r="G58" s="8">
        <v>200</v>
      </c>
      <c r="H58" s="12">
        <v>468</v>
      </c>
      <c r="I58" s="13">
        <f t="shared" si="0"/>
        <v>93600</v>
      </c>
    </row>
    <row r="59" spans="1:9" ht="31.95" customHeight="1" thickBot="1">
      <c r="A59" s="7">
        <v>50</v>
      </c>
      <c r="B59" s="8" t="s">
        <v>126</v>
      </c>
      <c r="C59" s="9" t="s">
        <v>17</v>
      </c>
      <c r="D59" s="10" t="s">
        <v>18</v>
      </c>
      <c r="E59" s="11" t="s">
        <v>127</v>
      </c>
      <c r="F59" s="8" t="s">
        <v>104</v>
      </c>
      <c r="G59" s="8">
        <v>3000</v>
      </c>
      <c r="H59" s="12">
        <v>184.8</v>
      </c>
      <c r="I59" s="13">
        <f t="shared" si="0"/>
        <v>554400</v>
      </c>
    </row>
    <row r="60" spans="1:9" ht="31.95" customHeight="1" thickBot="1">
      <c r="A60" s="7">
        <v>51</v>
      </c>
      <c r="B60" s="8" t="s">
        <v>128</v>
      </c>
      <c r="C60" s="9" t="s">
        <v>17</v>
      </c>
      <c r="D60" s="10" t="s">
        <v>18</v>
      </c>
      <c r="E60" s="11" t="s">
        <v>129</v>
      </c>
      <c r="F60" s="8" t="s">
        <v>130</v>
      </c>
      <c r="G60" s="8">
        <v>3000</v>
      </c>
      <c r="H60" s="12">
        <v>25.2</v>
      </c>
      <c r="I60" s="13">
        <f t="shared" si="0"/>
        <v>75600</v>
      </c>
    </row>
    <row r="61" spans="1:9" ht="31.95" customHeight="1" thickBot="1">
      <c r="A61" s="7">
        <v>52</v>
      </c>
      <c r="B61" s="8" t="s">
        <v>131</v>
      </c>
      <c r="C61" s="9" t="s">
        <v>17</v>
      </c>
      <c r="D61" s="10" t="s">
        <v>18</v>
      </c>
      <c r="E61" s="11" t="s">
        <v>132</v>
      </c>
      <c r="F61" s="8" t="s">
        <v>130</v>
      </c>
      <c r="G61" s="8">
        <v>3000</v>
      </c>
      <c r="H61" s="12">
        <v>25.2</v>
      </c>
      <c r="I61" s="13">
        <f t="shared" si="0"/>
        <v>75600</v>
      </c>
    </row>
    <row r="62" spans="1:9" ht="31.95" customHeight="1" thickBot="1">
      <c r="A62" s="7">
        <v>53</v>
      </c>
      <c r="B62" s="8" t="s">
        <v>133</v>
      </c>
      <c r="C62" s="9" t="s">
        <v>17</v>
      </c>
      <c r="D62" s="10" t="s">
        <v>18</v>
      </c>
      <c r="E62" s="11" t="s">
        <v>134</v>
      </c>
      <c r="F62" s="8" t="s">
        <v>46</v>
      </c>
      <c r="G62" s="8">
        <v>27</v>
      </c>
      <c r="H62" s="12">
        <v>186</v>
      </c>
      <c r="I62" s="13">
        <f t="shared" si="0"/>
        <v>5022</v>
      </c>
    </row>
    <row r="63" spans="1:9" ht="31.95" customHeight="1" thickBot="1">
      <c r="A63" s="7">
        <v>54</v>
      </c>
      <c r="B63" s="8" t="s">
        <v>135</v>
      </c>
      <c r="C63" s="9" t="s">
        <v>17</v>
      </c>
      <c r="D63" s="10" t="s">
        <v>18</v>
      </c>
      <c r="E63" s="11" t="s">
        <v>136</v>
      </c>
      <c r="F63" s="8" t="s">
        <v>130</v>
      </c>
      <c r="G63" s="8">
        <v>120</v>
      </c>
      <c r="H63" s="12">
        <v>80.400000000000006</v>
      </c>
      <c r="I63" s="13">
        <f t="shared" si="0"/>
        <v>9648</v>
      </c>
    </row>
    <row r="64" spans="1:9" ht="31.95" customHeight="1" thickBot="1">
      <c r="A64" s="7">
        <v>55</v>
      </c>
      <c r="B64" s="8" t="s">
        <v>137</v>
      </c>
      <c r="C64" s="9" t="s">
        <v>17</v>
      </c>
      <c r="D64" s="10" t="s">
        <v>18</v>
      </c>
      <c r="E64" s="11" t="s">
        <v>138</v>
      </c>
      <c r="F64" s="8" t="s">
        <v>130</v>
      </c>
      <c r="G64" s="8">
        <v>20</v>
      </c>
      <c r="H64" s="12">
        <v>444</v>
      </c>
      <c r="I64" s="13">
        <f t="shared" si="0"/>
        <v>8880</v>
      </c>
    </row>
    <row r="65" spans="1:9" ht="60" customHeight="1" thickBot="1">
      <c r="A65" s="7">
        <v>56</v>
      </c>
      <c r="B65" s="8" t="s">
        <v>139</v>
      </c>
      <c r="C65" s="9" t="s">
        <v>17</v>
      </c>
      <c r="D65" s="10" t="s">
        <v>18</v>
      </c>
      <c r="E65" s="11" t="s">
        <v>140</v>
      </c>
      <c r="F65" s="8" t="s">
        <v>23</v>
      </c>
      <c r="G65" s="8">
        <v>35</v>
      </c>
      <c r="H65" s="12">
        <v>324</v>
      </c>
      <c r="I65" s="13">
        <f t="shared" si="0"/>
        <v>11340</v>
      </c>
    </row>
    <row r="66" spans="1:9" ht="51" customHeight="1" thickBot="1">
      <c r="A66" s="7">
        <v>57</v>
      </c>
      <c r="B66" s="8" t="s">
        <v>141</v>
      </c>
      <c r="C66" s="9" t="s">
        <v>17</v>
      </c>
      <c r="D66" s="10" t="s">
        <v>18</v>
      </c>
      <c r="E66" s="11" t="s">
        <v>142</v>
      </c>
      <c r="F66" s="8" t="s">
        <v>23</v>
      </c>
      <c r="G66" s="8">
        <v>20</v>
      </c>
      <c r="H66" s="12">
        <v>96</v>
      </c>
      <c r="I66" s="13">
        <f t="shared" si="0"/>
        <v>1920</v>
      </c>
    </row>
    <row r="67" spans="1:9" ht="45" customHeight="1" thickBot="1">
      <c r="A67" s="7">
        <v>58</v>
      </c>
      <c r="B67" s="8" t="s">
        <v>143</v>
      </c>
      <c r="C67" s="9" t="s">
        <v>17</v>
      </c>
      <c r="D67" s="10" t="s">
        <v>18</v>
      </c>
      <c r="E67" s="11" t="s">
        <v>144</v>
      </c>
      <c r="F67" s="8" t="s">
        <v>145</v>
      </c>
      <c r="G67" s="8">
        <v>2700</v>
      </c>
      <c r="H67" s="12">
        <v>25.6</v>
      </c>
      <c r="I67" s="13">
        <f t="shared" si="0"/>
        <v>69120</v>
      </c>
    </row>
    <row r="68" spans="1:9" ht="43.5" customHeight="1" thickBot="1">
      <c r="A68" s="7">
        <v>59</v>
      </c>
      <c r="B68" s="8" t="s">
        <v>146</v>
      </c>
      <c r="C68" s="9" t="s">
        <v>17</v>
      </c>
      <c r="D68" s="10" t="s">
        <v>18</v>
      </c>
      <c r="E68" s="11" t="s">
        <v>147</v>
      </c>
      <c r="F68" s="8" t="s">
        <v>46</v>
      </c>
      <c r="G68" s="8">
        <v>60</v>
      </c>
      <c r="H68" s="12">
        <v>1620</v>
      </c>
      <c r="I68" s="13">
        <f t="shared" si="0"/>
        <v>97200</v>
      </c>
    </row>
    <row r="69" spans="1:9" ht="51" customHeight="1" thickBot="1">
      <c r="A69" s="7">
        <v>60</v>
      </c>
      <c r="B69" s="8" t="s">
        <v>148</v>
      </c>
      <c r="C69" s="9" t="s">
        <v>17</v>
      </c>
      <c r="D69" s="10" t="s">
        <v>18</v>
      </c>
      <c r="E69" s="11" t="s">
        <v>149</v>
      </c>
      <c r="F69" s="8" t="s">
        <v>150</v>
      </c>
      <c r="G69" s="8">
        <v>60</v>
      </c>
      <c r="H69" s="12">
        <v>1500</v>
      </c>
      <c r="I69" s="13">
        <f t="shared" si="0"/>
        <v>90000</v>
      </c>
    </row>
    <row r="70" spans="1:9" ht="46.5" customHeight="1" thickBot="1">
      <c r="A70" s="7">
        <v>61</v>
      </c>
      <c r="B70" s="8" t="s">
        <v>151</v>
      </c>
      <c r="C70" s="9" t="s">
        <v>17</v>
      </c>
      <c r="D70" s="10" t="s">
        <v>18</v>
      </c>
      <c r="E70" s="11" t="s">
        <v>152</v>
      </c>
      <c r="F70" s="8" t="s">
        <v>46</v>
      </c>
      <c r="G70" s="8">
        <v>60</v>
      </c>
      <c r="H70" s="12">
        <v>1080</v>
      </c>
      <c r="I70" s="13">
        <f t="shared" si="0"/>
        <v>64800</v>
      </c>
    </row>
    <row r="71" spans="1:9" ht="49.5" customHeight="1" thickBot="1">
      <c r="A71" s="7">
        <v>62</v>
      </c>
      <c r="B71" s="8" t="s">
        <v>153</v>
      </c>
      <c r="C71" s="9" t="s">
        <v>17</v>
      </c>
      <c r="D71" s="10" t="s">
        <v>18</v>
      </c>
      <c r="E71" s="11" t="s">
        <v>154</v>
      </c>
      <c r="F71" s="8" t="s">
        <v>104</v>
      </c>
      <c r="G71" s="8">
        <v>200</v>
      </c>
      <c r="H71" s="12">
        <v>288</v>
      </c>
      <c r="I71" s="13">
        <f t="shared" si="0"/>
        <v>57600</v>
      </c>
    </row>
    <row r="72" spans="1:9" ht="47.25" customHeight="1" thickBot="1">
      <c r="A72" s="7">
        <v>63</v>
      </c>
      <c r="B72" s="8" t="s">
        <v>155</v>
      </c>
      <c r="C72" s="9" t="s">
        <v>17</v>
      </c>
      <c r="D72" s="10" t="s">
        <v>18</v>
      </c>
      <c r="E72" s="11" t="s">
        <v>156</v>
      </c>
      <c r="F72" s="8" t="s">
        <v>150</v>
      </c>
      <c r="G72" s="8">
        <v>60</v>
      </c>
      <c r="H72" s="12">
        <v>1530</v>
      </c>
      <c r="I72" s="13">
        <f t="shared" si="0"/>
        <v>91800</v>
      </c>
    </row>
    <row r="73" spans="1:9" ht="50.25" customHeight="1" thickBot="1">
      <c r="A73" s="7">
        <v>64</v>
      </c>
      <c r="B73" s="8" t="s">
        <v>157</v>
      </c>
      <c r="C73" s="9" t="s">
        <v>17</v>
      </c>
      <c r="D73" s="10" t="s">
        <v>18</v>
      </c>
      <c r="E73" s="11" t="s">
        <v>158</v>
      </c>
      <c r="F73" s="8" t="s">
        <v>46</v>
      </c>
      <c r="G73" s="8">
        <v>40</v>
      </c>
      <c r="H73" s="12">
        <v>1020</v>
      </c>
      <c r="I73" s="13">
        <f t="shared" si="0"/>
        <v>40800</v>
      </c>
    </row>
    <row r="74" spans="1:9" ht="47.25" customHeight="1" thickBot="1">
      <c r="A74" s="7">
        <v>65</v>
      </c>
      <c r="B74" s="8" t="s">
        <v>159</v>
      </c>
      <c r="C74" s="9" t="s">
        <v>17</v>
      </c>
      <c r="D74" s="10" t="s">
        <v>18</v>
      </c>
      <c r="E74" s="11" t="s">
        <v>160</v>
      </c>
      <c r="F74" s="8" t="s">
        <v>145</v>
      </c>
      <c r="G74" s="8">
        <v>100</v>
      </c>
      <c r="H74" s="12">
        <v>96</v>
      </c>
      <c r="I74" s="13">
        <f t="shared" ref="I74:I100" si="1">G74*H74</f>
        <v>9600</v>
      </c>
    </row>
    <row r="75" spans="1:9" ht="46.5" customHeight="1" thickBot="1">
      <c r="A75" s="7">
        <v>66</v>
      </c>
      <c r="B75" s="8" t="s">
        <v>161</v>
      </c>
      <c r="C75" s="9" t="s">
        <v>17</v>
      </c>
      <c r="D75" s="10" t="s">
        <v>18</v>
      </c>
      <c r="E75" s="11" t="s">
        <v>162</v>
      </c>
      <c r="F75" s="8" t="s">
        <v>145</v>
      </c>
      <c r="G75" s="8">
        <v>120</v>
      </c>
      <c r="H75" s="12">
        <v>306</v>
      </c>
      <c r="I75" s="13">
        <f t="shared" si="1"/>
        <v>36720</v>
      </c>
    </row>
    <row r="76" spans="1:9" ht="45.75" customHeight="1" thickBot="1">
      <c r="A76" s="7">
        <v>67</v>
      </c>
      <c r="B76" s="8" t="s">
        <v>163</v>
      </c>
      <c r="C76" s="9" t="s">
        <v>17</v>
      </c>
      <c r="D76" s="10" t="s">
        <v>18</v>
      </c>
      <c r="E76" s="11" t="s">
        <v>164</v>
      </c>
      <c r="F76" s="8" t="s">
        <v>46</v>
      </c>
      <c r="G76" s="8">
        <v>120</v>
      </c>
      <c r="H76" s="12">
        <v>900</v>
      </c>
      <c r="I76" s="13">
        <f t="shared" si="1"/>
        <v>108000</v>
      </c>
    </row>
    <row r="77" spans="1:9" ht="45.75" customHeight="1" thickBot="1">
      <c r="A77" s="7">
        <v>68</v>
      </c>
      <c r="B77" s="8" t="s">
        <v>165</v>
      </c>
      <c r="C77" s="9" t="s">
        <v>17</v>
      </c>
      <c r="D77" s="10" t="s">
        <v>18</v>
      </c>
      <c r="E77" s="11" t="s">
        <v>166</v>
      </c>
      <c r="F77" s="8" t="s">
        <v>104</v>
      </c>
      <c r="G77" s="8">
        <v>400</v>
      </c>
      <c r="H77" s="12">
        <v>66</v>
      </c>
      <c r="I77" s="13">
        <f t="shared" si="1"/>
        <v>26400</v>
      </c>
    </row>
    <row r="78" spans="1:9" ht="43.5" customHeight="1" thickBot="1">
      <c r="A78" s="7">
        <v>69</v>
      </c>
      <c r="B78" s="8" t="s">
        <v>167</v>
      </c>
      <c r="C78" s="9" t="s">
        <v>17</v>
      </c>
      <c r="D78" s="10" t="s">
        <v>18</v>
      </c>
      <c r="E78" s="11" t="s">
        <v>168</v>
      </c>
      <c r="F78" s="8" t="s">
        <v>104</v>
      </c>
      <c r="G78" s="8">
        <v>40</v>
      </c>
      <c r="H78" s="12">
        <v>108</v>
      </c>
      <c r="I78" s="13">
        <f t="shared" si="1"/>
        <v>4320</v>
      </c>
    </row>
    <row r="79" spans="1:9" ht="43.5" customHeight="1" thickBot="1">
      <c r="A79" s="7">
        <v>70</v>
      </c>
      <c r="B79" s="8" t="s">
        <v>169</v>
      </c>
      <c r="C79" s="9" t="s">
        <v>17</v>
      </c>
      <c r="D79" s="10" t="s">
        <v>18</v>
      </c>
      <c r="E79" s="11" t="s">
        <v>170</v>
      </c>
      <c r="F79" s="8" t="s">
        <v>150</v>
      </c>
      <c r="G79" s="8">
        <v>40</v>
      </c>
      <c r="H79" s="12">
        <v>1140</v>
      </c>
      <c r="I79" s="13">
        <f t="shared" si="1"/>
        <v>45600</v>
      </c>
    </row>
    <row r="80" spans="1:9" ht="42.75" customHeight="1" thickBot="1">
      <c r="A80" s="7">
        <v>71</v>
      </c>
      <c r="B80" s="21" t="s">
        <v>171</v>
      </c>
      <c r="C80" s="9" t="s">
        <v>17</v>
      </c>
      <c r="D80" s="10" t="s">
        <v>18</v>
      </c>
      <c r="E80" s="22" t="s">
        <v>172</v>
      </c>
      <c r="F80" s="8" t="s">
        <v>104</v>
      </c>
      <c r="G80" s="8">
        <v>40</v>
      </c>
      <c r="H80" s="12">
        <v>78</v>
      </c>
      <c r="I80" s="13">
        <f t="shared" si="1"/>
        <v>3120</v>
      </c>
    </row>
    <row r="81" spans="1:9" ht="47.25" customHeight="1" thickBot="1">
      <c r="A81" s="7">
        <v>72</v>
      </c>
      <c r="B81" s="8" t="s">
        <v>173</v>
      </c>
      <c r="C81" s="9" t="s">
        <v>17</v>
      </c>
      <c r="D81" s="10" t="s">
        <v>18</v>
      </c>
      <c r="E81" s="11" t="s">
        <v>174</v>
      </c>
      <c r="F81" s="8" t="s">
        <v>150</v>
      </c>
      <c r="G81" s="8">
        <v>80</v>
      </c>
      <c r="H81" s="12">
        <v>2580</v>
      </c>
      <c r="I81" s="13">
        <f t="shared" si="1"/>
        <v>206400</v>
      </c>
    </row>
    <row r="82" spans="1:9" ht="38.25" customHeight="1" thickBot="1">
      <c r="A82" s="7">
        <v>73</v>
      </c>
      <c r="B82" s="8" t="s">
        <v>175</v>
      </c>
      <c r="C82" s="9" t="s">
        <v>17</v>
      </c>
      <c r="D82" s="10" t="s">
        <v>18</v>
      </c>
      <c r="E82" s="11" t="s">
        <v>176</v>
      </c>
      <c r="F82" s="8" t="s">
        <v>150</v>
      </c>
      <c r="G82" s="8">
        <v>80</v>
      </c>
      <c r="H82" s="12">
        <v>2640</v>
      </c>
      <c r="I82" s="13">
        <f t="shared" si="1"/>
        <v>211200</v>
      </c>
    </row>
    <row r="83" spans="1:9" ht="49.5" customHeight="1" thickBot="1">
      <c r="A83" s="7">
        <v>74</v>
      </c>
      <c r="B83" s="8" t="s">
        <v>177</v>
      </c>
      <c r="C83" s="9" t="s">
        <v>17</v>
      </c>
      <c r="D83" s="10" t="s">
        <v>18</v>
      </c>
      <c r="E83" s="11" t="s">
        <v>178</v>
      </c>
      <c r="F83" s="8" t="s">
        <v>150</v>
      </c>
      <c r="G83" s="8">
        <v>60</v>
      </c>
      <c r="H83" s="12">
        <v>900</v>
      </c>
      <c r="I83" s="13">
        <f t="shared" si="1"/>
        <v>54000</v>
      </c>
    </row>
    <row r="84" spans="1:9" ht="45" customHeight="1" thickBot="1">
      <c r="A84" s="7">
        <v>75</v>
      </c>
      <c r="B84" s="8" t="s">
        <v>179</v>
      </c>
      <c r="C84" s="9" t="s">
        <v>17</v>
      </c>
      <c r="D84" s="10" t="s">
        <v>18</v>
      </c>
      <c r="E84" s="11" t="s">
        <v>180</v>
      </c>
      <c r="F84" s="8" t="s">
        <v>150</v>
      </c>
      <c r="G84" s="8">
        <v>80</v>
      </c>
      <c r="H84" s="12">
        <v>2520</v>
      </c>
      <c r="I84" s="13">
        <f t="shared" si="1"/>
        <v>201600</v>
      </c>
    </row>
    <row r="85" spans="1:9" ht="49.5" customHeight="1" thickBot="1">
      <c r="A85" s="7">
        <v>76</v>
      </c>
      <c r="B85" s="8" t="s">
        <v>181</v>
      </c>
      <c r="C85" s="9" t="s">
        <v>17</v>
      </c>
      <c r="D85" s="10" t="s">
        <v>18</v>
      </c>
      <c r="E85" s="11" t="s">
        <v>182</v>
      </c>
      <c r="F85" s="8" t="s">
        <v>150</v>
      </c>
      <c r="G85" s="8">
        <v>40</v>
      </c>
      <c r="H85" s="12">
        <v>900</v>
      </c>
      <c r="I85" s="13">
        <f t="shared" si="1"/>
        <v>36000</v>
      </c>
    </row>
    <row r="86" spans="1:9" ht="31.95" customHeight="1" thickBot="1">
      <c r="A86" s="7">
        <v>77</v>
      </c>
      <c r="B86" s="8" t="s">
        <v>183</v>
      </c>
      <c r="C86" s="9" t="s">
        <v>17</v>
      </c>
      <c r="D86" s="10" t="s">
        <v>18</v>
      </c>
      <c r="E86" s="11" t="s">
        <v>184</v>
      </c>
      <c r="F86" s="8" t="s">
        <v>104</v>
      </c>
      <c r="G86" s="8">
        <v>400</v>
      </c>
      <c r="H86" s="12">
        <v>750</v>
      </c>
      <c r="I86" s="13">
        <f t="shared" si="1"/>
        <v>300000</v>
      </c>
    </row>
    <row r="87" spans="1:9" ht="31.95" customHeight="1" thickBot="1">
      <c r="A87" s="7">
        <v>78</v>
      </c>
      <c r="B87" s="8" t="s">
        <v>185</v>
      </c>
      <c r="C87" s="9" t="s">
        <v>17</v>
      </c>
      <c r="D87" s="10" t="s">
        <v>18</v>
      </c>
      <c r="E87" s="11" t="s">
        <v>186</v>
      </c>
      <c r="F87" s="8" t="s">
        <v>104</v>
      </c>
      <c r="G87" s="8">
        <v>200</v>
      </c>
      <c r="H87" s="12">
        <v>750</v>
      </c>
      <c r="I87" s="13">
        <f t="shared" si="1"/>
        <v>150000</v>
      </c>
    </row>
    <row r="88" spans="1:9" ht="31.95" customHeight="1" thickBot="1">
      <c r="A88" s="7">
        <v>79</v>
      </c>
      <c r="B88" s="8" t="s">
        <v>187</v>
      </c>
      <c r="C88" s="9" t="s">
        <v>17</v>
      </c>
      <c r="D88" s="10" t="s">
        <v>18</v>
      </c>
      <c r="E88" s="11" t="s">
        <v>188</v>
      </c>
      <c r="F88" s="8" t="s">
        <v>104</v>
      </c>
      <c r="G88" s="8">
        <v>300</v>
      </c>
      <c r="H88" s="12">
        <v>600</v>
      </c>
      <c r="I88" s="13">
        <f t="shared" si="1"/>
        <v>180000</v>
      </c>
    </row>
    <row r="89" spans="1:9" ht="31.95" customHeight="1" thickBot="1">
      <c r="A89" s="7">
        <v>80</v>
      </c>
      <c r="B89" s="8" t="s">
        <v>189</v>
      </c>
      <c r="C89" s="9" t="s">
        <v>17</v>
      </c>
      <c r="D89" s="10" t="s">
        <v>18</v>
      </c>
      <c r="E89" s="11" t="s">
        <v>190</v>
      </c>
      <c r="F89" s="8" t="s">
        <v>104</v>
      </c>
      <c r="G89" s="8">
        <v>60</v>
      </c>
      <c r="H89" s="12">
        <v>450</v>
      </c>
      <c r="I89" s="13">
        <f t="shared" si="1"/>
        <v>27000</v>
      </c>
    </row>
    <row r="90" spans="1:9" ht="31.95" customHeight="1" thickBot="1">
      <c r="A90" s="7">
        <v>81</v>
      </c>
      <c r="B90" s="8" t="s">
        <v>191</v>
      </c>
      <c r="C90" s="9" t="s">
        <v>17</v>
      </c>
      <c r="D90" s="10" t="s">
        <v>18</v>
      </c>
      <c r="E90" s="11" t="s">
        <v>192</v>
      </c>
      <c r="F90" s="8" t="s">
        <v>104</v>
      </c>
      <c r="G90" s="8">
        <v>60</v>
      </c>
      <c r="H90" s="12">
        <v>450</v>
      </c>
      <c r="I90" s="13">
        <f t="shared" si="1"/>
        <v>27000</v>
      </c>
    </row>
    <row r="91" spans="1:9" ht="70.5" customHeight="1" thickBot="1">
      <c r="A91" s="7">
        <v>82</v>
      </c>
      <c r="B91" s="8" t="s">
        <v>193</v>
      </c>
      <c r="C91" s="9" t="s">
        <v>17</v>
      </c>
      <c r="D91" s="10" t="s">
        <v>18</v>
      </c>
      <c r="E91" s="16" t="s">
        <v>194</v>
      </c>
      <c r="F91" s="8" t="s">
        <v>104</v>
      </c>
      <c r="G91" s="8">
        <v>140</v>
      </c>
      <c r="H91" s="12">
        <v>348</v>
      </c>
      <c r="I91" s="13">
        <f t="shared" si="1"/>
        <v>48720</v>
      </c>
    </row>
    <row r="92" spans="1:9" ht="61.5" customHeight="1" thickBot="1">
      <c r="A92" s="7">
        <v>83</v>
      </c>
      <c r="B92" s="8" t="s">
        <v>195</v>
      </c>
      <c r="C92" s="9" t="s">
        <v>17</v>
      </c>
      <c r="D92" s="10" t="s">
        <v>18</v>
      </c>
      <c r="E92" s="11" t="s">
        <v>196</v>
      </c>
      <c r="F92" s="8" t="s">
        <v>104</v>
      </c>
      <c r="G92" s="8">
        <v>60</v>
      </c>
      <c r="H92" s="12">
        <v>384</v>
      </c>
      <c r="I92" s="13">
        <f t="shared" si="1"/>
        <v>23040</v>
      </c>
    </row>
    <row r="93" spans="1:9" ht="59.25" customHeight="1" thickBot="1">
      <c r="A93" s="7">
        <v>84</v>
      </c>
      <c r="B93" s="8" t="s">
        <v>197</v>
      </c>
      <c r="C93" s="9" t="s">
        <v>17</v>
      </c>
      <c r="D93" s="10" t="s">
        <v>18</v>
      </c>
      <c r="E93" s="11" t="s">
        <v>198</v>
      </c>
      <c r="F93" s="8" t="s">
        <v>199</v>
      </c>
      <c r="G93" s="8">
        <v>50</v>
      </c>
      <c r="H93" s="12">
        <v>504</v>
      </c>
      <c r="I93" s="13">
        <f t="shared" si="1"/>
        <v>25200</v>
      </c>
    </row>
    <row r="94" spans="1:9" ht="31.95" customHeight="1" thickBot="1">
      <c r="A94" s="7">
        <v>85</v>
      </c>
      <c r="B94" s="8" t="s">
        <v>200</v>
      </c>
      <c r="C94" s="9" t="s">
        <v>17</v>
      </c>
      <c r="D94" s="10" t="s">
        <v>18</v>
      </c>
      <c r="E94" s="23" t="s">
        <v>201</v>
      </c>
      <c r="F94" s="8" t="s">
        <v>104</v>
      </c>
      <c r="G94" s="8">
        <v>70</v>
      </c>
      <c r="H94" s="12">
        <v>499.87</v>
      </c>
      <c r="I94" s="13">
        <f t="shared" si="1"/>
        <v>34990.9</v>
      </c>
    </row>
    <row r="95" spans="1:9" ht="31.95" customHeight="1" thickBot="1">
      <c r="A95" s="7">
        <v>86</v>
      </c>
      <c r="B95" s="8" t="s">
        <v>202</v>
      </c>
      <c r="C95" s="9" t="s">
        <v>17</v>
      </c>
      <c r="D95" s="10" t="s">
        <v>18</v>
      </c>
      <c r="E95" s="24" t="s">
        <v>203</v>
      </c>
      <c r="F95" s="8" t="s">
        <v>104</v>
      </c>
      <c r="G95" s="8">
        <v>20</v>
      </c>
      <c r="H95" s="12">
        <v>391.2</v>
      </c>
      <c r="I95" s="13">
        <f t="shared" si="1"/>
        <v>7824</v>
      </c>
    </row>
    <row r="96" spans="1:9" ht="42.75" customHeight="1" thickBot="1">
      <c r="A96" s="7">
        <v>87</v>
      </c>
      <c r="B96" s="8" t="s">
        <v>204</v>
      </c>
      <c r="C96" s="9" t="s">
        <v>17</v>
      </c>
      <c r="D96" s="10" t="s">
        <v>18</v>
      </c>
      <c r="E96" s="11" t="s">
        <v>205</v>
      </c>
      <c r="F96" s="8" t="s">
        <v>300</v>
      </c>
      <c r="G96" s="8">
        <v>260</v>
      </c>
      <c r="H96" s="12">
        <v>96.18</v>
      </c>
      <c r="I96" s="13">
        <f t="shared" si="1"/>
        <v>25006.800000000003</v>
      </c>
    </row>
    <row r="97" spans="1:9" ht="31.95" customHeight="1" thickBot="1">
      <c r="A97" s="7">
        <v>88</v>
      </c>
      <c r="B97" s="8" t="s">
        <v>206</v>
      </c>
      <c r="C97" s="9" t="s">
        <v>17</v>
      </c>
      <c r="D97" s="10" t="s">
        <v>18</v>
      </c>
      <c r="E97" s="11" t="s">
        <v>207</v>
      </c>
      <c r="F97" s="8" t="s">
        <v>299</v>
      </c>
      <c r="G97" s="8">
        <v>240</v>
      </c>
      <c r="H97" s="12">
        <v>73.63</v>
      </c>
      <c r="I97" s="13">
        <f t="shared" si="1"/>
        <v>17671.199999999997</v>
      </c>
    </row>
    <row r="98" spans="1:9" ht="31.95" customHeight="1" thickBot="1">
      <c r="A98" s="7">
        <v>89</v>
      </c>
      <c r="B98" s="8" t="s">
        <v>208</v>
      </c>
      <c r="C98" s="9" t="s">
        <v>17</v>
      </c>
      <c r="D98" s="10" t="s">
        <v>18</v>
      </c>
      <c r="E98" s="11" t="s">
        <v>209</v>
      </c>
      <c r="F98" s="8" t="s">
        <v>299</v>
      </c>
      <c r="G98" s="8">
        <v>160</v>
      </c>
      <c r="H98" s="12">
        <v>38.4</v>
      </c>
      <c r="I98" s="13">
        <f t="shared" si="1"/>
        <v>6144</v>
      </c>
    </row>
    <row r="99" spans="1:9" ht="41.25" customHeight="1" thickBot="1">
      <c r="A99" s="7">
        <v>90</v>
      </c>
      <c r="B99" s="8" t="s">
        <v>210</v>
      </c>
      <c r="C99" s="9" t="s">
        <v>17</v>
      </c>
      <c r="D99" s="10" t="s">
        <v>18</v>
      </c>
      <c r="E99" s="11" t="s">
        <v>211</v>
      </c>
      <c r="F99" s="8" t="s">
        <v>130</v>
      </c>
      <c r="G99" s="8">
        <v>800</v>
      </c>
      <c r="H99" s="12">
        <v>51.56</v>
      </c>
      <c r="I99" s="13">
        <f t="shared" si="1"/>
        <v>41248</v>
      </c>
    </row>
    <row r="100" spans="1:9" ht="46.5" customHeight="1" thickBot="1">
      <c r="A100" s="7">
        <v>91</v>
      </c>
      <c r="B100" s="8" t="s">
        <v>212</v>
      </c>
      <c r="C100" s="9" t="s">
        <v>17</v>
      </c>
      <c r="D100" s="10" t="s">
        <v>18</v>
      </c>
      <c r="E100" s="11" t="s">
        <v>213</v>
      </c>
      <c r="F100" s="8" t="s">
        <v>130</v>
      </c>
      <c r="G100" s="8">
        <v>3</v>
      </c>
      <c r="H100" s="12">
        <v>1068.54</v>
      </c>
      <c r="I100" s="13">
        <f t="shared" si="1"/>
        <v>3205.62</v>
      </c>
    </row>
    <row r="103" spans="1:9">
      <c r="B103" s="25" t="s">
        <v>214</v>
      </c>
      <c r="C103" s="26"/>
      <c r="D103" s="26"/>
      <c r="E103" s="27"/>
    </row>
    <row r="104" spans="1:9" ht="5.25" customHeight="1">
      <c r="B104" s="28"/>
      <c r="C104" s="29"/>
      <c r="D104" s="29"/>
      <c r="E104" s="30"/>
    </row>
    <row r="105" spans="1:9">
      <c r="B105" s="31" t="s">
        <v>215</v>
      </c>
      <c r="C105" s="29"/>
      <c r="D105" s="29"/>
      <c r="E105" s="30"/>
    </row>
    <row r="106" spans="1:9" ht="41.25" customHeight="1">
      <c r="B106" s="31"/>
      <c r="C106" s="109" t="s">
        <v>216</v>
      </c>
      <c r="D106" s="109"/>
      <c r="E106" s="109"/>
    </row>
    <row r="107" spans="1:9">
      <c r="B107" s="31" t="s">
        <v>217</v>
      </c>
      <c r="C107" s="29"/>
      <c r="D107" s="29"/>
      <c r="E107" s="30"/>
    </row>
    <row r="108" spans="1:9">
      <c r="B108" s="32"/>
      <c r="C108" s="100" t="s">
        <v>218</v>
      </c>
      <c r="D108" s="100"/>
      <c r="E108" s="100"/>
    </row>
    <row r="109" spans="1:9">
      <c r="B109" s="32"/>
      <c r="C109" s="100"/>
      <c r="D109" s="100"/>
      <c r="E109" s="100"/>
    </row>
    <row r="110" spans="1:9">
      <c r="B110" s="31" t="s">
        <v>219</v>
      </c>
      <c r="C110" s="29"/>
      <c r="D110" s="29"/>
      <c r="E110" s="30"/>
    </row>
    <row r="111" spans="1:9" ht="26.25" customHeight="1">
      <c r="B111" s="32"/>
      <c r="C111" s="101"/>
      <c r="D111" s="101"/>
      <c r="E111" s="101"/>
    </row>
    <row r="112" spans="1:9">
      <c r="B112" s="31" t="s">
        <v>220</v>
      </c>
      <c r="C112" s="33"/>
      <c r="D112" s="33"/>
      <c r="E112" s="34"/>
    </row>
    <row r="113" spans="2:5" ht="26.25" customHeight="1">
      <c r="B113" s="32"/>
      <c r="C113" s="101" t="s">
        <v>221</v>
      </c>
      <c r="D113" s="101"/>
      <c r="E113" s="101"/>
    </row>
    <row r="114" spans="2:5">
      <c r="B114" s="31" t="s">
        <v>222</v>
      </c>
      <c r="C114" s="29"/>
      <c r="D114" s="29"/>
      <c r="E114" s="30"/>
    </row>
    <row r="115" spans="2:5" ht="23.25" customHeight="1">
      <c r="B115" s="31"/>
      <c r="C115" s="100"/>
      <c r="D115" s="100"/>
      <c r="E115" s="100"/>
    </row>
    <row r="116" spans="2:5" ht="13.8" thickBot="1">
      <c r="B116" s="35"/>
      <c r="C116" s="36"/>
      <c r="D116" s="36"/>
      <c r="E116" s="37"/>
    </row>
    <row r="117" spans="2:5" ht="13.8" thickBot="1"/>
    <row r="118" spans="2:5">
      <c r="B118" s="25" t="s">
        <v>285</v>
      </c>
      <c r="C118" s="26"/>
      <c r="D118" s="26"/>
      <c r="E118" s="27"/>
    </row>
    <row r="119" spans="2:5" ht="5.25" customHeight="1">
      <c r="B119" s="28"/>
      <c r="C119" s="29"/>
      <c r="D119" s="29"/>
      <c r="E119" s="30"/>
    </row>
    <row r="120" spans="2:5">
      <c r="B120" s="31" t="s">
        <v>215</v>
      </c>
      <c r="C120" s="29"/>
      <c r="D120" s="29"/>
      <c r="E120" s="30"/>
    </row>
    <row r="121" spans="2:5" ht="41.25" customHeight="1">
      <c r="B121" s="31"/>
      <c r="C121" s="109" t="s">
        <v>287</v>
      </c>
      <c r="D121" s="109"/>
      <c r="E121" s="109"/>
    </row>
    <row r="122" spans="2:5">
      <c r="B122" s="31" t="s">
        <v>217</v>
      </c>
      <c r="C122" s="29"/>
      <c r="D122" s="29"/>
      <c r="E122" s="30"/>
    </row>
    <row r="123" spans="2:5">
      <c r="B123" s="32"/>
      <c r="C123" s="100" t="s">
        <v>218</v>
      </c>
      <c r="D123" s="100"/>
      <c r="E123" s="100"/>
    </row>
    <row r="124" spans="2:5">
      <c r="B124" s="32"/>
      <c r="C124" s="100"/>
      <c r="D124" s="100"/>
      <c r="E124" s="100"/>
    </row>
    <row r="125" spans="2:5">
      <c r="B125" s="31" t="s">
        <v>219</v>
      </c>
      <c r="C125" s="29"/>
      <c r="D125" s="29"/>
      <c r="E125" s="30"/>
    </row>
    <row r="126" spans="2:5" ht="26.25" customHeight="1">
      <c r="B126" s="32"/>
      <c r="C126" s="101"/>
      <c r="D126" s="101"/>
      <c r="E126" s="101"/>
    </row>
    <row r="127" spans="2:5">
      <c r="B127" s="31" t="s">
        <v>220</v>
      </c>
      <c r="C127" s="33"/>
      <c r="D127" s="33"/>
      <c r="E127" s="34"/>
    </row>
    <row r="128" spans="2:5" ht="26.25" customHeight="1">
      <c r="B128" s="32"/>
      <c r="C128" s="101" t="s">
        <v>221</v>
      </c>
      <c r="D128" s="101"/>
      <c r="E128" s="101"/>
    </row>
    <row r="129" spans="2:5">
      <c r="B129" s="31" t="s">
        <v>222</v>
      </c>
      <c r="C129" s="29"/>
      <c r="D129" s="29"/>
      <c r="E129" s="30"/>
    </row>
    <row r="130" spans="2:5" ht="23.25" customHeight="1">
      <c r="B130" s="31"/>
      <c r="C130" s="100"/>
      <c r="D130" s="100"/>
      <c r="E130" s="100"/>
    </row>
    <row r="131" spans="2:5" ht="13.8" thickBot="1">
      <c r="B131" s="35"/>
      <c r="C131" s="36"/>
      <c r="D131" s="36"/>
      <c r="E131" s="37"/>
    </row>
    <row r="132" spans="2:5" ht="13.8" thickBot="1"/>
    <row r="133" spans="2:5">
      <c r="B133" s="25" t="s">
        <v>286</v>
      </c>
      <c r="C133" s="26"/>
      <c r="D133" s="26"/>
      <c r="E133" s="27"/>
    </row>
    <row r="134" spans="2:5" ht="5.25" customHeight="1">
      <c r="B134" s="28"/>
      <c r="C134" s="29"/>
      <c r="D134" s="29"/>
      <c r="E134" s="30"/>
    </row>
    <row r="135" spans="2:5">
      <c r="B135" s="31" t="s">
        <v>215</v>
      </c>
      <c r="C135" s="29"/>
      <c r="D135" s="29"/>
      <c r="E135" s="30"/>
    </row>
    <row r="136" spans="2:5" ht="41.25" customHeight="1">
      <c r="B136" s="31"/>
      <c r="C136" s="109" t="s">
        <v>288</v>
      </c>
      <c r="D136" s="109"/>
      <c r="E136" s="109"/>
    </row>
    <row r="137" spans="2:5">
      <c r="B137" s="31" t="s">
        <v>217</v>
      </c>
      <c r="C137" s="29"/>
      <c r="D137" s="29"/>
      <c r="E137" s="30"/>
    </row>
    <row r="138" spans="2:5">
      <c r="B138" s="32"/>
      <c r="C138" s="100" t="s">
        <v>218</v>
      </c>
      <c r="D138" s="100"/>
      <c r="E138" s="100"/>
    </row>
    <row r="139" spans="2:5">
      <c r="B139" s="32"/>
      <c r="C139" s="100"/>
      <c r="D139" s="100"/>
      <c r="E139" s="100"/>
    </row>
    <row r="140" spans="2:5">
      <c r="B140" s="31" t="s">
        <v>219</v>
      </c>
      <c r="C140" s="29"/>
      <c r="D140" s="29"/>
      <c r="E140" s="30"/>
    </row>
    <row r="141" spans="2:5" ht="26.25" customHeight="1">
      <c r="B141" s="32"/>
      <c r="C141" s="101"/>
      <c r="D141" s="101"/>
      <c r="E141" s="101"/>
    </row>
    <row r="142" spans="2:5">
      <c r="B142" s="31" t="s">
        <v>220</v>
      </c>
      <c r="C142" s="33"/>
      <c r="D142" s="33"/>
      <c r="E142" s="34"/>
    </row>
    <row r="143" spans="2:5" ht="26.25" customHeight="1">
      <c r="B143" s="32"/>
      <c r="C143" s="101" t="s">
        <v>221</v>
      </c>
      <c r="D143" s="101"/>
      <c r="E143" s="101"/>
    </row>
    <row r="144" spans="2:5">
      <c r="B144" s="31" t="s">
        <v>222</v>
      </c>
      <c r="C144" s="29"/>
      <c r="D144" s="29"/>
      <c r="E144" s="30"/>
    </row>
    <row r="145" spans="2:5" ht="23.25" customHeight="1">
      <c r="B145" s="31"/>
      <c r="C145" s="100"/>
      <c r="D145" s="100"/>
      <c r="E145" s="100"/>
    </row>
    <row r="146" spans="2:5" ht="13.8" thickBot="1">
      <c r="B146" s="35"/>
      <c r="C146" s="36"/>
      <c r="D146" s="36"/>
      <c r="E146" s="37"/>
    </row>
    <row r="147" spans="2:5" ht="13.8" thickBot="1"/>
    <row r="148" spans="2:5" s="86" customFormat="1">
      <c r="B148" s="87" t="s">
        <v>283</v>
      </c>
      <c r="C148" s="88"/>
      <c r="D148" s="88"/>
      <c r="E148" s="89"/>
    </row>
    <row r="149" spans="2:5" s="86" customFormat="1">
      <c r="B149" s="90"/>
      <c r="C149" s="91"/>
      <c r="D149" s="91"/>
      <c r="E149" s="92"/>
    </row>
    <row r="150" spans="2:5" s="86" customFormat="1">
      <c r="B150" s="93" t="s">
        <v>215</v>
      </c>
      <c r="C150" s="91"/>
      <c r="D150" s="91"/>
      <c r="E150" s="92"/>
    </row>
    <row r="151" spans="2:5" s="86" customFormat="1" ht="32.25" customHeight="1">
      <c r="B151" s="93"/>
      <c r="C151" s="103" t="s">
        <v>270</v>
      </c>
      <c r="D151" s="103"/>
      <c r="E151" s="103"/>
    </row>
    <row r="152" spans="2:5" s="86" customFormat="1">
      <c r="B152" s="93" t="s">
        <v>217</v>
      </c>
      <c r="C152" s="91"/>
      <c r="D152" s="91"/>
      <c r="E152" s="92"/>
    </row>
    <row r="153" spans="2:5" s="86" customFormat="1">
      <c r="B153" s="94"/>
      <c r="C153" s="102" t="s">
        <v>268</v>
      </c>
      <c r="D153" s="102"/>
      <c r="E153" s="102"/>
    </row>
    <row r="154" spans="2:5" s="86" customFormat="1">
      <c r="B154" s="94"/>
      <c r="C154" s="102"/>
      <c r="D154" s="102"/>
      <c r="E154" s="102"/>
    </row>
    <row r="155" spans="2:5" s="86" customFormat="1">
      <c r="B155" s="93" t="s">
        <v>219</v>
      </c>
      <c r="C155" s="91"/>
      <c r="D155" s="91"/>
      <c r="E155" s="92"/>
    </row>
    <row r="156" spans="2:5" s="86" customFormat="1">
      <c r="B156" s="94"/>
      <c r="C156" s="103"/>
      <c r="D156" s="103"/>
      <c r="E156" s="103"/>
    </row>
    <row r="157" spans="2:5" s="86" customFormat="1">
      <c r="B157" s="93" t="s">
        <v>220</v>
      </c>
      <c r="C157" s="95"/>
      <c r="D157" s="95"/>
      <c r="E157" s="96"/>
    </row>
    <row r="158" spans="2:5" s="86" customFormat="1">
      <c r="B158" s="94"/>
      <c r="C158" s="103" t="s">
        <v>269</v>
      </c>
      <c r="D158" s="103"/>
      <c r="E158" s="103"/>
    </row>
    <row r="159" spans="2:5" s="86" customFormat="1">
      <c r="B159" s="93" t="s">
        <v>222</v>
      </c>
      <c r="C159" s="91"/>
      <c r="D159" s="91"/>
      <c r="E159" s="92"/>
    </row>
    <row r="160" spans="2:5" s="86" customFormat="1">
      <c r="B160" s="93"/>
      <c r="C160" s="102"/>
      <c r="D160" s="102"/>
      <c r="E160" s="102"/>
    </row>
    <row r="161" spans="2:5" s="86" customFormat="1" ht="13.8" thickBot="1">
      <c r="B161" s="97"/>
      <c r="C161" s="98"/>
      <c r="D161" s="98"/>
      <c r="E161" s="99"/>
    </row>
    <row r="162" spans="2:5" s="86" customFormat="1" ht="13.8" thickBot="1"/>
    <row r="163" spans="2:5" s="86" customFormat="1">
      <c r="B163" s="87" t="s">
        <v>284</v>
      </c>
      <c r="C163" s="88"/>
      <c r="D163" s="88"/>
      <c r="E163" s="89"/>
    </row>
    <row r="164" spans="2:5" s="86" customFormat="1">
      <c r="B164" s="90"/>
      <c r="C164" s="91"/>
      <c r="D164" s="91"/>
      <c r="E164" s="92"/>
    </row>
    <row r="165" spans="2:5" s="86" customFormat="1">
      <c r="B165" s="93" t="s">
        <v>215</v>
      </c>
      <c r="C165" s="91"/>
      <c r="D165" s="91"/>
      <c r="E165" s="92"/>
    </row>
    <row r="166" spans="2:5" s="86" customFormat="1" ht="33" customHeight="1">
      <c r="B166" s="93"/>
      <c r="C166" s="105" t="s">
        <v>289</v>
      </c>
      <c r="D166" s="105"/>
      <c r="E166" s="103"/>
    </row>
    <row r="167" spans="2:5" s="86" customFormat="1">
      <c r="B167" s="93" t="s">
        <v>217</v>
      </c>
      <c r="C167" s="91"/>
      <c r="D167" s="91"/>
      <c r="E167" s="92"/>
    </row>
    <row r="168" spans="2:5" s="86" customFormat="1">
      <c r="B168" s="94"/>
      <c r="C168" s="104" t="s">
        <v>268</v>
      </c>
      <c r="D168" s="104"/>
      <c r="E168" s="102"/>
    </row>
    <row r="169" spans="2:5" s="86" customFormat="1">
      <c r="B169" s="94"/>
      <c r="C169" s="104"/>
      <c r="D169" s="104"/>
      <c r="E169" s="102"/>
    </row>
    <row r="170" spans="2:5" s="86" customFormat="1">
      <c r="B170" s="93" t="s">
        <v>219</v>
      </c>
      <c r="C170" s="91"/>
      <c r="D170" s="91"/>
      <c r="E170" s="92"/>
    </row>
    <row r="171" spans="2:5" s="86" customFormat="1">
      <c r="B171" s="94"/>
      <c r="C171" s="105"/>
      <c r="D171" s="105"/>
      <c r="E171" s="103"/>
    </row>
    <row r="172" spans="2:5" s="86" customFormat="1">
      <c r="B172" s="93" t="s">
        <v>220</v>
      </c>
      <c r="C172" s="95"/>
      <c r="D172" s="95"/>
      <c r="E172" s="96"/>
    </row>
    <row r="173" spans="2:5" s="86" customFormat="1">
      <c r="B173" s="94"/>
      <c r="C173" s="105" t="s">
        <v>269</v>
      </c>
      <c r="D173" s="105"/>
      <c r="E173" s="103"/>
    </row>
    <row r="174" spans="2:5" s="86" customFormat="1">
      <c r="B174" s="93" t="s">
        <v>222</v>
      </c>
      <c r="C174" s="91"/>
      <c r="D174" s="91"/>
      <c r="E174" s="92"/>
    </row>
    <row r="175" spans="2:5" s="86" customFormat="1">
      <c r="B175" s="93"/>
      <c r="C175" s="104"/>
      <c r="D175" s="104"/>
      <c r="E175" s="102"/>
    </row>
    <row r="176" spans="2:5" s="86" customFormat="1" ht="13.8" thickBot="1">
      <c r="B176" s="97"/>
      <c r="C176" s="98"/>
      <c r="D176" s="98"/>
      <c r="E176" s="99"/>
    </row>
    <row r="177" spans="2:5" s="86" customFormat="1" ht="13.8" thickBot="1"/>
    <row r="178" spans="2:5" s="86" customFormat="1">
      <c r="B178" s="87" t="s">
        <v>267</v>
      </c>
      <c r="C178" s="88"/>
      <c r="D178" s="88"/>
      <c r="E178" s="89"/>
    </row>
    <row r="179" spans="2:5" s="86" customFormat="1">
      <c r="B179" s="90"/>
      <c r="C179" s="91"/>
      <c r="D179" s="91"/>
      <c r="E179" s="92"/>
    </row>
    <row r="180" spans="2:5" s="86" customFormat="1">
      <c r="B180" s="93" t="s">
        <v>215</v>
      </c>
      <c r="C180" s="91"/>
      <c r="D180" s="91"/>
      <c r="E180" s="92"/>
    </row>
    <row r="181" spans="2:5" s="86" customFormat="1" ht="33" customHeight="1">
      <c r="B181" s="93"/>
      <c r="C181" s="103" t="s">
        <v>272</v>
      </c>
      <c r="D181" s="103"/>
      <c r="E181" s="103"/>
    </row>
    <row r="182" spans="2:5" s="86" customFormat="1">
      <c r="B182" s="93" t="s">
        <v>217</v>
      </c>
      <c r="C182" s="91"/>
      <c r="D182" s="91"/>
      <c r="E182" s="92"/>
    </row>
    <row r="183" spans="2:5" s="86" customFormat="1">
      <c r="B183" s="94"/>
      <c r="C183" s="102" t="s">
        <v>268</v>
      </c>
      <c r="D183" s="102"/>
      <c r="E183" s="102"/>
    </row>
    <row r="184" spans="2:5" s="86" customFormat="1">
      <c r="B184" s="94"/>
      <c r="C184" s="102"/>
      <c r="D184" s="102"/>
      <c r="E184" s="102"/>
    </row>
    <row r="185" spans="2:5" s="86" customFormat="1">
      <c r="B185" s="93" t="s">
        <v>219</v>
      </c>
      <c r="C185" s="91"/>
      <c r="D185" s="91"/>
      <c r="E185" s="92"/>
    </row>
    <row r="186" spans="2:5" s="86" customFormat="1">
      <c r="B186" s="94"/>
      <c r="C186" s="103"/>
      <c r="D186" s="103"/>
      <c r="E186" s="103"/>
    </row>
    <row r="187" spans="2:5" s="86" customFormat="1">
      <c r="B187" s="93" t="s">
        <v>220</v>
      </c>
      <c r="C187" s="95"/>
      <c r="D187" s="95"/>
      <c r="E187" s="96"/>
    </row>
    <row r="188" spans="2:5" s="86" customFormat="1">
      <c r="B188" s="94"/>
      <c r="C188" s="103" t="s">
        <v>269</v>
      </c>
      <c r="D188" s="103"/>
      <c r="E188" s="103"/>
    </row>
    <row r="189" spans="2:5" s="86" customFormat="1">
      <c r="B189" s="93" t="s">
        <v>222</v>
      </c>
      <c r="C189" s="91"/>
      <c r="D189" s="91"/>
      <c r="E189" s="92"/>
    </row>
    <row r="190" spans="2:5" s="86" customFormat="1">
      <c r="B190" s="93"/>
      <c r="C190" s="102"/>
      <c r="D190" s="102"/>
      <c r="E190" s="102"/>
    </row>
    <row r="191" spans="2:5" s="86" customFormat="1" ht="13.8" thickBot="1">
      <c r="B191" s="97"/>
      <c r="C191" s="98"/>
      <c r="D191" s="98"/>
      <c r="E191" s="99"/>
    </row>
    <row r="192" spans="2:5" s="86" customFormat="1" ht="13.8" thickBot="1"/>
    <row r="193" spans="2:5" s="86" customFormat="1">
      <c r="B193" s="87" t="s">
        <v>271</v>
      </c>
      <c r="C193" s="88"/>
      <c r="D193" s="88"/>
      <c r="E193" s="89"/>
    </row>
    <row r="194" spans="2:5" s="86" customFormat="1">
      <c r="B194" s="90"/>
      <c r="C194" s="91"/>
      <c r="D194" s="91"/>
      <c r="E194" s="92"/>
    </row>
    <row r="195" spans="2:5" s="86" customFormat="1">
      <c r="B195" s="93" t="s">
        <v>215</v>
      </c>
      <c r="C195" s="91"/>
      <c r="D195" s="91"/>
      <c r="E195" s="92"/>
    </row>
    <row r="196" spans="2:5" s="86" customFormat="1" ht="35.25" customHeight="1">
      <c r="B196" s="93"/>
      <c r="C196" s="105" t="s">
        <v>290</v>
      </c>
      <c r="D196" s="105"/>
      <c r="E196" s="103"/>
    </row>
    <row r="197" spans="2:5" s="86" customFormat="1">
      <c r="B197" s="93" t="s">
        <v>217</v>
      </c>
      <c r="C197" s="91"/>
      <c r="D197" s="91"/>
      <c r="E197" s="92"/>
    </row>
    <row r="198" spans="2:5" s="86" customFormat="1">
      <c r="B198" s="94"/>
      <c r="C198" s="104" t="s">
        <v>268</v>
      </c>
      <c r="D198" s="104"/>
      <c r="E198" s="102"/>
    </row>
    <row r="199" spans="2:5" s="86" customFormat="1">
      <c r="B199" s="94"/>
      <c r="C199" s="104"/>
      <c r="D199" s="104"/>
      <c r="E199" s="102"/>
    </row>
    <row r="200" spans="2:5" s="86" customFormat="1">
      <c r="B200" s="93" t="s">
        <v>219</v>
      </c>
      <c r="C200" s="91"/>
      <c r="D200" s="91"/>
      <c r="E200" s="92"/>
    </row>
    <row r="201" spans="2:5" s="86" customFormat="1">
      <c r="B201" s="94"/>
      <c r="C201" s="105"/>
      <c r="D201" s="105"/>
      <c r="E201" s="103"/>
    </row>
    <row r="202" spans="2:5" s="86" customFormat="1">
      <c r="B202" s="93" t="s">
        <v>220</v>
      </c>
      <c r="C202" s="95"/>
      <c r="D202" s="95"/>
      <c r="E202" s="96"/>
    </row>
    <row r="203" spans="2:5" s="86" customFormat="1">
      <c r="B203" s="94"/>
      <c r="C203" s="105" t="s">
        <v>269</v>
      </c>
      <c r="D203" s="105"/>
      <c r="E203" s="103"/>
    </row>
    <row r="204" spans="2:5" s="86" customFormat="1">
      <c r="B204" s="93" t="s">
        <v>222</v>
      </c>
      <c r="C204" s="91"/>
      <c r="D204" s="91"/>
      <c r="E204" s="92"/>
    </row>
    <row r="205" spans="2:5" s="86" customFormat="1">
      <c r="B205" s="93"/>
      <c r="C205" s="104"/>
      <c r="D205" s="104"/>
      <c r="E205" s="102"/>
    </row>
    <row r="206" spans="2:5" s="86" customFormat="1" ht="13.8" thickBot="1">
      <c r="B206" s="97"/>
      <c r="C206" s="98"/>
      <c r="D206" s="98"/>
      <c r="E206" s="99"/>
    </row>
    <row r="207" spans="2:5" s="86" customFormat="1" ht="13.8" thickBot="1"/>
    <row r="208" spans="2:5" s="86" customFormat="1">
      <c r="B208" s="87" t="s">
        <v>273</v>
      </c>
      <c r="C208" s="88"/>
      <c r="D208" s="88"/>
      <c r="E208" s="89"/>
    </row>
    <row r="209" spans="2:5" s="86" customFormat="1">
      <c r="B209" s="90"/>
      <c r="C209" s="91"/>
      <c r="D209" s="91"/>
      <c r="E209" s="92"/>
    </row>
    <row r="210" spans="2:5" s="86" customFormat="1">
      <c r="B210" s="93" t="s">
        <v>215</v>
      </c>
      <c r="C210" s="91"/>
      <c r="D210" s="91"/>
      <c r="E210" s="92"/>
    </row>
    <row r="211" spans="2:5" s="86" customFormat="1" ht="32.25" customHeight="1">
      <c r="B211" s="93"/>
      <c r="C211" s="103" t="s">
        <v>275</v>
      </c>
      <c r="D211" s="103"/>
      <c r="E211" s="103"/>
    </row>
    <row r="212" spans="2:5" s="86" customFormat="1">
      <c r="B212" s="93" t="s">
        <v>217</v>
      </c>
      <c r="C212" s="91"/>
      <c r="D212" s="91"/>
      <c r="E212" s="92"/>
    </row>
    <row r="213" spans="2:5" s="86" customFormat="1">
      <c r="B213" s="94"/>
      <c r="C213" s="102" t="s">
        <v>268</v>
      </c>
      <c r="D213" s="102"/>
      <c r="E213" s="102"/>
    </row>
    <row r="214" spans="2:5" s="86" customFormat="1">
      <c r="B214" s="94"/>
      <c r="C214" s="102"/>
      <c r="D214" s="102"/>
      <c r="E214" s="102"/>
    </row>
    <row r="215" spans="2:5" s="86" customFormat="1">
      <c r="B215" s="93" t="s">
        <v>219</v>
      </c>
      <c r="C215" s="91"/>
      <c r="D215" s="91"/>
      <c r="E215" s="92"/>
    </row>
    <row r="216" spans="2:5" s="86" customFormat="1">
      <c r="B216" s="94"/>
      <c r="C216" s="103"/>
      <c r="D216" s="103"/>
      <c r="E216" s="103"/>
    </row>
    <row r="217" spans="2:5" s="86" customFormat="1">
      <c r="B217" s="93" t="s">
        <v>220</v>
      </c>
      <c r="C217" s="95"/>
      <c r="D217" s="95"/>
      <c r="E217" s="96"/>
    </row>
    <row r="218" spans="2:5" s="86" customFormat="1">
      <c r="B218" s="94"/>
      <c r="C218" s="103" t="s">
        <v>269</v>
      </c>
      <c r="D218" s="103"/>
      <c r="E218" s="103"/>
    </row>
    <row r="219" spans="2:5" s="86" customFormat="1">
      <c r="B219" s="93" t="s">
        <v>222</v>
      </c>
      <c r="C219" s="91"/>
      <c r="D219" s="91"/>
      <c r="E219" s="92"/>
    </row>
    <row r="220" spans="2:5" s="86" customFormat="1">
      <c r="B220" s="93"/>
      <c r="C220" s="102"/>
      <c r="D220" s="102"/>
      <c r="E220" s="102"/>
    </row>
    <row r="221" spans="2:5" s="86" customFormat="1" ht="13.8" thickBot="1">
      <c r="B221" s="97"/>
      <c r="C221" s="98"/>
      <c r="D221" s="98"/>
      <c r="E221" s="99"/>
    </row>
    <row r="222" spans="2:5" s="86" customFormat="1" ht="13.8" thickBot="1"/>
    <row r="223" spans="2:5" s="86" customFormat="1">
      <c r="B223" s="87" t="s">
        <v>274</v>
      </c>
      <c r="C223" s="88"/>
      <c r="D223" s="88"/>
      <c r="E223" s="89"/>
    </row>
    <row r="224" spans="2:5" s="86" customFormat="1">
      <c r="B224" s="90"/>
      <c r="C224" s="91"/>
      <c r="D224" s="91"/>
      <c r="E224" s="92"/>
    </row>
    <row r="225" spans="2:5" s="86" customFormat="1">
      <c r="B225" s="93" t="s">
        <v>215</v>
      </c>
      <c r="C225" s="91"/>
      <c r="D225" s="91"/>
      <c r="E225" s="92"/>
    </row>
    <row r="226" spans="2:5" s="86" customFormat="1" ht="32.25" customHeight="1">
      <c r="B226" s="93"/>
      <c r="C226" s="103" t="s">
        <v>276</v>
      </c>
      <c r="D226" s="103"/>
      <c r="E226" s="103"/>
    </row>
    <row r="227" spans="2:5" s="86" customFormat="1">
      <c r="B227" s="93" t="s">
        <v>217</v>
      </c>
      <c r="C227" s="91"/>
      <c r="D227" s="91"/>
      <c r="E227" s="92"/>
    </row>
    <row r="228" spans="2:5" s="86" customFormat="1">
      <c r="B228" s="94"/>
      <c r="C228" s="102" t="s">
        <v>268</v>
      </c>
      <c r="D228" s="102"/>
      <c r="E228" s="102"/>
    </row>
    <row r="229" spans="2:5" s="86" customFormat="1">
      <c r="B229" s="94"/>
      <c r="C229" s="102"/>
      <c r="D229" s="102"/>
      <c r="E229" s="102"/>
    </row>
    <row r="230" spans="2:5" s="86" customFormat="1">
      <c r="B230" s="93" t="s">
        <v>219</v>
      </c>
      <c r="C230" s="91"/>
      <c r="D230" s="91"/>
      <c r="E230" s="92"/>
    </row>
    <row r="231" spans="2:5" s="86" customFormat="1">
      <c r="B231" s="94"/>
      <c r="C231" s="103"/>
      <c r="D231" s="103"/>
      <c r="E231" s="103"/>
    </row>
    <row r="232" spans="2:5" s="86" customFormat="1">
      <c r="B232" s="93" t="s">
        <v>220</v>
      </c>
      <c r="C232" s="95"/>
      <c r="D232" s="95"/>
      <c r="E232" s="96"/>
    </row>
    <row r="233" spans="2:5" s="86" customFormat="1">
      <c r="B233" s="94"/>
      <c r="C233" s="103" t="s">
        <v>269</v>
      </c>
      <c r="D233" s="103"/>
      <c r="E233" s="103"/>
    </row>
    <row r="234" spans="2:5" s="86" customFormat="1">
      <c r="B234" s="93" t="s">
        <v>222</v>
      </c>
      <c r="C234" s="91"/>
      <c r="D234" s="91"/>
      <c r="E234" s="92"/>
    </row>
    <row r="235" spans="2:5" s="86" customFormat="1">
      <c r="B235" s="93"/>
      <c r="C235" s="102"/>
      <c r="D235" s="102"/>
      <c r="E235" s="102"/>
    </row>
    <row r="236" spans="2:5" s="86" customFormat="1" ht="13.8" thickBot="1">
      <c r="B236" s="97"/>
      <c r="C236" s="98"/>
      <c r="D236" s="98"/>
      <c r="E236" s="99"/>
    </row>
    <row r="237" spans="2:5" s="86" customFormat="1" ht="13.8" thickBot="1"/>
    <row r="238" spans="2:5" s="86" customFormat="1">
      <c r="B238" s="87" t="s">
        <v>277</v>
      </c>
      <c r="C238" s="88"/>
      <c r="D238" s="88"/>
      <c r="E238" s="89"/>
    </row>
    <row r="239" spans="2:5" s="86" customFormat="1">
      <c r="B239" s="90"/>
      <c r="C239" s="91"/>
      <c r="D239" s="91"/>
      <c r="E239" s="92"/>
    </row>
    <row r="240" spans="2:5" s="86" customFormat="1">
      <c r="B240" s="93" t="s">
        <v>215</v>
      </c>
      <c r="C240" s="91"/>
      <c r="D240" s="91"/>
      <c r="E240" s="92"/>
    </row>
    <row r="241" spans="2:5" s="86" customFormat="1" ht="34.5" customHeight="1">
      <c r="B241" s="93"/>
      <c r="C241" s="105" t="s">
        <v>291</v>
      </c>
      <c r="D241" s="105"/>
      <c r="E241" s="103"/>
    </row>
    <row r="242" spans="2:5" s="86" customFormat="1">
      <c r="B242" s="93" t="s">
        <v>217</v>
      </c>
      <c r="C242" s="91"/>
      <c r="D242" s="91"/>
      <c r="E242" s="92"/>
    </row>
    <row r="243" spans="2:5" s="86" customFormat="1">
      <c r="B243" s="94"/>
      <c r="C243" s="104" t="s">
        <v>268</v>
      </c>
      <c r="D243" s="104"/>
      <c r="E243" s="102"/>
    </row>
    <row r="244" spans="2:5" s="86" customFormat="1">
      <c r="B244" s="94"/>
      <c r="C244" s="104"/>
      <c r="D244" s="104"/>
      <c r="E244" s="102"/>
    </row>
    <row r="245" spans="2:5" s="86" customFormat="1">
      <c r="B245" s="93" t="s">
        <v>219</v>
      </c>
      <c r="C245" s="91"/>
      <c r="D245" s="91"/>
      <c r="E245" s="92"/>
    </row>
    <row r="246" spans="2:5" s="86" customFormat="1">
      <c r="B246" s="94"/>
      <c r="C246" s="105"/>
      <c r="D246" s="105"/>
      <c r="E246" s="103"/>
    </row>
    <row r="247" spans="2:5" s="86" customFormat="1">
      <c r="B247" s="93" t="s">
        <v>220</v>
      </c>
      <c r="C247" s="95"/>
      <c r="D247" s="95"/>
      <c r="E247" s="96"/>
    </row>
    <row r="248" spans="2:5" s="86" customFormat="1">
      <c r="B248" s="94"/>
      <c r="C248" s="105" t="s">
        <v>269</v>
      </c>
      <c r="D248" s="105"/>
      <c r="E248" s="103"/>
    </row>
    <row r="249" spans="2:5" s="86" customFormat="1">
      <c r="B249" s="93" t="s">
        <v>222</v>
      </c>
      <c r="C249" s="91"/>
      <c r="D249" s="91"/>
      <c r="E249" s="92"/>
    </row>
    <row r="250" spans="2:5" s="86" customFormat="1">
      <c r="B250" s="93"/>
      <c r="C250" s="104"/>
      <c r="D250" s="104"/>
      <c r="E250" s="102"/>
    </row>
    <row r="251" spans="2:5" s="86" customFormat="1" ht="13.8" thickBot="1">
      <c r="B251" s="97"/>
      <c r="C251" s="98"/>
      <c r="D251" s="98"/>
      <c r="E251" s="99"/>
    </row>
    <row r="252" spans="2:5" s="86" customFormat="1" ht="13.8" thickBot="1"/>
    <row r="253" spans="2:5" s="86" customFormat="1">
      <c r="B253" s="87" t="s">
        <v>278</v>
      </c>
      <c r="C253" s="88"/>
      <c r="D253" s="88"/>
      <c r="E253" s="89"/>
    </row>
    <row r="254" spans="2:5" s="86" customFormat="1">
      <c r="B254" s="90"/>
      <c r="C254" s="91"/>
      <c r="D254" s="91"/>
      <c r="E254" s="92"/>
    </row>
    <row r="255" spans="2:5" s="86" customFormat="1">
      <c r="B255" s="93" t="s">
        <v>215</v>
      </c>
      <c r="C255" s="91"/>
      <c r="D255" s="91"/>
      <c r="E255" s="92"/>
    </row>
    <row r="256" spans="2:5" s="86" customFormat="1" ht="33" customHeight="1">
      <c r="B256" s="93"/>
      <c r="C256" s="105" t="s">
        <v>292</v>
      </c>
      <c r="D256" s="105"/>
      <c r="E256" s="103"/>
    </row>
    <row r="257" spans="2:5" s="86" customFormat="1">
      <c r="B257" s="93" t="s">
        <v>217</v>
      </c>
      <c r="C257" s="91"/>
      <c r="D257" s="91"/>
      <c r="E257" s="92"/>
    </row>
    <row r="258" spans="2:5" s="86" customFormat="1">
      <c r="B258" s="94"/>
      <c r="C258" s="104" t="s">
        <v>268</v>
      </c>
      <c r="D258" s="104"/>
      <c r="E258" s="102"/>
    </row>
    <row r="259" spans="2:5" s="86" customFormat="1">
      <c r="B259" s="94"/>
      <c r="C259" s="104"/>
      <c r="D259" s="104"/>
      <c r="E259" s="102"/>
    </row>
    <row r="260" spans="2:5" s="86" customFormat="1">
      <c r="B260" s="93" t="s">
        <v>219</v>
      </c>
      <c r="C260" s="91"/>
      <c r="D260" s="91"/>
      <c r="E260" s="92"/>
    </row>
    <row r="261" spans="2:5" s="86" customFormat="1">
      <c r="B261" s="94"/>
      <c r="C261" s="105"/>
      <c r="D261" s="105"/>
      <c r="E261" s="103"/>
    </row>
    <row r="262" spans="2:5" s="86" customFormat="1">
      <c r="B262" s="93" t="s">
        <v>220</v>
      </c>
      <c r="C262" s="95"/>
      <c r="D262" s="95"/>
      <c r="E262" s="96"/>
    </row>
    <row r="263" spans="2:5" s="86" customFormat="1">
      <c r="B263" s="94"/>
      <c r="C263" s="105" t="s">
        <v>269</v>
      </c>
      <c r="D263" s="105"/>
      <c r="E263" s="103"/>
    </row>
    <row r="264" spans="2:5" s="86" customFormat="1">
      <c r="B264" s="93" t="s">
        <v>222</v>
      </c>
      <c r="C264" s="91"/>
      <c r="D264" s="91"/>
      <c r="E264" s="92"/>
    </row>
    <row r="265" spans="2:5" s="86" customFormat="1">
      <c r="B265" s="93"/>
      <c r="C265" s="104"/>
      <c r="D265" s="104"/>
      <c r="E265" s="102"/>
    </row>
    <row r="266" spans="2:5" s="86" customFormat="1" ht="13.8" thickBot="1">
      <c r="B266" s="97"/>
      <c r="C266" s="98"/>
      <c r="D266" s="98"/>
      <c r="E266" s="99"/>
    </row>
    <row r="267" spans="2:5" s="86" customFormat="1" ht="13.8" thickBot="1"/>
    <row r="268" spans="2:5" s="86" customFormat="1">
      <c r="B268" s="87" t="s">
        <v>279</v>
      </c>
      <c r="C268" s="88"/>
      <c r="D268" s="88"/>
      <c r="E268" s="89"/>
    </row>
    <row r="269" spans="2:5" s="86" customFormat="1">
      <c r="B269" s="90"/>
      <c r="C269" s="91"/>
      <c r="D269" s="91"/>
      <c r="E269" s="92"/>
    </row>
    <row r="270" spans="2:5" s="86" customFormat="1">
      <c r="B270" s="93" t="s">
        <v>215</v>
      </c>
      <c r="C270" s="91"/>
      <c r="D270" s="91"/>
      <c r="E270" s="92"/>
    </row>
    <row r="271" spans="2:5" s="86" customFormat="1" ht="33" customHeight="1">
      <c r="B271" s="93"/>
      <c r="C271" s="103" t="s">
        <v>293</v>
      </c>
      <c r="D271" s="103"/>
      <c r="E271" s="103"/>
    </row>
    <row r="272" spans="2:5" s="86" customFormat="1">
      <c r="B272" s="93" t="s">
        <v>217</v>
      </c>
      <c r="C272" s="91"/>
      <c r="D272" s="91"/>
      <c r="E272" s="92"/>
    </row>
    <row r="273" spans="2:5" s="86" customFormat="1">
      <c r="B273" s="94"/>
      <c r="C273" s="102" t="s">
        <v>268</v>
      </c>
      <c r="D273" s="102"/>
      <c r="E273" s="102"/>
    </row>
    <row r="274" spans="2:5" s="86" customFormat="1">
      <c r="B274" s="94"/>
      <c r="C274" s="102"/>
      <c r="D274" s="102"/>
      <c r="E274" s="102"/>
    </row>
    <row r="275" spans="2:5" s="86" customFormat="1">
      <c r="B275" s="93" t="s">
        <v>219</v>
      </c>
      <c r="C275" s="91"/>
      <c r="D275" s="91"/>
      <c r="E275" s="92"/>
    </row>
    <row r="276" spans="2:5" s="86" customFormat="1">
      <c r="B276" s="94"/>
      <c r="C276" s="103"/>
      <c r="D276" s="103"/>
      <c r="E276" s="103"/>
    </row>
    <row r="277" spans="2:5" s="86" customFormat="1">
      <c r="B277" s="93" t="s">
        <v>220</v>
      </c>
      <c r="C277" s="95"/>
      <c r="D277" s="95"/>
      <c r="E277" s="96"/>
    </row>
    <row r="278" spans="2:5" s="86" customFormat="1">
      <c r="B278" s="94"/>
      <c r="C278" s="103" t="s">
        <v>269</v>
      </c>
      <c r="D278" s="103"/>
      <c r="E278" s="103"/>
    </row>
    <row r="279" spans="2:5" s="86" customFormat="1">
      <c r="B279" s="93" t="s">
        <v>222</v>
      </c>
      <c r="C279" s="91"/>
      <c r="D279" s="91"/>
      <c r="E279" s="92"/>
    </row>
    <row r="280" spans="2:5" s="86" customFormat="1">
      <c r="B280" s="93"/>
      <c r="C280" s="102"/>
      <c r="D280" s="102"/>
      <c r="E280" s="102"/>
    </row>
    <row r="281" spans="2:5" s="86" customFormat="1" ht="13.8" thickBot="1">
      <c r="B281" s="97"/>
      <c r="C281" s="98"/>
      <c r="D281" s="98"/>
      <c r="E281" s="99"/>
    </row>
    <row r="282" spans="2:5" s="86" customFormat="1" ht="13.8" thickBot="1"/>
    <row r="283" spans="2:5" s="86" customFormat="1">
      <c r="B283" s="87" t="s">
        <v>280</v>
      </c>
      <c r="C283" s="88"/>
      <c r="D283" s="88"/>
      <c r="E283" s="89"/>
    </row>
    <row r="284" spans="2:5" s="86" customFormat="1">
      <c r="B284" s="90"/>
      <c r="C284" s="91"/>
      <c r="D284" s="91"/>
      <c r="E284" s="92"/>
    </row>
    <row r="285" spans="2:5" s="86" customFormat="1">
      <c r="B285" s="93" t="s">
        <v>215</v>
      </c>
      <c r="C285" s="91"/>
      <c r="D285" s="91"/>
      <c r="E285" s="92"/>
    </row>
    <row r="286" spans="2:5" s="86" customFormat="1" ht="32.25" customHeight="1">
      <c r="B286" s="93"/>
      <c r="C286" s="105" t="s">
        <v>294</v>
      </c>
      <c r="D286" s="105"/>
      <c r="E286" s="103"/>
    </row>
    <row r="287" spans="2:5" s="86" customFormat="1">
      <c r="B287" s="93" t="s">
        <v>217</v>
      </c>
      <c r="C287" s="91"/>
      <c r="D287" s="91"/>
      <c r="E287" s="92"/>
    </row>
    <row r="288" spans="2:5" s="86" customFormat="1">
      <c r="B288" s="94"/>
      <c r="C288" s="104" t="s">
        <v>268</v>
      </c>
      <c r="D288" s="104"/>
      <c r="E288" s="102"/>
    </row>
    <row r="289" spans="2:5" s="86" customFormat="1">
      <c r="B289" s="94"/>
      <c r="C289" s="104"/>
      <c r="D289" s="104"/>
      <c r="E289" s="102"/>
    </row>
    <row r="290" spans="2:5" s="86" customFormat="1">
      <c r="B290" s="93" t="s">
        <v>219</v>
      </c>
      <c r="C290" s="91"/>
      <c r="D290" s="91"/>
      <c r="E290" s="92"/>
    </row>
    <row r="291" spans="2:5" s="86" customFormat="1">
      <c r="B291" s="94"/>
      <c r="C291" s="105"/>
      <c r="D291" s="105"/>
      <c r="E291" s="103"/>
    </row>
    <row r="292" spans="2:5" s="86" customFormat="1">
      <c r="B292" s="93" t="s">
        <v>220</v>
      </c>
      <c r="C292" s="95"/>
      <c r="D292" s="95"/>
      <c r="E292" s="96"/>
    </row>
    <row r="293" spans="2:5" s="86" customFormat="1">
      <c r="B293" s="94"/>
      <c r="C293" s="105" t="s">
        <v>269</v>
      </c>
      <c r="D293" s="105"/>
      <c r="E293" s="103"/>
    </row>
    <row r="294" spans="2:5" s="86" customFormat="1">
      <c r="B294" s="93" t="s">
        <v>222</v>
      </c>
      <c r="C294" s="91"/>
      <c r="D294" s="91"/>
      <c r="E294" s="92"/>
    </row>
    <row r="295" spans="2:5" s="86" customFormat="1">
      <c r="B295" s="93"/>
      <c r="C295" s="104"/>
      <c r="D295" s="104"/>
      <c r="E295" s="102"/>
    </row>
    <row r="296" spans="2:5" s="86" customFormat="1" ht="13.8" thickBot="1">
      <c r="B296" s="97"/>
      <c r="C296" s="98"/>
      <c r="D296" s="98"/>
      <c r="E296" s="99"/>
    </row>
    <row r="297" spans="2:5" s="86" customFormat="1" ht="13.8" thickBot="1"/>
    <row r="298" spans="2:5" s="86" customFormat="1">
      <c r="B298" s="87" t="s">
        <v>281</v>
      </c>
      <c r="C298" s="88"/>
      <c r="D298" s="88"/>
      <c r="E298" s="89"/>
    </row>
    <row r="299" spans="2:5" s="86" customFormat="1">
      <c r="B299" s="90"/>
      <c r="C299" s="91"/>
      <c r="D299" s="91"/>
      <c r="E299" s="92"/>
    </row>
    <row r="300" spans="2:5" s="86" customFormat="1">
      <c r="B300" s="93" t="s">
        <v>215</v>
      </c>
      <c r="C300" s="91"/>
      <c r="D300" s="91"/>
      <c r="E300" s="92"/>
    </row>
    <row r="301" spans="2:5" s="86" customFormat="1" ht="37.5" customHeight="1">
      <c r="B301" s="93"/>
      <c r="C301" s="105" t="s">
        <v>295</v>
      </c>
      <c r="D301" s="105"/>
      <c r="E301" s="103"/>
    </row>
    <row r="302" spans="2:5" s="86" customFormat="1">
      <c r="B302" s="93" t="s">
        <v>217</v>
      </c>
      <c r="C302" s="91"/>
      <c r="D302" s="91"/>
      <c r="E302" s="92"/>
    </row>
    <row r="303" spans="2:5" s="86" customFormat="1">
      <c r="B303" s="94"/>
      <c r="C303" s="104" t="s">
        <v>268</v>
      </c>
      <c r="D303" s="104"/>
      <c r="E303" s="102"/>
    </row>
    <row r="304" spans="2:5" s="86" customFormat="1">
      <c r="B304" s="94"/>
      <c r="C304" s="104"/>
      <c r="D304" s="104"/>
      <c r="E304" s="102"/>
    </row>
    <row r="305" spans="2:5" s="86" customFormat="1">
      <c r="B305" s="93" t="s">
        <v>219</v>
      </c>
      <c r="C305" s="91"/>
      <c r="D305" s="91"/>
      <c r="E305" s="92"/>
    </row>
    <row r="306" spans="2:5" s="86" customFormat="1">
      <c r="B306" s="94"/>
      <c r="C306" s="105"/>
      <c r="D306" s="105"/>
      <c r="E306" s="103"/>
    </row>
    <row r="307" spans="2:5" s="86" customFormat="1">
      <c r="B307" s="93" t="s">
        <v>220</v>
      </c>
      <c r="C307" s="95"/>
      <c r="D307" s="95"/>
      <c r="E307" s="96"/>
    </row>
    <row r="308" spans="2:5" s="86" customFormat="1">
      <c r="B308" s="94"/>
      <c r="C308" s="105" t="s">
        <v>269</v>
      </c>
      <c r="D308" s="105"/>
      <c r="E308" s="103"/>
    </row>
    <row r="309" spans="2:5" s="86" customFormat="1">
      <c r="B309" s="93" t="s">
        <v>222</v>
      </c>
      <c r="C309" s="91"/>
      <c r="D309" s="91"/>
      <c r="E309" s="92"/>
    </row>
    <row r="310" spans="2:5" s="86" customFormat="1">
      <c r="B310" s="93"/>
      <c r="C310" s="104"/>
      <c r="D310" s="104"/>
      <c r="E310" s="102"/>
    </row>
    <row r="311" spans="2:5" s="86" customFormat="1" ht="13.8" thickBot="1">
      <c r="B311" s="97"/>
      <c r="C311" s="98"/>
      <c r="D311" s="98"/>
      <c r="E311" s="99"/>
    </row>
    <row r="312" spans="2:5" s="86" customFormat="1" ht="13.8" thickBot="1"/>
    <row r="313" spans="2:5" s="86" customFormat="1">
      <c r="B313" s="87" t="s">
        <v>282</v>
      </c>
      <c r="C313" s="88"/>
      <c r="D313" s="88"/>
      <c r="E313" s="89"/>
    </row>
    <row r="314" spans="2:5" s="86" customFormat="1">
      <c r="B314" s="90"/>
      <c r="C314" s="91"/>
      <c r="D314" s="91"/>
      <c r="E314" s="92"/>
    </row>
    <row r="315" spans="2:5" s="86" customFormat="1">
      <c r="B315" s="93" t="s">
        <v>215</v>
      </c>
      <c r="C315" s="91"/>
      <c r="D315" s="91"/>
      <c r="E315" s="92"/>
    </row>
    <row r="316" spans="2:5" s="86" customFormat="1" ht="33" customHeight="1">
      <c r="B316" s="93"/>
      <c r="C316" s="103" t="s">
        <v>296</v>
      </c>
      <c r="D316" s="103"/>
      <c r="E316" s="103"/>
    </row>
    <row r="317" spans="2:5" s="86" customFormat="1">
      <c r="B317" s="93" t="s">
        <v>217</v>
      </c>
      <c r="C317" s="91"/>
      <c r="D317" s="91"/>
      <c r="E317" s="92"/>
    </row>
    <row r="318" spans="2:5" s="86" customFormat="1">
      <c r="B318" s="94"/>
      <c r="C318" s="102" t="s">
        <v>268</v>
      </c>
      <c r="D318" s="102"/>
      <c r="E318" s="102"/>
    </row>
    <row r="319" spans="2:5" s="86" customFormat="1">
      <c r="B319" s="94"/>
      <c r="C319" s="102"/>
      <c r="D319" s="102"/>
      <c r="E319" s="102"/>
    </row>
    <row r="320" spans="2:5" s="86" customFormat="1">
      <c r="B320" s="93" t="s">
        <v>219</v>
      </c>
      <c r="C320" s="91"/>
      <c r="D320" s="91"/>
      <c r="E320" s="92"/>
    </row>
    <row r="321" spans="2:5" s="86" customFormat="1">
      <c r="B321" s="94"/>
      <c r="C321" s="103"/>
      <c r="D321" s="103"/>
      <c r="E321" s="103"/>
    </row>
    <row r="322" spans="2:5" s="86" customFormat="1">
      <c r="B322" s="93" t="s">
        <v>220</v>
      </c>
      <c r="C322" s="95"/>
      <c r="D322" s="95"/>
      <c r="E322" s="96"/>
    </row>
    <row r="323" spans="2:5" s="86" customFormat="1">
      <c r="B323" s="94"/>
      <c r="C323" s="103" t="s">
        <v>269</v>
      </c>
      <c r="D323" s="103"/>
      <c r="E323" s="103"/>
    </row>
    <row r="324" spans="2:5" s="86" customFormat="1">
      <c r="B324" s="93" t="s">
        <v>222</v>
      </c>
      <c r="C324" s="91"/>
      <c r="D324" s="91"/>
      <c r="E324" s="92"/>
    </row>
    <row r="325" spans="2:5" s="86" customFormat="1">
      <c r="B325" s="93"/>
      <c r="C325" s="102"/>
      <c r="D325" s="102"/>
      <c r="E325" s="102"/>
    </row>
    <row r="326" spans="2:5" s="86" customFormat="1" ht="13.8" thickBot="1">
      <c r="B326" s="97"/>
      <c r="C326" s="98"/>
      <c r="D326" s="98"/>
      <c r="E326" s="99"/>
    </row>
    <row r="327" spans="2:5" s="86" customFormat="1"/>
  </sheetData>
  <mergeCells count="97">
    <mergeCell ref="A6:B6"/>
    <mergeCell ref="B2:H2"/>
    <mergeCell ref="A4:B4"/>
    <mergeCell ref="C4:E4"/>
    <mergeCell ref="A5:B5"/>
    <mergeCell ref="C5:E5"/>
    <mergeCell ref="C115:E115"/>
    <mergeCell ref="A7:B7"/>
    <mergeCell ref="C106:E106"/>
    <mergeCell ref="C108:E108"/>
    <mergeCell ref="C109:E109"/>
    <mergeCell ref="C111:E111"/>
    <mergeCell ref="C113:E113"/>
    <mergeCell ref="C143:E143"/>
    <mergeCell ref="C145:E145"/>
    <mergeCell ref="C130:E130"/>
    <mergeCell ref="C136:E136"/>
    <mergeCell ref="C138:E138"/>
    <mergeCell ref="C139:E139"/>
    <mergeCell ref="C141:E141"/>
    <mergeCell ref="C121:E121"/>
    <mergeCell ref="C156:E156"/>
    <mergeCell ref="C158:E158"/>
    <mergeCell ref="C160:E160"/>
    <mergeCell ref="C151:E151"/>
    <mergeCell ref="C153:E153"/>
    <mergeCell ref="C154:E154"/>
    <mergeCell ref="C211:E211"/>
    <mergeCell ref="C213:E213"/>
    <mergeCell ref="C168:E168"/>
    <mergeCell ref="C166:E166"/>
    <mergeCell ref="C203:E203"/>
    <mergeCell ref="C205:E205"/>
    <mergeCell ref="C196:E196"/>
    <mergeCell ref="C198:E198"/>
    <mergeCell ref="C199:E199"/>
    <mergeCell ref="C201:E201"/>
    <mergeCell ref="C183:E183"/>
    <mergeCell ref="C184:E184"/>
    <mergeCell ref="C186:E186"/>
    <mergeCell ref="C188:E188"/>
    <mergeCell ref="C190:E190"/>
    <mergeCell ref="C169:E169"/>
    <mergeCell ref="C171:E171"/>
    <mergeCell ref="C173:E173"/>
    <mergeCell ref="C175:E175"/>
    <mergeCell ref="C181:E181"/>
    <mergeCell ref="C228:E228"/>
    <mergeCell ref="C229:E229"/>
    <mergeCell ref="C231:E231"/>
    <mergeCell ref="C233:E233"/>
    <mergeCell ref="C235:E235"/>
    <mergeCell ref="C214:E214"/>
    <mergeCell ref="C216:E216"/>
    <mergeCell ref="C218:E218"/>
    <mergeCell ref="C220:E220"/>
    <mergeCell ref="C226:E226"/>
    <mergeCell ref="C244:E244"/>
    <mergeCell ref="C246:E246"/>
    <mergeCell ref="C248:E248"/>
    <mergeCell ref="C250:E250"/>
    <mergeCell ref="C241:E241"/>
    <mergeCell ref="C243:E243"/>
    <mergeCell ref="C265:E265"/>
    <mergeCell ref="C271:E271"/>
    <mergeCell ref="C273:E273"/>
    <mergeCell ref="C274:E274"/>
    <mergeCell ref="C276:E276"/>
    <mergeCell ref="C256:E256"/>
    <mergeCell ref="C258:E258"/>
    <mergeCell ref="C259:E259"/>
    <mergeCell ref="C261:E261"/>
    <mergeCell ref="C263:E263"/>
    <mergeCell ref="C123:E123"/>
    <mergeCell ref="C124:E124"/>
    <mergeCell ref="C126:E126"/>
    <mergeCell ref="C128:E128"/>
    <mergeCell ref="C318:E318"/>
    <mergeCell ref="C319:E319"/>
    <mergeCell ref="C321:E321"/>
    <mergeCell ref="C323:E323"/>
    <mergeCell ref="C325:E325"/>
    <mergeCell ref="C304:E304"/>
    <mergeCell ref="C306:E306"/>
    <mergeCell ref="C308:E308"/>
    <mergeCell ref="C310:E310"/>
    <mergeCell ref="C316:E316"/>
    <mergeCell ref="C289:E289"/>
    <mergeCell ref="C288:E288"/>
    <mergeCell ref="C286:E286"/>
    <mergeCell ref="C303:E303"/>
    <mergeCell ref="C301:E301"/>
    <mergeCell ref="C291:E291"/>
    <mergeCell ref="C293:E293"/>
    <mergeCell ref="C295:E295"/>
    <mergeCell ref="C278:E278"/>
    <mergeCell ref="C280:E280"/>
  </mergeCells>
  <pageMargins left="0.70866141732283472" right="0.70866141732283472" top="0.74803149606299213" bottom="0.74803149606299213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03"/>
  <sheetViews>
    <sheetView tabSelected="1" topLeftCell="A91" zoomScale="80" zoomScaleNormal="80" workbookViewId="0">
      <selection activeCell="K1" sqref="A1:K103"/>
    </sheetView>
  </sheetViews>
  <sheetFormatPr baseColWidth="10" defaultColWidth="9.109375" defaultRowHeight="13.2"/>
  <cols>
    <col min="1" max="1" width="5.5546875" style="40" customWidth="1"/>
    <col min="2" max="2" width="15.109375" style="40" customWidth="1"/>
    <col min="3" max="3" width="14.109375" style="40" customWidth="1"/>
    <col min="4" max="4" width="26" style="40" customWidth="1"/>
    <col min="5" max="5" width="8" style="40" customWidth="1"/>
    <col min="6" max="6" width="7.88671875" style="40" customWidth="1"/>
    <col min="7" max="7" width="42" style="40" customWidth="1"/>
    <col min="8" max="8" width="9.33203125" style="40" customWidth="1"/>
    <col min="9" max="9" width="15.5546875" style="40" customWidth="1"/>
    <col min="10" max="10" width="14.6640625" style="40" customWidth="1"/>
    <col min="11" max="11" width="15.5546875" style="40" customWidth="1"/>
    <col min="12" max="14" width="5.88671875" style="40" customWidth="1"/>
    <col min="15" max="15" width="12.5546875" style="40" customWidth="1"/>
    <col min="16" max="1024" width="9.109375" style="40"/>
    <col min="1025" max="16384" width="9.109375" style="49"/>
  </cols>
  <sheetData>
    <row r="1" spans="1:11" ht="18" customHeight="1" thickBot="1">
      <c r="A1" s="110" t="s">
        <v>223</v>
      </c>
      <c r="B1" s="110"/>
      <c r="C1" s="110"/>
      <c r="D1" s="110"/>
      <c r="E1" s="110"/>
      <c r="F1" s="110"/>
      <c r="G1" s="110"/>
      <c r="H1" s="110"/>
      <c r="I1" s="110"/>
      <c r="J1" s="38" t="s">
        <v>224</v>
      </c>
      <c r="K1" s="39" t="s">
        <v>225</v>
      </c>
    </row>
    <row r="2" spans="1:11" ht="18.75" customHeight="1" thickBot="1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>
      <c r="A3" s="111" t="s">
        <v>226</v>
      </c>
      <c r="B3" s="111"/>
      <c r="C3" s="111"/>
      <c r="D3" s="112" t="str">
        <f>'NUTRICION NT'!C4</f>
        <v>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>
      <c r="A4" s="113" t="s">
        <v>227</v>
      </c>
      <c r="B4" s="113"/>
      <c r="C4" s="113"/>
      <c r="D4" s="112" t="str">
        <f>'NUTRICION NT'!C5</f>
        <v>23 - Hospital Interzonal San Juan Bautista</v>
      </c>
      <c r="E4" s="112"/>
      <c r="F4" s="112"/>
      <c r="G4" s="112"/>
      <c r="H4" s="112"/>
      <c r="I4" s="112"/>
      <c r="J4" s="112"/>
      <c r="K4" s="112"/>
    </row>
    <row r="5" spans="1:11" ht="18.75" customHeight="1" thickBot="1">
      <c r="A5" s="113" t="s">
        <v>228</v>
      </c>
      <c r="B5" s="113"/>
      <c r="C5" s="113"/>
      <c r="D5" s="112" t="s">
        <v>229</v>
      </c>
      <c r="E5" s="112"/>
      <c r="F5" s="112"/>
      <c r="G5" s="112"/>
      <c r="H5" s="112"/>
      <c r="I5" s="112"/>
      <c r="J5" s="112"/>
      <c r="K5" s="112"/>
    </row>
    <row r="6" spans="1:11" ht="16.5" customHeight="1" thickBot="1">
      <c r="A6" s="111" t="s">
        <v>230</v>
      </c>
      <c r="B6" s="111"/>
      <c r="C6" s="111"/>
      <c r="D6" s="112" t="s">
        <v>231</v>
      </c>
      <c r="E6" s="112"/>
      <c r="F6" s="112"/>
      <c r="G6" s="112"/>
      <c r="H6" s="112"/>
      <c r="I6" s="112"/>
      <c r="J6" s="112"/>
      <c r="K6" s="112"/>
    </row>
    <row r="7" spans="1:11" ht="16.5" customHeight="1" thickBot="1">
      <c r="A7" s="113" t="s">
        <v>232</v>
      </c>
      <c r="B7" s="113"/>
      <c r="C7" s="113"/>
      <c r="D7" s="112" t="str">
        <f>'NUTRICION NT'!C7 &amp; "° Trimestre - Año " &amp; 'NUTRICION NT'!C6</f>
        <v>1°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thickBot="1">
      <c r="A8" s="116" t="s">
        <v>233</v>
      </c>
      <c r="B8" s="116"/>
      <c r="C8" s="116"/>
      <c r="D8" s="117" t="s">
        <v>301</v>
      </c>
      <c r="E8" s="117"/>
      <c r="F8" s="117"/>
      <c r="G8" s="117"/>
      <c r="H8" s="117"/>
      <c r="I8" s="117"/>
      <c r="J8" s="117"/>
      <c r="K8" s="117"/>
    </row>
    <row r="9" spans="1:11" ht="16.2" thickBot="1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thickBot="1">
      <c r="A10" s="114" t="s">
        <v>234</v>
      </c>
      <c r="B10" s="115" t="s">
        <v>235</v>
      </c>
      <c r="C10" s="115" t="s">
        <v>236</v>
      </c>
      <c r="D10" s="115"/>
      <c r="E10" s="115"/>
      <c r="F10" s="115"/>
      <c r="G10" s="115"/>
      <c r="H10" s="115" t="s">
        <v>237</v>
      </c>
      <c r="I10" s="115" t="s">
        <v>238</v>
      </c>
      <c r="J10" s="115" t="s">
        <v>239</v>
      </c>
      <c r="K10" s="119" t="s">
        <v>240</v>
      </c>
    </row>
    <row r="11" spans="1:11" ht="24" customHeight="1" thickBot="1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9"/>
    </row>
    <row r="12" spans="1:11" ht="29.25" customHeight="1" thickBot="1">
      <c r="A12" s="45">
        <v>1</v>
      </c>
      <c r="B12" s="46" t="str">
        <f>'NUTRICION NT'!B10</f>
        <v>2.1.1-439.60</v>
      </c>
      <c r="C12" s="118" t="str">
        <f>'NUTRICION NT'!E10</f>
        <v>ACEITES COMESTIBLES; TIPO: MEZCLA, PRESENTACION: ENVASE X 900 CM3, MATERIAL ENVASE: PLASTICO 1 (PET), ELEM. TRANSPORTE: SIN, MATERIAL ELEM. TRANSPORTE : SIN, LIBRE DE GLUTEN: SI</v>
      </c>
      <c r="D12" s="118"/>
      <c r="E12" s="118"/>
      <c r="F12" s="118"/>
      <c r="G12" s="118"/>
      <c r="H12" s="47" t="s">
        <v>241</v>
      </c>
      <c r="I12" s="48" t="str">
        <f>'NUTRICION NT'!F10</f>
        <v>BOTELLA</v>
      </c>
      <c r="J12" s="12">
        <f>'NUTRICION NT'!H10</f>
        <v>118.46</v>
      </c>
      <c r="K12" s="8">
        <v>500</v>
      </c>
    </row>
    <row r="13" spans="1:11" ht="43.5" customHeight="1" thickBot="1">
      <c r="A13" s="45">
        <v>2</v>
      </c>
      <c r="B13" s="46" t="str">
        <f>'NUTRICION NT'!B11</f>
        <v>2.1.1-481.38</v>
      </c>
      <c r="C13" s="118" t="str">
        <f>'NUTRICION NT'!E11</f>
        <v>AZUCARES; TIPO: "A" COMUN, ESTADO: MOLIDA, PESO: 1 Kg, MATERIAL ENVASE: PLASTICO, CERTIFICADO FORESTAL (GFS): SIN, ELEM. TRANSPORTE: SIN, MATERIAL ELEM. TRANSPORTE: SIN</v>
      </c>
      <c r="D13" s="118"/>
      <c r="E13" s="118"/>
      <c r="F13" s="118"/>
      <c r="G13" s="118"/>
      <c r="H13" s="47" t="s">
        <v>241</v>
      </c>
      <c r="I13" s="48" t="str">
        <f>'NUTRICION NT'!F11</f>
        <v>PAQUETES</v>
      </c>
      <c r="J13" s="12">
        <f>'NUTRICION NT'!H11</f>
        <v>72</v>
      </c>
      <c r="K13" s="8">
        <v>800</v>
      </c>
    </row>
    <row r="14" spans="1:11" ht="53.25" customHeight="1" thickBot="1">
      <c r="A14" s="45">
        <v>3</v>
      </c>
      <c r="B14" s="46" t="str">
        <f>'NUTRICION NT'!B12</f>
        <v>2.1.1-705.116</v>
      </c>
      <c r="C14" s="118" t="str">
        <f>'NUTRICION NT'!E12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14" s="118"/>
      <c r="E14" s="118"/>
      <c r="F14" s="118"/>
      <c r="G14" s="118"/>
      <c r="H14" s="47" t="s">
        <v>241</v>
      </c>
      <c r="I14" s="48" t="str">
        <f>'NUTRICION NT'!F12</f>
        <v>LITROS</v>
      </c>
      <c r="J14" s="12">
        <f>'NUTRICION NT'!H12</f>
        <v>71.98</v>
      </c>
      <c r="K14" s="8">
        <v>1200</v>
      </c>
    </row>
    <row r="15" spans="1:11" ht="46.5" customHeight="1" thickBot="1">
      <c r="A15" s="45">
        <v>4</v>
      </c>
      <c r="B15" s="46" t="str">
        <f>'NUTRICION NT'!B13</f>
        <v>2.1.1-2868.55</v>
      </c>
      <c r="C15" s="118" t="str">
        <f>'NUTRICION NT'!E13</f>
        <v>FIDEOS SECOS; VARIEDAD: TALLARIN, RELLENO: SIN, PRESENTACION: ENVASE X 500 GR, MATERIAL ENVASE: PLASTICO 1 (PET), ELEM. TRANSPORTE: SIN, MATERIAL ELEM. TRANSPORTE: SIN, CERTIFICADO FORESTAL (GFS): SIN, LIBRE DE GLUTEN: NO</v>
      </c>
      <c r="D15" s="118"/>
      <c r="E15" s="118"/>
      <c r="F15" s="118"/>
      <c r="G15" s="118"/>
      <c r="H15" s="47" t="s">
        <v>241</v>
      </c>
      <c r="I15" s="48" t="str">
        <f>'NUTRICION NT'!F13</f>
        <v>PAQUETES</v>
      </c>
      <c r="J15" s="12">
        <f>'NUTRICION NT'!H13</f>
        <v>46.66</v>
      </c>
      <c r="K15" s="8">
        <v>50</v>
      </c>
    </row>
    <row r="16" spans="1:11" ht="35.25" customHeight="1" thickBot="1">
      <c r="A16" s="45">
        <v>5</v>
      </c>
      <c r="B16" s="46" t="str">
        <f>'NUTRICION NT'!B14</f>
        <v>2.1.1-511.8</v>
      </c>
      <c r="C16" s="118" t="str">
        <f>'NUTRICION NT'!E14</f>
        <v>TE; SAQUITOS 2G P/CAJA: 50, PESO: SIN VALOR, TIPO: SIN VALOR, PRESENTACION: EN SAQUITOS</v>
      </c>
      <c r="D16" s="118"/>
      <c r="E16" s="118"/>
      <c r="F16" s="118"/>
      <c r="G16" s="118"/>
      <c r="H16" s="47" t="s">
        <v>241</v>
      </c>
      <c r="I16" s="48" t="str">
        <f>'NUTRICION NT'!F14</f>
        <v>CAJAS</v>
      </c>
      <c r="J16" s="12">
        <f>'NUTRICION NT'!H14</f>
        <v>81.010000000000005</v>
      </c>
      <c r="K16" s="8">
        <v>1300</v>
      </c>
    </row>
    <row r="17" spans="1:11" ht="38.25" customHeight="1" thickBot="1">
      <c r="A17" s="45">
        <v>6</v>
      </c>
      <c r="B17" s="46" t="str">
        <f>'NUTRICION NT'!B15</f>
        <v>2.1.1-454.25</v>
      </c>
      <c r="C17" s="118" t="str">
        <f>'NUTRICION NT'!E15</f>
        <v>YERBAS; PALO: CON, PESO: 1 Kg, MATERIAL ENVASE : PAPEL, CERTIFICADO FORESTAL (GFS): CON, ELEM. TRANSPORTE: SIN, MATERIAL ELEM. TRANSPORTE: SIN, LIBRE DE GLUTEN: SI</v>
      </c>
      <c r="D17" s="118"/>
      <c r="E17" s="118"/>
      <c r="F17" s="118"/>
      <c r="G17" s="118"/>
      <c r="H17" s="47" t="s">
        <v>241</v>
      </c>
      <c r="I17" s="48" t="str">
        <f>'NUTRICION NT'!F15</f>
        <v>PAQUETES</v>
      </c>
      <c r="J17" s="12">
        <f>'NUTRICION NT'!H15</f>
        <v>226.8</v>
      </c>
      <c r="K17" s="8">
        <v>50</v>
      </c>
    </row>
    <row r="18" spans="1:11" ht="35.25" customHeight="1" thickBot="1">
      <c r="A18" s="45">
        <v>7</v>
      </c>
      <c r="B18" s="46" t="str">
        <f>'NUTRICION NT'!B16</f>
        <v>2.1.1-2126.13</v>
      </c>
      <c r="C18" s="118" t="str">
        <f>'NUTRICION NT'!E16</f>
        <v>SEMOLAS; TIPO: VITINA, PRESENTACION: BOLSA, PESO: 500 GR, MATERIAL ENVASE: PLASTICO 1 (PET), CERTICADO FORESTAL (GFS): SIN, LIBRE DE GLUTEN: NO</v>
      </c>
      <c r="D18" s="118"/>
      <c r="E18" s="118"/>
      <c r="F18" s="118"/>
      <c r="G18" s="118"/>
      <c r="H18" s="47" t="s">
        <v>241</v>
      </c>
      <c r="I18" s="48" t="str">
        <f>'NUTRICION NT'!F16</f>
        <v>PAQUETES</v>
      </c>
      <c r="J18" s="12">
        <f>'NUTRICION NT'!H16</f>
        <v>102</v>
      </c>
      <c r="K18" s="8">
        <v>14</v>
      </c>
    </row>
    <row r="19" spans="1:11" ht="51.75" customHeight="1" thickBot="1">
      <c r="A19" s="45">
        <v>8</v>
      </c>
      <c r="B19" s="46" t="str">
        <f>'NUTRICION NT'!B17</f>
        <v>2.1.1-2868.53</v>
      </c>
      <c r="C19" s="118" t="str">
        <f>'NUTRICION NT'!E17</f>
        <v>FIDEOS SECOS; VARIEDAD: TIRABUZON, RELLENO: SIN, PRESENTACION: ENVASE X 500 GR, MATERIAL ENVASE: PLASTICO 1 (PET), ELEM. TRANSPORTE: SIN, MATERIAL ELEM. TRANSPORTE: SIN, CERTIFICADO FORESTAL (GFS): SIN, LIBRE DE GLUTEN: NO</v>
      </c>
      <c r="D19" s="118"/>
      <c r="E19" s="118"/>
      <c r="F19" s="118"/>
      <c r="G19" s="118"/>
      <c r="H19" s="47" t="s">
        <v>241</v>
      </c>
      <c r="I19" s="48" t="str">
        <f>'NUTRICION NT'!F17</f>
        <v>PAQUETES</v>
      </c>
      <c r="J19" s="12">
        <f>'NUTRICION NT'!H17</f>
        <v>46.66</v>
      </c>
      <c r="K19" s="8">
        <v>84</v>
      </c>
    </row>
    <row r="20" spans="1:11" ht="20.25" customHeight="1" thickBot="1">
      <c r="A20" s="45">
        <v>9</v>
      </c>
      <c r="B20" s="46" t="str">
        <f>'NUTRICION NT'!B18</f>
        <v>2.1.1-613.9</v>
      </c>
      <c r="C20" s="118" t="str">
        <f>'NUTRICION NT'!E18</f>
        <v>FECULA DE MAIZ; ENVASE: BOLSA, PESO: 500 GR, LIBRE DE GLUTEN: SI</v>
      </c>
      <c r="D20" s="118"/>
      <c r="E20" s="118"/>
      <c r="F20" s="118"/>
      <c r="G20" s="118"/>
      <c r="H20" s="47" t="s">
        <v>241</v>
      </c>
      <c r="I20" s="48" t="str">
        <f>'NUTRICION NT'!F18</f>
        <v>PAQUETES</v>
      </c>
      <c r="J20" s="12">
        <f>'NUTRICION NT'!H18</f>
        <v>94.79</v>
      </c>
      <c r="K20" s="8">
        <v>34</v>
      </c>
    </row>
    <row r="21" spans="1:11" ht="20.25" customHeight="1" thickBot="1">
      <c r="A21" s="45">
        <v>10</v>
      </c>
      <c r="B21" s="46" t="str">
        <f>'NUTRICION NT'!B19</f>
        <v>2.1.1-6547.57</v>
      </c>
      <c r="C21" s="118" t="str">
        <f>'NUTRICION NT'!E19</f>
        <v>LEGUMBRES; VARIEDAD: LENTEJAS SECAS, ESTADO: SECO, PRESENTACION: BOLSA, PESO: 500 GR</v>
      </c>
      <c r="D21" s="118"/>
      <c r="E21" s="118"/>
      <c r="F21" s="118"/>
      <c r="G21" s="118"/>
      <c r="H21" s="47" t="s">
        <v>241</v>
      </c>
      <c r="I21" s="48" t="str">
        <f>'NUTRICION NT'!F19</f>
        <v>PAQUETES</v>
      </c>
      <c r="J21" s="12">
        <f>'NUTRICION NT'!H19</f>
        <v>118.04</v>
      </c>
      <c r="K21" s="8">
        <v>26</v>
      </c>
    </row>
    <row r="22" spans="1:11" ht="20.25" customHeight="1" thickBot="1">
      <c r="A22" s="45">
        <v>11</v>
      </c>
      <c r="B22" s="46" t="str">
        <f>'NUTRICION NT'!B20</f>
        <v>2.1.1-514.2</v>
      </c>
      <c r="C22" s="118" t="str">
        <f>'NUTRICION NT'!E20</f>
        <v>SAL DE MESA; CONSISTENCIA: FINA, PESO: 500 GR, TIPO: SIN VALOR, ENVASE: PAQUETE</v>
      </c>
      <c r="D22" s="118"/>
      <c r="E22" s="118"/>
      <c r="F22" s="118"/>
      <c r="G22" s="118"/>
      <c r="H22" s="47" t="s">
        <v>241</v>
      </c>
      <c r="I22" s="48" t="str">
        <f>'NUTRICION NT'!F20</f>
        <v>PAQUETES</v>
      </c>
      <c r="J22" s="12">
        <f>'NUTRICION NT'!H20</f>
        <v>45.48</v>
      </c>
      <c r="K22" s="8">
        <v>65</v>
      </c>
    </row>
    <row r="23" spans="1:11" ht="20.25" customHeight="1" thickBot="1">
      <c r="A23" s="45">
        <v>12</v>
      </c>
      <c r="B23" s="46" t="str">
        <f>'NUTRICION NT'!B21</f>
        <v>2.1.1-514.11</v>
      </c>
      <c r="C23" s="118" t="str">
        <f>'NUTRICION NT'!E21</f>
        <v>SAL DE MESA; CONSISTENCIA: GRUESA, PESO: 50 Kg, TIPO: SIN VALOR, ENVASE: BOLSA</v>
      </c>
      <c r="D23" s="118"/>
      <c r="E23" s="118"/>
      <c r="F23" s="118"/>
      <c r="G23" s="118"/>
      <c r="H23" s="47" t="s">
        <v>241</v>
      </c>
      <c r="I23" s="48" t="str">
        <f>'NUTRICION NT'!F21</f>
        <v>BOLSAS</v>
      </c>
      <c r="J23" s="12">
        <f>'NUTRICION NT'!H21</f>
        <v>2601</v>
      </c>
      <c r="K23" s="8">
        <v>10</v>
      </c>
    </row>
    <row r="24" spans="1:11" ht="40.5" customHeight="1" thickBot="1">
      <c r="A24" s="45">
        <v>13</v>
      </c>
      <c r="B24" s="46" t="str">
        <f>'NUTRICION NT'!B22</f>
        <v>2.1.1-482.61</v>
      </c>
      <c r="C24" s="118" t="str">
        <f>'NUTRICION NT'!E22</f>
        <v>HARINAS; TIPO: LEUDANTE, PRESENTACION: ENVASE X 1 Kg, MATERIAL ENVASE: PAPEL, CERTICADO FORESTAL (GFS): SIN, ELEM. TRANSPORTE: PALLET RETORNABLE, MATERIAL ELEM. TRANSPORTE: MADERA</v>
      </c>
      <c r="D24" s="118"/>
      <c r="E24" s="118"/>
      <c r="F24" s="118"/>
      <c r="G24" s="118"/>
      <c r="H24" s="47" t="s">
        <v>241</v>
      </c>
      <c r="I24" s="48" t="str">
        <f>'NUTRICION NT'!F22</f>
        <v>PAQUETES</v>
      </c>
      <c r="J24" s="12">
        <f>'NUTRICION NT'!H22</f>
        <v>62.58</v>
      </c>
      <c r="K24" s="8">
        <v>34</v>
      </c>
    </row>
    <row r="25" spans="1:11" ht="37.5" customHeight="1" thickBot="1">
      <c r="A25" s="45">
        <v>14</v>
      </c>
      <c r="B25" s="46" t="str">
        <f>'NUTRICION NT'!B23</f>
        <v>2.1.1-482.69</v>
      </c>
      <c r="C25" s="118" t="str">
        <f>'NUTRICION NT'!E23</f>
        <v>HARINAS; TIPO: MAIZ, PRESENTACION: ENVASE X 1 Kg, MATERIAL ENVASE: PAPEL, CERTICADO FORESTAL (GFS): SIN, ELEM. TRANSPORTE: SIN, MATERIAL ELEM. TRANSPORTE: SIN, LIBRE DE GLUTEN: NO</v>
      </c>
      <c r="D25" s="118"/>
      <c r="E25" s="118"/>
      <c r="F25" s="118"/>
      <c r="G25" s="118"/>
      <c r="H25" s="47" t="s">
        <v>241</v>
      </c>
      <c r="I25" s="48" t="str">
        <f>'NUTRICION NT'!F23</f>
        <v>PAQUETES</v>
      </c>
      <c r="J25" s="12">
        <f>'NUTRICION NT'!H23</f>
        <v>60.02</v>
      </c>
      <c r="K25" s="8">
        <v>20</v>
      </c>
    </row>
    <row r="26" spans="1:11" ht="38.25" customHeight="1" thickBot="1">
      <c r="A26" s="45">
        <v>15</v>
      </c>
      <c r="B26" s="46" t="str">
        <f>'NUTRICION NT'!B24</f>
        <v>2.1.1-706.4</v>
      </c>
      <c r="C26" s="118" t="str">
        <f>'NUTRICION NT'!E24</f>
        <v>MATE COCIDO; ENVASE: CAJA CARTON, PESO X SAQ.: 3, PRESENTACION: ENSOBRADO, SAQUITOS P/CAJA: 50</v>
      </c>
      <c r="D26" s="118"/>
      <c r="E26" s="118"/>
      <c r="F26" s="118"/>
      <c r="G26" s="118"/>
      <c r="H26" s="47" t="s">
        <v>241</v>
      </c>
      <c r="I26" s="48" t="str">
        <f>'NUTRICION NT'!F24</f>
        <v>CAJAS</v>
      </c>
      <c r="J26" s="12">
        <f>'NUTRICION NT'!H24</f>
        <v>205.63</v>
      </c>
      <c r="K26" s="8">
        <v>50</v>
      </c>
    </row>
    <row r="27" spans="1:11" ht="20.25" customHeight="1" thickBot="1">
      <c r="A27" s="45">
        <v>16</v>
      </c>
      <c r="B27" s="46" t="str">
        <f>'NUTRICION NT'!B25</f>
        <v>2.1.1-595.2</v>
      </c>
      <c r="C27" s="118" t="str">
        <f>'NUTRICION NT'!E25</f>
        <v>EDULCORANTES; PRESENTACION: LIQUIDO, ENVASE: BOTELLA PLASTICA, CONTENIDO: 500 CM3</v>
      </c>
      <c r="D27" s="118"/>
      <c r="E27" s="118"/>
      <c r="F27" s="118"/>
      <c r="G27" s="118"/>
      <c r="H27" s="47" t="s">
        <v>241</v>
      </c>
      <c r="I27" s="48" t="str">
        <f>'NUTRICION NT'!F25</f>
        <v>BOTELLA</v>
      </c>
      <c r="J27" s="12">
        <f>'NUTRICION NT'!H25</f>
        <v>174</v>
      </c>
      <c r="K27" s="8">
        <v>34</v>
      </c>
    </row>
    <row r="28" spans="1:11" ht="53.25" customHeight="1" thickBot="1">
      <c r="A28" s="45">
        <v>17</v>
      </c>
      <c r="B28" s="46" t="str">
        <f>'NUTRICION NT'!B26</f>
        <v>2.1.1-2868.86</v>
      </c>
      <c r="C28" s="118" t="str">
        <f>'NUTRICION NT'!E26</f>
        <v>FIDEOS SECOS; VARIEDAD: SPAGHETTI AL HUEVO, RELLENO: SIN, PRESENTACION: PAQUETE X 500 GR, MATERIAL ENVASE: PLASTICO 1 (PET), ELEM. TRANSPORTE: SIN, MATERIAL ELEM. TRANSPORTE: SIN, CERTIFICADO FORESTAL (GFS): SIN, LIBRE DE GLUTEN: NO</v>
      </c>
      <c r="D28" s="118"/>
      <c r="E28" s="118"/>
      <c r="F28" s="118"/>
      <c r="G28" s="118"/>
      <c r="H28" s="47" t="s">
        <v>241</v>
      </c>
      <c r="I28" s="48" t="str">
        <f>'NUTRICION NT'!F26</f>
        <v>PAQUETES</v>
      </c>
      <c r="J28" s="12">
        <f>'NUTRICION NT'!H26</f>
        <v>66.959999999999994</v>
      </c>
      <c r="K28" s="8">
        <v>100</v>
      </c>
    </row>
    <row r="29" spans="1:11" ht="45.75" customHeight="1" thickBot="1">
      <c r="A29" s="45">
        <v>18</v>
      </c>
      <c r="B29" s="46" t="str">
        <f>'NUTRICION NT'!B27</f>
        <v>2.1.1-482.80</v>
      </c>
      <c r="C29" s="118" t="str">
        <f>'NUTRICION NT'!E27</f>
        <v>HARINAS; TIPO: DE TRIGO 000, PRESENTACION: ENVASE X 1 Kg, MATERIAL ENVASE: PAPEL, CERTICADO FORESTAL (GFS): SIN, ELEM. TRANSPORTE: SIN, MATERIAL ELEM. TRANSPORTE: SIN, LIBRE DE GLUTEN: NO</v>
      </c>
      <c r="D29" s="118"/>
      <c r="E29" s="118"/>
      <c r="F29" s="118"/>
      <c r="G29" s="118"/>
      <c r="H29" s="47" t="s">
        <v>241</v>
      </c>
      <c r="I29" s="48" t="str">
        <f>'NUTRICION NT'!F27</f>
        <v>PAQUETES</v>
      </c>
      <c r="J29" s="12">
        <f>'NUTRICION NT'!H27</f>
        <v>48.53</v>
      </c>
      <c r="K29" s="8">
        <v>30</v>
      </c>
    </row>
    <row r="30" spans="1:11" ht="47.25" customHeight="1" thickBot="1">
      <c r="A30" s="45">
        <v>19</v>
      </c>
      <c r="B30" s="46" t="str">
        <f>'NUTRICION NT'!B28</f>
        <v>2.1.1-435.38</v>
      </c>
      <c r="C30" s="118" t="str">
        <f>'NUTRICION NT'!E28</f>
        <v>ARROZ; TIPO GRANO: DOBLE, TIPO: BLANCO, PROCESO: PARBOLIZADO, PRESENTACION: ENVASE X 1 Kg, MATERIAL ENVASE: CARTON, CERTIFICADO FORESTAL (GFS): SIN, ELEM. TRANSPORTE: SIN, MATERIAL ELEM. TRANSPORTE: SIN</v>
      </c>
      <c r="D30" s="118"/>
      <c r="E30" s="118"/>
      <c r="F30" s="118"/>
      <c r="G30" s="118"/>
      <c r="H30" s="47" t="s">
        <v>241</v>
      </c>
      <c r="I30" s="48" t="str">
        <f>'NUTRICION NT'!F28</f>
        <v>PAQUETES</v>
      </c>
      <c r="J30" s="12">
        <f>'NUTRICION NT'!H28</f>
        <v>150</v>
      </c>
      <c r="K30" s="8">
        <v>250</v>
      </c>
    </row>
    <row r="31" spans="1:11" ht="20.25" customHeight="1" thickBot="1">
      <c r="A31" s="45">
        <v>20</v>
      </c>
      <c r="B31" s="46" t="str">
        <f>'NUTRICION NT'!B29</f>
        <v>2.1.1-510.5</v>
      </c>
      <c r="C31" s="118" t="str">
        <f>'NUTRICION NT'!E29</f>
        <v>GELATINAS; ENVASE: CAJA DE CARTON, PESO: 30 GR, TIPO: BAJAS CALORIAS, SABOR: FRUTILLA</v>
      </c>
      <c r="D31" s="118"/>
      <c r="E31" s="118"/>
      <c r="F31" s="118"/>
      <c r="G31" s="118"/>
      <c r="H31" s="47" t="s">
        <v>241</v>
      </c>
      <c r="I31" s="48" t="str">
        <f>'NUTRICION NT'!F29</f>
        <v>CAJAS</v>
      </c>
      <c r="J31" s="12">
        <f>'NUTRICION NT'!H29</f>
        <v>59.87</v>
      </c>
      <c r="K31" s="8">
        <v>270</v>
      </c>
    </row>
    <row r="32" spans="1:11" ht="53.25" customHeight="1" thickBot="1">
      <c r="A32" s="45">
        <v>21</v>
      </c>
      <c r="B32" s="46" t="str">
        <f>'NUTRICION NT'!B30</f>
        <v>2.1.1-435.50</v>
      </c>
      <c r="C32" s="118" t="str">
        <f>'NUTRICION NT'!E30</f>
        <v>ARROZ; TIPO GRANO: ENTERO, TIPO: BLANCO, PROCESO: FORTIFICADO, PRESENTACION: ENVASE X 1 Kg, MATERIAL ENVASE: PLASTICO 1 (PET), CERTIFICADO FORESTAL (GFS): SIN, ELEM. TRANSPORTE: SIN, MATERIAL ELEM. TRANSPORTE: SIN, LIBRE DE GLUTEN: NO</v>
      </c>
      <c r="D32" s="118"/>
      <c r="E32" s="118"/>
      <c r="F32" s="118"/>
      <c r="G32" s="118"/>
      <c r="H32" s="47" t="s">
        <v>241</v>
      </c>
      <c r="I32" s="48" t="str">
        <f>'NUTRICION NT'!F30</f>
        <v>PAQUETES</v>
      </c>
      <c r="J32" s="12">
        <f>'NUTRICION NT'!H30</f>
        <v>81.22</v>
      </c>
      <c r="K32" s="8">
        <v>35</v>
      </c>
    </row>
    <row r="33" spans="1:11" ht="40.5" customHeight="1" thickBot="1">
      <c r="A33" s="45">
        <v>22</v>
      </c>
      <c r="B33" s="46" t="str">
        <f>'NUTRICION NT'!B31</f>
        <v>2.1.1-517.86</v>
      </c>
      <c r="C33" s="118" t="str">
        <f>'NUTRICION NT'!E31</f>
        <v>POSTRES; ESTADO PREPARACION: CON COCCION, TIPO: POLVO, ENVASE: CAJA DE CARTON, PESO: 80 GR, SABOR: VAINILLA, LIBRE DE GLUTEN: SI</v>
      </c>
      <c r="D33" s="118"/>
      <c r="E33" s="118"/>
      <c r="F33" s="118"/>
      <c r="G33" s="118"/>
      <c r="H33" s="47" t="s">
        <v>241</v>
      </c>
      <c r="I33" s="48" t="str">
        <f>'NUTRICION NT'!F31</f>
        <v>CAJAS</v>
      </c>
      <c r="J33" s="12">
        <f>'NUTRICION NT'!H31</f>
        <v>78</v>
      </c>
      <c r="K33" s="8">
        <v>40</v>
      </c>
    </row>
    <row r="34" spans="1:11" ht="45" customHeight="1" thickBot="1">
      <c r="A34" s="45">
        <v>23</v>
      </c>
      <c r="B34" s="46" t="str">
        <f>'NUTRICION NT'!B32</f>
        <v>2.1.1-517.83</v>
      </c>
      <c r="C34" s="118" t="str">
        <f>'NUTRICION NT'!E32</f>
        <v>POSTRES; ESTADO PREPARACION: CON COCCION, TIPO: POLVO, ENVASE: SOBRE, PESO: 75 GR, SABOR: DULCE DE LECHE, LIBRE DE GLUTEN: NO</v>
      </c>
      <c r="D34" s="118"/>
      <c r="E34" s="118"/>
      <c r="F34" s="118"/>
      <c r="G34" s="118"/>
      <c r="H34" s="47" t="s">
        <v>241</v>
      </c>
      <c r="I34" s="48" t="str">
        <f>'NUTRICION NT'!F32</f>
        <v>CAJAS</v>
      </c>
      <c r="J34" s="12">
        <f>'NUTRICION NT'!H32</f>
        <v>39.53</v>
      </c>
      <c r="K34" s="8">
        <v>30</v>
      </c>
    </row>
    <row r="35" spans="1:11" ht="20.25" customHeight="1" thickBot="1">
      <c r="A35" s="45">
        <v>24</v>
      </c>
      <c r="B35" s="46" t="str">
        <f>'NUTRICION NT'!B33</f>
        <v>2.1.1-5917.8</v>
      </c>
      <c r="C35" s="118" t="str">
        <f>'NUTRICION NT'!E33</f>
        <v>CEREALES; TIPO: TRIGO BURGOL, PRESENTACION: ENVASE X 1 Kg</v>
      </c>
      <c r="D35" s="118"/>
      <c r="E35" s="118"/>
      <c r="F35" s="118"/>
      <c r="G35" s="118"/>
      <c r="H35" s="47" t="s">
        <v>241</v>
      </c>
      <c r="I35" s="48" t="str">
        <f>'NUTRICION NT'!F33</f>
        <v>PAQUETES</v>
      </c>
      <c r="J35" s="12">
        <f>'NUTRICION NT'!H33</f>
        <v>95</v>
      </c>
      <c r="K35" s="8">
        <v>13</v>
      </c>
    </row>
    <row r="36" spans="1:11" ht="36" customHeight="1" thickBot="1">
      <c r="A36" s="45">
        <v>25</v>
      </c>
      <c r="B36" s="46" t="str">
        <f>'NUTRICION NT'!B34</f>
        <v>2.1.1-6539.114</v>
      </c>
      <c r="C36" s="118" t="str">
        <f>'NUTRICION NT'!E34</f>
        <v>FRUTAS; VARIEDAD: CIRUELA ( SIN CAROZO ), ESTADO: DESECADA, PRESENTACION: ENVASE X 10 Kg, PESO: 10 Kg</v>
      </c>
      <c r="D36" s="118"/>
      <c r="E36" s="118"/>
      <c r="F36" s="118"/>
      <c r="G36" s="118"/>
      <c r="H36" s="47" t="s">
        <v>241</v>
      </c>
      <c r="I36" s="48" t="str">
        <f>'NUTRICION NT'!F34</f>
        <v>ENVASE</v>
      </c>
      <c r="J36" s="12">
        <f>'NUTRICION NT'!H34</f>
        <v>5600</v>
      </c>
      <c r="K36" s="8">
        <v>2</v>
      </c>
    </row>
    <row r="37" spans="1:11" ht="45.75" customHeight="1" thickBot="1">
      <c r="A37" s="45">
        <v>26</v>
      </c>
      <c r="B37" s="46" t="str">
        <f>'NUTRICION NT'!B35</f>
        <v>2.1.1-6539.178</v>
      </c>
      <c r="C37" s="118" t="str">
        <f>'NUTRICION NT'!E35</f>
        <v>FRUTAS; VARIEDAD: DURAZNO ( SIN CAROZO ), ESTADO: DESECADA, PRESENTACION: ENVASE X 5 Kg, ELEM. TRANSPORTE: SIN, MATERIAL ELEM. TRANSPORTE: SIN</v>
      </c>
      <c r="D37" s="118"/>
      <c r="E37" s="118"/>
      <c r="F37" s="118"/>
      <c r="G37" s="118"/>
      <c r="H37" s="47" t="s">
        <v>241</v>
      </c>
      <c r="I37" s="48" t="str">
        <f>'NUTRICION NT'!F35</f>
        <v>ENVASE</v>
      </c>
      <c r="J37" s="12">
        <f>'NUTRICION NT'!H35</f>
        <v>3400</v>
      </c>
      <c r="K37" s="8">
        <v>2</v>
      </c>
    </row>
    <row r="38" spans="1:11" ht="37.5" customHeight="1" thickBot="1">
      <c r="A38" s="45">
        <v>27</v>
      </c>
      <c r="B38" s="46" t="str">
        <f>'NUTRICION NT'!B36</f>
        <v>2.1.1-513.9</v>
      </c>
      <c r="C38" s="118" t="str">
        <f>'NUTRICION NT'!E36</f>
        <v>FLANES; PESO: 60 GR, ENVASE: CAJA CARTON, ESTADO PREPARACION: CON COCCION, SABOR: VAINILLA, TIPO: SIN VALOR, PRESENTACION: 60 GR</v>
      </c>
      <c r="D38" s="118"/>
      <c r="E38" s="118"/>
      <c r="F38" s="118"/>
      <c r="G38" s="118"/>
      <c r="H38" s="47" t="s">
        <v>241</v>
      </c>
      <c r="I38" s="48" t="str">
        <f>'NUTRICION NT'!F36</f>
        <v>CAJAS</v>
      </c>
      <c r="J38" s="12">
        <f>'NUTRICION NT'!H36</f>
        <v>42.64</v>
      </c>
      <c r="K38" s="8">
        <v>135</v>
      </c>
    </row>
    <row r="39" spans="1:11" ht="39.75" customHeight="1" thickBot="1">
      <c r="A39" s="45">
        <v>28</v>
      </c>
      <c r="B39" s="46" t="str">
        <f>'NUTRICION NT'!B37</f>
        <v>2.1.1-519.27</v>
      </c>
      <c r="C39" s="118" t="str">
        <f>'NUTRICION NT'!E37</f>
        <v>VINAGRES; TIPO: VINO, PRESENTACION: ENVASE X 1 L, MATERIAL ENVASE: PLASTICO 1 (PET), LIBRE DE GLUTEN: NO</v>
      </c>
      <c r="D39" s="118"/>
      <c r="E39" s="118"/>
      <c r="F39" s="118"/>
      <c r="G39" s="118"/>
      <c r="H39" s="47" t="s">
        <v>241</v>
      </c>
      <c r="I39" s="48" t="str">
        <f>'NUTRICION NT'!F37</f>
        <v>BOTELLA</v>
      </c>
      <c r="J39" s="12">
        <f>'NUTRICION NT'!H37</f>
        <v>98.4</v>
      </c>
      <c r="K39" s="8">
        <v>15</v>
      </c>
    </row>
    <row r="40" spans="1:11" ht="20.25" customHeight="1" thickBot="1">
      <c r="A40" s="45">
        <v>29</v>
      </c>
      <c r="B40" s="46" t="str">
        <f>'NUTRICION NT'!B38</f>
        <v>2.1.1-2124.3</v>
      </c>
      <c r="C40" s="118" t="str">
        <f>'NUTRICION NT'!E38</f>
        <v>AVENAS; TIPO: ARROLLADA, ESTADO: NATURAL, PRESENTACION: BOLSA, PESO: 1 Kg</v>
      </c>
      <c r="D40" s="118"/>
      <c r="E40" s="118"/>
      <c r="F40" s="118"/>
      <c r="G40" s="118"/>
      <c r="H40" s="47" t="s">
        <v>241</v>
      </c>
      <c r="I40" s="48" t="str">
        <f>'NUTRICION NT'!F38</f>
        <v>PAQUETES</v>
      </c>
      <c r="J40" s="12">
        <f>'NUTRICION NT'!H38</f>
        <v>204</v>
      </c>
      <c r="K40" s="8">
        <v>8</v>
      </c>
    </row>
    <row r="41" spans="1:11" ht="44.25" customHeight="1" thickBot="1">
      <c r="A41" s="45">
        <v>30</v>
      </c>
      <c r="B41" s="46" t="str">
        <f>'NUTRICION NT'!B39</f>
        <v>2.1.1-6547.84</v>
      </c>
      <c r="C41" s="118" t="str">
        <f>'NUTRICION NT'!E39</f>
        <v>LEGUMBRES; VARIEDAD: ARVEJAS, ESTADO: CONSERVA, PRESENTACION: LATA, PESO: 350 GR, MATERIAL ENVASE: METAL, ELEM. TRANSPORTE: SIN, MATERIAL ELEM. TRANSPORTE: SIN, LIBRE DE GLUTEN: NO</v>
      </c>
      <c r="D41" s="118"/>
      <c r="E41" s="118"/>
      <c r="F41" s="118"/>
      <c r="G41" s="118"/>
      <c r="H41" s="47" t="s">
        <v>241</v>
      </c>
      <c r="I41" s="48" t="str">
        <f>'NUTRICION NT'!F39</f>
        <v>LATAS</v>
      </c>
      <c r="J41" s="12">
        <f>'NUTRICION NT'!H39</f>
        <v>36.119999999999997</v>
      </c>
      <c r="K41" s="8">
        <v>200</v>
      </c>
    </row>
    <row r="42" spans="1:11" ht="50.25" customHeight="1" thickBot="1">
      <c r="A42" s="45">
        <v>31</v>
      </c>
      <c r="B42" s="46" t="str">
        <f>'NUTRICION NT'!B40</f>
        <v>2.1.1-708.43</v>
      </c>
      <c r="C42" s="118" t="str">
        <f>'NUTRICION NT'!E40</f>
        <v>CONSERVAS PESCADO Y FRUTOS MAR; TIPO: ATUN, ESTADO: AL NATURAL, PESO: 170 GR, ENVASE: LATA, ELEM. TRANSPORTE: SIN, MATERIAL ELEM. TRANSPORTE: SIN</v>
      </c>
      <c r="D42" s="118"/>
      <c r="E42" s="118"/>
      <c r="F42" s="118"/>
      <c r="G42" s="118"/>
      <c r="H42" s="47" t="s">
        <v>241</v>
      </c>
      <c r="I42" s="48" t="str">
        <f>'NUTRICION NT'!F40</f>
        <v>LATAS</v>
      </c>
      <c r="J42" s="12">
        <f>'NUTRICION NT'!H40</f>
        <v>162</v>
      </c>
      <c r="K42" s="8">
        <v>65</v>
      </c>
    </row>
    <row r="43" spans="1:11" ht="38.25" customHeight="1" thickBot="1">
      <c r="A43" s="45">
        <v>32</v>
      </c>
      <c r="B43" s="46" t="str">
        <f>'NUTRICION NT'!B41</f>
        <v>2.1.1-6546.183</v>
      </c>
      <c r="C43" s="118" t="str">
        <f>'NUTRICION NT'!E41</f>
        <v>VERDURAS Y HORTALIZAS; VARIEDAD: TOMATE PERITA, ESTADO: NATURAL, PRESENTACION: LATA, PESO: 380 GR</v>
      </c>
      <c r="D43" s="118"/>
      <c r="E43" s="118"/>
      <c r="F43" s="118"/>
      <c r="G43" s="118"/>
      <c r="H43" s="47" t="s">
        <v>241</v>
      </c>
      <c r="I43" s="48" t="str">
        <f>'NUTRICION NT'!F41</f>
        <v>LATAS</v>
      </c>
      <c r="J43" s="12">
        <f>'NUTRICION NT'!H41</f>
        <v>68.78</v>
      </c>
      <c r="K43" s="8">
        <v>200</v>
      </c>
    </row>
    <row r="44" spans="1:11" ht="20.25" customHeight="1" thickBot="1">
      <c r="A44" s="45">
        <v>33</v>
      </c>
      <c r="B44" s="46" t="str">
        <f>'NUTRICION NT'!B42</f>
        <v>2.1.1-6539.46</v>
      </c>
      <c r="C44" s="118" t="str">
        <f>'NUTRICION NT'!E42</f>
        <v>FRUTAS; VARIEDAD: DURAZNO, ESTADO: CONSERVA, PRESENTACION: ENVASE X 800 GR, PESO: 800 GR</v>
      </c>
      <c r="D44" s="118"/>
      <c r="E44" s="118"/>
      <c r="F44" s="118"/>
      <c r="G44" s="118"/>
      <c r="H44" s="47" t="s">
        <v>241</v>
      </c>
      <c r="I44" s="48" t="str">
        <f>'NUTRICION NT'!F42</f>
        <v>LATAS</v>
      </c>
      <c r="J44" s="12">
        <f>'NUTRICION NT'!H42</f>
        <v>198</v>
      </c>
      <c r="K44" s="8">
        <v>400</v>
      </c>
    </row>
    <row r="45" spans="1:11" ht="50.25" customHeight="1" thickBot="1">
      <c r="A45" s="45">
        <v>34</v>
      </c>
      <c r="B45" s="46" t="str">
        <f>'NUTRICION NT'!B43</f>
        <v>2.1.1-597.41</v>
      </c>
      <c r="C45" s="118" t="str">
        <f>'NUTRICION NT'!E43</f>
        <v>CONSERVAS DE FRUTAS; VARIEDAD: COCTEL, ENVASE: LATA, PESO: 800 GR, ELEM. TRANSPORTE: SIN, MATERIAL ELEM. TRANSPORTE: SIN, LIBRE DE GLUTEN: NO</v>
      </c>
      <c r="D45" s="118"/>
      <c r="E45" s="118"/>
      <c r="F45" s="118"/>
      <c r="G45" s="118"/>
      <c r="H45" s="47" t="s">
        <v>241</v>
      </c>
      <c r="I45" s="48" t="str">
        <f>'NUTRICION NT'!F43</f>
        <v>LATAS</v>
      </c>
      <c r="J45" s="12">
        <f>'NUTRICION NT'!H43</f>
        <v>252</v>
      </c>
      <c r="K45" s="8">
        <v>400</v>
      </c>
    </row>
    <row r="46" spans="1:11" ht="43.5" customHeight="1" thickBot="1">
      <c r="A46" s="45">
        <v>35</v>
      </c>
      <c r="B46" s="46" t="str">
        <f>'NUTRICION NT'!B44</f>
        <v>2.1.1-6558.8</v>
      </c>
      <c r="C46" s="118" t="str">
        <f>'NUTRICION NT'!E44</f>
        <v>JARDINERA; PRESENTACION: ENVASE X 350 GR, PESO: SIN VALOR, MATERIAL ENVASE: METAL, ELEM. TRANSPORTE: SIN, MATERIAL ELEM. TRANSPORTE: SIN</v>
      </c>
      <c r="D46" s="118"/>
      <c r="E46" s="118"/>
      <c r="F46" s="118"/>
      <c r="G46" s="118"/>
      <c r="H46" s="47" t="s">
        <v>241</v>
      </c>
      <c r="I46" s="48" t="str">
        <f>'NUTRICION NT'!F44</f>
        <v>LATAS</v>
      </c>
      <c r="J46" s="12">
        <f>'NUTRICION NT'!H44</f>
        <v>69.900000000000006</v>
      </c>
      <c r="K46" s="8">
        <v>135</v>
      </c>
    </row>
    <row r="47" spans="1:11" ht="20.25" customHeight="1" thickBot="1">
      <c r="A47" s="45">
        <v>36</v>
      </c>
      <c r="B47" s="46" t="str">
        <f>'NUTRICION NT'!B45</f>
        <v>2.1.1-438.37</v>
      </c>
      <c r="C47" s="118" t="str">
        <f>'NUTRICION NT'!E45</f>
        <v>ADEREZOS; TIPO: MAYONESA, ENVASE: BOLSA, CONTENIDO: 2,9 Kg, PRESENTACION: ENVASE X 2,9 Kg</v>
      </c>
      <c r="D47" s="118"/>
      <c r="E47" s="118"/>
      <c r="F47" s="118"/>
      <c r="G47" s="118"/>
      <c r="H47" s="47" t="s">
        <v>241</v>
      </c>
      <c r="I47" s="48" t="str">
        <f>'NUTRICION NT'!F45</f>
        <v>SACHET</v>
      </c>
      <c r="J47" s="12">
        <f>'NUTRICION NT'!H45</f>
        <v>590.76</v>
      </c>
      <c r="K47" s="8">
        <v>10</v>
      </c>
    </row>
    <row r="48" spans="1:11" ht="34.5" customHeight="1" thickBot="1">
      <c r="A48" s="45">
        <v>37</v>
      </c>
      <c r="B48" s="46" t="str">
        <f>'NUTRICION NT'!B46</f>
        <v>2.1.1-6546.269</v>
      </c>
      <c r="C48" s="118" t="str">
        <f>'NUTRICION NT'!E46</f>
        <v>VERDURAS Y HORTALIZAS; VARIEDAD: CHOCLO, ESTADO: GRANO, PRESENTACION: LATA, PESO: 350 GR</v>
      </c>
      <c r="D48" s="118"/>
      <c r="E48" s="118"/>
      <c r="F48" s="118"/>
      <c r="G48" s="118"/>
      <c r="H48" s="47" t="s">
        <v>241</v>
      </c>
      <c r="I48" s="48" t="str">
        <f>'NUTRICION NT'!F46</f>
        <v>LATAS</v>
      </c>
      <c r="J48" s="12">
        <f>'NUTRICION NT'!H46</f>
        <v>80.209999999999994</v>
      </c>
      <c r="K48" s="8">
        <v>135</v>
      </c>
    </row>
    <row r="49" spans="1:11" ht="39.75" customHeight="1" thickBot="1">
      <c r="A49" s="45">
        <v>38</v>
      </c>
      <c r="B49" s="46" t="str">
        <f>'NUTRICION NT'!B47</f>
        <v>2.1.1-6546.81</v>
      </c>
      <c r="C49" s="118" t="str">
        <f>'NUTRICION NT'!E47</f>
        <v>VERDURAS Y HORTALIZAS; VARIEDAD: TOMATE, ESTADO: PURE NATURAL, PRESENTACION: CAJA, PESO: 500 GR</v>
      </c>
      <c r="D49" s="118"/>
      <c r="E49" s="118"/>
      <c r="F49" s="118"/>
      <c r="G49" s="118"/>
      <c r="H49" s="47" t="s">
        <v>241</v>
      </c>
      <c r="I49" s="48" t="str">
        <f>'NUTRICION NT'!F47</f>
        <v>CAJAS</v>
      </c>
      <c r="J49" s="12">
        <f>'NUTRICION NT'!H47</f>
        <v>50.83</v>
      </c>
      <c r="K49" s="8">
        <v>200</v>
      </c>
    </row>
    <row r="50" spans="1:11" ht="20.25" customHeight="1" thickBot="1">
      <c r="A50" s="45">
        <v>39</v>
      </c>
      <c r="B50" s="46" t="str">
        <f>'NUTRICION NT'!B48</f>
        <v>2.1.1-2113.1</v>
      </c>
      <c r="C50" s="118" t="str">
        <f>'NUTRICION NT'!E48</f>
        <v>DULCES; TIPO: DE BATATA, PRESENTACION: LATA, PESO: 5</v>
      </c>
      <c r="D50" s="118"/>
      <c r="E50" s="118"/>
      <c r="F50" s="118"/>
      <c r="G50" s="118"/>
      <c r="H50" s="47" t="s">
        <v>241</v>
      </c>
      <c r="I50" s="48" t="str">
        <f>'NUTRICION NT'!F48</f>
        <v>KG</v>
      </c>
      <c r="J50" s="12">
        <f>'NUTRICION NT'!H48</f>
        <v>942</v>
      </c>
      <c r="K50" s="8">
        <v>26</v>
      </c>
    </row>
    <row r="51" spans="1:11" ht="20.25" customHeight="1" thickBot="1">
      <c r="A51" s="45">
        <v>40</v>
      </c>
      <c r="B51" s="46" t="str">
        <f>'NUTRICION NT'!B49</f>
        <v>2.1.1-2113.2</v>
      </c>
      <c r="C51" s="118" t="str">
        <f>'NUTRICION NT'!E49</f>
        <v>DULCES; TIPO: DE MEMBRILLO, PRESENTACION: LATA, PESO: 5 Kg</v>
      </c>
      <c r="D51" s="118"/>
      <c r="E51" s="118"/>
      <c r="F51" s="118"/>
      <c r="G51" s="118"/>
      <c r="H51" s="47" t="s">
        <v>241</v>
      </c>
      <c r="I51" s="48" t="str">
        <f>'NUTRICION NT'!F49</f>
        <v>KG</v>
      </c>
      <c r="J51" s="12">
        <f>'NUTRICION NT'!H49</f>
        <v>915.07</v>
      </c>
      <c r="K51" s="8">
        <v>26</v>
      </c>
    </row>
    <row r="52" spans="1:11" ht="42.75" customHeight="1" thickBot="1">
      <c r="A52" s="45">
        <v>41</v>
      </c>
      <c r="B52" s="46" t="str">
        <f>'NUTRICION NT'!B50</f>
        <v>2.1.1-6546.336</v>
      </c>
      <c r="C52" s="118" t="str">
        <f>'NUTRICION NT'!E50</f>
        <v>VERDURAS Y HORTALIZAS; VARIEDAD: CHOCLO, ESTADO: CREMOSO, PRESENTACION: LATA, PESO: 350 GR, ELEM. TRANSPORTE: SIN, MATERIAL ELEM. TRANSPORTE: SIN, LIBRE DE GLUTEN: NO</v>
      </c>
      <c r="D52" s="118"/>
      <c r="E52" s="118"/>
      <c r="F52" s="118"/>
      <c r="G52" s="118"/>
      <c r="H52" s="47" t="s">
        <v>241</v>
      </c>
      <c r="I52" s="48" t="str">
        <f>'NUTRICION NT'!F50</f>
        <v>LATAS</v>
      </c>
      <c r="J52" s="12">
        <f>'NUTRICION NT'!H50</f>
        <v>54.06</v>
      </c>
      <c r="K52" s="8">
        <v>35</v>
      </c>
    </row>
    <row r="53" spans="1:11" ht="20.25" customHeight="1" thickBot="1">
      <c r="A53" s="45">
        <v>42</v>
      </c>
      <c r="B53" s="46" t="str">
        <f>'NUTRICION NT'!B51</f>
        <v>2.1.1-489.66</v>
      </c>
      <c r="C53" s="118" t="str">
        <f>'NUTRICION NT'!E51</f>
        <v>ESPECIAS; TIPO: OREGANO, PRESENTACION: BOLSA DE 1 Kg</v>
      </c>
      <c r="D53" s="118"/>
      <c r="E53" s="118"/>
      <c r="F53" s="118"/>
      <c r="G53" s="118"/>
      <c r="H53" s="47" t="s">
        <v>241</v>
      </c>
      <c r="I53" s="48" t="str">
        <f>'NUTRICION NT'!F51</f>
        <v>KG</v>
      </c>
      <c r="J53" s="12">
        <f>'NUTRICION NT'!H51</f>
        <v>1903.2</v>
      </c>
      <c r="K53" s="8">
        <v>7</v>
      </c>
    </row>
    <row r="54" spans="1:11" ht="20.25" customHeight="1" thickBot="1">
      <c r="A54" s="45">
        <v>43</v>
      </c>
      <c r="B54" s="46" t="str">
        <f>'NUTRICION NT'!B52</f>
        <v>2.1.1-489.67</v>
      </c>
      <c r="C54" s="118" t="str">
        <f>'NUTRICION NT'!E52</f>
        <v>ESPECIAS; TIPO: PIMENTON, PRESENTACION: BOLSA DE 1 Kg</v>
      </c>
      <c r="D54" s="118"/>
      <c r="E54" s="118"/>
      <c r="F54" s="118"/>
      <c r="G54" s="118"/>
      <c r="H54" s="47" t="s">
        <v>241</v>
      </c>
      <c r="I54" s="48" t="str">
        <f>'NUTRICION NT'!F52</f>
        <v>KG</v>
      </c>
      <c r="J54" s="12">
        <f>'NUTRICION NT'!H52</f>
        <v>1335.12</v>
      </c>
      <c r="K54" s="8">
        <v>7</v>
      </c>
    </row>
    <row r="55" spans="1:11" ht="20.25" customHeight="1" thickBot="1">
      <c r="A55" s="45">
        <v>44</v>
      </c>
      <c r="B55" s="46" t="str">
        <f>'NUTRICION NT'!B53</f>
        <v>2.1.1-489.53</v>
      </c>
      <c r="C55" s="118" t="str">
        <f>'NUTRICION NT'!E53</f>
        <v>ESPECIAS; TIPO: NUEZ MOSCADA, PRESENTACION: POLVO</v>
      </c>
      <c r="D55" s="118"/>
      <c r="E55" s="118"/>
      <c r="F55" s="118"/>
      <c r="G55" s="118"/>
      <c r="H55" s="47" t="s">
        <v>241</v>
      </c>
      <c r="I55" s="48" t="str">
        <f>'NUTRICION NT'!F53</f>
        <v>KG</v>
      </c>
      <c r="J55" s="12">
        <f>'NUTRICION NT'!H53</f>
        <v>4518.72</v>
      </c>
      <c r="K55" s="8">
        <v>1</v>
      </c>
    </row>
    <row r="56" spans="1:11" ht="20.25" customHeight="1" thickBot="1">
      <c r="A56" s="45">
        <v>45</v>
      </c>
      <c r="B56" s="46" t="str">
        <f>'NUTRICION NT'!B54</f>
        <v>2.1.1-489.132</v>
      </c>
      <c r="C56" s="118" t="str">
        <f>'NUTRICION NT'!E54</f>
        <v>ESPECIAS; TIPO: PIMIENTA BLANCA, PRESENTACION: ENVASE X 1 Kg</v>
      </c>
      <c r="D56" s="118"/>
      <c r="E56" s="118"/>
      <c r="F56" s="118"/>
      <c r="G56" s="118"/>
      <c r="H56" s="47" t="s">
        <v>241</v>
      </c>
      <c r="I56" s="48" t="str">
        <f>'NUTRICION NT'!F54</f>
        <v>KG</v>
      </c>
      <c r="J56" s="12">
        <f>'NUTRICION NT'!H54</f>
        <v>1452.96</v>
      </c>
      <c r="K56" s="8">
        <v>1</v>
      </c>
    </row>
    <row r="57" spans="1:11" ht="20.25" customHeight="1" thickBot="1">
      <c r="A57" s="45">
        <v>46</v>
      </c>
      <c r="B57" s="46" t="str">
        <f>'NUTRICION NT'!B55</f>
        <v>2.1.1-621.7</v>
      </c>
      <c r="C57" s="118" t="str">
        <f>'NUTRICION NT'!E55</f>
        <v>AVES; ESPECIE: POLLO, EVISCERADO: SIN MENUDOS, PRESENTACION: ENTERO, TIPO: POLLO</v>
      </c>
      <c r="D57" s="118"/>
      <c r="E57" s="118"/>
      <c r="F57" s="118"/>
      <c r="G57" s="118"/>
      <c r="H57" s="47" t="s">
        <v>241</v>
      </c>
      <c r="I57" s="48" t="str">
        <f>'NUTRICION NT'!F55</f>
        <v>KG</v>
      </c>
      <c r="J57" s="12">
        <f>'NUTRICION NT'!H55</f>
        <v>127.08</v>
      </c>
      <c r="K57" s="8">
        <v>2000</v>
      </c>
    </row>
    <row r="58" spans="1:11" ht="20.25" customHeight="1" thickBot="1">
      <c r="A58" s="45">
        <v>47</v>
      </c>
      <c r="B58" s="46" t="str">
        <f>'NUTRICION NT'!B56</f>
        <v>2.1.1-483.20</v>
      </c>
      <c r="C58" s="118" t="str">
        <f>'NUTRICION NT'!E56</f>
        <v>HUEVO DE GALLINA; COLOR: COLOR, PRESENTACION: 60, TAMAÑO: MEDIANOS</v>
      </c>
      <c r="D58" s="118"/>
      <c r="E58" s="118"/>
      <c r="F58" s="118"/>
      <c r="G58" s="118"/>
      <c r="H58" s="47" t="s">
        <v>241</v>
      </c>
      <c r="I58" s="48" t="str">
        <f>'NUTRICION NT'!F56</f>
        <v>CARTON</v>
      </c>
      <c r="J58" s="12">
        <f>'NUTRICION NT'!H56</f>
        <v>594</v>
      </c>
      <c r="K58" s="8">
        <v>320</v>
      </c>
    </row>
    <row r="59" spans="1:11" ht="38.25" customHeight="1" thickBot="1">
      <c r="A59" s="45">
        <v>48</v>
      </c>
      <c r="B59" s="46" t="str">
        <f>'NUTRICION NT'!B57</f>
        <v>2.1.1-621.11</v>
      </c>
      <c r="C59" s="118" t="str">
        <f>'NUTRICION NT'!E57</f>
        <v>AVES; ESPECIE: PECHUGA DE POLLO, PRESENTACION: BOLSA X 2 Kg, EVISCERADO: SIN VALOR, TIPO: PECHUGA DE POLLO</v>
      </c>
      <c r="D59" s="118"/>
      <c r="E59" s="118"/>
      <c r="F59" s="118"/>
      <c r="G59" s="118"/>
      <c r="H59" s="47" t="s">
        <v>241</v>
      </c>
      <c r="I59" s="48" t="str">
        <f>'NUTRICION NT'!F57</f>
        <v>BOLSAS</v>
      </c>
      <c r="J59" s="12">
        <f>'NUTRICION NT'!H57</f>
        <v>936</v>
      </c>
      <c r="K59" s="8">
        <v>150</v>
      </c>
    </row>
    <row r="60" spans="1:11" ht="36" customHeight="1" thickBot="1">
      <c r="A60" s="45">
        <v>49</v>
      </c>
      <c r="B60" s="46" t="str">
        <f>'NUTRICION NT'!B58</f>
        <v>2.1.1-590.27</v>
      </c>
      <c r="C60" s="118" t="str">
        <f>'NUTRICION NT'!E58</f>
        <v>PESCADOS Y FRUTOS CONGELADOS; TIPO: FILET DE MERLUZA, ENVASE: POLIESTIRENO, PRESENTACION: ENVASE X 1 Kg, ELEM. TRANSPORTE: SIN, MATERIAL ELEM. TRANSPORTE: SIN</v>
      </c>
      <c r="D60" s="118"/>
      <c r="E60" s="118"/>
      <c r="F60" s="118"/>
      <c r="G60" s="118"/>
      <c r="H60" s="47" t="s">
        <v>241</v>
      </c>
      <c r="I60" s="48" t="str">
        <f>'NUTRICION NT'!F58</f>
        <v>KG</v>
      </c>
      <c r="J60" s="12">
        <f>'NUTRICION NT'!H58</f>
        <v>468</v>
      </c>
      <c r="K60" s="8">
        <v>200</v>
      </c>
    </row>
    <row r="61" spans="1:11" ht="20.25" customHeight="1" thickBot="1">
      <c r="A61" s="45">
        <v>50</v>
      </c>
      <c r="B61" s="46" t="str">
        <f>'NUTRICION NT'!B59</f>
        <v>2.1.1-669.27</v>
      </c>
      <c r="C61" s="118" t="str">
        <f>'NUTRICION NT'!E59</f>
        <v>PANES; TIPO: MIÑON, PRESENTACION: GRANEL</v>
      </c>
      <c r="D61" s="118"/>
      <c r="E61" s="118"/>
      <c r="F61" s="118"/>
      <c r="G61" s="118"/>
      <c r="H61" s="47" t="s">
        <v>241</v>
      </c>
      <c r="I61" s="48" t="str">
        <f>'NUTRICION NT'!F59</f>
        <v>KG</v>
      </c>
      <c r="J61" s="12">
        <f>'NUTRICION NT'!H59</f>
        <v>184.8</v>
      </c>
      <c r="K61" s="8">
        <v>3000</v>
      </c>
    </row>
    <row r="62" spans="1:11" ht="20.25" customHeight="1" thickBot="1">
      <c r="A62" s="45">
        <v>51</v>
      </c>
      <c r="B62" s="46" t="str">
        <f>'NUTRICION NT'!B60</f>
        <v>2.1.1-669.51</v>
      </c>
      <c r="C62" s="118" t="str">
        <f>'NUTRICION NT'!E60</f>
        <v>PANES; TIPO: FRANCES, PRESENTACION: UNIDAD</v>
      </c>
      <c r="D62" s="118"/>
      <c r="E62" s="118"/>
      <c r="F62" s="118"/>
      <c r="G62" s="118"/>
      <c r="H62" s="47" t="s">
        <v>241</v>
      </c>
      <c r="I62" s="48" t="str">
        <f>'NUTRICION NT'!F60</f>
        <v>UNIDAD</v>
      </c>
      <c r="J62" s="12">
        <f>'NUTRICION NT'!H60</f>
        <v>25.2</v>
      </c>
      <c r="K62" s="8">
        <v>3000</v>
      </c>
    </row>
    <row r="63" spans="1:11" ht="20.25" customHeight="1" thickBot="1">
      <c r="A63" s="45">
        <v>52</v>
      </c>
      <c r="B63" s="46" t="str">
        <f>'NUTRICION NT'!B61</f>
        <v>2.1.1-669.1</v>
      </c>
      <c r="C63" s="118" t="str">
        <f>'NUTRICION NT'!E61</f>
        <v>PANES; PRESENTACION: GRANEL, TIPO: SALVADO</v>
      </c>
      <c r="D63" s="118"/>
      <c r="E63" s="118"/>
      <c r="F63" s="118"/>
      <c r="G63" s="118"/>
      <c r="H63" s="47" t="s">
        <v>241</v>
      </c>
      <c r="I63" s="48" t="str">
        <f>'NUTRICION NT'!F61</f>
        <v>UNIDAD</v>
      </c>
      <c r="J63" s="12">
        <f>'NUTRICION NT'!H61</f>
        <v>25.2</v>
      </c>
      <c r="K63" s="8">
        <v>3000</v>
      </c>
    </row>
    <row r="64" spans="1:11" ht="20.25" customHeight="1" thickBot="1">
      <c r="A64" s="45">
        <v>53</v>
      </c>
      <c r="B64" s="46" t="str">
        <f>'NUTRICION NT'!B62</f>
        <v>2.1.1-669.37</v>
      </c>
      <c r="C64" s="118" t="str">
        <f>'NUTRICION NT'!E62</f>
        <v>PANES; TIPO: RALLADO, PRESENTACION: BOLSA X 5 Kg</v>
      </c>
      <c r="D64" s="118"/>
      <c r="E64" s="118"/>
      <c r="F64" s="118"/>
      <c r="G64" s="118"/>
      <c r="H64" s="47" t="s">
        <v>241</v>
      </c>
      <c r="I64" s="48" t="str">
        <f>'NUTRICION NT'!F62</f>
        <v>BOLSAS</v>
      </c>
      <c r="J64" s="12">
        <f>'NUTRICION NT'!H62</f>
        <v>186</v>
      </c>
      <c r="K64" s="8">
        <v>27</v>
      </c>
    </row>
    <row r="65" spans="1:11" ht="20.25" customHeight="1" thickBot="1">
      <c r="A65" s="45">
        <v>54</v>
      </c>
      <c r="B65" s="46" t="str">
        <f>'NUTRICION NT'!B63</f>
        <v>2.1.1-2430.1</v>
      </c>
      <c r="C65" s="118" t="str">
        <f>'NUTRICION NT'!E63</f>
        <v>PREPIZZA; GUSTO: TOMATE, TAMAÑO: MEDIANO</v>
      </c>
      <c r="D65" s="118"/>
      <c r="E65" s="118"/>
      <c r="F65" s="118"/>
      <c r="G65" s="118"/>
      <c r="H65" s="47" t="s">
        <v>241</v>
      </c>
      <c r="I65" s="48" t="str">
        <f>'NUTRICION NT'!F63</f>
        <v>UNIDAD</v>
      </c>
      <c r="J65" s="12">
        <f>'NUTRICION NT'!H63</f>
        <v>80.400000000000006</v>
      </c>
      <c r="K65" s="8">
        <v>120</v>
      </c>
    </row>
    <row r="66" spans="1:11" ht="20.25" customHeight="1" thickBot="1">
      <c r="A66" s="45">
        <v>55</v>
      </c>
      <c r="B66" s="46" t="str">
        <f>'NUTRICION NT'!B64</f>
        <v>2.1.1-518.32</v>
      </c>
      <c r="C66" s="118" t="str">
        <f>'NUTRICION NT'!E64</f>
        <v>TORTAS; TIPO: PIONONO, PESO: 180 GR</v>
      </c>
      <c r="D66" s="118"/>
      <c r="E66" s="118"/>
      <c r="F66" s="118"/>
      <c r="G66" s="118"/>
      <c r="H66" s="47" t="s">
        <v>241</v>
      </c>
      <c r="I66" s="48" t="str">
        <f>'NUTRICION NT'!F64</f>
        <v>UNIDAD</v>
      </c>
      <c r="J66" s="12">
        <f>'NUTRICION NT'!H64</f>
        <v>444</v>
      </c>
      <c r="K66" s="8">
        <v>20</v>
      </c>
    </row>
    <row r="67" spans="1:11" ht="36" customHeight="1" thickBot="1">
      <c r="A67" s="45">
        <v>56</v>
      </c>
      <c r="B67" s="46" t="str">
        <f>'NUTRICION NT'!B65</f>
        <v>2.1.1-788.229</v>
      </c>
      <c r="C67" s="118" t="str">
        <f>'NUTRICION NT'!E65</f>
        <v>GALLETITAS; VARIEDAD: VAINILLA, RELLENO: SIN, PRESENTACION: ENVASE X 792 GR, ELEM. TRANSPORTE: SIN, MATERIAL ELEM. TRANSPORTE: SIN, LIBRE DE GLUTEN: NO</v>
      </c>
      <c r="D67" s="118"/>
      <c r="E67" s="118"/>
      <c r="F67" s="118"/>
      <c r="G67" s="118"/>
      <c r="H67" s="47" t="s">
        <v>241</v>
      </c>
      <c r="I67" s="48" t="str">
        <f>'NUTRICION NT'!F65</f>
        <v>PAQUETES</v>
      </c>
      <c r="J67" s="12">
        <f>'NUTRICION NT'!H65</f>
        <v>324</v>
      </c>
      <c r="K67" s="8">
        <v>35</v>
      </c>
    </row>
    <row r="68" spans="1:11" ht="39.75" customHeight="1" thickBot="1">
      <c r="A68" s="45">
        <v>57</v>
      </c>
      <c r="B68" s="46" t="str">
        <f>'NUTRICION NT'!B66</f>
        <v>2.1.1-788.224</v>
      </c>
      <c r="C68" s="118" t="str">
        <f>'NUTRICION NT'!E66</f>
        <v>GALLETITAS; VARIEDAD: SALADA, RELLENO: SIN, PRESENTACION: ENVASE X 275 GR, ELEM. TRANSPORTE: SIN, MATERIAL ELEM. TRANSPORTE: SIN, LIBRE DE GLUTEN: SI</v>
      </c>
      <c r="D68" s="118"/>
      <c r="E68" s="118"/>
      <c r="F68" s="118"/>
      <c r="G68" s="118"/>
      <c r="H68" s="47" t="s">
        <v>241</v>
      </c>
      <c r="I68" s="48" t="str">
        <f>'NUTRICION NT'!F66</f>
        <v>PAQUETES</v>
      </c>
      <c r="J68" s="12">
        <f>'NUTRICION NT'!H66</f>
        <v>96</v>
      </c>
      <c r="K68" s="8">
        <v>20</v>
      </c>
    </row>
    <row r="69" spans="1:11" ht="50.25" customHeight="1" thickBot="1">
      <c r="A69" s="45">
        <v>58</v>
      </c>
      <c r="B69" s="46" t="str">
        <f>'NUTRICION NT'!B67</f>
        <v>2.1.1-6546.34</v>
      </c>
      <c r="C69" s="118" t="str">
        <f>'NUTRICION NT'!E67</f>
        <v>VERDURAS Y HORTALIZAS; VARIEDAD: ACELGA, ESTADO: EN HOJA, PRESENTACION: ATADO, PESO: SIN VALOR</v>
      </c>
      <c r="D69" s="118"/>
      <c r="E69" s="118"/>
      <c r="F69" s="118"/>
      <c r="G69" s="118"/>
      <c r="H69" s="47" t="s">
        <v>241</v>
      </c>
      <c r="I69" s="48" t="str">
        <f>'NUTRICION NT'!F67</f>
        <v>ATADOS</v>
      </c>
      <c r="J69" s="12">
        <f>'NUTRICION NT'!H67</f>
        <v>25.6</v>
      </c>
      <c r="K69" s="8">
        <v>2700</v>
      </c>
    </row>
    <row r="70" spans="1:11" ht="42" customHeight="1" thickBot="1">
      <c r="A70" s="45">
        <v>59</v>
      </c>
      <c r="B70" s="46" t="str">
        <f>'NUTRICION NT'!B68</f>
        <v>2.1.1-6546.166</v>
      </c>
      <c r="C70" s="118" t="str">
        <f>'NUTRICION NT'!E68</f>
        <v>VERDURAS Y HORTALIZAS; PRESENTACION: GRANEL, VARIEDAD: ZANAHORIA, ESTADO: NATURAL, PESO: SIN VALOR</v>
      </c>
      <c r="D70" s="118"/>
      <c r="E70" s="118"/>
      <c r="F70" s="118"/>
      <c r="G70" s="118"/>
      <c r="H70" s="47" t="s">
        <v>241</v>
      </c>
      <c r="I70" s="48" t="str">
        <f>'NUTRICION NT'!F68</f>
        <v>BOLSAS</v>
      </c>
      <c r="J70" s="12">
        <f>'NUTRICION NT'!H68</f>
        <v>1620</v>
      </c>
      <c r="K70" s="8">
        <v>60</v>
      </c>
    </row>
    <row r="71" spans="1:11" ht="37.5" customHeight="1" thickBot="1">
      <c r="A71" s="45">
        <v>60</v>
      </c>
      <c r="B71" s="46" t="str">
        <f>'NUTRICION NT'!B69</f>
        <v>2.1.1-6546.151</v>
      </c>
      <c r="C71" s="118" t="str">
        <f>'NUTRICION NT'!E69</f>
        <v>VERDURAS Y HORTALIZAS; VARIEDAD: ZAPALLITO REDONDO, ESTADO: NATURAL, PRESENTACION: CAJON, PESO: SIN VALOR</v>
      </c>
      <c r="D71" s="118"/>
      <c r="E71" s="118"/>
      <c r="F71" s="118"/>
      <c r="G71" s="118"/>
      <c r="H71" s="47" t="s">
        <v>241</v>
      </c>
      <c r="I71" s="48" t="str">
        <f>'NUTRICION NT'!F69</f>
        <v>CAJON</v>
      </c>
      <c r="J71" s="12">
        <f>'NUTRICION NT'!H69</f>
        <v>1500</v>
      </c>
      <c r="K71" s="8">
        <v>60</v>
      </c>
    </row>
    <row r="72" spans="1:11" ht="42.75" customHeight="1" thickBot="1">
      <c r="A72" s="45">
        <v>61</v>
      </c>
      <c r="B72" s="46" t="str">
        <f>'NUTRICION NT'!B70</f>
        <v>2.1.1-6546.100</v>
      </c>
      <c r="C72" s="118" t="str">
        <f>'NUTRICION NT'!E70</f>
        <v>VERDURAS Y HORTALIZAS; ESTADO: NATURAL, PRESENTACION: GRANEL, VARIEDAD: PAPA BLANCA, PESO: SIN VALOR</v>
      </c>
      <c r="D72" s="118"/>
      <c r="E72" s="118"/>
      <c r="F72" s="118"/>
      <c r="G72" s="118"/>
      <c r="H72" s="47" t="s">
        <v>241</v>
      </c>
      <c r="I72" s="48" t="str">
        <f>'NUTRICION NT'!F70</f>
        <v>BOLSAS</v>
      </c>
      <c r="J72" s="12">
        <f>'NUTRICION NT'!H70</f>
        <v>1080</v>
      </c>
      <c r="K72" s="8">
        <v>60</v>
      </c>
    </row>
    <row r="73" spans="1:11" ht="37.5" customHeight="1" thickBot="1">
      <c r="A73" s="45">
        <v>62</v>
      </c>
      <c r="B73" s="46" t="str">
        <f>'NUTRICION NT'!B71</f>
        <v>2.1.1-6546.49</v>
      </c>
      <c r="C73" s="118" t="str">
        <f>'NUTRICION NT'!E71</f>
        <v>VERDURAS Y HORTALIZAS; VARIEDAD: CHAUCHA, PRESENTACION: GRANEL, ESTADO: NATURAL, PESO: SIN VALOR</v>
      </c>
      <c r="D73" s="118"/>
      <c r="E73" s="118"/>
      <c r="F73" s="118"/>
      <c r="G73" s="118"/>
      <c r="H73" s="47" t="s">
        <v>241</v>
      </c>
      <c r="I73" s="48" t="str">
        <f>'NUTRICION NT'!F71</f>
        <v>KG</v>
      </c>
      <c r="J73" s="12">
        <f>'NUTRICION NT'!H71</f>
        <v>288</v>
      </c>
      <c r="K73" s="8">
        <v>200</v>
      </c>
    </row>
    <row r="74" spans="1:11" ht="42.75" customHeight="1" thickBot="1">
      <c r="A74" s="45">
        <v>63</v>
      </c>
      <c r="B74" s="46" t="str">
        <f>'NUTRICION NT'!B72</f>
        <v>2.1.1-6546.2</v>
      </c>
      <c r="C74" s="118" t="str">
        <f>'NUTRICION NT'!E72</f>
        <v>VERDURAS Y HORTALIZAS; VARIEDAD: TOMATE REDONDO, ESTADO: NATURAL, PRESENTACION: GRANEL, PESO: SIN VALOR</v>
      </c>
      <c r="D74" s="118"/>
      <c r="E74" s="118"/>
      <c r="F74" s="118"/>
      <c r="G74" s="118"/>
      <c r="H74" s="47" t="s">
        <v>241</v>
      </c>
      <c r="I74" s="48" t="str">
        <f>'NUTRICION NT'!F72</f>
        <v>CAJON</v>
      </c>
      <c r="J74" s="12">
        <f>'NUTRICION NT'!H72</f>
        <v>1530</v>
      </c>
      <c r="K74" s="8">
        <v>60</v>
      </c>
    </row>
    <row r="75" spans="1:11" ht="43.5" customHeight="1" thickBot="1">
      <c r="A75" s="45">
        <v>64</v>
      </c>
      <c r="B75" s="46" t="str">
        <f>'NUTRICION NT'!B73</f>
        <v>2.1.1-6546.39</v>
      </c>
      <c r="C75" s="118" t="str">
        <f>'NUTRICION NT'!E73</f>
        <v>VERDURAS Y HORTALIZAS; VARIEDAD: CEBOLLA, ESTADO: NATURAL, PRESENTACION: BOLSA, PESO: 25 Kg</v>
      </c>
      <c r="D75" s="118"/>
      <c r="E75" s="118"/>
      <c r="F75" s="118"/>
      <c r="G75" s="118"/>
      <c r="H75" s="47" t="s">
        <v>241</v>
      </c>
      <c r="I75" s="48" t="str">
        <f>'NUTRICION NT'!F73</f>
        <v>BOLSAS</v>
      </c>
      <c r="J75" s="12">
        <f>'NUTRICION NT'!H73</f>
        <v>1020</v>
      </c>
      <c r="K75" s="8">
        <v>40</v>
      </c>
    </row>
    <row r="76" spans="1:11" ht="32.25" customHeight="1" thickBot="1">
      <c r="A76" s="45">
        <v>65</v>
      </c>
      <c r="B76" s="46" t="str">
        <f>'NUTRICION NT'!B74</f>
        <v>2.1.1-6546.47</v>
      </c>
      <c r="C76" s="118" t="str">
        <f>'NUTRICION NT'!E74</f>
        <v>VERDURAS Y HORTALIZAS; VARIEDAD: CEBOLLA DE VERDEO, ESTADO: NATURAL, PRESENTACION: GRANEL, PESO: SIN VALOR</v>
      </c>
      <c r="D76" s="118"/>
      <c r="E76" s="118"/>
      <c r="F76" s="118"/>
      <c r="G76" s="118"/>
      <c r="H76" s="47" t="s">
        <v>241</v>
      </c>
      <c r="I76" s="48" t="str">
        <f>'NUTRICION NT'!F74</f>
        <v>ATADOS</v>
      </c>
      <c r="J76" s="12">
        <f>'NUTRICION NT'!H74</f>
        <v>96</v>
      </c>
      <c r="K76" s="8">
        <v>100</v>
      </c>
    </row>
    <row r="77" spans="1:11" ht="42" customHeight="1" thickBot="1">
      <c r="A77" s="45">
        <v>66</v>
      </c>
      <c r="B77" s="46" t="str">
        <f>'NUTRICION NT'!B75</f>
        <v>2.1.1-6546.124</v>
      </c>
      <c r="C77" s="118" t="str">
        <f>'NUTRICION NT'!E75</f>
        <v>VERDURAS Y HORTALIZAS; PESO: SIN VALOR, VARIEDAD: REMOLACHA, ESTADO: NATURAL, PRESENTACION: GRANEL</v>
      </c>
      <c r="D77" s="118"/>
      <c r="E77" s="118"/>
      <c r="F77" s="118"/>
      <c r="G77" s="118"/>
      <c r="H77" s="47" t="s">
        <v>241</v>
      </c>
      <c r="I77" s="48" t="str">
        <f>'NUTRICION NT'!F75</f>
        <v>ATADOS</v>
      </c>
      <c r="J77" s="12">
        <f>'NUTRICION NT'!H75</f>
        <v>306</v>
      </c>
      <c r="K77" s="8">
        <v>120</v>
      </c>
    </row>
    <row r="78" spans="1:11" ht="37.5" customHeight="1" thickBot="1">
      <c r="A78" s="45">
        <v>67</v>
      </c>
      <c r="B78" s="46" t="str">
        <f>'NUTRICION NT'!B76</f>
        <v>2.1.1-6546.231</v>
      </c>
      <c r="C78" s="118" t="str">
        <f>'NUTRICION NT'!E76</f>
        <v>VERDURAS Y HORTALIZAS; VARIEDAD: ZAPALLO ANCO, ESTADO: NATURAL, PRESENTACION: BOLSA, PESO: 20 Kg</v>
      </c>
      <c r="D78" s="118"/>
      <c r="E78" s="118"/>
      <c r="F78" s="118"/>
      <c r="G78" s="118"/>
      <c r="H78" s="47" t="s">
        <v>241</v>
      </c>
      <c r="I78" s="48" t="str">
        <f>'NUTRICION NT'!F76</f>
        <v>BOLSAS</v>
      </c>
      <c r="J78" s="12">
        <f>'NUTRICION NT'!H76</f>
        <v>900</v>
      </c>
      <c r="K78" s="8">
        <v>120</v>
      </c>
    </row>
    <row r="79" spans="1:11" ht="32.25" customHeight="1" thickBot="1">
      <c r="A79" s="45">
        <v>68</v>
      </c>
      <c r="B79" s="46" t="str">
        <f>'NUTRICION NT'!B77</f>
        <v>2.1.1-6546.162</v>
      </c>
      <c r="C79" s="118" t="str">
        <f>'NUTRICION NT'!E77</f>
        <v>VERDURAS Y HORTALIZAS; VARIEDAD: ZAPALLO CRIOLLO, ESTADO: NATURAL, PRESENTACION: UNIDAD, PESO: SIN VALOR</v>
      </c>
      <c r="D79" s="118"/>
      <c r="E79" s="118"/>
      <c r="F79" s="118"/>
      <c r="G79" s="118"/>
      <c r="H79" s="47" t="s">
        <v>241</v>
      </c>
      <c r="I79" s="48" t="str">
        <f>'NUTRICION NT'!F77</f>
        <v>KG</v>
      </c>
      <c r="J79" s="12">
        <f>'NUTRICION NT'!H77</f>
        <v>66</v>
      </c>
      <c r="K79" s="8">
        <v>400</v>
      </c>
    </row>
    <row r="80" spans="1:11" ht="37.5" customHeight="1" thickBot="1">
      <c r="A80" s="45">
        <v>69</v>
      </c>
      <c r="B80" s="46" t="str">
        <f>'NUTRICION NT'!B78</f>
        <v>2.1.1-6546.132</v>
      </c>
      <c r="C80" s="118" t="str">
        <f>'NUTRICION NT'!E78</f>
        <v>VERDURAS Y HORTALIZAS; VARIEDAD: PEREJIL, ESTADO: NATURAL, PRESENTACION: GRANEL, PESO: SIN VALOR</v>
      </c>
      <c r="D80" s="118"/>
      <c r="E80" s="118"/>
      <c r="F80" s="118"/>
      <c r="G80" s="118"/>
      <c r="H80" s="47" t="s">
        <v>241</v>
      </c>
      <c r="I80" s="48" t="str">
        <f>'NUTRICION NT'!F78</f>
        <v>KG</v>
      </c>
      <c r="J80" s="12">
        <f>'NUTRICION NT'!H78</f>
        <v>108</v>
      </c>
      <c r="K80" s="8">
        <v>40</v>
      </c>
    </row>
    <row r="81" spans="1:11" ht="40.5" customHeight="1" thickBot="1">
      <c r="A81" s="45">
        <v>70</v>
      </c>
      <c r="B81" s="46" t="str">
        <f>'NUTRICION NT'!B79</f>
        <v>2.1.1-6546.95</v>
      </c>
      <c r="C81" s="118" t="str">
        <f>'NUTRICION NT'!E79</f>
        <v>VERDURAS Y HORTALIZAS; VARIEDAD: MORRON VERDE, ESTADO: NATURAL, PRESENTACION: GRANEL, PESO: SIN VALOR</v>
      </c>
      <c r="D81" s="118"/>
      <c r="E81" s="118"/>
      <c r="F81" s="118"/>
      <c r="G81" s="118"/>
      <c r="H81" s="47" t="s">
        <v>241</v>
      </c>
      <c r="I81" s="48" t="str">
        <f>'NUTRICION NT'!F79</f>
        <v>CAJON</v>
      </c>
      <c r="J81" s="12">
        <f>'NUTRICION NT'!H79</f>
        <v>1140</v>
      </c>
      <c r="K81" s="8">
        <v>40</v>
      </c>
    </row>
    <row r="82" spans="1:11" ht="40.5" customHeight="1" thickBot="1">
      <c r="A82" s="45">
        <v>71</v>
      </c>
      <c r="B82" s="46" t="str">
        <f>'NUTRICION NT'!B80</f>
        <v>2.1.1-6546.89</v>
      </c>
      <c r="C82" s="118" t="str">
        <f>'NUTRICION NT'!E80</f>
        <v>VERDURAS Y HORTALIZAS; VARIEDAD: LECHUGA, ESTADO: NATURAL, PRESENTACION: GRANEL, PESO: SIN VALOR</v>
      </c>
      <c r="D82" s="118"/>
      <c r="E82" s="118"/>
      <c r="F82" s="118"/>
      <c r="G82" s="118"/>
      <c r="H82" s="47" t="s">
        <v>241</v>
      </c>
      <c r="I82" s="48" t="str">
        <f>'NUTRICION NT'!F80</f>
        <v>KG</v>
      </c>
      <c r="J82" s="12">
        <f>'NUTRICION NT'!H80</f>
        <v>78</v>
      </c>
      <c r="K82" s="8">
        <v>40</v>
      </c>
    </row>
    <row r="83" spans="1:11" ht="37.5" customHeight="1" thickBot="1">
      <c r="A83" s="45">
        <v>72</v>
      </c>
      <c r="B83" s="46" t="str">
        <f>'NUTRICION NT'!B81</f>
        <v>2.1.1-6539.20</v>
      </c>
      <c r="C83" s="118" t="str">
        <f>'NUTRICION NT'!E81</f>
        <v>FRUTAS; ESTADO: NATURAL, VARIEDAD: MANZANA RED DELICIOSA, PRESENTACION: CAJON, PESO: SIN VALOR</v>
      </c>
      <c r="D83" s="118"/>
      <c r="E83" s="118"/>
      <c r="F83" s="118"/>
      <c r="G83" s="118"/>
      <c r="H83" s="47" t="s">
        <v>241</v>
      </c>
      <c r="I83" s="48" t="str">
        <f>'NUTRICION NT'!F81</f>
        <v>CAJON</v>
      </c>
      <c r="J83" s="12">
        <f>'NUTRICION NT'!H81</f>
        <v>2580</v>
      </c>
      <c r="K83" s="8">
        <v>80</v>
      </c>
    </row>
    <row r="84" spans="1:11" ht="20.25" customHeight="1" thickBot="1">
      <c r="A84" s="45">
        <v>73</v>
      </c>
      <c r="B84" s="46" t="str">
        <f>'NUTRICION NT'!B82</f>
        <v>2.1.1-6539.30</v>
      </c>
      <c r="C84" s="118" t="str">
        <f>'NUTRICION NT'!E82</f>
        <v>FRUTAS; VARIEDAD: BANANA, PRESENTACION: CAJON, ESTADO: NATURAL, PESO: SIN VALOR</v>
      </c>
      <c r="D84" s="118"/>
      <c r="E84" s="118"/>
      <c r="F84" s="118"/>
      <c r="G84" s="118"/>
      <c r="H84" s="47" t="s">
        <v>241</v>
      </c>
      <c r="I84" s="48" t="str">
        <f>'NUTRICION NT'!F82</f>
        <v>CAJON</v>
      </c>
      <c r="J84" s="12">
        <f>'NUTRICION NT'!H82</f>
        <v>2640</v>
      </c>
      <c r="K84" s="8">
        <v>80</v>
      </c>
    </row>
    <row r="85" spans="1:11" ht="30.75" customHeight="1" thickBot="1">
      <c r="A85" s="45">
        <v>74</v>
      </c>
      <c r="B85" s="46" t="str">
        <f>'NUTRICION NT'!B83</f>
        <v>2.1.1-6539.8</v>
      </c>
      <c r="C85" s="118" t="str">
        <f>'NUTRICION NT'!E83</f>
        <v>FRUTAS; VARIEDAD: NARANJA ESPECIAL, ESTADO: NATURAL, PRESENTACION: CAJON, PESO: SIN VALOR</v>
      </c>
      <c r="D85" s="118"/>
      <c r="E85" s="118"/>
      <c r="F85" s="118"/>
      <c r="G85" s="118"/>
      <c r="H85" s="47" t="s">
        <v>241</v>
      </c>
      <c r="I85" s="48" t="str">
        <f>'NUTRICION NT'!F83</f>
        <v>CAJON</v>
      </c>
      <c r="J85" s="12">
        <f>'NUTRICION NT'!H83</f>
        <v>900</v>
      </c>
      <c r="K85" s="8">
        <v>60</v>
      </c>
    </row>
    <row r="86" spans="1:11" ht="20.25" customHeight="1" thickBot="1">
      <c r="A86" s="45">
        <v>75</v>
      </c>
      <c r="B86" s="46" t="str">
        <f>'NUTRICION NT'!B84</f>
        <v>2.1.1-6539.32</v>
      </c>
      <c r="C86" s="118" t="str">
        <f>'NUTRICION NT'!E84</f>
        <v>FRUTAS; VARIEDAD: PERA AMARILLA, ESTADO: NATURAL, PRESENTACION: CAJON, PESO: SIN VALOR</v>
      </c>
      <c r="D86" s="118"/>
      <c r="E86" s="118"/>
      <c r="F86" s="118"/>
      <c r="G86" s="118"/>
      <c r="H86" s="47" t="s">
        <v>241</v>
      </c>
      <c r="I86" s="48" t="str">
        <f>'NUTRICION NT'!F84</f>
        <v>CAJON</v>
      </c>
      <c r="J86" s="12">
        <f>'NUTRICION NT'!H84</f>
        <v>2520</v>
      </c>
      <c r="K86" s="8">
        <v>80</v>
      </c>
    </row>
    <row r="87" spans="1:11" ht="36" customHeight="1" thickBot="1">
      <c r="A87" s="45">
        <v>76</v>
      </c>
      <c r="B87" s="46" t="str">
        <f>'NUTRICION NT'!B85</f>
        <v>2.1.1-6539.187</v>
      </c>
      <c r="C87" s="118" t="str">
        <f>'NUTRICION NT'!E85</f>
        <v>FRUTAS; VARIEDAD: LIMON, ESTADO: NATURAL, PRESENTACION: CAJON, ELEM. TRANSPORTE: SIN, MATERIAL ELEM. TRANSPORTE: SIN, ORGANICO: NO</v>
      </c>
      <c r="D87" s="118"/>
      <c r="E87" s="118"/>
      <c r="F87" s="118"/>
      <c r="G87" s="118"/>
      <c r="H87" s="47" t="s">
        <v>241</v>
      </c>
      <c r="I87" s="48" t="str">
        <f>'NUTRICION NT'!F85</f>
        <v>CAJON</v>
      </c>
      <c r="J87" s="12">
        <f>'NUTRICION NT'!H85</f>
        <v>900</v>
      </c>
      <c r="K87" s="8">
        <v>40</v>
      </c>
    </row>
    <row r="88" spans="1:11" ht="20.25" customHeight="1" thickBot="1">
      <c r="A88" s="45">
        <v>77</v>
      </c>
      <c r="B88" s="46" t="str">
        <f>'NUTRICION NT'!B86</f>
        <v>2.1.1-541.27</v>
      </c>
      <c r="C88" s="118" t="str">
        <f>'NUTRICION NT'!E86</f>
        <v>CARNES; ESPECIE: VACUNA, CORTE: CUADRIL, TIPO: VACUNA</v>
      </c>
      <c r="D88" s="118"/>
      <c r="E88" s="118"/>
      <c r="F88" s="118"/>
      <c r="G88" s="118"/>
      <c r="H88" s="47" t="s">
        <v>241</v>
      </c>
      <c r="I88" s="48" t="str">
        <f>'NUTRICION NT'!F86</f>
        <v>KG</v>
      </c>
      <c r="J88" s="12">
        <f>'NUTRICION NT'!H86</f>
        <v>750</v>
      </c>
      <c r="K88" s="8">
        <v>400</v>
      </c>
    </row>
    <row r="89" spans="1:11" ht="20.25" customHeight="1" thickBot="1">
      <c r="A89" s="45">
        <v>78</v>
      </c>
      <c r="B89" s="46" t="str">
        <f>'NUTRICION NT'!B87</f>
        <v>2.1.1-541.49</v>
      </c>
      <c r="C89" s="118" t="str">
        <f>'NUTRICION NT'!E87</f>
        <v>CARNES; ESPECIE: VACUNA, CORTE: NALGA, TIPO: VACUNA</v>
      </c>
      <c r="D89" s="118"/>
      <c r="E89" s="118"/>
      <c r="F89" s="118"/>
      <c r="G89" s="118"/>
      <c r="H89" s="47" t="s">
        <v>241</v>
      </c>
      <c r="I89" s="48" t="str">
        <f>'NUTRICION NT'!F87</f>
        <v>KG</v>
      </c>
      <c r="J89" s="12">
        <f>'NUTRICION NT'!H87</f>
        <v>750</v>
      </c>
      <c r="K89" s="8">
        <v>200</v>
      </c>
    </row>
    <row r="90" spans="1:11" ht="20.25" customHeight="1" thickBot="1">
      <c r="A90" s="45">
        <v>79</v>
      </c>
      <c r="B90" s="46" t="str">
        <f>'NUTRICION NT'!B88</f>
        <v>2.1.1-541.7</v>
      </c>
      <c r="C90" s="118" t="str">
        <f>'NUTRICION NT'!E88</f>
        <v>CARNES; ESPECIE: VACUNA, CORTE: PICADA ESPECIAL, TIPO: VACUNA</v>
      </c>
      <c r="D90" s="118"/>
      <c r="E90" s="118"/>
      <c r="F90" s="118"/>
      <c r="G90" s="118"/>
      <c r="H90" s="47" t="s">
        <v>241</v>
      </c>
      <c r="I90" s="48" t="str">
        <f>'NUTRICION NT'!F88</f>
        <v>KG</v>
      </c>
      <c r="J90" s="12">
        <f>'NUTRICION NT'!H88</f>
        <v>600</v>
      </c>
      <c r="K90" s="8">
        <v>300</v>
      </c>
    </row>
    <row r="91" spans="1:11" ht="20.25" customHeight="1" thickBot="1">
      <c r="A91" s="45">
        <v>80</v>
      </c>
      <c r="B91" s="46" t="str">
        <f>'NUTRICION NT'!B89</f>
        <v>2.1.1-541.70</v>
      </c>
      <c r="C91" s="118" t="str">
        <f>'NUTRICION NT'!E89</f>
        <v>CARNES; CORTE: CARRE CON LOMO, TIPO: PORCINA, ESPECIE: PORCINA</v>
      </c>
      <c r="D91" s="118"/>
      <c r="E91" s="118"/>
      <c r="F91" s="118"/>
      <c r="G91" s="118"/>
      <c r="H91" s="47" t="s">
        <v>241</v>
      </c>
      <c r="I91" s="48" t="str">
        <f>'NUTRICION NT'!F89</f>
        <v>KG</v>
      </c>
      <c r="J91" s="12">
        <f>'NUTRICION NT'!H89</f>
        <v>450</v>
      </c>
      <c r="K91" s="8">
        <v>60</v>
      </c>
    </row>
    <row r="92" spans="1:11" ht="20.25" customHeight="1" thickBot="1">
      <c r="A92" s="45">
        <v>81</v>
      </c>
      <c r="B92" s="46" t="str">
        <f>'NUTRICION NT'!B90</f>
        <v>2.1.1-541.164</v>
      </c>
      <c r="C92" s="118" t="str">
        <f>'NUTRICION NT'!E90</f>
        <v>CARNES; TIPO: PORCINA, CORTE: COSTELETA</v>
      </c>
      <c r="D92" s="118"/>
      <c r="E92" s="118"/>
      <c r="F92" s="118"/>
      <c r="G92" s="118"/>
      <c r="H92" s="47" t="s">
        <v>241</v>
      </c>
      <c r="I92" s="48" t="str">
        <f>'NUTRICION NT'!F90</f>
        <v>KG</v>
      </c>
      <c r="J92" s="12">
        <f>'NUTRICION NT'!H90</f>
        <v>450</v>
      </c>
      <c r="K92" s="8">
        <v>60</v>
      </c>
    </row>
    <row r="93" spans="1:11" ht="56.25" customHeight="1" thickBot="1">
      <c r="A93" s="45">
        <v>82</v>
      </c>
      <c r="B93" s="46" t="str">
        <f>'NUTRICION NT'!B91</f>
        <v>2.1.1-542.212</v>
      </c>
      <c r="C93" s="118" t="str">
        <f>'NUTRICION NT'!E91</f>
        <v>QUESOS; TIPO: CUARTIROLO, PRESENTACION: HORMA, ELEM. TRANSPORTE: SIN, MATERIAL ELEM. TRANSPORTE: SIN, MATERIAL ENVASE: SIN, CERTIFICADO FORESTAL (GFS): SIN, LIBRE DE GLUTEN: SI</v>
      </c>
      <c r="D93" s="118"/>
      <c r="E93" s="118"/>
      <c r="F93" s="118"/>
      <c r="G93" s="118"/>
      <c r="H93" s="47" t="s">
        <v>241</v>
      </c>
      <c r="I93" s="48" t="str">
        <f>'NUTRICION NT'!F91</f>
        <v>KG</v>
      </c>
      <c r="J93" s="12">
        <f>'NUTRICION NT'!H91</f>
        <v>348</v>
      </c>
      <c r="K93" s="8">
        <v>140</v>
      </c>
    </row>
    <row r="94" spans="1:11" ht="43.5" customHeight="1" thickBot="1">
      <c r="A94" s="45">
        <v>83</v>
      </c>
      <c r="B94" s="46" t="str">
        <f>'NUTRICION NT'!B92</f>
        <v>2.1.1-542.197</v>
      </c>
      <c r="C94" s="118" t="str">
        <f>'NUTRICION NT'!E92</f>
        <v>QUESOS; TIPO: TYBO, PRESENTACION: HORMA, ELEM. TRANSPORTE: SIN, MATERIAL ELEM. TRANSPORTE: SIN, MATERIAL ENVASE: PLASTICO, CERTIFICADO FORESTAL (GFS): SIN, LIBRE DE GLUTEN: NO</v>
      </c>
      <c r="D94" s="118"/>
      <c r="E94" s="118"/>
      <c r="F94" s="118"/>
      <c r="G94" s="118"/>
      <c r="H94" s="47" t="s">
        <v>241</v>
      </c>
      <c r="I94" s="48" t="str">
        <f>'NUTRICION NT'!F92</f>
        <v>KG</v>
      </c>
      <c r="J94" s="12">
        <f>'NUTRICION NT'!H92</f>
        <v>384</v>
      </c>
      <c r="K94" s="8">
        <v>60</v>
      </c>
    </row>
    <row r="95" spans="1:11" ht="48.75" customHeight="1" thickBot="1">
      <c r="A95" s="45">
        <v>84</v>
      </c>
      <c r="B95" s="46" t="str">
        <f>'NUTRICION NT'!B93</f>
        <v>2.1.1-542.207</v>
      </c>
      <c r="C95" s="118" t="str">
        <f>'NUTRICION NT'!E93</f>
        <v>QUESOS; TIPO: SARDO, PRESENTACION: HORMA X 3 Kg, ELEM. TRANSPORTE: SIN, MATERIAL ELEM. TRANSPORTE: SIN, MATERIAL ENVASE: SIN, CERTIFICADO FORESTAL (GFS): SIN, LIBRE DE GLUTEN: NO</v>
      </c>
      <c r="D95" s="118"/>
      <c r="E95" s="118"/>
      <c r="F95" s="118"/>
      <c r="G95" s="118"/>
      <c r="H95" s="47" t="s">
        <v>241</v>
      </c>
      <c r="I95" s="48" t="str">
        <f>'NUTRICION NT'!F93</f>
        <v>HORMA</v>
      </c>
      <c r="J95" s="12">
        <f>'NUTRICION NT'!H93</f>
        <v>504</v>
      </c>
      <c r="K95" s="8">
        <v>50</v>
      </c>
    </row>
    <row r="96" spans="1:11" ht="20.25" customHeight="1" thickBot="1">
      <c r="A96" s="45">
        <v>85</v>
      </c>
      <c r="B96" s="46" t="str">
        <f>'NUTRICION NT'!B94</f>
        <v>2.1.1-969.35</v>
      </c>
      <c r="C96" s="118" t="str">
        <f>'NUTRICION NT'!E94</f>
        <v>FIAMBRES; TIPO: JAMON COCIDO ITALIANO, PRESENTACION: AL PESO</v>
      </c>
      <c r="D96" s="118"/>
      <c r="E96" s="118"/>
      <c r="F96" s="118"/>
      <c r="G96" s="118"/>
      <c r="H96" s="47" t="s">
        <v>241</v>
      </c>
      <c r="I96" s="48" t="str">
        <f>'NUTRICION NT'!F94</f>
        <v>KG</v>
      </c>
      <c r="J96" s="12">
        <f>'NUTRICION NT'!H94</f>
        <v>499.87</v>
      </c>
      <c r="K96" s="8">
        <v>70</v>
      </c>
    </row>
    <row r="97" spans="1:1024" ht="20.25" customHeight="1" thickBot="1">
      <c r="A97" s="45">
        <v>86</v>
      </c>
      <c r="B97" s="46" t="str">
        <f>'NUTRICION NT'!B95</f>
        <v>2.1.1-4975.2</v>
      </c>
      <c r="C97" s="118" t="str">
        <f>'NUTRICION NT'!E95</f>
        <v>RICOTA; ENVASE: PAQUETE, PESO: 1 Kg, SABOR: SIN</v>
      </c>
      <c r="D97" s="118"/>
      <c r="E97" s="118"/>
      <c r="F97" s="118"/>
      <c r="G97" s="118"/>
      <c r="H97" s="47" t="s">
        <v>241</v>
      </c>
      <c r="I97" s="48" t="str">
        <f>'NUTRICION NT'!F95</f>
        <v>KG</v>
      </c>
      <c r="J97" s="12">
        <f>'NUTRICION NT'!H95</f>
        <v>391.2</v>
      </c>
      <c r="K97" s="8">
        <v>20</v>
      </c>
    </row>
    <row r="98" spans="1:1024" ht="32.25" customHeight="1" thickBot="1">
      <c r="A98" s="45">
        <v>87</v>
      </c>
      <c r="B98" s="46" t="str">
        <f>'NUTRICION NT'!B96</f>
        <v>2.1.1-707.32</v>
      </c>
      <c r="C98" s="118" t="str">
        <f>'NUTRICION NT'!E96</f>
        <v>PASTAS FRESCAS; VARIEDAD: RAVIOL, RELLENO: RICOTA Y ACELGA, PRESENTACION: 2 PLANCHA X 24 UN</v>
      </c>
      <c r="D98" s="118"/>
      <c r="E98" s="118"/>
      <c r="F98" s="118"/>
      <c r="G98" s="118"/>
      <c r="H98" s="47" t="s">
        <v>241</v>
      </c>
      <c r="I98" s="48" t="str">
        <f>'NUTRICION NT'!F96</f>
        <v>CAJA/BOLSA</v>
      </c>
      <c r="J98" s="12">
        <f>'NUTRICION NT'!H96</f>
        <v>96.18</v>
      </c>
      <c r="K98" s="8">
        <v>260</v>
      </c>
    </row>
    <row r="99" spans="1:1024" ht="20.25" customHeight="1" thickBot="1">
      <c r="A99" s="45">
        <v>88</v>
      </c>
      <c r="B99" s="46" t="str">
        <f>'NUTRICION NT'!B97</f>
        <v>2.1.1-2429.1</v>
      </c>
      <c r="C99" s="118" t="str">
        <f>'NUTRICION NT'!E97</f>
        <v>TAPAS P/TARTAS; TIPO: REDONDA, MASA: CASERA, PRESENTACION: BOLSA</v>
      </c>
      <c r="D99" s="118"/>
      <c r="E99" s="118"/>
      <c r="F99" s="118"/>
      <c r="G99" s="118"/>
      <c r="H99" s="47" t="s">
        <v>241</v>
      </c>
      <c r="I99" s="48" t="str">
        <f>'NUTRICION NT'!F97</f>
        <v>PAQUETE</v>
      </c>
      <c r="J99" s="12">
        <f>'NUTRICION NT'!H97</f>
        <v>73.63</v>
      </c>
      <c r="K99" s="8">
        <v>240</v>
      </c>
    </row>
    <row r="100" spans="1:1024" ht="20.25" customHeight="1" thickBot="1">
      <c r="A100" s="45">
        <v>89</v>
      </c>
      <c r="B100" s="46" t="str">
        <f>'NUTRICION NT'!B98</f>
        <v>2.1.1-2610.1</v>
      </c>
      <c r="C100" s="118" t="str">
        <f>'NUTRICION NT'!E98</f>
        <v>TAPAS P/EMPANADAS; TIPO: P/HORNO, PRESENTACION: BOLSA X 12</v>
      </c>
      <c r="D100" s="118"/>
      <c r="E100" s="118"/>
      <c r="F100" s="118"/>
      <c r="G100" s="118"/>
      <c r="H100" s="47" t="s">
        <v>241</v>
      </c>
      <c r="I100" s="48" t="str">
        <f>'NUTRICION NT'!F98</f>
        <v>PAQUETE</v>
      </c>
      <c r="J100" s="12">
        <f>'NUTRICION NT'!H98</f>
        <v>38.4</v>
      </c>
      <c r="K100" s="8">
        <v>160</v>
      </c>
    </row>
    <row r="101" spans="1:1024" ht="35.25" customHeight="1" thickBot="1">
      <c r="A101" s="45">
        <v>90</v>
      </c>
      <c r="B101" s="46" t="str">
        <f>'NUTRICION NT'!B99</f>
        <v>2.1.1-456.79</v>
      </c>
      <c r="C101" s="118" t="str">
        <f>'NUTRICION NT'!E99</f>
        <v>YOGHURT; TIPO: DESCREMADO, AGREGADO: SIN, CONSISTENCIA: FIRME, SABOR: VAINILLA, PRESENTACION: POTE PLASTICO X 200 GR</v>
      </c>
      <c r="D101" s="118"/>
      <c r="E101" s="118"/>
      <c r="F101" s="118"/>
      <c r="G101" s="118"/>
      <c r="H101" s="47" t="s">
        <v>241</v>
      </c>
      <c r="I101" s="48" t="str">
        <f>'NUTRICION NT'!F99</f>
        <v>UNIDAD</v>
      </c>
      <c r="J101" s="12">
        <f>'NUTRICION NT'!H99</f>
        <v>51.56</v>
      </c>
      <c r="K101" s="8">
        <v>800</v>
      </c>
    </row>
    <row r="102" spans="1:1024" ht="45" customHeight="1" thickBot="1">
      <c r="A102" s="45">
        <v>91</v>
      </c>
      <c r="B102" s="46" t="str">
        <f>'NUTRICION NT'!B100</f>
        <v>2.1.1-455.16</v>
      </c>
      <c r="C102" s="118" t="str">
        <f>'NUTRICION NT'!E100</f>
        <v>DULCE DE LECHE; ENVASE: DE CARTON, CAPACIDAD: 5000 GR, TIPO: DE REPOSTERIA, PRESENTACION: ENVASE DE CARTON X 5 Kg</v>
      </c>
      <c r="D102" s="118"/>
      <c r="E102" s="118"/>
      <c r="F102" s="118"/>
      <c r="G102" s="118"/>
      <c r="H102" s="47" t="s">
        <v>241</v>
      </c>
      <c r="I102" s="48" t="str">
        <f>'NUTRICION NT'!F100</f>
        <v>UNIDAD</v>
      </c>
      <c r="J102" s="12">
        <f>'NUTRICION NT'!H100</f>
        <v>1068.54</v>
      </c>
      <c r="K102" s="8">
        <v>3</v>
      </c>
    </row>
    <row r="103" spans="1:1024" ht="20.25" customHeight="1" thickBot="1">
      <c r="A103" s="120" t="s">
        <v>297</v>
      </c>
      <c r="B103" s="120"/>
      <c r="C103" s="120"/>
      <c r="D103" s="120"/>
      <c r="E103" s="120"/>
      <c r="F103" s="120"/>
      <c r="G103" s="120"/>
      <c r="H103" s="120"/>
      <c r="I103" s="120"/>
      <c r="J103" s="121">
        <f>SUMPRODUCT(J12:J102,K12:K102)</f>
        <v>4598032.7700000005</v>
      </c>
      <c r="K103" s="121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49"/>
      <c r="FF103" s="49"/>
      <c r="FG103" s="49"/>
      <c r="FH103" s="49"/>
      <c r="FI103" s="49"/>
      <c r="FJ103" s="49"/>
      <c r="FK103" s="49"/>
      <c r="FL103" s="49"/>
      <c r="FM103" s="49"/>
      <c r="FN103" s="49"/>
      <c r="FO103" s="49"/>
      <c r="FP103" s="49"/>
      <c r="FQ103" s="49"/>
      <c r="FR103" s="49"/>
      <c r="FS103" s="49"/>
      <c r="FT103" s="49"/>
      <c r="FU103" s="49"/>
      <c r="FV103" s="49"/>
      <c r="FW103" s="49"/>
      <c r="FX103" s="49"/>
      <c r="FY103" s="49"/>
      <c r="FZ103" s="49"/>
      <c r="GA103" s="49"/>
      <c r="GB103" s="49"/>
      <c r="GC103" s="49"/>
      <c r="GD103" s="49"/>
      <c r="GE103" s="49"/>
      <c r="GF103" s="49"/>
      <c r="GG103" s="49"/>
      <c r="GH103" s="49"/>
      <c r="GI103" s="49"/>
      <c r="GJ103" s="49"/>
      <c r="GK103" s="49"/>
      <c r="GL103" s="49"/>
      <c r="GM103" s="49"/>
      <c r="GN103" s="49"/>
      <c r="GO103" s="49"/>
      <c r="GP103" s="49"/>
      <c r="GQ103" s="49"/>
      <c r="GR103" s="49"/>
      <c r="GS103" s="49"/>
      <c r="GT103" s="49"/>
      <c r="GU103" s="49"/>
      <c r="GV103" s="49"/>
      <c r="GW103" s="49"/>
      <c r="GX103" s="49"/>
      <c r="GY103" s="49"/>
      <c r="GZ103" s="49"/>
      <c r="HA103" s="49"/>
      <c r="HB103" s="49"/>
      <c r="HC103" s="49"/>
      <c r="HD103" s="49"/>
      <c r="HE103" s="49"/>
      <c r="HF103" s="49"/>
      <c r="HG103" s="49"/>
      <c r="HH103" s="49"/>
      <c r="HI103" s="49"/>
      <c r="HJ103" s="49"/>
      <c r="HK103" s="49"/>
      <c r="HL103" s="49"/>
      <c r="HM103" s="49"/>
      <c r="HN103" s="49"/>
      <c r="HO103" s="49"/>
      <c r="HP103" s="49"/>
      <c r="HQ103" s="49"/>
      <c r="HR103" s="49"/>
      <c r="HS103" s="49"/>
      <c r="HT103" s="49"/>
      <c r="HU103" s="49"/>
      <c r="HV103" s="49"/>
      <c r="HW103" s="49"/>
      <c r="HX103" s="49"/>
      <c r="HY103" s="49"/>
      <c r="HZ103" s="49"/>
      <c r="IA103" s="49"/>
      <c r="IB103" s="49"/>
      <c r="IC103" s="49"/>
      <c r="ID103" s="49"/>
      <c r="IE103" s="49"/>
      <c r="IF103" s="49"/>
      <c r="IG103" s="49"/>
      <c r="IH103" s="49"/>
      <c r="II103" s="49"/>
      <c r="IJ103" s="49"/>
      <c r="IK103" s="49"/>
      <c r="IL103" s="49"/>
      <c r="IM103" s="49"/>
      <c r="IN103" s="49"/>
      <c r="IO103" s="49"/>
      <c r="IP103" s="49"/>
      <c r="IQ103" s="49"/>
      <c r="IR103" s="49"/>
      <c r="IS103" s="49"/>
      <c r="IT103" s="49"/>
      <c r="IU103" s="49"/>
      <c r="IV103" s="49"/>
      <c r="IW103" s="49"/>
      <c r="IX103" s="49"/>
      <c r="IY103" s="49"/>
      <c r="IZ103" s="49"/>
      <c r="JA103" s="49"/>
      <c r="JB103" s="49"/>
      <c r="JC103" s="49"/>
      <c r="JD103" s="49"/>
      <c r="JE103" s="49"/>
      <c r="JF103" s="49"/>
      <c r="JG103" s="49"/>
      <c r="JH103" s="49"/>
      <c r="JI103" s="49"/>
      <c r="JJ103" s="49"/>
      <c r="JK103" s="49"/>
      <c r="JL103" s="49"/>
      <c r="JM103" s="49"/>
      <c r="JN103" s="49"/>
      <c r="JO103" s="49"/>
      <c r="JP103" s="49"/>
      <c r="JQ103" s="49"/>
      <c r="JR103" s="49"/>
      <c r="JS103" s="49"/>
      <c r="JT103" s="49"/>
      <c r="JU103" s="49"/>
      <c r="JV103" s="49"/>
      <c r="JW103" s="49"/>
      <c r="JX103" s="49"/>
      <c r="JY103" s="49"/>
      <c r="JZ103" s="49"/>
      <c r="KA103" s="49"/>
      <c r="KB103" s="49"/>
      <c r="KC103" s="49"/>
      <c r="KD103" s="49"/>
      <c r="KE103" s="49"/>
      <c r="KF103" s="49"/>
      <c r="KG103" s="49"/>
      <c r="KH103" s="49"/>
      <c r="KI103" s="49"/>
      <c r="KJ103" s="49"/>
      <c r="KK103" s="49"/>
      <c r="KL103" s="49"/>
      <c r="KM103" s="49"/>
      <c r="KN103" s="49"/>
      <c r="KO103" s="49"/>
      <c r="KP103" s="49"/>
      <c r="KQ103" s="49"/>
      <c r="KR103" s="49"/>
      <c r="KS103" s="49"/>
      <c r="KT103" s="49"/>
      <c r="KU103" s="49"/>
      <c r="KV103" s="49"/>
      <c r="KW103" s="49"/>
      <c r="KX103" s="49"/>
      <c r="KY103" s="49"/>
      <c r="KZ103" s="49"/>
      <c r="LA103" s="49"/>
      <c r="LB103" s="49"/>
      <c r="LC103" s="49"/>
      <c r="LD103" s="49"/>
      <c r="LE103" s="49"/>
      <c r="LF103" s="49"/>
      <c r="LG103" s="49"/>
      <c r="LH103" s="49"/>
      <c r="LI103" s="49"/>
      <c r="LJ103" s="49"/>
      <c r="LK103" s="49"/>
      <c r="LL103" s="49"/>
      <c r="LM103" s="49"/>
      <c r="LN103" s="49"/>
      <c r="LO103" s="49"/>
      <c r="LP103" s="49"/>
      <c r="LQ103" s="49"/>
      <c r="LR103" s="49"/>
      <c r="LS103" s="49"/>
      <c r="LT103" s="49"/>
      <c r="LU103" s="49"/>
      <c r="LV103" s="49"/>
      <c r="LW103" s="49"/>
      <c r="LX103" s="49"/>
      <c r="LY103" s="49"/>
      <c r="LZ103" s="49"/>
      <c r="MA103" s="49"/>
      <c r="MB103" s="49"/>
      <c r="MC103" s="49"/>
      <c r="MD103" s="49"/>
      <c r="ME103" s="49"/>
      <c r="MF103" s="49"/>
      <c r="MG103" s="49"/>
      <c r="MH103" s="49"/>
      <c r="MI103" s="49"/>
      <c r="MJ103" s="49"/>
      <c r="MK103" s="49"/>
      <c r="ML103" s="49"/>
      <c r="MM103" s="49"/>
      <c r="MN103" s="49"/>
      <c r="MO103" s="49"/>
      <c r="MP103" s="49"/>
      <c r="MQ103" s="49"/>
      <c r="MR103" s="49"/>
      <c r="MS103" s="49"/>
      <c r="MT103" s="49"/>
      <c r="MU103" s="49"/>
      <c r="MV103" s="49"/>
      <c r="MW103" s="49"/>
      <c r="MX103" s="49"/>
      <c r="MY103" s="49"/>
      <c r="MZ103" s="49"/>
      <c r="NA103" s="49"/>
      <c r="NB103" s="49"/>
      <c r="NC103" s="49"/>
      <c r="ND103" s="49"/>
      <c r="NE103" s="49"/>
      <c r="NF103" s="49"/>
      <c r="NG103" s="49"/>
      <c r="NH103" s="49"/>
      <c r="NI103" s="49"/>
      <c r="NJ103" s="49"/>
      <c r="NK103" s="49"/>
      <c r="NL103" s="49"/>
      <c r="NM103" s="49"/>
      <c r="NN103" s="49"/>
      <c r="NO103" s="49"/>
      <c r="NP103" s="49"/>
      <c r="NQ103" s="49"/>
      <c r="NR103" s="49"/>
      <c r="NS103" s="49"/>
      <c r="NT103" s="49"/>
      <c r="NU103" s="49"/>
      <c r="NV103" s="49"/>
      <c r="NW103" s="49"/>
      <c r="NX103" s="49"/>
      <c r="NY103" s="49"/>
      <c r="NZ103" s="49"/>
      <c r="OA103" s="49"/>
      <c r="OB103" s="49"/>
      <c r="OC103" s="49"/>
      <c r="OD103" s="49"/>
      <c r="OE103" s="49"/>
      <c r="OF103" s="49"/>
      <c r="OG103" s="49"/>
      <c r="OH103" s="49"/>
      <c r="OI103" s="49"/>
      <c r="OJ103" s="49"/>
      <c r="OK103" s="49"/>
      <c r="OL103" s="49"/>
      <c r="OM103" s="49"/>
      <c r="ON103" s="49"/>
      <c r="OO103" s="49"/>
      <c r="OP103" s="49"/>
      <c r="OQ103" s="49"/>
      <c r="OR103" s="49"/>
      <c r="OS103" s="49"/>
      <c r="OT103" s="49"/>
      <c r="OU103" s="49"/>
      <c r="OV103" s="49"/>
      <c r="OW103" s="49"/>
      <c r="OX103" s="49"/>
      <c r="OY103" s="49"/>
      <c r="OZ103" s="49"/>
      <c r="PA103" s="49"/>
      <c r="PB103" s="49"/>
      <c r="PC103" s="49"/>
      <c r="PD103" s="49"/>
      <c r="PE103" s="49"/>
      <c r="PF103" s="49"/>
      <c r="PG103" s="49"/>
      <c r="PH103" s="49"/>
      <c r="PI103" s="49"/>
      <c r="PJ103" s="49"/>
      <c r="PK103" s="49"/>
      <c r="PL103" s="49"/>
      <c r="PM103" s="49"/>
      <c r="PN103" s="49"/>
      <c r="PO103" s="49"/>
      <c r="PP103" s="49"/>
      <c r="PQ103" s="49"/>
      <c r="PR103" s="49"/>
      <c r="PS103" s="49"/>
      <c r="PT103" s="49"/>
      <c r="PU103" s="49"/>
      <c r="PV103" s="49"/>
      <c r="PW103" s="49"/>
      <c r="PX103" s="49"/>
      <c r="PY103" s="49"/>
      <c r="PZ103" s="49"/>
      <c r="QA103" s="49"/>
      <c r="QB103" s="49"/>
      <c r="QC103" s="49"/>
      <c r="QD103" s="49"/>
      <c r="QE103" s="49"/>
      <c r="QF103" s="49"/>
      <c r="QG103" s="49"/>
      <c r="QH103" s="49"/>
      <c r="QI103" s="49"/>
      <c r="QJ103" s="49"/>
      <c r="QK103" s="49"/>
      <c r="QL103" s="49"/>
      <c r="QM103" s="49"/>
      <c r="QN103" s="49"/>
      <c r="QO103" s="49"/>
      <c r="QP103" s="49"/>
      <c r="QQ103" s="49"/>
      <c r="QR103" s="49"/>
      <c r="QS103" s="49"/>
      <c r="QT103" s="49"/>
      <c r="QU103" s="49"/>
      <c r="QV103" s="49"/>
      <c r="QW103" s="49"/>
      <c r="QX103" s="49"/>
      <c r="QY103" s="49"/>
      <c r="QZ103" s="49"/>
      <c r="RA103" s="49"/>
      <c r="RB103" s="49"/>
      <c r="RC103" s="49"/>
      <c r="RD103" s="49"/>
      <c r="RE103" s="49"/>
      <c r="RF103" s="49"/>
      <c r="RG103" s="49"/>
      <c r="RH103" s="49"/>
      <c r="RI103" s="49"/>
      <c r="RJ103" s="49"/>
      <c r="RK103" s="49"/>
      <c r="RL103" s="49"/>
      <c r="RM103" s="49"/>
      <c r="RN103" s="49"/>
      <c r="RO103" s="49"/>
      <c r="RP103" s="49"/>
      <c r="RQ103" s="49"/>
      <c r="RR103" s="49"/>
      <c r="RS103" s="49"/>
      <c r="RT103" s="49"/>
      <c r="RU103" s="49"/>
      <c r="RV103" s="49"/>
      <c r="RW103" s="49"/>
      <c r="RX103" s="49"/>
      <c r="RY103" s="49"/>
      <c r="RZ103" s="49"/>
      <c r="SA103" s="49"/>
      <c r="SB103" s="49"/>
      <c r="SC103" s="49"/>
      <c r="SD103" s="49"/>
      <c r="SE103" s="49"/>
      <c r="SF103" s="49"/>
      <c r="SG103" s="49"/>
      <c r="SH103" s="49"/>
      <c r="SI103" s="49"/>
      <c r="SJ103" s="49"/>
      <c r="SK103" s="49"/>
      <c r="SL103" s="49"/>
      <c r="SM103" s="49"/>
      <c r="SN103" s="49"/>
      <c r="SO103" s="49"/>
      <c r="SP103" s="49"/>
      <c r="SQ103" s="49"/>
      <c r="SR103" s="49"/>
      <c r="SS103" s="49"/>
      <c r="ST103" s="49"/>
      <c r="SU103" s="49"/>
      <c r="SV103" s="49"/>
      <c r="SW103" s="49"/>
      <c r="SX103" s="49"/>
      <c r="SY103" s="49"/>
      <c r="SZ103" s="49"/>
      <c r="TA103" s="49"/>
      <c r="TB103" s="49"/>
      <c r="TC103" s="49"/>
      <c r="TD103" s="49"/>
      <c r="TE103" s="49"/>
      <c r="TF103" s="49"/>
      <c r="TG103" s="49"/>
      <c r="TH103" s="49"/>
      <c r="TI103" s="49"/>
      <c r="TJ103" s="49"/>
      <c r="TK103" s="49"/>
      <c r="TL103" s="49"/>
      <c r="TM103" s="49"/>
      <c r="TN103" s="49"/>
      <c r="TO103" s="49"/>
      <c r="TP103" s="49"/>
      <c r="TQ103" s="49"/>
      <c r="TR103" s="49"/>
      <c r="TS103" s="49"/>
      <c r="TT103" s="49"/>
      <c r="TU103" s="49"/>
      <c r="TV103" s="49"/>
      <c r="TW103" s="49"/>
      <c r="TX103" s="49"/>
      <c r="TY103" s="49"/>
      <c r="TZ103" s="49"/>
      <c r="UA103" s="49"/>
      <c r="UB103" s="49"/>
      <c r="UC103" s="49"/>
      <c r="UD103" s="49"/>
      <c r="UE103" s="49"/>
      <c r="UF103" s="49"/>
      <c r="UG103" s="49"/>
      <c r="UH103" s="49"/>
      <c r="UI103" s="49"/>
      <c r="UJ103" s="49"/>
      <c r="UK103" s="49"/>
      <c r="UL103" s="49"/>
      <c r="UM103" s="49"/>
      <c r="UN103" s="49"/>
      <c r="UO103" s="49"/>
      <c r="UP103" s="49"/>
      <c r="UQ103" s="49"/>
      <c r="UR103" s="49"/>
      <c r="US103" s="49"/>
      <c r="UT103" s="49"/>
      <c r="UU103" s="49"/>
      <c r="UV103" s="49"/>
      <c r="UW103" s="49"/>
      <c r="UX103" s="49"/>
      <c r="UY103" s="49"/>
      <c r="UZ103" s="49"/>
      <c r="VA103" s="49"/>
      <c r="VB103" s="49"/>
      <c r="VC103" s="49"/>
      <c r="VD103" s="49"/>
      <c r="VE103" s="49"/>
      <c r="VF103" s="49"/>
      <c r="VG103" s="49"/>
      <c r="VH103" s="49"/>
      <c r="VI103" s="49"/>
      <c r="VJ103" s="49"/>
      <c r="VK103" s="49"/>
      <c r="VL103" s="49"/>
      <c r="VM103" s="49"/>
      <c r="VN103" s="49"/>
      <c r="VO103" s="49"/>
      <c r="VP103" s="49"/>
      <c r="VQ103" s="49"/>
      <c r="VR103" s="49"/>
      <c r="VS103" s="49"/>
      <c r="VT103" s="49"/>
      <c r="VU103" s="49"/>
      <c r="VV103" s="49"/>
      <c r="VW103" s="49"/>
      <c r="VX103" s="49"/>
      <c r="VY103" s="49"/>
      <c r="VZ103" s="49"/>
      <c r="WA103" s="49"/>
      <c r="WB103" s="49"/>
      <c r="WC103" s="49"/>
      <c r="WD103" s="49"/>
      <c r="WE103" s="49"/>
      <c r="WF103" s="49"/>
      <c r="WG103" s="49"/>
      <c r="WH103" s="49"/>
      <c r="WI103" s="49"/>
      <c r="WJ103" s="49"/>
      <c r="WK103" s="49"/>
      <c r="WL103" s="49"/>
      <c r="WM103" s="49"/>
      <c r="WN103" s="49"/>
      <c r="WO103" s="49"/>
      <c r="WP103" s="49"/>
      <c r="WQ103" s="49"/>
      <c r="WR103" s="49"/>
      <c r="WS103" s="49"/>
      <c r="WT103" s="49"/>
      <c r="WU103" s="49"/>
      <c r="WV103" s="49"/>
      <c r="WW103" s="49"/>
      <c r="WX103" s="49"/>
      <c r="WY103" s="49"/>
      <c r="WZ103" s="49"/>
      <c r="XA103" s="49"/>
      <c r="XB103" s="49"/>
      <c r="XC103" s="49"/>
      <c r="XD103" s="49"/>
      <c r="XE103" s="49"/>
      <c r="XF103" s="49"/>
      <c r="XG103" s="49"/>
      <c r="XH103" s="49"/>
      <c r="XI103" s="49"/>
      <c r="XJ103" s="49"/>
      <c r="XK103" s="49"/>
      <c r="XL103" s="49"/>
      <c r="XM103" s="49"/>
      <c r="XN103" s="49"/>
      <c r="XO103" s="49"/>
      <c r="XP103" s="49"/>
      <c r="XQ103" s="49"/>
      <c r="XR103" s="49"/>
      <c r="XS103" s="49"/>
      <c r="XT103" s="49"/>
      <c r="XU103" s="49"/>
      <c r="XV103" s="49"/>
      <c r="XW103" s="49"/>
      <c r="XX103" s="49"/>
      <c r="XY103" s="49"/>
      <c r="XZ103" s="49"/>
      <c r="YA103" s="49"/>
      <c r="YB103" s="49"/>
      <c r="YC103" s="49"/>
      <c r="YD103" s="49"/>
      <c r="YE103" s="49"/>
      <c r="YF103" s="49"/>
      <c r="YG103" s="49"/>
      <c r="YH103" s="49"/>
      <c r="YI103" s="49"/>
      <c r="YJ103" s="49"/>
      <c r="YK103" s="49"/>
      <c r="YL103" s="49"/>
      <c r="YM103" s="49"/>
      <c r="YN103" s="49"/>
      <c r="YO103" s="49"/>
      <c r="YP103" s="49"/>
      <c r="YQ103" s="49"/>
      <c r="YR103" s="49"/>
      <c r="YS103" s="49"/>
      <c r="YT103" s="49"/>
      <c r="YU103" s="49"/>
      <c r="YV103" s="49"/>
      <c r="YW103" s="49"/>
      <c r="YX103" s="49"/>
      <c r="YY103" s="49"/>
      <c r="YZ103" s="49"/>
      <c r="ZA103" s="49"/>
      <c r="ZB103" s="49"/>
      <c r="ZC103" s="49"/>
      <c r="ZD103" s="49"/>
      <c r="ZE103" s="49"/>
      <c r="ZF103" s="49"/>
      <c r="ZG103" s="49"/>
      <c r="ZH103" s="49"/>
      <c r="ZI103" s="49"/>
      <c r="ZJ103" s="49"/>
      <c r="ZK103" s="49"/>
      <c r="ZL103" s="49"/>
      <c r="ZM103" s="49"/>
      <c r="ZN103" s="49"/>
      <c r="ZO103" s="49"/>
      <c r="ZP103" s="49"/>
      <c r="ZQ103" s="49"/>
      <c r="ZR103" s="49"/>
      <c r="ZS103" s="49"/>
      <c r="ZT103" s="49"/>
      <c r="ZU103" s="49"/>
      <c r="ZV103" s="49"/>
      <c r="ZW103" s="49"/>
      <c r="ZX103" s="49"/>
      <c r="ZY103" s="49"/>
      <c r="ZZ103" s="49"/>
      <c r="AAA103" s="49"/>
      <c r="AAB103" s="49"/>
      <c r="AAC103" s="49"/>
      <c r="AAD103" s="49"/>
      <c r="AAE103" s="49"/>
      <c r="AAF103" s="49"/>
      <c r="AAG103" s="49"/>
      <c r="AAH103" s="49"/>
      <c r="AAI103" s="49"/>
      <c r="AAJ103" s="49"/>
      <c r="AAK103" s="49"/>
      <c r="AAL103" s="49"/>
      <c r="AAM103" s="49"/>
      <c r="AAN103" s="49"/>
      <c r="AAO103" s="49"/>
      <c r="AAP103" s="49"/>
      <c r="AAQ103" s="49"/>
      <c r="AAR103" s="49"/>
      <c r="AAS103" s="49"/>
      <c r="AAT103" s="49"/>
      <c r="AAU103" s="49"/>
      <c r="AAV103" s="49"/>
      <c r="AAW103" s="49"/>
      <c r="AAX103" s="49"/>
      <c r="AAY103" s="49"/>
      <c r="AAZ103" s="49"/>
      <c r="ABA103" s="49"/>
      <c r="ABB103" s="49"/>
      <c r="ABC103" s="49"/>
      <c r="ABD103" s="49"/>
      <c r="ABE103" s="49"/>
      <c r="ABF103" s="49"/>
      <c r="ABG103" s="49"/>
      <c r="ABH103" s="49"/>
      <c r="ABI103" s="49"/>
      <c r="ABJ103" s="49"/>
      <c r="ABK103" s="49"/>
      <c r="ABL103" s="49"/>
      <c r="ABM103" s="49"/>
      <c r="ABN103" s="49"/>
      <c r="ABO103" s="49"/>
      <c r="ABP103" s="49"/>
      <c r="ABQ103" s="49"/>
      <c r="ABR103" s="49"/>
      <c r="ABS103" s="49"/>
      <c r="ABT103" s="49"/>
      <c r="ABU103" s="49"/>
      <c r="ABV103" s="49"/>
      <c r="ABW103" s="49"/>
      <c r="ABX103" s="49"/>
      <c r="ABY103" s="49"/>
      <c r="ABZ103" s="49"/>
      <c r="ACA103" s="49"/>
      <c r="ACB103" s="49"/>
      <c r="ACC103" s="49"/>
      <c r="ACD103" s="49"/>
      <c r="ACE103" s="49"/>
      <c r="ACF103" s="49"/>
      <c r="ACG103" s="49"/>
      <c r="ACH103" s="49"/>
      <c r="ACI103" s="49"/>
      <c r="ACJ103" s="49"/>
      <c r="ACK103" s="49"/>
      <c r="ACL103" s="49"/>
      <c r="ACM103" s="49"/>
      <c r="ACN103" s="49"/>
      <c r="ACO103" s="49"/>
      <c r="ACP103" s="49"/>
      <c r="ACQ103" s="49"/>
      <c r="ACR103" s="49"/>
      <c r="ACS103" s="49"/>
      <c r="ACT103" s="49"/>
      <c r="ACU103" s="49"/>
      <c r="ACV103" s="49"/>
      <c r="ACW103" s="49"/>
      <c r="ACX103" s="49"/>
      <c r="ACY103" s="49"/>
      <c r="ACZ103" s="49"/>
      <c r="ADA103" s="49"/>
      <c r="ADB103" s="49"/>
      <c r="ADC103" s="49"/>
      <c r="ADD103" s="49"/>
      <c r="ADE103" s="49"/>
      <c r="ADF103" s="49"/>
      <c r="ADG103" s="49"/>
      <c r="ADH103" s="49"/>
      <c r="ADI103" s="49"/>
      <c r="ADJ103" s="49"/>
      <c r="ADK103" s="49"/>
      <c r="ADL103" s="49"/>
      <c r="ADM103" s="49"/>
      <c r="ADN103" s="49"/>
      <c r="ADO103" s="49"/>
      <c r="ADP103" s="49"/>
      <c r="ADQ103" s="49"/>
      <c r="ADR103" s="49"/>
      <c r="ADS103" s="49"/>
      <c r="ADT103" s="49"/>
      <c r="ADU103" s="49"/>
      <c r="ADV103" s="49"/>
      <c r="ADW103" s="49"/>
      <c r="ADX103" s="49"/>
      <c r="ADY103" s="49"/>
      <c r="ADZ103" s="49"/>
      <c r="AEA103" s="49"/>
      <c r="AEB103" s="49"/>
      <c r="AEC103" s="49"/>
      <c r="AED103" s="49"/>
      <c r="AEE103" s="49"/>
      <c r="AEF103" s="49"/>
      <c r="AEG103" s="49"/>
      <c r="AEH103" s="49"/>
      <c r="AEI103" s="49"/>
      <c r="AEJ103" s="49"/>
      <c r="AEK103" s="49"/>
      <c r="AEL103" s="49"/>
      <c r="AEM103" s="49"/>
      <c r="AEN103" s="49"/>
      <c r="AEO103" s="49"/>
      <c r="AEP103" s="49"/>
      <c r="AEQ103" s="49"/>
      <c r="AER103" s="49"/>
      <c r="AES103" s="49"/>
      <c r="AET103" s="49"/>
      <c r="AEU103" s="49"/>
      <c r="AEV103" s="49"/>
      <c r="AEW103" s="49"/>
      <c r="AEX103" s="49"/>
      <c r="AEY103" s="49"/>
      <c r="AEZ103" s="49"/>
      <c r="AFA103" s="49"/>
      <c r="AFB103" s="49"/>
      <c r="AFC103" s="49"/>
      <c r="AFD103" s="49"/>
      <c r="AFE103" s="49"/>
      <c r="AFF103" s="49"/>
      <c r="AFG103" s="49"/>
      <c r="AFH103" s="49"/>
      <c r="AFI103" s="49"/>
      <c r="AFJ103" s="49"/>
      <c r="AFK103" s="49"/>
      <c r="AFL103" s="49"/>
      <c r="AFM103" s="49"/>
      <c r="AFN103" s="49"/>
      <c r="AFO103" s="49"/>
      <c r="AFP103" s="49"/>
      <c r="AFQ103" s="49"/>
      <c r="AFR103" s="49"/>
      <c r="AFS103" s="49"/>
      <c r="AFT103" s="49"/>
      <c r="AFU103" s="49"/>
      <c r="AFV103" s="49"/>
      <c r="AFW103" s="49"/>
      <c r="AFX103" s="49"/>
      <c r="AFY103" s="49"/>
      <c r="AFZ103" s="49"/>
      <c r="AGA103" s="49"/>
      <c r="AGB103" s="49"/>
      <c r="AGC103" s="49"/>
      <c r="AGD103" s="49"/>
      <c r="AGE103" s="49"/>
      <c r="AGF103" s="49"/>
      <c r="AGG103" s="49"/>
      <c r="AGH103" s="49"/>
      <c r="AGI103" s="49"/>
      <c r="AGJ103" s="49"/>
      <c r="AGK103" s="49"/>
      <c r="AGL103" s="49"/>
      <c r="AGM103" s="49"/>
      <c r="AGN103" s="49"/>
      <c r="AGO103" s="49"/>
      <c r="AGP103" s="49"/>
      <c r="AGQ103" s="49"/>
      <c r="AGR103" s="49"/>
      <c r="AGS103" s="49"/>
      <c r="AGT103" s="49"/>
      <c r="AGU103" s="49"/>
      <c r="AGV103" s="49"/>
      <c r="AGW103" s="49"/>
      <c r="AGX103" s="49"/>
      <c r="AGY103" s="49"/>
      <c r="AGZ103" s="49"/>
      <c r="AHA103" s="49"/>
      <c r="AHB103" s="49"/>
      <c r="AHC103" s="49"/>
      <c r="AHD103" s="49"/>
      <c r="AHE103" s="49"/>
      <c r="AHF103" s="49"/>
      <c r="AHG103" s="49"/>
      <c r="AHH103" s="49"/>
      <c r="AHI103" s="49"/>
      <c r="AHJ103" s="49"/>
      <c r="AHK103" s="49"/>
      <c r="AHL103" s="49"/>
      <c r="AHM103" s="49"/>
      <c r="AHN103" s="49"/>
      <c r="AHO103" s="49"/>
      <c r="AHP103" s="49"/>
      <c r="AHQ103" s="49"/>
      <c r="AHR103" s="49"/>
      <c r="AHS103" s="49"/>
      <c r="AHT103" s="49"/>
      <c r="AHU103" s="49"/>
      <c r="AHV103" s="49"/>
      <c r="AHW103" s="49"/>
      <c r="AHX103" s="49"/>
      <c r="AHY103" s="49"/>
      <c r="AHZ103" s="49"/>
      <c r="AIA103" s="49"/>
      <c r="AIB103" s="49"/>
      <c r="AIC103" s="49"/>
      <c r="AID103" s="49"/>
      <c r="AIE103" s="49"/>
      <c r="AIF103" s="49"/>
      <c r="AIG103" s="49"/>
      <c r="AIH103" s="49"/>
      <c r="AII103" s="49"/>
      <c r="AIJ103" s="49"/>
      <c r="AIK103" s="49"/>
      <c r="AIL103" s="49"/>
      <c r="AIM103" s="49"/>
      <c r="AIN103" s="49"/>
      <c r="AIO103" s="49"/>
      <c r="AIP103" s="49"/>
      <c r="AIQ103" s="49"/>
      <c r="AIR103" s="49"/>
      <c r="AIS103" s="49"/>
      <c r="AIT103" s="49"/>
      <c r="AIU103" s="49"/>
      <c r="AIV103" s="49"/>
      <c r="AIW103" s="49"/>
      <c r="AIX103" s="49"/>
      <c r="AIY103" s="49"/>
      <c r="AIZ103" s="49"/>
      <c r="AJA103" s="49"/>
      <c r="AJB103" s="49"/>
      <c r="AJC103" s="49"/>
      <c r="AJD103" s="49"/>
      <c r="AJE103" s="49"/>
      <c r="AJF103" s="49"/>
      <c r="AJG103" s="49"/>
      <c r="AJH103" s="49"/>
      <c r="AJI103" s="49"/>
      <c r="AJJ103" s="49"/>
      <c r="AJK103" s="49"/>
      <c r="AJL103" s="49"/>
      <c r="AJM103" s="49"/>
      <c r="AJN103" s="49"/>
      <c r="AJO103" s="49"/>
      <c r="AJP103" s="49"/>
      <c r="AJQ103" s="49"/>
      <c r="AJR103" s="49"/>
      <c r="AJS103" s="49"/>
      <c r="AJT103" s="49"/>
      <c r="AJU103" s="49"/>
      <c r="AJV103" s="49"/>
      <c r="AJW103" s="49"/>
      <c r="AJX103" s="49"/>
      <c r="AJY103" s="49"/>
      <c r="AJZ103" s="49"/>
      <c r="AKA103" s="49"/>
      <c r="AKB103" s="49"/>
      <c r="AKC103" s="49"/>
      <c r="AKD103" s="49"/>
      <c r="AKE103" s="49"/>
      <c r="AKF103" s="49"/>
      <c r="AKG103" s="49"/>
      <c r="AKH103" s="49"/>
      <c r="AKI103" s="49"/>
      <c r="AKJ103" s="49"/>
      <c r="AKK103" s="49"/>
      <c r="AKL103" s="49"/>
      <c r="AKM103" s="49"/>
      <c r="AKN103" s="49"/>
      <c r="AKO103" s="49"/>
      <c r="AKP103" s="49"/>
      <c r="AKQ103" s="49"/>
      <c r="AKR103" s="49"/>
      <c r="AKS103" s="49"/>
      <c r="AKT103" s="49"/>
      <c r="AKU103" s="49"/>
      <c r="AKV103" s="49"/>
      <c r="AKW103" s="49"/>
      <c r="AKX103" s="49"/>
      <c r="AKY103" s="49"/>
      <c r="AKZ103" s="49"/>
      <c r="ALA103" s="49"/>
      <c r="ALB103" s="49"/>
      <c r="ALC103" s="49"/>
      <c r="ALD103" s="49"/>
      <c r="ALE103" s="49"/>
      <c r="ALF103" s="49"/>
      <c r="ALG103" s="49"/>
      <c r="ALH103" s="49"/>
      <c r="ALI103" s="49"/>
      <c r="ALJ103" s="49"/>
      <c r="ALK103" s="49"/>
      <c r="ALL103" s="49"/>
      <c r="ALM103" s="49"/>
      <c r="ALN103" s="49"/>
      <c r="ALO103" s="49"/>
      <c r="ALP103" s="49"/>
      <c r="ALQ103" s="49"/>
      <c r="ALR103" s="49"/>
      <c r="ALS103" s="49"/>
      <c r="ALT103" s="49"/>
      <c r="ALU103" s="49"/>
      <c r="ALV103" s="49"/>
      <c r="ALW103" s="49"/>
      <c r="ALX103" s="49"/>
      <c r="ALY103" s="49"/>
      <c r="ALZ103" s="49"/>
      <c r="AMA103" s="49"/>
      <c r="AMB103" s="49"/>
      <c r="AMC103" s="49"/>
      <c r="AMD103" s="49"/>
      <c r="AME103" s="49"/>
      <c r="AMF103" s="49"/>
      <c r="AMG103" s="49"/>
      <c r="AMH103" s="49"/>
      <c r="AMI103" s="49"/>
      <c r="AMJ103" s="49"/>
    </row>
  </sheetData>
  <mergeCells count="113">
    <mergeCell ref="C101:G101"/>
    <mergeCell ref="C102:G102"/>
    <mergeCell ref="A103:I103"/>
    <mergeCell ref="J103:K103"/>
    <mergeCell ref="C95:G95"/>
    <mergeCell ref="C96:G96"/>
    <mergeCell ref="C97:G97"/>
    <mergeCell ref="C98:G98"/>
    <mergeCell ref="C99:G99"/>
    <mergeCell ref="C100:G100"/>
    <mergeCell ref="C89:G89"/>
    <mergeCell ref="C90:G90"/>
    <mergeCell ref="C91:G91"/>
    <mergeCell ref="C92:G92"/>
    <mergeCell ref="C93:G93"/>
    <mergeCell ref="C94:G94"/>
    <mergeCell ref="C83:G83"/>
    <mergeCell ref="C84:G84"/>
    <mergeCell ref="C85:G85"/>
    <mergeCell ref="C86:G86"/>
    <mergeCell ref="C87:G87"/>
    <mergeCell ref="C88:G88"/>
    <mergeCell ref="C77:G77"/>
    <mergeCell ref="C78:G78"/>
    <mergeCell ref="C79:G79"/>
    <mergeCell ref="C80:G80"/>
    <mergeCell ref="C81:G81"/>
    <mergeCell ref="C82:G82"/>
    <mergeCell ref="C71:G71"/>
    <mergeCell ref="C72:G72"/>
    <mergeCell ref="C73:G73"/>
    <mergeCell ref="C74:G74"/>
    <mergeCell ref="C75:G75"/>
    <mergeCell ref="C76:G76"/>
    <mergeCell ref="C65:G65"/>
    <mergeCell ref="C66:G66"/>
    <mergeCell ref="C67:G67"/>
    <mergeCell ref="C68:G68"/>
    <mergeCell ref="C69:G69"/>
    <mergeCell ref="C70:G70"/>
    <mergeCell ref="C59:G59"/>
    <mergeCell ref="C60:G60"/>
    <mergeCell ref="C61:G61"/>
    <mergeCell ref="C62:G62"/>
    <mergeCell ref="C63:G63"/>
    <mergeCell ref="C64:G64"/>
    <mergeCell ref="C53:G53"/>
    <mergeCell ref="C54:G54"/>
    <mergeCell ref="C55:G55"/>
    <mergeCell ref="C56:G56"/>
    <mergeCell ref="C57:G57"/>
    <mergeCell ref="C58:G58"/>
    <mergeCell ref="C47:G47"/>
    <mergeCell ref="C48:G48"/>
    <mergeCell ref="C49:G49"/>
    <mergeCell ref="C50:G50"/>
    <mergeCell ref="C51:G51"/>
    <mergeCell ref="C52:G52"/>
    <mergeCell ref="C41:G41"/>
    <mergeCell ref="C42:G42"/>
    <mergeCell ref="C43:G43"/>
    <mergeCell ref="C44:G44"/>
    <mergeCell ref="C45:G45"/>
    <mergeCell ref="C46:G46"/>
    <mergeCell ref="C35:G35"/>
    <mergeCell ref="C36:G36"/>
    <mergeCell ref="C37:G37"/>
    <mergeCell ref="C38:G38"/>
    <mergeCell ref="C39:G39"/>
    <mergeCell ref="C40:G40"/>
    <mergeCell ref="C29:G29"/>
    <mergeCell ref="C30:G30"/>
    <mergeCell ref="C31:G31"/>
    <mergeCell ref="C32:G32"/>
    <mergeCell ref="C33:G33"/>
    <mergeCell ref="C34:G34"/>
    <mergeCell ref="C23:G23"/>
    <mergeCell ref="C24:G24"/>
    <mergeCell ref="C25:G25"/>
    <mergeCell ref="C26:G26"/>
    <mergeCell ref="C27:G27"/>
    <mergeCell ref="C28:G28"/>
    <mergeCell ref="C17:G17"/>
    <mergeCell ref="C18:G18"/>
    <mergeCell ref="C19:G19"/>
    <mergeCell ref="C20:G20"/>
    <mergeCell ref="C21:G21"/>
    <mergeCell ref="C22:G22"/>
    <mergeCell ref="K10:K11"/>
    <mergeCell ref="C12:G12"/>
    <mergeCell ref="C13:G13"/>
    <mergeCell ref="C14:G14"/>
    <mergeCell ref="C15:G15"/>
    <mergeCell ref="C16:G16"/>
    <mergeCell ref="A1:I1"/>
    <mergeCell ref="A3:C3"/>
    <mergeCell ref="D3:K3"/>
    <mergeCell ref="A4:C4"/>
    <mergeCell ref="D4:K4"/>
    <mergeCell ref="A5:C5"/>
    <mergeCell ref="D5:K5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view="pageBreakPreview" zoomScaleNormal="130" zoomScaleSheetLayoutView="100" workbookViewId="0">
      <selection activeCell="A8" sqref="A8:Q8"/>
    </sheetView>
  </sheetViews>
  <sheetFormatPr baseColWidth="10" defaultColWidth="11" defaultRowHeight="13.2"/>
  <cols>
    <col min="1" max="4" width="4.44140625" style="49" customWidth="1"/>
    <col min="5" max="5" width="4.109375" style="49" customWidth="1"/>
    <col min="6" max="6" width="5.109375" style="49" customWidth="1"/>
    <col min="7" max="7" width="4.44140625" style="52" customWidth="1"/>
    <col min="8" max="14" width="4.44140625" style="49" customWidth="1"/>
    <col min="15" max="16" width="14.88671875" style="49" customWidth="1"/>
    <col min="17" max="17" width="14.6640625" style="49" customWidth="1"/>
    <col min="18" max="18" width="11" style="49"/>
    <col min="19" max="19" width="13.33203125" style="49" bestFit="1" customWidth="1"/>
    <col min="20" max="16384" width="11" style="49"/>
  </cols>
  <sheetData>
    <row r="1" spans="1:17" ht="15.75" customHeight="1" thickBot="1">
      <c r="A1" s="126" t="s">
        <v>5</v>
      </c>
      <c r="B1" s="126"/>
      <c r="C1" s="126"/>
      <c r="D1" s="127">
        <f>'[1]Necesidades Trimestrales'!C6</f>
        <v>2021</v>
      </c>
      <c r="E1" s="127"/>
      <c r="F1" s="50"/>
      <c r="G1" s="50"/>
      <c r="H1" s="51"/>
      <c r="I1" s="51"/>
      <c r="J1" s="51"/>
      <c r="K1" s="51"/>
      <c r="L1" s="51"/>
      <c r="M1" s="51"/>
      <c r="N1" s="51"/>
      <c r="P1" s="128" t="s">
        <v>242</v>
      </c>
      <c r="Q1" s="128"/>
    </row>
    <row r="2" spans="1:17" ht="15.75" customHeight="1" thickBot="1">
      <c r="H2" s="51"/>
      <c r="I2" s="51"/>
      <c r="J2" s="51"/>
      <c r="K2" s="51"/>
      <c r="L2" s="51"/>
      <c r="M2" s="51"/>
      <c r="N2" s="51"/>
      <c r="P2" s="128"/>
      <c r="Q2" s="128"/>
    </row>
    <row r="4" spans="1:17" s="53" customFormat="1" ht="18" customHeight="1" thickBot="1">
      <c r="A4" s="129" t="s">
        <v>243</v>
      </c>
      <c r="B4" s="129"/>
      <c r="C4" s="129"/>
      <c r="D4" s="129"/>
      <c r="E4" s="129"/>
      <c r="F4" s="129"/>
      <c r="G4" s="125" t="str">
        <f>'NUTRICION NT'!C4</f>
        <v>40 - 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53" customFormat="1" ht="18" customHeight="1" thickBot="1">
      <c r="A5" s="122" t="s">
        <v>227</v>
      </c>
      <c r="B5" s="123"/>
      <c r="C5" s="123"/>
      <c r="D5" s="123"/>
      <c r="E5" s="123"/>
      <c r="F5" s="124"/>
      <c r="G5" s="125" t="str">
        <f>'NUTRICION NT'!C5</f>
        <v>23 - Hospital Interzonal San Juan Bautista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53" customFormat="1" ht="18" customHeight="1" thickBot="1">
      <c r="A6" s="122" t="s">
        <v>228</v>
      </c>
      <c r="B6" s="123"/>
      <c r="C6" s="123"/>
      <c r="D6" s="123"/>
      <c r="E6" s="123"/>
      <c r="F6" s="124"/>
      <c r="G6" s="125" t="str">
        <f>'NUTRICION NPYE '!D5</f>
        <v>168 - Direccion Asistencial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53" customFormat="1" ht="18" customHeight="1" thickBot="1">
      <c r="A7" s="122" t="s">
        <v>230</v>
      </c>
      <c r="B7" s="123"/>
      <c r="C7" s="123"/>
      <c r="D7" s="123"/>
      <c r="E7" s="123"/>
      <c r="F7" s="124"/>
      <c r="G7" s="125" t="str">
        <f>'NUTRICION NPYE '!D6</f>
        <v>Servicio de Nutrición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>
      <c r="A8" s="131" t="s">
        <v>244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>
      <c r="A9" s="132" t="s">
        <v>245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54"/>
      <c r="P9" s="54"/>
      <c r="Q9" s="55"/>
    </row>
    <row r="10" spans="1:17" ht="54.75" customHeight="1">
      <c r="A10" s="133" t="str">
        <f>"Autorizo la realización de los  trámites correspondientes, a fin de proveer a  este Organismo los bienes y/o servicios que se detallan en Nota de Pedido N° " &amp; '[2]NUTRICION NPYE 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372 - 2020,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thickBot="1">
      <c r="A11" s="56"/>
      <c r="B11" s="57"/>
      <c r="C11" s="57"/>
      <c r="D11" s="57"/>
      <c r="E11" s="57"/>
      <c r="F11" s="57"/>
      <c r="G11" s="58"/>
      <c r="H11" s="57"/>
      <c r="I11" s="57"/>
      <c r="J11" s="57"/>
      <c r="K11" s="57"/>
      <c r="L11" s="57"/>
      <c r="M11" s="57"/>
      <c r="N11" s="57"/>
      <c r="O11" s="57"/>
      <c r="P11" s="57"/>
      <c r="Q11" s="59"/>
    </row>
    <row r="12" spans="1:17" ht="15.75" customHeight="1" thickBot="1">
      <c r="A12" s="134" t="s">
        <v>246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thickBot="1">
      <c r="A13" s="135" t="s">
        <v>247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 t="s">
        <v>248</v>
      </c>
      <c r="P13" s="136"/>
      <c r="Q13" s="137" t="s">
        <v>249</v>
      </c>
    </row>
    <row r="14" spans="1:17" ht="15.75" customHeight="1" thickBot="1">
      <c r="A14" s="60" t="s">
        <v>250</v>
      </c>
      <c r="B14" s="61" t="s">
        <v>251</v>
      </c>
      <c r="C14" s="61" t="s">
        <v>252</v>
      </c>
      <c r="D14" s="61" t="s">
        <v>253</v>
      </c>
      <c r="E14" s="61" t="s">
        <v>254</v>
      </c>
      <c r="F14" s="61" t="s">
        <v>255</v>
      </c>
      <c r="G14" s="62" t="s">
        <v>256</v>
      </c>
      <c r="H14" s="61" t="s">
        <v>257</v>
      </c>
      <c r="I14" s="61" t="s">
        <v>258</v>
      </c>
      <c r="J14" s="61" t="s">
        <v>259</v>
      </c>
      <c r="K14" s="61" t="s">
        <v>259</v>
      </c>
      <c r="L14" s="61" t="s">
        <v>260</v>
      </c>
      <c r="M14" s="63" t="s">
        <v>261</v>
      </c>
      <c r="N14" s="64" t="s">
        <v>262</v>
      </c>
      <c r="O14" s="136"/>
      <c r="P14" s="136"/>
      <c r="Q14" s="137"/>
    </row>
    <row r="15" spans="1:17" ht="17.25" customHeight="1">
      <c r="A15" s="65">
        <v>33</v>
      </c>
      <c r="B15" s="66"/>
      <c r="C15" s="66"/>
      <c r="D15" s="66">
        <v>2</v>
      </c>
      <c r="E15" s="66"/>
      <c r="F15" s="66">
        <v>4901</v>
      </c>
      <c r="G15" s="66">
        <v>3</v>
      </c>
      <c r="H15" s="66" t="s">
        <v>263</v>
      </c>
      <c r="I15" s="67">
        <v>2</v>
      </c>
      <c r="J15" s="67">
        <v>1</v>
      </c>
      <c r="K15" s="67">
        <v>1</v>
      </c>
      <c r="L15" s="66"/>
      <c r="M15" s="68">
        <v>1</v>
      </c>
      <c r="N15" s="66" t="s">
        <v>264</v>
      </c>
      <c r="O15" s="130" t="s">
        <v>265</v>
      </c>
      <c r="P15" s="130"/>
      <c r="Q15" s="69">
        <v>4598032.7699999996</v>
      </c>
    </row>
    <row r="16" spans="1:17" ht="17.25" customHeight="1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2"/>
      <c r="N16" s="73"/>
      <c r="O16" s="139"/>
      <c r="P16" s="139"/>
      <c r="Q16" s="74"/>
    </row>
    <row r="17" spans="1:19" ht="17.25" customHeight="1">
      <c r="A17" s="70"/>
      <c r="B17" s="71"/>
      <c r="C17" s="71"/>
      <c r="D17" s="71"/>
      <c r="E17" s="71"/>
      <c r="F17" s="73"/>
      <c r="G17" s="71"/>
      <c r="H17" s="71"/>
      <c r="I17" s="71"/>
      <c r="J17" s="71"/>
      <c r="K17" s="71"/>
      <c r="L17" s="71"/>
      <c r="M17" s="72"/>
      <c r="N17" s="73"/>
      <c r="O17" s="139"/>
      <c r="P17" s="139"/>
      <c r="Q17" s="74"/>
      <c r="S17" s="75"/>
    </row>
    <row r="18" spans="1:19" ht="17.25" customHeight="1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2"/>
      <c r="N18" s="73"/>
      <c r="O18" s="140"/>
      <c r="P18" s="140"/>
      <c r="Q18" s="74"/>
    </row>
    <row r="19" spans="1:19" ht="17.25" customHeight="1">
      <c r="A19" s="70"/>
      <c r="B19" s="71"/>
      <c r="C19" s="71"/>
      <c r="D19" s="71"/>
      <c r="E19" s="71"/>
      <c r="F19" s="73"/>
      <c r="G19" s="71"/>
      <c r="H19" s="71"/>
      <c r="I19" s="71"/>
      <c r="J19" s="71"/>
      <c r="K19" s="71"/>
      <c r="L19" s="71"/>
      <c r="M19" s="72"/>
      <c r="N19" s="73"/>
      <c r="O19" s="140"/>
      <c r="P19" s="140"/>
      <c r="Q19" s="74"/>
    </row>
    <row r="20" spans="1:19" ht="17.25" customHeight="1">
      <c r="A20" s="70"/>
      <c r="B20" s="71"/>
      <c r="C20" s="71"/>
      <c r="D20" s="71"/>
      <c r="E20" s="71"/>
      <c r="F20" s="73"/>
      <c r="G20" s="71"/>
      <c r="H20" s="71"/>
      <c r="I20" s="71"/>
      <c r="J20" s="71"/>
      <c r="K20" s="71"/>
      <c r="L20" s="71"/>
      <c r="M20" s="72"/>
      <c r="N20" s="73"/>
      <c r="O20" s="140"/>
      <c r="P20" s="140"/>
      <c r="Q20" s="74"/>
    </row>
    <row r="21" spans="1:19" ht="17.25" customHeight="1">
      <c r="A21" s="76"/>
      <c r="B21" s="77"/>
      <c r="C21" s="77"/>
      <c r="D21" s="77"/>
      <c r="E21" s="77"/>
      <c r="F21" s="78"/>
      <c r="G21" s="77"/>
      <c r="H21" s="77"/>
      <c r="I21" s="77"/>
      <c r="J21" s="77"/>
      <c r="K21" s="77"/>
      <c r="L21" s="77"/>
      <c r="M21" s="79"/>
      <c r="N21" s="80"/>
      <c r="O21" s="141"/>
      <c r="P21" s="141"/>
      <c r="Q21" s="74"/>
      <c r="R21" s="54"/>
    </row>
    <row r="22" spans="1:19" ht="17.25" customHeight="1" thickBot="1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3"/>
      <c r="N22" s="82"/>
      <c r="O22" s="142"/>
      <c r="P22" s="142"/>
      <c r="Q22" s="84"/>
    </row>
    <row r="23" spans="1:19" ht="20.25" customHeight="1" thickBot="1">
      <c r="A23" s="143" t="s">
        <v>298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85">
        <f>SUM(Q15:Q22)</f>
        <v>4598032.7699999996</v>
      </c>
    </row>
    <row r="24" spans="1:19" ht="18" customHeight="1" thickBot="1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9" ht="17.25" customHeight="1" thickBot="1">
      <c r="A25" s="145" t="s">
        <v>266</v>
      </c>
      <c r="B25" s="146"/>
      <c r="C25" s="146"/>
      <c r="D25" s="146"/>
      <c r="E25" s="146"/>
      <c r="F25" s="147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</row>
    <row r="26" spans="1:19" ht="18" customHeight="1" thickBot="1">
      <c r="A26" s="138" t="str">
        <f>"Para la "&amp; '[2]NUTRICION NPYE '!D8 &amp;" para ser destinados al " &amp; '[2]NUTRICION NPYE '!D6 &amp;"  del HISJB del Ministerio de Salud."</f>
        <v>Para la Adquisición de Alimentos Perecederos  y no Perecederos para ser destinados al Servicio de Nutrición  del HISJB del Ministerio de Salud.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  <row r="27" spans="1:19" ht="15" customHeight="1" thickBo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NUTRICION NT</vt:lpstr>
      <vt:lpstr>NUTRICION NPYE </vt:lpstr>
      <vt:lpstr>NUTRICION APG </vt:lpstr>
      <vt:lpstr>'NUTRICION APG '!Área_de_impresión</vt:lpstr>
      <vt:lpstr>'NUTRICION NPYE '!Área_de_impresión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dcterms:created xsi:type="dcterms:W3CDTF">2021-02-08T13:52:38Z</dcterms:created>
  <dcterms:modified xsi:type="dcterms:W3CDTF">2021-02-12T14:42:30Z</dcterms:modified>
</cp:coreProperties>
</file>