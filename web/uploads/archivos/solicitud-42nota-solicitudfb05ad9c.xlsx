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10 - EX-2022-00974380-   -CAT-SA#MS\"/>
    </mc:Choice>
  </mc:AlternateContent>
  <bookViews>
    <workbookView xWindow="120" yWindow="105" windowWidth="20730" windowHeight="11760"/>
  </bookViews>
  <sheets>
    <sheet name="PEDIDO" sheetId="4" r:id="rId1"/>
    <sheet name="NP" sheetId="2" r:id="rId2"/>
    <sheet name="APG" sheetId="3" r:id="rId3"/>
  </sheets>
  <calcPr calcId="162913"/>
</workbook>
</file>

<file path=xl/calcChain.xml><?xml version="1.0" encoding="utf-8"?>
<calcChain xmlns="http://schemas.openxmlformats.org/spreadsheetml/2006/main">
  <c r="J19" i="2" l="1"/>
  <c r="Q15" i="3" s="1"/>
  <c r="G6" i="3"/>
  <c r="G7" i="3"/>
  <c r="M13" i="2"/>
  <c r="M15" i="2"/>
  <c r="M17" i="2"/>
  <c r="M18" i="2"/>
  <c r="M12" i="2"/>
  <c r="G5" i="3"/>
  <c r="G4" i="3"/>
  <c r="M16" i="2" l="1"/>
  <c r="M14" i="2"/>
  <c r="Q29" i="3" l="1"/>
</calcChain>
</file>

<file path=xl/sharedStrings.xml><?xml version="1.0" encoding="utf-8"?>
<sst xmlns="http://schemas.openxmlformats.org/spreadsheetml/2006/main" count="109" uniqueCount="71">
  <si>
    <t>EJERCICIO: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</si>
  <si>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</si>
  <si>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</si>
  <si>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</si>
  <si>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</si>
  <si>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</si>
  <si>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</si>
  <si>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</si>
  <si>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</si>
  <si>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</si>
  <si>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</si>
  <si>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</si>
  <si>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</si>
  <si>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</si>
  <si>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</si>
  <si>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</si>
  <si>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</si>
  <si>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</si>
  <si>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</si>
  <si>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</si>
  <si>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</si>
  <si>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</si>
  <si>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</si>
  <si>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</si>
  <si>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</si>
  <si>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</si>
  <si>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</si>
  <si>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</si>
  <si>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</si>
  <si>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</si>
  <si>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</si>
  <si>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</si>
  <si>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</si>
  <si>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</si>
  <si>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</si>
  <si>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</si>
  <si>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</si>
  <si>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</si>
  <si>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</si>
  <si>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FARMACIA E INSUMOS</t>
  </si>
  <si>
    <t>1° TRIMESTRE 2022</t>
  </si>
  <si>
    <t>1.1</t>
  </si>
  <si>
    <t>PRODUCTOS FARMACEUTICOS Y MEDICINALES</t>
  </si>
  <si>
    <t>ADQUISICION DEL RUBRO SOLUCIONES</t>
  </si>
  <si>
    <t>2.5.2-1726.9</t>
  </si>
  <si>
    <t>2.5.2-1726.519</t>
  </si>
  <si>
    <t>2.5.2-2689.7</t>
  </si>
  <si>
    <t>2.5.2-1726.17</t>
  </si>
  <si>
    <t>2.5.2-1726.393</t>
  </si>
  <si>
    <t>2.5.2-1726.182</t>
  </si>
  <si>
    <t>2.5.2-1726.371</t>
  </si>
  <si>
    <t>SOLUCIONES P/MEDICINA; TIPO: BICARBONATO 1 MOLAR, PRESENTACION: SACHET DE 100 mL</t>
  </si>
  <si>
    <t>SOLUCIONES P/MEDICINA; PRESENTACION: AMPOLLA X 20 ML, TIPO: CLORURO DE SODIO MOLAR AL 20 %</t>
  </si>
  <si>
    <t>NORMALIZADORES DE CALCEMIA; TIPO: MONODROGA, DROGA GENERICA: GLUCONATO DE CALCIO 10 %, FORMA FARMACEUTICA: AMPOLLA, PRESENTACION: ENVASE X 10 mL</t>
  </si>
  <si>
    <t>SOLUCIONES P/MEDICINA; TIPO: FISIOLOGICA CLORURO DE SODIO, PRESENTACION: 500 CM3</t>
  </si>
  <si>
    <t>SOLUCIONES P/MEDICINA; TIPO: GLUCOSADA HIPERTONICA AL 25%, PRESENTACION: ENVASE X 10 mL</t>
  </si>
  <si>
    <t>SOLUCIONES P/MEDICINA; TIPO: RINGER LACTATO, PRESENTACION: ENVASE X 500 mL</t>
  </si>
  <si>
    <t>SOLUCIONES P/MEDICINA; TIPO: SULFATO DE MAGNESIO AL 25%, PRESENTACION: ENVASE X 5 mL</t>
  </si>
  <si>
    <t>NO</t>
  </si>
  <si>
    <t>Costo total estimado: SON PESOS DOS MILLONES CUATROCIENTOS OCHENTA Y DOS MIL TRECIENTOS OCHENTA  CON 00/100.-</t>
  </si>
  <si>
    <t>TOTAL DE PESOS: DOS MILLONES CUATROCIENTOS OCHENTA Y DOS MIL TRECIENTOS OCHENTA CON 00/100.-</t>
  </si>
  <si>
    <t>ADQUISICIÓN DE NUTRICIÓN Y SOLUCIONES  A TRAVES DEL ACUERDO MARCO  Nº 100-2-AM22</t>
  </si>
  <si>
    <t>019/2022</t>
  </si>
  <si>
    <t>Autorizo la realización de los  trámites correspondientes, a fin de proveer a  este Organismo los bienes que se detallan en Nota  de Pedido N° 019/2022 afectando la erogación resultante a los créditos presupuestarios aprobados a favor de esta Unidad Ejecutora, conforme al siguiente detalle:</t>
  </si>
  <si>
    <t>040 - MINISTERIO DE SALUD</t>
  </si>
  <si>
    <t>011 - DIRECCION PROVINCIAL DE ADMINISTRACION - MS</t>
  </si>
  <si>
    <t>ID</t>
  </si>
  <si>
    <t>CODIGO ITEM</t>
  </si>
  <si>
    <t>DESCRIPCION</t>
  </si>
  <si>
    <t>UNIDAD MEDIDA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</si>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</sst>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Helvetica"/>
      <family val="2"/>
    </font>
    <font>
      <sz val="12"/>
      <color theme="1"/>
      <name val="Calibri"/>
      <family val="2"/>
      <scheme val="minor"/>
    </font>
    <font>
      <sz val="12"/>
      <color rgb="FF333333"/>
      <name val="Helvetic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2">
    <xf numFmtId="0" fontId="0" fillId="0" borderId="0"/>
    <xf numFmtId="0" fontId="2" fillId="0" borderId="0"/>
    <xf numFmtId="164" fontId="2" fillId="0" borderId="0" applyBorder="0" applyAlignment="0" applyProtection="0"/>
    <xf numFmtId="0" fontId="1" fillId="0" borderId="0"/>
    <xf numFmtId="0" fontId="2" fillId="0" borderId="0"/>
    <xf numFmtId="0" fontId="2" fillId="0" borderId="0"/>
    <xf numFmtId="169" fontId="12" fillId="0" borderId="0" applyBorder="0" applyProtection="0"/>
    <xf numFmtId="0" fontId="16" fillId="0" borderId="53" applyProtection="0"/>
    <xf numFmtId="0" fontId="16" fillId="0" borderId="53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Border="0" applyAlignment="0" applyProtection="0"/>
    <xf numFmtId="171" fontId="2" fillId="0" borderId="0" applyBorder="0" applyProtection="0"/>
    <xf numFmtId="171" fontId="2" fillId="0" borderId="0" applyBorder="0" applyProtection="0"/>
    <xf numFmtId="171" fontId="2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3">
    <xf numFmtId="0" fontId="0" fillId="0" borderId="0" xfId="0"/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3" fontId="10" fillId="0" borderId="25" xfId="0" applyNumberFormat="1" applyFont="1" applyBorder="1" applyAlignment="1"/>
    <xf numFmtId="168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16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1" xfId="0" applyBorder="1"/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70" fontId="0" fillId="0" borderId="46" xfId="6" applyNumberFormat="1" applyFont="1" applyBorder="1" applyAlignment="1" applyProtection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0" fontId="0" fillId="0" borderId="50" xfId="6" applyNumberFormat="1" applyFont="1" applyBorder="1" applyAlignment="1" applyProtection="1">
      <alignment horizontal="center" vertical="center"/>
    </xf>
    <xf numFmtId="166" fontId="4" fillId="0" borderId="6" xfId="0" applyNumberFormat="1" applyFont="1" applyBorder="1" applyAlignment="1">
      <alignment horizontal="right" vertical="center"/>
    </xf>
    <xf numFmtId="166" fontId="4" fillId="0" borderId="0" xfId="0" applyNumberFormat="1" applyFont="1" applyBorder="1" applyAlignment="1">
      <alignment vertical="center"/>
    </xf>
    <xf numFmtId="166" fontId="5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0" fillId="0" borderId="0" xfId="0" applyFont="1"/>
    <xf numFmtId="166" fontId="18" fillId="0" borderId="0" xfId="0" applyNumberFormat="1" applyFont="1"/>
    <xf numFmtId="0" fontId="19" fillId="0" borderId="4" xfId="0" applyFont="1" applyBorder="1" applyAlignment="1">
      <alignment horizontal="center" vertical="center"/>
    </xf>
    <xf numFmtId="3" fontId="19" fillId="0" borderId="20" xfId="0" applyNumberFormat="1" applyFont="1" applyBorder="1" applyAlignment="1">
      <alignment horizontal="center" vertical="center"/>
    </xf>
    <xf numFmtId="3" fontId="19" fillId="0" borderId="21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70" fontId="10" fillId="0" borderId="52" xfId="0" applyNumberFormat="1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170" fontId="21" fillId="0" borderId="41" xfId="6" applyNumberFormat="1" applyFont="1" applyBorder="1" applyAlignment="1" applyProtection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166" fontId="19" fillId="0" borderId="0" xfId="0" applyNumberFormat="1" applyFont="1"/>
    <xf numFmtId="0" fontId="6" fillId="0" borderId="13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left" vertical="center" wrapText="1" indent="1"/>
    </xf>
    <xf numFmtId="167" fontId="6" fillId="0" borderId="12" xfId="0" applyNumberFormat="1" applyFont="1" applyBorder="1" applyAlignment="1">
      <alignment horizontal="center" vertical="center"/>
    </xf>
    <xf numFmtId="0" fontId="20" fillId="2" borderId="54" xfId="0" applyFont="1" applyFill="1" applyBorder="1" applyAlignment="1">
      <alignment horizontal="left" vertical="center" wrapText="1"/>
    </xf>
    <xf numFmtId="0" fontId="20" fillId="2" borderId="55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left" vertical="center"/>
    </xf>
    <xf numFmtId="0" fontId="20" fillId="2" borderId="55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7" fillId="0" borderId="18" xfId="0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13" fillId="0" borderId="29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10" fillId="0" borderId="24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2" fillId="0" borderId="26" xfId="0" applyFont="1" applyBorder="1"/>
    <xf numFmtId="0" fontId="13" fillId="0" borderId="27" xfId="0" applyFont="1" applyBorder="1" applyAlignment="1">
      <alignment horizontal="left" indent="1"/>
    </xf>
    <xf numFmtId="0" fontId="8" fillId="0" borderId="26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/>
    </xf>
    <xf numFmtId="49" fontId="13" fillId="0" borderId="30" xfId="0" applyNumberFormat="1" applyFont="1" applyBorder="1" applyAlignment="1">
      <alignment horizontal="justify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21" fillId="0" borderId="39" xfId="0" applyFont="1" applyBorder="1" applyAlignment="1">
      <alignment horizontal="left" vertical="center" wrapTex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0" fillId="0" borderId="51" xfId="0" applyFont="1" applyBorder="1" applyAlignment="1">
      <alignment horizontal="left" vertical="center" wrapText="1"/>
    </xf>
    <xf numFmtId="0" fontId="0" fillId="0" borderId="29" xfId="0" applyBorder="1"/>
    <xf numFmtId="0" fontId="0" fillId="0" borderId="1" xfId="0" applyBorder="1"/>
    <xf numFmtId="0" fontId="23" fillId="4" borderId="1" xfId="0" applyFont="1" applyFill="1" applyBorder="1" applyAlignment="1">
      <alignment horizontal="center"/>
    </xf>
    <xf numFmtId="3" fontId="22" fillId="2" borderId="1" xfId="0" applyNumberFormat="1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/>
    </xf>
    <xf numFmtId="3" fontId="21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/>
    </xf>
  </cellXfs>
  <cellStyles count="32">
    <cellStyle name="Encabezado 1" xfId="7"/>
    <cellStyle name="Encabezado 1 2" xfId="8"/>
    <cellStyle name="Millares 2" xfId="9"/>
    <cellStyle name="Millares 2 2" xfId="10"/>
    <cellStyle name="Moneda 2" xfId="2"/>
    <cellStyle name="Moneda 2 2" xfId="11"/>
    <cellStyle name="Moneda 3" xfId="12"/>
    <cellStyle name="Moneda 4" xfId="13"/>
    <cellStyle name="Moneda 5" xfId="14"/>
    <cellStyle name="Moneda_AUTORIZACION Y NOTA DE PEDIDO" xfId="6"/>
    <cellStyle name="Neutral 1" xfId="15"/>
    <cellStyle name="Normal" xfId="0" builtinId="0"/>
    <cellStyle name="Normal 2" xfId="1"/>
    <cellStyle name="Normal 2 2" xfId="4"/>
    <cellStyle name="Normal 3" xfId="16"/>
    <cellStyle name="Normal 3 2" xfId="17"/>
    <cellStyle name="Normal 3 2 2" xfId="18"/>
    <cellStyle name="Normal 3 3" xfId="19"/>
    <cellStyle name="Normal 3 4" xfId="20"/>
    <cellStyle name="Normal 3 4 2" xfId="21"/>
    <cellStyle name="Normal 4" xfId="5"/>
    <cellStyle name="Normal 4 2" xfId="22"/>
    <cellStyle name="Normal 4 3" xfId="23"/>
    <cellStyle name="Normal 4 3 2" xfId="24"/>
    <cellStyle name="Normal 5" xfId="3"/>
    <cellStyle name="Normal 5 2" xfId="25"/>
    <cellStyle name="Normal 6" xfId="26"/>
    <cellStyle name="Normal 7" xfId="27"/>
    <cellStyle name="Normal 8" xfId="28"/>
    <cellStyle name="Normal 8 2" xfId="29"/>
    <cellStyle name="Normal 8 3" xfId="30"/>
    <cellStyle name="Normal 8 4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tabSelected="1" workbookViewId="0">
      <selection activeCell="C4" sqref="C4"/>
    </sheetView>
  </sheetViews>
  <sheetFormatPr baseColWidth="10" defaultRowHeight="15" x14ac:dyDescent="0.25"/>
  <cols>
    <col min="1" max="2" width="17.28515625" customWidth="1"/>
    <col min="3" max="3" width="40.85546875" customWidth="1"/>
    <col min="4" max="4" width="15.7109375" bestFit="1" customWidth="1"/>
    <col min="5" max="5" width="26.140625" customWidth="1"/>
  </cols>
  <sheetData>
    <row r="2" spans="1:5" ht="15.75" x14ac:dyDescent="0.25">
      <c r="A2" s="106" t="s">
        <v>66</v>
      </c>
      <c r="B2" s="106" t="s">
        <v>67</v>
      </c>
      <c r="C2" s="107" t="s">
        <v>68</v>
      </c>
      <c r="D2" s="106" t="s">
        <v>69</v>
      </c>
      <c r="E2" s="106" t="s">
        <v>70</v>
      </c>
    </row>
    <row r="3" spans="1:5" ht="42.75" x14ac:dyDescent="0.25">
      <c r="A3" s="51">
        <v>11</v>
      </c>
      <c r="B3" s="51" t="s">
        <v>44</v>
      </c>
      <c r="C3" s="51" t="s">
        <v>51</v>
      </c>
      <c r="D3" s="51" t="s">
        <v>1</v>
      </c>
      <c r="E3" s="108">
        <v>300</v>
      </c>
    </row>
    <row r="4" spans="1:5" ht="57" x14ac:dyDescent="0.25">
      <c r="A4" s="51">
        <v>13</v>
      </c>
      <c r="B4" s="51" t="s">
        <v>45</v>
      </c>
      <c r="C4" s="51" t="s">
        <v>52</v>
      </c>
      <c r="D4" s="51" t="s">
        <v>1</v>
      </c>
      <c r="E4" s="109">
        <v>1000</v>
      </c>
    </row>
    <row r="5" spans="1:5" ht="85.5" x14ac:dyDescent="0.25">
      <c r="A5" s="51">
        <v>15</v>
      </c>
      <c r="B5" s="51" t="s">
        <v>46</v>
      </c>
      <c r="C5" s="51" t="s">
        <v>53</v>
      </c>
      <c r="D5" s="51" t="s">
        <v>1</v>
      </c>
      <c r="E5" s="110">
        <v>200</v>
      </c>
    </row>
    <row r="6" spans="1:5" ht="42.75" x14ac:dyDescent="0.25">
      <c r="A6" s="111">
        <v>24</v>
      </c>
      <c r="B6" s="111" t="s">
        <v>47</v>
      </c>
      <c r="C6" s="111" t="s">
        <v>54</v>
      </c>
      <c r="D6" s="51" t="s">
        <v>1</v>
      </c>
      <c r="E6" s="112">
        <v>20000</v>
      </c>
    </row>
    <row r="7" spans="1:5" ht="42.75" x14ac:dyDescent="0.25">
      <c r="A7" s="51">
        <v>27</v>
      </c>
      <c r="B7" s="51" t="s">
        <v>48</v>
      </c>
      <c r="C7" s="51" t="s">
        <v>55</v>
      </c>
      <c r="D7" s="51" t="s">
        <v>1</v>
      </c>
      <c r="E7" s="112">
        <v>2000</v>
      </c>
    </row>
    <row r="8" spans="1:5" ht="42.75" x14ac:dyDescent="0.25">
      <c r="A8" s="51">
        <v>31</v>
      </c>
      <c r="B8" s="51" t="s">
        <v>49</v>
      </c>
      <c r="C8" s="51" t="s">
        <v>56</v>
      </c>
      <c r="D8" s="51" t="s">
        <v>1</v>
      </c>
      <c r="E8" s="112">
        <v>2000</v>
      </c>
    </row>
    <row r="9" spans="1:5" ht="42.75" x14ac:dyDescent="0.25">
      <c r="A9" s="51">
        <v>32</v>
      </c>
      <c r="B9" s="51" t="s">
        <v>50</v>
      </c>
      <c r="C9" s="51" t="s">
        <v>57</v>
      </c>
      <c r="D9" s="51" t="s">
        <v>1</v>
      </c>
      <c r="E9" s="112">
        <v>1000</v>
      </c>
    </row>
  </sheetData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opLeftCell="A10" workbookViewId="0">
      <selection activeCell="O11" sqref="O11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3.28515625" customWidth="1"/>
    <col min="9" max="9" width="15.5703125" customWidth="1"/>
    <col min="10" max="10" width="14.7109375" style="44" customWidth="1"/>
    <col min="11" max="11" width="15.5703125" customWidth="1"/>
    <col min="13" max="13" width="15.5703125" style="46" bestFit="1" customWidth="1"/>
  </cols>
  <sheetData>
    <row r="1" spans="1:13" ht="30.75" thickBot="1" x14ac:dyDescent="0.3">
      <c r="A1" s="63" t="s">
        <v>2</v>
      </c>
      <c r="B1" s="63"/>
      <c r="C1" s="63"/>
      <c r="D1" s="63"/>
      <c r="E1" s="63"/>
      <c r="F1" s="63"/>
      <c r="G1" s="63"/>
      <c r="H1" s="63"/>
      <c r="I1" s="63"/>
      <c r="J1" s="41" t="s">
        <v>3</v>
      </c>
      <c r="K1" s="1" t="s">
        <v>62</v>
      </c>
    </row>
    <row r="2" spans="1:13" ht="16.5" thickBot="1" x14ac:dyDescent="0.3">
      <c r="A2" s="2"/>
      <c r="B2" s="3"/>
      <c r="C2" s="3"/>
      <c r="D2" s="4"/>
      <c r="E2" s="4"/>
      <c r="F2" s="4"/>
      <c r="G2" s="4"/>
      <c r="H2" s="4"/>
      <c r="I2" s="4"/>
      <c r="J2" s="42"/>
      <c r="K2" s="5"/>
    </row>
    <row r="3" spans="1:13" ht="16.5" thickBot="1" x14ac:dyDescent="0.3">
      <c r="A3" s="64" t="s">
        <v>4</v>
      </c>
      <c r="B3" s="64"/>
      <c r="C3" s="64"/>
      <c r="D3" s="65" t="s">
        <v>64</v>
      </c>
      <c r="E3" s="66"/>
      <c r="F3" s="66"/>
      <c r="G3" s="66"/>
      <c r="H3" s="66"/>
      <c r="I3" s="66"/>
      <c r="J3" s="66"/>
      <c r="K3" s="67"/>
    </row>
    <row r="4" spans="1:13" ht="16.5" thickBot="1" x14ac:dyDescent="0.3">
      <c r="A4" s="61" t="s">
        <v>5</v>
      </c>
      <c r="B4" s="61"/>
      <c r="C4" s="61"/>
      <c r="D4" s="65" t="s">
        <v>65</v>
      </c>
      <c r="E4" s="66"/>
      <c r="F4" s="66"/>
      <c r="G4" s="66"/>
      <c r="H4" s="66"/>
      <c r="I4" s="66"/>
      <c r="J4" s="66"/>
      <c r="K4" s="67"/>
    </row>
    <row r="5" spans="1:13" ht="16.5" thickBot="1" x14ac:dyDescent="0.3">
      <c r="A5" s="61" t="s">
        <v>6</v>
      </c>
      <c r="B5" s="61"/>
      <c r="C5" s="61"/>
      <c r="D5" s="62" t="s">
        <v>39</v>
      </c>
      <c r="E5" s="62"/>
      <c r="F5" s="62"/>
      <c r="G5" s="62"/>
      <c r="H5" s="62"/>
      <c r="I5" s="62"/>
      <c r="J5" s="62"/>
      <c r="K5" s="62"/>
    </row>
    <row r="6" spans="1:13" ht="16.5" thickBot="1" x14ac:dyDescent="0.3">
      <c r="A6" s="64" t="s">
        <v>7</v>
      </c>
      <c r="B6" s="64"/>
      <c r="C6" s="64"/>
      <c r="D6" s="62" t="s">
        <v>39</v>
      </c>
      <c r="E6" s="62"/>
      <c r="F6" s="62"/>
      <c r="G6" s="62"/>
      <c r="H6" s="62"/>
      <c r="I6" s="62"/>
      <c r="J6" s="62"/>
      <c r="K6" s="62"/>
    </row>
    <row r="7" spans="1:13" ht="16.5" thickBot="1" x14ac:dyDescent="0.3">
      <c r="A7" s="61" t="s">
        <v>8</v>
      </c>
      <c r="B7" s="61"/>
      <c r="C7" s="61"/>
      <c r="D7" s="62" t="s">
        <v>40</v>
      </c>
      <c r="E7" s="62"/>
      <c r="F7" s="62"/>
      <c r="G7" s="62"/>
      <c r="H7" s="62"/>
      <c r="I7" s="62"/>
      <c r="J7" s="62"/>
      <c r="K7" s="62"/>
    </row>
    <row r="8" spans="1:13" ht="38.25" customHeight="1" thickBot="1" x14ac:dyDescent="0.3">
      <c r="A8" s="68" t="s">
        <v>9</v>
      </c>
      <c r="B8" s="68"/>
      <c r="C8" s="68"/>
      <c r="D8" s="69" t="s">
        <v>43</v>
      </c>
      <c r="E8" s="69"/>
      <c r="F8" s="69"/>
      <c r="G8" s="69"/>
      <c r="H8" s="69"/>
      <c r="I8" s="69"/>
      <c r="J8" s="69"/>
      <c r="K8" s="69"/>
    </row>
    <row r="9" spans="1:13" ht="16.5" thickBot="1" x14ac:dyDescent="0.3">
      <c r="A9" s="6"/>
      <c r="B9" s="7"/>
      <c r="C9" s="7"/>
      <c r="D9" s="8"/>
      <c r="E9" s="8"/>
      <c r="F9" s="8"/>
      <c r="G9" s="8"/>
      <c r="H9" s="8"/>
      <c r="I9" s="8"/>
      <c r="J9" s="43"/>
      <c r="K9" s="9"/>
    </row>
    <row r="10" spans="1:13" ht="15.75" thickBot="1" x14ac:dyDescent="0.3">
      <c r="A10" s="81" t="s">
        <v>10</v>
      </c>
      <c r="B10" s="79" t="s">
        <v>11</v>
      </c>
      <c r="C10" s="79" t="s">
        <v>12</v>
      </c>
      <c r="D10" s="79"/>
      <c r="E10" s="79"/>
      <c r="F10" s="79"/>
      <c r="G10" s="79"/>
      <c r="H10" s="79" t="s">
        <v>13</v>
      </c>
      <c r="I10" s="79" t="s">
        <v>14</v>
      </c>
      <c r="J10" s="80" t="s">
        <v>15</v>
      </c>
      <c r="K10" s="75" t="s">
        <v>16</v>
      </c>
    </row>
    <row r="11" spans="1:13" ht="29.25" customHeight="1" thickBot="1" x14ac:dyDescent="0.3">
      <c r="A11" s="81"/>
      <c r="B11" s="79"/>
      <c r="C11" s="79"/>
      <c r="D11" s="79"/>
      <c r="E11" s="79"/>
      <c r="F11" s="79"/>
      <c r="G11" s="79"/>
      <c r="H11" s="79"/>
      <c r="I11" s="79"/>
      <c r="J11" s="80"/>
      <c r="K11" s="75"/>
    </row>
    <row r="12" spans="1:13" s="45" customFormat="1" ht="42" customHeight="1" thickBot="1" x14ac:dyDescent="0.3">
      <c r="A12" s="50">
        <v>11</v>
      </c>
      <c r="B12" s="50" t="s">
        <v>44</v>
      </c>
      <c r="C12" s="76" t="s">
        <v>51</v>
      </c>
      <c r="D12" s="77"/>
      <c r="E12" s="77"/>
      <c r="F12" s="77"/>
      <c r="G12" s="78"/>
      <c r="H12" s="47" t="s">
        <v>58</v>
      </c>
      <c r="I12" s="51" t="s">
        <v>1</v>
      </c>
      <c r="J12" s="58">
        <v>366</v>
      </c>
      <c r="K12" s="48">
        <v>300</v>
      </c>
      <c r="M12" s="46">
        <f>+J12*K12</f>
        <v>109800</v>
      </c>
    </row>
    <row r="13" spans="1:13" s="45" customFormat="1" ht="51" customHeight="1" thickBot="1" x14ac:dyDescent="0.3">
      <c r="A13" s="50">
        <v>13</v>
      </c>
      <c r="B13" s="50" t="s">
        <v>45</v>
      </c>
      <c r="C13" s="72" t="s">
        <v>52</v>
      </c>
      <c r="D13" s="73"/>
      <c r="E13" s="73"/>
      <c r="F13" s="73"/>
      <c r="G13" s="74"/>
      <c r="H13" s="47" t="s">
        <v>58</v>
      </c>
      <c r="I13" s="51" t="s">
        <v>1</v>
      </c>
      <c r="J13" s="52">
        <v>44</v>
      </c>
      <c r="K13" s="49">
        <v>1000</v>
      </c>
      <c r="M13" s="46">
        <f t="shared" ref="M13:M18" si="0">+J13*K13</f>
        <v>44000</v>
      </c>
    </row>
    <row r="14" spans="1:13" s="45" customFormat="1" ht="39.75" customHeight="1" thickBot="1" x14ac:dyDescent="0.3">
      <c r="A14" s="50">
        <v>15</v>
      </c>
      <c r="B14" s="50" t="s">
        <v>46</v>
      </c>
      <c r="C14" s="72" t="s">
        <v>53</v>
      </c>
      <c r="D14" s="73"/>
      <c r="E14" s="73"/>
      <c r="F14" s="73"/>
      <c r="G14" s="74"/>
      <c r="H14" s="47" t="s">
        <v>58</v>
      </c>
      <c r="I14" s="51" t="s">
        <v>1</v>
      </c>
      <c r="J14" s="52">
        <v>84</v>
      </c>
      <c r="K14" s="49">
        <v>200</v>
      </c>
      <c r="M14" s="46">
        <f t="shared" si="0"/>
        <v>16800</v>
      </c>
    </row>
    <row r="15" spans="1:13" s="45" customFormat="1" ht="51.75" customHeight="1" thickBot="1" x14ac:dyDescent="0.3">
      <c r="A15" s="59">
        <v>24</v>
      </c>
      <c r="B15" s="59" t="s">
        <v>47</v>
      </c>
      <c r="C15" s="72" t="s">
        <v>54</v>
      </c>
      <c r="D15" s="73"/>
      <c r="E15" s="73"/>
      <c r="F15" s="73"/>
      <c r="G15" s="74"/>
      <c r="H15" s="47" t="s">
        <v>58</v>
      </c>
      <c r="I15" s="51" t="s">
        <v>1</v>
      </c>
      <c r="J15" s="52">
        <v>98</v>
      </c>
      <c r="K15" s="49">
        <v>20000</v>
      </c>
      <c r="M15" s="46">
        <f t="shared" si="0"/>
        <v>1960000</v>
      </c>
    </row>
    <row r="16" spans="1:13" s="45" customFormat="1" ht="33.75" customHeight="1" thickBot="1" x14ac:dyDescent="0.3">
      <c r="A16" s="50">
        <v>27</v>
      </c>
      <c r="B16" s="50" t="s">
        <v>48</v>
      </c>
      <c r="C16" s="72" t="s">
        <v>55</v>
      </c>
      <c r="D16" s="73"/>
      <c r="E16" s="73"/>
      <c r="F16" s="73"/>
      <c r="G16" s="74"/>
      <c r="H16" s="47" t="s">
        <v>58</v>
      </c>
      <c r="I16" s="51" t="s">
        <v>1</v>
      </c>
      <c r="J16" s="52">
        <v>53</v>
      </c>
      <c r="K16" s="49">
        <v>2000</v>
      </c>
      <c r="M16" s="46">
        <f t="shared" si="0"/>
        <v>106000</v>
      </c>
    </row>
    <row r="17" spans="1:13" s="45" customFormat="1" ht="46.5" customHeight="1" thickBot="1" x14ac:dyDescent="0.3">
      <c r="A17" s="50">
        <v>31</v>
      </c>
      <c r="B17" s="50" t="s">
        <v>49</v>
      </c>
      <c r="C17" s="72" t="s">
        <v>56</v>
      </c>
      <c r="D17" s="73"/>
      <c r="E17" s="73"/>
      <c r="F17" s="73"/>
      <c r="G17" s="74"/>
      <c r="H17" s="47" t="s">
        <v>58</v>
      </c>
      <c r="I17" s="51" t="s">
        <v>1</v>
      </c>
      <c r="J17" s="52">
        <v>106.39</v>
      </c>
      <c r="K17" s="49">
        <v>2000</v>
      </c>
      <c r="M17" s="46">
        <f t="shared" si="0"/>
        <v>212780</v>
      </c>
    </row>
    <row r="18" spans="1:13" s="45" customFormat="1" ht="39" customHeight="1" thickBot="1" x14ac:dyDescent="0.3">
      <c r="A18" s="51">
        <v>32</v>
      </c>
      <c r="B18" s="51" t="s">
        <v>50</v>
      </c>
      <c r="C18" s="72" t="s">
        <v>57</v>
      </c>
      <c r="D18" s="73"/>
      <c r="E18" s="73"/>
      <c r="F18" s="73"/>
      <c r="G18" s="74"/>
      <c r="H18" s="47" t="s">
        <v>58</v>
      </c>
      <c r="I18" s="51" t="s">
        <v>1</v>
      </c>
      <c r="J18" s="52">
        <v>33</v>
      </c>
      <c r="K18" s="49">
        <v>1000</v>
      </c>
      <c r="M18" s="46">
        <f t="shared" si="0"/>
        <v>33000</v>
      </c>
    </row>
    <row r="19" spans="1:13" ht="34.5" customHeight="1" thickBot="1" x14ac:dyDescent="0.3">
      <c r="A19" s="70" t="s">
        <v>59</v>
      </c>
      <c r="B19" s="70"/>
      <c r="C19" s="70"/>
      <c r="D19" s="70"/>
      <c r="E19" s="70"/>
      <c r="F19" s="70"/>
      <c r="G19" s="70"/>
      <c r="H19" s="70"/>
      <c r="I19" s="70"/>
      <c r="J19" s="71">
        <f>+J12*K12+J13*K13+J14*K14+J15*K15+J16*K16+J17*K17+J18*K18</f>
        <v>2482380</v>
      </c>
      <c r="K19" s="71"/>
      <c r="M19" s="60"/>
    </row>
  </sheetData>
  <mergeCells count="29">
    <mergeCell ref="A19:I19"/>
    <mergeCell ref="J19:K19"/>
    <mergeCell ref="C17:G17"/>
    <mergeCell ref="C18:G1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X15" sqref="X15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83" t="s">
        <v>0</v>
      </c>
      <c r="B1" s="83"/>
      <c r="C1" s="83"/>
      <c r="D1" s="84">
        <v>2022</v>
      </c>
      <c r="E1" s="84"/>
      <c r="F1" s="10"/>
      <c r="G1" s="10"/>
      <c r="H1" s="11"/>
      <c r="I1" s="11"/>
      <c r="J1" s="11"/>
      <c r="K1" s="11"/>
      <c r="L1" s="11"/>
      <c r="M1" s="11"/>
      <c r="N1" s="11"/>
      <c r="O1" s="12"/>
      <c r="P1" s="85" t="s">
        <v>17</v>
      </c>
      <c r="Q1" s="85"/>
    </row>
    <row r="2" spans="1:17" ht="15.75" thickBot="1" x14ac:dyDescent="0.3">
      <c r="A2" s="13"/>
      <c r="B2" s="14"/>
      <c r="C2" s="14"/>
      <c r="D2" s="14"/>
      <c r="E2" s="14"/>
      <c r="F2" s="14"/>
      <c r="G2" s="15"/>
      <c r="H2" s="16"/>
      <c r="I2" s="16"/>
      <c r="J2" s="16"/>
      <c r="K2" s="16"/>
      <c r="L2" s="16"/>
      <c r="M2" s="16"/>
      <c r="N2" s="16"/>
      <c r="O2" s="14"/>
      <c r="P2" s="85"/>
      <c r="Q2" s="85"/>
    </row>
    <row r="3" spans="1:17" ht="15.75" thickBot="1" x14ac:dyDescent="0.3">
      <c r="A3" s="13"/>
      <c r="B3" s="14"/>
      <c r="C3" s="14"/>
      <c r="D3" s="14"/>
      <c r="E3" s="14"/>
      <c r="F3" s="14"/>
      <c r="G3" s="15"/>
      <c r="H3" s="14"/>
      <c r="I3" s="14"/>
      <c r="J3" s="14"/>
      <c r="K3" s="14"/>
      <c r="L3" s="14"/>
      <c r="M3" s="14"/>
      <c r="N3" s="14"/>
      <c r="O3" s="14"/>
      <c r="P3" s="14"/>
      <c r="Q3" s="17"/>
    </row>
    <row r="4" spans="1:17" ht="15.75" thickBot="1" x14ac:dyDescent="0.3">
      <c r="A4" s="86" t="s">
        <v>18</v>
      </c>
      <c r="B4" s="86"/>
      <c r="C4" s="86"/>
      <c r="D4" s="86"/>
      <c r="E4" s="86"/>
      <c r="F4" s="86"/>
      <c r="G4" s="87" t="str">
        <f>NP!D3</f>
        <v>040 - MINISTERIO DE SALUD</v>
      </c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7" ht="15.75" thickBot="1" x14ac:dyDescent="0.3">
      <c r="A5" s="88" t="s">
        <v>5</v>
      </c>
      <c r="B5" s="88"/>
      <c r="C5" s="88"/>
      <c r="D5" s="88"/>
      <c r="E5" s="88"/>
      <c r="F5" s="88"/>
      <c r="G5" s="87" t="str">
        <f>NP!D4</f>
        <v>011 - DIRECCION PROVINCIAL DE ADMINISTRACION - MS</v>
      </c>
      <c r="H5" s="87"/>
      <c r="I5" s="87"/>
      <c r="J5" s="87"/>
      <c r="K5" s="87"/>
      <c r="L5" s="87"/>
      <c r="M5" s="87"/>
      <c r="N5" s="87"/>
      <c r="O5" s="87"/>
      <c r="P5" s="87"/>
      <c r="Q5" s="87"/>
    </row>
    <row r="6" spans="1:17" ht="15.75" thickBot="1" x14ac:dyDescent="0.3">
      <c r="A6" s="88" t="s">
        <v>6</v>
      </c>
      <c r="B6" s="88"/>
      <c r="C6" s="88"/>
      <c r="D6" s="88"/>
      <c r="E6" s="88"/>
      <c r="F6" s="88"/>
      <c r="G6" s="87" t="str">
        <f>NP!D5</f>
        <v>DIRECCION PROVINCIAL DE FARMACIA E INSUMOS</v>
      </c>
      <c r="H6" s="87"/>
      <c r="I6" s="87"/>
      <c r="J6" s="87"/>
      <c r="K6" s="87"/>
      <c r="L6" s="87"/>
      <c r="M6" s="87"/>
      <c r="N6" s="87"/>
      <c r="O6" s="87"/>
      <c r="P6" s="87"/>
      <c r="Q6" s="87"/>
    </row>
    <row r="7" spans="1:17" ht="15.75" thickBot="1" x14ac:dyDescent="0.3">
      <c r="A7" s="88" t="s">
        <v>7</v>
      </c>
      <c r="B7" s="88"/>
      <c r="C7" s="88"/>
      <c r="D7" s="88"/>
      <c r="E7" s="88"/>
      <c r="F7" s="88"/>
      <c r="G7" s="87" t="str">
        <f>NP!D6</f>
        <v>DIRECCION PROVINCIAL DE FARMACIA E INSUMOS</v>
      </c>
      <c r="H7" s="87"/>
      <c r="I7" s="87"/>
      <c r="J7" s="87"/>
      <c r="K7" s="87"/>
      <c r="L7" s="87"/>
      <c r="M7" s="87"/>
      <c r="N7" s="87"/>
      <c r="O7" s="87"/>
      <c r="P7" s="87"/>
      <c r="Q7" s="87"/>
    </row>
    <row r="8" spans="1:17" ht="15.75" thickBot="1" x14ac:dyDescent="0.3">
      <c r="A8" s="89" t="s">
        <v>19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</row>
    <row r="9" spans="1:17" ht="20.25" customHeight="1" x14ac:dyDescent="0.25">
      <c r="A9" s="82" t="s">
        <v>20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</row>
    <row r="10" spans="1:17" ht="69" customHeight="1" x14ac:dyDescent="0.25">
      <c r="A10" s="90" t="s">
        <v>63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</row>
    <row r="11" spans="1:17" ht="15.75" thickBot="1" x14ac:dyDescent="0.3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thickBot="1" x14ac:dyDescent="0.3">
      <c r="A12" s="91" t="s">
        <v>21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</row>
    <row r="13" spans="1:17" ht="15.75" thickBot="1" x14ac:dyDescent="0.3">
      <c r="A13" s="92" t="s">
        <v>22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3" t="s">
        <v>23</v>
      </c>
      <c r="P13" s="93"/>
      <c r="Q13" s="94" t="s">
        <v>24</v>
      </c>
    </row>
    <row r="14" spans="1:17" ht="15.75" thickBot="1" x14ac:dyDescent="0.3">
      <c r="A14" s="22" t="s">
        <v>25</v>
      </c>
      <c r="B14" s="23" t="s">
        <v>26</v>
      </c>
      <c r="C14" s="23" t="s">
        <v>27</v>
      </c>
      <c r="D14" s="23" t="s">
        <v>28</v>
      </c>
      <c r="E14" s="23" t="s">
        <v>29</v>
      </c>
      <c r="F14" s="23" t="s">
        <v>30</v>
      </c>
      <c r="G14" s="24" t="s">
        <v>31</v>
      </c>
      <c r="H14" s="23" t="s">
        <v>32</v>
      </c>
      <c r="I14" s="23" t="s">
        <v>33</v>
      </c>
      <c r="J14" s="23" t="s">
        <v>34</v>
      </c>
      <c r="K14" s="23" t="s">
        <v>34</v>
      </c>
      <c r="L14" s="23" t="s">
        <v>35</v>
      </c>
      <c r="M14" s="25" t="s">
        <v>36</v>
      </c>
      <c r="N14" s="26" t="s">
        <v>37</v>
      </c>
      <c r="O14" s="93"/>
      <c r="P14" s="93"/>
      <c r="Q14" s="94"/>
    </row>
    <row r="15" spans="1:17" ht="30.75" customHeight="1" x14ac:dyDescent="0.25">
      <c r="A15" s="54">
        <v>30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1</v>
      </c>
      <c r="I15" s="55">
        <v>2</v>
      </c>
      <c r="J15" s="55">
        <v>5</v>
      </c>
      <c r="K15" s="55">
        <v>2</v>
      </c>
      <c r="L15" s="55"/>
      <c r="M15" s="56">
        <v>1</v>
      </c>
      <c r="N15" s="55" t="s">
        <v>41</v>
      </c>
      <c r="O15" s="95" t="s">
        <v>42</v>
      </c>
      <c r="P15" s="95"/>
      <c r="Q15" s="57">
        <f>+NP!J19</f>
        <v>2482380</v>
      </c>
    </row>
    <row r="16" spans="1:17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30"/>
      <c r="O16" s="96"/>
      <c r="P16" s="96"/>
      <c r="Q16" s="31"/>
    </row>
    <row r="17" spans="1:17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97"/>
      <c r="P17" s="97"/>
      <c r="Q17" s="31"/>
    </row>
    <row r="18" spans="1:17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98"/>
      <c r="P18" s="98"/>
      <c r="Q18" s="31"/>
    </row>
    <row r="19" spans="1:1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98"/>
      <c r="P19" s="98"/>
      <c r="Q19" s="31"/>
    </row>
    <row r="20" spans="1:1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98"/>
      <c r="P20" s="98"/>
      <c r="Q20" s="31"/>
    </row>
    <row r="21" spans="1:1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98"/>
      <c r="P21" s="98"/>
      <c r="Q21" s="31"/>
    </row>
    <row r="22" spans="1:1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98"/>
      <c r="P22" s="98"/>
      <c r="Q22" s="31"/>
    </row>
    <row r="23" spans="1:17" x14ac:dyDescent="0.25">
      <c r="A23" s="27"/>
      <c r="B23" s="28"/>
      <c r="C23" s="28"/>
      <c r="D23" s="28"/>
      <c r="E23" s="28"/>
      <c r="F23" s="30"/>
      <c r="G23" s="28"/>
      <c r="H23" s="28"/>
      <c r="I23" s="28"/>
      <c r="J23" s="28"/>
      <c r="K23" s="28"/>
      <c r="L23" s="28"/>
      <c r="M23" s="29"/>
      <c r="N23" s="30"/>
      <c r="O23" s="96"/>
      <c r="P23" s="96"/>
      <c r="Q23" s="31"/>
    </row>
    <row r="24" spans="1:1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96"/>
      <c r="P24" s="96"/>
      <c r="Q24" s="31"/>
    </row>
    <row r="25" spans="1:17" x14ac:dyDescent="0.25">
      <c r="A25" s="27"/>
      <c r="B25" s="28"/>
      <c r="C25" s="28"/>
      <c r="D25" s="28"/>
      <c r="E25" s="28"/>
      <c r="F25" s="30"/>
      <c r="G25" s="28"/>
      <c r="H25" s="28"/>
      <c r="I25" s="28"/>
      <c r="J25" s="28"/>
      <c r="K25" s="28"/>
      <c r="L25" s="28"/>
      <c r="M25" s="29"/>
      <c r="N25" s="30"/>
      <c r="O25" s="96"/>
      <c r="P25" s="96"/>
      <c r="Q25" s="31"/>
    </row>
    <row r="26" spans="1:17" x14ac:dyDescent="0.25">
      <c r="A26" s="27"/>
      <c r="B26" s="28"/>
      <c r="C26" s="28"/>
      <c r="D26" s="28"/>
      <c r="E26" s="28"/>
      <c r="F26" s="30"/>
      <c r="G26" s="28"/>
      <c r="H26" s="28"/>
      <c r="I26" s="28"/>
      <c r="J26" s="28"/>
      <c r="K26" s="28"/>
      <c r="L26" s="28"/>
      <c r="M26" s="29"/>
      <c r="N26" s="30"/>
      <c r="O26" s="96"/>
      <c r="P26" s="96"/>
      <c r="Q26" s="31"/>
    </row>
    <row r="27" spans="1:17" x14ac:dyDescent="0.25">
      <c r="A27" s="32"/>
      <c r="B27" s="33"/>
      <c r="C27" s="33"/>
      <c r="D27" s="33"/>
      <c r="E27" s="33"/>
      <c r="F27" s="34"/>
      <c r="G27" s="33"/>
      <c r="H27" s="33"/>
      <c r="I27" s="33"/>
      <c r="J27" s="33"/>
      <c r="K27" s="33"/>
      <c r="L27" s="33"/>
      <c r="M27" s="35"/>
      <c r="N27" s="36"/>
      <c r="O27" s="102"/>
      <c r="P27" s="102"/>
      <c r="Q27" s="31"/>
    </row>
    <row r="28" spans="1:17" ht="15.75" thickBo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38"/>
      <c r="O28" s="103"/>
      <c r="P28" s="103"/>
      <c r="Q28" s="40"/>
    </row>
    <row r="29" spans="1:17" ht="35.25" customHeight="1" thickBot="1" x14ac:dyDescent="0.3">
      <c r="A29" s="104" t="s">
        <v>60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53">
        <f>SUM(Q15:Q28)</f>
        <v>2482380</v>
      </c>
    </row>
    <row r="30" spans="1:17" ht="15.75" thickBot="1" x14ac:dyDescent="0.3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</row>
    <row r="31" spans="1:17" ht="15.75" thickBot="1" x14ac:dyDescent="0.3">
      <c r="A31" s="99" t="s">
        <v>38</v>
      </c>
      <c r="B31" s="99"/>
      <c r="C31" s="99"/>
      <c r="D31" s="99"/>
      <c r="E31" s="99"/>
      <c r="F31" s="99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</row>
    <row r="32" spans="1:17" ht="15.75" thickBot="1" x14ac:dyDescent="0.3">
      <c r="A32" s="101" t="s">
        <v>61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</row>
    <row r="33" spans="1:17" ht="15.75" thickBot="1" x14ac:dyDescent="0.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</row>
  </sheetData>
  <mergeCells count="37">
    <mergeCell ref="A31:F31"/>
    <mergeCell ref="G31:Q31"/>
    <mergeCell ref="A32:Q33"/>
    <mergeCell ref="O25:P25"/>
    <mergeCell ref="O26:P26"/>
    <mergeCell ref="O27:P27"/>
    <mergeCell ref="O28:P28"/>
    <mergeCell ref="A29:P29"/>
    <mergeCell ref="A30:Q30"/>
    <mergeCell ref="O24:P24"/>
    <mergeCell ref="O20:P20"/>
    <mergeCell ref="O21:P21"/>
    <mergeCell ref="O22:P22"/>
    <mergeCell ref="O23:P23"/>
    <mergeCell ref="O15:P15"/>
    <mergeCell ref="O16:P16"/>
    <mergeCell ref="O17:P17"/>
    <mergeCell ref="O18:P18"/>
    <mergeCell ref="O19:P19"/>
    <mergeCell ref="A10:Q10"/>
    <mergeCell ref="A12:Q12"/>
    <mergeCell ref="A13:N13"/>
    <mergeCell ref="O13:P14"/>
    <mergeCell ref="Q13:Q14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2022-06-06T19:51:47Z</cp:lastPrinted>
  <dcterms:created xsi:type="dcterms:W3CDTF">2021-12-21T17:55:07Z</dcterms:created>
  <dcterms:modified xsi:type="dcterms:W3CDTF">2022-06-08T13:38:54Z</dcterms:modified>
</cp:coreProperties>
</file>