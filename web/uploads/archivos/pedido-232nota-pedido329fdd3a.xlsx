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rch\Downloads\"/>
    </mc:Choice>
  </mc:AlternateContent>
  <xr:revisionPtr revIDLastSave="0" documentId="13_ncr:1_{4F73C94D-0978-48C6-B29B-E58051B7ADE7}" xr6:coauthVersionLast="46" xr6:coauthVersionMax="46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NotaPedido'!$A$1:$K$27</definedName>
    <definedName name="_xlnm.Print_Area" localSheetId="2">'Autor Gastar'!$A$1:$Q$27</definedName>
    <definedName name="_xlnm.Print_Area" localSheetId="0">'Necesidades Trimestrales'!$A$1:$J$39</definedName>
  </definedNames>
  <calcPr calcId="191029"/>
</workbook>
</file>

<file path=xl/calcChain.xml><?xml version="1.0" encoding="utf-8"?>
<calcChain xmlns="http://schemas.openxmlformats.org/spreadsheetml/2006/main">
  <c r="D16" i="1" l="1"/>
  <c r="D17" i="1"/>
  <c r="I11" i="1"/>
  <c r="I12" i="1"/>
  <c r="I13" i="1"/>
  <c r="I14" i="1"/>
  <c r="I15" i="1"/>
  <c r="I16" i="1"/>
  <c r="I17" i="1"/>
  <c r="I18" i="1"/>
  <c r="I19" i="1"/>
  <c r="I20" i="1"/>
  <c r="I21" i="1"/>
  <c r="I10" i="1"/>
  <c r="D15" i="1" l="1"/>
  <c r="I17" i="2" l="1"/>
  <c r="D13" i="1"/>
  <c r="J20" i="2" l="1"/>
  <c r="J22" i="2"/>
  <c r="K20" i="2"/>
  <c r="K21" i="2"/>
  <c r="K22" i="2"/>
  <c r="K23" i="2"/>
  <c r="J21" i="2"/>
  <c r="J23" i="2"/>
  <c r="D12" i="1"/>
  <c r="C20" i="2" l="1"/>
  <c r="C21" i="2"/>
  <c r="C22" i="2"/>
  <c r="C23" i="2"/>
  <c r="B20" i="2"/>
  <c r="B21" i="2"/>
  <c r="B22" i="2"/>
  <c r="B23" i="2"/>
  <c r="K19" i="2" l="1"/>
  <c r="K18" i="2"/>
  <c r="K17" i="2"/>
  <c r="J19" i="2"/>
  <c r="J18" i="2"/>
  <c r="J17" i="2"/>
  <c r="C19" i="2"/>
  <c r="C18" i="2"/>
  <c r="C17" i="2"/>
  <c r="B19" i="2"/>
  <c r="B18" i="2"/>
  <c r="B17" i="2"/>
  <c r="I15" i="3" l="1"/>
  <c r="Q23" i="3" l="1"/>
  <c r="K13" i="2"/>
  <c r="K14" i="2"/>
  <c r="K15" i="2"/>
  <c r="K16" i="2"/>
  <c r="J13" i="2"/>
  <c r="J14" i="2"/>
  <c r="J15" i="2"/>
  <c r="J16" i="2"/>
  <c r="I13" i="2"/>
  <c r="I14" i="2"/>
  <c r="I15" i="2"/>
  <c r="I16" i="2"/>
  <c r="C13" i="2"/>
  <c r="C14" i="2"/>
  <c r="C15" i="2"/>
  <c r="C16" i="2"/>
  <c r="B13" i="2"/>
  <c r="B14" i="2"/>
  <c r="B15" i="2"/>
  <c r="B16" i="2"/>
  <c r="D11" i="1"/>
  <c r="D7" i="2" l="1"/>
  <c r="D3" i="2"/>
  <c r="G4" i="3" s="1"/>
  <c r="D4" i="2"/>
  <c r="G5" i="3" s="1"/>
  <c r="A10" i="3" l="1"/>
  <c r="D1" i="3"/>
  <c r="K12" i="2"/>
  <c r="J12" i="2"/>
  <c r="J25" i="2" s="1"/>
  <c r="I12" i="2"/>
  <c r="C12" i="2"/>
  <c r="B12" i="2"/>
</calcChain>
</file>

<file path=xl/sharedStrings.xml><?xml version="1.0" encoding="utf-8"?>
<sst xmlns="http://schemas.openxmlformats.org/spreadsheetml/2006/main" count="151" uniqueCount="100">
  <si>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</si>
  <si>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</si>
  <si>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</si>
  <si>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</si>
  <si>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</si>
  <si>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</si>
  <si>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</si>
  <si>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</si>
  <si>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</si>
  <si>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</si>
  <si>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</si>
  <si>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</si>
  <si>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</si>
  <si>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</si>
  <si>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</si>
  <si>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</si>
  <si>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</si>
  <si>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</si>
  <si>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</si>
  <si>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</si>
  <si>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</si>
  <si>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</si>
  <si>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</si>
  <si>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</si>
  <si>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</si>
  <si>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</si>
  <si>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</si>
  <si>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</si>
  <si>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</si>
  <si>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</si>
  <si>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</si>
  <si>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</si>
  <si>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</si>
  <si>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</si>
  <si>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</si>
  <si>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</si>
  <si>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</si>
  <si>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</si>
  <si>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</si>
  <si>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</si>
  <si>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</si>
  <si>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</si>
  <si>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</si>
  <si>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</si>
  <si>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</si>
  <si>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</si>
  <si>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</si>
  <si>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</si>
  <si>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</si>
  <si>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</si>
  <si>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</si>
  <si>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</si>
  <si>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</si>
  <si>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</si>
  <si>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</si>
  <si>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</si>
  <si>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</si>
  <si>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</si>
  <si>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</si>
  <si>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</si>
  <si>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</si>
  <si>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</si>
  <si>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45- Ministerio de Desarrollo Social y Deporte.-</t>
  </si>
  <si>
    <t>2.1.1</t>
  </si>
  <si>
    <t>2.1.1-439.67</t>
  </si>
  <si>
    <t>ACEITES COMESTIBLES; TIPO: GIRASOL, PRESENTACION: ENVASE X 900 CM3, MATERIAL ENVASE: PLASTICO 1 (PET), ELEM. TRANSPORTE: SIN, MATERIAL ELEM. TRANSPORTE : SIN, LIBRE DE GLUTEN: 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</si>
  <si>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</si>
  <si>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</si>
  <si>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</si>
  <si>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2.1.1-435.60</t>
  </si>
  <si>
    <t>AZUCARES; TIPO: "A" COMUN, ESTADO: MOLIDA, PESO: 1 Kg, MATERIAL ENVASE: PLASTICO, CERTIFICADO FORESTAL (GFS): SIN, ELEM. TRANSPORTE: SIN, MATERIAL ELEM. TRANSPORTE: SIN</t>
  </si>
  <si>
    <t>2.1.1-481.38</t>
  </si>
  <si>
    <t>DEPOSITO MINISTERIO DE DESARROLLO SOCIAL Y DEPORTE AREA EL PANTANILLO SAN FERNANDO DEL VALLE DE CATAMARCA</t>
  </si>
  <si>
    <t>60DIAS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</si>
  <si>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</si>
  <si>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</si>
  <si>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</si>
  <si>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</si>
  <si>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</si>
  <si>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</si>
  <si>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2.1.1-454.25</t>
  </si>
  <si>
    <t>YERBAS; PALO: CON, PESO: 1 Kg, MATERIAL ENVASE : PAPEL, CERTIFICADO FORESTAL (GFS): CON, ELEM. TRANSPORTE: SIN, MATERIAL ELEM. TRANSPORTE: SIN, LIBRE DE GLUTEN: SI</t>
  </si>
  <si>
    <t>2.1.1-6546.260</t>
  </si>
  <si>
    <t>VERDURAS Y HORTALIZAS; VARIEDAD: TOMATE, ESTADO: PURE, PRESENTACION: TETRABRIK, PESO: 520 GR</t>
  </si>
  <si>
    <t>2.1.1-6547.80</t>
  </si>
  <si>
    <t>LEGUMBRES; VARIEDAD: LENTEJA, ESTADO: SECO, PRESENTACION: SIN VALOR, PESO: ENVASE X 400 GR</t>
  </si>
  <si>
    <t>Adquisición de Alimentos  que seran destinadas a personas de escasos recursos, en el armado de modulos alimentarios, en el Marco del Programa Vivir Mejor</t>
  </si>
  <si>
    <t>2.1.1-708.23</t>
  </si>
  <si>
    <t>CONSERVAS PESCADO Y FRUTOS MAR; ESTADO: AL NATURAL, PESO: 380 GR, ENVASE: LATA, TIPO: CABALLA, ESPECIE: CABALLA</t>
  </si>
  <si>
    <t>16- Direccion Provincial de Accion Social Directa</t>
  </si>
  <si>
    <t>02- Programa Vivir Mejor PRO.VI.ME.</t>
  </si>
  <si>
    <t>02- PRO.VI.ME. Programa Vivir Mejor</t>
  </si>
  <si>
    <t>2.1.1-482.70</t>
  </si>
  <si>
    <t>HARINAS; TIPO: 000, PRESENTACION: ENVASE X 1 Kg, MATERIAL ENVASE: PAPEL, CERTICADO FORESTAL (GFS): SI, ELEM. TRANSPORTE: SIN, MATERIAL ELEM. TRANSPORTE: SIN, LIBRE DE GLUTEN: NO</t>
  </si>
  <si>
    <r>
      <t xml:space="preserve">Costo total estimado:  </t>
    </r>
    <r>
      <rPr>
        <b/>
        <sz val="10"/>
        <rFont val="Times New Roman"/>
        <family val="1"/>
      </rPr>
      <t>CIENTO CUARENTA Y TRES MILLONES OCHOCIENTOS DIEZ MIL CON 00/100.-</t>
    </r>
  </si>
  <si>
    <t>TOTAL DE PESOS: CIENTO CUARENTA Y TRES MILLONES OCHOCIENTOS DIEZ MIL CON 00/100.-</t>
  </si>
  <si>
    <t>Especificidades Item N° 1 al 12:</t>
  </si>
  <si>
    <t>SI</t>
  </si>
  <si>
    <t>448/2021</t>
  </si>
  <si>
    <t>PRIMERA ENTREGA : 50.000 UNIDADES DENTRO DE LOS 5 (CINCO) DIAS DE LA RECEPCION DE LA ORDEN DE COMPRA; SEGUNDA ENTREGA: 50.000 UNIDADES A LOS 30 (TREINTA) DIAS DE LA RECEPCION DE LA ORDEN DE COMPRA.-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</si>
</sst>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3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166" fontId="0" fillId="0" borderId="41" xfId="3" applyNumberFormat="1" applyFont="1" applyBorder="1" applyAlignment="1" applyProtection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14" fillId="0" borderId="46" xfId="0" applyNumberFormat="1" applyFont="1" applyBorder="1" applyAlignment="1">
      <alignment horizontal="center" vertical="center"/>
    </xf>
    <xf numFmtId="0" fontId="16" fillId="0" borderId="0" xfId="0" applyFont="1"/>
    <xf numFmtId="166" fontId="0" fillId="0" borderId="59" xfId="3" applyNumberFormat="1" applyFont="1" applyBorder="1" applyAlignment="1" applyProtection="1">
      <alignment horizontal="center" vertical="center"/>
    </xf>
    <xf numFmtId="166" fontId="0" fillId="0" borderId="63" xfId="3" applyNumberFormat="1" applyFont="1" applyBorder="1" applyAlignment="1" applyProtection="1">
      <alignment horizontal="center" vertical="center"/>
    </xf>
    <xf numFmtId="0" fontId="0" fillId="0" borderId="51" xfId="0" applyFill="1" applyBorder="1"/>
    <xf numFmtId="0" fontId="26" fillId="0" borderId="0" xfId="0" applyFont="1" applyFill="1"/>
    <xf numFmtId="0" fontId="26" fillId="0" borderId="51" xfId="0" applyFont="1" applyFill="1" applyBorder="1"/>
    <xf numFmtId="0" fontId="0" fillId="0" borderId="0" xfId="0"/>
    <xf numFmtId="166" fontId="16" fillId="0" borderId="0" xfId="0" applyNumberFormat="1" applyFont="1"/>
    <xf numFmtId="0" fontId="0" fillId="0" borderId="60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26" fillId="0" borderId="61" xfId="0" applyFont="1" applyFill="1" applyBorder="1" applyAlignment="1">
      <alignment horizontal="center" vertical="center"/>
    </xf>
    <xf numFmtId="0" fontId="0" fillId="0" borderId="62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right" vertical="center"/>
    </xf>
    <xf numFmtId="0" fontId="6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 wrapText="1"/>
    </xf>
    <xf numFmtId="166" fontId="4" fillId="0" borderId="24" xfId="1" applyNumberFormat="1" applyFont="1" applyFill="1" applyBorder="1" applyAlignment="1" applyProtection="1">
      <alignment horizontal="right" vertical="center" wrapText="1"/>
    </xf>
    <xf numFmtId="3" fontId="4" fillId="0" borderId="24" xfId="0" applyNumberFormat="1" applyFont="1" applyFill="1" applyBorder="1" applyAlignment="1">
      <alignment horizontal="center" vertical="center"/>
    </xf>
    <xf numFmtId="0" fontId="9" fillId="0" borderId="25" xfId="0" applyFont="1" applyFill="1" applyBorder="1" applyAlignment="1">
      <alignment horizontal="center" vertical="center"/>
    </xf>
    <xf numFmtId="0" fontId="4" fillId="0" borderId="67" xfId="0" applyFont="1" applyFill="1" applyBorder="1" applyAlignment="1">
      <alignment horizontal="center" vertical="center" wrapText="1"/>
    </xf>
    <xf numFmtId="0" fontId="4" fillId="0" borderId="67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26" xfId="0" applyFont="1" applyFill="1" applyBorder="1" applyAlignment="1">
      <alignment horizontal="center" vertical="center" wrapText="1"/>
    </xf>
    <xf numFmtId="0" fontId="20" fillId="0" borderId="19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20" fillId="0" borderId="55" xfId="0" applyFont="1" applyFill="1" applyBorder="1" applyAlignment="1">
      <alignment horizontal="center" vertical="center" wrapText="1"/>
    </xf>
    <xf numFmtId="0" fontId="20" fillId="0" borderId="56" xfId="0" applyFont="1" applyFill="1" applyBorder="1" applyAlignment="1">
      <alignment horizontal="center" vertical="center" wrapText="1"/>
    </xf>
    <xf numFmtId="0" fontId="21" fillId="0" borderId="64" xfId="0" applyFont="1" applyFill="1" applyBorder="1" applyAlignment="1">
      <alignment horizontal="center" vertical="center"/>
    </xf>
    <xf numFmtId="0" fontId="19" fillId="0" borderId="53" xfId="0" applyFont="1" applyFill="1" applyBorder="1" applyAlignment="1">
      <alignment horizontal="center" vertical="center" wrapText="1"/>
    </xf>
    <xf numFmtId="0" fontId="22" fillId="0" borderId="58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166" fontId="21" fillId="0" borderId="71" xfId="1" applyNumberFormat="1" applyFont="1" applyFill="1" applyBorder="1" applyAlignment="1" applyProtection="1">
      <alignment horizontal="right" vertical="center" wrapText="1"/>
    </xf>
    <xf numFmtId="0" fontId="21" fillId="0" borderId="3" xfId="0" applyFont="1" applyFill="1" applyBorder="1" applyAlignment="1">
      <alignment horizontal="center" vertical="center"/>
    </xf>
    <xf numFmtId="0" fontId="0" fillId="0" borderId="0" xfId="0" applyFill="1" applyBorder="1"/>
    <xf numFmtId="0" fontId="0" fillId="0" borderId="68" xfId="0" applyFill="1" applyBorder="1"/>
    <xf numFmtId="0" fontId="19" fillId="0" borderId="69" xfId="0" applyFont="1" applyFill="1" applyBorder="1" applyAlignment="1">
      <alignment horizontal="center" vertical="center" wrapText="1"/>
    </xf>
    <xf numFmtId="0" fontId="0" fillId="0" borderId="50" xfId="0" applyFill="1" applyBorder="1"/>
    <xf numFmtId="0" fontId="22" fillId="0" borderId="4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wrapText="1"/>
    </xf>
    <xf numFmtId="166" fontId="21" fillId="0" borderId="52" xfId="1" applyNumberFormat="1" applyFont="1" applyFill="1" applyBorder="1" applyAlignment="1" applyProtection="1">
      <alignment horizontal="right" vertical="center" wrapText="1"/>
    </xf>
    <xf numFmtId="0" fontId="0" fillId="0" borderId="4" xfId="0" applyFill="1" applyBorder="1"/>
    <xf numFmtId="0" fontId="19" fillId="0" borderId="4" xfId="0" applyFont="1" applyFill="1" applyBorder="1" applyAlignment="1">
      <alignment horizontal="center" vertical="center" wrapText="1"/>
    </xf>
    <xf numFmtId="0" fontId="0" fillId="0" borderId="53" xfId="0" applyFill="1" applyBorder="1"/>
    <xf numFmtId="0" fontId="0" fillId="0" borderId="0" xfId="0" applyFill="1"/>
    <xf numFmtId="0" fontId="26" fillId="0" borderId="52" xfId="0" applyFont="1" applyFill="1" applyBorder="1"/>
    <xf numFmtId="0" fontId="26" fillId="0" borderId="4" xfId="0" applyFont="1" applyFill="1" applyBorder="1"/>
    <xf numFmtId="0" fontId="22" fillId="0" borderId="50" xfId="0" applyFont="1" applyFill="1" applyBorder="1" applyAlignment="1">
      <alignment horizontal="center" vertical="center" wrapText="1"/>
    </xf>
    <xf numFmtId="0" fontId="26" fillId="0" borderId="65" xfId="0" applyFont="1" applyFill="1" applyBorder="1"/>
    <xf numFmtId="0" fontId="26" fillId="0" borderId="50" xfId="0" applyFont="1" applyFill="1" applyBorder="1"/>
    <xf numFmtId="0" fontId="19" fillId="0" borderId="66" xfId="0" applyFont="1" applyFill="1" applyBorder="1" applyAlignment="1">
      <alignment horizontal="center" vertical="center" wrapText="1"/>
    </xf>
    <xf numFmtId="0" fontId="0" fillId="0" borderId="6" xfId="0" applyFill="1" applyBorder="1"/>
    <xf numFmtId="0" fontId="0" fillId="0" borderId="54" xfId="0" applyFill="1" applyBorder="1"/>
    <xf numFmtId="0" fontId="19" fillId="0" borderId="54" xfId="0" applyFont="1" applyFill="1" applyBorder="1" applyAlignment="1">
      <alignment horizontal="center" vertical="center" wrapText="1"/>
    </xf>
    <xf numFmtId="0" fontId="22" fillId="0" borderId="54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wrapText="1"/>
    </xf>
    <xf numFmtId="166" fontId="21" fillId="0" borderId="70" xfId="1" applyNumberFormat="1" applyFont="1" applyFill="1" applyBorder="1" applyAlignment="1" applyProtection="1">
      <alignment horizontal="right" vertical="center" wrapText="1"/>
    </xf>
    <xf numFmtId="0" fontId="21" fillId="0" borderId="5" xfId="0" applyFont="1" applyFill="1" applyBorder="1" applyAlignment="1">
      <alignment horizontal="center" vertical="center"/>
    </xf>
    <xf numFmtId="166" fontId="16" fillId="0" borderId="0" xfId="0" applyNumberFormat="1" applyFont="1" applyFill="1"/>
    <xf numFmtId="0" fontId="23" fillId="0" borderId="7" xfId="0" applyFont="1" applyFill="1" applyBorder="1"/>
    <xf numFmtId="0" fontId="16" fillId="0" borderId="8" xfId="0" applyFont="1" applyFill="1" applyBorder="1"/>
    <xf numFmtId="0" fontId="16" fillId="0" borderId="9" xfId="0" applyFont="1" applyFill="1" applyBorder="1"/>
    <xf numFmtId="0" fontId="16" fillId="0" borderId="10" xfId="0" applyFont="1" applyFill="1" applyBorder="1"/>
    <xf numFmtId="0" fontId="16" fillId="0" borderId="0" xfId="0" applyFont="1" applyFill="1" applyBorder="1"/>
    <xf numFmtId="0" fontId="16" fillId="0" borderId="11" xfId="0" applyFont="1" applyFill="1" applyBorder="1"/>
    <xf numFmtId="0" fontId="23" fillId="0" borderId="10" xfId="0" applyFont="1" applyFill="1" applyBorder="1" applyAlignment="1">
      <alignment horizontal="left" indent="3"/>
    </xf>
    <xf numFmtId="0" fontId="16" fillId="0" borderId="10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12" xfId="0" applyFont="1" applyFill="1" applyBorder="1" applyAlignment="1">
      <alignment horizontal="left" indent="3"/>
    </xf>
    <xf numFmtId="0" fontId="16" fillId="0" borderId="13" xfId="0" applyFont="1" applyFill="1" applyBorder="1"/>
    <xf numFmtId="0" fontId="16" fillId="0" borderId="14" xfId="0" applyFont="1" applyFill="1" applyBorder="1"/>
    <xf numFmtId="0" fontId="20" fillId="0" borderId="57" xfId="0" applyFont="1" applyFill="1" applyBorder="1" applyAlignment="1">
      <alignment horizontal="center" vertical="center" wrapText="1"/>
    </xf>
    <xf numFmtId="166" fontId="21" fillId="0" borderId="4" xfId="1" applyNumberFormat="1" applyFont="1" applyFill="1" applyBorder="1" applyAlignment="1" applyProtection="1">
      <alignment horizontal="right" vertical="center" wrapText="1"/>
    </xf>
    <xf numFmtId="166" fontId="21" fillId="0" borderId="50" xfId="1" applyNumberFormat="1" applyFont="1" applyFill="1" applyBorder="1" applyAlignment="1" applyProtection="1">
      <alignment horizontal="right" vertical="center" wrapText="1"/>
    </xf>
    <xf numFmtId="166" fontId="21" fillId="0" borderId="19" xfId="1" applyNumberFormat="1" applyFont="1" applyFill="1" applyBorder="1" applyAlignment="1" applyProtection="1">
      <alignment horizontal="right" vertical="center" wrapText="1"/>
    </xf>
    <xf numFmtId="0" fontId="16" fillId="0" borderId="11" xfId="0" applyFont="1" applyFill="1" applyBorder="1" applyAlignment="1">
      <alignment horizontal="center" wrapText="1"/>
    </xf>
    <xf numFmtId="0" fontId="16" fillId="0" borderId="11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left" wrapText="1" indent="1"/>
    </xf>
    <xf numFmtId="0" fontId="6" fillId="0" borderId="19" xfId="0" applyFont="1" applyFill="1" applyBorder="1" applyAlignment="1">
      <alignment horizontal="left" vertical="center" wrapText="1" indent="1"/>
    </xf>
    <xf numFmtId="167" fontId="25" fillId="0" borderId="19" xfId="0" applyNumberFormat="1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left" vertical="center" wrapText="1"/>
    </xf>
    <xf numFmtId="0" fontId="7" fillId="0" borderId="21" xfId="0" applyFont="1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 wrapText="1" inden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left" vertical="center" wrapText="1"/>
    </xf>
    <xf numFmtId="0" fontId="7" fillId="0" borderId="20" xfId="0" applyFont="1" applyFill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47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46" xfId="0" applyFont="1" applyFill="1" applyBorder="1" applyAlignment="1">
      <alignment horizontal="left" vertical="center" wrapText="1" indent="1"/>
    </xf>
    <xf numFmtId="0" fontId="0" fillId="0" borderId="40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0" fillId="0" borderId="28" xfId="0" applyBorder="1"/>
    <xf numFmtId="0" fontId="26" fillId="0" borderId="61" xfId="0" applyFont="1" applyBorder="1" applyAlignment="1">
      <alignment horizontal="left" vertical="center" wrapText="1"/>
    </xf>
    <xf numFmtId="0" fontId="0" fillId="0" borderId="61" xfId="0" applyFont="1" applyBorder="1" applyAlignment="1">
      <alignment horizontal="left" vertical="center" wrapText="1"/>
    </xf>
    <xf numFmtId="0" fontId="0" fillId="0" borderId="38" xfId="0" applyFont="1" applyBorder="1" applyAlignment="1">
      <alignment horizontal="left" vertical="center"/>
    </xf>
    <xf numFmtId="0" fontId="12" fillId="0" borderId="29" xfId="0" applyFont="1" applyBorder="1"/>
    <xf numFmtId="0" fontId="12" fillId="0" borderId="30" xfId="0" applyFont="1" applyBorder="1" applyAlignment="1">
      <alignment horizontal="left" vertical="center" wrapText="1" indent="1"/>
    </xf>
    <xf numFmtId="0" fontId="14" fillId="0" borderId="2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indent="1"/>
    </xf>
    <xf numFmtId="0" fontId="13" fillId="0" borderId="16" xfId="0" applyFont="1" applyBorder="1" applyAlignment="1">
      <alignment horizontal="left"/>
    </xf>
    <xf numFmtId="0" fontId="0" fillId="0" borderId="26" xfId="0" applyFont="1" applyBorder="1" applyAlignment="1">
      <alignment horizontal="center"/>
    </xf>
    <xf numFmtId="3" fontId="10" fillId="0" borderId="2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uario\Downloads\2021%20DESCARGAS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zoomScaleNormal="100" workbookViewId="0">
      <selection activeCell="C28" sqref="C28:E28"/>
    </sheetView>
  </sheetViews>
  <sheetFormatPr baseColWidth="10" defaultColWidth="11" defaultRowHeight="12.75" x14ac:dyDescent="0.2"/>
  <cols>
    <col min="1" max="1" width="4.5703125" style="32" customWidth="1"/>
    <col min="2" max="2" width="21.7109375" style="32" customWidth="1"/>
    <col min="3" max="3" width="32.42578125" style="32" customWidth="1"/>
    <col min="4" max="4" width="8.42578125" style="32" customWidth="1"/>
    <col min="5" max="5" width="160.28515625" style="32" customWidth="1"/>
    <col min="6" max="6" width="10.5703125" style="32" bestFit="1" customWidth="1"/>
    <col min="7" max="8" width="10.42578125" style="32" bestFit="1" customWidth="1"/>
    <col min="9" max="9" width="15.7109375" style="32" bestFit="1" customWidth="1"/>
    <col min="10" max="16384" width="11" style="32"/>
  </cols>
  <sheetData>
    <row r="1" spans="1:9" x14ac:dyDescent="0.2">
      <c r="A1" s="58"/>
      <c r="B1" s="58"/>
      <c r="C1" s="58"/>
      <c r="D1" s="58"/>
      <c r="E1" s="58"/>
      <c r="F1" s="58"/>
      <c r="G1" s="58"/>
      <c r="H1" s="58"/>
    </row>
    <row r="2" spans="1:9" ht="27" x14ac:dyDescent="0.35">
      <c r="A2" s="58"/>
      <c r="B2" s="121" t="s">
        <v>0</v>
      </c>
      <c r="C2" s="121"/>
      <c r="D2" s="121"/>
      <c r="E2" s="121"/>
      <c r="F2" s="121"/>
      <c r="G2" s="121"/>
      <c r="H2" s="121"/>
    </row>
    <row r="3" spans="1:9" x14ac:dyDescent="0.2">
      <c r="A3" s="58"/>
      <c r="B3" s="58"/>
      <c r="C3" s="58"/>
      <c r="D3" s="58"/>
      <c r="E3" s="58"/>
      <c r="F3" s="58"/>
      <c r="G3" s="58"/>
      <c r="H3" s="58"/>
    </row>
    <row r="4" spans="1:9" ht="18" customHeight="1" x14ac:dyDescent="0.25">
      <c r="A4" s="118" t="s">
        <v>1</v>
      </c>
      <c r="B4" s="118"/>
      <c r="C4" s="122" t="s">
        <v>62</v>
      </c>
      <c r="D4" s="122"/>
      <c r="E4" s="122"/>
      <c r="F4" s="59"/>
      <c r="G4" s="60"/>
      <c r="H4" s="59"/>
    </row>
    <row r="5" spans="1:9" ht="18" customHeight="1" x14ac:dyDescent="0.25">
      <c r="A5" s="118" t="s">
        <v>2</v>
      </c>
      <c r="B5" s="118"/>
      <c r="C5" s="122" t="s">
        <v>59</v>
      </c>
      <c r="D5" s="122"/>
      <c r="E5" s="122"/>
      <c r="F5" s="59"/>
      <c r="G5" s="60"/>
      <c r="H5" s="59"/>
    </row>
    <row r="6" spans="1:9" ht="16.5" customHeight="1" x14ac:dyDescent="0.25">
      <c r="A6" s="118" t="s">
        <v>3</v>
      </c>
      <c r="B6" s="118"/>
      <c r="C6" s="61">
        <v>2021</v>
      </c>
      <c r="D6" s="62"/>
      <c r="E6" s="62"/>
      <c r="F6" s="59"/>
      <c r="G6" s="60"/>
      <c r="H6" s="59"/>
    </row>
    <row r="7" spans="1:9" ht="16.5" customHeight="1" x14ac:dyDescent="0.25">
      <c r="A7" s="118" t="s">
        <v>4</v>
      </c>
      <c r="B7" s="118"/>
      <c r="C7" s="61">
        <v>2</v>
      </c>
      <c r="D7" s="62"/>
      <c r="E7" s="62"/>
      <c r="F7" s="59"/>
      <c r="G7" s="60"/>
      <c r="H7" s="59"/>
    </row>
    <row r="8" spans="1:9" ht="13.5" thickBot="1" x14ac:dyDescent="0.25">
      <c r="A8" s="58"/>
      <c r="B8" s="59"/>
      <c r="C8" s="60"/>
      <c r="D8" s="59"/>
      <c r="E8" s="59"/>
      <c r="F8" s="59"/>
      <c r="G8" s="60"/>
      <c r="H8" s="59"/>
    </row>
    <row r="9" spans="1:9" ht="39" thickBot="1" x14ac:dyDescent="0.25">
      <c r="A9" s="63" t="s">
        <v>5</v>
      </c>
      <c r="B9" s="64" t="s">
        <v>6</v>
      </c>
      <c r="C9" s="64" t="s">
        <v>7</v>
      </c>
      <c r="D9" s="65" t="s">
        <v>8</v>
      </c>
      <c r="E9" s="64" t="s">
        <v>9</v>
      </c>
      <c r="F9" s="66" t="s">
        <v>10</v>
      </c>
      <c r="G9" s="67" t="s">
        <v>11</v>
      </c>
      <c r="H9" s="67" t="s">
        <v>12</v>
      </c>
      <c r="I9" s="112" t="s">
        <v>13</v>
      </c>
    </row>
    <row r="10" spans="1:9" x14ac:dyDescent="0.2">
      <c r="A10" s="68">
        <v>1</v>
      </c>
      <c r="B10" s="37" t="s">
        <v>67</v>
      </c>
      <c r="C10" s="35" t="s">
        <v>57</v>
      </c>
      <c r="D10" s="69" t="s">
        <v>63</v>
      </c>
      <c r="E10" s="36" t="s">
        <v>66</v>
      </c>
      <c r="F10" s="70" t="s">
        <v>14</v>
      </c>
      <c r="G10" s="71">
        <v>100000</v>
      </c>
      <c r="H10" s="72">
        <v>443</v>
      </c>
      <c r="I10" s="113">
        <f>+G10*H10</f>
        <v>44300000</v>
      </c>
    </row>
    <row r="11" spans="1:9" x14ac:dyDescent="0.2">
      <c r="A11" s="73">
        <v>2</v>
      </c>
      <c r="B11" s="74" t="s">
        <v>64</v>
      </c>
      <c r="C11" s="75" t="s">
        <v>57</v>
      </c>
      <c r="D11" s="76" t="str">
        <f t="shared" ref="D11:D17" si="0">LEFT(B11,5)</f>
        <v>2.1.1</v>
      </c>
      <c r="E11" s="77" t="s">
        <v>65</v>
      </c>
      <c r="F11" s="78" t="s">
        <v>14</v>
      </c>
      <c r="G11" s="79">
        <v>100000</v>
      </c>
      <c r="H11" s="80">
        <v>149.35</v>
      </c>
      <c r="I11" s="113">
        <f t="shared" ref="I11:I21" si="1">+G11*H11</f>
        <v>14935000</v>
      </c>
    </row>
    <row r="12" spans="1:9" x14ac:dyDescent="0.2">
      <c r="A12" s="73">
        <v>3</v>
      </c>
      <c r="B12" s="81" t="s">
        <v>80</v>
      </c>
      <c r="C12" s="81" t="s">
        <v>57</v>
      </c>
      <c r="D12" s="82" t="str">
        <f t="shared" si="0"/>
        <v>2.1.1</v>
      </c>
      <c r="E12" s="81" t="s">
        <v>81</v>
      </c>
      <c r="F12" s="78" t="s">
        <v>14</v>
      </c>
      <c r="G12" s="79">
        <v>100000</v>
      </c>
      <c r="H12" s="80">
        <v>245</v>
      </c>
      <c r="I12" s="113">
        <f t="shared" si="1"/>
        <v>24500000</v>
      </c>
    </row>
    <row r="13" spans="1:9" x14ac:dyDescent="0.2">
      <c r="A13" s="73">
        <v>4</v>
      </c>
      <c r="B13" s="81" t="s">
        <v>87</v>
      </c>
      <c r="C13" s="83" t="s">
        <v>57</v>
      </c>
      <c r="D13" s="76" t="str">
        <f t="shared" si="0"/>
        <v>2.1.1</v>
      </c>
      <c r="E13" s="84" t="s">
        <v>88</v>
      </c>
      <c r="F13" s="78" t="s">
        <v>14</v>
      </c>
      <c r="G13" s="79">
        <v>100000</v>
      </c>
      <c r="H13" s="80">
        <v>175</v>
      </c>
      <c r="I13" s="113">
        <f t="shared" si="1"/>
        <v>17500000</v>
      </c>
    </row>
    <row r="14" spans="1:9" x14ac:dyDescent="0.2">
      <c r="A14" s="68">
        <v>5</v>
      </c>
      <c r="B14" s="85" t="s">
        <v>69</v>
      </c>
      <c r="C14" s="81" t="s">
        <v>57</v>
      </c>
      <c r="D14" s="69" t="s">
        <v>63</v>
      </c>
      <c r="E14" s="86" t="s">
        <v>68</v>
      </c>
      <c r="F14" s="78" t="s">
        <v>14</v>
      </c>
      <c r="G14" s="79">
        <v>100000</v>
      </c>
      <c r="H14" s="80">
        <v>88.75</v>
      </c>
      <c r="I14" s="113">
        <f t="shared" si="1"/>
        <v>8875000</v>
      </c>
    </row>
    <row r="15" spans="1:9" x14ac:dyDescent="0.2">
      <c r="A15" s="73">
        <v>6</v>
      </c>
      <c r="B15" s="81" t="s">
        <v>92</v>
      </c>
      <c r="C15" s="81" t="s">
        <v>57</v>
      </c>
      <c r="D15" s="82" t="str">
        <f t="shared" si="0"/>
        <v>2.1.1</v>
      </c>
      <c r="E15" s="84" t="s">
        <v>93</v>
      </c>
      <c r="F15" s="87" t="s">
        <v>14</v>
      </c>
      <c r="G15" s="79">
        <v>100000</v>
      </c>
      <c r="H15" s="80">
        <v>43</v>
      </c>
      <c r="I15" s="113">
        <f t="shared" si="1"/>
        <v>4300000</v>
      </c>
    </row>
    <row r="16" spans="1:9" x14ac:dyDescent="0.2">
      <c r="A16" s="73">
        <v>7</v>
      </c>
      <c r="B16" s="81" t="s">
        <v>82</v>
      </c>
      <c r="C16" s="81" t="s">
        <v>57</v>
      </c>
      <c r="D16" s="82" t="str">
        <f t="shared" si="0"/>
        <v>2.1.1</v>
      </c>
      <c r="E16" s="81" t="s">
        <v>83</v>
      </c>
      <c r="F16" s="87" t="s">
        <v>14</v>
      </c>
      <c r="G16" s="79">
        <v>100000</v>
      </c>
      <c r="H16" s="80">
        <v>39</v>
      </c>
      <c r="I16" s="113">
        <f t="shared" si="1"/>
        <v>3900000</v>
      </c>
    </row>
    <row r="17" spans="1:10" x14ac:dyDescent="0.2">
      <c r="A17" s="73">
        <v>8</v>
      </c>
      <c r="B17" s="88" t="s">
        <v>71</v>
      </c>
      <c r="C17" s="77" t="s">
        <v>57</v>
      </c>
      <c r="D17" s="82" t="str">
        <f t="shared" si="0"/>
        <v>2.1.1</v>
      </c>
      <c r="E17" s="89" t="s">
        <v>70</v>
      </c>
      <c r="F17" s="87" t="s">
        <v>14</v>
      </c>
      <c r="G17" s="79">
        <v>100000</v>
      </c>
      <c r="H17" s="80">
        <v>56</v>
      </c>
      <c r="I17" s="113">
        <f t="shared" si="1"/>
        <v>5600000</v>
      </c>
    </row>
    <row r="18" spans="1:10" x14ac:dyDescent="0.2">
      <c r="A18" s="68">
        <v>9</v>
      </c>
      <c r="B18" s="81" t="s">
        <v>74</v>
      </c>
      <c r="C18" s="81" t="s">
        <v>57</v>
      </c>
      <c r="D18" s="90" t="s">
        <v>63</v>
      </c>
      <c r="E18" s="81" t="s">
        <v>75</v>
      </c>
      <c r="F18" s="87" t="s">
        <v>14</v>
      </c>
      <c r="G18" s="79">
        <v>100000</v>
      </c>
      <c r="H18" s="80">
        <v>39</v>
      </c>
      <c r="I18" s="113">
        <f t="shared" si="1"/>
        <v>3900000</v>
      </c>
    </row>
    <row r="19" spans="1:10" x14ac:dyDescent="0.2">
      <c r="A19" s="73">
        <v>10</v>
      </c>
      <c r="B19" s="81" t="s">
        <v>76</v>
      </c>
      <c r="C19" s="81" t="s">
        <v>57</v>
      </c>
      <c r="D19" s="90" t="s">
        <v>63</v>
      </c>
      <c r="E19" s="81" t="s">
        <v>77</v>
      </c>
      <c r="F19" s="87" t="s">
        <v>14</v>
      </c>
      <c r="G19" s="79">
        <v>100000</v>
      </c>
      <c r="H19" s="80">
        <v>39</v>
      </c>
      <c r="I19" s="113">
        <f t="shared" si="1"/>
        <v>3900000</v>
      </c>
    </row>
    <row r="20" spans="1:10" x14ac:dyDescent="0.2">
      <c r="A20" s="73">
        <v>11</v>
      </c>
      <c r="B20" s="77" t="s">
        <v>78</v>
      </c>
      <c r="C20" s="77" t="s">
        <v>57</v>
      </c>
      <c r="D20" s="90" t="s">
        <v>63</v>
      </c>
      <c r="E20" s="77" t="s">
        <v>79</v>
      </c>
      <c r="F20" s="87" t="s">
        <v>14</v>
      </c>
      <c r="G20" s="79">
        <v>100000</v>
      </c>
      <c r="H20" s="80">
        <v>39</v>
      </c>
      <c r="I20" s="113">
        <f t="shared" si="1"/>
        <v>3900000</v>
      </c>
    </row>
    <row r="21" spans="1:10" ht="13.5" thickBot="1" x14ac:dyDescent="0.25">
      <c r="A21" s="73">
        <v>12</v>
      </c>
      <c r="B21" s="91" t="s">
        <v>84</v>
      </c>
      <c r="C21" s="92" t="s">
        <v>57</v>
      </c>
      <c r="D21" s="93" t="s">
        <v>63</v>
      </c>
      <c r="E21" s="92" t="s">
        <v>85</v>
      </c>
      <c r="F21" s="94" t="s">
        <v>14</v>
      </c>
      <c r="G21" s="95">
        <v>100000</v>
      </c>
      <c r="H21" s="96">
        <v>82</v>
      </c>
      <c r="I21" s="114">
        <f t="shared" si="1"/>
        <v>8200000</v>
      </c>
    </row>
    <row r="22" spans="1:10" ht="13.5" thickBot="1" x14ac:dyDescent="0.25">
      <c r="A22" s="97"/>
      <c r="B22" s="91"/>
      <c r="C22" s="92"/>
      <c r="D22" s="93"/>
      <c r="E22" s="92"/>
      <c r="F22" s="94"/>
      <c r="G22" s="95"/>
      <c r="H22" s="96"/>
      <c r="I22" s="115"/>
    </row>
    <row r="23" spans="1:10" x14ac:dyDescent="0.2">
      <c r="A23" s="58"/>
      <c r="B23" s="58"/>
      <c r="C23" s="58"/>
      <c r="D23" s="58"/>
      <c r="E23" s="58"/>
      <c r="F23" s="58"/>
      <c r="G23" s="58"/>
      <c r="H23" s="58"/>
      <c r="I23" s="39"/>
      <c r="J23" s="39"/>
    </row>
    <row r="24" spans="1:10" x14ac:dyDescent="0.2">
      <c r="A24" s="58"/>
      <c r="B24" s="58"/>
      <c r="C24" s="58"/>
      <c r="D24" s="58"/>
      <c r="E24" s="58"/>
      <c r="F24" s="58"/>
      <c r="G24" s="58"/>
      <c r="H24" s="98"/>
      <c r="J24" s="39"/>
    </row>
    <row r="25" spans="1:10" x14ac:dyDescent="0.2">
      <c r="A25" s="58"/>
      <c r="B25" s="99" t="s">
        <v>96</v>
      </c>
      <c r="C25" s="100"/>
      <c r="D25" s="100"/>
      <c r="E25" s="101"/>
      <c r="F25" s="58"/>
      <c r="G25" s="58"/>
      <c r="H25" s="58"/>
    </row>
    <row r="26" spans="1:10" ht="5.25" customHeight="1" x14ac:dyDescent="0.2">
      <c r="A26" s="58"/>
      <c r="B26" s="102"/>
      <c r="C26" s="103"/>
      <c r="D26" s="103"/>
      <c r="E26" s="104"/>
      <c r="F26" s="58"/>
      <c r="G26" s="58"/>
      <c r="H26" s="58"/>
    </row>
    <row r="27" spans="1:10" x14ac:dyDescent="0.2">
      <c r="A27" s="58"/>
      <c r="B27" s="105" t="s">
        <v>15</v>
      </c>
      <c r="C27" s="103"/>
      <c r="D27" s="103"/>
      <c r="E27" s="104"/>
      <c r="F27" s="58"/>
      <c r="G27" s="58"/>
      <c r="H27" s="58"/>
    </row>
    <row r="28" spans="1:10" ht="41.25" customHeight="1" x14ac:dyDescent="0.2">
      <c r="A28" s="58"/>
      <c r="B28" s="105"/>
      <c r="C28" s="116"/>
      <c r="D28" s="116"/>
      <c r="E28" s="116"/>
      <c r="F28" s="58"/>
      <c r="G28" s="58"/>
      <c r="H28" s="58"/>
    </row>
    <row r="29" spans="1:10" x14ac:dyDescent="0.2">
      <c r="A29" s="58"/>
      <c r="B29" s="105" t="s">
        <v>16</v>
      </c>
      <c r="C29" s="103"/>
      <c r="D29" s="103"/>
      <c r="E29" s="104"/>
      <c r="F29" s="58"/>
      <c r="G29" s="58"/>
      <c r="H29" s="58"/>
    </row>
    <row r="30" spans="1:10" ht="31.5" customHeight="1" x14ac:dyDescent="0.2">
      <c r="A30" s="58"/>
      <c r="B30" s="106"/>
      <c r="C30" s="119" t="s">
        <v>99</v>
      </c>
      <c r="D30" s="119"/>
      <c r="E30" s="120"/>
      <c r="F30" s="58"/>
      <c r="G30" s="58"/>
      <c r="H30" s="58"/>
    </row>
    <row r="31" spans="1:10" x14ac:dyDescent="0.2">
      <c r="A31" s="58"/>
      <c r="B31" s="106"/>
      <c r="C31" s="117" t="s">
        <v>72</v>
      </c>
      <c r="D31" s="117"/>
      <c r="E31" s="117"/>
      <c r="F31" s="58"/>
      <c r="G31" s="58"/>
      <c r="H31" s="58"/>
    </row>
    <row r="32" spans="1:10" x14ac:dyDescent="0.2">
      <c r="A32" s="58"/>
      <c r="B32" s="105" t="s">
        <v>17</v>
      </c>
      <c r="C32" s="103"/>
      <c r="D32" s="103"/>
      <c r="E32" s="104"/>
      <c r="F32" s="58"/>
      <c r="G32" s="58"/>
      <c r="H32" s="58"/>
    </row>
    <row r="33" spans="1:8" ht="26.25" customHeight="1" x14ac:dyDescent="0.2">
      <c r="A33" s="58"/>
      <c r="B33" s="106"/>
      <c r="C33" s="116" t="s">
        <v>61</v>
      </c>
      <c r="D33" s="116"/>
      <c r="E33" s="116"/>
      <c r="F33" s="58"/>
      <c r="G33" s="58"/>
      <c r="H33" s="58"/>
    </row>
    <row r="34" spans="1:8" x14ac:dyDescent="0.2">
      <c r="A34" s="58"/>
      <c r="B34" s="105" t="s">
        <v>18</v>
      </c>
      <c r="C34" s="107"/>
      <c r="D34" s="107"/>
      <c r="E34" s="108"/>
      <c r="F34" s="58"/>
      <c r="G34" s="58"/>
      <c r="H34" s="58"/>
    </row>
    <row r="35" spans="1:8" ht="26.25" customHeight="1" x14ac:dyDescent="0.2">
      <c r="A35" s="58"/>
      <c r="B35" s="106"/>
      <c r="C35" s="116" t="s">
        <v>73</v>
      </c>
      <c r="D35" s="116"/>
      <c r="E35" s="116"/>
      <c r="F35" s="58"/>
      <c r="G35" s="58"/>
      <c r="H35" s="58"/>
    </row>
    <row r="36" spans="1:8" x14ac:dyDescent="0.2">
      <c r="A36" s="58"/>
      <c r="B36" s="105" t="s">
        <v>19</v>
      </c>
      <c r="C36" s="103"/>
      <c r="D36" s="103"/>
      <c r="E36" s="104"/>
      <c r="F36" s="58"/>
      <c r="G36" s="58"/>
      <c r="H36" s="58"/>
    </row>
    <row r="37" spans="1:8" ht="23.25" customHeight="1" x14ac:dyDescent="0.2">
      <c r="A37" s="58"/>
      <c r="B37" s="105"/>
      <c r="C37" s="117" t="s">
        <v>60</v>
      </c>
      <c r="D37" s="117"/>
      <c r="E37" s="117"/>
      <c r="F37" s="58"/>
      <c r="G37" s="58"/>
      <c r="H37" s="58"/>
    </row>
    <row r="38" spans="1:8" x14ac:dyDescent="0.2">
      <c r="A38" s="58"/>
      <c r="B38" s="109"/>
      <c r="C38" s="110"/>
      <c r="D38" s="110"/>
      <c r="E38" s="111"/>
      <c r="F38" s="58"/>
      <c r="G38" s="58"/>
      <c r="H38" s="58"/>
    </row>
    <row r="39" spans="1:8" x14ac:dyDescent="0.2">
      <c r="A39" s="58"/>
      <c r="B39" s="58"/>
      <c r="C39" s="58"/>
      <c r="D39" s="58"/>
      <c r="E39" s="58"/>
      <c r="F39" s="58"/>
      <c r="G39" s="58"/>
      <c r="H39" s="58"/>
    </row>
  </sheetData>
  <mergeCells count="13">
    <mergeCell ref="B2:H2"/>
    <mergeCell ref="A4:B4"/>
    <mergeCell ref="C4:E4"/>
    <mergeCell ref="A5:B5"/>
    <mergeCell ref="C5:E5"/>
    <mergeCell ref="C33:E33"/>
    <mergeCell ref="C35:E35"/>
    <mergeCell ref="C37:E37"/>
    <mergeCell ref="A6:B6"/>
    <mergeCell ref="A7:B7"/>
    <mergeCell ref="C28:E28"/>
    <mergeCell ref="C31:E31"/>
    <mergeCell ref="C30:E30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5"/>
  <sheetViews>
    <sheetView tabSelected="1" zoomScale="110" zoomScaleNormal="110" workbookViewId="0">
      <selection activeCell="O10" sqref="O10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4.42578125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31" t="s">
        <v>20</v>
      </c>
      <c r="B1" s="131"/>
      <c r="C1" s="131"/>
      <c r="D1" s="131"/>
      <c r="E1" s="131"/>
      <c r="F1" s="131"/>
      <c r="G1" s="131"/>
      <c r="H1" s="131"/>
      <c r="I1" s="131"/>
      <c r="J1" s="44" t="s">
        <v>21</v>
      </c>
      <c r="K1" s="45" t="s">
        <v>98</v>
      </c>
    </row>
    <row r="2" spans="1:11" ht="18.75" customHeight="1" thickBot="1" x14ac:dyDescent="0.25">
      <c r="A2" s="46"/>
      <c r="B2" s="46"/>
      <c r="C2" s="46"/>
      <c r="D2" s="47"/>
      <c r="E2" s="47"/>
      <c r="F2" s="47"/>
      <c r="G2" s="47"/>
      <c r="H2" s="47"/>
      <c r="I2" s="47"/>
      <c r="J2" s="47"/>
      <c r="K2" s="47"/>
    </row>
    <row r="3" spans="1:11" ht="18.75" customHeight="1" thickBot="1" x14ac:dyDescent="0.25">
      <c r="A3" s="132" t="s">
        <v>54</v>
      </c>
      <c r="B3" s="132"/>
      <c r="C3" s="132"/>
      <c r="D3" s="123" t="str">
        <f>'Necesidades Trimestrales'!C4</f>
        <v>45- Ministerio de Desarrollo Social y Deporte.-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25">
      <c r="A4" s="133" t="s">
        <v>55</v>
      </c>
      <c r="B4" s="133"/>
      <c r="C4" s="133"/>
      <c r="D4" s="123" t="str">
        <f>'Necesidades Trimestrales'!C5</f>
        <v>25- Direccion Provincial de Gestion Administracion y RRHH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25">
      <c r="A5" s="133" t="s">
        <v>33</v>
      </c>
      <c r="B5" s="133"/>
      <c r="C5" s="133"/>
      <c r="D5" s="123" t="s">
        <v>89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25">
      <c r="A6" s="132" t="s">
        <v>56</v>
      </c>
      <c r="B6" s="132"/>
      <c r="C6" s="132"/>
      <c r="D6" s="123" t="s">
        <v>90</v>
      </c>
      <c r="E6" s="123"/>
      <c r="F6" s="123"/>
      <c r="G6" s="123"/>
      <c r="H6" s="123"/>
      <c r="I6" s="123"/>
      <c r="J6" s="123"/>
      <c r="K6" s="123"/>
    </row>
    <row r="7" spans="1:11" ht="16.5" customHeight="1" x14ac:dyDescent="0.2">
      <c r="A7" s="133" t="s">
        <v>22</v>
      </c>
      <c r="B7" s="133"/>
      <c r="C7" s="133"/>
      <c r="D7" s="123" t="str">
        <f>'Necesidades Trimestrales'!C7 &amp; "° Trimestre - Año " &amp; 'Necesidades Trimestrales'!C6</f>
        <v>2° Trimestre - Año 2021</v>
      </c>
      <c r="E7" s="123"/>
      <c r="F7" s="123"/>
      <c r="G7" s="123"/>
      <c r="H7" s="123"/>
      <c r="I7" s="123"/>
      <c r="J7" s="123"/>
      <c r="K7" s="123"/>
    </row>
    <row r="8" spans="1:11" ht="40.5" customHeight="1" x14ac:dyDescent="0.2">
      <c r="A8" s="126" t="s">
        <v>23</v>
      </c>
      <c r="B8" s="126"/>
      <c r="C8" s="126"/>
      <c r="D8" s="127" t="s">
        <v>86</v>
      </c>
      <c r="E8" s="127"/>
      <c r="F8" s="127"/>
      <c r="G8" s="127"/>
      <c r="H8" s="127"/>
      <c r="I8" s="127"/>
      <c r="J8" s="127"/>
      <c r="K8" s="127"/>
    </row>
    <row r="9" spans="1:11" ht="15.75" x14ac:dyDescent="0.2">
      <c r="A9" s="48"/>
      <c r="B9" s="48"/>
      <c r="C9" s="48"/>
      <c r="D9" s="49"/>
      <c r="E9" s="49"/>
      <c r="F9" s="49"/>
      <c r="G9" s="49"/>
      <c r="H9" s="49"/>
      <c r="I9" s="49"/>
      <c r="J9" s="49"/>
      <c r="K9" s="49"/>
    </row>
    <row r="10" spans="1:11" ht="18.75" customHeight="1" x14ac:dyDescent="0.2">
      <c r="A10" s="128" t="s">
        <v>24</v>
      </c>
      <c r="B10" s="129" t="s">
        <v>25</v>
      </c>
      <c r="C10" s="129" t="s">
        <v>26</v>
      </c>
      <c r="D10" s="129"/>
      <c r="E10" s="129"/>
      <c r="F10" s="129"/>
      <c r="G10" s="129"/>
      <c r="H10" s="129" t="s">
        <v>27</v>
      </c>
      <c r="I10" s="129" t="s">
        <v>28</v>
      </c>
      <c r="J10" s="129" t="s">
        <v>29</v>
      </c>
      <c r="K10" s="130" t="s">
        <v>30</v>
      </c>
    </row>
    <row r="11" spans="1:11" ht="24" customHeight="1" x14ac:dyDescent="0.2">
      <c r="A11" s="128"/>
      <c r="B11" s="129"/>
      <c r="C11" s="129"/>
      <c r="D11" s="129"/>
      <c r="E11" s="129"/>
      <c r="F11" s="129"/>
      <c r="G11" s="129"/>
      <c r="H11" s="129"/>
      <c r="I11" s="129"/>
      <c r="J11" s="129"/>
      <c r="K11" s="130"/>
    </row>
    <row r="12" spans="1:11" ht="42" customHeight="1" thickBot="1" x14ac:dyDescent="0.25">
      <c r="A12" s="50">
        <v>1</v>
      </c>
      <c r="B12" s="51" t="str">
        <f>'Necesidades Trimestrales'!B10</f>
        <v>2.1.1-705.93</v>
      </c>
      <c r="C12" s="125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25"/>
      <c r="E12" s="125"/>
      <c r="F12" s="125"/>
      <c r="G12" s="125"/>
      <c r="H12" s="50" t="s">
        <v>97</v>
      </c>
      <c r="I12" s="52" t="str">
        <f>'Necesidades Trimestrales'!F10</f>
        <v>UNIDAD</v>
      </c>
      <c r="J12" s="53">
        <f>'Necesidades Trimestrales'!H10</f>
        <v>443</v>
      </c>
      <c r="K12" s="54">
        <f>'Necesidades Trimestrales'!G10</f>
        <v>100000</v>
      </c>
    </row>
    <row r="13" spans="1:11" ht="41.25" customHeight="1" thickBot="1" x14ac:dyDescent="0.25">
      <c r="A13" s="55">
        <v>2</v>
      </c>
      <c r="B13" s="51" t="str">
        <f>'Necesidades Trimestrales'!B11</f>
        <v>2.1.1-439.67</v>
      </c>
      <c r="C13" s="125" t="str">
        <f>'Necesidades Trimestrales'!E11</f>
        <v>ACEITES COMESTIBLES; TIPO: GIRASOL, PRESENTACION: ENVASE X 900 CM3, MATERIAL ENVASE: PLASTICO 1 (PET), ELEM. TRANSPORTE: SIN, MATERIAL ELEM. TRANSPORTE : SIN, LIBRE DE GLUTEN: NO</v>
      </c>
      <c r="D13" s="125"/>
      <c r="E13" s="125"/>
      <c r="F13" s="125"/>
      <c r="G13" s="125"/>
      <c r="H13" s="50" t="s">
        <v>97</v>
      </c>
      <c r="I13" s="52" t="str">
        <f>'Necesidades Trimestrales'!F11</f>
        <v>UNIDAD</v>
      </c>
      <c r="J13" s="53">
        <f>'Necesidades Trimestrales'!H11</f>
        <v>149.35</v>
      </c>
      <c r="K13" s="54">
        <f>'Necesidades Trimestrales'!G11</f>
        <v>100000</v>
      </c>
    </row>
    <row r="14" spans="1:11" ht="29.25" customHeight="1" thickBot="1" x14ac:dyDescent="0.25">
      <c r="A14" s="55">
        <v>3</v>
      </c>
      <c r="B14" s="51" t="str">
        <f>'Necesidades Trimestrales'!B12</f>
        <v>2.1.1-454.25</v>
      </c>
      <c r="C14" s="125" t="str">
        <f>'Necesidades Trimestrales'!E12</f>
        <v>YERBAS; PALO: CON, PESO: 1 Kg, MATERIAL ENVASE : PAPEL, CERTIFICADO FORESTAL (GFS): CON, ELEM. TRANSPORTE: SIN, MATERIAL ELEM. TRANSPORTE: SIN, LIBRE DE GLUTEN: SI</v>
      </c>
      <c r="D14" s="125"/>
      <c r="E14" s="125"/>
      <c r="F14" s="125"/>
      <c r="G14" s="125"/>
      <c r="H14" s="50" t="s">
        <v>97</v>
      </c>
      <c r="I14" s="52" t="str">
        <f>'Necesidades Trimestrales'!F12</f>
        <v>UNIDAD</v>
      </c>
      <c r="J14" s="53">
        <f>'Necesidades Trimestrales'!H12</f>
        <v>245</v>
      </c>
      <c r="K14" s="54">
        <f>'Necesidades Trimestrales'!G12</f>
        <v>100000</v>
      </c>
    </row>
    <row r="15" spans="1:11" ht="32.25" customHeight="1" thickBot="1" x14ac:dyDescent="0.25">
      <c r="A15" s="55">
        <v>4</v>
      </c>
      <c r="B15" s="51" t="str">
        <f>'Necesidades Trimestrales'!B13</f>
        <v>2.1.1-708.23</v>
      </c>
      <c r="C15" s="125" t="str">
        <f>'Necesidades Trimestrales'!E13</f>
        <v>CONSERVAS PESCADO Y FRUTOS MAR; ESTADO: AL NATURAL, PESO: 380 GR, ENVASE: LATA, TIPO: CABALLA, ESPECIE: CABALLA</v>
      </c>
      <c r="D15" s="125"/>
      <c r="E15" s="125"/>
      <c r="F15" s="125"/>
      <c r="G15" s="125"/>
      <c r="H15" s="50" t="s">
        <v>97</v>
      </c>
      <c r="I15" s="52" t="str">
        <f>'Necesidades Trimestrales'!F13</f>
        <v>UNIDAD</v>
      </c>
      <c r="J15" s="53">
        <f>'Necesidades Trimestrales'!H13</f>
        <v>175</v>
      </c>
      <c r="K15" s="54">
        <f>'Necesidades Trimestrales'!G13</f>
        <v>100000</v>
      </c>
    </row>
    <row r="16" spans="1:11" ht="43.5" customHeight="1" thickBot="1" x14ac:dyDescent="0.25">
      <c r="A16" s="55">
        <v>5</v>
      </c>
      <c r="B16" s="51" t="str">
        <f>'Necesidades Trimestrales'!B14</f>
        <v>2.1.1-435.60</v>
      </c>
      <c r="C16" s="125" t="str">
        <f>'Necesidades Trimestrales'!E14</f>
        <v>ARROZ; TIPO GRANO: LARGO-FINO, TIPO: BLANCO, PROCESO: SIN CASCARA, PRESENTACION: BOLSA X 1 Kg, MATERIAL ENVASE: PLASTICO, CERTIFICADO FORESTAL (GFS): SIN, ELEM. TRANSPORTE: SIN, MATERIAL ELEM. TRANSPORTE: SIN, LIBRE DE GLUTEN: SI</v>
      </c>
      <c r="D16" s="125"/>
      <c r="E16" s="125"/>
      <c r="F16" s="125"/>
      <c r="G16" s="125"/>
      <c r="H16" s="50" t="s">
        <v>97</v>
      </c>
      <c r="I16" s="52" t="str">
        <f>'Necesidades Trimestrales'!F14</f>
        <v>UNIDAD</v>
      </c>
      <c r="J16" s="53">
        <f>'Necesidades Trimestrales'!H14</f>
        <v>88.75</v>
      </c>
      <c r="K16" s="54">
        <f>'Necesidades Trimestrales'!G14</f>
        <v>100000</v>
      </c>
    </row>
    <row r="17" spans="1:1024" ht="38.25" customHeight="1" thickBot="1" x14ac:dyDescent="0.25">
      <c r="A17" s="55">
        <v>6</v>
      </c>
      <c r="B17" s="51" t="str">
        <f>'Necesidades Trimestrales'!B15</f>
        <v>2.1.1-482.70</v>
      </c>
      <c r="C17" s="125" t="str">
        <f>'Necesidades Trimestrales'!E15</f>
        <v>HARINAS; TIPO: 000, PRESENTACION: ENVASE X 1 Kg, MATERIAL ENVASE: PAPEL, CERTICADO FORESTAL (GFS): SI, ELEM. TRANSPORTE: SIN, MATERIAL ELEM. TRANSPORTE: SIN, LIBRE DE GLUTEN: NO</v>
      </c>
      <c r="D17" s="125"/>
      <c r="E17" s="125"/>
      <c r="F17" s="125"/>
      <c r="G17" s="125"/>
      <c r="H17" s="50" t="s">
        <v>97</v>
      </c>
      <c r="I17" s="52" t="str">
        <f>'Necesidades Trimestrales'!F15</f>
        <v>UNIDAD</v>
      </c>
      <c r="J17" s="53">
        <f>'Necesidades Trimestrales'!H15</f>
        <v>43</v>
      </c>
      <c r="K17" s="54">
        <f>'Necesidades Trimestrales'!G15</f>
        <v>100000</v>
      </c>
    </row>
    <row r="18" spans="1:1024" ht="27.75" customHeight="1" thickBot="1" x14ac:dyDescent="0.25">
      <c r="A18" s="55">
        <v>7</v>
      </c>
      <c r="B18" s="51" t="str">
        <f>'Necesidades Trimestrales'!B16</f>
        <v>2.1.1-6546.260</v>
      </c>
      <c r="C18" s="125" t="str">
        <f>'Necesidades Trimestrales'!E16</f>
        <v>VERDURAS Y HORTALIZAS; VARIEDAD: TOMATE, ESTADO: PURE, PRESENTACION: TETRABRIK, PESO: 520 GR</v>
      </c>
      <c r="D18" s="125"/>
      <c r="E18" s="125"/>
      <c r="F18" s="125"/>
      <c r="G18" s="125"/>
      <c r="H18" s="50" t="s">
        <v>97</v>
      </c>
      <c r="I18" s="56" t="s">
        <v>14</v>
      </c>
      <c r="J18" s="53">
        <f>'Necesidades Trimestrales'!H16</f>
        <v>39</v>
      </c>
      <c r="K18" s="54">
        <f>'Necesidades Trimestrales'!G16</f>
        <v>100000</v>
      </c>
    </row>
    <row r="19" spans="1:1024" ht="37.5" customHeight="1" thickBot="1" x14ac:dyDescent="0.25">
      <c r="A19" s="55">
        <v>8</v>
      </c>
      <c r="B19" s="51" t="str">
        <f>'Necesidades Trimestrales'!B17</f>
        <v>2.1.1-481.38</v>
      </c>
      <c r="C19" s="125" t="str">
        <f>'Necesidades Trimestrales'!E17</f>
        <v>AZUCARES; TIPO: "A" COMUN, ESTADO: MOLIDA, PESO: 1 Kg, MATERIAL ENVASE: PLASTICO, CERTIFICADO FORESTAL (GFS): SIN, ELEM. TRANSPORTE: SIN, MATERIAL ELEM. TRANSPORTE: SIN</v>
      </c>
      <c r="D19" s="125"/>
      <c r="E19" s="125"/>
      <c r="F19" s="125"/>
      <c r="G19" s="125"/>
      <c r="H19" s="50" t="s">
        <v>97</v>
      </c>
      <c r="I19" s="56" t="s">
        <v>14</v>
      </c>
      <c r="J19" s="53">
        <f>'Necesidades Trimestrales'!H17</f>
        <v>56</v>
      </c>
      <c r="K19" s="54">
        <f>'Necesidades Trimestrales'!G17</f>
        <v>100000</v>
      </c>
    </row>
    <row r="20" spans="1:1024" ht="49.5" customHeight="1" thickBot="1" x14ac:dyDescent="0.25">
      <c r="A20" s="55">
        <v>9</v>
      </c>
      <c r="B20" s="51" t="str">
        <f>'Necesidades Trimestrales'!B18</f>
        <v>2.1.1-2868.54</v>
      </c>
      <c r="C20" s="125" t="str">
        <f>'Necesidades Trimestrales'!E18</f>
        <v>FIDEOS SECOS; VARIEDAD: SOPERO, RELLENO: SIN, PRESENTACION: ENVASE X 500 GR, MATERIAL ENVASE: PLASTICO 1 (PET), ELEM. TRANSPORTE: SIN, MATERIAL ELEM. TRANSPORTE: SIN, CERTIFICADO FORESTAL (GFS): SIN, LIBRE DE GLUTEN: NO</v>
      </c>
      <c r="D20" s="125"/>
      <c r="E20" s="125"/>
      <c r="F20" s="125"/>
      <c r="G20" s="125"/>
      <c r="H20" s="50" t="s">
        <v>97</v>
      </c>
      <c r="I20" s="56" t="s">
        <v>14</v>
      </c>
      <c r="J20" s="53">
        <f>'Necesidades Trimestrales'!H18</f>
        <v>39</v>
      </c>
      <c r="K20" s="54">
        <f>'Necesidades Trimestrales'!G18</f>
        <v>100000</v>
      </c>
    </row>
    <row r="21" spans="1:1024" s="38" customFormat="1" ht="49.5" customHeight="1" thickBot="1" x14ac:dyDescent="0.25">
      <c r="A21" s="55">
        <v>10</v>
      </c>
      <c r="B21" s="51" t="str">
        <f>'Necesidades Trimestrales'!B19</f>
        <v>2.1.1-2868.55</v>
      </c>
      <c r="C21" s="125" t="str">
        <f>'Necesidades Trimestrales'!E19</f>
        <v>FIDEOS SECOS; VARIEDAD: TALLARIN, RELLENO: SIN, PRESENTACION: ENVASE X 500 GR, MATERIAL ENVASE: PLASTICO 1 (PET), ELEM. TRANSPORTE: SIN, MATERIAL ELEM. TRANSPORTE: SIN, CERTIFICADO FORESTAL (GFS): SIN, LIBRE DE GLUTEN: NO</v>
      </c>
      <c r="D21" s="125"/>
      <c r="E21" s="125"/>
      <c r="F21" s="125"/>
      <c r="G21" s="125"/>
      <c r="H21" s="50" t="s">
        <v>97</v>
      </c>
      <c r="I21" s="56" t="s">
        <v>14</v>
      </c>
      <c r="J21" s="53">
        <f>'Necesidades Trimestrales'!H19</f>
        <v>39</v>
      </c>
      <c r="K21" s="54">
        <f>'Necesidades Trimestrales'!G19</f>
        <v>100000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  <c r="LK21" s="2"/>
      <c r="LL21" s="2"/>
      <c r="LM21" s="2"/>
      <c r="LN21" s="2"/>
      <c r="LO21" s="2"/>
      <c r="LP21" s="2"/>
      <c r="LQ21" s="2"/>
      <c r="LR21" s="2"/>
      <c r="LS21" s="2"/>
      <c r="LT21" s="2"/>
      <c r="LU21" s="2"/>
      <c r="LV21" s="2"/>
      <c r="LW21" s="2"/>
      <c r="LX21" s="2"/>
      <c r="LY21" s="2"/>
      <c r="LZ21" s="2"/>
      <c r="MA21" s="2"/>
      <c r="MB21" s="2"/>
      <c r="MC21" s="2"/>
      <c r="MD21" s="2"/>
      <c r="ME21" s="2"/>
      <c r="MF21" s="2"/>
      <c r="MG21" s="2"/>
      <c r="MH21" s="2"/>
      <c r="MI21" s="2"/>
      <c r="MJ21" s="2"/>
      <c r="MK21" s="2"/>
      <c r="ML21" s="2"/>
      <c r="MM21" s="2"/>
      <c r="MN21" s="2"/>
      <c r="MO21" s="2"/>
      <c r="MP21" s="2"/>
      <c r="MQ21" s="2"/>
      <c r="MR21" s="2"/>
      <c r="MS21" s="2"/>
      <c r="MT21" s="2"/>
      <c r="MU21" s="2"/>
      <c r="MV21" s="2"/>
      <c r="MW21" s="2"/>
      <c r="MX21" s="2"/>
      <c r="MY21" s="2"/>
      <c r="MZ21" s="2"/>
      <c r="NA21" s="2"/>
      <c r="NB21" s="2"/>
      <c r="NC21" s="2"/>
      <c r="ND21" s="2"/>
      <c r="NE21" s="2"/>
      <c r="NF21" s="2"/>
      <c r="NG21" s="2"/>
      <c r="NH21" s="2"/>
      <c r="NI21" s="2"/>
      <c r="NJ21" s="2"/>
      <c r="NK21" s="2"/>
      <c r="NL21" s="2"/>
      <c r="NM21" s="2"/>
      <c r="NN21" s="2"/>
      <c r="NO21" s="2"/>
      <c r="NP21" s="2"/>
      <c r="NQ21" s="2"/>
      <c r="NR21" s="2"/>
      <c r="NS21" s="2"/>
      <c r="NT21" s="2"/>
      <c r="NU21" s="2"/>
      <c r="NV21" s="2"/>
      <c r="NW21" s="2"/>
      <c r="NX21" s="2"/>
      <c r="NY21" s="2"/>
      <c r="NZ21" s="2"/>
      <c r="OA21" s="2"/>
      <c r="OB21" s="2"/>
      <c r="OC21" s="2"/>
      <c r="OD21" s="2"/>
      <c r="OE21" s="2"/>
      <c r="OF21" s="2"/>
      <c r="OG21" s="2"/>
      <c r="OH21" s="2"/>
      <c r="OI21" s="2"/>
      <c r="OJ21" s="2"/>
      <c r="OK21" s="2"/>
      <c r="OL21" s="2"/>
      <c r="OM21" s="2"/>
      <c r="ON21" s="2"/>
      <c r="OO21" s="2"/>
      <c r="OP21" s="2"/>
      <c r="OQ21" s="2"/>
      <c r="OR21" s="2"/>
      <c r="OS21" s="2"/>
      <c r="OT21" s="2"/>
      <c r="OU21" s="2"/>
      <c r="OV21" s="2"/>
      <c r="OW21" s="2"/>
      <c r="OX21" s="2"/>
      <c r="OY21" s="2"/>
      <c r="OZ21" s="2"/>
      <c r="PA21" s="2"/>
      <c r="PB21" s="2"/>
      <c r="PC21" s="2"/>
      <c r="PD21" s="2"/>
      <c r="PE21" s="2"/>
      <c r="PF21" s="2"/>
      <c r="PG21" s="2"/>
      <c r="PH21" s="2"/>
      <c r="PI21" s="2"/>
      <c r="PJ21" s="2"/>
      <c r="PK21" s="2"/>
      <c r="PL21" s="2"/>
      <c r="PM21" s="2"/>
      <c r="PN21" s="2"/>
      <c r="PO21" s="2"/>
      <c r="PP21" s="2"/>
      <c r="PQ21" s="2"/>
      <c r="PR21" s="2"/>
      <c r="PS21" s="2"/>
      <c r="PT21" s="2"/>
      <c r="PU21" s="2"/>
      <c r="PV21" s="2"/>
      <c r="PW21" s="2"/>
      <c r="PX21" s="2"/>
      <c r="PY21" s="2"/>
      <c r="PZ21" s="2"/>
      <c r="QA21" s="2"/>
      <c r="QB21" s="2"/>
      <c r="QC21" s="2"/>
      <c r="QD21" s="2"/>
      <c r="QE21" s="2"/>
      <c r="QF21" s="2"/>
      <c r="QG21" s="2"/>
      <c r="QH21" s="2"/>
      <c r="QI21" s="2"/>
      <c r="QJ21" s="2"/>
      <c r="QK21" s="2"/>
      <c r="QL21" s="2"/>
      <c r="QM21" s="2"/>
      <c r="QN21" s="2"/>
      <c r="QO21" s="2"/>
      <c r="QP21" s="2"/>
      <c r="QQ21" s="2"/>
      <c r="QR21" s="2"/>
      <c r="QS21" s="2"/>
      <c r="QT21" s="2"/>
      <c r="QU21" s="2"/>
      <c r="QV21" s="2"/>
      <c r="QW21" s="2"/>
      <c r="QX21" s="2"/>
      <c r="QY21" s="2"/>
      <c r="QZ21" s="2"/>
      <c r="RA21" s="2"/>
      <c r="RB21" s="2"/>
      <c r="RC21" s="2"/>
      <c r="RD21" s="2"/>
      <c r="RE21" s="2"/>
      <c r="RF21" s="2"/>
      <c r="RG21" s="2"/>
      <c r="RH21" s="2"/>
      <c r="RI21" s="2"/>
      <c r="RJ21" s="2"/>
      <c r="RK21" s="2"/>
      <c r="RL21" s="2"/>
      <c r="RM21" s="2"/>
      <c r="RN21" s="2"/>
      <c r="RO21" s="2"/>
      <c r="RP21" s="2"/>
      <c r="RQ21" s="2"/>
      <c r="RR21" s="2"/>
      <c r="RS21" s="2"/>
      <c r="RT21" s="2"/>
      <c r="RU21" s="2"/>
      <c r="RV21" s="2"/>
      <c r="RW21" s="2"/>
      <c r="RX21" s="2"/>
      <c r="RY21" s="2"/>
      <c r="RZ21" s="2"/>
      <c r="SA21" s="2"/>
      <c r="SB21" s="2"/>
      <c r="SC21" s="2"/>
      <c r="SD21" s="2"/>
      <c r="SE21" s="2"/>
      <c r="SF21" s="2"/>
      <c r="SG21" s="2"/>
      <c r="SH21" s="2"/>
      <c r="SI21" s="2"/>
      <c r="SJ21" s="2"/>
      <c r="SK21" s="2"/>
      <c r="SL21" s="2"/>
      <c r="SM21" s="2"/>
      <c r="SN21" s="2"/>
      <c r="SO21" s="2"/>
      <c r="SP21" s="2"/>
      <c r="SQ21" s="2"/>
      <c r="SR21" s="2"/>
      <c r="SS21" s="2"/>
      <c r="ST21" s="2"/>
      <c r="SU21" s="2"/>
      <c r="SV21" s="2"/>
      <c r="SW21" s="2"/>
      <c r="SX21" s="2"/>
      <c r="SY21" s="2"/>
      <c r="SZ21" s="2"/>
      <c r="TA21" s="2"/>
      <c r="TB21" s="2"/>
      <c r="TC21" s="2"/>
      <c r="TD21" s="2"/>
      <c r="TE21" s="2"/>
      <c r="TF21" s="2"/>
      <c r="TG21" s="2"/>
      <c r="TH21" s="2"/>
      <c r="TI21" s="2"/>
      <c r="TJ21" s="2"/>
      <c r="TK21" s="2"/>
      <c r="TL21" s="2"/>
      <c r="TM21" s="2"/>
      <c r="TN21" s="2"/>
      <c r="TO21" s="2"/>
      <c r="TP21" s="2"/>
      <c r="TQ21" s="2"/>
      <c r="TR21" s="2"/>
      <c r="TS21" s="2"/>
      <c r="TT21" s="2"/>
      <c r="TU21" s="2"/>
      <c r="TV21" s="2"/>
      <c r="TW21" s="2"/>
      <c r="TX21" s="2"/>
      <c r="TY21" s="2"/>
      <c r="TZ21" s="2"/>
      <c r="UA21" s="2"/>
      <c r="UB21" s="2"/>
      <c r="UC21" s="2"/>
      <c r="UD21" s="2"/>
      <c r="UE21" s="2"/>
      <c r="UF21" s="2"/>
      <c r="UG21" s="2"/>
      <c r="UH21" s="2"/>
      <c r="UI21" s="2"/>
      <c r="UJ21" s="2"/>
      <c r="UK21" s="2"/>
      <c r="UL21" s="2"/>
      <c r="UM21" s="2"/>
      <c r="UN21" s="2"/>
      <c r="UO21" s="2"/>
      <c r="UP21" s="2"/>
      <c r="UQ21" s="2"/>
      <c r="UR21" s="2"/>
      <c r="US21" s="2"/>
      <c r="UT21" s="2"/>
      <c r="UU21" s="2"/>
      <c r="UV21" s="2"/>
      <c r="UW21" s="2"/>
      <c r="UX21" s="2"/>
      <c r="UY21" s="2"/>
      <c r="UZ21" s="2"/>
      <c r="VA21" s="2"/>
      <c r="VB21" s="2"/>
      <c r="VC21" s="2"/>
      <c r="VD21" s="2"/>
      <c r="VE21" s="2"/>
      <c r="VF21" s="2"/>
      <c r="VG21" s="2"/>
      <c r="VH21" s="2"/>
      <c r="VI21" s="2"/>
      <c r="VJ21" s="2"/>
      <c r="VK21" s="2"/>
      <c r="VL21" s="2"/>
      <c r="VM21" s="2"/>
      <c r="VN21" s="2"/>
      <c r="VO21" s="2"/>
      <c r="VP21" s="2"/>
      <c r="VQ21" s="2"/>
      <c r="VR21" s="2"/>
      <c r="VS21" s="2"/>
      <c r="VT21" s="2"/>
      <c r="VU21" s="2"/>
      <c r="VV21" s="2"/>
      <c r="VW21" s="2"/>
      <c r="VX21" s="2"/>
      <c r="VY21" s="2"/>
      <c r="VZ21" s="2"/>
      <c r="WA21" s="2"/>
      <c r="WB21" s="2"/>
      <c r="WC21" s="2"/>
      <c r="WD21" s="2"/>
      <c r="WE21" s="2"/>
      <c r="WF21" s="2"/>
      <c r="WG21" s="2"/>
      <c r="WH21" s="2"/>
      <c r="WI21" s="2"/>
      <c r="WJ21" s="2"/>
      <c r="WK21" s="2"/>
      <c r="WL21" s="2"/>
      <c r="WM21" s="2"/>
      <c r="WN21" s="2"/>
      <c r="WO21" s="2"/>
      <c r="WP21" s="2"/>
      <c r="WQ21" s="2"/>
      <c r="WR21" s="2"/>
      <c r="WS21" s="2"/>
      <c r="WT21" s="2"/>
      <c r="WU21" s="2"/>
      <c r="WV21" s="2"/>
      <c r="WW21" s="2"/>
      <c r="WX21" s="2"/>
      <c r="WY21" s="2"/>
      <c r="WZ21" s="2"/>
      <c r="XA21" s="2"/>
      <c r="XB21" s="2"/>
      <c r="XC21" s="2"/>
      <c r="XD21" s="2"/>
      <c r="XE21" s="2"/>
      <c r="XF21" s="2"/>
      <c r="XG21" s="2"/>
      <c r="XH21" s="2"/>
      <c r="XI21" s="2"/>
      <c r="XJ21" s="2"/>
      <c r="XK21" s="2"/>
      <c r="XL21" s="2"/>
      <c r="XM21" s="2"/>
      <c r="XN21" s="2"/>
      <c r="XO21" s="2"/>
      <c r="XP21" s="2"/>
      <c r="XQ21" s="2"/>
      <c r="XR21" s="2"/>
      <c r="XS21" s="2"/>
      <c r="XT21" s="2"/>
      <c r="XU21" s="2"/>
      <c r="XV21" s="2"/>
      <c r="XW21" s="2"/>
      <c r="XX21" s="2"/>
      <c r="XY21" s="2"/>
      <c r="XZ21" s="2"/>
      <c r="YA21" s="2"/>
      <c r="YB21" s="2"/>
      <c r="YC21" s="2"/>
      <c r="YD21" s="2"/>
      <c r="YE21" s="2"/>
      <c r="YF21" s="2"/>
      <c r="YG21" s="2"/>
      <c r="YH21" s="2"/>
      <c r="YI21" s="2"/>
      <c r="YJ21" s="2"/>
      <c r="YK21" s="2"/>
      <c r="YL21" s="2"/>
      <c r="YM21" s="2"/>
      <c r="YN21" s="2"/>
      <c r="YO21" s="2"/>
      <c r="YP21" s="2"/>
      <c r="YQ21" s="2"/>
      <c r="YR21" s="2"/>
      <c r="YS21" s="2"/>
      <c r="YT21" s="2"/>
      <c r="YU21" s="2"/>
      <c r="YV21" s="2"/>
      <c r="YW21" s="2"/>
      <c r="YX21" s="2"/>
      <c r="YY21" s="2"/>
      <c r="YZ21" s="2"/>
      <c r="ZA21" s="2"/>
      <c r="ZB21" s="2"/>
      <c r="ZC21" s="2"/>
      <c r="ZD21" s="2"/>
      <c r="ZE21" s="2"/>
      <c r="ZF21" s="2"/>
      <c r="ZG21" s="2"/>
      <c r="ZH21" s="2"/>
      <c r="ZI21" s="2"/>
      <c r="ZJ21" s="2"/>
      <c r="ZK21" s="2"/>
      <c r="ZL21" s="2"/>
      <c r="ZM21" s="2"/>
      <c r="ZN21" s="2"/>
      <c r="ZO21" s="2"/>
      <c r="ZP21" s="2"/>
      <c r="ZQ21" s="2"/>
      <c r="ZR21" s="2"/>
      <c r="ZS21" s="2"/>
      <c r="ZT21" s="2"/>
      <c r="ZU21" s="2"/>
      <c r="ZV21" s="2"/>
      <c r="ZW21" s="2"/>
      <c r="ZX21" s="2"/>
      <c r="ZY21" s="2"/>
      <c r="ZZ21" s="2"/>
      <c r="AAA21" s="2"/>
      <c r="AAB21" s="2"/>
      <c r="AAC21" s="2"/>
      <c r="AAD21" s="2"/>
      <c r="AAE21" s="2"/>
      <c r="AAF21" s="2"/>
      <c r="AAG21" s="2"/>
      <c r="AAH21" s="2"/>
      <c r="AAI21" s="2"/>
      <c r="AAJ21" s="2"/>
      <c r="AAK21" s="2"/>
      <c r="AAL21" s="2"/>
      <c r="AAM21" s="2"/>
      <c r="AAN21" s="2"/>
      <c r="AAO21" s="2"/>
      <c r="AAP21" s="2"/>
      <c r="AAQ21" s="2"/>
      <c r="AAR21" s="2"/>
      <c r="AAS21" s="2"/>
      <c r="AAT21" s="2"/>
      <c r="AAU21" s="2"/>
      <c r="AAV21" s="2"/>
      <c r="AAW21" s="2"/>
      <c r="AAX21" s="2"/>
      <c r="AAY21" s="2"/>
      <c r="AAZ21" s="2"/>
      <c r="ABA21" s="2"/>
      <c r="ABB21" s="2"/>
      <c r="ABC21" s="2"/>
      <c r="ABD21" s="2"/>
      <c r="ABE21" s="2"/>
      <c r="ABF21" s="2"/>
      <c r="ABG21" s="2"/>
      <c r="ABH21" s="2"/>
      <c r="ABI21" s="2"/>
      <c r="ABJ21" s="2"/>
      <c r="ABK21" s="2"/>
      <c r="ABL21" s="2"/>
      <c r="ABM21" s="2"/>
      <c r="ABN21" s="2"/>
      <c r="ABO21" s="2"/>
      <c r="ABP21" s="2"/>
      <c r="ABQ21" s="2"/>
      <c r="ABR21" s="2"/>
      <c r="ABS21" s="2"/>
      <c r="ABT21" s="2"/>
      <c r="ABU21" s="2"/>
      <c r="ABV21" s="2"/>
      <c r="ABW21" s="2"/>
      <c r="ABX21" s="2"/>
      <c r="ABY21" s="2"/>
      <c r="ABZ21" s="2"/>
      <c r="ACA21" s="2"/>
      <c r="ACB21" s="2"/>
      <c r="ACC21" s="2"/>
      <c r="ACD21" s="2"/>
      <c r="ACE21" s="2"/>
      <c r="ACF21" s="2"/>
      <c r="ACG21" s="2"/>
      <c r="ACH21" s="2"/>
      <c r="ACI21" s="2"/>
      <c r="ACJ21" s="2"/>
      <c r="ACK21" s="2"/>
      <c r="ACL21" s="2"/>
      <c r="ACM21" s="2"/>
      <c r="ACN21" s="2"/>
      <c r="ACO21" s="2"/>
      <c r="ACP21" s="2"/>
      <c r="ACQ21" s="2"/>
      <c r="ACR21" s="2"/>
      <c r="ACS21" s="2"/>
      <c r="ACT21" s="2"/>
      <c r="ACU21" s="2"/>
      <c r="ACV21" s="2"/>
      <c r="ACW21" s="2"/>
      <c r="ACX21" s="2"/>
      <c r="ACY21" s="2"/>
      <c r="ACZ21" s="2"/>
      <c r="ADA21" s="2"/>
      <c r="ADB21" s="2"/>
      <c r="ADC21" s="2"/>
      <c r="ADD21" s="2"/>
      <c r="ADE21" s="2"/>
      <c r="ADF21" s="2"/>
      <c r="ADG21" s="2"/>
      <c r="ADH21" s="2"/>
      <c r="ADI21" s="2"/>
      <c r="ADJ21" s="2"/>
      <c r="ADK21" s="2"/>
      <c r="ADL21" s="2"/>
      <c r="ADM21" s="2"/>
      <c r="ADN21" s="2"/>
      <c r="ADO21" s="2"/>
      <c r="ADP21" s="2"/>
      <c r="ADQ21" s="2"/>
      <c r="ADR21" s="2"/>
      <c r="ADS21" s="2"/>
      <c r="ADT21" s="2"/>
      <c r="ADU21" s="2"/>
      <c r="ADV21" s="2"/>
      <c r="ADW21" s="2"/>
      <c r="ADX21" s="2"/>
      <c r="ADY21" s="2"/>
      <c r="ADZ21" s="2"/>
      <c r="AEA21" s="2"/>
      <c r="AEB21" s="2"/>
      <c r="AEC21" s="2"/>
      <c r="AED21" s="2"/>
      <c r="AEE21" s="2"/>
      <c r="AEF21" s="2"/>
      <c r="AEG21" s="2"/>
      <c r="AEH21" s="2"/>
      <c r="AEI21" s="2"/>
      <c r="AEJ21" s="2"/>
      <c r="AEK21" s="2"/>
      <c r="AEL21" s="2"/>
      <c r="AEM21" s="2"/>
      <c r="AEN21" s="2"/>
      <c r="AEO21" s="2"/>
      <c r="AEP21" s="2"/>
      <c r="AEQ21" s="2"/>
      <c r="AER21" s="2"/>
      <c r="AES21" s="2"/>
      <c r="AET21" s="2"/>
      <c r="AEU21" s="2"/>
      <c r="AEV21" s="2"/>
      <c r="AEW21" s="2"/>
      <c r="AEX21" s="2"/>
      <c r="AEY21" s="2"/>
      <c r="AEZ21" s="2"/>
      <c r="AFA21" s="2"/>
      <c r="AFB21" s="2"/>
      <c r="AFC21" s="2"/>
      <c r="AFD21" s="2"/>
      <c r="AFE21" s="2"/>
      <c r="AFF21" s="2"/>
      <c r="AFG21" s="2"/>
      <c r="AFH21" s="2"/>
      <c r="AFI21" s="2"/>
      <c r="AFJ21" s="2"/>
      <c r="AFK21" s="2"/>
      <c r="AFL21" s="2"/>
      <c r="AFM21" s="2"/>
      <c r="AFN21" s="2"/>
      <c r="AFO21" s="2"/>
      <c r="AFP21" s="2"/>
      <c r="AFQ21" s="2"/>
      <c r="AFR21" s="2"/>
      <c r="AFS21" s="2"/>
      <c r="AFT21" s="2"/>
      <c r="AFU21" s="2"/>
      <c r="AFV21" s="2"/>
      <c r="AFW21" s="2"/>
      <c r="AFX21" s="2"/>
      <c r="AFY21" s="2"/>
      <c r="AFZ21" s="2"/>
      <c r="AGA21" s="2"/>
      <c r="AGB21" s="2"/>
      <c r="AGC21" s="2"/>
      <c r="AGD21" s="2"/>
      <c r="AGE21" s="2"/>
      <c r="AGF21" s="2"/>
      <c r="AGG21" s="2"/>
      <c r="AGH21" s="2"/>
      <c r="AGI21" s="2"/>
      <c r="AGJ21" s="2"/>
      <c r="AGK21" s="2"/>
      <c r="AGL21" s="2"/>
      <c r="AGM21" s="2"/>
      <c r="AGN21" s="2"/>
      <c r="AGO21" s="2"/>
      <c r="AGP21" s="2"/>
      <c r="AGQ21" s="2"/>
      <c r="AGR21" s="2"/>
      <c r="AGS21" s="2"/>
      <c r="AGT21" s="2"/>
      <c r="AGU21" s="2"/>
      <c r="AGV21" s="2"/>
      <c r="AGW21" s="2"/>
      <c r="AGX21" s="2"/>
      <c r="AGY21" s="2"/>
      <c r="AGZ21" s="2"/>
      <c r="AHA21" s="2"/>
      <c r="AHB21" s="2"/>
      <c r="AHC21" s="2"/>
      <c r="AHD21" s="2"/>
      <c r="AHE21" s="2"/>
      <c r="AHF21" s="2"/>
      <c r="AHG21" s="2"/>
      <c r="AHH21" s="2"/>
      <c r="AHI21" s="2"/>
      <c r="AHJ21" s="2"/>
      <c r="AHK21" s="2"/>
      <c r="AHL21" s="2"/>
      <c r="AHM21" s="2"/>
      <c r="AHN21" s="2"/>
      <c r="AHO21" s="2"/>
      <c r="AHP21" s="2"/>
      <c r="AHQ21" s="2"/>
      <c r="AHR21" s="2"/>
      <c r="AHS21" s="2"/>
      <c r="AHT21" s="2"/>
      <c r="AHU21" s="2"/>
      <c r="AHV21" s="2"/>
      <c r="AHW21" s="2"/>
      <c r="AHX21" s="2"/>
      <c r="AHY21" s="2"/>
      <c r="AHZ21" s="2"/>
      <c r="AIA21" s="2"/>
      <c r="AIB21" s="2"/>
      <c r="AIC21" s="2"/>
      <c r="AID21" s="2"/>
      <c r="AIE21" s="2"/>
      <c r="AIF21" s="2"/>
      <c r="AIG21" s="2"/>
      <c r="AIH21" s="2"/>
      <c r="AII21" s="2"/>
      <c r="AIJ21" s="2"/>
      <c r="AIK21" s="2"/>
      <c r="AIL21" s="2"/>
      <c r="AIM21" s="2"/>
      <c r="AIN21" s="2"/>
      <c r="AIO21" s="2"/>
      <c r="AIP21" s="2"/>
      <c r="AIQ21" s="2"/>
      <c r="AIR21" s="2"/>
      <c r="AIS21" s="2"/>
      <c r="AIT21" s="2"/>
      <c r="AIU21" s="2"/>
      <c r="AIV21" s="2"/>
      <c r="AIW21" s="2"/>
      <c r="AIX21" s="2"/>
      <c r="AIY21" s="2"/>
      <c r="AIZ21" s="2"/>
      <c r="AJA21" s="2"/>
      <c r="AJB21" s="2"/>
      <c r="AJC21" s="2"/>
      <c r="AJD21" s="2"/>
      <c r="AJE21" s="2"/>
      <c r="AJF21" s="2"/>
      <c r="AJG21" s="2"/>
      <c r="AJH21" s="2"/>
      <c r="AJI21" s="2"/>
      <c r="AJJ21" s="2"/>
      <c r="AJK21" s="2"/>
      <c r="AJL21" s="2"/>
      <c r="AJM21" s="2"/>
      <c r="AJN21" s="2"/>
      <c r="AJO21" s="2"/>
      <c r="AJP21" s="2"/>
      <c r="AJQ21" s="2"/>
      <c r="AJR21" s="2"/>
      <c r="AJS21" s="2"/>
      <c r="AJT21" s="2"/>
      <c r="AJU21" s="2"/>
      <c r="AJV21" s="2"/>
      <c r="AJW21" s="2"/>
      <c r="AJX21" s="2"/>
      <c r="AJY21" s="2"/>
      <c r="AJZ21" s="2"/>
      <c r="AKA21" s="2"/>
      <c r="AKB21" s="2"/>
      <c r="AKC21" s="2"/>
      <c r="AKD21" s="2"/>
      <c r="AKE21" s="2"/>
      <c r="AKF21" s="2"/>
      <c r="AKG21" s="2"/>
      <c r="AKH21" s="2"/>
      <c r="AKI21" s="2"/>
      <c r="AKJ21" s="2"/>
      <c r="AKK21" s="2"/>
      <c r="AKL21" s="2"/>
      <c r="AKM21" s="2"/>
      <c r="AKN21" s="2"/>
      <c r="AKO21" s="2"/>
      <c r="AKP21" s="2"/>
      <c r="AKQ21" s="2"/>
      <c r="AKR21" s="2"/>
      <c r="AKS21" s="2"/>
      <c r="AKT21" s="2"/>
      <c r="AKU21" s="2"/>
      <c r="AKV21" s="2"/>
      <c r="AKW21" s="2"/>
      <c r="AKX21" s="2"/>
      <c r="AKY21" s="2"/>
      <c r="AKZ21" s="2"/>
      <c r="ALA21" s="2"/>
      <c r="ALB21" s="2"/>
      <c r="ALC21" s="2"/>
      <c r="ALD21" s="2"/>
      <c r="ALE21" s="2"/>
      <c r="ALF21" s="2"/>
      <c r="ALG21" s="2"/>
      <c r="ALH21" s="2"/>
      <c r="ALI21" s="2"/>
      <c r="ALJ21" s="2"/>
      <c r="ALK21" s="2"/>
      <c r="ALL21" s="2"/>
      <c r="ALM21" s="2"/>
      <c r="ALN21" s="2"/>
      <c r="ALO21" s="2"/>
      <c r="ALP21" s="2"/>
      <c r="ALQ21" s="2"/>
      <c r="ALR21" s="2"/>
      <c r="ALS21" s="2"/>
      <c r="ALT21" s="2"/>
      <c r="ALU21" s="2"/>
      <c r="ALV21" s="2"/>
      <c r="ALW21" s="2"/>
      <c r="ALX21" s="2"/>
      <c r="ALY21" s="2"/>
      <c r="ALZ21" s="2"/>
      <c r="AMA21" s="2"/>
      <c r="AMB21" s="2"/>
      <c r="AMC21" s="2"/>
      <c r="AMD21" s="2"/>
      <c r="AME21" s="2"/>
      <c r="AMF21" s="2"/>
      <c r="AMG21" s="2"/>
      <c r="AMH21" s="2"/>
      <c r="AMI21" s="2"/>
      <c r="AMJ21" s="2"/>
    </row>
    <row r="22" spans="1:1024" s="38" customFormat="1" ht="47.25" customHeight="1" thickBot="1" x14ac:dyDescent="0.25">
      <c r="A22" s="55">
        <v>11</v>
      </c>
      <c r="B22" s="51" t="str">
        <f>'Necesidades Trimestrales'!B20</f>
        <v>2.1.1-2868.71</v>
      </c>
      <c r="C22" s="125" t="str">
        <f>'Necesidades Trimestrales'!E20</f>
        <v>FIDEOS SECOS; VARIEDAD: GUISERO, RELLENO: SIN, PRESENTACION: ENVASE X 500 GR, MATERIAL ENVASE: PLASTICO 1 (PET), ELEM. TRANSPORTE: SIN, MATERIAL ELEM. TRANSPORTE: SIN, CERTIFICADO FORESTAL (GFS): SIN, LIBRE DE GLUTEN: NO</v>
      </c>
      <c r="D22" s="125"/>
      <c r="E22" s="125"/>
      <c r="F22" s="125"/>
      <c r="G22" s="125"/>
      <c r="H22" s="50" t="s">
        <v>97</v>
      </c>
      <c r="I22" s="56" t="s">
        <v>14</v>
      </c>
      <c r="J22" s="53">
        <f>+'Necesidades Trimestrales'!H20</f>
        <v>39</v>
      </c>
      <c r="K22" s="54">
        <f>'Necesidades Trimestrales'!G20</f>
        <v>100000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  <c r="LK22" s="2"/>
      <c r="LL22" s="2"/>
      <c r="LM22" s="2"/>
      <c r="LN22" s="2"/>
      <c r="LO22" s="2"/>
      <c r="LP22" s="2"/>
      <c r="LQ22" s="2"/>
      <c r="LR22" s="2"/>
      <c r="LS22" s="2"/>
      <c r="LT22" s="2"/>
      <c r="LU22" s="2"/>
      <c r="LV22" s="2"/>
      <c r="LW22" s="2"/>
      <c r="LX22" s="2"/>
      <c r="LY22" s="2"/>
      <c r="LZ22" s="2"/>
      <c r="MA22" s="2"/>
      <c r="MB22" s="2"/>
      <c r="MC22" s="2"/>
      <c r="MD22" s="2"/>
      <c r="ME22" s="2"/>
      <c r="MF22" s="2"/>
      <c r="MG22" s="2"/>
      <c r="MH22" s="2"/>
      <c r="MI22" s="2"/>
      <c r="MJ22" s="2"/>
      <c r="MK22" s="2"/>
      <c r="ML22" s="2"/>
      <c r="MM22" s="2"/>
      <c r="MN22" s="2"/>
      <c r="MO22" s="2"/>
      <c r="MP22" s="2"/>
      <c r="MQ22" s="2"/>
      <c r="MR22" s="2"/>
      <c r="MS22" s="2"/>
      <c r="MT22" s="2"/>
      <c r="MU22" s="2"/>
      <c r="MV22" s="2"/>
      <c r="MW22" s="2"/>
      <c r="MX22" s="2"/>
      <c r="MY22" s="2"/>
      <c r="MZ22" s="2"/>
      <c r="NA22" s="2"/>
      <c r="NB22" s="2"/>
      <c r="NC22" s="2"/>
      <c r="ND22" s="2"/>
      <c r="NE22" s="2"/>
      <c r="NF22" s="2"/>
      <c r="NG22" s="2"/>
      <c r="NH22" s="2"/>
      <c r="NI22" s="2"/>
      <c r="NJ22" s="2"/>
      <c r="NK22" s="2"/>
      <c r="NL22" s="2"/>
      <c r="NM22" s="2"/>
      <c r="NN22" s="2"/>
      <c r="NO22" s="2"/>
      <c r="NP22" s="2"/>
      <c r="NQ22" s="2"/>
      <c r="NR22" s="2"/>
      <c r="NS22" s="2"/>
      <c r="NT22" s="2"/>
      <c r="NU22" s="2"/>
      <c r="NV22" s="2"/>
      <c r="NW22" s="2"/>
      <c r="NX22" s="2"/>
      <c r="NY22" s="2"/>
      <c r="NZ22" s="2"/>
      <c r="OA22" s="2"/>
      <c r="OB22" s="2"/>
      <c r="OC22" s="2"/>
      <c r="OD22" s="2"/>
      <c r="OE22" s="2"/>
      <c r="OF22" s="2"/>
      <c r="OG22" s="2"/>
      <c r="OH22" s="2"/>
      <c r="OI22" s="2"/>
      <c r="OJ22" s="2"/>
      <c r="OK22" s="2"/>
      <c r="OL22" s="2"/>
      <c r="OM22" s="2"/>
      <c r="ON22" s="2"/>
      <c r="OO22" s="2"/>
      <c r="OP22" s="2"/>
      <c r="OQ22" s="2"/>
      <c r="OR22" s="2"/>
      <c r="OS22" s="2"/>
      <c r="OT22" s="2"/>
      <c r="OU22" s="2"/>
      <c r="OV22" s="2"/>
      <c r="OW22" s="2"/>
      <c r="OX22" s="2"/>
      <c r="OY22" s="2"/>
      <c r="OZ22" s="2"/>
      <c r="PA22" s="2"/>
      <c r="PB22" s="2"/>
      <c r="PC22" s="2"/>
      <c r="PD22" s="2"/>
      <c r="PE22" s="2"/>
      <c r="PF22" s="2"/>
      <c r="PG22" s="2"/>
      <c r="PH22" s="2"/>
      <c r="PI22" s="2"/>
      <c r="PJ22" s="2"/>
      <c r="PK22" s="2"/>
      <c r="PL22" s="2"/>
      <c r="PM22" s="2"/>
      <c r="PN22" s="2"/>
      <c r="PO22" s="2"/>
      <c r="PP22" s="2"/>
      <c r="PQ22" s="2"/>
      <c r="PR22" s="2"/>
      <c r="PS22" s="2"/>
      <c r="PT22" s="2"/>
      <c r="PU22" s="2"/>
      <c r="PV22" s="2"/>
      <c r="PW22" s="2"/>
      <c r="PX22" s="2"/>
      <c r="PY22" s="2"/>
      <c r="PZ22" s="2"/>
      <c r="QA22" s="2"/>
      <c r="QB22" s="2"/>
      <c r="QC22" s="2"/>
      <c r="QD22" s="2"/>
      <c r="QE22" s="2"/>
      <c r="QF22" s="2"/>
      <c r="QG22" s="2"/>
      <c r="QH22" s="2"/>
      <c r="QI22" s="2"/>
      <c r="QJ22" s="2"/>
      <c r="QK22" s="2"/>
      <c r="QL22" s="2"/>
      <c r="QM22" s="2"/>
      <c r="QN22" s="2"/>
      <c r="QO22" s="2"/>
      <c r="QP22" s="2"/>
      <c r="QQ22" s="2"/>
      <c r="QR22" s="2"/>
      <c r="QS22" s="2"/>
      <c r="QT22" s="2"/>
      <c r="QU22" s="2"/>
      <c r="QV22" s="2"/>
      <c r="QW22" s="2"/>
      <c r="QX22" s="2"/>
      <c r="QY22" s="2"/>
      <c r="QZ22" s="2"/>
      <c r="RA22" s="2"/>
      <c r="RB22" s="2"/>
      <c r="RC22" s="2"/>
      <c r="RD22" s="2"/>
      <c r="RE22" s="2"/>
      <c r="RF22" s="2"/>
      <c r="RG22" s="2"/>
      <c r="RH22" s="2"/>
      <c r="RI22" s="2"/>
      <c r="RJ22" s="2"/>
      <c r="RK22" s="2"/>
      <c r="RL22" s="2"/>
      <c r="RM22" s="2"/>
      <c r="RN22" s="2"/>
      <c r="RO22" s="2"/>
      <c r="RP22" s="2"/>
      <c r="RQ22" s="2"/>
      <c r="RR22" s="2"/>
      <c r="RS22" s="2"/>
      <c r="RT22" s="2"/>
      <c r="RU22" s="2"/>
      <c r="RV22" s="2"/>
      <c r="RW22" s="2"/>
      <c r="RX22" s="2"/>
      <c r="RY22" s="2"/>
      <c r="RZ22" s="2"/>
      <c r="SA22" s="2"/>
      <c r="SB22" s="2"/>
      <c r="SC22" s="2"/>
      <c r="SD22" s="2"/>
      <c r="SE22" s="2"/>
      <c r="SF22" s="2"/>
      <c r="SG22" s="2"/>
      <c r="SH22" s="2"/>
      <c r="SI22" s="2"/>
      <c r="SJ22" s="2"/>
      <c r="SK22" s="2"/>
      <c r="SL22" s="2"/>
      <c r="SM22" s="2"/>
      <c r="SN22" s="2"/>
      <c r="SO22" s="2"/>
      <c r="SP22" s="2"/>
      <c r="SQ22" s="2"/>
      <c r="SR22" s="2"/>
      <c r="SS22" s="2"/>
      <c r="ST22" s="2"/>
      <c r="SU22" s="2"/>
      <c r="SV22" s="2"/>
      <c r="SW22" s="2"/>
      <c r="SX22" s="2"/>
      <c r="SY22" s="2"/>
      <c r="SZ22" s="2"/>
      <c r="TA22" s="2"/>
      <c r="TB22" s="2"/>
      <c r="TC22" s="2"/>
      <c r="TD22" s="2"/>
      <c r="TE22" s="2"/>
      <c r="TF22" s="2"/>
      <c r="TG22" s="2"/>
      <c r="TH22" s="2"/>
      <c r="TI22" s="2"/>
      <c r="TJ22" s="2"/>
      <c r="TK22" s="2"/>
      <c r="TL22" s="2"/>
      <c r="TM22" s="2"/>
      <c r="TN22" s="2"/>
      <c r="TO22" s="2"/>
      <c r="TP22" s="2"/>
      <c r="TQ22" s="2"/>
      <c r="TR22" s="2"/>
      <c r="TS22" s="2"/>
      <c r="TT22" s="2"/>
      <c r="TU22" s="2"/>
      <c r="TV22" s="2"/>
      <c r="TW22" s="2"/>
      <c r="TX22" s="2"/>
      <c r="TY22" s="2"/>
      <c r="TZ22" s="2"/>
      <c r="UA22" s="2"/>
      <c r="UB22" s="2"/>
      <c r="UC22" s="2"/>
      <c r="UD22" s="2"/>
      <c r="UE22" s="2"/>
      <c r="UF22" s="2"/>
      <c r="UG22" s="2"/>
      <c r="UH22" s="2"/>
      <c r="UI22" s="2"/>
      <c r="UJ22" s="2"/>
      <c r="UK22" s="2"/>
      <c r="UL22" s="2"/>
      <c r="UM22" s="2"/>
      <c r="UN22" s="2"/>
      <c r="UO22" s="2"/>
      <c r="UP22" s="2"/>
      <c r="UQ22" s="2"/>
      <c r="UR22" s="2"/>
      <c r="US22" s="2"/>
      <c r="UT22" s="2"/>
      <c r="UU22" s="2"/>
      <c r="UV22" s="2"/>
      <c r="UW22" s="2"/>
      <c r="UX22" s="2"/>
      <c r="UY22" s="2"/>
      <c r="UZ22" s="2"/>
      <c r="VA22" s="2"/>
      <c r="VB22" s="2"/>
      <c r="VC22" s="2"/>
      <c r="VD22" s="2"/>
      <c r="VE22" s="2"/>
      <c r="VF22" s="2"/>
      <c r="VG22" s="2"/>
      <c r="VH22" s="2"/>
      <c r="VI22" s="2"/>
      <c r="VJ22" s="2"/>
      <c r="VK22" s="2"/>
      <c r="VL22" s="2"/>
      <c r="VM22" s="2"/>
      <c r="VN22" s="2"/>
      <c r="VO22" s="2"/>
      <c r="VP22" s="2"/>
      <c r="VQ22" s="2"/>
      <c r="VR22" s="2"/>
      <c r="VS22" s="2"/>
      <c r="VT22" s="2"/>
      <c r="VU22" s="2"/>
      <c r="VV22" s="2"/>
      <c r="VW22" s="2"/>
      <c r="VX22" s="2"/>
      <c r="VY22" s="2"/>
      <c r="VZ22" s="2"/>
      <c r="WA22" s="2"/>
      <c r="WB22" s="2"/>
      <c r="WC22" s="2"/>
      <c r="WD22" s="2"/>
      <c r="WE22" s="2"/>
      <c r="WF22" s="2"/>
      <c r="WG22" s="2"/>
      <c r="WH22" s="2"/>
      <c r="WI22" s="2"/>
      <c r="WJ22" s="2"/>
      <c r="WK22" s="2"/>
      <c r="WL22" s="2"/>
      <c r="WM22" s="2"/>
      <c r="WN22" s="2"/>
      <c r="WO22" s="2"/>
      <c r="WP22" s="2"/>
      <c r="WQ22" s="2"/>
      <c r="WR22" s="2"/>
      <c r="WS22" s="2"/>
      <c r="WT22" s="2"/>
      <c r="WU22" s="2"/>
      <c r="WV22" s="2"/>
      <c r="WW22" s="2"/>
      <c r="WX22" s="2"/>
      <c r="WY22" s="2"/>
      <c r="WZ22" s="2"/>
      <c r="XA22" s="2"/>
      <c r="XB22" s="2"/>
      <c r="XC22" s="2"/>
      <c r="XD22" s="2"/>
      <c r="XE22" s="2"/>
      <c r="XF22" s="2"/>
      <c r="XG22" s="2"/>
      <c r="XH22" s="2"/>
      <c r="XI22" s="2"/>
      <c r="XJ22" s="2"/>
      <c r="XK22" s="2"/>
      <c r="XL22" s="2"/>
      <c r="XM22" s="2"/>
      <c r="XN22" s="2"/>
      <c r="XO22" s="2"/>
      <c r="XP22" s="2"/>
      <c r="XQ22" s="2"/>
      <c r="XR22" s="2"/>
      <c r="XS22" s="2"/>
      <c r="XT22" s="2"/>
      <c r="XU22" s="2"/>
      <c r="XV22" s="2"/>
      <c r="XW22" s="2"/>
      <c r="XX22" s="2"/>
      <c r="XY22" s="2"/>
      <c r="XZ22" s="2"/>
      <c r="YA22" s="2"/>
      <c r="YB22" s="2"/>
      <c r="YC22" s="2"/>
      <c r="YD22" s="2"/>
      <c r="YE22" s="2"/>
      <c r="YF22" s="2"/>
      <c r="YG22" s="2"/>
      <c r="YH22" s="2"/>
      <c r="YI22" s="2"/>
      <c r="YJ22" s="2"/>
      <c r="YK22" s="2"/>
      <c r="YL22" s="2"/>
      <c r="YM22" s="2"/>
      <c r="YN22" s="2"/>
      <c r="YO22" s="2"/>
      <c r="YP22" s="2"/>
      <c r="YQ22" s="2"/>
      <c r="YR22" s="2"/>
      <c r="YS22" s="2"/>
      <c r="YT22" s="2"/>
      <c r="YU22" s="2"/>
      <c r="YV22" s="2"/>
      <c r="YW22" s="2"/>
      <c r="YX22" s="2"/>
      <c r="YY22" s="2"/>
      <c r="YZ22" s="2"/>
      <c r="ZA22" s="2"/>
      <c r="ZB22" s="2"/>
      <c r="ZC22" s="2"/>
      <c r="ZD22" s="2"/>
      <c r="ZE22" s="2"/>
      <c r="ZF22" s="2"/>
      <c r="ZG22" s="2"/>
      <c r="ZH22" s="2"/>
      <c r="ZI22" s="2"/>
      <c r="ZJ22" s="2"/>
      <c r="ZK22" s="2"/>
      <c r="ZL22" s="2"/>
      <c r="ZM22" s="2"/>
      <c r="ZN22" s="2"/>
      <c r="ZO22" s="2"/>
      <c r="ZP22" s="2"/>
      <c r="ZQ22" s="2"/>
      <c r="ZR22" s="2"/>
      <c r="ZS22" s="2"/>
      <c r="ZT22" s="2"/>
      <c r="ZU22" s="2"/>
      <c r="ZV22" s="2"/>
      <c r="ZW22" s="2"/>
      <c r="ZX22" s="2"/>
      <c r="ZY22" s="2"/>
      <c r="ZZ22" s="2"/>
      <c r="AAA22" s="2"/>
      <c r="AAB22" s="2"/>
      <c r="AAC22" s="2"/>
      <c r="AAD22" s="2"/>
      <c r="AAE22" s="2"/>
      <c r="AAF22" s="2"/>
      <c r="AAG22" s="2"/>
      <c r="AAH22" s="2"/>
      <c r="AAI22" s="2"/>
      <c r="AAJ22" s="2"/>
      <c r="AAK22" s="2"/>
      <c r="AAL22" s="2"/>
      <c r="AAM22" s="2"/>
      <c r="AAN22" s="2"/>
      <c r="AAO22" s="2"/>
      <c r="AAP22" s="2"/>
      <c r="AAQ22" s="2"/>
      <c r="AAR22" s="2"/>
      <c r="AAS22" s="2"/>
      <c r="AAT22" s="2"/>
      <c r="AAU22" s="2"/>
      <c r="AAV22" s="2"/>
      <c r="AAW22" s="2"/>
      <c r="AAX22" s="2"/>
      <c r="AAY22" s="2"/>
      <c r="AAZ22" s="2"/>
      <c r="ABA22" s="2"/>
      <c r="ABB22" s="2"/>
      <c r="ABC22" s="2"/>
      <c r="ABD22" s="2"/>
      <c r="ABE22" s="2"/>
      <c r="ABF22" s="2"/>
      <c r="ABG22" s="2"/>
      <c r="ABH22" s="2"/>
      <c r="ABI22" s="2"/>
      <c r="ABJ22" s="2"/>
      <c r="ABK22" s="2"/>
      <c r="ABL22" s="2"/>
      <c r="ABM22" s="2"/>
      <c r="ABN22" s="2"/>
      <c r="ABO22" s="2"/>
      <c r="ABP22" s="2"/>
      <c r="ABQ22" s="2"/>
      <c r="ABR22" s="2"/>
      <c r="ABS22" s="2"/>
      <c r="ABT22" s="2"/>
      <c r="ABU22" s="2"/>
      <c r="ABV22" s="2"/>
      <c r="ABW22" s="2"/>
      <c r="ABX22" s="2"/>
      <c r="ABY22" s="2"/>
      <c r="ABZ22" s="2"/>
      <c r="ACA22" s="2"/>
      <c r="ACB22" s="2"/>
      <c r="ACC22" s="2"/>
      <c r="ACD22" s="2"/>
      <c r="ACE22" s="2"/>
      <c r="ACF22" s="2"/>
      <c r="ACG22" s="2"/>
      <c r="ACH22" s="2"/>
      <c r="ACI22" s="2"/>
      <c r="ACJ22" s="2"/>
      <c r="ACK22" s="2"/>
      <c r="ACL22" s="2"/>
      <c r="ACM22" s="2"/>
      <c r="ACN22" s="2"/>
      <c r="ACO22" s="2"/>
      <c r="ACP22" s="2"/>
      <c r="ACQ22" s="2"/>
      <c r="ACR22" s="2"/>
      <c r="ACS22" s="2"/>
      <c r="ACT22" s="2"/>
      <c r="ACU22" s="2"/>
      <c r="ACV22" s="2"/>
      <c r="ACW22" s="2"/>
      <c r="ACX22" s="2"/>
      <c r="ACY22" s="2"/>
      <c r="ACZ22" s="2"/>
      <c r="ADA22" s="2"/>
      <c r="ADB22" s="2"/>
      <c r="ADC22" s="2"/>
      <c r="ADD22" s="2"/>
      <c r="ADE22" s="2"/>
      <c r="ADF22" s="2"/>
      <c r="ADG22" s="2"/>
      <c r="ADH22" s="2"/>
      <c r="ADI22" s="2"/>
      <c r="ADJ22" s="2"/>
      <c r="ADK22" s="2"/>
      <c r="ADL22" s="2"/>
      <c r="ADM22" s="2"/>
      <c r="ADN22" s="2"/>
      <c r="ADO22" s="2"/>
      <c r="ADP22" s="2"/>
      <c r="ADQ22" s="2"/>
      <c r="ADR22" s="2"/>
      <c r="ADS22" s="2"/>
      <c r="ADT22" s="2"/>
      <c r="ADU22" s="2"/>
      <c r="ADV22" s="2"/>
      <c r="ADW22" s="2"/>
      <c r="ADX22" s="2"/>
      <c r="ADY22" s="2"/>
      <c r="ADZ22" s="2"/>
      <c r="AEA22" s="2"/>
      <c r="AEB22" s="2"/>
      <c r="AEC22" s="2"/>
      <c r="AED22" s="2"/>
      <c r="AEE22" s="2"/>
      <c r="AEF22" s="2"/>
      <c r="AEG22" s="2"/>
      <c r="AEH22" s="2"/>
      <c r="AEI22" s="2"/>
      <c r="AEJ22" s="2"/>
      <c r="AEK22" s="2"/>
      <c r="AEL22" s="2"/>
      <c r="AEM22" s="2"/>
      <c r="AEN22" s="2"/>
      <c r="AEO22" s="2"/>
      <c r="AEP22" s="2"/>
      <c r="AEQ22" s="2"/>
      <c r="AER22" s="2"/>
      <c r="AES22" s="2"/>
      <c r="AET22" s="2"/>
      <c r="AEU22" s="2"/>
      <c r="AEV22" s="2"/>
      <c r="AEW22" s="2"/>
      <c r="AEX22" s="2"/>
      <c r="AEY22" s="2"/>
      <c r="AEZ22" s="2"/>
      <c r="AFA22" s="2"/>
      <c r="AFB22" s="2"/>
      <c r="AFC22" s="2"/>
      <c r="AFD22" s="2"/>
      <c r="AFE22" s="2"/>
      <c r="AFF22" s="2"/>
      <c r="AFG22" s="2"/>
      <c r="AFH22" s="2"/>
      <c r="AFI22" s="2"/>
      <c r="AFJ22" s="2"/>
      <c r="AFK22" s="2"/>
      <c r="AFL22" s="2"/>
      <c r="AFM22" s="2"/>
      <c r="AFN22" s="2"/>
      <c r="AFO22" s="2"/>
      <c r="AFP22" s="2"/>
      <c r="AFQ22" s="2"/>
      <c r="AFR22" s="2"/>
      <c r="AFS22" s="2"/>
      <c r="AFT22" s="2"/>
      <c r="AFU22" s="2"/>
      <c r="AFV22" s="2"/>
      <c r="AFW22" s="2"/>
      <c r="AFX22" s="2"/>
      <c r="AFY22" s="2"/>
      <c r="AFZ22" s="2"/>
      <c r="AGA22" s="2"/>
      <c r="AGB22" s="2"/>
      <c r="AGC22" s="2"/>
      <c r="AGD22" s="2"/>
      <c r="AGE22" s="2"/>
      <c r="AGF22" s="2"/>
      <c r="AGG22" s="2"/>
      <c r="AGH22" s="2"/>
      <c r="AGI22" s="2"/>
      <c r="AGJ22" s="2"/>
      <c r="AGK22" s="2"/>
      <c r="AGL22" s="2"/>
      <c r="AGM22" s="2"/>
      <c r="AGN22" s="2"/>
      <c r="AGO22" s="2"/>
      <c r="AGP22" s="2"/>
      <c r="AGQ22" s="2"/>
      <c r="AGR22" s="2"/>
      <c r="AGS22" s="2"/>
      <c r="AGT22" s="2"/>
      <c r="AGU22" s="2"/>
      <c r="AGV22" s="2"/>
      <c r="AGW22" s="2"/>
      <c r="AGX22" s="2"/>
      <c r="AGY22" s="2"/>
      <c r="AGZ22" s="2"/>
      <c r="AHA22" s="2"/>
      <c r="AHB22" s="2"/>
      <c r="AHC22" s="2"/>
      <c r="AHD22" s="2"/>
      <c r="AHE22" s="2"/>
      <c r="AHF22" s="2"/>
      <c r="AHG22" s="2"/>
      <c r="AHH22" s="2"/>
      <c r="AHI22" s="2"/>
      <c r="AHJ22" s="2"/>
      <c r="AHK22" s="2"/>
      <c r="AHL22" s="2"/>
      <c r="AHM22" s="2"/>
      <c r="AHN22" s="2"/>
      <c r="AHO22" s="2"/>
      <c r="AHP22" s="2"/>
      <c r="AHQ22" s="2"/>
      <c r="AHR22" s="2"/>
      <c r="AHS22" s="2"/>
      <c r="AHT22" s="2"/>
      <c r="AHU22" s="2"/>
      <c r="AHV22" s="2"/>
      <c r="AHW22" s="2"/>
      <c r="AHX22" s="2"/>
      <c r="AHY22" s="2"/>
      <c r="AHZ22" s="2"/>
      <c r="AIA22" s="2"/>
      <c r="AIB22" s="2"/>
      <c r="AIC22" s="2"/>
      <c r="AID22" s="2"/>
      <c r="AIE22" s="2"/>
      <c r="AIF22" s="2"/>
      <c r="AIG22" s="2"/>
      <c r="AIH22" s="2"/>
      <c r="AII22" s="2"/>
      <c r="AIJ22" s="2"/>
      <c r="AIK22" s="2"/>
      <c r="AIL22" s="2"/>
      <c r="AIM22" s="2"/>
      <c r="AIN22" s="2"/>
      <c r="AIO22" s="2"/>
      <c r="AIP22" s="2"/>
      <c r="AIQ22" s="2"/>
      <c r="AIR22" s="2"/>
      <c r="AIS22" s="2"/>
      <c r="AIT22" s="2"/>
      <c r="AIU22" s="2"/>
      <c r="AIV22" s="2"/>
      <c r="AIW22" s="2"/>
      <c r="AIX22" s="2"/>
      <c r="AIY22" s="2"/>
      <c r="AIZ22" s="2"/>
      <c r="AJA22" s="2"/>
      <c r="AJB22" s="2"/>
      <c r="AJC22" s="2"/>
      <c r="AJD22" s="2"/>
      <c r="AJE22" s="2"/>
      <c r="AJF22" s="2"/>
      <c r="AJG22" s="2"/>
      <c r="AJH22" s="2"/>
      <c r="AJI22" s="2"/>
      <c r="AJJ22" s="2"/>
      <c r="AJK22" s="2"/>
      <c r="AJL22" s="2"/>
      <c r="AJM22" s="2"/>
      <c r="AJN22" s="2"/>
      <c r="AJO22" s="2"/>
      <c r="AJP22" s="2"/>
      <c r="AJQ22" s="2"/>
      <c r="AJR22" s="2"/>
      <c r="AJS22" s="2"/>
      <c r="AJT22" s="2"/>
      <c r="AJU22" s="2"/>
      <c r="AJV22" s="2"/>
      <c r="AJW22" s="2"/>
      <c r="AJX22" s="2"/>
      <c r="AJY22" s="2"/>
      <c r="AJZ22" s="2"/>
      <c r="AKA22" s="2"/>
      <c r="AKB22" s="2"/>
      <c r="AKC22" s="2"/>
      <c r="AKD22" s="2"/>
      <c r="AKE22" s="2"/>
      <c r="AKF22" s="2"/>
      <c r="AKG22" s="2"/>
      <c r="AKH22" s="2"/>
      <c r="AKI22" s="2"/>
      <c r="AKJ22" s="2"/>
      <c r="AKK22" s="2"/>
      <c r="AKL22" s="2"/>
      <c r="AKM22" s="2"/>
      <c r="AKN22" s="2"/>
      <c r="AKO22" s="2"/>
      <c r="AKP22" s="2"/>
      <c r="AKQ22" s="2"/>
      <c r="AKR22" s="2"/>
      <c r="AKS22" s="2"/>
      <c r="AKT22" s="2"/>
      <c r="AKU22" s="2"/>
      <c r="AKV22" s="2"/>
      <c r="AKW22" s="2"/>
      <c r="AKX22" s="2"/>
      <c r="AKY22" s="2"/>
      <c r="AKZ22" s="2"/>
      <c r="ALA22" s="2"/>
      <c r="ALB22" s="2"/>
      <c r="ALC22" s="2"/>
      <c r="ALD22" s="2"/>
      <c r="ALE22" s="2"/>
      <c r="ALF22" s="2"/>
      <c r="ALG22" s="2"/>
      <c r="ALH22" s="2"/>
      <c r="ALI22" s="2"/>
      <c r="ALJ22" s="2"/>
      <c r="ALK22" s="2"/>
      <c r="ALL22" s="2"/>
      <c r="ALM22" s="2"/>
      <c r="ALN22" s="2"/>
      <c r="ALO22" s="2"/>
      <c r="ALP22" s="2"/>
      <c r="ALQ22" s="2"/>
      <c r="ALR22" s="2"/>
      <c r="ALS22" s="2"/>
      <c r="ALT22" s="2"/>
      <c r="ALU22" s="2"/>
      <c r="ALV22" s="2"/>
      <c r="ALW22" s="2"/>
      <c r="ALX22" s="2"/>
      <c r="ALY22" s="2"/>
      <c r="ALZ22" s="2"/>
      <c r="AMA22" s="2"/>
      <c r="AMB22" s="2"/>
      <c r="AMC22" s="2"/>
      <c r="AMD22" s="2"/>
      <c r="AME22" s="2"/>
      <c r="AMF22" s="2"/>
      <c r="AMG22" s="2"/>
      <c r="AMH22" s="2"/>
      <c r="AMI22" s="2"/>
      <c r="AMJ22" s="2"/>
    </row>
    <row r="23" spans="1:1024" s="38" customFormat="1" ht="51.75" customHeight="1" thickBot="1" x14ac:dyDescent="0.25">
      <c r="A23" s="55">
        <v>12</v>
      </c>
      <c r="B23" s="51" t="str">
        <f>'Necesidades Trimestrales'!B21</f>
        <v>2.1.1-6547.80</v>
      </c>
      <c r="C23" s="125" t="str">
        <f>'Necesidades Trimestrales'!E21</f>
        <v>LEGUMBRES; VARIEDAD: LENTEJA, ESTADO: SECO, PRESENTACION: SIN VALOR, PESO: ENVASE X 400 GR</v>
      </c>
      <c r="D23" s="125"/>
      <c r="E23" s="125"/>
      <c r="F23" s="125"/>
      <c r="G23" s="125"/>
      <c r="H23" s="50" t="s">
        <v>97</v>
      </c>
      <c r="I23" s="56" t="s">
        <v>14</v>
      </c>
      <c r="J23" s="53">
        <f>'Necesidades Trimestrales'!H21</f>
        <v>82</v>
      </c>
      <c r="K23" s="54">
        <f>'Necesidades Trimestrales'!G21</f>
        <v>100000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  <c r="AKR23" s="2"/>
      <c r="AKS23" s="2"/>
      <c r="AKT23" s="2"/>
      <c r="AKU23" s="2"/>
      <c r="AKV23" s="2"/>
      <c r="AKW23" s="2"/>
      <c r="AKX23" s="2"/>
      <c r="AKY23" s="2"/>
      <c r="AKZ23" s="2"/>
      <c r="ALA23" s="2"/>
      <c r="ALB23" s="2"/>
      <c r="ALC23" s="2"/>
      <c r="ALD23" s="2"/>
      <c r="ALE23" s="2"/>
      <c r="ALF23" s="2"/>
      <c r="ALG23" s="2"/>
      <c r="ALH23" s="2"/>
      <c r="ALI23" s="2"/>
      <c r="ALJ23" s="2"/>
      <c r="ALK23" s="2"/>
      <c r="ALL23" s="2"/>
      <c r="ALM23" s="2"/>
      <c r="ALN23" s="2"/>
      <c r="ALO23" s="2"/>
      <c r="ALP23" s="2"/>
      <c r="ALQ23" s="2"/>
      <c r="ALR23" s="2"/>
      <c r="ALS23" s="2"/>
      <c r="ALT23" s="2"/>
      <c r="ALU23" s="2"/>
      <c r="ALV23" s="2"/>
      <c r="ALW23" s="2"/>
      <c r="ALX23" s="2"/>
      <c r="ALY23" s="2"/>
      <c r="ALZ23" s="2"/>
      <c r="AMA23" s="2"/>
      <c r="AMB23" s="2"/>
      <c r="AMC23" s="2"/>
      <c r="AMD23" s="2"/>
      <c r="AME23" s="2"/>
      <c r="AMF23" s="2"/>
      <c r="AMG23" s="2"/>
      <c r="AMH23" s="2"/>
      <c r="AMI23" s="2"/>
      <c r="AMJ23" s="2"/>
    </row>
    <row r="24" spans="1:1024" s="38" customFormat="1" ht="30.75" customHeight="1" thickBot="1" x14ac:dyDescent="0.25">
      <c r="A24" s="55"/>
      <c r="B24" s="51"/>
      <c r="C24" s="125"/>
      <c r="D24" s="125"/>
      <c r="E24" s="125"/>
      <c r="F24" s="125"/>
      <c r="G24" s="125"/>
      <c r="H24" s="57"/>
      <c r="I24" s="56"/>
      <c r="J24" s="53"/>
      <c r="K24" s="5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</row>
    <row r="25" spans="1:1024" ht="26.25" customHeight="1" thickBot="1" x14ac:dyDescent="0.25">
      <c r="A25" s="123" t="s">
        <v>94</v>
      </c>
      <c r="B25" s="123"/>
      <c r="C25" s="123"/>
      <c r="D25" s="123"/>
      <c r="E25" s="123"/>
      <c r="F25" s="123"/>
      <c r="G25" s="123"/>
      <c r="H25" s="123"/>
      <c r="I25" s="123"/>
      <c r="J25" s="124">
        <f>+J12*K12+J13*K13+J14*K14+J15*K15+J16*K16+J17*K17+J18*K18+J19*K19+J20*K20+J21*K21+J22*K22+J23*K23+J24*K24</f>
        <v>143810000</v>
      </c>
      <c r="K25" s="124"/>
    </row>
  </sheetData>
  <mergeCells count="3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5:I25"/>
    <mergeCell ref="J25:K25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</mergeCells>
  <printOptions horizontalCentered="1"/>
  <pageMargins left="0" right="0" top="0" bottom="0" header="0.51181102362204722" footer="0.51181102362204722"/>
  <pageSetup paperSize="5" scale="7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6" zoomScale="130" zoomScaleNormal="130" workbookViewId="0">
      <selection activeCell="M17" sqref="M17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59" t="s">
        <v>3</v>
      </c>
      <c r="B1" s="159"/>
      <c r="C1" s="159"/>
      <c r="D1" s="160">
        <f>'Necesidades Trimestrales'!C6</f>
        <v>2021</v>
      </c>
      <c r="E1" s="160"/>
      <c r="F1" s="4"/>
      <c r="G1" s="4"/>
      <c r="H1" s="5"/>
      <c r="I1" s="5"/>
      <c r="J1" s="5"/>
      <c r="K1" s="5"/>
      <c r="L1" s="5"/>
      <c r="M1" s="5"/>
      <c r="N1" s="5"/>
      <c r="P1" s="161" t="s">
        <v>31</v>
      </c>
      <c r="Q1" s="161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161"/>
      <c r="Q2" s="161"/>
    </row>
    <row r="4" spans="1:17" s="6" customFormat="1" ht="18" customHeight="1" thickBot="1" x14ac:dyDescent="0.25">
      <c r="A4" s="162" t="s">
        <v>32</v>
      </c>
      <c r="B4" s="162"/>
      <c r="C4" s="162"/>
      <c r="D4" s="162"/>
      <c r="E4" s="162"/>
      <c r="F4" s="162"/>
      <c r="G4" s="157" t="str">
        <f>' NotaPedido'!D3</f>
        <v>45- Ministerio de Desarrollo Social y Deporte.-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17" s="6" customFormat="1" ht="18" customHeight="1" thickBot="1" x14ac:dyDescent="0.25">
      <c r="A5" s="154" t="s">
        <v>55</v>
      </c>
      <c r="B5" s="155"/>
      <c r="C5" s="155"/>
      <c r="D5" s="155"/>
      <c r="E5" s="155"/>
      <c r="F5" s="156"/>
      <c r="G5" s="157" t="str">
        <f>' NotaPedido'!D4</f>
        <v>25- Direccion Provincial de Gestion Administracion y RRHH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</row>
    <row r="6" spans="1:17" s="6" customFormat="1" ht="18" customHeight="1" thickBot="1" x14ac:dyDescent="0.25">
      <c r="A6" s="154" t="s">
        <v>33</v>
      </c>
      <c r="B6" s="155"/>
      <c r="C6" s="155"/>
      <c r="D6" s="155"/>
      <c r="E6" s="155"/>
      <c r="F6" s="156"/>
      <c r="G6" s="157" t="s">
        <v>89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s="6" customFormat="1" ht="18" customHeight="1" thickBot="1" x14ac:dyDescent="0.25">
      <c r="A7" s="154" t="s">
        <v>56</v>
      </c>
      <c r="B7" s="155"/>
      <c r="C7" s="155"/>
      <c r="D7" s="155"/>
      <c r="E7" s="155"/>
      <c r="F7" s="156"/>
      <c r="G7" s="157" t="s">
        <v>91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8" customHeight="1" thickBot="1" x14ac:dyDescent="0.25">
      <c r="A8" s="158" t="s">
        <v>34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1:17" ht="18" customHeight="1" x14ac:dyDescent="0.2">
      <c r="A9" s="148" t="s">
        <v>35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"/>
      <c r="P9" s="1"/>
      <c r="Q9" s="7"/>
    </row>
    <row r="10" spans="1:17" ht="54.75" customHeight="1" x14ac:dyDescent="0.2">
      <c r="A10" s="14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448/2021,  afectando la erogación resultante a los créditos presupuestarios aprobados a favor de esta Unidad Ejecutora, conforme al siguiente detalle: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150" t="s">
        <v>36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x14ac:dyDescent="0.2">
      <c r="A13" s="151" t="s">
        <v>37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 t="s">
        <v>38</v>
      </c>
      <c r="P13" s="152"/>
      <c r="Q13" s="153" t="s">
        <v>39</v>
      </c>
    </row>
    <row r="14" spans="1:17" ht="15.75" customHeight="1" x14ac:dyDescent="0.2">
      <c r="A14" s="12" t="s">
        <v>40</v>
      </c>
      <c r="B14" s="13" t="s">
        <v>41</v>
      </c>
      <c r="C14" s="13" t="s">
        <v>42</v>
      </c>
      <c r="D14" s="13" t="s">
        <v>43</v>
      </c>
      <c r="E14" s="13" t="s">
        <v>44</v>
      </c>
      <c r="F14" s="13" t="s">
        <v>45</v>
      </c>
      <c r="G14" s="14" t="s">
        <v>46</v>
      </c>
      <c r="H14" s="13" t="s">
        <v>47</v>
      </c>
      <c r="I14" s="13" t="s">
        <v>48</v>
      </c>
      <c r="J14" s="13" t="s">
        <v>49</v>
      </c>
      <c r="K14" s="13" t="s">
        <v>49</v>
      </c>
      <c r="L14" s="13" t="s">
        <v>50</v>
      </c>
      <c r="M14" s="15" t="s">
        <v>51</v>
      </c>
      <c r="N14" s="16" t="s">
        <v>52</v>
      </c>
      <c r="O14" s="152"/>
      <c r="P14" s="152"/>
      <c r="Q14" s="153"/>
    </row>
    <row r="15" spans="1:17" ht="17.25" customHeight="1" x14ac:dyDescent="0.2">
      <c r="A15" s="40">
        <v>16</v>
      </c>
      <c r="B15" s="41"/>
      <c r="C15" s="41"/>
      <c r="D15" s="41">
        <v>2</v>
      </c>
      <c r="E15" s="41"/>
      <c r="F15" s="41">
        <v>4901</v>
      </c>
      <c r="G15" s="42">
        <v>3</v>
      </c>
      <c r="H15" s="42">
        <v>2</v>
      </c>
      <c r="I15" s="41" t="str">
        <f>LEFT('[1]Necesidades Trimestrales'!D10,1)</f>
        <v>2</v>
      </c>
      <c r="J15" s="41">
        <v>1</v>
      </c>
      <c r="K15" s="41">
        <v>1</v>
      </c>
      <c r="L15" s="41"/>
      <c r="M15" s="43">
        <v>1</v>
      </c>
      <c r="N15" s="41">
        <v>1.1000000000000001</v>
      </c>
      <c r="O15" s="145" t="s">
        <v>58</v>
      </c>
      <c r="P15" s="146"/>
      <c r="Q15" s="34">
        <v>143810000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147"/>
      <c r="P16" s="147"/>
      <c r="Q16" s="33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39"/>
      <c r="P17" s="139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39"/>
      <c r="P18" s="139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39"/>
      <c r="P19" s="139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39"/>
      <c r="P20" s="139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0"/>
      <c r="P21" s="140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1"/>
      <c r="P22" s="141"/>
      <c r="Q22" s="30"/>
    </row>
    <row r="23" spans="1:18" ht="32.25" customHeight="1" x14ac:dyDescent="0.2">
      <c r="A23" s="142" t="s">
        <v>95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31">
        <f>SUM(Q15:Q22)</f>
        <v>143810000</v>
      </c>
    </row>
    <row r="24" spans="1:18" ht="18" customHeight="1" thickBot="1" x14ac:dyDescent="0.25">
      <c r="A24" s="144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</row>
    <row r="25" spans="1:18" ht="17.25" customHeight="1" thickBot="1" x14ac:dyDescent="0.25">
      <c r="A25" s="134" t="s">
        <v>53</v>
      </c>
      <c r="B25" s="135"/>
      <c r="C25" s="135"/>
      <c r="D25" s="135"/>
      <c r="E25" s="135"/>
      <c r="F25" s="136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</row>
    <row r="26" spans="1:18" ht="18" customHeight="1" thickBot="1" x14ac:dyDescent="0.25">
      <c r="A26" s="138" t="s">
        <v>86</v>
      </c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</row>
    <row r="27" spans="1:18" ht="15" customHeight="1" x14ac:dyDescent="0.2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Pedro Salinas</cp:lastModifiedBy>
  <cp:revision>2</cp:revision>
  <cp:lastPrinted>2021-04-21T15:28:55Z</cp:lastPrinted>
  <dcterms:created xsi:type="dcterms:W3CDTF">2020-07-17T23:44:49Z</dcterms:created>
  <dcterms:modified xsi:type="dcterms:W3CDTF">2021-04-21T17:08:33Z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