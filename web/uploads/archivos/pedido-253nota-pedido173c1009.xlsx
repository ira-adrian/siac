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2 TRIMESTRE  2022\SALUD\UT . LABORATORIO\nuevo\"/>
    </mc:Choice>
  </mc:AlternateContent>
  <xr:revisionPtr revIDLastSave="0" documentId="13_ncr:1_{7C282230-1209-4E46-BAF5-0B0DFF9E9333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SAF 011 - NECESIDAD TRIMESTRAL" sheetId="1" r:id="rId1"/>
    <sheet name="NP DPLAB" sheetId="2" r:id="rId2"/>
    <sheet name="APG DPLAB" sheetId="3" r:id="rId3"/>
    <sheet name="NP DPBS" sheetId="6" r:id="rId4"/>
    <sheet name="APG DPBS" sheetId="7" r:id="rId5"/>
    <sheet name="NP DPSMA" sheetId="8" r:id="rId6"/>
    <sheet name="APG DPSMA" sheetId="9" r:id="rId7"/>
  </sheets>
  <definedNames>
    <definedName name="_xlnm._FilterDatabase" localSheetId="0" hidden="1">'SAF 011 - NECESIDAD TRIMESTRAL'!$A$9:$AY$9</definedName>
  </definedNames>
  <calcPr calcId="181029"/>
</workbook>
</file>

<file path=xl/calcChain.xml><?xml version="1.0" encoding="utf-8"?>
<calcChain xmlns="http://schemas.openxmlformats.org/spreadsheetml/2006/main">
  <c r="K49" i="8" l="1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32" i="8"/>
  <c r="K53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34" i="6"/>
  <c r="K39" i="2"/>
  <c r="K28" i="2"/>
  <c r="K29" i="2"/>
  <c r="K30" i="2"/>
  <c r="K31" i="2"/>
  <c r="K32" i="2"/>
  <c r="K33" i="2"/>
  <c r="K34" i="2"/>
  <c r="K35" i="2"/>
  <c r="K36" i="2"/>
  <c r="K37" i="2"/>
  <c r="K38" i="2"/>
  <c r="K27" i="2"/>
  <c r="M19" i="2"/>
  <c r="C15" i="2" l="1"/>
  <c r="I15" i="2"/>
  <c r="J15" i="2"/>
  <c r="M15" i="2" s="1"/>
  <c r="K15" i="2"/>
  <c r="K13" i="2"/>
  <c r="K14" i="2"/>
  <c r="K16" i="2"/>
  <c r="K17" i="2"/>
  <c r="K18" i="2"/>
  <c r="K19" i="2"/>
  <c r="K20" i="2"/>
  <c r="K21" i="2"/>
  <c r="K22" i="2"/>
  <c r="K23" i="2"/>
  <c r="J13" i="2"/>
  <c r="M13" i="2" s="1"/>
  <c r="J14" i="2"/>
  <c r="M14" i="2" s="1"/>
  <c r="J16" i="2"/>
  <c r="M16" i="2" s="1"/>
  <c r="J17" i="2"/>
  <c r="M17" i="2" s="1"/>
  <c r="J18" i="2"/>
  <c r="M18" i="2" s="1"/>
  <c r="J19" i="2"/>
  <c r="Q16" i="3" s="1"/>
  <c r="J20" i="2"/>
  <c r="M20" i="2" s="1"/>
  <c r="J21" i="2"/>
  <c r="M21" i="2" s="1"/>
  <c r="J22" i="2"/>
  <c r="M22" i="2" s="1"/>
  <c r="J23" i="2"/>
  <c r="M23" i="2" s="1"/>
  <c r="I13" i="2"/>
  <c r="I14" i="2"/>
  <c r="I16" i="2"/>
  <c r="I17" i="2"/>
  <c r="I18" i="2"/>
  <c r="I19" i="2"/>
  <c r="I20" i="2"/>
  <c r="I21" i="2"/>
  <c r="I22" i="2"/>
  <c r="I23" i="2"/>
  <c r="C13" i="2"/>
  <c r="C14" i="2"/>
  <c r="C16" i="2"/>
  <c r="C17" i="2"/>
  <c r="C18" i="2"/>
  <c r="C19" i="2"/>
  <c r="C20" i="2"/>
  <c r="C21" i="2"/>
  <c r="C22" i="2"/>
  <c r="C23" i="2"/>
  <c r="AW50" i="1" l="1"/>
  <c r="AY50" i="1" s="1"/>
  <c r="AL50" i="1"/>
  <c r="AH50" i="1"/>
  <c r="AF50" i="1"/>
  <c r="N50" i="1"/>
  <c r="L50" i="1"/>
  <c r="K12" i="8" l="1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12" i="6"/>
  <c r="K13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A41" i="9"/>
  <c r="G7" i="9"/>
  <c r="G6" i="9"/>
  <c r="G5" i="9"/>
  <c r="G4" i="9"/>
  <c r="J28" i="8"/>
  <c r="I28" i="8"/>
  <c r="C28" i="8"/>
  <c r="J27" i="8"/>
  <c r="I27" i="8"/>
  <c r="C27" i="8"/>
  <c r="J26" i="8"/>
  <c r="I26" i="8"/>
  <c r="C26" i="8"/>
  <c r="J25" i="8"/>
  <c r="I25" i="8"/>
  <c r="C25" i="8"/>
  <c r="J24" i="8"/>
  <c r="I24" i="8"/>
  <c r="C24" i="8"/>
  <c r="J23" i="8"/>
  <c r="I23" i="8"/>
  <c r="C23" i="8"/>
  <c r="J22" i="8"/>
  <c r="I22" i="8"/>
  <c r="C22" i="8"/>
  <c r="J21" i="8"/>
  <c r="I21" i="8"/>
  <c r="C21" i="8"/>
  <c r="J20" i="8"/>
  <c r="I20" i="8"/>
  <c r="C20" i="8"/>
  <c r="J19" i="8"/>
  <c r="I19" i="8"/>
  <c r="C19" i="8"/>
  <c r="J18" i="8"/>
  <c r="I18" i="8"/>
  <c r="C18" i="8"/>
  <c r="J17" i="8"/>
  <c r="I17" i="8"/>
  <c r="C17" i="8"/>
  <c r="J16" i="8"/>
  <c r="I16" i="8"/>
  <c r="C16" i="8"/>
  <c r="J15" i="8"/>
  <c r="I15" i="8"/>
  <c r="C15" i="8"/>
  <c r="J14" i="8"/>
  <c r="I14" i="8"/>
  <c r="C14" i="8"/>
  <c r="J13" i="8"/>
  <c r="I13" i="8"/>
  <c r="C13" i="8"/>
  <c r="J12" i="8"/>
  <c r="I12" i="8"/>
  <c r="C12" i="8"/>
  <c r="A41" i="7"/>
  <c r="G7" i="7"/>
  <c r="G6" i="7"/>
  <c r="G5" i="7"/>
  <c r="G4" i="7"/>
  <c r="J30" i="6"/>
  <c r="I30" i="6"/>
  <c r="C30" i="6"/>
  <c r="J29" i="6"/>
  <c r="I29" i="6"/>
  <c r="C29" i="6"/>
  <c r="J28" i="6"/>
  <c r="I28" i="6"/>
  <c r="C28" i="6"/>
  <c r="J27" i="6"/>
  <c r="I27" i="6"/>
  <c r="C27" i="6"/>
  <c r="J26" i="6"/>
  <c r="I26" i="6"/>
  <c r="C26" i="6"/>
  <c r="J25" i="6"/>
  <c r="I25" i="6"/>
  <c r="C25" i="6"/>
  <c r="J24" i="6"/>
  <c r="I24" i="6"/>
  <c r="C24" i="6"/>
  <c r="J23" i="6"/>
  <c r="I23" i="6"/>
  <c r="C23" i="6"/>
  <c r="J22" i="6"/>
  <c r="I22" i="6"/>
  <c r="C22" i="6"/>
  <c r="J21" i="6"/>
  <c r="I21" i="6"/>
  <c r="C21" i="6"/>
  <c r="J20" i="6"/>
  <c r="I20" i="6"/>
  <c r="C20" i="6"/>
  <c r="J19" i="6"/>
  <c r="I19" i="6"/>
  <c r="C19" i="6"/>
  <c r="J18" i="6"/>
  <c r="I18" i="6"/>
  <c r="C18" i="6"/>
  <c r="J17" i="6"/>
  <c r="I17" i="6"/>
  <c r="C17" i="6"/>
  <c r="J16" i="6"/>
  <c r="I16" i="6"/>
  <c r="C16" i="6"/>
  <c r="J15" i="6"/>
  <c r="I15" i="6"/>
  <c r="C15" i="6"/>
  <c r="J14" i="6"/>
  <c r="I14" i="6"/>
  <c r="C14" i="6"/>
  <c r="J13" i="6"/>
  <c r="I13" i="6"/>
  <c r="C13" i="6"/>
  <c r="J12" i="6"/>
  <c r="I12" i="6"/>
  <c r="C12" i="6"/>
  <c r="J30" i="8" l="1"/>
  <c r="Q15" i="9" s="1"/>
  <c r="Q38" i="9" s="1"/>
  <c r="AW28" i="1"/>
  <c r="AY28" i="1" s="1"/>
  <c r="N28" i="1"/>
  <c r="L28" i="1"/>
  <c r="M14" i="1" l="1"/>
  <c r="K14" i="6" s="1"/>
  <c r="J32" i="6" s="1"/>
  <c r="Q15" i="7" s="1"/>
  <c r="Q38" i="7" s="1"/>
  <c r="AF15" i="1" l="1"/>
  <c r="AF20" i="1"/>
  <c r="AF21" i="1"/>
  <c r="AF23" i="1"/>
  <c r="AF24" i="1"/>
  <c r="AF25" i="1"/>
  <c r="AF31" i="1"/>
  <c r="AF32" i="1"/>
  <c r="AF35" i="1"/>
  <c r="AF37" i="1"/>
  <c r="AF38" i="1"/>
  <c r="AF41" i="1"/>
  <c r="AF42" i="1"/>
  <c r="AF43" i="1"/>
  <c r="AF48" i="1"/>
  <c r="AF51" i="1"/>
  <c r="AF10" i="1"/>
  <c r="AF11" i="1"/>
  <c r="AF13" i="1"/>
  <c r="AF14" i="1"/>
  <c r="AF16" i="1"/>
  <c r="AF17" i="1"/>
  <c r="AF18" i="1"/>
  <c r="AF19" i="1"/>
  <c r="AF22" i="1"/>
  <c r="AF26" i="1"/>
  <c r="AF27" i="1"/>
  <c r="AF29" i="1"/>
  <c r="AF30" i="1"/>
  <c r="AF33" i="1"/>
  <c r="AF34" i="1"/>
  <c r="AF36" i="1"/>
  <c r="AF39" i="1"/>
  <c r="AF40" i="1"/>
  <c r="AF44" i="1"/>
  <c r="AF45" i="1"/>
  <c r="AF46" i="1"/>
  <c r="AF47" i="1"/>
  <c r="AF49" i="1"/>
  <c r="AF52" i="1"/>
  <c r="AF53" i="1"/>
  <c r="AF54" i="1"/>
  <c r="AF55" i="1"/>
  <c r="AF56" i="1"/>
  <c r="AF57" i="1"/>
  <c r="N12" i="1"/>
  <c r="N15" i="1"/>
  <c r="N20" i="1"/>
  <c r="N21" i="1"/>
  <c r="N23" i="1"/>
  <c r="N24" i="1"/>
  <c r="N25" i="1"/>
  <c r="N31" i="1"/>
  <c r="N32" i="1"/>
  <c r="N35" i="1"/>
  <c r="N37" i="1"/>
  <c r="N38" i="1"/>
  <c r="N41" i="1"/>
  <c r="N42" i="1"/>
  <c r="N43" i="1"/>
  <c r="N48" i="1"/>
  <c r="N51" i="1"/>
  <c r="L12" i="1"/>
  <c r="L15" i="1"/>
  <c r="L20" i="1"/>
  <c r="L21" i="1"/>
  <c r="L23" i="1"/>
  <c r="L24" i="1"/>
  <c r="L25" i="1"/>
  <c r="L31" i="1"/>
  <c r="L32" i="1"/>
  <c r="L35" i="1"/>
  <c r="L37" i="1"/>
  <c r="L38" i="1"/>
  <c r="L41" i="1"/>
  <c r="L42" i="1"/>
  <c r="L43" i="1"/>
  <c r="L48" i="1"/>
  <c r="L51" i="1"/>
  <c r="AF12" i="1"/>
  <c r="AW12" i="1"/>
  <c r="AY12" i="1" s="1"/>
  <c r="AW15" i="1"/>
  <c r="AY15" i="1" s="1"/>
  <c r="AW20" i="1"/>
  <c r="AY20" i="1" s="1"/>
  <c r="AW21" i="1"/>
  <c r="AY21" i="1" s="1"/>
  <c r="AW23" i="1"/>
  <c r="AY23" i="1" s="1"/>
  <c r="AW24" i="1"/>
  <c r="AY24" i="1" s="1"/>
  <c r="AW25" i="1"/>
  <c r="AY25" i="1" s="1"/>
  <c r="AW31" i="1"/>
  <c r="AY31" i="1" s="1"/>
  <c r="AW32" i="1"/>
  <c r="AY32" i="1" s="1"/>
  <c r="AW35" i="1"/>
  <c r="AY35" i="1" s="1"/>
  <c r="AW37" i="1"/>
  <c r="AY37" i="1" s="1"/>
  <c r="AW38" i="1"/>
  <c r="AY38" i="1" s="1"/>
  <c r="AW41" i="1"/>
  <c r="AY41" i="1" s="1"/>
  <c r="AW42" i="1"/>
  <c r="AY42" i="1" s="1"/>
  <c r="AW43" i="1"/>
  <c r="AY43" i="1" s="1"/>
  <c r="AW48" i="1"/>
  <c r="AY48" i="1" s="1"/>
  <c r="AW51" i="1"/>
  <c r="AY51" i="1" s="1"/>
  <c r="AF59" i="1" l="1"/>
  <c r="K12" i="2"/>
  <c r="C12" i="2"/>
  <c r="J12" i="2"/>
  <c r="I12" i="2"/>
  <c r="M12" i="2" l="1"/>
  <c r="M25" i="2" s="1"/>
  <c r="M27" i="2" s="1"/>
  <c r="Q15" i="3" s="1"/>
  <c r="J25" i="2"/>
  <c r="A41" i="3"/>
  <c r="G5" i="3" l="1"/>
  <c r="G6" i="3"/>
  <c r="G7" i="3"/>
  <c r="G4" i="3"/>
  <c r="Q38" i="3"/>
  <c r="L11" i="1" l="1"/>
  <c r="L13" i="1"/>
  <c r="L14" i="1"/>
  <c r="L16" i="1"/>
  <c r="L17" i="1"/>
  <c r="L18" i="1"/>
  <c r="L19" i="1"/>
  <c r="L22" i="1"/>
  <c r="L26" i="1"/>
  <c r="L27" i="1"/>
  <c r="L29" i="1"/>
  <c r="L30" i="1"/>
  <c r="L33" i="1"/>
  <c r="L34" i="1"/>
  <c r="L36" i="1"/>
  <c r="L39" i="1"/>
  <c r="L40" i="1"/>
  <c r="L44" i="1"/>
  <c r="L45" i="1"/>
  <c r="L46" i="1"/>
  <c r="L47" i="1"/>
  <c r="L49" i="1"/>
  <c r="L52" i="1"/>
  <c r="L53" i="1"/>
  <c r="L54" i="1"/>
  <c r="L55" i="1"/>
  <c r="L56" i="1"/>
  <c r="L57" i="1"/>
  <c r="N11" i="1" l="1"/>
  <c r="N13" i="1"/>
  <c r="N14" i="1"/>
  <c r="N16" i="1"/>
  <c r="N17" i="1"/>
  <c r="N18" i="1"/>
  <c r="N19" i="1"/>
  <c r="N22" i="1"/>
  <c r="N26" i="1"/>
  <c r="N27" i="1"/>
  <c r="N29" i="1"/>
  <c r="N30" i="1"/>
  <c r="N33" i="1"/>
  <c r="N34" i="1"/>
  <c r="N36" i="1"/>
  <c r="N39" i="1"/>
  <c r="N40" i="1"/>
  <c r="N44" i="1"/>
  <c r="N45" i="1"/>
  <c r="N46" i="1"/>
  <c r="N47" i="1"/>
  <c r="N49" i="1"/>
  <c r="N52" i="1"/>
  <c r="N53" i="1"/>
  <c r="N54" i="1"/>
  <c r="N55" i="1"/>
  <c r="N56" i="1"/>
  <c r="N57" i="1"/>
  <c r="AW11" i="1"/>
  <c r="AW13" i="1"/>
  <c r="AW14" i="1"/>
  <c r="AW16" i="1"/>
  <c r="AY16" i="1" s="1"/>
  <c r="AW17" i="1"/>
  <c r="AY17" i="1" s="1"/>
  <c r="AW18" i="1"/>
  <c r="AY18" i="1" s="1"/>
  <c r="AW19" i="1"/>
  <c r="AY19" i="1" s="1"/>
  <c r="AW22" i="1"/>
  <c r="AY22" i="1" s="1"/>
  <c r="AW26" i="1"/>
  <c r="AY26" i="1" s="1"/>
  <c r="AW27" i="1"/>
  <c r="AY27" i="1" s="1"/>
  <c r="AW29" i="1"/>
  <c r="AY29" i="1" s="1"/>
  <c r="AW30" i="1"/>
  <c r="AY30" i="1" s="1"/>
  <c r="AW33" i="1"/>
  <c r="AY33" i="1" s="1"/>
  <c r="AW34" i="1"/>
  <c r="AY34" i="1" s="1"/>
  <c r="AW36" i="1"/>
  <c r="AY36" i="1" s="1"/>
  <c r="AW39" i="1"/>
  <c r="AY39" i="1" s="1"/>
  <c r="AW40" i="1"/>
  <c r="AY40" i="1" s="1"/>
  <c r="AW44" i="1"/>
  <c r="AY44" i="1" s="1"/>
  <c r="AW45" i="1"/>
  <c r="AY45" i="1" s="1"/>
  <c r="AW46" i="1"/>
  <c r="AY46" i="1" s="1"/>
  <c r="AW47" i="1"/>
  <c r="AY47" i="1" s="1"/>
  <c r="AW49" i="1"/>
  <c r="AY49" i="1" s="1"/>
  <c r="AW52" i="1"/>
  <c r="AY52" i="1" s="1"/>
  <c r="AW10" i="1" l="1"/>
  <c r="AY10" i="1" s="1"/>
  <c r="AY11" i="1"/>
  <c r="AY13" i="1"/>
  <c r="AY14" i="1"/>
  <c r="AW53" i="1"/>
  <c r="AY53" i="1" s="1"/>
  <c r="AW54" i="1"/>
  <c r="AY54" i="1" s="1"/>
  <c r="AW55" i="1"/>
  <c r="AY55" i="1" s="1"/>
  <c r="AW56" i="1"/>
  <c r="AY56" i="1" s="1"/>
  <c r="AW57" i="1"/>
  <c r="AY57" i="1" s="1"/>
  <c r="AL11" i="1"/>
  <c r="AL13" i="1"/>
  <c r="AL14" i="1"/>
  <c r="AL16" i="1"/>
  <c r="AL17" i="1"/>
  <c r="AL18" i="1"/>
  <c r="AL19" i="1"/>
  <c r="AL22" i="1"/>
  <c r="AL26" i="1"/>
  <c r="AL27" i="1"/>
  <c r="AL29" i="1"/>
  <c r="AL34" i="1"/>
  <c r="AL36" i="1"/>
  <c r="AL39" i="1"/>
  <c r="AL40" i="1"/>
  <c r="AL49" i="1"/>
  <c r="AL52" i="1"/>
  <c r="AL53" i="1"/>
  <c r="AL54" i="1"/>
  <c r="AL55" i="1"/>
  <c r="AL56" i="1"/>
  <c r="AL57" i="1"/>
  <c r="AL10" i="1"/>
  <c r="N10" i="1"/>
  <c r="N59" i="1" s="1"/>
  <c r="L10" i="1"/>
  <c r="L59" i="1" s="1"/>
  <c r="AY59" i="1" l="1"/>
</calcChain>
</file>

<file path=xl/sharedStrings.xml><?xml version="1.0" encoding="utf-8"?>
<sst xmlns="http://schemas.openxmlformats.org/spreadsheetml/2006/main" count="488" uniqueCount="197">
  <si>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</si>
  <si>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</si>
  <si>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</si>
  <si>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</si>
  <si>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</si>
  <si>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</si>
  <si>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</si>
  <si>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</si>
  <si>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</si>
  <si>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</si>
  <si>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</si>
  <si>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</si>
  <si>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</si>
  <si>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SECRETARIA DE ADMINISTRACION</t>
  </si>
  <si>
    <t>TOTAL S.A.</t>
  </si>
  <si>
    <t>SMPyPS</t>
  </si>
  <si>
    <t>TOTAL SMPyPS</t>
  </si>
  <si>
    <t>DIR. LAB. CENTRAL</t>
  </si>
  <si>
    <t>TOTAL DE LAB CENTRAL</t>
  </si>
  <si>
    <t xml:space="preserve">BCO DE SANGRE </t>
  </si>
  <si>
    <t xml:space="preserve">TOTAL BANCO DE SANGRE </t>
  </si>
  <si>
    <t>APS</t>
  </si>
  <si>
    <t>TOTAL A.P.S.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</si>
  <si>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</si>
  <si>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</si>
  <si>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</si>
  <si>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</si>
  <si>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</si>
  <si>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</si>
  <si>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</si>
  <si>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HPTAL MALBRAN</t>
  </si>
  <si>
    <t>TOTAL HPTAL MALBRAN</t>
  </si>
  <si>
    <t>MATERNIDAD E INFANCIA</t>
  </si>
  <si>
    <t>TOTAL MATERNIDAD E INFANCIA</t>
  </si>
  <si>
    <t>SASP</t>
  </si>
  <si>
    <t>TOTAL SASP</t>
  </si>
  <si>
    <t>SALUD Y MEDIO AMBIENTE</t>
  </si>
  <si>
    <t>TOTAL SALUD Y MEDIO AMBIENTE</t>
  </si>
  <si>
    <t>VECTORES Y ZOONOSIS</t>
  </si>
  <si>
    <t>TOTAL DE VECT Y ZOON</t>
  </si>
  <si>
    <t>CUR</t>
  </si>
  <si>
    <t>TOTAL CUR</t>
  </si>
  <si>
    <t>SPyGS</t>
  </si>
  <si>
    <t>TOTAL SPyGS</t>
  </si>
  <si>
    <t>SALUD MENTAL</t>
  </si>
  <si>
    <t>TOTAL SALUD MENTAL</t>
  </si>
  <si>
    <t>AREAS Y DPAS</t>
  </si>
  <si>
    <t>TOTAL DPAS</t>
  </si>
  <si>
    <t>CANTIDAD TOTAL</t>
  </si>
  <si>
    <t>PRECIO UNITARIO ESTIMADO</t>
  </si>
  <si>
    <t xml:space="preserve">IMPORTE TOTAL ESTIMADO </t>
  </si>
  <si>
    <t>ESPECIFICACION TECNICA</t>
  </si>
  <si>
    <t>CAJA</t>
  </si>
  <si>
    <t xml:space="preserve">UNIDAD </t>
  </si>
  <si>
    <t>UNIDAD</t>
  </si>
  <si>
    <t>TOTAL SAME</t>
  </si>
  <si>
    <t>CRONICAS</t>
  </si>
  <si>
    <t>TOTAL CRONICAS</t>
  </si>
  <si>
    <t>EPIDEMIOLOGIA</t>
  </si>
  <si>
    <t>TOTAL EPIDEMIOLOGIA</t>
  </si>
  <si>
    <t>BOLSA</t>
  </si>
  <si>
    <t>PROD. MEDICO/FARMACEUTICOS/LAB.</t>
  </si>
  <si>
    <t>BOTELLA</t>
  </si>
  <si>
    <t>APOSITOS; TIPO: POST EXTRACCION SANGUINEA, TAMAÑO: 40 X 40 mm</t>
  </si>
  <si>
    <t xml:space="preserve">BOLSAS DE SANGRE TRIPLE KS </t>
  </si>
  <si>
    <t>CEPILLO LIMPIA PIPETA DE CERDA NATURAL DE 10 MM</t>
  </si>
  <si>
    <t>MICROPIPETAS REGULABLES; CAPACIDAD: 100 - 1000 µL, DIVISIONES: CADA 5 µL, MATERIAL: PLASTICO</t>
  </si>
  <si>
    <t>MICROPIPETAS REGULABLES; CAPACIDAD: 10-100 µL, DIVISIONES: CADA 1 µL, MATERIAL: PLASTICO</t>
  </si>
  <si>
    <t>PLACA PARA VDRL CON POCILLO PROFUNDO 12HOYOS</t>
  </si>
  <si>
    <t>TIP; TIPO: AMARILLO, PRESENTACION: ENVASE X 1000 UN, CAPACIDAD: 5 A 200 µl</t>
  </si>
  <si>
    <t>TIPS AZUL AUTOCLAVABLE</t>
  </si>
  <si>
    <t>TUBOS DE ENSAYO; TIPO: EPPENDORF, MATERIAL: PLASTICO, DIMENSION: 1.5 mL, ACCESORIOS: SIN, ACCESORIO: SIN</t>
  </si>
  <si>
    <t>TOTAL RUBRO DESCARTABLE PARA LABORATORIO</t>
  </si>
  <si>
    <t>MS</t>
  </si>
  <si>
    <t>TOTAL MS</t>
  </si>
  <si>
    <t>2.9.5.</t>
  </si>
  <si>
    <t>ANSA CALIBRADA PS DE 10 ul ESTERIL-ENVASE INDIVIDUAL X 20 U Tipo DELTALAB</t>
  </si>
  <si>
    <t>BOLSAS DE SANGRE TRIPLE KS TIPO GRIFOLS</t>
  </si>
  <si>
    <t>CONEXIÓN POR RADIOFRECUENCIA Y GR PARA AUTOMATIZACION</t>
  </si>
  <si>
    <t>CUBETA PARA FIBRINTIMER x 500 UN. Tipo WIENER</t>
  </si>
  <si>
    <t>CUBETAS SERIE X 500 UN Tipo TECO GMBH (ALEMANIA)</t>
  </si>
  <si>
    <t>ERITUBO CON CITRATO 3,8% + PIPETA PARA ERITROSEDIMENTACION 1 ML (BOLSA X 100 UN) Tipo VITIS</t>
  </si>
  <si>
    <t xml:space="preserve">GOMA LATEX/EXTRACCION CAJA X 10 U TIPO DELTALAB </t>
  </si>
  <si>
    <t>GRADILLAS PARA TUBOS DE KAHN</t>
  </si>
  <si>
    <t>KIT PLAQUETAS CON FILTRO</t>
  </si>
  <si>
    <t>MANOPLAS DE POLIETILENO x 100 U</t>
  </si>
  <si>
    <t>2.3.4</t>
  </si>
  <si>
    <t xml:space="preserve">PAPEL para contador MINDRAY </t>
  </si>
  <si>
    <t>PISETA 500 Ml</t>
  </si>
  <si>
    <t>TIMER DIGITAL 5 ALARMAS Tipo KINDER</t>
  </si>
  <si>
    <t>TUBO DE KAHN DE VIDRIO</t>
  </si>
  <si>
    <t>TUBOS DE ENSAYO; TIPO: CONICO P/CENTRIFUGA, MATERIAL: POLIPROPILENO, DIMENSION: 0,5 A 15 mL, ACCESORIO: SIN VALOR - A ROSCA 15ML NO ETERIL, BOLSA X 100 UNID TIPO BIOLIX</t>
  </si>
  <si>
    <t>TUBOS VACUTAINER P/SUERO DE 4ML, TAPA ROJA C/ETIQUETA CODIGO 367812 (1000 TUBOS)</t>
  </si>
  <si>
    <t>SEGUNDO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</si>
  <si>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</si>
  <si>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</si>
  <si>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</si>
  <si>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</si>
  <si>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</si>
  <si>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</si>
  <si>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</si>
  <si>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</si>
  <si>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</si>
  <si>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</si>
  <si>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</si>
  <si>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</si>
  <si>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</si>
  <si>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</si>
  <si>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</si>
  <si>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</si>
  <si>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</si>
  <si>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</si>
  <si>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</si>
  <si>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</si>
  <si>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</si>
  <si>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</si>
  <si>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</si>
  <si>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</si>
  <si>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</si>
  <si>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</si>
  <si>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</si>
  <si>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</si>
  <si>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</si>
  <si>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</si>
  <si>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</si>
  <si>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</si>
  <si>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</si>
  <si>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</si>
  <si>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</si>
  <si>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</si>
  <si>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</si>
  <si>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011 - DIRECCION PROVINCIAL DE ADMINISTRACION DEL MINISTERIO DE SALUD</t>
  </si>
  <si>
    <t>TRES (3) MESES</t>
  </si>
  <si>
    <t>468 - DIRECCION PROVINCIAL DE LABORATORIO</t>
  </si>
  <si>
    <t>1.1</t>
  </si>
  <si>
    <t>747 - DIRECCION PROVINCIAL BANCO DE SANGRE</t>
  </si>
  <si>
    <t>UTILES MENORES MEDICOS, QUIRURGICOS Y DE LABORATORIO</t>
  </si>
  <si>
    <t>ADQUISICION DEL RUBRO DESCARTABLES PARA LABORATORIO</t>
  </si>
  <si>
    <t>DETALLE TECNICO Y ESPECIFICACIONES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</si>
  <si>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</t>
  </si>
  <si>
    <t>Plazos de entrega</t>
  </si>
  <si>
    <t>veinte (20) dias habiles</t>
  </si>
  <si>
    <t>Lugar de Entrega:</t>
  </si>
  <si>
    <t>Calidad Minima esperada</t>
  </si>
  <si>
    <t>Mantenimiento</t>
  </si>
  <si>
    <t>cuarenta y cinco (45) días</t>
  </si>
  <si>
    <t xml:space="preserve"> 07/2022</t>
  </si>
  <si>
    <t>PROD. MEDICO/FARMACEUTICOS/LAB</t>
  </si>
  <si>
    <t>2.9.5</t>
  </si>
  <si>
    <t>BOLSAS COLECTORAS; TIPO: ESTERIL, USO: MUESTREO, CAPACIDAD: 400 mL</t>
  </si>
  <si>
    <t>BOLSAS PARA DIGESTOR 1000 ML. 18 X 29 CM CON CIERRE X 100 UNIDADES TIPO GAMAFIL</t>
  </si>
  <si>
    <t>EQUIPO AQASSAY ARSENICO DISPOSITIVO BURBUJEADOR TIPO GT LAB</t>
  </si>
  <si>
    <t xml:space="preserve">EQUIPO DE VIDRIO PARA FILTRACIÓN POR MEMBRANAS DE Ø47MM TIPO GLASSCO COMPUESTO POR:  KITASATOS DE BOCA ESMERILADA X 1000 ML, INTERMEDIARIOS CON DISCO SINTERIZADO DE Ø 47MM, VASOS GRADUADOS X 300 ML Y PINZAS METÁLICAS. </t>
  </si>
  <si>
    <t>ERLENMEYER; TIPO: BOCA COMUN, CAPACIDAD: 500 mL, GRADUADO: SI, GRADUACION: SI TIPO GLASSCO</t>
  </si>
  <si>
    <t>FILTRO DE MEMBRANA DE CN ESTERIL, Ø47MM (045ɥm X 1.000 U).</t>
  </si>
  <si>
    <t>FRASCO GRADUADO C/TAPA A ROSCA AUTOCLAVABLE X  250 ML TIPO GLASSCO</t>
  </si>
  <si>
    <t>MATRAZ AFORADO MATRAZ AFORADO; ESTADO: SOLIDO, MATERIAL: POLIPROPILENO, PRESENTACION: UNIDAD, CAPACIDAD: 100 mL</t>
  </si>
  <si>
    <t>MATRAZ AFORADO MATRAZ AFORADO; ESTADO: SOLIDO, MATERIAL: POLIPROPILENO, PRESENTACION: UNIDAD, CAPACIDAD: 250 mL</t>
  </si>
  <si>
    <t>PAPEL FILTRO; FORMA: CIRCULAR, DIMENSION: 110 mm, PORO: WATMAN 40/41, PRESENTACION: ENVASE X 100</t>
  </si>
  <si>
    <t>PICNÓMETRO DE VIDRIO C/TERMÓMETRO INCLUIDO C/TAPA ESMERILADA TIPO FITE X 5 ml</t>
  </si>
  <si>
    <t>PINZA PMP C/EXTREMO EN PUNTA AUTOCLAVABLE TIPO BRAND</t>
  </si>
  <si>
    <t>PLACAS DE PETRI PLACAS DE PETRI; MATERIAL: SOLIDO, DIAMETRO: 100 mm, ALTURA: 15 mm</t>
  </si>
  <si>
    <t>SOPLA DE GOMA P/BURETA TIPO DAIGGER</t>
  </si>
  <si>
    <t>TIPS AMARILLOS C/CORONA 5-200 UL X 1000 UNIDADES TIPO PARALWALL</t>
  </si>
  <si>
    <t>TUBO DE ENSAYO SIN SELLO TIPO PYREX ( Ø 16 X 150 MM)</t>
  </si>
  <si>
    <t xml:space="preserve">GUIA V20 C/RUEDITA *SANGRE* </t>
  </si>
  <si>
    <t>TUBOS DE ENSAYO; TIPO: VACUTAINER UN, MATERIAL: VIDRIO, DIMENSION: 10 mL, ACCESORIOS: SIN, ACCESORIO: SIN (X100 UNIDADES)</t>
  </si>
  <si>
    <t>PLACAS DE PETRI PLACAS DE PETRI; MATERIAL: PLASTICO ESTERIL, DIAMETRO: 5 Cm, ALTURA: SIN VALOR</t>
  </si>
  <si>
    <t>TUBOS DE HEMOLISIS; MATERIAL: VIDRIO, PRESENTACION: CAJA, DIMENSION: 100 X 13 DIAM. EXT., MEDIDAS: 100 X 13 DIAM. EXT., FORMA DE PRESENTACION: SOLIDO, ESTADO: SOLIDO (1000 TUBOS)</t>
  </si>
  <si>
    <t>NO</t>
  </si>
  <si>
    <t>488 - DIRECCION PROVINCIAL DE SALUD Y MEDIO AMBIENTE</t>
  </si>
  <si>
    <t>PRODUCTOS DE PAPEL Y CARTON</t>
  </si>
  <si>
    <t>Costo total estimado: SETECIENTOS NOVENTA Y CINCO MIL TRESCIENTOS CUATRO CON 20/100.-</t>
  </si>
  <si>
    <t>Autorizo la realización de los  trámites correspondientes, a fin de proveer a  este Organismo los bienes, servicios o ejecución de obras públicas que se detallan en Nota  de Pedido N° 07/2022 , afectando la erogación resultante a los créditos presupuestarios aprobados a favor de esta Unidad Ejecutora, conforme al siguiente detalle:</t>
  </si>
  <si>
    <t xml:space="preserve"> 10/2022</t>
  </si>
  <si>
    <t>Autorizo la realización de los  trámites correspondientes, a fin de proveer a  este Organismo los bienes, servicios o ejecución de obras públicas que se detallan en Nota  de Pedido N° 10/2022 , afectando la erogación resultante a los créditos presupuestarios aprobados a favor de esta Unidad Ejecutora, conforme al siguiente detalle:</t>
  </si>
  <si>
    <t>TOTAL DE PESOS: SETECIENTOS NOVENTA Y CINCO MIL TRESCIENTOS CUATRO CON 20/100.-</t>
  </si>
  <si>
    <t>2.5.1.</t>
  </si>
  <si>
    <t>TUBO  DE CALIBRACION DE GASES P/TS2 Tipo OPTI MEDICAL (USA)</t>
  </si>
  <si>
    <t>GARRAFA</t>
  </si>
  <si>
    <t>Costo total estimado: DOCE MILLONES CUATROCIENTOS SIETE MIL CIENTO CINCUENTA Y CINCO CON 00/100.-</t>
  </si>
  <si>
    <t>TOTAL DE PESOS: DOCE MILLONES CUATROCIENTOS SIETE MIL CIENTO CINCUENTA  CINCO CON 00/100.-</t>
  </si>
  <si>
    <t>ITEMS 3, 6, 11, 12, 14 al 16, 22, 23, 26, 28, 29, 32 al 34, 39, 42 - DIR. PROV. SALUD Y MEDIO AMBIENTE - OCAMPO N° 257 - en el horario de 8:00hs a 12:00hs de lunes a viernes</t>
  </si>
  <si>
    <t>Costo total estimado: UN MILLON QUINIENTOS CUARENTA Y DOS MIL CUATROCIENTOS TREINTA Y CINCO CON 00/100.-</t>
  </si>
  <si>
    <t>TOTAL DE PESOS: UN MILLON QUINIENTOS CUARENTA Y DOS MIL CUATROCIENTOS TREINTA Y CINCO CON 00/100.-</t>
  </si>
  <si>
    <t>TIPS AMARILLO CON CORONA X 1000 UNIDADES</t>
  </si>
  <si>
    <t>TIPS AMARILLO SIN CORONA X 1000 UNIDADES</t>
  </si>
  <si>
    <t>ITEMS 1, 9, 10, 13, 17, 18, 21, 27, 30, 35, 41, 43 - DIR. PROV. DE LABORATORIO - CHACABUCO N° 169 - en el horario de 8:00hs a 12:00hs de lunes a viernes</t>
  </si>
  <si>
    <t>ITEMS 2, 4, 5, 7, 8, 19, 20, 24, 25, 31, 36 al 38, 40, 44 al 48 - DIR. PROV. BANCO DE SANGRE - BOTO GARAY N° 500 - en el horario de 8:00hs a 12:00hs de lunes a viernes</t>
  </si>
  <si>
    <t>IPP</t>
  </si>
  <si>
    <t>caracteristicas?</t>
  </si>
  <si>
    <t>rever precio</t>
  </si>
  <si>
    <t>cantidad?</t>
  </si>
  <si>
    <t>medidas?</t>
  </si>
  <si>
    <t>caracterisiticas?</t>
  </si>
  <si>
    <t>precio de la unidad o paquete?</t>
  </si>
  <si>
    <t>IPP?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</si>
</sst>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&quot;$&quot;\ #,##0.00"/>
    <numFmt numFmtId="166" formatCode="[$$-2C0A]\ #,##0.00"/>
    <numFmt numFmtId="167" formatCode="_-[$$-2C0A]\ * #,##0.00_-;\-[$$-2C0A]\ * #,##0.00_-;_-[$$-2C0A]\ * &quot;-&quot;??_-;_-@_-"/>
    <numFmt numFmtId="168" formatCode="_-* #,##0.00&quot; €&quot;_-;\-* #,##0.00&quot; €&quot;_-;_-* \-??&quot; €&quot;_-;_-@_-"/>
    <numFmt numFmtId="169" formatCode="dd\-mm\-yy;@"/>
    <numFmt numFmtId="170" formatCode="_(\$* #,##0.00_);_(\$* \(#,##0.00\);_(\$* \-??_);_(@_)"/>
    <numFmt numFmtId="171" formatCode="_-&quot;$&quot;\ * #,##0.00_-;\-&quot;$&quot;\ * #,##0.00_-;_-&quot;$&quot;\ * &quot;-&quot;??_-;_-@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Arial"/>
      <family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Arial"/>
      <family val="2"/>
    </font>
    <font>
      <b/>
      <sz val="14"/>
      <name val="Times New Roman"/>
      <family val="1"/>
    </font>
    <font>
      <sz val="10"/>
      <name val="Times New Roman"/>
      <family val="1"/>
      <charset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Times New Roman"/>
      <family val="1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rgb="FFFFFFCC"/>
      </patternFill>
    </fill>
  </fills>
  <borders count="8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auto="1"/>
      </top>
      <bottom style="medium">
        <color indexed="64"/>
      </bottom>
      <diagonal/>
    </border>
  </borders>
  <cellStyleXfs count="34">
    <xf numFmtId="0" fontId="0" fillId="0" borderId="0"/>
    <xf numFmtId="44" fontId="1" fillId="0" borderId="0" applyFont="0" applyFill="0" applyBorder="0" applyAlignment="0" applyProtection="0"/>
    <xf numFmtId="0" fontId="8" fillId="0" borderId="0"/>
    <xf numFmtId="164" fontId="8" fillId="0" borderId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11" fillId="0" borderId="0"/>
    <xf numFmtId="168" fontId="8" fillId="0" borderId="0" applyBorder="0" applyProtection="0"/>
    <xf numFmtId="0" fontId="12" fillId="0" borderId="10" applyProtection="0"/>
    <xf numFmtId="0" fontId="13" fillId="4" borderId="0" applyBorder="0" applyProtection="0"/>
    <xf numFmtId="0" fontId="8" fillId="0" borderId="0"/>
    <xf numFmtId="0" fontId="8" fillId="0" borderId="0"/>
    <xf numFmtId="168" fontId="8" fillId="0" borderId="0" applyBorder="0" applyProtection="0"/>
    <xf numFmtId="0" fontId="12" fillId="0" borderId="10" applyProtection="0"/>
    <xf numFmtId="164" fontId="8" fillId="0" borderId="0" applyBorder="0" applyAlignment="0" applyProtection="0"/>
    <xf numFmtId="0" fontId="8" fillId="0" borderId="0"/>
    <xf numFmtId="0" fontId="8" fillId="0" borderId="0"/>
    <xf numFmtId="0" fontId="8" fillId="0" borderId="0"/>
    <xf numFmtId="43" fontId="1" fillId="0" borderId="0" applyFont="0" applyFill="0" applyBorder="0" applyAlignment="0" applyProtection="0"/>
    <xf numFmtId="168" fontId="8" fillId="0" borderId="0" applyBorder="0" applyProtection="0"/>
    <xf numFmtId="0" fontId="1" fillId="0" borderId="0"/>
    <xf numFmtId="0" fontId="1" fillId="0" borderId="0"/>
    <xf numFmtId="0" fontId="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4" fillId="0" borderId="0"/>
    <xf numFmtId="0" fontId="15" fillId="0" borderId="0"/>
    <xf numFmtId="0" fontId="8" fillId="0" borderId="0"/>
    <xf numFmtId="170" fontId="27" fillId="0" borderId="0" applyBorder="0" applyProtection="0"/>
  </cellStyleXfs>
  <cellXfs count="265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/>
    <xf numFmtId="0" fontId="6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Fill="1"/>
    <xf numFmtId="0" fontId="9" fillId="0" borderId="0" xfId="0" applyFont="1" applyBorder="1"/>
    <xf numFmtId="167" fontId="6" fillId="0" borderId="0" xfId="0" applyNumberFormat="1" applyFont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left" vertical="center" wrapText="1"/>
    </xf>
    <xf numFmtId="167" fontId="9" fillId="0" borderId="2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3" borderId="5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 vertical="center" wrapText="1"/>
    </xf>
    <xf numFmtId="165" fontId="5" fillId="0" borderId="5" xfId="0" applyNumberFormat="1" applyFont="1" applyBorder="1" applyAlignment="1">
      <alignment horizontal="center" vertical="center" wrapText="1"/>
    </xf>
    <xf numFmtId="3" fontId="5" fillId="0" borderId="5" xfId="0" applyNumberFormat="1" applyFont="1" applyBorder="1" applyAlignment="1">
      <alignment horizontal="center" vertical="center" wrapText="1"/>
    </xf>
    <xf numFmtId="167" fontId="5" fillId="0" borderId="5" xfId="0" applyNumberFormat="1" applyFont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0" borderId="5" xfId="0" applyNumberFormat="1" applyFont="1" applyBorder="1" applyAlignment="1">
      <alignment horizontal="center" vertical="center" wrapText="1"/>
    </xf>
    <xf numFmtId="167" fontId="4" fillId="0" borderId="5" xfId="1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8" xfId="0" applyFont="1" applyBorder="1" applyAlignment="1">
      <alignment horizontal="center" vertical="center" wrapText="1"/>
    </xf>
    <xf numFmtId="167" fontId="9" fillId="0" borderId="1" xfId="0" applyNumberFormat="1" applyFont="1" applyFill="1" applyBorder="1" applyAlignment="1">
      <alignment horizontal="center" vertical="center"/>
    </xf>
    <xf numFmtId="3" fontId="9" fillId="0" borderId="2" xfId="0" applyNumberFormat="1" applyFont="1" applyFill="1" applyBorder="1" applyAlignment="1">
      <alignment horizontal="center" vertical="center"/>
    </xf>
    <xf numFmtId="0" fontId="9" fillId="0" borderId="2" xfId="0" applyNumberFormat="1" applyFont="1" applyFill="1" applyBorder="1" applyAlignment="1">
      <alignment horizontal="center" vertical="center"/>
    </xf>
    <xf numFmtId="3" fontId="7" fillId="0" borderId="2" xfId="2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wrapText="1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3" fontId="9" fillId="0" borderId="1" xfId="0" applyNumberFormat="1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/>
    </xf>
    <xf numFmtId="3" fontId="7" fillId="0" borderId="1" xfId="2" applyNumberFormat="1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/>
    </xf>
    <xf numFmtId="167" fontId="9" fillId="0" borderId="3" xfId="0" applyNumberFormat="1" applyFont="1" applyFill="1" applyBorder="1" applyAlignment="1">
      <alignment horizontal="center" vertical="center"/>
    </xf>
    <xf numFmtId="167" fontId="9" fillId="0" borderId="6" xfId="0" applyNumberFormat="1" applyFont="1" applyFill="1" applyBorder="1" applyAlignment="1">
      <alignment horizontal="center" vertical="center"/>
    </xf>
    <xf numFmtId="3" fontId="9" fillId="0" borderId="3" xfId="0" applyNumberFormat="1" applyFont="1" applyFill="1" applyBorder="1" applyAlignment="1">
      <alignment horizontal="center" vertical="center"/>
    </xf>
    <xf numFmtId="0" fontId="9" fillId="0" borderId="3" xfId="0" applyNumberFormat="1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left" vertical="center" wrapText="1"/>
    </xf>
    <xf numFmtId="167" fontId="10" fillId="0" borderId="5" xfId="0" applyNumberFormat="1" applyFont="1" applyFill="1" applyBorder="1" applyAlignment="1">
      <alignment horizontal="center" vertical="center"/>
    </xf>
    <xf numFmtId="3" fontId="10" fillId="0" borderId="5" xfId="0" applyNumberFormat="1" applyFont="1" applyFill="1" applyBorder="1" applyAlignment="1">
      <alignment horizontal="center" vertical="center"/>
    </xf>
    <xf numFmtId="0" fontId="10" fillId="0" borderId="5" xfId="0" applyNumberFormat="1" applyFont="1" applyFill="1" applyBorder="1" applyAlignment="1">
      <alignment horizontal="center" vertical="center"/>
    </xf>
    <xf numFmtId="167" fontId="10" fillId="0" borderId="8" xfId="0" applyNumberFormat="1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wrapText="1"/>
    </xf>
    <xf numFmtId="0" fontId="10" fillId="0" borderId="0" xfId="0" applyFont="1" applyFill="1"/>
    <xf numFmtId="3" fontId="7" fillId="0" borderId="9" xfId="2" applyNumberFormat="1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left" vertical="center" wrapText="1"/>
    </xf>
    <xf numFmtId="3" fontId="9" fillId="0" borderId="0" xfId="0" applyNumberFormat="1" applyFont="1" applyBorder="1" applyAlignment="1">
      <alignment horizontal="center" vertical="center"/>
    </xf>
    <xf numFmtId="167" fontId="9" fillId="0" borderId="0" xfId="0" applyNumberFormat="1" applyFont="1" applyBorder="1" applyAlignment="1">
      <alignment horizontal="center" vertical="center"/>
    </xf>
    <xf numFmtId="0" fontId="9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wrapText="1"/>
    </xf>
    <xf numFmtId="0" fontId="20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vertical="center"/>
    </xf>
    <xf numFmtId="0" fontId="19" fillId="0" borderId="19" xfId="0" applyFont="1" applyBorder="1" applyAlignment="1">
      <alignment vertical="center"/>
    </xf>
    <xf numFmtId="0" fontId="19" fillId="0" borderId="0" xfId="0" applyFont="1" applyBorder="1" applyAlignment="1">
      <alignment vertical="center"/>
    </xf>
    <xf numFmtId="0" fontId="19" fillId="0" borderId="20" xfId="0" applyFont="1" applyBorder="1" applyAlignment="1">
      <alignment vertical="center"/>
    </xf>
    <xf numFmtId="0" fontId="21" fillId="0" borderId="25" xfId="0" applyFont="1" applyBorder="1" applyAlignment="1">
      <alignment horizontal="left" vertical="center"/>
    </xf>
    <xf numFmtId="0" fontId="21" fillId="0" borderId="0" xfId="0" applyFont="1" applyBorder="1" applyAlignment="1">
      <alignment horizontal="left" vertical="center"/>
    </xf>
    <xf numFmtId="0" fontId="20" fillId="0" borderId="0" xfId="0" applyFont="1" applyBorder="1" applyAlignment="1">
      <alignment horizontal="left" vertical="center" wrapText="1" indent="1"/>
    </xf>
    <xf numFmtId="0" fontId="20" fillId="0" borderId="20" xfId="0" applyFont="1" applyBorder="1" applyAlignment="1">
      <alignment horizontal="left" vertical="center" wrapText="1" indent="1"/>
    </xf>
    <xf numFmtId="0" fontId="23" fillId="0" borderId="29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3" fontId="25" fillId="0" borderId="34" xfId="0" applyNumberFormat="1" applyFont="1" applyBorder="1" applyAlignment="1"/>
    <xf numFmtId="169" fontId="0" fillId="0" borderId="34" xfId="0" applyNumberFormat="1" applyBorder="1" applyAlignment="1">
      <alignment horizontal="left"/>
    </xf>
    <xf numFmtId="0" fontId="0" fillId="0" borderId="34" xfId="0" applyBorder="1"/>
    <xf numFmtId="0" fontId="0" fillId="0" borderId="25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9" fontId="0" fillId="0" borderId="0" xfId="0" applyNumberFormat="1" applyBorder="1" applyAlignment="1">
      <alignment horizontal="left"/>
    </xf>
    <xf numFmtId="0" fontId="0" fillId="0" borderId="18" xfId="0" applyBorder="1"/>
    <xf numFmtId="0" fontId="0" fillId="0" borderId="19" xfId="0" applyBorder="1"/>
    <xf numFmtId="0" fontId="0" fillId="0" borderId="19" xfId="0" applyBorder="1" applyAlignment="1">
      <alignment horizontal="left"/>
    </xf>
    <xf numFmtId="0" fontId="30" fillId="0" borderId="43" xfId="0" applyFont="1" applyBorder="1" applyAlignment="1">
      <alignment horizontal="center" vertical="center"/>
    </xf>
    <xf numFmtId="0" fontId="30" fillId="0" borderId="44" xfId="0" applyFont="1" applyBorder="1" applyAlignment="1">
      <alignment horizontal="center" vertical="center"/>
    </xf>
    <xf numFmtId="0" fontId="30" fillId="0" borderId="44" xfId="0" applyFont="1" applyBorder="1" applyAlignment="1">
      <alignment horizontal="left" vertical="center"/>
    </xf>
    <xf numFmtId="0" fontId="30" fillId="0" borderId="45" xfId="0" applyFont="1" applyBorder="1" applyAlignment="1">
      <alignment horizontal="center" vertical="center"/>
    </xf>
    <xf numFmtId="0" fontId="30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0" borderId="49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0" fillId="0" borderId="52" xfId="0" applyFont="1" applyBorder="1" applyAlignment="1">
      <alignment horizontal="center" vertical="center"/>
    </xf>
    <xf numFmtId="0" fontId="0" fillId="0" borderId="53" xfId="0" applyFont="1" applyBorder="1" applyAlignment="1">
      <alignment horizontal="center" vertical="center"/>
    </xf>
    <xf numFmtId="0" fontId="0" fillId="0" borderId="54" xfId="0" applyFont="1" applyBorder="1" applyAlignment="1">
      <alignment horizontal="center" vertical="center"/>
    </xf>
    <xf numFmtId="0" fontId="28" fillId="0" borderId="51" xfId="0" applyFont="1" applyBorder="1" applyAlignment="1">
      <alignment horizontal="center" vertical="center"/>
    </xf>
    <xf numFmtId="0" fontId="28" fillId="0" borderId="52" xfId="0" applyFon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28" fillId="0" borderId="53" xfId="0" applyFont="1" applyBorder="1" applyAlignment="1">
      <alignment horizontal="center" vertical="center"/>
    </xf>
    <xf numFmtId="0" fontId="28" fillId="0" borderId="54" xfId="0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20" fillId="0" borderId="13" xfId="0" applyFont="1" applyBorder="1" applyAlignment="1">
      <alignment vertical="center"/>
    </xf>
    <xf numFmtId="0" fontId="20" fillId="0" borderId="62" xfId="0" applyFont="1" applyBorder="1" applyAlignment="1">
      <alignment vertical="center"/>
    </xf>
    <xf numFmtId="0" fontId="20" fillId="0" borderId="33" xfId="0" applyFont="1" applyBorder="1" applyAlignment="1">
      <alignment vertical="center"/>
    </xf>
    <xf numFmtId="0" fontId="20" fillId="0" borderId="63" xfId="0" applyFont="1" applyBorder="1" applyAlignment="1">
      <alignment vertical="center"/>
    </xf>
    <xf numFmtId="0" fontId="19" fillId="0" borderId="19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67" fontId="19" fillId="0" borderId="16" xfId="0" applyNumberFormat="1" applyFont="1" applyBorder="1" applyAlignment="1">
      <alignment horizontal="right" vertical="center"/>
    </xf>
    <xf numFmtId="167" fontId="19" fillId="0" borderId="0" xfId="0" applyNumberFormat="1" applyFont="1" applyBorder="1" applyAlignment="1">
      <alignment vertical="center"/>
    </xf>
    <xf numFmtId="167" fontId="20" fillId="0" borderId="62" xfId="0" applyNumberFormat="1" applyFont="1" applyBorder="1" applyAlignment="1">
      <alignment vertical="center"/>
    </xf>
    <xf numFmtId="167" fontId="20" fillId="0" borderId="0" xfId="0" applyNumberFormat="1" applyFont="1" applyBorder="1" applyAlignment="1">
      <alignment horizontal="left" vertical="center" wrapText="1" indent="1"/>
    </xf>
    <xf numFmtId="167" fontId="0" fillId="0" borderId="0" xfId="0" applyNumberFormat="1"/>
    <xf numFmtId="0" fontId="23" fillId="0" borderId="11" xfId="0" applyFont="1" applyBorder="1" applyAlignment="1">
      <alignment horizontal="center" vertical="center" wrapText="1"/>
    </xf>
    <xf numFmtId="167" fontId="23" fillId="0" borderId="11" xfId="0" applyNumberFormat="1" applyFont="1" applyBorder="1" applyAlignment="1">
      <alignment horizontal="center" vertical="center" wrapText="1"/>
    </xf>
    <xf numFmtId="3" fontId="23" fillId="0" borderId="30" xfId="0" applyNumberFormat="1" applyFont="1" applyBorder="1" applyAlignment="1">
      <alignment horizontal="center" vertical="center"/>
    </xf>
    <xf numFmtId="0" fontId="0" fillId="0" borderId="0" xfId="0" applyFont="1"/>
    <xf numFmtId="167" fontId="23" fillId="0" borderId="1" xfId="0" applyNumberFormat="1" applyFont="1" applyBorder="1" applyAlignment="1">
      <alignment horizontal="center" vertical="center" wrapText="1"/>
    </xf>
    <xf numFmtId="3" fontId="23" fillId="0" borderId="31" xfId="0" applyNumberFormat="1" applyFont="1" applyBorder="1" applyAlignment="1">
      <alignment horizontal="center" vertical="center"/>
    </xf>
    <xf numFmtId="167" fontId="0" fillId="0" borderId="20" xfId="0" applyNumberFormat="1" applyBorder="1"/>
    <xf numFmtId="167" fontId="0" fillId="0" borderId="40" xfId="0" applyNumberFormat="1" applyBorder="1"/>
    <xf numFmtId="167" fontId="0" fillId="0" borderId="50" xfId="33" applyNumberFormat="1" applyFont="1" applyBorder="1" applyAlignment="1" applyProtection="1">
      <alignment horizontal="center" vertical="center"/>
    </xf>
    <xf numFmtId="167" fontId="0" fillId="0" borderId="55" xfId="33" applyNumberFormat="1" applyFont="1" applyBorder="1" applyAlignment="1" applyProtection="1">
      <alignment horizontal="center" vertical="center"/>
    </xf>
    <xf numFmtId="167" fontId="0" fillId="0" borderId="59" xfId="33" applyNumberFormat="1" applyFont="1" applyBorder="1" applyAlignment="1" applyProtection="1">
      <alignment horizontal="center" vertical="center"/>
    </xf>
    <xf numFmtId="167" fontId="30" fillId="0" borderId="61" xfId="0" applyNumberFormat="1" applyFont="1" applyBorder="1" applyAlignment="1">
      <alignment horizontal="center" vertical="center"/>
    </xf>
    <xf numFmtId="0" fontId="23" fillId="0" borderId="67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167" fontId="23" fillId="0" borderId="2" xfId="0" applyNumberFormat="1" applyFont="1" applyBorder="1" applyAlignment="1">
      <alignment horizontal="center" vertical="center" wrapText="1"/>
    </xf>
    <xf numFmtId="3" fontId="23" fillId="0" borderId="68" xfId="0" applyNumberFormat="1" applyFont="1" applyBorder="1" applyAlignment="1">
      <alignment horizontal="center" vertical="center"/>
    </xf>
    <xf numFmtId="0" fontId="31" fillId="0" borderId="15" xfId="5" applyFont="1" applyFill="1" applyBorder="1" applyAlignment="1">
      <alignment horizontal="center" vertical="center" wrapText="1"/>
    </xf>
    <xf numFmtId="0" fontId="31" fillId="0" borderId="25" xfId="5" applyFont="1" applyFill="1" applyBorder="1" applyAlignment="1">
      <alignment horizontal="center" vertical="center" wrapText="1"/>
    </xf>
    <xf numFmtId="0" fontId="3" fillId="0" borderId="0" xfId="5" applyFont="1" applyFill="1" applyBorder="1" applyAlignment="1">
      <alignment horizontal="left" vertical="center" wrapText="1"/>
    </xf>
    <xf numFmtId="0" fontId="31" fillId="0" borderId="25" xfId="5" applyFont="1" applyFill="1" applyBorder="1" applyAlignment="1">
      <alignment horizontal="center" wrapText="1"/>
    </xf>
    <xf numFmtId="0" fontId="3" fillId="0" borderId="0" xfId="5" applyFont="1" applyFill="1" applyBorder="1" applyAlignment="1">
      <alignment horizontal="left" vertical="center"/>
    </xf>
    <xf numFmtId="0" fontId="3" fillId="0" borderId="0" xfId="5" applyFont="1" applyFill="1" applyBorder="1" applyAlignment="1">
      <alignment horizontal="center" vertical="center"/>
    </xf>
    <xf numFmtId="0" fontId="3" fillId="0" borderId="0" xfId="5" applyFont="1" applyFill="1" applyBorder="1" applyAlignment="1">
      <alignment vertical="center"/>
    </xf>
    <xf numFmtId="0" fontId="31" fillId="0" borderId="25" xfId="5" applyFont="1" applyBorder="1" applyAlignment="1">
      <alignment horizontal="center" wrapText="1"/>
    </xf>
    <xf numFmtId="0" fontId="3" fillId="0" borderId="0" xfId="5" applyFont="1" applyBorder="1" applyAlignment="1">
      <alignment horizontal="center" vertical="center"/>
    </xf>
    <xf numFmtId="0" fontId="31" fillId="0" borderId="69" xfId="5" applyFont="1" applyBorder="1" applyAlignment="1">
      <alignment horizontal="center" wrapText="1"/>
    </xf>
    <xf numFmtId="0" fontId="3" fillId="0" borderId="70" xfId="5" applyFont="1" applyBorder="1" applyAlignment="1">
      <alignment horizontal="left" vertical="center"/>
    </xf>
    <xf numFmtId="0" fontId="9" fillId="0" borderId="20" xfId="0" applyFont="1" applyBorder="1" applyAlignment="1">
      <alignment horizontal="left" vertical="center" wrapText="1"/>
    </xf>
    <xf numFmtId="0" fontId="9" fillId="0" borderId="72" xfId="0" applyFont="1" applyBorder="1" applyAlignment="1">
      <alignment horizontal="left" vertical="center" wrapText="1"/>
    </xf>
    <xf numFmtId="0" fontId="9" fillId="0" borderId="73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left" vertical="center" wrapText="1"/>
    </xf>
    <xf numFmtId="3" fontId="9" fillId="0" borderId="6" xfId="0" applyNumberFormat="1" applyFont="1" applyFill="1" applyBorder="1" applyAlignment="1">
      <alignment horizontal="center" vertical="center"/>
    </xf>
    <xf numFmtId="0" fontId="9" fillId="0" borderId="6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167" fontId="7" fillId="0" borderId="2" xfId="0" applyNumberFormat="1" applyFont="1" applyBorder="1" applyAlignment="1">
      <alignment horizontal="center" vertical="center"/>
    </xf>
    <xf numFmtId="167" fontId="7" fillId="0" borderId="1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71" fontId="7" fillId="0" borderId="2" xfId="0" applyNumberFormat="1" applyFont="1" applyBorder="1" applyAlignment="1">
      <alignment horizontal="center" vertical="center"/>
    </xf>
    <xf numFmtId="167" fontId="7" fillId="0" borderId="2" xfId="1" applyNumberFormat="1" applyFont="1" applyBorder="1" applyAlignment="1">
      <alignment vertical="center" wrapText="1"/>
    </xf>
    <xf numFmtId="167" fontId="9" fillId="0" borderId="74" xfId="0" applyNumberFormat="1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0" fillId="0" borderId="54" xfId="0" applyFont="1" applyBorder="1" applyAlignment="1">
      <alignment horizontal="center" vertical="center"/>
    </xf>
    <xf numFmtId="0" fontId="23" fillId="0" borderId="75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 wrapText="1"/>
    </xf>
    <xf numFmtId="167" fontId="23" fillId="0" borderId="3" xfId="0" applyNumberFormat="1" applyFont="1" applyBorder="1" applyAlignment="1">
      <alignment horizontal="center" vertical="center" wrapText="1"/>
    </xf>
    <xf numFmtId="3" fontId="23" fillId="0" borderId="76" xfId="0" applyNumberFormat="1" applyFont="1" applyBorder="1" applyAlignment="1">
      <alignment horizontal="center" vertical="center"/>
    </xf>
    <xf numFmtId="167" fontId="32" fillId="0" borderId="0" xfId="0" applyNumberFormat="1" applyFont="1"/>
    <xf numFmtId="0" fontId="23" fillId="0" borderId="3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  <xf numFmtId="0" fontId="31" fillId="0" borderId="25" xfId="5" applyFont="1" applyFill="1" applyBorder="1" applyAlignment="1">
      <alignment horizontal="center" vertical="center" wrapText="1"/>
    </xf>
    <xf numFmtId="0" fontId="3" fillId="0" borderId="0" xfId="5" applyFont="1" applyFill="1" applyBorder="1" applyAlignment="1">
      <alignment horizontal="left" vertical="center" wrapText="1"/>
    </xf>
    <xf numFmtId="0" fontId="3" fillId="0" borderId="20" xfId="5" applyFont="1" applyFill="1" applyBorder="1" applyAlignment="1">
      <alignment horizontal="left" vertical="center" wrapText="1"/>
    </xf>
    <xf numFmtId="0" fontId="3" fillId="0" borderId="34" xfId="5" applyFont="1" applyFill="1" applyBorder="1" applyAlignment="1">
      <alignment horizontal="left" vertical="center" wrapText="1"/>
    </xf>
    <xf numFmtId="0" fontId="3" fillId="0" borderId="71" xfId="5" applyFont="1" applyFill="1" applyBorder="1" applyAlignment="1">
      <alignment horizontal="left" vertical="center" wrapText="1"/>
    </xf>
    <xf numFmtId="166" fontId="21" fillId="0" borderId="13" xfId="0" applyNumberFormat="1" applyFont="1" applyBorder="1" applyAlignment="1">
      <alignment horizontal="center" vertical="center"/>
    </xf>
    <xf numFmtId="166" fontId="21" fillId="0" borderId="33" xfId="0" applyNumberFormat="1" applyFont="1" applyBorder="1" applyAlignment="1">
      <alignment horizontal="center" vertical="center"/>
    </xf>
    <xf numFmtId="0" fontId="24" fillId="0" borderId="22" xfId="0" applyFont="1" applyBorder="1" applyAlignment="1">
      <alignment horizontal="left" vertical="center" wrapText="1" indent="1"/>
    </xf>
    <xf numFmtId="0" fontId="23" fillId="0" borderId="3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64" xfId="0" applyFont="1" applyBorder="1" applyAlignment="1">
      <alignment horizontal="left" vertical="center" wrapText="1"/>
    </xf>
    <xf numFmtId="0" fontId="23" fillId="0" borderId="7" xfId="0" applyFont="1" applyBorder="1" applyAlignment="1">
      <alignment horizontal="left" vertical="center" wrapText="1"/>
    </xf>
    <xf numFmtId="0" fontId="22" fillId="0" borderId="28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left" vertical="center" wrapText="1"/>
    </xf>
    <xf numFmtId="0" fontId="22" fillId="0" borderId="27" xfId="0" applyFont="1" applyBorder="1" applyAlignment="1">
      <alignment horizontal="center" vertical="center" wrapText="1"/>
    </xf>
    <xf numFmtId="167" fontId="22" fillId="0" borderId="27" xfId="0" applyNumberFormat="1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/>
    </xf>
    <xf numFmtId="0" fontId="21" fillId="0" borderId="21" xfId="0" applyFont="1" applyBorder="1" applyAlignment="1">
      <alignment horizontal="left" vertical="center" wrapText="1"/>
    </xf>
    <xf numFmtId="0" fontId="21" fillId="0" borderId="23" xfId="0" applyFont="1" applyBorder="1" applyAlignment="1">
      <alignment horizontal="left" vertical="center" wrapText="1"/>
    </xf>
    <xf numFmtId="0" fontId="22" fillId="0" borderId="26" xfId="0" applyFont="1" applyBorder="1" applyAlignment="1">
      <alignment horizontal="center" vertical="center"/>
    </xf>
    <xf numFmtId="0" fontId="21" fillId="0" borderId="24" xfId="0" applyFont="1" applyBorder="1" applyAlignment="1">
      <alignment horizontal="left" vertical="center"/>
    </xf>
    <xf numFmtId="0" fontId="25" fillId="0" borderId="22" xfId="0" applyFont="1" applyBorder="1" applyAlignment="1">
      <alignment vertical="center" wrapText="1"/>
    </xf>
    <xf numFmtId="0" fontId="28" fillId="0" borderId="42" xfId="0" applyFont="1" applyBorder="1" applyAlignment="1">
      <alignment vertical="center" wrapText="1"/>
    </xf>
    <xf numFmtId="0" fontId="28" fillId="0" borderId="32" xfId="0" applyFont="1" applyBorder="1" applyAlignment="1">
      <alignment horizontal="left" vertical="center" wrapText="1" indent="1"/>
    </xf>
    <xf numFmtId="0" fontId="0" fillId="0" borderId="54" xfId="0" applyFont="1" applyBorder="1" applyAlignment="1">
      <alignment horizontal="left" vertical="center"/>
    </xf>
    <xf numFmtId="0" fontId="0" fillId="0" borderId="54" xfId="0" applyBorder="1" applyAlignment="1">
      <alignment horizontal="left" vertical="center"/>
    </xf>
    <xf numFmtId="0" fontId="0" fillId="0" borderId="57" xfId="0" applyBorder="1" applyAlignment="1">
      <alignment horizontal="left" vertical="center"/>
    </xf>
    <xf numFmtId="0" fontId="25" fillId="0" borderId="60" xfId="0" applyFont="1" applyBorder="1" applyAlignment="1">
      <alignment horizontal="left" vertical="center" wrapText="1"/>
    </xf>
    <xf numFmtId="0" fontId="0" fillId="0" borderId="38" xfId="0" applyBorder="1"/>
    <xf numFmtId="0" fontId="0" fillId="0" borderId="54" xfId="0" applyFont="1" applyBorder="1" applyAlignment="1">
      <alignment horizontal="center" vertical="center"/>
    </xf>
    <xf numFmtId="49" fontId="28" fillId="0" borderId="39" xfId="0" applyNumberFormat="1" applyFont="1" applyBorder="1" applyAlignment="1">
      <alignment horizontal="justify" vertical="center" wrapText="1"/>
    </xf>
    <xf numFmtId="0" fontId="30" fillId="0" borderId="38" xfId="0" applyFont="1" applyBorder="1" applyAlignment="1">
      <alignment horizontal="center" vertical="center"/>
    </xf>
    <xf numFmtId="0" fontId="30" fillId="0" borderId="35" xfId="0" applyFont="1" applyBorder="1" applyAlignment="1">
      <alignment horizontal="center" vertical="center"/>
    </xf>
    <xf numFmtId="0" fontId="30" fillId="0" borderId="41" xfId="0" applyFont="1" applyBorder="1" applyAlignment="1">
      <alignment horizontal="center" vertical="center" wrapText="1"/>
    </xf>
    <xf numFmtId="167" fontId="30" fillId="0" borderId="42" xfId="0" applyNumberFormat="1" applyFont="1" applyBorder="1" applyAlignment="1">
      <alignment horizontal="center" vertical="center"/>
    </xf>
    <xf numFmtId="0" fontId="0" fillId="0" borderId="48" xfId="0" applyFont="1" applyBorder="1" applyAlignment="1">
      <alignment horizontal="left" vertical="center" wrapText="1"/>
    </xf>
    <xf numFmtId="0" fontId="0" fillId="0" borderId="54" xfId="0" applyBorder="1" applyAlignment="1">
      <alignment horizontal="center"/>
    </xf>
    <xf numFmtId="0" fontId="28" fillId="0" borderId="38" xfId="0" applyFont="1" applyBorder="1" applyAlignment="1">
      <alignment horizontal="left"/>
    </xf>
    <xf numFmtId="0" fontId="0" fillId="0" borderId="13" xfId="0" applyFont="1" applyBorder="1" applyAlignment="1">
      <alignment horizontal="center"/>
    </xf>
    <xf numFmtId="3" fontId="25" fillId="0" borderId="33" xfId="0" applyNumberFormat="1" applyFont="1" applyBorder="1" applyAlignment="1">
      <alignment horizontal="center"/>
    </xf>
    <xf numFmtId="0" fontId="26" fillId="0" borderId="17" xfId="0" applyFont="1" applyBorder="1" applyAlignment="1">
      <alignment horizontal="center" vertical="center" wrapText="1"/>
    </xf>
    <xf numFmtId="0" fontId="27" fillId="0" borderId="35" xfId="0" applyFont="1" applyBorder="1"/>
    <xf numFmtId="0" fontId="28" fillId="0" borderId="36" xfId="0" applyFont="1" applyBorder="1" applyAlignment="1">
      <alignment horizontal="left" indent="1"/>
    </xf>
    <xf numFmtId="0" fontId="17" fillId="0" borderId="35" xfId="0" applyFont="1" applyBorder="1" applyAlignment="1">
      <alignment horizontal="left" vertical="center" wrapText="1"/>
    </xf>
    <xf numFmtId="0" fontId="29" fillId="0" borderId="37" xfId="0" applyFont="1" applyBorder="1" applyAlignment="1">
      <alignment horizontal="left"/>
    </xf>
    <xf numFmtId="167" fontId="22" fillId="0" borderId="80" xfId="0" applyNumberFormat="1" applyFont="1" applyBorder="1" applyAlignment="1">
      <alignment horizontal="center" vertical="center" wrapText="1"/>
    </xf>
    <xf numFmtId="0" fontId="22" fillId="0" borderId="81" xfId="0" applyFont="1" applyBorder="1" applyAlignment="1">
      <alignment horizontal="center" vertical="center" wrapText="1"/>
    </xf>
    <xf numFmtId="0" fontId="23" fillId="0" borderId="77" xfId="0" applyFont="1" applyBorder="1" applyAlignment="1">
      <alignment horizontal="left" vertical="center" wrapText="1"/>
    </xf>
    <xf numFmtId="0" fontId="23" fillId="0" borderId="78" xfId="0" applyFont="1" applyBorder="1" applyAlignment="1">
      <alignment horizontal="left" vertical="center" wrapText="1"/>
    </xf>
    <xf numFmtId="0" fontId="23" fillId="0" borderId="79" xfId="0" applyFont="1" applyBorder="1" applyAlignment="1">
      <alignment horizontal="left" vertical="center" wrapText="1"/>
    </xf>
    <xf numFmtId="0" fontId="22" fillId="0" borderId="24" xfId="0" applyFont="1" applyBorder="1" applyAlignment="1">
      <alignment horizontal="center" vertical="center"/>
    </xf>
    <xf numFmtId="0" fontId="22" fillId="0" borderId="80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32" xfId="0" applyFont="1" applyBorder="1" applyAlignment="1">
      <alignment horizontal="left" vertical="center" wrapText="1" indent="1"/>
    </xf>
    <xf numFmtId="166" fontId="21" fillId="0" borderId="65" xfId="0" applyNumberFormat="1" applyFont="1" applyBorder="1" applyAlignment="1">
      <alignment horizontal="center" vertical="center"/>
    </xf>
    <xf numFmtId="166" fontId="21" fillId="0" borderId="66" xfId="0" applyNumberFormat="1" applyFont="1" applyBorder="1" applyAlignment="1">
      <alignment horizontal="center" vertical="center"/>
    </xf>
    <xf numFmtId="0" fontId="23" fillId="3" borderId="67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left" vertical="center" wrapText="1"/>
    </xf>
    <xf numFmtId="0" fontId="23" fillId="3" borderId="64" xfId="0" applyFont="1" applyFill="1" applyBorder="1" applyAlignment="1">
      <alignment horizontal="left" vertical="center" wrapText="1"/>
    </xf>
    <xf numFmtId="0" fontId="23" fillId="3" borderId="7" xfId="0" applyFont="1" applyFill="1" applyBorder="1" applyAlignment="1">
      <alignment horizontal="left" vertical="center" wrapText="1"/>
    </xf>
    <xf numFmtId="0" fontId="23" fillId="3" borderId="2" xfId="0" applyFont="1" applyFill="1" applyBorder="1" applyAlignment="1">
      <alignment horizontal="center" vertical="center" wrapText="1"/>
    </xf>
    <xf numFmtId="167" fontId="23" fillId="3" borderId="2" xfId="0" applyNumberFormat="1" applyFont="1" applyFill="1" applyBorder="1" applyAlignment="1">
      <alignment horizontal="center" vertical="center" wrapText="1"/>
    </xf>
    <xf numFmtId="3" fontId="23" fillId="3" borderId="68" xfId="0" applyNumberFormat="1" applyFont="1" applyFill="1" applyBorder="1" applyAlignment="1">
      <alignment horizontal="center" vertical="center"/>
    </xf>
    <xf numFmtId="0" fontId="0" fillId="3" borderId="0" xfId="0" applyFont="1" applyFill="1"/>
    <xf numFmtId="0" fontId="23" fillId="3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167" fontId="23" fillId="3" borderId="1" xfId="0" applyNumberFormat="1" applyFont="1" applyFill="1" applyBorder="1" applyAlignment="1">
      <alignment horizontal="center" vertical="center" wrapText="1"/>
    </xf>
    <xf numFmtId="3" fontId="23" fillId="3" borderId="31" xfId="0" applyNumberFormat="1" applyFont="1" applyFill="1" applyBorder="1" applyAlignment="1">
      <alignment horizontal="center" vertical="center"/>
    </xf>
    <xf numFmtId="0" fontId="23" fillId="3" borderId="77" xfId="0" applyFont="1" applyFill="1" applyBorder="1" applyAlignment="1">
      <alignment horizontal="left" vertical="center" wrapText="1"/>
    </xf>
    <xf numFmtId="0" fontId="23" fillId="3" borderId="78" xfId="0" applyFont="1" applyFill="1" applyBorder="1" applyAlignment="1">
      <alignment horizontal="left" vertical="center" wrapText="1"/>
    </xf>
    <xf numFmtId="0" fontId="23" fillId="3" borderId="79" xfId="0" applyFont="1" applyFill="1" applyBorder="1" applyAlignment="1">
      <alignment horizontal="left" vertical="center" wrapText="1"/>
    </xf>
  </cellXfs>
  <cellStyles count="34">
    <cellStyle name="Encabezado 1" xfId="10" xr:uid="{00000000-0005-0000-0000-000000000000}"/>
    <cellStyle name="Encabezado 1 2" xfId="15" xr:uid="{00000000-0005-0000-0000-000001000000}"/>
    <cellStyle name="Millares 2" xfId="20" xr:uid="{00000000-0005-0000-0000-000002000000}"/>
    <cellStyle name="Millares 2 2" xfId="26" xr:uid="{00000000-0005-0000-0000-000003000000}"/>
    <cellStyle name="Moneda" xfId="1" builtinId="4"/>
    <cellStyle name="Moneda 2" xfId="3" xr:uid="{00000000-0005-0000-0000-000005000000}"/>
    <cellStyle name="Moneda 2 2" xfId="16" xr:uid="{00000000-0005-0000-0000-000006000000}"/>
    <cellStyle name="Moneda 3" xfId="14" xr:uid="{00000000-0005-0000-0000-000007000000}"/>
    <cellStyle name="Moneda 4" xfId="21" xr:uid="{00000000-0005-0000-0000-000008000000}"/>
    <cellStyle name="Moneda 5" xfId="9" xr:uid="{00000000-0005-0000-0000-000009000000}"/>
    <cellStyle name="Moneda_AUTORIZACION Y NOTA DE PEDIDO" xfId="33" xr:uid="{00000000-0005-0000-0000-00000A000000}"/>
    <cellStyle name="Neutral 1" xfId="11" xr:uid="{00000000-0005-0000-0000-00000B000000}"/>
    <cellStyle name="Normal" xfId="0" builtinId="0"/>
    <cellStyle name="Normal 2" xfId="2" xr:uid="{00000000-0005-0000-0000-00000D000000}"/>
    <cellStyle name="Normal 2 2" xfId="5" xr:uid="{00000000-0005-0000-0000-00000E000000}"/>
    <cellStyle name="Normal 2 3" xfId="32" xr:uid="{00000000-0005-0000-0000-00000F000000}"/>
    <cellStyle name="Normal 3" xfId="7" xr:uid="{00000000-0005-0000-0000-000010000000}"/>
    <cellStyle name="Normal 3 2" xfId="12" xr:uid="{00000000-0005-0000-0000-000011000000}"/>
    <cellStyle name="Normal 3 2 2" xfId="18" xr:uid="{00000000-0005-0000-0000-000012000000}"/>
    <cellStyle name="Normal 3 3" xfId="17" xr:uid="{00000000-0005-0000-0000-000013000000}"/>
    <cellStyle name="Normal 3 4" xfId="22" xr:uid="{00000000-0005-0000-0000-000014000000}"/>
    <cellStyle name="Normal 3 4 2" xfId="27" xr:uid="{00000000-0005-0000-0000-000015000000}"/>
    <cellStyle name="Normal 4" xfId="6" xr:uid="{00000000-0005-0000-0000-000016000000}"/>
    <cellStyle name="Normal 4 2" xfId="19" xr:uid="{00000000-0005-0000-0000-000017000000}"/>
    <cellStyle name="Normal 4 3" xfId="23" xr:uid="{00000000-0005-0000-0000-000018000000}"/>
    <cellStyle name="Normal 4 3 2" xfId="28" xr:uid="{00000000-0005-0000-0000-000019000000}"/>
    <cellStyle name="Normal 5" xfId="4" xr:uid="{00000000-0005-0000-0000-00001A000000}"/>
    <cellStyle name="Normal 5 2" xfId="25" xr:uid="{00000000-0005-0000-0000-00001B000000}"/>
    <cellStyle name="Normal 6" xfId="13" xr:uid="{00000000-0005-0000-0000-00001C000000}"/>
    <cellStyle name="Normal 7" xfId="24" xr:uid="{00000000-0005-0000-0000-00001D000000}"/>
    <cellStyle name="Normal 8" xfId="8" xr:uid="{00000000-0005-0000-0000-00001E000000}"/>
    <cellStyle name="Normal 8 2" xfId="29" xr:uid="{00000000-0005-0000-0000-00001F000000}"/>
    <cellStyle name="Normal 8 3" xfId="30" xr:uid="{00000000-0005-0000-0000-000020000000}"/>
    <cellStyle name="Normal 8 4" xfId="31" xr:uid="{00000000-0005-0000-0000-000021000000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70769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70769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70769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70769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70769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70769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70769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70769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74"/>
  <sheetViews>
    <sheetView topLeftCell="A10" zoomScale="110" zoomScaleNormal="110" workbookViewId="0">
      <selection activeCell="E51" sqref="E51"/>
    </sheetView>
  </sheetViews>
  <sheetFormatPr baseColWidth="10" defaultRowHeight="15" x14ac:dyDescent="0.25"/>
  <cols>
    <col min="1" max="1" width="4.85546875" style="17" bestFit="1" customWidth="1"/>
    <col min="2" max="2" width="13.85546875" style="17" bestFit="1" customWidth="1"/>
    <col min="3" max="3" width="37.140625" style="17" customWidth="1"/>
    <col min="4" max="4" width="5.5703125" style="17" bestFit="1" customWidth="1"/>
    <col min="5" max="5" width="91.85546875" style="18" customWidth="1"/>
    <col min="6" max="6" width="20" style="17" bestFit="1" customWidth="1"/>
    <col min="7" max="7" width="17.140625" style="17" hidden="1" customWidth="1"/>
    <col min="8" max="8" width="10.85546875" style="17" hidden="1" customWidth="1"/>
    <col min="9" max="9" width="8" style="17" hidden="1" customWidth="1"/>
    <col min="10" max="10" width="14.5703125" style="17" hidden="1" customWidth="1"/>
    <col min="11" max="11" width="11.7109375" style="17" hidden="1" customWidth="1"/>
    <col min="12" max="12" width="15.85546875" style="17" hidden="1" customWidth="1"/>
    <col min="13" max="13" width="8.28515625" style="17" hidden="1" customWidth="1"/>
    <col min="14" max="14" width="14.85546875" style="17" hidden="1" customWidth="1"/>
    <col min="15" max="15" width="5.42578125" style="17" hidden="1" customWidth="1"/>
    <col min="16" max="16" width="12.42578125" style="17" hidden="1" customWidth="1"/>
    <col min="17" max="17" width="14.7109375" style="17" hidden="1" customWidth="1"/>
    <col min="18" max="18" width="13.85546875" style="17" hidden="1" customWidth="1"/>
    <col min="19" max="19" width="10.5703125" style="19" hidden="1" customWidth="1"/>
    <col min="20" max="20" width="14.85546875" style="30" hidden="1" customWidth="1"/>
    <col min="21" max="21" width="14.7109375" style="17" hidden="1" customWidth="1"/>
    <col min="22" max="22" width="14.85546875" style="17" hidden="1" customWidth="1"/>
    <col min="23" max="23" width="6" style="17" hidden="1" customWidth="1"/>
    <col min="24" max="24" width="13.85546875" style="30" hidden="1" customWidth="1"/>
    <col min="25" max="25" width="10.140625" style="17" hidden="1" customWidth="1"/>
    <col min="26" max="26" width="13.5703125" style="17" hidden="1" customWidth="1"/>
    <col min="27" max="27" width="14.42578125" style="17" hidden="1" customWidth="1"/>
    <col min="28" max="28" width="14.42578125" style="30" hidden="1" customWidth="1"/>
    <col min="29" max="29" width="5.7109375" style="17" hidden="1" customWidth="1"/>
    <col min="30" max="30" width="12.42578125" style="17" hidden="1" customWidth="1"/>
    <col min="31" max="31" width="10.140625" style="26" hidden="1" customWidth="1"/>
    <col min="32" max="32" width="13.5703125" style="30" hidden="1" customWidth="1"/>
    <col min="33" max="33" width="12.140625" style="17" hidden="1" customWidth="1"/>
    <col min="34" max="34" width="13" style="17" hidden="1" customWidth="1"/>
    <col min="35" max="36" width="10.5703125" style="17" hidden="1" customWidth="1"/>
    <col min="37" max="37" width="4.7109375" style="17" hidden="1" customWidth="1"/>
    <col min="38" max="38" width="11.28515625" style="17" hidden="1" customWidth="1"/>
    <col min="39" max="39" width="6.5703125" style="17" hidden="1" customWidth="1"/>
    <col min="40" max="40" width="13.5703125" style="30" hidden="1" customWidth="1"/>
    <col min="41" max="41" width="14.85546875" style="17" hidden="1" customWidth="1"/>
    <col min="42" max="43" width="13.85546875" style="17" hidden="1" customWidth="1"/>
    <col min="44" max="44" width="13.85546875" style="30" hidden="1" customWidth="1"/>
    <col min="45" max="45" width="15.28515625" style="23" hidden="1" customWidth="1"/>
    <col min="46" max="46" width="15.28515625" style="25" hidden="1" customWidth="1"/>
    <col min="47" max="47" width="5" style="23" hidden="1" customWidth="1"/>
    <col min="48" max="48" width="15.85546875" style="30" hidden="1" customWidth="1"/>
    <col min="49" max="49" width="12.28515625" style="19" customWidth="1"/>
    <col min="50" max="50" width="15.5703125" style="20" bestFit="1" customWidth="1"/>
    <col min="51" max="51" width="16.7109375" style="20" bestFit="1" customWidth="1"/>
    <col min="52" max="52" width="60.5703125" style="46" bestFit="1" customWidth="1"/>
  </cols>
  <sheetData>
    <row r="1" spans="1:53" x14ac:dyDescent="0.25">
      <c r="A1" s="1">
        <v>2022</v>
      </c>
      <c r="B1" s="2"/>
      <c r="C1" s="3"/>
      <c r="D1" s="3"/>
      <c r="E1" s="4"/>
      <c r="F1" s="3"/>
      <c r="G1" s="3"/>
      <c r="H1" s="3"/>
      <c r="I1" s="3"/>
      <c r="J1" s="3"/>
      <c r="K1" s="3"/>
      <c r="L1" s="3"/>
      <c r="M1" s="5"/>
      <c r="N1" s="6"/>
      <c r="O1" s="7"/>
      <c r="P1" s="3"/>
      <c r="Q1" s="5"/>
      <c r="R1" s="3"/>
      <c r="S1" s="7"/>
      <c r="T1" s="9"/>
      <c r="U1" s="5"/>
      <c r="V1" s="3"/>
      <c r="W1" s="7"/>
      <c r="X1" s="9"/>
      <c r="Y1" s="7"/>
      <c r="Z1" s="3"/>
      <c r="AA1" s="7"/>
      <c r="AB1" s="9"/>
      <c r="AC1" s="7"/>
      <c r="AD1" s="3"/>
      <c r="AE1" s="7"/>
      <c r="AF1" s="9"/>
      <c r="AG1" s="7"/>
      <c r="AH1" s="3"/>
      <c r="AI1" s="7"/>
      <c r="AJ1" s="3"/>
      <c r="AK1" s="7"/>
      <c r="AL1" s="3"/>
      <c r="AM1" s="7"/>
      <c r="AN1" s="9"/>
      <c r="AO1" s="7"/>
      <c r="AP1" s="3"/>
      <c r="AQ1" s="7"/>
      <c r="AR1" s="9"/>
      <c r="AS1" s="24"/>
      <c r="AT1" s="3"/>
      <c r="AU1" s="24"/>
      <c r="AV1" s="9"/>
      <c r="AW1" s="7"/>
      <c r="AX1" s="8"/>
      <c r="AY1" s="9"/>
    </row>
    <row r="2" spans="1:53" ht="18.75" x14ac:dyDescent="0.25">
      <c r="A2" s="3"/>
      <c r="B2" s="190" t="s">
        <v>0</v>
      </c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0"/>
      <c r="Z2" s="190"/>
      <c r="AA2" s="190"/>
      <c r="AB2" s="190"/>
      <c r="AC2" s="190"/>
      <c r="AD2" s="190"/>
      <c r="AE2" s="190"/>
      <c r="AF2" s="190"/>
      <c r="AG2" s="190"/>
      <c r="AH2" s="190"/>
      <c r="AI2" s="190"/>
      <c r="AJ2" s="190"/>
      <c r="AK2" s="190"/>
      <c r="AL2" s="190"/>
      <c r="AM2" s="190"/>
      <c r="AN2" s="190"/>
      <c r="AO2" s="190"/>
      <c r="AP2" s="190"/>
      <c r="AQ2" s="190"/>
      <c r="AR2" s="190"/>
      <c r="AS2" s="190"/>
      <c r="AT2" s="190"/>
      <c r="AU2" s="190"/>
      <c r="AV2" s="190"/>
      <c r="AW2" s="190"/>
      <c r="AX2" s="190"/>
      <c r="AY2" s="9"/>
    </row>
    <row r="3" spans="1:53" x14ac:dyDescent="0.25">
      <c r="A3" s="3"/>
      <c r="B3" s="2"/>
      <c r="C3" s="3"/>
      <c r="D3" s="3"/>
      <c r="E3" s="4"/>
      <c r="F3" s="3"/>
      <c r="G3" s="3"/>
      <c r="H3" s="3"/>
      <c r="I3" s="3"/>
      <c r="J3" s="3"/>
      <c r="K3" s="3"/>
      <c r="L3" s="3"/>
      <c r="M3" s="5"/>
      <c r="N3" s="6"/>
      <c r="O3" s="7"/>
      <c r="P3" s="3"/>
      <c r="Q3" s="5"/>
      <c r="R3" s="3"/>
      <c r="S3" s="7"/>
      <c r="T3" s="9"/>
      <c r="U3" s="5"/>
      <c r="V3" s="3"/>
      <c r="W3" s="7"/>
      <c r="X3" s="9"/>
      <c r="Y3" s="7"/>
      <c r="Z3" s="3"/>
      <c r="AA3" s="7"/>
      <c r="AB3" s="9"/>
      <c r="AC3" s="7"/>
      <c r="AD3" s="3"/>
      <c r="AE3" s="7"/>
      <c r="AF3" s="9"/>
      <c r="AG3" s="7"/>
      <c r="AH3" s="3"/>
      <c r="AI3" s="7"/>
      <c r="AJ3" s="3"/>
      <c r="AK3" s="7"/>
      <c r="AL3" s="3"/>
      <c r="AM3" s="7"/>
      <c r="AN3" s="9"/>
      <c r="AO3" s="7"/>
      <c r="AP3" s="3"/>
      <c r="AQ3" s="7"/>
      <c r="AR3" s="9"/>
      <c r="AS3" s="24"/>
      <c r="AT3" s="3"/>
      <c r="AU3" s="24"/>
      <c r="AV3" s="9"/>
      <c r="AW3" s="7"/>
      <c r="AX3" s="8"/>
      <c r="AY3" s="9"/>
    </row>
    <row r="4" spans="1:53" x14ac:dyDescent="0.25">
      <c r="A4" s="189" t="s">
        <v>1</v>
      </c>
      <c r="B4" s="189"/>
      <c r="C4" s="191" t="s">
        <v>2</v>
      </c>
      <c r="D4" s="191"/>
      <c r="E4" s="191"/>
      <c r="F4" s="10"/>
      <c r="G4" s="10"/>
      <c r="H4" s="10"/>
      <c r="I4" s="10"/>
      <c r="J4" s="10"/>
      <c r="K4" s="10"/>
      <c r="L4" s="10"/>
      <c r="M4" s="11"/>
      <c r="N4" s="12"/>
      <c r="O4" s="13"/>
      <c r="P4" s="10"/>
      <c r="Q4" s="11"/>
      <c r="R4" s="10"/>
      <c r="S4" s="13"/>
      <c r="T4" s="29"/>
      <c r="U4" s="11"/>
      <c r="V4" s="10"/>
      <c r="W4" s="13"/>
      <c r="X4" s="29"/>
      <c r="Y4" s="13"/>
      <c r="Z4" s="10"/>
      <c r="AA4" s="13"/>
      <c r="AB4" s="29"/>
      <c r="AC4" s="13"/>
      <c r="AD4" s="10"/>
      <c r="AE4" s="13"/>
      <c r="AF4" s="29"/>
      <c r="AG4" s="13"/>
      <c r="AH4" s="10"/>
      <c r="AI4" s="13"/>
      <c r="AJ4" s="10"/>
      <c r="AK4" s="13"/>
      <c r="AL4" s="10"/>
      <c r="AM4" s="13"/>
      <c r="AN4" s="29"/>
      <c r="AO4" s="13"/>
      <c r="AP4" s="10"/>
      <c r="AQ4" s="13"/>
      <c r="AR4" s="29"/>
      <c r="AS4" s="22"/>
      <c r="AT4" s="10"/>
      <c r="AU4" s="22"/>
      <c r="AV4" s="29"/>
      <c r="AW4" s="13"/>
      <c r="AX4" s="8"/>
      <c r="AY4" s="9"/>
    </row>
    <row r="5" spans="1:53" x14ac:dyDescent="0.25">
      <c r="A5" s="189" t="s">
        <v>3</v>
      </c>
      <c r="B5" s="189"/>
      <c r="C5" s="192" t="s">
        <v>4</v>
      </c>
      <c r="D5" s="192"/>
      <c r="E5" s="192"/>
      <c r="F5" s="10"/>
      <c r="G5" s="10"/>
      <c r="H5" s="10"/>
      <c r="I5" s="10"/>
      <c r="J5" s="10"/>
      <c r="K5" s="10"/>
      <c r="L5" s="10"/>
      <c r="M5" s="11"/>
      <c r="N5" s="12"/>
      <c r="O5" s="13"/>
      <c r="P5" s="10"/>
      <c r="Q5" s="11"/>
      <c r="R5" s="10"/>
      <c r="S5" s="13"/>
      <c r="T5" s="29"/>
      <c r="U5" s="11"/>
      <c r="V5" s="10"/>
      <c r="W5" s="13"/>
      <c r="X5" s="29"/>
      <c r="Y5" s="13"/>
      <c r="Z5" s="10"/>
      <c r="AA5" s="13"/>
      <c r="AB5" s="29"/>
      <c r="AC5" s="13"/>
      <c r="AD5" s="10"/>
      <c r="AE5" s="13"/>
      <c r="AF5" s="29"/>
      <c r="AG5" s="13"/>
      <c r="AH5" s="10"/>
      <c r="AI5" s="13"/>
      <c r="AJ5" s="10"/>
      <c r="AK5" s="13"/>
      <c r="AL5" s="10"/>
      <c r="AM5" s="13"/>
      <c r="AN5" s="29"/>
      <c r="AO5" s="13"/>
      <c r="AP5" s="10"/>
      <c r="AQ5" s="13"/>
      <c r="AR5" s="29"/>
      <c r="AS5" s="22"/>
      <c r="AT5" s="10"/>
      <c r="AU5" s="22"/>
      <c r="AV5" s="29"/>
      <c r="AW5" s="13"/>
      <c r="AX5" s="8"/>
      <c r="AY5" s="9"/>
    </row>
    <row r="6" spans="1:53" x14ac:dyDescent="0.25">
      <c r="A6" s="189" t="s">
        <v>5</v>
      </c>
      <c r="B6" s="189"/>
      <c r="C6" s="14">
        <v>2022</v>
      </c>
      <c r="D6" s="15"/>
      <c r="E6" s="14"/>
      <c r="F6" s="10"/>
      <c r="G6" s="10"/>
      <c r="H6" s="10"/>
      <c r="I6" s="10"/>
      <c r="J6" s="10"/>
      <c r="K6" s="10"/>
      <c r="L6" s="10"/>
      <c r="M6" s="11"/>
      <c r="N6" s="12"/>
      <c r="O6" s="13"/>
      <c r="P6" s="10"/>
      <c r="Q6" s="11"/>
      <c r="R6" s="10"/>
      <c r="S6" s="13"/>
      <c r="T6" s="29"/>
      <c r="U6" s="11"/>
      <c r="V6" s="10"/>
      <c r="W6" s="13"/>
      <c r="X6" s="29"/>
      <c r="Y6" s="13"/>
      <c r="Z6" s="10"/>
      <c r="AA6" s="13"/>
      <c r="AB6" s="29"/>
      <c r="AC6" s="13"/>
      <c r="AD6" s="10"/>
      <c r="AE6" s="13"/>
      <c r="AF6" s="29"/>
      <c r="AG6" s="13"/>
      <c r="AH6" s="10"/>
      <c r="AI6" s="13"/>
      <c r="AJ6" s="10"/>
      <c r="AK6" s="13"/>
      <c r="AL6" s="10"/>
      <c r="AM6" s="13"/>
      <c r="AN6" s="29"/>
      <c r="AO6" s="13"/>
      <c r="AP6" s="10"/>
      <c r="AQ6" s="13"/>
      <c r="AR6" s="29"/>
      <c r="AS6" s="22"/>
      <c r="AT6" s="10"/>
      <c r="AU6" s="22"/>
      <c r="AV6" s="29"/>
      <c r="AW6" s="13"/>
      <c r="AX6" s="8"/>
      <c r="AY6" s="9"/>
    </row>
    <row r="7" spans="1:53" x14ac:dyDescent="0.25">
      <c r="A7" s="189" t="s">
        <v>6</v>
      </c>
      <c r="B7" s="189"/>
      <c r="C7" s="14" t="s">
        <v>93</v>
      </c>
      <c r="D7" s="15"/>
      <c r="E7" s="14"/>
      <c r="F7" s="10"/>
      <c r="G7" s="10"/>
      <c r="H7" s="10"/>
      <c r="I7" s="10"/>
      <c r="J7" s="10"/>
      <c r="K7" s="10"/>
      <c r="L7" s="10"/>
      <c r="M7" s="11"/>
      <c r="N7" s="12"/>
      <c r="O7" s="13"/>
      <c r="P7" s="10"/>
      <c r="Q7" s="11"/>
      <c r="R7" s="10"/>
      <c r="S7" s="13"/>
      <c r="T7" s="29"/>
      <c r="U7" s="11"/>
      <c r="V7" s="10"/>
      <c r="W7" s="13"/>
      <c r="X7" s="29"/>
      <c r="Y7" s="13"/>
      <c r="Z7" s="10"/>
      <c r="AA7" s="13"/>
      <c r="AB7" s="29"/>
      <c r="AC7" s="13"/>
      <c r="AD7" s="10"/>
      <c r="AE7" s="13"/>
      <c r="AF7" s="29"/>
      <c r="AG7" s="13"/>
      <c r="AH7" s="10"/>
      <c r="AI7" s="13"/>
      <c r="AJ7" s="10"/>
      <c r="AK7" s="13"/>
      <c r="AL7" s="10"/>
      <c r="AM7" s="13"/>
      <c r="AN7" s="29"/>
      <c r="AO7" s="13"/>
      <c r="AP7" s="10"/>
      <c r="AQ7" s="13"/>
      <c r="AR7" s="29"/>
      <c r="AS7" s="22"/>
      <c r="AT7" s="10"/>
      <c r="AU7" s="22"/>
      <c r="AV7" s="29"/>
      <c r="AW7" s="13"/>
      <c r="AX7" s="8"/>
      <c r="AY7" s="9"/>
    </row>
    <row r="8" spans="1:53" ht="15.75" thickBot="1" x14ac:dyDescent="0.3">
      <c r="A8" s="3"/>
      <c r="B8" s="10"/>
      <c r="C8" s="10"/>
      <c r="D8" s="10"/>
      <c r="E8" s="16"/>
      <c r="F8" s="10"/>
      <c r="G8" s="10"/>
      <c r="H8" s="10"/>
      <c r="I8" s="10"/>
      <c r="J8" s="10"/>
      <c r="K8" s="10"/>
      <c r="L8" s="10"/>
      <c r="M8" s="11"/>
      <c r="N8" s="12"/>
      <c r="O8" s="13"/>
      <c r="P8" s="10"/>
      <c r="Q8" s="11"/>
      <c r="R8" s="10"/>
      <c r="S8" s="13"/>
      <c r="T8" s="29"/>
      <c r="U8" s="11"/>
      <c r="V8" s="10"/>
      <c r="W8" s="13"/>
      <c r="X8" s="29"/>
      <c r="Y8" s="13"/>
      <c r="Z8" s="10"/>
      <c r="AA8" s="13"/>
      <c r="AB8" s="29"/>
      <c r="AC8" s="13"/>
      <c r="AD8" s="10"/>
      <c r="AE8" s="13"/>
      <c r="AF8" s="29"/>
      <c r="AG8" s="13"/>
      <c r="AH8" s="10"/>
      <c r="AI8" s="13"/>
      <c r="AJ8" s="10"/>
      <c r="AK8" s="13"/>
      <c r="AL8" s="10"/>
      <c r="AM8" s="13"/>
      <c r="AN8" s="29"/>
      <c r="AO8" s="13"/>
      <c r="AP8" s="10"/>
      <c r="AQ8" s="13"/>
      <c r="AR8" s="29"/>
      <c r="AS8" s="22"/>
      <c r="AT8" s="10"/>
      <c r="AU8" s="22"/>
      <c r="AV8" s="29"/>
      <c r="AW8" s="13"/>
      <c r="AX8" s="8"/>
      <c r="AY8" s="9"/>
    </row>
    <row r="9" spans="1:53" ht="51.75" thickBot="1" x14ac:dyDescent="0.3">
      <c r="A9" s="34" t="s">
        <v>7</v>
      </c>
      <c r="B9" s="35" t="s">
        <v>8</v>
      </c>
      <c r="C9" s="36" t="s">
        <v>9</v>
      </c>
      <c r="D9" s="35" t="s">
        <v>10</v>
      </c>
      <c r="E9" s="37" t="s">
        <v>11</v>
      </c>
      <c r="F9" s="36" t="s">
        <v>12</v>
      </c>
      <c r="G9" s="36" t="s">
        <v>13</v>
      </c>
      <c r="H9" s="36" t="s">
        <v>14</v>
      </c>
      <c r="I9" s="38" t="s">
        <v>15</v>
      </c>
      <c r="J9" s="36" t="s">
        <v>16</v>
      </c>
      <c r="K9" s="36" t="s">
        <v>17</v>
      </c>
      <c r="L9" s="36" t="s">
        <v>18</v>
      </c>
      <c r="M9" s="39" t="s">
        <v>19</v>
      </c>
      <c r="N9" s="40" t="s">
        <v>20</v>
      </c>
      <c r="O9" s="41" t="s">
        <v>21</v>
      </c>
      <c r="P9" s="36" t="s">
        <v>22</v>
      </c>
      <c r="Q9" s="39" t="s">
        <v>23</v>
      </c>
      <c r="R9" s="36" t="s">
        <v>24</v>
      </c>
      <c r="S9" s="41" t="s">
        <v>25</v>
      </c>
      <c r="T9" s="42" t="s">
        <v>26</v>
      </c>
      <c r="U9" s="39" t="s">
        <v>27</v>
      </c>
      <c r="V9" s="36" t="s">
        <v>28</v>
      </c>
      <c r="W9" s="41" t="s">
        <v>29</v>
      </c>
      <c r="X9" s="42" t="s">
        <v>55</v>
      </c>
      <c r="Y9" s="41" t="s">
        <v>30</v>
      </c>
      <c r="Z9" s="36" t="s">
        <v>31</v>
      </c>
      <c r="AA9" s="41" t="s">
        <v>32</v>
      </c>
      <c r="AB9" s="42" t="s">
        <v>33</v>
      </c>
      <c r="AC9" s="43" t="s">
        <v>34</v>
      </c>
      <c r="AD9" s="36" t="s">
        <v>35</v>
      </c>
      <c r="AE9" s="41" t="s">
        <v>36</v>
      </c>
      <c r="AF9" s="42" t="s">
        <v>37</v>
      </c>
      <c r="AG9" s="41" t="s">
        <v>38</v>
      </c>
      <c r="AH9" s="36" t="s">
        <v>39</v>
      </c>
      <c r="AI9" s="41" t="s">
        <v>56</v>
      </c>
      <c r="AJ9" s="36" t="s">
        <v>57</v>
      </c>
      <c r="AK9" s="41" t="s">
        <v>40</v>
      </c>
      <c r="AL9" s="36" t="s">
        <v>41</v>
      </c>
      <c r="AM9" s="43" t="s">
        <v>42</v>
      </c>
      <c r="AN9" s="42" t="s">
        <v>43</v>
      </c>
      <c r="AO9" s="43" t="s">
        <v>44</v>
      </c>
      <c r="AP9" s="36" t="s">
        <v>45</v>
      </c>
      <c r="AQ9" s="41" t="s">
        <v>46</v>
      </c>
      <c r="AR9" s="42" t="s">
        <v>47</v>
      </c>
      <c r="AS9" s="44" t="s">
        <v>58</v>
      </c>
      <c r="AT9" s="36" t="s">
        <v>59</v>
      </c>
      <c r="AU9" s="44" t="s">
        <v>73</v>
      </c>
      <c r="AV9" s="42" t="s">
        <v>74</v>
      </c>
      <c r="AW9" s="41" t="s">
        <v>48</v>
      </c>
      <c r="AX9" s="45" t="s">
        <v>49</v>
      </c>
      <c r="AY9" s="42" t="s">
        <v>50</v>
      </c>
      <c r="AZ9" s="47" t="s">
        <v>51</v>
      </c>
      <c r="BA9" s="21"/>
    </row>
    <row r="10" spans="1:53" s="27" customFormat="1" ht="12.75" x14ac:dyDescent="0.2">
      <c r="A10" s="31">
        <v>1</v>
      </c>
      <c r="B10" s="31"/>
      <c r="C10" s="31" t="s">
        <v>61</v>
      </c>
      <c r="D10" s="31" t="s">
        <v>75</v>
      </c>
      <c r="E10" s="32" t="s">
        <v>76</v>
      </c>
      <c r="F10" s="31" t="s">
        <v>60</v>
      </c>
      <c r="G10" s="31"/>
      <c r="H10" s="31"/>
      <c r="I10" s="31"/>
      <c r="J10" s="31"/>
      <c r="K10" s="31">
        <v>50</v>
      </c>
      <c r="L10" s="33">
        <f t="shared" ref="L10:L39" si="0">+K10*AX10</f>
        <v>32000</v>
      </c>
      <c r="M10" s="31"/>
      <c r="N10" s="33">
        <f t="shared" ref="N10:N39" si="1">+M10*AX10</f>
        <v>0</v>
      </c>
      <c r="O10" s="31"/>
      <c r="P10" s="31"/>
      <c r="Q10" s="31"/>
      <c r="R10" s="31"/>
      <c r="S10" s="49"/>
      <c r="T10" s="33"/>
      <c r="U10" s="31"/>
      <c r="V10" s="31"/>
      <c r="W10" s="31"/>
      <c r="X10" s="33"/>
      <c r="Y10" s="31"/>
      <c r="Z10" s="31"/>
      <c r="AA10" s="31"/>
      <c r="AB10" s="33"/>
      <c r="AC10" s="31"/>
      <c r="AD10" s="31"/>
      <c r="AE10" s="31"/>
      <c r="AF10" s="48">
        <f t="shared" ref="AF10:AF27" si="2">+AE10*AX10</f>
        <v>0</v>
      </c>
      <c r="AG10" s="31"/>
      <c r="AH10" s="31"/>
      <c r="AI10" s="31"/>
      <c r="AJ10" s="31"/>
      <c r="AK10" s="31"/>
      <c r="AL10" s="33">
        <f>+AK10*AX10</f>
        <v>0</v>
      </c>
      <c r="AM10" s="31"/>
      <c r="AN10" s="33"/>
      <c r="AO10" s="31"/>
      <c r="AP10" s="31"/>
      <c r="AQ10" s="31"/>
      <c r="AR10" s="33"/>
      <c r="AS10" s="50"/>
      <c r="AT10" s="31"/>
      <c r="AU10" s="50"/>
      <c r="AV10" s="33"/>
      <c r="AW10" s="51">
        <f t="shared" ref="AW10:AW39" si="3">+AQ10+AO10+AM10+AK10+AI10+AG10+AE10+AC10+AA10+Y10+W10+U10+S10+Q10+O10+M10+K10+I10+AS10+G10+AU10</f>
        <v>50</v>
      </c>
      <c r="AX10" s="33">
        <v>640</v>
      </c>
      <c r="AY10" s="33">
        <f t="shared" ref="AY10:AY39" si="4">+AW10*AX10</f>
        <v>32000</v>
      </c>
      <c r="AZ10" s="52"/>
    </row>
    <row r="11" spans="1:53" s="27" customFormat="1" ht="12.75" x14ac:dyDescent="0.2">
      <c r="A11" s="53">
        <v>2</v>
      </c>
      <c r="B11" s="53"/>
      <c r="C11" s="53" t="s">
        <v>61</v>
      </c>
      <c r="D11" s="53" t="s">
        <v>75</v>
      </c>
      <c r="E11" s="54" t="s">
        <v>63</v>
      </c>
      <c r="F11" s="53" t="s">
        <v>52</v>
      </c>
      <c r="G11" s="53"/>
      <c r="H11" s="53"/>
      <c r="I11" s="53"/>
      <c r="J11" s="53"/>
      <c r="K11" s="53"/>
      <c r="L11" s="33">
        <f t="shared" si="0"/>
        <v>0</v>
      </c>
      <c r="M11" s="53">
        <v>50</v>
      </c>
      <c r="N11" s="33">
        <f t="shared" si="1"/>
        <v>35100</v>
      </c>
      <c r="O11" s="53"/>
      <c r="P11" s="53"/>
      <c r="Q11" s="53"/>
      <c r="R11" s="53"/>
      <c r="S11" s="55"/>
      <c r="T11" s="48"/>
      <c r="U11" s="53"/>
      <c r="V11" s="53"/>
      <c r="W11" s="53"/>
      <c r="X11" s="48"/>
      <c r="Y11" s="53"/>
      <c r="Z11" s="53"/>
      <c r="AA11" s="53"/>
      <c r="AB11" s="48"/>
      <c r="AC11" s="53"/>
      <c r="AD11" s="53"/>
      <c r="AE11" s="53"/>
      <c r="AF11" s="48">
        <f t="shared" si="2"/>
        <v>0</v>
      </c>
      <c r="AG11" s="53"/>
      <c r="AH11" s="53"/>
      <c r="AI11" s="53"/>
      <c r="AJ11" s="53"/>
      <c r="AK11" s="53"/>
      <c r="AL11" s="33">
        <f>+AK11*AX11</f>
        <v>0</v>
      </c>
      <c r="AM11" s="53"/>
      <c r="AN11" s="48"/>
      <c r="AO11" s="53"/>
      <c r="AP11" s="53"/>
      <c r="AQ11" s="53"/>
      <c r="AR11" s="48"/>
      <c r="AS11" s="56"/>
      <c r="AT11" s="53"/>
      <c r="AU11" s="56"/>
      <c r="AV11" s="48"/>
      <c r="AW11" s="51">
        <f t="shared" si="3"/>
        <v>50</v>
      </c>
      <c r="AX11" s="33">
        <v>702</v>
      </c>
      <c r="AY11" s="33">
        <f t="shared" si="4"/>
        <v>35100</v>
      </c>
      <c r="AZ11" s="52"/>
    </row>
    <row r="12" spans="1:53" s="27" customFormat="1" ht="12.75" x14ac:dyDescent="0.2">
      <c r="A12" s="53">
        <v>3</v>
      </c>
      <c r="B12" s="53"/>
      <c r="C12" s="170" t="s">
        <v>147</v>
      </c>
      <c r="D12" s="170" t="s">
        <v>148</v>
      </c>
      <c r="E12" s="171" t="s">
        <v>149</v>
      </c>
      <c r="F12" s="170" t="s">
        <v>54</v>
      </c>
      <c r="G12" s="53"/>
      <c r="H12" s="53"/>
      <c r="I12" s="53"/>
      <c r="J12" s="53"/>
      <c r="K12" s="53"/>
      <c r="L12" s="33">
        <f t="shared" si="0"/>
        <v>0</v>
      </c>
      <c r="M12" s="53"/>
      <c r="N12" s="33">
        <f t="shared" si="1"/>
        <v>0</v>
      </c>
      <c r="O12" s="53"/>
      <c r="P12" s="53"/>
      <c r="Q12" s="53"/>
      <c r="R12" s="53"/>
      <c r="S12" s="55"/>
      <c r="T12" s="48"/>
      <c r="U12" s="53"/>
      <c r="V12" s="53"/>
      <c r="W12" s="53"/>
      <c r="X12" s="48"/>
      <c r="Y12" s="53"/>
      <c r="Z12" s="53"/>
      <c r="AA12" s="53"/>
      <c r="AB12" s="48"/>
      <c r="AC12" s="53"/>
      <c r="AD12" s="53"/>
      <c r="AE12" s="170">
        <v>10</v>
      </c>
      <c r="AF12" s="48">
        <f t="shared" si="2"/>
        <v>44500</v>
      </c>
      <c r="AG12" s="53"/>
      <c r="AH12" s="53"/>
      <c r="AI12" s="53"/>
      <c r="AJ12" s="53"/>
      <c r="AK12" s="53"/>
      <c r="AL12" s="33"/>
      <c r="AM12" s="53"/>
      <c r="AN12" s="48"/>
      <c r="AO12" s="53"/>
      <c r="AP12" s="53"/>
      <c r="AQ12" s="53"/>
      <c r="AR12" s="48"/>
      <c r="AS12" s="56"/>
      <c r="AT12" s="53"/>
      <c r="AU12" s="56"/>
      <c r="AV12" s="48"/>
      <c r="AW12" s="51">
        <f t="shared" si="3"/>
        <v>10</v>
      </c>
      <c r="AX12" s="174">
        <v>4450</v>
      </c>
      <c r="AY12" s="33">
        <f t="shared" si="4"/>
        <v>44500</v>
      </c>
      <c r="AZ12" s="52"/>
    </row>
    <row r="13" spans="1:53" s="27" customFormat="1" ht="12.75" x14ac:dyDescent="0.2">
      <c r="A13" s="53">
        <v>4</v>
      </c>
      <c r="B13" s="53"/>
      <c r="C13" s="53" t="s">
        <v>61</v>
      </c>
      <c r="D13" s="53" t="s">
        <v>75</v>
      </c>
      <c r="E13" s="54" t="s">
        <v>64</v>
      </c>
      <c r="F13" s="53" t="s">
        <v>53</v>
      </c>
      <c r="G13" s="53"/>
      <c r="H13" s="53"/>
      <c r="I13" s="53"/>
      <c r="J13" s="53"/>
      <c r="K13" s="53"/>
      <c r="L13" s="33">
        <f t="shared" si="0"/>
        <v>0</v>
      </c>
      <c r="M13" s="53">
        <v>1794</v>
      </c>
      <c r="N13" s="33">
        <f t="shared" si="1"/>
        <v>1964430</v>
      </c>
      <c r="O13" s="53"/>
      <c r="P13" s="53"/>
      <c r="Q13" s="53"/>
      <c r="R13" s="53"/>
      <c r="S13" s="55"/>
      <c r="T13" s="48"/>
      <c r="U13" s="53"/>
      <c r="V13" s="53"/>
      <c r="W13" s="53"/>
      <c r="X13" s="48"/>
      <c r="Y13" s="53"/>
      <c r="Z13" s="53"/>
      <c r="AA13" s="53"/>
      <c r="AB13" s="48"/>
      <c r="AC13" s="53"/>
      <c r="AD13" s="53"/>
      <c r="AE13" s="53"/>
      <c r="AF13" s="48">
        <f t="shared" si="2"/>
        <v>0</v>
      </c>
      <c r="AG13" s="53"/>
      <c r="AH13" s="53"/>
      <c r="AI13" s="53"/>
      <c r="AJ13" s="53"/>
      <c r="AK13" s="53"/>
      <c r="AL13" s="33">
        <f>+AK13*AX13</f>
        <v>0</v>
      </c>
      <c r="AM13" s="53"/>
      <c r="AN13" s="48"/>
      <c r="AO13" s="53"/>
      <c r="AP13" s="53"/>
      <c r="AQ13" s="53"/>
      <c r="AR13" s="48"/>
      <c r="AS13" s="56"/>
      <c r="AT13" s="53"/>
      <c r="AU13" s="56"/>
      <c r="AV13" s="48"/>
      <c r="AW13" s="51">
        <f t="shared" si="3"/>
        <v>1794</v>
      </c>
      <c r="AX13" s="33">
        <v>1095</v>
      </c>
      <c r="AY13" s="33">
        <f t="shared" si="4"/>
        <v>1964430</v>
      </c>
      <c r="AZ13" s="52"/>
    </row>
    <row r="14" spans="1:53" s="27" customFormat="1" ht="12.75" x14ac:dyDescent="0.2">
      <c r="A14" s="53">
        <v>5</v>
      </c>
      <c r="B14" s="53"/>
      <c r="C14" s="53" t="s">
        <v>61</v>
      </c>
      <c r="D14" s="53" t="s">
        <v>75</v>
      </c>
      <c r="E14" s="54" t="s">
        <v>77</v>
      </c>
      <c r="F14" s="53" t="s">
        <v>54</v>
      </c>
      <c r="G14" s="53"/>
      <c r="H14" s="53"/>
      <c r="I14" s="53"/>
      <c r="J14" s="53"/>
      <c r="K14" s="53"/>
      <c r="L14" s="33">
        <f t="shared" si="0"/>
        <v>0</v>
      </c>
      <c r="M14" s="53">
        <f>1800+1794</f>
        <v>3594</v>
      </c>
      <c r="N14" s="33">
        <f t="shared" si="1"/>
        <v>4276860</v>
      </c>
      <c r="O14" s="53"/>
      <c r="P14" s="53"/>
      <c r="Q14" s="53"/>
      <c r="R14" s="53"/>
      <c r="S14" s="55"/>
      <c r="T14" s="48"/>
      <c r="U14" s="53"/>
      <c r="V14" s="53"/>
      <c r="W14" s="53"/>
      <c r="X14" s="48"/>
      <c r="Y14" s="53"/>
      <c r="Z14" s="53"/>
      <c r="AA14" s="53"/>
      <c r="AB14" s="48"/>
      <c r="AC14" s="53"/>
      <c r="AD14" s="53"/>
      <c r="AE14" s="53"/>
      <c r="AF14" s="48">
        <f t="shared" si="2"/>
        <v>0</v>
      </c>
      <c r="AG14" s="53"/>
      <c r="AH14" s="53"/>
      <c r="AI14" s="53"/>
      <c r="AJ14" s="53"/>
      <c r="AK14" s="53"/>
      <c r="AL14" s="33">
        <f>+AK14*AX14</f>
        <v>0</v>
      </c>
      <c r="AM14" s="53"/>
      <c r="AN14" s="48"/>
      <c r="AO14" s="53"/>
      <c r="AP14" s="53"/>
      <c r="AQ14" s="53"/>
      <c r="AR14" s="48"/>
      <c r="AS14" s="56"/>
      <c r="AT14" s="53"/>
      <c r="AU14" s="56"/>
      <c r="AV14" s="48"/>
      <c r="AW14" s="51">
        <f t="shared" si="3"/>
        <v>3594</v>
      </c>
      <c r="AX14" s="33">
        <v>1190</v>
      </c>
      <c r="AY14" s="33">
        <f t="shared" si="4"/>
        <v>4276860</v>
      </c>
      <c r="AZ14" s="52"/>
    </row>
    <row r="15" spans="1:53" s="27" customFormat="1" ht="12.75" x14ac:dyDescent="0.2">
      <c r="A15" s="53">
        <v>6</v>
      </c>
      <c r="B15" s="53"/>
      <c r="C15" s="170" t="s">
        <v>147</v>
      </c>
      <c r="D15" s="170" t="s">
        <v>148</v>
      </c>
      <c r="E15" s="171" t="s">
        <v>150</v>
      </c>
      <c r="F15" s="170" t="s">
        <v>52</v>
      </c>
      <c r="G15" s="53"/>
      <c r="H15" s="53"/>
      <c r="I15" s="53"/>
      <c r="J15" s="53"/>
      <c r="K15" s="53"/>
      <c r="L15" s="33">
        <f t="shared" si="0"/>
        <v>0</v>
      </c>
      <c r="M15" s="53"/>
      <c r="N15" s="33">
        <f t="shared" si="1"/>
        <v>0</v>
      </c>
      <c r="O15" s="53"/>
      <c r="P15" s="53"/>
      <c r="Q15" s="53"/>
      <c r="R15" s="53"/>
      <c r="S15" s="55"/>
      <c r="T15" s="48"/>
      <c r="U15" s="53"/>
      <c r="V15" s="53"/>
      <c r="W15" s="53"/>
      <c r="X15" s="48"/>
      <c r="Y15" s="53"/>
      <c r="Z15" s="53"/>
      <c r="AA15" s="53"/>
      <c r="AB15" s="48"/>
      <c r="AC15" s="53"/>
      <c r="AD15" s="53"/>
      <c r="AE15" s="170">
        <v>1</v>
      </c>
      <c r="AF15" s="48">
        <f t="shared" si="2"/>
        <v>16500</v>
      </c>
      <c r="AG15" s="53"/>
      <c r="AH15" s="53"/>
      <c r="AI15" s="53"/>
      <c r="AJ15" s="53"/>
      <c r="AK15" s="53"/>
      <c r="AL15" s="33"/>
      <c r="AM15" s="53"/>
      <c r="AN15" s="48"/>
      <c r="AO15" s="53"/>
      <c r="AP15" s="53"/>
      <c r="AQ15" s="53"/>
      <c r="AR15" s="48"/>
      <c r="AS15" s="56"/>
      <c r="AT15" s="53"/>
      <c r="AU15" s="56"/>
      <c r="AV15" s="48"/>
      <c r="AW15" s="51">
        <f t="shared" si="3"/>
        <v>1</v>
      </c>
      <c r="AX15" s="178">
        <v>16500</v>
      </c>
      <c r="AY15" s="33">
        <f t="shared" si="4"/>
        <v>16500</v>
      </c>
      <c r="AZ15" s="52"/>
    </row>
    <row r="16" spans="1:53" s="27" customFormat="1" ht="12.75" x14ac:dyDescent="0.2">
      <c r="A16" s="53">
        <v>7</v>
      </c>
      <c r="B16" s="53"/>
      <c r="C16" s="53" t="s">
        <v>61</v>
      </c>
      <c r="D16" s="53" t="s">
        <v>75</v>
      </c>
      <c r="E16" s="54" t="s">
        <v>65</v>
      </c>
      <c r="F16" s="53" t="s">
        <v>54</v>
      </c>
      <c r="G16" s="53"/>
      <c r="H16" s="53"/>
      <c r="I16" s="53"/>
      <c r="J16" s="53"/>
      <c r="K16" s="53"/>
      <c r="L16" s="33">
        <f t="shared" si="0"/>
        <v>0</v>
      </c>
      <c r="M16" s="53">
        <v>10</v>
      </c>
      <c r="N16" s="33">
        <f t="shared" si="1"/>
        <v>1250</v>
      </c>
      <c r="O16" s="53"/>
      <c r="P16" s="53"/>
      <c r="Q16" s="53"/>
      <c r="R16" s="53"/>
      <c r="S16" s="55"/>
      <c r="T16" s="48"/>
      <c r="U16" s="53"/>
      <c r="V16" s="53"/>
      <c r="W16" s="53"/>
      <c r="X16" s="48"/>
      <c r="Y16" s="53"/>
      <c r="Z16" s="53"/>
      <c r="AA16" s="53"/>
      <c r="AB16" s="48"/>
      <c r="AC16" s="53"/>
      <c r="AD16" s="53"/>
      <c r="AE16" s="53"/>
      <c r="AF16" s="48">
        <f t="shared" si="2"/>
        <v>0</v>
      </c>
      <c r="AG16" s="53"/>
      <c r="AH16" s="53"/>
      <c r="AI16" s="53"/>
      <c r="AJ16" s="53"/>
      <c r="AK16" s="53"/>
      <c r="AL16" s="33">
        <f>+AK16*AX16</f>
        <v>0</v>
      </c>
      <c r="AM16" s="53"/>
      <c r="AN16" s="48"/>
      <c r="AO16" s="53"/>
      <c r="AP16" s="53"/>
      <c r="AQ16" s="53"/>
      <c r="AR16" s="48"/>
      <c r="AS16" s="56"/>
      <c r="AT16" s="53"/>
      <c r="AU16" s="56"/>
      <c r="AV16" s="48"/>
      <c r="AW16" s="51">
        <f t="shared" si="3"/>
        <v>10</v>
      </c>
      <c r="AX16" s="33">
        <v>125</v>
      </c>
      <c r="AY16" s="33">
        <f t="shared" si="4"/>
        <v>1250</v>
      </c>
      <c r="AZ16" s="52"/>
    </row>
    <row r="17" spans="1:52" s="27" customFormat="1" ht="12.75" x14ac:dyDescent="0.2">
      <c r="A17" s="53">
        <v>8</v>
      </c>
      <c r="B17" s="53"/>
      <c r="C17" s="53" t="s">
        <v>61</v>
      </c>
      <c r="D17" s="53" t="s">
        <v>75</v>
      </c>
      <c r="E17" s="54" t="s">
        <v>78</v>
      </c>
      <c r="F17" s="53" t="s">
        <v>54</v>
      </c>
      <c r="G17" s="53"/>
      <c r="H17" s="53"/>
      <c r="I17" s="53"/>
      <c r="J17" s="53"/>
      <c r="K17" s="53"/>
      <c r="L17" s="33">
        <f t="shared" si="0"/>
        <v>0</v>
      </c>
      <c r="M17" s="53">
        <v>900</v>
      </c>
      <c r="N17" s="33">
        <f t="shared" si="1"/>
        <v>3555000</v>
      </c>
      <c r="O17" s="53"/>
      <c r="P17" s="53"/>
      <c r="Q17" s="53"/>
      <c r="R17" s="53"/>
      <c r="S17" s="55"/>
      <c r="T17" s="48"/>
      <c r="U17" s="53"/>
      <c r="V17" s="53"/>
      <c r="W17" s="53"/>
      <c r="X17" s="48"/>
      <c r="Y17" s="53"/>
      <c r="Z17" s="53"/>
      <c r="AA17" s="53"/>
      <c r="AB17" s="48"/>
      <c r="AC17" s="53"/>
      <c r="AD17" s="53"/>
      <c r="AE17" s="53"/>
      <c r="AF17" s="48">
        <f t="shared" si="2"/>
        <v>0</v>
      </c>
      <c r="AG17" s="53"/>
      <c r="AH17" s="53"/>
      <c r="AI17" s="53"/>
      <c r="AJ17" s="53"/>
      <c r="AK17" s="53"/>
      <c r="AL17" s="33">
        <f>+AK17*AX17</f>
        <v>0</v>
      </c>
      <c r="AM17" s="53"/>
      <c r="AN17" s="48"/>
      <c r="AO17" s="53"/>
      <c r="AP17" s="53"/>
      <c r="AQ17" s="53"/>
      <c r="AR17" s="48"/>
      <c r="AS17" s="56"/>
      <c r="AT17" s="53"/>
      <c r="AU17" s="56"/>
      <c r="AV17" s="48"/>
      <c r="AW17" s="51">
        <f t="shared" si="3"/>
        <v>900</v>
      </c>
      <c r="AX17" s="33">
        <v>3950</v>
      </c>
      <c r="AY17" s="33">
        <f t="shared" si="4"/>
        <v>3555000</v>
      </c>
      <c r="AZ17" s="52"/>
    </row>
    <row r="18" spans="1:52" s="27" customFormat="1" ht="12.75" x14ac:dyDescent="0.2">
      <c r="A18" s="53">
        <v>9</v>
      </c>
      <c r="B18" s="53"/>
      <c r="C18" s="53" t="s">
        <v>61</v>
      </c>
      <c r="D18" s="53" t="s">
        <v>75</v>
      </c>
      <c r="E18" s="54" t="s">
        <v>79</v>
      </c>
      <c r="F18" s="53" t="s">
        <v>52</v>
      </c>
      <c r="G18" s="53"/>
      <c r="H18" s="53"/>
      <c r="I18" s="53"/>
      <c r="J18" s="53"/>
      <c r="K18" s="53">
        <v>10</v>
      </c>
      <c r="L18" s="33">
        <f t="shared" si="0"/>
        <v>258600</v>
      </c>
      <c r="M18" s="53"/>
      <c r="N18" s="33">
        <f t="shared" si="1"/>
        <v>0</v>
      </c>
      <c r="O18" s="53"/>
      <c r="P18" s="53"/>
      <c r="Q18" s="53"/>
      <c r="R18" s="53"/>
      <c r="S18" s="55"/>
      <c r="T18" s="48"/>
      <c r="U18" s="53"/>
      <c r="V18" s="53"/>
      <c r="W18" s="53"/>
      <c r="X18" s="48"/>
      <c r="Y18" s="53"/>
      <c r="Z18" s="53"/>
      <c r="AA18" s="53"/>
      <c r="AB18" s="48"/>
      <c r="AC18" s="53"/>
      <c r="AD18" s="53"/>
      <c r="AE18" s="53"/>
      <c r="AF18" s="48">
        <f t="shared" si="2"/>
        <v>0</v>
      </c>
      <c r="AG18" s="53"/>
      <c r="AH18" s="53"/>
      <c r="AI18" s="53"/>
      <c r="AJ18" s="53"/>
      <c r="AK18" s="53"/>
      <c r="AL18" s="33">
        <f>+AK18*AX18</f>
        <v>0</v>
      </c>
      <c r="AM18" s="53"/>
      <c r="AN18" s="48"/>
      <c r="AO18" s="53"/>
      <c r="AP18" s="53"/>
      <c r="AQ18" s="53"/>
      <c r="AR18" s="48"/>
      <c r="AS18" s="56"/>
      <c r="AT18" s="53"/>
      <c r="AU18" s="56"/>
      <c r="AV18" s="48"/>
      <c r="AW18" s="51">
        <f t="shared" si="3"/>
        <v>10</v>
      </c>
      <c r="AX18" s="33">
        <v>25860</v>
      </c>
      <c r="AY18" s="33">
        <f t="shared" si="4"/>
        <v>258600</v>
      </c>
      <c r="AZ18" s="52"/>
    </row>
    <row r="19" spans="1:52" s="27" customFormat="1" ht="12.75" x14ac:dyDescent="0.2">
      <c r="A19" s="53">
        <v>10</v>
      </c>
      <c r="B19" s="53"/>
      <c r="C19" s="53" t="s">
        <v>61</v>
      </c>
      <c r="D19" s="53" t="s">
        <v>75</v>
      </c>
      <c r="E19" s="54" t="s">
        <v>80</v>
      </c>
      <c r="F19" s="53" t="s">
        <v>52</v>
      </c>
      <c r="G19" s="53"/>
      <c r="H19" s="53"/>
      <c r="I19" s="53"/>
      <c r="J19" s="53"/>
      <c r="K19" s="53">
        <v>20</v>
      </c>
      <c r="L19" s="33">
        <f t="shared" si="0"/>
        <v>287440</v>
      </c>
      <c r="M19" s="53"/>
      <c r="N19" s="33">
        <f t="shared" si="1"/>
        <v>0</v>
      </c>
      <c r="O19" s="53"/>
      <c r="P19" s="53"/>
      <c r="Q19" s="53"/>
      <c r="R19" s="53"/>
      <c r="S19" s="55"/>
      <c r="T19" s="48"/>
      <c r="U19" s="53"/>
      <c r="V19" s="53"/>
      <c r="W19" s="53"/>
      <c r="X19" s="48"/>
      <c r="Y19" s="53"/>
      <c r="Z19" s="53"/>
      <c r="AA19" s="53"/>
      <c r="AB19" s="48"/>
      <c r="AC19" s="53"/>
      <c r="AD19" s="53"/>
      <c r="AE19" s="53"/>
      <c r="AF19" s="48">
        <f t="shared" si="2"/>
        <v>0</v>
      </c>
      <c r="AG19" s="53"/>
      <c r="AH19" s="53"/>
      <c r="AI19" s="53"/>
      <c r="AJ19" s="53"/>
      <c r="AK19" s="53"/>
      <c r="AL19" s="33">
        <f>+AK19*AX19</f>
        <v>0</v>
      </c>
      <c r="AM19" s="53"/>
      <c r="AN19" s="48"/>
      <c r="AO19" s="53"/>
      <c r="AP19" s="53"/>
      <c r="AQ19" s="53"/>
      <c r="AR19" s="48"/>
      <c r="AS19" s="56"/>
      <c r="AT19" s="53"/>
      <c r="AU19" s="56"/>
      <c r="AV19" s="48"/>
      <c r="AW19" s="51">
        <f t="shared" si="3"/>
        <v>20</v>
      </c>
      <c r="AX19" s="33">
        <v>14372</v>
      </c>
      <c r="AY19" s="33">
        <f t="shared" si="4"/>
        <v>287440</v>
      </c>
      <c r="AZ19" s="52"/>
    </row>
    <row r="20" spans="1:52" s="27" customFormat="1" ht="12.75" x14ac:dyDescent="0.2">
      <c r="A20" s="53">
        <v>11</v>
      </c>
      <c r="B20" s="53"/>
      <c r="C20" s="170" t="s">
        <v>147</v>
      </c>
      <c r="D20" s="170" t="s">
        <v>148</v>
      </c>
      <c r="E20" s="171" t="s">
        <v>151</v>
      </c>
      <c r="F20" s="170" t="s">
        <v>54</v>
      </c>
      <c r="G20" s="53"/>
      <c r="H20" s="53"/>
      <c r="I20" s="53"/>
      <c r="J20" s="53"/>
      <c r="K20" s="53"/>
      <c r="L20" s="33">
        <f t="shared" si="0"/>
        <v>0</v>
      </c>
      <c r="M20" s="53"/>
      <c r="N20" s="33">
        <f t="shared" si="1"/>
        <v>0</v>
      </c>
      <c r="O20" s="53"/>
      <c r="P20" s="53"/>
      <c r="Q20" s="53"/>
      <c r="R20" s="53"/>
      <c r="S20" s="55"/>
      <c r="T20" s="48"/>
      <c r="U20" s="53"/>
      <c r="V20" s="53"/>
      <c r="W20" s="53"/>
      <c r="X20" s="48"/>
      <c r="Y20" s="53"/>
      <c r="Z20" s="53"/>
      <c r="AA20" s="53"/>
      <c r="AB20" s="48"/>
      <c r="AC20" s="53"/>
      <c r="AD20" s="53"/>
      <c r="AE20" s="170">
        <v>1</v>
      </c>
      <c r="AF20" s="48">
        <f t="shared" si="2"/>
        <v>18300</v>
      </c>
      <c r="AG20" s="53"/>
      <c r="AH20" s="53"/>
      <c r="AI20" s="53"/>
      <c r="AJ20" s="53"/>
      <c r="AK20" s="53"/>
      <c r="AL20" s="33"/>
      <c r="AM20" s="53"/>
      <c r="AN20" s="48"/>
      <c r="AO20" s="53"/>
      <c r="AP20" s="53"/>
      <c r="AQ20" s="53"/>
      <c r="AR20" s="48"/>
      <c r="AS20" s="56"/>
      <c r="AT20" s="53"/>
      <c r="AU20" s="56"/>
      <c r="AV20" s="48"/>
      <c r="AW20" s="51">
        <f t="shared" si="3"/>
        <v>1</v>
      </c>
      <c r="AX20" s="177">
        <v>18300</v>
      </c>
      <c r="AY20" s="33">
        <f t="shared" si="4"/>
        <v>18300</v>
      </c>
      <c r="AZ20" s="52"/>
    </row>
    <row r="21" spans="1:52" s="27" customFormat="1" ht="38.25" x14ac:dyDescent="0.2">
      <c r="A21" s="53">
        <v>12</v>
      </c>
      <c r="B21" s="53"/>
      <c r="C21" s="170" t="s">
        <v>147</v>
      </c>
      <c r="D21" s="170" t="s">
        <v>148</v>
      </c>
      <c r="E21" s="171" t="s">
        <v>152</v>
      </c>
      <c r="F21" s="170" t="s">
        <v>54</v>
      </c>
      <c r="G21" s="53"/>
      <c r="H21" s="53"/>
      <c r="I21" s="53"/>
      <c r="J21" s="53"/>
      <c r="K21" s="53"/>
      <c r="L21" s="33">
        <f t="shared" si="0"/>
        <v>0</v>
      </c>
      <c r="M21" s="53"/>
      <c r="N21" s="33">
        <f t="shared" si="1"/>
        <v>0</v>
      </c>
      <c r="O21" s="53"/>
      <c r="P21" s="53"/>
      <c r="Q21" s="53"/>
      <c r="R21" s="53"/>
      <c r="S21" s="55"/>
      <c r="T21" s="48"/>
      <c r="U21" s="53"/>
      <c r="V21" s="53"/>
      <c r="W21" s="53"/>
      <c r="X21" s="48"/>
      <c r="Y21" s="53"/>
      <c r="Z21" s="53"/>
      <c r="AA21" s="53"/>
      <c r="AB21" s="48"/>
      <c r="AC21" s="53"/>
      <c r="AD21" s="53"/>
      <c r="AE21" s="170">
        <v>10</v>
      </c>
      <c r="AF21" s="48">
        <f t="shared" si="2"/>
        <v>458000</v>
      </c>
      <c r="AG21" s="53"/>
      <c r="AH21" s="53"/>
      <c r="AI21" s="53"/>
      <c r="AJ21" s="53"/>
      <c r="AK21" s="53"/>
      <c r="AL21" s="33"/>
      <c r="AM21" s="53"/>
      <c r="AN21" s="48"/>
      <c r="AO21" s="53"/>
      <c r="AP21" s="53"/>
      <c r="AQ21" s="53"/>
      <c r="AR21" s="48"/>
      <c r="AS21" s="56"/>
      <c r="AT21" s="53"/>
      <c r="AU21" s="56"/>
      <c r="AV21" s="48"/>
      <c r="AW21" s="51">
        <f t="shared" si="3"/>
        <v>10</v>
      </c>
      <c r="AX21" s="174">
        <v>45800</v>
      </c>
      <c r="AY21" s="33">
        <f t="shared" si="4"/>
        <v>458000</v>
      </c>
      <c r="AZ21" s="52"/>
    </row>
    <row r="22" spans="1:52" s="27" customFormat="1" ht="12.75" x14ac:dyDescent="0.2">
      <c r="A22" s="53">
        <v>13</v>
      </c>
      <c r="B22" s="53"/>
      <c r="C22" s="53" t="s">
        <v>61</v>
      </c>
      <c r="D22" s="53" t="s">
        <v>75</v>
      </c>
      <c r="E22" s="54" t="s">
        <v>81</v>
      </c>
      <c r="F22" s="53" t="s">
        <v>60</v>
      </c>
      <c r="G22" s="53"/>
      <c r="H22" s="53"/>
      <c r="I22" s="53"/>
      <c r="J22" s="53"/>
      <c r="K22" s="53">
        <v>5</v>
      </c>
      <c r="L22" s="33">
        <f t="shared" si="0"/>
        <v>31145</v>
      </c>
      <c r="M22" s="53"/>
      <c r="N22" s="33">
        <f t="shared" si="1"/>
        <v>0</v>
      </c>
      <c r="O22" s="53"/>
      <c r="P22" s="53"/>
      <c r="Q22" s="53"/>
      <c r="R22" s="53"/>
      <c r="S22" s="55"/>
      <c r="T22" s="48"/>
      <c r="U22" s="53"/>
      <c r="V22" s="53"/>
      <c r="W22" s="53"/>
      <c r="X22" s="48"/>
      <c r="Y22" s="53"/>
      <c r="Z22" s="53"/>
      <c r="AA22" s="53"/>
      <c r="AB22" s="48"/>
      <c r="AC22" s="53"/>
      <c r="AD22" s="53"/>
      <c r="AE22" s="53"/>
      <c r="AF22" s="48">
        <f t="shared" si="2"/>
        <v>0</v>
      </c>
      <c r="AG22" s="53"/>
      <c r="AH22" s="53"/>
      <c r="AI22" s="53"/>
      <c r="AJ22" s="53"/>
      <c r="AK22" s="53"/>
      <c r="AL22" s="33">
        <f>+AK22*AX22</f>
        <v>0</v>
      </c>
      <c r="AM22" s="53"/>
      <c r="AN22" s="48"/>
      <c r="AO22" s="53"/>
      <c r="AP22" s="53"/>
      <c r="AQ22" s="53"/>
      <c r="AR22" s="48"/>
      <c r="AS22" s="56"/>
      <c r="AT22" s="53"/>
      <c r="AU22" s="56"/>
      <c r="AV22" s="48"/>
      <c r="AW22" s="51">
        <f t="shared" si="3"/>
        <v>5</v>
      </c>
      <c r="AX22" s="33">
        <v>6229</v>
      </c>
      <c r="AY22" s="33">
        <f t="shared" si="4"/>
        <v>31145</v>
      </c>
      <c r="AZ22" s="52"/>
    </row>
    <row r="23" spans="1:52" s="27" customFormat="1" ht="12.75" x14ac:dyDescent="0.2">
      <c r="A23" s="53">
        <v>14</v>
      </c>
      <c r="B23" s="53"/>
      <c r="C23" s="170" t="s">
        <v>147</v>
      </c>
      <c r="D23" s="172" t="s">
        <v>148</v>
      </c>
      <c r="E23" s="171" t="s">
        <v>153</v>
      </c>
      <c r="F23" s="173" t="s">
        <v>54</v>
      </c>
      <c r="G23" s="53"/>
      <c r="H23" s="53"/>
      <c r="I23" s="53"/>
      <c r="J23" s="53"/>
      <c r="K23" s="53"/>
      <c r="L23" s="33">
        <f t="shared" si="0"/>
        <v>0</v>
      </c>
      <c r="M23" s="53"/>
      <c r="N23" s="33">
        <f t="shared" si="1"/>
        <v>0</v>
      </c>
      <c r="O23" s="53"/>
      <c r="P23" s="53"/>
      <c r="Q23" s="53"/>
      <c r="R23" s="53"/>
      <c r="S23" s="55"/>
      <c r="T23" s="48"/>
      <c r="U23" s="53"/>
      <c r="V23" s="53"/>
      <c r="W23" s="53"/>
      <c r="X23" s="48"/>
      <c r="Y23" s="53"/>
      <c r="Z23" s="53"/>
      <c r="AA23" s="53"/>
      <c r="AB23" s="48"/>
      <c r="AC23" s="53"/>
      <c r="AD23" s="53"/>
      <c r="AE23" s="170">
        <v>10</v>
      </c>
      <c r="AF23" s="48">
        <f t="shared" si="2"/>
        <v>13000</v>
      </c>
      <c r="AG23" s="53"/>
      <c r="AH23" s="53"/>
      <c r="AI23" s="53"/>
      <c r="AJ23" s="53"/>
      <c r="AK23" s="53"/>
      <c r="AL23" s="33"/>
      <c r="AM23" s="53"/>
      <c r="AN23" s="48"/>
      <c r="AO23" s="53"/>
      <c r="AP23" s="53"/>
      <c r="AQ23" s="53"/>
      <c r="AR23" s="48"/>
      <c r="AS23" s="56"/>
      <c r="AT23" s="53"/>
      <c r="AU23" s="56"/>
      <c r="AV23" s="48"/>
      <c r="AW23" s="51">
        <f t="shared" si="3"/>
        <v>10</v>
      </c>
      <c r="AX23" s="177">
        <v>1300</v>
      </c>
      <c r="AY23" s="33">
        <f t="shared" si="4"/>
        <v>13000</v>
      </c>
      <c r="AZ23" s="52"/>
    </row>
    <row r="24" spans="1:52" s="27" customFormat="1" ht="12.75" x14ac:dyDescent="0.2">
      <c r="A24" s="53">
        <v>15</v>
      </c>
      <c r="B24" s="53"/>
      <c r="C24" s="170" t="s">
        <v>147</v>
      </c>
      <c r="D24" s="170" t="s">
        <v>148</v>
      </c>
      <c r="E24" s="171" t="s">
        <v>154</v>
      </c>
      <c r="F24" s="170" t="s">
        <v>54</v>
      </c>
      <c r="G24" s="53"/>
      <c r="H24" s="53"/>
      <c r="I24" s="53"/>
      <c r="J24" s="53"/>
      <c r="K24" s="53"/>
      <c r="L24" s="33">
        <f t="shared" si="0"/>
        <v>0</v>
      </c>
      <c r="M24" s="53"/>
      <c r="N24" s="33">
        <f t="shared" si="1"/>
        <v>0</v>
      </c>
      <c r="O24" s="53"/>
      <c r="P24" s="53"/>
      <c r="Q24" s="53"/>
      <c r="R24" s="53"/>
      <c r="S24" s="55"/>
      <c r="T24" s="48"/>
      <c r="U24" s="53"/>
      <c r="V24" s="53"/>
      <c r="W24" s="53"/>
      <c r="X24" s="48"/>
      <c r="Y24" s="53"/>
      <c r="Z24" s="53"/>
      <c r="AA24" s="53"/>
      <c r="AB24" s="48"/>
      <c r="AC24" s="53"/>
      <c r="AD24" s="53"/>
      <c r="AE24" s="170">
        <v>1</v>
      </c>
      <c r="AF24" s="48">
        <f t="shared" si="2"/>
        <v>45300</v>
      </c>
      <c r="AG24" s="53"/>
      <c r="AH24" s="53"/>
      <c r="AI24" s="53"/>
      <c r="AJ24" s="53"/>
      <c r="AK24" s="53"/>
      <c r="AL24" s="33"/>
      <c r="AM24" s="53"/>
      <c r="AN24" s="48"/>
      <c r="AO24" s="53"/>
      <c r="AP24" s="53"/>
      <c r="AQ24" s="53"/>
      <c r="AR24" s="48"/>
      <c r="AS24" s="56"/>
      <c r="AT24" s="53"/>
      <c r="AU24" s="56"/>
      <c r="AV24" s="48"/>
      <c r="AW24" s="51">
        <f t="shared" si="3"/>
        <v>1</v>
      </c>
      <c r="AX24" s="174">
        <v>45300</v>
      </c>
      <c r="AY24" s="33">
        <f t="shared" si="4"/>
        <v>45300</v>
      </c>
      <c r="AZ24" s="52"/>
    </row>
    <row r="25" spans="1:52" s="27" customFormat="1" ht="12.75" x14ac:dyDescent="0.2">
      <c r="A25" s="53">
        <v>16</v>
      </c>
      <c r="B25" s="53"/>
      <c r="C25" s="170" t="s">
        <v>147</v>
      </c>
      <c r="D25" s="170" t="s">
        <v>148</v>
      </c>
      <c r="E25" s="171" t="s">
        <v>155</v>
      </c>
      <c r="F25" s="170" t="s">
        <v>54</v>
      </c>
      <c r="G25" s="53"/>
      <c r="H25" s="53"/>
      <c r="I25" s="53"/>
      <c r="J25" s="53"/>
      <c r="K25" s="53"/>
      <c r="L25" s="33">
        <f t="shared" si="0"/>
        <v>0</v>
      </c>
      <c r="M25" s="53"/>
      <c r="N25" s="33">
        <f t="shared" si="1"/>
        <v>0</v>
      </c>
      <c r="O25" s="53"/>
      <c r="P25" s="53"/>
      <c r="Q25" s="53"/>
      <c r="R25" s="53"/>
      <c r="S25" s="55"/>
      <c r="T25" s="48"/>
      <c r="U25" s="53"/>
      <c r="V25" s="53"/>
      <c r="W25" s="53"/>
      <c r="X25" s="48"/>
      <c r="Y25" s="53"/>
      <c r="Z25" s="53"/>
      <c r="AA25" s="53"/>
      <c r="AB25" s="48"/>
      <c r="AC25" s="53"/>
      <c r="AD25" s="53"/>
      <c r="AE25" s="170">
        <v>20</v>
      </c>
      <c r="AF25" s="48">
        <f t="shared" si="2"/>
        <v>16400</v>
      </c>
      <c r="AG25" s="53"/>
      <c r="AH25" s="53"/>
      <c r="AI25" s="53"/>
      <c r="AJ25" s="53"/>
      <c r="AK25" s="53"/>
      <c r="AL25" s="33"/>
      <c r="AM25" s="53"/>
      <c r="AN25" s="48"/>
      <c r="AO25" s="53"/>
      <c r="AP25" s="53"/>
      <c r="AQ25" s="53"/>
      <c r="AR25" s="48"/>
      <c r="AS25" s="56"/>
      <c r="AT25" s="53"/>
      <c r="AU25" s="56"/>
      <c r="AV25" s="48"/>
      <c r="AW25" s="51">
        <f t="shared" si="3"/>
        <v>20</v>
      </c>
      <c r="AX25" s="174">
        <v>820</v>
      </c>
      <c r="AY25" s="33">
        <f t="shared" si="4"/>
        <v>16400</v>
      </c>
      <c r="AZ25" s="52"/>
    </row>
    <row r="26" spans="1:52" s="27" customFormat="1" ht="12.75" x14ac:dyDescent="0.2">
      <c r="A26" s="53">
        <v>17</v>
      </c>
      <c r="B26" s="53"/>
      <c r="C26" s="53" t="s">
        <v>61</v>
      </c>
      <c r="D26" s="53" t="s">
        <v>75</v>
      </c>
      <c r="E26" s="54" t="s">
        <v>82</v>
      </c>
      <c r="F26" s="53" t="s">
        <v>52</v>
      </c>
      <c r="G26" s="53"/>
      <c r="H26" s="53"/>
      <c r="I26" s="53"/>
      <c r="J26" s="53"/>
      <c r="K26" s="53">
        <v>20</v>
      </c>
      <c r="L26" s="33">
        <f t="shared" si="0"/>
        <v>6000</v>
      </c>
      <c r="M26" s="53"/>
      <c r="N26" s="33">
        <f t="shared" si="1"/>
        <v>0</v>
      </c>
      <c r="O26" s="53"/>
      <c r="P26" s="53"/>
      <c r="Q26" s="53"/>
      <c r="R26" s="53"/>
      <c r="S26" s="55"/>
      <c r="T26" s="48"/>
      <c r="U26" s="53"/>
      <c r="V26" s="53"/>
      <c r="W26" s="53"/>
      <c r="X26" s="48"/>
      <c r="Y26" s="53"/>
      <c r="Z26" s="53"/>
      <c r="AA26" s="53"/>
      <c r="AB26" s="48"/>
      <c r="AC26" s="53"/>
      <c r="AD26" s="53"/>
      <c r="AE26" s="53"/>
      <c r="AF26" s="48">
        <f t="shared" si="2"/>
        <v>0</v>
      </c>
      <c r="AG26" s="53"/>
      <c r="AH26" s="53"/>
      <c r="AI26" s="53"/>
      <c r="AJ26" s="53"/>
      <c r="AK26" s="53"/>
      <c r="AL26" s="33">
        <f>+AK26*AX26</f>
        <v>0</v>
      </c>
      <c r="AM26" s="53"/>
      <c r="AN26" s="48"/>
      <c r="AO26" s="53"/>
      <c r="AP26" s="53"/>
      <c r="AQ26" s="53"/>
      <c r="AR26" s="48"/>
      <c r="AS26" s="56"/>
      <c r="AT26" s="53"/>
      <c r="AU26" s="56"/>
      <c r="AV26" s="48"/>
      <c r="AW26" s="51">
        <f t="shared" si="3"/>
        <v>20</v>
      </c>
      <c r="AX26" s="33">
        <v>300</v>
      </c>
      <c r="AY26" s="33">
        <f t="shared" si="4"/>
        <v>6000</v>
      </c>
      <c r="AZ26" s="52"/>
    </row>
    <row r="27" spans="1:52" s="27" customFormat="1" ht="12.75" x14ac:dyDescent="0.2">
      <c r="A27" s="53">
        <v>18</v>
      </c>
      <c r="B27" s="53"/>
      <c r="C27" s="53" t="s">
        <v>61</v>
      </c>
      <c r="D27" s="53" t="s">
        <v>75</v>
      </c>
      <c r="E27" s="54" t="s">
        <v>83</v>
      </c>
      <c r="F27" s="53" t="s">
        <v>54</v>
      </c>
      <c r="G27" s="53"/>
      <c r="H27" s="53"/>
      <c r="I27" s="53"/>
      <c r="J27" s="53"/>
      <c r="K27" s="53">
        <v>50</v>
      </c>
      <c r="L27" s="33">
        <f t="shared" si="0"/>
        <v>193300</v>
      </c>
      <c r="M27" s="53"/>
      <c r="N27" s="33">
        <f t="shared" si="1"/>
        <v>0</v>
      </c>
      <c r="O27" s="53"/>
      <c r="P27" s="53"/>
      <c r="Q27" s="53"/>
      <c r="R27" s="53"/>
      <c r="S27" s="55"/>
      <c r="T27" s="48"/>
      <c r="U27" s="53"/>
      <c r="V27" s="53"/>
      <c r="W27" s="53"/>
      <c r="X27" s="48"/>
      <c r="Y27" s="53"/>
      <c r="Z27" s="53"/>
      <c r="AA27" s="53"/>
      <c r="AB27" s="48"/>
      <c r="AC27" s="53"/>
      <c r="AD27" s="53"/>
      <c r="AE27" s="53"/>
      <c r="AF27" s="48">
        <f t="shared" si="2"/>
        <v>0</v>
      </c>
      <c r="AG27" s="53"/>
      <c r="AH27" s="53"/>
      <c r="AI27" s="53"/>
      <c r="AJ27" s="53"/>
      <c r="AK27" s="53"/>
      <c r="AL27" s="33">
        <f>+AK27*AX27</f>
        <v>0</v>
      </c>
      <c r="AM27" s="53"/>
      <c r="AN27" s="48"/>
      <c r="AO27" s="53"/>
      <c r="AP27" s="53"/>
      <c r="AQ27" s="53"/>
      <c r="AR27" s="48"/>
      <c r="AS27" s="56"/>
      <c r="AT27" s="53"/>
      <c r="AU27" s="56"/>
      <c r="AV27" s="48"/>
      <c r="AW27" s="51">
        <f t="shared" si="3"/>
        <v>50</v>
      </c>
      <c r="AX27" s="33">
        <v>3866</v>
      </c>
      <c r="AY27" s="33">
        <f t="shared" si="4"/>
        <v>193300</v>
      </c>
      <c r="AZ27" s="52"/>
    </row>
    <row r="28" spans="1:52" s="27" customFormat="1" ht="12.75" x14ac:dyDescent="0.2">
      <c r="A28" s="53">
        <v>19</v>
      </c>
      <c r="B28" s="53"/>
      <c r="C28" s="170" t="s">
        <v>147</v>
      </c>
      <c r="D28" s="170" t="s">
        <v>148</v>
      </c>
      <c r="E28" s="54" t="s">
        <v>165</v>
      </c>
      <c r="F28" s="53" t="s">
        <v>54</v>
      </c>
      <c r="G28" s="53"/>
      <c r="H28" s="53"/>
      <c r="I28" s="53"/>
      <c r="J28" s="53"/>
      <c r="K28" s="53"/>
      <c r="L28" s="33">
        <f t="shared" si="0"/>
        <v>0</v>
      </c>
      <c r="M28" s="53">
        <v>1200</v>
      </c>
      <c r="N28" s="33">
        <f t="shared" si="1"/>
        <v>110400</v>
      </c>
      <c r="O28" s="53"/>
      <c r="P28" s="53"/>
      <c r="Q28" s="53"/>
      <c r="R28" s="53"/>
      <c r="S28" s="55"/>
      <c r="T28" s="48"/>
      <c r="U28" s="53"/>
      <c r="V28" s="53"/>
      <c r="W28" s="53"/>
      <c r="X28" s="48"/>
      <c r="Y28" s="53"/>
      <c r="Z28" s="53"/>
      <c r="AA28" s="53"/>
      <c r="AB28" s="48"/>
      <c r="AC28" s="53"/>
      <c r="AD28" s="53"/>
      <c r="AE28" s="53"/>
      <c r="AF28" s="48"/>
      <c r="AG28" s="53"/>
      <c r="AH28" s="53"/>
      <c r="AI28" s="53"/>
      <c r="AJ28" s="53"/>
      <c r="AK28" s="53"/>
      <c r="AL28" s="33"/>
      <c r="AM28" s="53"/>
      <c r="AN28" s="48"/>
      <c r="AO28" s="53"/>
      <c r="AP28" s="53"/>
      <c r="AQ28" s="53"/>
      <c r="AR28" s="48"/>
      <c r="AS28" s="56"/>
      <c r="AT28" s="53"/>
      <c r="AU28" s="56"/>
      <c r="AV28" s="48"/>
      <c r="AW28" s="51">
        <f t="shared" si="3"/>
        <v>1200</v>
      </c>
      <c r="AX28" s="33">
        <v>92</v>
      </c>
      <c r="AY28" s="33">
        <f t="shared" si="4"/>
        <v>110400</v>
      </c>
      <c r="AZ28" s="52"/>
    </row>
    <row r="29" spans="1:52" s="27" customFormat="1" ht="12.75" x14ac:dyDescent="0.2">
      <c r="A29" s="53">
        <v>20</v>
      </c>
      <c r="B29" s="53"/>
      <c r="C29" s="53" t="s">
        <v>61</v>
      </c>
      <c r="D29" s="53" t="s">
        <v>75</v>
      </c>
      <c r="E29" s="54" t="s">
        <v>84</v>
      </c>
      <c r="F29" s="53" t="s">
        <v>54</v>
      </c>
      <c r="G29" s="53"/>
      <c r="H29" s="53"/>
      <c r="I29" s="53"/>
      <c r="J29" s="53"/>
      <c r="K29" s="53"/>
      <c r="L29" s="33">
        <f t="shared" si="0"/>
        <v>0</v>
      </c>
      <c r="M29" s="53">
        <v>48</v>
      </c>
      <c r="N29" s="33">
        <f t="shared" si="1"/>
        <v>1968912</v>
      </c>
      <c r="O29" s="53"/>
      <c r="P29" s="53"/>
      <c r="Q29" s="53"/>
      <c r="R29" s="53"/>
      <c r="S29" s="55"/>
      <c r="T29" s="48"/>
      <c r="U29" s="53"/>
      <c r="V29" s="53"/>
      <c r="W29" s="53"/>
      <c r="X29" s="48"/>
      <c r="Y29" s="53"/>
      <c r="Z29" s="53"/>
      <c r="AA29" s="53"/>
      <c r="AB29" s="48"/>
      <c r="AC29" s="53"/>
      <c r="AD29" s="53"/>
      <c r="AE29" s="53"/>
      <c r="AF29" s="48">
        <f t="shared" ref="AF29:AF57" si="5">+AE29*AX29</f>
        <v>0</v>
      </c>
      <c r="AG29" s="53"/>
      <c r="AH29" s="53"/>
      <c r="AI29" s="53"/>
      <c r="AJ29" s="53"/>
      <c r="AK29" s="53"/>
      <c r="AL29" s="33">
        <f>+AK29*AX29</f>
        <v>0</v>
      </c>
      <c r="AM29" s="53"/>
      <c r="AN29" s="48"/>
      <c r="AO29" s="53"/>
      <c r="AP29" s="53"/>
      <c r="AQ29" s="53"/>
      <c r="AR29" s="48"/>
      <c r="AS29" s="56"/>
      <c r="AT29" s="53"/>
      <c r="AU29" s="56"/>
      <c r="AV29" s="48"/>
      <c r="AW29" s="51">
        <f t="shared" si="3"/>
        <v>48</v>
      </c>
      <c r="AX29" s="33">
        <v>41019</v>
      </c>
      <c r="AY29" s="33">
        <f t="shared" si="4"/>
        <v>1968912</v>
      </c>
      <c r="AZ29" s="52"/>
    </row>
    <row r="30" spans="1:52" s="27" customFormat="1" ht="12.75" x14ac:dyDescent="0.2">
      <c r="A30" s="53">
        <v>21</v>
      </c>
      <c r="B30" s="53"/>
      <c r="C30" s="53" t="s">
        <v>61</v>
      </c>
      <c r="D30" s="53" t="s">
        <v>75</v>
      </c>
      <c r="E30" s="54" t="s">
        <v>85</v>
      </c>
      <c r="F30" s="53" t="s">
        <v>60</v>
      </c>
      <c r="G30" s="53"/>
      <c r="H30" s="53"/>
      <c r="I30" s="53"/>
      <c r="J30" s="53"/>
      <c r="K30" s="53">
        <v>200</v>
      </c>
      <c r="L30" s="33">
        <f t="shared" si="0"/>
        <v>35800</v>
      </c>
      <c r="M30" s="53"/>
      <c r="N30" s="33">
        <f t="shared" si="1"/>
        <v>0</v>
      </c>
      <c r="O30" s="53"/>
      <c r="P30" s="53"/>
      <c r="Q30" s="53"/>
      <c r="R30" s="53"/>
      <c r="S30" s="55"/>
      <c r="T30" s="48"/>
      <c r="U30" s="53"/>
      <c r="V30" s="53"/>
      <c r="W30" s="53"/>
      <c r="X30" s="48"/>
      <c r="Y30" s="53"/>
      <c r="Z30" s="53"/>
      <c r="AA30" s="53"/>
      <c r="AB30" s="48"/>
      <c r="AC30" s="53"/>
      <c r="AD30" s="53"/>
      <c r="AE30" s="53"/>
      <c r="AF30" s="48">
        <f t="shared" si="5"/>
        <v>0</v>
      </c>
      <c r="AG30" s="53"/>
      <c r="AH30" s="53"/>
      <c r="AI30" s="53"/>
      <c r="AJ30" s="53"/>
      <c r="AK30" s="53"/>
      <c r="AL30" s="33"/>
      <c r="AM30" s="53"/>
      <c r="AN30" s="48"/>
      <c r="AO30" s="53"/>
      <c r="AP30" s="53"/>
      <c r="AQ30" s="53"/>
      <c r="AR30" s="48"/>
      <c r="AS30" s="56"/>
      <c r="AT30" s="53"/>
      <c r="AU30" s="56"/>
      <c r="AV30" s="48"/>
      <c r="AW30" s="51">
        <f t="shared" si="3"/>
        <v>200</v>
      </c>
      <c r="AX30" s="33">
        <v>179</v>
      </c>
      <c r="AY30" s="33">
        <f t="shared" si="4"/>
        <v>35800</v>
      </c>
      <c r="AZ30" s="52"/>
    </row>
    <row r="31" spans="1:52" s="27" customFormat="1" ht="25.5" x14ac:dyDescent="0.2">
      <c r="A31" s="53">
        <v>22</v>
      </c>
      <c r="B31" s="53"/>
      <c r="C31" s="170" t="s">
        <v>147</v>
      </c>
      <c r="D31" s="170" t="s">
        <v>148</v>
      </c>
      <c r="E31" s="171" t="s">
        <v>156</v>
      </c>
      <c r="F31" s="170" t="s">
        <v>54</v>
      </c>
      <c r="G31" s="53"/>
      <c r="H31" s="53"/>
      <c r="I31" s="53"/>
      <c r="J31" s="53"/>
      <c r="K31" s="53"/>
      <c r="L31" s="33">
        <f t="shared" si="0"/>
        <v>0</v>
      </c>
      <c r="M31" s="53"/>
      <c r="N31" s="33">
        <f t="shared" si="1"/>
        <v>0</v>
      </c>
      <c r="O31" s="53"/>
      <c r="P31" s="53"/>
      <c r="Q31" s="53"/>
      <c r="R31" s="53"/>
      <c r="S31" s="55"/>
      <c r="T31" s="48"/>
      <c r="U31" s="53"/>
      <c r="V31" s="53"/>
      <c r="W31" s="53"/>
      <c r="X31" s="48"/>
      <c r="Y31" s="53"/>
      <c r="Z31" s="53"/>
      <c r="AA31" s="53"/>
      <c r="AB31" s="48"/>
      <c r="AC31" s="53"/>
      <c r="AD31" s="53"/>
      <c r="AE31" s="170">
        <v>5</v>
      </c>
      <c r="AF31" s="48">
        <f t="shared" si="5"/>
        <v>4750</v>
      </c>
      <c r="AG31" s="53"/>
      <c r="AH31" s="53"/>
      <c r="AI31" s="53"/>
      <c r="AJ31" s="53"/>
      <c r="AK31" s="53"/>
      <c r="AL31" s="33"/>
      <c r="AM31" s="53"/>
      <c r="AN31" s="48"/>
      <c r="AO31" s="53"/>
      <c r="AP31" s="53"/>
      <c r="AQ31" s="53"/>
      <c r="AR31" s="48"/>
      <c r="AS31" s="56"/>
      <c r="AT31" s="53"/>
      <c r="AU31" s="56"/>
      <c r="AV31" s="48"/>
      <c r="AW31" s="51">
        <f t="shared" si="3"/>
        <v>5</v>
      </c>
      <c r="AX31" s="177">
        <v>950</v>
      </c>
      <c r="AY31" s="33">
        <f t="shared" si="4"/>
        <v>4750</v>
      </c>
      <c r="AZ31" s="52"/>
    </row>
    <row r="32" spans="1:52" s="27" customFormat="1" ht="25.5" x14ac:dyDescent="0.2">
      <c r="A32" s="53">
        <v>23</v>
      </c>
      <c r="B32" s="53"/>
      <c r="C32" s="170" t="s">
        <v>147</v>
      </c>
      <c r="D32" s="170" t="s">
        <v>148</v>
      </c>
      <c r="E32" s="171" t="s">
        <v>157</v>
      </c>
      <c r="F32" s="170" t="s">
        <v>54</v>
      </c>
      <c r="G32" s="53"/>
      <c r="H32" s="53"/>
      <c r="I32" s="53"/>
      <c r="J32" s="53"/>
      <c r="K32" s="53"/>
      <c r="L32" s="33">
        <f t="shared" si="0"/>
        <v>0</v>
      </c>
      <c r="M32" s="53"/>
      <c r="N32" s="33">
        <f t="shared" si="1"/>
        <v>0</v>
      </c>
      <c r="O32" s="53"/>
      <c r="P32" s="53"/>
      <c r="Q32" s="53"/>
      <c r="R32" s="53"/>
      <c r="S32" s="55"/>
      <c r="T32" s="48"/>
      <c r="U32" s="53"/>
      <c r="V32" s="53"/>
      <c r="W32" s="53"/>
      <c r="X32" s="48"/>
      <c r="Y32" s="53"/>
      <c r="Z32" s="53"/>
      <c r="AA32" s="53"/>
      <c r="AB32" s="48"/>
      <c r="AC32" s="53"/>
      <c r="AD32" s="53"/>
      <c r="AE32" s="170">
        <v>5</v>
      </c>
      <c r="AF32" s="48">
        <f t="shared" si="5"/>
        <v>5358.2000000000007</v>
      </c>
      <c r="AG32" s="53"/>
      <c r="AH32" s="53"/>
      <c r="AI32" s="53"/>
      <c r="AJ32" s="53"/>
      <c r="AK32" s="53"/>
      <c r="AL32" s="33"/>
      <c r="AM32" s="53"/>
      <c r="AN32" s="48"/>
      <c r="AO32" s="53"/>
      <c r="AP32" s="53"/>
      <c r="AQ32" s="53"/>
      <c r="AR32" s="48"/>
      <c r="AS32" s="56"/>
      <c r="AT32" s="53"/>
      <c r="AU32" s="56"/>
      <c r="AV32" s="48"/>
      <c r="AW32" s="51">
        <f t="shared" si="3"/>
        <v>5</v>
      </c>
      <c r="AX32" s="177">
        <v>1071.6400000000001</v>
      </c>
      <c r="AY32" s="33">
        <f t="shared" si="4"/>
        <v>5358.2000000000007</v>
      </c>
      <c r="AZ32" s="52"/>
    </row>
    <row r="33" spans="1:52" s="27" customFormat="1" ht="12.75" x14ac:dyDescent="0.2">
      <c r="A33" s="53">
        <v>24</v>
      </c>
      <c r="B33" s="53"/>
      <c r="C33" s="53" t="s">
        <v>61</v>
      </c>
      <c r="D33" s="53" t="s">
        <v>75</v>
      </c>
      <c r="E33" s="54" t="s">
        <v>66</v>
      </c>
      <c r="F33" s="53" t="s">
        <v>54</v>
      </c>
      <c r="G33" s="53"/>
      <c r="H33" s="53"/>
      <c r="I33" s="53"/>
      <c r="J33" s="53"/>
      <c r="K33" s="53"/>
      <c r="L33" s="33">
        <f t="shared" si="0"/>
        <v>0</v>
      </c>
      <c r="M33" s="53">
        <v>2</v>
      </c>
      <c r="N33" s="33">
        <f t="shared" si="1"/>
        <v>104700</v>
      </c>
      <c r="O33" s="53"/>
      <c r="P33" s="53"/>
      <c r="Q33" s="53"/>
      <c r="R33" s="53"/>
      <c r="S33" s="55"/>
      <c r="T33" s="48"/>
      <c r="U33" s="53"/>
      <c r="V33" s="53"/>
      <c r="W33" s="53"/>
      <c r="X33" s="48"/>
      <c r="Y33" s="53"/>
      <c r="Z33" s="53"/>
      <c r="AA33" s="53"/>
      <c r="AB33" s="48"/>
      <c r="AC33" s="53"/>
      <c r="AD33" s="53"/>
      <c r="AE33" s="53"/>
      <c r="AF33" s="48">
        <f t="shared" si="5"/>
        <v>0</v>
      </c>
      <c r="AG33" s="53"/>
      <c r="AH33" s="53"/>
      <c r="AI33" s="53"/>
      <c r="AJ33" s="53"/>
      <c r="AK33" s="53"/>
      <c r="AL33" s="33"/>
      <c r="AM33" s="53"/>
      <c r="AN33" s="48"/>
      <c r="AO33" s="53"/>
      <c r="AP33" s="53"/>
      <c r="AQ33" s="53"/>
      <c r="AR33" s="48"/>
      <c r="AS33" s="56"/>
      <c r="AT33" s="53"/>
      <c r="AU33" s="56"/>
      <c r="AV33" s="48"/>
      <c r="AW33" s="51">
        <f t="shared" si="3"/>
        <v>2</v>
      </c>
      <c r="AX33" s="33">
        <v>52350</v>
      </c>
      <c r="AY33" s="33">
        <f t="shared" si="4"/>
        <v>104700</v>
      </c>
      <c r="AZ33" s="52"/>
    </row>
    <row r="34" spans="1:52" s="27" customFormat="1" ht="12.75" x14ac:dyDescent="0.2">
      <c r="A34" s="53">
        <v>25</v>
      </c>
      <c r="B34" s="53"/>
      <c r="C34" s="53" t="s">
        <v>61</v>
      </c>
      <c r="D34" s="53" t="s">
        <v>75</v>
      </c>
      <c r="E34" s="54" t="s">
        <v>67</v>
      </c>
      <c r="F34" s="53" t="s">
        <v>54</v>
      </c>
      <c r="G34" s="53"/>
      <c r="H34" s="53"/>
      <c r="I34" s="53"/>
      <c r="J34" s="53"/>
      <c r="K34" s="53"/>
      <c r="L34" s="33">
        <f t="shared" si="0"/>
        <v>0</v>
      </c>
      <c r="M34" s="53">
        <v>2</v>
      </c>
      <c r="N34" s="33">
        <f t="shared" si="1"/>
        <v>100700</v>
      </c>
      <c r="O34" s="53"/>
      <c r="P34" s="53"/>
      <c r="Q34" s="53"/>
      <c r="R34" s="53"/>
      <c r="S34" s="55"/>
      <c r="T34" s="48"/>
      <c r="U34" s="53"/>
      <c r="V34" s="53"/>
      <c r="W34" s="53"/>
      <c r="X34" s="48"/>
      <c r="Y34" s="53"/>
      <c r="Z34" s="53"/>
      <c r="AA34" s="53"/>
      <c r="AB34" s="48"/>
      <c r="AC34" s="53"/>
      <c r="AD34" s="53"/>
      <c r="AE34" s="53"/>
      <c r="AF34" s="48">
        <f t="shared" si="5"/>
        <v>0</v>
      </c>
      <c r="AG34" s="53"/>
      <c r="AH34" s="53"/>
      <c r="AI34" s="53"/>
      <c r="AJ34" s="53"/>
      <c r="AK34" s="53"/>
      <c r="AL34" s="33">
        <f>+AK34*AX34</f>
        <v>0</v>
      </c>
      <c r="AM34" s="53"/>
      <c r="AN34" s="48"/>
      <c r="AO34" s="53"/>
      <c r="AP34" s="53"/>
      <c r="AQ34" s="53"/>
      <c r="AR34" s="48"/>
      <c r="AS34" s="56"/>
      <c r="AT34" s="53"/>
      <c r="AU34" s="56"/>
      <c r="AV34" s="48"/>
      <c r="AW34" s="57">
        <f t="shared" si="3"/>
        <v>2</v>
      </c>
      <c r="AX34" s="33">
        <v>50350</v>
      </c>
      <c r="AY34" s="33">
        <f t="shared" si="4"/>
        <v>100700</v>
      </c>
      <c r="AZ34" s="52"/>
    </row>
    <row r="35" spans="1:52" s="27" customFormat="1" ht="12.75" x14ac:dyDescent="0.2">
      <c r="A35" s="53">
        <v>26</v>
      </c>
      <c r="B35" s="53"/>
      <c r="C35" s="170" t="s">
        <v>147</v>
      </c>
      <c r="D35" s="170" t="s">
        <v>148</v>
      </c>
      <c r="E35" s="171" t="s">
        <v>158</v>
      </c>
      <c r="F35" s="170" t="s">
        <v>52</v>
      </c>
      <c r="G35" s="53"/>
      <c r="H35" s="53"/>
      <c r="I35" s="53"/>
      <c r="J35" s="53"/>
      <c r="K35" s="53"/>
      <c r="L35" s="33">
        <f t="shared" si="0"/>
        <v>0</v>
      </c>
      <c r="M35" s="53"/>
      <c r="N35" s="33">
        <f t="shared" si="1"/>
        <v>0</v>
      </c>
      <c r="O35" s="53"/>
      <c r="P35" s="53"/>
      <c r="Q35" s="53"/>
      <c r="R35" s="53"/>
      <c r="S35" s="55"/>
      <c r="T35" s="48"/>
      <c r="U35" s="53"/>
      <c r="V35" s="53"/>
      <c r="W35" s="53"/>
      <c r="X35" s="48"/>
      <c r="Y35" s="53"/>
      <c r="Z35" s="53"/>
      <c r="AA35" s="53"/>
      <c r="AB35" s="48"/>
      <c r="AC35" s="53"/>
      <c r="AD35" s="53"/>
      <c r="AE35" s="170">
        <v>1</v>
      </c>
      <c r="AF35" s="48">
        <f t="shared" si="5"/>
        <v>8791</v>
      </c>
      <c r="AG35" s="53"/>
      <c r="AH35" s="53"/>
      <c r="AI35" s="53"/>
      <c r="AJ35" s="53"/>
      <c r="AK35" s="53"/>
      <c r="AL35" s="33"/>
      <c r="AM35" s="53"/>
      <c r="AN35" s="48"/>
      <c r="AO35" s="53"/>
      <c r="AP35" s="53"/>
      <c r="AQ35" s="53"/>
      <c r="AR35" s="48"/>
      <c r="AS35" s="56"/>
      <c r="AT35" s="53"/>
      <c r="AU35" s="56"/>
      <c r="AV35" s="48"/>
      <c r="AW35" s="57">
        <f t="shared" si="3"/>
        <v>1</v>
      </c>
      <c r="AX35" s="174">
        <v>8791</v>
      </c>
      <c r="AY35" s="33">
        <f t="shared" si="4"/>
        <v>8791</v>
      </c>
      <c r="AZ35" s="52"/>
    </row>
    <row r="36" spans="1:52" s="27" customFormat="1" ht="12.75" x14ac:dyDescent="0.2">
      <c r="A36" s="53">
        <v>27</v>
      </c>
      <c r="B36" s="53"/>
      <c r="C36" s="53" t="s">
        <v>61</v>
      </c>
      <c r="D36" s="53" t="s">
        <v>86</v>
      </c>
      <c r="E36" s="54" t="s">
        <v>87</v>
      </c>
      <c r="F36" s="53" t="s">
        <v>54</v>
      </c>
      <c r="G36" s="53"/>
      <c r="H36" s="53"/>
      <c r="I36" s="53"/>
      <c r="J36" s="53"/>
      <c r="K36" s="53">
        <v>90</v>
      </c>
      <c r="L36" s="33">
        <f t="shared" si="0"/>
        <v>64260</v>
      </c>
      <c r="M36" s="53"/>
      <c r="N36" s="33">
        <f t="shared" si="1"/>
        <v>0</v>
      </c>
      <c r="O36" s="53"/>
      <c r="P36" s="53"/>
      <c r="Q36" s="53"/>
      <c r="R36" s="53"/>
      <c r="S36" s="55"/>
      <c r="T36" s="48"/>
      <c r="U36" s="53"/>
      <c r="V36" s="53"/>
      <c r="W36" s="53"/>
      <c r="X36" s="48"/>
      <c r="Y36" s="53"/>
      <c r="Z36" s="53"/>
      <c r="AA36" s="53"/>
      <c r="AB36" s="48"/>
      <c r="AC36" s="53"/>
      <c r="AD36" s="53"/>
      <c r="AE36" s="53"/>
      <c r="AF36" s="48">
        <f t="shared" si="5"/>
        <v>0</v>
      </c>
      <c r="AG36" s="53"/>
      <c r="AH36" s="53"/>
      <c r="AI36" s="53"/>
      <c r="AJ36" s="53"/>
      <c r="AK36" s="53"/>
      <c r="AL36" s="33">
        <f>+AK36*AX36</f>
        <v>0</v>
      </c>
      <c r="AM36" s="53"/>
      <c r="AN36" s="48"/>
      <c r="AO36" s="53"/>
      <c r="AP36" s="53"/>
      <c r="AQ36" s="53"/>
      <c r="AR36" s="48"/>
      <c r="AS36" s="56"/>
      <c r="AT36" s="53"/>
      <c r="AU36" s="56"/>
      <c r="AV36" s="48"/>
      <c r="AW36" s="57">
        <f t="shared" si="3"/>
        <v>90</v>
      </c>
      <c r="AX36" s="33">
        <v>714</v>
      </c>
      <c r="AY36" s="33">
        <f t="shared" si="4"/>
        <v>64260</v>
      </c>
      <c r="AZ36" s="52"/>
    </row>
    <row r="37" spans="1:52" s="27" customFormat="1" ht="12.75" x14ac:dyDescent="0.2">
      <c r="A37" s="53">
        <v>28</v>
      </c>
      <c r="B37" s="53"/>
      <c r="C37" s="170" t="s">
        <v>147</v>
      </c>
      <c r="D37" s="170" t="s">
        <v>148</v>
      </c>
      <c r="E37" s="171" t="s">
        <v>159</v>
      </c>
      <c r="F37" s="170" t="s">
        <v>54</v>
      </c>
      <c r="G37" s="53"/>
      <c r="H37" s="53"/>
      <c r="I37" s="53"/>
      <c r="J37" s="53"/>
      <c r="K37" s="53"/>
      <c r="L37" s="48">
        <f t="shared" si="0"/>
        <v>0</v>
      </c>
      <c r="M37" s="53"/>
      <c r="N37" s="33">
        <f t="shared" si="1"/>
        <v>0</v>
      </c>
      <c r="O37" s="53"/>
      <c r="P37" s="53"/>
      <c r="Q37" s="53"/>
      <c r="R37" s="53"/>
      <c r="S37" s="55"/>
      <c r="T37" s="48"/>
      <c r="U37" s="53"/>
      <c r="V37" s="53"/>
      <c r="W37" s="53"/>
      <c r="X37" s="48"/>
      <c r="Y37" s="53"/>
      <c r="Z37" s="53"/>
      <c r="AA37" s="53"/>
      <c r="AB37" s="48"/>
      <c r="AC37" s="53"/>
      <c r="AD37" s="53"/>
      <c r="AE37" s="170">
        <v>1</v>
      </c>
      <c r="AF37" s="48">
        <f t="shared" si="5"/>
        <v>65000</v>
      </c>
      <c r="AG37" s="53"/>
      <c r="AH37" s="53"/>
      <c r="AI37" s="53"/>
      <c r="AJ37" s="53"/>
      <c r="AK37" s="53"/>
      <c r="AL37" s="33"/>
      <c r="AM37" s="53"/>
      <c r="AN37" s="48"/>
      <c r="AO37" s="53"/>
      <c r="AP37" s="53"/>
      <c r="AQ37" s="53"/>
      <c r="AR37" s="48"/>
      <c r="AS37" s="56"/>
      <c r="AT37" s="53"/>
      <c r="AU37" s="56"/>
      <c r="AV37" s="48"/>
      <c r="AW37" s="57">
        <f t="shared" si="3"/>
        <v>1</v>
      </c>
      <c r="AX37" s="174">
        <v>65000</v>
      </c>
      <c r="AY37" s="33">
        <f t="shared" si="4"/>
        <v>65000</v>
      </c>
      <c r="AZ37" s="52"/>
    </row>
    <row r="38" spans="1:52" s="27" customFormat="1" ht="12.75" x14ac:dyDescent="0.2">
      <c r="A38" s="53">
        <v>29</v>
      </c>
      <c r="B38" s="53"/>
      <c r="C38" s="170" t="s">
        <v>147</v>
      </c>
      <c r="D38" s="170" t="s">
        <v>148</v>
      </c>
      <c r="E38" s="171" t="s">
        <v>160</v>
      </c>
      <c r="F38" s="170" t="s">
        <v>54</v>
      </c>
      <c r="G38" s="58"/>
      <c r="H38" s="58"/>
      <c r="I38" s="58"/>
      <c r="J38" s="58"/>
      <c r="K38" s="58"/>
      <c r="L38" s="48">
        <f t="shared" si="0"/>
        <v>0</v>
      </c>
      <c r="M38" s="58"/>
      <c r="N38" s="48">
        <f t="shared" si="1"/>
        <v>0</v>
      </c>
      <c r="O38" s="58"/>
      <c r="P38" s="58"/>
      <c r="Q38" s="58"/>
      <c r="R38" s="58"/>
      <c r="S38" s="61"/>
      <c r="T38" s="59"/>
      <c r="U38" s="58"/>
      <c r="V38" s="58"/>
      <c r="W38" s="58"/>
      <c r="X38" s="59"/>
      <c r="Y38" s="58"/>
      <c r="Z38" s="58"/>
      <c r="AA38" s="58"/>
      <c r="AB38" s="59"/>
      <c r="AC38" s="58"/>
      <c r="AD38" s="58"/>
      <c r="AE38" s="170">
        <v>5</v>
      </c>
      <c r="AF38" s="48">
        <f t="shared" si="5"/>
        <v>18500</v>
      </c>
      <c r="AG38" s="58"/>
      <c r="AH38" s="58"/>
      <c r="AI38" s="58"/>
      <c r="AJ38" s="58"/>
      <c r="AK38" s="58"/>
      <c r="AL38" s="60"/>
      <c r="AM38" s="58"/>
      <c r="AN38" s="59"/>
      <c r="AO38" s="58"/>
      <c r="AP38" s="58"/>
      <c r="AQ38" s="58"/>
      <c r="AR38" s="59"/>
      <c r="AS38" s="62"/>
      <c r="AT38" s="58"/>
      <c r="AU38" s="62"/>
      <c r="AV38" s="59"/>
      <c r="AW38" s="57">
        <f t="shared" si="3"/>
        <v>5</v>
      </c>
      <c r="AX38" s="175">
        <v>3700</v>
      </c>
      <c r="AY38" s="48">
        <f t="shared" si="4"/>
        <v>18500</v>
      </c>
      <c r="AZ38" s="52"/>
    </row>
    <row r="39" spans="1:52" s="27" customFormat="1" ht="12.75" x14ac:dyDescent="0.2">
      <c r="A39" s="53">
        <v>30</v>
      </c>
      <c r="B39" s="53"/>
      <c r="C39" s="53" t="s">
        <v>61</v>
      </c>
      <c r="D39" s="53" t="s">
        <v>75</v>
      </c>
      <c r="E39" s="54" t="s">
        <v>88</v>
      </c>
      <c r="F39" s="53" t="s">
        <v>62</v>
      </c>
      <c r="G39" s="53"/>
      <c r="H39" s="53"/>
      <c r="I39" s="53"/>
      <c r="J39" s="53"/>
      <c r="K39" s="53">
        <v>30</v>
      </c>
      <c r="L39" s="48">
        <f t="shared" si="0"/>
        <v>26700</v>
      </c>
      <c r="M39" s="53"/>
      <c r="N39" s="48">
        <f t="shared" si="1"/>
        <v>0</v>
      </c>
      <c r="O39" s="53"/>
      <c r="P39" s="53"/>
      <c r="Q39" s="53"/>
      <c r="R39" s="53"/>
      <c r="S39" s="55"/>
      <c r="T39" s="48"/>
      <c r="U39" s="53"/>
      <c r="V39" s="53"/>
      <c r="W39" s="53"/>
      <c r="X39" s="48"/>
      <c r="Y39" s="53"/>
      <c r="Z39" s="53"/>
      <c r="AA39" s="53"/>
      <c r="AB39" s="48"/>
      <c r="AC39" s="53"/>
      <c r="AD39" s="53"/>
      <c r="AE39" s="31"/>
      <c r="AF39" s="48">
        <f t="shared" si="5"/>
        <v>0</v>
      </c>
      <c r="AG39" s="53"/>
      <c r="AH39" s="53"/>
      <c r="AI39" s="53"/>
      <c r="AJ39" s="53"/>
      <c r="AK39" s="53"/>
      <c r="AL39" s="48">
        <f>+AK39*AX39</f>
        <v>0</v>
      </c>
      <c r="AM39" s="53"/>
      <c r="AN39" s="48"/>
      <c r="AO39" s="53"/>
      <c r="AP39" s="53"/>
      <c r="AQ39" s="53"/>
      <c r="AR39" s="48"/>
      <c r="AS39" s="56"/>
      <c r="AT39" s="53"/>
      <c r="AU39" s="56"/>
      <c r="AV39" s="48"/>
      <c r="AW39" s="57">
        <f t="shared" si="3"/>
        <v>30</v>
      </c>
      <c r="AX39" s="48">
        <v>890</v>
      </c>
      <c r="AY39" s="48">
        <f t="shared" si="4"/>
        <v>26700</v>
      </c>
      <c r="AZ39" s="169"/>
    </row>
    <row r="40" spans="1:52" s="27" customFormat="1" ht="12.75" x14ac:dyDescent="0.2">
      <c r="A40" s="53">
        <v>31</v>
      </c>
      <c r="B40" s="53"/>
      <c r="C40" s="53" t="s">
        <v>61</v>
      </c>
      <c r="D40" s="53" t="s">
        <v>75</v>
      </c>
      <c r="E40" s="54" t="s">
        <v>68</v>
      </c>
      <c r="F40" s="53" t="s">
        <v>54</v>
      </c>
      <c r="G40" s="53"/>
      <c r="H40" s="53"/>
      <c r="I40" s="53"/>
      <c r="J40" s="53"/>
      <c r="K40" s="53"/>
      <c r="L40" s="48">
        <f t="shared" ref="L40:L57" si="6">+K40*AX40</f>
        <v>0</v>
      </c>
      <c r="M40" s="53">
        <v>20</v>
      </c>
      <c r="N40" s="48">
        <f t="shared" ref="N40:N57" si="7">+M40*AX40</f>
        <v>24400</v>
      </c>
      <c r="O40" s="53"/>
      <c r="P40" s="53"/>
      <c r="Q40" s="53"/>
      <c r="R40" s="53"/>
      <c r="S40" s="55"/>
      <c r="T40" s="48"/>
      <c r="U40" s="53"/>
      <c r="V40" s="53"/>
      <c r="W40" s="53"/>
      <c r="X40" s="48"/>
      <c r="Y40" s="53"/>
      <c r="Z40" s="53"/>
      <c r="AA40" s="53"/>
      <c r="AB40" s="48"/>
      <c r="AC40" s="53"/>
      <c r="AD40" s="53"/>
      <c r="AE40" s="53"/>
      <c r="AF40" s="48">
        <f t="shared" si="5"/>
        <v>0</v>
      </c>
      <c r="AG40" s="53"/>
      <c r="AH40" s="53"/>
      <c r="AI40" s="53"/>
      <c r="AJ40" s="53"/>
      <c r="AK40" s="53"/>
      <c r="AL40" s="48">
        <f>+AK40*AX40</f>
        <v>0</v>
      </c>
      <c r="AM40" s="53"/>
      <c r="AN40" s="48"/>
      <c r="AO40" s="53"/>
      <c r="AP40" s="53"/>
      <c r="AQ40" s="53"/>
      <c r="AR40" s="48"/>
      <c r="AS40" s="56"/>
      <c r="AT40" s="53"/>
      <c r="AU40" s="56"/>
      <c r="AV40" s="48"/>
      <c r="AW40" s="57">
        <f t="shared" ref="AW40:AW57" si="8">+AQ40+AO40+AM40+AK40+AI40+AG40+AE40+AC40+AA40+Y40+W40+U40+S40+Q40+O40+M40+K40+I40+AS40+G40+AU40</f>
        <v>20</v>
      </c>
      <c r="AX40" s="48">
        <v>1220</v>
      </c>
      <c r="AY40" s="48">
        <f t="shared" ref="AY40:AY57" si="9">+AW40*AX40</f>
        <v>24400</v>
      </c>
      <c r="AZ40" s="169"/>
    </row>
    <row r="41" spans="1:52" s="27" customFormat="1" ht="12.75" x14ac:dyDescent="0.2">
      <c r="A41" s="53">
        <v>32</v>
      </c>
      <c r="B41" s="53"/>
      <c r="C41" s="170" t="s">
        <v>147</v>
      </c>
      <c r="D41" s="170" t="s">
        <v>148</v>
      </c>
      <c r="E41" s="171" t="s">
        <v>167</v>
      </c>
      <c r="F41" s="170" t="s">
        <v>54</v>
      </c>
      <c r="G41" s="53"/>
      <c r="H41" s="53"/>
      <c r="I41" s="53"/>
      <c r="J41" s="53"/>
      <c r="K41" s="53"/>
      <c r="L41" s="48">
        <f t="shared" si="6"/>
        <v>0</v>
      </c>
      <c r="M41" s="53"/>
      <c r="N41" s="48">
        <f t="shared" si="7"/>
        <v>0</v>
      </c>
      <c r="O41" s="53"/>
      <c r="P41" s="53"/>
      <c r="Q41" s="53"/>
      <c r="R41" s="53"/>
      <c r="S41" s="55"/>
      <c r="T41" s="48"/>
      <c r="U41" s="53"/>
      <c r="V41" s="53"/>
      <c r="W41" s="53"/>
      <c r="X41" s="48"/>
      <c r="Y41" s="53"/>
      <c r="Z41" s="53"/>
      <c r="AA41" s="53"/>
      <c r="AB41" s="48"/>
      <c r="AC41" s="53"/>
      <c r="AD41" s="53"/>
      <c r="AE41" s="170">
        <v>400</v>
      </c>
      <c r="AF41" s="48">
        <f t="shared" si="5"/>
        <v>12800</v>
      </c>
      <c r="AG41" s="53"/>
      <c r="AH41" s="53"/>
      <c r="AI41" s="53"/>
      <c r="AJ41" s="53"/>
      <c r="AK41" s="53"/>
      <c r="AL41" s="48"/>
      <c r="AM41" s="53"/>
      <c r="AN41" s="48"/>
      <c r="AO41" s="53"/>
      <c r="AP41" s="53"/>
      <c r="AQ41" s="53"/>
      <c r="AR41" s="48"/>
      <c r="AS41" s="56"/>
      <c r="AT41" s="53"/>
      <c r="AU41" s="56"/>
      <c r="AV41" s="48"/>
      <c r="AW41" s="57">
        <f t="shared" si="8"/>
        <v>400</v>
      </c>
      <c r="AX41" s="175">
        <v>32</v>
      </c>
      <c r="AY41" s="48">
        <f t="shared" si="9"/>
        <v>12800</v>
      </c>
      <c r="AZ41" s="169"/>
    </row>
    <row r="42" spans="1:52" s="27" customFormat="1" ht="12.75" x14ac:dyDescent="0.2">
      <c r="A42" s="53">
        <v>33</v>
      </c>
      <c r="B42" s="53"/>
      <c r="C42" s="170" t="s">
        <v>147</v>
      </c>
      <c r="D42" s="170" t="s">
        <v>148</v>
      </c>
      <c r="E42" s="171" t="s">
        <v>161</v>
      </c>
      <c r="F42" s="170" t="s">
        <v>54</v>
      </c>
      <c r="G42" s="53"/>
      <c r="H42" s="53"/>
      <c r="I42" s="53"/>
      <c r="J42" s="53"/>
      <c r="K42" s="53"/>
      <c r="L42" s="48">
        <f t="shared" si="6"/>
        <v>0</v>
      </c>
      <c r="M42" s="53"/>
      <c r="N42" s="48">
        <f t="shared" si="7"/>
        <v>0</v>
      </c>
      <c r="O42" s="53"/>
      <c r="P42" s="53"/>
      <c r="Q42" s="53"/>
      <c r="R42" s="53"/>
      <c r="S42" s="55"/>
      <c r="T42" s="48"/>
      <c r="U42" s="53"/>
      <c r="V42" s="53"/>
      <c r="W42" s="53"/>
      <c r="X42" s="48"/>
      <c r="Y42" s="53"/>
      <c r="Z42" s="53"/>
      <c r="AA42" s="53"/>
      <c r="AB42" s="48"/>
      <c r="AC42" s="53"/>
      <c r="AD42" s="53"/>
      <c r="AE42" s="170">
        <v>300</v>
      </c>
      <c r="AF42" s="48">
        <f t="shared" si="5"/>
        <v>10245</v>
      </c>
      <c r="AG42" s="53"/>
      <c r="AH42" s="53"/>
      <c r="AI42" s="53"/>
      <c r="AJ42" s="53"/>
      <c r="AK42" s="53"/>
      <c r="AL42" s="48"/>
      <c r="AM42" s="53"/>
      <c r="AN42" s="48"/>
      <c r="AO42" s="53"/>
      <c r="AP42" s="53"/>
      <c r="AQ42" s="53"/>
      <c r="AR42" s="48"/>
      <c r="AS42" s="56"/>
      <c r="AT42" s="53"/>
      <c r="AU42" s="56"/>
      <c r="AV42" s="48"/>
      <c r="AW42" s="57">
        <f t="shared" si="8"/>
        <v>300</v>
      </c>
      <c r="AX42" s="175">
        <v>34.15</v>
      </c>
      <c r="AY42" s="48">
        <f t="shared" si="9"/>
        <v>10245</v>
      </c>
      <c r="AZ42" s="169"/>
    </row>
    <row r="43" spans="1:52" s="27" customFormat="1" ht="12.75" x14ac:dyDescent="0.2">
      <c r="A43" s="53">
        <v>34</v>
      </c>
      <c r="B43" s="53"/>
      <c r="C43" s="170" t="s">
        <v>147</v>
      </c>
      <c r="D43" s="170" t="s">
        <v>148</v>
      </c>
      <c r="E43" s="171" t="s">
        <v>162</v>
      </c>
      <c r="F43" s="170" t="s">
        <v>54</v>
      </c>
      <c r="G43" s="53"/>
      <c r="H43" s="53"/>
      <c r="I43" s="53"/>
      <c r="J43" s="53"/>
      <c r="K43" s="53"/>
      <c r="L43" s="48">
        <f t="shared" si="6"/>
        <v>0</v>
      </c>
      <c r="M43" s="53"/>
      <c r="N43" s="48">
        <f t="shared" si="7"/>
        <v>0</v>
      </c>
      <c r="O43" s="53"/>
      <c r="P43" s="53"/>
      <c r="Q43" s="53"/>
      <c r="R43" s="53"/>
      <c r="S43" s="55"/>
      <c r="T43" s="48"/>
      <c r="U43" s="53"/>
      <c r="V43" s="53"/>
      <c r="W43" s="53"/>
      <c r="X43" s="48"/>
      <c r="Y43" s="53"/>
      <c r="Z43" s="53"/>
      <c r="AA43" s="53"/>
      <c r="AB43" s="48"/>
      <c r="AC43" s="53"/>
      <c r="AD43" s="53"/>
      <c r="AE43" s="170">
        <v>2</v>
      </c>
      <c r="AF43" s="48">
        <f t="shared" si="5"/>
        <v>44000</v>
      </c>
      <c r="AG43" s="53"/>
      <c r="AH43" s="53"/>
      <c r="AI43" s="53"/>
      <c r="AJ43" s="53"/>
      <c r="AK43" s="53"/>
      <c r="AL43" s="48"/>
      <c r="AM43" s="53"/>
      <c r="AN43" s="48"/>
      <c r="AO43" s="53"/>
      <c r="AP43" s="53"/>
      <c r="AQ43" s="53"/>
      <c r="AR43" s="48"/>
      <c r="AS43" s="56"/>
      <c r="AT43" s="53"/>
      <c r="AU43" s="56"/>
      <c r="AV43" s="48"/>
      <c r="AW43" s="57">
        <f t="shared" si="8"/>
        <v>2</v>
      </c>
      <c r="AX43" s="175">
        <v>22000</v>
      </c>
      <c r="AY43" s="48">
        <f t="shared" si="9"/>
        <v>44000</v>
      </c>
      <c r="AZ43" s="169"/>
    </row>
    <row r="44" spans="1:52" s="27" customFormat="1" ht="12.75" x14ac:dyDescent="0.2">
      <c r="A44" s="53">
        <v>35</v>
      </c>
      <c r="B44" s="53"/>
      <c r="C44" s="53" t="s">
        <v>61</v>
      </c>
      <c r="D44" s="53" t="s">
        <v>75</v>
      </c>
      <c r="E44" s="54" t="s">
        <v>89</v>
      </c>
      <c r="F44" s="53" t="s">
        <v>54</v>
      </c>
      <c r="G44" s="53"/>
      <c r="H44" s="53"/>
      <c r="I44" s="53"/>
      <c r="J44" s="53"/>
      <c r="K44" s="53">
        <v>20</v>
      </c>
      <c r="L44" s="48">
        <f t="shared" si="6"/>
        <v>35620</v>
      </c>
      <c r="M44" s="53"/>
      <c r="N44" s="48">
        <f t="shared" si="7"/>
        <v>0</v>
      </c>
      <c r="O44" s="53"/>
      <c r="P44" s="53"/>
      <c r="Q44" s="53"/>
      <c r="R44" s="53"/>
      <c r="S44" s="55"/>
      <c r="T44" s="48"/>
      <c r="U44" s="53"/>
      <c r="V44" s="53"/>
      <c r="W44" s="53"/>
      <c r="X44" s="48"/>
      <c r="Y44" s="53"/>
      <c r="Z44" s="53"/>
      <c r="AA44" s="53"/>
      <c r="AB44" s="48"/>
      <c r="AC44" s="53"/>
      <c r="AD44" s="53"/>
      <c r="AE44" s="53"/>
      <c r="AF44" s="48">
        <f t="shared" si="5"/>
        <v>0</v>
      </c>
      <c r="AG44" s="53"/>
      <c r="AH44" s="53"/>
      <c r="AI44" s="53"/>
      <c r="AJ44" s="53"/>
      <c r="AK44" s="53"/>
      <c r="AL44" s="48"/>
      <c r="AM44" s="53"/>
      <c r="AN44" s="48"/>
      <c r="AO44" s="53"/>
      <c r="AP44" s="53"/>
      <c r="AQ44" s="53"/>
      <c r="AR44" s="48"/>
      <c r="AS44" s="56"/>
      <c r="AT44" s="53"/>
      <c r="AU44" s="56"/>
      <c r="AV44" s="48"/>
      <c r="AW44" s="57">
        <f t="shared" si="8"/>
        <v>20</v>
      </c>
      <c r="AX44" s="48">
        <v>1781</v>
      </c>
      <c r="AY44" s="48">
        <f t="shared" si="9"/>
        <v>35620</v>
      </c>
      <c r="AZ44" s="169"/>
    </row>
    <row r="45" spans="1:52" s="27" customFormat="1" ht="12.75" x14ac:dyDescent="0.2">
      <c r="A45" s="53">
        <v>36</v>
      </c>
      <c r="B45" s="53"/>
      <c r="C45" s="53" t="s">
        <v>61</v>
      </c>
      <c r="D45" s="53" t="s">
        <v>75</v>
      </c>
      <c r="E45" s="54" t="s">
        <v>69</v>
      </c>
      <c r="F45" s="53" t="s">
        <v>60</v>
      </c>
      <c r="G45" s="53"/>
      <c r="H45" s="53"/>
      <c r="I45" s="53"/>
      <c r="J45" s="53"/>
      <c r="K45" s="53"/>
      <c r="L45" s="48">
        <f t="shared" si="6"/>
        <v>0</v>
      </c>
      <c r="M45" s="53">
        <v>5</v>
      </c>
      <c r="N45" s="48">
        <f t="shared" si="7"/>
        <v>14325</v>
      </c>
      <c r="O45" s="53"/>
      <c r="P45" s="53"/>
      <c r="Q45" s="53"/>
      <c r="R45" s="53"/>
      <c r="S45" s="55"/>
      <c r="T45" s="48"/>
      <c r="U45" s="53"/>
      <c r="V45" s="53"/>
      <c r="W45" s="53"/>
      <c r="X45" s="48"/>
      <c r="Y45" s="53"/>
      <c r="Z45" s="53"/>
      <c r="AA45" s="53"/>
      <c r="AB45" s="48"/>
      <c r="AC45" s="53"/>
      <c r="AD45" s="53"/>
      <c r="AE45" s="53"/>
      <c r="AF45" s="48">
        <f t="shared" si="5"/>
        <v>0</v>
      </c>
      <c r="AG45" s="53"/>
      <c r="AH45" s="53"/>
      <c r="AI45" s="53"/>
      <c r="AJ45" s="53"/>
      <c r="AK45" s="53"/>
      <c r="AL45" s="48"/>
      <c r="AM45" s="53"/>
      <c r="AN45" s="48"/>
      <c r="AO45" s="53"/>
      <c r="AP45" s="53"/>
      <c r="AQ45" s="53"/>
      <c r="AR45" s="48"/>
      <c r="AS45" s="56"/>
      <c r="AT45" s="53"/>
      <c r="AU45" s="56"/>
      <c r="AV45" s="48"/>
      <c r="AW45" s="57">
        <f t="shared" si="8"/>
        <v>5</v>
      </c>
      <c r="AX45" s="48">
        <v>2865</v>
      </c>
      <c r="AY45" s="48">
        <f t="shared" si="9"/>
        <v>14325</v>
      </c>
      <c r="AZ45" s="169"/>
    </row>
    <row r="46" spans="1:52" s="27" customFormat="1" ht="12.75" x14ac:dyDescent="0.2">
      <c r="A46" s="53">
        <v>37</v>
      </c>
      <c r="B46" s="53"/>
      <c r="C46" s="53" t="s">
        <v>61</v>
      </c>
      <c r="D46" s="53" t="s">
        <v>75</v>
      </c>
      <c r="E46" s="54" t="s">
        <v>185</v>
      </c>
      <c r="F46" s="53" t="s">
        <v>60</v>
      </c>
      <c r="G46" s="53"/>
      <c r="H46" s="53"/>
      <c r="I46" s="53"/>
      <c r="J46" s="53"/>
      <c r="K46" s="53"/>
      <c r="L46" s="48">
        <f t="shared" si="6"/>
        <v>0</v>
      </c>
      <c r="M46" s="53">
        <v>2</v>
      </c>
      <c r="N46" s="48">
        <f t="shared" si="7"/>
        <v>3080</v>
      </c>
      <c r="O46" s="53"/>
      <c r="P46" s="53"/>
      <c r="Q46" s="53"/>
      <c r="R46" s="53"/>
      <c r="S46" s="55"/>
      <c r="T46" s="48"/>
      <c r="U46" s="53"/>
      <c r="V46" s="53"/>
      <c r="W46" s="53"/>
      <c r="X46" s="48"/>
      <c r="Y46" s="53"/>
      <c r="Z46" s="53"/>
      <c r="AA46" s="53"/>
      <c r="AB46" s="48"/>
      <c r="AC46" s="53"/>
      <c r="AD46" s="53"/>
      <c r="AE46" s="53"/>
      <c r="AF46" s="48">
        <f t="shared" si="5"/>
        <v>0</v>
      </c>
      <c r="AG46" s="53"/>
      <c r="AH46" s="53"/>
      <c r="AI46" s="53"/>
      <c r="AJ46" s="53"/>
      <c r="AK46" s="53"/>
      <c r="AL46" s="48"/>
      <c r="AM46" s="53"/>
      <c r="AN46" s="48"/>
      <c r="AO46" s="53"/>
      <c r="AP46" s="53"/>
      <c r="AQ46" s="53"/>
      <c r="AR46" s="48"/>
      <c r="AS46" s="56"/>
      <c r="AT46" s="53"/>
      <c r="AU46" s="56"/>
      <c r="AV46" s="48"/>
      <c r="AW46" s="57">
        <f t="shared" si="8"/>
        <v>2</v>
      </c>
      <c r="AX46" s="48">
        <v>1540</v>
      </c>
      <c r="AY46" s="48">
        <f t="shared" si="9"/>
        <v>3080</v>
      </c>
      <c r="AZ46" s="169"/>
    </row>
    <row r="47" spans="1:52" s="27" customFormat="1" ht="12.75" x14ac:dyDescent="0.2">
      <c r="A47" s="53">
        <v>38</v>
      </c>
      <c r="B47" s="53"/>
      <c r="C47" s="53" t="s">
        <v>61</v>
      </c>
      <c r="D47" s="53" t="s">
        <v>75</v>
      </c>
      <c r="E47" s="54" t="s">
        <v>186</v>
      </c>
      <c r="F47" s="53" t="s">
        <v>60</v>
      </c>
      <c r="G47" s="53"/>
      <c r="H47" s="53"/>
      <c r="I47" s="53"/>
      <c r="J47" s="53"/>
      <c r="K47" s="53"/>
      <c r="L47" s="48">
        <f t="shared" si="6"/>
        <v>0</v>
      </c>
      <c r="M47" s="53">
        <v>2</v>
      </c>
      <c r="N47" s="48">
        <f t="shared" si="7"/>
        <v>3080</v>
      </c>
      <c r="O47" s="53"/>
      <c r="P47" s="53"/>
      <c r="Q47" s="53"/>
      <c r="R47" s="53"/>
      <c r="S47" s="55"/>
      <c r="T47" s="48"/>
      <c r="U47" s="53"/>
      <c r="V47" s="53"/>
      <c r="W47" s="53"/>
      <c r="X47" s="48"/>
      <c r="Y47" s="53"/>
      <c r="Z47" s="53"/>
      <c r="AA47" s="53"/>
      <c r="AB47" s="48"/>
      <c r="AC47" s="53"/>
      <c r="AD47" s="53"/>
      <c r="AE47" s="53"/>
      <c r="AF47" s="48">
        <f t="shared" si="5"/>
        <v>0</v>
      </c>
      <c r="AG47" s="53"/>
      <c r="AH47" s="53"/>
      <c r="AI47" s="53"/>
      <c r="AJ47" s="53"/>
      <c r="AK47" s="53"/>
      <c r="AL47" s="48"/>
      <c r="AM47" s="53"/>
      <c r="AN47" s="48"/>
      <c r="AO47" s="53"/>
      <c r="AP47" s="53"/>
      <c r="AQ47" s="53"/>
      <c r="AR47" s="48"/>
      <c r="AS47" s="56"/>
      <c r="AT47" s="53"/>
      <c r="AU47" s="56"/>
      <c r="AV47" s="48"/>
      <c r="AW47" s="57">
        <f t="shared" si="8"/>
        <v>2</v>
      </c>
      <c r="AX47" s="48">
        <v>1540</v>
      </c>
      <c r="AY47" s="48">
        <f t="shared" si="9"/>
        <v>3080</v>
      </c>
      <c r="AZ47" s="169"/>
    </row>
    <row r="48" spans="1:52" s="27" customFormat="1" ht="12.75" x14ac:dyDescent="0.2">
      <c r="A48" s="53">
        <v>39</v>
      </c>
      <c r="B48" s="53"/>
      <c r="C48" s="170" t="s">
        <v>147</v>
      </c>
      <c r="D48" s="170" t="s">
        <v>148</v>
      </c>
      <c r="E48" s="171" t="s">
        <v>163</v>
      </c>
      <c r="F48" s="170" t="s">
        <v>52</v>
      </c>
      <c r="G48" s="53"/>
      <c r="H48" s="53"/>
      <c r="I48" s="53"/>
      <c r="J48" s="53"/>
      <c r="K48" s="53"/>
      <c r="L48" s="48">
        <f t="shared" si="6"/>
        <v>0</v>
      </c>
      <c r="M48" s="53"/>
      <c r="N48" s="48">
        <f t="shared" si="7"/>
        <v>0</v>
      </c>
      <c r="O48" s="53"/>
      <c r="P48" s="53"/>
      <c r="Q48" s="53"/>
      <c r="R48" s="53"/>
      <c r="S48" s="55"/>
      <c r="T48" s="48"/>
      <c r="U48" s="53"/>
      <c r="V48" s="53"/>
      <c r="W48" s="53"/>
      <c r="X48" s="48"/>
      <c r="Y48" s="53"/>
      <c r="Z48" s="53"/>
      <c r="AA48" s="53"/>
      <c r="AB48" s="48"/>
      <c r="AC48" s="53"/>
      <c r="AD48" s="53"/>
      <c r="AE48" s="170">
        <v>2</v>
      </c>
      <c r="AF48" s="48">
        <f t="shared" si="5"/>
        <v>2460</v>
      </c>
      <c r="AG48" s="53"/>
      <c r="AH48" s="53"/>
      <c r="AI48" s="53"/>
      <c r="AJ48" s="53"/>
      <c r="AK48" s="53"/>
      <c r="AL48" s="48"/>
      <c r="AM48" s="53"/>
      <c r="AN48" s="48"/>
      <c r="AO48" s="53"/>
      <c r="AP48" s="53"/>
      <c r="AQ48" s="53"/>
      <c r="AR48" s="48"/>
      <c r="AS48" s="56"/>
      <c r="AT48" s="53"/>
      <c r="AU48" s="56"/>
      <c r="AV48" s="48"/>
      <c r="AW48" s="57">
        <f t="shared" si="8"/>
        <v>2</v>
      </c>
      <c r="AX48" s="175">
        <v>1230</v>
      </c>
      <c r="AY48" s="48">
        <f t="shared" si="9"/>
        <v>2460</v>
      </c>
      <c r="AZ48" s="169"/>
    </row>
    <row r="49" spans="1:52" s="27" customFormat="1" ht="12.75" x14ac:dyDescent="0.2">
      <c r="A49" s="53">
        <v>40</v>
      </c>
      <c r="B49" s="53"/>
      <c r="C49" s="53" t="s">
        <v>61</v>
      </c>
      <c r="D49" s="53" t="s">
        <v>75</v>
      </c>
      <c r="E49" s="54" t="s">
        <v>70</v>
      </c>
      <c r="F49" s="53" t="s">
        <v>60</v>
      </c>
      <c r="G49" s="53"/>
      <c r="H49" s="53"/>
      <c r="I49" s="53"/>
      <c r="J49" s="53"/>
      <c r="K49" s="53"/>
      <c r="L49" s="48">
        <f t="shared" si="6"/>
        <v>0</v>
      </c>
      <c r="M49" s="53">
        <v>2</v>
      </c>
      <c r="N49" s="48">
        <f t="shared" si="7"/>
        <v>4408</v>
      </c>
      <c r="O49" s="53"/>
      <c r="P49" s="53"/>
      <c r="Q49" s="53"/>
      <c r="R49" s="53"/>
      <c r="S49" s="55"/>
      <c r="T49" s="48"/>
      <c r="U49" s="53"/>
      <c r="V49" s="53"/>
      <c r="W49" s="53"/>
      <c r="X49" s="48"/>
      <c r="Y49" s="53"/>
      <c r="Z49" s="53"/>
      <c r="AA49" s="53"/>
      <c r="AB49" s="48"/>
      <c r="AC49" s="53"/>
      <c r="AD49" s="53"/>
      <c r="AE49" s="53"/>
      <c r="AF49" s="48">
        <f t="shared" si="5"/>
        <v>0</v>
      </c>
      <c r="AG49" s="53"/>
      <c r="AH49" s="53"/>
      <c r="AI49" s="53"/>
      <c r="AJ49" s="53"/>
      <c r="AK49" s="53"/>
      <c r="AL49" s="48">
        <f>+AK49*AX49</f>
        <v>0</v>
      </c>
      <c r="AM49" s="53"/>
      <c r="AN49" s="48"/>
      <c r="AO49" s="53"/>
      <c r="AP49" s="53"/>
      <c r="AQ49" s="53"/>
      <c r="AR49" s="48"/>
      <c r="AS49" s="56"/>
      <c r="AT49" s="53"/>
      <c r="AU49" s="56"/>
      <c r="AV49" s="48"/>
      <c r="AW49" s="57">
        <f t="shared" si="8"/>
        <v>2</v>
      </c>
      <c r="AX49" s="48">
        <v>2204</v>
      </c>
      <c r="AY49" s="48">
        <f t="shared" si="9"/>
        <v>4408</v>
      </c>
      <c r="AZ49" s="169"/>
    </row>
    <row r="50" spans="1:52" s="27" customFormat="1" ht="12.75" x14ac:dyDescent="0.2">
      <c r="A50" s="53">
        <v>41</v>
      </c>
      <c r="B50" s="53"/>
      <c r="C50" s="53" t="s">
        <v>61</v>
      </c>
      <c r="D50" s="53" t="s">
        <v>177</v>
      </c>
      <c r="E50" s="54" t="s">
        <v>178</v>
      </c>
      <c r="F50" s="53" t="s">
        <v>179</v>
      </c>
      <c r="G50" s="53"/>
      <c r="H50" s="53"/>
      <c r="I50" s="53"/>
      <c r="J50" s="53"/>
      <c r="K50" s="53">
        <v>10</v>
      </c>
      <c r="L50" s="48">
        <f t="shared" si="6"/>
        <v>436570</v>
      </c>
      <c r="M50" s="53"/>
      <c r="N50" s="33">
        <f t="shared" si="7"/>
        <v>0</v>
      </c>
      <c r="O50" s="53"/>
      <c r="P50" s="53"/>
      <c r="Q50" s="53"/>
      <c r="R50" s="53"/>
      <c r="S50" s="55"/>
      <c r="T50" s="48"/>
      <c r="U50" s="53"/>
      <c r="V50" s="53"/>
      <c r="W50" s="53"/>
      <c r="X50" s="48"/>
      <c r="Y50" s="53"/>
      <c r="Z50" s="53"/>
      <c r="AA50" s="53"/>
      <c r="AB50" s="48"/>
      <c r="AC50" s="53"/>
      <c r="AD50" s="53"/>
      <c r="AE50" s="53"/>
      <c r="AF50" s="48">
        <f t="shared" si="5"/>
        <v>0</v>
      </c>
      <c r="AG50" s="53"/>
      <c r="AH50" s="48">
        <f t="shared" ref="AH50" si="10">+AG50*AX50</f>
        <v>0</v>
      </c>
      <c r="AI50" s="53"/>
      <c r="AJ50" s="53"/>
      <c r="AK50" s="53"/>
      <c r="AL50" s="48">
        <f t="shared" ref="AL50" si="11">+AK50*AX50</f>
        <v>0</v>
      </c>
      <c r="AM50" s="53"/>
      <c r="AN50" s="48"/>
      <c r="AO50" s="53"/>
      <c r="AP50" s="53"/>
      <c r="AQ50" s="53"/>
      <c r="AR50" s="48"/>
      <c r="AS50" s="56"/>
      <c r="AT50" s="53"/>
      <c r="AU50" s="56"/>
      <c r="AV50" s="48"/>
      <c r="AW50" s="51">
        <f t="shared" si="8"/>
        <v>10</v>
      </c>
      <c r="AX50" s="48">
        <v>43657</v>
      </c>
      <c r="AY50" s="48">
        <f t="shared" si="9"/>
        <v>436570</v>
      </c>
      <c r="AZ50" s="169"/>
    </row>
    <row r="51" spans="1:52" s="27" customFormat="1" ht="12.75" x14ac:dyDescent="0.2">
      <c r="A51" s="53">
        <v>42</v>
      </c>
      <c r="B51" s="53"/>
      <c r="C51" s="170" t="s">
        <v>147</v>
      </c>
      <c r="D51" s="170" t="s">
        <v>148</v>
      </c>
      <c r="E51" s="171" t="s">
        <v>164</v>
      </c>
      <c r="F51" s="170" t="s">
        <v>54</v>
      </c>
      <c r="G51" s="53"/>
      <c r="H51" s="53"/>
      <c r="I51" s="53"/>
      <c r="J51" s="53"/>
      <c r="K51" s="53"/>
      <c r="L51" s="48">
        <f t="shared" si="6"/>
        <v>0</v>
      </c>
      <c r="M51" s="53"/>
      <c r="N51" s="48">
        <f t="shared" si="7"/>
        <v>0</v>
      </c>
      <c r="O51" s="53"/>
      <c r="P51" s="53"/>
      <c r="Q51" s="53"/>
      <c r="R51" s="53"/>
      <c r="S51" s="55"/>
      <c r="T51" s="48"/>
      <c r="U51" s="53"/>
      <c r="V51" s="53"/>
      <c r="W51" s="53"/>
      <c r="X51" s="48"/>
      <c r="Y51" s="53"/>
      <c r="Z51" s="53"/>
      <c r="AA51" s="53"/>
      <c r="AB51" s="48"/>
      <c r="AC51" s="53"/>
      <c r="AD51" s="53"/>
      <c r="AE51" s="170">
        <v>300</v>
      </c>
      <c r="AF51" s="48">
        <f t="shared" si="5"/>
        <v>11400</v>
      </c>
      <c r="AG51" s="53"/>
      <c r="AH51" s="53"/>
      <c r="AI51" s="53"/>
      <c r="AJ51" s="53"/>
      <c r="AK51" s="53"/>
      <c r="AL51" s="48"/>
      <c r="AM51" s="53"/>
      <c r="AN51" s="48"/>
      <c r="AO51" s="53"/>
      <c r="AP51" s="53"/>
      <c r="AQ51" s="53"/>
      <c r="AR51" s="48"/>
      <c r="AS51" s="56"/>
      <c r="AT51" s="53"/>
      <c r="AU51" s="56"/>
      <c r="AV51" s="48"/>
      <c r="AW51" s="57">
        <f t="shared" si="8"/>
        <v>300</v>
      </c>
      <c r="AX51" s="175">
        <v>38</v>
      </c>
      <c r="AY51" s="48">
        <f t="shared" si="9"/>
        <v>11400</v>
      </c>
      <c r="AZ51" s="169"/>
    </row>
    <row r="52" spans="1:52" s="27" customFormat="1" ht="12.75" x14ac:dyDescent="0.2">
      <c r="A52" s="53">
        <v>43</v>
      </c>
      <c r="B52" s="53"/>
      <c r="C52" s="53" t="s">
        <v>61</v>
      </c>
      <c r="D52" s="53" t="s">
        <v>75</v>
      </c>
      <c r="E52" s="54" t="s">
        <v>90</v>
      </c>
      <c r="F52" s="53" t="s">
        <v>54</v>
      </c>
      <c r="G52" s="53"/>
      <c r="H52" s="53"/>
      <c r="I52" s="53"/>
      <c r="J52" s="53"/>
      <c r="K52" s="53">
        <v>5000</v>
      </c>
      <c r="L52" s="48">
        <f t="shared" si="6"/>
        <v>135000</v>
      </c>
      <c r="M52" s="53"/>
      <c r="N52" s="48">
        <f t="shared" si="7"/>
        <v>0</v>
      </c>
      <c r="O52" s="53"/>
      <c r="P52" s="53"/>
      <c r="Q52" s="53"/>
      <c r="R52" s="53"/>
      <c r="S52" s="55"/>
      <c r="T52" s="48"/>
      <c r="U52" s="53"/>
      <c r="V52" s="53"/>
      <c r="W52" s="53"/>
      <c r="X52" s="48"/>
      <c r="Y52" s="53"/>
      <c r="Z52" s="53"/>
      <c r="AA52" s="53"/>
      <c r="AB52" s="48"/>
      <c r="AC52" s="53"/>
      <c r="AD52" s="53"/>
      <c r="AE52" s="53"/>
      <c r="AF52" s="48">
        <f t="shared" si="5"/>
        <v>0</v>
      </c>
      <c r="AG52" s="53"/>
      <c r="AH52" s="53"/>
      <c r="AI52" s="53"/>
      <c r="AJ52" s="53"/>
      <c r="AK52" s="53"/>
      <c r="AL52" s="48">
        <f t="shared" ref="AL52:AL57" si="12">+AK52*AX52</f>
        <v>0</v>
      </c>
      <c r="AM52" s="53"/>
      <c r="AN52" s="48"/>
      <c r="AO52" s="53"/>
      <c r="AP52" s="53"/>
      <c r="AQ52" s="53"/>
      <c r="AR52" s="48"/>
      <c r="AS52" s="56"/>
      <c r="AT52" s="53"/>
      <c r="AU52" s="56"/>
      <c r="AV52" s="48"/>
      <c r="AW52" s="57">
        <f t="shared" si="8"/>
        <v>5000</v>
      </c>
      <c r="AX52" s="48">
        <v>27</v>
      </c>
      <c r="AY52" s="48">
        <f t="shared" si="9"/>
        <v>135000</v>
      </c>
      <c r="AZ52" s="169"/>
    </row>
    <row r="53" spans="1:52" s="27" customFormat="1" ht="25.5" x14ac:dyDescent="0.2">
      <c r="A53" s="53">
        <v>44</v>
      </c>
      <c r="B53" s="53"/>
      <c r="C53" s="53" t="s">
        <v>61</v>
      </c>
      <c r="D53" s="53" t="s">
        <v>75</v>
      </c>
      <c r="E53" s="54" t="s">
        <v>91</v>
      </c>
      <c r="F53" s="53" t="s">
        <v>60</v>
      </c>
      <c r="G53" s="53"/>
      <c r="H53" s="53"/>
      <c r="I53" s="53"/>
      <c r="J53" s="53"/>
      <c r="K53" s="53"/>
      <c r="L53" s="48">
        <f t="shared" si="6"/>
        <v>0</v>
      </c>
      <c r="M53" s="53">
        <v>10</v>
      </c>
      <c r="N53" s="48">
        <f t="shared" si="7"/>
        <v>53530</v>
      </c>
      <c r="O53" s="53"/>
      <c r="P53" s="53"/>
      <c r="Q53" s="53"/>
      <c r="R53" s="53"/>
      <c r="S53" s="55"/>
      <c r="T53" s="48"/>
      <c r="U53" s="53"/>
      <c r="V53" s="53"/>
      <c r="W53" s="53"/>
      <c r="X53" s="48"/>
      <c r="Y53" s="53"/>
      <c r="Z53" s="53"/>
      <c r="AA53" s="53"/>
      <c r="AB53" s="48"/>
      <c r="AC53" s="53"/>
      <c r="AD53" s="53"/>
      <c r="AE53" s="53"/>
      <c r="AF53" s="48">
        <f t="shared" si="5"/>
        <v>0</v>
      </c>
      <c r="AG53" s="53"/>
      <c r="AH53" s="53"/>
      <c r="AI53" s="53"/>
      <c r="AJ53" s="53"/>
      <c r="AK53" s="53"/>
      <c r="AL53" s="48">
        <f t="shared" si="12"/>
        <v>0</v>
      </c>
      <c r="AM53" s="53"/>
      <c r="AN53" s="48"/>
      <c r="AO53" s="53"/>
      <c r="AP53" s="53"/>
      <c r="AQ53" s="53"/>
      <c r="AR53" s="48"/>
      <c r="AS53" s="56"/>
      <c r="AT53" s="53"/>
      <c r="AU53" s="56"/>
      <c r="AV53" s="48"/>
      <c r="AW53" s="57">
        <f t="shared" si="8"/>
        <v>10</v>
      </c>
      <c r="AX53" s="48">
        <v>5353</v>
      </c>
      <c r="AY53" s="48">
        <f t="shared" si="9"/>
        <v>53530</v>
      </c>
      <c r="AZ53" s="169"/>
    </row>
    <row r="54" spans="1:52" s="27" customFormat="1" ht="35.25" customHeight="1" x14ac:dyDescent="0.2">
      <c r="A54" s="53">
        <v>45</v>
      </c>
      <c r="B54" s="53"/>
      <c r="C54" s="53" t="s">
        <v>61</v>
      </c>
      <c r="D54" s="53" t="s">
        <v>75</v>
      </c>
      <c r="E54" s="54" t="s">
        <v>71</v>
      </c>
      <c r="F54" s="53" t="s">
        <v>60</v>
      </c>
      <c r="G54" s="53"/>
      <c r="H54" s="53"/>
      <c r="I54" s="53"/>
      <c r="J54" s="53"/>
      <c r="K54" s="53"/>
      <c r="L54" s="48">
        <f t="shared" si="6"/>
        <v>0</v>
      </c>
      <c r="M54" s="53">
        <v>10</v>
      </c>
      <c r="N54" s="48">
        <f t="shared" si="7"/>
        <v>35580</v>
      </c>
      <c r="O54" s="53"/>
      <c r="P54" s="53"/>
      <c r="Q54" s="53"/>
      <c r="R54" s="53"/>
      <c r="S54" s="55"/>
      <c r="T54" s="48"/>
      <c r="U54" s="53"/>
      <c r="V54" s="53"/>
      <c r="W54" s="53"/>
      <c r="X54" s="48"/>
      <c r="Y54" s="53"/>
      <c r="Z54" s="53"/>
      <c r="AA54" s="53"/>
      <c r="AB54" s="48"/>
      <c r="AC54" s="53"/>
      <c r="AD54" s="53"/>
      <c r="AE54" s="53"/>
      <c r="AF54" s="48">
        <f t="shared" si="5"/>
        <v>0</v>
      </c>
      <c r="AG54" s="53"/>
      <c r="AH54" s="53"/>
      <c r="AI54" s="53"/>
      <c r="AJ54" s="53"/>
      <c r="AK54" s="53"/>
      <c r="AL54" s="48">
        <f t="shared" si="12"/>
        <v>0</v>
      </c>
      <c r="AM54" s="53"/>
      <c r="AN54" s="48"/>
      <c r="AO54" s="53"/>
      <c r="AP54" s="53"/>
      <c r="AQ54" s="53"/>
      <c r="AR54" s="48"/>
      <c r="AS54" s="56"/>
      <c r="AT54" s="53"/>
      <c r="AU54" s="56"/>
      <c r="AV54" s="48"/>
      <c r="AW54" s="57">
        <f t="shared" si="8"/>
        <v>10</v>
      </c>
      <c r="AX54" s="48">
        <v>3558</v>
      </c>
      <c r="AY54" s="48">
        <f t="shared" si="9"/>
        <v>35580</v>
      </c>
      <c r="AZ54" s="169"/>
    </row>
    <row r="55" spans="1:52" s="27" customFormat="1" ht="25.5" x14ac:dyDescent="0.2">
      <c r="A55" s="53">
        <v>46</v>
      </c>
      <c r="B55" s="53"/>
      <c r="C55" s="53" t="s">
        <v>61</v>
      </c>
      <c r="D55" s="53" t="s">
        <v>75</v>
      </c>
      <c r="E55" s="54" t="s">
        <v>166</v>
      </c>
      <c r="F55" s="53" t="s">
        <v>52</v>
      </c>
      <c r="G55" s="53"/>
      <c r="H55" s="53"/>
      <c r="I55" s="53"/>
      <c r="J55" s="53"/>
      <c r="K55" s="53"/>
      <c r="L55" s="48">
        <f t="shared" si="6"/>
        <v>0</v>
      </c>
      <c r="M55" s="53">
        <v>4</v>
      </c>
      <c r="N55" s="48">
        <f t="shared" si="7"/>
        <v>52000</v>
      </c>
      <c r="O55" s="53"/>
      <c r="P55" s="53"/>
      <c r="Q55" s="53"/>
      <c r="R55" s="53"/>
      <c r="S55" s="55"/>
      <c r="T55" s="48"/>
      <c r="U55" s="53"/>
      <c r="V55" s="53"/>
      <c r="W55" s="53"/>
      <c r="X55" s="48"/>
      <c r="Y55" s="53"/>
      <c r="Z55" s="53"/>
      <c r="AA55" s="53"/>
      <c r="AB55" s="48"/>
      <c r="AC55" s="53"/>
      <c r="AD55" s="53"/>
      <c r="AE55" s="53"/>
      <c r="AF55" s="48">
        <f t="shared" si="5"/>
        <v>0</v>
      </c>
      <c r="AG55" s="53"/>
      <c r="AH55" s="53"/>
      <c r="AI55" s="53"/>
      <c r="AJ55" s="53"/>
      <c r="AK55" s="53"/>
      <c r="AL55" s="48">
        <f t="shared" si="12"/>
        <v>0</v>
      </c>
      <c r="AM55" s="53"/>
      <c r="AN55" s="48"/>
      <c r="AO55" s="53"/>
      <c r="AP55" s="53"/>
      <c r="AQ55" s="53"/>
      <c r="AR55" s="48"/>
      <c r="AS55" s="56"/>
      <c r="AT55" s="53"/>
      <c r="AU55" s="56"/>
      <c r="AV55" s="48"/>
      <c r="AW55" s="57">
        <f t="shared" si="8"/>
        <v>4</v>
      </c>
      <c r="AX55" s="48">
        <v>13000</v>
      </c>
      <c r="AY55" s="48">
        <f t="shared" si="9"/>
        <v>52000</v>
      </c>
      <c r="AZ55" s="169"/>
    </row>
    <row r="56" spans="1:52" s="27" customFormat="1" ht="25.5" x14ac:dyDescent="0.2">
      <c r="A56" s="53">
        <v>47</v>
      </c>
      <c r="B56" s="53"/>
      <c r="C56" s="53" t="s">
        <v>61</v>
      </c>
      <c r="D56" s="53" t="s">
        <v>75</v>
      </c>
      <c r="E56" s="54" t="s">
        <v>168</v>
      </c>
      <c r="F56" s="53" t="s">
        <v>54</v>
      </c>
      <c r="G56" s="53"/>
      <c r="H56" s="53"/>
      <c r="I56" s="53"/>
      <c r="J56" s="53"/>
      <c r="K56" s="53"/>
      <c r="L56" s="48">
        <f t="shared" si="6"/>
        <v>0</v>
      </c>
      <c r="M56" s="53">
        <v>1</v>
      </c>
      <c r="N56" s="48">
        <f t="shared" si="7"/>
        <v>72000</v>
      </c>
      <c r="O56" s="53"/>
      <c r="P56" s="53"/>
      <c r="Q56" s="53"/>
      <c r="R56" s="53"/>
      <c r="S56" s="55"/>
      <c r="T56" s="48"/>
      <c r="U56" s="53"/>
      <c r="V56" s="53"/>
      <c r="W56" s="53"/>
      <c r="X56" s="48"/>
      <c r="Y56" s="53"/>
      <c r="Z56" s="53"/>
      <c r="AA56" s="53"/>
      <c r="AB56" s="48"/>
      <c r="AC56" s="53"/>
      <c r="AD56" s="53"/>
      <c r="AE56" s="53"/>
      <c r="AF56" s="48">
        <f t="shared" si="5"/>
        <v>0</v>
      </c>
      <c r="AG56" s="53"/>
      <c r="AH56" s="53"/>
      <c r="AI56" s="53"/>
      <c r="AJ56" s="53"/>
      <c r="AK56" s="53"/>
      <c r="AL56" s="48">
        <f t="shared" si="12"/>
        <v>0</v>
      </c>
      <c r="AM56" s="53"/>
      <c r="AN56" s="48"/>
      <c r="AO56" s="53"/>
      <c r="AP56" s="53"/>
      <c r="AQ56" s="53"/>
      <c r="AR56" s="48"/>
      <c r="AS56" s="56"/>
      <c r="AT56" s="53"/>
      <c r="AU56" s="56"/>
      <c r="AV56" s="48"/>
      <c r="AW56" s="57">
        <f t="shared" si="8"/>
        <v>1</v>
      </c>
      <c r="AX56" s="48">
        <v>72000</v>
      </c>
      <c r="AY56" s="48">
        <f t="shared" si="9"/>
        <v>72000</v>
      </c>
      <c r="AZ56" s="169"/>
    </row>
    <row r="57" spans="1:52" s="27" customFormat="1" ht="12.75" x14ac:dyDescent="0.2">
      <c r="A57" s="53">
        <v>48</v>
      </c>
      <c r="B57" s="53"/>
      <c r="C57" s="53" t="s">
        <v>61</v>
      </c>
      <c r="D57" s="53" t="s">
        <v>75</v>
      </c>
      <c r="E57" s="54" t="s">
        <v>92</v>
      </c>
      <c r="F57" s="53" t="s">
        <v>52</v>
      </c>
      <c r="G57" s="53"/>
      <c r="H57" s="53"/>
      <c r="I57" s="53"/>
      <c r="J57" s="53"/>
      <c r="K57" s="53"/>
      <c r="L57" s="48">
        <f t="shared" si="6"/>
        <v>0</v>
      </c>
      <c r="M57" s="53">
        <v>2</v>
      </c>
      <c r="N57" s="48">
        <f t="shared" si="7"/>
        <v>27400</v>
      </c>
      <c r="O57" s="53"/>
      <c r="P57" s="53"/>
      <c r="Q57" s="53"/>
      <c r="R57" s="53"/>
      <c r="S57" s="55"/>
      <c r="T57" s="48"/>
      <c r="U57" s="53"/>
      <c r="V57" s="53"/>
      <c r="W57" s="53"/>
      <c r="X57" s="48"/>
      <c r="Y57" s="53"/>
      <c r="Z57" s="53"/>
      <c r="AA57" s="53"/>
      <c r="AB57" s="48"/>
      <c r="AC57" s="53"/>
      <c r="AD57" s="53"/>
      <c r="AE57" s="53"/>
      <c r="AF57" s="48">
        <f t="shared" si="5"/>
        <v>0</v>
      </c>
      <c r="AG57" s="53"/>
      <c r="AH57" s="53"/>
      <c r="AI57" s="53"/>
      <c r="AJ57" s="53"/>
      <c r="AK57" s="53"/>
      <c r="AL57" s="48">
        <f t="shared" si="12"/>
        <v>0</v>
      </c>
      <c r="AM57" s="53"/>
      <c r="AN57" s="48"/>
      <c r="AO57" s="53"/>
      <c r="AP57" s="53"/>
      <c r="AQ57" s="53"/>
      <c r="AR57" s="48"/>
      <c r="AS57" s="56"/>
      <c r="AT57" s="53"/>
      <c r="AU57" s="56"/>
      <c r="AV57" s="48"/>
      <c r="AW57" s="57">
        <f t="shared" si="8"/>
        <v>2</v>
      </c>
      <c r="AX57" s="48">
        <v>13700</v>
      </c>
      <c r="AY57" s="48">
        <f t="shared" si="9"/>
        <v>27400</v>
      </c>
      <c r="AZ57" s="169"/>
    </row>
    <row r="58" spans="1:52" s="27" customFormat="1" ht="13.5" thickBot="1" x14ac:dyDescent="0.25">
      <c r="A58" s="164"/>
      <c r="B58" s="165"/>
      <c r="C58" s="176"/>
      <c r="D58" s="176"/>
      <c r="E58" s="166"/>
      <c r="F58" s="165"/>
      <c r="G58" s="165"/>
      <c r="H58" s="165"/>
      <c r="I58" s="165"/>
      <c r="J58" s="165"/>
      <c r="K58" s="165"/>
      <c r="L58" s="60"/>
      <c r="M58" s="165"/>
      <c r="N58" s="60"/>
      <c r="O58" s="165"/>
      <c r="P58" s="165"/>
      <c r="Q58" s="165"/>
      <c r="R58" s="165"/>
      <c r="S58" s="167"/>
      <c r="T58" s="60"/>
      <c r="U58" s="165"/>
      <c r="V58" s="165"/>
      <c r="W58" s="165"/>
      <c r="X58" s="60"/>
      <c r="Y58" s="165"/>
      <c r="Z58" s="165"/>
      <c r="AA58" s="165"/>
      <c r="AB58" s="60"/>
      <c r="AC58" s="165"/>
      <c r="AD58" s="165"/>
      <c r="AE58" s="165"/>
      <c r="AF58" s="60"/>
      <c r="AG58" s="165"/>
      <c r="AH58" s="165"/>
      <c r="AI58" s="165"/>
      <c r="AJ58" s="165"/>
      <c r="AK58" s="165"/>
      <c r="AL58" s="60"/>
      <c r="AM58" s="165"/>
      <c r="AN58" s="60"/>
      <c r="AO58" s="165"/>
      <c r="AP58" s="165"/>
      <c r="AQ58" s="165"/>
      <c r="AR58" s="60"/>
      <c r="AS58" s="168"/>
      <c r="AT58" s="165"/>
      <c r="AU58" s="168"/>
      <c r="AV58" s="60"/>
      <c r="AW58" s="72"/>
      <c r="AX58" s="60"/>
      <c r="AY58" s="179"/>
      <c r="AZ58" s="169"/>
    </row>
    <row r="59" spans="1:52" s="71" customFormat="1" ht="13.5" thickBot="1" x14ac:dyDescent="0.25">
      <c r="A59" s="63"/>
      <c r="B59" s="64"/>
      <c r="C59" s="64"/>
      <c r="D59" s="64"/>
      <c r="E59" s="65" t="s">
        <v>72</v>
      </c>
      <c r="F59" s="64"/>
      <c r="G59" s="64"/>
      <c r="H59" s="64"/>
      <c r="I59" s="64"/>
      <c r="J59" s="64"/>
      <c r="K59" s="64"/>
      <c r="L59" s="66">
        <f>SUM(L10:L57)</f>
        <v>1542435</v>
      </c>
      <c r="M59" s="64"/>
      <c r="N59" s="66">
        <f>SUM(N10:N57)</f>
        <v>12407155</v>
      </c>
      <c r="O59" s="64"/>
      <c r="P59" s="64"/>
      <c r="Q59" s="64"/>
      <c r="R59" s="64"/>
      <c r="S59" s="67"/>
      <c r="T59" s="66"/>
      <c r="U59" s="64"/>
      <c r="V59" s="64"/>
      <c r="W59" s="64"/>
      <c r="X59" s="66"/>
      <c r="Y59" s="64"/>
      <c r="Z59" s="64"/>
      <c r="AA59" s="64"/>
      <c r="AB59" s="66"/>
      <c r="AC59" s="64"/>
      <c r="AD59" s="64"/>
      <c r="AE59" s="64"/>
      <c r="AF59" s="66">
        <f>SUM(AF10:AF57)</f>
        <v>795304.2</v>
      </c>
      <c r="AG59" s="64"/>
      <c r="AH59" s="64"/>
      <c r="AI59" s="64"/>
      <c r="AJ59" s="64"/>
      <c r="AK59" s="64"/>
      <c r="AL59" s="64"/>
      <c r="AM59" s="64"/>
      <c r="AN59" s="66"/>
      <c r="AO59" s="64"/>
      <c r="AP59" s="64"/>
      <c r="AQ59" s="64"/>
      <c r="AR59" s="66"/>
      <c r="AS59" s="68"/>
      <c r="AT59" s="64"/>
      <c r="AU59" s="68"/>
      <c r="AV59" s="66"/>
      <c r="AW59" s="72"/>
      <c r="AX59" s="66"/>
      <c r="AY59" s="69">
        <f>SUM(AY10:AY57)</f>
        <v>14744894.199999999</v>
      </c>
      <c r="AZ59" s="70"/>
    </row>
    <row r="60" spans="1:52" s="28" customFormat="1" ht="13.5" thickBot="1" x14ac:dyDescent="0.25">
      <c r="A60" s="73"/>
      <c r="B60" s="73"/>
      <c r="C60" s="73"/>
      <c r="D60" s="73"/>
      <c r="E60" s="74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5"/>
      <c r="T60" s="76"/>
      <c r="U60" s="73"/>
      <c r="V60" s="73"/>
      <c r="W60" s="73"/>
      <c r="X60" s="76"/>
      <c r="Y60" s="73"/>
      <c r="Z60" s="73"/>
      <c r="AA60" s="73"/>
      <c r="AB60" s="76"/>
      <c r="AC60" s="73"/>
      <c r="AD60" s="73"/>
      <c r="AE60" s="73"/>
      <c r="AF60" s="76"/>
      <c r="AG60" s="73"/>
      <c r="AH60" s="73"/>
      <c r="AI60" s="73"/>
      <c r="AJ60" s="73"/>
      <c r="AK60" s="73"/>
      <c r="AL60" s="73"/>
      <c r="AM60" s="73"/>
      <c r="AN60" s="76"/>
      <c r="AO60" s="73"/>
      <c r="AP60" s="73"/>
      <c r="AQ60" s="73"/>
      <c r="AR60" s="76"/>
      <c r="AS60" s="77"/>
      <c r="AT60" s="73"/>
      <c r="AU60" s="77"/>
      <c r="AV60" s="76"/>
      <c r="AW60" s="75"/>
      <c r="AX60" s="76"/>
      <c r="AY60" s="76"/>
      <c r="AZ60" s="78"/>
    </row>
    <row r="61" spans="1:52" s="28" customFormat="1" ht="123.75" customHeight="1" x14ac:dyDescent="0.2">
      <c r="A61" s="73"/>
      <c r="B61" s="73"/>
      <c r="C61" s="151" t="s">
        <v>138</v>
      </c>
      <c r="D61" s="196" t="s">
        <v>139</v>
      </c>
      <c r="E61" s="197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5"/>
      <c r="T61" s="76"/>
      <c r="U61" s="73"/>
      <c r="V61" s="73"/>
      <c r="W61" s="73"/>
      <c r="X61" s="76"/>
      <c r="Y61" s="73"/>
      <c r="Z61" s="73"/>
      <c r="AA61" s="73"/>
      <c r="AB61" s="76"/>
      <c r="AC61" s="73"/>
      <c r="AD61" s="73"/>
      <c r="AE61" s="73"/>
      <c r="AF61" s="76"/>
      <c r="AG61" s="73"/>
      <c r="AH61" s="73"/>
      <c r="AI61" s="73"/>
      <c r="AJ61" s="73"/>
      <c r="AK61" s="73"/>
      <c r="AL61" s="73"/>
      <c r="AM61" s="73"/>
      <c r="AN61" s="76"/>
      <c r="AO61" s="73"/>
      <c r="AP61" s="73"/>
      <c r="AQ61" s="73"/>
      <c r="AR61" s="76"/>
      <c r="AS61" s="77"/>
      <c r="AT61" s="73"/>
      <c r="AU61" s="77"/>
      <c r="AV61" s="76"/>
      <c r="AW61" s="75"/>
      <c r="AX61" s="76"/>
      <c r="AY61" s="76"/>
      <c r="AZ61" s="78"/>
    </row>
    <row r="62" spans="1:52" s="28" customFormat="1" x14ac:dyDescent="0.2">
      <c r="A62" s="73"/>
      <c r="B62" s="73"/>
      <c r="C62" s="152"/>
      <c r="D62" s="153"/>
      <c r="E62" s="162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5"/>
      <c r="T62" s="76"/>
      <c r="U62" s="73"/>
      <c r="V62" s="73"/>
      <c r="W62" s="73"/>
      <c r="X62" s="76"/>
      <c r="Y62" s="73"/>
      <c r="Z62" s="73"/>
      <c r="AA62" s="73"/>
      <c r="AB62" s="76"/>
      <c r="AC62" s="73"/>
      <c r="AD62" s="73"/>
      <c r="AE62" s="73"/>
      <c r="AF62" s="76"/>
      <c r="AG62" s="73"/>
      <c r="AH62" s="73"/>
      <c r="AI62" s="73"/>
      <c r="AJ62" s="73"/>
      <c r="AK62" s="73"/>
      <c r="AL62" s="73"/>
      <c r="AM62" s="73"/>
      <c r="AN62" s="76"/>
      <c r="AO62" s="73"/>
      <c r="AP62" s="73"/>
      <c r="AQ62" s="73"/>
      <c r="AR62" s="76"/>
      <c r="AS62" s="77"/>
      <c r="AT62" s="73"/>
      <c r="AU62" s="77"/>
      <c r="AV62" s="76"/>
      <c r="AW62" s="75"/>
      <c r="AX62" s="76"/>
      <c r="AY62" s="76"/>
      <c r="AZ62" s="78"/>
    </row>
    <row r="63" spans="1:52" s="28" customFormat="1" x14ac:dyDescent="0.25">
      <c r="A63" s="73"/>
      <c r="B63" s="73"/>
      <c r="C63" s="154" t="s">
        <v>140</v>
      </c>
      <c r="D63" s="155" t="s">
        <v>141</v>
      </c>
      <c r="E63" s="162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5"/>
      <c r="T63" s="76"/>
      <c r="U63" s="73"/>
      <c r="V63" s="73"/>
      <c r="W63" s="73"/>
      <c r="X63" s="76"/>
      <c r="Y63" s="73"/>
      <c r="Z63" s="73"/>
      <c r="AA63" s="73"/>
      <c r="AB63" s="76"/>
      <c r="AC63" s="73"/>
      <c r="AD63" s="73"/>
      <c r="AE63" s="73"/>
      <c r="AF63" s="76"/>
      <c r="AG63" s="73"/>
      <c r="AH63" s="73"/>
      <c r="AI63" s="73"/>
      <c r="AJ63" s="73"/>
      <c r="AK63" s="73"/>
      <c r="AL63" s="73"/>
      <c r="AM63" s="73"/>
      <c r="AN63" s="76"/>
      <c r="AO63" s="73"/>
      <c r="AP63" s="73"/>
      <c r="AQ63" s="73"/>
      <c r="AR63" s="76"/>
      <c r="AS63" s="77"/>
      <c r="AT63" s="73"/>
      <c r="AU63" s="77"/>
      <c r="AV63" s="76"/>
      <c r="AW63" s="75"/>
      <c r="AX63" s="76"/>
      <c r="AY63" s="76"/>
      <c r="AZ63" s="78"/>
    </row>
    <row r="64" spans="1:52" s="28" customFormat="1" x14ac:dyDescent="0.25">
      <c r="A64" s="73"/>
      <c r="B64" s="73"/>
      <c r="C64" s="154"/>
      <c r="D64" s="156"/>
      <c r="E64" s="162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5"/>
      <c r="T64" s="76"/>
      <c r="U64" s="73"/>
      <c r="V64" s="73"/>
      <c r="W64" s="73"/>
      <c r="X64" s="76"/>
      <c r="Y64" s="73"/>
      <c r="Z64" s="73"/>
      <c r="AA64" s="73"/>
      <c r="AB64" s="76"/>
      <c r="AC64" s="73"/>
      <c r="AD64" s="73"/>
      <c r="AE64" s="73"/>
      <c r="AF64" s="76"/>
      <c r="AG64" s="73"/>
      <c r="AH64" s="73"/>
      <c r="AI64" s="73"/>
      <c r="AJ64" s="73"/>
      <c r="AK64" s="73"/>
      <c r="AL64" s="73"/>
      <c r="AM64" s="73"/>
      <c r="AN64" s="76"/>
      <c r="AO64" s="73"/>
      <c r="AP64" s="73"/>
      <c r="AQ64" s="73"/>
      <c r="AR64" s="76"/>
      <c r="AS64" s="77"/>
      <c r="AT64" s="73"/>
      <c r="AU64" s="77"/>
      <c r="AV64" s="76"/>
      <c r="AW64" s="75"/>
      <c r="AX64" s="76"/>
      <c r="AY64" s="76"/>
      <c r="AZ64" s="78"/>
    </row>
    <row r="65" spans="1:52" s="28" customFormat="1" ht="28.5" customHeight="1" x14ac:dyDescent="0.2">
      <c r="A65" s="73"/>
      <c r="B65" s="73"/>
      <c r="C65" s="193" t="s">
        <v>142</v>
      </c>
      <c r="D65" s="194" t="s">
        <v>187</v>
      </c>
      <c r="E65" s="195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5"/>
      <c r="T65" s="76"/>
      <c r="U65" s="73"/>
      <c r="V65" s="73"/>
      <c r="W65" s="73"/>
      <c r="X65" s="76"/>
      <c r="Y65" s="73"/>
      <c r="Z65" s="73"/>
      <c r="AA65" s="73"/>
      <c r="AB65" s="76"/>
      <c r="AC65" s="73"/>
      <c r="AD65" s="73"/>
      <c r="AE65" s="73"/>
      <c r="AF65" s="76"/>
      <c r="AG65" s="73"/>
      <c r="AH65" s="73"/>
      <c r="AI65" s="73"/>
      <c r="AJ65" s="73"/>
      <c r="AK65" s="73"/>
      <c r="AL65" s="73"/>
      <c r="AM65" s="73"/>
      <c r="AN65" s="76"/>
      <c r="AO65" s="73"/>
      <c r="AP65" s="73"/>
      <c r="AQ65" s="73"/>
      <c r="AR65" s="76"/>
      <c r="AS65" s="77"/>
      <c r="AT65" s="73"/>
      <c r="AU65" s="77"/>
      <c r="AV65" s="76"/>
      <c r="AW65" s="75"/>
      <c r="AX65" s="76"/>
      <c r="AY65" s="76"/>
      <c r="AZ65" s="78"/>
    </row>
    <row r="66" spans="1:52" s="28" customFormat="1" ht="29.25" customHeight="1" x14ac:dyDescent="0.2">
      <c r="A66" s="73"/>
      <c r="B66" s="73"/>
      <c r="C66" s="193"/>
      <c r="D66" s="194" t="s">
        <v>188</v>
      </c>
      <c r="E66" s="195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5"/>
      <c r="T66" s="76"/>
      <c r="U66" s="73"/>
      <c r="V66" s="73"/>
      <c r="W66" s="73"/>
      <c r="X66" s="76"/>
      <c r="Y66" s="73"/>
      <c r="Z66" s="73"/>
      <c r="AA66" s="73"/>
      <c r="AB66" s="76"/>
      <c r="AC66" s="73"/>
      <c r="AD66" s="73"/>
      <c r="AE66" s="73"/>
      <c r="AF66" s="76"/>
      <c r="AG66" s="73"/>
      <c r="AH66" s="73"/>
      <c r="AI66" s="73"/>
      <c r="AJ66" s="73"/>
      <c r="AK66" s="73"/>
      <c r="AL66" s="73"/>
      <c r="AM66" s="73"/>
      <c r="AN66" s="76"/>
      <c r="AO66" s="73"/>
      <c r="AP66" s="73"/>
      <c r="AQ66" s="73"/>
      <c r="AR66" s="76"/>
      <c r="AS66" s="77"/>
      <c r="AT66" s="73"/>
      <c r="AU66" s="77"/>
      <c r="AV66" s="76"/>
      <c r="AW66" s="75"/>
      <c r="AX66" s="76"/>
      <c r="AY66" s="76"/>
      <c r="AZ66" s="78"/>
    </row>
    <row r="67" spans="1:52" s="28" customFormat="1" ht="27.75" customHeight="1" x14ac:dyDescent="0.2">
      <c r="A67" s="73"/>
      <c r="B67" s="73"/>
      <c r="C67" s="193"/>
      <c r="D67" s="194" t="s">
        <v>182</v>
      </c>
      <c r="E67" s="195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5"/>
      <c r="T67" s="76"/>
      <c r="U67" s="73"/>
      <c r="V67" s="73"/>
      <c r="W67" s="73"/>
      <c r="X67" s="76"/>
      <c r="Y67" s="73"/>
      <c r="Z67" s="73"/>
      <c r="AA67" s="73"/>
      <c r="AB67" s="76"/>
      <c r="AC67" s="73"/>
      <c r="AD67" s="73"/>
      <c r="AE67" s="73"/>
      <c r="AF67" s="76"/>
      <c r="AG67" s="73"/>
      <c r="AH67" s="73"/>
      <c r="AI67" s="73"/>
      <c r="AJ67" s="73"/>
      <c r="AK67" s="73"/>
      <c r="AL67" s="73"/>
      <c r="AM67" s="73"/>
      <c r="AN67" s="76"/>
      <c r="AO67" s="73"/>
      <c r="AP67" s="73"/>
      <c r="AQ67" s="73"/>
      <c r="AR67" s="76"/>
      <c r="AS67" s="77"/>
      <c r="AT67" s="73"/>
      <c r="AU67" s="77"/>
      <c r="AV67" s="76"/>
      <c r="AW67" s="75"/>
      <c r="AX67" s="76"/>
      <c r="AY67" s="76"/>
      <c r="AZ67" s="78"/>
    </row>
    <row r="68" spans="1:52" s="28" customFormat="1" x14ac:dyDescent="0.25">
      <c r="A68" s="73"/>
      <c r="B68" s="73"/>
      <c r="C68" s="154"/>
      <c r="D68" s="157"/>
      <c r="E68" s="162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5"/>
      <c r="T68" s="76"/>
      <c r="U68" s="73"/>
      <c r="V68" s="73"/>
      <c r="W68" s="73"/>
      <c r="X68" s="76"/>
      <c r="Y68" s="73"/>
      <c r="Z68" s="73"/>
      <c r="AA68" s="73"/>
      <c r="AB68" s="76"/>
      <c r="AC68" s="73"/>
      <c r="AD68" s="73"/>
      <c r="AE68" s="73"/>
      <c r="AF68" s="76"/>
      <c r="AG68" s="73"/>
      <c r="AH68" s="73"/>
      <c r="AI68" s="73"/>
      <c r="AJ68" s="73"/>
      <c r="AK68" s="73"/>
      <c r="AL68" s="73"/>
      <c r="AM68" s="73"/>
      <c r="AN68" s="76"/>
      <c r="AO68" s="73"/>
      <c r="AP68" s="73"/>
      <c r="AQ68" s="73"/>
      <c r="AR68" s="76"/>
      <c r="AS68" s="77"/>
      <c r="AT68" s="73"/>
      <c r="AU68" s="77"/>
      <c r="AV68" s="76"/>
      <c r="AW68" s="75"/>
      <c r="AX68" s="76"/>
      <c r="AY68" s="76"/>
      <c r="AZ68" s="78"/>
    </row>
    <row r="69" spans="1:52" s="28" customFormat="1" x14ac:dyDescent="0.25">
      <c r="A69" s="73"/>
      <c r="B69" s="73"/>
      <c r="C69" s="158" t="s">
        <v>143</v>
      </c>
      <c r="D69" s="159"/>
      <c r="E69" s="162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5"/>
      <c r="T69" s="76"/>
      <c r="U69" s="73"/>
      <c r="V69" s="73"/>
      <c r="W69" s="73"/>
      <c r="X69" s="76"/>
      <c r="Y69" s="73"/>
      <c r="Z69" s="73"/>
      <c r="AA69" s="73"/>
      <c r="AB69" s="76"/>
      <c r="AC69" s="73"/>
      <c r="AD69" s="73"/>
      <c r="AE69" s="73"/>
      <c r="AF69" s="76"/>
      <c r="AG69" s="73"/>
      <c r="AH69" s="73"/>
      <c r="AI69" s="73"/>
      <c r="AJ69" s="73"/>
      <c r="AK69" s="73"/>
      <c r="AL69" s="73"/>
      <c r="AM69" s="73"/>
      <c r="AN69" s="76"/>
      <c r="AO69" s="73"/>
      <c r="AP69" s="73"/>
      <c r="AQ69" s="73"/>
      <c r="AR69" s="76"/>
      <c r="AS69" s="77"/>
      <c r="AT69" s="73"/>
      <c r="AU69" s="77"/>
      <c r="AV69" s="76"/>
      <c r="AW69" s="75"/>
      <c r="AX69" s="76"/>
      <c r="AY69" s="76"/>
      <c r="AZ69" s="78"/>
    </row>
    <row r="70" spans="1:52" s="28" customFormat="1" x14ac:dyDescent="0.25">
      <c r="A70" s="73"/>
      <c r="B70" s="73"/>
      <c r="C70" s="158"/>
      <c r="D70" s="159"/>
      <c r="E70" s="162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5"/>
      <c r="T70" s="76"/>
      <c r="U70" s="73"/>
      <c r="V70" s="73"/>
      <c r="W70" s="73"/>
      <c r="X70" s="76"/>
      <c r="Y70" s="73"/>
      <c r="Z70" s="73"/>
      <c r="AA70" s="73"/>
      <c r="AB70" s="76"/>
      <c r="AC70" s="73"/>
      <c r="AD70" s="73"/>
      <c r="AE70" s="73"/>
      <c r="AF70" s="76"/>
      <c r="AG70" s="73"/>
      <c r="AH70" s="73"/>
      <c r="AI70" s="73"/>
      <c r="AJ70" s="73"/>
      <c r="AK70" s="73"/>
      <c r="AL70" s="73"/>
      <c r="AM70" s="73"/>
      <c r="AN70" s="76"/>
      <c r="AO70" s="73"/>
      <c r="AP70" s="73"/>
      <c r="AQ70" s="73"/>
      <c r="AR70" s="76"/>
      <c r="AS70" s="77"/>
      <c r="AT70" s="73"/>
      <c r="AU70" s="77"/>
      <c r="AV70" s="76"/>
      <c r="AW70" s="75"/>
      <c r="AX70" s="76"/>
      <c r="AY70" s="76"/>
      <c r="AZ70" s="78"/>
    </row>
    <row r="71" spans="1:52" s="28" customFormat="1" ht="15.75" thickBot="1" x14ac:dyDescent="0.3">
      <c r="A71" s="73"/>
      <c r="B71" s="73"/>
      <c r="C71" s="160" t="s">
        <v>144</v>
      </c>
      <c r="D71" s="161" t="s">
        <v>145</v>
      </c>
      <c r="E71" s="16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5"/>
      <c r="T71" s="76"/>
      <c r="U71" s="73"/>
      <c r="V71" s="73"/>
      <c r="W71" s="73"/>
      <c r="X71" s="76"/>
      <c r="Y71" s="73"/>
      <c r="Z71" s="73"/>
      <c r="AA71" s="73"/>
      <c r="AB71" s="76"/>
      <c r="AC71" s="73"/>
      <c r="AD71" s="73"/>
      <c r="AE71" s="73"/>
      <c r="AF71" s="76"/>
      <c r="AG71" s="73"/>
      <c r="AH71" s="73"/>
      <c r="AI71" s="73"/>
      <c r="AJ71" s="73"/>
      <c r="AK71" s="73"/>
      <c r="AL71" s="73"/>
      <c r="AM71" s="73"/>
      <c r="AN71" s="76"/>
      <c r="AO71" s="73"/>
      <c r="AP71" s="73"/>
      <c r="AQ71" s="73"/>
      <c r="AR71" s="76"/>
      <c r="AS71" s="77"/>
      <c r="AT71" s="73"/>
      <c r="AU71" s="77"/>
      <c r="AV71" s="76"/>
      <c r="AW71" s="75"/>
      <c r="AX71" s="76"/>
      <c r="AY71" s="76"/>
      <c r="AZ71" s="78"/>
    </row>
    <row r="72" spans="1:52" s="28" customFormat="1" ht="12.75" x14ac:dyDescent="0.2">
      <c r="A72" s="73"/>
      <c r="B72" s="73"/>
      <c r="C72" s="73"/>
      <c r="D72" s="73"/>
      <c r="E72" s="74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5"/>
      <c r="T72" s="76"/>
      <c r="U72" s="73"/>
      <c r="V72" s="73"/>
      <c r="W72" s="73"/>
      <c r="X72" s="76"/>
      <c r="Y72" s="73"/>
      <c r="Z72" s="73"/>
      <c r="AA72" s="73"/>
      <c r="AB72" s="76"/>
      <c r="AC72" s="73"/>
      <c r="AD72" s="73"/>
      <c r="AE72" s="73"/>
      <c r="AF72" s="76"/>
      <c r="AG72" s="73"/>
      <c r="AH72" s="73"/>
      <c r="AI72" s="73"/>
      <c r="AJ72" s="73"/>
      <c r="AK72" s="73"/>
      <c r="AL72" s="73"/>
      <c r="AM72" s="73"/>
      <c r="AN72" s="76"/>
      <c r="AO72" s="73"/>
      <c r="AP72" s="73"/>
      <c r="AQ72" s="73"/>
      <c r="AR72" s="76"/>
      <c r="AS72" s="77"/>
      <c r="AT72" s="73"/>
      <c r="AU72" s="77"/>
      <c r="AV72" s="76"/>
      <c r="AW72" s="75"/>
      <c r="AX72" s="76"/>
      <c r="AY72" s="76"/>
      <c r="AZ72" s="78"/>
    </row>
    <row r="73" spans="1:52" s="28" customFormat="1" ht="12.75" x14ac:dyDescent="0.2">
      <c r="A73" s="73"/>
      <c r="B73" s="73"/>
      <c r="C73" s="73"/>
      <c r="D73" s="73"/>
      <c r="E73" s="74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5"/>
      <c r="T73" s="76"/>
      <c r="U73" s="73"/>
      <c r="V73" s="73"/>
      <c r="W73" s="73"/>
      <c r="X73" s="76"/>
      <c r="Y73" s="73"/>
      <c r="Z73" s="73"/>
      <c r="AA73" s="73"/>
      <c r="AB73" s="76"/>
      <c r="AC73" s="73"/>
      <c r="AD73" s="73"/>
      <c r="AE73" s="73"/>
      <c r="AF73" s="76"/>
      <c r="AG73" s="73"/>
      <c r="AH73" s="73"/>
      <c r="AI73" s="73"/>
      <c r="AJ73" s="73"/>
      <c r="AK73" s="73"/>
      <c r="AL73" s="73"/>
      <c r="AM73" s="73"/>
      <c r="AN73" s="76"/>
      <c r="AO73" s="73"/>
      <c r="AP73" s="73"/>
      <c r="AQ73" s="73"/>
      <c r="AR73" s="76"/>
      <c r="AS73" s="77"/>
      <c r="AT73" s="73"/>
      <c r="AU73" s="77"/>
      <c r="AV73" s="76"/>
      <c r="AW73" s="75"/>
      <c r="AX73" s="76"/>
      <c r="AY73" s="76"/>
      <c r="AZ73" s="78"/>
    </row>
    <row r="74" spans="1:52" s="28" customFormat="1" ht="12.75" x14ac:dyDescent="0.2">
      <c r="A74" s="73"/>
      <c r="B74" s="73"/>
      <c r="C74" s="73"/>
      <c r="D74" s="73"/>
      <c r="E74" s="74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5"/>
      <c r="T74" s="76"/>
      <c r="U74" s="73"/>
      <c r="V74" s="73"/>
      <c r="W74" s="73"/>
      <c r="X74" s="76"/>
      <c r="Y74" s="73"/>
      <c r="Z74" s="73"/>
      <c r="AA74" s="73"/>
      <c r="AB74" s="76"/>
      <c r="AC74" s="73"/>
      <c r="AD74" s="73"/>
      <c r="AE74" s="73"/>
      <c r="AF74" s="76"/>
      <c r="AG74" s="73"/>
      <c r="AH74" s="73"/>
      <c r="AI74" s="73"/>
      <c r="AJ74" s="73"/>
      <c r="AK74" s="73"/>
      <c r="AL74" s="73"/>
      <c r="AM74" s="73"/>
      <c r="AN74" s="76"/>
      <c r="AO74" s="73"/>
      <c r="AP74" s="73"/>
      <c r="AQ74" s="73"/>
      <c r="AR74" s="76"/>
      <c r="AS74" s="77"/>
      <c r="AT74" s="73"/>
      <c r="AU74" s="77"/>
      <c r="AV74" s="76"/>
      <c r="AW74" s="75"/>
      <c r="AX74" s="76"/>
      <c r="AY74" s="76"/>
      <c r="AZ74" s="78"/>
    </row>
  </sheetData>
  <sortState xmlns:xlrd2="http://schemas.microsoft.com/office/spreadsheetml/2017/richdata2" ref="A10:AZ58">
    <sortCondition ref="E10"/>
  </sortState>
  <mergeCells count="12">
    <mergeCell ref="C65:C67"/>
    <mergeCell ref="D65:E65"/>
    <mergeCell ref="D66:E66"/>
    <mergeCell ref="D67:E67"/>
    <mergeCell ref="D61:E61"/>
    <mergeCell ref="A7:B7"/>
    <mergeCell ref="B2:AX2"/>
    <mergeCell ref="A4:B4"/>
    <mergeCell ref="C4:E4"/>
    <mergeCell ref="A5:B5"/>
    <mergeCell ref="C5:E5"/>
    <mergeCell ref="A6:B6"/>
  </mergeCells>
  <conditionalFormatting sqref="B1:B9 E1:E9">
    <cfRule type="duplicateValues" dxfId="12" priority="238"/>
  </conditionalFormatting>
  <conditionalFormatting sqref="E1:E9 B1:B9">
    <cfRule type="duplicateValues" dxfId="11" priority="239"/>
  </conditionalFormatting>
  <conditionalFormatting sqref="B1:B9">
    <cfRule type="duplicateValues" dxfId="10" priority="442"/>
  </conditionalFormatting>
  <conditionalFormatting sqref="E1:E9">
    <cfRule type="duplicateValues" dxfId="9" priority="443"/>
  </conditionalFormatting>
  <conditionalFormatting sqref="E1:E9">
    <cfRule type="duplicateValues" dxfId="8" priority="444"/>
    <cfRule type="duplicateValues" dxfId="7" priority="445"/>
  </conditionalFormatting>
  <conditionalFormatting sqref="C63:C65 C68:C71">
    <cfRule type="duplicateValues" dxfId="6" priority="4"/>
  </conditionalFormatting>
  <conditionalFormatting sqref="C63:C65 C68:C71">
    <cfRule type="duplicateValues" dxfId="5" priority="5"/>
  </conditionalFormatting>
  <conditionalFormatting sqref="C63:C65">
    <cfRule type="duplicateValues" dxfId="4" priority="6"/>
  </conditionalFormatting>
  <conditionalFormatting sqref="C63:C65">
    <cfRule type="duplicateValues" dxfId="3" priority="7"/>
  </conditionalFormatting>
  <conditionalFormatting sqref="E53">
    <cfRule type="duplicateValues" dxfId="2" priority="1"/>
  </conditionalFormatting>
  <conditionalFormatting sqref="E53">
    <cfRule type="duplicateValues" dxfId="1" priority="2"/>
    <cfRule type="duplicateValues" dxfId="0" priority="3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9"/>
  <sheetViews>
    <sheetView topLeftCell="A4" workbookViewId="0">
      <selection activeCell="L22" sqref="L22"/>
    </sheetView>
  </sheetViews>
  <sheetFormatPr baseColWidth="10" defaultRowHeight="15" x14ac:dyDescent="0.25"/>
  <cols>
    <col min="1" max="1" width="5.5703125" customWidth="1"/>
    <col min="2" max="2" width="15.140625" style="128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72.42578125" customWidth="1"/>
    <col min="8" max="8" width="9.28515625" customWidth="1"/>
    <col min="9" max="9" width="15.5703125" customWidth="1"/>
    <col min="10" max="10" width="14.7109375" style="133" customWidth="1"/>
    <col min="11" max="11" width="15.5703125" customWidth="1"/>
    <col min="12" max="12" width="16.42578125" customWidth="1"/>
    <col min="13" max="13" width="14.5703125" style="187" bestFit="1" customWidth="1"/>
  </cols>
  <sheetData>
    <row r="1" spans="1:13" ht="30.75" thickBot="1" x14ac:dyDescent="0.3">
      <c r="A1" s="209" t="s">
        <v>94</v>
      </c>
      <c r="B1" s="209"/>
      <c r="C1" s="209"/>
      <c r="D1" s="209"/>
      <c r="E1" s="209"/>
      <c r="F1" s="209"/>
      <c r="G1" s="209"/>
      <c r="H1" s="209"/>
      <c r="I1" s="209"/>
      <c r="J1" s="129" t="s">
        <v>95</v>
      </c>
      <c r="K1" s="79" t="s">
        <v>146</v>
      </c>
    </row>
    <row r="2" spans="1:13" ht="16.5" thickBot="1" x14ac:dyDescent="0.3">
      <c r="A2" s="80"/>
      <c r="B2" s="124"/>
      <c r="C2" s="81"/>
      <c r="D2" s="82"/>
      <c r="E2" s="82"/>
      <c r="F2" s="82"/>
      <c r="G2" s="82"/>
      <c r="H2" s="82"/>
      <c r="I2" s="82"/>
      <c r="J2" s="130"/>
      <c r="K2" s="83"/>
    </row>
    <row r="3" spans="1:13" ht="16.5" customHeight="1" thickBot="1" x14ac:dyDescent="0.3">
      <c r="A3" s="210" t="s">
        <v>96</v>
      </c>
      <c r="B3" s="210"/>
      <c r="C3" s="210"/>
      <c r="D3" s="120" t="s">
        <v>2</v>
      </c>
      <c r="E3" s="121"/>
      <c r="F3" s="121"/>
      <c r="G3" s="121"/>
      <c r="H3" s="121"/>
      <c r="I3" s="121"/>
      <c r="J3" s="131"/>
      <c r="K3" s="122"/>
    </row>
    <row r="4" spans="1:13" ht="16.5" customHeight="1" thickBot="1" x14ac:dyDescent="0.3">
      <c r="A4" s="211" t="s">
        <v>97</v>
      </c>
      <c r="B4" s="211"/>
      <c r="C4" s="211"/>
      <c r="D4" s="120" t="s">
        <v>131</v>
      </c>
      <c r="E4" s="121"/>
      <c r="F4" s="121"/>
      <c r="G4" s="121"/>
      <c r="H4" s="121"/>
      <c r="I4" s="121"/>
      <c r="J4" s="131"/>
      <c r="K4" s="122"/>
    </row>
    <row r="5" spans="1:13" ht="16.5" thickBot="1" x14ac:dyDescent="0.3">
      <c r="A5" s="211" t="s">
        <v>98</v>
      </c>
      <c r="B5" s="211"/>
      <c r="C5" s="211"/>
      <c r="D5" s="120" t="s">
        <v>133</v>
      </c>
      <c r="E5" s="121"/>
      <c r="F5" s="121"/>
      <c r="G5" s="121"/>
      <c r="H5" s="121"/>
      <c r="I5" s="121"/>
      <c r="J5" s="131"/>
      <c r="K5" s="122"/>
    </row>
    <row r="6" spans="1:13" ht="16.5" thickBot="1" x14ac:dyDescent="0.3">
      <c r="A6" s="210" t="s">
        <v>99</v>
      </c>
      <c r="B6" s="210"/>
      <c r="C6" s="210"/>
      <c r="D6" s="120" t="s">
        <v>133</v>
      </c>
      <c r="E6" s="121"/>
      <c r="F6" s="121"/>
      <c r="G6" s="121"/>
      <c r="H6" s="121"/>
      <c r="I6" s="121"/>
      <c r="J6" s="131"/>
      <c r="K6" s="122"/>
    </row>
    <row r="7" spans="1:13" ht="16.5" thickBot="1" x14ac:dyDescent="0.3">
      <c r="A7" s="211" t="s">
        <v>100</v>
      </c>
      <c r="B7" s="211"/>
      <c r="C7" s="211"/>
      <c r="D7" s="120" t="s">
        <v>132</v>
      </c>
      <c r="E7" s="121"/>
      <c r="F7" s="121"/>
      <c r="G7" s="121"/>
      <c r="H7" s="121"/>
      <c r="I7" s="121"/>
      <c r="J7" s="131"/>
      <c r="K7" s="122"/>
    </row>
    <row r="8" spans="1:13" ht="16.5" customHeight="1" thickBot="1" x14ac:dyDescent="0.3">
      <c r="A8" s="213" t="s">
        <v>101</v>
      </c>
      <c r="B8" s="213"/>
      <c r="C8" s="213"/>
      <c r="D8" s="123" t="s">
        <v>137</v>
      </c>
      <c r="E8" s="121"/>
      <c r="F8" s="121"/>
      <c r="G8" s="121"/>
      <c r="H8" s="121"/>
      <c r="I8" s="121"/>
      <c r="J8" s="131"/>
      <c r="K8" s="122"/>
    </row>
    <row r="9" spans="1:13" ht="16.5" thickBot="1" x14ac:dyDescent="0.3">
      <c r="A9" s="84"/>
      <c r="B9" s="125"/>
      <c r="C9" s="85"/>
      <c r="D9" s="86"/>
      <c r="E9" s="86"/>
      <c r="F9" s="86"/>
      <c r="G9" s="86"/>
      <c r="H9" s="86"/>
      <c r="I9" s="86"/>
      <c r="J9" s="132"/>
      <c r="K9" s="87"/>
    </row>
    <row r="10" spans="1:13" ht="15.75" thickBot="1" x14ac:dyDescent="0.3">
      <c r="A10" s="212" t="s">
        <v>102</v>
      </c>
      <c r="B10" s="207" t="s">
        <v>103</v>
      </c>
      <c r="C10" s="207" t="s">
        <v>104</v>
      </c>
      <c r="D10" s="207"/>
      <c r="E10" s="207"/>
      <c r="F10" s="207"/>
      <c r="G10" s="207"/>
      <c r="H10" s="207" t="s">
        <v>105</v>
      </c>
      <c r="I10" s="207" t="s">
        <v>106</v>
      </c>
      <c r="J10" s="208" t="s">
        <v>107</v>
      </c>
      <c r="K10" s="205" t="s">
        <v>108</v>
      </c>
    </row>
    <row r="11" spans="1:13" ht="36.75" customHeight="1" thickBot="1" x14ac:dyDescent="0.3">
      <c r="A11" s="212"/>
      <c r="B11" s="207"/>
      <c r="C11" s="207"/>
      <c r="D11" s="207"/>
      <c r="E11" s="207"/>
      <c r="F11" s="207"/>
      <c r="G11" s="207"/>
      <c r="H11" s="207"/>
      <c r="I11" s="207"/>
      <c r="J11" s="208"/>
      <c r="K11" s="205"/>
    </row>
    <row r="12" spans="1:13" s="137" customFormat="1" x14ac:dyDescent="0.25">
      <c r="A12" s="88">
        <v>1</v>
      </c>
      <c r="B12" s="126"/>
      <c r="C12" s="206" t="str">
        <f>'SAF 011 - NECESIDAD TRIMESTRAL'!E10</f>
        <v>ANSA CALIBRADA PS DE 10 ul ESTERIL-ENVASE INDIVIDUAL X 20 U Tipo DELTALAB</v>
      </c>
      <c r="D12" s="206"/>
      <c r="E12" s="206"/>
      <c r="F12" s="206"/>
      <c r="G12" s="206"/>
      <c r="H12" s="126" t="s">
        <v>169</v>
      </c>
      <c r="I12" s="134" t="str">
        <f>'SAF 011 - NECESIDAD TRIMESTRAL'!F10</f>
        <v>BOLSA</v>
      </c>
      <c r="J12" s="135">
        <f>'SAF 011 - NECESIDAD TRIMESTRAL'!AX10</f>
        <v>640</v>
      </c>
      <c r="K12" s="136">
        <f>'SAF 011 - NECESIDAD TRIMESTRAL'!K10</f>
        <v>50</v>
      </c>
      <c r="M12" s="187">
        <f>+J12*K12</f>
        <v>32000</v>
      </c>
    </row>
    <row r="13" spans="1:13" s="137" customFormat="1" ht="15.75" customHeight="1" x14ac:dyDescent="0.25">
      <c r="A13" s="146">
        <v>2</v>
      </c>
      <c r="B13" s="147"/>
      <c r="C13" s="202" t="str">
        <f>'SAF 011 - NECESIDAD TRIMESTRAL'!E18</f>
        <v>CUBETA PARA FIBRINTIMER x 500 UN. Tipo WIENER</v>
      </c>
      <c r="D13" s="203"/>
      <c r="E13" s="203"/>
      <c r="F13" s="203"/>
      <c r="G13" s="204"/>
      <c r="H13" s="147" t="s">
        <v>169</v>
      </c>
      <c r="I13" s="148" t="str">
        <f>'SAF 011 - NECESIDAD TRIMESTRAL'!F18</f>
        <v>CAJA</v>
      </c>
      <c r="J13" s="149">
        <f>'SAF 011 - NECESIDAD TRIMESTRAL'!AX18</f>
        <v>25860</v>
      </c>
      <c r="K13" s="150">
        <f>'SAF 011 - NECESIDAD TRIMESTRAL'!K18</f>
        <v>10</v>
      </c>
      <c r="M13" s="187">
        <f t="shared" ref="M13:M23" si="0">+J13*K13</f>
        <v>258600</v>
      </c>
    </row>
    <row r="14" spans="1:13" s="137" customFormat="1" ht="15.75" customHeight="1" x14ac:dyDescent="0.25">
      <c r="A14" s="146">
        <v>3</v>
      </c>
      <c r="B14" s="147"/>
      <c r="C14" s="202" t="str">
        <f>'SAF 011 - NECESIDAD TRIMESTRAL'!E19</f>
        <v>CUBETAS SERIE X 500 UN Tipo TECO GMBH (ALEMANIA)</v>
      </c>
      <c r="D14" s="203"/>
      <c r="E14" s="203"/>
      <c r="F14" s="203"/>
      <c r="G14" s="204"/>
      <c r="H14" s="147" t="s">
        <v>169</v>
      </c>
      <c r="I14" s="148" t="str">
        <f>'SAF 011 - NECESIDAD TRIMESTRAL'!F19</f>
        <v>CAJA</v>
      </c>
      <c r="J14" s="149">
        <f>'SAF 011 - NECESIDAD TRIMESTRAL'!AX19</f>
        <v>14372</v>
      </c>
      <c r="K14" s="150">
        <f>'SAF 011 - NECESIDAD TRIMESTRAL'!K19</f>
        <v>20</v>
      </c>
      <c r="M14" s="187">
        <f t="shared" si="0"/>
        <v>287440</v>
      </c>
    </row>
    <row r="15" spans="1:13" s="137" customFormat="1" ht="15.75" customHeight="1" x14ac:dyDescent="0.25">
      <c r="A15" s="146">
        <v>4</v>
      </c>
      <c r="B15" s="147"/>
      <c r="C15" s="202" t="str">
        <f>'SAF 011 - NECESIDAD TRIMESTRAL'!E22</f>
        <v>ERITUBO CON CITRATO 3,8% + PIPETA PARA ERITROSEDIMENTACION 1 ML (BOLSA X 100 UN) Tipo VITIS</v>
      </c>
      <c r="D15" s="203"/>
      <c r="E15" s="203"/>
      <c r="F15" s="203"/>
      <c r="G15" s="204"/>
      <c r="H15" s="147" t="s">
        <v>169</v>
      </c>
      <c r="I15" s="148" t="str">
        <f>'SAF 011 - NECESIDAD TRIMESTRAL'!F22</f>
        <v>BOLSA</v>
      </c>
      <c r="J15" s="149">
        <f>'SAF 011 - NECESIDAD TRIMESTRAL'!AX22</f>
        <v>6229</v>
      </c>
      <c r="K15" s="150">
        <f>'SAF 011 - NECESIDAD TRIMESTRAL'!K22</f>
        <v>5</v>
      </c>
      <c r="M15" s="187">
        <f t="shared" si="0"/>
        <v>31145</v>
      </c>
    </row>
    <row r="16" spans="1:13" s="137" customFormat="1" ht="15.75" customHeight="1" x14ac:dyDescent="0.25">
      <c r="A16" s="249">
        <v>5</v>
      </c>
      <c r="B16" s="250"/>
      <c r="C16" s="251" t="str">
        <f>'SAF 011 - NECESIDAD TRIMESTRAL'!E26</f>
        <v xml:space="preserve">GOMA LATEX/EXTRACCION CAJA X 10 U TIPO DELTALAB </v>
      </c>
      <c r="D16" s="252"/>
      <c r="E16" s="252"/>
      <c r="F16" s="252"/>
      <c r="G16" s="253"/>
      <c r="H16" s="250" t="s">
        <v>169</v>
      </c>
      <c r="I16" s="254" t="str">
        <f>'SAF 011 - NECESIDAD TRIMESTRAL'!F26</f>
        <v>CAJA</v>
      </c>
      <c r="J16" s="255">
        <f>'SAF 011 - NECESIDAD TRIMESTRAL'!AX26</f>
        <v>300</v>
      </c>
      <c r="K16" s="256">
        <f>'SAF 011 - NECESIDAD TRIMESTRAL'!K26</f>
        <v>20</v>
      </c>
      <c r="L16" s="257" t="s">
        <v>193</v>
      </c>
      <c r="M16" s="187">
        <f t="shared" si="0"/>
        <v>6000</v>
      </c>
    </row>
    <row r="17" spans="1:13" s="137" customFormat="1" ht="15.75" customHeight="1" x14ac:dyDescent="0.25">
      <c r="A17" s="146">
        <v>6</v>
      </c>
      <c r="B17" s="147"/>
      <c r="C17" s="202" t="str">
        <f>'SAF 011 - NECESIDAD TRIMESTRAL'!E27</f>
        <v>GRADILLAS PARA TUBOS DE KAHN</v>
      </c>
      <c r="D17" s="203"/>
      <c r="E17" s="203"/>
      <c r="F17" s="203"/>
      <c r="G17" s="204"/>
      <c r="H17" s="147" t="s">
        <v>169</v>
      </c>
      <c r="I17" s="148" t="str">
        <f>'SAF 011 - NECESIDAD TRIMESTRAL'!F27</f>
        <v>UNIDAD</v>
      </c>
      <c r="J17" s="149">
        <f>'SAF 011 - NECESIDAD TRIMESTRAL'!AX27</f>
        <v>3866</v>
      </c>
      <c r="K17" s="150">
        <f>'SAF 011 - NECESIDAD TRIMESTRAL'!K27</f>
        <v>50</v>
      </c>
      <c r="M17" s="187">
        <f t="shared" si="0"/>
        <v>193300</v>
      </c>
    </row>
    <row r="18" spans="1:13" s="137" customFormat="1" ht="15.75" customHeight="1" x14ac:dyDescent="0.25">
      <c r="A18" s="146">
        <v>7</v>
      </c>
      <c r="B18" s="147"/>
      <c r="C18" s="202" t="str">
        <f>'SAF 011 - NECESIDAD TRIMESTRAL'!E30</f>
        <v>MANOPLAS DE POLIETILENO x 100 U</v>
      </c>
      <c r="D18" s="203"/>
      <c r="E18" s="203"/>
      <c r="F18" s="203"/>
      <c r="G18" s="204"/>
      <c r="H18" s="147" t="s">
        <v>169</v>
      </c>
      <c r="I18" s="148" t="str">
        <f>'SAF 011 - NECESIDAD TRIMESTRAL'!F30</f>
        <v>BOLSA</v>
      </c>
      <c r="J18" s="149">
        <f>'SAF 011 - NECESIDAD TRIMESTRAL'!AX30</f>
        <v>179</v>
      </c>
      <c r="K18" s="150">
        <f>'SAF 011 - NECESIDAD TRIMESTRAL'!K30</f>
        <v>200</v>
      </c>
      <c r="M18" s="187">
        <f t="shared" si="0"/>
        <v>35800</v>
      </c>
    </row>
    <row r="19" spans="1:13" s="137" customFormat="1" ht="15.75" customHeight="1" x14ac:dyDescent="0.25">
      <c r="A19" s="249">
        <v>8</v>
      </c>
      <c r="B19" s="250"/>
      <c r="C19" s="251" t="str">
        <f>'SAF 011 - NECESIDAD TRIMESTRAL'!E36</f>
        <v xml:space="preserve">PAPEL para contador MINDRAY </v>
      </c>
      <c r="D19" s="252"/>
      <c r="E19" s="252"/>
      <c r="F19" s="252"/>
      <c r="G19" s="253"/>
      <c r="H19" s="250" t="s">
        <v>169</v>
      </c>
      <c r="I19" s="254" t="str">
        <f>'SAF 011 - NECESIDAD TRIMESTRAL'!F36</f>
        <v>UNIDAD</v>
      </c>
      <c r="J19" s="255">
        <f>'SAF 011 - NECESIDAD TRIMESTRAL'!AX36</f>
        <v>714</v>
      </c>
      <c r="K19" s="256">
        <f>'SAF 011 - NECESIDAD TRIMESTRAL'!K36</f>
        <v>90</v>
      </c>
      <c r="L19" s="257" t="s">
        <v>194</v>
      </c>
      <c r="M19" s="187">
        <f t="shared" si="0"/>
        <v>64260</v>
      </c>
    </row>
    <row r="20" spans="1:13" s="137" customFormat="1" ht="15.75" customHeight="1" x14ac:dyDescent="0.25">
      <c r="A20" s="146">
        <v>9</v>
      </c>
      <c r="B20" s="147"/>
      <c r="C20" s="202" t="str">
        <f>'SAF 011 - NECESIDAD TRIMESTRAL'!E39</f>
        <v>PISETA 500 Ml</v>
      </c>
      <c r="D20" s="203"/>
      <c r="E20" s="203"/>
      <c r="F20" s="203"/>
      <c r="G20" s="204"/>
      <c r="H20" s="147" t="s">
        <v>169</v>
      </c>
      <c r="I20" s="148" t="str">
        <f>'SAF 011 - NECESIDAD TRIMESTRAL'!F39</f>
        <v>BOTELLA</v>
      </c>
      <c r="J20" s="149">
        <f>'SAF 011 - NECESIDAD TRIMESTRAL'!AX39</f>
        <v>890</v>
      </c>
      <c r="K20" s="150">
        <f>'SAF 011 - NECESIDAD TRIMESTRAL'!K39</f>
        <v>30</v>
      </c>
      <c r="M20" s="187">
        <f t="shared" si="0"/>
        <v>26700</v>
      </c>
    </row>
    <row r="21" spans="1:13" s="137" customFormat="1" ht="15.75" customHeight="1" x14ac:dyDescent="0.25">
      <c r="A21" s="146">
        <v>10</v>
      </c>
      <c r="B21" s="147"/>
      <c r="C21" s="202" t="str">
        <f>'SAF 011 - NECESIDAD TRIMESTRAL'!E44</f>
        <v>TIMER DIGITAL 5 ALARMAS Tipo KINDER</v>
      </c>
      <c r="D21" s="203"/>
      <c r="E21" s="203"/>
      <c r="F21" s="203"/>
      <c r="G21" s="204"/>
      <c r="H21" s="147" t="s">
        <v>169</v>
      </c>
      <c r="I21" s="148" t="str">
        <f>'SAF 011 - NECESIDAD TRIMESTRAL'!F44</f>
        <v>UNIDAD</v>
      </c>
      <c r="J21" s="149">
        <f>'SAF 011 - NECESIDAD TRIMESTRAL'!AX44</f>
        <v>1781</v>
      </c>
      <c r="K21" s="150">
        <f>'SAF 011 - NECESIDAD TRIMESTRAL'!K44</f>
        <v>20</v>
      </c>
      <c r="M21" s="187">
        <f t="shared" si="0"/>
        <v>35620</v>
      </c>
    </row>
    <row r="22" spans="1:13" s="137" customFormat="1" ht="15.75" customHeight="1" x14ac:dyDescent="0.25">
      <c r="A22" s="249">
        <v>11</v>
      </c>
      <c r="B22" s="250"/>
      <c r="C22" s="251" t="str">
        <f>'SAF 011 - NECESIDAD TRIMESTRAL'!E50</f>
        <v>TUBO  DE CALIBRACION DE GASES P/TS2 Tipo OPTI MEDICAL (USA)</v>
      </c>
      <c r="D22" s="252"/>
      <c r="E22" s="252"/>
      <c r="F22" s="252"/>
      <c r="G22" s="253"/>
      <c r="H22" s="250" t="s">
        <v>169</v>
      </c>
      <c r="I22" s="254" t="str">
        <f>'SAF 011 - NECESIDAD TRIMESTRAL'!F50</f>
        <v>GARRAFA</v>
      </c>
      <c r="J22" s="255">
        <f>'SAF 011 - NECESIDAD TRIMESTRAL'!AX50</f>
        <v>43657</v>
      </c>
      <c r="K22" s="256">
        <f>'SAF 011 - NECESIDAD TRIMESTRAL'!K50</f>
        <v>10</v>
      </c>
      <c r="L22" s="257" t="s">
        <v>189</v>
      </c>
      <c r="M22" s="187">
        <f t="shared" si="0"/>
        <v>436570</v>
      </c>
    </row>
    <row r="23" spans="1:13" s="137" customFormat="1" ht="15.75" customHeight="1" x14ac:dyDescent="0.25">
      <c r="A23" s="146">
        <v>12</v>
      </c>
      <c r="B23" s="147"/>
      <c r="C23" s="202" t="str">
        <f>'SAF 011 - NECESIDAD TRIMESTRAL'!E52</f>
        <v>TUBO DE KAHN DE VIDRIO</v>
      </c>
      <c r="D23" s="203"/>
      <c r="E23" s="203"/>
      <c r="F23" s="203"/>
      <c r="G23" s="204"/>
      <c r="H23" s="147" t="s">
        <v>169</v>
      </c>
      <c r="I23" s="148" t="str">
        <f>'SAF 011 - NECESIDAD TRIMESTRAL'!F52</f>
        <v>UNIDAD</v>
      </c>
      <c r="J23" s="149">
        <f>'SAF 011 - NECESIDAD TRIMESTRAL'!AX52</f>
        <v>27</v>
      </c>
      <c r="K23" s="150">
        <f>'SAF 011 - NECESIDAD TRIMESTRAL'!K52</f>
        <v>5000</v>
      </c>
      <c r="M23" s="187">
        <f t="shared" si="0"/>
        <v>135000</v>
      </c>
    </row>
    <row r="24" spans="1:13" s="137" customFormat="1" ht="15.75" thickBot="1" x14ac:dyDescent="0.3">
      <c r="A24" s="182"/>
      <c r="B24" s="183"/>
      <c r="C24" s="201"/>
      <c r="D24" s="201"/>
      <c r="E24" s="201"/>
      <c r="F24" s="201"/>
      <c r="G24" s="201"/>
      <c r="H24" s="183"/>
      <c r="I24" s="184"/>
      <c r="J24" s="185"/>
      <c r="K24" s="186"/>
      <c r="M24" s="187"/>
    </row>
    <row r="25" spans="1:13" ht="19.5" thickBot="1" x14ac:dyDescent="0.3">
      <c r="A25" s="200" t="s">
        <v>183</v>
      </c>
      <c r="B25" s="200"/>
      <c r="C25" s="200"/>
      <c r="D25" s="200"/>
      <c r="E25" s="200"/>
      <c r="F25" s="200"/>
      <c r="G25" s="200"/>
      <c r="H25" s="200"/>
      <c r="I25" s="200"/>
      <c r="J25" s="198">
        <f>SUMPRODUCT(J12:J23,K12:K23)</f>
        <v>1542435</v>
      </c>
      <c r="K25" s="199"/>
      <c r="M25" s="187">
        <f>SUM(M12:M24)</f>
        <v>1542435</v>
      </c>
    </row>
    <row r="27" spans="1:13" x14ac:dyDescent="0.25">
      <c r="I27">
        <v>640</v>
      </c>
      <c r="J27" s="133">
        <v>50</v>
      </c>
      <c r="K27" s="133">
        <f>I27*J27</f>
        <v>32000</v>
      </c>
      <c r="M27" s="187">
        <f>+M25-M19</f>
        <v>1478175</v>
      </c>
    </row>
    <row r="28" spans="1:13" x14ac:dyDescent="0.25">
      <c r="I28">
        <v>25860</v>
      </c>
      <c r="J28" s="133">
        <v>10</v>
      </c>
      <c r="K28" s="133">
        <f t="shared" ref="K28:K38" si="1">I28*J28</f>
        <v>258600</v>
      </c>
    </row>
    <row r="29" spans="1:13" x14ac:dyDescent="0.25">
      <c r="I29">
        <v>14372</v>
      </c>
      <c r="J29" s="133">
        <v>20</v>
      </c>
      <c r="K29" s="133">
        <f t="shared" si="1"/>
        <v>287440</v>
      </c>
    </row>
    <row r="30" spans="1:13" x14ac:dyDescent="0.25">
      <c r="I30">
        <v>6229</v>
      </c>
      <c r="J30" s="133">
        <v>5</v>
      </c>
      <c r="K30" s="133">
        <f t="shared" si="1"/>
        <v>31145</v>
      </c>
    </row>
    <row r="31" spans="1:13" x14ac:dyDescent="0.25">
      <c r="I31">
        <v>300</v>
      </c>
      <c r="J31" s="133">
        <v>20</v>
      </c>
      <c r="K31" s="133">
        <f t="shared" si="1"/>
        <v>6000</v>
      </c>
    </row>
    <row r="32" spans="1:13" x14ac:dyDescent="0.25">
      <c r="I32">
        <v>3866</v>
      </c>
      <c r="J32" s="133">
        <v>50</v>
      </c>
      <c r="K32" s="133">
        <f t="shared" si="1"/>
        <v>193300</v>
      </c>
    </row>
    <row r="33" spans="9:11" x14ac:dyDescent="0.25">
      <c r="I33">
        <v>179</v>
      </c>
      <c r="J33" s="133">
        <v>200</v>
      </c>
      <c r="K33" s="133">
        <f t="shared" si="1"/>
        <v>35800</v>
      </c>
    </row>
    <row r="34" spans="9:11" x14ac:dyDescent="0.25">
      <c r="I34">
        <v>714</v>
      </c>
      <c r="J34" s="133">
        <v>90</v>
      </c>
      <c r="K34" s="133">
        <f t="shared" si="1"/>
        <v>64260</v>
      </c>
    </row>
    <row r="35" spans="9:11" x14ac:dyDescent="0.25">
      <c r="I35">
        <v>890</v>
      </c>
      <c r="J35" s="133">
        <v>30</v>
      </c>
      <c r="K35" s="133">
        <f t="shared" si="1"/>
        <v>26700</v>
      </c>
    </row>
    <row r="36" spans="9:11" x14ac:dyDescent="0.25">
      <c r="I36">
        <v>1781</v>
      </c>
      <c r="J36" s="133">
        <v>20</v>
      </c>
      <c r="K36" s="133">
        <f t="shared" si="1"/>
        <v>35620</v>
      </c>
    </row>
    <row r="37" spans="9:11" x14ac:dyDescent="0.25">
      <c r="I37">
        <v>43657</v>
      </c>
      <c r="J37" s="133">
        <v>10</v>
      </c>
      <c r="K37" s="133">
        <f t="shared" si="1"/>
        <v>436570</v>
      </c>
    </row>
    <row r="38" spans="9:11" x14ac:dyDescent="0.25">
      <c r="I38">
        <v>27</v>
      </c>
      <c r="J38" s="133">
        <v>5000</v>
      </c>
      <c r="K38" s="133">
        <f t="shared" si="1"/>
        <v>135000</v>
      </c>
    </row>
    <row r="39" spans="9:11" x14ac:dyDescent="0.25">
      <c r="K39" s="133">
        <f>SUM(K27:K38)</f>
        <v>1542435</v>
      </c>
    </row>
  </sheetData>
  <mergeCells count="29">
    <mergeCell ref="C18:G18"/>
    <mergeCell ref="C19:G19"/>
    <mergeCell ref="A1:I1"/>
    <mergeCell ref="A3:C3"/>
    <mergeCell ref="A4:C4"/>
    <mergeCell ref="A5:C5"/>
    <mergeCell ref="A10:A11"/>
    <mergeCell ref="B10:B11"/>
    <mergeCell ref="C10:G11"/>
    <mergeCell ref="H10:H11"/>
    <mergeCell ref="A6:C6"/>
    <mergeCell ref="A7:C7"/>
    <mergeCell ref="A8:C8"/>
    <mergeCell ref="J25:K25"/>
    <mergeCell ref="A25:I25"/>
    <mergeCell ref="C24:G24"/>
    <mergeCell ref="C23:G23"/>
    <mergeCell ref="K10:K11"/>
    <mergeCell ref="C12:G12"/>
    <mergeCell ref="I10:I11"/>
    <mergeCell ref="J10:J11"/>
    <mergeCell ref="C21:G21"/>
    <mergeCell ref="C22:G22"/>
    <mergeCell ref="C13:G13"/>
    <mergeCell ref="C14:G14"/>
    <mergeCell ref="C20:G20"/>
    <mergeCell ref="C15:G15"/>
    <mergeCell ref="C16:G16"/>
    <mergeCell ref="C17:G1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2"/>
  <sheetViews>
    <sheetView topLeftCell="A13" workbookViewId="0">
      <selection activeCell="T35" sqref="T35"/>
    </sheetView>
  </sheetViews>
  <sheetFormatPr baseColWidth="10" defaultRowHeight="15" x14ac:dyDescent="0.25"/>
  <cols>
    <col min="1" max="5" width="4.42578125" customWidth="1"/>
    <col min="6" max="6" width="5" bestFit="1" customWidth="1"/>
    <col min="7" max="14" width="4.42578125" customWidth="1"/>
    <col min="15" max="15" width="14.85546875" customWidth="1"/>
    <col min="16" max="16" width="17.7109375" customWidth="1"/>
    <col min="17" max="17" width="14.7109375" style="133" customWidth="1"/>
  </cols>
  <sheetData>
    <row r="1" spans="1:17" ht="15.75" thickBot="1" x14ac:dyDescent="0.3">
      <c r="A1" s="231" t="s">
        <v>5</v>
      </c>
      <c r="B1" s="231"/>
      <c r="C1" s="231"/>
      <c r="D1" s="232">
        <v>2022</v>
      </c>
      <c r="E1" s="232"/>
      <c r="F1" s="90"/>
      <c r="G1" s="90"/>
      <c r="H1" s="91"/>
      <c r="I1" s="91"/>
      <c r="J1" s="91"/>
      <c r="K1" s="91"/>
      <c r="L1" s="91"/>
      <c r="M1" s="91"/>
      <c r="N1" s="91"/>
      <c r="O1" s="92"/>
      <c r="P1" s="233" t="s">
        <v>109</v>
      </c>
      <c r="Q1" s="233"/>
    </row>
    <row r="2" spans="1:17" ht="15.75" thickBot="1" x14ac:dyDescent="0.3">
      <c r="A2" s="93"/>
      <c r="B2" s="94"/>
      <c r="C2" s="94"/>
      <c r="D2" s="94"/>
      <c r="E2" s="94"/>
      <c r="F2" s="94"/>
      <c r="G2" s="95"/>
      <c r="H2" s="96"/>
      <c r="I2" s="96"/>
      <c r="J2" s="96"/>
      <c r="K2" s="96"/>
      <c r="L2" s="96"/>
      <c r="M2" s="96"/>
      <c r="N2" s="96"/>
      <c r="O2" s="94"/>
      <c r="P2" s="233"/>
      <c r="Q2" s="233"/>
    </row>
    <row r="3" spans="1:17" ht="15.75" thickBot="1" x14ac:dyDescent="0.3">
      <c r="A3" s="93"/>
      <c r="B3" s="94"/>
      <c r="C3" s="94"/>
      <c r="D3" s="94"/>
      <c r="E3" s="94"/>
      <c r="F3" s="94"/>
      <c r="G3" s="95"/>
      <c r="H3" s="94"/>
      <c r="I3" s="94"/>
      <c r="J3" s="94"/>
      <c r="K3" s="94"/>
      <c r="L3" s="94"/>
      <c r="M3" s="94"/>
      <c r="N3" s="94"/>
      <c r="O3" s="94"/>
      <c r="P3" s="94"/>
      <c r="Q3" s="140"/>
    </row>
    <row r="4" spans="1:17" ht="15.75" thickBot="1" x14ac:dyDescent="0.3">
      <c r="A4" s="234" t="s">
        <v>110</v>
      </c>
      <c r="B4" s="234"/>
      <c r="C4" s="234"/>
      <c r="D4" s="234"/>
      <c r="E4" s="234"/>
      <c r="F4" s="234"/>
      <c r="G4" s="235" t="str">
        <f>'NP DPLAB'!D3</f>
        <v>040 - MINISTERIO DE SALUD</v>
      </c>
      <c r="H4" s="235"/>
      <c r="I4" s="235"/>
      <c r="J4" s="235"/>
      <c r="K4" s="235"/>
      <c r="L4" s="235"/>
      <c r="M4" s="235"/>
      <c r="N4" s="235"/>
      <c r="O4" s="235"/>
      <c r="P4" s="235"/>
      <c r="Q4" s="235"/>
    </row>
    <row r="5" spans="1:17" ht="15.75" thickBot="1" x14ac:dyDescent="0.3">
      <c r="A5" s="236" t="s">
        <v>97</v>
      </c>
      <c r="B5" s="236"/>
      <c r="C5" s="236"/>
      <c r="D5" s="236"/>
      <c r="E5" s="236"/>
      <c r="F5" s="236"/>
      <c r="G5" s="235" t="str">
        <f>'NP DPLAB'!D4</f>
        <v>011 - DIRECCION PROVINCIAL DE ADMINISTRACION DEL MINISTERIO DE SALUD</v>
      </c>
      <c r="H5" s="235"/>
      <c r="I5" s="235"/>
      <c r="J5" s="235"/>
      <c r="K5" s="235"/>
      <c r="L5" s="235"/>
      <c r="M5" s="235"/>
      <c r="N5" s="235"/>
      <c r="O5" s="235"/>
      <c r="P5" s="235"/>
      <c r="Q5" s="235"/>
    </row>
    <row r="6" spans="1:17" ht="15.75" thickBot="1" x14ac:dyDescent="0.3">
      <c r="A6" s="236" t="s">
        <v>98</v>
      </c>
      <c r="B6" s="236"/>
      <c r="C6" s="236"/>
      <c r="D6" s="236"/>
      <c r="E6" s="236"/>
      <c r="F6" s="236"/>
      <c r="G6" s="235" t="str">
        <f>'NP DPLAB'!D5</f>
        <v>468 - DIRECCION PROVINCIAL DE LABORATORIO</v>
      </c>
      <c r="H6" s="235"/>
      <c r="I6" s="235"/>
      <c r="J6" s="235"/>
      <c r="K6" s="235"/>
      <c r="L6" s="235"/>
      <c r="M6" s="235"/>
      <c r="N6" s="235"/>
      <c r="O6" s="235"/>
      <c r="P6" s="235"/>
      <c r="Q6" s="235"/>
    </row>
    <row r="7" spans="1:17" ht="15.75" thickBot="1" x14ac:dyDescent="0.3">
      <c r="A7" s="236" t="s">
        <v>99</v>
      </c>
      <c r="B7" s="236"/>
      <c r="C7" s="236"/>
      <c r="D7" s="236"/>
      <c r="E7" s="236"/>
      <c r="F7" s="236"/>
      <c r="G7" s="235" t="str">
        <f>'NP DPLAB'!D6</f>
        <v>468 - DIRECCION PROVINCIAL DE LABORATORIO</v>
      </c>
      <c r="H7" s="235"/>
      <c r="I7" s="235"/>
      <c r="J7" s="235"/>
      <c r="K7" s="235"/>
      <c r="L7" s="235"/>
      <c r="M7" s="235"/>
      <c r="N7" s="235"/>
      <c r="O7" s="235"/>
      <c r="P7" s="235"/>
      <c r="Q7" s="235"/>
    </row>
    <row r="8" spans="1:17" ht="15.75" thickBot="1" x14ac:dyDescent="0.3">
      <c r="A8" s="237" t="s">
        <v>111</v>
      </c>
      <c r="B8" s="237"/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  <c r="Q8" s="237"/>
    </row>
    <row r="9" spans="1:17" x14ac:dyDescent="0.25">
      <c r="A9" s="230" t="s">
        <v>112</v>
      </c>
      <c r="B9" s="230"/>
      <c r="C9" s="230"/>
      <c r="D9" s="230"/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  <c r="Q9" s="230"/>
    </row>
    <row r="10" spans="1:17" ht="75" customHeight="1" x14ac:dyDescent="0.25">
      <c r="A10" s="223" t="s">
        <v>173</v>
      </c>
      <c r="B10" s="223"/>
      <c r="C10" s="223"/>
      <c r="D10" s="223"/>
      <c r="E10" s="223"/>
      <c r="F10" s="223"/>
      <c r="G10" s="223"/>
      <c r="H10" s="223"/>
      <c r="I10" s="223"/>
      <c r="J10" s="223"/>
      <c r="K10" s="223"/>
      <c r="L10" s="223"/>
      <c r="M10" s="223"/>
      <c r="N10" s="223"/>
      <c r="O10" s="223"/>
      <c r="P10" s="223"/>
      <c r="Q10" s="223"/>
    </row>
    <row r="11" spans="1:17" ht="15.75" thickBot="1" x14ac:dyDescent="0.3">
      <c r="A11" s="97"/>
      <c r="B11" s="98"/>
      <c r="C11" s="98"/>
      <c r="D11" s="98"/>
      <c r="E11" s="98"/>
      <c r="F11" s="98"/>
      <c r="G11" s="99"/>
      <c r="H11" s="98"/>
      <c r="I11" s="98"/>
      <c r="J11" s="98"/>
      <c r="K11" s="98"/>
      <c r="L11" s="98"/>
      <c r="M11" s="98"/>
      <c r="N11" s="98"/>
      <c r="O11" s="98"/>
      <c r="P11" s="98"/>
      <c r="Q11" s="141"/>
    </row>
    <row r="12" spans="1:17" ht="15.75" thickBot="1" x14ac:dyDescent="0.3">
      <c r="A12" s="224" t="s">
        <v>113</v>
      </c>
      <c r="B12" s="224"/>
      <c r="C12" s="224"/>
      <c r="D12" s="224"/>
      <c r="E12" s="224"/>
      <c r="F12" s="224"/>
      <c r="G12" s="224"/>
      <c r="H12" s="224"/>
      <c r="I12" s="224"/>
      <c r="J12" s="224"/>
      <c r="K12" s="224"/>
      <c r="L12" s="224"/>
      <c r="M12" s="224"/>
      <c r="N12" s="224"/>
      <c r="O12" s="224"/>
      <c r="P12" s="224"/>
      <c r="Q12" s="224"/>
    </row>
    <row r="13" spans="1:17" ht="15.75" thickBot="1" x14ac:dyDescent="0.3">
      <c r="A13" s="225" t="s">
        <v>114</v>
      </c>
      <c r="B13" s="225"/>
      <c r="C13" s="225"/>
      <c r="D13" s="225"/>
      <c r="E13" s="225"/>
      <c r="F13" s="225"/>
      <c r="G13" s="225"/>
      <c r="H13" s="225"/>
      <c r="I13" s="225"/>
      <c r="J13" s="225"/>
      <c r="K13" s="225"/>
      <c r="L13" s="225"/>
      <c r="M13" s="225"/>
      <c r="N13" s="225"/>
      <c r="O13" s="226" t="s">
        <v>115</v>
      </c>
      <c r="P13" s="226"/>
      <c r="Q13" s="227" t="s">
        <v>116</v>
      </c>
    </row>
    <row r="14" spans="1:17" ht="15.75" thickBot="1" x14ac:dyDescent="0.3">
      <c r="A14" s="100" t="s">
        <v>117</v>
      </c>
      <c r="B14" s="101" t="s">
        <v>118</v>
      </c>
      <c r="C14" s="101" t="s">
        <v>119</v>
      </c>
      <c r="D14" s="101" t="s">
        <v>120</v>
      </c>
      <c r="E14" s="101" t="s">
        <v>121</v>
      </c>
      <c r="F14" s="101" t="s">
        <v>122</v>
      </c>
      <c r="G14" s="102" t="s">
        <v>123</v>
      </c>
      <c r="H14" s="101" t="s">
        <v>124</v>
      </c>
      <c r="I14" s="101" t="s">
        <v>125</v>
      </c>
      <c r="J14" s="101" t="s">
        <v>126</v>
      </c>
      <c r="K14" s="101" t="s">
        <v>126</v>
      </c>
      <c r="L14" s="101" t="s">
        <v>127</v>
      </c>
      <c r="M14" s="103" t="s">
        <v>128</v>
      </c>
      <c r="N14" s="104" t="s">
        <v>129</v>
      </c>
      <c r="O14" s="226"/>
      <c r="P14" s="226"/>
      <c r="Q14" s="227"/>
    </row>
    <row r="15" spans="1:17" ht="30" customHeight="1" x14ac:dyDescent="0.25">
      <c r="A15" s="105">
        <v>62</v>
      </c>
      <c r="B15" s="106"/>
      <c r="C15" s="106"/>
      <c r="D15" s="106">
        <v>1</v>
      </c>
      <c r="E15" s="106"/>
      <c r="F15" s="106">
        <v>4901</v>
      </c>
      <c r="G15" s="106">
        <v>3</v>
      </c>
      <c r="H15" s="106">
        <v>1</v>
      </c>
      <c r="I15" s="106">
        <v>2</v>
      </c>
      <c r="J15" s="106">
        <v>9</v>
      </c>
      <c r="K15" s="106">
        <v>5</v>
      </c>
      <c r="L15" s="106"/>
      <c r="M15" s="107">
        <v>1</v>
      </c>
      <c r="N15" s="106" t="s">
        <v>134</v>
      </c>
      <c r="O15" s="228" t="s">
        <v>136</v>
      </c>
      <c r="P15" s="228"/>
      <c r="Q15" s="142">
        <f>'NP DPLAB'!M27</f>
        <v>1478175</v>
      </c>
    </row>
    <row r="16" spans="1:17" ht="28.5" customHeight="1" x14ac:dyDescent="0.25">
      <c r="A16" s="108">
        <v>62</v>
      </c>
      <c r="B16" s="109"/>
      <c r="C16" s="109"/>
      <c r="D16" s="109">
        <v>1</v>
      </c>
      <c r="E16" s="109"/>
      <c r="F16" s="109">
        <v>4901</v>
      </c>
      <c r="G16" s="109">
        <v>3</v>
      </c>
      <c r="H16" s="109">
        <v>1</v>
      </c>
      <c r="I16" s="109">
        <v>2</v>
      </c>
      <c r="J16" s="109">
        <v>3</v>
      </c>
      <c r="K16" s="109">
        <v>4</v>
      </c>
      <c r="L16" s="109"/>
      <c r="M16" s="110">
        <v>1</v>
      </c>
      <c r="N16" s="111" t="s">
        <v>134</v>
      </c>
      <c r="O16" s="217" t="s">
        <v>171</v>
      </c>
      <c r="P16" s="217"/>
      <c r="Q16" s="143">
        <f>'NP DPLAB'!M19</f>
        <v>64260</v>
      </c>
    </row>
    <row r="17" spans="1:17" x14ac:dyDescent="0.25">
      <c r="A17" s="108"/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10"/>
      <c r="N17" s="111"/>
      <c r="O17" s="229"/>
      <c r="P17" s="229"/>
      <c r="Q17" s="143"/>
    </row>
    <row r="18" spans="1:17" x14ac:dyDescent="0.25">
      <c r="A18" s="108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10"/>
      <c r="N18" s="111"/>
      <c r="O18" s="222"/>
      <c r="P18" s="222"/>
      <c r="Q18" s="143"/>
    </row>
    <row r="19" spans="1:17" x14ac:dyDescent="0.25">
      <c r="A19" s="108"/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10"/>
      <c r="N19" s="111"/>
      <c r="O19" s="222"/>
      <c r="P19" s="222"/>
      <c r="Q19" s="143"/>
    </row>
    <row r="20" spans="1:17" x14ac:dyDescent="0.25">
      <c r="A20" s="108"/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10"/>
      <c r="N20" s="111"/>
      <c r="O20" s="222"/>
      <c r="P20" s="222"/>
      <c r="Q20" s="143"/>
    </row>
    <row r="21" spans="1:17" x14ac:dyDescent="0.25">
      <c r="A21" s="108"/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10"/>
      <c r="N21" s="111"/>
      <c r="O21" s="222"/>
      <c r="P21" s="222"/>
      <c r="Q21" s="143"/>
    </row>
    <row r="22" spans="1:17" x14ac:dyDescent="0.25">
      <c r="A22" s="108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10"/>
      <c r="N22" s="111"/>
      <c r="O22" s="222"/>
      <c r="P22" s="222"/>
      <c r="Q22" s="143"/>
    </row>
    <row r="23" spans="1:17" x14ac:dyDescent="0.25">
      <c r="A23" s="108"/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10"/>
      <c r="N23" s="111"/>
      <c r="O23" s="222"/>
      <c r="P23" s="222"/>
      <c r="Q23" s="143"/>
    </row>
    <row r="24" spans="1:17" x14ac:dyDescent="0.25">
      <c r="A24" s="108"/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10"/>
      <c r="N24" s="111"/>
      <c r="O24" s="222"/>
      <c r="P24" s="222"/>
      <c r="Q24" s="143"/>
    </row>
    <row r="25" spans="1:17" x14ac:dyDescent="0.25">
      <c r="A25" s="108"/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10"/>
      <c r="N25" s="111"/>
      <c r="O25" s="222"/>
      <c r="P25" s="222"/>
      <c r="Q25" s="143"/>
    </row>
    <row r="26" spans="1:17" x14ac:dyDescent="0.25">
      <c r="A26" s="108"/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10"/>
      <c r="N26" s="111"/>
      <c r="O26" s="222"/>
      <c r="P26" s="222"/>
      <c r="Q26" s="143"/>
    </row>
    <row r="27" spans="1:17" x14ac:dyDescent="0.25">
      <c r="A27" s="108"/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10"/>
      <c r="N27" s="111"/>
      <c r="O27" s="222"/>
      <c r="P27" s="222"/>
      <c r="Q27" s="143"/>
    </row>
    <row r="28" spans="1:17" x14ac:dyDescent="0.25">
      <c r="A28" s="108"/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10"/>
      <c r="N28" s="111"/>
      <c r="O28" s="222"/>
      <c r="P28" s="222"/>
      <c r="Q28" s="143"/>
    </row>
    <row r="29" spans="1:17" x14ac:dyDescent="0.25">
      <c r="A29" s="108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10"/>
      <c r="N29" s="111"/>
      <c r="O29" s="222"/>
      <c r="P29" s="222"/>
      <c r="Q29" s="143"/>
    </row>
    <row r="30" spans="1:17" x14ac:dyDescent="0.25">
      <c r="A30" s="108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10"/>
      <c r="N30" s="111"/>
      <c r="O30" s="222"/>
      <c r="P30" s="222"/>
      <c r="Q30" s="143"/>
    </row>
    <row r="31" spans="1:17" x14ac:dyDescent="0.25">
      <c r="A31" s="108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10"/>
      <c r="N31" s="111"/>
      <c r="O31" s="222"/>
      <c r="P31" s="222"/>
      <c r="Q31" s="143"/>
    </row>
    <row r="32" spans="1:17" x14ac:dyDescent="0.25">
      <c r="A32" s="108"/>
      <c r="B32" s="109"/>
      <c r="C32" s="109"/>
      <c r="D32" s="109"/>
      <c r="E32" s="109"/>
      <c r="F32" s="111"/>
      <c r="G32" s="109"/>
      <c r="H32" s="109"/>
      <c r="I32" s="109"/>
      <c r="J32" s="109"/>
      <c r="K32" s="109"/>
      <c r="L32" s="109"/>
      <c r="M32" s="110"/>
      <c r="N32" s="111"/>
      <c r="O32" s="217"/>
      <c r="P32" s="217"/>
      <c r="Q32" s="143"/>
    </row>
    <row r="33" spans="1:17" x14ac:dyDescent="0.25">
      <c r="A33" s="108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10"/>
      <c r="N33" s="111"/>
      <c r="O33" s="217"/>
      <c r="P33" s="217"/>
      <c r="Q33" s="143"/>
    </row>
    <row r="34" spans="1:17" x14ac:dyDescent="0.25">
      <c r="A34" s="108"/>
      <c r="B34" s="109"/>
      <c r="C34" s="109"/>
      <c r="D34" s="109"/>
      <c r="E34" s="109"/>
      <c r="F34" s="111"/>
      <c r="G34" s="109"/>
      <c r="H34" s="109"/>
      <c r="I34" s="109"/>
      <c r="J34" s="109"/>
      <c r="K34" s="109"/>
      <c r="L34" s="109"/>
      <c r="M34" s="110"/>
      <c r="N34" s="111"/>
      <c r="O34" s="217"/>
      <c r="P34" s="217"/>
      <c r="Q34" s="143"/>
    </row>
    <row r="35" spans="1:17" x14ac:dyDescent="0.25">
      <c r="A35" s="108"/>
      <c r="B35" s="109"/>
      <c r="C35" s="109"/>
      <c r="D35" s="109"/>
      <c r="E35" s="109"/>
      <c r="F35" s="111"/>
      <c r="G35" s="109"/>
      <c r="H35" s="109"/>
      <c r="I35" s="109"/>
      <c r="J35" s="109"/>
      <c r="K35" s="109"/>
      <c r="L35" s="109"/>
      <c r="M35" s="110"/>
      <c r="N35" s="111"/>
      <c r="O35" s="217"/>
      <c r="P35" s="217"/>
      <c r="Q35" s="143"/>
    </row>
    <row r="36" spans="1:17" x14ac:dyDescent="0.25">
      <c r="A36" s="112"/>
      <c r="B36" s="113"/>
      <c r="C36" s="113"/>
      <c r="D36" s="113"/>
      <c r="E36" s="113"/>
      <c r="F36" s="114"/>
      <c r="G36" s="113"/>
      <c r="H36" s="113"/>
      <c r="I36" s="113"/>
      <c r="J36" s="113"/>
      <c r="K36" s="113"/>
      <c r="L36" s="113"/>
      <c r="M36" s="115"/>
      <c r="N36" s="116"/>
      <c r="O36" s="218"/>
      <c r="P36" s="218"/>
      <c r="Q36" s="143"/>
    </row>
    <row r="37" spans="1:17" ht="15.75" thickBot="1" x14ac:dyDescent="0.3">
      <c r="A37" s="117"/>
      <c r="B37" s="118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9"/>
      <c r="N37" s="118"/>
      <c r="O37" s="219"/>
      <c r="P37" s="219"/>
      <c r="Q37" s="144"/>
    </row>
    <row r="38" spans="1:17" ht="36" customHeight="1" thickBot="1" x14ac:dyDescent="0.3">
      <c r="A38" s="220" t="s">
        <v>184</v>
      </c>
      <c r="B38" s="220"/>
      <c r="C38" s="220"/>
      <c r="D38" s="220"/>
      <c r="E38" s="220"/>
      <c r="F38" s="220"/>
      <c r="G38" s="220"/>
      <c r="H38" s="220"/>
      <c r="I38" s="220"/>
      <c r="J38" s="220"/>
      <c r="K38" s="220"/>
      <c r="L38" s="220"/>
      <c r="M38" s="220"/>
      <c r="N38" s="220"/>
      <c r="O38" s="220"/>
      <c r="P38" s="220"/>
      <c r="Q38" s="145">
        <f>SUM(Q15:Q37)</f>
        <v>1542435</v>
      </c>
    </row>
    <row r="39" spans="1:17" ht="15.75" thickBot="1" x14ac:dyDescent="0.3">
      <c r="A39" s="221"/>
      <c r="B39" s="221"/>
      <c r="C39" s="221"/>
      <c r="D39" s="221"/>
      <c r="E39" s="221"/>
      <c r="F39" s="221"/>
      <c r="G39" s="221"/>
      <c r="H39" s="221"/>
      <c r="I39" s="221"/>
      <c r="J39" s="221"/>
      <c r="K39" s="221"/>
      <c r="L39" s="221"/>
      <c r="M39" s="221"/>
      <c r="N39" s="221"/>
      <c r="O39" s="221"/>
      <c r="P39" s="221"/>
      <c r="Q39" s="221"/>
    </row>
    <row r="40" spans="1:17" ht="15.75" thickBot="1" x14ac:dyDescent="0.3">
      <c r="A40" s="214" t="s">
        <v>130</v>
      </c>
      <c r="B40" s="214"/>
      <c r="C40" s="214"/>
      <c r="D40" s="214"/>
      <c r="E40" s="214"/>
      <c r="F40" s="214"/>
      <c r="G40" s="215"/>
      <c r="H40" s="215"/>
      <c r="I40" s="215"/>
      <c r="J40" s="215"/>
      <c r="K40" s="215"/>
      <c r="L40" s="215"/>
      <c r="M40" s="215"/>
      <c r="N40" s="215"/>
      <c r="O40" s="215"/>
      <c r="P40" s="215"/>
      <c r="Q40" s="215"/>
    </row>
    <row r="41" spans="1:17" ht="15.75" thickBot="1" x14ac:dyDescent="0.3">
      <c r="A41" s="216" t="str">
        <f>'NP DPLAB'!D8</f>
        <v>ADQUISICION DEL RUBRO DESCARTABLES PARA LABORATORIO</v>
      </c>
      <c r="B41" s="216"/>
      <c r="C41" s="216"/>
      <c r="D41" s="216"/>
      <c r="E41" s="216"/>
      <c r="F41" s="216"/>
      <c r="G41" s="216"/>
      <c r="H41" s="216"/>
      <c r="I41" s="216"/>
      <c r="J41" s="216"/>
      <c r="K41" s="216"/>
      <c r="L41" s="216"/>
      <c r="M41" s="216"/>
      <c r="N41" s="216"/>
      <c r="O41" s="216"/>
      <c r="P41" s="216"/>
      <c r="Q41" s="216"/>
    </row>
    <row r="42" spans="1:17" ht="15.75" thickBot="1" x14ac:dyDescent="0.3">
      <c r="A42" s="216"/>
      <c r="B42" s="216"/>
      <c r="C42" s="216"/>
      <c r="D42" s="216"/>
      <c r="E42" s="216"/>
      <c r="F42" s="216"/>
      <c r="G42" s="216"/>
      <c r="H42" s="216"/>
      <c r="I42" s="216"/>
      <c r="J42" s="216"/>
      <c r="K42" s="216"/>
      <c r="L42" s="216"/>
      <c r="M42" s="216"/>
      <c r="N42" s="216"/>
      <c r="O42" s="216"/>
      <c r="P42" s="216"/>
      <c r="Q42" s="216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3"/>
  <sheetViews>
    <sheetView topLeftCell="A3" workbookViewId="0">
      <selection activeCell="C27" sqref="C27:G27"/>
    </sheetView>
  </sheetViews>
  <sheetFormatPr baseColWidth="10" defaultRowHeight="15" x14ac:dyDescent="0.25"/>
  <cols>
    <col min="1" max="1" width="5.5703125" style="21" customWidth="1"/>
    <col min="2" max="2" width="15.140625" style="128" customWidth="1"/>
    <col min="3" max="3" width="14.140625" style="21" customWidth="1"/>
    <col min="4" max="4" width="26" style="21" customWidth="1"/>
    <col min="5" max="5" width="8" style="21" customWidth="1"/>
    <col min="6" max="6" width="7.85546875" style="21" customWidth="1"/>
    <col min="7" max="7" width="72.42578125" style="21" customWidth="1"/>
    <col min="8" max="8" width="9.28515625" style="21" customWidth="1"/>
    <col min="9" max="9" width="15.5703125" style="21" customWidth="1"/>
    <col min="10" max="10" width="14.7109375" style="133" customWidth="1"/>
    <col min="11" max="11" width="15.5703125" style="21" customWidth="1"/>
    <col min="12" max="16384" width="11.42578125" style="21"/>
  </cols>
  <sheetData>
    <row r="1" spans="1:12" ht="30.75" thickBot="1" x14ac:dyDescent="0.3">
      <c r="A1" s="209" t="s">
        <v>94</v>
      </c>
      <c r="B1" s="209"/>
      <c r="C1" s="209"/>
      <c r="D1" s="209"/>
      <c r="E1" s="209"/>
      <c r="F1" s="209"/>
      <c r="G1" s="209"/>
      <c r="H1" s="209"/>
      <c r="I1" s="209"/>
      <c r="J1" s="129" t="s">
        <v>95</v>
      </c>
      <c r="K1" s="79" t="s">
        <v>174</v>
      </c>
    </row>
    <row r="2" spans="1:12" ht="16.5" thickBot="1" x14ac:dyDescent="0.3">
      <c r="A2" s="80"/>
      <c r="B2" s="124"/>
      <c r="C2" s="81"/>
      <c r="D2" s="82"/>
      <c r="E2" s="82"/>
      <c r="F2" s="82"/>
      <c r="G2" s="82"/>
      <c r="H2" s="82"/>
      <c r="I2" s="82"/>
      <c r="J2" s="130"/>
      <c r="K2" s="83"/>
    </row>
    <row r="3" spans="1:12" ht="16.5" customHeight="1" thickBot="1" x14ac:dyDescent="0.3">
      <c r="A3" s="210" t="s">
        <v>96</v>
      </c>
      <c r="B3" s="210"/>
      <c r="C3" s="210"/>
      <c r="D3" s="120" t="s">
        <v>2</v>
      </c>
      <c r="E3" s="121"/>
      <c r="F3" s="121"/>
      <c r="G3" s="121"/>
      <c r="H3" s="121"/>
      <c r="I3" s="121"/>
      <c r="J3" s="131"/>
      <c r="K3" s="122"/>
    </row>
    <row r="4" spans="1:12" ht="16.5" customHeight="1" thickBot="1" x14ac:dyDescent="0.3">
      <c r="A4" s="211" t="s">
        <v>97</v>
      </c>
      <c r="B4" s="211"/>
      <c r="C4" s="211"/>
      <c r="D4" s="120" t="s">
        <v>131</v>
      </c>
      <c r="E4" s="121"/>
      <c r="F4" s="121"/>
      <c r="G4" s="121"/>
      <c r="H4" s="121"/>
      <c r="I4" s="121"/>
      <c r="J4" s="131"/>
      <c r="K4" s="122"/>
    </row>
    <row r="5" spans="1:12" ht="16.5" thickBot="1" x14ac:dyDescent="0.3">
      <c r="A5" s="211" t="s">
        <v>98</v>
      </c>
      <c r="B5" s="211"/>
      <c r="C5" s="211"/>
      <c r="D5" s="120" t="s">
        <v>135</v>
      </c>
      <c r="E5" s="121"/>
      <c r="F5" s="121"/>
      <c r="G5" s="121"/>
      <c r="H5" s="121"/>
      <c r="I5" s="121"/>
      <c r="J5" s="131"/>
      <c r="K5" s="122"/>
    </row>
    <row r="6" spans="1:12" ht="16.5" thickBot="1" x14ac:dyDescent="0.3">
      <c r="A6" s="210" t="s">
        <v>99</v>
      </c>
      <c r="B6" s="210"/>
      <c r="C6" s="210"/>
      <c r="D6" s="120" t="s">
        <v>135</v>
      </c>
      <c r="E6" s="121"/>
      <c r="F6" s="121"/>
      <c r="G6" s="121"/>
      <c r="H6" s="121"/>
      <c r="I6" s="121"/>
      <c r="J6" s="131"/>
      <c r="K6" s="122"/>
    </row>
    <row r="7" spans="1:12" ht="16.5" thickBot="1" x14ac:dyDescent="0.3">
      <c r="A7" s="211" t="s">
        <v>100</v>
      </c>
      <c r="B7" s="211"/>
      <c r="C7" s="211"/>
      <c r="D7" s="120" t="s">
        <v>132</v>
      </c>
      <c r="E7" s="121"/>
      <c r="F7" s="121"/>
      <c r="G7" s="121"/>
      <c r="H7" s="121"/>
      <c r="I7" s="121"/>
      <c r="J7" s="131"/>
      <c r="K7" s="122"/>
    </row>
    <row r="8" spans="1:12" ht="16.5" customHeight="1" thickBot="1" x14ac:dyDescent="0.3">
      <c r="A8" s="213" t="s">
        <v>101</v>
      </c>
      <c r="B8" s="213"/>
      <c r="C8" s="213"/>
      <c r="D8" s="123" t="s">
        <v>137</v>
      </c>
      <c r="E8" s="121"/>
      <c r="F8" s="121"/>
      <c r="G8" s="121"/>
      <c r="H8" s="121"/>
      <c r="I8" s="121"/>
      <c r="J8" s="131"/>
      <c r="K8" s="122"/>
    </row>
    <row r="9" spans="1:12" ht="16.5" thickBot="1" x14ac:dyDescent="0.3">
      <c r="A9" s="84"/>
      <c r="B9" s="125"/>
      <c r="C9" s="85"/>
      <c r="D9" s="86"/>
      <c r="E9" s="86"/>
      <c r="F9" s="86"/>
      <c r="G9" s="86"/>
      <c r="H9" s="86"/>
      <c r="I9" s="86"/>
      <c r="J9" s="132"/>
      <c r="K9" s="87"/>
    </row>
    <row r="10" spans="1:12" ht="15.75" thickBot="1" x14ac:dyDescent="0.3">
      <c r="A10" s="212" t="s">
        <v>102</v>
      </c>
      <c r="B10" s="207" t="s">
        <v>103</v>
      </c>
      <c r="C10" s="207" t="s">
        <v>104</v>
      </c>
      <c r="D10" s="207"/>
      <c r="E10" s="207"/>
      <c r="F10" s="207"/>
      <c r="G10" s="207"/>
      <c r="H10" s="207" t="s">
        <v>105</v>
      </c>
      <c r="I10" s="207" t="s">
        <v>106</v>
      </c>
      <c r="J10" s="208" t="s">
        <v>107</v>
      </c>
      <c r="K10" s="205" t="s">
        <v>108</v>
      </c>
    </row>
    <row r="11" spans="1:12" ht="36.75" customHeight="1" thickBot="1" x14ac:dyDescent="0.3">
      <c r="A11" s="243"/>
      <c r="B11" s="244"/>
      <c r="C11" s="244"/>
      <c r="D11" s="244"/>
      <c r="E11" s="244"/>
      <c r="F11" s="244"/>
      <c r="G11" s="244"/>
      <c r="H11" s="244"/>
      <c r="I11" s="244"/>
      <c r="J11" s="238"/>
      <c r="K11" s="239"/>
    </row>
    <row r="12" spans="1:12" s="137" customFormat="1" ht="15.75" customHeight="1" x14ac:dyDescent="0.25">
      <c r="A12" s="146">
        <v>1</v>
      </c>
      <c r="B12" s="147"/>
      <c r="C12" s="240" t="str">
        <f>'SAF 011 - NECESIDAD TRIMESTRAL'!E11</f>
        <v>APOSITOS; TIPO: POST EXTRACCION SANGUINEA, TAMAÑO: 40 X 40 mm</v>
      </c>
      <c r="D12" s="241"/>
      <c r="E12" s="241"/>
      <c r="F12" s="241"/>
      <c r="G12" s="242"/>
      <c r="H12" s="147" t="s">
        <v>169</v>
      </c>
      <c r="I12" s="148" t="str">
        <f>'SAF 011 - NECESIDAD TRIMESTRAL'!F11</f>
        <v>CAJA</v>
      </c>
      <c r="J12" s="149">
        <f>'SAF 011 - NECESIDAD TRIMESTRAL'!AX11</f>
        <v>702</v>
      </c>
      <c r="K12" s="150">
        <f>'SAF 011 - NECESIDAD TRIMESTRAL'!M11</f>
        <v>50</v>
      </c>
    </row>
    <row r="13" spans="1:12" s="137" customFormat="1" ht="15.75" customHeight="1" x14ac:dyDescent="0.25">
      <c r="A13" s="146">
        <v>2</v>
      </c>
      <c r="B13" s="147"/>
      <c r="C13" s="202" t="str">
        <f>'SAF 011 - NECESIDAD TRIMESTRAL'!E13</f>
        <v xml:space="preserve">BOLSAS DE SANGRE TRIPLE KS </v>
      </c>
      <c r="D13" s="203"/>
      <c r="E13" s="203"/>
      <c r="F13" s="203"/>
      <c r="G13" s="204"/>
      <c r="H13" s="147" t="s">
        <v>169</v>
      </c>
      <c r="I13" s="148" t="str">
        <f>'SAF 011 - NECESIDAD TRIMESTRAL'!F13</f>
        <v xml:space="preserve">UNIDAD </v>
      </c>
      <c r="J13" s="149">
        <f>'SAF 011 - NECESIDAD TRIMESTRAL'!AX13</f>
        <v>1095</v>
      </c>
      <c r="K13" s="150">
        <f>'SAF 011 - NECESIDAD TRIMESTRAL'!M13</f>
        <v>1794</v>
      </c>
    </row>
    <row r="14" spans="1:12" s="137" customFormat="1" ht="15.75" customHeight="1" x14ac:dyDescent="0.25">
      <c r="A14" s="146">
        <v>3</v>
      </c>
      <c r="B14" s="147"/>
      <c r="C14" s="202" t="str">
        <f>'SAF 011 - NECESIDAD TRIMESTRAL'!E14</f>
        <v>BOLSAS DE SANGRE TRIPLE KS TIPO GRIFOLS</v>
      </c>
      <c r="D14" s="203"/>
      <c r="E14" s="203"/>
      <c r="F14" s="203"/>
      <c r="G14" s="204"/>
      <c r="H14" s="147" t="s">
        <v>169</v>
      </c>
      <c r="I14" s="148" t="str">
        <f>'SAF 011 - NECESIDAD TRIMESTRAL'!F14</f>
        <v>UNIDAD</v>
      </c>
      <c r="J14" s="149">
        <f>'SAF 011 - NECESIDAD TRIMESTRAL'!AX14</f>
        <v>1190</v>
      </c>
      <c r="K14" s="150">
        <f>'SAF 011 - NECESIDAD TRIMESTRAL'!M14</f>
        <v>3594</v>
      </c>
    </row>
    <row r="15" spans="1:12" s="137" customFormat="1" ht="15.75" customHeight="1" x14ac:dyDescent="0.25">
      <c r="A15" s="146">
        <v>4</v>
      </c>
      <c r="B15" s="147"/>
      <c r="C15" s="202" t="str">
        <f>'SAF 011 - NECESIDAD TRIMESTRAL'!E16</f>
        <v>CEPILLO LIMPIA PIPETA DE CERDA NATURAL DE 10 MM</v>
      </c>
      <c r="D15" s="203"/>
      <c r="E15" s="203"/>
      <c r="F15" s="203"/>
      <c r="G15" s="204"/>
      <c r="H15" s="147" t="s">
        <v>169</v>
      </c>
      <c r="I15" s="148" t="str">
        <f>'SAF 011 - NECESIDAD TRIMESTRAL'!F16</f>
        <v>UNIDAD</v>
      </c>
      <c r="J15" s="149">
        <f>'SAF 011 - NECESIDAD TRIMESTRAL'!AX16</f>
        <v>125</v>
      </c>
      <c r="K15" s="150">
        <f>'SAF 011 - NECESIDAD TRIMESTRAL'!M16</f>
        <v>10</v>
      </c>
    </row>
    <row r="16" spans="1:12" s="137" customFormat="1" ht="15.75" customHeight="1" x14ac:dyDescent="0.25">
      <c r="A16" s="249">
        <v>5</v>
      </c>
      <c r="B16" s="250"/>
      <c r="C16" s="251" t="str">
        <f>'SAF 011 - NECESIDAD TRIMESTRAL'!E17</f>
        <v>CONEXIÓN POR RADIOFRECUENCIA Y GR PARA AUTOMATIZACION</v>
      </c>
      <c r="D16" s="252"/>
      <c r="E16" s="252"/>
      <c r="F16" s="252"/>
      <c r="G16" s="253"/>
      <c r="H16" s="250" t="s">
        <v>169</v>
      </c>
      <c r="I16" s="254" t="str">
        <f>'SAF 011 - NECESIDAD TRIMESTRAL'!F17</f>
        <v>UNIDAD</v>
      </c>
      <c r="J16" s="255">
        <f>'SAF 011 - NECESIDAD TRIMESTRAL'!AX17</f>
        <v>3950</v>
      </c>
      <c r="K16" s="256">
        <f>'SAF 011 - NECESIDAD TRIMESTRAL'!M17</f>
        <v>900</v>
      </c>
      <c r="L16" s="257" t="s">
        <v>189</v>
      </c>
    </row>
    <row r="17" spans="1:13" s="137" customFormat="1" ht="15.75" customHeight="1" x14ac:dyDescent="0.25">
      <c r="A17" s="146">
        <v>6</v>
      </c>
      <c r="B17" s="147"/>
      <c r="C17" s="202" t="str">
        <f>'SAF 011 - NECESIDAD TRIMESTRAL'!E28</f>
        <v xml:space="preserve">GUIA V20 C/RUEDITA *SANGRE* </v>
      </c>
      <c r="D17" s="203"/>
      <c r="E17" s="203"/>
      <c r="F17" s="203"/>
      <c r="G17" s="204"/>
      <c r="H17" s="147" t="s">
        <v>169</v>
      </c>
      <c r="I17" s="148" t="str">
        <f>'SAF 011 - NECESIDAD TRIMESTRAL'!F28</f>
        <v>UNIDAD</v>
      </c>
      <c r="J17" s="149">
        <f>'SAF 011 - NECESIDAD TRIMESTRAL'!AX28</f>
        <v>92</v>
      </c>
      <c r="K17" s="150">
        <f>'SAF 011 - NECESIDAD TRIMESTRAL'!M28</f>
        <v>1200</v>
      </c>
    </row>
    <row r="18" spans="1:13" s="137" customFormat="1" ht="15.75" customHeight="1" x14ac:dyDescent="0.25">
      <c r="A18" s="249">
        <v>7</v>
      </c>
      <c r="B18" s="250"/>
      <c r="C18" s="251" t="str">
        <f>'SAF 011 - NECESIDAD TRIMESTRAL'!E29</f>
        <v>KIT PLAQUETAS CON FILTRO</v>
      </c>
      <c r="D18" s="252"/>
      <c r="E18" s="252"/>
      <c r="F18" s="252"/>
      <c r="G18" s="253"/>
      <c r="H18" s="250" t="s">
        <v>169</v>
      </c>
      <c r="I18" s="254" t="str">
        <f>'SAF 011 - NECESIDAD TRIMESTRAL'!F29</f>
        <v>UNIDAD</v>
      </c>
      <c r="J18" s="255">
        <f>'SAF 011 - NECESIDAD TRIMESTRAL'!AX29</f>
        <v>41019</v>
      </c>
      <c r="K18" s="256">
        <f>'SAF 011 - NECESIDAD TRIMESTRAL'!M29</f>
        <v>48</v>
      </c>
      <c r="L18" s="257" t="s">
        <v>190</v>
      </c>
      <c r="M18" s="257"/>
    </row>
    <row r="19" spans="1:13" s="137" customFormat="1" ht="15.75" customHeight="1" x14ac:dyDescent="0.25">
      <c r="A19" s="249">
        <v>8</v>
      </c>
      <c r="B19" s="250"/>
      <c r="C19" s="251" t="str">
        <f>'SAF 011 - NECESIDAD TRIMESTRAL'!E33</f>
        <v>MICROPIPETAS REGULABLES; CAPACIDAD: 100 - 1000 µL, DIVISIONES: CADA 5 µL, MATERIAL: PLASTICO</v>
      </c>
      <c r="D19" s="252"/>
      <c r="E19" s="252"/>
      <c r="F19" s="252"/>
      <c r="G19" s="253"/>
      <c r="H19" s="250" t="s">
        <v>169</v>
      </c>
      <c r="I19" s="254" t="str">
        <f>'SAF 011 - NECESIDAD TRIMESTRAL'!F33</f>
        <v>UNIDAD</v>
      </c>
      <c r="J19" s="255">
        <f>'SAF 011 - NECESIDAD TRIMESTRAL'!AX33</f>
        <v>52350</v>
      </c>
      <c r="K19" s="256">
        <f>'SAF 011 - NECESIDAD TRIMESTRAL'!M33</f>
        <v>2</v>
      </c>
      <c r="L19" s="257" t="s">
        <v>191</v>
      </c>
    </row>
    <row r="20" spans="1:13" s="137" customFormat="1" ht="15.75" customHeight="1" x14ac:dyDescent="0.25">
      <c r="A20" s="249">
        <v>9</v>
      </c>
      <c r="B20" s="250"/>
      <c r="C20" s="251" t="str">
        <f>'SAF 011 - NECESIDAD TRIMESTRAL'!E34</f>
        <v>MICROPIPETAS REGULABLES; CAPACIDAD: 10-100 µL, DIVISIONES: CADA 1 µL, MATERIAL: PLASTICO</v>
      </c>
      <c r="D20" s="252"/>
      <c r="E20" s="252"/>
      <c r="F20" s="252"/>
      <c r="G20" s="253"/>
      <c r="H20" s="250" t="s">
        <v>169</v>
      </c>
      <c r="I20" s="254" t="str">
        <f>'SAF 011 - NECESIDAD TRIMESTRAL'!F34</f>
        <v>UNIDAD</v>
      </c>
      <c r="J20" s="255">
        <f>'SAF 011 - NECESIDAD TRIMESTRAL'!AX34</f>
        <v>50350</v>
      </c>
      <c r="K20" s="256">
        <f>'SAF 011 - NECESIDAD TRIMESTRAL'!M34</f>
        <v>2</v>
      </c>
      <c r="L20" s="257" t="s">
        <v>191</v>
      </c>
    </row>
    <row r="21" spans="1:13" s="137" customFormat="1" ht="15.75" customHeight="1" x14ac:dyDescent="0.25">
      <c r="A21" s="146">
        <v>10</v>
      </c>
      <c r="B21" s="147"/>
      <c r="C21" s="202" t="str">
        <f>'SAF 011 - NECESIDAD TRIMESTRAL'!E40</f>
        <v>PLACA PARA VDRL CON POCILLO PROFUNDO 12HOYOS</v>
      </c>
      <c r="D21" s="203"/>
      <c r="E21" s="203"/>
      <c r="F21" s="203"/>
      <c r="G21" s="204"/>
      <c r="H21" s="147" t="s">
        <v>169</v>
      </c>
      <c r="I21" s="148" t="str">
        <f>'SAF 011 - NECESIDAD TRIMESTRAL'!F40</f>
        <v>UNIDAD</v>
      </c>
      <c r="J21" s="149">
        <f>'SAF 011 - NECESIDAD TRIMESTRAL'!AX40</f>
        <v>1220</v>
      </c>
      <c r="K21" s="150">
        <f>'SAF 011 - NECESIDAD TRIMESTRAL'!M40</f>
        <v>20</v>
      </c>
    </row>
    <row r="22" spans="1:13" s="137" customFormat="1" ht="16.5" customHeight="1" x14ac:dyDescent="0.25">
      <c r="A22" s="146">
        <v>11</v>
      </c>
      <c r="B22" s="127"/>
      <c r="C22" s="202" t="str">
        <f>'SAF 011 - NECESIDAD TRIMESTRAL'!E45</f>
        <v>TIP; TIPO: AMARILLO, PRESENTACION: ENVASE X 1000 UN, CAPACIDAD: 5 A 200 µl</v>
      </c>
      <c r="D22" s="203"/>
      <c r="E22" s="203"/>
      <c r="F22" s="203"/>
      <c r="G22" s="204"/>
      <c r="H22" s="147" t="s">
        <v>169</v>
      </c>
      <c r="I22" s="180" t="str">
        <f>'SAF 011 - NECESIDAD TRIMESTRAL'!F45</f>
        <v>BOLSA</v>
      </c>
      <c r="J22" s="138">
        <f>'SAF 011 - NECESIDAD TRIMESTRAL'!AX45</f>
        <v>2865</v>
      </c>
      <c r="K22" s="139">
        <f>'SAF 011 - NECESIDAD TRIMESTRAL'!M45</f>
        <v>5</v>
      </c>
    </row>
    <row r="23" spans="1:13" s="137" customFormat="1" ht="16.5" customHeight="1" x14ac:dyDescent="0.25">
      <c r="A23" s="146">
        <v>12</v>
      </c>
      <c r="B23" s="127"/>
      <c r="C23" s="202" t="str">
        <f>'SAF 011 - NECESIDAD TRIMESTRAL'!E46</f>
        <v>TIPS AMARILLO CON CORONA X 1000 UNIDADES</v>
      </c>
      <c r="D23" s="203"/>
      <c r="E23" s="203"/>
      <c r="F23" s="203"/>
      <c r="G23" s="204"/>
      <c r="H23" s="147" t="s">
        <v>169</v>
      </c>
      <c r="I23" s="180" t="str">
        <f>'SAF 011 - NECESIDAD TRIMESTRAL'!F46</f>
        <v>BOLSA</v>
      </c>
      <c r="J23" s="138">
        <f>'SAF 011 - NECESIDAD TRIMESTRAL'!AX46</f>
        <v>1540</v>
      </c>
      <c r="K23" s="139">
        <f>'SAF 011 - NECESIDAD TRIMESTRAL'!M46</f>
        <v>2</v>
      </c>
    </row>
    <row r="24" spans="1:13" s="137" customFormat="1" ht="16.5" customHeight="1" x14ac:dyDescent="0.25">
      <c r="A24" s="146">
        <v>13</v>
      </c>
      <c r="B24" s="127"/>
      <c r="C24" s="202" t="str">
        <f>'SAF 011 - NECESIDAD TRIMESTRAL'!E47</f>
        <v>TIPS AMARILLO SIN CORONA X 1000 UNIDADES</v>
      </c>
      <c r="D24" s="203"/>
      <c r="E24" s="203"/>
      <c r="F24" s="203"/>
      <c r="G24" s="204"/>
      <c r="H24" s="147" t="s">
        <v>169</v>
      </c>
      <c r="I24" s="180" t="str">
        <f>'SAF 011 - NECESIDAD TRIMESTRAL'!F47</f>
        <v>BOLSA</v>
      </c>
      <c r="J24" s="138">
        <f>'SAF 011 - NECESIDAD TRIMESTRAL'!AX47</f>
        <v>1540</v>
      </c>
      <c r="K24" s="139">
        <f>'SAF 011 - NECESIDAD TRIMESTRAL'!M47</f>
        <v>2</v>
      </c>
    </row>
    <row r="25" spans="1:13" s="137" customFormat="1" ht="16.5" customHeight="1" x14ac:dyDescent="0.25">
      <c r="A25" s="249">
        <v>14</v>
      </c>
      <c r="B25" s="258"/>
      <c r="C25" s="251" t="str">
        <f>'SAF 011 - NECESIDAD TRIMESTRAL'!E49</f>
        <v>TIPS AZUL AUTOCLAVABLE</v>
      </c>
      <c r="D25" s="252"/>
      <c r="E25" s="252"/>
      <c r="F25" s="252"/>
      <c r="G25" s="253"/>
      <c r="H25" s="250" t="s">
        <v>169</v>
      </c>
      <c r="I25" s="259" t="str">
        <f>'SAF 011 - NECESIDAD TRIMESTRAL'!F49</f>
        <v>BOLSA</v>
      </c>
      <c r="J25" s="260">
        <f>'SAF 011 - NECESIDAD TRIMESTRAL'!AX49</f>
        <v>2204</v>
      </c>
      <c r="K25" s="261">
        <f>'SAF 011 - NECESIDAD TRIMESTRAL'!M49</f>
        <v>2</v>
      </c>
      <c r="L25" s="257" t="s">
        <v>192</v>
      </c>
    </row>
    <row r="26" spans="1:13" s="137" customFormat="1" ht="29.25" customHeight="1" x14ac:dyDescent="0.25">
      <c r="A26" s="146">
        <v>15</v>
      </c>
      <c r="B26" s="127"/>
      <c r="C26" s="202" t="str">
        <f>'SAF 011 - NECESIDAD TRIMESTRAL'!E53</f>
        <v>TUBOS DE ENSAYO; TIPO: CONICO P/CENTRIFUGA, MATERIAL: POLIPROPILENO, DIMENSION: 0,5 A 15 mL, ACCESORIO: SIN VALOR - A ROSCA 15ML NO ETERIL, BOLSA X 100 UNID TIPO BIOLIX</v>
      </c>
      <c r="D26" s="203"/>
      <c r="E26" s="203"/>
      <c r="F26" s="203"/>
      <c r="G26" s="204"/>
      <c r="H26" s="147" t="s">
        <v>169</v>
      </c>
      <c r="I26" s="180" t="str">
        <f>'SAF 011 - NECESIDAD TRIMESTRAL'!F53</f>
        <v>BOLSA</v>
      </c>
      <c r="J26" s="138">
        <f>'SAF 011 - NECESIDAD TRIMESTRAL'!AX53</f>
        <v>5353</v>
      </c>
      <c r="K26" s="139">
        <f>'SAF 011 - NECESIDAD TRIMESTRAL'!M53</f>
        <v>10</v>
      </c>
    </row>
    <row r="27" spans="1:13" s="137" customFormat="1" ht="29.25" customHeight="1" x14ac:dyDescent="0.25">
      <c r="A27" s="249">
        <v>16</v>
      </c>
      <c r="B27" s="258"/>
      <c r="C27" s="251" t="str">
        <f>'SAF 011 - NECESIDAD TRIMESTRAL'!E54</f>
        <v>TUBOS DE ENSAYO; TIPO: EPPENDORF, MATERIAL: PLASTICO, DIMENSION: 1.5 mL, ACCESORIOS: SIN, ACCESORIO: SIN</v>
      </c>
      <c r="D27" s="252"/>
      <c r="E27" s="252"/>
      <c r="F27" s="252"/>
      <c r="G27" s="253"/>
      <c r="H27" s="250" t="s">
        <v>169</v>
      </c>
      <c r="I27" s="259" t="str">
        <f>'SAF 011 - NECESIDAD TRIMESTRAL'!F54</f>
        <v>BOLSA</v>
      </c>
      <c r="J27" s="260">
        <f>'SAF 011 - NECESIDAD TRIMESTRAL'!AX54</f>
        <v>3558</v>
      </c>
      <c r="K27" s="261">
        <f>'SAF 011 - NECESIDAD TRIMESTRAL'!M54</f>
        <v>10</v>
      </c>
      <c r="L27" s="257" t="s">
        <v>192</v>
      </c>
    </row>
    <row r="28" spans="1:13" s="137" customFormat="1" ht="29.25" customHeight="1" x14ac:dyDescent="0.25">
      <c r="A28" s="146">
        <v>17</v>
      </c>
      <c r="B28" s="127"/>
      <c r="C28" s="202" t="str">
        <f>'SAF 011 - NECESIDAD TRIMESTRAL'!E55</f>
        <v>TUBOS DE ENSAYO; TIPO: VACUTAINER UN, MATERIAL: VIDRIO, DIMENSION: 10 mL, ACCESORIOS: SIN, ACCESORIO: SIN (X100 UNIDADES)</v>
      </c>
      <c r="D28" s="203"/>
      <c r="E28" s="203"/>
      <c r="F28" s="203"/>
      <c r="G28" s="204"/>
      <c r="H28" s="147" t="s">
        <v>169</v>
      </c>
      <c r="I28" s="180" t="str">
        <f>'SAF 011 - NECESIDAD TRIMESTRAL'!F55</f>
        <v>CAJA</v>
      </c>
      <c r="J28" s="138">
        <f>'SAF 011 - NECESIDAD TRIMESTRAL'!AX55</f>
        <v>13000</v>
      </c>
      <c r="K28" s="139">
        <f>'SAF 011 - NECESIDAD TRIMESTRAL'!M55</f>
        <v>4</v>
      </c>
    </row>
    <row r="29" spans="1:13" s="137" customFormat="1" ht="29.25" customHeight="1" x14ac:dyDescent="0.25">
      <c r="A29" s="146">
        <v>18</v>
      </c>
      <c r="B29" s="127"/>
      <c r="C29" s="202" t="str">
        <f>'SAF 011 - NECESIDAD TRIMESTRAL'!E56</f>
        <v>TUBOS DE HEMOLISIS; MATERIAL: VIDRIO, PRESENTACION: CAJA, DIMENSION: 100 X 13 DIAM. EXT., MEDIDAS: 100 X 13 DIAM. EXT., FORMA DE PRESENTACION: SOLIDO, ESTADO: SOLIDO (1000 TUBOS)</v>
      </c>
      <c r="D29" s="203"/>
      <c r="E29" s="203"/>
      <c r="F29" s="203"/>
      <c r="G29" s="204"/>
      <c r="H29" s="147" t="s">
        <v>169</v>
      </c>
      <c r="I29" s="180" t="str">
        <f>'SAF 011 - NECESIDAD TRIMESTRAL'!F56</f>
        <v>UNIDAD</v>
      </c>
      <c r="J29" s="138">
        <f>'SAF 011 - NECESIDAD TRIMESTRAL'!AX56</f>
        <v>72000</v>
      </c>
      <c r="K29" s="139">
        <f>'SAF 011 - NECESIDAD TRIMESTRAL'!M56</f>
        <v>1</v>
      </c>
    </row>
    <row r="30" spans="1:13" s="137" customFormat="1" ht="15.75" customHeight="1" x14ac:dyDescent="0.25">
      <c r="A30" s="146">
        <v>19</v>
      </c>
      <c r="B30" s="127"/>
      <c r="C30" s="202" t="str">
        <f>'SAF 011 - NECESIDAD TRIMESTRAL'!E57</f>
        <v>TUBOS VACUTAINER P/SUERO DE 4ML, TAPA ROJA C/ETIQUETA CODIGO 367812 (1000 TUBOS)</v>
      </c>
      <c r="D30" s="203"/>
      <c r="E30" s="203"/>
      <c r="F30" s="203"/>
      <c r="G30" s="204"/>
      <c r="H30" s="147" t="s">
        <v>169</v>
      </c>
      <c r="I30" s="180" t="str">
        <f>'SAF 011 - NECESIDAD TRIMESTRAL'!F57</f>
        <v>CAJA</v>
      </c>
      <c r="J30" s="138">
        <f>'SAF 011 - NECESIDAD TRIMESTRAL'!AX57</f>
        <v>13700</v>
      </c>
      <c r="K30" s="139">
        <f>'SAF 011 - NECESIDAD TRIMESTRAL'!M57</f>
        <v>2</v>
      </c>
    </row>
    <row r="31" spans="1:13" s="137" customFormat="1" ht="15.75" thickBot="1" x14ac:dyDescent="0.3">
      <c r="A31" s="182"/>
      <c r="B31" s="183"/>
      <c r="C31" s="201"/>
      <c r="D31" s="201"/>
      <c r="E31" s="201"/>
      <c r="F31" s="201"/>
      <c r="G31" s="201"/>
      <c r="H31" s="183"/>
      <c r="I31" s="188"/>
      <c r="J31" s="185"/>
      <c r="K31" s="186"/>
    </row>
    <row r="32" spans="1:13" ht="19.5" thickBot="1" x14ac:dyDescent="0.3">
      <c r="A32" s="200" t="s">
        <v>180</v>
      </c>
      <c r="B32" s="200"/>
      <c r="C32" s="200"/>
      <c r="D32" s="200"/>
      <c r="E32" s="200"/>
      <c r="F32" s="200"/>
      <c r="G32" s="200"/>
      <c r="H32" s="200"/>
      <c r="I32" s="200"/>
      <c r="J32" s="198">
        <f>SUMPRODUCT(J12:J30,K12:K30)</f>
        <v>12407155</v>
      </c>
      <c r="K32" s="199"/>
    </row>
    <row r="34" spans="10:11" x14ac:dyDescent="0.25">
      <c r="J34" s="133">
        <v>702</v>
      </c>
      <c r="K34" s="133">
        <f>J34*K12</f>
        <v>35100</v>
      </c>
    </row>
    <row r="35" spans="10:11" x14ac:dyDescent="0.25">
      <c r="J35" s="133">
        <v>1095</v>
      </c>
      <c r="K35" s="133">
        <f t="shared" ref="K35:K52" si="0">J35*K13</f>
        <v>1964430</v>
      </c>
    </row>
    <row r="36" spans="10:11" x14ac:dyDescent="0.25">
      <c r="J36" s="133">
        <v>1190</v>
      </c>
      <c r="K36" s="133">
        <f t="shared" si="0"/>
        <v>4276860</v>
      </c>
    </row>
    <row r="37" spans="10:11" x14ac:dyDescent="0.25">
      <c r="J37" s="133">
        <v>125</v>
      </c>
      <c r="K37" s="133">
        <f t="shared" si="0"/>
        <v>1250</v>
      </c>
    </row>
    <row r="38" spans="10:11" x14ac:dyDescent="0.25">
      <c r="J38" s="133">
        <v>3950</v>
      </c>
      <c r="K38" s="133">
        <f t="shared" si="0"/>
        <v>3555000</v>
      </c>
    </row>
    <row r="39" spans="10:11" x14ac:dyDescent="0.25">
      <c r="J39" s="133">
        <v>92</v>
      </c>
      <c r="K39" s="133">
        <f t="shared" si="0"/>
        <v>110400</v>
      </c>
    </row>
    <row r="40" spans="10:11" x14ac:dyDescent="0.25">
      <c r="J40" s="133">
        <v>41019</v>
      </c>
      <c r="K40" s="133">
        <f t="shared" si="0"/>
        <v>1968912</v>
      </c>
    </row>
    <row r="41" spans="10:11" x14ac:dyDescent="0.25">
      <c r="J41" s="133">
        <v>52350</v>
      </c>
      <c r="K41" s="133">
        <f t="shared" si="0"/>
        <v>104700</v>
      </c>
    </row>
    <row r="42" spans="10:11" x14ac:dyDescent="0.25">
      <c r="J42" s="133">
        <v>50350</v>
      </c>
      <c r="K42" s="133">
        <f t="shared" si="0"/>
        <v>100700</v>
      </c>
    </row>
    <row r="43" spans="10:11" x14ac:dyDescent="0.25">
      <c r="J43" s="133">
        <v>1220</v>
      </c>
      <c r="K43" s="133">
        <f t="shared" si="0"/>
        <v>24400</v>
      </c>
    </row>
    <row r="44" spans="10:11" x14ac:dyDescent="0.25">
      <c r="J44" s="133">
        <v>2865</v>
      </c>
      <c r="K44" s="133">
        <f t="shared" si="0"/>
        <v>14325</v>
      </c>
    </row>
    <row r="45" spans="10:11" x14ac:dyDescent="0.25">
      <c r="J45" s="133">
        <v>1540</v>
      </c>
      <c r="K45" s="133">
        <f t="shared" si="0"/>
        <v>3080</v>
      </c>
    </row>
    <row r="46" spans="10:11" x14ac:dyDescent="0.25">
      <c r="J46" s="133">
        <v>1540</v>
      </c>
      <c r="K46" s="133">
        <f t="shared" si="0"/>
        <v>3080</v>
      </c>
    </row>
    <row r="47" spans="10:11" x14ac:dyDescent="0.25">
      <c r="J47" s="133">
        <v>2204</v>
      </c>
      <c r="K47" s="133">
        <f t="shared" si="0"/>
        <v>4408</v>
      </c>
    </row>
    <row r="48" spans="10:11" x14ac:dyDescent="0.25">
      <c r="J48" s="133">
        <v>5353</v>
      </c>
      <c r="K48" s="133">
        <f t="shared" si="0"/>
        <v>53530</v>
      </c>
    </row>
    <row r="49" spans="10:11" x14ac:dyDescent="0.25">
      <c r="J49" s="133">
        <v>3558</v>
      </c>
      <c r="K49" s="133">
        <f t="shared" si="0"/>
        <v>35580</v>
      </c>
    </row>
    <row r="50" spans="10:11" x14ac:dyDescent="0.25">
      <c r="J50" s="133">
        <v>13000</v>
      </c>
      <c r="K50" s="133">
        <f t="shared" si="0"/>
        <v>52000</v>
      </c>
    </row>
    <row r="51" spans="10:11" x14ac:dyDescent="0.25">
      <c r="J51" s="133">
        <v>72000</v>
      </c>
      <c r="K51" s="133">
        <f t="shared" si="0"/>
        <v>72000</v>
      </c>
    </row>
    <row r="52" spans="10:11" x14ac:dyDescent="0.25">
      <c r="J52" s="133">
        <v>13700</v>
      </c>
      <c r="K52" s="133">
        <f t="shared" si="0"/>
        <v>27400</v>
      </c>
    </row>
    <row r="53" spans="10:11" x14ac:dyDescent="0.25">
      <c r="K53" s="133">
        <f>SUM(K34:K52)</f>
        <v>12407155</v>
      </c>
    </row>
  </sheetData>
  <mergeCells count="36">
    <mergeCell ref="A7:C7"/>
    <mergeCell ref="A1:I1"/>
    <mergeCell ref="A3:C3"/>
    <mergeCell ref="A4:C4"/>
    <mergeCell ref="A5:C5"/>
    <mergeCell ref="A6:C6"/>
    <mergeCell ref="K10:K11"/>
    <mergeCell ref="C12:G12"/>
    <mergeCell ref="C13:G13"/>
    <mergeCell ref="A8:C8"/>
    <mergeCell ref="A10:A11"/>
    <mergeCell ref="B10:B11"/>
    <mergeCell ref="C10:G11"/>
    <mergeCell ref="H10:H11"/>
    <mergeCell ref="I10:I11"/>
    <mergeCell ref="C14:G14"/>
    <mergeCell ref="C15:G15"/>
    <mergeCell ref="C16:G16"/>
    <mergeCell ref="J10:J11"/>
    <mergeCell ref="C21:G21"/>
    <mergeCell ref="C19:G19"/>
    <mergeCell ref="C20:G20"/>
    <mergeCell ref="C17:G17"/>
    <mergeCell ref="C18:G18"/>
    <mergeCell ref="J32:K32"/>
    <mergeCell ref="C25:G25"/>
    <mergeCell ref="C26:G26"/>
    <mergeCell ref="C27:G27"/>
    <mergeCell ref="C22:G22"/>
    <mergeCell ref="C23:G23"/>
    <mergeCell ref="C24:G24"/>
    <mergeCell ref="C28:G28"/>
    <mergeCell ref="C29:G29"/>
    <mergeCell ref="C30:G30"/>
    <mergeCell ref="C31:G31"/>
    <mergeCell ref="A32:I3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2"/>
  <sheetViews>
    <sheetView topLeftCell="A10" workbookViewId="0">
      <selection activeCell="W27" sqref="W27"/>
    </sheetView>
  </sheetViews>
  <sheetFormatPr baseColWidth="10" defaultRowHeight="15" x14ac:dyDescent="0.25"/>
  <cols>
    <col min="1" max="5" width="4.42578125" style="21" customWidth="1"/>
    <col min="6" max="6" width="5" style="21" bestFit="1" customWidth="1"/>
    <col min="7" max="14" width="4.42578125" style="21" customWidth="1"/>
    <col min="15" max="15" width="14.85546875" style="21" customWidth="1"/>
    <col min="16" max="16" width="17.7109375" style="21" customWidth="1"/>
    <col min="17" max="17" width="15.5703125" style="133" bestFit="1" customWidth="1"/>
    <col min="18" max="16384" width="11.42578125" style="21"/>
  </cols>
  <sheetData>
    <row r="1" spans="1:17" ht="15.75" thickBot="1" x14ac:dyDescent="0.3">
      <c r="A1" s="231" t="s">
        <v>5</v>
      </c>
      <c r="B1" s="231"/>
      <c r="C1" s="231"/>
      <c r="D1" s="232">
        <v>2022</v>
      </c>
      <c r="E1" s="232"/>
      <c r="F1" s="90"/>
      <c r="G1" s="90"/>
      <c r="H1" s="91"/>
      <c r="I1" s="91"/>
      <c r="J1" s="91"/>
      <c r="K1" s="91"/>
      <c r="L1" s="91"/>
      <c r="M1" s="91"/>
      <c r="N1" s="91"/>
      <c r="O1" s="92"/>
      <c r="P1" s="233" t="s">
        <v>109</v>
      </c>
      <c r="Q1" s="233"/>
    </row>
    <row r="2" spans="1:17" ht="15.75" thickBot="1" x14ac:dyDescent="0.3">
      <c r="A2" s="93"/>
      <c r="B2" s="94"/>
      <c r="C2" s="94"/>
      <c r="D2" s="94"/>
      <c r="E2" s="94"/>
      <c r="F2" s="94"/>
      <c r="G2" s="95"/>
      <c r="H2" s="96"/>
      <c r="I2" s="96"/>
      <c r="J2" s="96"/>
      <c r="K2" s="96"/>
      <c r="L2" s="96"/>
      <c r="M2" s="96"/>
      <c r="N2" s="96"/>
      <c r="O2" s="94"/>
      <c r="P2" s="233"/>
      <c r="Q2" s="233"/>
    </row>
    <row r="3" spans="1:17" ht="15.75" thickBot="1" x14ac:dyDescent="0.3">
      <c r="A3" s="93"/>
      <c r="B3" s="94"/>
      <c r="C3" s="94"/>
      <c r="D3" s="94"/>
      <c r="E3" s="94"/>
      <c r="F3" s="94"/>
      <c r="G3" s="95"/>
      <c r="H3" s="94"/>
      <c r="I3" s="94"/>
      <c r="J3" s="94"/>
      <c r="K3" s="94"/>
      <c r="L3" s="94"/>
      <c r="M3" s="94"/>
      <c r="N3" s="94"/>
      <c r="O3" s="94"/>
      <c r="P3" s="94"/>
      <c r="Q3" s="140"/>
    </row>
    <row r="4" spans="1:17" ht="15.75" thickBot="1" x14ac:dyDescent="0.3">
      <c r="A4" s="234" t="s">
        <v>110</v>
      </c>
      <c r="B4" s="234"/>
      <c r="C4" s="234"/>
      <c r="D4" s="234"/>
      <c r="E4" s="234"/>
      <c r="F4" s="234"/>
      <c r="G4" s="235" t="str">
        <f>'NP DPBS'!D3</f>
        <v>040 - MINISTERIO DE SALUD</v>
      </c>
      <c r="H4" s="235"/>
      <c r="I4" s="235"/>
      <c r="J4" s="235"/>
      <c r="K4" s="235"/>
      <c r="L4" s="235"/>
      <c r="M4" s="235"/>
      <c r="N4" s="235"/>
      <c r="O4" s="235"/>
      <c r="P4" s="235"/>
      <c r="Q4" s="235"/>
    </row>
    <row r="5" spans="1:17" ht="15.75" thickBot="1" x14ac:dyDescent="0.3">
      <c r="A5" s="236" t="s">
        <v>97</v>
      </c>
      <c r="B5" s="236"/>
      <c r="C5" s="236"/>
      <c r="D5" s="236"/>
      <c r="E5" s="236"/>
      <c r="F5" s="236"/>
      <c r="G5" s="235" t="str">
        <f>'NP DPBS'!D4</f>
        <v>011 - DIRECCION PROVINCIAL DE ADMINISTRACION DEL MINISTERIO DE SALUD</v>
      </c>
      <c r="H5" s="235"/>
      <c r="I5" s="235"/>
      <c r="J5" s="235"/>
      <c r="K5" s="235"/>
      <c r="L5" s="235"/>
      <c r="M5" s="235"/>
      <c r="N5" s="235"/>
      <c r="O5" s="235"/>
      <c r="P5" s="235"/>
      <c r="Q5" s="235"/>
    </row>
    <row r="6" spans="1:17" ht="15.75" thickBot="1" x14ac:dyDescent="0.3">
      <c r="A6" s="236" t="s">
        <v>98</v>
      </c>
      <c r="B6" s="236"/>
      <c r="C6" s="236"/>
      <c r="D6" s="236"/>
      <c r="E6" s="236"/>
      <c r="F6" s="236"/>
      <c r="G6" s="235" t="str">
        <f>'NP DPBS'!D5</f>
        <v>747 - DIRECCION PROVINCIAL BANCO DE SANGRE</v>
      </c>
      <c r="H6" s="235"/>
      <c r="I6" s="235"/>
      <c r="J6" s="235"/>
      <c r="K6" s="235"/>
      <c r="L6" s="235"/>
      <c r="M6" s="235"/>
      <c r="N6" s="235"/>
      <c r="O6" s="235"/>
      <c r="P6" s="235"/>
      <c r="Q6" s="235"/>
    </row>
    <row r="7" spans="1:17" ht="15.75" thickBot="1" x14ac:dyDescent="0.3">
      <c r="A7" s="236" t="s">
        <v>99</v>
      </c>
      <c r="B7" s="236"/>
      <c r="C7" s="236"/>
      <c r="D7" s="236"/>
      <c r="E7" s="236"/>
      <c r="F7" s="236"/>
      <c r="G7" s="235" t="str">
        <f>'NP DPBS'!D6</f>
        <v>747 - DIRECCION PROVINCIAL BANCO DE SANGRE</v>
      </c>
      <c r="H7" s="235"/>
      <c r="I7" s="235"/>
      <c r="J7" s="235"/>
      <c r="K7" s="235"/>
      <c r="L7" s="235"/>
      <c r="M7" s="235"/>
      <c r="N7" s="235"/>
      <c r="O7" s="235"/>
      <c r="P7" s="235"/>
      <c r="Q7" s="235"/>
    </row>
    <row r="8" spans="1:17" ht="15.75" thickBot="1" x14ac:dyDescent="0.3">
      <c r="A8" s="237" t="s">
        <v>111</v>
      </c>
      <c r="B8" s="237"/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  <c r="Q8" s="237"/>
    </row>
    <row r="9" spans="1:17" x14ac:dyDescent="0.25">
      <c r="A9" s="230" t="s">
        <v>112</v>
      </c>
      <c r="B9" s="230"/>
      <c r="C9" s="230"/>
      <c r="D9" s="230"/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  <c r="Q9" s="230"/>
    </row>
    <row r="10" spans="1:17" ht="75" customHeight="1" x14ac:dyDescent="0.25">
      <c r="A10" s="223" t="s">
        <v>175</v>
      </c>
      <c r="B10" s="223"/>
      <c r="C10" s="223"/>
      <c r="D10" s="223"/>
      <c r="E10" s="223"/>
      <c r="F10" s="223"/>
      <c r="G10" s="223"/>
      <c r="H10" s="223"/>
      <c r="I10" s="223"/>
      <c r="J10" s="223"/>
      <c r="K10" s="223"/>
      <c r="L10" s="223"/>
      <c r="M10" s="223"/>
      <c r="N10" s="223"/>
      <c r="O10" s="223"/>
      <c r="P10" s="223"/>
      <c r="Q10" s="223"/>
    </row>
    <row r="11" spans="1:17" ht="15.75" thickBot="1" x14ac:dyDescent="0.3">
      <c r="A11" s="97"/>
      <c r="B11" s="98"/>
      <c r="C11" s="98"/>
      <c r="D11" s="98"/>
      <c r="E11" s="98"/>
      <c r="F11" s="98"/>
      <c r="G11" s="99"/>
      <c r="H11" s="98"/>
      <c r="I11" s="98"/>
      <c r="J11" s="98"/>
      <c r="K11" s="98"/>
      <c r="L11" s="98"/>
      <c r="M11" s="98"/>
      <c r="N11" s="98"/>
      <c r="O11" s="98"/>
      <c r="P11" s="98"/>
      <c r="Q11" s="141"/>
    </row>
    <row r="12" spans="1:17" ht="15.75" thickBot="1" x14ac:dyDescent="0.3">
      <c r="A12" s="224" t="s">
        <v>113</v>
      </c>
      <c r="B12" s="224"/>
      <c r="C12" s="224"/>
      <c r="D12" s="224"/>
      <c r="E12" s="224"/>
      <c r="F12" s="224"/>
      <c r="G12" s="224"/>
      <c r="H12" s="224"/>
      <c r="I12" s="224"/>
      <c r="J12" s="224"/>
      <c r="K12" s="224"/>
      <c r="L12" s="224"/>
      <c r="M12" s="224"/>
      <c r="N12" s="224"/>
      <c r="O12" s="224"/>
      <c r="P12" s="224"/>
      <c r="Q12" s="224"/>
    </row>
    <row r="13" spans="1:17" ht="15.75" thickBot="1" x14ac:dyDescent="0.3">
      <c r="A13" s="225" t="s">
        <v>114</v>
      </c>
      <c r="B13" s="225"/>
      <c r="C13" s="225"/>
      <c r="D13" s="225"/>
      <c r="E13" s="225"/>
      <c r="F13" s="225"/>
      <c r="G13" s="225"/>
      <c r="H13" s="225"/>
      <c r="I13" s="225"/>
      <c r="J13" s="225"/>
      <c r="K13" s="225"/>
      <c r="L13" s="225"/>
      <c r="M13" s="225"/>
      <c r="N13" s="225"/>
      <c r="O13" s="226" t="s">
        <v>115</v>
      </c>
      <c r="P13" s="226"/>
      <c r="Q13" s="227" t="s">
        <v>116</v>
      </c>
    </row>
    <row r="14" spans="1:17" ht="15.75" thickBot="1" x14ac:dyDescent="0.3">
      <c r="A14" s="100" t="s">
        <v>117</v>
      </c>
      <c r="B14" s="101" t="s">
        <v>118</v>
      </c>
      <c r="C14" s="101" t="s">
        <v>119</v>
      </c>
      <c r="D14" s="101" t="s">
        <v>120</v>
      </c>
      <c r="E14" s="101" t="s">
        <v>121</v>
      </c>
      <c r="F14" s="101" t="s">
        <v>122</v>
      </c>
      <c r="G14" s="102" t="s">
        <v>123</v>
      </c>
      <c r="H14" s="101" t="s">
        <v>124</v>
      </c>
      <c r="I14" s="101" t="s">
        <v>125</v>
      </c>
      <c r="J14" s="101" t="s">
        <v>126</v>
      </c>
      <c r="K14" s="101" t="s">
        <v>126</v>
      </c>
      <c r="L14" s="101" t="s">
        <v>127</v>
      </c>
      <c r="M14" s="103" t="s">
        <v>128</v>
      </c>
      <c r="N14" s="104" t="s">
        <v>129</v>
      </c>
      <c r="O14" s="226"/>
      <c r="P14" s="226"/>
      <c r="Q14" s="227"/>
    </row>
    <row r="15" spans="1:17" ht="30" customHeight="1" x14ac:dyDescent="0.25">
      <c r="A15" s="105">
        <v>27</v>
      </c>
      <c r="B15" s="106"/>
      <c r="C15" s="106"/>
      <c r="D15" s="106">
        <v>1</v>
      </c>
      <c r="E15" s="106"/>
      <c r="F15" s="106">
        <v>4901</v>
      </c>
      <c r="G15" s="106">
        <v>3</v>
      </c>
      <c r="H15" s="106">
        <v>1</v>
      </c>
      <c r="I15" s="106">
        <v>2</v>
      </c>
      <c r="J15" s="106">
        <v>9</v>
      </c>
      <c r="K15" s="106">
        <v>5</v>
      </c>
      <c r="L15" s="106"/>
      <c r="M15" s="107">
        <v>1</v>
      </c>
      <c r="N15" s="106" t="s">
        <v>134</v>
      </c>
      <c r="O15" s="228" t="s">
        <v>136</v>
      </c>
      <c r="P15" s="228"/>
      <c r="Q15" s="142">
        <f>'NP DPBS'!J32</f>
        <v>12407155</v>
      </c>
    </row>
    <row r="16" spans="1:17" x14ac:dyDescent="0.25">
      <c r="A16" s="108"/>
      <c r="B16" s="109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10"/>
      <c r="N16" s="181"/>
      <c r="O16" s="217"/>
      <c r="P16" s="217"/>
      <c r="Q16" s="143"/>
    </row>
    <row r="17" spans="1:17" x14ac:dyDescent="0.25">
      <c r="A17" s="108"/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10"/>
      <c r="N17" s="181"/>
      <c r="O17" s="229"/>
      <c r="P17" s="229"/>
      <c r="Q17" s="143"/>
    </row>
    <row r="18" spans="1:17" x14ac:dyDescent="0.25">
      <c r="A18" s="108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10"/>
      <c r="N18" s="181"/>
      <c r="O18" s="222"/>
      <c r="P18" s="222"/>
      <c r="Q18" s="143"/>
    </row>
    <row r="19" spans="1:17" x14ac:dyDescent="0.25">
      <c r="A19" s="108"/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10"/>
      <c r="N19" s="181"/>
      <c r="O19" s="222"/>
      <c r="P19" s="222"/>
      <c r="Q19" s="143"/>
    </row>
    <row r="20" spans="1:17" x14ac:dyDescent="0.25">
      <c r="A20" s="108"/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10"/>
      <c r="N20" s="181"/>
      <c r="O20" s="222"/>
      <c r="P20" s="222"/>
      <c r="Q20" s="143"/>
    </row>
    <row r="21" spans="1:17" x14ac:dyDescent="0.25">
      <c r="A21" s="108"/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10"/>
      <c r="N21" s="181"/>
      <c r="O21" s="222"/>
      <c r="P21" s="222"/>
      <c r="Q21" s="143"/>
    </row>
    <row r="22" spans="1:17" x14ac:dyDescent="0.25">
      <c r="A22" s="108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10"/>
      <c r="N22" s="181"/>
      <c r="O22" s="222"/>
      <c r="P22" s="222"/>
      <c r="Q22" s="143"/>
    </row>
    <row r="23" spans="1:17" x14ac:dyDescent="0.25">
      <c r="A23" s="108"/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10"/>
      <c r="N23" s="181"/>
      <c r="O23" s="222"/>
      <c r="P23" s="222"/>
      <c r="Q23" s="143"/>
    </row>
    <row r="24" spans="1:17" x14ac:dyDescent="0.25">
      <c r="A24" s="108"/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10"/>
      <c r="N24" s="181"/>
      <c r="O24" s="222"/>
      <c r="P24" s="222"/>
      <c r="Q24" s="143"/>
    </row>
    <row r="25" spans="1:17" x14ac:dyDescent="0.25">
      <c r="A25" s="108"/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10"/>
      <c r="N25" s="181"/>
      <c r="O25" s="222"/>
      <c r="P25" s="222"/>
      <c r="Q25" s="143"/>
    </row>
    <row r="26" spans="1:17" x14ac:dyDescent="0.25">
      <c r="A26" s="108"/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10"/>
      <c r="N26" s="181"/>
      <c r="O26" s="222"/>
      <c r="P26" s="222"/>
      <c r="Q26" s="143"/>
    </row>
    <row r="27" spans="1:17" x14ac:dyDescent="0.25">
      <c r="A27" s="108"/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10"/>
      <c r="N27" s="181"/>
      <c r="O27" s="222"/>
      <c r="P27" s="222"/>
      <c r="Q27" s="143"/>
    </row>
    <row r="28" spans="1:17" x14ac:dyDescent="0.25">
      <c r="A28" s="108"/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10"/>
      <c r="N28" s="181"/>
      <c r="O28" s="222"/>
      <c r="P28" s="222"/>
      <c r="Q28" s="143"/>
    </row>
    <row r="29" spans="1:17" x14ac:dyDescent="0.25">
      <c r="A29" s="108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10"/>
      <c r="N29" s="181"/>
      <c r="O29" s="222"/>
      <c r="P29" s="222"/>
      <c r="Q29" s="143"/>
    </row>
    <row r="30" spans="1:17" x14ac:dyDescent="0.25">
      <c r="A30" s="108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10"/>
      <c r="N30" s="181"/>
      <c r="O30" s="222"/>
      <c r="P30" s="222"/>
      <c r="Q30" s="143"/>
    </row>
    <row r="31" spans="1:17" x14ac:dyDescent="0.25">
      <c r="A31" s="108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10"/>
      <c r="N31" s="181"/>
      <c r="O31" s="222"/>
      <c r="P31" s="222"/>
      <c r="Q31" s="143"/>
    </row>
    <row r="32" spans="1:17" x14ac:dyDescent="0.25">
      <c r="A32" s="108"/>
      <c r="B32" s="109"/>
      <c r="C32" s="109"/>
      <c r="D32" s="109"/>
      <c r="E32" s="109"/>
      <c r="F32" s="181"/>
      <c r="G32" s="109"/>
      <c r="H32" s="109"/>
      <c r="I32" s="109"/>
      <c r="J32" s="109"/>
      <c r="K32" s="109"/>
      <c r="L32" s="109"/>
      <c r="M32" s="110"/>
      <c r="N32" s="181"/>
      <c r="O32" s="217"/>
      <c r="P32" s="217"/>
      <c r="Q32" s="143"/>
    </row>
    <row r="33" spans="1:17" x14ac:dyDescent="0.25">
      <c r="A33" s="108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10"/>
      <c r="N33" s="181"/>
      <c r="O33" s="217"/>
      <c r="P33" s="217"/>
      <c r="Q33" s="143"/>
    </row>
    <row r="34" spans="1:17" x14ac:dyDescent="0.25">
      <c r="A34" s="108"/>
      <c r="B34" s="109"/>
      <c r="C34" s="109"/>
      <c r="D34" s="109"/>
      <c r="E34" s="109"/>
      <c r="F34" s="181"/>
      <c r="G34" s="109"/>
      <c r="H34" s="109"/>
      <c r="I34" s="109"/>
      <c r="J34" s="109"/>
      <c r="K34" s="109"/>
      <c r="L34" s="109"/>
      <c r="M34" s="110"/>
      <c r="N34" s="181"/>
      <c r="O34" s="217"/>
      <c r="P34" s="217"/>
      <c r="Q34" s="143"/>
    </row>
    <row r="35" spans="1:17" x14ac:dyDescent="0.25">
      <c r="A35" s="108"/>
      <c r="B35" s="109"/>
      <c r="C35" s="109"/>
      <c r="D35" s="109"/>
      <c r="E35" s="109"/>
      <c r="F35" s="181"/>
      <c r="G35" s="109"/>
      <c r="H35" s="109"/>
      <c r="I35" s="109"/>
      <c r="J35" s="109"/>
      <c r="K35" s="109"/>
      <c r="L35" s="109"/>
      <c r="M35" s="110"/>
      <c r="N35" s="181"/>
      <c r="O35" s="217"/>
      <c r="P35" s="217"/>
      <c r="Q35" s="143"/>
    </row>
    <row r="36" spans="1:17" x14ac:dyDescent="0.25">
      <c r="A36" s="112"/>
      <c r="B36" s="113"/>
      <c r="C36" s="113"/>
      <c r="D36" s="113"/>
      <c r="E36" s="113"/>
      <c r="F36" s="114"/>
      <c r="G36" s="113"/>
      <c r="H36" s="113"/>
      <c r="I36" s="113"/>
      <c r="J36" s="113"/>
      <c r="K36" s="113"/>
      <c r="L36" s="113"/>
      <c r="M36" s="115"/>
      <c r="N36" s="116"/>
      <c r="O36" s="218"/>
      <c r="P36" s="218"/>
      <c r="Q36" s="143"/>
    </row>
    <row r="37" spans="1:17" ht="15.75" thickBot="1" x14ac:dyDescent="0.3">
      <c r="A37" s="117"/>
      <c r="B37" s="118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9"/>
      <c r="N37" s="118"/>
      <c r="O37" s="219"/>
      <c r="P37" s="219"/>
      <c r="Q37" s="144"/>
    </row>
    <row r="38" spans="1:17" ht="31.5" customHeight="1" thickBot="1" x14ac:dyDescent="0.3">
      <c r="A38" s="220" t="s">
        <v>181</v>
      </c>
      <c r="B38" s="220"/>
      <c r="C38" s="220"/>
      <c r="D38" s="220"/>
      <c r="E38" s="220"/>
      <c r="F38" s="220"/>
      <c r="G38" s="220"/>
      <c r="H38" s="220"/>
      <c r="I38" s="220"/>
      <c r="J38" s="220"/>
      <c r="K38" s="220"/>
      <c r="L38" s="220"/>
      <c r="M38" s="220"/>
      <c r="N38" s="220"/>
      <c r="O38" s="220"/>
      <c r="P38" s="220"/>
      <c r="Q38" s="145">
        <f>SUM(Q15:Q37)</f>
        <v>12407155</v>
      </c>
    </row>
    <row r="39" spans="1:17" ht="15.75" thickBot="1" x14ac:dyDescent="0.3">
      <c r="A39" s="221"/>
      <c r="B39" s="221"/>
      <c r="C39" s="221"/>
      <c r="D39" s="221"/>
      <c r="E39" s="221"/>
      <c r="F39" s="221"/>
      <c r="G39" s="221"/>
      <c r="H39" s="221"/>
      <c r="I39" s="221"/>
      <c r="J39" s="221"/>
      <c r="K39" s="221"/>
      <c r="L39" s="221"/>
      <c r="M39" s="221"/>
      <c r="N39" s="221"/>
      <c r="O39" s="221"/>
      <c r="P39" s="221"/>
      <c r="Q39" s="221"/>
    </row>
    <row r="40" spans="1:17" ht="15.75" thickBot="1" x14ac:dyDescent="0.3">
      <c r="A40" s="214" t="s">
        <v>130</v>
      </c>
      <c r="B40" s="214"/>
      <c r="C40" s="214"/>
      <c r="D40" s="214"/>
      <c r="E40" s="214"/>
      <c r="F40" s="214"/>
      <c r="G40" s="215"/>
      <c r="H40" s="215"/>
      <c r="I40" s="215"/>
      <c r="J40" s="215"/>
      <c r="K40" s="215"/>
      <c r="L40" s="215"/>
      <c r="M40" s="215"/>
      <c r="N40" s="215"/>
      <c r="O40" s="215"/>
      <c r="P40" s="215"/>
      <c r="Q40" s="215"/>
    </row>
    <row r="41" spans="1:17" ht="15.75" thickBot="1" x14ac:dyDescent="0.3">
      <c r="A41" s="216" t="str">
        <f>'NP DPBS'!D8</f>
        <v>ADQUISICION DEL RUBRO DESCARTABLES PARA LABORATORIO</v>
      </c>
      <c r="B41" s="216"/>
      <c r="C41" s="216"/>
      <c r="D41" s="216"/>
      <c r="E41" s="216"/>
      <c r="F41" s="216"/>
      <c r="G41" s="216"/>
      <c r="H41" s="216"/>
      <c r="I41" s="216"/>
      <c r="J41" s="216"/>
      <c r="K41" s="216"/>
      <c r="L41" s="216"/>
      <c r="M41" s="216"/>
      <c r="N41" s="216"/>
      <c r="O41" s="216"/>
      <c r="P41" s="216"/>
      <c r="Q41" s="216"/>
    </row>
    <row r="42" spans="1:17" ht="15.75" thickBot="1" x14ac:dyDescent="0.3">
      <c r="A42" s="216"/>
      <c r="B42" s="216"/>
      <c r="C42" s="216"/>
      <c r="D42" s="216"/>
      <c r="E42" s="216"/>
      <c r="F42" s="216"/>
      <c r="G42" s="216"/>
      <c r="H42" s="216"/>
      <c r="I42" s="216"/>
      <c r="J42" s="216"/>
      <c r="K42" s="216"/>
      <c r="L42" s="216"/>
      <c r="M42" s="216"/>
      <c r="N42" s="216"/>
      <c r="O42" s="216"/>
      <c r="P42" s="216"/>
      <c r="Q42" s="216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9"/>
  <sheetViews>
    <sheetView tabSelected="1" topLeftCell="A10" workbookViewId="0">
      <selection activeCell="M28" sqref="M28"/>
    </sheetView>
  </sheetViews>
  <sheetFormatPr baseColWidth="10" defaultRowHeight="15" x14ac:dyDescent="0.25"/>
  <cols>
    <col min="1" max="1" width="5.5703125" style="21" customWidth="1"/>
    <col min="2" max="2" width="15.140625" style="128" customWidth="1"/>
    <col min="3" max="3" width="14.140625" style="21" customWidth="1"/>
    <col min="4" max="4" width="26" style="21" customWidth="1"/>
    <col min="5" max="5" width="8" style="21" customWidth="1"/>
    <col min="6" max="6" width="7.85546875" style="21" customWidth="1"/>
    <col min="7" max="7" width="72.42578125" style="21" customWidth="1"/>
    <col min="8" max="8" width="9.28515625" style="21" customWidth="1"/>
    <col min="9" max="9" width="15.5703125" style="21" customWidth="1"/>
    <col min="10" max="10" width="14.7109375" style="133" customWidth="1"/>
    <col min="11" max="11" width="15.5703125" style="21" customWidth="1"/>
    <col min="12" max="16384" width="11.42578125" style="21"/>
  </cols>
  <sheetData>
    <row r="1" spans="1:14" ht="30.75" thickBot="1" x14ac:dyDescent="0.3">
      <c r="A1" s="209" t="s">
        <v>94</v>
      </c>
      <c r="B1" s="209"/>
      <c r="C1" s="209"/>
      <c r="D1" s="209"/>
      <c r="E1" s="209"/>
      <c r="F1" s="209"/>
      <c r="G1" s="209"/>
      <c r="H1" s="209"/>
      <c r="I1" s="209"/>
      <c r="J1" s="129" t="s">
        <v>95</v>
      </c>
      <c r="K1" s="79" t="s">
        <v>146</v>
      </c>
    </row>
    <row r="2" spans="1:14" ht="16.5" thickBot="1" x14ac:dyDescent="0.3">
      <c r="A2" s="80"/>
      <c r="B2" s="124"/>
      <c r="C2" s="81"/>
      <c r="D2" s="82"/>
      <c r="E2" s="82"/>
      <c r="F2" s="82"/>
      <c r="G2" s="82"/>
      <c r="H2" s="82"/>
      <c r="I2" s="82"/>
      <c r="J2" s="130"/>
      <c r="K2" s="83"/>
    </row>
    <row r="3" spans="1:14" ht="16.5" customHeight="1" thickBot="1" x14ac:dyDescent="0.3">
      <c r="A3" s="210" t="s">
        <v>96</v>
      </c>
      <c r="B3" s="210"/>
      <c r="C3" s="210"/>
      <c r="D3" s="120" t="s">
        <v>2</v>
      </c>
      <c r="E3" s="121"/>
      <c r="F3" s="121"/>
      <c r="G3" s="121"/>
      <c r="H3" s="121"/>
      <c r="I3" s="121"/>
      <c r="J3" s="131"/>
      <c r="K3" s="122"/>
    </row>
    <row r="4" spans="1:14" ht="16.5" customHeight="1" thickBot="1" x14ac:dyDescent="0.3">
      <c r="A4" s="211" t="s">
        <v>97</v>
      </c>
      <c r="B4" s="211"/>
      <c r="C4" s="211"/>
      <c r="D4" s="120" t="s">
        <v>131</v>
      </c>
      <c r="E4" s="121"/>
      <c r="F4" s="121"/>
      <c r="G4" s="121"/>
      <c r="H4" s="121"/>
      <c r="I4" s="121"/>
      <c r="J4" s="131"/>
      <c r="K4" s="122"/>
    </row>
    <row r="5" spans="1:14" ht="16.5" thickBot="1" x14ac:dyDescent="0.3">
      <c r="A5" s="211" t="s">
        <v>98</v>
      </c>
      <c r="B5" s="211"/>
      <c r="C5" s="211"/>
      <c r="D5" s="120" t="s">
        <v>170</v>
      </c>
      <c r="E5" s="121"/>
      <c r="F5" s="121"/>
      <c r="G5" s="121"/>
      <c r="H5" s="121"/>
      <c r="I5" s="121"/>
      <c r="J5" s="131"/>
      <c r="K5" s="122"/>
    </row>
    <row r="6" spans="1:14" ht="16.5" thickBot="1" x14ac:dyDescent="0.3">
      <c r="A6" s="210" t="s">
        <v>99</v>
      </c>
      <c r="B6" s="210"/>
      <c r="C6" s="210"/>
      <c r="D6" s="120" t="s">
        <v>170</v>
      </c>
      <c r="E6" s="121"/>
      <c r="F6" s="121"/>
      <c r="G6" s="121"/>
      <c r="H6" s="121"/>
      <c r="I6" s="121"/>
      <c r="J6" s="131"/>
      <c r="K6" s="122"/>
    </row>
    <row r="7" spans="1:14" ht="16.5" thickBot="1" x14ac:dyDescent="0.3">
      <c r="A7" s="211" t="s">
        <v>100</v>
      </c>
      <c r="B7" s="211"/>
      <c r="C7" s="211"/>
      <c r="D7" s="120" t="s">
        <v>132</v>
      </c>
      <c r="E7" s="121"/>
      <c r="F7" s="121"/>
      <c r="G7" s="121"/>
      <c r="H7" s="121"/>
      <c r="I7" s="121"/>
      <c r="J7" s="131"/>
      <c r="K7" s="122"/>
    </row>
    <row r="8" spans="1:14" ht="16.5" customHeight="1" thickBot="1" x14ac:dyDescent="0.3">
      <c r="A8" s="213" t="s">
        <v>101</v>
      </c>
      <c r="B8" s="213"/>
      <c r="C8" s="213"/>
      <c r="D8" s="123" t="s">
        <v>137</v>
      </c>
      <c r="E8" s="121"/>
      <c r="F8" s="121"/>
      <c r="G8" s="121"/>
      <c r="H8" s="121"/>
      <c r="I8" s="121"/>
      <c r="J8" s="131"/>
      <c r="K8" s="122"/>
    </row>
    <row r="9" spans="1:14" ht="16.5" thickBot="1" x14ac:dyDescent="0.3">
      <c r="A9" s="84"/>
      <c r="B9" s="125"/>
      <c r="C9" s="85"/>
      <c r="D9" s="86"/>
      <c r="E9" s="86"/>
      <c r="F9" s="86"/>
      <c r="G9" s="86"/>
      <c r="H9" s="86"/>
      <c r="I9" s="86"/>
      <c r="J9" s="132"/>
      <c r="K9" s="87"/>
    </row>
    <row r="10" spans="1:14" ht="15.75" thickBot="1" x14ac:dyDescent="0.3">
      <c r="A10" s="212" t="s">
        <v>102</v>
      </c>
      <c r="B10" s="207" t="s">
        <v>103</v>
      </c>
      <c r="C10" s="207" t="s">
        <v>104</v>
      </c>
      <c r="D10" s="207"/>
      <c r="E10" s="207"/>
      <c r="F10" s="207"/>
      <c r="G10" s="207"/>
      <c r="H10" s="207" t="s">
        <v>105</v>
      </c>
      <c r="I10" s="207" t="s">
        <v>106</v>
      </c>
      <c r="J10" s="208" t="s">
        <v>107</v>
      </c>
      <c r="K10" s="205" t="s">
        <v>108</v>
      </c>
    </row>
    <row r="11" spans="1:14" ht="36.75" customHeight="1" thickBot="1" x14ac:dyDescent="0.3">
      <c r="A11" s="243"/>
      <c r="B11" s="244"/>
      <c r="C11" s="244"/>
      <c r="D11" s="244"/>
      <c r="E11" s="244"/>
      <c r="F11" s="244"/>
      <c r="G11" s="244"/>
      <c r="H11" s="244"/>
      <c r="I11" s="244"/>
      <c r="J11" s="238"/>
      <c r="K11" s="239"/>
    </row>
    <row r="12" spans="1:14" s="137" customFormat="1" ht="15.75" customHeight="1" x14ac:dyDescent="0.25">
      <c r="A12" s="146">
        <v>1</v>
      </c>
      <c r="B12" s="147"/>
      <c r="C12" s="262" t="str">
        <f>'SAF 011 - NECESIDAD TRIMESTRAL'!E12</f>
        <v>BOLSAS COLECTORAS; TIPO: ESTERIL, USO: MUESTREO, CAPACIDAD: 400 mL</v>
      </c>
      <c r="D12" s="263"/>
      <c r="E12" s="263"/>
      <c r="F12" s="263"/>
      <c r="G12" s="264"/>
      <c r="H12" s="250" t="s">
        <v>169</v>
      </c>
      <c r="I12" s="254" t="str">
        <f>'SAF 011 - NECESIDAD TRIMESTRAL'!F12</f>
        <v>UNIDAD</v>
      </c>
      <c r="J12" s="255">
        <f>'SAF 011 - NECESIDAD TRIMESTRAL'!AX12</f>
        <v>4450</v>
      </c>
      <c r="K12" s="256">
        <f>'SAF 011 - NECESIDAD TRIMESTRAL'!AE12</f>
        <v>10</v>
      </c>
      <c r="L12" s="257" t="s">
        <v>195</v>
      </c>
      <c r="M12" s="257"/>
      <c r="N12" s="257"/>
    </row>
    <row r="13" spans="1:14" s="137" customFormat="1" ht="15.75" customHeight="1" x14ac:dyDescent="0.25">
      <c r="A13" s="146">
        <v>2</v>
      </c>
      <c r="B13" s="147"/>
      <c r="C13" s="202" t="str">
        <f>'SAF 011 - NECESIDAD TRIMESTRAL'!E15</f>
        <v>BOLSAS PARA DIGESTOR 1000 ML. 18 X 29 CM CON CIERRE X 100 UNIDADES TIPO GAMAFIL</v>
      </c>
      <c r="D13" s="203"/>
      <c r="E13" s="203"/>
      <c r="F13" s="203"/>
      <c r="G13" s="204"/>
      <c r="H13" s="147" t="s">
        <v>169</v>
      </c>
      <c r="I13" s="148" t="str">
        <f>'SAF 011 - NECESIDAD TRIMESTRAL'!F15</f>
        <v>CAJA</v>
      </c>
      <c r="J13" s="149">
        <f>'SAF 011 - NECESIDAD TRIMESTRAL'!AX15</f>
        <v>16500</v>
      </c>
      <c r="K13" s="150">
        <f>'SAF 011 - NECESIDAD TRIMESTRAL'!AE15</f>
        <v>1</v>
      </c>
    </row>
    <row r="14" spans="1:14" s="137" customFormat="1" ht="15.75" customHeight="1" x14ac:dyDescent="0.25">
      <c r="A14" s="146">
        <v>3</v>
      </c>
      <c r="B14" s="147"/>
      <c r="C14" s="202" t="str">
        <f>'SAF 011 - NECESIDAD TRIMESTRAL'!E20</f>
        <v>EQUIPO AQASSAY ARSENICO DISPOSITIVO BURBUJEADOR TIPO GT LAB</v>
      </c>
      <c r="D14" s="203"/>
      <c r="E14" s="203"/>
      <c r="F14" s="203"/>
      <c r="G14" s="204"/>
      <c r="H14" s="147" t="s">
        <v>169</v>
      </c>
      <c r="I14" s="148" t="str">
        <f>'SAF 011 - NECESIDAD TRIMESTRAL'!F20</f>
        <v>UNIDAD</v>
      </c>
      <c r="J14" s="149">
        <f>'SAF 011 - NECESIDAD TRIMESTRAL'!AX20</f>
        <v>18300</v>
      </c>
      <c r="K14" s="150">
        <f>'SAF 011 - NECESIDAD TRIMESTRAL'!AE20</f>
        <v>1</v>
      </c>
    </row>
    <row r="15" spans="1:14" s="137" customFormat="1" ht="15.75" customHeight="1" x14ac:dyDescent="0.25">
      <c r="A15" s="146">
        <v>4</v>
      </c>
      <c r="B15" s="147"/>
      <c r="C15" s="251" t="str">
        <f>'SAF 011 - NECESIDAD TRIMESTRAL'!E21</f>
        <v xml:space="preserve">EQUIPO DE VIDRIO PARA FILTRACIÓN POR MEMBRANAS DE Ø47MM TIPO GLASSCO COMPUESTO POR:  KITASATOS DE BOCA ESMERILADA X 1000 ML, INTERMEDIARIOS CON DISCO SINTERIZADO DE Ø 47MM, VASOS GRADUADOS X 300 ML Y PINZAS METÁLICAS. </v>
      </c>
      <c r="D15" s="252"/>
      <c r="E15" s="252"/>
      <c r="F15" s="252"/>
      <c r="G15" s="253"/>
      <c r="H15" s="250" t="s">
        <v>169</v>
      </c>
      <c r="I15" s="254" t="str">
        <f>'SAF 011 - NECESIDAD TRIMESTRAL'!F21</f>
        <v>UNIDAD</v>
      </c>
      <c r="J15" s="255">
        <f>'SAF 011 - NECESIDAD TRIMESTRAL'!AX21</f>
        <v>45800</v>
      </c>
      <c r="K15" s="256">
        <f>'SAF 011 - NECESIDAD TRIMESTRAL'!AE21</f>
        <v>10</v>
      </c>
      <c r="L15" s="257" t="s">
        <v>196</v>
      </c>
    </row>
    <row r="16" spans="1:14" s="137" customFormat="1" ht="15.75" customHeight="1" x14ac:dyDescent="0.25">
      <c r="A16" s="146">
        <v>5</v>
      </c>
      <c r="B16" s="147"/>
      <c r="C16" s="202" t="str">
        <f>'SAF 011 - NECESIDAD TRIMESTRAL'!E23</f>
        <v>ERLENMEYER; TIPO: BOCA COMUN, CAPACIDAD: 500 mL, GRADUADO: SI, GRADUACION: SI TIPO GLASSCO</v>
      </c>
      <c r="D16" s="203"/>
      <c r="E16" s="203"/>
      <c r="F16" s="203"/>
      <c r="G16" s="204"/>
      <c r="H16" s="147" t="s">
        <v>169</v>
      </c>
      <c r="I16" s="148" t="str">
        <f>'SAF 011 - NECESIDAD TRIMESTRAL'!F23</f>
        <v>UNIDAD</v>
      </c>
      <c r="J16" s="149">
        <f>'SAF 011 - NECESIDAD TRIMESTRAL'!AX23</f>
        <v>1300</v>
      </c>
      <c r="K16" s="150">
        <f>'SAF 011 - NECESIDAD TRIMESTRAL'!AE23</f>
        <v>10</v>
      </c>
    </row>
    <row r="17" spans="1:12" s="137" customFormat="1" ht="15.75" customHeight="1" x14ac:dyDescent="0.25">
      <c r="A17" s="146">
        <v>6</v>
      </c>
      <c r="B17" s="147"/>
      <c r="C17" s="202" t="str">
        <f>'SAF 011 - NECESIDAD TRIMESTRAL'!E24</f>
        <v>FILTRO DE MEMBRANA DE CN ESTERIL, Ø47MM (045ɥm X 1.000 U).</v>
      </c>
      <c r="D17" s="203"/>
      <c r="E17" s="203"/>
      <c r="F17" s="203"/>
      <c r="G17" s="204"/>
      <c r="H17" s="147" t="s">
        <v>169</v>
      </c>
      <c r="I17" s="148" t="str">
        <f>'SAF 011 - NECESIDAD TRIMESTRAL'!F24</f>
        <v>UNIDAD</v>
      </c>
      <c r="J17" s="149">
        <f>'SAF 011 - NECESIDAD TRIMESTRAL'!AX24</f>
        <v>45300</v>
      </c>
      <c r="K17" s="150">
        <f>'SAF 011 - NECESIDAD TRIMESTRAL'!AE24</f>
        <v>1</v>
      </c>
    </row>
    <row r="18" spans="1:12" s="137" customFormat="1" ht="15.75" customHeight="1" x14ac:dyDescent="0.25">
      <c r="A18" s="146">
        <v>7</v>
      </c>
      <c r="B18" s="147"/>
      <c r="C18" s="202" t="str">
        <f>'SAF 011 - NECESIDAD TRIMESTRAL'!E25</f>
        <v>FRASCO GRADUADO C/TAPA A ROSCA AUTOCLAVABLE X  250 ML TIPO GLASSCO</v>
      </c>
      <c r="D18" s="203"/>
      <c r="E18" s="203"/>
      <c r="F18" s="203"/>
      <c r="G18" s="204"/>
      <c r="H18" s="147" t="s">
        <v>169</v>
      </c>
      <c r="I18" s="148" t="str">
        <f>'SAF 011 - NECESIDAD TRIMESTRAL'!F25</f>
        <v>UNIDAD</v>
      </c>
      <c r="J18" s="149">
        <f>'SAF 011 - NECESIDAD TRIMESTRAL'!AX25</f>
        <v>820</v>
      </c>
      <c r="K18" s="150">
        <f>'SAF 011 - NECESIDAD TRIMESTRAL'!AE25</f>
        <v>20</v>
      </c>
    </row>
    <row r="19" spans="1:12" s="137" customFormat="1" ht="38.25" customHeight="1" x14ac:dyDescent="0.25">
      <c r="A19" s="146">
        <v>8</v>
      </c>
      <c r="B19" s="147"/>
      <c r="C19" s="202" t="str">
        <f>'SAF 011 - NECESIDAD TRIMESTRAL'!E31</f>
        <v>MATRAZ AFORADO MATRAZ AFORADO; ESTADO: SOLIDO, MATERIAL: POLIPROPILENO, PRESENTACION: UNIDAD, CAPACIDAD: 100 mL</v>
      </c>
      <c r="D19" s="203"/>
      <c r="E19" s="203"/>
      <c r="F19" s="203"/>
      <c r="G19" s="204"/>
      <c r="H19" s="147" t="s">
        <v>169</v>
      </c>
      <c r="I19" s="148" t="str">
        <f>'SAF 011 - NECESIDAD TRIMESTRAL'!F31</f>
        <v>UNIDAD</v>
      </c>
      <c r="J19" s="149">
        <f>'SAF 011 - NECESIDAD TRIMESTRAL'!AX31</f>
        <v>950</v>
      </c>
      <c r="K19" s="150">
        <f>'SAF 011 - NECESIDAD TRIMESTRAL'!AE31</f>
        <v>5</v>
      </c>
    </row>
    <row r="20" spans="1:12" s="137" customFormat="1" ht="48.75" customHeight="1" x14ac:dyDescent="0.25">
      <c r="A20" s="146">
        <v>9</v>
      </c>
      <c r="B20" s="147"/>
      <c r="C20" s="202" t="str">
        <f>'SAF 011 - NECESIDAD TRIMESTRAL'!E32</f>
        <v>MATRAZ AFORADO MATRAZ AFORADO; ESTADO: SOLIDO, MATERIAL: POLIPROPILENO, PRESENTACION: UNIDAD, CAPACIDAD: 250 mL</v>
      </c>
      <c r="D20" s="203"/>
      <c r="E20" s="203"/>
      <c r="F20" s="203"/>
      <c r="G20" s="204"/>
      <c r="H20" s="147" t="s">
        <v>169</v>
      </c>
      <c r="I20" s="148" t="str">
        <f>'SAF 011 - NECESIDAD TRIMESTRAL'!F32</f>
        <v>UNIDAD</v>
      </c>
      <c r="J20" s="149">
        <f>'SAF 011 - NECESIDAD TRIMESTRAL'!AX32</f>
        <v>1071.6400000000001</v>
      </c>
      <c r="K20" s="150">
        <f>'SAF 011 - NECESIDAD TRIMESTRAL'!AE32</f>
        <v>5</v>
      </c>
    </row>
    <row r="21" spans="1:12" s="137" customFormat="1" ht="15.75" customHeight="1" x14ac:dyDescent="0.25">
      <c r="A21" s="146">
        <v>10</v>
      </c>
      <c r="B21" s="147"/>
      <c r="C21" s="202" t="str">
        <f>'SAF 011 - NECESIDAD TRIMESTRAL'!E35</f>
        <v>PAPEL FILTRO; FORMA: CIRCULAR, DIMENSION: 110 mm, PORO: WATMAN 40/41, PRESENTACION: ENVASE X 100</v>
      </c>
      <c r="D21" s="203"/>
      <c r="E21" s="203"/>
      <c r="F21" s="203"/>
      <c r="G21" s="204"/>
      <c r="H21" s="147" t="s">
        <v>169</v>
      </c>
      <c r="I21" s="148" t="str">
        <f>'SAF 011 - NECESIDAD TRIMESTRAL'!F35</f>
        <v>CAJA</v>
      </c>
      <c r="J21" s="149">
        <f>'SAF 011 - NECESIDAD TRIMESTRAL'!AX35</f>
        <v>8791</v>
      </c>
      <c r="K21" s="150">
        <f>'SAF 011 - NECESIDAD TRIMESTRAL'!AE35</f>
        <v>1</v>
      </c>
    </row>
    <row r="22" spans="1:12" s="137" customFormat="1" ht="15.75" customHeight="1" x14ac:dyDescent="0.25">
      <c r="A22" s="146">
        <v>11</v>
      </c>
      <c r="B22" s="147"/>
      <c r="C22" s="251" t="str">
        <f>'SAF 011 - NECESIDAD TRIMESTRAL'!E37</f>
        <v>PICNÓMETRO DE VIDRIO C/TERMÓMETRO INCLUIDO C/TAPA ESMERILADA TIPO FITE X 5 ml</v>
      </c>
      <c r="D22" s="252"/>
      <c r="E22" s="252"/>
      <c r="F22" s="252"/>
      <c r="G22" s="253"/>
      <c r="H22" s="250" t="s">
        <v>169</v>
      </c>
      <c r="I22" s="254" t="str">
        <f>'SAF 011 - NECESIDAD TRIMESTRAL'!F37</f>
        <v>UNIDAD</v>
      </c>
      <c r="J22" s="255">
        <f>'SAF 011 - NECESIDAD TRIMESTRAL'!AX37</f>
        <v>65000</v>
      </c>
      <c r="K22" s="256">
        <f>'SAF 011 - NECESIDAD TRIMESTRAL'!AE37</f>
        <v>1</v>
      </c>
      <c r="L22" s="257" t="s">
        <v>196</v>
      </c>
    </row>
    <row r="23" spans="1:12" s="137" customFormat="1" ht="15.75" customHeight="1" x14ac:dyDescent="0.25">
      <c r="A23" s="146">
        <v>12</v>
      </c>
      <c r="B23" s="147"/>
      <c r="C23" s="202" t="str">
        <f>'SAF 011 - NECESIDAD TRIMESTRAL'!E38</f>
        <v>PINZA PMP C/EXTREMO EN PUNTA AUTOCLAVABLE TIPO BRAND</v>
      </c>
      <c r="D23" s="203"/>
      <c r="E23" s="203"/>
      <c r="F23" s="203"/>
      <c r="G23" s="204"/>
      <c r="H23" s="147" t="s">
        <v>169</v>
      </c>
      <c r="I23" s="148" t="str">
        <f>'SAF 011 - NECESIDAD TRIMESTRAL'!F38</f>
        <v>UNIDAD</v>
      </c>
      <c r="J23" s="149">
        <f>'SAF 011 - NECESIDAD TRIMESTRAL'!AX38</f>
        <v>3700</v>
      </c>
      <c r="K23" s="150">
        <f>'SAF 011 - NECESIDAD TRIMESTRAL'!AE38</f>
        <v>5</v>
      </c>
    </row>
    <row r="24" spans="1:12" s="137" customFormat="1" ht="16.5" customHeight="1" x14ac:dyDescent="0.25">
      <c r="A24" s="146">
        <v>13</v>
      </c>
      <c r="B24" s="127"/>
      <c r="C24" s="202" t="str">
        <f>'SAF 011 - NECESIDAD TRIMESTRAL'!E41</f>
        <v>PLACAS DE PETRI PLACAS DE PETRI; MATERIAL: PLASTICO ESTERIL, DIAMETRO: 5 Cm, ALTURA: SIN VALOR</v>
      </c>
      <c r="D24" s="203"/>
      <c r="E24" s="203"/>
      <c r="F24" s="203"/>
      <c r="G24" s="204"/>
      <c r="H24" s="147" t="s">
        <v>169</v>
      </c>
      <c r="I24" s="180" t="str">
        <f>'SAF 011 - NECESIDAD TRIMESTRAL'!F41</f>
        <v>UNIDAD</v>
      </c>
      <c r="J24" s="138">
        <f>'SAF 011 - NECESIDAD TRIMESTRAL'!AX41</f>
        <v>32</v>
      </c>
      <c r="K24" s="139">
        <f>'SAF 011 - NECESIDAD TRIMESTRAL'!AE41</f>
        <v>400</v>
      </c>
    </row>
    <row r="25" spans="1:12" s="137" customFormat="1" ht="16.5" customHeight="1" x14ac:dyDescent="0.25">
      <c r="A25" s="146">
        <v>14</v>
      </c>
      <c r="B25" s="127"/>
      <c r="C25" s="202" t="str">
        <f>'SAF 011 - NECESIDAD TRIMESTRAL'!E42</f>
        <v>PLACAS DE PETRI PLACAS DE PETRI; MATERIAL: SOLIDO, DIAMETRO: 100 mm, ALTURA: 15 mm</v>
      </c>
      <c r="D25" s="203"/>
      <c r="E25" s="203"/>
      <c r="F25" s="203"/>
      <c r="G25" s="204"/>
      <c r="H25" s="147" t="s">
        <v>169</v>
      </c>
      <c r="I25" s="180" t="str">
        <f>'SAF 011 - NECESIDAD TRIMESTRAL'!F42</f>
        <v>UNIDAD</v>
      </c>
      <c r="J25" s="138">
        <f>'SAF 011 - NECESIDAD TRIMESTRAL'!AX42</f>
        <v>34.15</v>
      </c>
      <c r="K25" s="139">
        <f>'SAF 011 - NECESIDAD TRIMESTRAL'!AE42</f>
        <v>300</v>
      </c>
    </row>
    <row r="26" spans="1:12" s="137" customFormat="1" ht="16.5" customHeight="1" x14ac:dyDescent="0.25">
      <c r="A26" s="146">
        <v>15</v>
      </c>
      <c r="B26" s="127"/>
      <c r="C26" s="202" t="str">
        <f>'SAF 011 - NECESIDAD TRIMESTRAL'!E43</f>
        <v>SOPLA DE GOMA P/BURETA TIPO DAIGGER</v>
      </c>
      <c r="D26" s="203"/>
      <c r="E26" s="203"/>
      <c r="F26" s="203"/>
      <c r="G26" s="204"/>
      <c r="H26" s="147" t="s">
        <v>169</v>
      </c>
      <c r="I26" s="180" t="str">
        <f>'SAF 011 - NECESIDAD TRIMESTRAL'!F43</f>
        <v>UNIDAD</v>
      </c>
      <c r="J26" s="138">
        <f>'SAF 011 - NECESIDAD TRIMESTRAL'!AX43</f>
        <v>22000</v>
      </c>
      <c r="K26" s="139">
        <f>'SAF 011 - NECESIDAD TRIMESTRAL'!AE43</f>
        <v>2</v>
      </c>
    </row>
    <row r="27" spans="1:12" s="137" customFormat="1" ht="16.5" customHeight="1" x14ac:dyDescent="0.25">
      <c r="A27" s="146">
        <v>16</v>
      </c>
      <c r="B27" s="127"/>
      <c r="C27" s="202" t="str">
        <f>'SAF 011 - NECESIDAD TRIMESTRAL'!E48</f>
        <v>TIPS AMARILLOS C/CORONA 5-200 UL X 1000 UNIDADES TIPO PARALWALL</v>
      </c>
      <c r="D27" s="203"/>
      <c r="E27" s="203"/>
      <c r="F27" s="203"/>
      <c r="G27" s="204"/>
      <c r="H27" s="147" t="s">
        <v>169</v>
      </c>
      <c r="I27" s="180" t="str">
        <f>'SAF 011 - NECESIDAD TRIMESTRAL'!F48</f>
        <v>CAJA</v>
      </c>
      <c r="J27" s="138">
        <f>'SAF 011 - NECESIDAD TRIMESTRAL'!AX48</f>
        <v>1230</v>
      </c>
      <c r="K27" s="139">
        <f>'SAF 011 - NECESIDAD TRIMESTRAL'!AE48</f>
        <v>2</v>
      </c>
    </row>
    <row r="28" spans="1:12" s="137" customFormat="1" ht="16.5" customHeight="1" x14ac:dyDescent="0.25">
      <c r="A28" s="146">
        <v>17</v>
      </c>
      <c r="B28" s="127"/>
      <c r="C28" s="202" t="str">
        <f>'SAF 011 - NECESIDAD TRIMESTRAL'!E51</f>
        <v>TUBO DE ENSAYO SIN SELLO TIPO PYREX ( Ø 16 X 150 MM)</v>
      </c>
      <c r="D28" s="203"/>
      <c r="E28" s="203"/>
      <c r="F28" s="203"/>
      <c r="G28" s="204"/>
      <c r="H28" s="147" t="s">
        <v>169</v>
      </c>
      <c r="I28" s="180" t="str">
        <f>'SAF 011 - NECESIDAD TRIMESTRAL'!F51</f>
        <v>UNIDAD</v>
      </c>
      <c r="J28" s="138">
        <f>'SAF 011 - NECESIDAD TRIMESTRAL'!AX51</f>
        <v>38</v>
      </c>
      <c r="K28" s="139">
        <f>'SAF 011 - NECESIDAD TRIMESTRAL'!AE51</f>
        <v>300</v>
      </c>
    </row>
    <row r="29" spans="1:12" s="137" customFormat="1" x14ac:dyDescent="0.25">
      <c r="A29" s="89"/>
      <c r="B29" s="127"/>
      <c r="C29" s="245"/>
      <c r="D29" s="245"/>
      <c r="E29" s="245"/>
      <c r="F29" s="245"/>
      <c r="G29" s="245"/>
      <c r="H29" s="127"/>
      <c r="I29" s="180"/>
      <c r="J29" s="138"/>
      <c r="K29" s="139"/>
    </row>
    <row r="30" spans="1:12" ht="19.5" thickBot="1" x14ac:dyDescent="0.3">
      <c r="A30" s="246" t="s">
        <v>172</v>
      </c>
      <c r="B30" s="246"/>
      <c r="C30" s="246"/>
      <c r="D30" s="246"/>
      <c r="E30" s="246"/>
      <c r="F30" s="246"/>
      <c r="G30" s="246"/>
      <c r="H30" s="246"/>
      <c r="I30" s="246"/>
      <c r="J30" s="247">
        <f>SUMPRODUCT(J12:J28,K12:K28)</f>
        <v>795304.2</v>
      </c>
      <c r="K30" s="248"/>
    </row>
    <row r="32" spans="1:12" x14ac:dyDescent="0.25">
      <c r="J32" s="133">
        <v>4450</v>
      </c>
      <c r="K32" s="133">
        <f>J32*K12</f>
        <v>44500</v>
      </c>
    </row>
    <row r="33" spans="10:11" x14ac:dyDescent="0.25">
      <c r="J33" s="133">
        <v>16500</v>
      </c>
      <c r="K33" s="133">
        <f t="shared" ref="K33:K48" si="0">J33*K13</f>
        <v>16500</v>
      </c>
    </row>
    <row r="34" spans="10:11" x14ac:dyDescent="0.25">
      <c r="J34" s="133">
        <v>18300</v>
      </c>
      <c r="K34" s="133">
        <f t="shared" si="0"/>
        <v>18300</v>
      </c>
    </row>
    <row r="35" spans="10:11" x14ac:dyDescent="0.25">
      <c r="J35" s="133">
        <v>45800</v>
      </c>
      <c r="K35" s="133">
        <f t="shared" si="0"/>
        <v>458000</v>
      </c>
    </row>
    <row r="36" spans="10:11" x14ac:dyDescent="0.25">
      <c r="J36" s="133">
        <v>1300</v>
      </c>
      <c r="K36" s="133">
        <f t="shared" si="0"/>
        <v>13000</v>
      </c>
    </row>
    <row r="37" spans="10:11" x14ac:dyDescent="0.25">
      <c r="J37" s="133">
        <v>45300</v>
      </c>
      <c r="K37" s="133">
        <f t="shared" si="0"/>
        <v>45300</v>
      </c>
    </row>
    <row r="38" spans="10:11" x14ac:dyDescent="0.25">
      <c r="J38" s="133">
        <v>820</v>
      </c>
      <c r="K38" s="133">
        <f t="shared" si="0"/>
        <v>16400</v>
      </c>
    </row>
    <row r="39" spans="10:11" x14ac:dyDescent="0.25">
      <c r="J39" s="133">
        <v>950</v>
      </c>
      <c r="K39" s="133">
        <f t="shared" si="0"/>
        <v>4750</v>
      </c>
    </row>
    <row r="40" spans="10:11" x14ac:dyDescent="0.25">
      <c r="J40" s="133">
        <v>1071.6400000000001</v>
      </c>
      <c r="K40" s="133">
        <f t="shared" si="0"/>
        <v>5358.2000000000007</v>
      </c>
    </row>
    <row r="41" spans="10:11" x14ac:dyDescent="0.25">
      <c r="J41" s="133">
        <v>8791</v>
      </c>
      <c r="K41" s="133">
        <f t="shared" si="0"/>
        <v>8791</v>
      </c>
    </row>
    <row r="42" spans="10:11" x14ac:dyDescent="0.25">
      <c r="J42" s="133">
        <v>65000</v>
      </c>
      <c r="K42" s="133">
        <f t="shared" si="0"/>
        <v>65000</v>
      </c>
    </row>
    <row r="43" spans="10:11" x14ac:dyDescent="0.25">
      <c r="J43" s="133">
        <v>3700</v>
      </c>
      <c r="K43" s="133">
        <f t="shared" si="0"/>
        <v>18500</v>
      </c>
    </row>
    <row r="44" spans="10:11" x14ac:dyDescent="0.25">
      <c r="J44" s="133">
        <v>32</v>
      </c>
      <c r="K44" s="133">
        <f t="shared" si="0"/>
        <v>12800</v>
      </c>
    </row>
    <row r="45" spans="10:11" x14ac:dyDescent="0.25">
      <c r="J45" s="133">
        <v>34.15</v>
      </c>
      <c r="K45" s="133">
        <f t="shared" si="0"/>
        <v>10245</v>
      </c>
    </row>
    <row r="46" spans="10:11" x14ac:dyDescent="0.25">
      <c r="J46" s="133">
        <v>22000</v>
      </c>
      <c r="K46" s="133">
        <f t="shared" si="0"/>
        <v>44000</v>
      </c>
    </row>
    <row r="47" spans="10:11" x14ac:dyDescent="0.25">
      <c r="J47" s="133">
        <v>1230</v>
      </c>
      <c r="K47" s="133">
        <f t="shared" si="0"/>
        <v>2460</v>
      </c>
    </row>
    <row r="48" spans="10:11" x14ac:dyDescent="0.25">
      <c r="J48" s="133">
        <v>38</v>
      </c>
      <c r="K48" s="133">
        <f t="shared" si="0"/>
        <v>11400</v>
      </c>
    </row>
    <row r="49" spans="11:11" x14ac:dyDescent="0.25">
      <c r="K49" s="133">
        <f>SUM(K32:K48)</f>
        <v>795304.2</v>
      </c>
    </row>
  </sheetData>
  <mergeCells count="34">
    <mergeCell ref="A7:C7"/>
    <mergeCell ref="A1:I1"/>
    <mergeCell ref="A3:C3"/>
    <mergeCell ref="A4:C4"/>
    <mergeCell ref="A5:C5"/>
    <mergeCell ref="A6:C6"/>
    <mergeCell ref="C13:G13"/>
    <mergeCell ref="J10:J11"/>
    <mergeCell ref="K10:K11"/>
    <mergeCell ref="C12:G12"/>
    <mergeCell ref="A8:C8"/>
    <mergeCell ref="A10:A11"/>
    <mergeCell ref="B10:B11"/>
    <mergeCell ref="C10:G11"/>
    <mergeCell ref="H10:H11"/>
    <mergeCell ref="I10:I11"/>
    <mergeCell ref="C19:G19"/>
    <mergeCell ref="C20:G20"/>
    <mergeCell ref="C21:G21"/>
    <mergeCell ref="C18:G18"/>
    <mergeCell ref="C14:G14"/>
    <mergeCell ref="C15:G15"/>
    <mergeCell ref="C16:G16"/>
    <mergeCell ref="C17:G17"/>
    <mergeCell ref="C25:G25"/>
    <mergeCell ref="C26:G26"/>
    <mergeCell ref="C22:G22"/>
    <mergeCell ref="C23:G23"/>
    <mergeCell ref="C24:G24"/>
    <mergeCell ref="C29:G29"/>
    <mergeCell ref="A30:I30"/>
    <mergeCell ref="J30:K30"/>
    <mergeCell ref="C27:G27"/>
    <mergeCell ref="C28:G2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42"/>
  <sheetViews>
    <sheetView workbookViewId="0">
      <selection activeCell="T35" sqref="T35"/>
    </sheetView>
  </sheetViews>
  <sheetFormatPr baseColWidth="10" defaultRowHeight="15" x14ac:dyDescent="0.25"/>
  <cols>
    <col min="1" max="5" width="4.42578125" style="21" customWidth="1"/>
    <col min="6" max="6" width="5" style="21" bestFit="1" customWidth="1"/>
    <col min="7" max="14" width="4.42578125" style="21" customWidth="1"/>
    <col min="15" max="15" width="14.85546875" style="21" customWidth="1"/>
    <col min="16" max="16" width="17.7109375" style="21" customWidth="1"/>
    <col min="17" max="17" width="14.7109375" style="133" customWidth="1"/>
    <col min="18" max="16384" width="11.42578125" style="21"/>
  </cols>
  <sheetData>
    <row r="1" spans="1:17" ht="15.75" thickBot="1" x14ac:dyDescent="0.3">
      <c r="A1" s="231" t="s">
        <v>5</v>
      </c>
      <c r="B1" s="231"/>
      <c r="C1" s="231"/>
      <c r="D1" s="232">
        <v>2022</v>
      </c>
      <c r="E1" s="232"/>
      <c r="F1" s="90"/>
      <c r="G1" s="90"/>
      <c r="H1" s="91"/>
      <c r="I1" s="91"/>
      <c r="J1" s="91"/>
      <c r="K1" s="91"/>
      <c r="L1" s="91"/>
      <c r="M1" s="91"/>
      <c r="N1" s="91"/>
      <c r="O1" s="92"/>
      <c r="P1" s="233" t="s">
        <v>109</v>
      </c>
      <c r="Q1" s="233"/>
    </row>
    <row r="2" spans="1:17" ht="15.75" thickBot="1" x14ac:dyDescent="0.3">
      <c r="A2" s="93"/>
      <c r="B2" s="94"/>
      <c r="C2" s="94"/>
      <c r="D2" s="94"/>
      <c r="E2" s="94"/>
      <c r="F2" s="94"/>
      <c r="G2" s="95"/>
      <c r="H2" s="96"/>
      <c r="I2" s="96"/>
      <c r="J2" s="96"/>
      <c r="K2" s="96"/>
      <c r="L2" s="96"/>
      <c r="M2" s="96"/>
      <c r="N2" s="96"/>
      <c r="O2" s="94"/>
      <c r="P2" s="233"/>
      <c r="Q2" s="233"/>
    </row>
    <row r="3" spans="1:17" ht="15.75" thickBot="1" x14ac:dyDescent="0.3">
      <c r="A3" s="93"/>
      <c r="B3" s="94"/>
      <c r="C3" s="94"/>
      <c r="D3" s="94"/>
      <c r="E3" s="94"/>
      <c r="F3" s="94"/>
      <c r="G3" s="95"/>
      <c r="H3" s="94"/>
      <c r="I3" s="94"/>
      <c r="J3" s="94"/>
      <c r="K3" s="94"/>
      <c r="L3" s="94"/>
      <c r="M3" s="94"/>
      <c r="N3" s="94"/>
      <c r="O3" s="94"/>
      <c r="P3" s="94"/>
      <c r="Q3" s="140"/>
    </row>
    <row r="4" spans="1:17" ht="15.75" thickBot="1" x14ac:dyDescent="0.3">
      <c r="A4" s="234" t="s">
        <v>110</v>
      </c>
      <c r="B4" s="234"/>
      <c r="C4" s="234"/>
      <c r="D4" s="234"/>
      <c r="E4" s="234"/>
      <c r="F4" s="234"/>
      <c r="G4" s="235" t="str">
        <f>'NP DPSMA'!D3</f>
        <v>040 - MINISTERIO DE SALUD</v>
      </c>
      <c r="H4" s="235"/>
      <c r="I4" s="235"/>
      <c r="J4" s="235"/>
      <c r="K4" s="235"/>
      <c r="L4" s="235"/>
      <c r="M4" s="235"/>
      <c r="N4" s="235"/>
      <c r="O4" s="235"/>
      <c r="P4" s="235"/>
      <c r="Q4" s="235"/>
    </row>
    <row r="5" spans="1:17" ht="15.75" thickBot="1" x14ac:dyDescent="0.3">
      <c r="A5" s="236" t="s">
        <v>97</v>
      </c>
      <c r="B5" s="236"/>
      <c r="C5" s="236"/>
      <c r="D5" s="236"/>
      <c r="E5" s="236"/>
      <c r="F5" s="236"/>
      <c r="G5" s="235" t="str">
        <f>'NP DPSMA'!D4</f>
        <v>011 - DIRECCION PROVINCIAL DE ADMINISTRACION DEL MINISTERIO DE SALUD</v>
      </c>
      <c r="H5" s="235"/>
      <c r="I5" s="235"/>
      <c r="J5" s="235"/>
      <c r="K5" s="235"/>
      <c r="L5" s="235"/>
      <c r="M5" s="235"/>
      <c r="N5" s="235"/>
      <c r="O5" s="235"/>
      <c r="P5" s="235"/>
      <c r="Q5" s="235"/>
    </row>
    <row r="6" spans="1:17" ht="15.75" thickBot="1" x14ac:dyDescent="0.3">
      <c r="A6" s="236" t="s">
        <v>98</v>
      </c>
      <c r="B6" s="236"/>
      <c r="C6" s="236"/>
      <c r="D6" s="236"/>
      <c r="E6" s="236"/>
      <c r="F6" s="236"/>
      <c r="G6" s="235" t="str">
        <f>'NP DPSMA'!D5</f>
        <v>488 - DIRECCION PROVINCIAL DE SALUD Y MEDIO AMBIENTE</v>
      </c>
      <c r="H6" s="235"/>
      <c r="I6" s="235"/>
      <c r="J6" s="235"/>
      <c r="K6" s="235"/>
      <c r="L6" s="235"/>
      <c r="M6" s="235"/>
      <c r="N6" s="235"/>
      <c r="O6" s="235"/>
      <c r="P6" s="235"/>
      <c r="Q6" s="235"/>
    </row>
    <row r="7" spans="1:17" ht="15.75" thickBot="1" x14ac:dyDescent="0.3">
      <c r="A7" s="236" t="s">
        <v>99</v>
      </c>
      <c r="B7" s="236"/>
      <c r="C7" s="236"/>
      <c r="D7" s="236"/>
      <c r="E7" s="236"/>
      <c r="F7" s="236"/>
      <c r="G7" s="235" t="str">
        <f>'NP DPSMA'!D6</f>
        <v>488 - DIRECCION PROVINCIAL DE SALUD Y MEDIO AMBIENTE</v>
      </c>
      <c r="H7" s="235"/>
      <c r="I7" s="235"/>
      <c r="J7" s="235"/>
      <c r="K7" s="235"/>
      <c r="L7" s="235"/>
      <c r="M7" s="235"/>
      <c r="N7" s="235"/>
      <c r="O7" s="235"/>
      <c r="P7" s="235"/>
      <c r="Q7" s="235"/>
    </row>
    <row r="8" spans="1:17" ht="15.75" thickBot="1" x14ac:dyDescent="0.3">
      <c r="A8" s="237" t="s">
        <v>111</v>
      </c>
      <c r="B8" s="237"/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  <c r="Q8" s="237"/>
    </row>
    <row r="9" spans="1:17" x14ac:dyDescent="0.25">
      <c r="A9" s="230" t="s">
        <v>112</v>
      </c>
      <c r="B9" s="230"/>
      <c r="C9" s="230"/>
      <c r="D9" s="230"/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  <c r="Q9" s="230"/>
    </row>
    <row r="10" spans="1:17" ht="75" customHeight="1" x14ac:dyDescent="0.25">
      <c r="A10" s="223" t="s">
        <v>173</v>
      </c>
      <c r="B10" s="223"/>
      <c r="C10" s="223"/>
      <c r="D10" s="223"/>
      <c r="E10" s="223"/>
      <c r="F10" s="223"/>
      <c r="G10" s="223"/>
      <c r="H10" s="223"/>
      <c r="I10" s="223"/>
      <c r="J10" s="223"/>
      <c r="K10" s="223"/>
      <c r="L10" s="223"/>
      <c r="M10" s="223"/>
      <c r="N10" s="223"/>
      <c r="O10" s="223"/>
      <c r="P10" s="223"/>
      <c r="Q10" s="223"/>
    </row>
    <row r="11" spans="1:17" ht="15.75" thickBot="1" x14ac:dyDescent="0.3">
      <c r="A11" s="97"/>
      <c r="B11" s="98"/>
      <c r="C11" s="98"/>
      <c r="D11" s="98"/>
      <c r="E11" s="98"/>
      <c r="F11" s="98"/>
      <c r="G11" s="99"/>
      <c r="H11" s="98"/>
      <c r="I11" s="98"/>
      <c r="J11" s="98"/>
      <c r="K11" s="98"/>
      <c r="L11" s="98"/>
      <c r="M11" s="98"/>
      <c r="N11" s="98"/>
      <c r="O11" s="98"/>
      <c r="P11" s="98"/>
      <c r="Q11" s="141"/>
    </row>
    <row r="12" spans="1:17" ht="15.75" thickBot="1" x14ac:dyDescent="0.3">
      <c r="A12" s="224" t="s">
        <v>113</v>
      </c>
      <c r="B12" s="224"/>
      <c r="C12" s="224"/>
      <c r="D12" s="224"/>
      <c r="E12" s="224"/>
      <c r="F12" s="224"/>
      <c r="G12" s="224"/>
      <c r="H12" s="224"/>
      <c r="I12" s="224"/>
      <c r="J12" s="224"/>
      <c r="K12" s="224"/>
      <c r="L12" s="224"/>
      <c r="M12" s="224"/>
      <c r="N12" s="224"/>
      <c r="O12" s="224"/>
      <c r="P12" s="224"/>
      <c r="Q12" s="224"/>
    </row>
    <row r="13" spans="1:17" ht="15.75" thickBot="1" x14ac:dyDescent="0.3">
      <c r="A13" s="225" t="s">
        <v>114</v>
      </c>
      <c r="B13" s="225"/>
      <c r="C13" s="225"/>
      <c r="D13" s="225"/>
      <c r="E13" s="225"/>
      <c r="F13" s="225"/>
      <c r="G13" s="225"/>
      <c r="H13" s="225"/>
      <c r="I13" s="225"/>
      <c r="J13" s="225"/>
      <c r="K13" s="225"/>
      <c r="L13" s="225"/>
      <c r="M13" s="225"/>
      <c r="N13" s="225"/>
      <c r="O13" s="226" t="s">
        <v>115</v>
      </c>
      <c r="P13" s="226"/>
      <c r="Q13" s="227" t="s">
        <v>116</v>
      </c>
    </row>
    <row r="14" spans="1:17" ht="15.75" thickBot="1" x14ac:dyDescent="0.3">
      <c r="A14" s="100" t="s">
        <v>117</v>
      </c>
      <c r="B14" s="101" t="s">
        <v>118</v>
      </c>
      <c r="C14" s="101" t="s">
        <v>119</v>
      </c>
      <c r="D14" s="101" t="s">
        <v>120</v>
      </c>
      <c r="E14" s="101" t="s">
        <v>121</v>
      </c>
      <c r="F14" s="101" t="s">
        <v>122</v>
      </c>
      <c r="G14" s="102" t="s">
        <v>123</v>
      </c>
      <c r="H14" s="101" t="s">
        <v>124</v>
      </c>
      <c r="I14" s="101" t="s">
        <v>125</v>
      </c>
      <c r="J14" s="101" t="s">
        <v>126</v>
      </c>
      <c r="K14" s="101" t="s">
        <v>126</v>
      </c>
      <c r="L14" s="101" t="s">
        <v>127</v>
      </c>
      <c r="M14" s="103" t="s">
        <v>128</v>
      </c>
      <c r="N14" s="104" t="s">
        <v>129</v>
      </c>
      <c r="O14" s="226"/>
      <c r="P14" s="226"/>
      <c r="Q14" s="227"/>
    </row>
    <row r="15" spans="1:17" ht="30" customHeight="1" x14ac:dyDescent="0.25">
      <c r="A15" s="105">
        <v>22</v>
      </c>
      <c r="B15" s="106"/>
      <c r="C15" s="106"/>
      <c r="D15" s="106">
        <v>1</v>
      </c>
      <c r="E15" s="106"/>
      <c r="F15" s="106">
        <v>4901</v>
      </c>
      <c r="G15" s="106">
        <v>4</v>
      </c>
      <c r="H15" s="106">
        <v>4</v>
      </c>
      <c r="I15" s="106">
        <v>2</v>
      </c>
      <c r="J15" s="106">
        <v>9</v>
      </c>
      <c r="K15" s="106">
        <v>5</v>
      </c>
      <c r="L15" s="106"/>
      <c r="M15" s="107">
        <v>1</v>
      </c>
      <c r="N15" s="106" t="s">
        <v>134</v>
      </c>
      <c r="O15" s="228" t="s">
        <v>136</v>
      </c>
      <c r="P15" s="228"/>
      <c r="Q15" s="142">
        <f>'NP DPSMA'!J30</f>
        <v>795304.2</v>
      </c>
    </row>
    <row r="16" spans="1:17" x14ac:dyDescent="0.25">
      <c r="A16" s="108"/>
      <c r="B16" s="109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10"/>
      <c r="N16" s="181"/>
      <c r="O16" s="217"/>
      <c r="P16" s="217"/>
      <c r="Q16" s="143"/>
    </row>
    <row r="17" spans="1:17" x14ac:dyDescent="0.25">
      <c r="A17" s="108"/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10"/>
      <c r="N17" s="181"/>
      <c r="O17" s="229"/>
      <c r="P17" s="229"/>
      <c r="Q17" s="143"/>
    </row>
    <row r="18" spans="1:17" x14ac:dyDescent="0.25">
      <c r="A18" s="108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10"/>
      <c r="N18" s="181"/>
      <c r="O18" s="222"/>
      <c r="P18" s="222"/>
      <c r="Q18" s="143"/>
    </row>
    <row r="19" spans="1:17" x14ac:dyDescent="0.25">
      <c r="A19" s="108"/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10"/>
      <c r="N19" s="181"/>
      <c r="O19" s="222"/>
      <c r="P19" s="222"/>
      <c r="Q19" s="143"/>
    </row>
    <row r="20" spans="1:17" x14ac:dyDescent="0.25">
      <c r="A20" s="108"/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10"/>
      <c r="N20" s="181"/>
      <c r="O20" s="222"/>
      <c r="P20" s="222"/>
      <c r="Q20" s="143"/>
    </row>
    <row r="21" spans="1:17" x14ac:dyDescent="0.25">
      <c r="A21" s="108"/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10"/>
      <c r="N21" s="181"/>
      <c r="O21" s="222"/>
      <c r="P21" s="222"/>
      <c r="Q21" s="143"/>
    </row>
    <row r="22" spans="1:17" x14ac:dyDescent="0.25">
      <c r="A22" s="108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10"/>
      <c r="N22" s="181"/>
      <c r="O22" s="222"/>
      <c r="P22" s="222"/>
      <c r="Q22" s="143"/>
    </row>
    <row r="23" spans="1:17" x14ac:dyDescent="0.25">
      <c r="A23" s="108"/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10"/>
      <c r="N23" s="181"/>
      <c r="O23" s="222"/>
      <c r="P23" s="222"/>
      <c r="Q23" s="143"/>
    </row>
    <row r="24" spans="1:17" x14ac:dyDescent="0.25">
      <c r="A24" s="108"/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10"/>
      <c r="N24" s="181"/>
      <c r="O24" s="222"/>
      <c r="P24" s="222"/>
      <c r="Q24" s="143"/>
    </row>
    <row r="25" spans="1:17" x14ac:dyDescent="0.25">
      <c r="A25" s="108"/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10"/>
      <c r="N25" s="181"/>
      <c r="O25" s="222"/>
      <c r="P25" s="222"/>
      <c r="Q25" s="143"/>
    </row>
    <row r="26" spans="1:17" x14ac:dyDescent="0.25">
      <c r="A26" s="108"/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10"/>
      <c r="N26" s="181"/>
      <c r="O26" s="222"/>
      <c r="P26" s="222"/>
      <c r="Q26" s="143"/>
    </row>
    <row r="27" spans="1:17" x14ac:dyDescent="0.25">
      <c r="A27" s="108"/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10"/>
      <c r="N27" s="181"/>
      <c r="O27" s="222"/>
      <c r="P27" s="222"/>
      <c r="Q27" s="143"/>
    </row>
    <row r="28" spans="1:17" x14ac:dyDescent="0.25">
      <c r="A28" s="108"/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10"/>
      <c r="N28" s="181"/>
      <c r="O28" s="222"/>
      <c r="P28" s="222"/>
      <c r="Q28" s="143"/>
    </row>
    <row r="29" spans="1:17" x14ac:dyDescent="0.25">
      <c r="A29" s="108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10"/>
      <c r="N29" s="181"/>
      <c r="O29" s="222"/>
      <c r="P29" s="222"/>
      <c r="Q29" s="143"/>
    </row>
    <row r="30" spans="1:17" x14ac:dyDescent="0.25">
      <c r="A30" s="108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10"/>
      <c r="N30" s="181"/>
      <c r="O30" s="222"/>
      <c r="P30" s="222"/>
      <c r="Q30" s="143"/>
    </row>
    <row r="31" spans="1:17" x14ac:dyDescent="0.25">
      <c r="A31" s="108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10"/>
      <c r="N31" s="181"/>
      <c r="O31" s="222"/>
      <c r="P31" s="222"/>
      <c r="Q31" s="143"/>
    </row>
    <row r="32" spans="1:17" x14ac:dyDescent="0.25">
      <c r="A32" s="108"/>
      <c r="B32" s="109"/>
      <c r="C32" s="109"/>
      <c r="D32" s="109"/>
      <c r="E32" s="109"/>
      <c r="F32" s="181"/>
      <c r="G32" s="109"/>
      <c r="H32" s="109"/>
      <c r="I32" s="109"/>
      <c r="J32" s="109"/>
      <c r="K32" s="109"/>
      <c r="L32" s="109"/>
      <c r="M32" s="110"/>
      <c r="N32" s="181"/>
      <c r="O32" s="217"/>
      <c r="P32" s="217"/>
      <c r="Q32" s="143"/>
    </row>
    <row r="33" spans="1:17" x14ac:dyDescent="0.25">
      <c r="A33" s="108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10"/>
      <c r="N33" s="181"/>
      <c r="O33" s="217"/>
      <c r="P33" s="217"/>
      <c r="Q33" s="143"/>
    </row>
    <row r="34" spans="1:17" x14ac:dyDescent="0.25">
      <c r="A34" s="108"/>
      <c r="B34" s="109"/>
      <c r="C34" s="109"/>
      <c r="D34" s="109"/>
      <c r="E34" s="109"/>
      <c r="F34" s="181"/>
      <c r="G34" s="109"/>
      <c r="H34" s="109"/>
      <c r="I34" s="109"/>
      <c r="J34" s="109"/>
      <c r="K34" s="109"/>
      <c r="L34" s="109"/>
      <c r="M34" s="110"/>
      <c r="N34" s="181"/>
      <c r="O34" s="217"/>
      <c r="P34" s="217"/>
      <c r="Q34" s="143"/>
    </row>
    <row r="35" spans="1:17" x14ac:dyDescent="0.25">
      <c r="A35" s="108"/>
      <c r="B35" s="109"/>
      <c r="C35" s="109"/>
      <c r="D35" s="109"/>
      <c r="E35" s="109"/>
      <c r="F35" s="181"/>
      <c r="G35" s="109"/>
      <c r="H35" s="109"/>
      <c r="I35" s="109"/>
      <c r="J35" s="109"/>
      <c r="K35" s="109"/>
      <c r="L35" s="109"/>
      <c r="M35" s="110"/>
      <c r="N35" s="181"/>
      <c r="O35" s="217"/>
      <c r="P35" s="217"/>
      <c r="Q35" s="143"/>
    </row>
    <row r="36" spans="1:17" x14ac:dyDescent="0.25">
      <c r="A36" s="112"/>
      <c r="B36" s="113"/>
      <c r="C36" s="113"/>
      <c r="D36" s="113"/>
      <c r="E36" s="113"/>
      <c r="F36" s="114"/>
      <c r="G36" s="113"/>
      <c r="H36" s="113"/>
      <c r="I36" s="113"/>
      <c r="J36" s="113"/>
      <c r="K36" s="113"/>
      <c r="L36" s="113"/>
      <c r="M36" s="115"/>
      <c r="N36" s="116"/>
      <c r="O36" s="218"/>
      <c r="P36" s="218"/>
      <c r="Q36" s="143"/>
    </row>
    <row r="37" spans="1:17" ht="15.75" thickBot="1" x14ac:dyDescent="0.3">
      <c r="A37" s="117"/>
      <c r="B37" s="118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9"/>
      <c r="N37" s="118"/>
      <c r="O37" s="219"/>
      <c r="P37" s="219"/>
      <c r="Q37" s="144"/>
    </row>
    <row r="38" spans="1:17" ht="40.5" customHeight="1" thickBot="1" x14ac:dyDescent="0.3">
      <c r="A38" s="220" t="s">
        <v>176</v>
      </c>
      <c r="B38" s="220"/>
      <c r="C38" s="220"/>
      <c r="D38" s="220"/>
      <c r="E38" s="220"/>
      <c r="F38" s="220"/>
      <c r="G38" s="220"/>
      <c r="H38" s="220"/>
      <c r="I38" s="220"/>
      <c r="J38" s="220"/>
      <c r="K38" s="220"/>
      <c r="L38" s="220"/>
      <c r="M38" s="220"/>
      <c r="N38" s="220"/>
      <c r="O38" s="220"/>
      <c r="P38" s="220"/>
      <c r="Q38" s="145">
        <f>SUM(Q15:Q37)</f>
        <v>795304.2</v>
      </c>
    </row>
    <row r="39" spans="1:17" ht="15.75" thickBot="1" x14ac:dyDescent="0.3">
      <c r="A39" s="221"/>
      <c r="B39" s="221"/>
      <c r="C39" s="221"/>
      <c r="D39" s="221"/>
      <c r="E39" s="221"/>
      <c r="F39" s="221"/>
      <c r="G39" s="221"/>
      <c r="H39" s="221"/>
      <c r="I39" s="221"/>
      <c r="J39" s="221"/>
      <c r="K39" s="221"/>
      <c r="L39" s="221"/>
      <c r="M39" s="221"/>
      <c r="N39" s="221"/>
      <c r="O39" s="221"/>
      <c r="P39" s="221"/>
      <c r="Q39" s="221"/>
    </row>
    <row r="40" spans="1:17" ht="15.75" thickBot="1" x14ac:dyDescent="0.3">
      <c r="A40" s="214" t="s">
        <v>130</v>
      </c>
      <c r="B40" s="214"/>
      <c r="C40" s="214"/>
      <c r="D40" s="214"/>
      <c r="E40" s="214"/>
      <c r="F40" s="214"/>
      <c r="G40" s="215"/>
      <c r="H40" s="215"/>
      <c r="I40" s="215"/>
      <c r="J40" s="215"/>
      <c r="K40" s="215"/>
      <c r="L40" s="215"/>
      <c r="M40" s="215"/>
      <c r="N40" s="215"/>
      <c r="O40" s="215"/>
      <c r="P40" s="215"/>
      <c r="Q40" s="215"/>
    </row>
    <row r="41" spans="1:17" ht="15.75" thickBot="1" x14ac:dyDescent="0.3">
      <c r="A41" s="216" t="str">
        <f>'NP DPSMA'!D8</f>
        <v>ADQUISICION DEL RUBRO DESCARTABLES PARA LABORATORIO</v>
      </c>
      <c r="B41" s="216"/>
      <c r="C41" s="216"/>
      <c r="D41" s="216"/>
      <c r="E41" s="216"/>
      <c r="F41" s="216"/>
      <c r="G41" s="216"/>
      <c r="H41" s="216"/>
      <c r="I41" s="216"/>
      <c r="J41" s="216"/>
      <c r="K41" s="216"/>
      <c r="L41" s="216"/>
      <c r="M41" s="216"/>
      <c r="N41" s="216"/>
      <c r="O41" s="216"/>
      <c r="P41" s="216"/>
      <c r="Q41" s="216"/>
    </row>
    <row r="42" spans="1:17" ht="15.75" thickBot="1" x14ac:dyDescent="0.3">
      <c r="A42" s="216"/>
      <c r="B42" s="216"/>
      <c r="C42" s="216"/>
      <c r="D42" s="216"/>
      <c r="E42" s="216"/>
      <c r="F42" s="216"/>
      <c r="G42" s="216"/>
      <c r="H42" s="216"/>
      <c r="I42" s="216"/>
      <c r="J42" s="216"/>
      <c r="K42" s="216"/>
      <c r="L42" s="216"/>
      <c r="M42" s="216"/>
      <c r="N42" s="216"/>
      <c r="O42" s="216"/>
      <c r="P42" s="216"/>
      <c r="Q42" s="216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SAF 011 - NECESIDAD TRIMESTRAL</vt:lpstr>
      <vt:lpstr>NP DPLAB</vt:lpstr>
      <vt:lpstr>APG DPLAB</vt:lpstr>
      <vt:lpstr>NP DPBS</vt:lpstr>
      <vt:lpstr>APG DPBS</vt:lpstr>
      <vt:lpstr>NP DPSMA</vt:lpstr>
      <vt:lpstr>APG DPSMA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dcterms:created xsi:type="dcterms:W3CDTF">2021-11-12T17:27:33Z</dcterms:created>
  <dcterms:modified xsi:type="dcterms:W3CDTF">2022-05-17T13:44:26Z</dcterms:modified>
</cp:coreProperties>
</file>