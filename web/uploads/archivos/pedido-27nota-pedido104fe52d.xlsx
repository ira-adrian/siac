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5DF53B0-5853-4843-909B-BF8DCEE4DCF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AF 011" sheetId="1" r:id="rId1"/>
    <sheet name="NP SAME" sheetId="2" r:id="rId2"/>
    <sheet name="APG SAME" sheetId="3" r:id="rId3"/>
    <sheet name="NP DPAS" sheetId="4" r:id="rId4"/>
    <sheet name="APG DPAS" sheetId="5" r:id="rId5"/>
  </sheets>
  <definedNames>
    <definedName name="_xlnm._FilterDatabase" localSheetId="0" hidden="1">'SAF 011'!$A$9:$AY$9</definedName>
  </definedNames>
  <calcPr calcId="181029"/>
</workbook>
</file>

<file path=xl/calcChain.xml><?xml version="1.0" encoding="utf-8"?>
<calcChain xmlns="http://schemas.openxmlformats.org/spreadsheetml/2006/main">
  <c r="AQ10" i="1" l="1"/>
  <c r="W10" i="1"/>
  <c r="J12" i="2"/>
  <c r="AW10" i="1" l="1"/>
  <c r="A41" i="5"/>
  <c r="G7" i="5"/>
  <c r="G6" i="5"/>
  <c r="J12" i="4"/>
  <c r="M12" i="4" s="1"/>
  <c r="Q15" i="5" s="1"/>
  <c r="Q38" i="5" s="1"/>
  <c r="I12" i="4"/>
  <c r="C12" i="4"/>
  <c r="B12" i="4"/>
  <c r="D4" i="4"/>
  <c r="G5" i="5" s="1"/>
  <c r="D3" i="4"/>
  <c r="G4" i="5" s="1"/>
  <c r="J14" i="4" l="1"/>
  <c r="A41" i="3"/>
  <c r="G6" i="3"/>
  <c r="G7" i="3"/>
  <c r="M12" i="2"/>
  <c r="J14" i="2" s="1"/>
  <c r="I12" i="2"/>
  <c r="C12" i="2"/>
  <c r="B12" i="2"/>
  <c r="D4" i="2"/>
  <c r="G5" i="3" s="1"/>
  <c r="D3" i="2"/>
  <c r="G4" i="3" s="1"/>
  <c r="Q15" i="3" l="1"/>
  <c r="Q38" i="3" s="1"/>
  <c r="AY10" i="1" l="1"/>
  <c r="AR10" i="1"/>
  <c r="X10" i="1"/>
  <c r="AY11" i="1" l="1"/>
</calcChain>
</file>

<file path=xl/sharedStrings.xml><?xml version="1.0" encoding="utf-8"?>
<sst xmlns="http://schemas.openxmlformats.org/spreadsheetml/2006/main" count="183" uniqueCount="129">
  <si>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</si>
  <si>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</si>
  <si>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</si>
  <si>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</si>
  <si>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</si>
  <si>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</si>
  <si>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</si>
  <si>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</si>
  <si>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</si>
  <si>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</si>
  <si>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</si>
  <si>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</si>
  <si>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</si>
  <si>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</si>
  <si>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</si>
  <si>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</si>
  <si>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</si>
  <si>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</si>
  <si>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</si>
  <si>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</si>
  <si>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</si>
  <si>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</si>
  <si>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</si>
  <si>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</si>
  <si>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</si>
  <si>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</si>
  <si>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</si>
  <si>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</si>
  <si>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</si>
  <si>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</si>
  <si>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</si>
  <si>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</si>
  <si>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</si>
  <si>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</si>
  <si>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</si>
  <si>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</si>
  <si>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</si>
  <si>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</si>
  <si>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</si>
  <si>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</si>
  <si>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</si>
  <si>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</si>
  <si>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</si>
  <si>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</si>
  <si>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</si>
  <si>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</si>
  <si>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</si>
  <si>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</si>
  <si>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</si>
  <si>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</si>
  <si>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</si>
  <si>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</si>
  <si>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QUIMICOS</t>
  </si>
  <si>
    <t>PRIMERO</t>
  </si>
  <si>
    <t>TOTAL SAME</t>
  </si>
  <si>
    <t>CRONICAS</t>
  </si>
  <si>
    <t>TOTAL CRONICAS</t>
  </si>
  <si>
    <t>EPIDEMIOLOGIA</t>
  </si>
  <si>
    <t>TOTAL EPIDEMIOLOGIA</t>
  </si>
  <si>
    <t>AREA 1</t>
  </si>
  <si>
    <t>TOTAL AREA 1</t>
  </si>
  <si>
    <t>2.5.1-9018.8</t>
  </si>
  <si>
    <t>GASES; COMPUESTO QUIMICO: OXIGENO, CALIDAD: MEDICINAL, PRESENTACION: TUBO X 6 M3</t>
  </si>
  <si>
    <t>M3</t>
  </si>
  <si>
    <t>TOTAL DEL RUBRO OXIGENO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</si>
  <si>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</si>
  <si>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</si>
  <si>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</si>
  <si>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</si>
  <si>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</si>
  <si>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</si>
  <si>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</si>
  <si>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</si>
  <si>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</si>
  <si>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</si>
  <si>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</si>
  <si>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</si>
  <si>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</si>
  <si>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</si>
  <si>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</si>
  <si>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</si>
  <si>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</si>
  <si>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</si>
  <si>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</si>
  <si>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</si>
  <si>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</si>
  <si>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</si>
  <si>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</si>
  <si>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</si>
  <si>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</si>
  <si>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</si>
  <si>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</si>
  <si>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</si>
  <si>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</si>
  <si>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</si>
  <si>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</si>
  <si>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</si>
  <si>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</si>
  <si>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</si>
  <si>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</si>
  <si>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</si>
  <si>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</si>
  <si>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</si>
  <si>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</t>
  </si>
  <si>
    <t>Plazos de entrega</t>
  </si>
  <si>
    <t>Lugar de Entrega:</t>
  </si>
  <si>
    <t>Calidad Minima esperada</t>
  </si>
  <si>
    <t>Mantenimiento</t>
  </si>
  <si>
    <t>cuarenta y cinco (45) días</t>
  </si>
  <si>
    <t xml:space="preserve"> 08/2022</t>
  </si>
  <si>
    <t>DIRECCION PROVINCIAL SISTEMA DE ATENCION MEDICA DE EMERGENCIA</t>
  </si>
  <si>
    <t>1° TRIMESTRE 2022</t>
  </si>
  <si>
    <t>ADQUISICION DEL RUBRO OXIGENO MEDICINAL</t>
  </si>
  <si>
    <t>SI</t>
  </si>
  <si>
    <t>1.1</t>
  </si>
  <si>
    <t>COMPUESTOS QUIMICOS</t>
  </si>
  <si>
    <t xml:space="preserve"> 01/2022</t>
  </si>
  <si>
    <t>DIRECCION PROVINCIAL DE ASISTENCIA SANITARIA</t>
  </si>
  <si>
    <t>Autorizo la realización de los  trámites correspondientes, a fin de proveer a  este Organismo los bienes que se detallan en Nota  de Pedido N° 08/2022 afectando la erogación resultante a los créditos presupuestarios aprobados a favor de esta Unidad Ejecutora, conforme al siguiente detalle: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</si>
  <si>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</si>
  <si>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diez (10) dias habiles</t>
  </si>
  <si>
    <t>Costo total estimado: CIENTO NOVENTA Y UN MIL CIEN CON 00/100.-</t>
  </si>
  <si>
    <t>Costo total estimado: DOS MILLONES OCHOCIENTOS VEINTIOCHO MIL SETECIENTOS CON 00/100.-</t>
  </si>
  <si>
    <t>TOTAL DE PESOS: CIENTO NOVENTA Y UN MIL CIEN CON 00/100.-</t>
  </si>
  <si>
    <t>TOTAL DE PESOS: DOS MILLONES OCHOCIENTOS VEINTIOCHO MIL SETECIENTOS CON 00/100.-</t>
  </si>
  <si>
    <t>HABILITACION SANITARIA CORRESPONDIENTE PARA EL CASO DE SER FABRICANTE (CERTIFICADO DE ANMAT), DISTRIBUIDOR OFERENTES PROVINCIALES (HABILITACION SANITARIA PROVINCIAL ), DISTRIBUIDOR OFERENTES NO PROVINCIALES CERTIFICADO DE ANMAR)</t>
  </si>
  <si>
    <t>OXIGENO EN FORMA LÍQUIDA: en recipientes cilíndricos del tipo criogénico. Las conexiones de salida de las válvulas deben garantizar su inviolabilidad.
EXIGENCIAS GENERALES ROTULADO: el rotulo del envase de los gases medicinales deberá contar con los siguientes datos: 
cruz griega color verde que identifica a los gases medicinales
nombre genérico del gas que contiene
N.º de certificado otorgado por la autoridad sanitaria
Composición 
Especificaciones técnicas (contenido y presión)
Identificación de la empresa titular y del fabricante
Numero de lote
Nombre y matricula del director técnico
Fechas de llenado y vencimiento
Condiciones de almacenamiento
Instructivo s/ manipulación correcta y segura
Debe incluir la leyenda: “el empleo y dosificación de este gas debe ser prescripto por un médico”
Durante el transporte (cisterna): se incluirá un protocolo de análisis del lote, firmado y fechado por el director técnico.
El mencionado certificado deberá ser archivado por el destinatario durante un plazo no menor a un año posterior a la fecha de vencimiento</t>
  </si>
  <si>
    <t xml:space="preserve"> -546 M3 EN LA DIR. PROV. DE SAME - CASEROS N° 864 - en el horario de 8:00hs a 12:00hs de lunes a viernes</t>
  </si>
  <si>
    <t xml:space="preserve"> -8.082 M3  EN LA DIR. PROV. DE ASISTENCIA SANITARIA NIVEL I Y II - CHACABUCO N° 169 - en el horario de 8:00hs a 12:00hs de lunes a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</si>
</sst>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2" fillId="0" borderId="0"/>
    <xf numFmtId="168" fontId="8" fillId="0" borderId="0" applyBorder="0" applyProtection="0"/>
    <xf numFmtId="0" fontId="13" fillId="0" borderId="8" applyProtection="0"/>
    <xf numFmtId="0" fontId="14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3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170" fontId="27" fillId="0" borderId="0" applyBorder="0" applyProtection="0"/>
  </cellStyleXfs>
  <cellXfs count="19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/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 vertical="center"/>
    </xf>
    <xf numFmtId="0" fontId="9" fillId="0" borderId="0" xfId="0" applyFont="1"/>
    <xf numFmtId="0" fontId="9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9" fillId="0" borderId="4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11" fillId="0" borderId="3" xfId="0" applyNumberFormat="1" applyFont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7" fillId="0" borderId="7" xfId="2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4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7" fillId="2" borderId="4" xfId="4" applyFont="1" applyFill="1" applyBorder="1" applyAlignment="1">
      <alignment horizontal="left" vertical="center" wrapText="1"/>
    </xf>
    <xf numFmtId="0" fontId="11" fillId="0" borderId="5" xfId="0" applyFont="1" applyBorder="1"/>
    <xf numFmtId="0" fontId="11" fillId="0" borderId="0" xfId="0" applyFont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right" vertical="center"/>
    </xf>
    <xf numFmtId="0" fontId="19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20" fillId="0" borderId="2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 indent="1"/>
    </xf>
    <xf numFmtId="0" fontId="19" fillId="0" borderId="15" xfId="0" applyFont="1" applyBorder="1" applyAlignment="1">
      <alignment horizontal="left" vertical="center" wrapText="1" indent="1"/>
    </xf>
    <xf numFmtId="0" fontId="22" fillId="0" borderId="24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3" fontId="23" fillId="0" borderId="25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3" fontId="23" fillId="0" borderId="27" xfId="0" applyNumberFormat="1" applyFont="1" applyBorder="1" applyAlignment="1">
      <alignment horizontal="center" vertical="center"/>
    </xf>
    <xf numFmtId="3" fontId="25" fillId="0" borderId="31" xfId="0" applyNumberFormat="1" applyFont="1" applyBorder="1" applyAlignment="1"/>
    <xf numFmtId="169" fontId="0" fillId="0" borderId="31" xfId="0" applyNumberFormat="1" applyBorder="1" applyAlignment="1">
      <alignment horizontal="left"/>
    </xf>
    <xf numFmtId="0" fontId="0" fillId="0" borderId="31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7" xfId="0" applyBorder="1"/>
    <xf numFmtId="0" fontId="30" fillId="0" borderId="40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30" fillId="0" borderId="41" xfId="0" applyFont="1" applyBorder="1" applyAlignment="1">
      <alignment horizontal="left"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71" fontId="0" fillId="0" borderId="47" xfId="32" applyNumberFormat="1" applyFon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1" fontId="0" fillId="0" borderId="52" xfId="32" applyNumberFormat="1" applyFont="1" applyBorder="1" applyAlignment="1" applyProtection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1" fontId="0" fillId="0" borderId="56" xfId="32" applyNumberFormat="1" applyFont="1" applyBorder="1" applyAlignment="1" applyProtection="1">
      <alignment horizontal="center" vertical="center"/>
    </xf>
    <xf numFmtId="171" fontId="30" fillId="0" borderId="58" xfId="0" applyNumberFormat="1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32" fillId="0" borderId="2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left" vertical="center"/>
    </xf>
    <xf numFmtId="0" fontId="3" fillId="0" borderId="61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1" fillId="0" borderId="0" xfId="0" applyFont="1"/>
    <xf numFmtId="0" fontId="19" fillId="0" borderId="29" xfId="0" applyFont="1" applyBorder="1" applyAlignment="1">
      <alignment vertical="center"/>
    </xf>
    <xf numFmtId="0" fontId="19" fillId="0" borderId="63" xfId="0" applyFont="1" applyBorder="1" applyAlignment="1">
      <alignment vertical="center"/>
    </xf>
    <xf numFmtId="0" fontId="19" fillId="0" borderId="30" xfId="0" applyFont="1" applyBorder="1" applyAlignment="1">
      <alignment vertical="center"/>
    </xf>
    <xf numFmtId="0" fontId="19" fillId="0" borderId="64" xfId="0" applyFont="1" applyBorder="1" applyAlignment="1">
      <alignment vertical="center"/>
    </xf>
    <xf numFmtId="167" fontId="18" fillId="0" borderId="11" xfId="0" applyNumberFormat="1" applyFont="1" applyBorder="1" applyAlignment="1">
      <alignment horizontal="right" vertical="center"/>
    </xf>
    <xf numFmtId="167" fontId="18" fillId="0" borderId="0" xfId="0" applyNumberFormat="1" applyFont="1" applyBorder="1" applyAlignment="1">
      <alignment vertical="center"/>
    </xf>
    <xf numFmtId="167" fontId="19" fillId="0" borderId="63" xfId="0" applyNumberFormat="1" applyFont="1" applyBorder="1" applyAlignment="1">
      <alignment vertical="center"/>
    </xf>
    <xf numFmtId="167" fontId="19" fillId="0" borderId="0" xfId="0" applyNumberFormat="1" applyFont="1" applyBorder="1" applyAlignment="1">
      <alignment horizontal="left" vertical="center" wrapText="1" indent="1"/>
    </xf>
    <xf numFmtId="167" fontId="23" fillId="0" borderId="9" xfId="0" applyNumberFormat="1" applyFont="1" applyBorder="1" applyAlignment="1">
      <alignment horizontal="center" vertical="center" wrapText="1"/>
    </xf>
    <xf numFmtId="167" fontId="23" fillId="0" borderId="1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33" fillId="0" borderId="0" xfId="0" applyFont="1" applyAlignment="1">
      <alignment horizontal="center" vertical="center"/>
    </xf>
    <xf numFmtId="167" fontId="33" fillId="0" borderId="0" xfId="0" applyNumberFormat="1" applyFont="1" applyAlignment="1">
      <alignment horizontal="center" vertical="center"/>
    </xf>
    <xf numFmtId="0" fontId="35" fillId="0" borderId="0" xfId="0" applyFont="1"/>
    <xf numFmtId="4" fontId="0" fillId="0" borderId="0" xfId="0" applyNumberFormat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2" fillId="0" borderId="20" xfId="0" applyFont="1" applyBorder="1" applyAlignment="1">
      <alignment horizontal="center" vertical="center" wrapText="1"/>
    </xf>
    <xf numFmtId="3" fontId="36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2" fillId="0" borderId="2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left" vertical="center" wrapText="1" indent="1"/>
    </xf>
    <xf numFmtId="166" fontId="20" fillId="0" borderId="28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19" xfId="0" applyFont="1" applyBorder="1" applyAlignment="1">
      <alignment horizontal="left" vertical="center"/>
    </xf>
    <xf numFmtId="0" fontId="21" fillId="0" borderId="2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 wrapText="1"/>
    </xf>
    <xf numFmtId="0" fontId="25" fillId="0" borderId="17" xfId="0" applyFont="1" applyBorder="1" applyAlignment="1">
      <alignment vertical="center" wrapText="1"/>
    </xf>
    <xf numFmtId="0" fontId="28" fillId="0" borderId="39" xfId="0" applyFont="1" applyBorder="1" applyAlignment="1">
      <alignment vertical="center" wrapText="1"/>
    </xf>
    <xf numFmtId="0" fontId="28" fillId="0" borderId="28" xfId="0" applyFont="1" applyBorder="1" applyAlignment="1">
      <alignment horizontal="left" vertical="center" wrapText="1" indent="1"/>
    </xf>
    <xf numFmtId="0" fontId="0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0" fillId="0" borderId="35" xfId="0" applyBorder="1"/>
    <xf numFmtId="0" fontId="0" fillId="0" borderId="51" xfId="0" applyFont="1" applyBorder="1" applyAlignment="1">
      <alignment horizontal="center" vertical="center"/>
    </xf>
    <xf numFmtId="0" fontId="28" fillId="0" borderId="36" xfId="0" applyNumberFormat="1" applyFont="1" applyBorder="1" applyAlignment="1">
      <alignment horizontal="justify" vertical="center" wrapText="1"/>
    </xf>
    <xf numFmtId="0" fontId="30" fillId="0" borderId="35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0" fillId="0" borderId="45" xfId="0" applyFont="1" applyBorder="1" applyAlignment="1">
      <alignment horizontal="left" vertical="center" wrapText="1"/>
    </xf>
    <xf numFmtId="0" fontId="0" fillId="0" borderId="51" xfId="0" applyBorder="1" applyAlignment="1">
      <alignment horizontal="center"/>
    </xf>
    <xf numFmtId="0" fontId="28" fillId="0" borderId="35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3" fontId="25" fillId="0" borderId="30" xfId="0" applyNumberFormat="1" applyFont="1" applyBorder="1" applyAlignment="1">
      <alignment horizontal="center"/>
    </xf>
    <xf numFmtId="0" fontId="26" fillId="0" borderId="12" xfId="0" applyFont="1" applyBorder="1" applyAlignment="1">
      <alignment horizontal="center" vertical="center" wrapText="1"/>
    </xf>
    <xf numFmtId="0" fontId="27" fillId="0" borderId="32" xfId="0" applyFont="1" applyBorder="1"/>
    <xf numFmtId="0" fontId="28" fillId="0" borderId="33" xfId="0" applyFont="1" applyBorder="1" applyAlignment="1">
      <alignment horizontal="left" indent="1"/>
    </xf>
    <xf numFmtId="0" fontId="23" fillId="0" borderId="32" xfId="0" applyFont="1" applyBorder="1" applyAlignment="1">
      <alignment horizontal="left" vertical="center" wrapText="1"/>
    </xf>
    <xf numFmtId="0" fontId="29" fillId="0" borderId="34" xfId="0" applyFont="1" applyBorder="1" applyAlignment="1">
      <alignment horizontal="left"/>
    </xf>
    <xf numFmtId="167" fontId="21" fillId="0" borderId="22" xfId="0" applyNumberFormat="1" applyFont="1" applyBorder="1" applyAlignment="1">
      <alignment horizontal="center" vertical="center" wrapText="1"/>
    </xf>
  </cellXfs>
  <cellStyles count="33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2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4"/>
  <sheetViews>
    <sheetView zoomScale="80" zoomScaleNormal="80" workbookViewId="0">
      <selection activeCell="A14" sqref="A14"/>
    </sheetView>
  </sheetViews>
  <sheetFormatPr baseColWidth="10" defaultRowHeight="15" x14ac:dyDescent="0.25"/>
  <cols>
    <col min="1" max="1" width="4.7109375" style="30" bestFit="1" customWidth="1"/>
    <col min="2" max="2" width="27.140625" style="30" customWidth="1"/>
    <col min="3" max="3" width="37.42578125" style="30" customWidth="1"/>
    <col min="4" max="4" width="5.85546875" style="30" bestFit="1" customWidth="1"/>
    <col min="5" max="5" width="72.28515625" style="31" bestFit="1" customWidth="1"/>
    <col min="6" max="6" width="10.28515625" style="30" bestFit="1" customWidth="1"/>
    <col min="7" max="7" width="16.7109375" style="30" hidden="1" customWidth="1"/>
    <col min="8" max="8" width="10.7109375" style="30" hidden="1" customWidth="1"/>
    <col min="9" max="9" width="7.7109375" style="30" hidden="1" customWidth="1"/>
    <col min="10" max="10" width="14.140625" style="30" hidden="1" customWidth="1"/>
    <col min="11" max="11" width="9.42578125" style="30" hidden="1" customWidth="1"/>
    <col min="12" max="12" width="14" style="30" hidden="1" customWidth="1"/>
    <col min="13" max="13" width="8.140625" style="30" hidden="1" customWidth="1"/>
    <col min="14" max="14" width="16.5703125" style="30" hidden="1" customWidth="1"/>
    <col min="15" max="15" width="4.42578125" style="30" hidden="1" customWidth="1"/>
    <col min="16" max="16" width="12.28515625" style="30" hidden="1" customWidth="1"/>
    <col min="17" max="17" width="14.28515625" style="30" hidden="1" customWidth="1"/>
    <col min="18" max="18" width="15.7109375" style="30" hidden="1" customWidth="1"/>
    <col min="19" max="19" width="10.28515625" style="32" hidden="1" customWidth="1"/>
    <col min="20" max="20" width="10.28515625" style="57" hidden="1" customWidth="1"/>
    <col min="21" max="21" width="14.28515625" style="30" hidden="1" customWidth="1"/>
    <col min="22" max="22" width="12.42578125" style="30" hidden="1" customWidth="1"/>
    <col min="23" max="23" width="5.7109375" style="30" hidden="1" customWidth="1"/>
    <col min="24" max="24" width="12.28515625" style="30" hidden="1" customWidth="1"/>
    <col min="25" max="25" width="9.85546875" style="30" hidden="1" customWidth="1"/>
    <col min="26" max="26" width="13.28515625" style="30" hidden="1" customWidth="1"/>
    <col min="27" max="28" width="14" style="30" hidden="1" customWidth="1"/>
    <col min="29" max="29" width="5.5703125" style="30" hidden="1" customWidth="1"/>
    <col min="30" max="30" width="12" style="30" hidden="1" customWidth="1"/>
    <col min="31" max="31" width="9.85546875" style="30" hidden="1" customWidth="1"/>
    <col min="32" max="32" width="16.140625" style="30" hidden="1" customWidth="1"/>
    <col min="33" max="33" width="12.140625" style="30" hidden="1" customWidth="1"/>
    <col min="34" max="34" width="16.28515625" style="30" hidden="1" customWidth="1"/>
    <col min="35" max="36" width="10.28515625" style="30" hidden="1" customWidth="1"/>
    <col min="37" max="37" width="4.5703125" style="30" hidden="1" customWidth="1"/>
    <col min="38" max="38" width="11" style="30" hidden="1" customWidth="1"/>
    <col min="39" max="39" width="6.28515625" style="30" hidden="1" customWidth="1"/>
    <col min="40" max="40" width="13.28515625" style="57" hidden="1" customWidth="1"/>
    <col min="41" max="41" width="14.42578125" style="30" hidden="1" customWidth="1"/>
    <col min="42" max="42" width="13.28515625" style="30" hidden="1" customWidth="1"/>
    <col min="43" max="43" width="13.85546875" style="30" hidden="1" customWidth="1"/>
    <col min="44" max="44" width="13.85546875" style="57" hidden="1" customWidth="1"/>
    <col min="45" max="45" width="14.85546875" style="39" hidden="1" customWidth="1"/>
    <col min="46" max="46" width="14.85546875" style="43" hidden="1" customWidth="1"/>
    <col min="47" max="47" width="7.140625" style="39" hidden="1" customWidth="1"/>
    <col min="48" max="48" width="13.42578125" style="45" hidden="1" customWidth="1"/>
    <col min="49" max="49" width="10.140625" style="32" bestFit="1" customWidth="1"/>
    <col min="50" max="50" width="10.140625" style="33" bestFit="1" customWidth="1"/>
    <col min="51" max="51" width="15.7109375" style="33" bestFit="1" customWidth="1"/>
    <col min="52" max="52" width="23" bestFit="1" customWidth="1"/>
  </cols>
  <sheetData>
    <row r="1" spans="1:53" x14ac:dyDescent="0.25">
      <c r="A1" s="148">
        <v>2022</v>
      </c>
      <c r="B1" s="1"/>
      <c r="C1" s="2"/>
      <c r="D1" s="2"/>
      <c r="E1" s="3"/>
      <c r="F1" s="2"/>
      <c r="G1" s="2"/>
      <c r="H1" s="2"/>
      <c r="I1" s="2"/>
      <c r="J1" s="2"/>
      <c r="K1" s="2"/>
      <c r="L1" s="2"/>
      <c r="M1" s="4"/>
      <c r="N1" s="5"/>
      <c r="O1" s="6"/>
      <c r="P1" s="2"/>
      <c r="Q1" s="4"/>
      <c r="R1" s="2"/>
      <c r="S1" s="6"/>
      <c r="T1" s="8"/>
      <c r="U1" s="4"/>
      <c r="V1" s="2"/>
      <c r="W1" s="6"/>
      <c r="X1" s="2"/>
      <c r="Y1" s="6"/>
      <c r="Z1" s="2"/>
      <c r="AA1" s="6"/>
      <c r="AB1" s="2"/>
      <c r="AC1" s="6"/>
      <c r="AD1" s="2"/>
      <c r="AE1" s="6"/>
      <c r="AF1" s="2"/>
      <c r="AG1" s="6"/>
      <c r="AH1" s="2"/>
      <c r="AI1" s="6"/>
      <c r="AJ1" s="2"/>
      <c r="AK1" s="6"/>
      <c r="AL1" s="2"/>
      <c r="AM1" s="6"/>
      <c r="AN1" s="8"/>
      <c r="AO1" s="6"/>
      <c r="AP1" s="2"/>
      <c r="AQ1" s="6"/>
      <c r="AR1" s="8"/>
      <c r="AS1" s="42"/>
      <c r="AT1" s="2"/>
      <c r="AU1" s="42"/>
      <c r="AV1" s="2"/>
      <c r="AW1" s="6"/>
      <c r="AX1" s="7"/>
      <c r="AY1" s="8"/>
    </row>
    <row r="2" spans="1:53" s="142" customFormat="1" ht="18.75" x14ac:dyDescent="0.3">
      <c r="A2" s="140"/>
      <c r="B2" s="151" t="s">
        <v>0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41"/>
    </row>
    <row r="3" spans="1:53" x14ac:dyDescent="0.25">
      <c r="A3" s="2"/>
      <c r="B3" s="1"/>
      <c r="C3" s="2"/>
      <c r="D3" s="2"/>
      <c r="E3" s="3"/>
      <c r="F3" s="2"/>
      <c r="G3" s="2"/>
      <c r="H3" s="2"/>
      <c r="I3" s="2"/>
      <c r="J3" s="2"/>
      <c r="K3" s="2"/>
      <c r="L3" s="2"/>
      <c r="M3" s="4"/>
      <c r="N3" s="5"/>
      <c r="O3" s="6"/>
      <c r="P3" s="2"/>
      <c r="Q3" s="4"/>
      <c r="R3" s="2"/>
      <c r="S3" s="6"/>
      <c r="T3" s="8"/>
      <c r="U3" s="4"/>
      <c r="V3" s="2"/>
      <c r="W3" s="6"/>
      <c r="X3" s="2"/>
      <c r="Y3" s="6"/>
      <c r="Z3" s="2"/>
      <c r="AA3" s="6"/>
      <c r="AB3" s="2"/>
      <c r="AC3" s="6"/>
      <c r="AD3" s="2"/>
      <c r="AE3" s="6"/>
      <c r="AF3" s="2"/>
      <c r="AG3" s="6"/>
      <c r="AH3" s="2"/>
      <c r="AI3" s="6"/>
      <c r="AJ3" s="2"/>
      <c r="AK3" s="6"/>
      <c r="AL3" s="2"/>
      <c r="AM3" s="6"/>
      <c r="AN3" s="8"/>
      <c r="AO3" s="6"/>
      <c r="AP3" s="2"/>
      <c r="AQ3" s="6"/>
      <c r="AR3" s="8"/>
      <c r="AS3" s="42"/>
      <c r="AT3" s="2"/>
      <c r="AU3" s="42"/>
      <c r="AV3" s="2"/>
      <c r="AW3" s="6"/>
      <c r="AX3" s="7"/>
      <c r="AY3" s="8"/>
    </row>
    <row r="4" spans="1:53" x14ac:dyDescent="0.25">
      <c r="A4" s="150" t="s">
        <v>1</v>
      </c>
      <c r="B4" s="150"/>
      <c r="C4" s="115" t="s">
        <v>2</v>
      </c>
      <c r="D4" s="115"/>
      <c r="E4" s="115"/>
      <c r="F4" s="9"/>
      <c r="G4" s="9"/>
      <c r="H4" s="9"/>
      <c r="I4" s="9"/>
      <c r="J4" s="9"/>
      <c r="K4" s="9"/>
      <c r="L4" s="9"/>
      <c r="M4" s="10"/>
      <c r="N4" s="11"/>
      <c r="O4" s="12"/>
      <c r="P4" s="9"/>
      <c r="Q4" s="10"/>
      <c r="R4" s="9"/>
      <c r="S4" s="12"/>
      <c r="T4" s="56"/>
      <c r="U4" s="10"/>
      <c r="V4" s="9"/>
      <c r="W4" s="12"/>
      <c r="X4" s="9"/>
      <c r="Y4" s="12"/>
      <c r="Z4" s="9"/>
      <c r="AA4" s="12"/>
      <c r="AB4" s="9"/>
      <c r="AC4" s="12"/>
      <c r="AD4" s="9"/>
      <c r="AE4" s="12"/>
      <c r="AF4" s="9"/>
      <c r="AG4" s="12"/>
      <c r="AH4" s="9"/>
      <c r="AI4" s="12"/>
      <c r="AJ4" s="9"/>
      <c r="AK4" s="12"/>
      <c r="AL4" s="9"/>
      <c r="AM4" s="12"/>
      <c r="AN4" s="56"/>
      <c r="AO4" s="12"/>
      <c r="AP4" s="9"/>
      <c r="AQ4" s="12"/>
      <c r="AR4" s="56"/>
      <c r="AS4" s="36"/>
      <c r="AT4" s="9"/>
      <c r="AU4" s="36"/>
      <c r="AV4" s="9"/>
      <c r="AW4" s="12"/>
      <c r="AX4" s="7"/>
      <c r="AY4" s="8"/>
    </row>
    <row r="5" spans="1:53" ht="15" customHeight="1" x14ac:dyDescent="0.25">
      <c r="A5" s="150" t="s">
        <v>3</v>
      </c>
      <c r="B5" s="150"/>
      <c r="C5" s="115" t="s">
        <v>4</v>
      </c>
      <c r="D5" s="115"/>
      <c r="E5" s="115"/>
      <c r="F5" s="9"/>
      <c r="G5" s="9"/>
      <c r="H5" s="9"/>
      <c r="I5" s="9"/>
      <c r="J5" s="9"/>
      <c r="K5" s="9"/>
      <c r="L5" s="9"/>
      <c r="M5" s="10"/>
      <c r="N5" s="11"/>
      <c r="O5" s="12"/>
      <c r="P5" s="9"/>
      <c r="Q5" s="10"/>
      <c r="R5" s="9"/>
      <c r="S5" s="12"/>
      <c r="T5" s="56"/>
      <c r="U5" s="10"/>
      <c r="V5" s="9"/>
      <c r="W5" s="12"/>
      <c r="X5" s="9"/>
      <c r="Y5" s="12"/>
      <c r="Z5" s="9"/>
      <c r="AA5" s="12"/>
      <c r="AB5" s="9"/>
      <c r="AC5" s="12"/>
      <c r="AD5" s="9"/>
      <c r="AE5" s="12"/>
      <c r="AF5" s="9"/>
      <c r="AG5" s="12"/>
      <c r="AH5" s="9"/>
      <c r="AI5" s="12"/>
      <c r="AJ5" s="9"/>
      <c r="AK5" s="12"/>
      <c r="AL5" s="9"/>
      <c r="AM5" s="12"/>
      <c r="AN5" s="56"/>
      <c r="AO5" s="12"/>
      <c r="AP5" s="9"/>
      <c r="AQ5" s="12"/>
      <c r="AR5" s="56"/>
      <c r="AS5" s="36"/>
      <c r="AT5" s="9"/>
      <c r="AU5" s="36"/>
      <c r="AV5" s="9"/>
      <c r="AW5" s="12"/>
      <c r="AX5" s="7"/>
      <c r="AY5" s="8"/>
    </row>
    <row r="6" spans="1:53" x14ac:dyDescent="0.25">
      <c r="A6" s="150" t="s">
        <v>5</v>
      </c>
      <c r="B6" s="150"/>
      <c r="C6" s="116">
        <v>2022</v>
      </c>
      <c r="D6" s="117"/>
      <c r="E6" s="116"/>
      <c r="F6" s="9"/>
      <c r="G6" s="9"/>
      <c r="H6" s="9"/>
      <c r="I6" s="9"/>
      <c r="J6" s="9"/>
      <c r="K6" s="9"/>
      <c r="L6" s="9"/>
      <c r="M6" s="10"/>
      <c r="N6" s="11"/>
      <c r="O6" s="12"/>
      <c r="P6" s="9"/>
      <c r="Q6" s="10"/>
      <c r="R6" s="9"/>
      <c r="S6" s="12"/>
      <c r="T6" s="56"/>
      <c r="U6" s="10"/>
      <c r="V6" s="9"/>
      <c r="W6" s="12"/>
      <c r="X6" s="9"/>
      <c r="Y6" s="12"/>
      <c r="Z6" s="9"/>
      <c r="AA6" s="12"/>
      <c r="AB6" s="9"/>
      <c r="AC6" s="12"/>
      <c r="AD6" s="9"/>
      <c r="AE6" s="12"/>
      <c r="AF6" s="9"/>
      <c r="AG6" s="12"/>
      <c r="AH6" s="9"/>
      <c r="AI6" s="12"/>
      <c r="AJ6" s="9"/>
      <c r="AK6" s="12"/>
      <c r="AL6" s="9"/>
      <c r="AM6" s="12"/>
      <c r="AN6" s="56"/>
      <c r="AO6" s="12"/>
      <c r="AP6" s="9"/>
      <c r="AQ6" s="12"/>
      <c r="AR6" s="56"/>
      <c r="AS6" s="36"/>
      <c r="AT6" s="9"/>
      <c r="AU6" s="36"/>
      <c r="AV6" s="9"/>
      <c r="AW6" s="12"/>
      <c r="AX6" s="7"/>
      <c r="AY6" s="8"/>
    </row>
    <row r="7" spans="1:53" x14ac:dyDescent="0.25">
      <c r="A7" s="150" t="s">
        <v>6</v>
      </c>
      <c r="B7" s="150"/>
      <c r="C7" s="116" t="s">
        <v>53</v>
      </c>
      <c r="D7" s="117"/>
      <c r="E7" s="116"/>
      <c r="F7" s="9"/>
      <c r="G7" s="9"/>
      <c r="H7" s="9"/>
      <c r="I7" s="9"/>
      <c r="J7" s="9"/>
      <c r="K7" s="9"/>
      <c r="L7" s="9"/>
      <c r="M7" s="10"/>
      <c r="N7" s="11"/>
      <c r="O7" s="12"/>
      <c r="P7" s="9"/>
      <c r="Q7" s="10"/>
      <c r="R7" s="9"/>
      <c r="S7" s="12"/>
      <c r="T7" s="56"/>
      <c r="U7" s="10"/>
      <c r="V7" s="9"/>
      <c r="W7" s="12"/>
      <c r="X7" s="9"/>
      <c r="Y7" s="12"/>
      <c r="Z7" s="9"/>
      <c r="AA7" s="12"/>
      <c r="AB7" s="9"/>
      <c r="AC7" s="12"/>
      <c r="AD7" s="9"/>
      <c r="AE7" s="12"/>
      <c r="AF7" s="9"/>
      <c r="AG7" s="12"/>
      <c r="AH7" s="9"/>
      <c r="AI7" s="12"/>
      <c r="AJ7" s="9"/>
      <c r="AK7" s="12"/>
      <c r="AL7" s="9"/>
      <c r="AM7" s="12"/>
      <c r="AN7" s="56"/>
      <c r="AO7" s="12"/>
      <c r="AP7" s="9"/>
      <c r="AQ7" s="12"/>
      <c r="AR7" s="56"/>
      <c r="AS7" s="36"/>
      <c r="AT7" s="9"/>
      <c r="AU7" s="36"/>
      <c r="AV7" s="9"/>
      <c r="AW7" s="12"/>
      <c r="AX7" s="7"/>
      <c r="AY7" s="8"/>
    </row>
    <row r="8" spans="1:53" x14ac:dyDescent="0.25">
      <c r="A8" s="2"/>
      <c r="B8" s="9"/>
      <c r="C8" s="9"/>
      <c r="D8" s="9"/>
      <c r="E8" s="13"/>
      <c r="F8" s="9"/>
      <c r="G8" s="9"/>
      <c r="H8" s="9"/>
      <c r="I8" s="9"/>
      <c r="J8" s="9"/>
      <c r="K8" s="9"/>
      <c r="L8" s="9"/>
      <c r="M8" s="10"/>
      <c r="N8" s="11"/>
      <c r="O8" s="12"/>
      <c r="P8" s="9"/>
      <c r="Q8" s="10"/>
      <c r="R8" s="9"/>
      <c r="S8" s="12"/>
      <c r="T8" s="56"/>
      <c r="U8" s="10"/>
      <c r="V8" s="9"/>
      <c r="W8" s="12"/>
      <c r="X8" s="9"/>
      <c r="Y8" s="12"/>
      <c r="Z8" s="9"/>
      <c r="AA8" s="12"/>
      <c r="AB8" s="9"/>
      <c r="AC8" s="12"/>
      <c r="AD8" s="9"/>
      <c r="AE8" s="12"/>
      <c r="AF8" s="9"/>
      <c r="AG8" s="12"/>
      <c r="AH8" s="9"/>
      <c r="AI8" s="12"/>
      <c r="AJ8" s="9"/>
      <c r="AK8" s="12"/>
      <c r="AL8" s="9"/>
      <c r="AM8" s="12"/>
      <c r="AN8" s="56"/>
      <c r="AO8" s="12"/>
      <c r="AP8" s="9"/>
      <c r="AQ8" s="12"/>
      <c r="AR8" s="56"/>
      <c r="AS8" s="36"/>
      <c r="AT8" s="9"/>
      <c r="AU8" s="36"/>
      <c r="AV8" s="9"/>
      <c r="AW8" s="12"/>
      <c r="AX8" s="7"/>
      <c r="AY8" s="8"/>
    </row>
    <row r="9" spans="1:53" ht="51" x14ac:dyDescent="0.25">
      <c r="A9" s="14" t="s">
        <v>7</v>
      </c>
      <c r="B9" s="14" t="s">
        <v>8</v>
      </c>
      <c r="C9" s="15" t="s">
        <v>9</v>
      </c>
      <c r="D9" s="14" t="s">
        <v>10</v>
      </c>
      <c r="E9" s="16" t="s">
        <v>11</v>
      </c>
      <c r="F9" s="15" t="s">
        <v>12</v>
      </c>
      <c r="G9" s="15" t="s">
        <v>13</v>
      </c>
      <c r="H9" s="15" t="s">
        <v>14</v>
      </c>
      <c r="I9" s="44" t="s">
        <v>15</v>
      </c>
      <c r="J9" s="15" t="s">
        <v>16</v>
      </c>
      <c r="K9" s="15" t="s">
        <v>17</v>
      </c>
      <c r="L9" s="15" t="s">
        <v>18</v>
      </c>
      <c r="M9" s="17" t="s">
        <v>19</v>
      </c>
      <c r="N9" s="18" t="s">
        <v>20</v>
      </c>
      <c r="O9" s="19" t="s">
        <v>21</v>
      </c>
      <c r="P9" s="15" t="s">
        <v>22</v>
      </c>
      <c r="Q9" s="17" t="s">
        <v>23</v>
      </c>
      <c r="R9" s="15" t="s">
        <v>24</v>
      </c>
      <c r="S9" s="19" t="s">
        <v>25</v>
      </c>
      <c r="T9" s="22" t="s">
        <v>26</v>
      </c>
      <c r="U9" s="17" t="s">
        <v>27</v>
      </c>
      <c r="V9" s="15" t="s">
        <v>28</v>
      </c>
      <c r="W9" s="19" t="s">
        <v>29</v>
      </c>
      <c r="X9" s="15" t="s">
        <v>54</v>
      </c>
      <c r="Y9" s="19" t="s">
        <v>30</v>
      </c>
      <c r="Z9" s="15" t="s">
        <v>31</v>
      </c>
      <c r="AA9" s="19" t="s">
        <v>32</v>
      </c>
      <c r="AB9" s="15" t="s">
        <v>33</v>
      </c>
      <c r="AC9" s="20" t="s">
        <v>34</v>
      </c>
      <c r="AD9" s="15" t="s">
        <v>35</v>
      </c>
      <c r="AE9" s="19" t="s">
        <v>36</v>
      </c>
      <c r="AF9" s="15" t="s">
        <v>37</v>
      </c>
      <c r="AG9" s="19" t="s">
        <v>38</v>
      </c>
      <c r="AH9" s="15" t="s">
        <v>39</v>
      </c>
      <c r="AI9" s="19" t="s">
        <v>55</v>
      </c>
      <c r="AJ9" s="15" t="s">
        <v>56</v>
      </c>
      <c r="AK9" s="19" t="s">
        <v>40</v>
      </c>
      <c r="AL9" s="15" t="s">
        <v>41</v>
      </c>
      <c r="AM9" s="20" t="s">
        <v>42</v>
      </c>
      <c r="AN9" s="22" t="s">
        <v>43</v>
      </c>
      <c r="AO9" s="20" t="s">
        <v>44</v>
      </c>
      <c r="AP9" s="15" t="s">
        <v>45</v>
      </c>
      <c r="AQ9" s="19" t="s">
        <v>46</v>
      </c>
      <c r="AR9" s="22" t="s">
        <v>47</v>
      </c>
      <c r="AS9" s="41" t="s">
        <v>57</v>
      </c>
      <c r="AT9" s="15" t="s">
        <v>58</v>
      </c>
      <c r="AU9" s="41" t="s">
        <v>59</v>
      </c>
      <c r="AV9" s="15" t="s">
        <v>60</v>
      </c>
      <c r="AW9" s="19" t="s">
        <v>48</v>
      </c>
      <c r="AX9" s="21" t="s">
        <v>49</v>
      </c>
      <c r="AY9" s="22" t="s">
        <v>50</v>
      </c>
      <c r="AZ9" s="23" t="s">
        <v>51</v>
      </c>
      <c r="BA9" s="34"/>
    </row>
    <row r="10" spans="1:53" s="28" customFormat="1" ht="35.25" customHeight="1" thickBot="1" x14ac:dyDescent="0.25">
      <c r="A10" s="49">
        <v>1</v>
      </c>
      <c r="B10" s="50" t="s">
        <v>61</v>
      </c>
      <c r="C10" s="51" t="s">
        <v>52</v>
      </c>
      <c r="D10" s="52">
        <v>251</v>
      </c>
      <c r="E10" s="53" t="s">
        <v>62</v>
      </c>
      <c r="F10" s="52" t="s">
        <v>63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58"/>
      <c r="T10" s="35"/>
      <c r="U10" s="29"/>
      <c r="V10" s="29"/>
      <c r="W10" s="58">
        <f>+'NP SAME'!K12</f>
        <v>546</v>
      </c>
      <c r="X10" s="29">
        <f>+W10*AX10</f>
        <v>191100</v>
      </c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35"/>
      <c r="AO10" s="29"/>
      <c r="AP10" s="29"/>
      <c r="AQ10" s="58">
        <f>+'NP DPAS'!K12</f>
        <v>8082</v>
      </c>
      <c r="AR10" s="35">
        <f>+AQ10*AX10</f>
        <v>2828700</v>
      </c>
      <c r="AS10" s="38"/>
      <c r="AT10" s="29"/>
      <c r="AU10" s="38"/>
      <c r="AV10" s="29"/>
      <c r="AW10" s="40">
        <f>+AQ10+AO10+AM10+AK10+AI10+AG10+AE10+AC10+AA10+Y10+W10+U10+S10+Q10+O10+M10+K10+I10+AS10+G10+AU10</f>
        <v>8628</v>
      </c>
      <c r="AX10" s="35">
        <v>350</v>
      </c>
      <c r="AY10" s="35">
        <f>+AW10*AX10</f>
        <v>3019800</v>
      </c>
      <c r="AZ10" s="24"/>
    </row>
    <row r="11" spans="1:53" s="55" customFormat="1" ht="13.5" thickBot="1" x14ac:dyDescent="0.25">
      <c r="A11" s="46"/>
      <c r="B11" s="26"/>
      <c r="C11" s="26"/>
      <c r="D11" s="26"/>
      <c r="E11" s="25" t="s">
        <v>64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7"/>
      <c r="T11" s="47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47"/>
      <c r="AO11" s="26"/>
      <c r="AP11" s="26"/>
      <c r="AQ11" s="26"/>
      <c r="AR11" s="47"/>
      <c r="AS11" s="37"/>
      <c r="AT11" s="26"/>
      <c r="AU11" s="37"/>
      <c r="AV11" s="26"/>
      <c r="AW11" s="40"/>
      <c r="AX11" s="47"/>
      <c r="AY11" s="48">
        <f>+AY10</f>
        <v>3019800</v>
      </c>
      <c r="AZ11" s="54"/>
    </row>
    <row r="12" spans="1:53" ht="15.75" thickBot="1" x14ac:dyDescent="0.3">
      <c r="AW12" s="143"/>
    </row>
    <row r="13" spans="1:53" ht="15" customHeight="1" x14ac:dyDescent="0.25">
      <c r="B13" s="159" t="s">
        <v>102</v>
      </c>
      <c r="C13" s="157" t="s">
        <v>103</v>
      </c>
      <c r="D13" s="157"/>
      <c r="E13" s="157"/>
      <c r="F13" s="158"/>
    </row>
    <row r="14" spans="1:53" ht="265.5" customHeight="1" x14ac:dyDescent="0.25">
      <c r="B14" s="156"/>
      <c r="C14" s="152" t="s">
        <v>126</v>
      </c>
      <c r="D14" s="152"/>
      <c r="E14" s="152"/>
      <c r="F14" s="153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</row>
    <row r="15" spans="1:53" s="34" customFormat="1" ht="51" customHeight="1" x14ac:dyDescent="0.25">
      <c r="A15" s="45"/>
      <c r="B15" s="156"/>
      <c r="C15" s="152" t="s">
        <v>125</v>
      </c>
      <c r="D15" s="152"/>
      <c r="E15" s="152"/>
      <c r="F15" s="153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32"/>
      <c r="T15" s="57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57"/>
      <c r="AO15" s="45"/>
      <c r="AP15" s="45"/>
      <c r="AQ15" s="45"/>
      <c r="AR15" s="57"/>
      <c r="AS15" s="39"/>
      <c r="AT15" s="45"/>
      <c r="AU15" s="39"/>
      <c r="AV15" s="45"/>
      <c r="AW15" s="32"/>
      <c r="AX15" s="57"/>
      <c r="AY15" s="57"/>
    </row>
    <row r="16" spans="1:53" x14ac:dyDescent="0.25">
      <c r="B16" s="118"/>
      <c r="C16" s="144"/>
      <c r="D16" s="144"/>
      <c r="E16" s="144"/>
      <c r="F16" s="145"/>
    </row>
    <row r="17" spans="2:6" x14ac:dyDescent="0.25">
      <c r="B17" s="147" t="s">
        <v>104</v>
      </c>
      <c r="C17" s="146" t="s">
        <v>120</v>
      </c>
      <c r="D17" s="119"/>
      <c r="E17" s="120"/>
      <c r="F17" s="121"/>
    </row>
    <row r="18" spans="2:6" x14ac:dyDescent="0.25">
      <c r="B18" s="147"/>
      <c r="C18" s="119"/>
      <c r="D18" s="119"/>
      <c r="E18" s="120"/>
      <c r="F18" s="121"/>
    </row>
    <row r="19" spans="2:6" x14ac:dyDescent="0.25">
      <c r="B19" s="156" t="s">
        <v>105</v>
      </c>
      <c r="C19" s="152" t="s">
        <v>127</v>
      </c>
      <c r="D19" s="152"/>
      <c r="E19" s="152"/>
      <c r="F19" s="153"/>
    </row>
    <row r="20" spans="2:6" ht="30.75" customHeight="1" x14ac:dyDescent="0.25">
      <c r="B20" s="156"/>
      <c r="C20" s="152" t="s">
        <v>128</v>
      </c>
      <c r="D20" s="152"/>
      <c r="E20" s="152"/>
      <c r="F20" s="153"/>
    </row>
    <row r="21" spans="2:6" x14ac:dyDescent="0.25">
      <c r="B21" s="147"/>
      <c r="C21" s="154"/>
      <c r="D21" s="154"/>
      <c r="E21" s="154"/>
      <c r="F21" s="155"/>
    </row>
    <row r="22" spans="2:6" x14ac:dyDescent="0.25">
      <c r="B22" s="147" t="s">
        <v>106</v>
      </c>
      <c r="C22" s="119"/>
      <c r="D22" s="119"/>
      <c r="E22" s="120"/>
      <c r="F22" s="121"/>
    </row>
    <row r="23" spans="2:6" x14ac:dyDescent="0.25">
      <c r="B23" s="147"/>
      <c r="C23" s="119"/>
      <c r="D23" s="119"/>
      <c r="E23" s="120"/>
      <c r="F23" s="121"/>
    </row>
    <row r="24" spans="2:6" ht="15.75" thickBot="1" x14ac:dyDescent="0.3">
      <c r="B24" s="122" t="s">
        <v>107</v>
      </c>
      <c r="C24" s="123" t="s">
        <v>108</v>
      </c>
      <c r="D24" s="124"/>
      <c r="E24" s="125"/>
      <c r="F24" s="126"/>
    </row>
  </sheetData>
  <mergeCells count="13">
    <mergeCell ref="C19:F19"/>
    <mergeCell ref="C20:F20"/>
    <mergeCell ref="C21:F21"/>
    <mergeCell ref="B19:B20"/>
    <mergeCell ref="C13:F13"/>
    <mergeCell ref="C15:F15"/>
    <mergeCell ref="B13:B15"/>
    <mergeCell ref="C14:F14"/>
    <mergeCell ref="A7:B7"/>
    <mergeCell ref="B2:AX2"/>
    <mergeCell ref="A4:B4"/>
    <mergeCell ref="A5:B5"/>
    <mergeCell ref="A6:B6"/>
  </mergeCells>
  <conditionalFormatting sqref="B1:B9 E1:E9">
    <cfRule type="duplicateValues" dxfId="11" priority="224"/>
  </conditionalFormatting>
  <conditionalFormatting sqref="E1:E9 B1:B9">
    <cfRule type="duplicateValues" dxfId="10" priority="225"/>
  </conditionalFormatting>
  <conditionalFormatting sqref="B10">
    <cfRule type="duplicateValues" dxfId="9" priority="1"/>
  </conditionalFormatting>
  <conditionalFormatting sqref="E10">
    <cfRule type="duplicateValues" dxfId="8" priority="2"/>
  </conditionalFormatting>
  <conditionalFormatting sqref="E10 B10">
    <cfRule type="duplicateValues" dxfId="7" priority="3"/>
  </conditionalFormatting>
  <conditionalFormatting sqref="E10">
    <cfRule type="duplicateValues" dxfId="6" priority="4"/>
  </conditionalFormatting>
  <conditionalFormatting sqref="E10">
    <cfRule type="duplicateValues" dxfId="5" priority="5"/>
    <cfRule type="duplicateValues" dxfId="4" priority="6"/>
  </conditionalFormatting>
  <conditionalFormatting sqref="B1:B9">
    <cfRule type="duplicateValues" dxfId="3" priority="412"/>
  </conditionalFormatting>
  <conditionalFormatting sqref="E1:E9">
    <cfRule type="duplicateValues" dxfId="2" priority="413"/>
  </conditionalFormatting>
  <conditionalFormatting sqref="E1:E9">
    <cfRule type="duplicateValues" dxfId="1" priority="414"/>
    <cfRule type="duplicateValues" dxfId="0" priority="41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>
      <selection activeCell="A15" sqref="A15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3" max="13" width="11.42578125" style="128"/>
  </cols>
  <sheetData>
    <row r="1" spans="1:13" ht="30.75" thickBot="1" x14ac:dyDescent="0.3">
      <c r="A1" s="169" t="s">
        <v>65</v>
      </c>
      <c r="B1" s="169"/>
      <c r="C1" s="169"/>
      <c r="D1" s="169"/>
      <c r="E1" s="169"/>
      <c r="F1" s="169"/>
      <c r="G1" s="169"/>
      <c r="H1" s="169"/>
      <c r="I1" s="169"/>
      <c r="J1" s="59" t="s">
        <v>66</v>
      </c>
      <c r="K1" s="60" t="s">
        <v>109</v>
      </c>
    </row>
    <row r="2" spans="1:13" ht="16.5" thickBot="1" x14ac:dyDescent="0.3">
      <c r="A2" s="61"/>
      <c r="B2" s="62"/>
      <c r="C2" s="62"/>
      <c r="D2" s="63"/>
      <c r="E2" s="63"/>
      <c r="F2" s="63"/>
      <c r="G2" s="63"/>
      <c r="H2" s="63"/>
      <c r="I2" s="63"/>
      <c r="J2" s="63"/>
      <c r="K2" s="64"/>
    </row>
    <row r="3" spans="1:13" ht="16.5" customHeight="1" thickBot="1" x14ac:dyDescent="0.3">
      <c r="A3" s="170" t="s">
        <v>67</v>
      </c>
      <c r="B3" s="170"/>
      <c r="C3" s="170"/>
      <c r="D3" s="129" t="str">
        <f>'SAF 011'!C4</f>
        <v>040 - MINISTERIO DE SALUD</v>
      </c>
      <c r="E3" s="130"/>
      <c r="F3" s="130"/>
      <c r="G3" s="130"/>
      <c r="H3" s="130"/>
      <c r="I3" s="130"/>
      <c r="J3" s="130"/>
      <c r="K3" s="131"/>
    </row>
    <row r="4" spans="1:13" ht="16.5" customHeight="1" thickBot="1" x14ac:dyDescent="0.3">
      <c r="A4" s="166" t="s">
        <v>68</v>
      </c>
      <c r="B4" s="166"/>
      <c r="C4" s="166"/>
      <c r="D4" s="129" t="str">
        <f>'SAF 011'!C5</f>
        <v>011 - DIRECCION PROVINCIAL DE ADMINISTRACION - MINISTERIO DE SALUD</v>
      </c>
      <c r="E4" s="130"/>
      <c r="F4" s="130"/>
      <c r="G4" s="130"/>
      <c r="H4" s="130"/>
      <c r="I4" s="130"/>
      <c r="J4" s="130"/>
      <c r="K4" s="131"/>
    </row>
    <row r="5" spans="1:13" ht="16.5" customHeight="1" thickBot="1" x14ac:dyDescent="0.3">
      <c r="A5" s="166" t="s">
        <v>69</v>
      </c>
      <c r="B5" s="166"/>
      <c r="C5" s="166"/>
      <c r="D5" s="129" t="s">
        <v>110</v>
      </c>
      <c r="E5" s="130"/>
      <c r="F5" s="130"/>
      <c r="G5" s="130"/>
      <c r="H5" s="130"/>
      <c r="I5" s="130"/>
      <c r="J5" s="130"/>
      <c r="K5" s="131"/>
    </row>
    <row r="6" spans="1:13" ht="16.5" customHeight="1" thickBot="1" x14ac:dyDescent="0.3">
      <c r="A6" s="170" t="s">
        <v>70</v>
      </c>
      <c r="B6" s="170"/>
      <c r="C6" s="170"/>
      <c r="D6" s="129" t="s">
        <v>110</v>
      </c>
      <c r="E6" s="130"/>
      <c r="F6" s="130"/>
      <c r="G6" s="130"/>
      <c r="H6" s="130"/>
      <c r="I6" s="130"/>
      <c r="J6" s="130"/>
      <c r="K6" s="131"/>
    </row>
    <row r="7" spans="1:13" ht="16.5" thickBot="1" x14ac:dyDescent="0.3">
      <c r="A7" s="166" t="s">
        <v>71</v>
      </c>
      <c r="B7" s="166"/>
      <c r="C7" s="166"/>
      <c r="D7" s="129" t="s">
        <v>111</v>
      </c>
      <c r="E7" s="130"/>
      <c r="F7" s="130"/>
      <c r="G7" s="130"/>
      <c r="H7" s="130"/>
      <c r="I7" s="130"/>
      <c r="J7" s="130"/>
      <c r="K7" s="131"/>
    </row>
    <row r="8" spans="1:13" ht="16.5" customHeight="1" thickBot="1" x14ac:dyDescent="0.3">
      <c r="A8" s="167" t="s">
        <v>72</v>
      </c>
      <c r="B8" s="167"/>
      <c r="C8" s="167"/>
      <c r="D8" s="132" t="s">
        <v>112</v>
      </c>
      <c r="E8" s="130"/>
      <c r="F8" s="130"/>
      <c r="G8" s="130"/>
      <c r="H8" s="130"/>
      <c r="I8" s="130"/>
      <c r="J8" s="130"/>
      <c r="K8" s="131"/>
    </row>
    <row r="9" spans="1:13" ht="16.5" thickBot="1" x14ac:dyDescent="0.3">
      <c r="A9" s="65"/>
      <c r="B9" s="66"/>
      <c r="C9" s="66"/>
      <c r="D9" s="67"/>
      <c r="E9" s="67"/>
      <c r="F9" s="67"/>
      <c r="G9" s="67"/>
      <c r="H9" s="67"/>
      <c r="I9" s="67"/>
      <c r="J9" s="67"/>
      <c r="K9" s="68"/>
    </row>
    <row r="10" spans="1:13" ht="15.75" thickBot="1" x14ac:dyDescent="0.3">
      <c r="A10" s="168" t="s">
        <v>73</v>
      </c>
      <c r="B10" s="163" t="s">
        <v>74</v>
      </c>
      <c r="C10" s="163" t="s">
        <v>75</v>
      </c>
      <c r="D10" s="163"/>
      <c r="E10" s="163"/>
      <c r="F10" s="163"/>
      <c r="G10" s="163"/>
      <c r="H10" s="163" t="s">
        <v>76</v>
      </c>
      <c r="I10" s="163" t="s">
        <v>77</v>
      </c>
      <c r="J10" s="163" t="s">
        <v>78</v>
      </c>
      <c r="K10" s="164" t="s">
        <v>79</v>
      </c>
    </row>
    <row r="11" spans="1:13" ht="30" customHeight="1" thickBot="1" x14ac:dyDescent="0.3">
      <c r="A11" s="168"/>
      <c r="B11" s="163"/>
      <c r="C11" s="163"/>
      <c r="D11" s="163"/>
      <c r="E11" s="163"/>
      <c r="F11" s="163"/>
      <c r="G11" s="163"/>
      <c r="H11" s="163"/>
      <c r="I11" s="163"/>
      <c r="J11" s="163"/>
      <c r="K11" s="164"/>
    </row>
    <row r="12" spans="1:13" ht="31.5" customHeight="1" x14ac:dyDescent="0.25">
      <c r="A12" s="69">
        <v>1</v>
      </c>
      <c r="B12" s="127" t="str">
        <f>'SAF 011'!B10</f>
        <v>2.5.1-9018.8</v>
      </c>
      <c r="C12" s="165" t="str">
        <f>'SAF 011'!E10</f>
        <v>GASES; COMPUESTO QUIMICO: OXIGENO, CALIDAD: MEDICINAL, PRESENTACION: TUBO X 6 M3</v>
      </c>
      <c r="D12" s="165"/>
      <c r="E12" s="165"/>
      <c r="F12" s="165"/>
      <c r="G12" s="165"/>
      <c r="H12" s="70" t="s">
        <v>113</v>
      </c>
      <c r="I12" s="71" t="str">
        <f>'SAF 011'!F10</f>
        <v>M3</v>
      </c>
      <c r="J12" s="71">
        <f>'SAF 011'!AX10</f>
        <v>350</v>
      </c>
      <c r="K12" s="72">
        <v>546</v>
      </c>
      <c r="M12" s="128">
        <f>+J12*K12</f>
        <v>191100</v>
      </c>
    </row>
    <row r="13" spans="1:13" ht="15.75" x14ac:dyDescent="0.25">
      <c r="A13" s="73"/>
      <c r="B13" s="74"/>
      <c r="C13" s="162"/>
      <c r="D13" s="162"/>
      <c r="E13" s="162"/>
      <c r="F13" s="162"/>
      <c r="G13" s="162"/>
      <c r="H13" s="75"/>
      <c r="I13" s="76"/>
      <c r="J13" s="76"/>
      <c r="K13" s="77"/>
    </row>
    <row r="14" spans="1:13" ht="19.5" thickBot="1" x14ac:dyDescent="0.3">
      <c r="A14" s="160" t="s">
        <v>121</v>
      </c>
      <c r="B14" s="160"/>
      <c r="C14" s="160"/>
      <c r="D14" s="160"/>
      <c r="E14" s="160"/>
      <c r="F14" s="160"/>
      <c r="G14" s="160"/>
      <c r="H14" s="160"/>
      <c r="I14" s="160"/>
      <c r="J14" s="161">
        <f>+M12</f>
        <v>191100</v>
      </c>
      <c r="K14" s="161"/>
    </row>
  </sheetData>
  <mergeCells count="18">
    <mergeCell ref="A5:C5"/>
    <mergeCell ref="A1:I1"/>
    <mergeCell ref="A3:C3"/>
    <mergeCell ref="A4:C4"/>
    <mergeCell ref="A6:C6"/>
    <mergeCell ref="A7:C7"/>
    <mergeCell ref="A8:C8"/>
    <mergeCell ref="A10:A11"/>
    <mergeCell ref="B10:B11"/>
    <mergeCell ref="C10:G11"/>
    <mergeCell ref="A14:I14"/>
    <mergeCell ref="J14:K14"/>
    <mergeCell ref="C13:G13"/>
    <mergeCell ref="H10:H11"/>
    <mergeCell ref="K10:K11"/>
    <mergeCell ref="C12:G12"/>
    <mergeCell ref="I10:I11"/>
    <mergeCell ref="J10:J1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6" workbookViewId="0">
      <selection activeCell="M32" sqref="M32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88" t="s">
        <v>5</v>
      </c>
      <c r="B1" s="188"/>
      <c r="C1" s="188"/>
      <c r="D1" s="189">
        <v>2022</v>
      </c>
      <c r="E1" s="189"/>
      <c r="F1" s="78"/>
      <c r="G1" s="78"/>
      <c r="H1" s="79"/>
      <c r="I1" s="79"/>
      <c r="J1" s="79"/>
      <c r="K1" s="79"/>
      <c r="L1" s="79"/>
      <c r="M1" s="79"/>
      <c r="N1" s="79"/>
      <c r="O1" s="80"/>
      <c r="P1" s="190" t="s">
        <v>80</v>
      </c>
      <c r="Q1" s="190"/>
    </row>
    <row r="2" spans="1:17" ht="15.75" thickBot="1" x14ac:dyDescent="0.3">
      <c r="A2" s="81"/>
      <c r="B2" s="82"/>
      <c r="C2" s="82"/>
      <c r="D2" s="82"/>
      <c r="E2" s="82"/>
      <c r="F2" s="82"/>
      <c r="G2" s="83"/>
      <c r="H2" s="84"/>
      <c r="I2" s="84"/>
      <c r="J2" s="84"/>
      <c r="K2" s="84"/>
      <c r="L2" s="84"/>
      <c r="M2" s="84"/>
      <c r="N2" s="84"/>
      <c r="O2" s="82"/>
      <c r="P2" s="190"/>
      <c r="Q2" s="190"/>
    </row>
    <row r="3" spans="1:17" ht="15.75" thickBot="1" x14ac:dyDescent="0.3">
      <c r="A3" s="81"/>
      <c r="B3" s="82"/>
      <c r="C3" s="82"/>
      <c r="D3" s="82"/>
      <c r="E3" s="82"/>
      <c r="F3" s="82"/>
      <c r="G3" s="83"/>
      <c r="H3" s="82"/>
      <c r="I3" s="82"/>
      <c r="J3" s="82"/>
      <c r="K3" s="82"/>
      <c r="L3" s="82"/>
      <c r="M3" s="82"/>
      <c r="N3" s="82"/>
      <c r="O3" s="82"/>
      <c r="P3" s="82"/>
      <c r="Q3" s="85"/>
    </row>
    <row r="4" spans="1:17" ht="15.75" thickBot="1" x14ac:dyDescent="0.3">
      <c r="A4" s="191" t="s">
        <v>81</v>
      </c>
      <c r="B4" s="191"/>
      <c r="C4" s="191"/>
      <c r="D4" s="191"/>
      <c r="E4" s="191"/>
      <c r="F4" s="191"/>
      <c r="G4" s="192" t="str">
        <f>'NP SAME'!D3</f>
        <v>040 - MINISTERIO DE SALUD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</row>
    <row r="5" spans="1:17" ht="15.75" thickBot="1" x14ac:dyDescent="0.3">
      <c r="A5" s="193" t="s">
        <v>68</v>
      </c>
      <c r="B5" s="193"/>
      <c r="C5" s="193"/>
      <c r="D5" s="193"/>
      <c r="E5" s="193"/>
      <c r="F5" s="193"/>
      <c r="G5" s="192" t="str">
        <f>'NP SAME'!D4</f>
        <v>011 - DIRECCION PROVINCIAL DE ADMINISTRACION - MINISTERIO DE SALUD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ht="15.75" thickBot="1" x14ac:dyDescent="0.3">
      <c r="A6" s="193" t="s">
        <v>69</v>
      </c>
      <c r="B6" s="193"/>
      <c r="C6" s="193"/>
      <c r="D6" s="193"/>
      <c r="E6" s="193"/>
      <c r="F6" s="193"/>
      <c r="G6" s="192" t="str">
        <f>'NP SAME'!D5</f>
        <v>DIRECCION PROVINCIAL SISTEMA DE ATENCION MEDICA DE EMERGENCIA</v>
      </c>
      <c r="H6" s="192"/>
      <c r="I6" s="192"/>
      <c r="J6" s="192"/>
      <c r="K6" s="192"/>
      <c r="L6" s="192"/>
      <c r="M6" s="192"/>
      <c r="N6" s="192"/>
      <c r="O6" s="192"/>
      <c r="P6" s="192"/>
      <c r="Q6" s="192"/>
    </row>
    <row r="7" spans="1:17" ht="15.75" thickBot="1" x14ac:dyDescent="0.3">
      <c r="A7" s="193" t="s">
        <v>70</v>
      </c>
      <c r="B7" s="193"/>
      <c r="C7" s="193"/>
      <c r="D7" s="193"/>
      <c r="E7" s="193"/>
      <c r="F7" s="193"/>
      <c r="G7" s="192" t="str">
        <f>'NP SAME'!D6</f>
        <v>DIRECCION PROVINCIAL SISTEMA DE ATENCION MEDICA DE EMERGENCIA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</row>
    <row r="8" spans="1:17" ht="15.75" thickBot="1" x14ac:dyDescent="0.3">
      <c r="A8" s="194" t="s">
        <v>82</v>
      </c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</row>
    <row r="9" spans="1:17" ht="20.25" customHeight="1" x14ac:dyDescent="0.25">
      <c r="A9" s="187" t="s">
        <v>83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</row>
    <row r="10" spans="1:17" ht="69" customHeight="1" x14ac:dyDescent="0.25">
      <c r="A10" s="180" t="s">
        <v>118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</row>
    <row r="11" spans="1:17" ht="15.75" thickBot="1" x14ac:dyDescent="0.3">
      <c r="A11" s="86"/>
      <c r="B11" s="87"/>
      <c r="C11" s="87"/>
      <c r="D11" s="87"/>
      <c r="E11" s="87"/>
      <c r="F11" s="87"/>
      <c r="G11" s="88"/>
      <c r="H11" s="87"/>
      <c r="I11" s="87"/>
      <c r="J11" s="87"/>
      <c r="K11" s="87"/>
      <c r="L11" s="87"/>
      <c r="M11" s="87"/>
      <c r="N11" s="87"/>
      <c r="O11" s="87"/>
      <c r="P11" s="87"/>
      <c r="Q11" s="89"/>
    </row>
    <row r="12" spans="1:17" ht="15.75" thickBot="1" x14ac:dyDescent="0.3">
      <c r="A12" s="181" t="s">
        <v>84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thickBot="1" x14ac:dyDescent="0.3">
      <c r="A13" s="182" t="s">
        <v>85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86</v>
      </c>
      <c r="P13" s="183"/>
      <c r="Q13" s="184" t="s">
        <v>87</v>
      </c>
    </row>
    <row r="14" spans="1:17" ht="15.75" thickBot="1" x14ac:dyDescent="0.3">
      <c r="A14" s="90" t="s">
        <v>88</v>
      </c>
      <c r="B14" s="91" t="s">
        <v>89</v>
      </c>
      <c r="C14" s="91" t="s">
        <v>90</v>
      </c>
      <c r="D14" s="91" t="s">
        <v>91</v>
      </c>
      <c r="E14" s="91" t="s">
        <v>92</v>
      </c>
      <c r="F14" s="91" t="s">
        <v>93</v>
      </c>
      <c r="G14" s="92" t="s">
        <v>94</v>
      </c>
      <c r="H14" s="91" t="s">
        <v>95</v>
      </c>
      <c r="I14" s="91" t="s">
        <v>96</v>
      </c>
      <c r="J14" s="91" t="s">
        <v>97</v>
      </c>
      <c r="K14" s="91" t="s">
        <v>97</v>
      </c>
      <c r="L14" s="91" t="s">
        <v>98</v>
      </c>
      <c r="M14" s="93" t="s">
        <v>99</v>
      </c>
      <c r="N14" s="94" t="s">
        <v>100</v>
      </c>
      <c r="O14" s="183"/>
      <c r="P14" s="183"/>
      <c r="Q14" s="184"/>
    </row>
    <row r="15" spans="1:17" x14ac:dyDescent="0.25">
      <c r="A15" s="95">
        <v>31</v>
      </c>
      <c r="B15" s="96"/>
      <c r="C15" s="96"/>
      <c r="D15" s="96">
        <v>1</v>
      </c>
      <c r="E15" s="96"/>
      <c r="F15" s="96">
        <v>4901</v>
      </c>
      <c r="G15" s="96">
        <v>3</v>
      </c>
      <c r="H15" s="96">
        <v>1</v>
      </c>
      <c r="I15" s="96">
        <v>2</v>
      </c>
      <c r="J15" s="96">
        <v>5</v>
      </c>
      <c r="K15" s="96">
        <v>1</v>
      </c>
      <c r="L15" s="96"/>
      <c r="M15" s="97">
        <v>1</v>
      </c>
      <c r="N15" s="96" t="s">
        <v>114</v>
      </c>
      <c r="O15" s="185" t="s">
        <v>115</v>
      </c>
      <c r="P15" s="185"/>
      <c r="Q15" s="98">
        <f>'NP SAME'!M12</f>
        <v>191100</v>
      </c>
    </row>
    <row r="16" spans="1:17" x14ac:dyDescent="0.25">
      <c r="A16" s="99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1"/>
      <c r="N16" s="102"/>
      <c r="O16" s="174"/>
      <c r="P16" s="174"/>
      <c r="Q16" s="103"/>
    </row>
    <row r="17" spans="1:17" x14ac:dyDescent="0.25">
      <c r="A17" s="99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1"/>
      <c r="N17" s="102"/>
      <c r="O17" s="186"/>
      <c r="P17" s="186"/>
      <c r="Q17" s="103"/>
    </row>
    <row r="18" spans="1:17" x14ac:dyDescent="0.25">
      <c r="A18" s="99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1"/>
      <c r="N18" s="102"/>
      <c r="O18" s="179"/>
      <c r="P18" s="179"/>
      <c r="Q18" s="103"/>
    </row>
    <row r="19" spans="1:17" x14ac:dyDescent="0.25">
      <c r="A19" s="99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1"/>
      <c r="N19" s="102"/>
      <c r="O19" s="179"/>
      <c r="P19" s="179"/>
      <c r="Q19" s="103"/>
    </row>
    <row r="20" spans="1:17" x14ac:dyDescent="0.25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1"/>
      <c r="N20" s="102"/>
      <c r="O20" s="179"/>
      <c r="P20" s="179"/>
      <c r="Q20" s="103"/>
    </row>
    <row r="21" spans="1:17" x14ac:dyDescent="0.25">
      <c r="A21" s="99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1"/>
      <c r="N21" s="102"/>
      <c r="O21" s="179"/>
      <c r="P21" s="179"/>
      <c r="Q21" s="103"/>
    </row>
    <row r="22" spans="1:17" x14ac:dyDescent="0.25">
      <c r="A22" s="99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1"/>
      <c r="N22" s="102"/>
      <c r="O22" s="179"/>
      <c r="P22" s="179"/>
      <c r="Q22" s="103"/>
    </row>
    <row r="23" spans="1:17" x14ac:dyDescent="0.25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1"/>
      <c r="N23" s="102"/>
      <c r="O23" s="179"/>
      <c r="P23" s="179"/>
      <c r="Q23" s="103"/>
    </row>
    <row r="24" spans="1:17" x14ac:dyDescent="0.25">
      <c r="A24" s="9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1"/>
      <c r="N24" s="102"/>
      <c r="O24" s="179"/>
      <c r="P24" s="179"/>
      <c r="Q24" s="103"/>
    </row>
    <row r="25" spans="1:17" x14ac:dyDescent="0.25">
      <c r="A25" s="99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1"/>
      <c r="N25" s="102"/>
      <c r="O25" s="179"/>
      <c r="P25" s="179"/>
      <c r="Q25" s="103"/>
    </row>
    <row r="26" spans="1:17" x14ac:dyDescent="0.25">
      <c r="A26" s="99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1"/>
      <c r="N26" s="102"/>
      <c r="O26" s="179"/>
      <c r="P26" s="179"/>
      <c r="Q26" s="103"/>
    </row>
    <row r="27" spans="1:17" x14ac:dyDescent="0.25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1"/>
      <c r="N27" s="102"/>
      <c r="O27" s="179"/>
      <c r="P27" s="179"/>
      <c r="Q27" s="103"/>
    </row>
    <row r="28" spans="1:17" x14ac:dyDescent="0.25">
      <c r="A28" s="99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1"/>
      <c r="N28" s="102"/>
      <c r="O28" s="179"/>
      <c r="P28" s="179"/>
      <c r="Q28" s="103"/>
    </row>
    <row r="29" spans="1:17" x14ac:dyDescent="0.25">
      <c r="A29" s="99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1"/>
      <c r="N29" s="102"/>
      <c r="O29" s="179"/>
      <c r="P29" s="179"/>
      <c r="Q29" s="103"/>
    </row>
    <row r="30" spans="1:17" x14ac:dyDescent="0.25">
      <c r="A30" s="99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1"/>
      <c r="N30" s="102"/>
      <c r="O30" s="179"/>
      <c r="P30" s="179"/>
      <c r="Q30" s="103"/>
    </row>
    <row r="31" spans="1:17" x14ac:dyDescent="0.25">
      <c r="A31" s="99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1"/>
      <c r="N31" s="102"/>
      <c r="O31" s="179"/>
      <c r="P31" s="179"/>
      <c r="Q31" s="103"/>
    </row>
    <row r="32" spans="1:17" x14ac:dyDescent="0.25">
      <c r="A32" s="99"/>
      <c r="B32" s="100"/>
      <c r="C32" s="100"/>
      <c r="D32" s="100"/>
      <c r="E32" s="100"/>
      <c r="F32" s="102"/>
      <c r="G32" s="100"/>
      <c r="H32" s="100"/>
      <c r="I32" s="100"/>
      <c r="J32" s="100"/>
      <c r="K32" s="100"/>
      <c r="L32" s="100"/>
      <c r="M32" s="101"/>
      <c r="N32" s="102"/>
      <c r="O32" s="174"/>
      <c r="P32" s="174"/>
      <c r="Q32" s="103"/>
    </row>
    <row r="33" spans="1:17" x14ac:dyDescent="0.25">
      <c r="A33" s="99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1"/>
      <c r="N33" s="102"/>
      <c r="O33" s="174"/>
      <c r="P33" s="174"/>
      <c r="Q33" s="103"/>
    </row>
    <row r="34" spans="1:17" x14ac:dyDescent="0.25">
      <c r="A34" s="99"/>
      <c r="B34" s="100"/>
      <c r="C34" s="100"/>
      <c r="D34" s="100"/>
      <c r="E34" s="100"/>
      <c r="F34" s="102"/>
      <c r="G34" s="100"/>
      <c r="H34" s="100"/>
      <c r="I34" s="100"/>
      <c r="J34" s="100"/>
      <c r="K34" s="100"/>
      <c r="L34" s="100"/>
      <c r="M34" s="101"/>
      <c r="N34" s="102"/>
      <c r="O34" s="174"/>
      <c r="P34" s="174"/>
      <c r="Q34" s="103"/>
    </row>
    <row r="35" spans="1:17" x14ac:dyDescent="0.25">
      <c r="A35" s="99"/>
      <c r="B35" s="100"/>
      <c r="C35" s="100"/>
      <c r="D35" s="100"/>
      <c r="E35" s="100"/>
      <c r="F35" s="102"/>
      <c r="G35" s="100"/>
      <c r="H35" s="100"/>
      <c r="I35" s="100"/>
      <c r="J35" s="100"/>
      <c r="K35" s="100"/>
      <c r="L35" s="100"/>
      <c r="M35" s="101"/>
      <c r="N35" s="102"/>
      <c r="O35" s="174"/>
      <c r="P35" s="174"/>
      <c r="Q35" s="103"/>
    </row>
    <row r="36" spans="1:17" x14ac:dyDescent="0.25">
      <c r="A36" s="104"/>
      <c r="B36" s="105"/>
      <c r="C36" s="105"/>
      <c r="D36" s="105"/>
      <c r="E36" s="105"/>
      <c r="F36" s="106"/>
      <c r="G36" s="105"/>
      <c r="H36" s="105"/>
      <c r="I36" s="105"/>
      <c r="J36" s="105"/>
      <c r="K36" s="105"/>
      <c r="L36" s="105"/>
      <c r="M36" s="107"/>
      <c r="N36" s="108"/>
      <c r="O36" s="175"/>
      <c r="P36" s="175"/>
      <c r="Q36" s="103"/>
    </row>
    <row r="37" spans="1:17" ht="15.75" thickBot="1" x14ac:dyDescent="0.3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1"/>
      <c r="N37" s="110"/>
      <c r="O37" s="176"/>
      <c r="P37" s="176"/>
      <c r="Q37" s="112"/>
    </row>
    <row r="38" spans="1:17" ht="15.75" thickBot="1" x14ac:dyDescent="0.3">
      <c r="A38" s="177" t="s">
        <v>123</v>
      </c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13">
        <f>SUM(Q15:Q37)</f>
        <v>191100</v>
      </c>
    </row>
    <row r="39" spans="1:17" ht="15.75" thickBot="1" x14ac:dyDescent="0.3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</row>
    <row r="40" spans="1:17" ht="15.75" thickBot="1" x14ac:dyDescent="0.3">
      <c r="A40" s="171" t="s">
        <v>101</v>
      </c>
      <c r="B40" s="171"/>
      <c r="C40" s="171"/>
      <c r="D40" s="171"/>
      <c r="E40" s="171"/>
      <c r="F40" s="171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</row>
    <row r="41" spans="1:17" ht="15.75" thickBot="1" x14ac:dyDescent="0.3">
      <c r="A41" s="173" t="str">
        <f>'NP SAME'!D8</f>
        <v>ADQUISICION DEL RUBRO OXIGENO MEDICINAL</v>
      </c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</row>
    <row r="42" spans="1:17" ht="15.75" thickBot="1" x14ac:dyDescent="0.3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tabSelected="1" workbookViewId="0">
      <selection activeCell="A14" sqref="A14:I14"/>
    </sheetView>
  </sheetViews>
  <sheetFormatPr baseColWidth="10" defaultColWidth="11.42578125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139" customWidth="1"/>
    <col min="11" max="11" width="15.5703125" style="34" customWidth="1"/>
    <col min="12" max="12" width="11.42578125" style="34"/>
    <col min="13" max="13" width="11.42578125" style="128"/>
    <col min="14" max="16384" width="11.42578125" style="34"/>
  </cols>
  <sheetData>
    <row r="1" spans="1:13" ht="30.75" thickBot="1" x14ac:dyDescent="0.3">
      <c r="A1" s="169" t="s">
        <v>65</v>
      </c>
      <c r="B1" s="169"/>
      <c r="C1" s="169"/>
      <c r="D1" s="169"/>
      <c r="E1" s="169"/>
      <c r="F1" s="169"/>
      <c r="G1" s="169"/>
      <c r="H1" s="169"/>
      <c r="I1" s="169"/>
      <c r="J1" s="133" t="s">
        <v>66</v>
      </c>
      <c r="K1" s="60" t="s">
        <v>116</v>
      </c>
    </row>
    <row r="2" spans="1:13" ht="16.5" thickBot="1" x14ac:dyDescent="0.3">
      <c r="A2" s="61"/>
      <c r="B2" s="62"/>
      <c r="C2" s="62"/>
      <c r="D2" s="63"/>
      <c r="E2" s="63"/>
      <c r="F2" s="63"/>
      <c r="G2" s="63"/>
      <c r="H2" s="63"/>
      <c r="I2" s="63"/>
      <c r="J2" s="134"/>
      <c r="K2" s="64"/>
    </row>
    <row r="3" spans="1:13" ht="16.5" customHeight="1" thickBot="1" x14ac:dyDescent="0.3">
      <c r="A3" s="170" t="s">
        <v>67</v>
      </c>
      <c r="B3" s="170"/>
      <c r="C3" s="170"/>
      <c r="D3" s="129" t="str">
        <f>'SAF 011'!C4</f>
        <v>040 - MINISTERIO DE SALUD</v>
      </c>
      <c r="E3" s="130"/>
      <c r="F3" s="130"/>
      <c r="G3" s="130"/>
      <c r="H3" s="130"/>
      <c r="I3" s="130"/>
      <c r="J3" s="135"/>
      <c r="K3" s="131"/>
    </row>
    <row r="4" spans="1:13" ht="16.5" customHeight="1" thickBot="1" x14ac:dyDescent="0.3">
      <c r="A4" s="166" t="s">
        <v>68</v>
      </c>
      <c r="B4" s="166"/>
      <c r="C4" s="166"/>
      <c r="D4" s="129" t="str">
        <f>'SAF 011'!C5</f>
        <v>011 - DIRECCION PROVINCIAL DE ADMINISTRACION - MINISTERIO DE SALUD</v>
      </c>
      <c r="E4" s="130"/>
      <c r="F4" s="130"/>
      <c r="G4" s="130"/>
      <c r="H4" s="130"/>
      <c r="I4" s="130"/>
      <c r="J4" s="135"/>
      <c r="K4" s="131"/>
    </row>
    <row r="5" spans="1:13" ht="16.5" customHeight="1" thickBot="1" x14ac:dyDescent="0.3">
      <c r="A5" s="166" t="s">
        <v>69</v>
      </c>
      <c r="B5" s="166"/>
      <c r="C5" s="166"/>
      <c r="D5" s="129" t="s">
        <v>117</v>
      </c>
      <c r="E5" s="130"/>
      <c r="F5" s="130"/>
      <c r="G5" s="130"/>
      <c r="H5" s="130"/>
      <c r="I5" s="130"/>
      <c r="J5" s="135"/>
      <c r="K5" s="131"/>
    </row>
    <row r="6" spans="1:13" ht="16.5" customHeight="1" thickBot="1" x14ac:dyDescent="0.3">
      <c r="A6" s="170" t="s">
        <v>70</v>
      </c>
      <c r="B6" s="170"/>
      <c r="C6" s="170"/>
      <c r="D6" s="129" t="s">
        <v>117</v>
      </c>
      <c r="E6" s="130"/>
      <c r="F6" s="130"/>
      <c r="G6" s="130"/>
      <c r="H6" s="130"/>
      <c r="I6" s="130"/>
      <c r="J6" s="135"/>
      <c r="K6" s="131"/>
    </row>
    <row r="7" spans="1:13" ht="16.5" thickBot="1" x14ac:dyDescent="0.3">
      <c r="A7" s="166" t="s">
        <v>71</v>
      </c>
      <c r="B7" s="166"/>
      <c r="C7" s="166"/>
      <c r="D7" s="129" t="s">
        <v>111</v>
      </c>
      <c r="E7" s="130"/>
      <c r="F7" s="130"/>
      <c r="G7" s="130"/>
      <c r="H7" s="130"/>
      <c r="I7" s="130"/>
      <c r="J7" s="135"/>
      <c r="K7" s="131"/>
    </row>
    <row r="8" spans="1:13" ht="16.5" customHeight="1" thickBot="1" x14ac:dyDescent="0.3">
      <c r="A8" s="167" t="s">
        <v>72</v>
      </c>
      <c r="B8" s="167"/>
      <c r="C8" s="167"/>
      <c r="D8" s="132" t="s">
        <v>112</v>
      </c>
      <c r="E8" s="130"/>
      <c r="F8" s="130"/>
      <c r="G8" s="130"/>
      <c r="H8" s="130"/>
      <c r="I8" s="130"/>
      <c r="J8" s="135"/>
      <c r="K8" s="131"/>
    </row>
    <row r="9" spans="1:13" ht="16.5" thickBot="1" x14ac:dyDescent="0.3">
      <c r="A9" s="65"/>
      <c r="B9" s="66"/>
      <c r="C9" s="66"/>
      <c r="D9" s="67"/>
      <c r="E9" s="67"/>
      <c r="F9" s="67"/>
      <c r="G9" s="67"/>
      <c r="H9" s="67"/>
      <c r="I9" s="67"/>
      <c r="J9" s="136"/>
      <c r="K9" s="68"/>
    </row>
    <row r="10" spans="1:13" ht="15.75" thickBot="1" x14ac:dyDescent="0.3">
      <c r="A10" s="168" t="s">
        <v>73</v>
      </c>
      <c r="B10" s="163" t="s">
        <v>74</v>
      </c>
      <c r="C10" s="163" t="s">
        <v>75</v>
      </c>
      <c r="D10" s="163"/>
      <c r="E10" s="163"/>
      <c r="F10" s="163"/>
      <c r="G10" s="163"/>
      <c r="H10" s="163" t="s">
        <v>76</v>
      </c>
      <c r="I10" s="163" t="s">
        <v>77</v>
      </c>
      <c r="J10" s="195" t="s">
        <v>78</v>
      </c>
      <c r="K10" s="164" t="s">
        <v>79</v>
      </c>
    </row>
    <row r="11" spans="1:13" ht="30" customHeight="1" thickBot="1" x14ac:dyDescent="0.3">
      <c r="A11" s="168"/>
      <c r="B11" s="163"/>
      <c r="C11" s="163"/>
      <c r="D11" s="163"/>
      <c r="E11" s="163"/>
      <c r="F11" s="163"/>
      <c r="G11" s="163"/>
      <c r="H11" s="163"/>
      <c r="I11" s="163"/>
      <c r="J11" s="195"/>
      <c r="K11" s="164"/>
    </row>
    <row r="12" spans="1:13" ht="39.75" customHeight="1" x14ac:dyDescent="0.25">
      <c r="A12" s="69">
        <v>1</v>
      </c>
      <c r="B12" s="127" t="str">
        <f>'SAF 011'!B10</f>
        <v>2.5.1-9018.8</v>
      </c>
      <c r="C12" s="165" t="str">
        <f>'SAF 011'!E10</f>
        <v>GASES; COMPUESTO QUIMICO: OXIGENO, CALIDAD: MEDICINAL, PRESENTACION: TUBO X 6 M3</v>
      </c>
      <c r="D12" s="165"/>
      <c r="E12" s="165"/>
      <c r="F12" s="165"/>
      <c r="G12" s="165"/>
      <c r="H12" s="70" t="s">
        <v>113</v>
      </c>
      <c r="I12" s="71" t="str">
        <f>'SAF 011'!F10</f>
        <v>M3</v>
      </c>
      <c r="J12" s="137">
        <f>'SAF 011'!AX10</f>
        <v>350</v>
      </c>
      <c r="K12" s="72">
        <v>8082</v>
      </c>
      <c r="M12" s="128">
        <f>+J12*K12</f>
        <v>2828700</v>
      </c>
    </row>
    <row r="13" spans="1:13" ht="15.75" x14ac:dyDescent="0.25">
      <c r="A13" s="73"/>
      <c r="B13" s="74"/>
      <c r="C13" s="162"/>
      <c r="D13" s="162"/>
      <c r="E13" s="162"/>
      <c r="F13" s="162"/>
      <c r="G13" s="162"/>
      <c r="H13" s="75"/>
      <c r="I13" s="76"/>
      <c r="J13" s="138"/>
      <c r="K13" s="77"/>
    </row>
    <row r="14" spans="1:13" ht="42" customHeight="1" thickBot="1" x14ac:dyDescent="0.3">
      <c r="A14" s="160" t="s">
        <v>122</v>
      </c>
      <c r="B14" s="160"/>
      <c r="C14" s="160"/>
      <c r="D14" s="160"/>
      <c r="E14" s="160"/>
      <c r="F14" s="160"/>
      <c r="G14" s="160"/>
      <c r="H14" s="160"/>
      <c r="I14" s="160"/>
      <c r="J14" s="161">
        <f>+M12</f>
        <v>2828700</v>
      </c>
      <c r="K14" s="161"/>
    </row>
  </sheetData>
  <mergeCells count="18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J10:J11"/>
    <mergeCell ref="K10:K11"/>
    <mergeCell ref="C12:G12"/>
    <mergeCell ref="C13:G13"/>
    <mergeCell ref="A14:I14"/>
    <mergeCell ref="J14:K14"/>
    <mergeCell ref="I10:I1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workbookViewId="0">
      <selection activeCell="A16" sqref="A16"/>
    </sheetView>
  </sheetViews>
  <sheetFormatPr baseColWidth="10" defaultColWidth="11.42578125" defaultRowHeight="15" x14ac:dyDescent="0.25"/>
  <cols>
    <col min="1" max="5" width="4.42578125" style="34" customWidth="1"/>
    <col min="6" max="6" width="5" style="34" bestFit="1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188" t="s">
        <v>5</v>
      </c>
      <c r="B1" s="188"/>
      <c r="C1" s="188"/>
      <c r="D1" s="189">
        <v>2022</v>
      </c>
      <c r="E1" s="189"/>
      <c r="F1" s="78"/>
      <c r="G1" s="78"/>
      <c r="H1" s="79"/>
      <c r="I1" s="79"/>
      <c r="J1" s="79"/>
      <c r="K1" s="79"/>
      <c r="L1" s="79"/>
      <c r="M1" s="79"/>
      <c r="N1" s="79"/>
      <c r="O1" s="80"/>
      <c r="P1" s="190" t="s">
        <v>80</v>
      </c>
      <c r="Q1" s="190"/>
    </row>
    <row r="2" spans="1:17" ht="15.75" thickBot="1" x14ac:dyDescent="0.3">
      <c r="A2" s="81"/>
      <c r="B2" s="82"/>
      <c r="C2" s="82"/>
      <c r="D2" s="82"/>
      <c r="E2" s="82"/>
      <c r="F2" s="82"/>
      <c r="G2" s="83"/>
      <c r="H2" s="84"/>
      <c r="I2" s="84"/>
      <c r="J2" s="84"/>
      <c r="K2" s="84"/>
      <c r="L2" s="84"/>
      <c r="M2" s="84"/>
      <c r="N2" s="84"/>
      <c r="O2" s="82"/>
      <c r="P2" s="190"/>
      <c r="Q2" s="190"/>
    </row>
    <row r="3" spans="1:17" ht="15.75" thickBot="1" x14ac:dyDescent="0.3">
      <c r="A3" s="81"/>
      <c r="B3" s="82"/>
      <c r="C3" s="82"/>
      <c r="D3" s="82"/>
      <c r="E3" s="82"/>
      <c r="F3" s="82"/>
      <c r="G3" s="83"/>
      <c r="H3" s="82"/>
      <c r="I3" s="82"/>
      <c r="J3" s="82"/>
      <c r="K3" s="82"/>
      <c r="L3" s="82"/>
      <c r="M3" s="82"/>
      <c r="N3" s="82"/>
      <c r="O3" s="82"/>
      <c r="P3" s="82"/>
      <c r="Q3" s="85"/>
    </row>
    <row r="4" spans="1:17" ht="15.75" thickBot="1" x14ac:dyDescent="0.3">
      <c r="A4" s="191" t="s">
        <v>81</v>
      </c>
      <c r="B4" s="191"/>
      <c r="C4" s="191"/>
      <c r="D4" s="191"/>
      <c r="E4" s="191"/>
      <c r="F4" s="191"/>
      <c r="G4" s="192" t="str">
        <f>'NP DPAS'!D3</f>
        <v>040 - MINISTERIO DE SALUD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</row>
    <row r="5" spans="1:17" ht="15.75" thickBot="1" x14ac:dyDescent="0.3">
      <c r="A5" s="193" t="s">
        <v>68</v>
      </c>
      <c r="B5" s="193"/>
      <c r="C5" s="193"/>
      <c r="D5" s="193"/>
      <c r="E5" s="193"/>
      <c r="F5" s="193"/>
      <c r="G5" s="192" t="str">
        <f>'NP DPAS'!D4</f>
        <v>011 - DIRECCION PROVINCIAL DE ADMINISTRACION - MINISTERIO DE SALUD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ht="15.75" thickBot="1" x14ac:dyDescent="0.3">
      <c r="A6" s="193" t="s">
        <v>69</v>
      </c>
      <c r="B6" s="193"/>
      <c r="C6" s="193"/>
      <c r="D6" s="193"/>
      <c r="E6" s="193"/>
      <c r="F6" s="193"/>
      <c r="G6" s="192" t="str">
        <f>'NP DPAS'!D5</f>
        <v>DIRECCION PROVINCIAL DE ASISTENCIA SANITARIA</v>
      </c>
      <c r="H6" s="192"/>
      <c r="I6" s="192"/>
      <c r="J6" s="192"/>
      <c r="K6" s="192"/>
      <c r="L6" s="192"/>
      <c r="M6" s="192"/>
      <c r="N6" s="192"/>
      <c r="O6" s="192"/>
      <c r="P6" s="192"/>
      <c r="Q6" s="192"/>
    </row>
    <row r="7" spans="1:17" ht="15.75" thickBot="1" x14ac:dyDescent="0.3">
      <c r="A7" s="193" t="s">
        <v>70</v>
      </c>
      <c r="B7" s="193"/>
      <c r="C7" s="193"/>
      <c r="D7" s="193"/>
      <c r="E7" s="193"/>
      <c r="F7" s="193"/>
      <c r="G7" s="192" t="str">
        <f>'NP DPAS'!D6</f>
        <v>DIRECCION PROVINCIAL DE ASISTENCIA SANITARIA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</row>
    <row r="8" spans="1:17" ht="15.75" thickBot="1" x14ac:dyDescent="0.3">
      <c r="A8" s="194" t="s">
        <v>82</v>
      </c>
      <c r="B8" s="194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</row>
    <row r="9" spans="1:17" ht="20.25" customHeight="1" x14ac:dyDescent="0.25">
      <c r="A9" s="187" t="s">
        <v>83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</row>
    <row r="10" spans="1:17" ht="69" customHeight="1" x14ac:dyDescent="0.25">
      <c r="A10" s="180" t="s">
        <v>119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</row>
    <row r="11" spans="1:17" ht="15.75" thickBot="1" x14ac:dyDescent="0.3">
      <c r="A11" s="86"/>
      <c r="B11" s="87"/>
      <c r="C11" s="87"/>
      <c r="D11" s="87"/>
      <c r="E11" s="87"/>
      <c r="F11" s="87"/>
      <c r="G11" s="88"/>
      <c r="H11" s="87"/>
      <c r="I11" s="87"/>
      <c r="J11" s="87"/>
      <c r="K11" s="87"/>
      <c r="L11" s="87"/>
      <c r="M11" s="87"/>
      <c r="N11" s="87"/>
      <c r="O11" s="87"/>
      <c r="P11" s="87"/>
      <c r="Q11" s="89"/>
    </row>
    <row r="12" spans="1:17" ht="15.75" thickBot="1" x14ac:dyDescent="0.3">
      <c r="A12" s="181" t="s">
        <v>84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thickBot="1" x14ac:dyDescent="0.3">
      <c r="A13" s="182" t="s">
        <v>85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86</v>
      </c>
      <c r="P13" s="183"/>
      <c r="Q13" s="184" t="s">
        <v>87</v>
      </c>
    </row>
    <row r="14" spans="1:17" ht="15.75" thickBot="1" x14ac:dyDescent="0.3">
      <c r="A14" s="90" t="s">
        <v>88</v>
      </c>
      <c r="B14" s="91" t="s">
        <v>89</v>
      </c>
      <c r="C14" s="91" t="s">
        <v>90</v>
      </c>
      <c r="D14" s="91" t="s">
        <v>91</v>
      </c>
      <c r="E14" s="91" t="s">
        <v>92</v>
      </c>
      <c r="F14" s="91" t="s">
        <v>93</v>
      </c>
      <c r="G14" s="92" t="s">
        <v>94</v>
      </c>
      <c r="H14" s="91" t="s">
        <v>95</v>
      </c>
      <c r="I14" s="91" t="s">
        <v>96</v>
      </c>
      <c r="J14" s="91" t="s">
        <v>97</v>
      </c>
      <c r="K14" s="91" t="s">
        <v>97</v>
      </c>
      <c r="L14" s="91" t="s">
        <v>98</v>
      </c>
      <c r="M14" s="93" t="s">
        <v>99</v>
      </c>
      <c r="N14" s="94" t="s">
        <v>100</v>
      </c>
      <c r="O14" s="183"/>
      <c r="P14" s="183"/>
      <c r="Q14" s="184"/>
    </row>
    <row r="15" spans="1:17" x14ac:dyDescent="0.25">
      <c r="A15" s="95">
        <v>21</v>
      </c>
      <c r="B15" s="96"/>
      <c r="C15" s="96"/>
      <c r="D15" s="96">
        <v>1</v>
      </c>
      <c r="E15" s="96"/>
      <c r="F15" s="96">
        <v>4901</v>
      </c>
      <c r="G15" s="96">
        <v>3</v>
      </c>
      <c r="H15" s="96">
        <v>1</v>
      </c>
      <c r="I15" s="96">
        <v>2</v>
      </c>
      <c r="J15" s="96">
        <v>5</v>
      </c>
      <c r="K15" s="96">
        <v>1</v>
      </c>
      <c r="L15" s="96"/>
      <c r="M15" s="97">
        <v>1</v>
      </c>
      <c r="N15" s="96" t="s">
        <v>114</v>
      </c>
      <c r="O15" s="185" t="s">
        <v>115</v>
      </c>
      <c r="P15" s="185"/>
      <c r="Q15" s="98">
        <f>'NP DPAS'!M12</f>
        <v>2828700</v>
      </c>
    </row>
    <row r="16" spans="1:17" x14ac:dyDescent="0.25">
      <c r="A16" s="99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1"/>
      <c r="N16" s="114"/>
      <c r="O16" s="174"/>
      <c r="P16" s="174"/>
      <c r="Q16" s="103"/>
    </row>
    <row r="17" spans="1:17" x14ac:dyDescent="0.25">
      <c r="A17" s="99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1"/>
      <c r="N17" s="114"/>
      <c r="O17" s="186"/>
      <c r="P17" s="186"/>
      <c r="Q17" s="103"/>
    </row>
    <row r="18" spans="1:17" x14ac:dyDescent="0.25">
      <c r="A18" s="99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1"/>
      <c r="N18" s="114"/>
      <c r="O18" s="179"/>
      <c r="P18" s="179"/>
      <c r="Q18" s="103"/>
    </row>
    <row r="19" spans="1:17" x14ac:dyDescent="0.25">
      <c r="A19" s="99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1"/>
      <c r="N19" s="114"/>
      <c r="O19" s="179"/>
      <c r="P19" s="179"/>
      <c r="Q19" s="103"/>
    </row>
    <row r="20" spans="1:17" x14ac:dyDescent="0.25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1"/>
      <c r="N20" s="114"/>
      <c r="O20" s="179"/>
      <c r="P20" s="179"/>
      <c r="Q20" s="103"/>
    </row>
    <row r="21" spans="1:17" x14ac:dyDescent="0.25">
      <c r="A21" s="99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1"/>
      <c r="N21" s="114"/>
      <c r="O21" s="179"/>
      <c r="P21" s="179"/>
      <c r="Q21" s="103"/>
    </row>
    <row r="22" spans="1:17" x14ac:dyDescent="0.25">
      <c r="A22" s="99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1"/>
      <c r="N22" s="114"/>
      <c r="O22" s="179"/>
      <c r="P22" s="179"/>
      <c r="Q22" s="103"/>
    </row>
    <row r="23" spans="1:17" x14ac:dyDescent="0.25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1"/>
      <c r="N23" s="114"/>
      <c r="O23" s="179"/>
      <c r="P23" s="179"/>
      <c r="Q23" s="103"/>
    </row>
    <row r="24" spans="1:17" x14ac:dyDescent="0.25">
      <c r="A24" s="9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1"/>
      <c r="N24" s="114"/>
      <c r="O24" s="179"/>
      <c r="P24" s="179"/>
      <c r="Q24" s="103"/>
    </row>
    <row r="25" spans="1:17" x14ac:dyDescent="0.25">
      <c r="A25" s="99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1"/>
      <c r="N25" s="114"/>
      <c r="O25" s="179"/>
      <c r="P25" s="179"/>
      <c r="Q25" s="103"/>
    </row>
    <row r="26" spans="1:17" x14ac:dyDescent="0.25">
      <c r="A26" s="99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1"/>
      <c r="N26" s="114"/>
      <c r="O26" s="179"/>
      <c r="P26" s="179"/>
      <c r="Q26" s="103"/>
    </row>
    <row r="27" spans="1:17" x14ac:dyDescent="0.25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1"/>
      <c r="N27" s="114"/>
      <c r="O27" s="179"/>
      <c r="P27" s="179"/>
      <c r="Q27" s="103"/>
    </row>
    <row r="28" spans="1:17" x14ac:dyDescent="0.25">
      <c r="A28" s="99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1"/>
      <c r="N28" s="114"/>
      <c r="O28" s="179"/>
      <c r="P28" s="179"/>
      <c r="Q28" s="103"/>
    </row>
    <row r="29" spans="1:17" x14ac:dyDescent="0.25">
      <c r="A29" s="99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1"/>
      <c r="N29" s="114"/>
      <c r="O29" s="179"/>
      <c r="P29" s="179"/>
      <c r="Q29" s="103"/>
    </row>
    <row r="30" spans="1:17" x14ac:dyDescent="0.25">
      <c r="A30" s="99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1"/>
      <c r="N30" s="114"/>
      <c r="O30" s="179"/>
      <c r="P30" s="179"/>
      <c r="Q30" s="103"/>
    </row>
    <row r="31" spans="1:17" x14ac:dyDescent="0.25">
      <c r="A31" s="99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1"/>
      <c r="N31" s="114"/>
      <c r="O31" s="179"/>
      <c r="P31" s="179"/>
      <c r="Q31" s="103"/>
    </row>
    <row r="32" spans="1:17" x14ac:dyDescent="0.25">
      <c r="A32" s="99"/>
      <c r="B32" s="100"/>
      <c r="C32" s="100"/>
      <c r="D32" s="100"/>
      <c r="E32" s="100"/>
      <c r="F32" s="114"/>
      <c r="G32" s="100"/>
      <c r="H32" s="100"/>
      <c r="I32" s="100"/>
      <c r="J32" s="100"/>
      <c r="K32" s="100"/>
      <c r="L32" s="100"/>
      <c r="M32" s="101"/>
      <c r="N32" s="114"/>
      <c r="O32" s="174"/>
      <c r="P32" s="174"/>
      <c r="Q32" s="103"/>
    </row>
    <row r="33" spans="1:17" x14ac:dyDescent="0.25">
      <c r="A33" s="99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1"/>
      <c r="N33" s="114"/>
      <c r="O33" s="174"/>
      <c r="P33" s="174"/>
      <c r="Q33" s="103"/>
    </row>
    <row r="34" spans="1:17" x14ac:dyDescent="0.25">
      <c r="A34" s="99"/>
      <c r="B34" s="100"/>
      <c r="C34" s="100"/>
      <c r="D34" s="100"/>
      <c r="E34" s="100"/>
      <c r="F34" s="114"/>
      <c r="G34" s="100"/>
      <c r="H34" s="100"/>
      <c r="I34" s="100"/>
      <c r="J34" s="100"/>
      <c r="K34" s="100"/>
      <c r="L34" s="100"/>
      <c r="M34" s="101"/>
      <c r="N34" s="114"/>
      <c r="O34" s="174"/>
      <c r="P34" s="174"/>
      <c r="Q34" s="103"/>
    </row>
    <row r="35" spans="1:17" x14ac:dyDescent="0.25">
      <c r="A35" s="99"/>
      <c r="B35" s="100"/>
      <c r="C35" s="100"/>
      <c r="D35" s="100"/>
      <c r="E35" s="100"/>
      <c r="F35" s="114"/>
      <c r="G35" s="100"/>
      <c r="H35" s="100"/>
      <c r="I35" s="100"/>
      <c r="J35" s="100"/>
      <c r="K35" s="100"/>
      <c r="L35" s="100"/>
      <c r="M35" s="101"/>
      <c r="N35" s="114"/>
      <c r="O35" s="174"/>
      <c r="P35" s="174"/>
      <c r="Q35" s="103"/>
    </row>
    <row r="36" spans="1:17" x14ac:dyDescent="0.25">
      <c r="A36" s="104"/>
      <c r="B36" s="105"/>
      <c r="C36" s="105"/>
      <c r="D36" s="105"/>
      <c r="E36" s="105"/>
      <c r="F36" s="106"/>
      <c r="G36" s="105"/>
      <c r="H36" s="105"/>
      <c r="I36" s="105"/>
      <c r="J36" s="105"/>
      <c r="K36" s="105"/>
      <c r="L36" s="105"/>
      <c r="M36" s="107"/>
      <c r="N36" s="108"/>
      <c r="O36" s="175"/>
      <c r="P36" s="175"/>
      <c r="Q36" s="103"/>
    </row>
    <row r="37" spans="1:17" ht="15.75" thickBot="1" x14ac:dyDescent="0.3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1"/>
      <c r="N37" s="110"/>
      <c r="O37" s="176"/>
      <c r="P37" s="176"/>
      <c r="Q37" s="112"/>
    </row>
    <row r="38" spans="1:17" ht="34.5" customHeight="1" thickBot="1" x14ac:dyDescent="0.3">
      <c r="A38" s="177" t="s">
        <v>124</v>
      </c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13">
        <f>SUM(Q15:Q37)</f>
        <v>2828700</v>
      </c>
    </row>
    <row r="39" spans="1:17" ht="15.75" thickBot="1" x14ac:dyDescent="0.3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</row>
    <row r="40" spans="1:17" ht="15.75" thickBot="1" x14ac:dyDescent="0.3">
      <c r="A40" s="171" t="s">
        <v>101</v>
      </c>
      <c r="B40" s="171"/>
      <c r="C40" s="171"/>
      <c r="D40" s="171"/>
      <c r="E40" s="171"/>
      <c r="F40" s="171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</row>
    <row r="41" spans="1:17" ht="15.75" thickBot="1" x14ac:dyDescent="0.3">
      <c r="A41" s="173" t="str">
        <f>'NP DPAS'!D8</f>
        <v>ADQUISICION DEL RUBRO OXIGENO MEDICINAL</v>
      </c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</row>
    <row r="42" spans="1:17" ht="15.75" thickBot="1" x14ac:dyDescent="0.3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SAF 011</vt:lpstr>
      <vt:lpstr>NP SAME</vt:lpstr>
      <vt:lpstr>APG SAME</vt:lpstr>
      <vt:lpstr>NP DPAS</vt:lpstr>
      <vt:lpstr>APG DPAS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2022-02-02T12:14:48Z</dcterms:modified>
</cp:coreProperties>
</file>