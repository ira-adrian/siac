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 activeTab="1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Gastar'!$A$1:$Q$26</definedName>
    <definedName name="_xlnm.Print_Area" localSheetId="1">NotaPedido!$A$1:$K$14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5" i="3" l="1"/>
  <c r="A10" i="3"/>
  <c r="K13" i="2"/>
  <c r="J13" i="2"/>
  <c r="I13" i="2"/>
  <c r="C13" i="2"/>
  <c r="B13" i="2"/>
  <c r="K12" i="2"/>
  <c r="J12" i="2"/>
  <c r="I12" i="2"/>
  <c r="C12" i="2"/>
  <c r="B12" i="2"/>
  <c r="I11" i="1"/>
  <c r="I10" i="1"/>
  <c r="J14" i="2" l="1"/>
  <c r="G6" i="3"/>
  <c r="G7" i="3"/>
  <c r="D7" i="2"/>
  <c r="D3" i="2"/>
  <c r="G4" i="3" s="1"/>
  <c r="D4" i="2"/>
  <c r="G5" i="3" s="1"/>
  <c r="D1" i="3" l="1"/>
  <c r="Q22" i="3"/>
</calcChain>
</file>

<file path=xl/sharedStrings.xml><?xml version="1.0" encoding="utf-8"?>
<sst xmlns="http://schemas.openxmlformats.org/spreadsheetml/2006/main" count="97" uniqueCount="80">
  <si>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</si>
  <si>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</si>
  <si>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</si>
  <si>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</si>
  <si>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</si>
  <si>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</si>
  <si>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</si>
  <si>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</si>
  <si>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</si>
  <si>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</si>
  <si>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</si>
  <si>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</si>
  <si>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</si>
  <si>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</si>
  <si>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</si>
  <si>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</si>
  <si>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</si>
  <si>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</si>
  <si>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</si>
  <si>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</si>
  <si>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</si>
  <si>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</si>
  <si>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</si>
  <si>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</si>
  <si>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</si>
  <si>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</si>
  <si>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</si>
  <si>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</si>
  <si>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</si>
  <si>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</si>
  <si>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</si>
  <si>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</si>
  <si>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</si>
  <si>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</si>
  <si>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</si>
  <si>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</si>
  <si>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</si>
  <si>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</si>
  <si>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</si>
  <si>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</si>
  <si>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</si>
  <si>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</si>
  <si>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</si>
  <si>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</si>
  <si>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</si>
  <si>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</si>
  <si>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</si>
  <si>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</si>
  <si>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</si>
  <si>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</si>
  <si>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</si>
  <si>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</si>
  <si>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</si>
  <si>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</si>
  <si>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</si>
  <si>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</si>
  <si>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</si>
  <si>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</si>
  <si>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</si>
  <si>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</si>
  <si>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3.1</t>
  </si>
  <si>
    <t>1.1</t>
  </si>
  <si>
    <t>LITROS EN VALES</t>
  </si>
  <si>
    <t>172 - Direccion de Administración</t>
  </si>
  <si>
    <t>Dirección de Administración</t>
  </si>
  <si>
    <t>Adquisición de Combustibles</t>
  </si>
  <si>
    <t>Combustibles y Lubricantes</t>
  </si>
  <si>
    <t>COMBUSTIBLES Y LUBRICANTES</t>
  </si>
  <si>
    <t>2.5.6</t>
  </si>
  <si>
    <t xml:space="preserve">45 dias  </t>
  </si>
  <si>
    <t>Especificidades Item N° 2:</t>
  </si>
  <si>
    <t xml:space="preserve">5 dias a ser  entregados en la Administración del HISJB - Avda. Illia y Mariano Moreno </t>
  </si>
  <si>
    <t xml:space="preserve">A ser entregados en Vales de 10 litros cada uno </t>
  </si>
  <si>
    <t>NAFTA SUPER; TIPO: PREMIUN, OCTANO: 97, PRESENTACION: POR LITRO, DESTINO: DPTO. S.F.V. DE CATAMARCA, COMERCIALIZACION: SIN VALOR</t>
  </si>
  <si>
    <t>2.5.6-797.24</t>
  </si>
  <si>
    <t>GAS OIL; PRESENTACION: POR LITRO, USO: MOTORES DIESEL, COMERCIALIZACION: GRADO 3, DESTINO: DPTO. S.F.V. DE CATAMARCA</t>
  </si>
  <si>
    <t>2.5.6-793.31</t>
  </si>
  <si>
    <t>099 - 2021</t>
  </si>
  <si>
    <t>Costo total estimado: CUATROCIENTOS SETENTA Y CINCO MIL CON 00/100.-----</t>
  </si>
  <si>
    <t>TOTAL DE PESOS: CUATROCIENTOS SETENTA Y CINCO MIL CON 00/100.------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</si>
</sst>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3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b/>
      <sz val="14"/>
      <name val="Times New Roman"/>
      <family val="1"/>
      <charset val="1"/>
    </font>
    <font>
      <sz val="14"/>
      <name val="Times New Roman"/>
      <family val="1"/>
      <charset val="1"/>
    </font>
    <font>
      <sz val="14"/>
      <name val="Arial"/>
      <family val="2"/>
    </font>
    <font>
      <b/>
      <sz val="9"/>
      <name val="Arial"/>
      <family val="2"/>
      <charset val="1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2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0" fillId="0" borderId="0" xfId="0" applyFont="1"/>
    <xf numFmtId="0" fontId="27" fillId="0" borderId="0" xfId="0" applyFont="1"/>
    <xf numFmtId="0" fontId="0" fillId="0" borderId="14" xfId="0" applyBorder="1" applyAlignment="1">
      <alignment vertical="center" wrapText="1"/>
    </xf>
    <xf numFmtId="0" fontId="14" fillId="0" borderId="14" xfId="0" applyFont="1" applyBorder="1" applyAlignment="1">
      <alignment vertical="center"/>
    </xf>
    <xf numFmtId="0" fontId="14" fillId="5" borderId="14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29" fillId="3" borderId="6" xfId="0" applyFont="1" applyFill="1" applyBorder="1" applyAlignment="1">
      <alignment horizontal="left" vertical="center" wrapText="1"/>
    </xf>
    <xf numFmtId="0" fontId="29" fillId="4" borderId="6" xfId="0" applyFont="1" applyFill="1" applyBorder="1" applyAlignment="1">
      <alignment horizontal="left" wrapText="1"/>
    </xf>
    <xf numFmtId="0" fontId="15" fillId="4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15" fillId="3" borderId="6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167" fontId="26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4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8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2"/>
  <sheetViews>
    <sheetView zoomScale="85" zoomScaleNormal="85" workbookViewId="0">
      <selection activeCell="H12" sqref="H12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84" t="s">
        <v>0</v>
      </c>
      <c r="C2" s="84"/>
      <c r="D2" s="84"/>
      <c r="E2" s="84"/>
      <c r="F2" s="84"/>
      <c r="G2" s="84"/>
      <c r="H2" s="84"/>
    </row>
    <row r="4" spans="1:9" ht="18" customHeight="1" x14ac:dyDescent="0.25">
      <c r="A4" s="85" t="s">
        <v>1</v>
      </c>
      <c r="B4" s="85"/>
      <c r="C4" s="86" t="s">
        <v>58</v>
      </c>
      <c r="D4" s="86"/>
      <c r="E4" s="86"/>
      <c r="F4" s="40"/>
      <c r="G4" s="41"/>
      <c r="H4" s="40"/>
    </row>
    <row r="5" spans="1:9" ht="18" customHeight="1" x14ac:dyDescent="0.25">
      <c r="A5" s="85" t="s">
        <v>2</v>
      </c>
      <c r="B5" s="85"/>
      <c r="C5" s="86" t="s">
        <v>59</v>
      </c>
      <c r="D5" s="86"/>
      <c r="E5" s="86"/>
      <c r="F5" s="40"/>
      <c r="G5" s="41"/>
      <c r="H5" s="40"/>
    </row>
    <row r="6" spans="1:9" ht="16.5" customHeight="1" x14ac:dyDescent="0.25">
      <c r="A6" s="85" t="s">
        <v>3</v>
      </c>
      <c r="B6" s="85"/>
      <c r="C6" s="62">
        <v>2021</v>
      </c>
      <c r="D6" s="63"/>
      <c r="E6" s="63"/>
      <c r="F6" s="40"/>
      <c r="G6" s="41"/>
      <c r="H6" s="40"/>
    </row>
    <row r="7" spans="1:9" ht="16.5" customHeight="1" x14ac:dyDescent="0.25">
      <c r="A7" s="85" t="s">
        <v>4</v>
      </c>
      <c r="B7" s="85"/>
      <c r="C7" s="62">
        <v>4</v>
      </c>
      <c r="D7" s="63"/>
      <c r="E7" s="63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s="78" customFormat="1" ht="48" customHeight="1" thickBot="1" x14ac:dyDescent="0.25">
      <c r="A10" s="56">
        <v>1</v>
      </c>
      <c r="B10" s="83" t="s">
        <v>76</v>
      </c>
      <c r="C10" s="57" t="s">
        <v>67</v>
      </c>
      <c r="D10" s="58" t="s">
        <v>68</v>
      </c>
      <c r="E10" s="82" t="s">
        <v>75</v>
      </c>
      <c r="F10" s="59" t="s">
        <v>62</v>
      </c>
      <c r="G10" s="59">
        <v>3000</v>
      </c>
      <c r="H10" s="60">
        <v>91</v>
      </c>
      <c r="I10" s="61">
        <f t="shared" ref="I10:I11" si="0">G10*H10</f>
        <v>273000</v>
      </c>
    </row>
    <row r="11" spans="1:9" s="78" customFormat="1" ht="48" customHeight="1" thickBot="1" x14ac:dyDescent="0.25">
      <c r="A11" s="56">
        <v>2</v>
      </c>
      <c r="B11" s="80" t="s">
        <v>74</v>
      </c>
      <c r="C11" s="81" t="s">
        <v>67</v>
      </c>
      <c r="D11" s="58" t="s">
        <v>68</v>
      </c>
      <c r="E11" s="82" t="s">
        <v>73</v>
      </c>
      <c r="F11" s="59" t="s">
        <v>62</v>
      </c>
      <c r="G11" s="59">
        <v>2000</v>
      </c>
      <c r="H11" s="60">
        <v>101</v>
      </c>
      <c r="I11" s="61">
        <f t="shared" si="0"/>
        <v>202000</v>
      </c>
    </row>
    <row r="14" spans="1:9" x14ac:dyDescent="0.2">
      <c r="B14" s="42" t="s">
        <v>14</v>
      </c>
      <c r="C14" s="43"/>
      <c r="D14" s="43"/>
      <c r="E14" s="44"/>
    </row>
    <row r="15" spans="1:9" ht="5.25" customHeight="1" x14ac:dyDescent="0.2">
      <c r="B15" s="45"/>
      <c r="C15" s="46"/>
      <c r="D15" s="46"/>
      <c r="E15" s="47"/>
    </row>
    <row r="16" spans="1:9" x14ac:dyDescent="0.2">
      <c r="B16" s="48" t="s">
        <v>15</v>
      </c>
      <c r="C16" s="46"/>
      <c r="D16" s="46"/>
      <c r="E16" s="47"/>
    </row>
    <row r="17" spans="2:5" ht="41.25" customHeight="1" x14ac:dyDescent="0.2">
      <c r="B17" s="48"/>
      <c r="C17" s="87" t="s">
        <v>72</v>
      </c>
      <c r="D17" s="87"/>
      <c r="E17" s="87"/>
    </row>
    <row r="18" spans="2:5" x14ac:dyDescent="0.2">
      <c r="B18" s="48" t="s">
        <v>16</v>
      </c>
      <c r="C18" s="46"/>
      <c r="D18" s="46"/>
      <c r="E18" s="47"/>
    </row>
    <row r="19" spans="2:5" ht="42" customHeight="1" x14ac:dyDescent="0.25">
      <c r="B19" s="49"/>
      <c r="C19" s="88" t="s">
        <v>71</v>
      </c>
      <c r="D19" s="88"/>
      <c r="E19" s="88"/>
    </row>
    <row r="20" spans="2:5" x14ac:dyDescent="0.2">
      <c r="B20" s="49"/>
      <c r="C20" s="89"/>
      <c r="D20" s="89"/>
      <c r="E20" s="89"/>
    </row>
    <row r="21" spans="2:5" x14ac:dyDescent="0.2">
      <c r="B21" s="48" t="s">
        <v>17</v>
      </c>
      <c r="C21" s="46"/>
      <c r="D21" s="46"/>
      <c r="E21" s="47"/>
    </row>
    <row r="22" spans="2:5" ht="26.25" customHeight="1" x14ac:dyDescent="0.2">
      <c r="B22" s="49"/>
      <c r="C22" s="90"/>
      <c r="D22" s="90"/>
      <c r="E22" s="90"/>
    </row>
    <row r="23" spans="2:5" x14ac:dyDescent="0.2">
      <c r="B23" s="48" t="s">
        <v>18</v>
      </c>
      <c r="C23" s="50"/>
      <c r="D23" s="50"/>
      <c r="E23" s="51"/>
    </row>
    <row r="24" spans="2:5" ht="26.25" customHeight="1" x14ac:dyDescent="0.25">
      <c r="B24" s="49"/>
      <c r="C24" s="88" t="s">
        <v>69</v>
      </c>
      <c r="D24" s="88"/>
      <c r="E24" s="88"/>
    </row>
    <row r="25" spans="2:5" x14ac:dyDescent="0.2">
      <c r="B25" s="48" t="s">
        <v>19</v>
      </c>
      <c r="C25" s="46"/>
      <c r="D25" s="46"/>
      <c r="E25" s="47"/>
    </row>
    <row r="26" spans="2:5" ht="23.25" customHeight="1" x14ac:dyDescent="0.2">
      <c r="B26" s="48"/>
      <c r="C26" s="91"/>
      <c r="D26" s="91"/>
      <c r="E26" s="91"/>
    </row>
    <row r="27" spans="2:5" x14ac:dyDescent="0.2">
      <c r="B27" s="52"/>
      <c r="C27" s="53"/>
      <c r="D27" s="53"/>
      <c r="E27" s="54"/>
    </row>
    <row r="28" spans="2:5" ht="13.5" thickBot="1" x14ac:dyDescent="0.25"/>
    <row r="29" spans="2:5" x14ac:dyDescent="0.2">
      <c r="B29" s="42" t="s">
        <v>70</v>
      </c>
      <c r="C29" s="43"/>
      <c r="D29" s="43"/>
      <c r="E29" s="44"/>
    </row>
    <row r="30" spans="2:5" ht="5.25" customHeight="1" x14ac:dyDescent="0.2">
      <c r="B30" s="45"/>
      <c r="C30" s="46"/>
      <c r="D30" s="46"/>
      <c r="E30" s="47"/>
    </row>
    <row r="31" spans="2:5" x14ac:dyDescent="0.2">
      <c r="B31" s="48" t="s">
        <v>15</v>
      </c>
      <c r="C31" s="46"/>
      <c r="D31" s="46"/>
      <c r="E31" s="47"/>
    </row>
    <row r="32" spans="2:5" ht="41.25" customHeight="1" x14ac:dyDescent="0.2">
      <c r="B32" s="48"/>
      <c r="C32" s="87" t="s">
        <v>72</v>
      </c>
      <c r="D32" s="87"/>
      <c r="E32" s="87"/>
    </row>
    <row r="33" spans="2:5" x14ac:dyDescent="0.2">
      <c r="B33" s="48" t="s">
        <v>16</v>
      </c>
      <c r="C33" s="46"/>
      <c r="D33" s="46"/>
      <c r="E33" s="47"/>
    </row>
    <row r="34" spans="2:5" ht="42" customHeight="1" x14ac:dyDescent="0.25">
      <c r="B34" s="49"/>
      <c r="C34" s="88" t="s">
        <v>71</v>
      </c>
      <c r="D34" s="88"/>
      <c r="E34" s="88"/>
    </row>
    <row r="35" spans="2:5" x14ac:dyDescent="0.2">
      <c r="B35" s="49"/>
      <c r="C35" s="89"/>
      <c r="D35" s="89"/>
      <c r="E35" s="89"/>
    </row>
    <row r="36" spans="2:5" x14ac:dyDescent="0.2">
      <c r="B36" s="48" t="s">
        <v>17</v>
      </c>
      <c r="C36" s="46"/>
      <c r="D36" s="46"/>
      <c r="E36" s="47"/>
    </row>
    <row r="37" spans="2:5" ht="26.25" customHeight="1" x14ac:dyDescent="0.2">
      <c r="B37" s="49"/>
      <c r="C37" s="90"/>
      <c r="D37" s="90"/>
      <c r="E37" s="90"/>
    </row>
    <row r="38" spans="2:5" x14ac:dyDescent="0.2">
      <c r="B38" s="48" t="s">
        <v>18</v>
      </c>
      <c r="C38" s="50"/>
      <c r="D38" s="50"/>
      <c r="E38" s="51"/>
    </row>
    <row r="39" spans="2:5" ht="26.25" customHeight="1" x14ac:dyDescent="0.25">
      <c r="B39" s="49"/>
      <c r="C39" s="88" t="s">
        <v>69</v>
      </c>
      <c r="D39" s="88"/>
      <c r="E39" s="88"/>
    </row>
    <row r="40" spans="2:5" x14ac:dyDescent="0.2">
      <c r="B40" s="48" t="s">
        <v>19</v>
      </c>
      <c r="C40" s="46"/>
      <c r="D40" s="46"/>
      <c r="E40" s="47"/>
    </row>
    <row r="41" spans="2:5" ht="23.25" customHeight="1" x14ac:dyDescent="0.2">
      <c r="B41" s="48"/>
      <c r="C41" s="91"/>
      <c r="D41" s="91"/>
      <c r="E41" s="91"/>
    </row>
    <row r="42" spans="2:5" ht="13.5" thickBot="1" x14ac:dyDescent="0.25">
      <c r="B42" s="52"/>
      <c r="C42" s="53"/>
      <c r="D42" s="53"/>
      <c r="E42" s="54"/>
    </row>
  </sheetData>
  <mergeCells count="19">
    <mergeCell ref="C35:E35"/>
    <mergeCell ref="C37:E37"/>
    <mergeCell ref="C39:E39"/>
    <mergeCell ref="C41:E41"/>
    <mergeCell ref="C22:E22"/>
    <mergeCell ref="C24:E24"/>
    <mergeCell ref="C26:E26"/>
    <mergeCell ref="C32:E32"/>
    <mergeCell ref="C34:E34"/>
    <mergeCell ref="A6:B6"/>
    <mergeCell ref="A7:B7"/>
    <mergeCell ref="C17:E17"/>
    <mergeCell ref="C19:E19"/>
    <mergeCell ref="C20:E20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4"/>
  <sheetViews>
    <sheetView tabSelected="1" zoomScale="70" zoomScaleNormal="70" workbookViewId="0">
      <selection activeCell="H28" sqref="H28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2" t="s">
        <v>20</v>
      </c>
      <c r="B1" s="92"/>
      <c r="C1" s="92"/>
      <c r="D1" s="92"/>
      <c r="E1" s="92"/>
      <c r="F1" s="92"/>
      <c r="G1" s="92"/>
      <c r="H1" s="92"/>
      <c r="I1" s="92"/>
      <c r="J1" s="3" t="s">
        <v>21</v>
      </c>
      <c r="K1" s="64" t="s">
        <v>77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93" t="s">
        <v>54</v>
      </c>
      <c r="B3" s="93"/>
      <c r="C3" s="93"/>
      <c r="D3" s="94" t="str">
        <f>'Necesidades Trimestrales'!C4</f>
        <v>40 - Ministerio de Salud</v>
      </c>
      <c r="E3" s="94"/>
      <c r="F3" s="94"/>
      <c r="G3" s="94"/>
      <c r="H3" s="94"/>
      <c r="I3" s="94"/>
      <c r="J3" s="94"/>
      <c r="K3" s="94"/>
    </row>
    <row r="4" spans="1:11" ht="18.75" customHeight="1" thickBot="1" x14ac:dyDescent="0.25">
      <c r="A4" s="95" t="s">
        <v>55</v>
      </c>
      <c r="B4" s="95"/>
      <c r="C4" s="95"/>
      <c r="D4" s="94" t="str">
        <f>'Necesidades Trimestrales'!C5</f>
        <v>23 - Hospital Interzonal San Juan Bautista</v>
      </c>
      <c r="E4" s="94"/>
      <c r="F4" s="94"/>
      <c r="G4" s="94"/>
      <c r="H4" s="94"/>
      <c r="I4" s="94"/>
      <c r="J4" s="94"/>
      <c r="K4" s="94"/>
    </row>
    <row r="5" spans="1:11" ht="18.75" customHeight="1" thickBot="1" x14ac:dyDescent="0.25">
      <c r="A5" s="95" t="s">
        <v>33</v>
      </c>
      <c r="B5" s="95"/>
      <c r="C5" s="95"/>
      <c r="D5" s="94" t="s">
        <v>63</v>
      </c>
      <c r="E5" s="94"/>
      <c r="F5" s="94"/>
      <c r="G5" s="94"/>
      <c r="H5" s="94"/>
      <c r="I5" s="94"/>
      <c r="J5" s="94"/>
      <c r="K5" s="94"/>
    </row>
    <row r="6" spans="1:11" ht="16.5" customHeight="1" thickBot="1" x14ac:dyDescent="0.25">
      <c r="A6" s="93" t="s">
        <v>56</v>
      </c>
      <c r="B6" s="93"/>
      <c r="C6" s="93"/>
      <c r="D6" s="94" t="s">
        <v>64</v>
      </c>
      <c r="E6" s="94"/>
      <c r="F6" s="94"/>
      <c r="G6" s="94"/>
      <c r="H6" s="94"/>
      <c r="I6" s="94"/>
      <c r="J6" s="94"/>
      <c r="K6" s="94"/>
    </row>
    <row r="7" spans="1:11" ht="16.5" customHeight="1" x14ac:dyDescent="0.2">
      <c r="A7" s="95" t="s">
        <v>22</v>
      </c>
      <c r="B7" s="95"/>
      <c r="C7" s="95"/>
      <c r="D7" s="94" t="str">
        <f>'Necesidades Trimestrales'!C7 &amp; "° Trimestre - Año " &amp; 'Necesidades Trimestrales'!C6</f>
        <v>4° Trimestre - Año 2021</v>
      </c>
      <c r="E7" s="94"/>
      <c r="F7" s="94"/>
      <c r="G7" s="94"/>
      <c r="H7" s="94"/>
      <c r="I7" s="94"/>
      <c r="J7" s="94"/>
      <c r="K7" s="94"/>
    </row>
    <row r="8" spans="1:11" ht="16.5" customHeight="1" x14ac:dyDescent="0.2">
      <c r="A8" s="99" t="s">
        <v>23</v>
      </c>
      <c r="B8" s="99"/>
      <c r="C8" s="99"/>
      <c r="D8" s="100" t="s">
        <v>65</v>
      </c>
      <c r="E8" s="100"/>
      <c r="F8" s="100"/>
      <c r="G8" s="100"/>
      <c r="H8" s="100"/>
      <c r="I8" s="100"/>
      <c r="J8" s="100"/>
      <c r="K8" s="100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01" t="s">
        <v>24</v>
      </c>
      <c r="B10" s="102" t="s">
        <v>25</v>
      </c>
      <c r="C10" s="102" t="s">
        <v>26</v>
      </c>
      <c r="D10" s="102"/>
      <c r="E10" s="102"/>
      <c r="F10" s="102"/>
      <c r="G10" s="102"/>
      <c r="H10" s="102" t="s">
        <v>27</v>
      </c>
      <c r="I10" s="102" t="s">
        <v>28</v>
      </c>
      <c r="J10" s="102" t="s">
        <v>29</v>
      </c>
      <c r="K10" s="103" t="s">
        <v>30</v>
      </c>
    </row>
    <row r="11" spans="1:11" ht="24" customHeight="1" thickBot="1" x14ac:dyDescent="0.25">
      <c r="A11" s="101"/>
      <c r="B11" s="102"/>
      <c r="C11" s="102"/>
      <c r="D11" s="102"/>
      <c r="E11" s="102"/>
      <c r="F11" s="102"/>
      <c r="G11" s="102"/>
      <c r="H11" s="102"/>
      <c r="I11" s="102"/>
      <c r="J11" s="102"/>
      <c r="K11" s="103"/>
    </row>
    <row r="12" spans="1:11" ht="32.25" customHeight="1" thickBot="1" x14ac:dyDescent="0.25">
      <c r="A12" s="8">
        <v>1</v>
      </c>
      <c r="B12" s="65" t="str">
        <f>'Necesidades Trimestrales'!B10</f>
        <v>2.5.6-793.31</v>
      </c>
      <c r="C12" s="96" t="str">
        <f>'Necesidades Trimestrales'!E10</f>
        <v>GAS OIL; PRESENTACION: POR LITRO, USO: MOTORES DIESEL, COMERCIALIZACION: GRADO 3, DESTINO: DPTO. S.F.V. DE CATAMARCA</v>
      </c>
      <c r="D12" s="96"/>
      <c r="E12" s="96"/>
      <c r="F12" s="96"/>
      <c r="G12" s="96"/>
      <c r="H12" s="66" t="s">
        <v>57</v>
      </c>
      <c r="I12" s="67" t="str">
        <f>'Necesidades Trimestrales'!F10</f>
        <v>LITROS EN VALES</v>
      </c>
      <c r="J12" s="68">
        <f>'Necesidades Trimestrales'!H10</f>
        <v>91</v>
      </c>
      <c r="K12" s="69">
        <f>'Necesidades Trimestrales'!G10</f>
        <v>3000</v>
      </c>
    </row>
    <row r="13" spans="1:11" ht="32.25" customHeight="1" thickBot="1" x14ac:dyDescent="0.25">
      <c r="A13" s="8">
        <v>2</v>
      </c>
      <c r="B13" s="65" t="str">
        <f>'Necesidades Trimestrales'!B11</f>
        <v>2.5.6-797.24</v>
      </c>
      <c r="C13" s="96" t="str">
        <f>'Necesidades Trimestrales'!E11</f>
        <v>NAFTA SUPER; TIPO: PREMIUN, OCTANO: 97, PRESENTACION: POR LITRO, DESTINO: DPTO. S.F.V. DE CATAMARCA, COMERCIALIZACION: SIN VALOR</v>
      </c>
      <c r="D13" s="96"/>
      <c r="E13" s="96"/>
      <c r="F13" s="96"/>
      <c r="G13" s="96"/>
      <c r="H13" s="66" t="s">
        <v>57</v>
      </c>
      <c r="I13" s="67" t="str">
        <f>'Necesidades Trimestrales'!F11</f>
        <v>LITROS EN VALES</v>
      </c>
      <c r="J13" s="68">
        <f>'Necesidades Trimestrales'!H11</f>
        <v>101</v>
      </c>
      <c r="K13" s="69">
        <f>'Necesidades Trimestrales'!G11</f>
        <v>2000</v>
      </c>
    </row>
    <row r="14" spans="1:11" s="79" customFormat="1" ht="27.75" customHeight="1" thickBot="1" x14ac:dyDescent="0.3">
      <c r="A14" s="97" t="s">
        <v>78</v>
      </c>
      <c r="B14" s="97"/>
      <c r="C14" s="97"/>
      <c r="D14" s="97"/>
      <c r="E14" s="97"/>
      <c r="F14" s="97"/>
      <c r="G14" s="97"/>
      <c r="H14" s="97"/>
      <c r="I14" s="97"/>
      <c r="J14" s="98">
        <f>SUMPRODUCT(J12:J13,K12:K13)</f>
        <v>475000</v>
      </c>
      <c r="K14" s="98"/>
    </row>
  </sheetData>
  <mergeCells count="24">
    <mergeCell ref="C12:G12"/>
    <mergeCell ref="C13:G13"/>
    <mergeCell ref="A14:I14"/>
    <mergeCell ref="J14:K1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opLeftCell="A11" zoomScale="120" zoomScaleNormal="120" workbookViewId="0">
      <selection activeCell="T21" sqref="T21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04" t="s">
        <v>3</v>
      </c>
      <c r="B1" s="104"/>
      <c r="C1" s="104"/>
      <c r="D1" s="105">
        <f>'Necesidades Trimestrales'!C6</f>
        <v>2021</v>
      </c>
      <c r="E1" s="105"/>
      <c r="F1" s="10"/>
      <c r="G1" s="10"/>
      <c r="H1" s="11"/>
      <c r="I1" s="11"/>
      <c r="J1" s="11"/>
      <c r="K1" s="11"/>
      <c r="L1" s="11"/>
      <c r="M1" s="11"/>
      <c r="N1" s="11"/>
      <c r="P1" s="106" t="s">
        <v>31</v>
      </c>
      <c r="Q1" s="106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06"/>
      <c r="Q2" s="106"/>
    </row>
    <row r="4" spans="1:17" s="12" customFormat="1" ht="18" customHeight="1" thickBot="1" x14ac:dyDescent="0.25">
      <c r="A4" s="107" t="s">
        <v>32</v>
      </c>
      <c r="B4" s="107"/>
      <c r="C4" s="107"/>
      <c r="D4" s="107"/>
      <c r="E4" s="107"/>
      <c r="F4" s="107"/>
      <c r="G4" s="108" t="str">
        <f>NotaPedido!D3</f>
        <v>40 - Ministerio de Salud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</row>
    <row r="5" spans="1:17" s="12" customFormat="1" ht="18" customHeight="1" thickBot="1" x14ac:dyDescent="0.25">
      <c r="A5" s="109" t="s">
        <v>55</v>
      </c>
      <c r="B5" s="110"/>
      <c r="C5" s="110"/>
      <c r="D5" s="110"/>
      <c r="E5" s="110"/>
      <c r="F5" s="111"/>
      <c r="G5" s="108" t="str">
        <f>NotaPedido!D4</f>
        <v>23 - Hospital Interzonal San Juan Bautista</v>
      </c>
      <c r="H5" s="108"/>
      <c r="I5" s="108"/>
      <c r="J5" s="108"/>
      <c r="K5" s="108"/>
      <c r="L5" s="108"/>
      <c r="M5" s="108"/>
      <c r="N5" s="108"/>
      <c r="O5" s="108"/>
      <c r="P5" s="108"/>
      <c r="Q5" s="108"/>
    </row>
    <row r="6" spans="1:17" s="12" customFormat="1" ht="18" customHeight="1" thickBot="1" x14ac:dyDescent="0.25">
      <c r="A6" s="109" t="s">
        <v>33</v>
      </c>
      <c r="B6" s="110"/>
      <c r="C6" s="110"/>
      <c r="D6" s="110"/>
      <c r="E6" s="110"/>
      <c r="F6" s="111"/>
      <c r="G6" s="108" t="str">
        <f>NotaPedido!D5</f>
        <v>172 - Direccion de Administración</v>
      </c>
      <c r="H6" s="108"/>
      <c r="I6" s="108"/>
      <c r="J6" s="108"/>
      <c r="K6" s="108"/>
      <c r="L6" s="108"/>
      <c r="M6" s="108"/>
      <c r="N6" s="108"/>
      <c r="O6" s="108"/>
      <c r="P6" s="108"/>
      <c r="Q6" s="108"/>
    </row>
    <row r="7" spans="1:17" s="12" customFormat="1" ht="18" customHeight="1" thickBot="1" x14ac:dyDescent="0.25">
      <c r="A7" s="109" t="s">
        <v>56</v>
      </c>
      <c r="B7" s="110"/>
      <c r="C7" s="110"/>
      <c r="D7" s="110"/>
      <c r="E7" s="110"/>
      <c r="F7" s="111"/>
      <c r="G7" s="108" t="str">
        <f>NotaPedido!D6</f>
        <v>Dirección de Administración</v>
      </c>
      <c r="H7" s="108"/>
      <c r="I7" s="108"/>
      <c r="J7" s="108"/>
      <c r="K7" s="108"/>
      <c r="L7" s="108"/>
      <c r="M7" s="108"/>
      <c r="N7" s="108"/>
      <c r="O7" s="108"/>
      <c r="P7" s="108"/>
      <c r="Q7" s="108"/>
    </row>
    <row r="8" spans="1:17" ht="18" customHeight="1" thickBot="1" x14ac:dyDescent="0.25">
      <c r="A8" s="112" t="s">
        <v>34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</row>
    <row r="9" spans="1:17" ht="18" customHeight="1" x14ac:dyDescent="0.2">
      <c r="A9" s="113" t="s">
        <v>35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"/>
      <c r="P9" s="1"/>
      <c r="Q9" s="13"/>
    </row>
    <row r="10" spans="1:17" ht="54.75" customHeight="1" x14ac:dyDescent="0.2">
      <c r="A10" s="114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099 - 2021,  afectando la erogación resultante a los créditos presupuestarios aprobados a favor de esta Unidad Ejecutora, conforme al siguiente detalle:</v>
      </c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5" t="s">
        <v>36</v>
      </c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</row>
    <row r="13" spans="1:17" ht="15.75" customHeight="1" x14ac:dyDescent="0.2">
      <c r="A13" s="116" t="s">
        <v>37</v>
      </c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7" t="s">
        <v>38</v>
      </c>
      <c r="P13" s="117"/>
      <c r="Q13" s="118" t="s">
        <v>39</v>
      </c>
    </row>
    <row r="14" spans="1:17" ht="15.75" customHeight="1" x14ac:dyDescent="0.2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17"/>
      <c r="P14" s="117"/>
      <c r="Q14" s="118"/>
    </row>
    <row r="15" spans="1:17" ht="17.25" customHeight="1" x14ac:dyDescent="0.2">
      <c r="A15" s="72">
        <v>33</v>
      </c>
      <c r="B15" s="73"/>
      <c r="C15" s="73"/>
      <c r="D15" s="73">
        <v>5</v>
      </c>
      <c r="E15" s="73"/>
      <c r="F15" s="73">
        <v>4901</v>
      </c>
      <c r="G15" s="73">
        <v>3</v>
      </c>
      <c r="H15" s="74" t="s">
        <v>60</v>
      </c>
      <c r="I15" s="75">
        <v>2</v>
      </c>
      <c r="J15" s="75">
        <v>5</v>
      </c>
      <c r="K15" s="75">
        <v>6</v>
      </c>
      <c r="L15" s="73"/>
      <c r="M15" s="76">
        <v>1</v>
      </c>
      <c r="N15" s="74" t="s">
        <v>61</v>
      </c>
      <c r="O15" s="119" t="s">
        <v>66</v>
      </c>
      <c r="P15" s="119"/>
      <c r="Q15" s="23">
        <v>475000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70"/>
      <c r="I16" s="25"/>
      <c r="J16" s="25"/>
      <c r="K16" s="25"/>
      <c r="L16" s="25"/>
      <c r="M16" s="26"/>
      <c r="N16" s="71"/>
      <c r="O16" s="120"/>
      <c r="P16" s="120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70"/>
      <c r="I17" s="25"/>
      <c r="J17" s="25"/>
      <c r="K17" s="25"/>
      <c r="L17" s="25"/>
      <c r="M17" s="26"/>
      <c r="N17" s="71"/>
      <c r="O17" s="120"/>
      <c r="P17" s="120"/>
      <c r="Q17" s="28"/>
      <c r="S17" s="77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70"/>
      <c r="I18" s="25"/>
      <c r="J18" s="25"/>
      <c r="K18" s="25"/>
      <c r="L18" s="25"/>
      <c r="M18" s="26"/>
      <c r="N18" s="71"/>
      <c r="O18" s="121"/>
      <c r="P18" s="122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22"/>
      <c r="P19" s="122"/>
      <c r="Q19" s="28"/>
    </row>
    <row r="20" spans="1:19" ht="17.25" customHeight="1" x14ac:dyDescent="0.2">
      <c r="A20" s="29"/>
      <c r="B20" s="30"/>
      <c r="C20" s="30"/>
      <c r="D20" s="30"/>
      <c r="E20" s="30"/>
      <c r="F20" s="31"/>
      <c r="G20" s="30"/>
      <c r="H20" s="30"/>
      <c r="I20" s="30"/>
      <c r="J20" s="30"/>
      <c r="K20" s="30"/>
      <c r="L20" s="30"/>
      <c r="M20" s="32"/>
      <c r="N20" s="33"/>
      <c r="O20" s="128"/>
      <c r="P20" s="128"/>
      <c r="Q20" s="28"/>
      <c r="R20" s="1"/>
    </row>
    <row r="21" spans="1:19" ht="17.25" customHeight="1" x14ac:dyDescent="0.2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6"/>
      <c r="N21" s="35"/>
      <c r="O21" s="129"/>
      <c r="P21" s="129"/>
      <c r="Q21" s="37"/>
    </row>
    <row r="22" spans="1:19" ht="20.25" customHeight="1" x14ac:dyDescent="0.2">
      <c r="A22" s="130" t="s">
        <v>79</v>
      </c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38">
        <f>SUM(Q15:Q21)</f>
        <v>475000</v>
      </c>
    </row>
    <row r="23" spans="1:19" ht="18" customHeight="1" thickBot="1" x14ac:dyDescent="0.25">
      <c r="A23" s="131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</row>
    <row r="24" spans="1:19" ht="17.25" customHeight="1" thickBot="1" x14ac:dyDescent="0.25">
      <c r="A24" s="123" t="s">
        <v>53</v>
      </c>
      <c r="B24" s="124"/>
      <c r="C24" s="124"/>
      <c r="D24" s="124"/>
      <c r="E24" s="124"/>
      <c r="F24" s="125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</row>
    <row r="25" spans="1:19" ht="18" customHeight="1" thickBot="1" x14ac:dyDescent="0.25">
      <c r="A25" s="127" t="str">
        <f>"Para la "&amp; NotaPedido!D8 &amp;" para ser destinados al " &amp; NotaPedido!D6 &amp;"  del HISJB del Ministerio de Salud."</f>
        <v>Para la Adquisición de Combustibles para ser destinados al Dirección de Administración  del HISJB del Ministerio de Salud.</v>
      </c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</row>
    <row r="26" spans="1:19" ht="15" customHeight="1" x14ac:dyDescent="0.2">
      <c r="A26" s="127"/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</row>
  </sheetData>
  <mergeCells count="30">
    <mergeCell ref="A25:Q26"/>
    <mergeCell ref="O19:P19"/>
    <mergeCell ref="O20:P20"/>
    <mergeCell ref="O21:P21"/>
    <mergeCell ref="A22:P22"/>
    <mergeCell ref="A23:Q23"/>
    <mergeCell ref="O15:P15"/>
    <mergeCell ref="O16:P16"/>
    <mergeCell ref="O17:P17"/>
    <mergeCell ref="O18:P18"/>
    <mergeCell ref="A24:F24"/>
    <mergeCell ref="G24:Q24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2021-09-16T11:44:11Z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