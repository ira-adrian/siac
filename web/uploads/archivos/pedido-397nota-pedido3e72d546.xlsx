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elias\Downloads\"/>
    </mc:Choice>
  </mc:AlternateContent>
  <xr:revisionPtr revIDLastSave="0" documentId="8_{C450DBEC-4836-4B67-9CB6-DC62DBA04692}" xr6:coauthVersionLast="47" xr6:coauthVersionMax="47" xr10:uidLastSave="{00000000-0000-0000-0000-000000000000}"/>
  <bookViews>
    <workbookView xWindow="-120" yWindow="-120" windowWidth="29040" windowHeight="15840" xr2:uid="{00000000-000D-0000-FFFF-FFFF00000000}"/>
  </bookViews>
  <sheets>
    <sheet name="Necesidades Trimestrales" sheetId="1" r:id="rId1"/>
    <sheet name="NDP" sheetId="2" r:id="rId2"/>
    <sheet name="APG" sheetId="3" r:id="rId3"/>
  </sheets>
  <definedNames>
    <definedName name="_xlnm._FilterDatabase" localSheetId="0" hidden="1">'Necesidades Trimestrales'!$A$8:$I$33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2" i="1" l="1"/>
  <c r="Q21" i="3"/>
  <c r="I10" i="1"/>
  <c r="I11" i="1"/>
  <c r="I12" i="1"/>
  <c r="I13" i="1"/>
  <c r="I14" i="1"/>
  <c r="I15" i="1"/>
  <c r="I16" i="1"/>
  <c r="I17" i="1"/>
  <c r="I18" i="1"/>
  <c r="I19" i="1"/>
  <c r="I20" i="1"/>
  <c r="I21" i="1"/>
  <c r="I22" i="1"/>
  <c r="I23" i="1"/>
  <c r="I24" i="1"/>
  <c r="I25" i="1"/>
  <c r="I26" i="1"/>
  <c r="I27" i="1"/>
  <c r="I28" i="1"/>
  <c r="I29" i="1"/>
  <c r="I30" i="1"/>
  <c r="I31" i="1"/>
  <c r="I33" i="1"/>
  <c r="I9" i="1"/>
  <c r="D23" i="1"/>
  <c r="D16" i="1"/>
</calcChain>
</file>

<file path=xl/sharedStrings.xml><?xml version="1.0" encoding="utf-8"?>
<sst xmlns="http://schemas.openxmlformats.org/spreadsheetml/2006/main" count="328" uniqueCount="125">
  <si>
    <t>JURISDICCION:</t>
  </si>
  <si>
    <t xml:space="preserve">SAF N°: </t>
  </si>
  <si>
    <t>EJERCICIO:</t>
  </si>
  <si>
    <t>TRIMESTRE:</t>
  </si>
  <si>
    <t>ID</t>
  </si>
  <si>
    <t>Pedido de Necesidades Trimestrales</t>
  </si>
  <si>
    <t>CODIGO ITEM</t>
  </si>
  <si>
    <t>2.3.1-6587.298</t>
  </si>
  <si>
    <t>2.3.1-6587.317</t>
  </si>
  <si>
    <t>2.9.2-848.11</t>
  </si>
  <si>
    <t>2.9.2-696.18</t>
  </si>
  <si>
    <t>2.9.2-3283.1</t>
  </si>
  <si>
    <t>2.3.1-6563.931</t>
  </si>
  <si>
    <t>2.9.2-2034.25</t>
  </si>
  <si>
    <t>2.3.1-6563.911</t>
  </si>
  <si>
    <t>2.9.2-262.55</t>
  </si>
  <si>
    <t>2.9.2-2413.1</t>
  </si>
  <si>
    <t>2.9.2-674.8</t>
  </si>
  <si>
    <t>2.9.2-368.15</t>
  </si>
  <si>
    <t>2.9.2-3283.10</t>
  </si>
  <si>
    <t>2.9.2-867.11</t>
  </si>
  <si>
    <t>2.9.2-317.31</t>
  </si>
  <si>
    <t>2.9.2-323.3</t>
  </si>
  <si>
    <t>2.9.2-1354.21</t>
  </si>
  <si>
    <t>2.3.1-9896.34</t>
  </si>
  <si>
    <t>2.9.2-1358.381</t>
  </si>
  <si>
    <t>2.3.1-6587.277</t>
  </si>
  <si>
    <t>2.9.2-1789.2</t>
  </si>
  <si>
    <t>2.9.2-758.18</t>
  </si>
  <si>
    <t>Descripción técnica</t>
  </si>
  <si>
    <t>Plazos y lugares de entrega</t>
  </si>
  <si>
    <t>Calidad Minima esperada</t>
  </si>
  <si>
    <r>
      <t>Mantenimiento:</t>
    </r>
    <r>
      <rPr>
        <sz val="10"/>
        <rFont val="Times New Roman"/>
        <family val="1"/>
      </rPr>
      <t xml:space="preserve"> 30 días corridos</t>
    </r>
  </si>
  <si>
    <t>Garantia</t>
  </si>
  <si>
    <t>50 - MINISTERIO DE EDUCACIÓN</t>
  </si>
  <si>
    <t>26 - DIRECCIÓN PROVINCIAL DE ADMINISTRACIÓN</t>
  </si>
  <si>
    <t>RUBRO DE COMPRA</t>
  </si>
  <si>
    <t>LIBRERIA,PAP. Y UTILES OFICINA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</si>
  <si>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</si>
  <si>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 xml:space="preserve">I.P.P. </t>
  </si>
  <si>
    <t>2.9.2</t>
  </si>
  <si>
    <t>DESCRIPCION</t>
  </si>
  <si>
    <t>PAPELES ENCUADERNADOS; CANT. DE HOJAS: 100, TAMAÑO: 21 X 16 Cm, TIPO: CUADERNO, CERTIFICADO FORESTAL (GFS): CON, PORC. FIBRAS RECICLADAS: 0 %, CERT. FIBRA ALTERNATIVA (FCA): SIN</t>
  </si>
  <si>
    <t>PAPELES ENCUADERNADOS; CANT. DE HOJAS: 48, TAMAÑO: 21 X 16 Cm, TIPO: CUADERNO, CERTIFICADO FORESTAL (GFS): CON, PORC. FIBRAS RECICLADAS: 0 %, CERT. FIBRA ALTERNATIVA (FCA): SIN</t>
  </si>
  <si>
    <t>LAPIZ; TIPO: HB, COLOR: NEGRO</t>
  </si>
  <si>
    <t xml:space="preserve">SACAPUNTAS; MATERIAL: PLASTICO, FIJACION: SIN, NUMERO: UNIVERSAL, CANTIDAD DE BOCAS: 1, TIPO: ESCOLAR </t>
  </si>
  <si>
    <t>JUEGO DE LAPICES; TIPO: HB, COLOR: COLORES, PRESENTACION: POR 12 UN</t>
  </si>
  <si>
    <t>PAPELES EN HOJA; TIPO DE PAPEL: ACUARELA, DIMENSION: 32,5 X 23,5 Cm, GRAMAJE: 115 GR/M2, PRESENTACION: ENVASE X 8 HOJAS, CERTIFICADO FORESTAL (GFS): SIN, PORC. FIBRAS RECICLADAS: 0 %, CERT. FIBRA ALTERNATIVA (FCA): SIN</t>
  </si>
  <si>
    <t>PORTA UTILES; MATERIAL: TELA DE LONA, DIMENSION: 105 X 50 Cm, CIERRE: OJAL, PRESENTACION: UNIDAD</t>
  </si>
  <si>
    <t>PAPELES EN HOJA; TIPO DE PAPEL: GLACE, DIMENSION: 10 X 10 Cm, GRAMAJE: 150 GR/M2, PRESENTACION: SOBRE X 8 UN, CERTIFICADO FORESTAL (GFS): SIN, PORC. FIBRAS RECICLADAS: 0 %, CERT. FIBRA ALTERNATIVA (FCA): SIN</t>
  </si>
  <si>
    <t>ADHESIVOS P/PAPEL; PRESENTACION: ENVASE X 30 mL, TIPO: COLA VINILICA LAVABLE</t>
  </si>
  <si>
    <t>TRANSPORTADORES; MATERIAL: PLASTICO, TIPO: 180 °C</t>
  </si>
  <si>
    <t>REGLAS GRADUADAS; LONG.DE CUERPO: 20 Cm, TIPO: PLANA, MATERIAL: PLASTICO</t>
  </si>
  <si>
    <t>ESCUADRAS; MODELO: 45°-20 Cm, MATERIAL: PLASTICO, ANGULO: 45°-20 Cm</t>
  </si>
  <si>
    <t>JUEGO DE LAPICES; TIPO: CRAYONES, PRESENTACION: CAJA X 6 UN</t>
  </si>
  <si>
    <t>COMPAS; ACCESORIO: 1, JUEGO: UN ELEMENTO, MATERIAL DEL CUERPO: DE PLASTICO, CUERPO: DE PLASTICO, MATERIAL: DE PLASTICO</t>
  </si>
  <si>
    <t>BOLIGRAFOS; TRAZO: MEDIO</t>
  </si>
  <si>
    <t>CORRECTORES DE ESCRITURA; ENVASE: LAPIZ (PUNTA METAL), PRESENTACION: LAPIZ (PUNTA METAL) X 10 mL, CAPACIDAD: 10 mL</t>
  </si>
  <si>
    <t>RESALTADORES; PUNTA: BISELADA, ACCESORIO: SIN, COLOR: SIN VALOR, TIPO PUNTA: BISELADA</t>
  </si>
  <si>
    <t>PAPELES ENCUADERNADOS; CANT. DE HOJAS: 80, TAMAÑO: A4, TIPO: RAYADO ESPIRALADO, CERTIFICADO FORESTAL (GFS): SIN, PORC. FIBRAS RECICLADAS: 0 %</t>
  </si>
  <si>
    <t>ANILLOS P/CARPETAS; DIAMETRO: 51 mm, MATERIAL: ACERO INOXIDABLE</t>
  </si>
  <si>
    <t>TIJERAS P/CORTAR PAPELES; LONG.DE CUERPO: 17 Cm, MATERIAL: ACERO INOXIDABLE, CUCHILLA: REDONDEADAS, MANGO: PLASTICO</t>
  </si>
  <si>
    <t>UNIDAD DE MEDIDA</t>
  </si>
  <si>
    <t>Unidad</t>
  </si>
  <si>
    <t>Caja</t>
  </si>
  <si>
    <t>CANTIDAD</t>
  </si>
  <si>
    <t>PRECIO UNITARIO ESTIMADO</t>
  </si>
  <si>
    <t xml:space="preserve">IMPORTE TOTAL ESTIMADO </t>
  </si>
  <si>
    <t>2.3.1</t>
  </si>
  <si>
    <t>2.9.2-661.58</t>
  </si>
  <si>
    <t>GOMAS DE BORRAR; USO: LAPIZ Y TINTA, DIMENSION: 40 X 18 X 12 mm, MATERIAL: CAUCHO, PRESENTACION: UNIDAD</t>
  </si>
  <si>
    <t>2.9.2-1358.399</t>
  </si>
  <si>
    <t>CARPETAS; MATERIAL: CARTON, TAMAÑO: Nº 5</t>
  </si>
  <si>
    <t>CARPETAS; MATERIAL: FIBRA, TAMAÑO: N° 3</t>
  </si>
  <si>
    <t>NOTA DE PEDIDO</t>
  </si>
  <si>
    <t xml:space="preserve">JURISDICCIÓN: </t>
  </si>
  <si>
    <t>MINISTERIO DE EDUCACIÓN</t>
  </si>
  <si>
    <t>SAF:</t>
  </si>
  <si>
    <t>UNIDAD EJECUTORA:</t>
  </si>
  <si>
    <t xml:space="preserve">DEPENDENCIA SOLICITANTE: </t>
  </si>
  <si>
    <t>PERIODO UTILIZACIÓN:</t>
  </si>
  <si>
    <t>12 (DOCE) MESES</t>
  </si>
  <si>
    <t>OBJETO:</t>
  </si>
  <si>
    <t>ADQUISICIÓN DE KITS ESCOLARES</t>
  </si>
  <si>
    <t>Adjunta Detalle Técnico</t>
  </si>
  <si>
    <t>NO</t>
  </si>
  <si>
    <t xml:space="preserve">Costo total estimado:  PESOS VEINTISIETE MILLONES DOSCIENTOS CINCO MIL CIENTO SETENTA CON 00/100 </t>
  </si>
  <si>
    <t>AUTORIZACIÓN PARA GASTAR</t>
  </si>
  <si>
    <t>JURISDICCIÓN:</t>
  </si>
  <si>
    <r>
      <t>AUTORIZACIÓN</t>
    </r>
    <r>
      <rPr>
        <b/>
        <sz val="11"/>
        <rFont val="Times New Roman"/>
        <family val="1"/>
      </rPr>
      <t>:</t>
    </r>
  </si>
  <si>
    <t>Señor Director de Administración o Titular del Servicio Administrativo Financiero:</t>
  </si>
  <si>
    <t>Autorizo la realización de los  trámites correspondientes, a fin de proveer a  este Organismo los bienes que se detallan en Nota  de Pedido N°11/21, afectando la erogación resultante a los créditos presupuestarios aprobados a favor de esta Unidad Ejecutora, conforme al siguiente detalle:</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</si>
  <si>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</si>
  <si>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</si>
  <si>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</si>
  <si>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</si>
  <si>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</si>
  <si>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</si>
  <si>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</si>
  <si>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</si>
  <si>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</si>
  <si>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</si>
  <si>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</si>
  <si>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</si>
  <si>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</si>
  <si>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</si>
  <si>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</si>
  <si>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</si>
  <si>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</si>
  <si>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</si>
  <si>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PAPEL DE ESCRITORIO Y CARTON</t>
  </si>
  <si>
    <t>ÚTILES DE ESC., OFICINA Y ENSEÑANZA</t>
  </si>
  <si>
    <t>TOTAL DE PESOS: VEINTISIETE MILLONES DOSCIENTOS CINCO MIL CIENTO SETENTA      CON 00/100</t>
  </si>
  <si>
    <t>JUSTIFICACIÓN:</t>
  </si>
  <si>
    <t xml:space="preserve">   ADQUISICIÓN PARCIAL DE KITS ESCOLARES CON DESTINO A ESTUDIANTES DE NIVEL PRIMARIO Y SECUNDARIO DE TODA LA PROVINCIA.-</t>
  </si>
  <si>
    <t>N° 11-21</t>
  </si>
  <si>
    <t>PAPELES OBRA; GRAMAJE: 70 GR/M2, TAMAÑO: 19 X 24 Cm, BLANCURA: EXTRA BLANCO (MAYOR A 92%), CERTIFICACION SUSTENTABLE: SIN, NORMA: IRAM 3100/3123</t>
  </si>
  <si>
    <t>Especificidades Items N° 20:</t>
  </si>
  <si>
    <t>POR 48 HOJAS CUADRICULADAS</t>
  </si>
  <si>
    <t>Especificidades Items N° 21:</t>
  </si>
  <si>
    <t xml:space="preserve"> POR 96 HOJAS RAYADAS</t>
  </si>
  <si>
    <t>CARPETAS CON DOS CORDONES</t>
  </si>
  <si>
    <t>Especificidades Items N° 22:</t>
  </si>
  <si>
    <t>SI</t>
  </si>
  <si>
    <t>Especificidades Items N° 1 a 19 y 23 a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</si>
</sst>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2C0A]\ #,##0.00;[$$-2C0A]&quot; -&quot;#,##0.00"/>
    <numFmt numFmtId="165" formatCode="&quot;$&quot;\ #,##0.00"/>
    <numFmt numFmtId="166" formatCode="dd\-mm\-yy;@"/>
    <numFmt numFmtId="167" formatCode="_(\$* #,##0.00_);_(\$* \(#,##0.00\);_(\$* \-??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11"/>
      <name val="Arial"/>
      <family val="2"/>
    </font>
    <font>
      <sz val="11"/>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63">
    <border>
      <left/>
      <right/>
      <top/>
      <bottom/>
      <diagonal/>
    </border>
    <border>
      <left style="thick">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bottom style="thin">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thick">
        <color auto="1"/>
      </left>
      <right style="thick">
        <color auto="1"/>
      </right>
      <top/>
      <bottom style="thick">
        <color auto="1"/>
      </bottom>
      <diagonal/>
    </border>
  </borders>
  <cellStyleXfs count="3">
    <xf numFmtId="0" fontId="0" fillId="0" borderId="0"/>
    <xf numFmtId="44" fontId="1" fillId="0" borderId="0" applyFont="0" applyFill="0" applyBorder="0" applyAlignment="0" applyProtection="0"/>
    <xf numFmtId="167" fontId="23" fillId="0" borderId="0" applyBorder="0" applyProtection="0"/>
  </cellStyleXfs>
  <cellXfs count="156">
    <xf numFmtId="0" fontId="0" fillId="0" borderId="0" xfId="0"/>
    <xf numFmtId="0" fontId="3" fillId="0" borderId="0" xfId="0" applyFont="1"/>
    <xf numFmtId="0" fontId="4"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9" fillId="0" borderId="5" xfId="0" applyFont="1" applyBorder="1" applyAlignment="1">
      <alignment horizontal="center" vertical="center" wrapText="1"/>
    </xf>
    <xf numFmtId="0" fontId="10" fillId="2" borderId="0" xfId="0" applyFont="1" applyFill="1" applyAlignment="1">
      <alignment horizontal="center" vertical="center" wrapText="1"/>
    </xf>
    <xf numFmtId="0" fontId="11" fillId="0" borderId="7" xfId="0" applyFont="1" applyBorder="1"/>
    <xf numFmtId="0" fontId="3" fillId="0" borderId="8" xfId="0" applyFont="1" applyBorder="1"/>
    <xf numFmtId="0" fontId="11" fillId="0" borderId="8" xfId="0" applyFont="1" applyBorder="1" applyAlignment="1">
      <alignment horizontal="left" indent="3"/>
    </xf>
    <xf numFmtId="0" fontId="3" fillId="0" borderId="8" xfId="0" applyFont="1" applyBorder="1" applyAlignment="1">
      <alignment horizontal="left" indent="3"/>
    </xf>
    <xf numFmtId="0" fontId="3" fillId="0" borderId="9" xfId="0" applyFont="1" applyBorder="1" applyAlignment="1">
      <alignment horizontal="left" indent="3"/>
    </xf>
    <xf numFmtId="0" fontId="12" fillId="2" borderId="0" xfId="0" applyFont="1" applyFill="1" applyAlignment="1">
      <alignment horizontal="left" wrapText="1" indent="1"/>
    </xf>
    <xf numFmtId="0" fontId="7" fillId="0" borderId="0" xfId="0" applyFont="1" applyAlignment="1">
      <alignment horizont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0" fillId="0" borderId="0" xfId="0" applyAlignment="1">
      <alignment horizontal="center" vertical="center" wrapText="1"/>
    </xf>
    <xf numFmtId="0" fontId="3" fillId="0" borderId="6" xfId="0" applyFont="1" applyBorder="1"/>
    <xf numFmtId="0" fontId="3" fillId="0" borderId="0" xfId="0" applyFont="1" applyAlignment="1">
      <alignment horizontal="center" wrapText="1"/>
    </xf>
    <xf numFmtId="0" fontId="3" fillId="0" borderId="10" xfId="0" applyFont="1" applyBorder="1"/>
    <xf numFmtId="0" fontId="14" fillId="3" borderId="0" xfId="0" applyFont="1" applyFill="1" applyAlignment="1">
      <alignment horizontal="left" wrapText="1"/>
    </xf>
    <xf numFmtId="0" fontId="9" fillId="0" borderId="4" xfId="0" applyFont="1" applyBorder="1" applyAlignment="1">
      <alignment horizontal="center" vertical="center" wrapText="1"/>
    </xf>
    <xf numFmtId="0" fontId="13" fillId="0" borderId="4" xfId="0" applyFont="1" applyBorder="1" applyAlignment="1">
      <alignment wrapText="1"/>
    </xf>
    <xf numFmtId="0" fontId="13" fillId="0" borderId="5" xfId="0" applyFont="1" applyBorder="1" applyAlignment="1">
      <alignment wrapText="1"/>
    </xf>
    <xf numFmtId="0" fontId="3" fillId="0" borderId="0" xfId="0" applyFont="1" applyAlignment="1">
      <alignment wrapText="1"/>
    </xf>
    <xf numFmtId="0" fontId="0" fillId="0" borderId="0" xfId="0" applyAlignment="1">
      <alignment horizontal="left" vertical="center" wrapText="1"/>
    </xf>
    <xf numFmtId="0" fontId="3" fillId="0" borderId="11" xfId="0" applyFont="1" applyBorder="1"/>
    <xf numFmtId="0" fontId="3" fillId="0" borderId="12" xfId="0" applyFont="1" applyBorder="1"/>
    <xf numFmtId="0" fontId="3" fillId="0" borderId="12" xfId="0" applyFont="1" applyBorder="1" applyAlignment="1">
      <alignment horizontal="center" wrapText="1"/>
    </xf>
    <xf numFmtId="0" fontId="3" fillId="0" borderId="13" xfId="0" applyFont="1" applyBorder="1"/>
    <xf numFmtId="0" fontId="10" fillId="2" borderId="4" xfId="0" applyFont="1" applyFill="1" applyBorder="1" applyAlignment="1">
      <alignment horizontal="center" vertical="center" wrapText="1"/>
    </xf>
    <xf numFmtId="0" fontId="10" fillId="2" borderId="14" xfId="0" applyFont="1" applyFill="1" applyBorder="1" applyAlignment="1">
      <alignment horizontal="center" vertical="center" wrapText="1"/>
    </xf>
    <xf numFmtId="164" fontId="5" fillId="2" borderId="0" xfId="1" applyNumberFormat="1" applyFont="1" applyFill="1" applyBorder="1" applyAlignment="1" applyProtection="1">
      <alignment horizontal="right" vertical="center" wrapText="1"/>
    </xf>
    <xf numFmtId="0" fontId="9" fillId="0" borderId="5" xfId="0" applyFont="1" applyFill="1" applyBorder="1" applyAlignment="1">
      <alignment horizontal="center" vertical="center" wrapText="1"/>
    </xf>
    <xf numFmtId="0" fontId="13" fillId="0" borderId="5" xfId="0" applyFont="1" applyFill="1" applyBorder="1" applyAlignment="1">
      <alignment wrapText="1"/>
    </xf>
    <xf numFmtId="0" fontId="13" fillId="0" borderId="5" xfId="0" applyFont="1" applyFill="1" applyBorder="1" applyAlignment="1">
      <alignment horizontal="center" vertical="center" wrapText="1"/>
    </xf>
    <xf numFmtId="0" fontId="16" fillId="0" borderId="17" xfId="0" applyFont="1" applyBorder="1" applyAlignment="1">
      <alignment vertical="center"/>
    </xf>
    <xf numFmtId="0" fontId="16" fillId="0" borderId="18" xfId="0" applyFont="1" applyBorder="1" applyAlignment="1">
      <alignment vertical="center"/>
    </xf>
    <xf numFmtId="0" fontId="16" fillId="0" borderId="12" xfId="0" applyFont="1" applyBorder="1" applyAlignment="1">
      <alignment vertical="center"/>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3" fillId="0" borderId="20" xfId="0" applyFont="1" applyBorder="1" applyAlignment="1">
      <alignment horizontal="center" vertical="center" wrapText="1"/>
    </xf>
    <xf numFmtId="164" fontId="5" fillId="2" borderId="4" xfId="1" applyNumberFormat="1" applyFont="1" applyFill="1" applyBorder="1" applyAlignment="1" applyProtection="1">
      <alignment horizontal="center" vertical="center" wrapText="1"/>
    </xf>
    <xf numFmtId="164" fontId="5" fillId="2" borderId="14" xfId="1" applyNumberFormat="1" applyFont="1" applyFill="1" applyBorder="1" applyAlignment="1" applyProtection="1">
      <alignment horizontal="center" vertical="center" wrapText="1"/>
    </xf>
    <xf numFmtId="164" fontId="5" fillId="0" borderId="14" xfId="1" applyNumberFormat="1" applyFont="1" applyFill="1" applyBorder="1" applyAlignment="1" applyProtection="1">
      <alignment horizontal="center" vertical="center" wrapText="1"/>
    </xf>
    <xf numFmtId="165" fontId="5" fillId="2" borderId="4" xfId="1" applyNumberFormat="1" applyFont="1" applyFill="1" applyBorder="1" applyAlignment="1" applyProtection="1">
      <alignment horizontal="center" vertical="center" wrapText="1"/>
    </xf>
    <xf numFmtId="165" fontId="5" fillId="2" borderId="14" xfId="1" applyNumberFormat="1" applyFont="1" applyFill="1" applyBorder="1" applyAlignment="1" applyProtection="1">
      <alignment horizontal="center" vertical="center" wrapText="1"/>
    </xf>
    <xf numFmtId="165" fontId="5" fillId="0" borderId="14" xfId="1" applyNumberFormat="1" applyFont="1" applyFill="1" applyBorder="1" applyAlignment="1" applyProtection="1">
      <alignment horizontal="center" vertical="center" wrapTex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0" fillId="0" borderId="0" xfId="0" applyAlignment="1">
      <alignment horizontal="center" vertical="center"/>
    </xf>
    <xf numFmtId="0" fontId="8" fillId="0" borderId="5" xfId="0" applyFont="1" applyFill="1" applyBorder="1" applyAlignment="1">
      <alignment horizontal="center" vertical="center"/>
    </xf>
    <xf numFmtId="0" fontId="9" fillId="0" borderId="26"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0" xfId="0" applyFont="1" applyFill="1" applyBorder="1" applyAlignment="1">
      <alignment horizontal="center" vertical="center" wrapText="1"/>
    </xf>
    <xf numFmtId="0" fontId="13" fillId="0" borderId="27" xfId="0" applyFont="1" applyBorder="1" applyAlignment="1">
      <alignment horizontal="center" vertical="center" wrapText="1"/>
    </xf>
    <xf numFmtId="0" fontId="10" fillId="2" borderId="0" xfId="0" applyFont="1" applyFill="1" applyBorder="1" applyAlignment="1">
      <alignment horizontal="center" vertical="center" wrapText="1"/>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3" fillId="0" borderId="0" xfId="0" applyFont="1" applyAlignment="1">
      <alignment horizontal="left" vertical="center" wrapText="1"/>
    </xf>
    <xf numFmtId="0" fontId="13" fillId="0" borderId="5" xfId="0" applyFont="1" applyFill="1" applyBorder="1" applyAlignment="1">
      <alignment horizontal="left" vertical="center" wrapText="1"/>
    </xf>
    <xf numFmtId="0" fontId="13" fillId="0" borderId="28" xfId="0" applyFont="1" applyBorder="1" applyAlignment="1">
      <alignment horizontal="left" vertical="center" wrapText="1"/>
    </xf>
    <xf numFmtId="164" fontId="5" fillId="2" borderId="15" xfId="1" applyNumberFormat="1" applyFont="1" applyFill="1" applyBorder="1" applyAlignment="1" applyProtection="1">
      <alignment horizontal="center" vertical="center" wrapText="1"/>
    </xf>
    <xf numFmtId="3" fontId="20" fillId="0" borderId="6" xfId="0" applyNumberFormat="1" applyFont="1" applyBorder="1"/>
    <xf numFmtId="166" fontId="13" fillId="0" borderId="6" xfId="0" applyNumberFormat="1" applyFont="1" applyBorder="1" applyAlignment="1">
      <alignment horizontal="left"/>
    </xf>
    <xf numFmtId="0" fontId="13" fillId="0" borderId="6" xfId="0" applyFont="1" applyBorder="1"/>
    <xf numFmtId="0" fontId="13" fillId="0" borderId="8" xfId="0" applyFont="1" applyBorder="1"/>
    <xf numFmtId="0" fontId="13" fillId="0" borderId="0" xfId="0" applyFont="1"/>
    <xf numFmtId="0" fontId="13" fillId="0" borderId="0" xfId="0" applyFont="1" applyAlignment="1">
      <alignment horizontal="left"/>
    </xf>
    <xf numFmtId="166" fontId="13" fillId="0" borderId="0" xfId="0" applyNumberFormat="1" applyFont="1" applyAlignment="1">
      <alignment horizontal="left"/>
    </xf>
    <xf numFmtId="0" fontId="13" fillId="0" borderId="12" xfId="0" applyFont="1" applyBorder="1"/>
    <xf numFmtId="0" fontId="13" fillId="0" borderId="17" xfId="0" applyFont="1" applyBorder="1"/>
    <xf numFmtId="0" fontId="13" fillId="0" borderId="18" xfId="0" applyFont="1" applyBorder="1"/>
    <xf numFmtId="0" fontId="13" fillId="0" borderId="18" xfId="0" applyFont="1" applyBorder="1" applyAlignment="1">
      <alignment horizontal="left"/>
    </xf>
    <xf numFmtId="0" fontId="13" fillId="0" borderId="36" xfId="0" applyFont="1" applyBorder="1"/>
    <xf numFmtId="0" fontId="22" fillId="0" borderId="39" xfId="0" applyFont="1" applyBorder="1" applyAlignment="1">
      <alignment horizontal="center" vertical="center"/>
    </xf>
    <xf numFmtId="0" fontId="22" fillId="0" borderId="40" xfId="0" applyFont="1" applyBorder="1" applyAlignment="1">
      <alignment horizontal="center" vertical="center"/>
    </xf>
    <xf numFmtId="0" fontId="22" fillId="0" borderId="40" xfId="0" applyFont="1" applyBorder="1" applyAlignment="1">
      <alignment horizontal="left" vertical="center"/>
    </xf>
    <xf numFmtId="0" fontId="22" fillId="0" borderId="41" xfId="0" applyFont="1" applyBorder="1" applyAlignment="1">
      <alignment horizontal="center" vertical="center"/>
    </xf>
    <xf numFmtId="0" fontId="22" fillId="0" borderId="42" xfId="0" applyFont="1" applyBorder="1" applyAlignment="1">
      <alignment horizontal="center" vertical="center"/>
    </xf>
    <xf numFmtId="0" fontId="5" fillId="0" borderId="43" xfId="0" applyFont="1" applyBorder="1" applyAlignment="1">
      <alignment horizontal="center" vertical="center"/>
    </xf>
    <xf numFmtId="0" fontId="5" fillId="0" borderId="44" xfId="0" applyFont="1" applyBorder="1" applyAlignment="1">
      <alignment horizontal="center" vertical="center"/>
    </xf>
    <xf numFmtId="0" fontId="5" fillId="0" borderId="45" xfId="0" applyFont="1" applyBorder="1" applyAlignment="1">
      <alignment horizontal="center" vertical="center"/>
    </xf>
    <xf numFmtId="164" fontId="5" fillId="0" borderId="46" xfId="2" applyNumberFormat="1" applyFont="1" applyBorder="1" applyAlignment="1" applyProtection="1">
      <alignment horizontal="center" vertical="center"/>
    </xf>
    <xf numFmtId="0" fontId="5" fillId="0" borderId="47" xfId="0" applyFont="1" applyBorder="1" applyAlignment="1">
      <alignment horizontal="center" vertical="center"/>
    </xf>
    <xf numFmtId="0" fontId="5" fillId="0" borderId="48" xfId="0" applyFont="1" applyBorder="1" applyAlignment="1">
      <alignment horizontal="center" vertical="center"/>
    </xf>
    <xf numFmtId="0" fontId="5" fillId="0" borderId="49" xfId="0" applyFont="1" applyBorder="1" applyAlignment="1">
      <alignment horizontal="center" vertical="center"/>
    </xf>
    <xf numFmtId="0" fontId="5" fillId="0" borderId="50" xfId="0" applyFont="1" applyBorder="1" applyAlignment="1">
      <alignment horizontal="center" vertical="center"/>
    </xf>
    <xf numFmtId="164" fontId="5" fillId="0" borderId="53" xfId="2" applyNumberFormat="1" applyFont="1" applyBorder="1" applyAlignment="1" applyProtection="1">
      <alignment horizontal="center" vertical="center"/>
    </xf>
    <xf numFmtId="0" fontId="13" fillId="0" borderId="47" xfId="0" applyFont="1" applyBorder="1" applyAlignment="1">
      <alignment horizontal="center" vertical="center"/>
    </xf>
    <xf numFmtId="0" fontId="13" fillId="0" borderId="48" xfId="0" applyFont="1" applyBorder="1" applyAlignment="1">
      <alignment horizontal="center" vertical="center"/>
    </xf>
    <xf numFmtId="0" fontId="13" fillId="0" borderId="49" xfId="0" applyFont="1" applyBorder="1" applyAlignment="1">
      <alignment horizontal="center" vertical="center"/>
    </xf>
    <xf numFmtId="0" fontId="13" fillId="0" borderId="50" xfId="0" applyFont="1" applyBorder="1" applyAlignment="1">
      <alignment horizontal="center" vertical="center"/>
    </xf>
    <xf numFmtId="164" fontId="13" fillId="0" borderId="53" xfId="2" applyNumberFormat="1" applyFont="1" applyBorder="1" applyAlignment="1" applyProtection="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56" xfId="0" applyFont="1" applyBorder="1" applyAlignment="1">
      <alignment horizontal="center" vertical="center"/>
    </xf>
    <xf numFmtId="164" fontId="13" fillId="0" borderId="57" xfId="2" applyNumberFormat="1" applyFont="1" applyBorder="1" applyAlignment="1" applyProtection="1">
      <alignment horizontal="center" vertical="center"/>
    </xf>
    <xf numFmtId="164" fontId="22" fillId="0" borderId="59" xfId="0" applyNumberFormat="1" applyFont="1" applyBorder="1" applyAlignment="1">
      <alignment horizontal="center" vertical="center"/>
    </xf>
    <xf numFmtId="164" fontId="5" fillId="2" borderId="5" xfId="1" applyNumberFormat="1" applyFont="1" applyFill="1" applyBorder="1" applyAlignment="1" applyProtection="1">
      <alignment horizontal="right" vertical="center" wrapText="1"/>
    </xf>
    <xf numFmtId="0" fontId="16" fillId="0" borderId="20" xfId="0" applyFont="1" applyBorder="1" applyAlignment="1">
      <alignment horizontal="left" vertical="center"/>
    </xf>
    <xf numFmtId="0" fontId="4" fillId="0" borderId="62" xfId="0" applyFont="1" applyBorder="1" applyAlignment="1">
      <alignment horizontal="center" vertical="center" wrapText="1"/>
    </xf>
    <xf numFmtId="0" fontId="17" fillId="0" borderId="60" xfId="0" applyFont="1" applyBorder="1" applyAlignment="1">
      <alignment horizontal="center" vertical="center" wrapText="1"/>
    </xf>
    <xf numFmtId="0" fontId="16" fillId="0" borderId="0" xfId="0" applyFont="1" applyBorder="1" applyAlignment="1">
      <alignment vertical="center"/>
    </xf>
    <xf numFmtId="0" fontId="3" fillId="2" borderId="0" xfId="0" applyFont="1" applyFill="1" applyAlignment="1">
      <alignment horizontal="left" wrapText="1"/>
    </xf>
    <xf numFmtId="0" fontId="3" fillId="2" borderId="12" xfId="0" applyFont="1" applyFill="1" applyBorder="1" applyAlignment="1">
      <alignment horizontal="left" wrapText="1"/>
    </xf>
    <xf numFmtId="0" fontId="13" fillId="2" borderId="0" xfId="0" applyFont="1" applyFill="1" applyAlignment="1">
      <alignment horizontal="left" wrapText="1"/>
    </xf>
    <xf numFmtId="0" fontId="13" fillId="2" borderId="12" xfId="0" applyFont="1" applyFill="1" applyBorder="1" applyAlignment="1">
      <alignment horizontal="left" wrapText="1"/>
    </xf>
    <xf numFmtId="0" fontId="3" fillId="2" borderId="0" xfId="0" applyFont="1" applyFill="1" applyAlignment="1">
      <alignment horizontal="left"/>
    </xf>
    <xf numFmtId="0" fontId="3" fillId="2" borderId="12" xfId="0" applyFont="1" applyFill="1" applyBorder="1" applyAlignment="1">
      <alignment horizontal="left"/>
    </xf>
    <xf numFmtId="0" fontId="13" fillId="2" borderId="0" xfId="0" applyFont="1" applyFill="1" applyAlignment="1">
      <alignment horizontal="left" vertical="center" wrapText="1"/>
    </xf>
    <xf numFmtId="0" fontId="13" fillId="2" borderId="12" xfId="0" applyFont="1" applyFill="1" applyBorder="1" applyAlignment="1">
      <alignment horizontal="left" vertical="center" wrapText="1"/>
    </xf>
    <xf numFmtId="0" fontId="6" fillId="0" borderId="0" xfId="0" applyFont="1" applyAlignment="1">
      <alignment horizontal="center"/>
    </xf>
    <xf numFmtId="0" fontId="4" fillId="0" borderId="0" xfId="0" applyFont="1" applyAlignment="1">
      <alignment horizontal="left" vertical="center" wrapText="1"/>
    </xf>
    <xf numFmtId="0" fontId="12" fillId="2" borderId="0" xfId="0" applyFont="1" applyFill="1" applyAlignment="1">
      <alignment horizontal="left" wrapText="1" indent="1"/>
    </xf>
    <xf numFmtId="0" fontId="2" fillId="0" borderId="5" xfId="0" applyFont="1" applyBorder="1" applyAlignment="1">
      <alignment horizontal="left" vertical="top" wrapText="1"/>
    </xf>
    <xf numFmtId="0" fontId="15" fillId="0" borderId="7" xfId="0" applyFont="1" applyBorder="1" applyAlignment="1">
      <alignment horizontal="center" vertical="center" wrapText="1"/>
    </xf>
    <xf numFmtId="0" fontId="15" fillId="0" borderId="6" xfId="0" applyFont="1" applyBorder="1" applyAlignment="1">
      <alignment horizontal="center" vertical="center" wrapText="1"/>
    </xf>
    <xf numFmtId="0" fontId="18" fillId="0" borderId="19" xfId="0" applyFont="1" applyBorder="1" applyAlignment="1">
      <alignment horizontal="left" vertical="center"/>
    </xf>
    <xf numFmtId="0" fontId="18" fillId="0" borderId="22" xfId="0" applyFont="1" applyBorder="1" applyAlignment="1">
      <alignment horizontal="left" vertical="center"/>
    </xf>
    <xf numFmtId="0" fontId="18" fillId="0" borderId="23" xfId="0" applyFont="1" applyBorder="1" applyAlignment="1">
      <alignment horizontal="left" vertical="center"/>
    </xf>
    <xf numFmtId="0" fontId="17" fillId="0" borderId="20" xfId="0" applyFont="1" applyBorder="1" applyAlignment="1">
      <alignment horizontal="left" vertical="center" wrapText="1"/>
    </xf>
    <xf numFmtId="0" fontId="18" fillId="0" borderId="21" xfId="0" applyFont="1" applyBorder="1" applyAlignment="1">
      <alignment horizontal="left" vertical="center" wrapText="1"/>
    </xf>
    <xf numFmtId="0" fontId="17" fillId="0" borderId="20" xfId="0" applyFont="1" applyBorder="1" applyAlignment="1">
      <alignment vertical="center" wrapText="1"/>
    </xf>
    <xf numFmtId="0" fontId="18" fillId="0" borderId="24" xfId="0" applyFont="1" applyBorder="1" applyAlignment="1">
      <alignment horizontal="left" vertical="center"/>
    </xf>
    <xf numFmtId="0" fontId="17" fillId="0" borderId="25" xfId="0" applyFont="1" applyBorder="1" applyAlignment="1">
      <alignment vertical="center" wrapText="1"/>
    </xf>
    <xf numFmtId="0" fontId="18" fillId="0" borderId="19" xfId="0" applyFont="1" applyBorder="1" applyAlignment="1">
      <alignment horizontal="left" vertical="center" wrapText="1"/>
    </xf>
    <xf numFmtId="0" fontId="17" fillId="0" borderId="29" xfId="0" applyFont="1" applyBorder="1" applyAlignment="1">
      <alignment horizontal="left" vertical="center" wrapText="1"/>
    </xf>
    <xf numFmtId="0" fontId="17" fillId="0" borderId="61" xfId="0" applyFont="1" applyBorder="1" applyAlignment="1">
      <alignment horizontal="left" vertical="center" wrapText="1"/>
    </xf>
    <xf numFmtId="0" fontId="17" fillId="0" borderId="30" xfId="0" applyFont="1" applyBorder="1" applyAlignment="1">
      <alignment horizontal="left" vertical="center" wrapText="1"/>
    </xf>
    <xf numFmtId="0" fontId="5" fillId="0" borderId="34" xfId="0" applyFont="1" applyBorder="1"/>
    <xf numFmtId="0" fontId="22" fillId="0" borderId="20" xfId="0" applyFont="1" applyBorder="1" applyAlignment="1">
      <alignment vertical="center" wrapText="1"/>
    </xf>
    <xf numFmtId="0" fontId="5" fillId="0" borderId="38" xfId="0" applyFont="1" applyBorder="1" applyAlignment="1">
      <alignment vertical="center" wrapText="1"/>
    </xf>
    <xf numFmtId="0" fontId="5" fillId="0" borderId="60" xfId="0" applyFont="1" applyBorder="1" applyAlignment="1">
      <alignment horizontal="left" vertical="center" wrapText="1" indent="1"/>
    </xf>
    <xf numFmtId="0" fontId="5" fillId="0" borderId="51" xfId="0" applyFont="1" applyBorder="1" applyAlignment="1">
      <alignment horizontal="left" vertical="center" wrapText="1"/>
    </xf>
    <xf numFmtId="0" fontId="5" fillId="0" borderId="52" xfId="0" applyFont="1" applyBorder="1" applyAlignment="1">
      <alignment horizontal="left" vertical="center" wrapText="1"/>
    </xf>
    <xf numFmtId="0" fontId="13" fillId="0" borderId="50" xfId="0" applyFont="1" applyBorder="1" applyAlignment="1">
      <alignment horizontal="center"/>
    </xf>
    <xf numFmtId="0" fontId="13" fillId="0" borderId="50" xfId="0" applyFont="1" applyBorder="1" applyAlignment="1">
      <alignment horizontal="center" vertical="center"/>
    </xf>
    <xf numFmtId="0" fontId="13" fillId="0" borderId="55" xfId="0" applyFont="1" applyBorder="1" applyAlignment="1">
      <alignment horizontal="left" vertical="center"/>
    </xf>
    <xf numFmtId="0" fontId="22" fillId="0" borderId="58" xfId="0" applyFont="1" applyBorder="1" applyAlignment="1">
      <alignment horizontal="left" vertical="center" wrapText="1"/>
    </xf>
    <xf numFmtId="0" fontId="5" fillId="0" borderId="44" xfId="0" applyFont="1" applyBorder="1" applyAlignment="1">
      <alignment horizontal="left" vertical="center" wrapText="1"/>
    </xf>
    <xf numFmtId="0" fontId="13" fillId="0" borderId="31" xfId="0" applyFont="1" applyBorder="1" applyAlignment="1">
      <alignment horizontal="left" vertical="center" wrapText="1"/>
    </xf>
    <xf numFmtId="0" fontId="13" fillId="0" borderId="32" xfId="0" applyFont="1" applyBorder="1" applyAlignment="1">
      <alignment horizontal="left" indent="1"/>
    </xf>
    <xf numFmtId="0" fontId="21" fillId="0" borderId="33" xfId="0" applyFont="1" applyBorder="1" applyAlignment="1">
      <alignment horizontal="left"/>
    </xf>
    <xf numFmtId="0" fontId="13" fillId="0" borderId="34" xfId="0" applyFont="1" applyBorder="1" applyAlignment="1">
      <alignment horizontal="left"/>
    </xf>
    <xf numFmtId="49" fontId="13" fillId="0" borderId="35" xfId="0" applyNumberFormat="1" applyFont="1" applyBorder="1" applyAlignment="1">
      <alignment horizontal="justify" vertical="center" wrapText="1"/>
    </xf>
    <xf numFmtId="0" fontId="22" fillId="0" borderId="34" xfId="0" applyFont="1" applyBorder="1" applyAlignment="1">
      <alignment horizontal="center" vertical="center"/>
    </xf>
    <xf numFmtId="0" fontId="22" fillId="0" borderId="31" xfId="0" applyFont="1" applyBorder="1" applyAlignment="1">
      <alignment horizontal="center" vertical="center"/>
    </xf>
    <xf numFmtId="0" fontId="22" fillId="0" borderId="37" xfId="0" applyFont="1" applyBorder="1" applyAlignment="1">
      <alignment horizontal="center" vertical="center" wrapText="1"/>
    </xf>
    <xf numFmtId="0" fontId="22" fillId="0" borderId="38" xfId="0" applyFont="1" applyBorder="1" applyAlignment="1">
      <alignment horizontal="center" vertical="center"/>
    </xf>
    <xf numFmtId="0" fontId="13" fillId="0" borderId="29" xfId="0" applyFont="1" applyBorder="1" applyAlignment="1">
      <alignment horizontal="center"/>
    </xf>
    <xf numFmtId="0" fontId="20" fillId="0" borderId="30" xfId="0" applyFont="1" applyBorder="1" applyAlignment="1">
      <alignment horizontal="center"/>
    </xf>
    <xf numFmtId="0" fontId="20" fillId="0" borderId="16" xfId="0" applyFont="1" applyBorder="1" applyAlignment="1">
      <alignment horizontal="center" vertical="center" wrapText="1"/>
    </xf>
    <xf numFmtId="0" fontId="13" fillId="0" borderId="31" xfId="0" applyFont="1" applyBorder="1"/>
  </cellXfs>
  <cellStyles count="3">
    <cellStyle name="Moneda" xfId="1" builtinId="4"/>
    <cellStyle name="Moneda_AUTORIZACION Y NOTA DE PEDIDO"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3"/>
  <sheetViews>
    <sheetView tabSelected="1" workbookViewId="0">
      <selection activeCell="L3" sqref="L3"/>
    </sheetView>
  </sheetViews>
  <sheetFormatPr baseColWidth="10" defaultRowHeight="15" x14ac:dyDescent="0.25"/>
  <cols>
    <col min="1" max="1" width="4.5703125" customWidth="1"/>
    <col min="2" max="2" width="15" customWidth="1"/>
    <col min="3" max="3" width="23" customWidth="1"/>
    <col min="4" max="4" width="8.42578125" customWidth="1"/>
    <col min="5" max="5" width="64.7109375" customWidth="1"/>
    <col min="6" max="6" width="11"/>
    <col min="7" max="7" width="12.7109375" customWidth="1"/>
    <col min="8" max="8" width="13.85546875" customWidth="1"/>
    <col min="9" max="9" width="17.5703125" customWidth="1"/>
  </cols>
  <sheetData>
    <row r="1" spans="1:9" ht="27" x14ac:dyDescent="0.35">
      <c r="A1" s="1"/>
      <c r="B1" s="114" t="s">
        <v>5</v>
      </c>
      <c r="C1" s="114"/>
      <c r="D1" s="114"/>
      <c r="E1" s="114"/>
      <c r="F1" s="114"/>
      <c r="G1" s="114"/>
      <c r="H1" s="114"/>
      <c r="I1" s="1"/>
    </row>
    <row r="2" spans="1:9" x14ac:dyDescent="0.25">
      <c r="A2" s="1"/>
      <c r="B2" s="1"/>
      <c r="C2" s="1"/>
      <c r="D2" s="1"/>
      <c r="E2" s="1"/>
      <c r="F2" s="1"/>
      <c r="G2" s="1"/>
      <c r="H2" s="1"/>
      <c r="I2" s="1"/>
    </row>
    <row r="3" spans="1:9" ht="15.75" x14ac:dyDescent="0.25">
      <c r="A3" s="115" t="s">
        <v>0</v>
      </c>
      <c r="B3" s="115"/>
      <c r="C3" s="116" t="s">
        <v>34</v>
      </c>
      <c r="D3" s="116"/>
      <c r="E3" s="116"/>
      <c r="F3" s="6"/>
      <c r="G3" s="15"/>
      <c r="H3" s="6"/>
      <c r="I3" s="1"/>
    </row>
    <row r="4" spans="1:9" ht="15.75" x14ac:dyDescent="0.25">
      <c r="A4" s="115" t="s">
        <v>1</v>
      </c>
      <c r="B4" s="115"/>
      <c r="C4" s="116" t="s">
        <v>35</v>
      </c>
      <c r="D4" s="116"/>
      <c r="E4" s="116"/>
      <c r="F4" s="6"/>
      <c r="G4" s="15"/>
      <c r="H4" s="6"/>
      <c r="I4" s="1"/>
    </row>
    <row r="5" spans="1:9" ht="15.75" x14ac:dyDescent="0.25">
      <c r="A5" s="115" t="s">
        <v>2</v>
      </c>
      <c r="B5" s="115"/>
      <c r="C5" s="14">
        <v>2021</v>
      </c>
      <c r="D5" s="22"/>
      <c r="E5" s="22"/>
      <c r="F5" s="6"/>
      <c r="G5" s="15"/>
      <c r="H5" s="6"/>
      <c r="I5" s="1"/>
    </row>
    <row r="6" spans="1:9" ht="15.75" x14ac:dyDescent="0.25">
      <c r="A6" s="115" t="s">
        <v>3</v>
      </c>
      <c r="B6" s="115"/>
      <c r="C6" s="14">
        <v>1</v>
      </c>
      <c r="D6" s="22"/>
      <c r="E6" s="22"/>
      <c r="F6" s="6"/>
      <c r="G6" s="15"/>
      <c r="H6" s="6"/>
      <c r="I6" s="1"/>
    </row>
    <row r="7" spans="1:9" ht="15.75" thickBot="1" x14ac:dyDescent="0.3">
      <c r="A7" s="1"/>
      <c r="B7" s="6"/>
      <c r="C7" s="15"/>
      <c r="D7" s="6"/>
      <c r="E7" s="6"/>
      <c r="F7" s="6"/>
      <c r="G7" s="15"/>
      <c r="H7" s="6"/>
      <c r="I7" s="1"/>
    </row>
    <row r="8" spans="1:9" ht="44.25" thickTop="1" thickBot="1" x14ac:dyDescent="0.3">
      <c r="A8" s="2" t="s">
        <v>4</v>
      </c>
      <c r="B8" s="2" t="s">
        <v>6</v>
      </c>
      <c r="C8" s="2" t="s">
        <v>36</v>
      </c>
      <c r="D8" s="2" t="s">
        <v>39</v>
      </c>
      <c r="E8" s="2" t="s">
        <v>41</v>
      </c>
      <c r="F8" s="2" t="s">
        <v>62</v>
      </c>
      <c r="G8" s="2" t="s">
        <v>65</v>
      </c>
      <c r="H8" s="2" t="s">
        <v>66</v>
      </c>
      <c r="I8" s="2" t="s">
        <v>67</v>
      </c>
    </row>
    <row r="9" spans="1:9" ht="61.5" thickTop="1" thickBot="1" x14ac:dyDescent="0.3">
      <c r="A9" s="3">
        <v>1</v>
      </c>
      <c r="B9" s="50" t="s">
        <v>7</v>
      </c>
      <c r="C9" s="16" t="s">
        <v>37</v>
      </c>
      <c r="D9" s="23" t="s">
        <v>68</v>
      </c>
      <c r="E9" s="59" t="s">
        <v>42</v>
      </c>
      <c r="F9" s="32" t="s">
        <v>63</v>
      </c>
      <c r="G9" s="32">
        <v>7000</v>
      </c>
      <c r="H9" s="44">
        <v>334.2</v>
      </c>
      <c r="I9" s="64">
        <f>G9*H9</f>
        <v>2339400</v>
      </c>
    </row>
    <row r="10" spans="1:9" ht="60.75" thickBot="1" x14ac:dyDescent="0.3">
      <c r="A10" s="4">
        <v>2</v>
      </c>
      <c r="B10" s="51" t="s">
        <v>8</v>
      </c>
      <c r="C10" s="17" t="s">
        <v>37</v>
      </c>
      <c r="D10" s="35" t="s">
        <v>68</v>
      </c>
      <c r="E10" s="60" t="s">
        <v>43</v>
      </c>
      <c r="F10" s="33" t="s">
        <v>63</v>
      </c>
      <c r="G10" s="33">
        <v>14000</v>
      </c>
      <c r="H10" s="45">
        <v>226</v>
      </c>
      <c r="I10" s="64">
        <f t="shared" ref="I10:I33" si="0">G10*H10</f>
        <v>3164000</v>
      </c>
    </row>
    <row r="11" spans="1:9" ht="30.75" thickBot="1" x14ac:dyDescent="0.3">
      <c r="A11" s="4">
        <v>3</v>
      </c>
      <c r="B11" s="52" t="s">
        <v>9</v>
      </c>
      <c r="C11" s="17" t="s">
        <v>37</v>
      </c>
      <c r="D11" s="7" t="s">
        <v>40</v>
      </c>
      <c r="E11" s="61" t="s">
        <v>44</v>
      </c>
      <c r="F11" s="33" t="s">
        <v>63</v>
      </c>
      <c r="G11" s="33">
        <v>27000</v>
      </c>
      <c r="H11" s="45">
        <v>19.7</v>
      </c>
      <c r="I11" s="64">
        <f t="shared" si="0"/>
        <v>531900</v>
      </c>
    </row>
    <row r="12" spans="1:9" ht="30.75" thickBot="1" x14ac:dyDescent="0.3">
      <c r="A12" s="4">
        <v>4</v>
      </c>
      <c r="B12" s="51" t="s">
        <v>69</v>
      </c>
      <c r="C12" s="17" t="s">
        <v>37</v>
      </c>
      <c r="D12" s="7" t="s">
        <v>40</v>
      </c>
      <c r="E12" s="62" t="s">
        <v>70</v>
      </c>
      <c r="F12" s="33" t="s">
        <v>63</v>
      </c>
      <c r="G12" s="33">
        <v>27000</v>
      </c>
      <c r="H12" s="45">
        <v>24.7</v>
      </c>
      <c r="I12" s="64">
        <f t="shared" si="0"/>
        <v>666900</v>
      </c>
    </row>
    <row r="13" spans="1:9" ht="45.75" thickBot="1" x14ac:dyDescent="0.3">
      <c r="A13" s="4">
        <v>5</v>
      </c>
      <c r="B13" s="51" t="s">
        <v>10</v>
      </c>
      <c r="C13" s="17" t="s">
        <v>37</v>
      </c>
      <c r="D13" s="7" t="s">
        <v>40</v>
      </c>
      <c r="E13" s="60" t="s">
        <v>45</v>
      </c>
      <c r="F13" s="33" t="s">
        <v>63</v>
      </c>
      <c r="G13" s="33">
        <v>7000</v>
      </c>
      <c r="H13" s="45">
        <v>19</v>
      </c>
      <c r="I13" s="64">
        <f t="shared" si="0"/>
        <v>133000</v>
      </c>
    </row>
    <row r="14" spans="1:9" ht="30.75" thickBot="1" x14ac:dyDescent="0.3">
      <c r="A14" s="4">
        <v>6</v>
      </c>
      <c r="B14" s="51" t="s">
        <v>11</v>
      </c>
      <c r="C14" s="17" t="s">
        <v>37</v>
      </c>
      <c r="D14" s="7" t="s">
        <v>40</v>
      </c>
      <c r="E14" s="60" t="s">
        <v>46</v>
      </c>
      <c r="F14" s="33" t="s">
        <v>64</v>
      </c>
      <c r="G14" s="33">
        <v>7000</v>
      </c>
      <c r="H14" s="45">
        <v>215.4</v>
      </c>
      <c r="I14" s="64">
        <f t="shared" si="0"/>
        <v>1507800</v>
      </c>
    </row>
    <row r="15" spans="1:9" ht="30.75" thickBot="1" x14ac:dyDescent="0.3">
      <c r="A15" s="4">
        <v>7</v>
      </c>
      <c r="B15" s="7" t="s">
        <v>71</v>
      </c>
      <c r="C15" s="17" t="s">
        <v>37</v>
      </c>
      <c r="D15" s="7" t="s">
        <v>40</v>
      </c>
      <c r="E15" s="62" t="s">
        <v>72</v>
      </c>
      <c r="F15" s="33" t="s">
        <v>63</v>
      </c>
      <c r="G15" s="33">
        <v>14000</v>
      </c>
      <c r="H15" s="45">
        <v>75.099999999999994</v>
      </c>
      <c r="I15" s="64">
        <f t="shared" si="0"/>
        <v>1051400</v>
      </c>
    </row>
    <row r="16" spans="1:9" ht="60.75" thickBot="1" x14ac:dyDescent="0.3">
      <c r="A16" s="4">
        <v>8</v>
      </c>
      <c r="B16" s="51" t="s">
        <v>12</v>
      </c>
      <c r="C16" s="17" t="s">
        <v>37</v>
      </c>
      <c r="D16" s="7" t="str">
        <f>LEFT(B16,5)</f>
        <v>2.3.1</v>
      </c>
      <c r="E16" s="60" t="s">
        <v>47</v>
      </c>
      <c r="F16" s="33" t="s">
        <v>63</v>
      </c>
      <c r="G16" s="33">
        <v>14000</v>
      </c>
      <c r="H16" s="45">
        <v>61</v>
      </c>
      <c r="I16" s="64">
        <f t="shared" si="0"/>
        <v>854000</v>
      </c>
    </row>
    <row r="17" spans="1:9" ht="30.75" thickBot="1" x14ac:dyDescent="0.3">
      <c r="A17" s="4">
        <v>9</v>
      </c>
      <c r="B17" s="51" t="s">
        <v>13</v>
      </c>
      <c r="C17" s="17" t="s">
        <v>37</v>
      </c>
      <c r="D17" s="7" t="s">
        <v>40</v>
      </c>
      <c r="E17" s="60" t="s">
        <v>48</v>
      </c>
      <c r="F17" s="33" t="s">
        <v>63</v>
      </c>
      <c r="G17" s="33">
        <v>7000</v>
      </c>
      <c r="H17" s="45">
        <v>282.31</v>
      </c>
      <c r="I17" s="64">
        <f t="shared" si="0"/>
        <v>1976170</v>
      </c>
    </row>
    <row r="18" spans="1:9" ht="60.75" thickBot="1" x14ac:dyDescent="0.3">
      <c r="A18" s="4">
        <v>10</v>
      </c>
      <c r="B18" s="51" t="s">
        <v>14</v>
      </c>
      <c r="C18" s="17" t="s">
        <v>37</v>
      </c>
      <c r="D18" s="7" t="s">
        <v>68</v>
      </c>
      <c r="E18" s="60" t="s">
        <v>49</v>
      </c>
      <c r="F18" s="33" t="s">
        <v>63</v>
      </c>
      <c r="G18" s="33">
        <v>875</v>
      </c>
      <c r="H18" s="46">
        <v>72</v>
      </c>
      <c r="I18" s="64">
        <f t="shared" si="0"/>
        <v>63000</v>
      </c>
    </row>
    <row r="19" spans="1:9" ht="30.75" thickBot="1" x14ac:dyDescent="0.3">
      <c r="A19" s="4">
        <v>11</v>
      </c>
      <c r="B19" s="51" t="s">
        <v>15</v>
      </c>
      <c r="C19" s="17" t="s">
        <v>37</v>
      </c>
      <c r="D19" s="7" t="s">
        <v>40</v>
      </c>
      <c r="E19" s="60" t="s">
        <v>50</v>
      </c>
      <c r="F19" s="33" t="s">
        <v>63</v>
      </c>
      <c r="G19" s="33">
        <v>14000</v>
      </c>
      <c r="H19" s="45">
        <v>13.1</v>
      </c>
      <c r="I19" s="64">
        <f t="shared" si="0"/>
        <v>183400</v>
      </c>
    </row>
    <row r="20" spans="1:9" ht="30.75" thickBot="1" x14ac:dyDescent="0.3">
      <c r="A20" s="4">
        <v>12</v>
      </c>
      <c r="B20" s="51" t="s">
        <v>16</v>
      </c>
      <c r="C20" s="17" t="s">
        <v>37</v>
      </c>
      <c r="D20" s="7" t="s">
        <v>40</v>
      </c>
      <c r="E20" s="60" t="s">
        <v>51</v>
      </c>
      <c r="F20" s="33" t="s">
        <v>63</v>
      </c>
      <c r="G20" s="33">
        <v>20000</v>
      </c>
      <c r="H20" s="45">
        <v>26.1</v>
      </c>
      <c r="I20" s="64">
        <f t="shared" si="0"/>
        <v>522000</v>
      </c>
    </row>
    <row r="21" spans="1:9" ht="30.75" thickBot="1" x14ac:dyDescent="0.3">
      <c r="A21" s="4">
        <v>13</v>
      </c>
      <c r="B21" s="51" t="s">
        <v>17</v>
      </c>
      <c r="C21" s="17" t="s">
        <v>37</v>
      </c>
      <c r="D21" s="7" t="s">
        <v>40</v>
      </c>
      <c r="E21" s="60" t="s">
        <v>52</v>
      </c>
      <c r="F21" s="33" t="s">
        <v>63</v>
      </c>
      <c r="G21" s="33">
        <v>27000</v>
      </c>
      <c r="H21" s="45">
        <v>28.7</v>
      </c>
      <c r="I21" s="64">
        <f t="shared" si="0"/>
        <v>774900</v>
      </c>
    </row>
    <row r="22" spans="1:9" ht="30.75" thickBot="1" x14ac:dyDescent="0.3">
      <c r="A22" s="4">
        <v>14</v>
      </c>
      <c r="B22" s="51" t="s">
        <v>18</v>
      </c>
      <c r="C22" s="17" t="s">
        <v>37</v>
      </c>
      <c r="D22" s="7" t="s">
        <v>40</v>
      </c>
      <c r="E22" s="60" t="s">
        <v>53</v>
      </c>
      <c r="F22" s="33" t="s">
        <v>63</v>
      </c>
      <c r="G22" s="33">
        <v>7000</v>
      </c>
      <c r="H22" s="45">
        <v>52.1</v>
      </c>
      <c r="I22" s="64">
        <f t="shared" si="0"/>
        <v>364700</v>
      </c>
    </row>
    <row r="23" spans="1:9" ht="30.75" thickBot="1" x14ac:dyDescent="0.3">
      <c r="A23" s="4">
        <v>15</v>
      </c>
      <c r="B23" s="51" t="s">
        <v>19</v>
      </c>
      <c r="C23" s="17" t="s">
        <v>37</v>
      </c>
      <c r="D23" s="7" t="str">
        <f>LEFT(B23,5)</f>
        <v>2.9.2</v>
      </c>
      <c r="E23" s="60" t="s">
        <v>54</v>
      </c>
      <c r="F23" s="33" t="s">
        <v>64</v>
      </c>
      <c r="G23" s="33">
        <v>7000</v>
      </c>
      <c r="H23" s="45">
        <v>43.2</v>
      </c>
      <c r="I23" s="64">
        <f t="shared" si="0"/>
        <v>302400</v>
      </c>
    </row>
    <row r="24" spans="1:9" ht="45.75" thickBot="1" x14ac:dyDescent="0.3">
      <c r="A24" s="4">
        <v>16</v>
      </c>
      <c r="B24" s="51" t="s">
        <v>20</v>
      </c>
      <c r="C24" s="17" t="s">
        <v>37</v>
      </c>
      <c r="D24" s="7" t="s">
        <v>40</v>
      </c>
      <c r="E24" s="60" t="s">
        <v>55</v>
      </c>
      <c r="F24" s="33" t="s">
        <v>63</v>
      </c>
      <c r="G24" s="33">
        <v>7000</v>
      </c>
      <c r="H24" s="45">
        <v>109</v>
      </c>
      <c r="I24" s="64">
        <f t="shared" si="0"/>
        <v>763000</v>
      </c>
    </row>
    <row r="25" spans="1:9" ht="30.75" thickBot="1" x14ac:dyDescent="0.3">
      <c r="A25" s="4">
        <v>17</v>
      </c>
      <c r="B25" s="51" t="s">
        <v>21</v>
      </c>
      <c r="C25" s="17" t="s">
        <v>37</v>
      </c>
      <c r="D25" s="7" t="s">
        <v>40</v>
      </c>
      <c r="E25" s="60" t="s">
        <v>56</v>
      </c>
      <c r="F25" s="33" t="s">
        <v>63</v>
      </c>
      <c r="G25" s="33">
        <v>20000</v>
      </c>
      <c r="H25" s="45">
        <v>35.1</v>
      </c>
      <c r="I25" s="64">
        <f t="shared" si="0"/>
        <v>702000</v>
      </c>
    </row>
    <row r="26" spans="1:9" ht="45.75" thickBot="1" x14ac:dyDescent="0.3">
      <c r="A26" s="4">
        <v>18</v>
      </c>
      <c r="B26" s="51" t="s">
        <v>22</v>
      </c>
      <c r="C26" s="17" t="s">
        <v>37</v>
      </c>
      <c r="D26" s="7" t="s">
        <v>40</v>
      </c>
      <c r="E26" s="60" t="s">
        <v>57</v>
      </c>
      <c r="F26" s="33" t="s">
        <v>63</v>
      </c>
      <c r="G26" s="33">
        <v>20000</v>
      </c>
      <c r="H26" s="45">
        <v>35.4</v>
      </c>
      <c r="I26" s="64">
        <f t="shared" si="0"/>
        <v>708000</v>
      </c>
    </row>
    <row r="27" spans="1:9" ht="30.75" thickBot="1" x14ac:dyDescent="0.3">
      <c r="A27" s="4">
        <v>19</v>
      </c>
      <c r="B27" s="51" t="s">
        <v>23</v>
      </c>
      <c r="C27" s="17" t="s">
        <v>37</v>
      </c>
      <c r="D27" s="7" t="s">
        <v>40</v>
      </c>
      <c r="E27" s="60" t="s">
        <v>58</v>
      </c>
      <c r="F27" s="33" t="s">
        <v>63</v>
      </c>
      <c r="G27" s="33">
        <v>13000</v>
      </c>
      <c r="H27" s="45">
        <v>47</v>
      </c>
      <c r="I27" s="64">
        <f t="shared" si="0"/>
        <v>611000</v>
      </c>
    </row>
    <row r="28" spans="1:9" ht="45.75" thickBot="1" x14ac:dyDescent="0.3">
      <c r="A28" s="4">
        <v>20</v>
      </c>
      <c r="B28" s="53" t="s">
        <v>24</v>
      </c>
      <c r="C28" s="37" t="s">
        <v>37</v>
      </c>
      <c r="D28" s="35" t="s">
        <v>68</v>
      </c>
      <c r="E28" s="60" t="s">
        <v>116</v>
      </c>
      <c r="F28" s="33" t="s">
        <v>63</v>
      </c>
      <c r="G28" s="33">
        <v>20000</v>
      </c>
      <c r="H28" s="45">
        <v>122.8</v>
      </c>
      <c r="I28" s="64">
        <f t="shared" si="0"/>
        <v>2456000</v>
      </c>
    </row>
    <row r="29" spans="1:9" ht="45.75" thickBot="1" x14ac:dyDescent="0.3">
      <c r="A29" s="4">
        <v>21</v>
      </c>
      <c r="B29" s="53" t="s">
        <v>24</v>
      </c>
      <c r="C29" s="37" t="s">
        <v>37</v>
      </c>
      <c r="D29" s="35" t="s">
        <v>68</v>
      </c>
      <c r="E29" s="60" t="s">
        <v>116</v>
      </c>
      <c r="F29" s="33" t="s">
        <v>63</v>
      </c>
      <c r="G29" s="33">
        <v>13000</v>
      </c>
      <c r="H29" s="45">
        <v>216.4</v>
      </c>
      <c r="I29" s="64">
        <f t="shared" si="0"/>
        <v>2813200</v>
      </c>
    </row>
    <row r="30" spans="1:9" ht="30.75" thickBot="1" x14ac:dyDescent="0.3">
      <c r="A30" s="4">
        <v>22</v>
      </c>
      <c r="B30" s="53" t="s">
        <v>25</v>
      </c>
      <c r="C30" s="37" t="s">
        <v>37</v>
      </c>
      <c r="D30" s="35" t="s">
        <v>40</v>
      </c>
      <c r="E30" s="62" t="s">
        <v>73</v>
      </c>
      <c r="F30" s="33" t="s">
        <v>63</v>
      </c>
      <c r="G30" s="33">
        <v>20000</v>
      </c>
      <c r="H30" s="45">
        <v>99</v>
      </c>
      <c r="I30" s="64">
        <f t="shared" si="0"/>
        <v>1980000</v>
      </c>
    </row>
    <row r="31" spans="1:9" ht="45.75" thickBot="1" x14ac:dyDescent="0.3">
      <c r="A31" s="4">
        <v>23</v>
      </c>
      <c r="B31" s="51" t="s">
        <v>26</v>
      </c>
      <c r="C31" s="17" t="s">
        <v>37</v>
      </c>
      <c r="D31" s="35" t="s">
        <v>68</v>
      </c>
      <c r="E31" s="60" t="s">
        <v>59</v>
      </c>
      <c r="F31" s="33" t="s">
        <v>63</v>
      </c>
      <c r="G31" s="33">
        <v>13000</v>
      </c>
      <c r="H31" s="45">
        <v>132.1</v>
      </c>
      <c r="I31" s="64">
        <f t="shared" si="0"/>
        <v>1717300</v>
      </c>
    </row>
    <row r="32" spans="1:9" ht="30.75" thickBot="1" x14ac:dyDescent="0.3">
      <c r="A32" s="4">
        <v>24</v>
      </c>
      <c r="B32" s="51" t="s">
        <v>27</v>
      </c>
      <c r="C32" s="17" t="s">
        <v>37</v>
      </c>
      <c r="D32" s="54" t="s">
        <v>40</v>
      </c>
      <c r="E32" s="60" t="s">
        <v>60</v>
      </c>
      <c r="F32" s="33" t="s">
        <v>63</v>
      </c>
      <c r="G32" s="33">
        <v>40000</v>
      </c>
      <c r="H32" s="46">
        <v>22.6</v>
      </c>
      <c r="I32" s="64">
        <f>G32*H32</f>
        <v>904000</v>
      </c>
    </row>
    <row r="33" spans="1:9" ht="45" x14ac:dyDescent="0.25">
      <c r="A33" s="4">
        <v>25</v>
      </c>
      <c r="B33" s="51" t="s">
        <v>28</v>
      </c>
      <c r="C33" s="57" t="s">
        <v>37</v>
      </c>
      <c r="D33" s="7" t="s">
        <v>40</v>
      </c>
      <c r="E33" s="63" t="s">
        <v>61</v>
      </c>
      <c r="F33" s="33" t="s">
        <v>63</v>
      </c>
      <c r="G33" s="33">
        <v>1000</v>
      </c>
      <c r="H33" s="45">
        <v>115.7</v>
      </c>
      <c r="I33" s="64">
        <f t="shared" si="0"/>
        <v>115700</v>
      </c>
    </row>
    <row r="34" spans="1:9" ht="15.75" thickBot="1" x14ac:dyDescent="0.3">
      <c r="A34" s="5"/>
      <c r="B34" s="58"/>
      <c r="C34" s="18"/>
      <c r="D34" s="56"/>
      <c r="E34" s="27"/>
      <c r="F34" s="8"/>
      <c r="G34" s="8"/>
      <c r="H34" s="34"/>
      <c r="I34" s="34"/>
    </row>
    <row r="35" spans="1:9" x14ac:dyDescent="0.25">
      <c r="A35" s="1"/>
      <c r="B35" s="9" t="s">
        <v>124</v>
      </c>
      <c r="C35" s="19"/>
      <c r="D35" s="19"/>
      <c r="E35" s="28"/>
      <c r="F35" s="1"/>
      <c r="G35" s="1"/>
      <c r="H35" s="1"/>
      <c r="I35" s="1"/>
    </row>
    <row r="36" spans="1:9" x14ac:dyDescent="0.25">
      <c r="A36" s="1"/>
      <c r="B36" s="10"/>
      <c r="C36" s="1"/>
      <c r="D36" s="1"/>
      <c r="E36" s="29"/>
      <c r="F36" s="1"/>
      <c r="G36" s="1"/>
      <c r="H36" s="1"/>
      <c r="I36" s="1"/>
    </row>
    <row r="37" spans="1:9" x14ac:dyDescent="0.25">
      <c r="A37" s="1"/>
      <c r="B37" s="11" t="s">
        <v>29</v>
      </c>
      <c r="C37" s="1"/>
      <c r="D37" s="1"/>
      <c r="E37" s="29"/>
      <c r="F37" s="1"/>
      <c r="G37" s="1"/>
      <c r="H37" s="1"/>
      <c r="I37" s="1"/>
    </row>
    <row r="38" spans="1:9" x14ac:dyDescent="0.25">
      <c r="A38" s="1"/>
      <c r="B38" s="11"/>
      <c r="C38" s="106"/>
      <c r="D38" s="106"/>
      <c r="E38" s="107"/>
      <c r="F38" s="1"/>
      <c r="G38" s="1"/>
      <c r="H38" s="1"/>
      <c r="I38" s="1"/>
    </row>
    <row r="39" spans="1:9" x14ac:dyDescent="0.25">
      <c r="A39" s="1"/>
      <c r="B39" s="11" t="s">
        <v>30</v>
      </c>
      <c r="C39" s="1"/>
      <c r="D39" s="1"/>
      <c r="E39" s="29"/>
      <c r="F39" s="1"/>
      <c r="G39" s="1"/>
      <c r="H39" s="1"/>
      <c r="I39" s="1"/>
    </row>
    <row r="40" spans="1:9" x14ac:dyDescent="0.25">
      <c r="A40" s="1"/>
      <c r="B40" s="12"/>
      <c r="C40" s="108" t="s">
        <v>38</v>
      </c>
      <c r="D40" s="108"/>
      <c r="E40" s="109"/>
      <c r="F40" s="1"/>
      <c r="G40" s="1"/>
      <c r="H40" s="1"/>
      <c r="I40" s="1"/>
    </row>
    <row r="41" spans="1:9" ht="63" customHeight="1" x14ac:dyDescent="0.25">
      <c r="A41" s="1"/>
      <c r="B41" s="12"/>
      <c r="C41" s="108"/>
      <c r="D41" s="108"/>
      <c r="E41" s="109"/>
      <c r="F41" s="1"/>
      <c r="G41" s="1"/>
      <c r="H41" s="1"/>
      <c r="I41" s="1"/>
    </row>
    <row r="42" spans="1:9" x14ac:dyDescent="0.25">
      <c r="A42" s="1"/>
      <c r="B42" s="11" t="s">
        <v>31</v>
      </c>
      <c r="C42" s="1"/>
      <c r="D42" s="1"/>
      <c r="E42" s="29"/>
      <c r="F42" s="1"/>
      <c r="G42" s="1"/>
      <c r="H42" s="1"/>
      <c r="I42" s="1"/>
    </row>
    <row r="43" spans="1:9" x14ac:dyDescent="0.25">
      <c r="A43" s="1"/>
      <c r="B43" s="12"/>
      <c r="C43" s="106"/>
      <c r="D43" s="106"/>
      <c r="E43" s="107"/>
      <c r="F43" s="1"/>
      <c r="G43" s="1"/>
      <c r="H43" s="1"/>
      <c r="I43" s="1"/>
    </row>
    <row r="44" spans="1:9" x14ac:dyDescent="0.25">
      <c r="A44" s="1"/>
      <c r="B44" s="11" t="s">
        <v>32</v>
      </c>
      <c r="C44" s="20"/>
      <c r="D44" s="20"/>
      <c r="E44" s="30"/>
      <c r="F44" s="1"/>
      <c r="G44" s="1"/>
      <c r="H44" s="1"/>
      <c r="I44" s="1"/>
    </row>
    <row r="45" spans="1:9" x14ac:dyDescent="0.25">
      <c r="A45" s="1"/>
      <c r="B45" s="12"/>
      <c r="C45" s="106"/>
      <c r="D45" s="106"/>
      <c r="E45" s="107"/>
      <c r="F45" s="1"/>
      <c r="G45" s="1"/>
      <c r="H45" s="1"/>
      <c r="I45" s="1"/>
    </row>
    <row r="46" spans="1:9" x14ac:dyDescent="0.25">
      <c r="A46" s="1"/>
      <c r="B46" s="11" t="s">
        <v>33</v>
      </c>
      <c r="C46" s="1"/>
      <c r="D46" s="1"/>
      <c r="E46" s="29"/>
      <c r="F46" s="1"/>
      <c r="G46" s="1"/>
      <c r="H46" s="1"/>
      <c r="I46" s="1"/>
    </row>
    <row r="47" spans="1:9" x14ac:dyDescent="0.25">
      <c r="A47" s="1"/>
      <c r="B47" s="11"/>
      <c r="C47" s="106"/>
      <c r="D47" s="110"/>
      <c r="E47" s="111"/>
      <c r="F47" s="1"/>
      <c r="G47" s="1"/>
      <c r="H47" s="1"/>
      <c r="I47" s="1"/>
    </row>
    <row r="48" spans="1:9" ht="15.75" thickBot="1" x14ac:dyDescent="0.3">
      <c r="A48" s="1"/>
      <c r="B48" s="13"/>
      <c r="C48" s="21"/>
      <c r="D48" s="21"/>
      <c r="E48" s="31"/>
      <c r="F48" s="1"/>
      <c r="G48" s="1"/>
      <c r="H48" s="1"/>
      <c r="I48" s="1"/>
    </row>
    <row r="49" spans="1:9" ht="15.75" thickBot="1" x14ac:dyDescent="0.3">
      <c r="A49" s="5"/>
      <c r="B49" s="58"/>
      <c r="C49" s="18"/>
      <c r="D49" s="55"/>
      <c r="E49" s="27"/>
      <c r="F49" s="8"/>
      <c r="G49" s="8"/>
      <c r="H49" s="34"/>
      <c r="I49" s="34"/>
    </row>
    <row r="50" spans="1:9" x14ac:dyDescent="0.25">
      <c r="A50" s="1"/>
      <c r="B50" s="9" t="s">
        <v>117</v>
      </c>
      <c r="C50" s="19"/>
      <c r="D50" s="19"/>
      <c r="E50" s="28"/>
      <c r="F50" s="1"/>
      <c r="G50" s="1"/>
      <c r="H50" s="1"/>
      <c r="I50" s="1"/>
    </row>
    <row r="51" spans="1:9" x14ac:dyDescent="0.25">
      <c r="A51" s="1"/>
      <c r="B51" s="10" t="s">
        <v>118</v>
      </c>
      <c r="C51" s="1"/>
      <c r="D51" s="1"/>
      <c r="E51" s="29"/>
      <c r="F51" s="1"/>
      <c r="G51" s="1"/>
      <c r="H51" s="1"/>
      <c r="I51" s="1"/>
    </row>
    <row r="52" spans="1:9" x14ac:dyDescent="0.25">
      <c r="A52" s="1"/>
      <c r="B52" s="11" t="s">
        <v>29</v>
      </c>
      <c r="C52" s="1"/>
      <c r="D52" s="1"/>
      <c r="E52" s="29"/>
      <c r="F52" s="1"/>
      <c r="G52" s="1"/>
      <c r="H52" s="1"/>
      <c r="I52" s="1"/>
    </row>
    <row r="53" spans="1:9" x14ac:dyDescent="0.25">
      <c r="A53" s="1"/>
      <c r="B53" s="11"/>
      <c r="C53" s="106"/>
      <c r="D53" s="106"/>
      <c r="E53" s="107"/>
      <c r="F53" s="1"/>
      <c r="G53" s="1"/>
      <c r="H53" s="1"/>
      <c r="I53" s="1"/>
    </row>
    <row r="54" spans="1:9" x14ac:dyDescent="0.25">
      <c r="A54" s="1"/>
      <c r="B54" s="11" t="s">
        <v>30</v>
      </c>
      <c r="C54" s="1"/>
      <c r="D54" s="1"/>
      <c r="E54" s="29"/>
      <c r="F54" s="1"/>
      <c r="G54" s="1"/>
      <c r="H54" s="1"/>
      <c r="I54" s="1"/>
    </row>
    <row r="55" spans="1:9" x14ac:dyDescent="0.25">
      <c r="A55" s="1"/>
      <c r="B55" s="12"/>
      <c r="C55" s="108" t="s">
        <v>38</v>
      </c>
      <c r="D55" s="108"/>
      <c r="E55" s="109"/>
      <c r="F55" s="1"/>
      <c r="G55" s="1"/>
      <c r="H55" s="1"/>
      <c r="I55" s="1"/>
    </row>
    <row r="56" spans="1:9" ht="63" customHeight="1" x14ac:dyDescent="0.25">
      <c r="A56" s="1"/>
      <c r="B56" s="12"/>
      <c r="C56" s="108"/>
      <c r="D56" s="108"/>
      <c r="E56" s="109"/>
      <c r="F56" s="1"/>
      <c r="G56" s="1"/>
      <c r="H56" s="1"/>
      <c r="I56" s="1"/>
    </row>
    <row r="57" spans="1:9" x14ac:dyDescent="0.25">
      <c r="A57" s="1"/>
      <c r="B57" s="11" t="s">
        <v>31</v>
      </c>
      <c r="C57" s="1"/>
      <c r="D57" s="1"/>
      <c r="E57" s="29"/>
      <c r="F57" s="1"/>
      <c r="G57" s="1"/>
      <c r="H57" s="1"/>
      <c r="I57" s="1"/>
    </row>
    <row r="58" spans="1:9" x14ac:dyDescent="0.25">
      <c r="A58" s="1"/>
      <c r="B58" s="12"/>
      <c r="C58" s="106"/>
      <c r="D58" s="106"/>
      <c r="E58" s="107"/>
      <c r="F58" s="1"/>
      <c r="G58" s="1"/>
      <c r="H58" s="1"/>
      <c r="I58" s="1"/>
    </row>
    <row r="59" spans="1:9" x14ac:dyDescent="0.25">
      <c r="A59" s="1"/>
      <c r="B59" s="11" t="s">
        <v>32</v>
      </c>
      <c r="C59" s="20"/>
      <c r="D59" s="20"/>
      <c r="E59" s="30"/>
      <c r="F59" s="1"/>
      <c r="G59" s="1"/>
      <c r="H59" s="1"/>
      <c r="I59" s="1"/>
    </row>
    <row r="60" spans="1:9" x14ac:dyDescent="0.25">
      <c r="A60" s="1"/>
      <c r="B60" s="12"/>
      <c r="C60" s="106"/>
      <c r="D60" s="106"/>
      <c r="E60" s="107"/>
      <c r="F60" s="1"/>
      <c r="G60" s="1"/>
      <c r="H60" s="1"/>
      <c r="I60" s="1"/>
    </row>
    <row r="61" spans="1:9" x14ac:dyDescent="0.25">
      <c r="A61" s="1"/>
      <c r="B61" s="11" t="s">
        <v>33</v>
      </c>
      <c r="C61" s="1"/>
      <c r="D61" s="1"/>
      <c r="E61" s="29"/>
      <c r="F61" s="1"/>
      <c r="G61" s="1"/>
      <c r="H61" s="1"/>
      <c r="I61" s="1"/>
    </row>
    <row r="62" spans="1:9" x14ac:dyDescent="0.25">
      <c r="A62" s="1"/>
      <c r="B62" s="11"/>
      <c r="C62" s="106"/>
      <c r="D62" s="110"/>
      <c r="E62" s="111"/>
      <c r="F62" s="1"/>
      <c r="G62" s="1"/>
      <c r="H62" s="1"/>
      <c r="I62" s="1"/>
    </row>
    <row r="63" spans="1:9" ht="15.75" thickBot="1" x14ac:dyDescent="0.3">
      <c r="A63" s="1"/>
      <c r="B63" s="13"/>
      <c r="C63" s="21"/>
      <c r="D63" s="21"/>
      <c r="E63" s="31"/>
      <c r="F63" s="1"/>
      <c r="G63" s="1"/>
      <c r="H63" s="1"/>
      <c r="I63" s="1"/>
    </row>
    <row r="64" spans="1:9" ht="15.75" thickBot="1" x14ac:dyDescent="0.3">
      <c r="A64" s="1"/>
      <c r="B64" s="1"/>
      <c r="C64" s="1"/>
      <c r="D64" s="1"/>
      <c r="E64" s="1"/>
      <c r="F64" s="1"/>
      <c r="G64" s="1"/>
      <c r="H64" s="1"/>
      <c r="I64" s="1"/>
    </row>
    <row r="65" spans="2:5" x14ac:dyDescent="0.25">
      <c r="B65" s="9" t="s">
        <v>119</v>
      </c>
      <c r="C65" s="19"/>
      <c r="D65" s="19"/>
      <c r="E65" s="28"/>
    </row>
    <row r="66" spans="2:5" x14ac:dyDescent="0.25">
      <c r="B66" s="10" t="s">
        <v>120</v>
      </c>
      <c r="C66" s="1"/>
      <c r="D66" s="1"/>
      <c r="E66" s="29"/>
    </row>
    <row r="67" spans="2:5" x14ac:dyDescent="0.25">
      <c r="B67" s="11" t="s">
        <v>29</v>
      </c>
      <c r="C67" s="1"/>
      <c r="D67" s="1"/>
      <c r="E67" s="29"/>
    </row>
    <row r="68" spans="2:5" x14ac:dyDescent="0.25">
      <c r="B68" s="11"/>
      <c r="C68" s="106"/>
      <c r="D68" s="106"/>
      <c r="E68" s="107"/>
    </row>
    <row r="69" spans="2:5" x14ac:dyDescent="0.25">
      <c r="B69" s="11" t="s">
        <v>30</v>
      </c>
      <c r="C69" s="1"/>
      <c r="D69" s="1"/>
      <c r="E69" s="29"/>
    </row>
    <row r="70" spans="2:5" x14ac:dyDescent="0.25">
      <c r="B70" s="12"/>
      <c r="C70" s="112" t="s">
        <v>38</v>
      </c>
      <c r="D70" s="112"/>
      <c r="E70" s="113"/>
    </row>
    <row r="71" spans="2:5" ht="80.25" customHeight="1" x14ac:dyDescent="0.25">
      <c r="B71" s="12"/>
      <c r="C71" s="112"/>
      <c r="D71" s="112"/>
      <c r="E71" s="113"/>
    </row>
    <row r="72" spans="2:5" x14ac:dyDescent="0.25">
      <c r="B72" s="11" t="s">
        <v>31</v>
      </c>
      <c r="C72" s="1"/>
      <c r="D72" s="1"/>
      <c r="E72" s="29"/>
    </row>
    <row r="73" spans="2:5" x14ac:dyDescent="0.25">
      <c r="B73" s="12"/>
      <c r="C73" s="106"/>
      <c r="D73" s="106"/>
      <c r="E73" s="107"/>
    </row>
    <row r="74" spans="2:5" x14ac:dyDescent="0.25">
      <c r="B74" s="11" t="s">
        <v>32</v>
      </c>
      <c r="C74" s="20"/>
      <c r="D74" s="20"/>
      <c r="E74" s="30"/>
    </row>
    <row r="75" spans="2:5" x14ac:dyDescent="0.25">
      <c r="B75" s="12"/>
      <c r="C75" s="106"/>
      <c r="D75" s="106"/>
      <c r="E75" s="107"/>
    </row>
    <row r="76" spans="2:5" x14ac:dyDescent="0.25">
      <c r="B76" s="11" t="s">
        <v>33</v>
      </c>
      <c r="C76" s="1"/>
      <c r="D76" s="1"/>
      <c r="E76" s="29"/>
    </row>
    <row r="77" spans="2:5" x14ac:dyDescent="0.25">
      <c r="B77" s="11"/>
      <c r="C77" s="106"/>
      <c r="D77" s="110"/>
      <c r="E77" s="111"/>
    </row>
    <row r="78" spans="2:5" ht="15.75" thickBot="1" x14ac:dyDescent="0.3">
      <c r="B78" s="13"/>
      <c r="C78" s="21"/>
      <c r="D78" s="21"/>
      <c r="E78" s="31"/>
    </row>
    <row r="79" spans="2:5" ht="15.75" thickBot="1" x14ac:dyDescent="0.3"/>
    <row r="80" spans="2:5" x14ac:dyDescent="0.25">
      <c r="B80" s="9" t="s">
        <v>122</v>
      </c>
      <c r="C80" s="19"/>
      <c r="D80" s="19"/>
      <c r="E80" s="28"/>
    </row>
    <row r="81" spans="2:5" x14ac:dyDescent="0.25">
      <c r="B81" s="10" t="s">
        <v>121</v>
      </c>
      <c r="C81" s="1"/>
      <c r="D81" s="1"/>
      <c r="E81" s="29"/>
    </row>
    <row r="82" spans="2:5" x14ac:dyDescent="0.25">
      <c r="B82" s="11" t="s">
        <v>29</v>
      </c>
      <c r="C82" s="1"/>
      <c r="D82" s="1"/>
      <c r="E82" s="29"/>
    </row>
    <row r="83" spans="2:5" x14ac:dyDescent="0.25">
      <c r="B83" s="11"/>
      <c r="C83" s="106"/>
      <c r="D83" s="106"/>
      <c r="E83" s="107"/>
    </row>
    <row r="84" spans="2:5" x14ac:dyDescent="0.25">
      <c r="B84" s="11" t="s">
        <v>30</v>
      </c>
      <c r="C84" s="1"/>
      <c r="D84" s="1"/>
      <c r="E84" s="29"/>
    </row>
    <row r="85" spans="2:5" x14ac:dyDescent="0.25">
      <c r="B85" s="12"/>
      <c r="C85" s="112" t="s">
        <v>38</v>
      </c>
      <c r="D85" s="112"/>
      <c r="E85" s="113"/>
    </row>
    <row r="86" spans="2:5" ht="86.25" customHeight="1" x14ac:dyDescent="0.25">
      <c r="B86" s="12"/>
      <c r="C86" s="112"/>
      <c r="D86" s="112"/>
      <c r="E86" s="113"/>
    </row>
    <row r="87" spans="2:5" x14ac:dyDescent="0.25">
      <c r="B87" s="11" t="s">
        <v>31</v>
      </c>
      <c r="C87" s="1"/>
      <c r="D87" s="1"/>
      <c r="E87" s="29"/>
    </row>
    <row r="88" spans="2:5" x14ac:dyDescent="0.25">
      <c r="B88" s="12"/>
      <c r="C88" s="106"/>
      <c r="D88" s="106"/>
      <c r="E88" s="107"/>
    </row>
    <row r="89" spans="2:5" x14ac:dyDescent="0.25">
      <c r="B89" s="11" t="s">
        <v>32</v>
      </c>
      <c r="C89" s="20"/>
      <c r="D89" s="20"/>
      <c r="E89" s="30"/>
    </row>
    <row r="90" spans="2:5" x14ac:dyDescent="0.25">
      <c r="B90" s="12"/>
      <c r="C90" s="106"/>
      <c r="D90" s="106"/>
      <c r="E90" s="107"/>
    </row>
    <row r="91" spans="2:5" x14ac:dyDescent="0.25">
      <c r="B91" s="11" t="s">
        <v>33</v>
      </c>
      <c r="C91" s="1"/>
      <c r="D91" s="1"/>
      <c r="E91" s="29"/>
    </row>
    <row r="92" spans="2:5" x14ac:dyDescent="0.25">
      <c r="B92" s="11"/>
      <c r="C92" s="106"/>
      <c r="D92" s="110"/>
      <c r="E92" s="111"/>
    </row>
    <row r="93" spans="2:5" ht="15.75" thickBot="1" x14ac:dyDescent="0.3">
      <c r="B93" s="13"/>
      <c r="C93" s="21"/>
      <c r="D93" s="21"/>
      <c r="E93" s="31"/>
    </row>
  </sheetData>
  <autoFilter ref="A8:I33" xr:uid="{00000000-0009-0000-0000-000000000000}"/>
  <mergeCells count="27">
    <mergeCell ref="C68:E68"/>
    <mergeCell ref="B1:H1"/>
    <mergeCell ref="A3:B3"/>
    <mergeCell ref="C3:E3"/>
    <mergeCell ref="A4:B4"/>
    <mergeCell ref="C4:E4"/>
    <mergeCell ref="A5:B5"/>
    <mergeCell ref="A6:B6"/>
    <mergeCell ref="C53:E53"/>
    <mergeCell ref="C55:E56"/>
    <mergeCell ref="C58:E58"/>
    <mergeCell ref="C60:E60"/>
    <mergeCell ref="C62:E62"/>
    <mergeCell ref="C88:E88"/>
    <mergeCell ref="C90:E90"/>
    <mergeCell ref="C92:E92"/>
    <mergeCell ref="C70:E71"/>
    <mergeCell ref="C73:E73"/>
    <mergeCell ref="C75:E75"/>
    <mergeCell ref="C77:E77"/>
    <mergeCell ref="C83:E83"/>
    <mergeCell ref="C85:E86"/>
    <mergeCell ref="C38:E38"/>
    <mergeCell ref="C40:E41"/>
    <mergeCell ref="C43:E43"/>
    <mergeCell ref="C45:E45"/>
    <mergeCell ref="C47:E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topLeftCell="A22" workbookViewId="0">
      <selection activeCell="G35" sqref="G35"/>
    </sheetView>
  </sheetViews>
  <sheetFormatPr baseColWidth="10" defaultRowHeight="15" x14ac:dyDescent="0.25"/>
  <cols>
    <col min="1" max="1" width="4.5703125" customWidth="1"/>
    <col min="2" max="2" width="15" customWidth="1"/>
    <col min="3" max="3" width="59.140625" customWidth="1"/>
    <col min="4" max="4" width="15.5703125" customWidth="1"/>
    <col min="5" max="5" width="17.7109375" customWidth="1"/>
    <col min="6" max="6" width="13.85546875" customWidth="1"/>
    <col min="7" max="7" width="12.7109375" customWidth="1"/>
  </cols>
  <sheetData>
    <row r="1" spans="1:7" ht="16.5" thickBot="1" x14ac:dyDescent="0.3">
      <c r="A1" s="118" t="s">
        <v>74</v>
      </c>
      <c r="B1" s="119"/>
      <c r="C1" s="119"/>
      <c r="D1" s="119"/>
      <c r="E1" s="119"/>
      <c r="F1" s="119"/>
      <c r="G1" s="102" t="s">
        <v>115</v>
      </c>
    </row>
    <row r="2" spans="1:7" ht="15.75" thickBot="1" x14ac:dyDescent="0.3">
      <c r="A2" s="38"/>
      <c r="B2" s="39"/>
      <c r="C2" s="39"/>
      <c r="D2" s="105"/>
      <c r="E2" s="105"/>
      <c r="F2" s="105"/>
      <c r="G2" s="40"/>
    </row>
    <row r="3" spans="1:7" ht="15.75" thickBot="1" x14ac:dyDescent="0.3">
      <c r="A3" s="128" t="s">
        <v>75</v>
      </c>
      <c r="B3" s="128"/>
      <c r="C3" s="128"/>
      <c r="D3" s="125" t="s">
        <v>76</v>
      </c>
      <c r="E3" s="125"/>
      <c r="F3" s="125"/>
      <c r="G3" s="125"/>
    </row>
    <row r="4" spans="1:7" ht="15.75" thickBot="1" x14ac:dyDescent="0.3">
      <c r="A4" s="124" t="s">
        <v>77</v>
      </c>
      <c r="B4" s="124"/>
      <c r="C4" s="124"/>
      <c r="D4" s="123">
        <v>26</v>
      </c>
      <c r="E4" s="123"/>
      <c r="F4" s="123"/>
      <c r="G4" s="123"/>
    </row>
    <row r="5" spans="1:7" ht="15.75" customHeight="1" thickBot="1" x14ac:dyDescent="0.3">
      <c r="A5" s="124" t="s">
        <v>78</v>
      </c>
      <c r="B5" s="124"/>
      <c r="C5" s="124"/>
      <c r="D5" s="129" t="s">
        <v>76</v>
      </c>
      <c r="E5" s="130"/>
      <c r="F5" s="130"/>
      <c r="G5" s="131"/>
    </row>
    <row r="6" spans="1:7" ht="15.75" thickBot="1" x14ac:dyDescent="0.3">
      <c r="A6" s="120" t="s">
        <v>79</v>
      </c>
      <c r="B6" s="121"/>
      <c r="C6" s="122"/>
      <c r="D6" s="123" t="s">
        <v>76</v>
      </c>
      <c r="E6" s="123"/>
      <c r="F6" s="123"/>
      <c r="G6" s="123"/>
    </row>
    <row r="7" spans="1:7" ht="15.75" thickBot="1" x14ac:dyDescent="0.3">
      <c r="A7" s="124" t="s">
        <v>80</v>
      </c>
      <c r="B7" s="124"/>
      <c r="C7" s="124"/>
      <c r="D7" s="125" t="s">
        <v>81</v>
      </c>
      <c r="E7" s="125"/>
      <c r="F7" s="125"/>
      <c r="G7" s="125"/>
    </row>
    <row r="8" spans="1:7" ht="15.75" thickBot="1" x14ac:dyDescent="0.3">
      <c r="A8" s="126" t="s">
        <v>82</v>
      </c>
      <c r="B8" s="126"/>
      <c r="C8" s="126"/>
      <c r="D8" s="127" t="s">
        <v>83</v>
      </c>
      <c r="E8" s="127"/>
      <c r="F8" s="127"/>
      <c r="G8" s="127"/>
    </row>
    <row r="9" spans="1:7" ht="76.5" customHeight="1" thickBot="1" x14ac:dyDescent="0.3">
      <c r="A9" s="103" t="s">
        <v>4</v>
      </c>
      <c r="B9" s="103" t="s">
        <v>6</v>
      </c>
      <c r="C9" s="103" t="s">
        <v>41</v>
      </c>
      <c r="D9" s="104" t="s">
        <v>84</v>
      </c>
      <c r="E9" s="103" t="s">
        <v>62</v>
      </c>
      <c r="F9" s="103" t="s">
        <v>66</v>
      </c>
      <c r="G9" s="103" t="s">
        <v>65</v>
      </c>
    </row>
    <row r="10" spans="1:7" ht="61.5" thickTop="1" thickBot="1" x14ac:dyDescent="0.3">
      <c r="A10" s="3">
        <v>1</v>
      </c>
      <c r="B10" s="50" t="s">
        <v>7</v>
      </c>
      <c r="C10" s="24" t="s">
        <v>42</v>
      </c>
      <c r="D10" s="43" t="s">
        <v>85</v>
      </c>
      <c r="E10" s="32" t="s">
        <v>63</v>
      </c>
      <c r="F10" s="47">
        <v>334.2</v>
      </c>
      <c r="G10" s="32">
        <v>7000</v>
      </c>
    </row>
    <row r="11" spans="1:7" ht="60.75" thickBot="1" x14ac:dyDescent="0.3">
      <c r="A11" s="4">
        <v>2</v>
      </c>
      <c r="B11" s="51" t="s">
        <v>8</v>
      </c>
      <c r="C11" s="25" t="s">
        <v>43</v>
      </c>
      <c r="D11" s="41" t="s">
        <v>85</v>
      </c>
      <c r="E11" s="33" t="s">
        <v>63</v>
      </c>
      <c r="F11" s="48">
        <v>226</v>
      </c>
      <c r="G11" s="33">
        <v>14000</v>
      </c>
    </row>
    <row r="12" spans="1:7" ht="15.75" thickBot="1" x14ac:dyDescent="0.3">
      <c r="A12" s="4">
        <v>3</v>
      </c>
      <c r="B12" s="52" t="s">
        <v>9</v>
      </c>
      <c r="C12" s="26" t="s">
        <v>44</v>
      </c>
      <c r="D12" s="42" t="s">
        <v>85</v>
      </c>
      <c r="E12" s="33" t="s">
        <v>63</v>
      </c>
      <c r="F12" s="48">
        <v>19.7</v>
      </c>
      <c r="G12" s="33">
        <v>27000</v>
      </c>
    </row>
    <row r="13" spans="1:7" ht="45.75" thickBot="1" x14ac:dyDescent="0.3">
      <c r="A13" s="4">
        <v>4</v>
      </c>
      <c r="B13" s="51" t="s">
        <v>69</v>
      </c>
      <c r="C13" s="36" t="s">
        <v>70</v>
      </c>
      <c r="D13" s="42" t="s">
        <v>85</v>
      </c>
      <c r="E13" s="33" t="s">
        <v>63</v>
      </c>
      <c r="F13" s="48">
        <v>24.7</v>
      </c>
      <c r="G13" s="33">
        <v>27000</v>
      </c>
    </row>
    <row r="14" spans="1:7" ht="45.75" thickBot="1" x14ac:dyDescent="0.3">
      <c r="A14" s="4">
        <v>5</v>
      </c>
      <c r="B14" s="51" t="s">
        <v>10</v>
      </c>
      <c r="C14" s="25" t="s">
        <v>45</v>
      </c>
      <c r="D14" s="42" t="s">
        <v>85</v>
      </c>
      <c r="E14" s="33" t="s">
        <v>63</v>
      </c>
      <c r="F14" s="48">
        <v>19</v>
      </c>
      <c r="G14" s="33">
        <v>7000</v>
      </c>
    </row>
    <row r="15" spans="1:7" ht="30.75" thickBot="1" x14ac:dyDescent="0.3">
      <c r="A15" s="4">
        <v>6</v>
      </c>
      <c r="B15" s="51" t="s">
        <v>11</v>
      </c>
      <c r="C15" s="25" t="s">
        <v>46</v>
      </c>
      <c r="D15" s="42" t="s">
        <v>85</v>
      </c>
      <c r="E15" s="33" t="s">
        <v>64</v>
      </c>
      <c r="F15" s="48">
        <v>215.4</v>
      </c>
      <c r="G15" s="33">
        <v>7000</v>
      </c>
    </row>
    <row r="16" spans="1:7" ht="15.75" thickBot="1" x14ac:dyDescent="0.3">
      <c r="A16" s="4">
        <v>7</v>
      </c>
      <c r="B16" s="7" t="s">
        <v>71</v>
      </c>
      <c r="C16" s="36" t="s">
        <v>72</v>
      </c>
      <c r="D16" s="42" t="s">
        <v>85</v>
      </c>
      <c r="E16" s="33" t="s">
        <v>63</v>
      </c>
      <c r="F16" s="48">
        <v>75.099999999999994</v>
      </c>
      <c r="G16" s="33">
        <v>14000</v>
      </c>
    </row>
    <row r="17" spans="1:7" ht="75.75" thickBot="1" x14ac:dyDescent="0.3">
      <c r="A17" s="4">
        <v>8</v>
      </c>
      <c r="B17" s="51" t="s">
        <v>12</v>
      </c>
      <c r="C17" s="25" t="s">
        <v>47</v>
      </c>
      <c r="D17" s="42" t="s">
        <v>85</v>
      </c>
      <c r="E17" s="33" t="s">
        <v>63</v>
      </c>
      <c r="F17" s="48">
        <v>61</v>
      </c>
      <c r="G17" s="33">
        <v>14000</v>
      </c>
    </row>
    <row r="18" spans="1:7" ht="45.75" thickBot="1" x14ac:dyDescent="0.3">
      <c r="A18" s="4">
        <v>9</v>
      </c>
      <c r="B18" s="51" t="s">
        <v>13</v>
      </c>
      <c r="C18" s="25" t="s">
        <v>48</v>
      </c>
      <c r="D18" s="42" t="s">
        <v>85</v>
      </c>
      <c r="E18" s="33" t="s">
        <v>63</v>
      </c>
      <c r="F18" s="48">
        <v>282.31</v>
      </c>
      <c r="G18" s="33">
        <v>7000</v>
      </c>
    </row>
    <row r="19" spans="1:7" ht="75.75" thickBot="1" x14ac:dyDescent="0.3">
      <c r="A19" s="4">
        <v>10</v>
      </c>
      <c r="B19" s="51" t="s">
        <v>14</v>
      </c>
      <c r="C19" s="25" t="s">
        <v>49</v>
      </c>
      <c r="D19" s="42" t="s">
        <v>85</v>
      </c>
      <c r="E19" s="33" t="s">
        <v>63</v>
      </c>
      <c r="F19" s="49">
        <v>72</v>
      </c>
      <c r="G19" s="33">
        <v>875</v>
      </c>
    </row>
    <row r="20" spans="1:7" ht="30.75" thickBot="1" x14ac:dyDescent="0.3">
      <c r="A20" s="4">
        <v>11</v>
      </c>
      <c r="B20" s="51" t="s">
        <v>15</v>
      </c>
      <c r="C20" s="25" t="s">
        <v>50</v>
      </c>
      <c r="D20" s="42" t="s">
        <v>85</v>
      </c>
      <c r="E20" s="33" t="s">
        <v>63</v>
      </c>
      <c r="F20" s="48">
        <v>13.1</v>
      </c>
      <c r="G20" s="33">
        <v>14000</v>
      </c>
    </row>
    <row r="21" spans="1:7" ht="30.75" thickBot="1" x14ac:dyDescent="0.3">
      <c r="A21" s="4">
        <v>12</v>
      </c>
      <c r="B21" s="51" t="s">
        <v>16</v>
      </c>
      <c r="C21" s="25" t="s">
        <v>51</v>
      </c>
      <c r="D21" s="42" t="s">
        <v>85</v>
      </c>
      <c r="E21" s="33" t="s">
        <v>63</v>
      </c>
      <c r="F21" s="48">
        <v>26.1</v>
      </c>
      <c r="G21" s="33">
        <v>20000</v>
      </c>
    </row>
    <row r="22" spans="1:7" ht="30.75" thickBot="1" x14ac:dyDescent="0.3">
      <c r="A22" s="4">
        <v>13</v>
      </c>
      <c r="B22" s="51" t="s">
        <v>17</v>
      </c>
      <c r="C22" s="25" t="s">
        <v>52</v>
      </c>
      <c r="D22" s="42" t="s">
        <v>85</v>
      </c>
      <c r="E22" s="33" t="s">
        <v>63</v>
      </c>
      <c r="F22" s="48">
        <v>28.7</v>
      </c>
      <c r="G22" s="33">
        <v>27000</v>
      </c>
    </row>
    <row r="23" spans="1:7" ht="30.75" thickBot="1" x14ac:dyDescent="0.3">
      <c r="A23" s="4">
        <v>14</v>
      </c>
      <c r="B23" s="51" t="s">
        <v>18</v>
      </c>
      <c r="C23" s="25" t="s">
        <v>53</v>
      </c>
      <c r="D23" s="42" t="s">
        <v>85</v>
      </c>
      <c r="E23" s="33" t="s">
        <v>63</v>
      </c>
      <c r="F23" s="48">
        <v>52.1</v>
      </c>
      <c r="G23" s="33">
        <v>7000</v>
      </c>
    </row>
    <row r="24" spans="1:7" ht="30.75" thickBot="1" x14ac:dyDescent="0.3">
      <c r="A24" s="4">
        <v>15</v>
      </c>
      <c r="B24" s="51" t="s">
        <v>19</v>
      </c>
      <c r="C24" s="25" t="s">
        <v>54</v>
      </c>
      <c r="D24" s="42" t="s">
        <v>85</v>
      </c>
      <c r="E24" s="33" t="s">
        <v>64</v>
      </c>
      <c r="F24" s="48">
        <v>43.2</v>
      </c>
      <c r="G24" s="33">
        <v>7000</v>
      </c>
    </row>
    <row r="25" spans="1:7" ht="45.75" thickBot="1" x14ac:dyDescent="0.3">
      <c r="A25" s="4">
        <v>16</v>
      </c>
      <c r="B25" s="51" t="s">
        <v>20</v>
      </c>
      <c r="C25" s="25" t="s">
        <v>55</v>
      </c>
      <c r="D25" s="42" t="s">
        <v>85</v>
      </c>
      <c r="E25" s="33" t="s">
        <v>63</v>
      </c>
      <c r="F25" s="48">
        <v>109</v>
      </c>
      <c r="G25" s="33">
        <v>7000</v>
      </c>
    </row>
    <row r="26" spans="1:7" ht="15.75" thickBot="1" x14ac:dyDescent="0.3">
      <c r="A26" s="4">
        <v>17</v>
      </c>
      <c r="B26" s="51" t="s">
        <v>21</v>
      </c>
      <c r="C26" s="25" t="s">
        <v>56</v>
      </c>
      <c r="D26" s="42" t="s">
        <v>85</v>
      </c>
      <c r="E26" s="33" t="s">
        <v>63</v>
      </c>
      <c r="F26" s="48">
        <v>35.1</v>
      </c>
      <c r="G26" s="33">
        <v>20000</v>
      </c>
    </row>
    <row r="27" spans="1:7" ht="45.75" thickBot="1" x14ac:dyDescent="0.3">
      <c r="A27" s="4">
        <v>18</v>
      </c>
      <c r="B27" s="51" t="s">
        <v>22</v>
      </c>
      <c r="C27" s="25" t="s">
        <v>57</v>
      </c>
      <c r="D27" s="42" t="s">
        <v>85</v>
      </c>
      <c r="E27" s="33" t="s">
        <v>63</v>
      </c>
      <c r="F27" s="48">
        <v>35.4</v>
      </c>
      <c r="G27" s="33">
        <v>20000</v>
      </c>
    </row>
    <row r="28" spans="1:7" ht="30.75" thickBot="1" x14ac:dyDescent="0.3">
      <c r="A28" s="4">
        <v>19</v>
      </c>
      <c r="B28" s="51" t="s">
        <v>23</v>
      </c>
      <c r="C28" s="25" t="s">
        <v>58</v>
      </c>
      <c r="D28" s="42" t="s">
        <v>85</v>
      </c>
      <c r="E28" s="33" t="s">
        <v>63</v>
      </c>
      <c r="F28" s="48">
        <v>47</v>
      </c>
      <c r="G28" s="33">
        <v>13000</v>
      </c>
    </row>
    <row r="29" spans="1:7" ht="60.75" thickBot="1" x14ac:dyDescent="0.3">
      <c r="A29" s="4">
        <v>20</v>
      </c>
      <c r="B29" s="53" t="s">
        <v>24</v>
      </c>
      <c r="C29" s="25" t="s">
        <v>116</v>
      </c>
      <c r="D29" s="42" t="s">
        <v>123</v>
      </c>
      <c r="E29" s="33" t="s">
        <v>63</v>
      </c>
      <c r="F29" s="48">
        <v>122.8</v>
      </c>
      <c r="G29" s="33">
        <v>20000</v>
      </c>
    </row>
    <row r="30" spans="1:7" ht="60.75" thickBot="1" x14ac:dyDescent="0.3">
      <c r="A30" s="4">
        <v>21</v>
      </c>
      <c r="B30" s="53" t="s">
        <v>24</v>
      </c>
      <c r="C30" s="25" t="s">
        <v>116</v>
      </c>
      <c r="D30" s="42" t="s">
        <v>123</v>
      </c>
      <c r="E30" s="33" t="s">
        <v>63</v>
      </c>
      <c r="F30" s="48">
        <v>216.4</v>
      </c>
      <c r="G30" s="33">
        <v>13000</v>
      </c>
    </row>
    <row r="31" spans="1:7" ht="15.75" thickBot="1" x14ac:dyDescent="0.3">
      <c r="A31" s="4">
        <v>22</v>
      </c>
      <c r="B31" s="53" t="s">
        <v>25</v>
      </c>
      <c r="C31" s="36" t="s">
        <v>73</v>
      </c>
      <c r="D31" s="42" t="s">
        <v>123</v>
      </c>
      <c r="E31" s="33" t="s">
        <v>63</v>
      </c>
      <c r="F31" s="48">
        <v>99</v>
      </c>
      <c r="G31" s="33">
        <v>20000</v>
      </c>
    </row>
    <row r="32" spans="1:7" ht="60.75" thickBot="1" x14ac:dyDescent="0.3">
      <c r="A32" s="4">
        <v>23</v>
      </c>
      <c r="B32" s="51" t="s">
        <v>26</v>
      </c>
      <c r="C32" s="25" t="s">
        <v>59</v>
      </c>
      <c r="D32" s="42" t="s">
        <v>85</v>
      </c>
      <c r="E32" s="33" t="s">
        <v>63</v>
      </c>
      <c r="F32" s="48">
        <v>132.1</v>
      </c>
      <c r="G32" s="33">
        <v>13000</v>
      </c>
    </row>
    <row r="33" spans="1:7" ht="30.75" thickBot="1" x14ac:dyDescent="0.3">
      <c r="A33" s="4">
        <v>24</v>
      </c>
      <c r="B33" s="51" t="s">
        <v>27</v>
      </c>
      <c r="C33" s="25" t="s">
        <v>60</v>
      </c>
      <c r="D33" s="42" t="s">
        <v>85</v>
      </c>
      <c r="E33" s="33" t="s">
        <v>63</v>
      </c>
      <c r="F33" s="49">
        <v>22.6</v>
      </c>
      <c r="G33" s="33">
        <v>40000</v>
      </c>
    </row>
    <row r="34" spans="1:7" ht="45" x14ac:dyDescent="0.25">
      <c r="A34" s="4">
        <v>25</v>
      </c>
      <c r="B34" s="51" t="s">
        <v>28</v>
      </c>
      <c r="C34" s="25" t="s">
        <v>61</v>
      </c>
      <c r="D34" s="42" t="s">
        <v>85</v>
      </c>
      <c r="E34" s="33" t="s">
        <v>63</v>
      </c>
      <c r="F34" s="48">
        <v>115.7</v>
      </c>
      <c r="G34" s="33">
        <v>1000</v>
      </c>
    </row>
    <row r="35" spans="1:7" ht="15.75" customHeight="1" x14ac:dyDescent="0.25">
      <c r="A35" s="117" t="s">
        <v>86</v>
      </c>
      <c r="B35" s="117"/>
      <c r="C35" s="117"/>
      <c r="D35" s="117"/>
      <c r="E35" s="117"/>
      <c r="F35" s="117"/>
      <c r="G35" s="101">
        <v>27205170</v>
      </c>
    </row>
  </sheetData>
  <mergeCells count="14">
    <mergeCell ref="A35:F35"/>
    <mergeCell ref="A1:F1"/>
    <mergeCell ref="A6:C6"/>
    <mergeCell ref="D6:G6"/>
    <mergeCell ref="A7:C7"/>
    <mergeCell ref="D7:G7"/>
    <mergeCell ref="A8:C8"/>
    <mergeCell ref="D8:G8"/>
    <mergeCell ref="A3:C3"/>
    <mergeCell ref="D3:G3"/>
    <mergeCell ref="A4:C4"/>
    <mergeCell ref="D4:G4"/>
    <mergeCell ref="A5:C5"/>
    <mergeCell ref="D5:G5"/>
  </mergeCells>
  <pageMargins left="0.7" right="0.7" top="0.75" bottom="0.75" header="0.3" footer="0.3"/>
  <pageSetup paperSize="5"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
  <sheetViews>
    <sheetView workbookViewId="0">
      <selection activeCell="O16" sqref="O16:P16"/>
    </sheetView>
  </sheetViews>
  <sheetFormatPr baseColWidth="10" defaultRowHeight="15" x14ac:dyDescent="0.25"/>
  <cols>
    <col min="1" max="1" width="3.140625" customWidth="1"/>
    <col min="2" max="2" width="3.42578125" customWidth="1"/>
    <col min="3" max="4" width="3.5703125" customWidth="1"/>
    <col min="5" max="5" width="3.42578125" customWidth="1"/>
    <col min="6" max="6" width="5.140625" customWidth="1"/>
    <col min="7" max="7" width="3.7109375" customWidth="1"/>
    <col min="8" max="8" width="3.5703125" customWidth="1"/>
    <col min="9" max="9" width="3.85546875" customWidth="1"/>
    <col min="10" max="10" width="3.28515625" customWidth="1"/>
    <col min="11" max="11" width="3.5703125" customWidth="1"/>
    <col min="12" max="12" width="3.28515625" customWidth="1"/>
    <col min="13" max="13" width="3" customWidth="1"/>
    <col min="14" max="14" width="4.42578125" customWidth="1"/>
    <col min="15" max="15" width="20.28515625" customWidth="1"/>
    <col min="16" max="16" width="4" customWidth="1"/>
    <col min="17" max="17" width="15.7109375" customWidth="1"/>
  </cols>
  <sheetData>
    <row r="1" spans="1:17" ht="15.75" thickBot="1" x14ac:dyDescent="0.3">
      <c r="A1" s="152" t="s">
        <v>2</v>
      </c>
      <c r="B1" s="152"/>
      <c r="C1" s="152"/>
      <c r="D1" s="153">
        <v>2021</v>
      </c>
      <c r="E1" s="153"/>
      <c r="F1" s="65"/>
      <c r="G1" s="65"/>
      <c r="H1" s="66"/>
      <c r="I1" s="66"/>
      <c r="J1" s="66"/>
      <c r="K1" s="66"/>
      <c r="L1" s="66"/>
      <c r="M1" s="66"/>
      <c r="N1" s="66"/>
      <c r="O1" s="67"/>
      <c r="P1" s="154" t="s">
        <v>87</v>
      </c>
      <c r="Q1" s="154"/>
    </row>
    <row r="2" spans="1:17" ht="15.75" thickBot="1" x14ac:dyDescent="0.3">
      <c r="A2" s="68"/>
      <c r="B2" s="69"/>
      <c r="C2" s="69"/>
      <c r="D2" s="69"/>
      <c r="E2" s="69"/>
      <c r="F2" s="69"/>
      <c r="G2" s="70"/>
      <c r="H2" s="71"/>
      <c r="I2" s="71"/>
      <c r="J2" s="71"/>
      <c r="K2" s="71"/>
      <c r="L2" s="71"/>
      <c r="M2" s="71"/>
      <c r="N2" s="71"/>
      <c r="O2" s="69"/>
      <c r="P2" s="154"/>
      <c r="Q2" s="154"/>
    </row>
    <row r="3" spans="1:17" ht="15.75" thickBot="1" x14ac:dyDescent="0.3">
      <c r="A3" s="68"/>
      <c r="B3" s="69"/>
      <c r="C3" s="69"/>
      <c r="D3" s="69"/>
      <c r="E3" s="69"/>
      <c r="F3" s="69"/>
      <c r="G3" s="70"/>
      <c r="H3" s="69"/>
      <c r="I3" s="69"/>
      <c r="J3" s="69"/>
      <c r="K3" s="69"/>
      <c r="L3" s="69"/>
      <c r="M3" s="69"/>
      <c r="N3" s="69"/>
      <c r="O3" s="69"/>
      <c r="P3" s="69"/>
      <c r="Q3" s="72"/>
    </row>
    <row r="4" spans="1:17" ht="15.75" thickBot="1" x14ac:dyDescent="0.3">
      <c r="A4" s="155" t="s">
        <v>88</v>
      </c>
      <c r="B4" s="155"/>
      <c r="C4" s="155"/>
      <c r="D4" s="155"/>
      <c r="E4" s="155"/>
      <c r="F4" s="155"/>
      <c r="G4" s="144" t="s">
        <v>76</v>
      </c>
      <c r="H4" s="144"/>
      <c r="I4" s="144"/>
      <c r="J4" s="144"/>
      <c r="K4" s="144"/>
      <c r="L4" s="144"/>
      <c r="M4" s="144"/>
      <c r="N4" s="144"/>
      <c r="O4" s="144"/>
      <c r="P4" s="144"/>
      <c r="Q4" s="144"/>
    </row>
    <row r="5" spans="1:17" ht="15.75" thickBot="1" x14ac:dyDescent="0.3">
      <c r="A5" s="143" t="s">
        <v>77</v>
      </c>
      <c r="B5" s="143"/>
      <c r="C5" s="143"/>
      <c r="D5" s="143"/>
      <c r="E5" s="143"/>
      <c r="F5" s="143"/>
      <c r="G5" s="144">
        <v>26</v>
      </c>
      <c r="H5" s="144"/>
      <c r="I5" s="144"/>
      <c r="J5" s="144"/>
      <c r="K5" s="144"/>
      <c r="L5" s="144"/>
      <c r="M5" s="144"/>
      <c r="N5" s="144"/>
      <c r="O5" s="144"/>
      <c r="P5" s="144"/>
      <c r="Q5" s="144"/>
    </row>
    <row r="6" spans="1:17" ht="15.75" thickBot="1" x14ac:dyDescent="0.3">
      <c r="A6" s="143" t="s">
        <v>78</v>
      </c>
      <c r="B6" s="143"/>
      <c r="C6" s="143"/>
      <c r="D6" s="143"/>
      <c r="E6" s="143"/>
      <c r="F6" s="143"/>
      <c r="G6" s="144" t="s">
        <v>76</v>
      </c>
      <c r="H6" s="144"/>
      <c r="I6" s="144"/>
      <c r="J6" s="144"/>
      <c r="K6" s="144"/>
      <c r="L6" s="144"/>
      <c r="M6" s="144"/>
      <c r="N6" s="144"/>
      <c r="O6" s="144"/>
      <c r="P6" s="144"/>
      <c r="Q6" s="144"/>
    </row>
    <row r="7" spans="1:17" ht="15.75" thickBot="1" x14ac:dyDescent="0.3">
      <c r="A7" s="143" t="s">
        <v>79</v>
      </c>
      <c r="B7" s="143"/>
      <c r="C7" s="143"/>
      <c r="D7" s="143"/>
      <c r="E7" s="143"/>
      <c r="F7" s="143"/>
      <c r="G7" s="144" t="s">
        <v>76</v>
      </c>
      <c r="H7" s="144"/>
      <c r="I7" s="144"/>
      <c r="J7" s="144"/>
      <c r="K7" s="144"/>
      <c r="L7" s="144"/>
      <c r="M7" s="144"/>
      <c r="N7" s="144"/>
      <c r="O7" s="144"/>
      <c r="P7" s="144"/>
      <c r="Q7" s="144"/>
    </row>
    <row r="8" spans="1:17" ht="15.75" thickBot="1" x14ac:dyDescent="0.3">
      <c r="A8" s="145" t="s">
        <v>89</v>
      </c>
      <c r="B8" s="145"/>
      <c r="C8" s="145"/>
      <c r="D8" s="145"/>
      <c r="E8" s="145"/>
      <c r="F8" s="145"/>
      <c r="G8" s="145"/>
      <c r="H8" s="145"/>
      <c r="I8" s="145"/>
      <c r="J8" s="145"/>
      <c r="K8" s="145"/>
      <c r="L8" s="145"/>
      <c r="M8" s="145"/>
      <c r="N8" s="145"/>
      <c r="O8" s="145"/>
      <c r="P8" s="145"/>
      <c r="Q8" s="145"/>
    </row>
    <row r="9" spans="1:17" ht="27.75" customHeight="1" x14ac:dyDescent="0.25">
      <c r="A9" s="146" t="s">
        <v>90</v>
      </c>
      <c r="B9" s="146"/>
      <c r="C9" s="146"/>
      <c r="D9" s="146"/>
      <c r="E9" s="146"/>
      <c r="F9" s="146"/>
      <c r="G9" s="146"/>
      <c r="H9" s="146"/>
      <c r="I9" s="146"/>
      <c r="J9" s="146"/>
      <c r="K9" s="146"/>
      <c r="L9" s="146"/>
      <c r="M9" s="146"/>
      <c r="N9" s="146"/>
      <c r="O9" s="146"/>
      <c r="P9" s="146"/>
      <c r="Q9" s="146"/>
    </row>
    <row r="10" spans="1:17" ht="73.5" customHeight="1" x14ac:dyDescent="0.25">
      <c r="A10" s="147" t="s">
        <v>91</v>
      </c>
      <c r="B10" s="147"/>
      <c r="C10" s="147"/>
      <c r="D10" s="147"/>
      <c r="E10" s="147"/>
      <c r="F10" s="147"/>
      <c r="G10" s="147"/>
      <c r="H10" s="147"/>
      <c r="I10" s="147"/>
      <c r="J10" s="147"/>
      <c r="K10" s="147"/>
      <c r="L10" s="147"/>
      <c r="M10" s="147"/>
      <c r="N10" s="147"/>
      <c r="O10" s="147"/>
      <c r="P10" s="147"/>
      <c r="Q10" s="147"/>
    </row>
    <row r="11" spans="1:17" ht="5.25" customHeight="1" thickBot="1" x14ac:dyDescent="0.3">
      <c r="A11" s="73"/>
      <c r="B11" s="74"/>
      <c r="C11" s="74"/>
      <c r="D11" s="74"/>
      <c r="E11" s="74"/>
      <c r="F11" s="74"/>
      <c r="G11" s="75"/>
      <c r="H11" s="74"/>
      <c r="I11" s="74"/>
      <c r="J11" s="74"/>
      <c r="K11" s="74"/>
      <c r="L11" s="74"/>
      <c r="M11" s="74"/>
      <c r="N11" s="74"/>
      <c r="O11" s="74"/>
      <c r="P11" s="74"/>
      <c r="Q11" s="76"/>
    </row>
    <row r="12" spans="1:17" ht="15.75" thickBot="1" x14ac:dyDescent="0.3">
      <c r="A12" s="148" t="s">
        <v>92</v>
      </c>
      <c r="B12" s="148"/>
      <c r="C12" s="148"/>
      <c r="D12" s="148"/>
      <c r="E12" s="148"/>
      <c r="F12" s="148"/>
      <c r="G12" s="148"/>
      <c r="H12" s="148"/>
      <c r="I12" s="148"/>
      <c r="J12" s="148"/>
      <c r="K12" s="148"/>
      <c r="L12" s="148"/>
      <c r="M12" s="148"/>
      <c r="N12" s="148"/>
      <c r="O12" s="148"/>
      <c r="P12" s="148"/>
      <c r="Q12" s="148"/>
    </row>
    <row r="13" spans="1:17" ht="15.75" thickBot="1" x14ac:dyDescent="0.3">
      <c r="A13" s="149" t="s">
        <v>93</v>
      </c>
      <c r="B13" s="149"/>
      <c r="C13" s="149"/>
      <c r="D13" s="149"/>
      <c r="E13" s="149"/>
      <c r="F13" s="149"/>
      <c r="G13" s="149"/>
      <c r="H13" s="149"/>
      <c r="I13" s="149"/>
      <c r="J13" s="149"/>
      <c r="K13" s="149"/>
      <c r="L13" s="149"/>
      <c r="M13" s="149"/>
      <c r="N13" s="149"/>
      <c r="O13" s="150" t="s">
        <v>94</v>
      </c>
      <c r="P13" s="150"/>
      <c r="Q13" s="151" t="s">
        <v>95</v>
      </c>
    </row>
    <row r="14" spans="1:17" ht="15.75" thickBot="1" x14ac:dyDescent="0.3">
      <c r="A14" s="77" t="s">
        <v>96</v>
      </c>
      <c r="B14" s="78" t="s">
        <v>97</v>
      </c>
      <c r="C14" s="78" t="s">
        <v>98</v>
      </c>
      <c r="D14" s="78" t="s">
        <v>99</v>
      </c>
      <c r="E14" s="78" t="s">
        <v>100</v>
      </c>
      <c r="F14" s="78" t="s">
        <v>101</v>
      </c>
      <c r="G14" s="79" t="s">
        <v>102</v>
      </c>
      <c r="H14" s="78" t="s">
        <v>103</v>
      </c>
      <c r="I14" s="78" t="s">
        <v>104</v>
      </c>
      <c r="J14" s="78" t="s">
        <v>105</v>
      </c>
      <c r="K14" s="78" t="s">
        <v>105</v>
      </c>
      <c r="L14" s="78" t="s">
        <v>106</v>
      </c>
      <c r="M14" s="80" t="s">
        <v>107</v>
      </c>
      <c r="N14" s="81" t="s">
        <v>108</v>
      </c>
      <c r="O14" s="150"/>
      <c r="P14" s="150"/>
      <c r="Q14" s="151"/>
    </row>
    <row r="15" spans="1:17" ht="33.75" customHeight="1" thickBot="1" x14ac:dyDescent="0.3">
      <c r="A15" s="82">
        <v>1</v>
      </c>
      <c r="B15" s="83">
        <v>0</v>
      </c>
      <c r="C15" s="83">
        <v>0</v>
      </c>
      <c r="D15" s="83">
        <v>1</v>
      </c>
      <c r="E15" s="83">
        <v>0</v>
      </c>
      <c r="F15" s="83">
        <v>4901</v>
      </c>
      <c r="G15" s="83">
        <v>3</v>
      </c>
      <c r="H15" s="83">
        <v>4</v>
      </c>
      <c r="I15" s="83">
        <v>2</v>
      </c>
      <c r="J15" s="83">
        <v>3</v>
      </c>
      <c r="K15" s="83">
        <v>1</v>
      </c>
      <c r="L15" s="83">
        <v>0</v>
      </c>
      <c r="M15" s="84">
        <v>1</v>
      </c>
      <c r="N15" s="83" t="s">
        <v>109</v>
      </c>
      <c r="O15" s="142" t="s">
        <v>110</v>
      </c>
      <c r="P15" s="142"/>
      <c r="Q15" s="85">
        <v>13406900</v>
      </c>
    </row>
    <row r="16" spans="1:17" ht="29.25" customHeight="1" x14ac:dyDescent="0.25">
      <c r="A16" s="86">
        <v>1</v>
      </c>
      <c r="B16" s="87">
        <v>0</v>
      </c>
      <c r="C16" s="87">
        <v>0</v>
      </c>
      <c r="D16" s="87">
        <v>1</v>
      </c>
      <c r="E16" s="87">
        <v>0</v>
      </c>
      <c r="F16" s="83">
        <v>4901</v>
      </c>
      <c r="G16" s="87">
        <v>3</v>
      </c>
      <c r="H16" s="87">
        <v>4</v>
      </c>
      <c r="I16" s="87">
        <v>2</v>
      </c>
      <c r="J16" s="87">
        <v>9</v>
      </c>
      <c r="K16" s="87">
        <v>2</v>
      </c>
      <c r="L16" s="87">
        <v>0</v>
      </c>
      <c r="M16" s="88">
        <v>1</v>
      </c>
      <c r="N16" s="89" t="s">
        <v>109</v>
      </c>
      <c r="O16" s="136" t="s">
        <v>111</v>
      </c>
      <c r="P16" s="137"/>
      <c r="Q16" s="90">
        <v>13798270</v>
      </c>
    </row>
    <row r="17" spans="1:17" x14ac:dyDescent="0.25">
      <c r="A17" s="91"/>
      <c r="B17" s="92"/>
      <c r="C17" s="92"/>
      <c r="D17" s="92"/>
      <c r="E17" s="92"/>
      <c r="F17" s="92"/>
      <c r="G17" s="92"/>
      <c r="H17" s="92"/>
      <c r="I17" s="92"/>
      <c r="J17" s="92"/>
      <c r="K17" s="92"/>
      <c r="L17" s="92"/>
      <c r="M17" s="93"/>
      <c r="N17" s="94"/>
      <c r="O17" s="138"/>
      <c r="P17" s="138"/>
      <c r="Q17" s="95"/>
    </row>
    <row r="18" spans="1:17" x14ac:dyDescent="0.25">
      <c r="A18" s="91"/>
      <c r="B18" s="92"/>
      <c r="C18" s="92"/>
      <c r="D18" s="92"/>
      <c r="E18" s="92"/>
      <c r="F18" s="92"/>
      <c r="G18" s="92"/>
      <c r="H18" s="92"/>
      <c r="I18" s="92"/>
      <c r="J18" s="92"/>
      <c r="K18" s="92"/>
      <c r="L18" s="92"/>
      <c r="M18" s="93"/>
      <c r="N18" s="94"/>
      <c r="O18" s="139"/>
      <c r="P18" s="139"/>
      <c r="Q18" s="95"/>
    </row>
    <row r="19" spans="1:17" x14ac:dyDescent="0.25">
      <c r="A19" s="91"/>
      <c r="B19" s="92"/>
      <c r="C19" s="92"/>
      <c r="D19" s="92"/>
      <c r="E19" s="92"/>
      <c r="F19" s="92"/>
      <c r="G19" s="92"/>
      <c r="H19" s="92"/>
      <c r="I19" s="92"/>
      <c r="J19" s="92"/>
      <c r="K19" s="92"/>
      <c r="L19" s="92"/>
      <c r="M19" s="93"/>
      <c r="N19" s="94"/>
      <c r="O19" s="139"/>
      <c r="P19" s="139"/>
      <c r="Q19" s="95"/>
    </row>
    <row r="20" spans="1:17" ht="15.75" thickBot="1" x14ac:dyDescent="0.3">
      <c r="A20" s="96"/>
      <c r="B20" s="97"/>
      <c r="C20" s="97"/>
      <c r="D20" s="97"/>
      <c r="E20" s="97"/>
      <c r="F20" s="97"/>
      <c r="G20" s="97"/>
      <c r="H20" s="97"/>
      <c r="I20" s="97"/>
      <c r="J20" s="97"/>
      <c r="K20" s="97"/>
      <c r="L20" s="97"/>
      <c r="M20" s="98"/>
      <c r="N20" s="97"/>
      <c r="O20" s="140"/>
      <c r="P20" s="140"/>
      <c r="Q20" s="99"/>
    </row>
    <row r="21" spans="1:17" ht="27.75" customHeight="1" thickBot="1" x14ac:dyDescent="0.3">
      <c r="A21" s="141" t="s">
        <v>112</v>
      </c>
      <c r="B21" s="141"/>
      <c r="C21" s="141"/>
      <c r="D21" s="141"/>
      <c r="E21" s="141"/>
      <c r="F21" s="141"/>
      <c r="G21" s="141"/>
      <c r="H21" s="141"/>
      <c r="I21" s="141"/>
      <c r="J21" s="141"/>
      <c r="K21" s="141"/>
      <c r="L21" s="141"/>
      <c r="M21" s="141"/>
      <c r="N21" s="141"/>
      <c r="O21" s="141"/>
      <c r="P21" s="141"/>
      <c r="Q21" s="100">
        <f>SUM(Q15:Q20)</f>
        <v>27205170</v>
      </c>
    </row>
    <row r="22" spans="1:17" ht="15.75" thickBot="1" x14ac:dyDescent="0.3">
      <c r="A22" s="132"/>
      <c r="B22" s="132"/>
      <c r="C22" s="132"/>
      <c r="D22" s="132"/>
      <c r="E22" s="132"/>
      <c r="F22" s="132"/>
      <c r="G22" s="132"/>
      <c r="H22" s="132"/>
      <c r="I22" s="132"/>
      <c r="J22" s="132"/>
      <c r="K22" s="132"/>
      <c r="L22" s="132"/>
      <c r="M22" s="132"/>
      <c r="N22" s="132"/>
      <c r="O22" s="132"/>
      <c r="P22" s="132"/>
      <c r="Q22" s="132"/>
    </row>
    <row r="23" spans="1:17" ht="15.75" thickBot="1" x14ac:dyDescent="0.3">
      <c r="A23" s="133" t="s">
        <v>113</v>
      </c>
      <c r="B23" s="133"/>
      <c r="C23" s="133"/>
      <c r="D23" s="133"/>
      <c r="E23" s="133"/>
      <c r="F23" s="133"/>
      <c r="G23" s="134"/>
      <c r="H23" s="134"/>
      <c r="I23" s="134"/>
      <c r="J23" s="134"/>
      <c r="K23" s="134"/>
      <c r="L23" s="134"/>
      <c r="M23" s="134"/>
      <c r="N23" s="134"/>
      <c r="O23" s="134"/>
      <c r="P23" s="134"/>
      <c r="Q23" s="134"/>
    </row>
    <row r="24" spans="1:17" ht="15.75" thickBot="1" x14ac:dyDescent="0.3">
      <c r="A24" s="135" t="s">
        <v>114</v>
      </c>
      <c r="B24" s="135"/>
      <c r="C24" s="135"/>
      <c r="D24" s="135"/>
      <c r="E24" s="135"/>
      <c r="F24" s="135"/>
      <c r="G24" s="135"/>
      <c r="H24" s="135"/>
      <c r="I24" s="135"/>
      <c r="J24" s="135"/>
      <c r="K24" s="135"/>
      <c r="L24" s="135"/>
      <c r="M24" s="135"/>
      <c r="N24" s="135"/>
      <c r="O24" s="135"/>
      <c r="P24" s="135"/>
      <c r="Q24" s="135"/>
    </row>
    <row r="25" spans="1:17" ht="15.75" thickBot="1" x14ac:dyDescent="0.3">
      <c r="A25" s="135"/>
      <c r="B25" s="135"/>
      <c r="C25" s="135"/>
      <c r="D25" s="135"/>
      <c r="E25" s="135"/>
      <c r="F25" s="135"/>
      <c r="G25" s="135"/>
      <c r="H25" s="135"/>
      <c r="I25" s="135"/>
      <c r="J25" s="135"/>
      <c r="K25" s="135"/>
      <c r="L25" s="135"/>
      <c r="M25" s="135"/>
      <c r="N25" s="135"/>
      <c r="O25" s="135"/>
      <c r="P25" s="135"/>
      <c r="Q25" s="135"/>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NDP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elias quintar</cp:lastModifiedBy>
  <dcterms:created xsi:type="dcterms:W3CDTF">2021-02-08T12:06:32Z</dcterms:created>
  <dcterms:modified xsi:type="dcterms:W3CDTF">2021-08-17T13:02:57Z</dcterms:modified>
</cp:coreProperties>
</file>