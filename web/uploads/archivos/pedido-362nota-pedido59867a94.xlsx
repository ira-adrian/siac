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Trimestrales'!$A$9:$I$57</definedName>
    <definedName name="_xlnm.Print_Area" localSheetId="2">'Autor Gastar'!$A$1:$Q$27</definedName>
    <definedName name="_xlnm.Print_Area" localSheetId="0">'Necesidades Trimestrales'!$A$4:$I$57</definedName>
    <definedName name="_xlnm.Print_Area" localSheetId="1">NotaPedido!$A$1:$K$60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D50" i="1" l="1"/>
  <c r="D57" i="1" l="1"/>
  <c r="D56" i="1"/>
  <c r="D54" i="1"/>
  <c r="D53" i="1"/>
  <c r="D52" i="1"/>
  <c r="D51" i="1"/>
  <c r="D49" i="1"/>
  <c r="D48" i="1"/>
  <c r="D47" i="1"/>
  <c r="D46" i="1"/>
  <c r="D45" i="1"/>
  <c r="D44" i="1"/>
  <c r="D43" i="1"/>
  <c r="D42" i="1"/>
  <c r="D40" i="1"/>
  <c r="D39" i="1"/>
  <c r="D38" i="1"/>
  <c r="D32" i="1"/>
  <c r="D30" i="1"/>
  <c r="D29" i="1"/>
  <c r="D28" i="1"/>
  <c r="D27" i="1"/>
  <c r="D26" i="1"/>
  <c r="D25" i="1"/>
  <c r="D24" i="1"/>
  <c r="D23" i="1"/>
  <c r="D22" i="1"/>
  <c r="D21" i="1"/>
  <c r="D20" i="1"/>
  <c r="I10" i="1"/>
  <c r="A26" i="3" l="1"/>
  <c r="A10" i="3"/>
  <c r="K12" i="2"/>
  <c r="J12" i="2"/>
  <c r="I12" i="2"/>
  <c r="C12" i="2"/>
  <c r="B12" i="2"/>
  <c r="J60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<sst xmlns="http://schemas.openxmlformats.org/spreadsheetml/2006/main" count="463" uniqueCount="199">
  <si>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</si>
  <si>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</si>
  <si>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</si>
  <si>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</si>
  <si>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</si>
  <si>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</si>
  <si>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</si>
  <si>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</si>
  <si>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</si>
  <si>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</si>
  <si>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</si>
  <si>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</si>
  <si>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</si>
  <si>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</si>
  <si>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</si>
  <si>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</si>
  <si>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</si>
  <si>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</si>
  <si>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</si>
  <si>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</si>
  <si>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</si>
  <si>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</si>
  <si>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</si>
  <si>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</si>
  <si>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</si>
  <si>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</si>
  <si>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</si>
  <si>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</si>
  <si>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</si>
  <si>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</si>
  <si>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</si>
  <si>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</si>
  <si>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</si>
  <si>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</si>
  <si>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</si>
  <si>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</si>
  <si>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</si>
  <si>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</si>
  <si>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</si>
  <si>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</si>
  <si>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</si>
  <si>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</si>
  <si>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</si>
  <si>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</si>
  <si>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</si>
  <si>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</si>
  <si>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</si>
  <si>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</si>
  <si>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</si>
  <si>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</si>
  <si>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</si>
  <si>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</si>
  <si>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</si>
  <si>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</si>
  <si>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</si>
  <si>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</si>
  <si>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</si>
  <si>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</si>
  <si>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</si>
  <si>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</si>
  <si>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1.1</t>
  </si>
  <si>
    <t>2.9.2-261.14</t>
  </si>
  <si>
    <t>LIBRERIA,PAP. Y UTILES OFICINA</t>
  </si>
  <si>
    <t>ABROCHADORAS DE PAPEL; TIPO: PINZA, P/BROCHES: 10/50, MATERIAL: METALICA, MEDIDA: 10/50</t>
  </si>
  <si>
    <t>UNIDAD</t>
  </si>
  <si>
    <t>2.9.2-291.18</t>
  </si>
  <si>
    <t>ALMOHADILLAS P/SELLOS; MEDIDA: 11 X 8 Cm, MATERIAL: METAL</t>
  </si>
  <si>
    <t>2.9.2-1428.7</t>
  </si>
  <si>
    <t>BANDAS ELASTICAS; DIAMETRO: 10 Cm, ESPESOR: 2 mm, PRESENTACION: CAJA DE 100 GR</t>
  </si>
  <si>
    <t>CAJA</t>
  </si>
  <si>
    <t>2.9.2-852.5</t>
  </si>
  <si>
    <t>BROCHES DORADOS; N° PATAS: 2, N°: 10, PRESENTACION: CAJA X 100 UNIDADES, CANTIDAD PATAS: 2, NUMERO: 10</t>
  </si>
  <si>
    <t>2.9.2-853.22</t>
  </si>
  <si>
    <t>BROCHES P/EXPEDIENTE; TIPO: NEPACO, LONG.DE CUERPO: 8 Cm</t>
  </si>
  <si>
    <t>2.9.2-262.4</t>
  </si>
  <si>
    <t>ADHESIVOS P/PAPEL; PRESENTACION: 250 GR, TIPO: COLA VINILICA</t>
  </si>
  <si>
    <t>2.3.1-928.18</t>
  </si>
  <si>
    <t>ARANDELAS DE CARTON; DIAMETRO: 25 mm, PRESENTACION: CAJA X 500, CERTIFICADO FORESTAL (GFS): SIN, PORC. FIBRAS RECICLADAS: 0 %</t>
  </si>
  <si>
    <t>2.9.2-274.11</t>
  </si>
  <si>
    <t>BIBLIORATOS; LOMO: CARTON, COLOR: GRIS, ANCHO: 85 mm, ANILLO: 2 Y PALANCA, TAMAÑO: OFICIO, TAPAS: CARTON, MATERIAL: CARTON</t>
  </si>
  <si>
    <t>2.9.2-4984.6</t>
  </si>
  <si>
    <t>2.9.2-850.44</t>
  </si>
  <si>
    <t>CAJAS DE ARCHIVO; MATERIAL: CARTON RIGIDO, DIMENSION: 24 X 38 X 12 mm, COLOR: INDISTINTO</t>
  </si>
  <si>
    <t>2.9.2-1510.20</t>
  </si>
  <si>
    <t>CARPETAS COLGANTES; TIPO: EXTERIOR, MATERIAL: CARTULINA, TAMAÑO: OFICIO, SUJECION: SIN VALOR, VISOR: PLASTICO RECTANGULAR, PRESENTACION: UNIDAD</t>
  </si>
  <si>
    <t>2.9.2-700.28</t>
  </si>
  <si>
    <t>BROCHES P/ABROCHADORA; NUMERO: 10/50, PRESENTACION: CAJA X 1000 UNIDADES</t>
  </si>
  <si>
    <t>2.9.2-2766.3</t>
  </si>
  <si>
    <t>CARPETAS P/ENCUADERNACION; TAMAÑO: A4, ESPESOR: 9 mm, MATERIAL LOMO: ACERO, PEGAMENTO: CON, TAPA: TRANSPARENTE</t>
  </si>
  <si>
    <t>2.9.2-2766.11</t>
  </si>
  <si>
    <t>CARPETAS P/ENCUADERNACION; TAMAÑO: OFICIO, ESPESOR: 9 mm, MATERIAL LOMO: PLASTICO TRANPARENTE, PEGAMENTO: SIN, TAPA: TRANSPARENTE</t>
  </si>
  <si>
    <t>2.9.2-1358.359</t>
  </si>
  <si>
    <t>CARPETAS; MATERIAL: FIBRA, TAMAÑO: OFICIO</t>
  </si>
  <si>
    <t>2.9.2-1153.166</t>
  </si>
  <si>
    <t>CINTAS ADHESIVAS; TIPO: P/EMBALAR, ANCHO: 48 mm, LARGO: 40 M, MATERIAL: TRANSPARENTE, ACCESORIO: SIN</t>
  </si>
  <si>
    <t>2.9.2-1153.89</t>
  </si>
  <si>
    <t>CINTAS ADHESIVAS; TIPO: TRANSPARENTE, ANCHO: 1,2 Cm, LARGO ROLLO: 50 M, MATERIAL: POLIPROPILENO, ACCESORIO: SIN, LARGO: 50 M</t>
  </si>
  <si>
    <t>2.9.2-660.13</t>
  </si>
  <si>
    <t>CLIPS P/PAPEL; NUMERO: 5, CANT. X CAJA: 100, MATERIAL: METAL, PRESENTACION: CAJA X 100</t>
  </si>
  <si>
    <t>2.9.2-323.4</t>
  </si>
  <si>
    <t>2.9.2-2836.2</t>
  </si>
  <si>
    <t>CORTAPAPELES Y GUILLOTINAS; MATERIAL HOJA: ACERO, LARGO: 20 Cm, MANGO: SIN VALOR, ESTUCHE: SIN VALOR</t>
  </si>
  <si>
    <t>2.9.2-1611.10</t>
  </si>
  <si>
    <t>FOLIOS TRANSPARENTES; TAMAÑO: A-4, PERFORACIONES: 5, MATERIAL: POLIPROPILENO</t>
  </si>
  <si>
    <t>2.9.2-1611.11</t>
  </si>
  <si>
    <t>FOLIOS TRANSPARENTES; TAMAÑO: OFICIO, PERFORACIONES: 5, MATERIAL: POLIPROPILENO</t>
  </si>
  <si>
    <t>2.9.2-848.5</t>
  </si>
  <si>
    <t>LAPIZ; TIPO: COMUN NRO 2, COLOR: NEGRO</t>
  </si>
  <si>
    <t>2.9.2-1616.80</t>
  </si>
  <si>
    <t>MARCADORES; TIPO AL AGUA - TRAZO GRUESO - PUNTA REDONDA - RECARGABLE NO</t>
  </si>
  <si>
    <t>2.9.2-1616.137</t>
  </si>
  <si>
    <t>MARCADORES; TIPO: INDELEBLE, TRAZO: GRUESO, PUNTA: REDONDA, COLOR: NEGRO, RECARGABLE: NO</t>
  </si>
  <si>
    <t>2.9.2-1616.147</t>
  </si>
  <si>
    <t>MARCADORES; TIPO P/PIZARRA - TRAZO FINO - PUNTA REDONDA - RECARGABLE NO</t>
  </si>
  <si>
    <t>2.3.1-6563.814</t>
  </si>
  <si>
    <t>PAPELES EN HOJA; TIPO DE PAPEL: CARTULINA, DIMENSION: 63 X 44,5 Cm, GRAMAJE: 125, PRESENTACION: UNIDAD, CERTIFICADO FORESTAL (GFS): CON</t>
  </si>
  <si>
    <t>2.3.1-6587.298</t>
  </si>
  <si>
    <t>PAPELES ENCUADERNADOS; CANT. DE HOJAS: 100, TAMAÑO: 21 X 16 Cm, TIPO: CUADERNO, CERTIFICADO FORESTAL (GFS): CON, PORC. FIBRAS RECICLADAS: 0 %, CERT. FIBRA ALTERNATIVA (FCA): SIN</t>
  </si>
  <si>
    <t>2.3.1-6587.324</t>
  </si>
  <si>
    <t>2.3.1-6587.299</t>
  </si>
  <si>
    <t>PAPELES ENCUADERNADOS; CANT. DE HOJAS: 200, TAMAÑO: 21 X 16 Cm, TIPO: CUADERNO, CERTIFICADO FORESTAL (GFS): CON, PORC. FIBRAS RECICLADAS: 0 %, CERT. FIBRA ALTERNATIVA (FCA): SIN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</si>
  <si>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</si>
  <si>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</si>
  <si>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ENVASE</t>
  </si>
  <si>
    <t>2.3.1-6563.968</t>
  </si>
  <si>
    <t>PAPELES EN HOJA; TIPO DE PAPEL: EXTRA BLANCO, DIMENSION: A4, GRAMAJE: 80 GR, PRESENTACION: RESMA X 500 HOJAS, CERTIFICADO FORESTAL (GFS): SIN, PORC. FIBRAS RECICLADAS: 0 %, CERT. FIBRA ALTERNATIVA (FCA): CON</t>
  </si>
  <si>
    <t>RESMA</t>
  </si>
  <si>
    <t>2.9.2-858.16</t>
  </si>
  <si>
    <t>PERFORADORAS; TAMAÑO: MEDIANA, N° PERFORACIONES: 2, DIST. ENTRE AGUJ.: SIN VALOR, GUIA POSICION PAPEL: SIN VALOR, MATERIAL ESTRUCTURA: MADERA, MATERIAL: MADERA</t>
  </si>
  <si>
    <t>2.9.2-674.42</t>
  </si>
  <si>
    <t>REGLAS GRADUADAS; TIPO: L, MATERIAL: PLASTICO, LONG.DE CUERPO: 40 Cm</t>
  </si>
  <si>
    <t>2.9.2-1354.21</t>
  </si>
  <si>
    <t>RESALTADORES; PUNTA: BISELADA, ACCESORIO: SIN, COLOR: SIN VALOR, TIPO PUNTA: BISELADA</t>
  </si>
  <si>
    <t>2.3.1-6590.540</t>
  </si>
  <si>
    <t>SOBRES DE PAPEL; TIPO: BLANCO, TAMAÑO: 16 X 11,5 Cm, GRAMAJE: 57 GR/M2, PRESENTACION: UNIDAD, CERTIFICADO FORESTAL (GFS): SIN, PORC. FIBRAS RECICLADAS: 0 %, CERT. FIBRA ALTERNATIVA (FCA): SIN</t>
  </si>
  <si>
    <t>2.3.1-6590.541</t>
  </si>
  <si>
    <t>SOBRES DE PAPEL; TIPO: BOLSA DE PAPEL MANILA, TAMAÑO: 24 X 30 Cm, GRAMAJE: 80 GR/M2, PRESENTACION: ENVASE X 100 UN, CERTIFICADO FORESTAL (GFS): SIN, PORC. FIBRAS RECICLADAS: 0 %, CERT. FIBRA ALTERNATIVA (FCA): SIN</t>
  </si>
  <si>
    <t>2.3.1-6590.465</t>
  </si>
  <si>
    <t>SOBRES DE PAPEL; TIPO: BOLSA MANILA, TAMAÑO: 30 X 40 Cm, GRAMAJE: 90 GR/M2, PRESENTACION: UNIDAD, CERTIFICADO FORESTAL (GFS): SIN, PORC. FIBRAS RECICLADAS: 0 %</t>
  </si>
  <si>
    <t>2.3.1-6590.502</t>
  </si>
  <si>
    <t>SOBRES DE PAPEL; TIPO: BOLSA, TAMAÑO: 19 X 24 Cm, GRAMAJE: 80 GR/CM2, PRESENTACION: UNIDAD, CERTIFICADO FORESTAL (GFS): CON, PORC. FIBRAS RECICLADAS: 0 %</t>
  </si>
  <si>
    <t>2.9.2-758.14</t>
  </si>
  <si>
    <t>TIJERAS P/CORTAR PAPELES; LONG.DE CUERPO: 20 Cm, MATERIAL: ACERO INOXIDABLE, CUCHILLA: REDONDEADAS, MANGO: SIN VALOR</t>
  </si>
  <si>
    <t>2.9.2-1450.30</t>
  </si>
  <si>
    <t>TINTAS P/SELLOS; TIPO DE SELLO: DE GOMA, ENVASE: 60 CM3, COLOR: AZUL, PRESENTACION: ENVASE X 60 CM3</t>
  </si>
  <si>
    <t>CARPETA TRANSPARENTE BASE OPACA</t>
  </si>
  <si>
    <t>2.3.1-6587.371</t>
  </si>
  <si>
    <t>2.3.1</t>
  </si>
  <si>
    <t>PAPELES ENCUADERNADOS; CANT. DE HOJAS: SEGÚN PLIEGO, TAMAÑO: SEGÚN PLIEGO, TIPO: LIBRO DE RECIBOS, CERTIFICADO FORESTAL (GFS): SIN, PORC. FIBRAS RECICLADAS: 0 %</t>
  </si>
  <si>
    <t>2.9.2</t>
  </si>
  <si>
    <t>Papeles de Escritorio y Cartón</t>
  </si>
  <si>
    <t>Utiles de Escritorio, Oficina y Enseñanza</t>
  </si>
  <si>
    <t>Especificidades Item N° :5</t>
  </si>
  <si>
    <t>Especificidades Item N° 9:</t>
  </si>
  <si>
    <t>45 días habiles</t>
  </si>
  <si>
    <t>Especificidades Item N° :10</t>
  </si>
  <si>
    <t>Especificidades Item N° :14</t>
  </si>
  <si>
    <t>Especificidades Item N° :15</t>
  </si>
  <si>
    <t>Especificidades Item N° :25</t>
  </si>
  <si>
    <t>MARCADORES AL AGUA - COLOR AZUL</t>
  </si>
  <si>
    <t>Especificidades Item N° :26</t>
  </si>
  <si>
    <t>MARCADORES AL AGUA - COLOR NEGRO</t>
  </si>
  <si>
    <t>Especificidades Item N° :28</t>
  </si>
  <si>
    <t>MARCADORES P/PIZARRA - COLOR AZUL</t>
  </si>
  <si>
    <t>Especificidades Item N° :29</t>
  </si>
  <si>
    <t>CARTULINA - COLOR AMARILLO</t>
  </si>
  <si>
    <t>Especificidades Item N° :30</t>
  </si>
  <si>
    <t>Especificidades Item N° :33</t>
  </si>
  <si>
    <t>Especificidades Item N° :34</t>
  </si>
  <si>
    <t>Especificidades Item N° :35</t>
  </si>
  <si>
    <t>Especificidades Item N° :38</t>
  </si>
  <si>
    <t>RESALTADORES PUNTA BISELADA - COLOR AMARILLO</t>
  </si>
  <si>
    <t>Especificidades Item N° :39</t>
  </si>
  <si>
    <t>RESALTADORES PUNTA BISELADA - COLO ANARANJADO</t>
  </si>
  <si>
    <t xml:space="preserve">15 DIAS CORRIDOS - SECCIÓN DEPÓSITO CENTRAL - AVDA. ILLIA Y MARIANO MORENO </t>
  </si>
  <si>
    <t>LAPICERAS ESTILOGRAFICAS TRAZO GRUESO - COLOR AZUL - TIPO BIC</t>
  </si>
  <si>
    <t>LAPICERAS ESTILOGRAFICAS TRAZO GRUESO - COLOR NEGRO - TIPO BIC</t>
  </si>
  <si>
    <t>RESMA DE PAPEL OFICIO HOJAS BLANCAS - 80 GRS - RESMA X 500 HOJAS</t>
  </si>
  <si>
    <t>RESMA DE PAPEL A4 HOJAS BLANCAS - 80 GRS - RESMA X 500 HOJAS</t>
  </si>
  <si>
    <t xml:space="preserve">Adquisición de Articulos de Librería </t>
  </si>
  <si>
    <t>237 - Dirección de Mantenimiento</t>
  </si>
  <si>
    <t xml:space="preserve">Sección Deposito Central </t>
  </si>
  <si>
    <t>NOTA DE PEDIDO 79</t>
  </si>
  <si>
    <t>CUADERNO X 100 HOJAS RAYADAS TAPA DURA</t>
  </si>
  <si>
    <t>CUADERNO X 200 HOJAS RAYADAS TAPA DURA</t>
  </si>
  <si>
    <t>SOBRES DE PAPEL; TIPO: P/DISCO COMPACTO, TAMAÑO: 12,7 X 12,7 Cm, GRAMAJE: 80 GR/M2, PRESENTACION: UNIDAD, CERTIFICADO FORESTAL (GFS): SIN</t>
  </si>
  <si>
    <t>2.3.1-6590.432</t>
  </si>
  <si>
    <t>DISCO VERSATIL DIGITAL (DVD) ; CAPACIDAD: 4,7 Gb, TIPO: GRABABLE</t>
  </si>
  <si>
    <t>2.9.2-8819.1</t>
  </si>
  <si>
    <t>DISCO COMPACTO; TIPO: VIRGEN, CAPACIDAD: 700 MB</t>
  </si>
  <si>
    <t>2.9.2-1620.1</t>
  </si>
  <si>
    <t>LAPICERAS ESTILOGRAFICAS; TIPO: TRAZO GRUESO, MATERIAL: PLASTICO Y METAL , RECARGABLE: NO</t>
  </si>
  <si>
    <t xml:space="preserve">BROCHES DE PLÁSTICO DE 8 CM - PRESENTACION: CAJA X 50 UNIDADES </t>
  </si>
  <si>
    <t>CORRECTORES DE ESCRITURA; CAPACIDAD: 7 mL, ENVASE: LAPIZ (PUNTA METAL), PRESENTACION: LAPIZ (PUNTA METAL) X 7 Ml</t>
  </si>
  <si>
    <t>Costo total estimado: DOS MILLONES DOSCIENTOS SETENTA Y TRES MIL CIENTO VEINTINUEVE CON 00/100.--</t>
  </si>
  <si>
    <t>PAPELES ENCUADERNADOS; CANT. DE HOJAS: 400, TAMAÑO: 21 X 33 Cm, TIPO: LIBRO DE ACTAS, CERTIFICADO FORESTAL (GFS): SIN, PORC. FIBRAS RECICLADAS: 0 %, CERT. FIBRA ALTERNATIVA (FCA): SIN</t>
  </si>
  <si>
    <t>SI</t>
  </si>
  <si>
    <t>DOCFI-2022-01249721-CAT-DMAN#HSJB</t>
  </si>
  <si>
    <t>TOTAL DE PESOS: DOS MILLONES DOSCIENTOS SETENTA Y TRES MIL CIENTO VEINTINUEVE CON 00/100.---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</si>
</sst>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$&quot;#,##0.00;[Red]\-&quot;$&quot;#,##0.00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333333"/>
      <name val="Arial"/>
      <family val="2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5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7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7" fontId="0" fillId="0" borderId="43" xfId="3" applyNumberFormat="1" applyFont="1" applyBorder="1" applyAlignment="1" applyProtection="1">
      <alignment horizontal="center" vertical="center"/>
    </xf>
    <xf numFmtId="167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7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7" fontId="0" fillId="0" borderId="0" xfId="0" applyNumberFormat="1"/>
    <xf numFmtId="0" fontId="19" fillId="0" borderId="48" xfId="0" applyFont="1" applyBorder="1" applyAlignment="1">
      <alignment horizontal="center" vertical="center" wrapText="1"/>
    </xf>
    <xf numFmtId="0" fontId="15" fillId="6" borderId="0" xfId="0" applyFont="1" applyFill="1"/>
    <xf numFmtId="0" fontId="15" fillId="5" borderId="5" xfId="0" applyFont="1" applyFill="1" applyBorder="1" applyAlignment="1">
      <alignment horizontal="left" indent="3"/>
    </xf>
    <xf numFmtId="0" fontId="15" fillId="5" borderId="0" xfId="0" applyFont="1" applyFill="1"/>
    <xf numFmtId="0" fontId="19" fillId="5" borderId="0" xfId="0" applyFont="1" applyFill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15" fillId="5" borderId="0" xfId="0" applyNumberFormat="1" applyFont="1" applyFill="1"/>
    <xf numFmtId="0" fontId="0" fillId="5" borderId="0" xfId="0" applyFill="1" applyAlignment="1">
      <alignment wrapText="1"/>
    </xf>
    <xf numFmtId="0" fontId="20" fillId="5" borderId="14" xfId="0" applyFont="1" applyFill="1" applyBorder="1" applyAlignment="1">
      <alignment horizontal="center" vertical="center"/>
    </xf>
    <xf numFmtId="0" fontId="14" fillId="5" borderId="14" xfId="0" applyFont="1" applyFill="1" applyBorder="1"/>
    <xf numFmtId="0" fontId="0" fillId="5" borderId="14" xfId="0" applyFill="1" applyBorder="1"/>
    <xf numFmtId="0" fontId="14" fillId="5" borderId="14" xfId="0" applyFont="1" applyFill="1" applyBorder="1" applyAlignment="1">
      <alignment horizontal="center"/>
    </xf>
    <xf numFmtId="0" fontId="0" fillId="5" borderId="14" xfId="0" applyFill="1" applyBorder="1" applyAlignment="1">
      <alignment wrapText="1"/>
    </xf>
    <xf numFmtId="0" fontId="21" fillId="4" borderId="14" xfId="0" applyFont="1" applyFill="1" applyBorder="1" applyAlignment="1">
      <alignment horizontal="center" vertical="center" wrapText="1"/>
    </xf>
    <xf numFmtId="167" fontId="20" fillId="4" borderId="14" xfId="1" applyNumberFormat="1" applyFont="1" applyFill="1" applyBorder="1" applyAlignment="1" applyProtection="1">
      <alignment horizontal="center" vertical="center" wrapText="1"/>
    </xf>
    <xf numFmtId="167" fontId="20" fillId="4" borderId="14" xfId="1" applyNumberFormat="1" applyFont="1" applyFill="1" applyBorder="1" applyAlignment="1" applyProtection="1">
      <alignment horizontal="right" vertical="center" wrapText="1"/>
    </xf>
    <xf numFmtId="0" fontId="0" fillId="5" borderId="14" xfId="0" applyFill="1" applyBorder="1" applyAlignment="1">
      <alignment horizontal="center"/>
    </xf>
    <xf numFmtId="0" fontId="25" fillId="5" borderId="14" xfId="0" applyFont="1" applyFill="1" applyBorder="1"/>
    <xf numFmtId="0" fontId="14" fillId="5" borderId="14" xfId="0" applyFont="1" applyFill="1" applyBorder="1" applyAlignment="1">
      <alignment wrapText="1"/>
    </xf>
    <xf numFmtId="0" fontId="24" fillId="5" borderId="14" xfId="0" applyFont="1" applyFill="1" applyBorder="1"/>
    <xf numFmtId="0" fontId="0" fillId="5" borderId="14" xfId="0" applyFill="1" applyBorder="1" applyAlignment="1">
      <alignment vertic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center" wrapText="1"/>
    </xf>
    <xf numFmtId="0" fontId="15" fillId="5" borderId="0" xfId="0" applyFont="1" applyFill="1" applyAlignment="1">
      <alignment horizont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8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4" fillId="5" borderId="14" xfId="0" applyFont="1" applyFill="1" applyBorder="1" applyAlignment="1">
      <alignment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83"/>
  <sheetViews>
    <sheetView tabSelected="1" topLeftCell="A112" zoomScale="85" zoomScaleNormal="85" workbookViewId="0">
      <selection activeCell="I132" sqref="I132"/>
    </sheetView>
  </sheetViews>
  <sheetFormatPr baseColWidth="10" defaultColWidth="11" defaultRowHeight="12.75" x14ac:dyDescent="0.2"/>
  <cols>
    <col min="1" max="1" width="4.5703125" style="39" customWidth="1"/>
    <col min="2" max="2" width="13.42578125" style="39" customWidth="1"/>
    <col min="3" max="3" width="28.42578125" style="39" customWidth="1"/>
    <col min="4" max="4" width="8.42578125" style="79" customWidth="1"/>
    <col min="5" max="5" width="79.7109375" style="39" customWidth="1"/>
    <col min="6" max="6" width="11" style="39"/>
    <col min="7" max="7" width="12.7109375" style="39" customWidth="1"/>
    <col min="8" max="8" width="13.85546875" style="39" customWidth="1"/>
    <col min="9" max="9" width="20.42578125" style="39" customWidth="1"/>
    <col min="10" max="11" width="11" style="74"/>
    <col min="12" max="16384" width="11" style="39"/>
  </cols>
  <sheetData>
    <row r="2" spans="1:11" ht="27" x14ac:dyDescent="0.35">
      <c r="B2" s="105" t="s">
        <v>0</v>
      </c>
      <c r="C2" s="105"/>
      <c r="D2" s="105"/>
      <c r="E2" s="105"/>
      <c r="F2" s="105"/>
      <c r="G2" s="105"/>
      <c r="H2" s="105"/>
    </row>
    <row r="4" spans="1:11" ht="18" customHeight="1" x14ac:dyDescent="0.25">
      <c r="A4" s="106" t="s">
        <v>1</v>
      </c>
      <c r="B4" s="106"/>
      <c r="C4" s="107" t="s">
        <v>56</v>
      </c>
      <c r="D4" s="107"/>
      <c r="E4" s="107"/>
      <c r="F4" s="40"/>
      <c r="G4" s="41"/>
      <c r="H4" s="40"/>
    </row>
    <row r="5" spans="1:11" ht="18" customHeight="1" x14ac:dyDescent="0.25">
      <c r="A5" s="106" t="s">
        <v>2</v>
      </c>
      <c r="B5" s="106"/>
      <c r="C5" s="107" t="s">
        <v>57</v>
      </c>
      <c r="D5" s="107"/>
      <c r="E5" s="107"/>
      <c r="F5" s="40"/>
      <c r="G5" s="41"/>
      <c r="H5" s="40"/>
    </row>
    <row r="6" spans="1:11" ht="16.5" customHeight="1" x14ac:dyDescent="0.25">
      <c r="A6" s="106" t="s">
        <v>3</v>
      </c>
      <c r="B6" s="106"/>
      <c r="C6" s="55">
        <v>2022</v>
      </c>
      <c r="D6" s="75"/>
      <c r="E6" s="56"/>
      <c r="F6" s="40"/>
      <c r="G6" s="41"/>
      <c r="H6" s="40"/>
    </row>
    <row r="7" spans="1:11" ht="16.5" customHeight="1" x14ac:dyDescent="0.25">
      <c r="A7" s="106" t="s">
        <v>4</v>
      </c>
      <c r="B7" s="106"/>
      <c r="C7" s="55">
        <v>3</v>
      </c>
      <c r="D7" s="75"/>
      <c r="E7" s="56"/>
      <c r="F7" s="40"/>
      <c r="G7" s="41"/>
      <c r="H7" s="40"/>
    </row>
    <row r="8" spans="1:11" ht="13.5" thickBot="1" x14ac:dyDescent="0.25">
      <c r="B8" s="40"/>
      <c r="C8" s="41"/>
      <c r="D8" s="41"/>
      <c r="E8" s="40"/>
      <c r="F8" s="40"/>
      <c r="G8" s="41"/>
      <c r="H8" s="40"/>
    </row>
    <row r="9" spans="1:11" ht="39" thickBot="1" x14ac:dyDescent="0.25">
      <c r="A9" s="71" t="s">
        <v>5</v>
      </c>
      <c r="B9" s="71" t="s">
        <v>6</v>
      </c>
      <c r="C9" s="71" t="s">
        <v>7</v>
      </c>
      <c r="D9" s="71" t="s">
        <v>8</v>
      </c>
      <c r="E9" s="71" t="s">
        <v>9</v>
      </c>
      <c r="F9" s="71" t="s">
        <v>10</v>
      </c>
      <c r="G9" s="71" t="s">
        <v>11</v>
      </c>
      <c r="H9" s="71" t="s">
        <v>12</v>
      </c>
      <c r="I9" s="71" t="s">
        <v>13</v>
      </c>
      <c r="J9" s="103"/>
      <c r="K9" s="104"/>
    </row>
    <row r="10" spans="1:11" s="74" customFormat="1" ht="31.9" customHeight="1" thickBot="1" x14ac:dyDescent="0.25">
      <c r="A10" s="82">
        <v>1</v>
      </c>
      <c r="B10" s="83" t="s">
        <v>61</v>
      </c>
      <c r="C10" s="84" t="s">
        <v>62</v>
      </c>
      <c r="D10" s="85" t="s">
        <v>149</v>
      </c>
      <c r="E10" s="86" t="s">
        <v>63</v>
      </c>
      <c r="F10" s="87" t="s">
        <v>64</v>
      </c>
      <c r="G10" s="87">
        <v>20</v>
      </c>
      <c r="H10" s="88">
        <v>2614</v>
      </c>
      <c r="I10" s="89">
        <f t="shared" ref="I10:I57" si="0">G10*H10</f>
        <v>52280</v>
      </c>
    </row>
    <row r="11" spans="1:11" s="74" customFormat="1" ht="31.9" customHeight="1" thickBot="1" x14ac:dyDescent="0.25">
      <c r="A11" s="82">
        <v>2</v>
      </c>
      <c r="B11" s="83" t="s">
        <v>65</v>
      </c>
      <c r="C11" s="84" t="s">
        <v>62</v>
      </c>
      <c r="D11" s="85" t="s">
        <v>149</v>
      </c>
      <c r="E11" s="86" t="s">
        <v>66</v>
      </c>
      <c r="F11" s="87" t="s">
        <v>64</v>
      </c>
      <c r="G11" s="87">
        <v>20</v>
      </c>
      <c r="H11" s="88">
        <v>420</v>
      </c>
      <c r="I11" s="89">
        <f t="shared" si="0"/>
        <v>8400</v>
      </c>
    </row>
    <row r="12" spans="1:11" s="74" customFormat="1" ht="31.9" customHeight="1" thickBot="1" x14ac:dyDescent="0.25">
      <c r="A12" s="82">
        <v>3</v>
      </c>
      <c r="B12" s="84" t="s">
        <v>67</v>
      </c>
      <c r="C12" s="84" t="s">
        <v>62</v>
      </c>
      <c r="D12" s="85" t="s">
        <v>149</v>
      </c>
      <c r="E12" s="86" t="s">
        <v>68</v>
      </c>
      <c r="F12" s="87" t="s">
        <v>69</v>
      </c>
      <c r="G12" s="87">
        <v>15</v>
      </c>
      <c r="H12" s="88">
        <v>234</v>
      </c>
      <c r="I12" s="89">
        <f t="shared" si="0"/>
        <v>3510</v>
      </c>
    </row>
    <row r="13" spans="1:11" s="74" customFormat="1" ht="31.9" customHeight="1" thickBot="1" x14ac:dyDescent="0.25">
      <c r="A13" s="82">
        <v>4</v>
      </c>
      <c r="B13" s="84" t="s">
        <v>70</v>
      </c>
      <c r="C13" s="84" t="s">
        <v>62</v>
      </c>
      <c r="D13" s="85" t="s">
        <v>149</v>
      </c>
      <c r="E13" s="86" t="s">
        <v>71</v>
      </c>
      <c r="F13" s="87" t="s">
        <v>69</v>
      </c>
      <c r="G13" s="87">
        <v>25</v>
      </c>
      <c r="H13" s="88">
        <v>378</v>
      </c>
      <c r="I13" s="89">
        <f t="shared" si="0"/>
        <v>9450</v>
      </c>
    </row>
    <row r="14" spans="1:11" s="74" customFormat="1" ht="31.9" customHeight="1" thickBot="1" x14ac:dyDescent="0.25">
      <c r="A14" s="82">
        <v>5</v>
      </c>
      <c r="B14" s="84" t="s">
        <v>72</v>
      </c>
      <c r="C14" s="84" t="s">
        <v>62</v>
      </c>
      <c r="D14" s="85" t="s">
        <v>149</v>
      </c>
      <c r="E14" s="86" t="s">
        <v>73</v>
      </c>
      <c r="F14" s="87" t="s">
        <v>69</v>
      </c>
      <c r="G14" s="87">
        <v>50</v>
      </c>
      <c r="H14" s="88">
        <v>384</v>
      </c>
      <c r="I14" s="89">
        <f t="shared" si="0"/>
        <v>19200</v>
      </c>
    </row>
    <row r="15" spans="1:11" s="74" customFormat="1" ht="31.9" customHeight="1" thickBot="1" x14ac:dyDescent="0.25">
      <c r="A15" s="82">
        <v>6</v>
      </c>
      <c r="B15" s="84" t="s">
        <v>74</v>
      </c>
      <c r="C15" s="84" t="s">
        <v>62</v>
      </c>
      <c r="D15" s="85" t="s">
        <v>149</v>
      </c>
      <c r="E15" s="94" t="s">
        <v>75</v>
      </c>
      <c r="F15" s="87" t="s">
        <v>64</v>
      </c>
      <c r="G15" s="87">
        <v>50</v>
      </c>
      <c r="H15" s="88">
        <v>231</v>
      </c>
      <c r="I15" s="89">
        <f t="shared" si="0"/>
        <v>11550</v>
      </c>
    </row>
    <row r="16" spans="1:11" s="74" customFormat="1" ht="45" customHeight="1" thickBot="1" x14ac:dyDescent="0.25">
      <c r="A16" s="82">
        <v>7</v>
      </c>
      <c r="B16" s="84" t="s">
        <v>76</v>
      </c>
      <c r="C16" s="84" t="s">
        <v>62</v>
      </c>
      <c r="D16" s="85" t="s">
        <v>147</v>
      </c>
      <c r="E16" s="94" t="s">
        <v>77</v>
      </c>
      <c r="F16" s="87" t="s">
        <v>69</v>
      </c>
      <c r="G16" s="87">
        <v>20</v>
      </c>
      <c r="H16" s="88">
        <v>313</v>
      </c>
      <c r="I16" s="89">
        <f t="shared" si="0"/>
        <v>6260</v>
      </c>
    </row>
    <row r="17" spans="1:11" s="74" customFormat="1" ht="39" customHeight="1" thickBot="1" x14ac:dyDescent="0.25">
      <c r="A17" s="82">
        <v>8</v>
      </c>
      <c r="B17" s="84" t="s">
        <v>78</v>
      </c>
      <c r="C17" s="84" t="s">
        <v>62</v>
      </c>
      <c r="D17" s="85" t="s">
        <v>149</v>
      </c>
      <c r="E17" s="94" t="s">
        <v>79</v>
      </c>
      <c r="F17" s="87" t="s">
        <v>64</v>
      </c>
      <c r="G17" s="87">
        <v>75</v>
      </c>
      <c r="H17" s="88">
        <v>506</v>
      </c>
      <c r="I17" s="89">
        <f t="shared" si="0"/>
        <v>37950</v>
      </c>
    </row>
    <row r="18" spans="1:11" s="74" customFormat="1" ht="42" customHeight="1" thickBot="1" x14ac:dyDescent="0.25">
      <c r="A18" s="82">
        <v>9</v>
      </c>
      <c r="B18" s="84" t="s">
        <v>80</v>
      </c>
      <c r="C18" s="84" t="s">
        <v>62</v>
      </c>
      <c r="D18" s="85" t="s">
        <v>149</v>
      </c>
      <c r="E18" s="94" t="s">
        <v>191</v>
      </c>
      <c r="F18" s="87" t="s">
        <v>64</v>
      </c>
      <c r="G18" s="87">
        <v>1200</v>
      </c>
      <c r="H18" s="88">
        <v>56</v>
      </c>
      <c r="I18" s="89">
        <f t="shared" si="0"/>
        <v>67200</v>
      </c>
    </row>
    <row r="19" spans="1:11" s="74" customFormat="1" ht="42" customHeight="1" thickBot="1" x14ac:dyDescent="0.25">
      <c r="A19" s="82">
        <v>10</v>
      </c>
      <c r="B19" s="84" t="s">
        <v>80</v>
      </c>
      <c r="C19" s="84" t="s">
        <v>62</v>
      </c>
      <c r="D19" s="85" t="s">
        <v>149</v>
      </c>
      <c r="E19" s="94" t="s">
        <v>191</v>
      </c>
      <c r="F19" s="87" t="s">
        <v>64</v>
      </c>
      <c r="G19" s="87">
        <v>1000</v>
      </c>
      <c r="H19" s="88">
        <v>56</v>
      </c>
      <c r="I19" s="89">
        <f t="shared" si="0"/>
        <v>56000</v>
      </c>
    </row>
    <row r="20" spans="1:11" s="74" customFormat="1" ht="37.5" customHeight="1" thickBot="1" x14ac:dyDescent="0.25">
      <c r="A20" s="82">
        <v>11</v>
      </c>
      <c r="B20" s="84" t="s">
        <v>81</v>
      </c>
      <c r="C20" s="84" t="s">
        <v>62</v>
      </c>
      <c r="D20" s="90" t="str">
        <f t="shared" ref="D20:D57" si="1">LEFT(B20,5)</f>
        <v>2.9.2</v>
      </c>
      <c r="E20" s="86" t="s">
        <v>82</v>
      </c>
      <c r="F20" s="87" t="s">
        <v>64</v>
      </c>
      <c r="G20" s="87">
        <v>100</v>
      </c>
      <c r="H20" s="88">
        <v>513</v>
      </c>
      <c r="I20" s="89">
        <f t="shared" si="0"/>
        <v>51300</v>
      </c>
    </row>
    <row r="21" spans="1:11" s="74" customFormat="1" ht="36.75" customHeight="1" thickBot="1" x14ac:dyDescent="0.25">
      <c r="A21" s="82">
        <v>12</v>
      </c>
      <c r="B21" s="84" t="s">
        <v>83</v>
      </c>
      <c r="C21" s="84" t="s">
        <v>62</v>
      </c>
      <c r="D21" s="90" t="str">
        <f t="shared" si="1"/>
        <v>2.9.2</v>
      </c>
      <c r="E21" s="86" t="s">
        <v>84</v>
      </c>
      <c r="F21" s="87" t="s">
        <v>64</v>
      </c>
      <c r="G21" s="87">
        <v>50</v>
      </c>
      <c r="H21" s="88">
        <v>197</v>
      </c>
      <c r="I21" s="89">
        <f t="shared" si="0"/>
        <v>9850</v>
      </c>
    </row>
    <row r="22" spans="1:11" s="74" customFormat="1" ht="40.5" customHeight="1" thickBot="1" x14ac:dyDescent="0.25">
      <c r="A22" s="82">
        <v>13</v>
      </c>
      <c r="B22" s="84" t="s">
        <v>85</v>
      </c>
      <c r="C22" s="84" t="s">
        <v>62</v>
      </c>
      <c r="D22" s="90" t="str">
        <f t="shared" si="1"/>
        <v>2.9.2</v>
      </c>
      <c r="E22" s="86" t="s">
        <v>86</v>
      </c>
      <c r="F22" s="87" t="s">
        <v>69</v>
      </c>
      <c r="G22" s="87">
        <v>200</v>
      </c>
      <c r="H22" s="88">
        <v>135</v>
      </c>
      <c r="I22" s="89">
        <f t="shared" si="0"/>
        <v>27000</v>
      </c>
    </row>
    <row r="23" spans="1:11" s="74" customFormat="1" ht="45.75" customHeight="1" thickBot="1" x14ac:dyDescent="0.25">
      <c r="A23" s="82">
        <v>14</v>
      </c>
      <c r="B23" s="84" t="s">
        <v>87</v>
      </c>
      <c r="C23" s="84" t="s">
        <v>62</v>
      </c>
      <c r="D23" s="90" t="str">
        <f t="shared" si="1"/>
        <v>2.9.2</v>
      </c>
      <c r="E23" s="86" t="s">
        <v>88</v>
      </c>
      <c r="F23" s="87" t="s">
        <v>64</v>
      </c>
      <c r="G23" s="87">
        <v>300</v>
      </c>
      <c r="H23" s="88">
        <v>149</v>
      </c>
      <c r="I23" s="89">
        <f t="shared" si="0"/>
        <v>44700</v>
      </c>
      <c r="J23" s="103"/>
      <c r="K23" s="104"/>
    </row>
    <row r="24" spans="1:11" s="74" customFormat="1" ht="46.5" customHeight="1" thickBot="1" x14ac:dyDescent="0.25">
      <c r="A24" s="82">
        <v>15</v>
      </c>
      <c r="B24" s="84" t="s">
        <v>89</v>
      </c>
      <c r="C24" s="84" t="s">
        <v>62</v>
      </c>
      <c r="D24" s="90" t="str">
        <f t="shared" si="1"/>
        <v>2.9.2</v>
      </c>
      <c r="E24" s="86" t="s">
        <v>90</v>
      </c>
      <c r="F24" s="87" t="s">
        <v>64</v>
      </c>
      <c r="G24" s="87">
        <v>300</v>
      </c>
      <c r="H24" s="88">
        <v>159</v>
      </c>
      <c r="I24" s="89">
        <f t="shared" si="0"/>
        <v>47700</v>
      </c>
      <c r="J24" s="103"/>
      <c r="K24" s="104"/>
    </row>
    <row r="25" spans="1:11" s="74" customFormat="1" ht="31.9" customHeight="1" thickBot="1" x14ac:dyDescent="0.25">
      <c r="A25" s="82">
        <v>16</v>
      </c>
      <c r="B25" s="83" t="s">
        <v>91</v>
      </c>
      <c r="C25" s="84" t="s">
        <v>62</v>
      </c>
      <c r="D25" s="90" t="str">
        <f t="shared" si="1"/>
        <v>2.9.2</v>
      </c>
      <c r="E25" s="86" t="s">
        <v>92</v>
      </c>
      <c r="F25" s="87" t="s">
        <v>64</v>
      </c>
      <c r="G25" s="87">
        <v>100</v>
      </c>
      <c r="H25" s="88">
        <v>460</v>
      </c>
      <c r="I25" s="89">
        <f t="shared" si="0"/>
        <v>46000</v>
      </c>
    </row>
    <row r="26" spans="1:11" s="74" customFormat="1" ht="31.9" customHeight="1" thickBot="1" x14ac:dyDescent="0.25">
      <c r="A26" s="82">
        <v>17</v>
      </c>
      <c r="B26" s="84" t="s">
        <v>93</v>
      </c>
      <c r="C26" s="84" t="s">
        <v>62</v>
      </c>
      <c r="D26" s="90" t="str">
        <f t="shared" si="1"/>
        <v>2.9.2</v>
      </c>
      <c r="E26" s="86" t="s">
        <v>94</v>
      </c>
      <c r="F26" s="87" t="s">
        <v>64</v>
      </c>
      <c r="G26" s="87">
        <v>150</v>
      </c>
      <c r="H26" s="88">
        <v>216</v>
      </c>
      <c r="I26" s="89">
        <f t="shared" si="0"/>
        <v>32400</v>
      </c>
    </row>
    <row r="27" spans="1:11" s="74" customFormat="1" ht="37.5" customHeight="1" thickBot="1" x14ac:dyDescent="0.25">
      <c r="A27" s="82">
        <v>18</v>
      </c>
      <c r="B27" s="84" t="s">
        <v>95</v>
      </c>
      <c r="C27" s="84" t="s">
        <v>62</v>
      </c>
      <c r="D27" s="90" t="str">
        <f t="shared" si="1"/>
        <v>2.9.2</v>
      </c>
      <c r="E27" s="86" t="s">
        <v>96</v>
      </c>
      <c r="F27" s="87" t="s">
        <v>64</v>
      </c>
      <c r="G27" s="87">
        <v>20</v>
      </c>
      <c r="H27" s="88">
        <v>193.35</v>
      </c>
      <c r="I27" s="89">
        <f t="shared" si="0"/>
        <v>3867</v>
      </c>
    </row>
    <row r="28" spans="1:11" s="74" customFormat="1" ht="39.75" customHeight="1" thickBot="1" x14ac:dyDescent="0.25">
      <c r="A28" s="82">
        <v>19</v>
      </c>
      <c r="B28" s="84" t="s">
        <v>97</v>
      </c>
      <c r="C28" s="84" t="s">
        <v>62</v>
      </c>
      <c r="D28" s="90" t="str">
        <f t="shared" si="1"/>
        <v>2.9.2</v>
      </c>
      <c r="E28" s="86" t="s">
        <v>98</v>
      </c>
      <c r="F28" s="87" t="s">
        <v>69</v>
      </c>
      <c r="G28" s="87">
        <v>20</v>
      </c>
      <c r="H28" s="88">
        <v>185</v>
      </c>
      <c r="I28" s="89">
        <f t="shared" si="0"/>
        <v>3700</v>
      </c>
    </row>
    <row r="29" spans="1:11" s="74" customFormat="1" ht="37.5" customHeight="1" thickBot="1" x14ac:dyDescent="0.25">
      <c r="A29" s="82">
        <v>20</v>
      </c>
      <c r="B29" s="84" t="s">
        <v>99</v>
      </c>
      <c r="C29" s="84" t="s">
        <v>62</v>
      </c>
      <c r="D29" s="90" t="str">
        <f t="shared" si="1"/>
        <v>2.9.2</v>
      </c>
      <c r="E29" s="86" t="s">
        <v>193</v>
      </c>
      <c r="F29" s="87" t="s">
        <v>64</v>
      </c>
      <c r="G29" s="87">
        <v>300</v>
      </c>
      <c r="H29" s="88">
        <v>190</v>
      </c>
      <c r="I29" s="89">
        <f t="shared" si="0"/>
        <v>57000</v>
      </c>
    </row>
    <row r="30" spans="1:11" s="74" customFormat="1" ht="31.9" customHeight="1" thickBot="1" x14ac:dyDescent="0.25">
      <c r="A30" s="82">
        <v>21</v>
      </c>
      <c r="B30" s="84" t="s">
        <v>100</v>
      </c>
      <c r="C30" s="84" t="s">
        <v>62</v>
      </c>
      <c r="D30" s="90" t="str">
        <f t="shared" si="1"/>
        <v>2.9.2</v>
      </c>
      <c r="E30" s="86" t="s">
        <v>101</v>
      </c>
      <c r="F30" s="87" t="s">
        <v>64</v>
      </c>
      <c r="G30" s="87">
        <v>25</v>
      </c>
      <c r="H30" s="88">
        <v>320</v>
      </c>
      <c r="I30" s="89">
        <f t="shared" si="0"/>
        <v>8000</v>
      </c>
    </row>
    <row r="31" spans="1:11" s="74" customFormat="1" ht="31.9" customHeight="1" thickBot="1" x14ac:dyDescent="0.25">
      <c r="A31" s="82">
        <v>22</v>
      </c>
      <c r="B31" s="84" t="s">
        <v>102</v>
      </c>
      <c r="C31" s="84" t="s">
        <v>62</v>
      </c>
      <c r="D31" s="85" t="s">
        <v>149</v>
      </c>
      <c r="E31" s="86" t="s">
        <v>103</v>
      </c>
      <c r="F31" s="87" t="s">
        <v>64</v>
      </c>
      <c r="G31" s="87">
        <v>300</v>
      </c>
      <c r="H31" s="88">
        <v>8.1999999999999993</v>
      </c>
      <c r="I31" s="89">
        <f t="shared" si="0"/>
        <v>2460</v>
      </c>
      <c r="K31" s="80"/>
    </row>
    <row r="32" spans="1:11" s="74" customFormat="1" ht="31.9" customHeight="1" thickBot="1" x14ac:dyDescent="0.25">
      <c r="A32" s="82">
        <v>23</v>
      </c>
      <c r="B32" s="84" t="s">
        <v>104</v>
      </c>
      <c r="C32" s="84" t="s">
        <v>62</v>
      </c>
      <c r="D32" s="90" t="str">
        <f t="shared" si="1"/>
        <v>2.9.2</v>
      </c>
      <c r="E32" s="86" t="s">
        <v>105</v>
      </c>
      <c r="F32" s="87" t="s">
        <v>64</v>
      </c>
      <c r="G32" s="87">
        <v>300</v>
      </c>
      <c r="H32" s="88">
        <v>9.5</v>
      </c>
      <c r="I32" s="89">
        <f t="shared" si="0"/>
        <v>2850</v>
      </c>
    </row>
    <row r="33" spans="1:13" s="74" customFormat="1" ht="31.9" customHeight="1" thickBot="1" x14ac:dyDescent="0.25">
      <c r="A33" s="82">
        <v>24</v>
      </c>
      <c r="B33" s="84" t="s">
        <v>106</v>
      </c>
      <c r="C33" s="84" t="s">
        <v>62</v>
      </c>
      <c r="D33" s="85" t="s">
        <v>149</v>
      </c>
      <c r="E33" s="86" t="s">
        <v>107</v>
      </c>
      <c r="F33" s="87" t="s">
        <v>64</v>
      </c>
      <c r="G33" s="87">
        <v>100</v>
      </c>
      <c r="H33" s="88">
        <v>35.5</v>
      </c>
      <c r="I33" s="89">
        <f t="shared" si="0"/>
        <v>3550</v>
      </c>
    </row>
    <row r="34" spans="1:13" s="74" customFormat="1" ht="31.9" customHeight="1" thickBot="1" x14ac:dyDescent="0.25">
      <c r="A34" s="82">
        <v>25</v>
      </c>
      <c r="B34" s="84" t="s">
        <v>108</v>
      </c>
      <c r="C34" s="84" t="s">
        <v>62</v>
      </c>
      <c r="D34" s="85" t="s">
        <v>149</v>
      </c>
      <c r="E34" s="86" t="s">
        <v>109</v>
      </c>
      <c r="F34" s="87" t="s">
        <v>64</v>
      </c>
      <c r="G34" s="87">
        <v>100</v>
      </c>
      <c r="H34" s="88">
        <v>130</v>
      </c>
      <c r="I34" s="89">
        <f t="shared" si="0"/>
        <v>13000</v>
      </c>
    </row>
    <row r="35" spans="1:13" s="74" customFormat="1" ht="34.5" customHeight="1" thickBot="1" x14ac:dyDescent="0.25">
      <c r="A35" s="82">
        <v>26</v>
      </c>
      <c r="B35" s="84" t="s">
        <v>108</v>
      </c>
      <c r="C35" s="84" t="s">
        <v>62</v>
      </c>
      <c r="D35" s="85" t="s">
        <v>149</v>
      </c>
      <c r="E35" s="86" t="s">
        <v>109</v>
      </c>
      <c r="F35" s="87" t="s">
        <v>64</v>
      </c>
      <c r="G35" s="87">
        <v>100</v>
      </c>
      <c r="H35" s="88">
        <v>130</v>
      </c>
      <c r="I35" s="89">
        <f t="shared" si="0"/>
        <v>13000</v>
      </c>
    </row>
    <row r="36" spans="1:13" s="74" customFormat="1" ht="31.9" customHeight="1" thickBot="1" x14ac:dyDescent="0.25">
      <c r="A36" s="82">
        <v>27</v>
      </c>
      <c r="B36" s="84" t="s">
        <v>110</v>
      </c>
      <c r="C36" s="84" t="s">
        <v>62</v>
      </c>
      <c r="D36" s="85" t="s">
        <v>149</v>
      </c>
      <c r="E36" s="86" t="s">
        <v>111</v>
      </c>
      <c r="F36" s="87" t="s">
        <v>64</v>
      </c>
      <c r="G36" s="87">
        <v>200</v>
      </c>
      <c r="H36" s="88">
        <v>200</v>
      </c>
      <c r="I36" s="89">
        <f t="shared" si="0"/>
        <v>40000</v>
      </c>
    </row>
    <row r="37" spans="1:13" s="74" customFormat="1" ht="38.25" customHeight="1" thickBot="1" x14ac:dyDescent="0.25">
      <c r="A37" s="82">
        <v>28</v>
      </c>
      <c r="B37" s="84" t="s">
        <v>112</v>
      </c>
      <c r="C37" s="84" t="s">
        <v>62</v>
      </c>
      <c r="D37" s="85" t="s">
        <v>149</v>
      </c>
      <c r="E37" s="86" t="s">
        <v>113</v>
      </c>
      <c r="F37" s="87" t="s">
        <v>64</v>
      </c>
      <c r="G37" s="87">
        <v>50</v>
      </c>
      <c r="H37" s="88">
        <v>302</v>
      </c>
      <c r="I37" s="89">
        <f t="shared" si="0"/>
        <v>15100</v>
      </c>
    </row>
    <row r="38" spans="1:13" s="74" customFormat="1" ht="48" customHeight="1" thickBot="1" x14ac:dyDescent="0.25">
      <c r="A38" s="82">
        <v>29</v>
      </c>
      <c r="B38" s="84" t="s">
        <v>114</v>
      </c>
      <c r="C38" s="84" t="s">
        <v>62</v>
      </c>
      <c r="D38" s="90" t="str">
        <f t="shared" si="1"/>
        <v>2.3.1</v>
      </c>
      <c r="E38" s="86" t="s">
        <v>115</v>
      </c>
      <c r="F38" s="87" t="s">
        <v>64</v>
      </c>
      <c r="G38" s="87">
        <v>400</v>
      </c>
      <c r="H38" s="88">
        <v>49</v>
      </c>
      <c r="I38" s="89">
        <f t="shared" si="0"/>
        <v>19600</v>
      </c>
    </row>
    <row r="39" spans="1:13" s="74" customFormat="1" ht="53.25" customHeight="1" thickBot="1" x14ac:dyDescent="0.25">
      <c r="A39" s="82">
        <v>30</v>
      </c>
      <c r="B39" s="84" t="s">
        <v>116</v>
      </c>
      <c r="C39" s="84" t="s">
        <v>62</v>
      </c>
      <c r="D39" s="90" t="str">
        <f t="shared" si="1"/>
        <v>2.3.1</v>
      </c>
      <c r="E39" s="86" t="s">
        <v>117</v>
      </c>
      <c r="F39" s="87" t="s">
        <v>64</v>
      </c>
      <c r="G39" s="87">
        <v>100</v>
      </c>
      <c r="H39" s="88">
        <v>590</v>
      </c>
      <c r="I39" s="89">
        <f t="shared" si="0"/>
        <v>59000</v>
      </c>
      <c r="J39" s="81"/>
    </row>
    <row r="40" spans="1:13" s="74" customFormat="1" ht="57.75" customHeight="1" thickBot="1" x14ac:dyDescent="0.25">
      <c r="A40" s="82">
        <v>31</v>
      </c>
      <c r="B40" s="84" t="s">
        <v>118</v>
      </c>
      <c r="C40" s="84" t="s">
        <v>62</v>
      </c>
      <c r="D40" s="90" t="str">
        <f t="shared" si="1"/>
        <v>2.3.1</v>
      </c>
      <c r="E40" s="94" t="s">
        <v>195</v>
      </c>
      <c r="F40" s="87" t="s">
        <v>64</v>
      </c>
      <c r="G40" s="87">
        <v>25</v>
      </c>
      <c r="H40" s="88">
        <v>1891</v>
      </c>
      <c r="I40" s="89">
        <f t="shared" si="0"/>
        <v>47275</v>
      </c>
    </row>
    <row r="41" spans="1:13" s="74" customFormat="1" ht="45.75" customHeight="1" thickBot="1" x14ac:dyDescent="0.25">
      <c r="A41" s="82">
        <v>32</v>
      </c>
      <c r="B41" s="91" t="s">
        <v>146</v>
      </c>
      <c r="C41" s="83" t="s">
        <v>62</v>
      </c>
      <c r="D41" s="85" t="s">
        <v>147</v>
      </c>
      <c r="E41" s="92" t="s">
        <v>148</v>
      </c>
      <c r="F41" s="87" t="s">
        <v>64</v>
      </c>
      <c r="G41" s="87">
        <v>20</v>
      </c>
      <c r="H41" s="88">
        <v>1395</v>
      </c>
      <c r="I41" s="89">
        <f t="shared" si="0"/>
        <v>27900</v>
      </c>
    </row>
    <row r="42" spans="1:13" s="74" customFormat="1" ht="43.5" customHeight="1" thickBot="1" x14ac:dyDescent="0.25">
      <c r="A42" s="82">
        <v>33</v>
      </c>
      <c r="B42" s="84" t="s">
        <v>119</v>
      </c>
      <c r="C42" s="84" t="s">
        <v>62</v>
      </c>
      <c r="D42" s="90" t="str">
        <f t="shared" si="1"/>
        <v>2.3.1</v>
      </c>
      <c r="E42" s="86" t="s">
        <v>120</v>
      </c>
      <c r="F42" s="87" t="s">
        <v>64</v>
      </c>
      <c r="G42" s="87">
        <v>75</v>
      </c>
      <c r="H42" s="88">
        <v>1259</v>
      </c>
      <c r="I42" s="89">
        <f t="shared" si="0"/>
        <v>94425</v>
      </c>
      <c r="J42" s="81"/>
    </row>
    <row r="43" spans="1:13" s="74" customFormat="1" ht="56.25" customHeight="1" thickBot="1" x14ac:dyDescent="0.25">
      <c r="A43" s="82">
        <v>34</v>
      </c>
      <c r="B43" s="93" t="s">
        <v>121</v>
      </c>
      <c r="C43" s="84" t="s">
        <v>62</v>
      </c>
      <c r="D43" s="90" t="str">
        <f t="shared" si="1"/>
        <v>2.3.1</v>
      </c>
      <c r="E43" s="149" t="s">
        <v>122</v>
      </c>
      <c r="F43" s="87" t="s">
        <v>123</v>
      </c>
      <c r="G43" s="87">
        <v>400</v>
      </c>
      <c r="H43" s="88">
        <v>1512</v>
      </c>
      <c r="I43" s="89">
        <f t="shared" si="0"/>
        <v>604800</v>
      </c>
      <c r="J43" s="81"/>
    </row>
    <row r="44" spans="1:13" s="74" customFormat="1" ht="60.75" customHeight="1" thickBot="1" x14ac:dyDescent="0.25">
      <c r="A44" s="82">
        <v>35</v>
      </c>
      <c r="B44" s="83" t="s">
        <v>124</v>
      </c>
      <c r="C44" s="84" t="s">
        <v>62</v>
      </c>
      <c r="D44" s="90" t="str">
        <f t="shared" si="1"/>
        <v>2.3.1</v>
      </c>
      <c r="E44" s="149" t="s">
        <v>125</v>
      </c>
      <c r="F44" s="87" t="s">
        <v>126</v>
      </c>
      <c r="G44" s="87">
        <v>350</v>
      </c>
      <c r="H44" s="88">
        <v>1095</v>
      </c>
      <c r="I44" s="89">
        <f t="shared" si="0"/>
        <v>383250</v>
      </c>
      <c r="J44" s="81"/>
      <c r="K44" s="81"/>
      <c r="L44" s="81"/>
      <c r="M44" s="81"/>
    </row>
    <row r="45" spans="1:13" s="74" customFormat="1" ht="39.75" customHeight="1" thickBot="1" x14ac:dyDescent="0.25">
      <c r="A45" s="82">
        <v>36</v>
      </c>
      <c r="B45" s="83" t="s">
        <v>127</v>
      </c>
      <c r="C45" s="84" t="s">
        <v>62</v>
      </c>
      <c r="D45" s="90" t="str">
        <f t="shared" si="1"/>
        <v>2.9.2</v>
      </c>
      <c r="E45" s="92" t="s">
        <v>128</v>
      </c>
      <c r="F45" s="87" t="s">
        <v>64</v>
      </c>
      <c r="G45" s="87">
        <v>10</v>
      </c>
      <c r="H45" s="88">
        <v>2445</v>
      </c>
      <c r="I45" s="89">
        <f t="shared" si="0"/>
        <v>24450</v>
      </c>
      <c r="J45" s="81"/>
    </row>
    <row r="46" spans="1:13" s="74" customFormat="1" ht="40.5" customHeight="1" thickBot="1" x14ac:dyDescent="0.25">
      <c r="A46" s="82">
        <v>37</v>
      </c>
      <c r="B46" s="83" t="s">
        <v>129</v>
      </c>
      <c r="C46" s="84" t="s">
        <v>62</v>
      </c>
      <c r="D46" s="90" t="str">
        <f t="shared" si="1"/>
        <v>2.9.2</v>
      </c>
      <c r="E46" s="92" t="s">
        <v>130</v>
      </c>
      <c r="F46" s="87" t="s">
        <v>64</v>
      </c>
      <c r="G46" s="87">
        <v>50</v>
      </c>
      <c r="H46" s="88">
        <v>219</v>
      </c>
      <c r="I46" s="89">
        <f t="shared" si="0"/>
        <v>10950</v>
      </c>
    </row>
    <row r="47" spans="1:13" s="74" customFormat="1" ht="42" customHeight="1" thickBot="1" x14ac:dyDescent="0.25">
      <c r="A47" s="82">
        <v>38</v>
      </c>
      <c r="B47" s="83" t="s">
        <v>131</v>
      </c>
      <c r="C47" s="84" t="s">
        <v>62</v>
      </c>
      <c r="D47" s="90" t="str">
        <f t="shared" si="1"/>
        <v>2.9.2</v>
      </c>
      <c r="E47" s="92" t="s">
        <v>132</v>
      </c>
      <c r="F47" s="87" t="s">
        <v>64</v>
      </c>
      <c r="G47" s="87">
        <v>150</v>
      </c>
      <c r="H47" s="88">
        <v>82</v>
      </c>
      <c r="I47" s="89">
        <f t="shared" si="0"/>
        <v>12300</v>
      </c>
    </row>
    <row r="48" spans="1:13" s="74" customFormat="1" ht="41.25" customHeight="1" thickBot="1" x14ac:dyDescent="0.25">
      <c r="A48" s="82">
        <v>39</v>
      </c>
      <c r="B48" s="83" t="s">
        <v>131</v>
      </c>
      <c r="C48" s="84" t="s">
        <v>62</v>
      </c>
      <c r="D48" s="90" t="str">
        <f t="shared" si="1"/>
        <v>2.9.2</v>
      </c>
      <c r="E48" s="92" t="s">
        <v>132</v>
      </c>
      <c r="F48" s="87" t="s">
        <v>64</v>
      </c>
      <c r="G48" s="87">
        <v>150</v>
      </c>
      <c r="H48" s="88">
        <v>82</v>
      </c>
      <c r="I48" s="89">
        <f t="shared" si="0"/>
        <v>12300</v>
      </c>
    </row>
    <row r="49" spans="1:11" s="74" customFormat="1" ht="51" customHeight="1" thickBot="1" x14ac:dyDescent="0.25">
      <c r="A49" s="82">
        <v>40</v>
      </c>
      <c r="B49" s="83" t="s">
        <v>133</v>
      </c>
      <c r="C49" s="84" t="s">
        <v>62</v>
      </c>
      <c r="D49" s="90" t="str">
        <f t="shared" si="1"/>
        <v>2.3.1</v>
      </c>
      <c r="E49" s="86" t="s">
        <v>134</v>
      </c>
      <c r="F49" s="87" t="s">
        <v>64</v>
      </c>
      <c r="G49" s="87">
        <v>3000</v>
      </c>
      <c r="H49" s="88">
        <v>5</v>
      </c>
      <c r="I49" s="89">
        <f t="shared" si="0"/>
        <v>15000</v>
      </c>
      <c r="J49" s="81"/>
      <c r="K49" s="80"/>
    </row>
    <row r="50" spans="1:11" s="74" customFormat="1" ht="41.25" customHeight="1" thickBot="1" x14ac:dyDescent="0.25">
      <c r="A50" s="82">
        <v>41</v>
      </c>
      <c r="B50" s="84" t="s">
        <v>186</v>
      </c>
      <c r="C50" s="84" t="s">
        <v>62</v>
      </c>
      <c r="D50" s="90" t="str">
        <f t="shared" si="1"/>
        <v>2.3.1</v>
      </c>
      <c r="E50" s="94" t="s">
        <v>185</v>
      </c>
      <c r="F50" s="87" t="s">
        <v>64</v>
      </c>
      <c r="G50" s="87">
        <v>3000</v>
      </c>
      <c r="H50" s="88">
        <v>8</v>
      </c>
      <c r="I50" s="89">
        <f t="shared" si="0"/>
        <v>24000</v>
      </c>
      <c r="J50" s="81"/>
      <c r="K50" s="80"/>
    </row>
    <row r="51" spans="1:11" s="74" customFormat="1" ht="59.25" customHeight="1" thickBot="1" x14ac:dyDescent="0.25">
      <c r="A51" s="82">
        <v>42</v>
      </c>
      <c r="B51" s="84" t="s">
        <v>135</v>
      </c>
      <c r="C51" s="84" t="s">
        <v>62</v>
      </c>
      <c r="D51" s="90" t="str">
        <f t="shared" si="1"/>
        <v>2.3.1</v>
      </c>
      <c r="E51" s="94" t="s">
        <v>136</v>
      </c>
      <c r="F51" s="87" t="s">
        <v>123</v>
      </c>
      <c r="G51" s="87">
        <v>8</v>
      </c>
      <c r="H51" s="88">
        <v>1750</v>
      </c>
      <c r="I51" s="89">
        <f t="shared" si="0"/>
        <v>14000</v>
      </c>
      <c r="J51" s="81"/>
    </row>
    <row r="52" spans="1:11" s="74" customFormat="1" ht="51" customHeight="1" thickBot="1" x14ac:dyDescent="0.25">
      <c r="A52" s="82">
        <v>43</v>
      </c>
      <c r="B52" s="84" t="s">
        <v>137</v>
      </c>
      <c r="C52" s="84" t="s">
        <v>62</v>
      </c>
      <c r="D52" s="90" t="str">
        <f t="shared" si="1"/>
        <v>2.3.1</v>
      </c>
      <c r="E52" s="86" t="s">
        <v>138</v>
      </c>
      <c r="F52" s="87" t="s">
        <v>64</v>
      </c>
      <c r="G52" s="87">
        <v>1200</v>
      </c>
      <c r="H52" s="88">
        <v>21.08</v>
      </c>
      <c r="I52" s="89">
        <f t="shared" si="0"/>
        <v>25295.999999999996</v>
      </c>
    </row>
    <row r="53" spans="1:11" s="74" customFormat="1" ht="53.25" customHeight="1" thickBot="1" x14ac:dyDescent="0.25">
      <c r="A53" s="82">
        <v>44</v>
      </c>
      <c r="B53" s="84" t="s">
        <v>139</v>
      </c>
      <c r="C53" s="84" t="s">
        <v>62</v>
      </c>
      <c r="D53" s="90" t="str">
        <f t="shared" si="1"/>
        <v>2.3.1</v>
      </c>
      <c r="E53" s="86" t="s">
        <v>140</v>
      </c>
      <c r="F53" s="87" t="s">
        <v>64</v>
      </c>
      <c r="G53" s="87">
        <v>1500</v>
      </c>
      <c r="H53" s="88">
        <v>10.199999999999999</v>
      </c>
      <c r="I53" s="89">
        <f t="shared" si="0"/>
        <v>15299.999999999998</v>
      </c>
    </row>
    <row r="54" spans="1:11" s="74" customFormat="1" ht="45.75" customHeight="1" thickBot="1" x14ac:dyDescent="0.25">
      <c r="A54" s="82">
        <v>45</v>
      </c>
      <c r="B54" s="84" t="s">
        <v>141</v>
      </c>
      <c r="C54" s="84" t="s">
        <v>62</v>
      </c>
      <c r="D54" s="90" t="str">
        <f t="shared" si="1"/>
        <v>2.9.2</v>
      </c>
      <c r="E54" s="86" t="s">
        <v>142</v>
      </c>
      <c r="F54" s="87" t="s">
        <v>64</v>
      </c>
      <c r="G54" s="87">
        <v>50</v>
      </c>
      <c r="H54" s="88">
        <v>456.52</v>
      </c>
      <c r="I54" s="89">
        <f t="shared" si="0"/>
        <v>22826</v>
      </c>
    </row>
    <row r="55" spans="1:11" s="74" customFormat="1" ht="44.25" customHeight="1" thickBot="1" x14ac:dyDescent="0.25">
      <c r="A55" s="82">
        <v>46</v>
      </c>
      <c r="B55" s="84" t="s">
        <v>143</v>
      </c>
      <c r="C55" s="84" t="s">
        <v>62</v>
      </c>
      <c r="D55" s="85" t="s">
        <v>149</v>
      </c>
      <c r="E55" s="86" t="s">
        <v>144</v>
      </c>
      <c r="F55" s="87" t="s">
        <v>64</v>
      </c>
      <c r="G55" s="87">
        <v>30</v>
      </c>
      <c r="H55" s="88">
        <v>391</v>
      </c>
      <c r="I55" s="89">
        <f t="shared" si="0"/>
        <v>11730</v>
      </c>
    </row>
    <row r="56" spans="1:11" s="74" customFormat="1" ht="36" customHeight="1" thickBot="1" x14ac:dyDescent="0.25">
      <c r="A56" s="82">
        <v>47</v>
      </c>
      <c r="B56" s="84" t="s">
        <v>188</v>
      </c>
      <c r="C56" s="84" t="s">
        <v>62</v>
      </c>
      <c r="D56" s="90" t="str">
        <f t="shared" si="1"/>
        <v>2.9.2</v>
      </c>
      <c r="E56" s="86" t="s">
        <v>187</v>
      </c>
      <c r="F56" s="87" t="s">
        <v>64</v>
      </c>
      <c r="G56" s="87">
        <v>500</v>
      </c>
      <c r="H56" s="88">
        <v>45.9</v>
      </c>
      <c r="I56" s="89">
        <f t="shared" si="0"/>
        <v>22950</v>
      </c>
    </row>
    <row r="57" spans="1:11" s="74" customFormat="1" ht="37.5" customHeight="1" thickBot="1" x14ac:dyDescent="0.25">
      <c r="A57" s="82">
        <v>48</v>
      </c>
      <c r="B57" s="84" t="s">
        <v>190</v>
      </c>
      <c r="C57" s="84" t="s">
        <v>62</v>
      </c>
      <c r="D57" s="90" t="str">
        <f t="shared" si="1"/>
        <v>2.9.2</v>
      </c>
      <c r="E57" s="86" t="s">
        <v>189</v>
      </c>
      <c r="F57" s="87" t="s">
        <v>64</v>
      </c>
      <c r="G57" s="87">
        <v>2500</v>
      </c>
      <c r="H57" s="88">
        <v>53</v>
      </c>
      <c r="I57" s="89">
        <f t="shared" si="0"/>
        <v>132500</v>
      </c>
    </row>
    <row r="60" spans="1:11" x14ac:dyDescent="0.2">
      <c r="B60" s="42" t="s">
        <v>152</v>
      </c>
      <c r="C60" s="43"/>
      <c r="D60" s="76"/>
      <c r="E60" s="44"/>
    </row>
    <row r="61" spans="1:11" ht="5.25" customHeight="1" x14ac:dyDescent="0.2">
      <c r="B61" s="45"/>
      <c r="C61" s="46"/>
      <c r="D61" s="77"/>
      <c r="E61" s="47"/>
    </row>
    <row r="62" spans="1:11" x14ac:dyDescent="0.2">
      <c r="B62" s="48" t="s">
        <v>14</v>
      </c>
      <c r="C62" s="46"/>
      <c r="D62" s="77"/>
      <c r="E62" s="47"/>
    </row>
    <row r="63" spans="1:11" ht="32.25" customHeight="1" x14ac:dyDescent="0.2">
      <c r="B63" s="48"/>
      <c r="C63" s="101" t="s">
        <v>192</v>
      </c>
      <c r="D63" s="101"/>
      <c r="E63" s="102"/>
    </row>
    <row r="64" spans="1:11" x14ac:dyDescent="0.2">
      <c r="B64" s="48" t="s">
        <v>15</v>
      </c>
      <c r="C64" s="46"/>
      <c r="D64" s="77"/>
      <c r="E64" s="47"/>
    </row>
    <row r="65" spans="1:30" ht="21" customHeight="1" x14ac:dyDescent="0.2">
      <c r="B65" s="49"/>
      <c r="C65" s="99" t="s">
        <v>174</v>
      </c>
      <c r="D65" s="99"/>
      <c r="E65" s="99"/>
    </row>
    <row r="66" spans="1:30" x14ac:dyDescent="0.2">
      <c r="B66" s="49"/>
      <c r="C66" s="100"/>
      <c r="D66" s="100"/>
      <c r="E66" s="100"/>
    </row>
    <row r="67" spans="1:30" x14ac:dyDescent="0.2">
      <c r="B67" s="48" t="s">
        <v>16</v>
      </c>
      <c r="C67" s="46"/>
      <c r="D67" s="77"/>
      <c r="E67" s="47"/>
    </row>
    <row r="68" spans="1:30" ht="26.25" customHeight="1" x14ac:dyDescent="0.2">
      <c r="B68" s="49"/>
      <c r="C68" s="95"/>
      <c r="D68" s="95"/>
      <c r="E68" s="95"/>
    </row>
    <row r="69" spans="1:30" x14ac:dyDescent="0.2">
      <c r="B69" s="48" t="s">
        <v>17</v>
      </c>
      <c r="C69" s="50"/>
      <c r="D69" s="50"/>
      <c r="E69" s="51"/>
    </row>
    <row r="70" spans="1:30" s="72" customFormat="1" ht="26.25" customHeight="1" x14ac:dyDescent="0.2">
      <c r="A70" s="74"/>
      <c r="B70" s="73"/>
      <c r="C70" s="95" t="s">
        <v>58</v>
      </c>
      <c r="D70" s="95"/>
      <c r="E70" s="95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</row>
    <row r="71" spans="1:30" x14ac:dyDescent="0.2">
      <c r="B71" s="48" t="s">
        <v>18</v>
      </c>
      <c r="C71" s="46"/>
      <c r="D71" s="77"/>
      <c r="E71" s="47"/>
    </row>
    <row r="72" spans="1:30" ht="23.25" customHeight="1" x14ac:dyDescent="0.2">
      <c r="B72" s="48"/>
      <c r="C72" s="96"/>
      <c r="D72" s="96"/>
      <c r="E72" s="96"/>
    </row>
    <row r="73" spans="1:30" x14ac:dyDescent="0.2">
      <c r="B73" s="52"/>
      <c r="C73" s="53"/>
      <c r="D73" s="78"/>
      <c r="E73" s="54"/>
    </row>
    <row r="75" spans="1:30" x14ac:dyDescent="0.2">
      <c r="B75" s="42" t="s">
        <v>153</v>
      </c>
      <c r="C75" s="43"/>
      <c r="D75" s="76"/>
      <c r="E75" s="44"/>
    </row>
    <row r="76" spans="1:30" ht="7.5" customHeight="1" x14ac:dyDescent="0.2">
      <c r="B76" s="45"/>
      <c r="C76" s="46"/>
      <c r="D76" s="77"/>
      <c r="E76" s="47"/>
    </row>
    <row r="77" spans="1:30" x14ac:dyDescent="0.2">
      <c r="B77" s="48" t="s">
        <v>14</v>
      </c>
      <c r="C77" s="46"/>
      <c r="D77" s="77"/>
      <c r="E77" s="47"/>
    </row>
    <row r="78" spans="1:30" ht="26.25" customHeight="1" x14ac:dyDescent="0.2">
      <c r="B78" s="48"/>
      <c r="C78" s="97" t="s">
        <v>175</v>
      </c>
      <c r="D78" s="97"/>
      <c r="E78" s="98"/>
    </row>
    <row r="79" spans="1:30" x14ac:dyDescent="0.2">
      <c r="B79" s="48" t="s">
        <v>15</v>
      </c>
      <c r="C79" s="46"/>
      <c r="D79" s="77"/>
      <c r="E79" s="47"/>
    </row>
    <row r="80" spans="1:30" ht="21.75" customHeight="1" x14ac:dyDescent="0.2">
      <c r="B80" s="49"/>
      <c r="C80" s="99" t="s">
        <v>174</v>
      </c>
      <c r="D80" s="99"/>
      <c r="E80" s="99"/>
    </row>
    <row r="81" spans="2:5" s="74" customFormat="1" x14ac:dyDescent="0.2">
      <c r="B81" s="73"/>
      <c r="C81" s="100"/>
      <c r="D81" s="100"/>
      <c r="E81" s="100"/>
    </row>
    <row r="82" spans="2:5" x14ac:dyDescent="0.2">
      <c r="B82" s="48" t="s">
        <v>16</v>
      </c>
      <c r="C82" s="46"/>
      <c r="D82" s="77"/>
      <c r="E82" s="47"/>
    </row>
    <row r="83" spans="2:5" x14ac:dyDescent="0.2">
      <c r="B83" s="49"/>
      <c r="C83" s="95"/>
      <c r="D83" s="95"/>
      <c r="E83" s="95"/>
    </row>
    <row r="84" spans="2:5" x14ac:dyDescent="0.2">
      <c r="B84" s="48" t="s">
        <v>17</v>
      </c>
      <c r="C84" s="50"/>
      <c r="D84" s="50"/>
      <c r="E84" s="51"/>
    </row>
    <row r="85" spans="2:5" ht="20.25" customHeight="1" x14ac:dyDescent="0.2">
      <c r="B85" s="49"/>
      <c r="C85" s="95" t="s">
        <v>154</v>
      </c>
      <c r="D85" s="95"/>
      <c r="E85" s="95"/>
    </row>
    <row r="86" spans="2:5" x14ac:dyDescent="0.2">
      <c r="B86" s="48" t="s">
        <v>18</v>
      </c>
      <c r="C86" s="46"/>
      <c r="D86" s="77"/>
      <c r="E86" s="47"/>
    </row>
    <row r="87" spans="2:5" x14ac:dyDescent="0.2">
      <c r="B87" s="48"/>
      <c r="C87" s="96"/>
      <c r="D87" s="96"/>
      <c r="E87" s="96"/>
    </row>
    <row r="88" spans="2:5" x14ac:dyDescent="0.2">
      <c r="B88" s="52"/>
      <c r="C88" s="53"/>
      <c r="D88" s="78"/>
      <c r="E88" s="54"/>
    </row>
    <row r="89" spans="2:5" ht="13.5" thickBot="1" x14ac:dyDescent="0.25"/>
    <row r="90" spans="2:5" x14ac:dyDescent="0.2">
      <c r="B90" s="42" t="s">
        <v>155</v>
      </c>
      <c r="C90" s="43"/>
      <c r="D90" s="76"/>
      <c r="E90" s="44"/>
    </row>
    <row r="91" spans="2:5" x14ac:dyDescent="0.2">
      <c r="B91" s="45"/>
      <c r="C91" s="46"/>
      <c r="D91" s="77"/>
      <c r="E91" s="47"/>
    </row>
    <row r="92" spans="2:5" x14ac:dyDescent="0.2">
      <c r="B92" s="48" t="s">
        <v>14</v>
      </c>
      <c r="C92" s="46"/>
      <c r="D92" s="77"/>
      <c r="E92" s="47"/>
    </row>
    <row r="93" spans="2:5" ht="27" customHeight="1" x14ac:dyDescent="0.2">
      <c r="B93" s="48"/>
      <c r="C93" s="97" t="s">
        <v>176</v>
      </c>
      <c r="D93" s="97"/>
      <c r="E93" s="98"/>
    </row>
    <row r="94" spans="2:5" x14ac:dyDescent="0.2">
      <c r="B94" s="48" t="s">
        <v>15</v>
      </c>
      <c r="C94" s="46"/>
      <c r="D94" s="77"/>
      <c r="E94" s="47"/>
    </row>
    <row r="95" spans="2:5" ht="21.75" customHeight="1" x14ac:dyDescent="0.2">
      <c r="B95" s="49"/>
      <c r="C95" s="99" t="s">
        <v>174</v>
      </c>
      <c r="D95" s="99"/>
      <c r="E95" s="99"/>
    </row>
    <row r="96" spans="2:5" x14ac:dyDescent="0.2">
      <c r="B96" s="49"/>
      <c r="C96" s="100"/>
      <c r="D96" s="100"/>
      <c r="E96" s="100"/>
    </row>
    <row r="97" spans="2:5" x14ac:dyDescent="0.2">
      <c r="B97" s="48" t="s">
        <v>16</v>
      </c>
      <c r="C97" s="46"/>
      <c r="D97" s="77"/>
      <c r="E97" s="47"/>
    </row>
    <row r="98" spans="2:5" x14ac:dyDescent="0.2">
      <c r="B98" s="49"/>
      <c r="C98" s="95"/>
      <c r="D98" s="95"/>
      <c r="E98" s="95"/>
    </row>
    <row r="99" spans="2:5" x14ac:dyDescent="0.2">
      <c r="B99" s="48" t="s">
        <v>17</v>
      </c>
      <c r="C99" s="50"/>
      <c r="D99" s="50"/>
      <c r="E99" s="51"/>
    </row>
    <row r="100" spans="2:5" ht="18" customHeight="1" x14ac:dyDescent="0.2">
      <c r="B100" s="73"/>
      <c r="C100" s="95" t="s">
        <v>58</v>
      </c>
      <c r="D100" s="95"/>
      <c r="E100" s="95"/>
    </row>
    <row r="101" spans="2:5" x14ac:dyDescent="0.2">
      <c r="B101" s="48" t="s">
        <v>18</v>
      </c>
      <c r="C101" s="46"/>
      <c r="D101" s="77"/>
      <c r="E101" s="47"/>
    </row>
    <row r="102" spans="2:5" x14ac:dyDescent="0.2">
      <c r="B102" s="48"/>
      <c r="C102" s="96"/>
      <c r="D102" s="96"/>
      <c r="E102" s="96"/>
    </row>
    <row r="103" spans="2:5" ht="13.5" thickBot="1" x14ac:dyDescent="0.25">
      <c r="B103" s="52"/>
      <c r="C103" s="53"/>
      <c r="D103" s="78"/>
      <c r="E103" s="54"/>
    </row>
    <row r="104" spans="2:5" ht="13.5" thickBot="1" x14ac:dyDescent="0.25"/>
    <row r="105" spans="2:5" x14ac:dyDescent="0.2">
      <c r="B105" s="42" t="s">
        <v>156</v>
      </c>
      <c r="C105" s="43"/>
      <c r="D105" s="76"/>
      <c r="E105" s="44"/>
    </row>
    <row r="106" spans="2:5" x14ac:dyDescent="0.2">
      <c r="B106" s="45"/>
      <c r="C106" s="46"/>
      <c r="D106" s="77"/>
      <c r="E106" s="47"/>
    </row>
    <row r="107" spans="2:5" x14ac:dyDescent="0.2">
      <c r="B107" s="48" t="s">
        <v>14</v>
      </c>
      <c r="C107" s="46"/>
      <c r="D107" s="77"/>
      <c r="E107" s="47"/>
    </row>
    <row r="108" spans="2:5" ht="27" customHeight="1" x14ac:dyDescent="0.2">
      <c r="B108" s="48"/>
      <c r="C108" s="97" t="s">
        <v>145</v>
      </c>
      <c r="D108" s="97"/>
      <c r="E108" s="98"/>
    </row>
    <row r="109" spans="2:5" x14ac:dyDescent="0.2">
      <c r="B109" s="48" t="s">
        <v>15</v>
      </c>
      <c r="C109" s="46"/>
      <c r="D109" s="77"/>
      <c r="E109" s="47"/>
    </row>
    <row r="110" spans="2:5" ht="31.5" customHeight="1" x14ac:dyDescent="0.2">
      <c r="B110" s="49"/>
      <c r="C110" s="99" t="s">
        <v>174</v>
      </c>
      <c r="D110" s="99"/>
      <c r="E110" s="99"/>
    </row>
    <row r="111" spans="2:5" x14ac:dyDescent="0.2">
      <c r="B111" s="49"/>
      <c r="C111" s="100"/>
      <c r="D111" s="100"/>
      <c r="E111" s="100"/>
    </row>
    <row r="112" spans="2:5" x14ac:dyDescent="0.2">
      <c r="B112" s="48" t="s">
        <v>16</v>
      </c>
      <c r="C112" s="46"/>
      <c r="D112" s="77"/>
      <c r="E112" s="47"/>
    </row>
    <row r="113" spans="2:5" x14ac:dyDescent="0.2">
      <c r="B113" s="49"/>
      <c r="C113" s="95"/>
      <c r="D113" s="95"/>
      <c r="E113" s="95"/>
    </row>
    <row r="114" spans="2:5" x14ac:dyDescent="0.2">
      <c r="B114" s="48" t="s">
        <v>17</v>
      </c>
      <c r="C114" s="50"/>
      <c r="D114" s="50"/>
      <c r="E114" s="51"/>
    </row>
    <row r="115" spans="2:5" ht="18.75" customHeight="1" x14ac:dyDescent="0.2">
      <c r="B115" s="49"/>
      <c r="C115" s="95" t="s">
        <v>58</v>
      </c>
      <c r="D115" s="95"/>
      <c r="E115" s="95"/>
    </row>
    <row r="116" spans="2:5" x14ac:dyDescent="0.2">
      <c r="B116" s="48" t="s">
        <v>18</v>
      </c>
      <c r="C116" s="46"/>
      <c r="D116" s="77"/>
      <c r="E116" s="47"/>
    </row>
    <row r="117" spans="2:5" x14ac:dyDescent="0.2">
      <c r="B117" s="48"/>
      <c r="C117" s="96"/>
      <c r="D117" s="96"/>
      <c r="E117" s="96"/>
    </row>
    <row r="118" spans="2:5" ht="13.5" thickBot="1" x14ac:dyDescent="0.25">
      <c r="B118" s="52"/>
      <c r="C118" s="53"/>
      <c r="D118" s="78"/>
      <c r="E118" s="54"/>
    </row>
    <row r="119" spans="2:5" ht="13.5" thickBot="1" x14ac:dyDescent="0.25"/>
    <row r="120" spans="2:5" x14ac:dyDescent="0.2">
      <c r="B120" s="42" t="s">
        <v>157</v>
      </c>
      <c r="C120" s="43"/>
      <c r="D120" s="76"/>
      <c r="E120" s="44"/>
    </row>
    <row r="121" spans="2:5" x14ac:dyDescent="0.2">
      <c r="B121" s="45"/>
      <c r="C121" s="46"/>
      <c r="D121" s="77"/>
      <c r="E121" s="47"/>
    </row>
    <row r="122" spans="2:5" x14ac:dyDescent="0.2">
      <c r="B122" s="48" t="s">
        <v>14</v>
      </c>
      <c r="C122" s="46"/>
      <c r="D122" s="77"/>
      <c r="E122" s="47"/>
    </row>
    <row r="123" spans="2:5" ht="30.75" customHeight="1" x14ac:dyDescent="0.2">
      <c r="B123" s="48"/>
      <c r="C123" s="97" t="s">
        <v>145</v>
      </c>
      <c r="D123" s="97"/>
      <c r="E123" s="98"/>
    </row>
    <row r="124" spans="2:5" x14ac:dyDescent="0.2">
      <c r="B124" s="48" t="s">
        <v>15</v>
      </c>
      <c r="C124" s="46"/>
      <c r="D124" s="77"/>
      <c r="E124" s="47"/>
    </row>
    <row r="125" spans="2:5" ht="23.25" customHeight="1" x14ac:dyDescent="0.2">
      <c r="B125" s="49"/>
      <c r="C125" s="99" t="s">
        <v>174</v>
      </c>
      <c r="D125" s="99"/>
      <c r="E125" s="99"/>
    </row>
    <row r="126" spans="2:5" x14ac:dyDescent="0.2">
      <c r="B126" s="49"/>
      <c r="C126" s="100"/>
      <c r="D126" s="100"/>
      <c r="E126" s="100"/>
    </row>
    <row r="127" spans="2:5" x14ac:dyDescent="0.2">
      <c r="B127" s="48" t="s">
        <v>16</v>
      </c>
      <c r="C127" s="46"/>
      <c r="D127" s="77"/>
      <c r="E127" s="47"/>
    </row>
    <row r="128" spans="2:5" x14ac:dyDescent="0.2">
      <c r="B128" s="49"/>
      <c r="C128" s="95"/>
      <c r="D128" s="95"/>
      <c r="E128" s="95"/>
    </row>
    <row r="129" spans="2:5" x14ac:dyDescent="0.2">
      <c r="B129" s="48" t="s">
        <v>17</v>
      </c>
      <c r="C129" s="50"/>
      <c r="D129" s="50"/>
      <c r="E129" s="51"/>
    </row>
    <row r="130" spans="2:5" x14ac:dyDescent="0.2">
      <c r="B130" s="49"/>
      <c r="C130" s="95" t="s">
        <v>58</v>
      </c>
      <c r="D130" s="95"/>
      <c r="E130" s="95"/>
    </row>
    <row r="131" spans="2:5" x14ac:dyDescent="0.2">
      <c r="B131" s="48" t="s">
        <v>18</v>
      </c>
      <c r="C131" s="46"/>
      <c r="D131" s="77"/>
      <c r="E131" s="47"/>
    </row>
    <row r="132" spans="2:5" x14ac:dyDescent="0.2">
      <c r="B132" s="48"/>
      <c r="C132" s="96"/>
      <c r="D132" s="96"/>
      <c r="E132" s="96"/>
    </row>
    <row r="133" spans="2:5" ht="13.5" thickBot="1" x14ac:dyDescent="0.25">
      <c r="B133" s="52"/>
      <c r="C133" s="53"/>
      <c r="D133" s="78"/>
      <c r="E133" s="54"/>
    </row>
    <row r="134" spans="2:5" ht="13.5" thickBot="1" x14ac:dyDescent="0.25"/>
    <row r="135" spans="2:5" x14ac:dyDescent="0.2">
      <c r="B135" s="42" t="s">
        <v>158</v>
      </c>
      <c r="C135" s="43"/>
      <c r="D135" s="76"/>
      <c r="E135" s="44"/>
    </row>
    <row r="136" spans="2:5" x14ac:dyDescent="0.2">
      <c r="B136" s="45"/>
      <c r="C136" s="46"/>
      <c r="D136" s="77"/>
      <c r="E136" s="47"/>
    </row>
    <row r="137" spans="2:5" x14ac:dyDescent="0.2">
      <c r="B137" s="48" t="s">
        <v>14</v>
      </c>
      <c r="C137" s="46"/>
      <c r="D137" s="77"/>
      <c r="E137" s="47"/>
    </row>
    <row r="138" spans="2:5" ht="18" customHeight="1" x14ac:dyDescent="0.2">
      <c r="B138" s="48"/>
      <c r="C138" s="97" t="s">
        <v>159</v>
      </c>
      <c r="D138" s="97"/>
      <c r="E138" s="98"/>
    </row>
    <row r="139" spans="2:5" x14ac:dyDescent="0.2">
      <c r="B139" s="48" t="s">
        <v>15</v>
      </c>
      <c r="C139" s="46"/>
      <c r="D139" s="77"/>
      <c r="E139" s="47"/>
    </row>
    <row r="140" spans="2:5" ht="26.25" customHeight="1" x14ac:dyDescent="0.2">
      <c r="B140" s="49"/>
      <c r="C140" s="99" t="s">
        <v>174</v>
      </c>
      <c r="D140" s="99"/>
      <c r="E140" s="99"/>
    </row>
    <row r="141" spans="2:5" x14ac:dyDescent="0.2">
      <c r="B141" s="49"/>
      <c r="C141" s="100"/>
      <c r="D141" s="100"/>
      <c r="E141" s="100"/>
    </row>
    <row r="142" spans="2:5" x14ac:dyDescent="0.2">
      <c r="B142" s="48" t="s">
        <v>16</v>
      </c>
      <c r="C142" s="46"/>
      <c r="D142" s="77"/>
      <c r="E142" s="47"/>
    </row>
    <row r="143" spans="2:5" x14ac:dyDescent="0.2">
      <c r="B143" s="49"/>
      <c r="C143" s="95"/>
      <c r="D143" s="95"/>
      <c r="E143" s="95"/>
    </row>
    <row r="144" spans="2:5" x14ac:dyDescent="0.2">
      <c r="B144" s="48" t="s">
        <v>17</v>
      </c>
      <c r="C144" s="50"/>
      <c r="D144" s="50"/>
      <c r="E144" s="51"/>
    </row>
    <row r="145" spans="2:5" x14ac:dyDescent="0.2">
      <c r="B145" s="49"/>
      <c r="C145" s="95" t="s">
        <v>58</v>
      </c>
      <c r="D145" s="95"/>
      <c r="E145" s="95"/>
    </row>
    <row r="146" spans="2:5" x14ac:dyDescent="0.2">
      <c r="B146" s="48" t="s">
        <v>18</v>
      </c>
      <c r="C146" s="46"/>
      <c r="D146" s="77"/>
      <c r="E146" s="47"/>
    </row>
    <row r="147" spans="2:5" x14ac:dyDescent="0.2">
      <c r="B147" s="48"/>
      <c r="C147" s="96"/>
      <c r="D147" s="96"/>
      <c r="E147" s="96"/>
    </row>
    <row r="148" spans="2:5" ht="13.5" thickBot="1" x14ac:dyDescent="0.25">
      <c r="B148" s="52"/>
      <c r="C148" s="53"/>
      <c r="D148" s="78"/>
      <c r="E148" s="54"/>
    </row>
    <row r="149" spans="2:5" ht="13.5" thickBot="1" x14ac:dyDescent="0.25"/>
    <row r="150" spans="2:5" x14ac:dyDescent="0.2">
      <c r="B150" s="42" t="s">
        <v>160</v>
      </c>
      <c r="C150" s="43"/>
      <c r="D150" s="76"/>
      <c r="E150" s="44"/>
    </row>
    <row r="151" spans="2:5" x14ac:dyDescent="0.2">
      <c r="B151" s="45"/>
      <c r="C151" s="46"/>
      <c r="D151" s="77"/>
      <c r="E151" s="47"/>
    </row>
    <row r="152" spans="2:5" x14ac:dyDescent="0.2">
      <c r="B152" s="48" t="s">
        <v>14</v>
      </c>
      <c r="C152" s="46"/>
      <c r="D152" s="77"/>
      <c r="E152" s="47"/>
    </row>
    <row r="153" spans="2:5" ht="21" customHeight="1" x14ac:dyDescent="0.2">
      <c r="B153" s="48"/>
      <c r="C153" s="97" t="s">
        <v>161</v>
      </c>
      <c r="D153" s="97"/>
      <c r="E153" s="98"/>
    </row>
    <row r="154" spans="2:5" x14ac:dyDescent="0.2">
      <c r="B154" s="48" t="s">
        <v>15</v>
      </c>
      <c r="C154" s="46"/>
      <c r="D154" s="77"/>
      <c r="E154" s="47"/>
    </row>
    <row r="155" spans="2:5" ht="25.5" customHeight="1" x14ac:dyDescent="0.2">
      <c r="B155" s="49"/>
      <c r="C155" s="99" t="s">
        <v>174</v>
      </c>
      <c r="D155" s="99"/>
      <c r="E155" s="99"/>
    </row>
    <row r="156" spans="2:5" x14ac:dyDescent="0.2">
      <c r="B156" s="49"/>
      <c r="C156" s="100"/>
      <c r="D156" s="100"/>
      <c r="E156" s="100"/>
    </row>
    <row r="157" spans="2:5" x14ac:dyDescent="0.2">
      <c r="B157" s="48" t="s">
        <v>16</v>
      </c>
      <c r="C157" s="46"/>
      <c r="D157" s="77"/>
      <c r="E157" s="47"/>
    </row>
    <row r="158" spans="2:5" x14ac:dyDescent="0.2">
      <c r="B158" s="49"/>
      <c r="C158" s="95"/>
      <c r="D158" s="95"/>
      <c r="E158" s="95"/>
    </row>
    <row r="159" spans="2:5" x14ac:dyDescent="0.2">
      <c r="B159" s="48" t="s">
        <v>17</v>
      </c>
      <c r="C159" s="50"/>
      <c r="D159" s="50"/>
      <c r="E159" s="51"/>
    </row>
    <row r="160" spans="2:5" x14ac:dyDescent="0.2">
      <c r="B160" s="49"/>
      <c r="C160" s="95" t="s">
        <v>58</v>
      </c>
      <c r="D160" s="95"/>
      <c r="E160" s="95"/>
    </row>
    <row r="161" spans="2:5" x14ac:dyDescent="0.2">
      <c r="B161" s="48" t="s">
        <v>18</v>
      </c>
      <c r="C161" s="46"/>
      <c r="D161" s="77"/>
      <c r="E161" s="47"/>
    </row>
    <row r="162" spans="2:5" x14ac:dyDescent="0.2">
      <c r="B162" s="48"/>
      <c r="C162" s="96"/>
      <c r="D162" s="96"/>
      <c r="E162" s="96"/>
    </row>
    <row r="163" spans="2:5" ht="13.5" thickBot="1" x14ac:dyDescent="0.25">
      <c r="B163" s="52"/>
      <c r="C163" s="53"/>
      <c r="D163" s="78"/>
      <c r="E163" s="54"/>
    </row>
    <row r="164" spans="2:5" ht="13.5" thickBot="1" x14ac:dyDescent="0.25"/>
    <row r="165" spans="2:5" x14ac:dyDescent="0.2">
      <c r="B165" s="42" t="s">
        <v>162</v>
      </c>
      <c r="C165" s="43"/>
      <c r="D165" s="76"/>
      <c r="E165" s="44"/>
    </row>
    <row r="166" spans="2:5" x14ac:dyDescent="0.2">
      <c r="B166" s="45"/>
      <c r="C166" s="46"/>
      <c r="D166" s="77"/>
      <c r="E166" s="47"/>
    </row>
    <row r="167" spans="2:5" x14ac:dyDescent="0.2">
      <c r="B167" s="48" t="s">
        <v>14</v>
      </c>
      <c r="C167" s="46"/>
      <c r="D167" s="77"/>
      <c r="E167" s="47"/>
    </row>
    <row r="168" spans="2:5" ht="25.5" customHeight="1" x14ac:dyDescent="0.2">
      <c r="B168" s="48"/>
      <c r="C168" s="97" t="s">
        <v>163</v>
      </c>
      <c r="D168" s="97"/>
      <c r="E168" s="98"/>
    </row>
    <row r="169" spans="2:5" x14ac:dyDescent="0.2">
      <c r="B169" s="48" t="s">
        <v>15</v>
      </c>
      <c r="C169" s="46"/>
      <c r="D169" s="77"/>
      <c r="E169" s="47"/>
    </row>
    <row r="170" spans="2:5" ht="27" customHeight="1" x14ac:dyDescent="0.2">
      <c r="B170" s="49"/>
      <c r="C170" s="99" t="s">
        <v>174</v>
      </c>
      <c r="D170" s="99"/>
      <c r="E170" s="99"/>
    </row>
    <row r="171" spans="2:5" x14ac:dyDescent="0.2">
      <c r="B171" s="49"/>
      <c r="C171" s="100"/>
      <c r="D171" s="100"/>
      <c r="E171" s="100"/>
    </row>
    <row r="172" spans="2:5" x14ac:dyDescent="0.2">
      <c r="B172" s="48" t="s">
        <v>16</v>
      </c>
      <c r="C172" s="46"/>
      <c r="D172" s="77"/>
      <c r="E172" s="47"/>
    </row>
    <row r="173" spans="2:5" x14ac:dyDescent="0.2">
      <c r="B173" s="49"/>
      <c r="C173" s="95"/>
      <c r="D173" s="95"/>
      <c r="E173" s="95"/>
    </row>
    <row r="174" spans="2:5" x14ac:dyDescent="0.2">
      <c r="B174" s="48" t="s">
        <v>17</v>
      </c>
      <c r="C174" s="50"/>
      <c r="D174" s="50"/>
      <c r="E174" s="51"/>
    </row>
    <row r="175" spans="2:5" x14ac:dyDescent="0.2">
      <c r="B175" s="49"/>
      <c r="C175" s="95" t="s">
        <v>58</v>
      </c>
      <c r="D175" s="95"/>
      <c r="E175" s="95"/>
    </row>
    <row r="176" spans="2:5" x14ac:dyDescent="0.2">
      <c r="B176" s="48" t="s">
        <v>18</v>
      </c>
      <c r="C176" s="46"/>
      <c r="D176" s="77"/>
      <c r="E176" s="47"/>
    </row>
    <row r="177" spans="2:5" x14ac:dyDescent="0.2">
      <c r="B177" s="48"/>
      <c r="C177" s="96"/>
      <c r="D177" s="96"/>
      <c r="E177" s="96"/>
    </row>
    <row r="178" spans="2:5" ht="13.5" thickBot="1" x14ac:dyDescent="0.25">
      <c r="B178" s="52"/>
      <c r="C178" s="53"/>
      <c r="D178" s="78"/>
      <c r="E178" s="54"/>
    </row>
    <row r="179" spans="2:5" ht="13.5" thickBot="1" x14ac:dyDescent="0.25"/>
    <row r="180" spans="2:5" x14ac:dyDescent="0.2">
      <c r="B180" s="42" t="s">
        <v>164</v>
      </c>
      <c r="C180" s="43"/>
      <c r="D180" s="76"/>
      <c r="E180" s="44"/>
    </row>
    <row r="181" spans="2:5" x14ac:dyDescent="0.2">
      <c r="B181" s="45"/>
      <c r="C181" s="46"/>
      <c r="D181" s="77"/>
      <c r="E181" s="47"/>
    </row>
    <row r="182" spans="2:5" x14ac:dyDescent="0.2">
      <c r="B182" s="48" t="s">
        <v>14</v>
      </c>
      <c r="C182" s="46"/>
      <c r="D182" s="77"/>
      <c r="E182" s="47"/>
    </row>
    <row r="183" spans="2:5" ht="35.25" customHeight="1" x14ac:dyDescent="0.2">
      <c r="B183" s="48"/>
      <c r="C183" s="97" t="s">
        <v>165</v>
      </c>
      <c r="D183" s="97"/>
      <c r="E183" s="98"/>
    </row>
    <row r="184" spans="2:5" x14ac:dyDescent="0.2">
      <c r="B184" s="48" t="s">
        <v>15</v>
      </c>
      <c r="C184" s="46"/>
      <c r="D184" s="77"/>
      <c r="E184" s="47"/>
    </row>
    <row r="185" spans="2:5" ht="25.5" customHeight="1" x14ac:dyDescent="0.2">
      <c r="B185" s="49"/>
      <c r="C185" s="99" t="s">
        <v>174</v>
      </c>
      <c r="D185" s="99"/>
      <c r="E185" s="99"/>
    </row>
    <row r="186" spans="2:5" x14ac:dyDescent="0.2">
      <c r="B186" s="49"/>
      <c r="C186" s="100"/>
      <c r="D186" s="100"/>
      <c r="E186" s="100"/>
    </row>
    <row r="187" spans="2:5" x14ac:dyDescent="0.2">
      <c r="B187" s="48" t="s">
        <v>16</v>
      </c>
      <c r="C187" s="46"/>
      <c r="D187" s="77"/>
      <c r="E187" s="47"/>
    </row>
    <row r="188" spans="2:5" x14ac:dyDescent="0.2">
      <c r="B188" s="49"/>
      <c r="C188" s="95"/>
      <c r="D188" s="95"/>
      <c r="E188" s="95"/>
    </row>
    <row r="189" spans="2:5" x14ac:dyDescent="0.2">
      <c r="B189" s="48" t="s">
        <v>17</v>
      </c>
      <c r="C189" s="50"/>
      <c r="D189" s="50"/>
      <c r="E189" s="51"/>
    </row>
    <row r="190" spans="2:5" x14ac:dyDescent="0.2">
      <c r="B190" s="49"/>
      <c r="C190" s="95" t="s">
        <v>58</v>
      </c>
      <c r="D190" s="95"/>
      <c r="E190" s="95"/>
    </row>
    <row r="191" spans="2:5" x14ac:dyDescent="0.2">
      <c r="B191" s="48" t="s">
        <v>18</v>
      </c>
      <c r="C191" s="46"/>
      <c r="D191" s="77"/>
      <c r="E191" s="47"/>
    </row>
    <row r="192" spans="2:5" x14ac:dyDescent="0.2">
      <c r="B192" s="48"/>
      <c r="C192" s="96"/>
      <c r="D192" s="96"/>
      <c r="E192" s="96"/>
    </row>
    <row r="193" spans="2:5" ht="13.5" thickBot="1" x14ac:dyDescent="0.25">
      <c r="B193" s="52"/>
      <c r="C193" s="53"/>
      <c r="D193" s="78"/>
      <c r="E193" s="54"/>
    </row>
    <row r="194" spans="2:5" ht="13.5" thickBot="1" x14ac:dyDescent="0.25"/>
    <row r="195" spans="2:5" x14ac:dyDescent="0.2">
      <c r="B195" s="42" t="s">
        <v>166</v>
      </c>
      <c r="C195" s="43"/>
      <c r="D195" s="76"/>
      <c r="E195" s="44"/>
    </row>
    <row r="196" spans="2:5" x14ac:dyDescent="0.2">
      <c r="B196" s="45"/>
      <c r="C196" s="46"/>
      <c r="D196" s="77"/>
      <c r="E196" s="47"/>
    </row>
    <row r="197" spans="2:5" x14ac:dyDescent="0.2">
      <c r="B197" s="48" t="s">
        <v>14</v>
      </c>
      <c r="C197" s="46"/>
      <c r="D197" s="77"/>
      <c r="E197" s="47"/>
    </row>
    <row r="198" spans="2:5" ht="33" customHeight="1" x14ac:dyDescent="0.2">
      <c r="B198" s="48"/>
      <c r="C198" s="97" t="s">
        <v>183</v>
      </c>
      <c r="D198" s="97"/>
      <c r="E198" s="98"/>
    </row>
    <row r="199" spans="2:5" ht="20.25" customHeight="1" x14ac:dyDescent="0.2">
      <c r="B199" s="48" t="s">
        <v>15</v>
      </c>
      <c r="C199" s="46"/>
      <c r="D199" s="77"/>
      <c r="E199" s="47"/>
    </row>
    <row r="200" spans="2:5" ht="27" customHeight="1" x14ac:dyDescent="0.2">
      <c r="B200" s="49"/>
      <c r="C200" s="99" t="s">
        <v>174</v>
      </c>
      <c r="D200" s="99"/>
      <c r="E200" s="99"/>
    </row>
    <row r="201" spans="2:5" x14ac:dyDescent="0.2">
      <c r="B201" s="49"/>
      <c r="C201" s="100"/>
      <c r="D201" s="100"/>
      <c r="E201" s="100"/>
    </row>
    <row r="202" spans="2:5" x14ac:dyDescent="0.2">
      <c r="B202" s="48" t="s">
        <v>16</v>
      </c>
      <c r="C202" s="46"/>
      <c r="D202" s="77"/>
      <c r="E202" s="47"/>
    </row>
    <row r="203" spans="2:5" x14ac:dyDescent="0.2">
      <c r="B203" s="49"/>
      <c r="C203" s="95"/>
      <c r="D203" s="95"/>
      <c r="E203" s="95"/>
    </row>
    <row r="204" spans="2:5" x14ac:dyDescent="0.2">
      <c r="B204" s="48" t="s">
        <v>17</v>
      </c>
      <c r="C204" s="50"/>
      <c r="D204" s="50"/>
      <c r="E204" s="51"/>
    </row>
    <row r="205" spans="2:5" x14ac:dyDescent="0.2">
      <c r="B205" s="49"/>
      <c r="C205" s="95" t="s">
        <v>58</v>
      </c>
      <c r="D205" s="95"/>
      <c r="E205" s="95"/>
    </row>
    <row r="206" spans="2:5" x14ac:dyDescent="0.2">
      <c r="B206" s="48" t="s">
        <v>18</v>
      </c>
      <c r="C206" s="46"/>
      <c r="D206" s="77"/>
      <c r="E206" s="47"/>
    </row>
    <row r="207" spans="2:5" x14ac:dyDescent="0.2">
      <c r="B207" s="48"/>
      <c r="C207" s="96"/>
      <c r="D207" s="96"/>
      <c r="E207" s="96"/>
    </row>
    <row r="208" spans="2:5" ht="13.5" thickBot="1" x14ac:dyDescent="0.25">
      <c r="B208" s="52"/>
      <c r="C208" s="53"/>
      <c r="D208" s="78"/>
      <c r="E208" s="54"/>
    </row>
    <row r="209" spans="2:5" ht="13.5" thickBot="1" x14ac:dyDescent="0.25"/>
    <row r="210" spans="2:5" x14ac:dyDescent="0.2">
      <c r="B210" s="42" t="s">
        <v>167</v>
      </c>
      <c r="C210" s="43"/>
      <c r="D210" s="76"/>
      <c r="E210" s="44"/>
    </row>
    <row r="211" spans="2:5" x14ac:dyDescent="0.2">
      <c r="B211" s="45"/>
      <c r="C211" s="46"/>
      <c r="D211" s="77"/>
      <c r="E211" s="47"/>
    </row>
    <row r="212" spans="2:5" x14ac:dyDescent="0.2">
      <c r="B212" s="48" t="s">
        <v>14</v>
      </c>
      <c r="C212" s="46"/>
      <c r="D212" s="77"/>
      <c r="E212" s="47"/>
    </row>
    <row r="213" spans="2:5" ht="27.75" customHeight="1" x14ac:dyDescent="0.2">
      <c r="B213" s="48"/>
      <c r="C213" s="97" t="s">
        <v>184</v>
      </c>
      <c r="D213" s="97"/>
      <c r="E213" s="98"/>
    </row>
    <row r="214" spans="2:5" x14ac:dyDescent="0.2">
      <c r="B214" s="48" t="s">
        <v>15</v>
      </c>
      <c r="C214" s="46"/>
      <c r="D214" s="77"/>
      <c r="E214" s="47"/>
    </row>
    <row r="215" spans="2:5" ht="24.75" customHeight="1" x14ac:dyDescent="0.2">
      <c r="B215" s="49"/>
      <c r="C215" s="99" t="s">
        <v>174</v>
      </c>
      <c r="D215" s="99"/>
      <c r="E215" s="99"/>
    </row>
    <row r="216" spans="2:5" x14ac:dyDescent="0.2">
      <c r="B216" s="49"/>
      <c r="C216" s="100"/>
      <c r="D216" s="100"/>
      <c r="E216" s="100"/>
    </row>
    <row r="217" spans="2:5" x14ac:dyDescent="0.2">
      <c r="B217" s="48" t="s">
        <v>16</v>
      </c>
      <c r="C217" s="46"/>
      <c r="D217" s="77"/>
      <c r="E217" s="47"/>
    </row>
    <row r="218" spans="2:5" x14ac:dyDescent="0.2">
      <c r="B218" s="49"/>
      <c r="C218" s="95"/>
      <c r="D218" s="95"/>
      <c r="E218" s="95"/>
    </row>
    <row r="219" spans="2:5" x14ac:dyDescent="0.2">
      <c r="B219" s="48" t="s">
        <v>17</v>
      </c>
      <c r="C219" s="50"/>
      <c r="D219" s="50"/>
      <c r="E219" s="51"/>
    </row>
    <row r="220" spans="2:5" x14ac:dyDescent="0.2">
      <c r="B220" s="49"/>
      <c r="C220" s="95" t="s">
        <v>58</v>
      </c>
      <c r="D220" s="95"/>
      <c r="E220" s="95"/>
    </row>
    <row r="221" spans="2:5" x14ac:dyDescent="0.2">
      <c r="B221" s="48" t="s">
        <v>18</v>
      </c>
      <c r="C221" s="46"/>
      <c r="D221" s="77"/>
      <c r="E221" s="47"/>
    </row>
    <row r="222" spans="2:5" x14ac:dyDescent="0.2">
      <c r="B222" s="48"/>
      <c r="C222" s="96"/>
      <c r="D222" s="96"/>
      <c r="E222" s="96"/>
    </row>
    <row r="223" spans="2:5" ht="13.5" thickBot="1" x14ac:dyDescent="0.25">
      <c r="B223" s="52"/>
      <c r="C223" s="53"/>
      <c r="D223" s="78"/>
      <c r="E223" s="54"/>
    </row>
    <row r="224" spans="2:5" ht="13.5" thickBot="1" x14ac:dyDescent="0.25"/>
    <row r="225" spans="2:5" x14ac:dyDescent="0.2">
      <c r="B225" s="42" t="s">
        <v>168</v>
      </c>
      <c r="C225" s="43"/>
      <c r="D225" s="76"/>
      <c r="E225" s="44"/>
    </row>
    <row r="226" spans="2:5" x14ac:dyDescent="0.2">
      <c r="B226" s="45"/>
      <c r="C226" s="46"/>
      <c r="D226" s="77"/>
      <c r="E226" s="47"/>
    </row>
    <row r="227" spans="2:5" x14ac:dyDescent="0.2">
      <c r="B227" s="48" t="s">
        <v>14</v>
      </c>
      <c r="C227" s="46"/>
      <c r="D227" s="77"/>
      <c r="E227" s="47"/>
    </row>
    <row r="228" spans="2:5" ht="30.75" customHeight="1" x14ac:dyDescent="0.2">
      <c r="B228" s="48"/>
      <c r="C228" s="97" t="s">
        <v>177</v>
      </c>
      <c r="D228" s="97"/>
      <c r="E228" s="98"/>
    </row>
    <row r="229" spans="2:5" x14ac:dyDescent="0.2">
      <c r="B229" s="48" t="s">
        <v>15</v>
      </c>
      <c r="C229" s="46"/>
      <c r="D229" s="77"/>
      <c r="E229" s="47"/>
    </row>
    <row r="230" spans="2:5" ht="27" customHeight="1" x14ac:dyDescent="0.2">
      <c r="B230" s="49"/>
      <c r="C230" s="99" t="s">
        <v>174</v>
      </c>
      <c r="D230" s="99"/>
      <c r="E230" s="99"/>
    </row>
    <row r="231" spans="2:5" x14ac:dyDescent="0.2">
      <c r="B231" s="49"/>
      <c r="C231" s="100"/>
      <c r="D231" s="100"/>
      <c r="E231" s="100"/>
    </row>
    <row r="232" spans="2:5" x14ac:dyDescent="0.2">
      <c r="B232" s="48" t="s">
        <v>16</v>
      </c>
      <c r="C232" s="46"/>
      <c r="D232" s="77"/>
      <c r="E232" s="47"/>
    </row>
    <row r="233" spans="2:5" x14ac:dyDescent="0.2">
      <c r="B233" s="49"/>
      <c r="C233" s="95"/>
      <c r="D233" s="95"/>
      <c r="E233" s="95"/>
    </row>
    <row r="234" spans="2:5" x14ac:dyDescent="0.2">
      <c r="B234" s="48" t="s">
        <v>17</v>
      </c>
      <c r="C234" s="50"/>
      <c r="D234" s="50"/>
      <c r="E234" s="51"/>
    </row>
    <row r="235" spans="2:5" x14ac:dyDescent="0.2">
      <c r="B235" s="49"/>
      <c r="C235" s="95" t="s">
        <v>58</v>
      </c>
      <c r="D235" s="95"/>
      <c r="E235" s="95"/>
    </row>
    <row r="236" spans="2:5" x14ac:dyDescent="0.2">
      <c r="B236" s="48" t="s">
        <v>18</v>
      </c>
      <c r="C236" s="46"/>
      <c r="D236" s="77"/>
      <c r="E236" s="47"/>
    </row>
    <row r="237" spans="2:5" x14ac:dyDescent="0.2">
      <c r="B237" s="48"/>
      <c r="C237" s="96"/>
      <c r="D237" s="96"/>
      <c r="E237" s="96"/>
    </row>
    <row r="238" spans="2:5" ht="13.5" thickBot="1" x14ac:dyDescent="0.25">
      <c r="B238" s="52"/>
      <c r="C238" s="53"/>
      <c r="D238" s="78"/>
      <c r="E238" s="54"/>
    </row>
    <row r="239" spans="2:5" ht="13.5" thickBot="1" x14ac:dyDescent="0.25"/>
    <row r="240" spans="2:5" x14ac:dyDescent="0.2">
      <c r="B240" s="42" t="s">
        <v>169</v>
      </c>
      <c r="C240" s="43"/>
      <c r="D240" s="76"/>
      <c r="E240" s="44"/>
    </row>
    <row r="241" spans="2:5" x14ac:dyDescent="0.2">
      <c r="B241" s="45"/>
      <c r="C241" s="46"/>
      <c r="D241" s="77"/>
      <c r="E241" s="47"/>
    </row>
    <row r="242" spans="2:5" x14ac:dyDescent="0.2">
      <c r="B242" s="48" t="s">
        <v>14</v>
      </c>
      <c r="C242" s="46"/>
      <c r="D242" s="77"/>
      <c r="E242" s="47"/>
    </row>
    <row r="243" spans="2:5" ht="29.25" customHeight="1" x14ac:dyDescent="0.2">
      <c r="B243" s="48"/>
      <c r="C243" s="97" t="s">
        <v>178</v>
      </c>
      <c r="D243" s="97"/>
      <c r="E243" s="98"/>
    </row>
    <row r="244" spans="2:5" x14ac:dyDescent="0.2">
      <c r="B244" s="48" t="s">
        <v>15</v>
      </c>
      <c r="C244" s="46"/>
      <c r="D244" s="77"/>
      <c r="E244" s="47"/>
    </row>
    <row r="245" spans="2:5" ht="27" customHeight="1" x14ac:dyDescent="0.2">
      <c r="B245" s="49"/>
      <c r="C245" s="99" t="s">
        <v>174</v>
      </c>
      <c r="D245" s="99"/>
      <c r="E245" s="99"/>
    </row>
    <row r="246" spans="2:5" x14ac:dyDescent="0.2">
      <c r="B246" s="49"/>
      <c r="C246" s="100"/>
      <c r="D246" s="100"/>
      <c r="E246" s="100"/>
    </row>
    <row r="247" spans="2:5" x14ac:dyDescent="0.2">
      <c r="B247" s="48" t="s">
        <v>16</v>
      </c>
      <c r="C247" s="46"/>
      <c r="D247" s="77"/>
      <c r="E247" s="47"/>
    </row>
    <row r="248" spans="2:5" x14ac:dyDescent="0.2">
      <c r="B248" s="49"/>
      <c r="C248" s="95"/>
      <c r="D248" s="95"/>
      <c r="E248" s="95"/>
    </row>
    <row r="249" spans="2:5" x14ac:dyDescent="0.2">
      <c r="B249" s="48" t="s">
        <v>17</v>
      </c>
      <c r="C249" s="50"/>
      <c r="D249" s="50"/>
      <c r="E249" s="51"/>
    </row>
    <row r="250" spans="2:5" x14ac:dyDescent="0.2">
      <c r="B250" s="49"/>
      <c r="C250" s="95" t="s">
        <v>58</v>
      </c>
      <c r="D250" s="95"/>
      <c r="E250" s="95"/>
    </row>
    <row r="251" spans="2:5" x14ac:dyDescent="0.2">
      <c r="B251" s="48" t="s">
        <v>18</v>
      </c>
      <c r="C251" s="46"/>
      <c r="D251" s="77"/>
      <c r="E251" s="47"/>
    </row>
    <row r="252" spans="2:5" x14ac:dyDescent="0.2">
      <c r="B252" s="48"/>
      <c r="C252" s="96"/>
      <c r="D252" s="96"/>
      <c r="E252" s="96"/>
    </row>
    <row r="253" spans="2:5" ht="13.5" thickBot="1" x14ac:dyDescent="0.25">
      <c r="B253" s="52"/>
      <c r="C253" s="53"/>
      <c r="D253" s="78"/>
      <c r="E253" s="54"/>
    </row>
    <row r="254" spans="2:5" ht="13.5" thickBot="1" x14ac:dyDescent="0.25"/>
    <row r="255" spans="2:5" x14ac:dyDescent="0.2">
      <c r="B255" s="42" t="s">
        <v>170</v>
      </c>
      <c r="C255" s="43"/>
      <c r="D255" s="76"/>
      <c r="E255" s="44"/>
    </row>
    <row r="256" spans="2:5" x14ac:dyDescent="0.2">
      <c r="B256" s="45"/>
      <c r="C256" s="46"/>
      <c r="D256" s="77"/>
      <c r="E256" s="47"/>
    </row>
    <row r="257" spans="2:5" x14ac:dyDescent="0.2">
      <c r="B257" s="48" t="s">
        <v>14</v>
      </c>
      <c r="C257" s="46"/>
      <c r="D257" s="77"/>
      <c r="E257" s="47"/>
    </row>
    <row r="258" spans="2:5" ht="30.75" customHeight="1" x14ac:dyDescent="0.2">
      <c r="B258" s="48"/>
      <c r="C258" s="97" t="s">
        <v>171</v>
      </c>
      <c r="D258" s="97"/>
      <c r="E258" s="98"/>
    </row>
    <row r="259" spans="2:5" x14ac:dyDescent="0.2">
      <c r="B259" s="48" t="s">
        <v>15</v>
      </c>
      <c r="C259" s="46"/>
      <c r="D259" s="77"/>
      <c r="E259" s="47"/>
    </row>
    <row r="260" spans="2:5" ht="30" customHeight="1" x14ac:dyDescent="0.2">
      <c r="B260" s="49"/>
      <c r="C260" s="99" t="s">
        <v>174</v>
      </c>
      <c r="D260" s="99"/>
      <c r="E260" s="99"/>
    </row>
    <row r="261" spans="2:5" x14ac:dyDescent="0.2">
      <c r="B261" s="49"/>
      <c r="C261" s="100"/>
      <c r="D261" s="100"/>
      <c r="E261" s="100"/>
    </row>
    <row r="262" spans="2:5" x14ac:dyDescent="0.2">
      <c r="B262" s="48" t="s">
        <v>16</v>
      </c>
      <c r="C262" s="46"/>
      <c r="D262" s="77"/>
      <c r="E262" s="47"/>
    </row>
    <row r="263" spans="2:5" x14ac:dyDescent="0.2">
      <c r="B263" s="49"/>
      <c r="C263" s="95"/>
      <c r="D263" s="95"/>
      <c r="E263" s="95"/>
    </row>
    <row r="264" spans="2:5" x14ac:dyDescent="0.2">
      <c r="B264" s="48" t="s">
        <v>17</v>
      </c>
      <c r="C264" s="50"/>
      <c r="D264" s="50"/>
      <c r="E264" s="51"/>
    </row>
    <row r="265" spans="2:5" x14ac:dyDescent="0.2">
      <c r="B265" s="49"/>
      <c r="C265" s="95" t="s">
        <v>58</v>
      </c>
      <c r="D265" s="95"/>
      <c r="E265" s="95"/>
    </row>
    <row r="266" spans="2:5" x14ac:dyDescent="0.2">
      <c r="B266" s="48" t="s">
        <v>18</v>
      </c>
      <c r="C266" s="46"/>
      <c r="D266" s="77"/>
      <c r="E266" s="47"/>
    </row>
    <row r="267" spans="2:5" x14ac:dyDescent="0.2">
      <c r="B267" s="48"/>
      <c r="C267" s="96"/>
      <c r="D267" s="96"/>
      <c r="E267" s="96"/>
    </row>
    <row r="268" spans="2:5" ht="13.5" thickBot="1" x14ac:dyDescent="0.25">
      <c r="B268" s="52"/>
      <c r="C268" s="53"/>
      <c r="D268" s="78"/>
      <c r="E268" s="54"/>
    </row>
    <row r="269" spans="2:5" ht="13.5" thickBot="1" x14ac:dyDescent="0.25"/>
    <row r="270" spans="2:5" x14ac:dyDescent="0.2">
      <c r="B270" s="42" t="s">
        <v>172</v>
      </c>
      <c r="C270" s="43"/>
      <c r="D270" s="76"/>
      <c r="E270" s="44"/>
    </row>
    <row r="271" spans="2:5" x14ac:dyDescent="0.2">
      <c r="B271" s="45"/>
      <c r="C271" s="46"/>
      <c r="D271" s="77"/>
      <c r="E271" s="47"/>
    </row>
    <row r="272" spans="2:5" x14ac:dyDescent="0.2">
      <c r="B272" s="48" t="s">
        <v>14</v>
      </c>
      <c r="C272" s="46"/>
      <c r="D272" s="77"/>
      <c r="E272" s="47"/>
    </row>
    <row r="273" spans="2:5" ht="33" customHeight="1" x14ac:dyDescent="0.2">
      <c r="B273" s="48"/>
      <c r="C273" s="97" t="s">
        <v>173</v>
      </c>
      <c r="D273" s="97"/>
      <c r="E273" s="98"/>
    </row>
    <row r="274" spans="2:5" x14ac:dyDescent="0.2">
      <c r="B274" s="48" t="s">
        <v>15</v>
      </c>
      <c r="C274" s="46"/>
      <c r="D274" s="77"/>
      <c r="E274" s="47"/>
    </row>
    <row r="275" spans="2:5" ht="29.25" customHeight="1" x14ac:dyDescent="0.2">
      <c r="B275" s="49"/>
      <c r="C275" s="99" t="s">
        <v>174</v>
      </c>
      <c r="D275" s="99"/>
      <c r="E275" s="99"/>
    </row>
    <row r="276" spans="2:5" x14ac:dyDescent="0.2">
      <c r="B276" s="49"/>
      <c r="C276" s="100"/>
      <c r="D276" s="100"/>
      <c r="E276" s="100"/>
    </row>
    <row r="277" spans="2:5" x14ac:dyDescent="0.2">
      <c r="B277" s="48" t="s">
        <v>16</v>
      </c>
      <c r="C277" s="46"/>
      <c r="D277" s="77"/>
      <c r="E277" s="47"/>
    </row>
    <row r="278" spans="2:5" x14ac:dyDescent="0.2">
      <c r="B278" s="49"/>
      <c r="C278" s="95"/>
      <c r="D278" s="95"/>
      <c r="E278" s="95"/>
    </row>
    <row r="279" spans="2:5" x14ac:dyDescent="0.2">
      <c r="B279" s="48" t="s">
        <v>17</v>
      </c>
      <c r="C279" s="50"/>
      <c r="D279" s="50"/>
      <c r="E279" s="51"/>
    </row>
    <row r="280" spans="2:5" x14ac:dyDescent="0.2">
      <c r="B280" s="49"/>
      <c r="C280" s="95" t="s">
        <v>58</v>
      </c>
      <c r="D280" s="95"/>
      <c r="E280" s="95"/>
    </row>
    <row r="281" spans="2:5" x14ac:dyDescent="0.2">
      <c r="B281" s="48" t="s">
        <v>18</v>
      </c>
      <c r="C281" s="46"/>
      <c r="D281" s="77"/>
      <c r="E281" s="47"/>
    </row>
    <row r="282" spans="2:5" x14ac:dyDescent="0.2">
      <c r="B282" s="48"/>
      <c r="C282" s="96"/>
      <c r="D282" s="96"/>
      <c r="E282" s="96"/>
    </row>
    <row r="283" spans="2:5" ht="13.5" thickBot="1" x14ac:dyDescent="0.25">
      <c r="B283" s="52"/>
      <c r="C283" s="53"/>
      <c r="D283" s="78"/>
      <c r="E283" s="54"/>
    </row>
  </sheetData>
  <autoFilter ref="A9:I57"/>
  <mergeCells count="100">
    <mergeCell ref="J9:K9"/>
    <mergeCell ref="J23:K23"/>
    <mergeCell ref="J24:K24"/>
    <mergeCell ref="B2:H2"/>
    <mergeCell ref="A4:B4"/>
    <mergeCell ref="C4:E4"/>
    <mergeCell ref="A5:B5"/>
    <mergeCell ref="C5:E5"/>
    <mergeCell ref="A6:B6"/>
    <mergeCell ref="A7:B7"/>
    <mergeCell ref="C63:E63"/>
    <mergeCell ref="C65:E65"/>
    <mergeCell ref="C66:E66"/>
    <mergeCell ref="C81:E81"/>
    <mergeCell ref="C83:E83"/>
    <mergeCell ref="C85:E85"/>
    <mergeCell ref="C87:E87"/>
    <mergeCell ref="C68:E68"/>
    <mergeCell ref="C70:E70"/>
    <mergeCell ref="C72:E72"/>
    <mergeCell ref="C78:E78"/>
    <mergeCell ref="C80:E80"/>
    <mergeCell ref="C93:E93"/>
    <mergeCell ref="C95:E95"/>
    <mergeCell ref="C96:E96"/>
    <mergeCell ref="C98:E98"/>
    <mergeCell ref="C100:E100"/>
    <mergeCell ref="C102:E102"/>
    <mergeCell ref="C108:E108"/>
    <mergeCell ref="C110:E110"/>
    <mergeCell ref="C111:E111"/>
    <mergeCell ref="C113:E113"/>
    <mergeCell ref="C115:E115"/>
    <mergeCell ref="C117:E117"/>
    <mergeCell ref="C123:E123"/>
    <mergeCell ref="C125:E125"/>
    <mergeCell ref="C126:E126"/>
    <mergeCell ref="C128:E128"/>
    <mergeCell ref="C130:E130"/>
    <mergeCell ref="C132:E132"/>
    <mergeCell ref="C138:E138"/>
    <mergeCell ref="C140:E140"/>
    <mergeCell ref="C141:E141"/>
    <mergeCell ref="C143:E143"/>
    <mergeCell ref="C145:E145"/>
    <mergeCell ref="C147:E147"/>
    <mergeCell ref="C153:E153"/>
    <mergeCell ref="C155:E155"/>
    <mergeCell ref="C156:E156"/>
    <mergeCell ref="C158:E158"/>
    <mergeCell ref="C160:E160"/>
    <mergeCell ref="C162:E162"/>
    <mergeCell ref="C168:E168"/>
    <mergeCell ref="C170:E170"/>
    <mergeCell ref="C171:E171"/>
    <mergeCell ref="C173:E173"/>
    <mergeCell ref="C175:E175"/>
    <mergeCell ref="C177:E177"/>
    <mergeCell ref="C183:E183"/>
    <mergeCell ref="C185:E185"/>
    <mergeCell ref="C186:E186"/>
    <mergeCell ref="C188:E188"/>
    <mergeCell ref="C190:E190"/>
    <mergeCell ref="C192:E192"/>
    <mergeCell ref="C198:E198"/>
    <mergeCell ref="C200:E200"/>
    <mergeCell ref="C201:E201"/>
    <mergeCell ref="C203:E203"/>
    <mergeCell ref="C205:E205"/>
    <mergeCell ref="C207:E207"/>
    <mergeCell ref="C213:E213"/>
    <mergeCell ref="C215:E215"/>
    <mergeCell ref="C216:E216"/>
    <mergeCell ref="C218:E218"/>
    <mergeCell ref="C220:E220"/>
    <mergeCell ref="C222:E222"/>
    <mergeCell ref="C228:E228"/>
    <mergeCell ref="C230:E230"/>
    <mergeCell ref="C231:E231"/>
    <mergeCell ref="C233:E233"/>
    <mergeCell ref="C235:E235"/>
    <mergeCell ref="C237:E237"/>
    <mergeCell ref="C243:E243"/>
    <mergeCell ref="C245:E245"/>
    <mergeCell ref="C246:E246"/>
    <mergeCell ref="C248:E248"/>
    <mergeCell ref="C250:E250"/>
    <mergeCell ref="C252:E252"/>
    <mergeCell ref="C258:E258"/>
    <mergeCell ref="C260:E260"/>
    <mergeCell ref="C261:E261"/>
    <mergeCell ref="C263:E263"/>
    <mergeCell ref="C278:E278"/>
    <mergeCell ref="C280:E280"/>
    <mergeCell ref="C282:E282"/>
    <mergeCell ref="C265:E265"/>
    <mergeCell ref="C267:E267"/>
    <mergeCell ref="C273:E273"/>
    <mergeCell ref="C275:E275"/>
    <mergeCell ref="C276:E276"/>
  </mergeCells>
  <pageMargins left="0" right="0" top="0.15748031496062992" bottom="0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0"/>
  <sheetViews>
    <sheetView zoomScale="70" zoomScaleNormal="7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6.7109375" style="2" customWidth="1"/>
    <col min="11" max="11" width="46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6" t="s">
        <v>182</v>
      </c>
      <c r="B1" s="116"/>
      <c r="C1" s="116"/>
      <c r="D1" s="116"/>
      <c r="E1" s="116"/>
      <c r="F1" s="116"/>
      <c r="G1" s="116"/>
      <c r="H1" s="116"/>
      <c r="I1" s="116"/>
      <c r="J1" s="3" t="s">
        <v>19</v>
      </c>
      <c r="K1" s="57" t="s">
        <v>197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7" t="s">
        <v>52</v>
      </c>
      <c r="B3" s="117"/>
      <c r="C3" s="117"/>
      <c r="D3" s="118" t="str">
        <f>'Necesidades Trimestrales'!C4</f>
        <v>40 - Ministerio de Salud</v>
      </c>
      <c r="E3" s="118"/>
      <c r="F3" s="118"/>
      <c r="G3" s="118"/>
      <c r="H3" s="118"/>
      <c r="I3" s="118"/>
      <c r="J3" s="118"/>
      <c r="K3" s="118"/>
    </row>
    <row r="4" spans="1:11" ht="18.75" customHeight="1" thickBot="1" x14ac:dyDescent="0.25">
      <c r="A4" s="119" t="s">
        <v>53</v>
      </c>
      <c r="B4" s="119"/>
      <c r="C4" s="119"/>
      <c r="D4" s="118" t="str">
        <f>'Necesidades Trimestrales'!C5</f>
        <v>23 - Hospital Interzonal San Juan Bautista</v>
      </c>
      <c r="E4" s="118"/>
      <c r="F4" s="118"/>
      <c r="G4" s="118"/>
      <c r="H4" s="118"/>
      <c r="I4" s="118"/>
      <c r="J4" s="118"/>
      <c r="K4" s="118"/>
    </row>
    <row r="5" spans="1:11" ht="18.75" customHeight="1" thickBot="1" x14ac:dyDescent="0.25">
      <c r="A5" s="119" t="s">
        <v>31</v>
      </c>
      <c r="B5" s="119"/>
      <c r="C5" s="119"/>
      <c r="D5" s="118" t="s">
        <v>180</v>
      </c>
      <c r="E5" s="118"/>
      <c r="F5" s="118"/>
      <c r="G5" s="118"/>
      <c r="H5" s="118"/>
      <c r="I5" s="118"/>
      <c r="J5" s="118"/>
      <c r="K5" s="118"/>
    </row>
    <row r="6" spans="1:11" ht="16.5" customHeight="1" thickBot="1" x14ac:dyDescent="0.25">
      <c r="A6" s="117" t="s">
        <v>54</v>
      </c>
      <c r="B6" s="117"/>
      <c r="C6" s="117"/>
      <c r="D6" s="118" t="s">
        <v>181</v>
      </c>
      <c r="E6" s="118"/>
      <c r="F6" s="118"/>
      <c r="G6" s="118"/>
      <c r="H6" s="118"/>
      <c r="I6" s="118"/>
      <c r="J6" s="118"/>
      <c r="K6" s="118"/>
    </row>
    <row r="7" spans="1:11" ht="16.5" customHeight="1" x14ac:dyDescent="0.2">
      <c r="A7" s="119" t="s">
        <v>20</v>
      </c>
      <c r="B7" s="119"/>
      <c r="C7" s="119"/>
      <c r="D7" s="118" t="str">
        <f>'Necesidades Trimestrales'!C7 &amp; "° Trimestre - Año " &amp; 'Necesidades Trimestrales'!C6</f>
        <v>3° Trimestre - Año 2022</v>
      </c>
      <c r="E7" s="118"/>
      <c r="F7" s="118"/>
      <c r="G7" s="118"/>
      <c r="H7" s="118"/>
      <c r="I7" s="118"/>
      <c r="J7" s="118"/>
      <c r="K7" s="118"/>
    </row>
    <row r="8" spans="1:11" ht="16.5" customHeight="1" x14ac:dyDescent="0.2">
      <c r="A8" s="111" t="s">
        <v>21</v>
      </c>
      <c r="B8" s="111"/>
      <c r="C8" s="111"/>
      <c r="D8" s="112" t="s">
        <v>179</v>
      </c>
      <c r="E8" s="112"/>
      <c r="F8" s="112"/>
      <c r="G8" s="112"/>
      <c r="H8" s="112"/>
      <c r="I8" s="112"/>
      <c r="J8" s="112"/>
      <c r="K8" s="11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3" t="s">
        <v>22</v>
      </c>
      <c r="B10" s="114" t="s">
        <v>23</v>
      </c>
      <c r="C10" s="114" t="s">
        <v>24</v>
      </c>
      <c r="D10" s="114"/>
      <c r="E10" s="114"/>
      <c r="F10" s="114"/>
      <c r="G10" s="114"/>
      <c r="H10" s="114" t="s">
        <v>25</v>
      </c>
      <c r="I10" s="114" t="s">
        <v>26</v>
      </c>
      <c r="J10" s="114" t="s">
        <v>27</v>
      </c>
      <c r="K10" s="115" t="s">
        <v>28</v>
      </c>
    </row>
    <row r="11" spans="1:11" ht="24" customHeight="1" thickBot="1" x14ac:dyDescent="0.25">
      <c r="A11" s="113"/>
      <c r="B11" s="114"/>
      <c r="C11" s="114"/>
      <c r="D11" s="114"/>
      <c r="E11" s="114"/>
      <c r="F11" s="114"/>
      <c r="G11" s="114"/>
      <c r="H11" s="114"/>
      <c r="I11" s="114"/>
      <c r="J11" s="114"/>
      <c r="K11" s="115"/>
    </row>
    <row r="12" spans="1:11" ht="20.25" customHeight="1" thickBot="1" x14ac:dyDescent="0.25">
      <c r="A12" s="8">
        <v>1</v>
      </c>
      <c r="B12" s="58" t="str">
        <f>'Necesidades Trimestrales'!B10</f>
        <v>2.9.2-261.14</v>
      </c>
      <c r="C12" s="108" t="str">
        <f>'Necesidades Trimestrales'!E10</f>
        <v>ABROCHADORAS DE PAPEL; TIPO: PINZA, P/BROCHES: 10/50, MATERIAL: METALICA, MEDIDA: 10/50</v>
      </c>
      <c r="D12" s="108"/>
      <c r="E12" s="108"/>
      <c r="F12" s="108"/>
      <c r="G12" s="108"/>
      <c r="H12" s="59" t="s">
        <v>196</v>
      </c>
      <c r="I12" s="60" t="str">
        <f>'Necesidades Trimestrales'!F10</f>
        <v>UNIDAD</v>
      </c>
      <c r="J12" s="61">
        <f>'Necesidades Trimestrales'!H10</f>
        <v>2614</v>
      </c>
      <c r="K12" s="62">
        <f>'Necesidades Trimestrales'!G10</f>
        <v>20</v>
      </c>
    </row>
    <row r="13" spans="1:11" ht="27" customHeight="1" thickBot="1" x14ac:dyDescent="0.25">
      <c r="A13" s="8">
        <v>2</v>
      </c>
      <c r="B13" s="58" t="str">
        <f>'Necesidades Trimestrales'!B11</f>
        <v>2.9.2-291.18</v>
      </c>
      <c r="C13" s="108" t="str">
        <f>'Necesidades Trimestrales'!E11</f>
        <v>ALMOHADILLAS P/SELLOS; MEDIDA: 11 X 8 Cm, MATERIAL: METAL</v>
      </c>
      <c r="D13" s="108"/>
      <c r="E13" s="108"/>
      <c r="F13" s="108"/>
      <c r="G13" s="108"/>
      <c r="H13" s="59" t="s">
        <v>55</v>
      </c>
      <c r="I13" s="60" t="str">
        <f>'Necesidades Trimestrales'!F11</f>
        <v>UNIDAD</v>
      </c>
      <c r="J13" s="61">
        <f>'Necesidades Trimestrales'!H11</f>
        <v>420</v>
      </c>
      <c r="K13" s="62">
        <f>'Necesidades Trimestrales'!G11</f>
        <v>20</v>
      </c>
    </row>
    <row r="14" spans="1:11" ht="27" customHeight="1" thickBot="1" x14ac:dyDescent="0.25">
      <c r="A14" s="8">
        <v>3</v>
      </c>
      <c r="B14" s="58" t="str">
        <f>'Necesidades Trimestrales'!B12</f>
        <v>2.9.2-1428.7</v>
      </c>
      <c r="C14" s="108" t="str">
        <f>'Necesidades Trimestrales'!E12</f>
        <v>BANDAS ELASTICAS; DIAMETRO: 10 Cm, ESPESOR: 2 mm, PRESENTACION: CAJA DE 100 GR</v>
      </c>
      <c r="D14" s="108"/>
      <c r="E14" s="108"/>
      <c r="F14" s="108"/>
      <c r="G14" s="108"/>
      <c r="H14" s="59" t="s">
        <v>55</v>
      </c>
      <c r="I14" s="60" t="str">
        <f>'Necesidades Trimestrales'!F12</f>
        <v>CAJA</v>
      </c>
      <c r="J14" s="61">
        <f>'Necesidades Trimestrales'!H12</f>
        <v>234</v>
      </c>
      <c r="K14" s="62">
        <f>'Necesidades Trimestrales'!G12</f>
        <v>15</v>
      </c>
    </row>
    <row r="15" spans="1:11" ht="27.75" customHeight="1" thickBot="1" x14ac:dyDescent="0.25">
      <c r="A15" s="8">
        <v>4</v>
      </c>
      <c r="B15" s="58" t="str">
        <f>'Necesidades Trimestrales'!B13</f>
        <v>2.9.2-852.5</v>
      </c>
      <c r="C15" s="108" t="str">
        <f>'Necesidades Trimestrales'!E13</f>
        <v>BROCHES DORADOS; N° PATAS: 2, N°: 10, PRESENTACION: CAJA X 100 UNIDADES, CANTIDAD PATAS: 2, NUMERO: 10</v>
      </c>
      <c r="D15" s="108"/>
      <c r="E15" s="108"/>
      <c r="F15" s="108"/>
      <c r="G15" s="108"/>
      <c r="H15" s="59" t="s">
        <v>55</v>
      </c>
      <c r="I15" s="60" t="str">
        <f>'Necesidades Trimestrales'!F13</f>
        <v>CAJA</v>
      </c>
      <c r="J15" s="61">
        <f>'Necesidades Trimestrales'!H13</f>
        <v>378</v>
      </c>
      <c r="K15" s="62">
        <f>'Necesidades Trimestrales'!G13</f>
        <v>25</v>
      </c>
    </row>
    <row r="16" spans="1:11" ht="24.75" customHeight="1" thickBot="1" x14ac:dyDescent="0.25">
      <c r="A16" s="8">
        <v>5</v>
      </c>
      <c r="B16" s="58" t="str">
        <f>'Necesidades Trimestrales'!B14</f>
        <v>2.9.2-853.22</v>
      </c>
      <c r="C16" s="108" t="str">
        <f>'Necesidades Trimestrales'!E14</f>
        <v>BROCHES P/EXPEDIENTE; TIPO: NEPACO, LONG.DE CUERPO: 8 Cm</v>
      </c>
      <c r="D16" s="108"/>
      <c r="E16" s="108"/>
      <c r="F16" s="108"/>
      <c r="G16" s="108"/>
      <c r="H16" s="59" t="s">
        <v>55</v>
      </c>
      <c r="I16" s="60" t="str">
        <f>'Necesidades Trimestrales'!F14</f>
        <v>CAJA</v>
      </c>
      <c r="J16" s="61">
        <f>'Necesidades Trimestrales'!H14</f>
        <v>384</v>
      </c>
      <c r="K16" s="62">
        <f>'Necesidades Trimestrales'!G14</f>
        <v>50</v>
      </c>
    </row>
    <row r="17" spans="1:11" ht="24.75" customHeight="1" thickBot="1" x14ac:dyDescent="0.25">
      <c r="A17" s="8">
        <v>6</v>
      </c>
      <c r="B17" s="58" t="str">
        <f>'Necesidades Trimestrales'!B15</f>
        <v>2.9.2-262.4</v>
      </c>
      <c r="C17" s="108" t="str">
        <f>'Necesidades Trimestrales'!E15</f>
        <v>ADHESIVOS P/PAPEL; PRESENTACION: 250 GR, TIPO: COLA VINILICA</v>
      </c>
      <c r="D17" s="108"/>
      <c r="E17" s="108"/>
      <c r="F17" s="108"/>
      <c r="G17" s="108"/>
      <c r="H17" s="59" t="s">
        <v>55</v>
      </c>
      <c r="I17" s="60" t="str">
        <f>'Necesidades Trimestrales'!F15</f>
        <v>UNIDAD</v>
      </c>
      <c r="J17" s="61">
        <f>'Necesidades Trimestrales'!H15</f>
        <v>231</v>
      </c>
      <c r="K17" s="62">
        <f>'Necesidades Trimestrales'!G15</f>
        <v>50</v>
      </c>
    </row>
    <row r="18" spans="1:11" ht="27.75" customHeight="1" thickBot="1" x14ac:dyDescent="0.25">
      <c r="A18" s="8">
        <v>7</v>
      </c>
      <c r="B18" s="58" t="str">
        <f>'Necesidades Trimestrales'!B16</f>
        <v>2.3.1-928.18</v>
      </c>
      <c r="C18" s="108" t="str">
        <f>'Necesidades Trimestrales'!E16</f>
        <v>ARANDELAS DE CARTON; DIAMETRO: 25 mm, PRESENTACION: CAJA X 500, CERTIFICADO FORESTAL (GFS): SIN, PORC. FIBRAS RECICLADAS: 0 %</v>
      </c>
      <c r="D18" s="108"/>
      <c r="E18" s="108"/>
      <c r="F18" s="108"/>
      <c r="G18" s="108"/>
      <c r="H18" s="59" t="s">
        <v>55</v>
      </c>
      <c r="I18" s="60" t="str">
        <f>'Necesidades Trimestrales'!F16</f>
        <v>CAJA</v>
      </c>
      <c r="J18" s="61">
        <f>'Necesidades Trimestrales'!H16</f>
        <v>313</v>
      </c>
      <c r="K18" s="62">
        <f>'Necesidades Trimestrales'!G16</f>
        <v>20</v>
      </c>
    </row>
    <row r="19" spans="1:11" ht="28.5" customHeight="1" thickBot="1" x14ac:dyDescent="0.25">
      <c r="A19" s="8">
        <v>8</v>
      </c>
      <c r="B19" s="58" t="str">
        <f>'Necesidades Trimestrales'!B17</f>
        <v>2.9.2-274.11</v>
      </c>
      <c r="C19" s="108" t="str">
        <f>'Necesidades Trimestrales'!E17</f>
        <v>BIBLIORATOS; LOMO: CARTON, COLOR: GRIS, ANCHO: 85 mm, ANILLO: 2 Y PALANCA, TAMAÑO: OFICIO, TAPAS: CARTON, MATERIAL: CARTON</v>
      </c>
      <c r="D19" s="108"/>
      <c r="E19" s="108"/>
      <c r="F19" s="108"/>
      <c r="G19" s="108"/>
      <c r="H19" s="59" t="s">
        <v>55</v>
      </c>
      <c r="I19" s="60" t="str">
        <f>'Necesidades Trimestrales'!F17</f>
        <v>UNIDAD</v>
      </c>
      <c r="J19" s="61">
        <f>'Necesidades Trimestrales'!H17</f>
        <v>506</v>
      </c>
      <c r="K19" s="62">
        <f>'Necesidades Trimestrales'!G17</f>
        <v>75</v>
      </c>
    </row>
    <row r="20" spans="1:11" ht="20.25" customHeight="1" thickBot="1" x14ac:dyDescent="0.25">
      <c r="A20" s="8">
        <v>9</v>
      </c>
      <c r="B20" s="58" t="str">
        <f>'Necesidades Trimestrales'!B18</f>
        <v>2.9.2-4984.6</v>
      </c>
      <c r="C20" s="108" t="str">
        <f>'Necesidades Trimestrales'!E18</f>
        <v>LAPICERAS ESTILOGRAFICAS; TIPO: TRAZO GRUESO, MATERIAL: PLASTICO Y METAL , RECARGABLE: NO</v>
      </c>
      <c r="D20" s="108"/>
      <c r="E20" s="108"/>
      <c r="F20" s="108"/>
      <c r="G20" s="108"/>
      <c r="H20" s="59" t="s">
        <v>196</v>
      </c>
      <c r="I20" s="60" t="str">
        <f>'Necesidades Trimestrales'!F18</f>
        <v>UNIDAD</v>
      </c>
      <c r="J20" s="61">
        <f>'Necesidades Trimestrales'!H18</f>
        <v>56</v>
      </c>
      <c r="K20" s="62">
        <f>'Necesidades Trimestrales'!G18</f>
        <v>1200</v>
      </c>
    </row>
    <row r="21" spans="1:11" ht="20.25" customHeight="1" thickBot="1" x14ac:dyDescent="0.25">
      <c r="A21" s="8">
        <v>10</v>
      </c>
      <c r="B21" s="58" t="str">
        <f>'Necesidades Trimestrales'!B19</f>
        <v>2.9.2-4984.6</v>
      </c>
      <c r="C21" s="108" t="str">
        <f>'Necesidades Trimestrales'!E19</f>
        <v>LAPICERAS ESTILOGRAFICAS; TIPO: TRAZO GRUESO, MATERIAL: PLASTICO Y METAL , RECARGABLE: NO</v>
      </c>
      <c r="D21" s="108"/>
      <c r="E21" s="108"/>
      <c r="F21" s="108"/>
      <c r="G21" s="108"/>
      <c r="H21" s="59" t="s">
        <v>196</v>
      </c>
      <c r="I21" s="60" t="str">
        <f>'Necesidades Trimestrales'!F19</f>
        <v>UNIDAD</v>
      </c>
      <c r="J21" s="61">
        <f>'Necesidades Trimestrales'!H19</f>
        <v>56</v>
      </c>
      <c r="K21" s="62">
        <f>'Necesidades Trimestrales'!G19</f>
        <v>1000</v>
      </c>
    </row>
    <row r="22" spans="1:11" ht="20.25" customHeight="1" thickBot="1" x14ac:dyDescent="0.25">
      <c r="A22" s="8">
        <v>11</v>
      </c>
      <c r="B22" s="58" t="str">
        <f>'Necesidades Trimestrales'!B20</f>
        <v>2.9.2-850.44</v>
      </c>
      <c r="C22" s="108" t="str">
        <f>'Necesidades Trimestrales'!E20</f>
        <v>CAJAS DE ARCHIVO; MATERIAL: CARTON RIGIDO, DIMENSION: 24 X 38 X 12 mm, COLOR: INDISTINTO</v>
      </c>
      <c r="D22" s="108"/>
      <c r="E22" s="108"/>
      <c r="F22" s="108"/>
      <c r="G22" s="108"/>
      <c r="H22" s="59" t="s">
        <v>55</v>
      </c>
      <c r="I22" s="60" t="str">
        <f>'Necesidades Trimestrales'!F20</f>
        <v>UNIDAD</v>
      </c>
      <c r="J22" s="61">
        <f>'Necesidades Trimestrales'!H20</f>
        <v>513</v>
      </c>
      <c r="K22" s="62">
        <f>'Necesidades Trimestrales'!G20</f>
        <v>100</v>
      </c>
    </row>
    <row r="23" spans="1:11" ht="28.5" customHeight="1" thickBot="1" x14ac:dyDescent="0.25">
      <c r="A23" s="8">
        <v>12</v>
      </c>
      <c r="B23" s="58" t="str">
        <f>'Necesidades Trimestrales'!B21</f>
        <v>2.9.2-1510.20</v>
      </c>
      <c r="C23" s="108" t="str">
        <f>'Necesidades Trimestrales'!E21</f>
        <v>CARPETAS COLGANTES; TIPO: EXTERIOR, MATERIAL: CARTULINA, TAMAÑO: OFICIO, SUJECION: SIN VALOR, VISOR: PLASTICO RECTANGULAR, PRESENTACION: UNIDAD</v>
      </c>
      <c r="D23" s="108"/>
      <c r="E23" s="108"/>
      <c r="F23" s="108"/>
      <c r="G23" s="108"/>
      <c r="H23" s="59" t="s">
        <v>55</v>
      </c>
      <c r="I23" s="60" t="str">
        <f>'Necesidades Trimestrales'!F21</f>
        <v>UNIDAD</v>
      </c>
      <c r="J23" s="61">
        <f>'Necesidades Trimestrales'!H21</f>
        <v>197</v>
      </c>
      <c r="K23" s="62">
        <f>'Necesidades Trimestrales'!G21</f>
        <v>50</v>
      </c>
    </row>
    <row r="24" spans="1:11" ht="27" customHeight="1" thickBot="1" x14ac:dyDescent="0.25">
      <c r="A24" s="8">
        <v>13</v>
      </c>
      <c r="B24" s="58" t="str">
        <f>'Necesidades Trimestrales'!B22</f>
        <v>2.9.2-700.28</v>
      </c>
      <c r="C24" s="108" t="str">
        <f>'Necesidades Trimestrales'!E22</f>
        <v>BROCHES P/ABROCHADORA; NUMERO: 10/50, PRESENTACION: CAJA X 1000 UNIDADES</v>
      </c>
      <c r="D24" s="108"/>
      <c r="E24" s="108"/>
      <c r="F24" s="108"/>
      <c r="G24" s="108"/>
      <c r="H24" s="59" t="s">
        <v>55</v>
      </c>
      <c r="I24" s="60" t="str">
        <f>'Necesidades Trimestrales'!F22</f>
        <v>CAJA</v>
      </c>
      <c r="J24" s="61">
        <f>'Necesidades Trimestrales'!H22</f>
        <v>135</v>
      </c>
      <c r="K24" s="62">
        <f>'Necesidades Trimestrales'!G22</f>
        <v>200</v>
      </c>
    </row>
    <row r="25" spans="1:11" ht="30.75" customHeight="1" thickBot="1" x14ac:dyDescent="0.25">
      <c r="A25" s="8">
        <v>14</v>
      </c>
      <c r="B25" s="58" t="str">
        <f>'Necesidades Trimestrales'!B23</f>
        <v>2.9.2-2766.3</v>
      </c>
      <c r="C25" s="108" t="str">
        <f>'Necesidades Trimestrales'!E23</f>
        <v>CARPETAS P/ENCUADERNACION; TAMAÑO: A4, ESPESOR: 9 mm, MATERIAL LOMO: ACERO, PEGAMENTO: CON, TAPA: TRANSPARENTE</v>
      </c>
      <c r="D25" s="108"/>
      <c r="E25" s="108"/>
      <c r="F25" s="108"/>
      <c r="G25" s="108"/>
      <c r="H25" s="59" t="s">
        <v>196</v>
      </c>
      <c r="I25" s="60" t="str">
        <f>'Necesidades Trimestrales'!F23</f>
        <v>UNIDAD</v>
      </c>
      <c r="J25" s="61">
        <f>'Necesidades Trimestrales'!H23</f>
        <v>149</v>
      </c>
      <c r="K25" s="62">
        <f>'Necesidades Trimestrales'!G23</f>
        <v>300</v>
      </c>
    </row>
    <row r="26" spans="1:11" ht="30" customHeight="1" thickBot="1" x14ac:dyDescent="0.25">
      <c r="A26" s="8">
        <v>15</v>
      </c>
      <c r="B26" s="58" t="str">
        <f>'Necesidades Trimestrales'!B24</f>
        <v>2.9.2-2766.11</v>
      </c>
      <c r="C26" s="108" t="str">
        <f>'Necesidades Trimestrales'!E24</f>
        <v>CARPETAS P/ENCUADERNACION; TAMAÑO: OFICIO, ESPESOR: 9 mm, MATERIAL LOMO: PLASTICO TRANPARENTE, PEGAMENTO: SIN, TAPA: TRANSPARENTE</v>
      </c>
      <c r="D26" s="108"/>
      <c r="E26" s="108"/>
      <c r="F26" s="108"/>
      <c r="G26" s="108"/>
      <c r="H26" s="59" t="s">
        <v>196</v>
      </c>
      <c r="I26" s="60" t="str">
        <f>'Necesidades Trimestrales'!F24</f>
        <v>UNIDAD</v>
      </c>
      <c r="J26" s="61">
        <f>'Necesidades Trimestrales'!H24</f>
        <v>159</v>
      </c>
      <c r="K26" s="62">
        <f>'Necesidades Trimestrales'!G24</f>
        <v>300</v>
      </c>
    </row>
    <row r="27" spans="1:11" ht="20.25" customHeight="1" thickBot="1" x14ac:dyDescent="0.25">
      <c r="A27" s="8">
        <v>16</v>
      </c>
      <c r="B27" s="58" t="str">
        <f>'Necesidades Trimestrales'!B25</f>
        <v>2.9.2-1358.359</v>
      </c>
      <c r="C27" s="108" t="str">
        <f>'Necesidades Trimestrales'!E25</f>
        <v>CARPETAS; MATERIAL: FIBRA, TAMAÑO: OFICIO</v>
      </c>
      <c r="D27" s="108"/>
      <c r="E27" s="108"/>
      <c r="F27" s="108"/>
      <c r="G27" s="108"/>
      <c r="H27" s="59" t="s">
        <v>55</v>
      </c>
      <c r="I27" s="60" t="str">
        <f>'Necesidades Trimestrales'!F25</f>
        <v>UNIDAD</v>
      </c>
      <c r="J27" s="61">
        <f>'Necesidades Trimestrales'!H25</f>
        <v>460</v>
      </c>
      <c r="K27" s="62">
        <f>'Necesidades Trimestrales'!G25</f>
        <v>100</v>
      </c>
    </row>
    <row r="28" spans="1:11" ht="27.75" customHeight="1" thickBot="1" x14ac:dyDescent="0.25">
      <c r="A28" s="8">
        <v>17</v>
      </c>
      <c r="B28" s="58" t="str">
        <f>'Necesidades Trimestrales'!B26</f>
        <v>2.9.2-1153.166</v>
      </c>
      <c r="C28" s="108" t="str">
        <f>'Necesidades Trimestrales'!E26</f>
        <v>CINTAS ADHESIVAS; TIPO: P/EMBALAR, ANCHO: 48 mm, LARGO: 40 M, MATERIAL: TRANSPARENTE, ACCESORIO: SIN</v>
      </c>
      <c r="D28" s="108"/>
      <c r="E28" s="108"/>
      <c r="F28" s="108"/>
      <c r="G28" s="108"/>
      <c r="H28" s="59" t="s">
        <v>55</v>
      </c>
      <c r="I28" s="60" t="str">
        <f>'Necesidades Trimestrales'!F26</f>
        <v>UNIDAD</v>
      </c>
      <c r="J28" s="61">
        <f>'Necesidades Trimestrales'!H26</f>
        <v>216</v>
      </c>
      <c r="K28" s="62">
        <f>'Necesidades Trimestrales'!G26</f>
        <v>150</v>
      </c>
    </row>
    <row r="29" spans="1:11" ht="27" customHeight="1" thickBot="1" x14ac:dyDescent="0.25">
      <c r="A29" s="8">
        <v>18</v>
      </c>
      <c r="B29" s="58" t="str">
        <f>'Necesidades Trimestrales'!B27</f>
        <v>2.9.2-1153.89</v>
      </c>
      <c r="C29" s="108" t="str">
        <f>'Necesidades Trimestrales'!E27</f>
        <v>CINTAS ADHESIVAS; TIPO: TRANSPARENTE, ANCHO: 1,2 Cm, LARGO ROLLO: 50 M, MATERIAL: POLIPROPILENO, ACCESORIO: SIN, LARGO: 50 M</v>
      </c>
      <c r="D29" s="108"/>
      <c r="E29" s="108"/>
      <c r="F29" s="108"/>
      <c r="G29" s="108"/>
      <c r="H29" s="59" t="s">
        <v>55</v>
      </c>
      <c r="I29" s="60" t="str">
        <f>'Necesidades Trimestrales'!F27</f>
        <v>UNIDAD</v>
      </c>
      <c r="J29" s="61">
        <f>'Necesidades Trimestrales'!H27</f>
        <v>193.35</v>
      </c>
      <c r="K29" s="62">
        <f>'Necesidades Trimestrales'!G27</f>
        <v>20</v>
      </c>
    </row>
    <row r="30" spans="1:11" ht="20.25" customHeight="1" thickBot="1" x14ac:dyDescent="0.25">
      <c r="A30" s="8">
        <v>19</v>
      </c>
      <c r="B30" s="58" t="str">
        <f>'Necesidades Trimestrales'!B28</f>
        <v>2.9.2-660.13</v>
      </c>
      <c r="C30" s="108" t="str">
        <f>'Necesidades Trimestrales'!E28</f>
        <v>CLIPS P/PAPEL; NUMERO: 5, CANT. X CAJA: 100, MATERIAL: METAL, PRESENTACION: CAJA X 100</v>
      </c>
      <c r="D30" s="108"/>
      <c r="E30" s="108"/>
      <c r="F30" s="108"/>
      <c r="G30" s="108"/>
      <c r="H30" s="59" t="s">
        <v>55</v>
      </c>
      <c r="I30" s="60" t="str">
        <f>'Necesidades Trimestrales'!F28</f>
        <v>CAJA</v>
      </c>
      <c r="J30" s="61">
        <f>'Necesidades Trimestrales'!H28</f>
        <v>185</v>
      </c>
      <c r="K30" s="62">
        <f>'Necesidades Trimestrales'!G28</f>
        <v>20</v>
      </c>
    </row>
    <row r="31" spans="1:11" ht="27" customHeight="1" thickBot="1" x14ac:dyDescent="0.25">
      <c r="A31" s="8">
        <v>20</v>
      </c>
      <c r="B31" s="58" t="str">
        <f>'Necesidades Trimestrales'!B29</f>
        <v>2.9.2-323.4</v>
      </c>
      <c r="C31" s="108" t="str">
        <f>'Necesidades Trimestrales'!E29</f>
        <v>CORRECTORES DE ESCRITURA; CAPACIDAD: 7 mL, ENVASE: LAPIZ (PUNTA METAL), PRESENTACION: LAPIZ (PUNTA METAL) X 7 Ml</v>
      </c>
      <c r="D31" s="108"/>
      <c r="E31" s="108"/>
      <c r="F31" s="108"/>
      <c r="G31" s="108"/>
      <c r="H31" s="59" t="s">
        <v>55</v>
      </c>
      <c r="I31" s="60" t="str">
        <f>'Necesidades Trimestrales'!F29</f>
        <v>UNIDAD</v>
      </c>
      <c r="J31" s="61">
        <f>'Necesidades Trimestrales'!H29</f>
        <v>190</v>
      </c>
      <c r="K31" s="62">
        <f>'Necesidades Trimestrales'!G29</f>
        <v>300</v>
      </c>
    </row>
    <row r="32" spans="1:11" ht="33" customHeight="1" thickBot="1" x14ac:dyDescent="0.25">
      <c r="A32" s="8">
        <v>21</v>
      </c>
      <c r="B32" s="58" t="str">
        <f>'Necesidades Trimestrales'!B30</f>
        <v>2.9.2-2836.2</v>
      </c>
      <c r="C32" s="108" t="str">
        <f>'Necesidades Trimestrales'!E30</f>
        <v>CORTAPAPELES Y GUILLOTINAS; MATERIAL HOJA: ACERO, LARGO: 20 Cm, MANGO: SIN VALOR, ESTUCHE: SIN VALOR</v>
      </c>
      <c r="D32" s="108"/>
      <c r="E32" s="108"/>
      <c r="F32" s="108"/>
      <c r="G32" s="108"/>
      <c r="H32" s="59" t="s">
        <v>55</v>
      </c>
      <c r="I32" s="60" t="str">
        <f>'Necesidades Trimestrales'!F30</f>
        <v>UNIDAD</v>
      </c>
      <c r="J32" s="61">
        <f>'Necesidades Trimestrales'!H30</f>
        <v>320</v>
      </c>
      <c r="K32" s="62">
        <f>'Necesidades Trimestrales'!G30</f>
        <v>25</v>
      </c>
    </row>
    <row r="33" spans="1:11" ht="20.25" customHeight="1" thickBot="1" x14ac:dyDescent="0.25">
      <c r="A33" s="8">
        <v>22</v>
      </c>
      <c r="B33" s="58" t="str">
        <f>'Necesidades Trimestrales'!B31</f>
        <v>2.9.2-1611.10</v>
      </c>
      <c r="C33" s="108" t="str">
        <f>'Necesidades Trimestrales'!E31</f>
        <v>FOLIOS TRANSPARENTES; TAMAÑO: A-4, PERFORACIONES: 5, MATERIAL: POLIPROPILENO</v>
      </c>
      <c r="D33" s="108"/>
      <c r="E33" s="108"/>
      <c r="F33" s="108"/>
      <c r="G33" s="108"/>
      <c r="H33" s="59" t="s">
        <v>55</v>
      </c>
      <c r="I33" s="60" t="str">
        <f>'Necesidades Trimestrales'!F31</f>
        <v>UNIDAD</v>
      </c>
      <c r="J33" s="61">
        <f>'Necesidades Trimestrales'!H31</f>
        <v>8.1999999999999993</v>
      </c>
      <c r="K33" s="62">
        <f>'Necesidades Trimestrales'!G31</f>
        <v>300</v>
      </c>
    </row>
    <row r="34" spans="1:11" ht="20.25" customHeight="1" thickBot="1" x14ac:dyDescent="0.25">
      <c r="A34" s="8">
        <v>23</v>
      </c>
      <c r="B34" s="58" t="str">
        <f>'Necesidades Trimestrales'!B32</f>
        <v>2.9.2-1611.11</v>
      </c>
      <c r="C34" s="108" t="str">
        <f>'Necesidades Trimestrales'!E32</f>
        <v>FOLIOS TRANSPARENTES; TAMAÑO: OFICIO, PERFORACIONES: 5, MATERIAL: POLIPROPILENO</v>
      </c>
      <c r="D34" s="108"/>
      <c r="E34" s="108"/>
      <c r="F34" s="108"/>
      <c r="G34" s="108"/>
      <c r="H34" s="59" t="s">
        <v>55</v>
      </c>
      <c r="I34" s="60" t="str">
        <f>'Necesidades Trimestrales'!F32</f>
        <v>UNIDAD</v>
      </c>
      <c r="J34" s="61">
        <f>'Necesidades Trimestrales'!H32</f>
        <v>9.5</v>
      </c>
      <c r="K34" s="62">
        <f>'Necesidades Trimestrales'!G32</f>
        <v>300</v>
      </c>
    </row>
    <row r="35" spans="1:11" ht="20.25" customHeight="1" thickBot="1" x14ac:dyDescent="0.25">
      <c r="A35" s="8">
        <v>24</v>
      </c>
      <c r="B35" s="58" t="str">
        <f>'Necesidades Trimestrales'!B33</f>
        <v>2.9.2-848.5</v>
      </c>
      <c r="C35" s="108" t="str">
        <f>'Necesidades Trimestrales'!E33</f>
        <v>LAPIZ; TIPO: COMUN NRO 2, COLOR: NEGRO</v>
      </c>
      <c r="D35" s="108"/>
      <c r="E35" s="108"/>
      <c r="F35" s="108"/>
      <c r="G35" s="108"/>
      <c r="H35" s="59" t="s">
        <v>55</v>
      </c>
      <c r="I35" s="60" t="str">
        <f>'Necesidades Trimestrales'!F33</f>
        <v>UNIDAD</v>
      </c>
      <c r="J35" s="61">
        <f>'Necesidades Trimestrales'!H33</f>
        <v>35.5</v>
      </c>
      <c r="K35" s="62">
        <f>'Necesidades Trimestrales'!G33</f>
        <v>100</v>
      </c>
    </row>
    <row r="36" spans="1:11" ht="20.25" customHeight="1" thickBot="1" x14ac:dyDescent="0.25">
      <c r="A36" s="8">
        <v>25</v>
      </c>
      <c r="B36" s="58" t="str">
        <f>'Necesidades Trimestrales'!B34</f>
        <v>2.9.2-1616.80</v>
      </c>
      <c r="C36" s="108" t="str">
        <f>'Necesidades Trimestrales'!E34</f>
        <v>MARCADORES; TIPO AL AGUA - TRAZO GRUESO - PUNTA REDONDA - RECARGABLE NO</v>
      </c>
      <c r="D36" s="108"/>
      <c r="E36" s="108"/>
      <c r="F36" s="108"/>
      <c r="G36" s="108"/>
      <c r="H36" s="59" t="s">
        <v>196</v>
      </c>
      <c r="I36" s="60" t="str">
        <f>'Necesidades Trimestrales'!F34</f>
        <v>UNIDAD</v>
      </c>
      <c r="J36" s="61">
        <f>'Necesidades Trimestrales'!H34</f>
        <v>130</v>
      </c>
      <c r="K36" s="62">
        <f>'Necesidades Trimestrales'!G34</f>
        <v>100</v>
      </c>
    </row>
    <row r="37" spans="1:11" ht="20.25" customHeight="1" thickBot="1" x14ac:dyDescent="0.25">
      <c r="A37" s="8">
        <v>26</v>
      </c>
      <c r="B37" s="58" t="str">
        <f>'Necesidades Trimestrales'!B35</f>
        <v>2.9.2-1616.80</v>
      </c>
      <c r="C37" s="108" t="str">
        <f>'Necesidades Trimestrales'!E35</f>
        <v>MARCADORES; TIPO AL AGUA - TRAZO GRUESO - PUNTA REDONDA - RECARGABLE NO</v>
      </c>
      <c r="D37" s="108"/>
      <c r="E37" s="108"/>
      <c r="F37" s="108"/>
      <c r="G37" s="108"/>
      <c r="H37" s="59" t="s">
        <v>196</v>
      </c>
      <c r="I37" s="60" t="str">
        <f>'Necesidades Trimestrales'!F35</f>
        <v>UNIDAD</v>
      </c>
      <c r="J37" s="61">
        <f>'Necesidades Trimestrales'!H35</f>
        <v>130</v>
      </c>
      <c r="K37" s="62">
        <f>'Necesidades Trimestrales'!G35</f>
        <v>100</v>
      </c>
    </row>
    <row r="38" spans="1:11" ht="20.25" customHeight="1" thickBot="1" x14ac:dyDescent="0.25">
      <c r="A38" s="8">
        <v>27</v>
      </c>
      <c r="B38" s="58" t="str">
        <f>'Necesidades Trimestrales'!B36</f>
        <v>2.9.2-1616.137</v>
      </c>
      <c r="C38" s="108" t="str">
        <f>'Necesidades Trimestrales'!E36</f>
        <v>MARCADORES; TIPO: INDELEBLE, TRAZO: GRUESO, PUNTA: REDONDA, COLOR: NEGRO, RECARGABLE: NO</v>
      </c>
      <c r="D38" s="108"/>
      <c r="E38" s="108"/>
      <c r="F38" s="108"/>
      <c r="G38" s="108"/>
      <c r="H38" s="59" t="s">
        <v>55</v>
      </c>
      <c r="I38" s="60" t="str">
        <f>'Necesidades Trimestrales'!F36</f>
        <v>UNIDAD</v>
      </c>
      <c r="J38" s="61">
        <f>'Necesidades Trimestrales'!H36</f>
        <v>200</v>
      </c>
      <c r="K38" s="62">
        <f>'Necesidades Trimestrales'!G36</f>
        <v>200</v>
      </c>
    </row>
    <row r="39" spans="1:11" ht="20.25" customHeight="1" thickBot="1" x14ac:dyDescent="0.25">
      <c r="A39" s="8">
        <v>28</v>
      </c>
      <c r="B39" s="58" t="str">
        <f>'Necesidades Trimestrales'!B37</f>
        <v>2.9.2-1616.147</v>
      </c>
      <c r="C39" s="108" t="str">
        <f>'Necesidades Trimestrales'!E37</f>
        <v>MARCADORES; TIPO P/PIZARRA - TRAZO FINO - PUNTA REDONDA - RECARGABLE NO</v>
      </c>
      <c r="D39" s="108"/>
      <c r="E39" s="108"/>
      <c r="F39" s="108"/>
      <c r="G39" s="108"/>
      <c r="H39" s="59" t="s">
        <v>196</v>
      </c>
      <c r="I39" s="60" t="str">
        <f>'Necesidades Trimestrales'!F37</f>
        <v>UNIDAD</v>
      </c>
      <c r="J39" s="61">
        <f>'Necesidades Trimestrales'!H37</f>
        <v>302</v>
      </c>
      <c r="K39" s="62">
        <f>'Necesidades Trimestrales'!G37</f>
        <v>50</v>
      </c>
    </row>
    <row r="40" spans="1:11" ht="30" customHeight="1" thickBot="1" x14ac:dyDescent="0.25">
      <c r="A40" s="8">
        <v>29</v>
      </c>
      <c r="B40" s="58" t="str">
        <f>'Necesidades Trimestrales'!B38</f>
        <v>2.3.1-6563.814</v>
      </c>
      <c r="C40" s="108" t="str">
        <f>'Necesidades Trimestrales'!E38</f>
        <v>PAPELES EN HOJA; TIPO DE PAPEL: CARTULINA, DIMENSION: 63 X 44,5 Cm, GRAMAJE: 125, PRESENTACION: UNIDAD, CERTIFICADO FORESTAL (GFS): CON</v>
      </c>
      <c r="D40" s="108"/>
      <c r="E40" s="108"/>
      <c r="F40" s="108"/>
      <c r="G40" s="108"/>
      <c r="H40" s="59" t="s">
        <v>196</v>
      </c>
      <c r="I40" s="60" t="str">
        <f>'Necesidades Trimestrales'!F38</f>
        <v>UNIDAD</v>
      </c>
      <c r="J40" s="61">
        <f>'Necesidades Trimestrales'!H38</f>
        <v>49</v>
      </c>
      <c r="K40" s="62">
        <f>'Necesidades Trimestrales'!G38</f>
        <v>400</v>
      </c>
    </row>
    <row r="41" spans="1:11" ht="32.25" customHeight="1" thickBot="1" x14ac:dyDescent="0.25">
      <c r="A41" s="8">
        <v>30</v>
      </c>
      <c r="B41" s="58" t="str">
        <f>'Necesidades Trimestrales'!B39</f>
        <v>2.3.1-6587.298</v>
      </c>
      <c r="C41" s="108" t="str">
        <f>'Necesidades Trimestrales'!E39</f>
        <v>PAPELES ENCUADERNADOS; CANT. DE HOJAS: 100, TAMAÑO: 21 X 16 Cm, TIPO: CUADERNO, CERTIFICADO FORESTAL (GFS): CON, PORC. FIBRAS RECICLADAS: 0 %, CERT. FIBRA ALTERNATIVA (FCA): SIN</v>
      </c>
      <c r="D41" s="108"/>
      <c r="E41" s="108"/>
      <c r="F41" s="108"/>
      <c r="G41" s="108"/>
      <c r="H41" s="59" t="s">
        <v>196</v>
      </c>
      <c r="I41" s="60" t="str">
        <f>'Necesidades Trimestrales'!F39</f>
        <v>UNIDAD</v>
      </c>
      <c r="J41" s="61">
        <f>'Necesidades Trimestrales'!H39</f>
        <v>590</v>
      </c>
      <c r="K41" s="62">
        <f>'Necesidades Trimestrales'!G39</f>
        <v>100</v>
      </c>
    </row>
    <row r="42" spans="1:11" ht="45" customHeight="1" thickBot="1" x14ac:dyDescent="0.25">
      <c r="A42" s="8">
        <v>31</v>
      </c>
      <c r="B42" s="58" t="str">
        <f>'Necesidades Trimestrales'!B40</f>
        <v>2.3.1-6587.324</v>
      </c>
      <c r="C42" s="108" t="str">
        <f>'Necesidades Trimestrales'!E40</f>
        <v>PAPELES ENCUADERNADOS; CANT. DE HOJAS: 400, TAMAÑO: 21 X 33 Cm, TIPO: LIBRO DE ACTAS, CERTIFICADO FORESTAL (GFS): SIN, PORC. FIBRAS RECICLADAS: 0 %, CERT. FIBRA ALTERNATIVA (FCA): SIN</v>
      </c>
      <c r="D42" s="108"/>
      <c r="E42" s="108"/>
      <c r="F42" s="108"/>
      <c r="G42" s="108"/>
      <c r="H42" s="59" t="s">
        <v>55</v>
      </c>
      <c r="I42" s="60" t="str">
        <f>'Necesidades Trimestrales'!F40</f>
        <v>UNIDAD</v>
      </c>
      <c r="J42" s="61">
        <f>'Necesidades Trimestrales'!H40</f>
        <v>1891</v>
      </c>
      <c r="K42" s="62">
        <f>'Necesidades Trimestrales'!G40</f>
        <v>25</v>
      </c>
    </row>
    <row r="43" spans="1:11" ht="42.75" customHeight="1" thickBot="1" x14ac:dyDescent="0.25">
      <c r="A43" s="8">
        <v>32</v>
      </c>
      <c r="B43" s="58" t="str">
        <f>'Necesidades Trimestrales'!B41</f>
        <v>2.3.1-6587.371</v>
      </c>
      <c r="C43" s="108" t="str">
        <f>'Necesidades Trimestrales'!E41</f>
        <v>PAPELES ENCUADERNADOS; CANT. DE HOJAS: SEGÚN PLIEGO, TAMAÑO: SEGÚN PLIEGO, TIPO: LIBRO DE RECIBOS, CERTIFICADO FORESTAL (GFS): SIN, PORC. FIBRAS RECICLADAS: 0 %</v>
      </c>
      <c r="D43" s="108"/>
      <c r="E43" s="108"/>
      <c r="F43" s="108"/>
      <c r="G43" s="108"/>
      <c r="H43" s="59" t="s">
        <v>55</v>
      </c>
      <c r="I43" s="60" t="str">
        <f>'Necesidades Trimestrales'!F41</f>
        <v>UNIDAD</v>
      </c>
      <c r="J43" s="61">
        <f>'Necesidades Trimestrales'!H41</f>
        <v>1395</v>
      </c>
      <c r="K43" s="62">
        <f>'Necesidades Trimestrales'!G41</f>
        <v>20</v>
      </c>
    </row>
    <row r="44" spans="1:11" ht="32.25" customHeight="1" thickBot="1" x14ac:dyDescent="0.25">
      <c r="A44" s="8">
        <v>33</v>
      </c>
      <c r="B44" s="58" t="str">
        <f>'Necesidades Trimestrales'!B42</f>
        <v>2.3.1-6587.299</v>
      </c>
      <c r="C44" s="108" t="str">
        <f>'Necesidades Trimestrales'!E42</f>
        <v>PAPELES ENCUADERNADOS; CANT. DE HOJAS: 200, TAMAÑO: 21 X 16 Cm, TIPO: CUADERNO, CERTIFICADO FORESTAL (GFS): CON, PORC. FIBRAS RECICLADAS: 0 %, CERT. FIBRA ALTERNATIVA (FCA): SIN</v>
      </c>
      <c r="D44" s="108"/>
      <c r="E44" s="108"/>
      <c r="F44" s="108"/>
      <c r="G44" s="108"/>
      <c r="H44" s="59" t="s">
        <v>196</v>
      </c>
      <c r="I44" s="60" t="str">
        <f>'Necesidades Trimestrales'!F42</f>
        <v>UNIDAD</v>
      </c>
      <c r="J44" s="61">
        <f>'Necesidades Trimestrales'!H42</f>
        <v>1259</v>
      </c>
      <c r="K44" s="62">
        <f>'Necesidades Trimestrales'!G42</f>
        <v>75</v>
      </c>
    </row>
    <row r="45" spans="1:11" ht="43.5" customHeight="1" thickBot="1" x14ac:dyDescent="0.25">
      <c r="A45" s="8">
        <v>34</v>
      </c>
      <c r="B45" s="58" t="str">
        <f>'Necesidades Trimestrales'!B43</f>
        <v>2.3.1-6563.1009</v>
      </c>
      <c r="C45" s="108" t="str">
        <f>'Necesidades Trimestrales'!E43</f>
        <v>PAPELES EN HOJA; TIPO DE PAPEL: BLANCO, DIMENSION: OFICIO, GRAMAJE: 80 GR, PRESENTACION: ENVASE X 500 HOJAS, CERTIFICADO FORESTAL (GFS): SIN, PORC. FIBRAS RECICLADAS: 0 %, CERT. FIBRA ALTERNATIVA (FCA): SIN</v>
      </c>
      <c r="D45" s="108"/>
      <c r="E45" s="108"/>
      <c r="F45" s="108"/>
      <c r="G45" s="108"/>
      <c r="H45" s="59" t="s">
        <v>196</v>
      </c>
      <c r="I45" s="60" t="str">
        <f>'Necesidades Trimestrales'!F43</f>
        <v>ENVASE</v>
      </c>
      <c r="J45" s="61">
        <f>'Necesidades Trimestrales'!H43</f>
        <v>1512</v>
      </c>
      <c r="K45" s="62">
        <f>'Necesidades Trimestrales'!G43</f>
        <v>400</v>
      </c>
    </row>
    <row r="46" spans="1:11" ht="45.75" customHeight="1" thickBot="1" x14ac:dyDescent="0.25">
      <c r="A46" s="8">
        <v>35</v>
      </c>
      <c r="B46" s="58" t="str">
        <f>'Necesidades Trimestrales'!B44</f>
        <v>2.3.1-6563.968</v>
      </c>
      <c r="C46" s="108" t="str">
        <f>'Necesidades Trimestrales'!E44</f>
        <v>PAPELES EN HOJA; TIPO DE PAPEL: EXTRA BLANCO, DIMENSION: A4, GRAMAJE: 80 GR, PRESENTACION: RESMA X 500 HOJAS, CERTIFICADO FORESTAL (GFS): SIN, PORC. FIBRAS RECICLADAS: 0 %, CERT. FIBRA ALTERNATIVA (FCA): CON</v>
      </c>
      <c r="D46" s="108"/>
      <c r="E46" s="108"/>
      <c r="F46" s="108"/>
      <c r="G46" s="108"/>
      <c r="H46" s="59" t="s">
        <v>196</v>
      </c>
      <c r="I46" s="60" t="str">
        <f>'Necesidades Trimestrales'!F44</f>
        <v>RESMA</v>
      </c>
      <c r="J46" s="61">
        <f>'Necesidades Trimestrales'!H44</f>
        <v>1095</v>
      </c>
      <c r="K46" s="62">
        <f>'Necesidades Trimestrales'!G44</f>
        <v>350</v>
      </c>
    </row>
    <row r="47" spans="1:11" ht="33" customHeight="1" thickBot="1" x14ac:dyDescent="0.25">
      <c r="A47" s="8">
        <v>36</v>
      </c>
      <c r="B47" s="58" t="str">
        <f>'Necesidades Trimestrales'!B45</f>
        <v>2.9.2-858.16</v>
      </c>
      <c r="C47" s="108" t="str">
        <f>'Necesidades Trimestrales'!E45</f>
        <v>PERFORADORAS; TAMAÑO: MEDIANA, N° PERFORACIONES: 2, DIST. ENTRE AGUJ.: SIN VALOR, GUIA POSICION PAPEL: SIN VALOR, MATERIAL ESTRUCTURA: MADERA, MATERIAL: MADERA</v>
      </c>
      <c r="D47" s="108"/>
      <c r="E47" s="108"/>
      <c r="F47" s="108"/>
      <c r="G47" s="108"/>
      <c r="H47" s="59" t="s">
        <v>55</v>
      </c>
      <c r="I47" s="60" t="str">
        <f>'Necesidades Trimestrales'!F45</f>
        <v>UNIDAD</v>
      </c>
      <c r="J47" s="61">
        <f>'Necesidades Trimestrales'!H45</f>
        <v>2445</v>
      </c>
      <c r="K47" s="62">
        <f>'Necesidades Trimestrales'!G45</f>
        <v>10</v>
      </c>
    </row>
    <row r="48" spans="1:11" ht="20.25" customHeight="1" thickBot="1" x14ac:dyDescent="0.25">
      <c r="A48" s="8">
        <v>37</v>
      </c>
      <c r="B48" s="58" t="str">
        <f>'Necesidades Trimestrales'!B46</f>
        <v>2.9.2-674.42</v>
      </c>
      <c r="C48" s="108" t="str">
        <f>'Necesidades Trimestrales'!E46</f>
        <v>REGLAS GRADUADAS; TIPO: L, MATERIAL: PLASTICO, LONG.DE CUERPO: 40 Cm</v>
      </c>
      <c r="D48" s="108"/>
      <c r="E48" s="108"/>
      <c r="F48" s="108"/>
      <c r="G48" s="108"/>
      <c r="H48" s="59" t="s">
        <v>55</v>
      </c>
      <c r="I48" s="60" t="str">
        <f>'Necesidades Trimestrales'!F46</f>
        <v>UNIDAD</v>
      </c>
      <c r="J48" s="61">
        <f>'Necesidades Trimestrales'!H46</f>
        <v>219</v>
      </c>
      <c r="K48" s="62">
        <f>'Necesidades Trimestrales'!G46</f>
        <v>50</v>
      </c>
    </row>
    <row r="49" spans="1:1024" ht="20.25" customHeight="1" thickBot="1" x14ac:dyDescent="0.25">
      <c r="A49" s="8">
        <v>38</v>
      </c>
      <c r="B49" s="58" t="str">
        <f>'Necesidades Trimestrales'!B47</f>
        <v>2.9.2-1354.21</v>
      </c>
      <c r="C49" s="108" t="str">
        <f>'Necesidades Trimestrales'!E47</f>
        <v>RESALTADORES; PUNTA: BISELADA, ACCESORIO: SIN, COLOR: SIN VALOR, TIPO PUNTA: BISELADA</v>
      </c>
      <c r="D49" s="108"/>
      <c r="E49" s="108"/>
      <c r="F49" s="108"/>
      <c r="G49" s="108"/>
      <c r="H49" s="59" t="s">
        <v>196</v>
      </c>
      <c r="I49" s="60" t="str">
        <f>'Necesidades Trimestrales'!F47</f>
        <v>UNIDAD</v>
      </c>
      <c r="J49" s="61">
        <f>'Necesidades Trimestrales'!H47</f>
        <v>82</v>
      </c>
      <c r="K49" s="62">
        <f>'Necesidades Trimestrales'!G47</f>
        <v>150</v>
      </c>
    </row>
    <row r="50" spans="1:1024" ht="20.25" customHeight="1" thickBot="1" x14ac:dyDescent="0.25">
      <c r="A50" s="8">
        <v>39</v>
      </c>
      <c r="B50" s="58" t="str">
        <f>'Necesidades Trimestrales'!B48</f>
        <v>2.9.2-1354.21</v>
      </c>
      <c r="C50" s="108" t="str">
        <f>'Necesidades Trimestrales'!E48</f>
        <v>RESALTADORES; PUNTA: BISELADA, ACCESORIO: SIN, COLOR: SIN VALOR, TIPO PUNTA: BISELADA</v>
      </c>
      <c r="D50" s="108"/>
      <c r="E50" s="108"/>
      <c r="F50" s="108"/>
      <c r="G50" s="108"/>
      <c r="H50" s="59" t="s">
        <v>196</v>
      </c>
      <c r="I50" s="60" t="str">
        <f>'Necesidades Trimestrales'!F48</f>
        <v>UNIDAD</v>
      </c>
      <c r="J50" s="61">
        <f>'Necesidades Trimestrales'!H48</f>
        <v>82</v>
      </c>
      <c r="K50" s="62">
        <f>'Necesidades Trimestrales'!G48</f>
        <v>150</v>
      </c>
    </row>
    <row r="51" spans="1:1024" ht="45" customHeight="1" thickBot="1" x14ac:dyDescent="0.25">
      <c r="A51" s="8">
        <v>40</v>
      </c>
      <c r="B51" s="58" t="str">
        <f>'Necesidades Trimestrales'!B49</f>
        <v>2.3.1-6590.540</v>
      </c>
      <c r="C51" s="108" t="str">
        <f>'Necesidades Trimestrales'!E49</f>
        <v>SOBRES DE PAPEL; TIPO: BLANCO, TAMAÑO: 16 X 11,5 Cm, GRAMAJE: 57 GR/M2, PRESENTACION: UNIDAD, CERTIFICADO FORESTAL (GFS): SIN, PORC. FIBRAS RECICLADAS: 0 %, CERT. FIBRA ALTERNATIVA (FCA): SIN</v>
      </c>
      <c r="D51" s="108"/>
      <c r="E51" s="108"/>
      <c r="F51" s="108"/>
      <c r="G51" s="108"/>
      <c r="H51" s="59" t="s">
        <v>55</v>
      </c>
      <c r="I51" s="60" t="str">
        <f>'Necesidades Trimestrales'!F49</f>
        <v>UNIDAD</v>
      </c>
      <c r="J51" s="61">
        <f>'Necesidades Trimestrales'!H49</f>
        <v>5</v>
      </c>
      <c r="K51" s="62">
        <f>'Necesidades Trimestrales'!G49</f>
        <v>3000</v>
      </c>
    </row>
    <row r="52" spans="1:1024" ht="30.75" customHeight="1" thickBot="1" x14ac:dyDescent="0.25">
      <c r="A52" s="8">
        <v>41</v>
      </c>
      <c r="B52" s="58" t="str">
        <f>'Necesidades Trimestrales'!B50</f>
        <v>2.3.1-6590.432</v>
      </c>
      <c r="C52" s="108" t="str">
        <f>'Necesidades Trimestrales'!E50</f>
        <v>SOBRES DE PAPEL; TIPO: P/DISCO COMPACTO, TAMAÑO: 12,7 X 12,7 Cm, GRAMAJE: 80 GR/M2, PRESENTACION: UNIDAD, CERTIFICADO FORESTAL (GFS): SIN</v>
      </c>
      <c r="D52" s="108"/>
      <c r="E52" s="108"/>
      <c r="F52" s="108"/>
      <c r="G52" s="108"/>
      <c r="H52" s="59" t="s">
        <v>55</v>
      </c>
      <c r="I52" s="60" t="str">
        <f>'Necesidades Trimestrales'!F50</f>
        <v>UNIDAD</v>
      </c>
      <c r="J52" s="61">
        <f>'Necesidades Trimestrales'!H50</f>
        <v>8</v>
      </c>
      <c r="K52" s="62">
        <f>'Necesidades Trimestrales'!G50</f>
        <v>3000</v>
      </c>
    </row>
    <row r="53" spans="1:1024" ht="41.25" customHeight="1" thickBot="1" x14ac:dyDescent="0.25">
      <c r="A53" s="8">
        <v>42</v>
      </c>
      <c r="B53" s="58" t="str">
        <f>'Necesidades Trimestrales'!B51</f>
        <v>2.3.1-6590.541</v>
      </c>
      <c r="C53" s="108" t="str">
        <f>'Necesidades Trimestrales'!E51</f>
        <v>SOBRES DE PAPEL; TIPO: BOLSA DE PAPEL MANILA, TAMAÑO: 24 X 30 Cm, GRAMAJE: 80 GR/M2, PRESENTACION: ENVASE X 100 UN, CERTIFICADO FORESTAL (GFS): SIN, PORC. FIBRAS RECICLADAS: 0 %, CERT. FIBRA ALTERNATIVA (FCA): SIN</v>
      </c>
      <c r="D53" s="108"/>
      <c r="E53" s="108"/>
      <c r="F53" s="108"/>
      <c r="G53" s="108"/>
      <c r="H53" s="59" t="s">
        <v>55</v>
      </c>
      <c r="I53" s="60" t="str">
        <f>'Necesidades Trimestrales'!F51</f>
        <v>ENVASE</v>
      </c>
      <c r="J53" s="61">
        <f>'Necesidades Trimestrales'!H51</f>
        <v>1750</v>
      </c>
      <c r="K53" s="62">
        <f>'Necesidades Trimestrales'!G51</f>
        <v>8</v>
      </c>
    </row>
    <row r="54" spans="1:1024" ht="34.5" customHeight="1" thickBot="1" x14ac:dyDescent="0.25">
      <c r="A54" s="8">
        <v>43</v>
      </c>
      <c r="B54" s="58" t="str">
        <f>'Necesidades Trimestrales'!B52</f>
        <v>2.3.1-6590.465</v>
      </c>
      <c r="C54" s="108" t="str">
        <f>'Necesidades Trimestrales'!E52</f>
        <v>SOBRES DE PAPEL; TIPO: BOLSA MANILA, TAMAÑO: 30 X 40 Cm, GRAMAJE: 90 GR/M2, PRESENTACION: UNIDAD, CERTIFICADO FORESTAL (GFS): SIN, PORC. FIBRAS RECICLADAS: 0 %</v>
      </c>
      <c r="D54" s="108"/>
      <c r="E54" s="108"/>
      <c r="F54" s="108"/>
      <c r="G54" s="108"/>
      <c r="H54" s="59" t="s">
        <v>55</v>
      </c>
      <c r="I54" s="60" t="str">
        <f>'Necesidades Trimestrales'!F52</f>
        <v>UNIDAD</v>
      </c>
      <c r="J54" s="61">
        <f>'Necesidades Trimestrales'!H52</f>
        <v>21.08</v>
      </c>
      <c r="K54" s="62">
        <f>'Necesidades Trimestrales'!G52</f>
        <v>1200</v>
      </c>
    </row>
    <row r="55" spans="1:1024" ht="33" customHeight="1" thickBot="1" x14ac:dyDescent="0.25">
      <c r="A55" s="8">
        <v>44</v>
      </c>
      <c r="B55" s="58" t="str">
        <f>'Necesidades Trimestrales'!B53</f>
        <v>2.3.1-6590.502</v>
      </c>
      <c r="C55" s="108" t="str">
        <f>'Necesidades Trimestrales'!E53</f>
        <v>SOBRES DE PAPEL; TIPO: BOLSA, TAMAÑO: 19 X 24 Cm, GRAMAJE: 80 GR/CM2, PRESENTACION: UNIDAD, CERTIFICADO FORESTAL (GFS): CON, PORC. FIBRAS RECICLADAS: 0 %</v>
      </c>
      <c r="D55" s="108"/>
      <c r="E55" s="108"/>
      <c r="F55" s="108"/>
      <c r="G55" s="108"/>
      <c r="H55" s="59" t="s">
        <v>55</v>
      </c>
      <c r="I55" s="60" t="str">
        <f>'Necesidades Trimestrales'!F53</f>
        <v>UNIDAD</v>
      </c>
      <c r="J55" s="61">
        <f>'Necesidades Trimestrales'!H53</f>
        <v>10.199999999999999</v>
      </c>
      <c r="K55" s="62">
        <f>'Necesidades Trimestrales'!G53</f>
        <v>1500</v>
      </c>
    </row>
    <row r="56" spans="1:1024" ht="36" customHeight="1" thickBot="1" x14ac:dyDescent="0.25">
      <c r="A56" s="8">
        <v>45</v>
      </c>
      <c r="B56" s="58" t="str">
        <f>'Necesidades Trimestrales'!B54</f>
        <v>2.9.2-758.14</v>
      </c>
      <c r="C56" s="108" t="str">
        <f>'Necesidades Trimestrales'!E54</f>
        <v>TIJERAS P/CORTAR PAPELES; LONG.DE CUERPO: 20 Cm, MATERIAL: ACERO INOXIDABLE, CUCHILLA: REDONDEADAS, MANGO: SIN VALOR</v>
      </c>
      <c r="D56" s="108"/>
      <c r="E56" s="108"/>
      <c r="F56" s="108"/>
      <c r="G56" s="108"/>
      <c r="H56" s="59" t="s">
        <v>55</v>
      </c>
      <c r="I56" s="60" t="str">
        <f>'Necesidades Trimestrales'!F54</f>
        <v>UNIDAD</v>
      </c>
      <c r="J56" s="61">
        <f>'Necesidades Trimestrales'!H54</f>
        <v>456.52</v>
      </c>
      <c r="K56" s="62">
        <f>'Necesidades Trimestrales'!G54</f>
        <v>50</v>
      </c>
    </row>
    <row r="57" spans="1:1024" ht="33" customHeight="1" thickBot="1" x14ac:dyDescent="0.25">
      <c r="A57" s="8">
        <v>46</v>
      </c>
      <c r="B57" s="58" t="str">
        <f>'Necesidades Trimestrales'!B55</f>
        <v>2.9.2-1450.30</v>
      </c>
      <c r="C57" s="108" t="str">
        <f>'Necesidades Trimestrales'!E55</f>
        <v>TINTAS P/SELLOS; TIPO DE SELLO: DE GOMA, ENVASE: 60 CM3, COLOR: AZUL, PRESENTACION: ENVASE X 60 CM3</v>
      </c>
      <c r="D57" s="108"/>
      <c r="E57" s="108"/>
      <c r="F57" s="108"/>
      <c r="G57" s="108"/>
      <c r="H57" s="59" t="s">
        <v>55</v>
      </c>
      <c r="I57" s="60" t="str">
        <f>'Necesidades Trimestrales'!F55</f>
        <v>UNIDAD</v>
      </c>
      <c r="J57" s="61">
        <f>'Necesidades Trimestrales'!H55</f>
        <v>391</v>
      </c>
      <c r="K57" s="62">
        <f>'Necesidades Trimestrales'!G55</f>
        <v>30</v>
      </c>
    </row>
    <row r="58" spans="1:1024" ht="20.25" customHeight="1" thickBot="1" x14ac:dyDescent="0.25">
      <c r="A58" s="8">
        <v>47</v>
      </c>
      <c r="B58" s="58" t="str">
        <f>'Necesidades Trimestrales'!B56</f>
        <v>2.9.2-8819.1</v>
      </c>
      <c r="C58" s="108" t="str">
        <f>'Necesidades Trimestrales'!E56</f>
        <v>DISCO VERSATIL DIGITAL (DVD) ; CAPACIDAD: 4,7 Gb, TIPO: GRABABLE</v>
      </c>
      <c r="D58" s="108"/>
      <c r="E58" s="108"/>
      <c r="F58" s="108"/>
      <c r="G58" s="108"/>
      <c r="H58" s="59" t="s">
        <v>55</v>
      </c>
      <c r="I58" s="60" t="str">
        <f>'Necesidades Trimestrales'!F56</f>
        <v>UNIDAD</v>
      </c>
      <c r="J58" s="61">
        <f>'Necesidades Trimestrales'!H56</f>
        <v>45.9</v>
      </c>
      <c r="K58" s="62">
        <f>'Necesidades Trimestrales'!G56</f>
        <v>500</v>
      </c>
    </row>
    <row r="59" spans="1:1024" ht="20.25" customHeight="1" thickBot="1" x14ac:dyDescent="0.25">
      <c r="A59" s="8">
        <v>48</v>
      </c>
      <c r="B59" s="58" t="str">
        <f>'Necesidades Trimestrales'!B57</f>
        <v>2.9.2-1620.1</v>
      </c>
      <c r="C59" s="108" t="str">
        <f>'Necesidades Trimestrales'!E57</f>
        <v>DISCO COMPACTO; TIPO: VIRGEN, CAPACIDAD: 700 MB</v>
      </c>
      <c r="D59" s="108"/>
      <c r="E59" s="108"/>
      <c r="F59" s="108"/>
      <c r="G59" s="108"/>
      <c r="H59" s="59" t="s">
        <v>55</v>
      </c>
      <c r="I59" s="60" t="str">
        <f>'Necesidades Trimestrales'!F57</f>
        <v>UNIDAD</v>
      </c>
      <c r="J59" s="61">
        <f>'Necesidades Trimestrales'!H57</f>
        <v>53</v>
      </c>
      <c r="K59" s="62">
        <f>'Necesidades Trimestrales'!G57</f>
        <v>2500</v>
      </c>
    </row>
    <row r="60" spans="1:1024" ht="33" customHeight="1" thickBot="1" x14ac:dyDescent="0.25">
      <c r="A60" s="109" t="s">
        <v>194</v>
      </c>
      <c r="B60" s="109"/>
      <c r="C60" s="109"/>
      <c r="D60" s="109"/>
      <c r="E60" s="109"/>
      <c r="F60" s="109"/>
      <c r="G60" s="109"/>
      <c r="H60" s="109"/>
      <c r="I60" s="109"/>
      <c r="J60" s="110">
        <f>SUMPRODUCT(J12:J59,K12:K59)</f>
        <v>2273129</v>
      </c>
      <c r="K60" s="11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</sheetData>
  <mergeCells count="70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60:I60"/>
    <mergeCell ref="J60:K6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29:G2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44:G44"/>
    <mergeCell ref="C45:G45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57:G57"/>
    <mergeCell ref="C58:G58"/>
    <mergeCell ref="C59:G59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O16" sqref="O16:P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5" t="s">
        <v>3</v>
      </c>
      <c r="B1" s="145"/>
      <c r="C1" s="145"/>
      <c r="D1" s="146">
        <f>'Necesidades Trimestrales'!C6</f>
        <v>2022</v>
      </c>
      <c r="E1" s="146"/>
      <c r="F1" s="10"/>
      <c r="G1" s="10"/>
      <c r="H1" s="11"/>
      <c r="I1" s="11"/>
      <c r="J1" s="11"/>
      <c r="K1" s="11"/>
      <c r="L1" s="11"/>
      <c r="M1" s="11"/>
      <c r="N1" s="11"/>
      <c r="P1" s="147" t="s">
        <v>29</v>
      </c>
      <c r="Q1" s="147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7"/>
      <c r="Q2" s="147"/>
    </row>
    <row r="4" spans="1:17" s="12" customFormat="1" ht="18" customHeight="1" thickBot="1" x14ac:dyDescent="0.25">
      <c r="A4" s="148" t="s">
        <v>30</v>
      </c>
      <c r="B4" s="148"/>
      <c r="C4" s="148"/>
      <c r="D4" s="148"/>
      <c r="E4" s="148"/>
      <c r="F4" s="148"/>
      <c r="G4" s="143" t="str">
        <f>NotaPedido!D3</f>
        <v>40 - Ministerio de Salud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</row>
    <row r="5" spans="1:17" s="12" customFormat="1" ht="18" customHeight="1" thickBot="1" x14ac:dyDescent="0.25">
      <c r="A5" s="140" t="s">
        <v>53</v>
      </c>
      <c r="B5" s="141"/>
      <c r="C5" s="141"/>
      <c r="D5" s="141"/>
      <c r="E5" s="141"/>
      <c r="F5" s="142"/>
      <c r="G5" s="143" t="str">
        <f>NotaPedido!D4</f>
        <v>23 - Hospital Interzonal San Juan Bautista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s="12" customFormat="1" ht="18" customHeight="1" thickBot="1" x14ac:dyDescent="0.25">
      <c r="A6" s="140" t="s">
        <v>31</v>
      </c>
      <c r="B6" s="141"/>
      <c r="C6" s="141"/>
      <c r="D6" s="141"/>
      <c r="E6" s="141"/>
      <c r="F6" s="142"/>
      <c r="G6" s="143" t="str">
        <f>NotaPedido!D5</f>
        <v>237 - Dirección de Mantenimiento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7" s="12" customFormat="1" ht="18" customHeight="1" thickBot="1" x14ac:dyDescent="0.25">
      <c r="A7" s="140" t="s">
        <v>54</v>
      </c>
      <c r="B7" s="141"/>
      <c r="C7" s="141"/>
      <c r="D7" s="141"/>
      <c r="E7" s="141"/>
      <c r="F7" s="142"/>
      <c r="G7" s="143" t="str">
        <f>NotaPedido!D6</f>
        <v xml:space="preserve">Sección Deposito Central 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7" ht="18" customHeight="1" thickBot="1" x14ac:dyDescent="0.25">
      <c r="A8" s="144" t="s">
        <v>32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 x14ac:dyDescent="0.2">
      <c r="A9" s="134" t="s">
        <v>33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"/>
      <c r="P9" s="1"/>
      <c r="Q9" s="13"/>
    </row>
    <row r="10" spans="1:17" ht="54.75" customHeight="1" x14ac:dyDescent="0.2">
      <c r="A10" s="135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DOCFI-2022-01249721-CAT-DMAN#HSJB,  afectando la erogación resultante a los créditos presupuestarios aprobados a favor de esta Unidad Ejecutora, conforme al siguiente detalle: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6" t="s">
        <v>34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7" ht="15.75" customHeight="1" x14ac:dyDescent="0.2">
      <c r="A13" s="137" t="s">
        <v>35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36</v>
      </c>
      <c r="P13" s="138"/>
      <c r="Q13" s="139" t="s">
        <v>37</v>
      </c>
    </row>
    <row r="14" spans="1:17" ht="15.75" customHeight="1" x14ac:dyDescent="0.2">
      <c r="A14" s="18" t="s">
        <v>38</v>
      </c>
      <c r="B14" s="19" t="s">
        <v>39</v>
      </c>
      <c r="C14" s="19" t="s">
        <v>40</v>
      </c>
      <c r="D14" s="19" t="s">
        <v>41</v>
      </c>
      <c r="E14" s="19" t="s">
        <v>42</v>
      </c>
      <c r="F14" s="19" t="s">
        <v>43</v>
      </c>
      <c r="G14" s="20" t="s">
        <v>44</v>
      </c>
      <c r="H14" s="19" t="s">
        <v>45</v>
      </c>
      <c r="I14" s="19" t="s">
        <v>46</v>
      </c>
      <c r="J14" s="19" t="s">
        <v>47</v>
      </c>
      <c r="K14" s="19" t="s">
        <v>47</v>
      </c>
      <c r="L14" s="19" t="s">
        <v>48</v>
      </c>
      <c r="M14" s="21" t="s">
        <v>49</v>
      </c>
      <c r="N14" s="22" t="s">
        <v>50</v>
      </c>
      <c r="O14" s="138"/>
      <c r="P14" s="138"/>
      <c r="Q14" s="139"/>
    </row>
    <row r="15" spans="1:17" ht="17.25" customHeight="1" x14ac:dyDescent="0.2">
      <c r="A15" s="65">
        <v>33</v>
      </c>
      <c r="B15" s="66"/>
      <c r="C15" s="66"/>
      <c r="D15" s="66">
        <v>4</v>
      </c>
      <c r="E15" s="66"/>
      <c r="F15" s="66">
        <v>4901</v>
      </c>
      <c r="G15" s="66">
        <v>3</v>
      </c>
      <c r="H15" s="67" t="s">
        <v>59</v>
      </c>
      <c r="I15" s="68">
        <v>2</v>
      </c>
      <c r="J15" s="68">
        <v>3</v>
      </c>
      <c r="K15" s="68">
        <v>1</v>
      </c>
      <c r="L15" s="66"/>
      <c r="M15" s="69">
        <v>1</v>
      </c>
      <c r="N15" s="67" t="s">
        <v>60</v>
      </c>
      <c r="O15" s="130" t="s">
        <v>150</v>
      </c>
      <c r="P15" s="130"/>
      <c r="Q15" s="23">
        <v>1336106</v>
      </c>
    </row>
    <row r="16" spans="1:17" ht="26.25" customHeight="1" x14ac:dyDescent="0.2">
      <c r="A16" s="24">
        <v>33</v>
      </c>
      <c r="B16" s="25"/>
      <c r="C16" s="25"/>
      <c r="D16" s="25">
        <v>4</v>
      </c>
      <c r="E16" s="25"/>
      <c r="F16" s="25">
        <v>4901</v>
      </c>
      <c r="G16" s="25">
        <v>3</v>
      </c>
      <c r="H16" s="63" t="s">
        <v>59</v>
      </c>
      <c r="I16" s="25">
        <v>2</v>
      </c>
      <c r="J16" s="25">
        <v>9</v>
      </c>
      <c r="K16" s="25">
        <v>2</v>
      </c>
      <c r="L16" s="25"/>
      <c r="M16" s="26">
        <v>1</v>
      </c>
      <c r="N16" s="64" t="s">
        <v>60</v>
      </c>
      <c r="O16" s="131" t="s">
        <v>151</v>
      </c>
      <c r="P16" s="131"/>
      <c r="Q16" s="28">
        <v>937023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3"/>
      <c r="I17" s="25"/>
      <c r="J17" s="25"/>
      <c r="K17" s="25"/>
      <c r="L17" s="25"/>
      <c r="M17" s="26"/>
      <c r="N17" s="64"/>
      <c r="O17" s="132"/>
      <c r="P17" s="132"/>
      <c r="Q17" s="28"/>
      <c r="S17" s="70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3"/>
      <c r="I18" s="25"/>
      <c r="J18" s="25"/>
      <c r="K18" s="25"/>
      <c r="L18" s="25"/>
      <c r="M18" s="26"/>
      <c r="N18" s="64"/>
      <c r="O18" s="133"/>
      <c r="P18" s="125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5"/>
      <c r="P19" s="125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5"/>
      <c r="P20" s="125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6"/>
      <c r="P21" s="126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7"/>
      <c r="P22" s="127"/>
      <c r="Q22" s="37"/>
    </row>
    <row r="23" spans="1:19" ht="20.25" customHeight="1" x14ac:dyDescent="0.2">
      <c r="A23" s="128" t="s">
        <v>198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38">
        <f>SUM(Q15:Q22)</f>
        <v>2273129</v>
      </c>
    </row>
    <row r="24" spans="1:19" ht="18" customHeight="1" thickBot="1" x14ac:dyDescent="0.25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</row>
    <row r="25" spans="1:19" ht="17.25" customHeight="1" thickBot="1" x14ac:dyDescent="0.25">
      <c r="A25" s="120" t="s">
        <v>51</v>
      </c>
      <c r="B25" s="121"/>
      <c r="C25" s="121"/>
      <c r="D25" s="121"/>
      <c r="E25" s="121"/>
      <c r="F25" s="122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9" ht="18" customHeight="1" thickBot="1" x14ac:dyDescent="0.25">
      <c r="A26" s="124" t="str">
        <f>"Para la "&amp; NotaPedido!D8 &amp;" para ser destinados al " &amp; NotaPedido!D6 &amp;"  del HISJB del Ministerio de Salud."</f>
        <v>Para la Adquisición de Articulos de Librería  para ser destinados al Sección Deposito Central   del HISJB del Ministerio de Salud.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</row>
    <row r="27" spans="1:19" ht="15" customHeight="1" x14ac:dyDescent="0.2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2022-07-13T14:09:38Z</cp:lastPrinted>
  <dcterms:created xsi:type="dcterms:W3CDTF">2020-07-17T23:44:49Z</dcterms:created>
  <dcterms:modified xsi:type="dcterms:W3CDTF">2022-07-14T11:24:00Z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