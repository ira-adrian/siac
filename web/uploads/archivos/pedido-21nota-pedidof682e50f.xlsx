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01"/>
  <workbookPr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Mario\Carga SIAC\NO-2021-00680308-CAT-DPPR#MHP\"/>
    </mc:Choice>
  </mc:AlternateContent>
  <xr:revisionPtr revIDLastSave="0" documentId="8_{F34FB548-4FD2-4E57-8AA4-44CDCFEF0B58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HSJB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50" i="1" l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J56" i="1" s="1"/>
  <c r="I36" i="1"/>
  <c r="I35" i="1"/>
  <c r="I34" i="1"/>
  <c r="I33" i="1"/>
  <c r="I32" i="1"/>
  <c r="I31" i="1"/>
  <c r="I30" i="1"/>
  <c r="I29" i="1"/>
  <c r="J60" i="1" s="1"/>
  <c r="I28" i="1"/>
  <c r="I27" i="1"/>
  <c r="J55" i="1" s="1"/>
  <c r="I26" i="1"/>
  <c r="I25" i="1"/>
  <c r="I24" i="1"/>
  <c r="J62" i="1" s="1"/>
  <c r="I23" i="1"/>
  <c r="I22" i="1"/>
  <c r="I21" i="1"/>
  <c r="I20" i="1"/>
  <c r="I19" i="1"/>
  <c r="I18" i="1"/>
  <c r="I17" i="1"/>
  <c r="I16" i="1"/>
  <c r="I15" i="1"/>
  <c r="I14" i="1"/>
  <c r="I13" i="1"/>
  <c r="J57" i="1" s="1"/>
  <c r="I12" i="1"/>
  <c r="I11" i="1"/>
  <c r="I10" i="1"/>
  <c r="I9" i="1"/>
  <c r="I8" i="1"/>
  <c r="J59" i="1" s="1"/>
  <c r="I7" i="1"/>
  <c r="I6" i="1"/>
  <c r="I5" i="1"/>
  <c r="I52" i="1" l="1"/>
  <c r="J58" i="1"/>
  <c r="J63" i="1"/>
</calcChain>
</file>

<file path=xl/sharedStrings.xml><?xml version="1.0" encoding="utf-8"?>
<sst xmlns="http://schemas.openxmlformats.org/spreadsheetml/2006/main" count="318" uniqueCount="194">
  <si>
    <t>OBJETO:</t>
  </si>
  <si>
    <t>Para la adquisición Adquisición de Articulos de Limpieza.</t>
  </si>
  <si>
    <r>
      <t>NO-2021-00625728-CAT-HSJB#MS</t>
    </r>
    <r>
      <rPr>
        <b/>
        <sz val="14"/>
        <color theme="1"/>
        <rFont val="Calibri"/>
        <family val="2"/>
        <scheme val="minor"/>
      </rPr>
      <t xml:space="preserve"> (Adq.de elementos de Limpieza-Hosp.San Juan Bautista)</t>
    </r>
  </si>
  <si>
    <t>ID</t>
  </si>
  <si>
    <t>CODIGO ITEM</t>
  </si>
  <si>
    <t>RUBRO DE COMPRA</t>
  </si>
  <si>
    <t xml:space="preserve">I.P.P. </t>
  </si>
  <si>
    <t>DESCRIPCION S/NOTA DE PEDIDO N° 69/2021</t>
  </si>
  <si>
    <t>UNIDAD DE MEDIDA</t>
  </si>
  <si>
    <t>CANTIDAD</t>
  </si>
  <si>
    <t>PRECIO UNITARIO ESTIMADO</t>
  </si>
  <si>
    <t xml:space="preserve">IMPORTE TOTAL ESTIMADO </t>
  </si>
  <si>
    <t>2.9.1-6951.28</t>
  </si>
  <si>
    <t>ELEMENTOS DE LIMPIEZA</t>
  </si>
  <si>
    <t>2.9.1</t>
  </si>
  <si>
    <r>
      <t xml:space="preserve">LIMPIADORES; TIPO: LAVANDINA, PRESENTACION: </t>
    </r>
    <r>
      <rPr>
        <b/>
        <sz val="11"/>
        <color theme="1"/>
        <rFont val="Calibri"/>
        <family val="2"/>
        <scheme val="minor"/>
      </rPr>
      <t>ENVASE X 1 L</t>
    </r>
  </si>
  <si>
    <t>UNIDAD</t>
  </si>
  <si>
    <t>Especificidades Item N° 1:</t>
  </si>
  <si>
    <r>
      <t>AGUA LAVANDINA CONCENTRADA DE 58 A 60 GRS. DE CLORO ACTIVO EN ENVASE DE 1 LITRO, ETIQUETADO.</t>
    </r>
    <r>
      <rPr>
        <sz val="8"/>
        <color rgb="FFFF0000"/>
        <rFont val="Calibri"/>
        <family val="2"/>
        <scheme val="minor"/>
      </rPr>
      <t xml:space="preserve"> </t>
    </r>
    <r>
      <rPr>
        <b/>
        <sz val="8"/>
        <rFont val="Calibri"/>
        <family val="2"/>
        <scheme val="minor"/>
      </rPr>
      <t>TIPO: X5</t>
    </r>
    <r>
      <rPr>
        <sz val="8"/>
        <color theme="1"/>
        <rFont val="Calibri"/>
        <family val="2"/>
        <scheme val="minor"/>
      </rPr>
      <t>.-</t>
    </r>
  </si>
  <si>
    <t>Especificidades Item N° 2:</t>
  </si>
  <si>
    <t>AGUA LAVANDINA CONCENTRADA X 55 GRS. DE CLORO ACTIVO EN ENVASE DE 1 LITRO, ETIQUETADO.</t>
  </si>
  <si>
    <t>2.9.1-564.23</t>
  </si>
  <si>
    <r>
      <t xml:space="preserve">BALDES DE PLASTICO; </t>
    </r>
    <r>
      <rPr>
        <b/>
        <sz val="11"/>
        <rFont val="Calibri"/>
        <family val="2"/>
        <scheme val="minor"/>
      </rPr>
      <t>CAPACIDAD: 12 L</t>
    </r>
    <r>
      <rPr>
        <sz val="11"/>
        <rFont val="Calibri"/>
        <family val="2"/>
        <scheme val="minor"/>
      </rPr>
      <t>, TIPO DE PLASTICO: POLIPROPILENO</t>
    </r>
  </si>
  <si>
    <t>Especificidades Item N° 3:</t>
  </si>
  <si>
    <t>BALDE PLÁSTICO CON MANIJA METÁLICA CAPACIDAD 12 LITROS, PRIMERA MARCA.-</t>
  </si>
  <si>
    <t>2.5.9-1687.22</t>
  </si>
  <si>
    <t>PINTURAS</t>
  </si>
  <si>
    <t>2.5.9</t>
  </si>
  <si>
    <r>
      <t xml:space="preserve">CERAS; TIPO: LIQUIDO, USO: UNIVERSAL, PRESENTACION: </t>
    </r>
    <r>
      <rPr>
        <b/>
        <sz val="11"/>
        <color theme="1"/>
        <rFont val="Calibri"/>
        <family val="2"/>
        <scheme val="minor"/>
      </rPr>
      <t>ENVASE X 5 L</t>
    </r>
  </si>
  <si>
    <t>ENVASE</t>
  </si>
  <si>
    <t>Especificidades Item N° 4:</t>
  </si>
  <si>
    <t>CERA PARA PISOS COLOR ROJO, ENVASE DE 5 LITROS, ETIQUETADO.-</t>
  </si>
  <si>
    <t>2.9.1-6951.185</t>
  </si>
  <si>
    <r>
      <t xml:space="preserve">LIMPIADORES; TIPO: HIPOCLORITO, PRESENTACION: </t>
    </r>
    <r>
      <rPr>
        <b/>
        <sz val="11"/>
        <color theme="1"/>
        <rFont val="Calibri"/>
        <family val="2"/>
        <scheme val="minor"/>
      </rPr>
      <t>ENVASE X 5 L</t>
    </r>
  </si>
  <si>
    <t>Especificidades Item N° 5:</t>
  </si>
  <si>
    <t>HIPOCLORITO DE SODIO 100 GRS. DE CLORO ACTIVO X LITRO EN ENVASE DE 5 LITROS ETIQUETADO, PRIMERA MARCA.-</t>
  </si>
  <si>
    <t>2.9.1-6951.290</t>
  </si>
  <si>
    <r>
      <t xml:space="preserve">LIMPIADORES; TIPO: DETERGENTE ENZIMATICO, PRESENTACION: </t>
    </r>
    <r>
      <rPr>
        <b/>
        <sz val="11"/>
        <color theme="1"/>
        <rFont val="Calibri"/>
        <family val="2"/>
        <scheme val="minor"/>
      </rPr>
      <t>ENVASE X 5 L</t>
    </r>
    <r>
      <rPr>
        <sz val="11"/>
        <color theme="1"/>
        <rFont val="Calibri"/>
        <family val="2"/>
        <scheme val="minor"/>
      </rPr>
      <t>, BIODEGRADABLE: SI</t>
    </r>
  </si>
  <si>
    <t>Especificidades Item N° 6:</t>
  </si>
  <si>
    <t>DETERGENTE BIODEGRADABLE CONCENTRADO 15% DE MATERIA ACTIVA EN ENVASE DE 5 LITROS, ETIQUETADO.-</t>
  </si>
  <si>
    <t>2.9.1-6951.157</t>
  </si>
  <si>
    <r>
      <t xml:space="preserve">LIMPIADORES; TIPO: DESODORANTE LIQUIDO , PRESENTACION: </t>
    </r>
    <r>
      <rPr>
        <b/>
        <sz val="11"/>
        <color theme="1"/>
        <rFont val="Calibri"/>
        <family val="2"/>
        <scheme val="minor"/>
      </rPr>
      <t>BIDON X 5 L</t>
    </r>
  </si>
  <si>
    <t>Especificidades Item N° 7:</t>
  </si>
  <si>
    <t>DESODORANTE PARA PISO EN ENVASE DE 5 LITROS. ETIQUETADO. FRAGANCIA LAVANDA. PRIMERA MARCA.-</t>
  </si>
  <si>
    <t>2.9.1-544.82</t>
  </si>
  <si>
    <r>
      <t xml:space="preserve">DESODORANTES DE AMBIENTE; FORMATO: AEROSOL, FRAGANCIA: ORIGINAL, PRESENTACION: </t>
    </r>
    <r>
      <rPr>
        <b/>
        <sz val="11"/>
        <color theme="1"/>
        <rFont val="Calibri"/>
        <family val="2"/>
        <scheme val="minor"/>
      </rPr>
      <t>ENVASE X 360 CM3</t>
    </r>
    <r>
      <rPr>
        <sz val="11"/>
        <color theme="1"/>
        <rFont val="Calibri"/>
        <family val="2"/>
        <scheme val="minor"/>
      </rPr>
      <t>, LIBRE DE CFC: SI</t>
    </r>
  </si>
  <si>
    <t>2.5.4-505.13</t>
  </si>
  <si>
    <t>2.5.4</t>
  </si>
  <si>
    <r>
      <t xml:space="preserve">DESINFECTANTES; CAPACIDAD: 5 L, USO P/CONTROL: BACTERIAS, PRINCIPIO ACTIVO: SAL AMONIO CUATERNARIO, PRESENTACION: </t>
    </r>
    <r>
      <rPr>
        <b/>
        <sz val="11"/>
        <color theme="1"/>
        <rFont val="Calibri"/>
        <family val="2"/>
        <scheme val="minor"/>
      </rPr>
      <t>ENVASE X 5 L</t>
    </r>
    <r>
      <rPr>
        <sz val="11"/>
        <color theme="1"/>
        <rFont val="Calibri"/>
        <family val="2"/>
        <scheme val="minor"/>
      </rPr>
      <t>, CONTROL: BACTERIAS</t>
    </r>
  </si>
  <si>
    <t>Especificidades Item N° 9:</t>
  </si>
  <si>
    <t>DESINFECTANTE DE SUPERFICIE, TRIPLE ACCION ANTIBACTERIANA EN ENVASE DE 5 LTS. PRIMERA MARCA.</t>
  </si>
  <si>
    <t>2.9.1-4784.54</t>
  </si>
  <si>
    <r>
      <t xml:space="preserve">LIMPIADORES MULTIUSO; COMPUESTOS BIODEGRADABLES: SI, PRESENTACION: </t>
    </r>
    <r>
      <rPr>
        <b/>
        <sz val="11"/>
        <color theme="1"/>
        <rFont val="Calibri"/>
        <family val="2"/>
        <scheme val="minor"/>
      </rPr>
      <t>ENVASE X 5 L</t>
    </r>
    <r>
      <rPr>
        <sz val="11"/>
        <color theme="1"/>
        <rFont val="Calibri"/>
        <family val="2"/>
        <scheme val="minor"/>
      </rPr>
      <t>, TIPO: SECUESTRANTE D/POLVO P/LAMPAZO</t>
    </r>
  </si>
  <si>
    <t>Especificidades Item N° 10:</t>
  </si>
  <si>
    <t>LIQUIDO SECUESTRANTE DE POLVO PARA PISO EN ENVASE DE 5 LITROS. ETIQUETADO. PRIMERA MARCA.</t>
  </si>
  <si>
    <t>2.9.1-6960.20</t>
  </si>
  <si>
    <r>
      <t xml:space="preserve">ELEM. LIMPIEZA P/INDUMENTARIA; TIPO: JABON EN POLVO, PRESENTACION: </t>
    </r>
    <r>
      <rPr>
        <b/>
        <sz val="11"/>
        <color theme="1"/>
        <rFont val="Calibri"/>
        <family val="2"/>
        <scheme val="minor"/>
      </rPr>
      <t>ENVASE X 3 Kg</t>
    </r>
  </si>
  <si>
    <t>PAQUETE</t>
  </si>
  <si>
    <t>Especificidades Item N° 11:</t>
  </si>
  <si>
    <t>JABON EN POLVO BAJA ESPUMA PARA LAVADORA INDUSTRIAL, EN PAQUETE DE 3 KG. SIN SUAVIZANTE.-</t>
  </si>
  <si>
    <t>2.9.1-761.7</t>
  </si>
  <si>
    <r>
      <t xml:space="preserve">GUANTES P/LIMPIEZA; MATERIAL: LATEX C/FELPA INTERIOR, TAMAÑO: </t>
    </r>
    <r>
      <rPr>
        <b/>
        <sz val="11"/>
        <color theme="1"/>
        <rFont val="Calibri"/>
        <family val="2"/>
        <scheme val="minor"/>
      </rPr>
      <t>CHICO</t>
    </r>
  </si>
  <si>
    <t>PAR</t>
  </si>
  <si>
    <t>Especificidades Item N° 12:</t>
  </si>
  <si>
    <t>GUANTE DE LATEX AFELPADO POR DENTRO DE USO DOMESTICO, N°7.-</t>
  </si>
  <si>
    <t>2.9.1-761.6</t>
  </si>
  <si>
    <r>
      <t>GUANTES P/LIMPIEZA; TAMAÑO:</t>
    </r>
    <r>
      <rPr>
        <b/>
        <sz val="11"/>
        <color theme="1"/>
        <rFont val="Calibri"/>
        <family val="2"/>
        <scheme val="minor"/>
      </rPr>
      <t xml:space="preserve"> MEDIANO</t>
    </r>
    <r>
      <rPr>
        <sz val="11"/>
        <color theme="1"/>
        <rFont val="Calibri"/>
        <family val="2"/>
        <scheme val="minor"/>
      </rPr>
      <t>, MATERIAL: LATEX C/FELPA INTERIOR</t>
    </r>
  </si>
  <si>
    <t>Especificidades Item N° 13:</t>
  </si>
  <si>
    <t>GUANTE DE LÁTEX AFELPADO POR DENTRO DE USO DOMÉSTICO, N°8.-</t>
  </si>
  <si>
    <t>2.9.1-761.5</t>
  </si>
  <si>
    <r>
      <t xml:space="preserve">GUANTES P/LIMPIEZA; TAMAÑO: </t>
    </r>
    <r>
      <rPr>
        <b/>
        <sz val="11"/>
        <color theme="1"/>
        <rFont val="Calibri"/>
        <family val="2"/>
        <scheme val="minor"/>
      </rPr>
      <t>GRANDE</t>
    </r>
    <r>
      <rPr>
        <sz val="11"/>
        <color theme="1"/>
        <rFont val="Calibri"/>
        <family val="2"/>
        <scheme val="minor"/>
      </rPr>
      <t>, MATERIAL: LATEX C/FELPA INTERIOR</t>
    </r>
  </si>
  <si>
    <t>Especificidades Item N° 14:</t>
  </si>
  <si>
    <t>GUANTE DE LÁTEX AFELPADO POR DENTRO DE USO DOMÉSTICO, N°9.-</t>
  </si>
  <si>
    <t>2.9.1-6952.22</t>
  </si>
  <si>
    <t>CEPILLOS; TIPO: ESCOBA REFORZADA, MATERIAL: PAJA</t>
  </si>
  <si>
    <t>Especificidades Item N° 15:</t>
  </si>
  <si>
    <t>ESCOBA DE PAJA 5 HILOS, TIPO GALPONERA.</t>
  </si>
  <si>
    <t>2.9.1-6952.29</t>
  </si>
  <si>
    <t>CEPILLOS; TIPO: ESCOBILLA LIMPIA INODORO, MATERIAL: PLASTICO</t>
  </si>
  <si>
    <t>Especificidades Item N° 16:</t>
  </si>
  <si>
    <t>ESCOBILLA LIMPIA INODOROS. SOLA</t>
  </si>
  <si>
    <t>2.9.1-1083.7</t>
  </si>
  <si>
    <t>ESPONJA DE ACERO; CUERPO: ACERO INOXIDABLE, PESO: 20 GR, MATERIAL DEL CUERPO: ACERO INOXIDABLE, MATERIAL: ACERO INOXIDABLE</t>
  </si>
  <si>
    <t>Especificidades Item N° 17:</t>
  </si>
  <si>
    <t>ESPONJA DE ACERO - ENVOLTORIO INDIVIDUAL.-</t>
  </si>
  <si>
    <t>2.9.1-1164.36</t>
  </si>
  <si>
    <t>ESPONJAS; MATERIAL: FIBRA VERDE, USO: COCINA, ADITAMENTO: SIN, FORMA: RECTANGULAR, LARGO X ANCHO X ESP: 22 X 16 mm</t>
  </si>
  <si>
    <t>2.9.1-6960.27</t>
  </si>
  <si>
    <r>
      <t xml:space="preserve">ELEM. LIMPIEZA P/INDUMENTARIA; TIPO: JABON EN PAN, PRESENTACION: </t>
    </r>
    <r>
      <rPr>
        <b/>
        <sz val="11"/>
        <color theme="1"/>
        <rFont val="Calibri"/>
        <family val="2"/>
        <scheme val="minor"/>
      </rPr>
      <t>200 GR</t>
    </r>
  </si>
  <si>
    <t>Especificidades Item N° 19:</t>
  </si>
  <si>
    <t>JABON NEUTRO BLANCO EN PAN POR 200 GRS.-</t>
  </si>
  <si>
    <t>2.9.4-719.28</t>
  </si>
  <si>
    <t>BAZAR Y MENAJE</t>
  </si>
  <si>
    <t>2.9.4</t>
  </si>
  <si>
    <r>
      <t>JARRAS; MATERIAL: PLASTICO, CAPACIDAD:</t>
    </r>
    <r>
      <rPr>
        <b/>
        <sz val="11"/>
        <color theme="1"/>
        <rFont val="Calibri"/>
        <family val="2"/>
        <scheme val="minor"/>
      </rPr>
      <t xml:space="preserve"> 1 L</t>
    </r>
  </si>
  <si>
    <t>2.9.1-6951.116</t>
  </si>
  <si>
    <r>
      <t xml:space="preserve">LIMPIADORES; TIPO: LIMPIAVIDRIOS, PRESENTACION: </t>
    </r>
    <r>
      <rPr>
        <b/>
        <sz val="11"/>
        <color theme="1"/>
        <rFont val="Calibri"/>
        <family val="2"/>
        <scheme val="minor"/>
      </rPr>
      <t>ENVASE X 5 L</t>
    </r>
  </si>
  <si>
    <t>Especificidades Item N° 21:</t>
  </si>
  <si>
    <t>LIQUIDO LIMPIA VIDRIOS, EN ENVASE DE 5 LITROS. ETIQUETADO.-</t>
  </si>
  <si>
    <t>2.9.1-6951.80</t>
  </si>
  <si>
    <r>
      <t xml:space="preserve">LIMPIADORES; TIPO: QUITASARRO, PRESENTACION: </t>
    </r>
    <r>
      <rPr>
        <b/>
        <sz val="11"/>
        <color theme="1"/>
        <rFont val="Calibri"/>
        <family val="2"/>
        <scheme val="minor"/>
      </rPr>
      <t>ENVASE X 500 CM3</t>
    </r>
  </si>
  <si>
    <t>2.1.5-393.13</t>
  </si>
  <si>
    <t>FERRETERIA</t>
  </si>
  <si>
    <t>2.1.5</t>
  </si>
  <si>
    <t>CABOS DE MADERA; APLICACION: P/ESCOBA, FORMA: RECTO</t>
  </si>
  <si>
    <t>Especificidades Item N° 23:</t>
  </si>
  <si>
    <t>PALO PARA SECADOR DE 1,60 METROS DE LONGITUD SIN FORRAR.</t>
  </si>
  <si>
    <t>2.9.1-6951.174</t>
  </si>
  <si>
    <r>
      <t xml:space="preserve">LIMPIADORES; TIPO: POLVO LIMPIADOR, PRESENTACION: </t>
    </r>
    <r>
      <rPr>
        <b/>
        <sz val="11"/>
        <color theme="1"/>
        <rFont val="Calibri"/>
        <family val="2"/>
        <scheme val="minor"/>
      </rPr>
      <t>ENVASE X 400 GR</t>
    </r>
  </si>
  <si>
    <t>Especificidades Item N° 24:</t>
  </si>
  <si>
    <t>POLVO LIMPIADOR DESENGRASANTE EN ENVASE DE 400 GRS., PRIMERA MARCA.</t>
  </si>
  <si>
    <t>2.7.5-1491.5</t>
  </si>
  <si>
    <t>HERRAMIENTAS</t>
  </si>
  <si>
    <t>2.7.5</t>
  </si>
  <si>
    <r>
      <t xml:space="preserve">PULVERIZADORES; MATERIAL: PLASTICO REFORZADO, CAPACIDAD: </t>
    </r>
    <r>
      <rPr>
        <b/>
        <sz val="11"/>
        <color theme="1"/>
        <rFont val="Calibri"/>
        <family val="2"/>
        <scheme val="minor"/>
      </rPr>
      <t>1000 CM3</t>
    </r>
    <r>
      <rPr>
        <sz val="11"/>
        <color theme="1"/>
        <rFont val="Calibri"/>
        <family val="2"/>
        <scheme val="minor"/>
      </rPr>
      <t>, TIPO: MANUAL</t>
    </r>
  </si>
  <si>
    <t>2.9.1-683.5</t>
  </si>
  <si>
    <t>SECADORES DE GOMA; LARGO: 40 Cm, COLOR: NEGRO</t>
  </si>
  <si>
    <t>Especificidades Item N° 26:</t>
  </si>
  <si>
    <t>SECADOR DE GOMA REFORZADO CON ALMA DE HIERRO DE 40 CM. DE LONGITUD.-</t>
  </si>
  <si>
    <t>2.9.1-683.4</t>
  </si>
  <si>
    <t>SECADORES DE GOMA; LARGO: 80 Cm, COLOR: ROJO</t>
  </si>
  <si>
    <t>Especificidades Item N° 27:</t>
  </si>
  <si>
    <t>SECADOR DE GOMA COLOR ROJO REFORZADO CON ALMA DE HIERRO DE 80 CM. DE LONGITUD.-</t>
  </si>
  <si>
    <t>2.9.1-6960.1</t>
  </si>
  <si>
    <r>
      <t xml:space="preserve">ELEM. LIMPIEZA P/INDUMENTARIA; TIPO: SUAVIZANTE P/ROPA, PRESENTACION: </t>
    </r>
    <r>
      <rPr>
        <b/>
        <sz val="11"/>
        <color theme="1"/>
        <rFont val="Calibri"/>
        <family val="2"/>
        <scheme val="minor"/>
      </rPr>
      <t>ENVASE X 5 L</t>
    </r>
  </si>
  <si>
    <t>Especificidades Item N° 28:</t>
  </si>
  <si>
    <t>SUAVIZANTE PERFUMADO PARA LA ROPA EN ENVASE DE 5 LITROS.-</t>
  </si>
  <si>
    <t>2.9.1-713.18</t>
  </si>
  <si>
    <t>TRAPOS DE PISO; DIMENSION: 48 X 60 Cm</t>
  </si>
  <si>
    <t>Especificidades Item N° 29:</t>
  </si>
  <si>
    <t>TRAPO DE PISO DE 48 X 60 CM. 90% DE ALGODÓN, PRIMERA MARCA.-</t>
  </si>
  <si>
    <t>2.9.1-678.7</t>
  </si>
  <si>
    <t>TRAPOS REJILLA; DIMENSION: 40 X 50 Cm, COLOR: SIN VALOR, MATERIAL: ALGODÓN</t>
  </si>
  <si>
    <t>Especificidades Item N° 30:</t>
  </si>
  <si>
    <t>TRAPO REJILLA SEMIPESADA DE 40 X 50 CM. PRIMERA MARCA.-</t>
  </si>
  <si>
    <t>2.9.1-714.5</t>
  </si>
  <si>
    <t>FRANELAS; DIMENSION: 40 X 50 Cm</t>
  </si>
  <si>
    <t>2.9.1-2030.1</t>
  </si>
  <si>
    <r>
      <t xml:space="preserve">LANAS DE ACERO; PRESENTACION: </t>
    </r>
    <r>
      <rPr>
        <b/>
        <sz val="11"/>
        <rFont val="Calibri"/>
        <family val="2"/>
        <scheme val="minor"/>
      </rPr>
      <t>PAQUETE</t>
    </r>
    <r>
      <rPr>
        <sz val="11"/>
        <color rgb="FFFF0000"/>
        <rFont val="Calibri"/>
        <family val="2"/>
        <scheme val="minor"/>
      </rPr>
      <t>,</t>
    </r>
    <r>
      <rPr>
        <sz val="11"/>
        <color theme="1"/>
        <rFont val="Calibri"/>
        <family val="2"/>
        <scheme val="minor"/>
      </rPr>
      <t xml:space="preserve"> CONTENIDO: MADEJA</t>
    </r>
  </si>
  <si>
    <t>Especificidades Item N° 32:</t>
  </si>
  <si>
    <t>LANA DE ACERO EN ROLLITO EN PAQUETE DE 10 UNID. POR 50 GRS.-</t>
  </si>
  <si>
    <t>2.3.4-786.51</t>
  </si>
  <si>
    <t>2.3.4</t>
  </si>
  <si>
    <r>
      <t xml:space="preserve">PAPEL HIGIENICO; PRESENTACION: </t>
    </r>
    <r>
      <rPr>
        <b/>
        <sz val="11"/>
        <color theme="1"/>
        <rFont val="Calibri"/>
        <family val="2"/>
        <scheme val="minor"/>
      </rPr>
      <t>PAQUETE X 4 UN</t>
    </r>
    <r>
      <rPr>
        <sz val="11"/>
        <color theme="1"/>
        <rFont val="Calibri"/>
        <family val="2"/>
        <scheme val="minor"/>
      </rPr>
      <t>, TIPO: PRECORTADO, HOJA: SIMPLE, ANCHO: 10 Cm, LARGO: 30 M, MATERIAL HOJA: SIMPLE, TIPO DE HOJA: SIMPLE</t>
    </r>
  </si>
  <si>
    <t>PACK</t>
  </si>
  <si>
    <t>2.9.1-646.18</t>
  </si>
  <si>
    <t>2.5.8</t>
  </si>
  <si>
    <t>BOLSAS DE RESIDUOS; COLOR: OBSCURO, ESPESOR: 40 Mn, DIMENSION: 45 X 60 Cm, PRESENTACION: SIN VALOR</t>
  </si>
  <si>
    <t>Especificidades Item N° 34:</t>
  </si>
  <si>
    <t>BOLSA CON FUELLE PARA RESIDUOS DE 60 X 45 CM. DE 40 MICRONES, COLOR NEGRO DE BAJA DENSIDAD. NO DE ARRASTRE.-</t>
  </si>
  <si>
    <t>2.9.1-646.104</t>
  </si>
  <si>
    <r>
      <t xml:space="preserve">BOLSAS DE RESIDUOS; DIMENSION: 60 X 90 Cm, PRESENTACION: </t>
    </r>
    <r>
      <rPr>
        <b/>
        <sz val="11"/>
        <rFont val="Calibri"/>
        <family val="2"/>
        <scheme val="minor"/>
      </rPr>
      <t>ENVASE X 100 UN</t>
    </r>
    <r>
      <rPr>
        <sz val="11"/>
        <rFont val="Calibri"/>
        <family val="2"/>
        <scheme val="minor"/>
      </rPr>
      <t>, ESPESOR: 50 Mn</t>
    </r>
  </si>
  <si>
    <t>Especificidades Item N° 35:</t>
  </si>
  <si>
    <t>BOLSA DE CONSORCIO CON FUELLE PARA RESIDUOS DE 90 X 60 CM DE 50 MICRONES, COLOR NEGRO DE BAJA DENSIDAD EN PAQUETES DE 100 UNIDADES. NO DE ARRASTRE.-</t>
  </si>
  <si>
    <t>Especificidades Item N° 36:</t>
  </si>
  <si>
    <t>BOLSA DE CONSORCIO CON FUELLE PARA RESIDUOS DE 90 X 60 CM. DE 50 MICRONES, COLOR VERDE DE BAJA DENSIDAD EN PAQUETES DE 100 UNIDADES. NO DE ARRASTRE.-</t>
  </si>
  <si>
    <t>2.9.1-646.21</t>
  </si>
  <si>
    <t>BOLSAS DE RESIDUOS; ESPESOR: 60 Mn, COLOR: TRANSPARENTE, DIMENSION: 45 X 60 Cm, PRESENTACION: SIN VALOR</t>
  </si>
  <si>
    <t>Especificidades Item N° 37:</t>
  </si>
  <si>
    <t>BOLSA CRISTAL CON FUELLE PARA RESIDUOS DE 45 X 60 CM. DE 60 MICRONES, EN PAQUETES DE 100 UNIDADES, BAJA DENSIDAD, MATERIAL VIRGEN, NO DE ARRASTRE.-</t>
  </si>
  <si>
    <t>2.5.8-5590.41</t>
  </si>
  <si>
    <t>LIBRERIA,PAP. Y UTILES OFICINA</t>
  </si>
  <si>
    <t>FILMS DE POLIETILENO; ESPESOR: 100 Mn, ANCHO: 2 M, PRESENTACION: ROLLO X 100 M, USO: ALIMENTARIO</t>
  </si>
  <si>
    <t>ROLLO</t>
  </si>
  <si>
    <t>Especificidades Item N° 38:</t>
  </si>
  <si>
    <t>NYLON CRISTAL DE 1 MTS DOBLE ANCHO DE 100 MICRONES. EN ROLLO DE 100 MTS DE LONGITUD.-</t>
  </si>
  <si>
    <t>2.5.8-5590.3</t>
  </si>
  <si>
    <t>FILMS DE POLIETILENO; ESPESOR: 70 Mn, ANCHO: SIN VALOR, PRESENTACION: POR KILOGRAMO, USO: SIN VALOR</t>
  </si>
  <si>
    <t>KG</t>
  </si>
  <si>
    <t>Especificidades Item N° 39:</t>
  </si>
  <si>
    <t>FILM DE POLIETILENO DE 25 CM DE ANCHO X 70 MICRONES DE ESPESOR.-</t>
  </si>
  <si>
    <t>Especificidades Item N° 40:</t>
  </si>
  <si>
    <t>FILM DE POLIETILENO DE 30 CM DE ANCHO X 70 MICRONES DE ESPESOR.-</t>
  </si>
  <si>
    <t>Especificidades Item N° 41:</t>
  </si>
  <si>
    <t>FILM DE POLIETILENO DE 35 CM DE ANCHO X 70 MICRONES DE ESPESOR.-</t>
  </si>
  <si>
    <t>Especificidades Item N° 42:</t>
  </si>
  <si>
    <t>ROLLO DE POLIETILENO DE 40 CM DE ANCHO X 70 MICRONES DE ESPESOR.-</t>
  </si>
  <si>
    <t>2.9.5-4558.7</t>
  </si>
  <si>
    <t>PROD. MEDICO/FARMACEUTICOS/LAB</t>
  </si>
  <si>
    <r>
      <t xml:space="preserve">BOLSAS DE RESIDUOS </t>
    </r>
    <r>
      <rPr>
        <b/>
        <u/>
        <sz val="11"/>
        <rFont val="Calibri"/>
        <family val="2"/>
        <scheme val="minor"/>
      </rPr>
      <t>PATOLOGICOS</t>
    </r>
    <r>
      <rPr>
        <sz val="11"/>
        <rFont val="Calibri"/>
        <family val="2"/>
        <scheme val="minor"/>
      </rPr>
      <t>; COLOR: ROJO, MEDIDA: 50 X 70 Cm, ESPESOR: 120 Mn, TIPO: PARA INCINERACION</t>
    </r>
  </si>
  <si>
    <t>2.9.1-6956.73</t>
  </si>
  <si>
    <r>
      <t xml:space="preserve">ARTICULOS DE TOCADOR; TIPO: JABON LIQUIDO, PRESENTACION: </t>
    </r>
    <r>
      <rPr>
        <b/>
        <sz val="11"/>
        <color theme="1"/>
        <rFont val="Calibri"/>
        <family val="2"/>
        <scheme val="minor"/>
      </rPr>
      <t>ENVASE X 5 L</t>
    </r>
  </si>
  <si>
    <t>2.3.4-783.49</t>
  </si>
  <si>
    <t>TOALLAS DE PAPEL; MATERIAL: PAPEL TISUE, GRAMAJE: 42 GR/M2, DIMENSION: 0,19 X 300 M, PRESENTACION: ROLLO</t>
  </si>
  <si>
    <t>2.3.4-783.90</t>
  </si>
  <si>
    <t>PRODUCTOS DE PAPEL Y CARTON</t>
  </si>
  <si>
    <t>TOALLAS DE PAPEL; MATERIAL: PAPEL ABSORBENTE, GRAMAJE: 35 GR, DIMENSION: 20 X 24 Cm, PRESENTACION: ENVASE X 2500 HOJAS</t>
  </si>
  <si>
    <t>CAJA</t>
  </si>
  <si>
    <t>Especificidades Item N° 46:</t>
  </si>
  <si>
    <t>TOALLAS INTERCALADAS DE PAPEL DE 20 X 24 CM. COLOR BLANCA. CAJA X 10 PAQUETES DE 250 UNIDADES.-</t>
  </si>
  <si>
    <r>
      <rPr>
        <b/>
        <u/>
        <sz val="11"/>
        <color theme="1"/>
        <rFont val="Calibri"/>
        <family val="2"/>
        <scheme val="minor"/>
      </rPr>
      <t>Plazo de entrega:</t>
    </r>
    <r>
      <rPr>
        <sz val="11"/>
        <color theme="1"/>
        <rFont val="Calibri"/>
        <family val="2"/>
        <scheme val="minor"/>
      </rPr>
      <t xml:space="preserve"> 10 dias habiles</t>
    </r>
  </si>
  <si>
    <r>
      <rPr>
        <b/>
        <u/>
        <sz val="11"/>
        <color theme="1"/>
        <rFont val="Calibri"/>
        <family val="2"/>
        <scheme val="minor"/>
      </rPr>
      <t>Lugar de entrega:</t>
    </r>
    <r>
      <rPr>
        <sz val="11"/>
        <color theme="1"/>
        <rFont val="Calibri"/>
        <family val="2"/>
        <scheme val="minor"/>
      </rPr>
      <t xml:space="preserve"> Deposito Central - Avda. Illia y Avda. Mariano Moreno </t>
    </r>
  </si>
  <si>
    <t>Control IPP</t>
  </si>
  <si>
    <r>
      <rPr>
        <b/>
        <u/>
        <sz val="11"/>
        <color theme="1"/>
        <rFont val="Calibri"/>
        <family val="2"/>
        <scheme val="minor"/>
      </rPr>
      <t>Mantenimiento de Oferta:</t>
    </r>
    <r>
      <rPr>
        <sz val="11"/>
        <color theme="1"/>
        <rFont val="Calibri"/>
        <family val="2"/>
        <scheme val="minor"/>
      </rPr>
      <t xml:space="preserve"> 45 dias habiles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</si>
</sst>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8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"/>
      <name val="Calibri"/>
      <family val="2"/>
      <scheme val="minor"/>
    </font>
    <font>
      <u/>
      <sz val="8"/>
      <name val="Calibri"/>
      <family val="2"/>
      <scheme val="minor"/>
    </font>
    <font>
      <b/>
      <sz val="9"/>
      <name val="Calibri"/>
      <family val="2"/>
      <scheme val="minor"/>
    </font>
    <font>
      <b/>
      <u/>
      <sz val="11"/>
      <name val="Calibri"/>
      <family val="2"/>
      <scheme val="minor"/>
    </font>
    <font>
      <u/>
      <sz val="9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9">
    <xf numFmtId="0" fontId="0" fillId="0" borderId="0" xfId="0"/>
    <xf numFmtId="0" fontId="4" fillId="0" borderId="0" xfId="0" applyFont="1" applyAlignment="1">
      <alignment horizontal="center" vertical="center"/>
    </xf>
    <xf numFmtId="0" fontId="0" fillId="0" borderId="0" xfId="0" applyAlignment="1">
      <alignment wrapText="1"/>
    </xf>
    <xf numFmtId="0" fontId="5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7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vertical="center" wrapText="1"/>
    </xf>
    <xf numFmtId="3" fontId="0" fillId="0" borderId="12" xfId="0" applyNumberFormat="1" applyBorder="1" applyAlignment="1">
      <alignment horizontal="center" vertical="center"/>
    </xf>
    <xf numFmtId="44" fontId="0" fillId="0" borderId="9" xfId="1" applyFont="1" applyBorder="1" applyAlignment="1">
      <alignment horizontal="center" vertical="center"/>
    </xf>
    <xf numFmtId="44" fontId="0" fillId="0" borderId="10" xfId="0" applyNumberFormat="1" applyBorder="1" applyAlignment="1">
      <alignment vertical="center"/>
    </xf>
    <xf numFmtId="0" fontId="8" fillId="2" borderId="13" xfId="0" applyFont="1" applyFill="1" applyBorder="1" applyAlignment="1">
      <alignment vertical="center" wrapText="1"/>
    </xf>
    <xf numFmtId="0" fontId="9" fillId="0" borderId="14" xfId="0" applyFont="1" applyBorder="1" applyAlignment="1">
      <alignment wrapText="1"/>
    </xf>
    <xf numFmtId="0" fontId="0" fillId="2" borderId="15" xfId="0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7" fillId="0" borderId="17" xfId="0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vertical="center" wrapText="1"/>
    </xf>
    <xf numFmtId="3" fontId="0" fillId="0" borderId="13" xfId="0" applyNumberFormat="1" applyBorder="1" applyAlignment="1">
      <alignment horizontal="center" vertical="center"/>
    </xf>
    <xf numFmtId="44" fontId="0" fillId="0" borderId="16" xfId="1" applyFont="1" applyBorder="1" applyAlignment="1">
      <alignment horizontal="center" vertical="center"/>
    </xf>
    <xf numFmtId="44" fontId="0" fillId="0" borderId="17" xfId="0" applyNumberFormat="1" applyBorder="1" applyAlignment="1">
      <alignment vertical="center"/>
    </xf>
    <xf numFmtId="0" fontId="12" fillId="2" borderId="15" xfId="0" applyFont="1" applyFill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12" fillId="0" borderId="18" xfId="0" applyFont="1" applyBorder="1" applyAlignment="1">
      <alignment vertical="center" wrapText="1"/>
    </xf>
    <xf numFmtId="0" fontId="7" fillId="3" borderId="17" xfId="0" applyFont="1" applyFill="1" applyBorder="1" applyAlignment="1">
      <alignment horizontal="center" vertical="center" wrapText="1"/>
    </xf>
    <xf numFmtId="0" fontId="0" fillId="4" borderId="17" xfId="0" applyFill="1" applyBorder="1" applyAlignment="1">
      <alignment horizontal="center" vertical="center"/>
    </xf>
    <xf numFmtId="44" fontId="0" fillId="4" borderId="17" xfId="0" applyNumberFormat="1" applyFill="1" applyBorder="1" applyAlignment="1">
      <alignment vertical="center"/>
    </xf>
    <xf numFmtId="0" fontId="0" fillId="0" borderId="15" xfId="0" applyBorder="1" applyAlignment="1">
      <alignment horizontal="center" vertical="center"/>
    </xf>
    <xf numFmtId="0" fontId="14" fillId="0" borderId="0" xfId="0" applyFont="1"/>
    <xf numFmtId="0" fontId="0" fillId="5" borderId="17" xfId="0" applyFill="1" applyBorder="1" applyAlignment="1">
      <alignment horizontal="center" vertical="center"/>
    </xf>
    <xf numFmtId="44" fontId="0" fillId="5" borderId="17" xfId="0" applyNumberFormat="1" applyFill="1" applyBorder="1" applyAlignment="1">
      <alignment vertical="center"/>
    </xf>
    <xf numFmtId="0" fontId="9" fillId="0" borderId="14" xfId="0" applyFont="1" applyBorder="1" applyAlignment="1">
      <alignment vertical="center" wrapText="1"/>
    </xf>
    <xf numFmtId="0" fontId="0" fillId="6" borderId="17" xfId="0" applyFill="1" applyBorder="1" applyAlignment="1">
      <alignment horizontal="center" vertical="center"/>
    </xf>
    <xf numFmtId="44" fontId="0" fillId="6" borderId="17" xfId="0" applyNumberFormat="1" applyFill="1" applyBorder="1" applyAlignment="1">
      <alignment vertical="center"/>
    </xf>
    <xf numFmtId="0" fontId="0" fillId="7" borderId="17" xfId="0" applyFill="1" applyBorder="1" applyAlignment="1">
      <alignment horizontal="center" vertical="center"/>
    </xf>
    <xf numFmtId="44" fontId="0" fillId="7" borderId="17" xfId="0" applyNumberFormat="1" applyFill="1" applyBorder="1" applyAlignment="1">
      <alignment vertical="center"/>
    </xf>
    <xf numFmtId="0" fontId="8" fillId="2" borderId="13" xfId="0" applyFont="1" applyFill="1" applyBorder="1" applyAlignment="1">
      <alignment wrapText="1"/>
    </xf>
    <xf numFmtId="0" fontId="0" fillId="3" borderId="17" xfId="0" applyFill="1" applyBorder="1" applyAlignment="1">
      <alignment horizontal="center" vertical="center"/>
    </xf>
    <xf numFmtId="44" fontId="0" fillId="3" borderId="17" xfId="0" applyNumberFormat="1" applyFill="1" applyBorder="1" applyAlignment="1">
      <alignment vertical="center"/>
    </xf>
    <xf numFmtId="0" fontId="15" fillId="2" borderId="13" xfId="0" applyFont="1" applyFill="1" applyBorder="1" applyAlignment="1">
      <alignment vertical="center" wrapText="1"/>
    </xf>
    <xf numFmtId="0" fontId="0" fillId="8" borderId="17" xfId="0" applyFill="1" applyBorder="1" applyAlignment="1">
      <alignment horizontal="center" vertical="center"/>
    </xf>
    <xf numFmtId="44" fontId="0" fillId="8" borderId="17" xfId="0" applyNumberFormat="1" applyFill="1" applyBorder="1" applyAlignment="1">
      <alignment vertical="center"/>
    </xf>
    <xf numFmtId="0" fontId="0" fillId="9" borderId="17" xfId="0" applyFill="1" applyBorder="1" applyAlignment="1">
      <alignment horizontal="center" vertical="center"/>
    </xf>
    <xf numFmtId="44" fontId="0" fillId="9" borderId="17" xfId="0" applyNumberFormat="1" applyFill="1" applyBorder="1" applyAlignment="1">
      <alignment vertical="center"/>
    </xf>
    <xf numFmtId="0" fontId="12" fillId="0" borderId="15" xfId="0" applyFont="1" applyBorder="1" applyAlignment="1">
      <alignment horizontal="center" vertical="center"/>
    </xf>
    <xf numFmtId="0" fontId="16" fillId="4" borderId="17" xfId="0" applyFont="1" applyFill="1" applyBorder="1" applyAlignment="1">
      <alignment horizontal="center" vertical="center" wrapText="1"/>
    </xf>
    <xf numFmtId="44" fontId="12" fillId="9" borderId="17" xfId="0" applyNumberFormat="1" applyFont="1" applyFill="1" applyBorder="1" applyAlignment="1">
      <alignment vertical="center"/>
    </xf>
    <xf numFmtId="0" fontId="18" fillId="0" borderId="0" xfId="0" applyFont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7" fillId="3" borderId="21" xfId="0" applyFont="1" applyFill="1" applyBorder="1" applyAlignment="1">
      <alignment horizontal="center" vertical="center" wrapText="1"/>
    </xf>
    <xf numFmtId="0" fontId="0" fillId="8" borderId="21" xfId="0" applyFill="1" applyBorder="1" applyAlignment="1">
      <alignment horizontal="center" vertical="center"/>
    </xf>
    <xf numFmtId="0" fontId="0" fillId="0" borderId="22" xfId="0" applyBorder="1" applyAlignment="1">
      <alignment vertical="center" wrapText="1"/>
    </xf>
    <xf numFmtId="0" fontId="0" fillId="0" borderId="21" xfId="0" applyBorder="1" applyAlignment="1">
      <alignment horizontal="center" vertical="center"/>
    </xf>
    <xf numFmtId="3" fontId="0" fillId="0" borderId="23" xfId="0" applyNumberFormat="1" applyBorder="1" applyAlignment="1">
      <alignment horizontal="center" vertical="center"/>
    </xf>
    <xf numFmtId="44" fontId="0" fillId="0" borderId="20" xfId="1" applyFont="1" applyBorder="1" applyAlignment="1">
      <alignment horizontal="center" vertical="center"/>
    </xf>
    <xf numFmtId="44" fontId="0" fillId="8" borderId="21" xfId="0" applyNumberFormat="1" applyFill="1" applyBorder="1" applyAlignment="1">
      <alignment vertical="center"/>
    </xf>
    <xf numFmtId="44" fontId="3" fillId="10" borderId="24" xfId="0" applyNumberFormat="1" applyFont="1" applyFill="1" applyBorder="1"/>
    <xf numFmtId="0" fontId="3" fillId="7" borderId="14" xfId="0" applyFont="1" applyFill="1" applyBorder="1" applyAlignment="1">
      <alignment horizontal="center" vertical="center"/>
    </xf>
    <xf numFmtId="44" fontId="0" fillId="0" borderId="0" xfId="0" applyNumberFormat="1"/>
    <xf numFmtId="0" fontId="3" fillId="8" borderId="14" xfId="0" applyFont="1" applyFill="1" applyBorder="1" applyAlignment="1">
      <alignment horizontal="center" vertical="center"/>
    </xf>
    <xf numFmtId="0" fontId="3" fillId="5" borderId="14" xfId="0" applyFont="1" applyFill="1" applyBorder="1" applyAlignment="1">
      <alignment horizontal="center" vertical="center"/>
    </xf>
    <xf numFmtId="0" fontId="3" fillId="9" borderId="14" xfId="0" applyFont="1" applyFill="1" applyBorder="1" applyAlignment="1">
      <alignment horizontal="center" vertical="center"/>
    </xf>
    <xf numFmtId="0" fontId="3" fillId="4" borderId="14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6" borderId="14" xfId="0" applyFont="1" applyFill="1" applyBorder="1" applyAlignment="1">
      <alignment horizontal="center" vertical="center"/>
    </xf>
    <xf numFmtId="44" fontId="0" fillId="0" borderId="25" xfId="0" applyNumberFormat="1" applyBorder="1"/>
    <xf numFmtId="44" fontId="3" fillId="0" borderId="0" xfId="1" applyFont="1"/>
    <xf numFmtId="0" fontId="0" fillId="2" borderId="14" xfId="0" applyFill="1" applyBorder="1" applyAlignment="1">
      <alignment horizontal="left"/>
    </xf>
    <xf numFmtId="0" fontId="0" fillId="2" borderId="14" xfId="0" applyFill="1" applyBorder="1" applyAlignment="1">
      <alignment horizontal="left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4"/>
  <sheetViews>
    <sheetView tabSelected="1" workbookViewId="0">
      <selection activeCell="A2" sqref="A2"/>
    </sheetView>
  </sheetViews>
  <sheetFormatPr baseColWidth="10" defaultRowHeight="15" x14ac:dyDescent="0.25"/>
  <cols>
    <col min="1" max="1" width="2.85546875" bestFit="1" customWidth="1"/>
    <col min="2" max="2" width="13.5703125" customWidth="1"/>
    <col min="3" max="3" width="12.42578125" customWidth="1"/>
    <col min="4" max="4" width="9" customWidth="1"/>
    <col min="5" max="5" width="70.42578125" customWidth="1"/>
    <col min="8" max="8" width="12.28515625" customWidth="1"/>
    <col min="9" max="9" width="14.5703125" customWidth="1"/>
    <col min="10" max="10" width="15.5703125" customWidth="1"/>
    <col min="11" max="11" width="29.140625" customWidth="1"/>
  </cols>
  <sheetData>
    <row r="1" spans="1:11" x14ac:dyDescent="0.25">
      <c r="B1" s="1" t="s">
        <v>0</v>
      </c>
      <c r="C1" t="s">
        <v>1</v>
      </c>
      <c r="E1" s="2"/>
    </row>
    <row r="2" spans="1:11" ht="18.75" x14ac:dyDescent="0.3">
      <c r="B2" s="3" t="s">
        <v>2</v>
      </c>
      <c r="E2" s="2"/>
    </row>
    <row r="3" spans="1:11" ht="15.75" thickBot="1" x14ac:dyDescent="0.3">
      <c r="E3" s="2"/>
    </row>
    <row r="4" spans="1:11" ht="45.75" thickBot="1" x14ac:dyDescent="0.3">
      <c r="A4" s="4" t="s">
        <v>3</v>
      </c>
      <c r="B4" s="5" t="s">
        <v>4</v>
      </c>
      <c r="C4" s="6" t="s">
        <v>5</v>
      </c>
      <c r="D4" s="6" t="s">
        <v>6</v>
      </c>
      <c r="E4" s="7" t="s">
        <v>7</v>
      </c>
      <c r="F4" s="6" t="s">
        <v>8</v>
      </c>
      <c r="G4" s="8" t="s">
        <v>9</v>
      </c>
      <c r="H4" s="9" t="s">
        <v>10</v>
      </c>
      <c r="I4" s="10" t="s">
        <v>11</v>
      </c>
    </row>
    <row r="5" spans="1:11" ht="34.5" x14ac:dyDescent="0.25">
      <c r="A5" s="11">
        <v>1</v>
      </c>
      <c r="B5" s="12" t="s">
        <v>12</v>
      </c>
      <c r="C5" s="13" t="s">
        <v>13</v>
      </c>
      <c r="D5" s="14" t="s">
        <v>14</v>
      </c>
      <c r="E5" s="15" t="s">
        <v>15</v>
      </c>
      <c r="F5" s="14" t="s">
        <v>16</v>
      </c>
      <c r="G5" s="16">
        <v>300</v>
      </c>
      <c r="H5" s="17">
        <v>76.5</v>
      </c>
      <c r="I5" s="18">
        <f>G5*H5</f>
        <v>22950</v>
      </c>
      <c r="J5" s="19" t="s">
        <v>17</v>
      </c>
      <c r="K5" s="20" t="s">
        <v>18</v>
      </c>
    </row>
    <row r="6" spans="1:11" ht="34.5" x14ac:dyDescent="0.25">
      <c r="A6" s="21">
        <v>2</v>
      </c>
      <c r="B6" s="22" t="s">
        <v>12</v>
      </c>
      <c r="C6" s="23" t="s">
        <v>13</v>
      </c>
      <c r="D6" s="24" t="s">
        <v>14</v>
      </c>
      <c r="E6" s="25" t="s">
        <v>15</v>
      </c>
      <c r="F6" s="24" t="s">
        <v>16</v>
      </c>
      <c r="G6" s="26">
        <v>1500</v>
      </c>
      <c r="H6" s="27">
        <v>76.5</v>
      </c>
      <c r="I6" s="28">
        <f t="shared" ref="I6:I50" si="0">G6*H6</f>
        <v>114750</v>
      </c>
      <c r="J6" s="19" t="s">
        <v>19</v>
      </c>
      <c r="K6" s="20" t="s">
        <v>20</v>
      </c>
    </row>
    <row r="7" spans="1:11" ht="24" x14ac:dyDescent="0.25">
      <c r="A7" s="29">
        <v>3</v>
      </c>
      <c r="B7" s="22" t="s">
        <v>21</v>
      </c>
      <c r="C7" s="23" t="s">
        <v>13</v>
      </c>
      <c r="D7" s="30" t="s">
        <v>14</v>
      </c>
      <c r="E7" s="31" t="s">
        <v>22</v>
      </c>
      <c r="F7" s="24" t="s">
        <v>16</v>
      </c>
      <c r="G7" s="26">
        <v>50</v>
      </c>
      <c r="H7" s="27">
        <v>284</v>
      </c>
      <c r="I7" s="28">
        <f t="shared" si="0"/>
        <v>14200</v>
      </c>
      <c r="J7" s="19" t="s">
        <v>23</v>
      </c>
      <c r="K7" s="20" t="s">
        <v>24</v>
      </c>
    </row>
    <row r="8" spans="1:11" ht="23.25" x14ac:dyDescent="0.25">
      <c r="A8" s="21">
        <v>4</v>
      </c>
      <c r="B8" s="22" t="s">
        <v>25</v>
      </c>
      <c r="C8" s="32" t="s">
        <v>26</v>
      </c>
      <c r="D8" s="33" t="s">
        <v>27</v>
      </c>
      <c r="E8" s="25" t="s">
        <v>28</v>
      </c>
      <c r="F8" s="24" t="s">
        <v>29</v>
      </c>
      <c r="G8" s="26">
        <v>50</v>
      </c>
      <c r="H8" s="27">
        <v>740</v>
      </c>
      <c r="I8" s="34">
        <f t="shared" si="0"/>
        <v>37000</v>
      </c>
      <c r="J8" s="19" t="s">
        <v>30</v>
      </c>
      <c r="K8" s="20" t="s">
        <v>31</v>
      </c>
    </row>
    <row r="9" spans="1:11" ht="34.5" x14ac:dyDescent="0.25">
      <c r="A9" s="21">
        <v>5</v>
      </c>
      <c r="B9" s="22" t="s">
        <v>32</v>
      </c>
      <c r="C9" s="23" t="s">
        <v>13</v>
      </c>
      <c r="D9" s="24" t="s">
        <v>14</v>
      </c>
      <c r="E9" s="25" t="s">
        <v>33</v>
      </c>
      <c r="F9" s="24" t="s">
        <v>29</v>
      </c>
      <c r="G9" s="26">
        <v>200</v>
      </c>
      <c r="H9" s="27">
        <v>330</v>
      </c>
      <c r="I9" s="28">
        <f t="shared" si="0"/>
        <v>66000</v>
      </c>
      <c r="J9" s="19" t="s">
        <v>34</v>
      </c>
      <c r="K9" s="20" t="s">
        <v>35</v>
      </c>
    </row>
    <row r="10" spans="1:11" ht="34.5" x14ac:dyDescent="0.25">
      <c r="A10" s="21">
        <v>6</v>
      </c>
      <c r="B10" s="22" t="s">
        <v>36</v>
      </c>
      <c r="C10" s="23" t="s">
        <v>13</v>
      </c>
      <c r="D10" s="24" t="s">
        <v>14</v>
      </c>
      <c r="E10" s="25" t="s">
        <v>37</v>
      </c>
      <c r="F10" s="24" t="s">
        <v>29</v>
      </c>
      <c r="G10" s="26">
        <v>60</v>
      </c>
      <c r="H10" s="27">
        <v>435</v>
      </c>
      <c r="I10" s="28">
        <f t="shared" si="0"/>
        <v>26100</v>
      </c>
      <c r="J10" s="19" t="s">
        <v>38</v>
      </c>
      <c r="K10" s="20" t="s">
        <v>39</v>
      </c>
    </row>
    <row r="11" spans="1:11" ht="34.5" x14ac:dyDescent="0.25">
      <c r="A11" s="21">
        <v>7</v>
      </c>
      <c r="B11" s="22" t="s">
        <v>40</v>
      </c>
      <c r="C11" s="23" t="s">
        <v>13</v>
      </c>
      <c r="D11" s="24" t="s">
        <v>14</v>
      </c>
      <c r="E11" s="25" t="s">
        <v>41</v>
      </c>
      <c r="F11" s="24" t="s">
        <v>29</v>
      </c>
      <c r="G11" s="26">
        <v>720</v>
      </c>
      <c r="H11" s="27">
        <v>210</v>
      </c>
      <c r="I11" s="28">
        <f t="shared" si="0"/>
        <v>151200</v>
      </c>
      <c r="J11" s="19" t="s">
        <v>42</v>
      </c>
      <c r="K11" s="20" t="s">
        <v>43</v>
      </c>
    </row>
    <row r="12" spans="1:11" ht="30" x14ac:dyDescent="0.25">
      <c r="A12" s="35">
        <v>8</v>
      </c>
      <c r="B12" s="22" t="s">
        <v>44</v>
      </c>
      <c r="C12" s="23" t="s">
        <v>13</v>
      </c>
      <c r="D12" s="24" t="s">
        <v>14</v>
      </c>
      <c r="E12" s="25" t="s">
        <v>45</v>
      </c>
      <c r="F12" s="24" t="s">
        <v>29</v>
      </c>
      <c r="G12" s="26">
        <v>120</v>
      </c>
      <c r="H12" s="27">
        <v>224</v>
      </c>
      <c r="I12" s="28">
        <f t="shared" si="0"/>
        <v>26880</v>
      </c>
      <c r="J12" s="36"/>
    </row>
    <row r="13" spans="1:11" ht="45" x14ac:dyDescent="0.25">
      <c r="A13" s="21">
        <v>9</v>
      </c>
      <c r="B13" s="22" t="s">
        <v>46</v>
      </c>
      <c r="C13" s="23" t="s">
        <v>13</v>
      </c>
      <c r="D13" s="37" t="s">
        <v>47</v>
      </c>
      <c r="E13" s="25" t="s">
        <v>48</v>
      </c>
      <c r="F13" s="24" t="s">
        <v>29</v>
      </c>
      <c r="G13" s="26">
        <v>70</v>
      </c>
      <c r="H13" s="27">
        <v>1845</v>
      </c>
      <c r="I13" s="38">
        <f t="shared" si="0"/>
        <v>129150</v>
      </c>
      <c r="J13" s="19" t="s">
        <v>49</v>
      </c>
      <c r="K13" s="39" t="s">
        <v>50</v>
      </c>
    </row>
    <row r="14" spans="1:11" ht="33.75" x14ac:dyDescent="0.25">
      <c r="A14" s="21">
        <v>10</v>
      </c>
      <c r="B14" s="22" t="s">
        <v>51</v>
      </c>
      <c r="C14" s="23" t="s">
        <v>13</v>
      </c>
      <c r="D14" s="24" t="s">
        <v>14</v>
      </c>
      <c r="E14" s="25" t="s">
        <v>52</v>
      </c>
      <c r="F14" s="24" t="s">
        <v>29</v>
      </c>
      <c r="G14" s="26">
        <v>15</v>
      </c>
      <c r="H14" s="27">
        <v>1995</v>
      </c>
      <c r="I14" s="28">
        <f t="shared" si="0"/>
        <v>29925</v>
      </c>
      <c r="J14" s="19" t="s">
        <v>53</v>
      </c>
      <c r="K14" s="39" t="s">
        <v>54</v>
      </c>
    </row>
    <row r="15" spans="1:11" ht="33.75" x14ac:dyDescent="0.25">
      <c r="A15" s="21">
        <v>11</v>
      </c>
      <c r="B15" s="22" t="s">
        <v>55</v>
      </c>
      <c r="C15" s="23" t="s">
        <v>13</v>
      </c>
      <c r="D15" s="24" t="s">
        <v>14</v>
      </c>
      <c r="E15" s="25" t="s">
        <v>56</v>
      </c>
      <c r="F15" s="24" t="s">
        <v>57</v>
      </c>
      <c r="G15" s="26">
        <v>200</v>
      </c>
      <c r="H15" s="27">
        <v>435</v>
      </c>
      <c r="I15" s="28">
        <f t="shared" si="0"/>
        <v>87000</v>
      </c>
      <c r="J15" s="19" t="s">
        <v>58</v>
      </c>
      <c r="K15" s="39" t="s">
        <v>59</v>
      </c>
    </row>
    <row r="16" spans="1:11" ht="24" x14ac:dyDescent="0.25">
      <c r="A16" s="21">
        <v>12</v>
      </c>
      <c r="B16" s="22" t="s">
        <v>60</v>
      </c>
      <c r="C16" s="23" t="s">
        <v>13</v>
      </c>
      <c r="D16" s="24" t="s">
        <v>14</v>
      </c>
      <c r="E16" s="25" t="s">
        <v>61</v>
      </c>
      <c r="F16" s="24" t="s">
        <v>62</v>
      </c>
      <c r="G16" s="26">
        <v>180</v>
      </c>
      <c r="H16" s="27">
        <v>175</v>
      </c>
      <c r="I16" s="28">
        <f t="shared" si="0"/>
        <v>31500</v>
      </c>
      <c r="J16" s="19" t="s">
        <v>63</v>
      </c>
      <c r="K16" s="39" t="s">
        <v>64</v>
      </c>
    </row>
    <row r="17" spans="1:11" ht="30" x14ac:dyDescent="0.25">
      <c r="A17" s="21">
        <v>13</v>
      </c>
      <c r="B17" s="22" t="s">
        <v>65</v>
      </c>
      <c r="C17" s="23" t="s">
        <v>13</v>
      </c>
      <c r="D17" s="24" t="s">
        <v>14</v>
      </c>
      <c r="E17" s="25" t="s">
        <v>66</v>
      </c>
      <c r="F17" s="24" t="s">
        <v>62</v>
      </c>
      <c r="G17" s="26">
        <v>150</v>
      </c>
      <c r="H17" s="27">
        <v>175</v>
      </c>
      <c r="I17" s="28">
        <f t="shared" si="0"/>
        <v>26250</v>
      </c>
      <c r="J17" s="19" t="s">
        <v>67</v>
      </c>
      <c r="K17" s="39" t="s">
        <v>68</v>
      </c>
    </row>
    <row r="18" spans="1:11" ht="30" x14ac:dyDescent="0.25">
      <c r="A18" s="21">
        <v>14</v>
      </c>
      <c r="B18" s="22" t="s">
        <v>69</v>
      </c>
      <c r="C18" s="23" t="s">
        <v>13</v>
      </c>
      <c r="D18" s="24" t="s">
        <v>14</v>
      </c>
      <c r="E18" s="25" t="s">
        <v>70</v>
      </c>
      <c r="F18" s="24" t="s">
        <v>62</v>
      </c>
      <c r="G18" s="26">
        <v>100</v>
      </c>
      <c r="H18" s="27">
        <v>175</v>
      </c>
      <c r="I18" s="28">
        <f t="shared" si="0"/>
        <v>17500</v>
      </c>
      <c r="J18" s="19" t="s">
        <v>71</v>
      </c>
      <c r="K18" s="39" t="s">
        <v>72</v>
      </c>
    </row>
    <row r="19" spans="1:11" ht="24" x14ac:dyDescent="0.25">
      <c r="A19" s="21">
        <v>15</v>
      </c>
      <c r="B19" s="22" t="s">
        <v>73</v>
      </c>
      <c r="C19" s="23" t="s">
        <v>13</v>
      </c>
      <c r="D19" s="24" t="s">
        <v>14</v>
      </c>
      <c r="E19" s="25" t="s">
        <v>74</v>
      </c>
      <c r="F19" s="24" t="s">
        <v>16</v>
      </c>
      <c r="G19" s="26">
        <v>70</v>
      </c>
      <c r="H19" s="27">
        <v>330</v>
      </c>
      <c r="I19" s="28">
        <f t="shared" si="0"/>
        <v>23100</v>
      </c>
      <c r="J19" s="19" t="s">
        <v>75</v>
      </c>
      <c r="K19" s="39" t="s">
        <v>76</v>
      </c>
    </row>
    <row r="20" spans="1:11" ht="24" x14ac:dyDescent="0.25">
      <c r="A20" s="21">
        <v>16</v>
      </c>
      <c r="B20" s="22" t="s">
        <v>77</v>
      </c>
      <c r="C20" s="23" t="s">
        <v>13</v>
      </c>
      <c r="D20" s="24" t="s">
        <v>14</v>
      </c>
      <c r="E20" s="25" t="s">
        <v>78</v>
      </c>
      <c r="F20" s="24" t="s">
        <v>16</v>
      </c>
      <c r="G20" s="26">
        <v>120</v>
      </c>
      <c r="H20" s="27">
        <v>195</v>
      </c>
      <c r="I20" s="28">
        <f t="shared" si="0"/>
        <v>23400</v>
      </c>
      <c r="J20" s="19" t="s">
        <v>79</v>
      </c>
      <c r="K20" s="39" t="s">
        <v>80</v>
      </c>
    </row>
    <row r="21" spans="1:11" ht="30" x14ac:dyDescent="0.25">
      <c r="A21" s="21">
        <v>17</v>
      </c>
      <c r="B21" s="22" t="s">
        <v>81</v>
      </c>
      <c r="C21" s="23" t="s">
        <v>13</v>
      </c>
      <c r="D21" s="24" t="s">
        <v>14</v>
      </c>
      <c r="E21" s="25" t="s">
        <v>82</v>
      </c>
      <c r="F21" s="24" t="s">
        <v>16</v>
      </c>
      <c r="G21" s="26">
        <v>200</v>
      </c>
      <c r="H21" s="27">
        <v>38</v>
      </c>
      <c r="I21" s="28">
        <f t="shared" si="0"/>
        <v>7600</v>
      </c>
      <c r="J21" s="19" t="s">
        <v>83</v>
      </c>
      <c r="K21" s="39" t="s">
        <v>84</v>
      </c>
    </row>
    <row r="22" spans="1:11" ht="30" x14ac:dyDescent="0.25">
      <c r="A22" s="35">
        <v>18</v>
      </c>
      <c r="B22" s="22" t="s">
        <v>85</v>
      </c>
      <c r="C22" s="23" t="s">
        <v>13</v>
      </c>
      <c r="D22" s="24" t="s">
        <v>14</v>
      </c>
      <c r="E22" s="25" t="s">
        <v>86</v>
      </c>
      <c r="F22" s="24" t="s">
        <v>16</v>
      </c>
      <c r="G22" s="26">
        <v>150</v>
      </c>
      <c r="H22" s="27">
        <v>120</v>
      </c>
      <c r="I22" s="28">
        <f t="shared" si="0"/>
        <v>18000</v>
      </c>
      <c r="J22" s="36"/>
    </row>
    <row r="23" spans="1:11" ht="30" x14ac:dyDescent="0.25">
      <c r="A23" s="21">
        <v>19</v>
      </c>
      <c r="B23" s="22" t="s">
        <v>87</v>
      </c>
      <c r="C23" s="23" t="s">
        <v>13</v>
      </c>
      <c r="D23" s="24" t="s">
        <v>14</v>
      </c>
      <c r="E23" s="25" t="s">
        <v>88</v>
      </c>
      <c r="F23" s="24" t="s">
        <v>16</v>
      </c>
      <c r="G23" s="26">
        <v>75</v>
      </c>
      <c r="H23" s="27">
        <v>46.5</v>
      </c>
      <c r="I23" s="28">
        <f t="shared" si="0"/>
        <v>3487.5</v>
      </c>
      <c r="J23" s="19" t="s">
        <v>89</v>
      </c>
      <c r="K23" s="39" t="s">
        <v>90</v>
      </c>
    </row>
    <row r="24" spans="1:11" ht="24" x14ac:dyDescent="0.25">
      <c r="A24" s="35">
        <v>20</v>
      </c>
      <c r="B24" s="22" t="s">
        <v>91</v>
      </c>
      <c r="C24" s="32" t="s">
        <v>92</v>
      </c>
      <c r="D24" s="40" t="s">
        <v>93</v>
      </c>
      <c r="E24" s="25" t="s">
        <v>94</v>
      </c>
      <c r="F24" s="24" t="s">
        <v>16</v>
      </c>
      <c r="G24" s="26">
        <v>75</v>
      </c>
      <c r="H24" s="27">
        <v>150</v>
      </c>
      <c r="I24" s="41">
        <f t="shared" si="0"/>
        <v>11250</v>
      </c>
      <c r="J24" s="36"/>
    </row>
    <row r="25" spans="1:11" ht="24" x14ac:dyDescent="0.25">
      <c r="A25" s="21">
        <v>21</v>
      </c>
      <c r="B25" s="22" t="s">
        <v>95</v>
      </c>
      <c r="C25" s="23" t="s">
        <v>13</v>
      </c>
      <c r="D25" s="24" t="s">
        <v>14</v>
      </c>
      <c r="E25" s="25" t="s">
        <v>96</v>
      </c>
      <c r="F25" s="24" t="s">
        <v>29</v>
      </c>
      <c r="G25" s="26">
        <v>15</v>
      </c>
      <c r="H25" s="27">
        <v>435</v>
      </c>
      <c r="I25" s="28">
        <f t="shared" si="0"/>
        <v>6525</v>
      </c>
      <c r="J25" s="19" t="s">
        <v>97</v>
      </c>
      <c r="K25" s="39" t="s">
        <v>98</v>
      </c>
    </row>
    <row r="26" spans="1:11" ht="24" x14ac:dyDescent="0.25">
      <c r="A26" s="35">
        <v>22</v>
      </c>
      <c r="B26" s="22" t="s">
        <v>99</v>
      </c>
      <c r="C26" s="23" t="s">
        <v>13</v>
      </c>
      <c r="D26" s="24" t="s">
        <v>14</v>
      </c>
      <c r="E26" s="25" t="s">
        <v>100</v>
      </c>
      <c r="F26" s="24" t="s">
        <v>29</v>
      </c>
      <c r="G26" s="26">
        <v>30</v>
      </c>
      <c r="H26" s="27">
        <v>82.5</v>
      </c>
      <c r="I26" s="28">
        <f t="shared" si="0"/>
        <v>2475</v>
      </c>
      <c r="J26" s="36"/>
    </row>
    <row r="27" spans="1:11" ht="23.25" x14ac:dyDescent="0.25">
      <c r="A27" s="21">
        <v>23</v>
      </c>
      <c r="B27" s="22" t="s">
        <v>101</v>
      </c>
      <c r="C27" s="32" t="s">
        <v>102</v>
      </c>
      <c r="D27" s="42" t="s">
        <v>103</v>
      </c>
      <c r="E27" s="25" t="s">
        <v>104</v>
      </c>
      <c r="F27" s="24" t="s">
        <v>16</v>
      </c>
      <c r="G27" s="26">
        <v>120</v>
      </c>
      <c r="H27" s="27">
        <v>63</v>
      </c>
      <c r="I27" s="43">
        <f t="shared" si="0"/>
        <v>7560</v>
      </c>
      <c r="J27" s="44" t="s">
        <v>105</v>
      </c>
      <c r="K27" s="20" t="s">
        <v>106</v>
      </c>
    </row>
    <row r="28" spans="1:11" ht="24" x14ac:dyDescent="0.25">
      <c r="A28" s="21">
        <v>24</v>
      </c>
      <c r="B28" s="22" t="s">
        <v>107</v>
      </c>
      <c r="C28" s="23" t="s">
        <v>13</v>
      </c>
      <c r="D28" s="24" t="s">
        <v>14</v>
      </c>
      <c r="E28" s="25" t="s">
        <v>108</v>
      </c>
      <c r="F28" s="24" t="s">
        <v>29</v>
      </c>
      <c r="G28" s="26">
        <v>100</v>
      </c>
      <c r="H28" s="27">
        <v>300</v>
      </c>
      <c r="I28" s="28">
        <f t="shared" si="0"/>
        <v>30000</v>
      </c>
      <c r="J28" s="44" t="s">
        <v>109</v>
      </c>
      <c r="K28" s="20" t="s">
        <v>110</v>
      </c>
    </row>
    <row r="29" spans="1:11" ht="30" x14ac:dyDescent="0.25">
      <c r="A29" s="35">
        <v>25</v>
      </c>
      <c r="B29" s="22" t="s">
        <v>111</v>
      </c>
      <c r="C29" s="32" t="s">
        <v>112</v>
      </c>
      <c r="D29" s="45" t="s">
        <v>113</v>
      </c>
      <c r="E29" s="25" t="s">
        <v>114</v>
      </c>
      <c r="F29" s="24" t="s">
        <v>16</v>
      </c>
      <c r="G29" s="26">
        <v>150</v>
      </c>
      <c r="H29" s="27">
        <v>400</v>
      </c>
      <c r="I29" s="46">
        <f t="shared" si="0"/>
        <v>60000</v>
      </c>
      <c r="J29" s="36"/>
    </row>
    <row r="30" spans="1:11" ht="24" x14ac:dyDescent="0.25">
      <c r="A30" s="21">
        <v>26</v>
      </c>
      <c r="B30" s="22" t="s">
        <v>115</v>
      </c>
      <c r="C30" s="23" t="s">
        <v>13</v>
      </c>
      <c r="D30" s="24" t="s">
        <v>14</v>
      </c>
      <c r="E30" s="25" t="s">
        <v>116</v>
      </c>
      <c r="F30" s="24" t="s">
        <v>16</v>
      </c>
      <c r="G30" s="26">
        <v>180</v>
      </c>
      <c r="H30" s="27">
        <v>147</v>
      </c>
      <c r="I30" s="28">
        <f t="shared" si="0"/>
        <v>26460</v>
      </c>
      <c r="J30" s="19" t="s">
        <v>117</v>
      </c>
      <c r="K30" s="39" t="s">
        <v>118</v>
      </c>
    </row>
    <row r="31" spans="1:11" ht="33.75" x14ac:dyDescent="0.25">
      <c r="A31" s="21">
        <v>27</v>
      </c>
      <c r="B31" s="22" t="s">
        <v>119</v>
      </c>
      <c r="C31" s="23" t="s">
        <v>13</v>
      </c>
      <c r="D31" s="24" t="s">
        <v>14</v>
      </c>
      <c r="E31" s="25" t="s">
        <v>120</v>
      </c>
      <c r="F31" s="24" t="s">
        <v>16</v>
      </c>
      <c r="G31" s="26">
        <v>30</v>
      </c>
      <c r="H31" s="27">
        <v>433.5</v>
      </c>
      <c r="I31" s="28">
        <f t="shared" si="0"/>
        <v>13005</v>
      </c>
      <c r="J31" s="19" t="s">
        <v>121</v>
      </c>
      <c r="K31" s="39" t="s">
        <v>122</v>
      </c>
    </row>
    <row r="32" spans="1:11" ht="30" x14ac:dyDescent="0.25">
      <c r="A32" s="21">
        <v>28</v>
      </c>
      <c r="B32" s="22" t="s">
        <v>123</v>
      </c>
      <c r="C32" s="23" t="s">
        <v>13</v>
      </c>
      <c r="D32" s="24" t="s">
        <v>14</v>
      </c>
      <c r="E32" s="25" t="s">
        <v>124</v>
      </c>
      <c r="F32" s="24" t="s">
        <v>29</v>
      </c>
      <c r="G32" s="26">
        <v>40</v>
      </c>
      <c r="H32" s="27">
        <v>315</v>
      </c>
      <c r="I32" s="28">
        <f t="shared" si="0"/>
        <v>12600</v>
      </c>
      <c r="J32" s="19" t="s">
        <v>125</v>
      </c>
      <c r="K32" s="39" t="s">
        <v>126</v>
      </c>
    </row>
    <row r="33" spans="1:11" ht="24" x14ac:dyDescent="0.25">
      <c r="A33" s="21">
        <v>29</v>
      </c>
      <c r="B33" s="22" t="s">
        <v>127</v>
      </c>
      <c r="C33" s="23" t="s">
        <v>13</v>
      </c>
      <c r="D33" s="24" t="s">
        <v>14</v>
      </c>
      <c r="E33" s="25" t="s">
        <v>128</v>
      </c>
      <c r="F33" s="24" t="s">
        <v>16</v>
      </c>
      <c r="G33" s="26">
        <v>300</v>
      </c>
      <c r="H33" s="27">
        <v>73.5</v>
      </c>
      <c r="I33" s="28">
        <f t="shared" si="0"/>
        <v>22050</v>
      </c>
      <c r="J33" s="19" t="s">
        <v>129</v>
      </c>
      <c r="K33" s="39" t="s">
        <v>130</v>
      </c>
    </row>
    <row r="34" spans="1:11" ht="30" x14ac:dyDescent="0.25">
      <c r="A34" s="21">
        <v>30</v>
      </c>
      <c r="B34" s="22" t="s">
        <v>131</v>
      </c>
      <c r="C34" s="23" t="s">
        <v>13</v>
      </c>
      <c r="D34" s="24" t="s">
        <v>14</v>
      </c>
      <c r="E34" s="25" t="s">
        <v>132</v>
      </c>
      <c r="F34" s="24" t="s">
        <v>16</v>
      </c>
      <c r="G34" s="26">
        <v>300</v>
      </c>
      <c r="H34" s="27">
        <v>42</v>
      </c>
      <c r="I34" s="28">
        <f t="shared" si="0"/>
        <v>12600</v>
      </c>
      <c r="J34" s="19" t="s">
        <v>133</v>
      </c>
      <c r="K34" s="39" t="s">
        <v>134</v>
      </c>
    </row>
    <row r="35" spans="1:11" ht="24" x14ac:dyDescent="0.25">
      <c r="A35" s="35">
        <v>31</v>
      </c>
      <c r="B35" s="22" t="s">
        <v>135</v>
      </c>
      <c r="C35" s="23" t="s">
        <v>13</v>
      </c>
      <c r="D35" s="24" t="s">
        <v>14</v>
      </c>
      <c r="E35" s="25" t="s">
        <v>136</v>
      </c>
      <c r="F35" s="24" t="s">
        <v>16</v>
      </c>
      <c r="G35" s="26">
        <v>200</v>
      </c>
      <c r="H35" s="27">
        <v>76.5</v>
      </c>
      <c r="I35" s="28">
        <f t="shared" si="0"/>
        <v>15300</v>
      </c>
      <c r="J35" s="36"/>
    </row>
    <row r="36" spans="1:11" ht="24" x14ac:dyDescent="0.25">
      <c r="A36" s="21">
        <v>32</v>
      </c>
      <c r="B36" s="22" t="s">
        <v>137</v>
      </c>
      <c r="C36" s="23" t="s">
        <v>13</v>
      </c>
      <c r="D36" s="24" t="s">
        <v>14</v>
      </c>
      <c r="E36" s="25" t="s">
        <v>138</v>
      </c>
      <c r="F36" s="30" t="s">
        <v>57</v>
      </c>
      <c r="G36" s="26">
        <v>300</v>
      </c>
      <c r="H36" s="27">
        <v>60</v>
      </c>
      <c r="I36" s="28">
        <f t="shared" si="0"/>
        <v>18000</v>
      </c>
      <c r="J36" s="47" t="s">
        <v>139</v>
      </c>
      <c r="K36" s="39" t="s">
        <v>140</v>
      </c>
    </row>
    <row r="37" spans="1:11" ht="45" x14ac:dyDescent="0.25">
      <c r="A37" s="35">
        <v>33</v>
      </c>
      <c r="B37" s="22" t="s">
        <v>141</v>
      </c>
      <c r="C37" s="23" t="s">
        <v>13</v>
      </c>
      <c r="D37" s="48" t="s">
        <v>142</v>
      </c>
      <c r="E37" s="25" t="s">
        <v>143</v>
      </c>
      <c r="F37" s="24" t="s">
        <v>144</v>
      </c>
      <c r="G37" s="26">
        <v>300</v>
      </c>
      <c r="H37" s="27">
        <v>130</v>
      </c>
      <c r="I37" s="49">
        <f t="shared" si="0"/>
        <v>39000</v>
      </c>
      <c r="J37" s="36"/>
    </row>
    <row r="38" spans="1:11" ht="33.75" x14ac:dyDescent="0.25">
      <c r="A38" s="29">
        <v>34</v>
      </c>
      <c r="B38" s="22" t="s">
        <v>145</v>
      </c>
      <c r="C38" s="23" t="s">
        <v>13</v>
      </c>
      <c r="D38" s="50" t="s">
        <v>146</v>
      </c>
      <c r="E38" s="31" t="s">
        <v>147</v>
      </c>
      <c r="F38" s="24" t="s">
        <v>16</v>
      </c>
      <c r="G38" s="26">
        <v>18000</v>
      </c>
      <c r="H38" s="27">
        <v>20</v>
      </c>
      <c r="I38" s="51">
        <f t="shared" si="0"/>
        <v>360000</v>
      </c>
      <c r="J38" s="19" t="s">
        <v>148</v>
      </c>
      <c r="K38" s="39" t="s">
        <v>149</v>
      </c>
    </row>
    <row r="39" spans="1:11" ht="56.25" x14ac:dyDescent="0.25">
      <c r="A39" s="29">
        <v>35</v>
      </c>
      <c r="B39" s="22" t="s">
        <v>150</v>
      </c>
      <c r="C39" s="23" t="s">
        <v>13</v>
      </c>
      <c r="D39" s="50" t="s">
        <v>146</v>
      </c>
      <c r="E39" s="31" t="s">
        <v>151</v>
      </c>
      <c r="F39" s="24" t="s">
        <v>57</v>
      </c>
      <c r="G39" s="26">
        <v>15</v>
      </c>
      <c r="H39" s="27">
        <v>4000</v>
      </c>
      <c r="I39" s="51">
        <f t="shared" si="0"/>
        <v>60000</v>
      </c>
      <c r="J39" s="19" t="s">
        <v>152</v>
      </c>
      <c r="K39" s="39" t="s">
        <v>153</v>
      </c>
    </row>
    <row r="40" spans="1:11" ht="56.25" x14ac:dyDescent="0.25">
      <c r="A40" s="29">
        <v>36</v>
      </c>
      <c r="B40" s="22" t="s">
        <v>150</v>
      </c>
      <c r="C40" s="23" t="s">
        <v>13</v>
      </c>
      <c r="D40" s="50" t="s">
        <v>146</v>
      </c>
      <c r="E40" s="31" t="s">
        <v>151</v>
      </c>
      <c r="F40" s="24" t="s">
        <v>57</v>
      </c>
      <c r="G40" s="26">
        <v>5</v>
      </c>
      <c r="H40" s="27">
        <v>4000</v>
      </c>
      <c r="I40" s="51">
        <f t="shared" si="0"/>
        <v>20000</v>
      </c>
      <c r="J40" s="19" t="s">
        <v>154</v>
      </c>
      <c r="K40" s="39" t="s">
        <v>155</v>
      </c>
    </row>
    <row r="41" spans="1:11" ht="56.25" x14ac:dyDescent="0.25">
      <c r="A41" s="29">
        <v>37</v>
      </c>
      <c r="B41" s="22" t="s">
        <v>156</v>
      </c>
      <c r="C41" s="23" t="s">
        <v>13</v>
      </c>
      <c r="D41" s="50" t="s">
        <v>146</v>
      </c>
      <c r="E41" s="31" t="s">
        <v>157</v>
      </c>
      <c r="F41" s="24" t="s">
        <v>16</v>
      </c>
      <c r="G41" s="26">
        <v>5000</v>
      </c>
      <c r="H41" s="27">
        <v>25</v>
      </c>
      <c r="I41" s="51">
        <f t="shared" si="0"/>
        <v>125000</v>
      </c>
      <c r="J41" s="19" t="s">
        <v>158</v>
      </c>
      <c r="K41" s="39" t="s">
        <v>159</v>
      </c>
    </row>
    <row r="42" spans="1:11" ht="36" x14ac:dyDescent="0.25">
      <c r="A42" s="21">
        <v>38</v>
      </c>
      <c r="B42" s="22" t="s">
        <v>160</v>
      </c>
      <c r="C42" s="32" t="s">
        <v>161</v>
      </c>
      <c r="D42" s="50" t="s">
        <v>146</v>
      </c>
      <c r="E42" s="25" t="s">
        <v>162</v>
      </c>
      <c r="F42" s="24" t="s">
        <v>163</v>
      </c>
      <c r="G42" s="26">
        <v>3</v>
      </c>
      <c r="H42" s="27">
        <v>23200</v>
      </c>
      <c r="I42" s="51">
        <f t="shared" si="0"/>
        <v>69600</v>
      </c>
      <c r="J42" s="19" t="s">
        <v>164</v>
      </c>
      <c r="K42" s="39" t="s">
        <v>165</v>
      </c>
    </row>
    <row r="43" spans="1:11" ht="36" x14ac:dyDescent="0.25">
      <c r="A43" s="21">
        <v>39</v>
      </c>
      <c r="B43" s="22" t="s">
        <v>166</v>
      </c>
      <c r="C43" s="32" t="s">
        <v>161</v>
      </c>
      <c r="D43" s="50" t="s">
        <v>146</v>
      </c>
      <c r="E43" s="25" t="s">
        <v>167</v>
      </c>
      <c r="F43" s="24" t="s">
        <v>168</v>
      </c>
      <c r="G43" s="26">
        <v>10</v>
      </c>
      <c r="H43" s="27">
        <v>1300</v>
      </c>
      <c r="I43" s="51">
        <f t="shared" si="0"/>
        <v>13000</v>
      </c>
      <c r="J43" s="19" t="s">
        <v>169</v>
      </c>
      <c r="K43" s="39" t="s">
        <v>170</v>
      </c>
    </row>
    <row r="44" spans="1:11" ht="36" x14ac:dyDescent="0.25">
      <c r="A44" s="21">
        <v>40</v>
      </c>
      <c r="B44" s="22" t="s">
        <v>166</v>
      </c>
      <c r="C44" s="32" t="s">
        <v>161</v>
      </c>
      <c r="D44" s="50" t="s">
        <v>146</v>
      </c>
      <c r="E44" s="25" t="s">
        <v>167</v>
      </c>
      <c r="F44" s="24" t="s">
        <v>168</v>
      </c>
      <c r="G44" s="26">
        <v>15</v>
      </c>
      <c r="H44" s="27">
        <v>1300</v>
      </c>
      <c r="I44" s="51">
        <f t="shared" si="0"/>
        <v>19500</v>
      </c>
      <c r="J44" s="19" t="s">
        <v>171</v>
      </c>
      <c r="K44" s="39" t="s">
        <v>172</v>
      </c>
    </row>
    <row r="45" spans="1:11" ht="36" x14ac:dyDescent="0.25">
      <c r="A45" s="21">
        <v>41</v>
      </c>
      <c r="B45" s="22" t="s">
        <v>166</v>
      </c>
      <c r="C45" s="32" t="s">
        <v>161</v>
      </c>
      <c r="D45" s="50" t="s">
        <v>146</v>
      </c>
      <c r="E45" s="25" t="s">
        <v>167</v>
      </c>
      <c r="F45" s="24" t="s">
        <v>168</v>
      </c>
      <c r="G45" s="26">
        <v>10</v>
      </c>
      <c r="H45" s="27">
        <v>1300</v>
      </c>
      <c r="I45" s="51">
        <f t="shared" si="0"/>
        <v>13000</v>
      </c>
      <c r="J45" s="19" t="s">
        <v>173</v>
      </c>
      <c r="K45" s="39" t="s">
        <v>174</v>
      </c>
    </row>
    <row r="46" spans="1:11" ht="36" x14ac:dyDescent="0.25">
      <c r="A46" s="21">
        <v>42</v>
      </c>
      <c r="B46" s="22" t="s">
        <v>166</v>
      </c>
      <c r="C46" s="32" t="s">
        <v>161</v>
      </c>
      <c r="D46" s="50" t="s">
        <v>146</v>
      </c>
      <c r="E46" s="25" t="s">
        <v>167</v>
      </c>
      <c r="F46" s="24" t="s">
        <v>168</v>
      </c>
      <c r="G46" s="26">
        <v>10</v>
      </c>
      <c r="H46" s="27">
        <v>1300</v>
      </c>
      <c r="I46" s="51">
        <f t="shared" si="0"/>
        <v>13000</v>
      </c>
      <c r="J46" s="19" t="s">
        <v>175</v>
      </c>
      <c r="K46" s="39" t="s">
        <v>176</v>
      </c>
    </row>
    <row r="47" spans="1:11" ht="36" x14ac:dyDescent="0.25">
      <c r="A47" s="52">
        <v>43</v>
      </c>
      <c r="B47" s="22" t="s">
        <v>177</v>
      </c>
      <c r="C47" s="53" t="s">
        <v>178</v>
      </c>
      <c r="D47" s="50" t="s">
        <v>146</v>
      </c>
      <c r="E47" s="31" t="s">
        <v>179</v>
      </c>
      <c r="F47" s="24" t="s">
        <v>16</v>
      </c>
      <c r="G47" s="26">
        <v>6000</v>
      </c>
      <c r="H47" s="27">
        <v>30</v>
      </c>
      <c r="I47" s="54">
        <f t="shared" si="0"/>
        <v>180000</v>
      </c>
      <c r="J47" s="55"/>
    </row>
    <row r="48" spans="1:11" ht="30" x14ac:dyDescent="0.25">
      <c r="A48" s="35">
        <v>44</v>
      </c>
      <c r="B48" s="22" t="s">
        <v>180</v>
      </c>
      <c r="C48" s="23" t="s">
        <v>13</v>
      </c>
      <c r="D48" s="24" t="s">
        <v>14</v>
      </c>
      <c r="E48" s="25" t="s">
        <v>181</v>
      </c>
      <c r="F48" s="24" t="s">
        <v>16</v>
      </c>
      <c r="G48" s="26">
        <v>80</v>
      </c>
      <c r="H48" s="27">
        <v>650</v>
      </c>
      <c r="I48" s="28">
        <f t="shared" si="0"/>
        <v>52000</v>
      </c>
      <c r="J48" s="36"/>
    </row>
    <row r="49" spans="1:11" ht="30" x14ac:dyDescent="0.25">
      <c r="A49" s="35">
        <v>45</v>
      </c>
      <c r="B49" s="22" t="s">
        <v>182</v>
      </c>
      <c r="C49" s="23" t="s">
        <v>13</v>
      </c>
      <c r="D49" s="48" t="s">
        <v>142</v>
      </c>
      <c r="E49" s="25" t="s">
        <v>183</v>
      </c>
      <c r="F49" s="24" t="s">
        <v>16</v>
      </c>
      <c r="G49" s="26">
        <v>200</v>
      </c>
      <c r="H49" s="27">
        <v>895.4</v>
      </c>
      <c r="I49" s="49">
        <f t="shared" si="0"/>
        <v>179080</v>
      </c>
      <c r="J49" s="36"/>
    </row>
    <row r="50" spans="1:11" ht="36.75" thickBot="1" x14ac:dyDescent="0.3">
      <c r="A50" s="56">
        <v>46</v>
      </c>
      <c r="B50" s="57" t="s">
        <v>184</v>
      </c>
      <c r="C50" s="58" t="s">
        <v>185</v>
      </c>
      <c r="D50" s="59" t="s">
        <v>142</v>
      </c>
      <c r="E50" s="60" t="s">
        <v>186</v>
      </c>
      <c r="F50" s="61" t="s">
        <v>187</v>
      </c>
      <c r="G50" s="62">
        <v>200</v>
      </c>
      <c r="H50" s="63">
        <v>1378</v>
      </c>
      <c r="I50" s="64">
        <f t="shared" si="0"/>
        <v>275600</v>
      </c>
      <c r="J50" s="19" t="s">
        <v>188</v>
      </c>
      <c r="K50" s="39" t="s">
        <v>189</v>
      </c>
    </row>
    <row r="51" spans="1:11" ht="15.75" thickBot="1" x14ac:dyDescent="0.3">
      <c r="E51" s="2"/>
    </row>
    <row r="52" spans="1:11" ht="15.75" thickBot="1" x14ac:dyDescent="0.3">
      <c r="E52" s="2"/>
      <c r="I52" s="65">
        <f>SUM(I5:I51)</f>
        <v>2512597.5</v>
      </c>
    </row>
    <row r="53" spans="1:11" x14ac:dyDescent="0.25">
      <c r="C53" s="77" t="s">
        <v>190</v>
      </c>
      <c r="D53" s="77"/>
      <c r="E53" s="77"/>
      <c r="F53" s="77"/>
      <c r="G53" s="77"/>
    </row>
    <row r="54" spans="1:11" x14ac:dyDescent="0.25">
      <c r="C54" s="78" t="s">
        <v>191</v>
      </c>
      <c r="D54" s="78"/>
      <c r="E54" s="78"/>
      <c r="F54" s="78"/>
      <c r="G54" s="78"/>
      <c r="I54" s="1" t="s">
        <v>192</v>
      </c>
    </row>
    <row r="55" spans="1:11" x14ac:dyDescent="0.25">
      <c r="C55" s="77" t="s">
        <v>193</v>
      </c>
      <c r="D55" s="77"/>
      <c r="E55" s="77"/>
      <c r="F55" s="77"/>
      <c r="G55" s="77"/>
      <c r="I55" s="66">
        <v>215</v>
      </c>
      <c r="J55" s="67">
        <f>I27</f>
        <v>7560</v>
      </c>
    </row>
    <row r="56" spans="1:11" x14ac:dyDescent="0.25">
      <c r="E56" s="2"/>
      <c r="I56" s="68">
        <v>234</v>
      </c>
      <c r="J56" s="67">
        <f>+I37+I49+I50</f>
        <v>493680</v>
      </c>
    </row>
    <row r="57" spans="1:11" x14ac:dyDescent="0.25">
      <c r="E57" s="2"/>
      <c r="I57" s="69">
        <v>254</v>
      </c>
      <c r="J57" s="67">
        <f>I13</f>
        <v>129150</v>
      </c>
    </row>
    <row r="58" spans="1:11" x14ac:dyDescent="0.25">
      <c r="E58" s="2"/>
      <c r="I58" s="70">
        <v>258</v>
      </c>
      <c r="J58" s="67">
        <f>+I38+I39+I40+I41+I42+I43+I44+I45+I46+I47</f>
        <v>873100</v>
      </c>
    </row>
    <row r="59" spans="1:11" x14ac:dyDescent="0.25">
      <c r="E59" s="2"/>
      <c r="I59" s="71">
        <v>259</v>
      </c>
      <c r="J59" s="67">
        <f>I8</f>
        <v>37000</v>
      </c>
    </row>
    <row r="60" spans="1:11" x14ac:dyDescent="0.25">
      <c r="E60" s="2"/>
      <c r="I60" s="72">
        <v>275</v>
      </c>
      <c r="J60" s="67">
        <f>I29</f>
        <v>60000</v>
      </c>
    </row>
    <row r="61" spans="1:11" x14ac:dyDescent="0.25">
      <c r="E61" s="2"/>
      <c r="I61" s="73">
        <v>291</v>
      </c>
      <c r="J61" s="67">
        <v>900857.5</v>
      </c>
    </row>
    <row r="62" spans="1:11" ht="15.75" thickBot="1" x14ac:dyDescent="0.3">
      <c r="E62" s="2"/>
      <c r="I62" s="74">
        <v>294</v>
      </c>
      <c r="J62" s="75">
        <f>I24</f>
        <v>11250</v>
      </c>
    </row>
    <row r="63" spans="1:11" x14ac:dyDescent="0.25">
      <c r="E63" s="2"/>
      <c r="J63" s="76">
        <f>SUBTOTAL(9,J55:J62)</f>
        <v>2512597.5</v>
      </c>
    </row>
    <row r="64" spans="1:11" x14ac:dyDescent="0.25">
      <c r="E64" s="2"/>
    </row>
  </sheetData>
  <mergeCells count="3">
    <mergeCell ref="C53:G53"/>
    <mergeCell ref="C54:G54"/>
    <mergeCell ref="C55:G5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HSJB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</dc:creator>
  <cp:lastModifiedBy>COMPRAS</cp:lastModifiedBy>
  <dcterms:created xsi:type="dcterms:W3CDTF">2021-07-16T21:01:09Z</dcterms:created>
  <dcterms:modified xsi:type="dcterms:W3CDTF">2021-08-04T13:53:48Z</dcterms:modified>
</cp:coreProperties>
</file>