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COMPRAR 4° TRIMESTRE\Chelala\"/>
    </mc:Choice>
  </mc:AlternateContent>
  <bookViews>
    <workbookView xWindow="0" yWindow="0" windowWidth="28800" windowHeight="12330" tabRatio="500"/>
  </bookViews>
  <sheets>
    <sheet name="Necesidades Trimestrales" sheetId="3" r:id="rId1"/>
    <sheet name=" NotaPedido" sheetId="1" r:id="rId2"/>
    <sheet name="Autor Gastar" sheetId="2" r:id="rId3"/>
  </sheets>
  <definedNames>
    <definedName name="_xlnm._FilterDatabase" localSheetId="0" hidden="1">'Necesidades Trimestrales'!$A$10:$J$16</definedName>
    <definedName name="_xlnm.Print_Area" localSheetId="1">' NotaPedido'!$A$1:$K$14</definedName>
    <definedName name="_xlnm.Print_Area" localSheetId="2">'Autor Gastar'!$A$1:$Q$38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2" i="3" l="1"/>
  <c r="I11" i="3" l="1"/>
  <c r="Q34" i="2" l="1"/>
</calcChain>
</file>

<file path=xl/sharedStrings.xml><?xml version="1.0" encoding="utf-8"?>
<sst xmlns="http://schemas.openxmlformats.org/spreadsheetml/2006/main" count="108" uniqueCount="81">
  <si>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</si>
  <si>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</si>
  <si>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</si>
  <si>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</si>
  <si>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</si>
  <si>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</si>
  <si>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</si>
  <si>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</si>
  <si>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</si>
  <si>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</si>
  <si>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</si>
  <si>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</si>
  <si>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</si>
  <si>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</si>
  <si>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</si>
  <si>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</si>
  <si>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</si>
  <si>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</si>
  <si>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</si>
  <si>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</si>
  <si>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</si>
  <si>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</si>
  <si>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</si>
  <si>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</si>
  <si>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</si>
  <si>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</si>
  <si>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</si>
  <si>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</si>
  <si>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</si>
  <si>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</si>
  <si>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</si>
  <si>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</si>
  <si>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</si>
  <si>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</si>
  <si>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</si>
  <si>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</si>
  <si>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</si>
  <si>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</si>
  <si>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</si>
  <si>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</si>
  <si>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</si>
  <si>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</si>
  <si>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</si>
  <si>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</si>
  <si>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</si>
  <si>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</si>
  <si>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</si>
  <si>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Descripcion Técnica</t>
  </si>
  <si>
    <t>Plazos y lugares de entrega:</t>
  </si>
  <si>
    <t>Mantenmiento</t>
  </si>
  <si>
    <t>UNIDAD</t>
  </si>
  <si>
    <t>Pedido de Necesidades Trimestrales</t>
  </si>
  <si>
    <t>Calidad Minima esperada</t>
  </si>
  <si>
    <t>IMPORTE TOTAL ESTIMADO</t>
  </si>
  <si>
    <t>SI</t>
  </si>
  <si>
    <t>JURISDICCION : 62- MINISTERIO DE INCLUSION DIGITAL Y SISTEMAS PRODUCTIVOS</t>
  </si>
  <si>
    <t>EJERCICIO: 2022</t>
  </si>
  <si>
    <t>62- MINISTERIO DE INCLUSION DIGITAL Y SISTEMAS PRODUCTIVOS</t>
  </si>
  <si>
    <t>MINISTERIO DE INCLUSION DIGITAL Y SISTEMAS PRODUCTIVOS</t>
  </si>
  <si>
    <t xml:space="preserve">SAF N°: 33- DIRECCION PROVINCIAL DE ADMINISTRACION GENERAL </t>
  </si>
  <si>
    <t>33- DIRECCION PROVINCIAL DE ADMINISTRACION GENERAL</t>
  </si>
  <si>
    <t>AGRIC,GANADERIA,CAZA,SILVICULT</t>
  </si>
  <si>
    <t>2.5.3-3960.8</t>
  </si>
  <si>
    <t>FERTILIZANTES; TIPO: UREA GRANULADA, PRESENTACION: BOLSA X 50 Kg</t>
  </si>
  <si>
    <t>Autorizo la realización de los  trámites correspondientes, a fin de proveer a  este Organismo los bienes que se detallan en Nota  de Pedido N° 02/ 2022 afectando la erogación resultante a los créditos presupuestarios aprobados a favor de esta Unidad Ejecutora, conforme al siguiente detalle:</t>
  </si>
  <si>
    <t>ABONOS Y FERTILIZANTES</t>
  </si>
  <si>
    <t>SEGÚN DESCRIPCION DEL ITEM</t>
  </si>
  <si>
    <t>30 DIAS</t>
  </si>
  <si>
    <t>DEBERA SER DE PRIMERA CALIDAD</t>
  </si>
  <si>
    <t>2.5.4-504.152</t>
  </si>
  <si>
    <t>HERBICIDAS; PRINCIPIO ACTIVO: LINURON, CONCENTRACION: 48 %, PRESENTACION: SUSPENSION CONCENTRADA, ACCION: HERBICIDA, USO P/CONTROL: SIN VALOR, USO: HORTICULTURA, USO EN CULTIVO: HORTICULTURA, CONTROL: SIN VALOR</t>
  </si>
  <si>
    <t>TRIMESTRE 04</t>
  </si>
  <si>
    <t>Especialidades item N°1</t>
  </si>
  <si>
    <t>Especialidades item N°2</t>
  </si>
  <si>
    <t>PRESENTACION EN BIDONES DE 5L CADA UNIDAD</t>
  </si>
  <si>
    <t>a)  FORMA DE LA ENTREGA   : AV. VENEZUELA S/N - C.A.P.E - PABELLON N° 28 -SAN FERNANDO DEL VALLE DE CATAMARCA- CATAMARCA. Presentar  Remito que deberá cumplimentar lo dispuesto por la R.G. AFIP 1415/03, sin excepción en las oficinas del Área Compras del Ministerio de Inclusion Digital y Sistemas Productivos. En donde conste el deposito de los insumos en el Predio Anexo de la Viñita, Ruta 38 Kilometro 575. FLETES A CARGO DEL OFERENTE
b)  PLAZO DE ENTREGA: El Oferente deberá establecer plazo de entrega del bien cotizado, debiendo ser expresado en días hábiles; que no podrá ser superior a  Diez 10 días hábiles contados a partir de la recepción de la comunicación prevista en el Artículo 80° de del Reglamento Parcial N° 2 de la ley 4938. -</t>
  </si>
  <si>
    <t>INSECTICIDAS FUMIGANTES Y OTROS</t>
  </si>
  <si>
    <t>TOTAL DE PESOS:TRES MILLONES DOSCIENTOS VEINTIDOS MIL TRESCIENTOS</t>
  </si>
  <si>
    <t>Costo Total Estimado: TRES MILLONES DOSCIENTOS VEINTIDOS MIL TRESCIENTOS</t>
  </si>
  <si>
    <t>4 TRIMESTRE 2022</t>
  </si>
  <si>
    <t>ADQUISICION DE HERBICIDAS Y FERTILIZANTES DESTINADOS AL PREDIO ANEXO LA VIÑITA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</si>
</sst>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\$* #,##0.00_);_(\$* \(#,##0.00\);_(\$* \-??_);_(@_)"/>
    <numFmt numFmtId="165" formatCode="[$$-2C0A]\ #,##0.00"/>
    <numFmt numFmtId="166" formatCode="dd\-mm\-yy;@"/>
    <numFmt numFmtId="167" formatCode="[$$-2C0A]\ #,##0.00;[$$-2C0A]&quot; -&quot;#,##0.00"/>
    <numFmt numFmtId="168" formatCode="&quot;$&quot;#,##0.00"/>
    <numFmt numFmtId="169" formatCode="&quot;$&quot;\ #,##0.00"/>
  </numFmts>
  <fonts count="4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0"/>
      <name val="Times New Roman"/>
      <family val="1"/>
      <charset val="1"/>
    </font>
    <font>
      <b/>
      <sz val="12"/>
      <name val="Times New Roman"/>
      <family val="1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7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</borders>
  <cellStyleXfs count="90">
    <xf numFmtId="0" fontId="0" fillId="0" borderId="0"/>
    <xf numFmtId="0" fontId="6" fillId="0" borderId="1" applyProtection="0"/>
    <xf numFmtId="164" fontId="7" fillId="0" borderId="0" applyBorder="0" applyProtection="0"/>
    <xf numFmtId="0" fontId="8" fillId="2" borderId="0" applyBorder="0" applyProtection="0"/>
    <xf numFmtId="0" fontId="5" fillId="0" borderId="0"/>
    <xf numFmtId="0" fontId="23" fillId="0" borderId="0"/>
    <xf numFmtId="0" fontId="31" fillId="0" borderId="0" applyNumberFormat="0" applyFill="0" applyBorder="0" applyAlignment="0" applyProtection="0"/>
    <xf numFmtId="0" fontId="32" fillId="0" borderId="64" applyNumberFormat="0" applyFill="0" applyAlignment="0" applyProtection="0"/>
    <xf numFmtId="0" fontId="33" fillId="0" borderId="65" applyNumberFormat="0" applyFill="0" applyAlignment="0" applyProtection="0"/>
    <xf numFmtId="0" fontId="33" fillId="0" borderId="0" applyNumberFormat="0" applyFill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6" borderId="66" applyNumberFormat="0" applyAlignment="0" applyProtection="0"/>
    <xf numFmtId="0" fontId="37" fillId="7" borderId="67" applyNumberFormat="0" applyAlignment="0" applyProtection="0"/>
    <xf numFmtId="0" fontId="38" fillId="7" borderId="66" applyNumberFormat="0" applyAlignment="0" applyProtection="0"/>
    <xf numFmtId="0" fontId="39" fillId="0" borderId="68" applyNumberFormat="0" applyFill="0" applyAlignment="0" applyProtection="0"/>
    <xf numFmtId="0" fontId="40" fillId="8" borderId="69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71" applyNumberFormat="0" applyFill="0" applyAlignment="0" applyProtection="0"/>
    <xf numFmtId="0" fontId="4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0" borderId="0"/>
    <xf numFmtId="0" fontId="45" fillId="0" borderId="72" applyNumberFormat="0" applyFill="0" applyAlignment="0" applyProtection="0"/>
    <xf numFmtId="0" fontId="46" fillId="5" borderId="0" applyNumberFormat="0" applyBorder="0" applyAlignment="0" applyProtection="0"/>
    <xf numFmtId="0" fontId="4" fillId="9" borderId="70" applyNumberFormat="0" applyFont="0" applyAlignment="0" applyProtection="0"/>
    <xf numFmtId="0" fontId="44" fillId="13" borderId="0" applyNumberFormat="0" applyBorder="0" applyAlignment="0" applyProtection="0"/>
    <xf numFmtId="0" fontId="44" fillId="17" borderId="0" applyNumberFormat="0" applyBorder="0" applyAlignment="0" applyProtection="0"/>
    <xf numFmtId="0" fontId="44" fillId="21" borderId="0" applyNumberFormat="0" applyBorder="0" applyAlignment="0" applyProtection="0"/>
    <xf numFmtId="0" fontId="44" fillId="25" borderId="0" applyNumberFormat="0" applyBorder="0" applyAlignment="0" applyProtection="0"/>
    <xf numFmtId="0" fontId="44" fillId="29" borderId="0" applyNumberFormat="0" applyBorder="0" applyAlignment="0" applyProtection="0"/>
    <xf numFmtId="0" fontId="44" fillId="33" borderId="0" applyNumberFormat="0" applyBorder="0" applyAlignment="0" applyProtection="0"/>
    <xf numFmtId="0" fontId="3" fillId="0" borderId="0"/>
    <xf numFmtId="0" fontId="3" fillId="9" borderId="70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" fillId="0" borderId="0"/>
    <xf numFmtId="0" fontId="2" fillId="9" borderId="7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0" fontId="1" fillId="9" borderId="70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8">
    <xf numFmtId="0" fontId="0" fillId="0" borderId="0" xfId="0"/>
    <xf numFmtId="0" fontId="7" fillId="0" borderId="0" xfId="0" applyFont="1" applyBorder="1" applyAlignment="1">
      <alignment vertical="center"/>
    </xf>
    <xf numFmtId="0" fontId="10" fillId="0" borderId="3" xfId="0" applyFont="1" applyBorder="1" applyAlignment="1">
      <alignment horizontal="right" vertical="center"/>
    </xf>
    <xf numFmtId="0" fontId="11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2" fillId="0" borderId="12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 wrapText="1" indent="1"/>
    </xf>
    <xf numFmtId="0" fontId="11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5" fillId="0" borderId="19" xfId="0" applyNumberFormat="1" applyFont="1" applyBorder="1" applyAlignment="1"/>
    <xf numFmtId="166" fontId="0" fillId="0" borderId="19" xfId="0" applyNumberFormat="1" applyBorder="1" applyAlignment="1">
      <alignment horizontal="left"/>
    </xf>
    <xf numFmtId="0" fontId="0" fillId="0" borderId="19" xfId="0" applyBorder="1"/>
    <xf numFmtId="0" fontId="0" fillId="0" borderId="12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7" xfId="0" applyBorder="1"/>
    <xf numFmtId="0" fontId="7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5" xfId="0" applyBorder="1"/>
    <xf numFmtId="0" fontId="19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29" xfId="0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7" fontId="0" fillId="0" borderId="40" xfId="2" applyNumberFormat="1" applyFont="1" applyBorder="1" applyAlignment="1" applyProtection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7" fontId="0" fillId="0" borderId="44" xfId="2" applyNumberFormat="1" applyFont="1" applyBorder="1" applyAlignment="1" applyProtection="1">
      <alignment horizontal="center" vertical="center"/>
    </xf>
    <xf numFmtId="167" fontId="19" fillId="0" borderId="46" xfId="0" applyNumberFormat="1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167" fontId="20" fillId="0" borderId="35" xfId="2" applyNumberFormat="1" applyFont="1" applyBorder="1" applyAlignment="1" applyProtection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3" fillId="0" borderId="0" xfId="0" applyFont="1" applyBorder="1"/>
    <xf numFmtId="0" fontId="24" fillId="0" borderId="0" xfId="0" applyFont="1" applyBorder="1"/>
    <xf numFmtId="0" fontId="0" fillId="0" borderId="48" xfId="0" applyBorder="1" applyAlignment="1">
      <alignment horizontal="center" vertical="center"/>
    </xf>
    <xf numFmtId="0" fontId="22" fillId="0" borderId="0" xfId="0" applyFont="1"/>
    <xf numFmtId="0" fontId="22" fillId="0" borderId="9" xfId="0" applyFont="1" applyBorder="1" applyAlignment="1">
      <alignment horizontal="center" vertical="center"/>
    </xf>
    <xf numFmtId="0" fontId="25" fillId="0" borderId="0" xfId="0" applyFont="1" applyBorder="1"/>
    <xf numFmtId="0" fontId="24" fillId="0" borderId="56" xfId="0" applyFont="1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24" fillId="0" borderId="62" xfId="0" applyFont="1" applyBorder="1"/>
    <xf numFmtId="0" fontId="0" fillId="0" borderId="62" xfId="0" applyBorder="1"/>
    <xf numFmtId="0" fontId="0" fillId="0" borderId="63" xfId="0" applyBorder="1"/>
    <xf numFmtId="0" fontId="28" fillId="0" borderId="55" xfId="0" applyFont="1" applyFill="1" applyBorder="1" applyAlignment="1">
      <alignment horizontal="center" vertical="center" wrapText="1"/>
    </xf>
    <xf numFmtId="0" fontId="27" fillId="0" borderId="55" xfId="0" applyFont="1" applyFill="1" applyBorder="1" applyAlignment="1">
      <alignment horizontal="center" vertical="center"/>
    </xf>
    <xf numFmtId="3" fontId="27" fillId="0" borderId="55" xfId="0" applyNumberFormat="1" applyFont="1" applyFill="1" applyBorder="1" applyAlignment="1">
      <alignment horizontal="center" vertical="center"/>
    </xf>
    <xf numFmtId="168" fontId="27" fillId="0" borderId="5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5" fillId="0" borderId="0" xfId="0" applyFont="1" applyBorder="1" applyAlignment="1">
      <alignment horizontal="left"/>
    </xf>
    <xf numFmtId="0" fontId="23" fillId="0" borderId="62" xfId="5" applyBorder="1"/>
    <xf numFmtId="0" fontId="24" fillId="0" borderId="62" xfId="5" applyFont="1" applyBorder="1"/>
    <xf numFmtId="0" fontId="13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0" fillId="0" borderId="57" xfId="0" applyBorder="1" applyAlignment="1">
      <alignment vertical="top"/>
    </xf>
    <xf numFmtId="0" fontId="0" fillId="0" borderId="57" xfId="0" applyBorder="1" applyAlignment="1">
      <alignment horizontal="left"/>
    </xf>
    <xf numFmtId="169" fontId="27" fillId="0" borderId="55" xfId="0" applyNumberFormat="1" applyFont="1" applyFill="1" applyBorder="1" applyAlignment="1">
      <alignment horizontal="center" vertical="center"/>
    </xf>
    <xf numFmtId="0" fontId="25" fillId="0" borderId="62" xfId="0" applyFont="1" applyBorder="1"/>
    <xf numFmtId="0" fontId="0" fillId="0" borderId="55" xfId="0" applyFill="1" applyBorder="1" applyAlignment="1">
      <alignment horizontal="center" vertical="center"/>
    </xf>
    <xf numFmtId="0" fontId="47" fillId="0" borderId="55" xfId="4" applyFont="1" applyFill="1" applyBorder="1" applyAlignment="1">
      <alignment horizontal="left" vertical="center" wrapText="1"/>
    </xf>
    <xf numFmtId="0" fontId="27" fillId="0" borderId="55" xfId="0" applyFont="1" applyFill="1" applyBorder="1" applyAlignment="1">
      <alignment horizontal="center" vertical="center" wrapText="1"/>
    </xf>
    <xf numFmtId="165" fontId="27" fillId="0" borderId="55" xfId="0" applyNumberFormat="1" applyFont="1" applyFill="1" applyBorder="1" applyAlignment="1">
      <alignment horizontal="center" vertical="center"/>
    </xf>
    <xf numFmtId="0" fontId="28" fillId="0" borderId="55" xfId="0" applyFont="1" applyFill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0" fillId="0" borderId="60" xfId="0" applyBorder="1" applyAlignment="1">
      <alignment horizontal="center"/>
    </xf>
    <xf numFmtId="0" fontId="25" fillId="0" borderId="0" xfId="0" applyFont="1" applyBorder="1" applyAlignment="1">
      <alignment horizontal="left" wrapText="1"/>
    </xf>
    <xf numFmtId="0" fontId="25" fillId="0" borderId="60" xfId="0" applyFont="1" applyBorder="1" applyAlignment="1">
      <alignment horizontal="left" wrapText="1"/>
    </xf>
    <xf numFmtId="0" fontId="26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 indent="1"/>
    </xf>
    <xf numFmtId="0" fontId="11" fillId="0" borderId="47" xfId="0" applyFont="1" applyBorder="1" applyAlignment="1">
      <alignment horizontal="left" vertical="center" wrapText="1" indent="1"/>
    </xf>
    <xf numFmtId="0" fontId="11" fillId="0" borderId="18" xfId="0" applyFont="1" applyBorder="1" applyAlignment="1">
      <alignment horizontal="left" vertical="center" wrapText="1" indent="1"/>
    </xf>
    <xf numFmtId="0" fontId="12" fillId="0" borderId="10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 indent="1"/>
    </xf>
    <xf numFmtId="0" fontId="11" fillId="0" borderId="52" xfId="0" applyFont="1" applyBorder="1" applyAlignment="1">
      <alignment horizontal="left" vertical="center" wrapText="1" indent="1"/>
    </xf>
    <xf numFmtId="0" fontId="11" fillId="0" borderId="53" xfId="0" applyFont="1" applyBorder="1" applyAlignment="1">
      <alignment horizontal="left" vertical="center" wrapText="1" indent="1"/>
    </xf>
    <xf numFmtId="0" fontId="11" fillId="0" borderId="54" xfId="0" applyFont="1" applyBorder="1" applyAlignment="1">
      <alignment horizontal="left" vertical="center" wrapText="1" indent="1"/>
    </xf>
    <xf numFmtId="165" fontId="30" fillId="0" borderId="52" xfId="0" applyNumberFormat="1" applyFont="1" applyBorder="1" applyAlignment="1">
      <alignment horizontal="center" vertical="center"/>
    </xf>
    <xf numFmtId="165" fontId="30" fillId="0" borderId="5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11" fillId="0" borderId="73" xfId="0" applyFont="1" applyBorder="1" applyAlignment="1">
      <alignment horizontal="left" vertical="center" wrapText="1" indent="1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/>
    </xf>
    <xf numFmtId="3" fontId="15" fillId="0" borderId="18" xfId="0" applyNumberFormat="1" applyFont="1" applyBorder="1" applyAlignment="1">
      <alignment horizontal="center"/>
    </xf>
    <xf numFmtId="0" fontId="16" fillId="0" borderId="4" xfId="0" applyFont="1" applyBorder="1" applyAlignment="1">
      <alignment horizontal="center" vertical="center" wrapText="1"/>
    </xf>
    <xf numFmtId="0" fontId="7" fillId="0" borderId="20" xfId="0" applyFont="1" applyBorder="1"/>
    <xf numFmtId="0" fontId="20" fillId="0" borderId="21" xfId="0" applyFont="1" applyBorder="1" applyAlignment="1">
      <alignment horizontal="left" indent="1"/>
    </xf>
    <xf numFmtId="0" fontId="14" fillId="0" borderId="20" xfId="0" applyFont="1" applyBorder="1" applyAlignment="1">
      <alignment horizontal="left" vertical="center" wrapText="1"/>
    </xf>
    <xf numFmtId="0" fontId="21" fillId="0" borderId="33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left"/>
    </xf>
    <xf numFmtId="0" fontId="17" fillId="0" borderId="23" xfId="0" applyFont="1" applyBorder="1" applyAlignment="1">
      <alignment horizontal="left"/>
    </xf>
    <xf numFmtId="49" fontId="17" fillId="0" borderId="24" xfId="0" applyNumberFormat="1" applyFont="1" applyBorder="1" applyAlignment="1">
      <alignment horizontal="justify" vertical="center" wrapText="1"/>
    </xf>
    <xf numFmtId="0" fontId="19" fillId="0" borderId="23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39" xfId="0" applyFont="1" applyBorder="1" applyAlignment="1">
      <alignment horizontal="left" vertical="center"/>
    </xf>
    <xf numFmtId="0" fontId="15" fillId="0" borderId="9" xfId="0" applyFont="1" applyBorder="1" applyAlignment="1">
      <alignment vertical="center" wrapText="1"/>
    </xf>
    <xf numFmtId="0" fontId="17" fillId="0" borderId="27" xfId="0" applyFont="1" applyBorder="1" applyAlignment="1">
      <alignment vertical="center" wrapText="1"/>
    </xf>
    <xf numFmtId="0" fontId="17" fillId="0" borderId="16" xfId="0" applyFont="1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15" fillId="0" borderId="45" xfId="0" applyFont="1" applyBorder="1" applyAlignment="1">
      <alignment horizontal="left" vertical="center" wrapText="1"/>
    </xf>
    <xf numFmtId="0" fontId="0" fillId="0" borderId="23" xfId="0" applyBorder="1"/>
    <xf numFmtId="0" fontId="25" fillId="0" borderId="0" xfId="0" applyFont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 wrapText="1"/>
    </xf>
  </cellXfs>
  <cellStyles count="90">
    <cellStyle name="20% - Énfasis1" xfId="21" builtinId="30" customBuiltin="1"/>
    <cellStyle name="20% - Énfasis1 2" xfId="50"/>
    <cellStyle name="20% - Énfasis1 3" xfId="64"/>
    <cellStyle name="20% - Énfasis1 4" xfId="78"/>
    <cellStyle name="20% - Énfasis2" xfId="24" builtinId="34" customBuiltin="1"/>
    <cellStyle name="20% - Énfasis2 2" xfId="52"/>
    <cellStyle name="20% - Énfasis2 3" xfId="66"/>
    <cellStyle name="20% - Énfasis2 4" xfId="80"/>
    <cellStyle name="20% - Énfasis3" xfId="27" builtinId="38" customBuiltin="1"/>
    <cellStyle name="20% - Énfasis3 2" xfId="54"/>
    <cellStyle name="20% - Énfasis3 3" xfId="68"/>
    <cellStyle name="20% - Énfasis3 4" xfId="82"/>
    <cellStyle name="20% - Énfasis4" xfId="30" builtinId="42" customBuiltin="1"/>
    <cellStyle name="20% - Énfasis4 2" xfId="56"/>
    <cellStyle name="20% - Énfasis4 3" xfId="70"/>
    <cellStyle name="20% - Énfasis4 4" xfId="84"/>
    <cellStyle name="20% - Énfasis5" xfId="33" builtinId="46" customBuiltin="1"/>
    <cellStyle name="20% - Énfasis5 2" xfId="58"/>
    <cellStyle name="20% - Énfasis5 3" xfId="72"/>
    <cellStyle name="20% - Énfasis5 4" xfId="86"/>
    <cellStyle name="20% - Énfasis6" xfId="36" builtinId="50" customBuiltin="1"/>
    <cellStyle name="20% - Énfasis6 2" xfId="60"/>
    <cellStyle name="20% - Énfasis6 3" xfId="74"/>
    <cellStyle name="20% - Énfasis6 4" xfId="88"/>
    <cellStyle name="40% - Énfasis1" xfId="22" builtinId="31" customBuiltin="1"/>
    <cellStyle name="40% - Énfasis1 2" xfId="51"/>
    <cellStyle name="40% - Énfasis1 3" xfId="65"/>
    <cellStyle name="40% - Énfasis1 4" xfId="79"/>
    <cellStyle name="40% - Énfasis2" xfId="25" builtinId="35" customBuiltin="1"/>
    <cellStyle name="40% - Énfasis2 2" xfId="53"/>
    <cellStyle name="40% - Énfasis2 3" xfId="67"/>
    <cellStyle name="40% - Énfasis2 4" xfId="81"/>
    <cellStyle name="40% - Énfasis3" xfId="28" builtinId="39" customBuiltin="1"/>
    <cellStyle name="40% - Énfasis3 2" xfId="55"/>
    <cellStyle name="40% - Énfasis3 3" xfId="69"/>
    <cellStyle name="40% - Énfasis3 4" xfId="83"/>
    <cellStyle name="40% - Énfasis4" xfId="31" builtinId="43" customBuiltin="1"/>
    <cellStyle name="40% - Énfasis4 2" xfId="57"/>
    <cellStyle name="40% - Énfasis4 3" xfId="71"/>
    <cellStyle name="40% - Énfasis4 4" xfId="85"/>
    <cellStyle name="40% - Énfasis5" xfId="34" builtinId="47" customBuiltin="1"/>
    <cellStyle name="40% - Énfasis5 2" xfId="59"/>
    <cellStyle name="40% - Énfasis5 3" xfId="73"/>
    <cellStyle name="40% - Énfasis5 4" xfId="87"/>
    <cellStyle name="40% - Énfasis6" xfId="37" builtinId="51" customBuiltin="1"/>
    <cellStyle name="40% - Énfasis6 2" xfId="61"/>
    <cellStyle name="40% - Énfasis6 3" xfId="75"/>
    <cellStyle name="40% - Énfasis6 4" xfId="89"/>
    <cellStyle name="60% - Énfasis1 2" xfId="42"/>
    <cellStyle name="60% - Énfasis2 2" xfId="43"/>
    <cellStyle name="60% - Énfasis3 2" xfId="44"/>
    <cellStyle name="60% - Énfasis4 2" xfId="45"/>
    <cellStyle name="60% - Énfasis5 2" xfId="46"/>
    <cellStyle name="60% - Énfasis6 2" xfId="47"/>
    <cellStyle name="Bueno" xfId="10" builtinId="26" customBuiltin="1"/>
    <cellStyle name="Cálculo" xfId="14" builtinId="22" customBuiltin="1"/>
    <cellStyle name="Celda de comprobación" xfId="16" builtinId="23" customBuiltin="1"/>
    <cellStyle name="Celda vinculada" xfId="15" builtinId="24" customBuiltin="1"/>
    <cellStyle name="Encabezado 1" xfId="1"/>
    <cellStyle name="Encabezado 1 2" xfId="39"/>
    <cellStyle name="Encabezado 4" xfId="9" builtinId="19" customBuiltin="1"/>
    <cellStyle name="Énfasis1" xfId="20" builtinId="29" customBuiltin="1"/>
    <cellStyle name="Énfasis2" xfId="23" builtinId="33" customBuiltin="1"/>
    <cellStyle name="Énfasis3" xfId="26" builtinId="37" customBuiltin="1"/>
    <cellStyle name="Énfasis4" xfId="29" builtinId="41" customBuiltin="1"/>
    <cellStyle name="Énfasis5" xfId="32" builtinId="45" customBuiltin="1"/>
    <cellStyle name="Énfasis6" xfId="35" builtinId="49" customBuiltin="1"/>
    <cellStyle name="Entrada" xfId="12" builtinId="20" customBuiltin="1"/>
    <cellStyle name="Incorrecto" xfId="11" builtinId="27" customBuiltin="1"/>
    <cellStyle name="Moneda_AUTORIZACION Y NOTA DE PEDIDO" xfId="2"/>
    <cellStyle name="Neutral 1" xfId="3"/>
    <cellStyle name="Neutral 2" xfId="40"/>
    <cellStyle name="Normal" xfId="0" builtinId="0"/>
    <cellStyle name="Normal 2" xfId="4"/>
    <cellStyle name="Normal 3" xfId="5"/>
    <cellStyle name="Normal 4" xfId="38"/>
    <cellStyle name="Normal 5" xfId="48"/>
    <cellStyle name="Normal 6" xfId="62"/>
    <cellStyle name="Normal 7" xfId="76"/>
    <cellStyle name="Notas 2" xfId="41"/>
    <cellStyle name="Notas 3" xfId="49"/>
    <cellStyle name="Notas 4" xfId="63"/>
    <cellStyle name="Notas 5" xfId="77"/>
    <cellStyle name="Salida" xfId="13" builtinId="21" customBuiltin="1"/>
    <cellStyle name="Texto de advertencia" xfId="17" builtinId="11" customBuiltin="1"/>
    <cellStyle name="Texto explicativo" xfId="18" builtinId="53" customBuiltin="1"/>
    <cellStyle name="Título" xfId="6" builtinId="15" customBuiltin="1"/>
    <cellStyle name="Título 2" xfId="7" builtinId="17" customBuiltin="1"/>
    <cellStyle name="Título 3" xfId="8" builtinId="18" customBuiltin="1"/>
    <cellStyle name="Total" xfId="19" builtinId="25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4"/>
  <sheetViews>
    <sheetView tabSelected="1" topLeftCell="A16" zoomScale="106" zoomScaleNormal="106" workbookViewId="0">
      <selection activeCell="D29" sqref="D29:I30"/>
    </sheetView>
  </sheetViews>
  <sheetFormatPr baseColWidth="10" defaultRowHeight="12.75" x14ac:dyDescent="0.2"/>
  <cols>
    <col min="1" max="1" width="5.5703125" customWidth="1"/>
    <col min="2" max="2" width="20.5703125" customWidth="1"/>
    <col min="3" max="3" width="32.28515625" customWidth="1"/>
    <col min="5" max="5" width="31" customWidth="1"/>
    <col min="6" max="6" width="10.28515625" customWidth="1"/>
    <col min="7" max="7" width="10.7109375" customWidth="1"/>
    <col min="8" max="8" width="11.5703125" bestFit="1" customWidth="1"/>
    <col min="9" max="9" width="15.28515625" bestFit="1" customWidth="1"/>
  </cols>
  <sheetData>
    <row r="2" spans="1:9" ht="18" customHeight="1" x14ac:dyDescent="0.2">
      <c r="B2" s="92" t="s">
        <v>51</v>
      </c>
      <c r="C2" s="92"/>
      <c r="D2" s="73"/>
      <c r="E2" s="73"/>
      <c r="F2" s="73"/>
      <c r="G2" s="73"/>
      <c r="H2" s="73"/>
      <c r="I2" s="73"/>
    </row>
    <row r="4" spans="1:9" x14ac:dyDescent="0.2">
      <c r="A4" s="57" t="s">
        <v>55</v>
      </c>
      <c r="B4" s="57"/>
      <c r="C4" s="57"/>
      <c r="D4" s="57"/>
      <c r="E4" s="57"/>
      <c r="F4" s="57"/>
      <c r="G4" s="57"/>
      <c r="H4" s="57"/>
      <c r="I4" s="57"/>
    </row>
    <row r="5" spans="1:9" x14ac:dyDescent="0.2">
      <c r="A5" s="57" t="s">
        <v>59</v>
      </c>
      <c r="B5" s="57"/>
      <c r="C5" s="57"/>
      <c r="D5" s="57"/>
      <c r="E5" s="57"/>
      <c r="F5" s="57"/>
      <c r="G5" s="57"/>
      <c r="H5" s="57"/>
      <c r="I5" s="57"/>
    </row>
    <row r="6" spans="1:9" x14ac:dyDescent="0.2">
      <c r="A6" s="57" t="s">
        <v>56</v>
      </c>
      <c r="B6" s="57"/>
      <c r="C6" s="57"/>
      <c r="D6" s="57"/>
      <c r="E6" s="57"/>
      <c r="F6" s="57"/>
      <c r="G6" s="57"/>
      <c r="H6" s="57"/>
      <c r="I6" s="57"/>
    </row>
    <row r="7" spans="1:9" x14ac:dyDescent="0.2">
      <c r="A7" s="57" t="s">
        <v>71</v>
      </c>
      <c r="B7" s="57"/>
      <c r="C7" s="57"/>
      <c r="D7" s="57"/>
      <c r="E7" s="57"/>
      <c r="F7" s="57"/>
      <c r="G7" s="57"/>
      <c r="H7" s="57"/>
      <c r="I7" s="57"/>
    </row>
    <row r="8" spans="1:9" x14ac:dyDescent="0.2">
      <c r="A8" s="57"/>
      <c r="B8" s="57"/>
      <c r="C8" s="57"/>
      <c r="D8" s="57"/>
      <c r="E8" s="57"/>
      <c r="F8" s="57"/>
      <c r="G8" s="57"/>
      <c r="H8" s="57"/>
      <c r="I8" s="57"/>
    </row>
    <row r="9" spans="1:9" ht="13.5" thickBot="1" x14ac:dyDescent="0.25">
      <c r="A9" s="57"/>
      <c r="B9" s="57"/>
      <c r="C9" s="57"/>
      <c r="D9" s="57"/>
      <c r="E9" s="57"/>
      <c r="F9" s="57"/>
      <c r="G9" s="57"/>
      <c r="H9" s="57"/>
      <c r="I9" s="57"/>
    </row>
    <row r="10" spans="1:9" ht="38.25" customHeight="1" thickBot="1" x14ac:dyDescent="0.25">
      <c r="A10" s="58" t="s">
        <v>39</v>
      </c>
      <c r="B10" s="50" t="s">
        <v>40</v>
      </c>
      <c r="C10" s="51" t="s">
        <v>41</v>
      </c>
      <c r="D10" s="51" t="s">
        <v>42</v>
      </c>
      <c r="E10" s="51" t="s">
        <v>43</v>
      </c>
      <c r="F10" s="52" t="s">
        <v>44</v>
      </c>
      <c r="G10" s="51" t="s">
        <v>45</v>
      </c>
      <c r="H10" s="52" t="s">
        <v>46</v>
      </c>
      <c r="I10" s="53" t="s">
        <v>53</v>
      </c>
    </row>
    <row r="11" spans="1:9" ht="38.25" customHeight="1" x14ac:dyDescent="0.2">
      <c r="A11" s="56">
        <v>1</v>
      </c>
      <c r="B11" s="69" t="s">
        <v>62</v>
      </c>
      <c r="C11" s="69" t="s">
        <v>61</v>
      </c>
      <c r="D11" s="69">
        <v>253</v>
      </c>
      <c r="E11" s="87" t="s">
        <v>63</v>
      </c>
      <c r="F11" s="70" t="s">
        <v>50</v>
      </c>
      <c r="G11" s="70">
        <v>145</v>
      </c>
      <c r="H11" s="70">
        <v>11100</v>
      </c>
      <c r="I11" s="72">
        <f t="shared" ref="I11" si="0">H11*G11</f>
        <v>1609500</v>
      </c>
    </row>
    <row r="12" spans="1:9" ht="89.25" x14ac:dyDescent="0.2">
      <c r="A12" s="83">
        <v>4</v>
      </c>
      <c r="B12" s="70" t="s">
        <v>69</v>
      </c>
      <c r="C12" s="85" t="s">
        <v>61</v>
      </c>
      <c r="D12" s="69">
        <v>254</v>
      </c>
      <c r="E12" s="84" t="s">
        <v>70</v>
      </c>
      <c r="F12" s="70" t="s">
        <v>50</v>
      </c>
      <c r="G12" s="71">
        <v>42</v>
      </c>
      <c r="H12" s="72">
        <v>38400</v>
      </c>
      <c r="I12" s="86">
        <f>H12*G12</f>
        <v>1612800</v>
      </c>
    </row>
    <row r="13" spans="1:9" ht="38.25" customHeight="1" x14ac:dyDescent="0.2">
      <c r="B13" s="75"/>
      <c r="C13" s="76"/>
      <c r="D13" s="75"/>
      <c r="E13" s="75"/>
      <c r="F13" s="75"/>
      <c r="G13" s="75"/>
      <c r="H13" s="75"/>
      <c r="I13" s="75"/>
    </row>
    <row r="14" spans="1:9" x14ac:dyDescent="0.2">
      <c r="B14" s="60" t="s">
        <v>72</v>
      </c>
      <c r="C14" s="80"/>
      <c r="D14" s="61"/>
      <c r="E14" s="79"/>
      <c r="F14" s="61"/>
      <c r="G14" s="61"/>
      <c r="H14" s="61"/>
      <c r="I14" s="62"/>
    </row>
    <row r="15" spans="1:9" x14ac:dyDescent="0.2">
      <c r="B15" s="63"/>
      <c r="C15" s="55" t="s">
        <v>47</v>
      </c>
      <c r="D15" s="136" t="s">
        <v>66</v>
      </c>
      <c r="E15" s="136"/>
      <c r="F15" s="136"/>
      <c r="G15" s="136"/>
      <c r="H15" s="136"/>
      <c r="I15" s="137"/>
    </row>
    <row r="16" spans="1:9" ht="38.25" customHeight="1" x14ac:dyDescent="0.2">
      <c r="B16" s="63"/>
      <c r="C16" s="17"/>
      <c r="D16" s="136"/>
      <c r="E16" s="136"/>
      <c r="F16" s="136"/>
      <c r="G16" s="136"/>
      <c r="H16" s="136"/>
      <c r="I16" s="137"/>
    </row>
    <row r="17" spans="2:9" x14ac:dyDescent="0.2">
      <c r="B17" s="63"/>
      <c r="C17" s="55" t="s">
        <v>48</v>
      </c>
      <c r="D17" s="88"/>
      <c r="E17" s="88"/>
      <c r="F17" s="88"/>
      <c r="G17" s="88"/>
      <c r="H17" s="88"/>
      <c r="I17" s="89"/>
    </row>
    <row r="18" spans="2:9" x14ac:dyDescent="0.2">
      <c r="B18" s="63"/>
      <c r="C18" s="54"/>
      <c r="D18" s="90" t="s">
        <v>75</v>
      </c>
      <c r="E18" s="90"/>
      <c r="F18" s="90"/>
      <c r="G18" s="90"/>
      <c r="H18" s="90"/>
      <c r="I18" s="91"/>
    </row>
    <row r="19" spans="2:9" ht="71.25" customHeight="1" x14ac:dyDescent="0.2">
      <c r="B19" s="63"/>
      <c r="C19" s="54"/>
      <c r="D19" s="90"/>
      <c r="E19" s="90"/>
      <c r="F19" s="90"/>
      <c r="G19" s="90"/>
      <c r="H19" s="90"/>
      <c r="I19" s="91"/>
    </row>
    <row r="20" spans="2:9" x14ac:dyDescent="0.2">
      <c r="B20" s="63"/>
      <c r="C20" s="54"/>
      <c r="D20" s="17"/>
      <c r="E20" s="17"/>
      <c r="F20" s="17"/>
      <c r="G20" s="17"/>
      <c r="H20" s="17"/>
      <c r="I20" s="64"/>
    </row>
    <row r="21" spans="2:9" x14ac:dyDescent="0.2">
      <c r="B21" s="63"/>
      <c r="C21" s="55" t="s">
        <v>52</v>
      </c>
      <c r="D21" s="74" t="s">
        <v>68</v>
      </c>
      <c r="E21" s="74"/>
      <c r="F21" s="17"/>
      <c r="G21" s="17"/>
      <c r="H21" s="17"/>
      <c r="I21" s="64"/>
    </row>
    <row r="22" spans="2:9" x14ac:dyDescent="0.2">
      <c r="B22" s="63"/>
      <c r="C22" s="55" t="s">
        <v>49</v>
      </c>
      <c r="D22" s="59" t="s">
        <v>67</v>
      </c>
      <c r="E22" s="17"/>
      <c r="F22" s="17"/>
      <c r="G22" s="17"/>
      <c r="H22" s="17"/>
      <c r="I22" s="64"/>
    </row>
    <row r="23" spans="2:9" x14ac:dyDescent="0.2">
      <c r="B23" s="65"/>
      <c r="C23" s="66"/>
      <c r="D23" s="82"/>
      <c r="E23" s="67"/>
      <c r="F23" s="67"/>
      <c r="G23" s="67"/>
      <c r="H23" s="67"/>
      <c r="I23" s="68"/>
    </row>
    <row r="25" spans="2:9" x14ac:dyDescent="0.2">
      <c r="B25" s="60" t="s">
        <v>73</v>
      </c>
      <c r="C25" s="80"/>
      <c r="D25" s="61"/>
      <c r="E25" s="79"/>
      <c r="F25" s="61"/>
      <c r="G25" s="61"/>
      <c r="H25" s="61"/>
      <c r="I25" s="62"/>
    </row>
    <row r="26" spans="2:9" x14ac:dyDescent="0.2">
      <c r="B26" s="63"/>
      <c r="C26" s="55" t="s">
        <v>47</v>
      </c>
      <c r="D26" s="136" t="s">
        <v>74</v>
      </c>
      <c r="E26" s="136"/>
      <c r="F26" s="136"/>
      <c r="G26" s="136"/>
      <c r="H26" s="136"/>
      <c r="I26" s="137"/>
    </row>
    <row r="27" spans="2:9" x14ac:dyDescent="0.2">
      <c r="B27" s="63"/>
      <c r="C27" s="17"/>
      <c r="D27" s="136"/>
      <c r="E27" s="136"/>
      <c r="F27" s="136"/>
      <c r="G27" s="136"/>
      <c r="H27" s="136"/>
      <c r="I27" s="137"/>
    </row>
    <row r="28" spans="2:9" x14ac:dyDescent="0.2">
      <c r="B28" s="63"/>
      <c r="C28" s="55" t="s">
        <v>48</v>
      </c>
      <c r="D28" s="88"/>
      <c r="E28" s="88"/>
      <c r="F28" s="88"/>
      <c r="G28" s="88"/>
      <c r="H28" s="88"/>
      <c r="I28" s="89"/>
    </row>
    <row r="29" spans="2:9" x14ac:dyDescent="0.2">
      <c r="B29" s="63"/>
      <c r="C29" s="54"/>
      <c r="D29" s="90" t="s">
        <v>75</v>
      </c>
      <c r="E29" s="90"/>
      <c r="F29" s="90"/>
      <c r="G29" s="90"/>
      <c r="H29" s="90"/>
      <c r="I29" s="91"/>
    </row>
    <row r="30" spans="2:9" ht="72.75" customHeight="1" x14ac:dyDescent="0.2">
      <c r="B30" s="63"/>
      <c r="C30" s="54"/>
      <c r="D30" s="90"/>
      <c r="E30" s="90"/>
      <c r="F30" s="90"/>
      <c r="G30" s="90"/>
      <c r="H30" s="90"/>
      <c r="I30" s="91"/>
    </row>
    <row r="31" spans="2:9" x14ac:dyDescent="0.2">
      <c r="B31" s="63"/>
      <c r="C31" s="54"/>
      <c r="D31" s="17"/>
      <c r="E31" s="17"/>
      <c r="F31" s="17"/>
      <c r="G31" s="17"/>
      <c r="H31" s="17"/>
      <c r="I31" s="64"/>
    </row>
    <row r="32" spans="2:9" x14ac:dyDescent="0.2">
      <c r="B32" s="63"/>
      <c r="C32" s="55" t="s">
        <v>52</v>
      </c>
      <c r="D32" s="74" t="s">
        <v>68</v>
      </c>
      <c r="E32" s="74"/>
      <c r="F32" s="17"/>
      <c r="G32" s="17"/>
      <c r="H32" s="17"/>
      <c r="I32" s="64"/>
    </row>
    <row r="33" spans="2:9" x14ac:dyDescent="0.2">
      <c r="B33" s="63"/>
      <c r="C33" s="55" t="s">
        <v>49</v>
      </c>
      <c r="D33" s="59" t="s">
        <v>67</v>
      </c>
      <c r="E33" s="17"/>
      <c r="F33" s="17"/>
      <c r="G33" s="17"/>
      <c r="H33" s="17"/>
      <c r="I33" s="64"/>
    </row>
    <row r="34" spans="2:9" x14ac:dyDescent="0.2">
      <c r="B34" s="65"/>
      <c r="C34" s="66"/>
      <c r="D34" s="82"/>
      <c r="E34" s="67"/>
      <c r="F34" s="67"/>
      <c r="G34" s="67"/>
      <c r="H34" s="67"/>
      <c r="I34" s="68"/>
    </row>
  </sheetData>
  <autoFilter ref="A10:J16"/>
  <mergeCells count="7">
    <mergeCell ref="D26:I27"/>
    <mergeCell ref="D29:I30"/>
    <mergeCell ref="B2:C2"/>
    <mergeCell ref="D18:I19"/>
    <mergeCell ref="D17:I17"/>
    <mergeCell ref="D15:I16"/>
    <mergeCell ref="D28:I28"/>
  </mergeCells>
  <phoneticPr fontId="25" type="noConversion"/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4"/>
  <sheetViews>
    <sheetView zoomScaleNormal="100" workbookViewId="0">
      <selection activeCell="C13" sqref="C13:G13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93" t="s">
        <v>0</v>
      </c>
      <c r="B1" s="93"/>
      <c r="C1" s="93"/>
      <c r="D1" s="93"/>
      <c r="E1" s="93"/>
      <c r="F1" s="93"/>
      <c r="G1" s="93"/>
      <c r="H1" s="93"/>
      <c r="I1" s="93"/>
      <c r="J1" s="2" t="s">
        <v>1</v>
      </c>
      <c r="K1" s="3">
        <v>2</v>
      </c>
    </row>
    <row r="2" spans="1:11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 x14ac:dyDescent="0.25">
      <c r="A3" s="94" t="s">
        <v>2</v>
      </c>
      <c r="B3" s="94"/>
      <c r="C3" s="94"/>
      <c r="D3" s="95" t="s">
        <v>57</v>
      </c>
      <c r="E3" s="96"/>
      <c r="F3" s="96"/>
      <c r="G3" s="96"/>
      <c r="H3" s="96"/>
      <c r="I3" s="96"/>
      <c r="J3" s="96"/>
      <c r="K3" s="97"/>
    </row>
    <row r="4" spans="1:11" ht="18.75" customHeight="1" thickBot="1" x14ac:dyDescent="0.25">
      <c r="A4" s="98" t="s">
        <v>3</v>
      </c>
      <c r="B4" s="98"/>
      <c r="C4" s="98"/>
      <c r="D4" s="95" t="s">
        <v>60</v>
      </c>
      <c r="E4" s="96"/>
      <c r="F4" s="96"/>
      <c r="G4" s="96"/>
      <c r="H4" s="96"/>
      <c r="I4" s="96"/>
      <c r="J4" s="96"/>
      <c r="K4" s="97"/>
    </row>
    <row r="5" spans="1:11" ht="18.75" customHeight="1" thickBot="1" x14ac:dyDescent="0.25">
      <c r="A5" s="98" t="s">
        <v>4</v>
      </c>
      <c r="B5" s="98"/>
      <c r="C5" s="98"/>
      <c r="D5" s="95" t="s">
        <v>58</v>
      </c>
      <c r="E5" s="96"/>
      <c r="F5" s="96"/>
      <c r="G5" s="96"/>
      <c r="H5" s="96"/>
      <c r="I5" s="96"/>
      <c r="J5" s="96"/>
      <c r="K5" s="97"/>
    </row>
    <row r="6" spans="1:11" ht="16.5" customHeight="1" thickBot="1" x14ac:dyDescent="0.25">
      <c r="A6" s="94" t="s">
        <v>5</v>
      </c>
      <c r="B6" s="94"/>
      <c r="C6" s="94"/>
      <c r="D6" s="95" t="s">
        <v>58</v>
      </c>
      <c r="E6" s="96"/>
      <c r="F6" s="96"/>
      <c r="G6" s="96"/>
      <c r="H6" s="96"/>
      <c r="I6" s="96"/>
      <c r="J6" s="96"/>
      <c r="K6" s="97"/>
    </row>
    <row r="7" spans="1:11" ht="16.5" customHeight="1" thickBot="1" x14ac:dyDescent="0.25">
      <c r="A7" s="98" t="s">
        <v>6</v>
      </c>
      <c r="B7" s="98"/>
      <c r="C7" s="98"/>
      <c r="D7" s="99" t="s">
        <v>79</v>
      </c>
      <c r="E7" s="99"/>
      <c r="F7" s="99"/>
      <c r="G7" s="99"/>
      <c r="H7" s="99"/>
      <c r="I7" s="99"/>
      <c r="J7" s="99"/>
      <c r="K7" s="99"/>
    </row>
    <row r="8" spans="1:11" ht="40.5" customHeight="1" thickBot="1" x14ac:dyDescent="0.25">
      <c r="A8" s="105" t="s">
        <v>7</v>
      </c>
      <c r="B8" s="105"/>
      <c r="C8" s="105"/>
      <c r="D8" s="106" t="s">
        <v>80</v>
      </c>
      <c r="E8" s="96"/>
      <c r="F8" s="96"/>
      <c r="G8" s="96"/>
      <c r="H8" s="96"/>
      <c r="I8" s="96"/>
      <c r="J8" s="96"/>
      <c r="K8" s="97"/>
    </row>
    <row r="9" spans="1:11" ht="16.5" thickBot="1" x14ac:dyDescent="0.25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1" ht="18.75" customHeight="1" thickBot="1" x14ac:dyDescent="0.25">
      <c r="A10" s="107" t="s">
        <v>8</v>
      </c>
      <c r="B10" s="108" t="s">
        <v>9</v>
      </c>
      <c r="C10" s="108" t="s">
        <v>10</v>
      </c>
      <c r="D10" s="108"/>
      <c r="E10" s="108"/>
      <c r="F10" s="108"/>
      <c r="G10" s="108"/>
      <c r="H10" s="108" t="s">
        <v>11</v>
      </c>
      <c r="I10" s="108" t="s">
        <v>12</v>
      </c>
      <c r="J10" s="108" t="s">
        <v>13</v>
      </c>
      <c r="K10" s="109" t="s">
        <v>14</v>
      </c>
    </row>
    <row r="11" spans="1:11" ht="24" customHeight="1" thickBot="1" x14ac:dyDescent="0.25">
      <c r="A11" s="107"/>
      <c r="B11" s="108"/>
      <c r="C11" s="108"/>
      <c r="D11" s="108"/>
      <c r="E11" s="108"/>
      <c r="F11" s="108"/>
      <c r="G11" s="108"/>
      <c r="H11" s="108"/>
      <c r="I11" s="108"/>
      <c r="J11" s="108"/>
      <c r="K11" s="109"/>
    </row>
    <row r="12" spans="1:11" ht="24" customHeight="1" thickBot="1" x14ac:dyDescent="0.25">
      <c r="A12" s="77">
        <v>9</v>
      </c>
      <c r="B12" s="69" t="s">
        <v>62</v>
      </c>
      <c r="C12" s="110" t="s">
        <v>63</v>
      </c>
      <c r="D12" s="111"/>
      <c r="E12" s="111"/>
      <c r="F12" s="111"/>
      <c r="G12" s="112"/>
      <c r="H12" s="78" t="s">
        <v>54</v>
      </c>
      <c r="I12" s="78" t="s">
        <v>50</v>
      </c>
      <c r="J12" s="81">
        <v>11100</v>
      </c>
      <c r="K12" s="70">
        <v>145</v>
      </c>
    </row>
    <row r="13" spans="1:11" ht="43.5" customHeight="1" thickBot="1" x14ac:dyDescent="0.25">
      <c r="A13" s="77">
        <v>10</v>
      </c>
      <c r="B13" s="70" t="s">
        <v>69</v>
      </c>
      <c r="C13" s="110" t="s">
        <v>70</v>
      </c>
      <c r="D13" s="111"/>
      <c r="E13" s="111"/>
      <c r="F13" s="111"/>
      <c r="G13" s="112"/>
      <c r="H13" s="78" t="s">
        <v>54</v>
      </c>
      <c r="I13" s="78" t="s">
        <v>50</v>
      </c>
      <c r="J13" s="81">
        <v>38400</v>
      </c>
      <c r="K13" s="70">
        <v>42</v>
      </c>
    </row>
    <row r="14" spans="1:11" ht="25.5" customHeight="1" thickBot="1" x14ac:dyDescent="0.25">
      <c r="A14" s="100" t="s">
        <v>78</v>
      </c>
      <c r="B14" s="101"/>
      <c r="C14" s="101"/>
      <c r="D14" s="101"/>
      <c r="E14" s="101"/>
      <c r="F14" s="101"/>
      <c r="G14" s="101"/>
      <c r="H14" s="101"/>
      <c r="I14" s="102"/>
      <c r="J14" s="103">
        <v>3222300</v>
      </c>
      <c r="K14" s="104"/>
    </row>
  </sheetData>
  <mergeCells count="24">
    <mergeCell ref="C12:G12"/>
    <mergeCell ref="C13:G13"/>
    <mergeCell ref="A14:I14"/>
    <mergeCell ref="J14:K14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opLeftCell="A4" zoomScale="110" zoomScaleNormal="110" workbookViewId="0">
      <selection activeCell="O16" sqref="O16:P16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1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3" t="s">
        <v>15</v>
      </c>
      <c r="B1" s="113"/>
      <c r="C1" s="113"/>
      <c r="D1" s="114">
        <v>2022</v>
      </c>
      <c r="E1" s="114"/>
      <c r="F1" s="13"/>
      <c r="G1" s="13"/>
      <c r="H1" s="14"/>
      <c r="I1" s="14"/>
      <c r="J1" s="14"/>
      <c r="K1" s="14"/>
      <c r="L1" s="14"/>
      <c r="M1" s="14"/>
      <c r="N1" s="14"/>
      <c r="O1" s="15"/>
      <c r="P1" s="115" t="s">
        <v>16</v>
      </c>
      <c r="Q1" s="115"/>
    </row>
    <row r="2" spans="1:17" ht="15.75" customHeight="1" x14ac:dyDescent="0.2">
      <c r="A2" s="16"/>
      <c r="B2" s="17"/>
      <c r="C2" s="17"/>
      <c r="D2" s="17"/>
      <c r="E2" s="17"/>
      <c r="F2" s="17"/>
      <c r="G2" s="18"/>
      <c r="H2" s="19"/>
      <c r="I2" s="19"/>
      <c r="J2" s="19"/>
      <c r="K2" s="19"/>
      <c r="L2" s="19"/>
      <c r="M2" s="19"/>
      <c r="N2" s="19"/>
      <c r="O2" s="17"/>
      <c r="P2" s="115"/>
      <c r="Q2" s="115"/>
    </row>
    <row r="3" spans="1:17" x14ac:dyDescent="0.2">
      <c r="A3" s="16"/>
      <c r="B3" s="17"/>
      <c r="C3" s="17"/>
      <c r="D3" s="17"/>
      <c r="E3" s="17"/>
      <c r="F3" s="17"/>
      <c r="G3" s="18"/>
      <c r="H3" s="17"/>
      <c r="I3" s="17"/>
      <c r="J3" s="17"/>
      <c r="K3" s="17"/>
      <c r="L3" s="17"/>
      <c r="M3" s="17"/>
      <c r="N3" s="17"/>
      <c r="O3" s="17"/>
      <c r="P3" s="17"/>
      <c r="Q3" s="20"/>
    </row>
    <row r="4" spans="1:17" s="21" customFormat="1" ht="18" customHeight="1" x14ac:dyDescent="0.2">
      <c r="A4" s="116" t="s">
        <v>17</v>
      </c>
      <c r="B4" s="116"/>
      <c r="C4" s="116"/>
      <c r="D4" s="116"/>
      <c r="E4" s="116"/>
      <c r="F4" s="116"/>
      <c r="G4" s="117" t="s">
        <v>57</v>
      </c>
      <c r="H4" s="117"/>
      <c r="I4" s="117"/>
      <c r="J4" s="117"/>
      <c r="K4" s="117"/>
      <c r="L4" s="117"/>
      <c r="M4" s="117"/>
      <c r="N4" s="117"/>
      <c r="O4" s="117"/>
      <c r="P4" s="117"/>
      <c r="Q4" s="117"/>
    </row>
    <row r="5" spans="1:17" s="21" customFormat="1" ht="18" customHeight="1" x14ac:dyDescent="0.2">
      <c r="A5" s="118" t="s">
        <v>3</v>
      </c>
      <c r="B5" s="118"/>
      <c r="C5" s="118"/>
      <c r="D5" s="118"/>
      <c r="E5" s="118"/>
      <c r="F5" s="118"/>
      <c r="G5" s="117" t="s">
        <v>60</v>
      </c>
      <c r="H5" s="117"/>
      <c r="I5" s="117"/>
      <c r="J5" s="117"/>
      <c r="K5" s="117"/>
      <c r="L5" s="117"/>
      <c r="M5" s="117"/>
      <c r="N5" s="117"/>
      <c r="O5" s="117"/>
      <c r="P5" s="117"/>
      <c r="Q5" s="117"/>
    </row>
    <row r="6" spans="1:17" s="21" customFormat="1" ht="18" customHeight="1" x14ac:dyDescent="0.2">
      <c r="A6" s="118" t="s">
        <v>4</v>
      </c>
      <c r="B6" s="118"/>
      <c r="C6" s="118"/>
      <c r="D6" s="118"/>
      <c r="E6" s="118"/>
      <c r="F6" s="118"/>
      <c r="G6" s="117" t="s">
        <v>58</v>
      </c>
      <c r="H6" s="117"/>
      <c r="I6" s="117"/>
      <c r="J6" s="117"/>
      <c r="K6" s="117"/>
      <c r="L6" s="117"/>
      <c r="M6" s="117"/>
      <c r="N6" s="117"/>
      <c r="O6" s="117"/>
      <c r="P6" s="117"/>
      <c r="Q6" s="117"/>
    </row>
    <row r="7" spans="1:17" s="21" customFormat="1" ht="22.5" customHeight="1" x14ac:dyDescent="0.2">
      <c r="A7" s="118" t="s">
        <v>5</v>
      </c>
      <c r="B7" s="118"/>
      <c r="C7" s="118"/>
      <c r="D7" s="118"/>
      <c r="E7" s="118"/>
      <c r="F7" s="118"/>
      <c r="G7" s="117" t="s">
        <v>58</v>
      </c>
      <c r="H7" s="117"/>
      <c r="I7" s="117"/>
      <c r="J7" s="117"/>
      <c r="K7" s="117"/>
      <c r="L7" s="117"/>
      <c r="M7" s="117"/>
      <c r="N7" s="117"/>
      <c r="O7" s="117"/>
      <c r="P7" s="117"/>
      <c r="Q7" s="117"/>
    </row>
    <row r="8" spans="1:17" ht="18" customHeight="1" x14ac:dyDescent="0.2">
      <c r="A8" s="120" t="s">
        <v>18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</row>
    <row r="9" spans="1:17" ht="18" customHeight="1" x14ac:dyDescent="0.2">
      <c r="A9" s="121" t="s">
        <v>19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</row>
    <row r="10" spans="1:17" ht="66" customHeight="1" x14ac:dyDescent="0.2">
      <c r="A10" s="122" t="s">
        <v>64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</row>
    <row r="11" spans="1:17" ht="9" customHeight="1" x14ac:dyDescent="0.2">
      <c r="A11" s="22"/>
      <c r="B11" s="23"/>
      <c r="C11" s="23"/>
      <c r="D11" s="23"/>
      <c r="E11" s="23"/>
      <c r="F11" s="23"/>
      <c r="G11" s="24"/>
      <c r="H11" s="23"/>
      <c r="I11" s="23"/>
      <c r="J11" s="23"/>
      <c r="K11" s="23"/>
      <c r="L11" s="23"/>
      <c r="M11" s="23"/>
      <c r="N11" s="23"/>
      <c r="O11" s="23"/>
      <c r="P11" s="23"/>
      <c r="Q11" s="25"/>
    </row>
    <row r="12" spans="1:17" ht="15.75" customHeight="1" x14ac:dyDescent="0.2">
      <c r="A12" s="123" t="s">
        <v>20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</row>
    <row r="13" spans="1:17" ht="15.75" customHeight="1" x14ac:dyDescent="0.2">
      <c r="A13" s="124" t="s">
        <v>21</v>
      </c>
      <c r="B13" s="124"/>
      <c r="C13" s="124"/>
      <c r="D13" s="124"/>
      <c r="E13" s="124"/>
      <c r="F13" s="124"/>
      <c r="G13" s="124"/>
      <c r="H13" s="124"/>
      <c r="I13" s="124"/>
      <c r="J13" s="124"/>
      <c r="K13" s="124"/>
      <c r="L13" s="124"/>
      <c r="M13" s="124"/>
      <c r="N13" s="124"/>
      <c r="O13" s="125" t="s">
        <v>22</v>
      </c>
      <c r="P13" s="125"/>
      <c r="Q13" s="126" t="s">
        <v>23</v>
      </c>
    </row>
    <row r="14" spans="1:17" ht="15.75" customHeight="1" thickBot="1" x14ac:dyDescent="0.25">
      <c r="A14" s="26" t="s">
        <v>24</v>
      </c>
      <c r="B14" s="27" t="s">
        <v>25</v>
      </c>
      <c r="C14" s="27" t="s">
        <v>26</v>
      </c>
      <c r="D14" s="27" t="s">
        <v>27</v>
      </c>
      <c r="E14" s="27" t="s">
        <v>28</v>
      </c>
      <c r="F14" s="27" t="s">
        <v>29</v>
      </c>
      <c r="G14" s="28" t="s">
        <v>30</v>
      </c>
      <c r="H14" s="27" t="s">
        <v>31</v>
      </c>
      <c r="I14" s="27" t="s">
        <v>32</v>
      </c>
      <c r="J14" s="27" t="s">
        <v>33</v>
      </c>
      <c r="K14" s="27" t="s">
        <v>33</v>
      </c>
      <c r="L14" s="27" t="s">
        <v>34</v>
      </c>
      <c r="M14" s="29" t="s">
        <v>35</v>
      </c>
      <c r="N14" s="30" t="s">
        <v>36</v>
      </c>
      <c r="O14" s="125"/>
      <c r="P14" s="125"/>
      <c r="Q14" s="126"/>
    </row>
    <row r="15" spans="1:17" ht="17.25" customHeight="1" thickBot="1" x14ac:dyDescent="0.25">
      <c r="A15" s="46">
        <v>1</v>
      </c>
      <c r="B15" s="47">
        <v>0</v>
      </c>
      <c r="C15" s="47">
        <v>0</v>
      </c>
      <c r="D15" s="47">
        <v>1</v>
      </c>
      <c r="E15" s="47">
        <v>0</v>
      </c>
      <c r="F15" s="47">
        <v>4901</v>
      </c>
      <c r="G15" s="47">
        <v>1</v>
      </c>
      <c r="H15" s="47">
        <v>3</v>
      </c>
      <c r="I15" s="47">
        <v>2</v>
      </c>
      <c r="J15" s="47">
        <v>5</v>
      </c>
      <c r="K15" s="47">
        <v>3</v>
      </c>
      <c r="L15" s="47">
        <v>0</v>
      </c>
      <c r="M15" s="48">
        <v>1</v>
      </c>
      <c r="N15" s="47" t="s">
        <v>38</v>
      </c>
      <c r="O15" s="119" t="s">
        <v>65</v>
      </c>
      <c r="P15" s="119"/>
      <c r="Q15" s="49">
        <v>1609500</v>
      </c>
    </row>
    <row r="16" spans="1:17" ht="17.25" customHeight="1" x14ac:dyDescent="0.2">
      <c r="A16" s="46">
        <v>1</v>
      </c>
      <c r="B16" s="47">
        <v>0</v>
      </c>
      <c r="C16" s="47">
        <v>0</v>
      </c>
      <c r="D16" s="47">
        <v>1</v>
      </c>
      <c r="E16" s="47">
        <v>0</v>
      </c>
      <c r="F16" s="47">
        <v>4901</v>
      </c>
      <c r="G16" s="47">
        <v>1</v>
      </c>
      <c r="H16" s="47">
        <v>3</v>
      </c>
      <c r="I16" s="47">
        <v>2</v>
      </c>
      <c r="J16" s="47">
        <v>5</v>
      </c>
      <c r="K16" s="47">
        <v>4</v>
      </c>
      <c r="L16" s="47">
        <v>0</v>
      </c>
      <c r="M16" s="48">
        <v>1</v>
      </c>
      <c r="N16" s="47" t="s">
        <v>38</v>
      </c>
      <c r="O16" s="119" t="s">
        <v>76</v>
      </c>
      <c r="P16" s="119"/>
      <c r="Q16" s="35">
        <v>1612800</v>
      </c>
    </row>
    <row r="17" spans="1:18" ht="17.25" customHeight="1" x14ac:dyDescent="0.2">
      <c r="A17" s="31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3"/>
      <c r="N17" s="34"/>
      <c r="O17" s="127"/>
      <c r="P17" s="127"/>
      <c r="Q17" s="35"/>
    </row>
    <row r="18" spans="1:18" ht="17.25" customHeight="1" x14ac:dyDescent="0.2">
      <c r="A18" s="31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3"/>
      <c r="N18" s="34"/>
      <c r="O18" s="127"/>
      <c r="P18" s="127"/>
      <c r="Q18" s="35"/>
    </row>
    <row r="19" spans="1:18" ht="17.25" customHeight="1" x14ac:dyDescent="0.2">
      <c r="A19" s="31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3"/>
      <c r="N19" s="34"/>
      <c r="O19" s="127"/>
      <c r="P19" s="127"/>
      <c r="Q19" s="35"/>
    </row>
    <row r="20" spans="1:18" ht="17.25" customHeight="1" x14ac:dyDescent="0.2">
      <c r="A20" s="31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3"/>
      <c r="N20" s="34"/>
      <c r="O20" s="127"/>
      <c r="P20" s="127"/>
      <c r="Q20" s="35"/>
    </row>
    <row r="21" spans="1:18" ht="17.25" customHeight="1" x14ac:dyDescent="0.2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3"/>
      <c r="N21" s="34"/>
      <c r="O21" s="127"/>
      <c r="P21" s="127"/>
      <c r="Q21" s="35"/>
    </row>
    <row r="22" spans="1:18" ht="17.25" customHeight="1" x14ac:dyDescent="0.2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4"/>
      <c r="O22" s="127"/>
      <c r="P22" s="127"/>
      <c r="Q22" s="35"/>
    </row>
    <row r="23" spans="1:18" ht="17.25" customHeight="1" x14ac:dyDescent="0.2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3"/>
      <c r="N23" s="34"/>
      <c r="O23" s="127"/>
      <c r="P23" s="127"/>
      <c r="Q23" s="35"/>
    </row>
    <row r="24" spans="1:18" ht="17.25" customHeight="1" x14ac:dyDescent="0.2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34"/>
      <c r="O24" s="127"/>
      <c r="P24" s="127"/>
      <c r="Q24" s="35"/>
    </row>
    <row r="25" spans="1:18" ht="17.25" customHeight="1" x14ac:dyDescent="0.2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3"/>
      <c r="N25" s="34"/>
      <c r="O25" s="127"/>
      <c r="P25" s="127"/>
      <c r="Q25" s="35"/>
    </row>
    <row r="26" spans="1:18" ht="17.25" customHeight="1" x14ac:dyDescent="0.2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3"/>
      <c r="N26" s="34"/>
      <c r="O26" s="127"/>
      <c r="P26" s="127"/>
      <c r="Q26" s="35"/>
    </row>
    <row r="27" spans="1:18" ht="17.25" customHeight="1" x14ac:dyDescent="0.2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3"/>
      <c r="N27" s="34"/>
      <c r="O27" s="127"/>
      <c r="P27" s="127"/>
      <c r="Q27" s="35"/>
    </row>
    <row r="28" spans="1:18" ht="17.25" customHeight="1" x14ac:dyDescent="0.2">
      <c r="A28" s="31"/>
      <c r="B28" s="32"/>
      <c r="C28" s="32"/>
      <c r="D28" s="32"/>
      <c r="E28" s="32"/>
      <c r="F28" s="34"/>
      <c r="G28" s="32"/>
      <c r="H28" s="32"/>
      <c r="I28" s="32"/>
      <c r="J28" s="32"/>
      <c r="K28" s="32"/>
      <c r="L28" s="32"/>
      <c r="M28" s="33"/>
      <c r="N28" s="34"/>
      <c r="O28" s="128"/>
      <c r="P28" s="128"/>
      <c r="Q28" s="35"/>
    </row>
    <row r="29" spans="1:18" ht="17.25" customHeight="1" x14ac:dyDescent="0.2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3"/>
      <c r="N29" s="34"/>
      <c r="O29" s="128"/>
      <c r="P29" s="128"/>
      <c r="Q29" s="35"/>
    </row>
    <row r="30" spans="1:18" ht="17.25" customHeight="1" x14ac:dyDescent="0.2">
      <c r="A30" s="31"/>
      <c r="B30" s="32"/>
      <c r="C30" s="32"/>
      <c r="D30" s="32"/>
      <c r="E30" s="32"/>
      <c r="F30" s="34"/>
      <c r="G30" s="32"/>
      <c r="H30" s="32"/>
      <c r="I30" s="32"/>
      <c r="J30" s="32"/>
      <c r="K30" s="32"/>
      <c r="L30" s="32"/>
      <c r="M30" s="33"/>
      <c r="N30" s="34"/>
      <c r="O30" s="128"/>
      <c r="P30" s="128"/>
      <c r="Q30" s="35"/>
    </row>
    <row r="31" spans="1:18" ht="17.25" customHeight="1" x14ac:dyDescent="0.2">
      <c r="A31" s="31"/>
      <c r="B31" s="32"/>
      <c r="C31" s="32"/>
      <c r="D31" s="32"/>
      <c r="E31" s="32"/>
      <c r="F31" s="34"/>
      <c r="G31" s="32"/>
      <c r="H31" s="32"/>
      <c r="I31" s="32"/>
      <c r="J31" s="32"/>
      <c r="K31" s="32"/>
      <c r="L31" s="32"/>
      <c r="M31" s="33"/>
      <c r="N31" s="34"/>
      <c r="O31" s="128"/>
      <c r="P31" s="128"/>
      <c r="Q31" s="35"/>
    </row>
    <row r="32" spans="1:18" ht="17.25" customHeight="1" x14ac:dyDescent="0.2">
      <c r="A32" s="36"/>
      <c r="B32" s="37"/>
      <c r="C32" s="37"/>
      <c r="D32" s="37"/>
      <c r="E32" s="37"/>
      <c r="F32" s="38"/>
      <c r="G32" s="37"/>
      <c r="H32" s="37"/>
      <c r="I32" s="37"/>
      <c r="J32" s="37"/>
      <c r="K32" s="37"/>
      <c r="L32" s="37"/>
      <c r="M32" s="39"/>
      <c r="N32" s="40"/>
      <c r="O32" s="132"/>
      <c r="P32" s="132"/>
      <c r="Q32" s="35"/>
      <c r="R32" s="17"/>
    </row>
    <row r="33" spans="1:17" ht="17.25" customHeight="1" x14ac:dyDescent="0.2">
      <c r="A33" s="41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3"/>
      <c r="N33" s="42"/>
      <c r="O33" s="133"/>
      <c r="P33" s="133"/>
      <c r="Q33" s="44"/>
    </row>
    <row r="34" spans="1:17" ht="20.25" customHeight="1" x14ac:dyDescent="0.2">
      <c r="A34" s="134" t="s">
        <v>77</v>
      </c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45">
        <f>SUM(Q15:Q33)</f>
        <v>3222300</v>
      </c>
    </row>
    <row r="35" spans="1:17" ht="18" customHeight="1" x14ac:dyDescent="0.2">
      <c r="A35" s="135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</row>
    <row r="36" spans="1:17" ht="17.25" customHeight="1" x14ac:dyDescent="0.2">
      <c r="A36" s="129" t="s">
        <v>37</v>
      </c>
      <c r="B36" s="129"/>
      <c r="C36" s="129"/>
      <c r="D36" s="129"/>
      <c r="E36" s="129"/>
      <c r="F36" s="129"/>
      <c r="G36" s="130"/>
      <c r="H36" s="130"/>
      <c r="I36" s="130"/>
      <c r="J36" s="130"/>
      <c r="K36" s="130"/>
      <c r="L36" s="130"/>
      <c r="M36" s="130"/>
      <c r="N36" s="130"/>
      <c r="O36" s="130"/>
      <c r="P36" s="130"/>
      <c r="Q36" s="130"/>
    </row>
    <row r="37" spans="1:17" ht="18" customHeight="1" x14ac:dyDescent="0.2">
      <c r="A37" s="131" t="s">
        <v>80</v>
      </c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</row>
    <row r="38" spans="1:17" ht="63.75" customHeight="1" x14ac:dyDescent="0.2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</row>
  </sheetData>
  <mergeCells count="42">
    <mergeCell ref="A36:F36"/>
    <mergeCell ref="G36:Q36"/>
    <mergeCell ref="A37:Q38"/>
    <mergeCell ref="O31:P31"/>
    <mergeCell ref="O32:P32"/>
    <mergeCell ref="O33:P33"/>
    <mergeCell ref="A34:P34"/>
    <mergeCell ref="A35:Q35"/>
    <mergeCell ref="O26:P26"/>
    <mergeCell ref="O27:P27"/>
    <mergeCell ref="O28:P28"/>
    <mergeCell ref="O29:P29"/>
    <mergeCell ref="O30:P30"/>
    <mergeCell ref="O21:P21"/>
    <mergeCell ref="O22:P22"/>
    <mergeCell ref="O23:P23"/>
    <mergeCell ref="O24:P24"/>
    <mergeCell ref="O25:P25"/>
    <mergeCell ref="O16:P16"/>
    <mergeCell ref="O17:P17"/>
    <mergeCell ref="O18:P18"/>
    <mergeCell ref="O19:P19"/>
    <mergeCell ref="O20:P20"/>
    <mergeCell ref="O15:P15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usuario</cp:lastModifiedBy>
  <cp:revision>3</cp:revision>
  <cp:lastPrinted>2022-02-02T11:53:05Z</cp:lastPrinted>
  <dcterms:created xsi:type="dcterms:W3CDTF">2020-07-17T23:44:49Z</dcterms:created>
  <dcterms:modified xsi:type="dcterms:W3CDTF">2022-11-22T14:08:34Z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